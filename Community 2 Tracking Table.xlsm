
<file path=[Content_Types].xml><?xml version="1.0" encoding="utf-8"?>
<Types xmlns="http://schemas.openxmlformats.org/package/2006/content-types">
  <Default Extension="fntdata" ContentType="application/x-fontdata"/>
  <Default Extension="jpeg" ContentType="image/jpeg"/>
  <Default Extension="png" ContentType="image/png"/>
  <Default Extension="rels" ContentType="application/vnd.openxmlformats-package.relationships+xml"/>
  <Default Extension="xml" ContentType="application/xml"/>
  <Override PartName="/docProps/custom.xml" ContentType="application/vnd.openxmlformats-officedocument.custom-properties+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drawings/drawing1.xml" ContentType="application/vnd.openxmlformats-officedocument.drawing+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pivotTables/pivotTable1.xml" ContentType="application/vnd.openxmlformats-officedocument.spreadsheetml.pivotTable+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haredStrings.xml" ContentType="application/vnd.openxmlformats-officedocument.spreadsheetml.sharedStrings+xml"/>
</Types>
</file>

<file path=_rels/.rels><?xml version="1.0" encoding="UTF-8"?>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 Id="rId4" Type="http://schemas.openxmlformats.org/officeDocument/2006/relationships/custom-properties" Target="docProps/custom.xml"/>
</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fileVersion appName="Calc" lowestEdited="4"/>
  <workbookPr backupFile="false" showObjects="all" date1904="false"/>
  <workbookProtection/>
  <bookViews>
    <workbookView showHorizontalScroll="true" showVerticalScroll="true" showSheetTabs="true" xWindow="0" yWindow="0" windowWidth="16384" windowHeight="8192" tabRatio="500" firstSheet="0" activeTab="0"/>
  </bookViews>
  <sheets>
    <sheet name="Table" sheetId="1" state="visible" r:id="rId3"/>
    <sheet name="Gameplay Planning" sheetId="2" state="visible" r:id="rId4"/>
    <sheet name="Eras" sheetId="3" state="visible" r:id="rId5"/>
    <sheet name="Constants" sheetId="4" state="visible" r:id="rId6"/>
    <sheet name="Voxel Sizes" sheetId="5" state="visible" r:id="rId7"/>
    <sheet name="Long unit configs" sheetId="6" state="visible" r:id="rId8"/>
    <sheet name="MU Tables" sheetId="7" state="visible" r:id="rId9"/>
    <sheet name="Cargo Classes" sheetId="8" state="visible" r:id="rId10"/>
    <sheet name="Roster" sheetId="9" state="visible" r:id="rId11"/>
  </sheets>
  <definedNames>
    <definedName function="false" hidden="true" localSheetId="0" name="_xlnm._FilterDatabase" vbProcedure="false">Table!$A$1:$CH$69</definedName>
    <definedName function="false" hidden="false" name="ACEMUVEHICLES" vbProcedure="false">'MU Tables'!$B$10</definedName>
    <definedName function="false" hidden="false" name="APTMUVehicles" vbProcedure="false">'MU Tables'!$B$7</definedName>
    <definedName function="false" hidden="false" name="E320_12_NV" vbProcedure="false">'Long unit configs'!$B$94</definedName>
    <definedName function="false" hidden="false" name="E320_12_ULEN" vbProcedure="false">'Long unit configs'!$B$97</definedName>
    <definedName function="false" hidden="false" name="E320_12_VEH" vbProcedure="false">'Long unit configs'!$B$93</definedName>
    <definedName function="false" hidden="false" name="E320_12_VLEN" vbProcedure="false">'Long unit configs'!$B$96</definedName>
    <definedName function="false" hidden="false" name="E320_16_LEN" vbProcedure="false">'Long unit configs'!$B$83</definedName>
    <definedName function="false" hidden="false" name="E320_16_NV" vbProcedure="false">'Long unit configs'!$B$81</definedName>
    <definedName function="false" hidden="false" name="E320_16_ULEN" vbProcedure="false">'Long unit configs'!$B$84</definedName>
    <definedName function="false" hidden="false" name="E320_16_VEH" vbProcedure="false">'Long unit configs'!$B$80</definedName>
    <definedName function="false" hidden="false" name="E320_16_VLEN" vbProcedure="false">'Long unit configs'!$B$83</definedName>
    <definedName function="false" hidden="false" name="STAD_745_NS" vbProcedure="false">'Long unit configs'!$B$107</definedName>
    <definedName function="false" hidden="false" name="STAD_745_VEH" vbProcedure="false">'Long unit configs'!$B$106</definedName>
  </definedNames>
  <calcPr iterateCount="100" refMode="A1" iterate="false" iterateDelta="0.0001"/>
  <pivotCaches>
    <pivotCache cacheId="1" r:id="rId13"/>
  </pivotCaches>
  <extLst>
    <ext xmlns:loext="http://schemas.libreoffice.org/" uri="{7626C862-2A13-11E5-B345-FEFF819CDC9F}">
      <loext:extCalcPr stringRefSyntax="ExcelA1"/>
    </ext>
  </extLst>
</workbook>
</file>

<file path=xl/sharedStrings.xml><?xml version="1.0" encoding="utf-8"?>
<sst xmlns="http://schemas.openxmlformats.org/spreadsheetml/2006/main" count="2063" uniqueCount="755">
  <si>
    <t xml:space="preserve">name</t>
  </si>
  <si>
    <t xml:space="preserve">id</t>
  </si>
  <si>
    <t xml:space="preserve">numeric_id</t>
  </si>
  <si>
    <t xml:space="preserve">variant_group</t>
  </si>
  <si>
    <t xml:space="preserve">sort_order</t>
  </si>
  <si>
    <t xml:space="preserve">sort_feature</t>
  </si>
  <si>
    <t xml:space="preserve">template</t>
  </si>
  <si>
    <t xml:space="preserve">type</t>
  </si>
  <si>
    <t xml:space="preserve">railtype</t>
  </si>
  <si>
    <t xml:space="preserve">year</t>
  </si>
  <si>
    <t xml:space="preserve">end_year</t>
  </si>
  <si>
    <t xml:space="preserve">service</t>
  </si>
  <si>
    <t xml:space="preserve">cars</t>
  </si>
  <si>
    <t xml:space="preserve">power</t>
  </si>
  <si>
    <t xml:space="preserve">secondary_power</t>
  </si>
  <si>
    <t xml:space="preserve">cyl_d</t>
  </si>
  <si>
    <t xml:space="preserve">cyl_len</t>
  </si>
  <si>
    <t xml:space="preserve">cyl_n</t>
  </si>
  <si>
    <t xml:space="preserve">steam_psi</t>
  </si>
  <si>
    <t xml:space="preserve">rpm</t>
  </si>
  <si>
    <t xml:space="preserve">wheel_d</t>
  </si>
  <si>
    <t xml:space="preserve">ihp</t>
  </si>
  <si>
    <t xml:space="preserve">weight</t>
  </si>
  <si>
    <t xml:space="preserve">tender_weight</t>
  </si>
  <si>
    <t xml:space="preserve">loading_speed</t>
  </si>
  <si>
    <t xml:space="preserve">tractive_effort</t>
  </si>
  <si>
    <t xml:space="preserve">te_coeff</t>
  </si>
  <si>
    <t xml:space="preserve">speed</t>
  </si>
  <si>
    <t xml:space="preserve">kmhish_speed</t>
  </si>
  <si>
    <t xml:space="preserve">secondary_speed</t>
  </si>
  <si>
    <t xml:space="preserve">speed_conf</t>
  </si>
  <si>
    <t xml:space="preserve">length</t>
  </si>
  <si>
    <t xml:space="preserve">scale_len</t>
  </si>
  <si>
    <t xml:space="preserve">width</t>
  </si>
  <si>
    <t xml:space="preserve">height</t>
  </si>
  <si>
    <t xml:space="preserve">capacity</t>
  </si>
  <si>
    <t xml:space="preserve">voxel_size</t>
  </si>
  <si>
    <t xml:space="preserve">ttd_len</t>
  </si>
  <si>
    <t xml:space="preserve">tender</t>
  </si>
  <si>
    <t xml:space="preserve">articulated_lengths</t>
  </si>
  <si>
    <t xml:space="preserve">effect_unit</t>
  </si>
  <si>
    <t xml:space="preserve">manual_lengths</t>
  </si>
  <si>
    <t xml:space="preserve">manual_ttd_len</t>
  </si>
  <si>
    <t xml:space="preserve">layout</t>
  </si>
  <si>
    <t xml:space="preserve">pantograph_unit</t>
  </si>
  <si>
    <t xml:space="preserve">new_sprites</t>
  </si>
  <si>
    <t xml:space="preserve">reuse_sprites</t>
  </si>
  <si>
    <t xml:space="preserve">animated</t>
  </si>
  <si>
    <t xml:space="preserve">random_flip_vehicle</t>
  </si>
  <si>
    <t xml:space="preserve">vehicle_life</t>
  </si>
  <si>
    <t xml:space="preserve">lifespan</t>
  </si>
  <si>
    <t xml:space="preserve">run_cost_penalty</t>
  </si>
  <si>
    <t xml:space="preserve">purchase_penalty</t>
  </si>
  <si>
    <t xml:space="preserve">speed_cost_factor</t>
  </si>
  <si>
    <t xml:space="preserve">power_cost_factor</t>
  </si>
  <si>
    <t xml:space="preserve">te_cost_factor</t>
  </si>
  <si>
    <t xml:space="preserve">year_multiplier</t>
  </si>
  <si>
    <t xml:space="preserve">capacity_factor</t>
  </si>
  <si>
    <t xml:space="preserve">type_run_cost</t>
  </si>
  <si>
    <t xml:space="preserve">type_purchase_cost</t>
  </si>
  <si>
    <t xml:space="preserve">cost</t>
  </si>
  <si>
    <t xml:space="preserve">running_cost</t>
  </si>
  <si>
    <t xml:space="preserve">cost_gbp</t>
  </si>
  <si>
    <t xml:space="preserve">run_cost_gbp</t>
  </si>
  <si>
    <t xml:space="preserve">double_headed</t>
  </si>
  <si>
    <t xml:space="preserve">dvt</t>
  </si>
  <si>
    <t xml:space="preserve">inhibit_lead</t>
  </si>
  <si>
    <t xml:space="preserve">tilting</t>
  </si>
  <si>
    <t xml:space="preserve">multiple_working</t>
  </si>
  <si>
    <t xml:space="preserve">requires_second_power_car</t>
  </si>
  <si>
    <t xml:space="preserve">enable_param</t>
  </si>
  <si>
    <t xml:space="preserve">intro_month</t>
  </si>
  <si>
    <t xml:space="preserve">cargo_age_period</t>
  </si>
  <si>
    <t xml:space="preserve">cargo_handling</t>
  </si>
  <si>
    <t xml:space="preserve">pax_special</t>
  </si>
  <si>
    <t xml:space="preserve">default_cargo</t>
  </si>
  <si>
    <t xml:space="preserve">era_id</t>
  </si>
  <si>
    <t xml:space="preserve">category</t>
  </si>
  <si>
    <t xml:space="preserve">era_cat</t>
  </si>
  <si>
    <t xml:space="preserve">power_class</t>
  </si>
  <si>
    <t xml:space="preserve">length_text</t>
  </si>
  <si>
    <t xml:space="preserve">power_text</t>
  </si>
  <si>
    <t xml:space="preserve">units_text</t>
  </si>
  <si>
    <t xml:space="preserve">bio</t>
  </si>
  <si>
    <t xml:space="preserve">brake_text</t>
  </si>
  <si>
    <t xml:space="preserve">additional_text</t>
  </si>
  <si>
    <t xml:space="preserve">has_aged_variant</t>
  </si>
  <si>
    <t xml:space="preserve">Midland Railway EMU (1 Car)</t>
  </si>
  <si>
    <t xml:space="preserve">mr_horsham_emu_1car</t>
  </si>
  <si>
    <t xml:space="preserve">FEAT_TRAINS</t>
  </si>
  <si>
    <t xml:space="preserve">multiple_unit</t>
  </si>
  <si>
    <t xml:space="preserve">electric</t>
  </si>
  <si>
    <t xml:space="preserve">ELRL</t>
  </si>
  <si>
    <t xml:space="preserve">mr_emu_dm</t>
  </si>
  <si>
    <t xml:space="preserve">mr_horsham_emu_2car,mr_horsham_emu_3car</t>
  </si>
  <si>
    <t xml:space="preserve">PASS</t>
  </si>
  <si>
    <t xml:space="preserve">edw</t>
  </si>
  <si>
    <t xml:space="preserve">EMU</t>
  </si>
  <si>
    <t xml:space="preserve">Very early experiments in AC Multiple Units were built for the Lancaster-Morecambe-Heysham line, and were remarkably successful. Various lengths of unit were available, with twice as many single-ended driving trailers built as double-ended driving motors were.</t>
  </si>
  <si>
    <t xml:space="preserve">Midland Railway EMU (2 Car)</t>
  </si>
  <si>
    <t xml:space="preserve">mr_horsham_emu_2car</t>
  </si>
  <si>
    <t xml:space="preserve">mr_emu_dt,mr_emu_dm</t>
  </si>
  <si>
    <t xml:space="preserve">1,0</t>
  </si>
  <si>
    <t xml:space="preserve">mr_emu_dt_rev</t>
  </si>
  <si>
    <t xml:space="preserve">mr_horsham_emu_1car,mr_horsham_emu_3car</t>
  </si>
  <si>
    <t xml:space="preserve">Midland Railway EMU (3 Car)</t>
  </si>
  <si>
    <t xml:space="preserve">mr_horsham_emu_3car</t>
  </si>
  <si>
    <t xml:space="preserve">mr_emu_dt,mr_emu_dm,mr_emu_dt_rev</t>
  </si>
  <si>
    <t xml:space="preserve">0,0,1</t>
  </si>
  <si>
    <t xml:space="preserve">mr_horsham_emu_1car,mr_horsham_emu_2car</t>
  </si>
  <si>
    <t xml:space="preserve">LB&amp;SCR “Crystal Palace” EMU (2 car)</t>
  </si>
  <si>
    <t xml:space="preserve">lbscr_cp_emu_2</t>
  </si>
  <si>
    <t xml:space="preserve">lbscr_emu_dmbt,lbscr_emu_dt_rev</t>
  </si>
  <si>
    <t xml:space="preserve">1,1</t>
  </si>
  <si>
    <t xml:space="preserve">lbscr_emu_dt</t>
  </si>
  <si>
    <t xml:space="preserve">lbscr_cp_emu_3,lbscr_cp_emu_4,lbscr_cp_emu_5,lbscr_cp_emu_6</t>
  </si>
  <si>
    <t xml:space="preserve">The LB&amp;SCR (Later SR) “CP” EMUs were a nightmare of different build dates and vehicle sizes, designed for use on the “Elevated Electric” line into London.</t>
  </si>
  <si>
    <t xml:space="preserve">LB&amp;SCR “Crystal Palace” EMU (3 car)</t>
  </si>
  <si>
    <t xml:space="preserve">lbscr_cp_emu_3</t>
  </si>
  <si>
    <t xml:space="preserve">lbscr_emu_dt,lbscr_emu_dmbt,lbscr_emu_dt_rev</t>
  </si>
  <si>
    <t xml:space="preserve">1,0,0</t>
  </si>
  <si>
    <t xml:space="preserve">lbscr_cp_emu_2,lbscr_cp_emu_4,lbscr_cp_emu_5,lbscr_cp_emu_6</t>
  </si>
  <si>
    <t xml:space="preserve">LB&amp;SCR “Crystal Palace” EMU (4 car)</t>
  </si>
  <si>
    <t xml:space="preserve">lbscr_cp_emu_4</t>
  </si>
  <si>
    <t xml:space="preserve">lbscr_emu_dt,lbscr_emu_dmbt,lbscr_emu_dt,lbscr_emu_dt_rev</t>
  </si>
  <si>
    <t xml:space="preserve">0,0,0,0</t>
  </si>
  <si>
    <t xml:space="preserve">lbscr_cp_emu_2,lbscr_cp_emu_3,lbscr_cp_emu_5,lbscr_cp_emu_6</t>
  </si>
  <si>
    <t xml:space="preserve">LB&amp;SCR “Crystal Palace” EMU (5 car)</t>
  </si>
  <si>
    <t xml:space="preserve">lbscr_cp_emu_5</t>
  </si>
  <si>
    <t xml:space="preserve">lbscr_emu_dt,lbscr_emu_dmbt,lbscr_emu_dt,lbscr_emu_dt_rev,lbscr_emu_dt_rev</t>
  </si>
  <si>
    <t xml:space="preserve">0,0,0,0,0</t>
  </si>
  <si>
    <t xml:space="preserve">lbscr_cp_emu_2,lbscr_cp_emu_3,lbscr_cp_emu_4,lbscr_cp_emu_6</t>
  </si>
  <si>
    <t xml:space="preserve">LB&amp;SCR “Crystal Palace” EMU (6 car)</t>
  </si>
  <si>
    <t xml:space="preserve">lbscr_cp_emu_6</t>
  </si>
  <si>
    <t xml:space="preserve">lbscr_emu_dt,lbscr_emu_dt_rev,lbscr_emu_dmbt,lbscr_emu_dt_rev,lbscr_emu_dt,lbscr_emu_dt_rev</t>
  </si>
  <si>
    <t xml:space="preserve">0,0,0,0,0,0</t>
  </si>
  <si>
    <t xml:space="preserve">lbscr_cp_emu_2,lbscr_cp_emu_3,lbscr_cp_emu_4,lbscr_cp_emu_5</t>
  </si>
  <si>
    <t xml:space="preserve">LB&amp;SCR “CW” EMU</t>
  </si>
  <si>
    <t xml:space="preserve">lbscr_cw_emu</t>
  </si>
  <si>
    <t xml:space="preserve">4,2,4,4,2,4,2,4,2,4,2,4,4,2,4</t>
  </si>
  <si>
    <t xml:space="preserve">10,10,8,10,10</t>
  </si>
  <si>
    <t xml:space="preserve">lbscr_emu_dt,lbscr_emu_dt_rev,lbscr_emu_mlv,lbscr_emu_dt,lbscr_emu_dt_rev</t>
  </si>
  <si>
    <t xml:space="preserve">0,0,1,0,0</t>
  </si>
  <si>
    <t xml:space="preserve">big4</t>
  </si>
  <si>
    <t xml:space="preserve">The LB&amp;SCR (Later SR) “Coulsden &amp; Wallington” EMUs were a rather more uniform set of vehicles than their previous units, and included a large dedicated luggage vehicle in the centre of the formation. They were soon converted to standard 3rd rail power supply.</t>
  </si>
  <si>
    <t xml:space="preserve">LB&amp;SCR “Milk Van” MLV</t>
  </si>
  <si>
    <t xml:space="preserve">lbscr_emu_mlv</t>
  </si>
  <si>
    <t xml:space="preserve">locomotive</t>
  </si>
  <si>
    <t xml:space="preserve">MAIL</t>
  </si>
  <si>
    <t xml:space="preserve">The motor luggage vans powering the CW EMUs were usable locomotives in their own right, and could operate independantly if needed.</t>
  </si>
  <si>
    <t xml:space="preserve">Ruston and Hornsby 48DS</t>
  </si>
  <si>
    <t xml:space="preserve">ruston_48</t>
  </si>
  <si>
    <t xml:space="preserve">diesel</t>
  </si>
  <si>
    <t xml:space="preserve">RAIL</t>
  </si>
  <si>
    <t xml:space="preserve">Cheap</t>
  </si>
  <si>
    <t xml:space="preserve">A “Really Useless Engine” – these small, simple industrial locomotives saw service in many industrial yards but were almost never seen on the boader network.</t>
  </si>
  <si>
    <t xml:space="preserve">Ruston and Hornsby 88DS</t>
  </si>
  <si>
    <t xml:space="preserve">ruston_88</t>
  </si>
  <si>
    <t xml:space="preserve">A mild upgrade in power made the Ruston 88 significantly more effective than it’s little brother, without vastly increasing cost.</t>
  </si>
  <si>
    <t xml:space="preserve">Metro-Cammell Class 151</t>
  </si>
  <si>
    <t xml:space="preserve">class_151</t>
  </si>
  <si>
    <t xml:space="preserve">class_151,class_151_mid,class_151_rear</t>
  </si>
  <si>
    <t xml:space="preserve">1,1,1</t>
  </si>
  <si>
    <t xml:space="preserve">class_153,class_153_mail</t>
  </si>
  <si>
    <t xml:space="preserve">lbr</t>
  </si>
  <si>
    <t xml:space="preserve">DMU</t>
  </si>
  <si>
    <t xml:space="preserve">A class of 2 prototype DMUs built to compete for the contract that became the Class 150 fleet purchase. These units suffered with gearbox issues and the BREL type won the contest instead.</t>
  </si>
  <si>
    <t xml:space="preserve">BR Class 201 “Thumper” “4S”</t>
  </si>
  <si>
    <t xml:space="preserve">class_201_4car</t>
  </si>
  <si>
    <t xml:space="preserve">0,11</t>
  </si>
  <si>
    <t xml:space="preserve">br_class_201,br_class_201_mid1,br_class_201_mid1,br_class_201_rear</t>
  </si>
  <si>
    <t xml:space="preserve">1,1,0,1</t>
  </si>
  <si>
    <t xml:space="preserve">br_class_201</t>
  </si>
  <si>
    <t xml:space="preserve">class_201_6car,class_205_3car,class_205_2car</t>
  </si>
  <si>
    <t xml:space="preserve">Class 201 ‘Hastings’ Units were constructed to a narrow loading gauge to work through a number of limited clearance tunnels in the southern region. Southern DEMUs of the time had their engines mounted above the frames.</t>
  </si>
  <si>
    <t xml:space="preserve">BR Class 201 “Thumper” 6S</t>
  </si>
  <si>
    <t xml:space="preserve">class_201_6car</t>
  </si>
  <si>
    <t xml:space="preserve">0,17</t>
  </si>
  <si>
    <t xml:space="preserve">br_class_201,br_class_201_mid1,br_class_201_mid1,br_class_201_mid1,br_class_201_mid1,br_class_201_rear</t>
  </si>
  <si>
    <t xml:space="preserve">class_201_4car,class_205_3car,class_205_2car</t>
  </si>
  <si>
    <t xml:space="preserve">BR Class 205 “Thumper” 3H</t>
  </si>
  <si>
    <t xml:space="preserve">class_205_3car</t>
  </si>
  <si>
    <t xml:space="preserve">br_class_205,br_class_205_mid,br_class_205_rear</t>
  </si>
  <si>
    <t xml:space="preserve">br_class_205</t>
  </si>
  <si>
    <t xml:space="preserve">class_205_2car,class_201_6car,class_201_4car</t>
  </si>
  <si>
    <t xml:space="preserve">Class 205 units were a relatively numerous class of high-density non-corridor multiple units that worked services across Hampshire. In many ways they were the classic ‘Thumper’ unit.</t>
  </si>
  <si>
    <t xml:space="preserve">BR Class 205 “Thumper” 2H</t>
  </si>
  <si>
    <t xml:space="preserve">class_205_2car</t>
  </si>
  <si>
    <t xml:space="preserve">br_class_205,br_class_205_rear</t>
  </si>
  <si>
    <t xml:space="preserve">0,0</t>
  </si>
  <si>
    <t xml:space="preserve">class_205_3car,class_201_6car,class_201_4car</t>
  </si>
  <si>
    <t xml:space="preserve">BREL Class 210 (4 car)</t>
  </si>
  <si>
    <t xml:space="preserve">class_210_4car</t>
  </si>
  <si>
    <t xml:space="preserve">brel_class_210_dmbs,brel_class_210_mid1,brel_class_210_mid2,brel_class_210_dtso_rear</t>
  </si>
  <si>
    <t xml:space="preserve">1,1,1,1</t>
  </si>
  <si>
    <t xml:space="preserve">brel_class_210_dmbs</t>
  </si>
  <si>
    <t xml:space="preserve">class_210_3car</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</si>
  <si>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210 001, the 4-car test unit.</t>
  </si>
  <si>
    <t xml:space="preserve">BREL Class 210 (3 car)</t>
  </si>
  <si>
    <t xml:space="preserve">brel_class_210_dtso,brel_class_210_mid1,brel_class_210_dms_rear</t>
  </si>
  <si>
    <t xml:space="preserve">1,0,1</t>
  </si>
  <si>
    <t xml:space="preserve">brel_class_210_dtso</t>
  </si>
  <si>
    <t xml:space="preserve">The Class 210 was an early design for the modernization of DMU services that became the Sprinter series. A diesel-electric design to a very high specification, but through gangways and above-solebar engines like the classic ‘Thumper’. This unit represents 210 002, the 3-car test unit.</t>
  </si>
  <si>
    <t xml:space="preserve">MC Class 251 "Blue Pullman" </t>
  </si>
  <si>
    <t xml:space="preserve">blue_pullman_western</t>
  </si>
  <si>
    <t xml:space="preserve">0,24</t>
  </si>
  <si>
    <t xml:space="preserve">blue_pullman,blue_pullman_coach,blue_pullman_coach,blue_pullman_coach,blue_pullman_coach,blue_pullman_coach,blue_pullman_coach,blue_pullman_rev</t>
  </si>
  <si>
    <t xml:space="preserve">1,1,0,0,0,0,0,1</t>
  </si>
  <si>
    <t xml:space="preserve">blue_pullman</t>
  </si>
  <si>
    <t xml:space="preserve">param_max_mu_length == 0</t>
  </si>
  <si>
    <t xml:space="preserve">dsl</t>
  </si>
  <si>
    <t xml:space="preserve">DMU (Express)</t>
  </si>
  <si>
    <t xml:space="preserve">The Blue Pullman is an express diesel multiple unit, designed to tempt motorists from their cars with a luxurious inter-city service. This is the 8-car “Western Region” set layout.</t>
  </si>
  <si>
    <t xml:space="preserve">BR Class 302 “AM2”</t>
  </si>
  <si>
    <t xml:space="preserve">class_302_4car</t>
  </si>
  <si>
    <t xml:space="preserve">br_am2,br_am2_mid,br_am2_power,br_am2_rear</t>
  </si>
  <si>
    <t xml:space="preserve">br_am2</t>
  </si>
  <si>
    <t xml:space="preserve">A suburban Mk1 EMU that mainly operated out of East London on the LT&amp;S line. Here we represent the refurbished condition of these units, which lasted until 1998.</t>
  </si>
  <si>
    <t xml:space="preserve">BR Class 302/9</t>
  </si>
  <si>
    <t xml:space="preserve">class_302_parcels</t>
  </si>
  <si>
    <t xml:space="preserve">br_am2_9,br_am2_9_power,br_am2_9_rear</t>
  </si>
  <si>
    <t xml:space="preserve">br_am2_9</t>
  </si>
  <si>
    <t xml:space="preserve">A later conversion of the Class 302 to a parcels unit involved the addition of roller doors to the bodyside for faster loading and unloading. The prototypes were also painted in a striking Royal Mail red livery.</t>
  </si>
  <si>
    <t xml:space="preserve">BR Class 309/1 “Clacton Express”</t>
  </si>
  <si>
    <t xml:space="preserve">class_309_2car</t>
  </si>
  <si>
    <t xml:space="preserve">br_am9_1,br_am9_2_rear</t>
  </si>
  <si>
    <t xml:space="preserve">br_am9_1</t>
  </si>
  <si>
    <t xml:space="preserve">Passengers</t>
  </si>
  <si>
    <t xml:space="preserve">EMU (Express)</t>
  </si>
  <si>
    <t xml:space="preserve">The ‘Clacton’ units were iconic express EMUs of the GEML’s early electrification. This subclass represents a 2 car formation, used to boost 2nd class capacity and power on peak time services.</t>
  </si>
  <si>
    <t xml:space="preserve">BR Class 309/2 “Clacton Express”</t>
  </si>
  <si>
    <t xml:space="preserve">class_309_2_4car_buf</t>
  </si>
  <si>
    <t xml:space="preserve">br_am9_2,br_am9_2_mid1,br_am9_2_mid2,br_am9_2_rear</t>
  </si>
  <si>
    <t xml:space="preserve">1,1,1,0</t>
  </si>
  <si>
    <t xml:space="preserve">br_am9_2</t>
  </si>
  <si>
    <t xml:space="preserve">buffet</t>
  </si>
  <si>
    <t xml:space="preserve">The ‘Clacton’ units were iconic express EMUs of the GEML’s early electrification. This subclass represents a 4 car formation complete with the famous ‘Griddle Car’ restaurant.</t>
  </si>
  <si>
    <t xml:space="preserve">BR Class 309/3 “Clacton Express”</t>
  </si>
  <si>
    <t xml:space="preserve">class_309_3_4car</t>
  </si>
  <si>
    <t xml:space="preserve">br_am9_2,br_am9_3_mid1,br_am9_2_mid2,br_am9_2_rear</t>
  </si>
  <si>
    <t xml:space="preserve">0,1,0,0</t>
  </si>
  <si>
    <t xml:space="preserve">The ‘Clacton’ units were iconic express EMUs of the GEML’s early electrification. This subclass represents a basic 4 car formation complete.</t>
  </si>
  <si>
    <t xml:space="preserve">Tyne and Wear Metrocar</t>
  </si>
  <si>
    <t xml:space="preserve">metrocar</t>
  </si>
  <si>
    <t xml:space="preserve">metrocar_front,metrocar_rear</t>
  </si>
  <si>
    <t xml:space="preserve">metrocar_front</t>
  </si>
  <si>
    <t xml:space="preserve">Tyne and Wear’s ‘Metrocars’ were built by Metro-Cammell to serve the Newcastle metro system in the northeast of England – an amalgamation of a number of suburban lines and newly built tunnels.</t>
  </si>
  <si>
    <t xml:space="preserve">BR Class 411 “4CEP”</t>
  </si>
  <si>
    <t xml:space="preserve">br_class_411</t>
  </si>
  <si>
    <t xml:space="preserve">THIRD_RAIL</t>
  </si>
  <si>
    <t xml:space="preserve">br_4cep,br_4cep_mid1,br_4cep_mid2,br_4cep_rear</t>
  </si>
  <si>
    <t xml:space="preserve">br_4cep</t>
  </si>
  <si>
    <t xml:space="preserve">br_class_419,br_class_489</t>
  </si>
  <si>
    <t xml:space="preserve">The archetypal Mk1 Express EMU – 4CEP units were an evolution of the earlier southern 4COR units. 133 were built and they enjoyed a long career into the early 2000s.</t>
  </si>
  <si>
    <t xml:space="preserve">BR Class 419 “MLV”</t>
  </si>
  <si>
    <t xml:space="preserve">br_class_419</t>
  </si>
  <si>
    <t xml:space="preserve">dual_power</t>
  </si>
  <si>
    <t xml:space="preserve">BATTERY</t>
  </si>
  <si>
    <t xml:space="preserve">br_class_411,br_class_489</t>
  </si>
  <si>
    <t xml:space="preserve">The Class 419 Motor Luggage Van was used to extend the luggage capacity of express services and was capable of running on it’s own batteries within non-electrified areas.</t>
  </si>
  <si>
    <t xml:space="preserve">BR Class 489 “GLV”</t>
  </si>
  <si>
    <t xml:space="preserve">br_class_489</t>
  </si>
  <si>
    <t xml:space="preserve">br_class_411,br_class_419</t>
  </si>
  <si>
    <t xml:space="preserve">A late conversion of the 2HAP driving motor to a cab and luggage car for Gatwick Express services</t>
  </si>
  <si>
    <t xml:space="preserve">Leyland/Hunslet Class 153 "Super Sprinter" </t>
  </si>
  <si>
    <t xml:space="preserve">class_153</t>
  </si>
  <si>
    <t xml:space="preserve">class_151,class_153_mail</t>
  </si>
  <si>
    <t xml:space="preserve">lbr_DMU</t>
  </si>
  <si>
    <t xml:space="preserve">diesel_RAIL</t>
  </si>
  <si>
    <t xml:space="preserve">The Class 153 was a conversion of earlier Class 155 units, 35 of which were split in two with small cabs added at the inner ends.</t>
  </si>
  <si>
    <t xml:space="preserve">Leyland/Hunslet Class 153 "Mail Sprinter" </t>
  </si>
  <si>
    <t xml:space="preserve">class_153_mail</t>
  </si>
  <si>
    <t xml:space="preserve">class_151,class_153</t>
  </si>
  <si>
    <t xml:space="preserve">concept_trains</t>
  </si>
  <si>
    <t xml:space="preserve">What if the class 153s were converted for parcels service rather than passenger use? This preceds the later use of the 153 as supplementary bike carriages or ‘active travel’ vehicles.</t>
  </si>
  <si>
    <t xml:space="preserve">BREL Class 370 "APT-P" (6 car leading set)</t>
  </si>
  <si>
    <t xml:space="preserve">apt_half_6</t>
  </si>
  <si>
    <t xml:space="preserve">none</t>
  </si>
  <si>
    <t xml:space="preserve">apt,apt_mid,apt_mid,apt_mid,apt_mid,apt_tbf2</t>
  </si>
  <si>
    <t xml:space="preserve">1,1,0,0,0,1</t>
  </si>
  <si>
    <t xml:space="preserve">apt</t>
  </si>
  <si>
    <t xml:space="preserve">{BLACK}Length: {GOLD}0.9 tiles{}</t>
  </si>
  <si>
    <t xml:space="preserve">A 6-car unpowered half-rake of APT-P vehicles. Pair with the Non-Driving power car and a reversed set for a complete unit.</t>
  </si>
  <si>
    <t xml:space="preserve">BREL Class 370 "APT-P" (6 car trailing set)</t>
  </si>
  <si>
    <t xml:space="preserve">apt_half_6_rev</t>
  </si>
  <si>
    <t xml:space="preserve">fixed_rake</t>
  </si>
  <si>
    <t xml:space="preserve">apt_tbf2_rev,apt_mid,apt_mid,apt_mid,apt_mid,apt_rear</t>
  </si>
  <si>
    <t xml:space="preserve">1,0,0,0,0,1</t>
  </si>
  <si>
    <t xml:space="preserve">apt_tbf2_rev</t>
  </si>
  <si>
    <t xml:space="preserve">A 6-car half-rake of APT-P vehicles. This is the rear half of a formation.</t>
  </si>
  <si>
    <t xml:space="preserve">BREL Class 370 "APT-P" (2 car leading set)</t>
  </si>
  <si>
    <t xml:space="preserve">apt_half_2</t>
  </si>
  <si>
    <t xml:space="preserve">apt,apt_tbf2</t>
  </si>
  <si>
    <t xml:space="preserve">A minimal 2-car half-rake of APT-P Vehicles. Lack of dining facilities makes this much less attractive for passengers. Pair with the Non-Driving power car and a reversed set for a complete unit.</t>
  </si>
  <si>
    <t xml:space="preserve">BREL Class 370 "APT-P" (2 car trailing set)</t>
  </si>
  <si>
    <t xml:space="preserve">apt_half_2_rev</t>
  </si>
  <si>
    <t xml:space="preserve">apt_tbf2_rev,apt_rear</t>
  </si>
  <si>
    <t xml:space="preserve">A minimal 2-car half-rake of APT-P Vehicles. Lack of dining facilities makes this much less attractive for passengers. This is the rear half of a formation.</t>
  </si>
  <si>
    <t xml:space="preserve">BREL Class 370 "APT-P" (power car)</t>
  </si>
  <si>
    <t xml:space="preserve">apt_powercar</t>
  </si>
  <si>
    <t xml:space="preserve">An APT-P centre power car</t>
  </si>
  <si>
    <t xml:space="preserve">BREL APT-S Driving Motor</t>
  </si>
  <si>
    <t xml:space="preserve">apt_s_dm</t>
  </si>
  <si>
    <t xml:space="preserve">Express (Electric)</t>
  </si>
  <si>
    <t xml:space="preserve">{BLACK}Length: {GOLD}0.8 tiles{}</t>
  </si>
  <si>
    <t xml:space="preserve">The APT-S was a rework of the APT concept towards more conventional rolling stock, with a driving motor car, articulated trailers and a DVT.</t>
  </si>
  <si>
    <t xml:space="preserve">BREL APT-S/Q Driving Van Trailer</t>
  </si>
  <si>
    <t xml:space="preserve">apt_q_dvt</t>
  </si>
  <si>
    <t xml:space="preserve">The APT-Q was proposed to rationalise existing APT-P stock into usable 6-car tains, with a single non-driving power car and a new-build DVT.</t>
  </si>
  <si>
    <t xml:space="preserve">BREL "APT-S" Trailer Rake (10 cars)</t>
  </si>
  <si>
    <t xml:space="preserve">apt_s_10</t>
  </si>
  <si>
    <t xml:space="preserve">apt_tbf_rev,apt_mid,apt_mid,apt_mid,apt_mid,apt_mid,apt_mid,apt_mid,apt_mid,apt_tbf</t>
  </si>
  <si>
    <t xml:space="preserve">1,0,0,0,0,0,0,0,0,1</t>
  </si>
  <si>
    <t xml:space="preserve">apt_tbf_rev</t>
  </si>
  <si>
    <t xml:space="preserve">param_max_mu_length == 0 &amp;&amp; concept_trains</t>
  </si>
  <si>
    <t xml:space="preserve">An articulated trailer rake of APT-S Vehicles, intended to run with a Driving Motor and a DVT but also usable in other weird combinations.</t>
  </si>
  <si>
    <t xml:space="preserve">BREL "APT-S" Trailer Rake (6 cars)</t>
  </si>
  <si>
    <t xml:space="preserve">apt_s_6</t>
  </si>
  <si>
    <t xml:space="preserve">apt_tbf_rev,apt_mid,apt_mid,apt_mid,apt_mid,apt_tbf</t>
  </si>
  <si>
    <t xml:space="preserve">param_max_mu_length &lt; 2 &amp;&amp; concept_trains</t>
  </si>
  <si>
    <t xml:space="preserve">BREL Class 43 “HST” (Buffers)</t>
  </si>
  <si>
    <t xml:space="preserve">br_class_43_buffers</t>
  </si>
  <si>
    <t xml:space="preserve">Express</t>
  </si>
  <si>
    <t xml:space="preserve">To facilitate the testing and introduction of the Class 91 fleet prior to the availability of Mark 4 Driving Van Trailers, 8 HST Power Cars were converted to act as control vehicles for electric locomotives.</t>
  </si>
  <si>
    <t xml:space="preserve">BR Mark 3 Driving Trailer</t>
  </si>
  <si>
    <t xml:space="preserve">br_mk3_driving</t>
  </si>
  <si>
    <t xml:space="preserve">A conversion of the Mk3 coach to incorporate a driving cab was proposed before the Polmont derailment put a stop to the idea of having passengers in the leading vehicle of locomotive-propelled trains.</t>
  </si>
  <si>
    <t xml:space="preserve">BREL Class 43 DVT (Buffers)</t>
  </si>
  <si>
    <t xml:space="preserve">br_class_43_dvt</t>
  </si>
  <si>
    <t xml:space="preserve">Parcel</t>
  </si>
  <si>
    <t xml:space="preserve">A depowered Class 43, proposed as a conversion from surplus power cars and now suitable for carrying baggage.</t>
  </si>
  <si>
    <t xml:space="preserve">BREL E-HST</t>
  </si>
  <si>
    <t xml:space="preserve">brel_ehst</t>
  </si>
  <si>
    <t xml:space="preserve">dual_electric</t>
  </si>
  <si>
    <t xml:space="preserve">A proposed electric version of the Class 43 ‘HST’ Power Car was oft-discussed after the failure of the APT program.</t>
  </si>
  <si>
    <t xml:space="preserve">BREL Class 88</t>
  </si>
  <si>
    <t xml:space="preserve">brel_class_88</t>
  </si>
  <si>
    <t xml:space="preserve">Freight</t>
  </si>
  <si>
    <t xml:space="preserve">lbr_Freight</t>
  </si>
  <si>
    <t xml:space="preserve">The Class 88 was a proposed re-use of the Class 58 design, dropping the diesel engine for a 25kv Overhead power supply.</t>
  </si>
  <si>
    <t xml:space="preserve">BREL Class 38 "Mini Bone"</t>
  </si>
  <si>
    <t xml:space="preserve">brel_class_38</t>
  </si>
  <si>
    <t xml:space="preserve">The Class 38 was a proposed cut-down Class 58 using a 2000hp-class diesel engine. If built, these would likely have displaced the oldest remaining Type 2 and Type 3 locomotives on the network, replacing Class 31s and Class 37s on freight duties.</t>
  </si>
  <si>
    <t xml:space="preserve">GEC-Alsthom Class 373 "Eurostar"</t>
  </si>
  <si>
    <t xml:space="preserve">eurostar_3cap</t>
  </si>
  <si>
    <t xml:space="preserve">DUAL_POWER</t>
  </si>
  <si>
    <t xml:space="preserve">4,5,4,4,5,4,4,3,4,4,3,4,4,3,4,4,3,4,4,3,4,4,3,4,4,3,4,4,5,4,4,5,4,4,3,4,4,3,4,4,3,4,4,3,4,4,3,4,4,3,4,4,3,4,4,5,4,4,5,4</t>
  </si>
  <si>
    <t xml:space="preserve">13,13,11,11,11,11,11,11,11,13,13,11,11,11,11,11,11,11,13,13</t>
  </si>
  <si>
    <t xml:space="preserve">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t>
  </si>
  <si>
    <t xml:space="preserve">eurostar_3cap_rear</t>
  </si>
  <si>
    <t xml:space="preserve">1,1,1,0,0,0,1,0,0,1,1,1,0,1,0,0,0,0,1,1</t>
  </si>
  <si>
    <t xml:space="preserve">An adaption of the french TGV to UK Loading gauge, and designed to run through the Channel Tunnel onto 750V DC track for a slow crawl into south London, the Class 373 continues to run international services.</t>
  </si>
  <si>
    <t xml:space="preserve">GEC-Alsthom Class 373 "Eurostar" NoL</t>
  </si>
  <si>
    <t xml:space="preserve">eurostar_nol</t>
  </si>
  <si>
    <t xml:space="preserve">4,5,4,4,5,4,4,3,4,4,3,4,4,3,4,4,3,4,4,3,4,4,5,4,4,5,4,4,3,4,4,3,4,4,3,4,4,3,4,4,3,4,4,5,4,4,5,4</t>
  </si>
  <si>
    <t xml:space="preserve">13,13,11,11,11,11,11,13,13,11,11,11,11,11,13,13</t>
  </si>
  <si>
    <t xml:space="preserve">eurostar_nol,eurostar_motor,eurostar_mid_rev,eurostar_mid_rev,eurostar_mid_rev,eurostar_tbk_rev,eurostar_mid_rev,eurostar_mid_div_rev,eurostar_mid_div,eurostar_mid,eurostar_tbk,eurostar_mid,eurostar_mid,eurostar_mid,eurostar_motor_rev,eurostar_nol_rear</t>
  </si>
  <si>
    <t xml:space="preserve">eurostar_nol_rear</t>
  </si>
  <si>
    <t xml:space="preserve">1,0,0,0,0,0,0,0,0,0,0,0,0,0,0,1</t>
  </si>
  <si>
    <t xml:space="preserve">The first of a number of cancelled cross-channel service concepts, the Regional Eurostar sets never operated as intended, but were used for relief services on the ECML and as conventional TGV sets in France.</t>
  </si>
  <si>
    <t xml:space="preserve">BREL Class 466 “Networker”</t>
  </si>
  <si>
    <t xml:space="preserve">class_466</t>
  </si>
  <si>
    <t xml:space="preserve">brel_networker,brel_networker_rear</t>
  </si>
  <si>
    <t xml:space="preserve">brel_networker</t>
  </si>
  <si>
    <t xml:space="preserve">EE Class 37/6 "Tractor"</t>
  </si>
  <si>
    <t xml:space="preserve">eps_class_37_6</t>
  </si>
  <si>
    <t xml:space="preserve">Originally to power the “Nightstar” european sleeper services away from electrified lines, this sub-class of 12 locomotives mostly saw use as rescue and freight locomotives with other operators.</t>
  </si>
  <si>
    <t xml:space="preserve">Windhoff MPV (Single)</t>
  </si>
  <si>
    <t xml:space="preserve">mpv_1car</t>
  </si>
  <si>
    <t xml:space="preserve">mpv</t>
  </si>
  <si>
    <t xml:space="preserve">windhoff_mpv_single</t>
  </si>
  <si>
    <t xml:space="preserve">Container</t>
  </si>
  <si>
    <t xml:space="preserve">GOOD</t>
  </si>
  <si>
    <t xml:space="preserve">prv</t>
  </si>
  <si>
    <t xml:space="preserve">The Windhoff MPV units were mainly used for Departmental service, notably in the iconic Rail Head Treatment trains, but trials were made in freight service.</t>
  </si>
  <si>
    <t xml:space="preserve">Windhoff MPV (2 Unit)</t>
  </si>
  <si>
    <t xml:space="preserve">mpv_2car</t>
  </si>
  <si>
    <t xml:space="preserve">windhoff_mpv_front,windhoff_mpv_rear</t>
  </si>
  <si>
    <t xml:space="preserve">windhoff_mpv_front</t>
  </si>
  <si>
    <t xml:space="preserve">Windhoff MPV (3 Unit)</t>
  </si>
  <si>
    <t xml:space="preserve">mpv_3car</t>
  </si>
  <si>
    <t xml:space="preserve">windhoff_mpv_front,windhoff_mpv_mid,windhoff_mpv_rear</t>
  </si>
  <si>
    <t xml:space="preserve">0,1,0</t>
  </si>
  <si>
    <t xml:space="preserve">Windhoff MPV (4 Unit)</t>
  </si>
  <si>
    <t xml:space="preserve">mpv_4car</t>
  </si>
  <si>
    <t xml:space="preserve">windhoff_mpv_front,windhoff_mpv_mid,windhoff_mpv_mid,windhoff_mpv_rear</t>
  </si>
  <si>
    <t xml:space="preserve">Windhoff MPV (5 Unit)</t>
  </si>
  <si>
    <t xml:space="preserve">mpv_5car</t>
  </si>
  <si>
    <t xml:space="preserve">windhoff_mpv_front,windhoff_mpv_mid,windhoff_mpv_mid,windhoff_mpv_mid,windhoff_mpv_rear</t>
  </si>
  <si>
    <t xml:space="preserve">Bombardier Class 222 "Meridian"</t>
  </si>
  <si>
    <t xml:space="preserve">meridian_4car</t>
  </si>
  <si>
    <t xml:space="preserve">meridian,meridian_mid,meridian_mid,meridian_rear</t>
  </si>
  <si>
    <t xml:space="preserve">meridian</t>
  </si>
  <si>
    <t xml:space="preserve">meridian_5car,meridian_7car,meridian_9car</t>
  </si>
  <si>
    <t xml:space="preserve">The Class 222 is the final development of the Bombardier DEMU series, built first for the Midland Main Line and later seeing service in Scotland and with Open-Access operators.</t>
  </si>
  <si>
    <t xml:space="preserve">meridian_5car</t>
  </si>
  <si>
    <t xml:space="preserve">meridian,meridian_mid,meridian_mid,meridian_mid,meridian_rear</t>
  </si>
  <si>
    <t xml:space="preserve">meridian_4car,meridian_7car,meridian_9car</t>
  </si>
  <si>
    <t xml:space="preserve">param_max_mu_length &lt; 2</t>
  </si>
  <si>
    <t xml:space="preserve">meridian_7car</t>
  </si>
  <si>
    <t xml:space="preserve">meridian,meridian_mid,meridian_mid,meridian_mid,meridian_mid,meridian_mid,meridian_rear</t>
  </si>
  <si>
    <t xml:space="preserve">0,0,0,0,0,0,0</t>
  </si>
  <si>
    <t xml:space="preserve">meridian_4car,meridian_5car,meridian_9car</t>
  </si>
  <si>
    <t xml:space="preserve">param_max_mu_length &lt; 1</t>
  </si>
  <si>
    <t xml:space="preserve">meridian_9car</t>
  </si>
  <si>
    <t xml:space="preserve">meridian,meridian_mid,meridian_mid,meridian_mid,meridian_mid,meridian_mid,meridian_mid,meridian_mid,meridian_rear</t>
  </si>
  <si>
    <t xml:space="preserve">0,0,0,0,0,0,0,0,0</t>
  </si>
  <si>
    <t xml:space="preserve">meridian_4car,meridian_5car,meridian_7car</t>
  </si>
  <si>
    <t xml:space="preserve">BR Class 73/9 “Ultra73”</t>
  </si>
  <si>
    <t xml:space="preserve">br_class_73_9</t>
  </si>
  <si>
    <t xml:space="preserve">MT (Electric)</t>
  </si>
  <si>
    <t xml:space="preserve">These re-engined and modernized Class 73s retained their ability to run from the third rail but received diesel engines capable of operating at an equivalent power level.</t>
  </si>
  <si>
    <t xml:space="preserve">Alstom Class 458/5 "5JUP"</t>
  </si>
  <si>
    <t xml:space="preserve">class_458_5</t>
  </si>
  <si>
    <t xml:space="preserve">class_458,alstom_juniper_mid,alstom_juniper_mid,alstom_juniper_mid,class_458_rear</t>
  </si>
  <si>
    <t xml:space="preserve">1,1,0,0,1</t>
  </si>
  <si>
    <t xml:space="preserve">class_458</t>
  </si>
  <si>
    <t xml:space="preserve">mod</t>
  </si>
  <si>
    <t xml:space="preserve">The suburban conversion of ex-class 460 trains, now through-gangwayed and in 5 car formations. 4 of the former Class 460 baggage vehicles were scrapped as part of the conversion program.</t>
  </si>
  <si>
    <t xml:space="preserve">Siemens Class 374 ‘Velaro D’</t>
  </si>
  <si>
    <t xml:space="preserve">class_374_16car</t>
  </si>
  <si>
    <t xml:space="preserve">6,42</t>
  </si>
  <si>
    <t xml:space="preserve">eurostar_e320_front</t>
  </si>
  <si>
    <t xml:space="preserve">Eurostar’s 2010s replacement for the Class 373 units, which were by this point corroding and becoming rather unreliable took a number of years to enter service but allowed Eurostar to begin service to new destinations in Europe.</t>
  </si>
  <si>
    <t xml:space="preserve">class_374_12car</t>
  </si>
  <si>
    <t xml:space="preserve">6,30</t>
  </si>
  <si>
    <t xml:space="preserve">A fictional shorter Class 374 variant…</t>
  </si>
  <si>
    <t xml:space="preserve">Siemens Class 717 "Desiro City"</t>
  </si>
  <si>
    <t xml:space="preserve">class_717_city</t>
  </si>
  <si>
    <t xml:space="preserve">class_717_city,class_717_city_mid,class_717_city_mid,class_717_city_mid,class_717_city_power,class_717_city_rear</t>
  </si>
  <si>
    <t xml:space="preserve">class_717_city_power</t>
  </si>
  <si>
    <t xml:space="preserve">1,1,0,0,1,1</t>
  </si>
  <si>
    <t xml:space="preserve">The Class 717 ‘Desiro City’ units are variants of the Class 700 Thameslink units, with front emergency exit doors to allow them to work the Northern City Line. They replaced earlier PEP units on King’s Cross suburban services.</t>
  </si>
  <si>
    <t xml:space="preserve">Stadler Class 745 "FLIRT"</t>
  </si>
  <si>
    <t xml:space="preserve">class_745</t>
  </si>
  <si>
    <t xml:space="preserve">4,32</t>
  </si>
  <si>
    <t xml:space="preserve">stadler_class_755</t>
  </si>
  <si>
    <t xml:space="preserve">Stadler’s Class 745 units replaced Class 90 hauled trains on the GEML. The semi-articulated design was required to meet crashworthiness specifications.</t>
  </si>
  <si>
    <t xml:space="preserve">Hitachi Class 810 "Aurora"</t>
  </si>
  <si>
    <t xml:space="preserve">class_810_aurora</t>
  </si>
  <si>
    <t xml:space="preserve">class_810_aurora,class_810_aurora_mid,class_810_aurora_mid,class_810_aurora_mid,class_810_aurora_rear</t>
  </si>
  <si>
    <t xml:space="preserve">class_810_aurora_rear</t>
  </si>
  <si>
    <t xml:space="preserve">The Class 810 "Aurora" is a variant on the class 800 series, built to a shorter vehicle length to suit station lengths on the Midland Mainline. It finally began to displace Class 222 DEMUs at the end of 2025.</t>
  </si>
  <si>
    <t xml:space="preserve">RCH Salt Wagon</t>
  </si>
  <si>
    <t xml:space="preserve">salt_van</t>
  </si>
  <si>
    <t xml:space="preserve">wagon</t>
  </si>
  <si>
    <t xml:space="preserve">Powder</t>
  </si>
  <si>
    <t xml:space="preserve">SALT</t>
  </si>
  <si>
    <t xml:space="preserve">Tanker</t>
  </si>
  <si>
    <t xml:space="preserve">The standard RCH Salt Wagon design of 1907 was long-lived in private ownership and saw some use beyond sodium chloride, which was largely used as part of the chemical industry.</t>
  </si>
  <si>
    <t xml:space="preserve">“Presflo” Powder Hopper</t>
  </si>
  <si>
    <t xml:space="preserve">presflo</t>
  </si>
  <si>
    <t xml:space="preserve">BDMT</t>
  </si>
  <si>
    <t xml:space="preserve">The Presflo covered hopper was designed specifically to carry cement powder, being unloaded via a pressurized air connection and liquefaction of the cargo.</t>
  </si>
  <si>
    <t xml:space="preserve">PCA “Vee” Powder Tanker</t>
  </si>
  <si>
    <t xml:space="preserve">pca_tanker</t>
  </si>
  <si>
    <t xml:space="preserve">The PCA tanker, with it’s notable depressed-center ‘vee’ appearance, could carry large amounts of cement and was a common sight in mixed freight trains.</t>
  </si>
  <si>
    <t xml:space="preserve">JPA Powder Tanker</t>
  </si>
  <si>
    <t xml:space="preserve">jpa_tanker</t>
  </si>
  <si>
    <t xml:space="preserve">Covered</t>
  </si>
  <si>
    <t xml:space="preserve">By the 2000s the BR-era 2-axle cement tankers then in use were beginning to show their age. They were replaced by these large bogie tank wagons built in Germany, with a distinctive fish-belly shape.</t>
  </si>
  <si>
    <t xml:space="preserve">Midland Railway Brake Van</t>
  </si>
  <si>
    <t xml:space="preserve">brake_van_mr</t>
  </si>
  <si>
    <t xml:space="preserve">brake</t>
  </si>
  <si>
    <t xml:space="preserve">Brakevan</t>
  </si>
  <si>
    <t xml:space="preserve">BRAKE</t>
  </si>
  <si>
    <t xml:space="preserve">Extra</t>
  </si>
  <si>
    <t xml:space="preserve">This Midland Railway design of Brake Van was also built by the LMS - over 800 were constructed and they were still extant into the early 1960s.</t>
  </si>
  <si>
    <t xml:space="preserve">LMS Brake Van</t>
  </si>
  <si>
    <t xml:space="preserve">brake_van_lms</t>
  </si>
  <si>
    <t xml:space="preserve">The native design of LMS Brake Van had a sizable veranda at both ends. Once again, they lasted well into BR ownership as part of Engineers’ trains.</t>
  </si>
  <si>
    <t xml:space="preserve">LMS Grain Hopper</t>
  </si>
  <si>
    <t xml:space="preserve">lms_grain_hopper</t>
  </si>
  <si>
    <t xml:space="preserve">GRAI</t>
  </si>
  <si>
    <t xml:space="preserve">The LMS Grain Hooper was later standardised into the BR COVGRAIN standard design. Long-distance bulk grain service in covered hoppers was a significant efficiency gain over shipping bagged grain by the vanload.</t>
  </si>
  <si>
    <t xml:space="preserve">SR “Queen Mary” Brake Van</t>
  </si>
  <si>
    <t xml:space="preserve">brake_van_queen_mary</t>
  </si>
  <si>
    <t xml:space="preserve">The first SR ‘Queen Mary’ Brake vans converted from LBSCR ‘Milk Van’ MLVs, and lasted in departmental and limited freight service into the 2000s! A shed on rails with a stove and a desk has 1000 uses.</t>
  </si>
  <si>
    <t xml:space="preserve">SR “Queen Mary” Brake Van (Alternate)</t>
  </si>
  <si>
    <t xml:space="preserve">brake_van_queen_mary_alt</t>
  </si>
  <si>
    <t xml:space="preserve">The first SR ‘Queen Mary’ Brake vans converted from LBSCR ‘Milk Van’ MLVs, and lasted in departmental and limited freight service into the 2000s! A shed on rails with a stove and a desk has 1000 uses. This variant is in the alternate company colour scheme.</t>
  </si>
  <si>
    <t xml:space="preserve">BR Grain Hopper</t>
  </si>
  <si>
    <t xml:space="preserve">br_grain_hopper</t>
  </si>
  <si>
    <t xml:space="preserve">This is a representative BR GRAINFIT wagon, a vacuum-braked bulk hopper derived from the 1930s LMS design.</t>
  </si>
  <si>
    <t xml:space="preserve">“Grainflow” Covered Hopper</t>
  </si>
  <si>
    <t xml:space="preserve">grainflow</t>
  </si>
  <si>
    <t xml:space="preserve">The BR ‘Whiskey Covhops’ were a common sight on long-distance freight trains from southern England, headed for the distilleries of Scotland.</t>
  </si>
  <si>
    <t xml:space="preserve">“Polybulk” Covered Hopper</t>
  </si>
  <si>
    <t xml:space="preserve">polybulk</t>
  </si>
  <si>
    <t xml:space="preserve">Large bogie covered hoppers first appeared in Britain in the mid 1970s. These were frequently privately owned and registered as international vehicles. This slab-sided ‘Polybulk’ example was built in France.</t>
  </si>
  <si>
    <t xml:space="preserve">LNWR Sleeping Car</t>
  </si>
  <si>
    <t xml:space="preserve">passenger_coach_lnwr_sleeper</t>
  </si>
  <si>
    <t xml:space="preserve">luxury_carriage</t>
  </si>
  <si>
    <t xml:space="preserve">Carriage</t>
  </si>
  <si>
    <t xml:space="preserve">Early 20th century sleeping cars were often heavier and larger than their daytime counterparts. This represents a wooden-bodied, 6-axle sleeping coach of the golden era of train travel, in reality there were many variants built in many batches.</t>
  </si>
  <si>
    <t xml:space="preserve">BR Mk1 BG (Prototype)</t>
  </si>
  <si>
    <t xml:space="preserve">mail_coach_mk1_bg</t>
  </si>
  <si>
    <t xml:space="preserve">carriage</t>
  </si>
  <si>
    <t xml:space="preserve">Mail Carriage</t>
  </si>
  <si>
    <t xml:space="preserve">The standard parcels and baggage car on British Rail for decades, the Mk1 Brake Gangwayed was extremely versatile. This represents a standard 57’ frame example, making it noticably shorter than the standard Mk1 coach.</t>
  </si>
  <si>
    <t xml:space="preserve">BR Mk1 BG (B4 Bogies)</t>
  </si>
  <si>
    <t xml:space="preserve">mail_coach_mk1_bg_b4</t>
  </si>
  <si>
    <t xml:space="preserve">In the 1980s a number of BG vehicles were upgraded with B4 bogies and cleared for travel at 110mph, to provide additional capacity within fast passenger services, which were typically run with Mark 2 stock.</t>
  </si>
  <si>
    <t xml:space="preserve">BR Mk1 Super BG</t>
  </si>
  <si>
    <t xml:space="preserve">mail_coach_mk1_super_bg</t>
  </si>
  <si>
    <t xml:space="preserve">By the 90s parcels traffic was in decline on the railway, and increasingly movement focused on fixed flows between mail terminals. As a result, a number of vehicles were rebuilt with roller shutter doors for faster loading.</t>
  </si>
  <si>
    <t xml:space="preserve">BR FVX Carflat</t>
  </si>
  <si>
    <t xml:space="preserve">carflat</t>
  </si>
  <si>
    <t xml:space="preserve">Motorail</t>
  </si>
  <si>
    <t xml:space="preserve">The ‘Carflat’ Wagons were simply coach underframes with wooden decks and low sides added, normally used to convey assembled vehicles. In many cases, these were used in passenger train formations, in the Motorail service as part of sleeper trains.</t>
  </si>
  <si>
    <t xml:space="preserve">BR XMA Cartic-4</t>
  </si>
  <si>
    <t xml:space="preserve">cartic4</t>
  </si>
  <si>
    <r>
      <rPr>
        <sz val="11"/>
        <color rgb="FF000000"/>
        <rFont val="Calibri"/>
        <family val="2"/>
        <charset val="1"/>
      </rPr>
      <t xml:space="preserve">4,2,4,2,5,2,2,5,2,</t>
    </r>
    <r>
      <rPr>
        <sz val="11"/>
        <color rgb="FF000000"/>
        <rFont val="Calibri"/>
        <family val="2"/>
      </rPr>
      <t xml:space="preserve">4,2,4</t>
    </r>
  </si>
  <si>
    <t xml:space="preserve">10,9,9,10</t>
  </si>
  <si>
    <t xml:space="preserve">cartic_4_front,cartic_4_mid,cartic_4_mid,cartic_4_rear</t>
  </si>
  <si>
    <t xml:space="preserve">cartic_4_front</t>
  </si>
  <si>
    <t xml:space="preserve">Large and articulated, the cartic 4 sets were built for motorail services and used to move new cars from factories to export.</t>
  </si>
  <si>
    <t xml:space="preserve">BR Mk1 Sleeper</t>
  </si>
  <si>
    <t xml:space="preserve">passenger_coach_mk1_sleeper</t>
  </si>
  <si>
    <t xml:space="preserve">passenger_coach_mk1_sleeper_rev</t>
  </si>
  <si>
    <t xml:space="preserve">The Mk1 Sleeper was built in relatively large numbers. The type was not especially popular with passengers, but the service was still an improvement on sleeping in ordinary compartment stock of the time.</t>
  </si>
  <si>
    <t xml:space="preserve">BR Mk3 Sleeper</t>
  </si>
  <si>
    <t xml:space="preserve">passenger_coach_mk3_sleeper</t>
  </si>
  <si>
    <t xml:space="preserve">passenger_coach_mk3_sleeper_rev</t>
  </si>
  <si>
    <t xml:space="preserve">The Mk3 Sleeper was a significant upgrade over the previous stock – being air conditioned and air sprung. Two berths per cabin unfortunately give these vehicles a low capacity. This represents a typical Sleeper, Either Class, Pantry (SLEP) vehicle.</t>
  </si>
  <si>
    <t xml:space="preserve">EPS “Nightstar” Sleeper (7 Car)</t>
  </si>
  <si>
    <t xml:space="preserve">nightstar_rake_7car</t>
  </si>
  <si>
    <t xml:space="preserve">passenger_coach_nightstar_1e,passenger_coach_nightstar_1,passenger_coach_nightstar_1,passenger_coach_nightstar_2,passenger_coach_nightstar_3,passenger_coach_nightstar_3,passenger_coach_nightstar_3e</t>
  </si>
  <si>
    <t xml:space="preserve">1,1,0,1,1,0,1</t>
  </si>
  <si>
    <t xml:space="preserve">passenger_coach_nightstar_1e</t>
  </si>
  <si>
    <t xml:space="preserve">nightstar</t>
  </si>
  <si>
    <t xml:space="preserve">The European ‘Nightstar’ service never got off the ground and the Mark 4 derived coaches were eventually exported to Canada. The 7-car sets were intended for service to the West Country, Wales and Scotland.</t>
  </si>
  <si>
    <t xml:space="preserve">{YELLOW}50% long distance bonus, if combined with generator car or 5000hp+ locomotive{}</t>
  </si>
  <si>
    <t xml:space="preserve">EPS “Nightstar” Sleeper (8 Car)</t>
  </si>
  <si>
    <t xml:space="preserve">nightstar_rake_8car</t>
  </si>
  <si>
    <t xml:space="preserve">passenger_coach_nightstar_1e,passenger_coach_nightstar_1,passenger_coach_nightstar_2,passenger_coach_nightstar_3,passenger_coach_nightstar_3,passenger_coach_nightstar_3,passenger_coach_nightstar_3,passenger_coach_nightstar_3e</t>
  </si>
  <si>
    <t xml:space="preserve">0,0,0,0,0,0,0,0</t>
  </si>
  <si>
    <t xml:space="preserve">The European ‘Nightstar’ service never got off the ground and the Mark 4 derived coaches were eventually exported to Canada. 8-car sets were intended for flagship service between London and major European cities.</t>
  </si>
  <si>
    <t xml:space="preserve">EPS “Nightstar” Generator Car</t>
  </si>
  <si>
    <t xml:space="preserve">passenger_coach_nightstar_generator</t>
  </si>
  <si>
    <t xml:space="preserve">generator_car</t>
  </si>
  <si>
    <t xml:space="preserve">The Nightstar rolling stock was so power-hungry that a number of Mk3 Sleepers were converted with 450 kVA generator sets for use when away from electrified areas.</t>
  </si>
  <si>
    <t xml:space="preserve">EPS “Nightstar” Generator Car (Alternate Livery)</t>
  </si>
  <si>
    <t xml:space="preserve">passenger_coach_nightstar_generator_alt</t>
  </si>
  <si>
    <t xml:space="preserve">CAF Mk5 Sleeper (Berths)</t>
  </si>
  <si>
    <t xml:space="preserve">passenger_coach_mk5_sleeper</t>
  </si>
  <si>
    <t xml:space="preserve">passenger_coach_mk5_sleeper_rev</t>
  </si>
  <si>
    <t xml:space="preserve">The Mk5 sleeper trains were procured to replace Mk3 sleepers. With the end of double berths, these trains have an even lower capacity than what they replaced!</t>
  </si>
  <si>
    <t xml:space="preserve">CAF Mk5 Sleeper (Seated)</t>
  </si>
  <si>
    <t xml:space="preserve">passenger_coach_mk5_sleeper_seated</t>
  </si>
  <si>
    <t xml:space="preserve">passenger_coach_mk5_sleeper_seated_rev</t>
  </si>
  <si>
    <t xml:space="preserve">Mk5 sleeper services make up for their pathetic berth count with conventional seated stock, featuring a 2+1 airline style seating and not enough recline in the seats.</t>
  </si>
  <si>
    <t xml:space="preserve">CAF Mk5 Sleeper (Club Car)</t>
  </si>
  <si>
    <t xml:space="preserve">passenger_coach_mk5_sleeper_club</t>
  </si>
  <si>
    <t xml:space="preserve">passenger_coach_mk5_sleeper_club_rev</t>
  </si>
  <si>
    <t xml:space="preserve">The Mk5 ‘Club Car’ is the dining facility for sleeper services, but the 30 seats within are not bookable for travel.</t>
  </si>
  <si>
    <t xml:space="preserve">Passenger</t>
  </si>
  <si>
    <t xml:space="preserve">Mixed Traffic</t>
  </si>
  <si>
    <t xml:space="preserve">Freight (Electric)</t>
  </si>
  <si>
    <t xml:space="preserve">DMU (Cheap)</t>
  </si>
  <si>
    <t xml:space="preserve">LU</t>
  </si>
  <si>
    <t xml:space="preserve">Open Wagon</t>
  </si>
  <si>
    <t xml:space="preserve">Flat Wagon</t>
  </si>
  <si>
    <t xml:space="preserve">Van</t>
  </si>
  <si>
    <t xml:space="preserve">Era</t>
  </si>
  <si>
    <t xml:space="preserve">(name)</t>
  </si>
  <si>
    <t xml:space="preserve">early</t>
  </si>
  <si>
    <t xml:space="preserve">vct</t>
  </si>
  <si>
    <t xml:space="preserve">ebr</t>
  </si>
  <si>
    <t xml:space="preserve">Start Year</t>
  </si>
  <si>
    <t xml:space="preserve">ID</t>
  </si>
  <si>
    <t xml:space="preserve">Name</t>
  </si>
  <si>
    <t xml:space="preserve">Early (1800-1850)</t>
  </si>
  <si>
    <t xml:space="preserve">Victorian (1850-1900)</t>
  </si>
  <si>
    <t xml:space="preserve">Edwardian (1900-1920)</t>
  </si>
  <si>
    <t xml:space="preserve">Big Four (1923-1948)</t>
  </si>
  <si>
    <t xml:space="preserve">Early BR (1948-1955)</t>
  </si>
  <si>
    <t xml:space="preserve">Dieselisation (1955-1970)</t>
  </si>
  <si>
    <t xml:space="preserve">Late BR (1970-1995)</t>
  </si>
  <si>
    <t xml:space="preserve">Privatisation (1995-2005)</t>
  </si>
  <si>
    <t xml:space="preserve">Modern (2005-)</t>
  </si>
  <si>
    <t xml:space="preserve">Length</t>
  </si>
  <si>
    <t xml:space="preserve">Configuration</t>
  </si>
  <si>
    <t xml:space="preserve">Tender Configuration</t>
  </si>
  <si>
    <t xml:space="preserve">Running Cost Base</t>
  </si>
  <si>
    <t xml:space="preserve">Type</t>
  </si>
  <si>
    <t xml:space="preserve">Running cost factor</t>
  </si>
  <si>
    <t xml:space="preserve">Purchase cost factor</t>
  </si>
  <si>
    <t xml:space="preserve">power_type</t>
  </si>
  <si>
    <t xml:space="preserve">power_desc</t>
  </si>
  <si>
    <t xml:space="preserve">na</t>
  </si>
  <si>
    <t xml:space="preserve">Cost Base</t>
  </si>
  <si>
    <t xml:space="preserve">Diesel</t>
  </si>
  <si>
    <t xml:space="preserve">steam_RAIL</t>
  </si>
  <si>
    <t xml:space="preserve">Steam</t>
  </si>
  <si>
    <t xml:space="preserve">1,2,1</t>
  </si>
  <si>
    <t xml:space="preserve">steam</t>
  </si>
  <si>
    <t xml:space="preserve">electric_ELRL</t>
  </si>
  <si>
    <t xml:space="preserve">25kV AC</t>
  </si>
  <si>
    <t xml:space="preserve">2,1,2</t>
  </si>
  <si>
    <t xml:space="preserve">electric_THIRD_RAIL</t>
  </si>
  <si>
    <t xml:space="preserve">750V DC</t>
  </si>
  <si>
    <t xml:space="preserve">2,2,2</t>
  </si>
  <si>
    <t xml:space="preserve">tender_RAIL</t>
  </si>
  <si>
    <t xml:space="preserve">2,3,2</t>
  </si>
  <si>
    <t xml:space="preserve">carriage_RAIL</t>
  </si>
  <si>
    <t xml:space="preserve">2,4,2</t>
  </si>
  <si>
    <t xml:space="preserve">luxury_carriage_RAIL</t>
  </si>
  <si>
    <t xml:space="preserve">2,5,2</t>
  </si>
  <si>
    <t xml:space="preserve">wagon_RAIL</t>
  </si>
  <si>
    <t xml:space="preserve">4,2,4</t>
  </si>
  <si>
    <t xml:space="preserve">steam_NARROW_GAUGE</t>
  </si>
  <si>
    <t xml:space="preserve">4,3,4</t>
  </si>
  <si>
    <t xml:space="preserve">tube</t>
  </si>
  <si>
    <t xml:space="preserve">dual_power_RAIL</t>
  </si>
  <si>
    <t xml:space="preserve">750V DC / Diesel</t>
  </si>
  <si>
    <t xml:space="preserve">4,4,4</t>
  </si>
  <si>
    <t xml:space="preserve">dual_electric_DUAL_POWER</t>
  </si>
  <si>
    <t xml:space="preserve">25kV AC / 750V DC</t>
  </si>
  <si>
    <t xml:space="preserve">4,5,4</t>
  </si>
  <si>
    <t xml:space="preserve">petrol</t>
  </si>
  <si>
    <t xml:space="preserve">brake_RAIL</t>
  </si>
  <si>
    <t xml:space="preserve">4,6,4</t>
  </si>
  <si>
    <t xml:space="preserve">lpgflywheel</t>
  </si>
  <si>
    <t xml:space="preserve">tube_RAIL</t>
  </si>
  <si>
    <t xml:space="preserve">4,7,4</t>
  </si>
  <si>
    <t xml:space="preserve">horses</t>
  </si>
  <si>
    <t xml:space="preserve">_</t>
  </si>
  <si>
    <t xml:space="preserve">4,8,4</t>
  </si>
  <si>
    <t xml:space="preserve">petrol_RAIL</t>
  </si>
  <si>
    <t xml:space="preserve">Petrol</t>
  </si>
  <si>
    <t xml:space="preserve">gas_turbine</t>
  </si>
  <si>
    <t xml:space="preserve">dual_power_ELRL</t>
  </si>
  <si>
    <t xml:space="preserve">25kV AC / Diesel</t>
  </si>
  <si>
    <t xml:space="preserve">battery</t>
  </si>
  <si>
    <t xml:space="preserve">lpgflywheel_RAIL</t>
  </si>
  <si>
    <t xml:space="preserve">LPG / Flywheel</t>
  </si>
  <si>
    <t xml:space="preserve">wagon_PLATEWAY</t>
  </si>
  <si>
    <t xml:space="preserve">steam_PLATEWAY</t>
  </si>
  <si>
    <t xml:space="preserve">carriage_PLATEWAY</t>
  </si>
  <si>
    <t xml:space="preserve">horses_PLATEWAY</t>
  </si>
  <si>
    <t xml:space="preserve">Grass and hay</t>
  </si>
  <si>
    <t xml:space="preserve">tube_FOURTH_RAIL</t>
  </si>
  <si>
    <t xml:space="preserve">630V DC</t>
  </si>
  <si>
    <t xml:space="preserve">brake_PLATEWAY</t>
  </si>
  <si>
    <t xml:space="preserve">carriage_FOURTH_RAIL</t>
  </si>
  <si>
    <t xml:space="preserve">horses_NARROW_GAUGE</t>
  </si>
  <si>
    <t xml:space="preserve">wagon_NARROW_GAUGE</t>
  </si>
  <si>
    <t xml:space="preserve">diesel_NARROW_GAUGE</t>
  </si>
  <si>
    <t xml:space="preserve">none_RAIL</t>
  </si>
  <si>
    <t xml:space="preserve">gas_turbine_RAIL</t>
  </si>
  <si>
    <t xml:space="preserve">Gas Turbine</t>
  </si>
  <si>
    <t xml:space="preserve">petrol_NARROW_GAUGE</t>
  </si>
  <si>
    <t xml:space="preserve">none_ELRL</t>
  </si>
  <si>
    <t xml:space="preserve">dual_power_BATTERY</t>
  </si>
  <si>
    <t xml:space="preserve">750V DC / Battery</t>
  </si>
  <si>
    <t xml:space="preserve">dual_electric_ELRL</t>
  </si>
  <si>
    <t xml:space="preserve">generator_car_RAIL</t>
  </si>
  <si>
    <t xml:space="preserve">TTD Length</t>
  </si>
  <si>
    <t xml:space="preserve">Voxel Size</t>
  </si>
  <si>
    <t xml:space="preserve">Voxel Size (calculated)</t>
  </si>
  <si>
    <t xml:space="preserve">Voxel size (observed)</t>
  </si>
  <si>
    <t xml:space="preserve">APT</t>
  </si>
  <si>
    <t xml:space="preserve">Names</t>
  </si>
  <si>
    <t xml:space="preserve">apt_mid</t>
  </si>
  <si>
    <t xml:space="preserve">apt_tbf</t>
  </si>
  <si>
    <t xml:space="preserve">apt_power</t>
  </si>
  <si>
    <t xml:space="preserve">apt_rear</t>
  </si>
  <si>
    <t xml:space="preserve">Newsprites</t>
  </si>
  <si>
    <t xml:space="preserve">Eurostar 3 Capitals set</t>
  </si>
  <si>
    <t xml:space="preserve">eurostar_motor</t>
  </si>
  <si>
    <t xml:space="preserve">eurostar_mid_rev</t>
  </si>
  <si>
    <t xml:space="preserve">eurostar_tbk_rev</t>
  </si>
  <si>
    <t xml:space="preserve">eurostar_mid_div_rev</t>
  </si>
  <si>
    <t xml:space="preserve">eurostar_mid_div</t>
  </si>
  <si>
    <t xml:space="preserve">eurostar_mid</t>
  </si>
  <si>
    <t xml:space="preserve">eurostar_tbk</t>
  </si>
  <si>
    <t xml:space="preserve">eurostar_motor_rev</t>
  </si>
  <si>
    <t xml:space="preserve">TTD length</t>
  </si>
  <si>
    <t xml:space="preserve">Articulation</t>
  </si>
  <si>
    <t xml:space="preserve">Eurostar NoL set</t>
  </si>
  <si>
    <t xml:space="preserve">LBSCR CW</t>
  </si>
  <si>
    <t xml:space="preserve">lbscr_emu_dt_rev</t>
  </si>
  <si>
    <t xml:space="preserve">Weight</t>
  </si>
  <si>
    <t xml:space="preserve">Nightstar_8Car</t>
  </si>
  <si>
    <t xml:space="preserve">passenger_coach_nightstar_1</t>
  </si>
  <si>
    <t xml:space="preserve">passenger_coach_nightstar_2</t>
  </si>
  <si>
    <t xml:space="preserve">passenger_coach_nightstar_3</t>
  </si>
  <si>
    <t xml:space="preserve">passenger_coach_nightstar_3e</t>
  </si>
  <si>
    <t xml:space="preserve">Nightstar_7Car</t>
  </si>
  <si>
    <t xml:space="preserve">Eurostar e320 16 car</t>
  </si>
  <si>
    <t xml:space="preserve">eurostar_e320_p</t>
  </si>
  <si>
    <t xml:space="preserve">eurostar_e320_m</t>
  </si>
  <si>
    <t xml:space="preserve">eurostar_e320_pd</t>
  </si>
  <si>
    <t xml:space="preserve">eurostar_e320_mc</t>
  </si>
  <si>
    <t xml:space="preserve">eurostar_e320_pdr</t>
  </si>
  <si>
    <t xml:space="preserve">eurostar_e320_mr</t>
  </si>
  <si>
    <t xml:space="preserve">eurostar_e320_pr</t>
  </si>
  <si>
    <t xml:space="preserve">eurostar_e320_rear</t>
  </si>
  <si>
    <t xml:space="preserve">Eurostar e320 12 car</t>
  </si>
  <si>
    <t xml:space="preserve">Stadler 745</t>
  </si>
  <si>
    <t xml:space="preserve">stadler_class_745_power</t>
  </si>
  <si>
    <t xml:space="preserve">stadler_class_745_mid_rev</t>
  </si>
  <si>
    <t xml:space="preserve">stadler_class_745_mid</t>
  </si>
  <si>
    <t xml:space="preserve">stadler_class_745_power_rev</t>
  </si>
  <si>
    <t xml:space="preserve">stadler_class_755_rear</t>
  </si>
  <si>
    <t xml:space="preserve">Formation</t>
  </si>
  <si>
    <t xml:space="preserve">Mass</t>
  </si>
  <si>
    <t xml:space="preserve">Capacity</t>
  </si>
  <si>
    <t xml:space="preserve">capacity per car</t>
  </si>
  <si>
    <t xml:space="preserve">6 car default</t>
  </si>
  <si>
    <t xml:space="preserve">7 car stretch</t>
  </si>
  <si>
    <t xml:space="preserve">2 car minimum</t>
  </si>
  <si>
    <t xml:space="preserve">10 car apt-s</t>
  </si>
  <si>
    <t xml:space="preserve">6 car apt-s</t>
  </si>
  <si>
    <t xml:space="preserve">APT Vehicles</t>
  </si>
  <si>
    <t xml:space="preserve">AC EMUs</t>
  </si>
  <si>
    <t xml:space="preserve">APT Family</t>
  </si>
  <si>
    <t xml:space="preserve">Mk1 EMU Family</t>
  </si>
  <si>
    <t xml:space="preserve">Passengers  </t>
  </si>
  <si>
    <t xml:space="preserve">CC_PASSENGERS</t>
  </si>
  <si>
    <t xml:space="preserve">=</t>
  </si>
  <si>
    <t xml:space="preserve">;</t>
  </si>
  <si>
    <t xml:space="preserve">Mail  </t>
  </si>
  <si>
    <t xml:space="preserve">CC_MAIL</t>
  </si>
  <si>
    <t xml:space="preserve">Express  </t>
  </si>
  <si>
    <t xml:space="preserve">CC_EXPRESS</t>
  </si>
  <si>
    <t xml:space="preserve">Armoured  </t>
  </si>
  <si>
    <t xml:space="preserve">CC_ARMOURED</t>
  </si>
  <si>
    <t xml:space="preserve">Open Bulk  </t>
  </si>
  <si>
    <t xml:space="preserve">CC_OPEN_BULK</t>
  </si>
  <si>
    <t xml:space="preserve">Piece Goods  </t>
  </si>
  <si>
    <t xml:space="preserve">CC_PIECE_GOODS</t>
  </si>
  <si>
    <t xml:space="preserve">Liquid Bulk  </t>
  </si>
  <si>
    <t xml:space="preserve">CC_LIQUID_BULK</t>
  </si>
  <si>
    <t xml:space="preserve">Refrigerated  </t>
  </si>
  <si>
    <t xml:space="preserve">CC_REFRIGERATED</t>
  </si>
  <si>
    <t xml:space="preserve">Gas Bulk  </t>
  </si>
  <si>
    <t xml:space="preserve">CC_GAS_BULK</t>
  </si>
  <si>
    <t xml:space="preserve">Covered Bulk  </t>
  </si>
  <si>
    <t xml:space="preserve">CC_COVERED_BULK</t>
  </si>
  <si>
    <t xml:space="preserve">Flatbed  </t>
  </si>
  <si>
    <t xml:space="preserve">CC_FLATBED</t>
  </si>
  <si>
    <t xml:space="preserve">Powder Bulk  </t>
  </si>
  <si>
    <t xml:space="preserve">CC_POWDER_BULK</t>
  </si>
  <si>
    <t xml:space="preserve">Weird  </t>
  </si>
  <si>
    <t xml:space="preserve">CC_WEIRD</t>
  </si>
  <si>
    <t xml:space="preserve">Potable  </t>
  </si>
  <si>
    <t xml:space="preserve">CC_POTABLE</t>
  </si>
  <si>
    <t xml:space="preserve">Non-Potable  </t>
  </si>
  <si>
    <t xml:space="preserve">CC_NON_POTABLE</t>
  </si>
  <si>
    <t xml:space="preserve">Special (do not use) </t>
  </si>
  <si>
    <t xml:space="preserve">CC_SPECIAL</t>
  </si>
  <si>
    <t xml:space="preserve">(empty)</t>
  </si>
  <si>
    <t xml:space="preserve">Total Result</t>
  </si>
</sst>
</file>

<file path=xl/styles.xml><?xml version="1.0" encoding="utf-8"?>
<styleSheet xmlns="http://schemas.openxmlformats.org/spreadsheetml/2006/main">
  <numFmts count="4">
    <numFmt numFmtId="164" formatCode="General"/>
    <numFmt numFmtId="165" formatCode="0.00"/>
    <numFmt numFmtId="166" formatCode="\£#,##0"/>
    <numFmt numFmtId="167" formatCode="0"/>
  </numFmts>
  <fonts count="6">
    <font>
      <sz val="11"/>
      <color rgb="FF000000"/>
      <name val="Calibri"/>
      <family val="2"/>
      <charset val="1"/>
    </font>
    <font>
      <sz val="10"/>
      <name val="Arial"/>
      <family val="0"/>
    </font>
    <font>
      <sz val="10"/>
      <name val="Arial"/>
      <family val="0"/>
    </font>
    <font>
      <sz val="10"/>
      <name val="Arial"/>
      <family val="0"/>
    </font>
    <font>
      <b val="true"/>
      <sz val="11"/>
      <color rgb="FF000000"/>
      <name val="Calibri"/>
      <family val="2"/>
      <charset val="1"/>
    </font>
    <font>
      <sz val="11"/>
      <color rgb="FF000000"/>
      <name val="Calibri"/>
      <family val="2"/>
    </font>
  </fonts>
  <fills count="11">
    <fill>
      <patternFill patternType="none"/>
    </fill>
    <fill>
      <patternFill patternType="gray125"/>
    </fill>
    <fill>
      <patternFill patternType="solid">
        <fgColor rgb="FFDEEBF7"/>
        <bgColor rgb="FFEDEDED"/>
      </patternFill>
    </fill>
    <fill>
      <patternFill patternType="solid">
        <fgColor rgb="FFE2F0D9"/>
        <bgColor rgb="FFEDEDED"/>
      </patternFill>
    </fill>
    <fill>
      <patternFill patternType="solid">
        <fgColor rgb="FFD6DCE5"/>
        <bgColor rgb="FFDBDBDB"/>
      </patternFill>
    </fill>
    <fill>
      <patternFill patternType="solid">
        <fgColor rgb="FFDBDBDB"/>
        <bgColor rgb="FFD9D9D9"/>
      </patternFill>
    </fill>
    <fill>
      <patternFill patternType="solid">
        <fgColor rgb="FFFFF2CC"/>
        <bgColor rgb="FFFBE5D6"/>
      </patternFill>
    </fill>
    <fill>
      <patternFill patternType="solid">
        <fgColor rgb="FFFBE5D6"/>
        <bgColor rgb="FFFFF2CC"/>
      </patternFill>
    </fill>
    <fill>
      <patternFill patternType="solid">
        <fgColor rgb="FFF8CBAD"/>
        <bgColor rgb="FFFFC7CE"/>
      </patternFill>
    </fill>
    <fill>
      <patternFill patternType="solid">
        <fgColor rgb="FFEDEDED"/>
        <bgColor rgb="FFDEEBF7"/>
      </patternFill>
    </fill>
    <fill>
      <patternFill patternType="solid">
        <fgColor rgb="FFD9D9D9"/>
        <bgColor rgb="FFDBDBDB"/>
      </patternFill>
    </fill>
  </fills>
  <borders count="15">
    <border diagonalUp="false" diagonalDown="false">
      <left/>
      <right/>
      <top/>
      <bottom/>
      <diagonal/>
    </border>
    <border diagonalUp="false" diagonalDown="false">
      <left style="thin">
        <color rgb="FFA5A5A5"/>
      </left>
      <right style="thin">
        <color rgb="FFA5A5A5"/>
      </right>
      <top style="thin">
        <color rgb="FFA5A5A5"/>
      </top>
      <bottom style="thin">
        <color rgb="FFA5A5A5"/>
      </bottom>
      <diagonal/>
    </border>
    <border diagonalUp="false" diagonalDown="false">
      <left style="medium"/>
      <right style="thin"/>
      <top style="medium"/>
      <bottom style="thin"/>
      <diagonal/>
    </border>
    <border diagonalUp="false" diagonalDown="false">
      <left style="thin"/>
      <right style="thin"/>
      <top style="medium"/>
      <bottom style="thin"/>
      <diagonal/>
    </border>
    <border diagonalUp="false" diagonalDown="false">
      <left style="thin"/>
      <right style="medium"/>
      <top style="medium"/>
      <bottom style="thin"/>
      <diagonal/>
    </border>
    <border diagonalUp="false" diagonalDown="false">
      <left style="medium"/>
      <right style="thin"/>
      <top style="thin"/>
      <bottom style="thin"/>
      <diagonal/>
    </border>
    <border diagonalUp="false" diagonalDown="false">
      <left style="thin"/>
      <right style="thin"/>
      <top style="thin"/>
      <bottom style="thin"/>
      <diagonal/>
    </border>
    <border diagonalUp="false" diagonalDown="false">
      <left style="thin"/>
      <right style="medium"/>
      <top style="thin"/>
      <bottom style="thin"/>
      <diagonal/>
    </border>
    <border diagonalUp="false" diagonalDown="false">
      <left style="medium"/>
      <right style="thin"/>
      <top style="thin"/>
      <bottom/>
      <diagonal/>
    </border>
    <border diagonalUp="false" diagonalDown="false">
      <left style="medium"/>
      <right style="thin"/>
      <top/>
      <bottom style="thin"/>
      <diagonal/>
    </border>
    <border diagonalUp="false" diagonalDown="false">
      <left style="medium"/>
      <right style="thin"/>
      <top/>
      <bottom/>
      <diagonal/>
    </border>
    <border diagonalUp="false" diagonalDown="false">
      <left style="medium"/>
      <right/>
      <top style="thin"/>
      <bottom style="medium"/>
      <diagonal/>
    </border>
    <border diagonalUp="false" diagonalDown="false">
      <left/>
      <right/>
      <top style="thin"/>
      <bottom style="medium"/>
      <diagonal/>
    </border>
    <border diagonalUp="false" diagonalDown="false">
      <left/>
      <right style="thin"/>
      <top style="thin"/>
      <bottom style="medium"/>
      <diagonal/>
    </border>
    <border diagonalUp="false" diagonalDown="false">
      <left style="thin"/>
      <right style="medium"/>
      <top style="thin"/>
      <bottom style="medium"/>
      <diagonal/>
    </border>
  </borders>
  <cellStyleXfs count="26">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xf numFmtId="164" fontId="0"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general" vertical="bottom" textRotation="0" wrapText="false" indent="0" shrinkToFit="false"/>
    </xf>
    <xf numFmtId="164" fontId="4" fillId="0" borderId="0" applyFont="true" applyBorder="false" applyAlignment="true" applyProtection="false">
      <alignment horizontal="left" vertical="bottom" textRotation="0" wrapText="false" indent="0" shrinkToFit="false"/>
    </xf>
    <xf numFmtId="164" fontId="0" fillId="0" borderId="0" applyFont="true" applyBorder="false" applyAlignment="true" applyProtection="false">
      <alignment horizontal="general" vertical="bottom" textRotation="0" wrapText="false" indent="0" shrinkToFit="false"/>
    </xf>
  </cellStyleXfs>
  <cellXfs count="54">
    <xf numFmtId="164" fontId="0" fillId="0" borderId="0" xfId="0" applyFont="false" applyBorder="fals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false" hidden="false"/>
    </xf>
    <xf numFmtId="164" fontId="0" fillId="3" borderId="1" xfId="0" applyFont="false" applyBorder="true" applyAlignment="true" applyProtection="true">
      <alignment horizontal="general" vertical="bottom" textRotation="0" wrapText="false" indent="0" shrinkToFit="false"/>
      <protection locked="false" hidden="false"/>
    </xf>
    <xf numFmtId="165" fontId="0" fillId="0" borderId="0" xfId="0" applyFont="false" applyBorder="false" applyAlignment="true" applyProtection="true">
      <alignment horizontal="general" vertical="bottom" textRotation="0" wrapText="false" indent="0" shrinkToFit="false"/>
      <protection locked="false" hidden="false"/>
    </xf>
    <xf numFmtId="164" fontId="0" fillId="4" borderId="1" xfId="0" applyFont="false" applyBorder="true" applyAlignment="true" applyProtection="true">
      <alignment horizontal="general" vertical="bottom" textRotation="0" wrapText="false" indent="0" shrinkToFit="false"/>
      <protection locked="false" hidden="false"/>
    </xf>
    <xf numFmtId="164" fontId="0" fillId="5" borderId="0" xfId="0" applyFont="false" applyBorder="false" applyAlignment="true" applyProtection="true">
      <alignment horizontal="general" vertical="bottom" textRotation="0" wrapText="false" indent="0" shrinkToFit="false"/>
      <protection locked="false" hidden="false"/>
    </xf>
    <xf numFmtId="164" fontId="0" fillId="6" borderId="1" xfId="0" applyFont="false" applyBorder="true" applyAlignment="true" applyProtection="true">
      <alignment horizontal="general" vertical="bottom" textRotation="0" wrapText="false" indent="0" shrinkToFit="false"/>
      <protection locked="false" hidden="false"/>
    </xf>
    <xf numFmtId="164" fontId="0" fillId="7" borderId="0" xfId="0" applyFont="false" applyBorder="false" applyAlignment="true" applyProtection="true">
      <alignment horizontal="general" vertical="bottom" textRotation="0" wrapText="false" indent="0" shrinkToFit="false"/>
      <protection locked="false" hidden="false"/>
    </xf>
    <xf numFmtId="164" fontId="0" fillId="8" borderId="0" xfId="0" applyFont="false" applyBorder="false" applyAlignment="true" applyProtection="true">
      <alignment horizontal="general" vertical="bottom" textRotation="0" wrapText="false" indent="0" shrinkToFit="false"/>
      <protection locked="false" hidden="false"/>
    </xf>
    <xf numFmtId="164" fontId="0" fillId="9" borderId="0" xfId="0" applyFont="false" applyBorder="fals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false" hidden="false"/>
    </xf>
    <xf numFmtId="164" fontId="4" fillId="2" borderId="1" xfId="0" applyFont="true" applyBorder="true" applyAlignment="true" applyProtection="true">
      <alignment horizontal="general" vertical="bottom" textRotation="0" wrapText="false" indent="0" shrinkToFit="false"/>
      <protection locked="false" hidden="false"/>
    </xf>
    <xf numFmtId="164" fontId="4" fillId="3" borderId="1" xfId="0" applyFont="true" applyBorder="true" applyAlignment="true" applyProtection="true">
      <alignment horizontal="general" vertical="bottom" textRotation="0" wrapText="false" indent="0" shrinkToFit="false"/>
      <protection locked="false" hidden="false"/>
    </xf>
    <xf numFmtId="165" fontId="4" fillId="0" borderId="0" xfId="0" applyFont="true" applyBorder="false" applyAlignment="true" applyProtection="true">
      <alignment horizontal="general" vertical="bottom" textRotation="0" wrapText="false" indent="0" shrinkToFit="false"/>
      <protection locked="false" hidden="false"/>
    </xf>
    <xf numFmtId="164" fontId="4" fillId="4" borderId="1" xfId="0" applyFont="true" applyBorder="true" applyAlignment="true" applyProtection="true">
      <alignment horizontal="general" vertical="bottom" textRotation="0" wrapText="false" indent="0" shrinkToFit="false"/>
      <protection locked="false" hidden="false"/>
    </xf>
    <xf numFmtId="164" fontId="4" fillId="6" borderId="1" xfId="0" applyFont="true" applyBorder="true" applyAlignment="true" applyProtection="true">
      <alignment horizontal="general" vertical="bottom" textRotation="0" wrapText="false" indent="0" shrinkToFit="false"/>
      <protection locked="false" hidden="false"/>
    </xf>
    <xf numFmtId="164" fontId="4" fillId="10" borderId="0" xfId="0" applyFont="true" applyBorder="false" applyAlignment="true" applyProtection="true">
      <alignment horizontal="general" vertical="bottom" textRotation="0" wrapText="false" indent="0" shrinkToFit="false"/>
      <protection locked="false" hidden="false"/>
    </xf>
    <xf numFmtId="164" fontId="0" fillId="0" borderId="0" xfId="0" applyFont="true" applyBorder="false" applyAlignment="true" applyProtection="true">
      <alignment horizontal="general" vertical="bottom" textRotation="0" wrapText="false" indent="0" shrinkToFit="false"/>
      <protection locked="false" hidden="false"/>
    </xf>
    <xf numFmtId="164" fontId="0" fillId="0"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false" hidden="false"/>
    </xf>
    <xf numFmtId="164" fontId="0" fillId="10" borderId="0" xfId="0" applyFont="false" applyBorder="false" applyAlignment="true" applyProtection="true">
      <alignment horizontal="general" vertical="bottom" textRotation="0" wrapText="false" indent="0" shrinkToFit="false"/>
      <protection locked="false" hidden="false"/>
    </xf>
    <xf numFmtId="167" fontId="0" fillId="3" borderId="1" xfId="0" applyFont="false" applyBorder="true" applyAlignment="true" applyProtection="true">
      <alignment horizontal="general" vertical="bottom" textRotation="0" wrapText="false" indent="0" shrinkToFit="false"/>
      <protection locked="false" hidden="false"/>
    </xf>
    <xf numFmtId="165" fontId="0" fillId="7" borderId="0" xfId="0" applyFont="false" applyBorder="false" applyAlignment="true" applyProtection="true">
      <alignment horizontal="general" vertical="bottom" textRotation="0" wrapText="false" indent="0" shrinkToFit="false"/>
      <protection locked="false" hidden="false"/>
    </xf>
    <xf numFmtId="166" fontId="0" fillId="8" borderId="0" xfId="0" applyFont="false" applyBorder="false" applyAlignment="true" applyProtection="true">
      <alignment horizontal="general" vertical="bottom" textRotation="0" wrapText="false" indent="0" shrinkToFit="false"/>
      <protection locked="false" hidden="false"/>
    </xf>
    <xf numFmtId="164" fontId="0" fillId="10" borderId="0" xfId="0" applyFont="true" applyBorder="false" applyAlignment="true" applyProtection="true">
      <alignment horizontal="general" vertical="bottom" textRotation="0" wrapText="false" indent="0" shrinkToFit="false"/>
      <protection locked="fals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2" borderId="1" xfId="0" applyFont="false" applyBorder="true" applyAlignment="true" applyProtection="true">
      <alignment horizontal="general" vertical="bottom" textRotation="0" wrapText="false" indent="0" shrinkToFit="false"/>
      <protection locked="true" hidden="false"/>
    </xf>
    <xf numFmtId="164" fontId="0" fillId="3" borderId="1" xfId="0" applyFont="false" applyBorder="true" applyAlignment="true" applyProtection="true">
      <alignment horizontal="general" vertical="bottom" textRotation="0" wrapText="false" indent="0" shrinkToFit="false"/>
      <protection locked="true" hidden="false"/>
    </xf>
    <xf numFmtId="165" fontId="0" fillId="0" borderId="0" xfId="0" applyFont="false" applyBorder="false" applyAlignment="true" applyProtection="true">
      <alignment horizontal="general" vertical="bottom" textRotation="0" wrapText="false" indent="0" shrinkToFit="false"/>
      <protection locked="true" hidden="false"/>
    </xf>
    <xf numFmtId="164" fontId="0" fillId="4" borderId="1" xfId="0" applyFont="false" applyBorder="true" applyAlignment="true" applyProtection="true">
      <alignment horizontal="general" vertical="bottom" textRotation="0" wrapText="false" indent="0" shrinkToFit="false"/>
      <protection locked="true" hidden="false"/>
    </xf>
    <xf numFmtId="164" fontId="0" fillId="6" borderId="1" xfId="0" applyFont="false" applyBorder="true" applyAlignment="true" applyProtection="true">
      <alignment horizontal="general" vertical="bottom" textRotation="0" wrapText="false" indent="0" shrinkToFit="false"/>
      <protection locked="true" hidden="false"/>
    </xf>
    <xf numFmtId="164" fontId="0" fillId="5" borderId="0" xfId="0" applyFont="false" applyBorder="false" applyAlignment="true" applyProtection="true">
      <alignment horizontal="general" vertical="bottom" textRotation="0" wrapText="false" indent="0" shrinkToFit="false"/>
      <protection locked="true" hidden="false"/>
    </xf>
    <xf numFmtId="166" fontId="0" fillId="0" borderId="0" xfId="0" applyFont="fals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false" indent="0" shrinkToFit="false"/>
      <protection locked="true" hidden="false"/>
    </xf>
    <xf numFmtId="164" fontId="0" fillId="10" borderId="0" xfId="0" applyFont="false" applyBorder="false" applyAlignment="true" applyProtection="true">
      <alignment horizontal="general" vertical="bottom" textRotation="0" wrapText="false" indent="0" shrinkToFit="false"/>
      <protection locked="true" hidden="false"/>
    </xf>
    <xf numFmtId="164" fontId="0" fillId="6" borderId="1" xfId="0" applyFont="true" applyBorder="true" applyAlignment="true" applyProtection="true">
      <alignment horizontal="general" vertical="bottom" textRotation="0" wrapText="false" indent="0" shrinkToFit="false"/>
      <protection locked="false" hidden="false"/>
    </xf>
    <xf numFmtId="164" fontId="0" fillId="0" borderId="1" xfId="0" applyFont="false" applyBorder="true" applyAlignment="true" applyProtection="true">
      <alignment horizontal="general" vertical="bottom" textRotation="0" wrapText="false" indent="0" shrinkToFit="false"/>
      <protection locked="false" hidden="false"/>
    </xf>
    <xf numFmtId="167" fontId="0" fillId="0" borderId="1" xfId="0" applyFont="false" applyBorder="true" applyAlignment="true" applyProtection="true">
      <alignment horizontal="general" vertical="bottom" textRotation="0" wrapText="false" indent="0" shrinkToFit="false"/>
      <protection locked="false" hidden="false"/>
    </xf>
    <xf numFmtId="164" fontId="4" fillId="0" borderId="0" xfId="0" applyFont="true" applyBorder="false" applyAlignment="true" applyProtection="true">
      <alignment horizontal="general" vertical="bottom" textRotation="0" wrapText="false" indent="0" shrinkToFit="false"/>
      <protection locked="true" hidden="false"/>
    </xf>
    <xf numFmtId="164" fontId="0" fillId="0" borderId="0" xfId="0" applyFont="true" applyBorder="false" applyAlignment="true" applyProtection="true">
      <alignment horizontal="general" vertical="bottom" textRotation="0" wrapText="true" indent="0" shrinkToFit="false"/>
      <protection locked="true" hidden="false"/>
    </xf>
    <xf numFmtId="164" fontId="0" fillId="0" borderId="2" xfId="22" applyFont="true" applyBorder="true" applyAlignment="false" applyProtection="false">
      <alignment horizontal="general" vertical="bottom" textRotation="0" wrapText="false" indent="0" shrinkToFit="false"/>
      <protection locked="true" hidden="false"/>
    </xf>
    <xf numFmtId="164" fontId="0" fillId="0" borderId="3" xfId="22" applyFont="true" applyBorder="true" applyAlignment="false" applyProtection="false">
      <alignment horizontal="general" vertical="bottom" textRotation="0" wrapText="false" indent="0" shrinkToFit="false"/>
      <protection locked="true" hidden="false"/>
    </xf>
    <xf numFmtId="164" fontId="0" fillId="0" borderId="4" xfId="21" applyFont="true" applyBorder="true" applyAlignment="false" applyProtection="false">
      <alignment horizontal="general" vertical="bottom" textRotation="0" wrapText="false" indent="0" shrinkToFit="false"/>
      <protection locked="true" hidden="false"/>
    </xf>
    <xf numFmtId="164" fontId="0" fillId="0" borderId="5" xfId="20" applyFont="true" applyBorder="true" applyAlignment="false" applyProtection="false">
      <alignment horizontal="left" vertical="bottom" textRotation="0" wrapText="false" indent="0" shrinkToFit="false"/>
      <protection locked="true" hidden="false"/>
    </xf>
    <xf numFmtId="164" fontId="0" fillId="0" borderId="6" xfId="20" applyFont="true" applyBorder="true" applyAlignment="false" applyProtection="false">
      <alignment horizontal="left" vertical="bottom" textRotation="0" wrapText="false" indent="0" shrinkToFit="false"/>
      <protection locked="true" hidden="false"/>
    </xf>
    <xf numFmtId="164" fontId="0" fillId="0" borderId="7" xfId="25" applyFont="false" applyBorder="true" applyAlignment="false" applyProtection="false">
      <alignment horizontal="general" vertical="bottom" textRotation="0" wrapText="false" indent="0" shrinkToFit="false"/>
      <protection locked="true" hidden="false"/>
    </xf>
    <xf numFmtId="164" fontId="0" fillId="0" borderId="8" xfId="20" applyFont="true" applyBorder="true" applyAlignment="false" applyProtection="false">
      <alignment horizontal="left" vertical="bottom" textRotation="0" wrapText="false" indent="0" shrinkToFit="false"/>
      <protection locked="true" hidden="false"/>
    </xf>
    <xf numFmtId="164" fontId="0" fillId="0" borderId="9" xfId="20" applyFont="false" applyBorder="true" applyAlignment="false" applyProtection="false">
      <alignment horizontal="left" vertical="bottom" textRotation="0" wrapText="false" indent="0" shrinkToFit="false"/>
      <protection locked="true" hidden="false"/>
    </xf>
    <xf numFmtId="164" fontId="0" fillId="0" borderId="10" xfId="20" applyFont="false" applyBorder="true" applyAlignment="false" applyProtection="false">
      <alignment horizontal="left" vertical="bottom" textRotation="0" wrapText="false" indent="0" shrinkToFit="false"/>
      <protection locked="true" hidden="false"/>
    </xf>
    <xf numFmtId="164" fontId="4" fillId="0" borderId="11" xfId="24" applyFont="true" applyBorder="true" applyAlignment="false" applyProtection="false">
      <alignment horizontal="left" vertical="bottom" textRotation="0" wrapText="false" indent="0" shrinkToFit="false"/>
      <protection locked="true" hidden="false"/>
    </xf>
    <xf numFmtId="164" fontId="4" fillId="0" borderId="12" xfId="24" applyFont="false" applyBorder="true" applyAlignment="false" applyProtection="false">
      <alignment horizontal="left" vertical="bottom" textRotation="0" wrapText="false" indent="0" shrinkToFit="false"/>
      <protection locked="true" hidden="false"/>
    </xf>
    <xf numFmtId="164" fontId="4" fillId="0" borderId="13" xfId="24" applyFont="false" applyBorder="true" applyAlignment="false" applyProtection="false">
      <alignment horizontal="left" vertical="bottom" textRotation="0" wrapText="false" indent="0" shrinkToFit="false"/>
      <protection locked="true" hidden="false"/>
    </xf>
    <xf numFmtId="164" fontId="4" fillId="0" borderId="14" xfId="23" applyFont="false" applyBorder="true" applyAlignment="false" applyProtection="false">
      <alignment horizontal="general" vertical="bottom" textRotation="0" wrapText="false" indent="0" shrinkToFit="false"/>
      <protection locked="true" hidden="false"/>
    </xf>
  </cellXfs>
  <cellStyles count="12">
    <cellStyle name="Normal" xfId="0" builtinId="0"/>
    <cellStyle name="Comma" xfId="15" builtinId="3"/>
    <cellStyle name="Comma [0]" xfId="16" builtinId="6"/>
    <cellStyle name="Currency" xfId="17" builtinId="4"/>
    <cellStyle name="Currency [0]" xfId="18" builtinId="7"/>
    <cellStyle name="Percent" xfId="19" builtinId="5"/>
    <cellStyle name="Pivot Table Category" xfId="20"/>
    <cellStyle name="Pivot Table Corner" xfId="21"/>
    <cellStyle name="Pivot Table Field" xfId="22"/>
    <cellStyle name="Pivot Table Result" xfId="23"/>
    <cellStyle name="Pivot Table Title" xfId="24"/>
    <cellStyle name="Pivot Table Value" xfId="25"/>
  </cellStyles>
  <dxfs count="19">
    <dxf>
      <fill>
        <patternFill patternType="solid">
          <bgColor rgb="FF000000"/>
        </patternFill>
      </fill>
    </dxf>
    <dxf>
      <fill>
        <patternFill patternType="solid">
          <fgColor rgb="FF000000"/>
          <bgColor rgb="FF000000"/>
        </patternFill>
      </fill>
    </dxf>
    <dxf>
      <fill>
        <patternFill patternType="solid">
          <fgColor rgb="FFDEEBF7"/>
          <bgColor rgb="FF000000"/>
        </patternFill>
      </fill>
    </dxf>
    <dxf>
      <fill>
        <patternFill patternType="solid">
          <fgColor rgb="FFE2F0D9"/>
          <bgColor rgb="FF000000"/>
        </patternFill>
      </fill>
    </dxf>
    <dxf>
      <fill>
        <patternFill patternType="solid">
          <fgColor rgb="FFD6DCE5"/>
          <bgColor rgb="FF000000"/>
        </patternFill>
      </fill>
    </dxf>
    <dxf>
      <fill>
        <patternFill patternType="solid">
          <fgColor rgb="FFFFF2CC"/>
          <bgColor rgb="FF000000"/>
        </patternFill>
      </fill>
    </dxf>
    <dxf>
      <fill>
        <patternFill patternType="solid">
          <fgColor rgb="FFDBDBDB"/>
          <bgColor rgb="FF000000"/>
        </patternFill>
      </fill>
    </dxf>
    <dxf>
      <fill>
        <patternFill patternType="solid">
          <fgColor rgb="FFFBE5D6"/>
          <bgColor rgb="FF000000"/>
        </patternFill>
      </fill>
    </dxf>
    <dxf>
      <fill>
        <patternFill patternType="solid">
          <fgColor rgb="FFF8CBAD"/>
          <bgColor rgb="FF000000"/>
        </patternFill>
      </fill>
    </dxf>
    <dxf>
      <fill>
        <patternFill patternType="solid">
          <fgColor rgb="FFEDEDED"/>
          <bgColor rgb="FF000000"/>
        </patternFill>
      </fill>
    </dxf>
    <dxf>
      <fill>
        <patternFill patternType="solid">
          <fgColor rgb="FFD9D9D9"/>
          <bgColor rgb="FF000000"/>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C7CE"/>
        </patternFill>
      </fill>
    </dxf>
    <dxf>
      <font>
        <name val="Calibri"/>
        <charset val="1"/>
        <family val="2"/>
        <color rgb="FF9C0006"/>
        <sz val="11"/>
      </font>
      <fill>
        <patternFill>
          <bgColor rgb="FFFFFFFF"/>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D9D9D9"/>
      <rgbColor rgb="FF808080"/>
      <rgbColor rgb="FF9999FF"/>
      <rgbColor rgb="FF993366"/>
      <rgbColor rgb="FFFFF2CC"/>
      <rgbColor rgb="FFDEEBF7"/>
      <rgbColor rgb="FF660066"/>
      <rgbColor rgb="FFFF8080"/>
      <rgbColor rgb="FF0066CC"/>
      <rgbColor rgb="FFD6DCE5"/>
      <rgbColor rgb="FF000080"/>
      <rgbColor rgb="FFFF00FF"/>
      <rgbColor rgb="FFFFFF00"/>
      <rgbColor rgb="FF00FFFF"/>
      <rgbColor rgb="FF800080"/>
      <rgbColor rgb="FF800000"/>
      <rgbColor rgb="FF008080"/>
      <rgbColor rgb="FF0000FF"/>
      <rgbColor rgb="FF00CCFF"/>
      <rgbColor rgb="FFEDEDED"/>
      <rgbColor rgb="FFE2F0D9"/>
      <rgbColor rgb="FFFBE5D6"/>
      <rgbColor rgb="FFDBDBDB"/>
      <rgbColor rgb="FFFFC7CE"/>
      <rgbColor rgb="FFCC99FF"/>
      <rgbColor rgb="FFF8CBAD"/>
      <rgbColor rgb="FF3366FF"/>
      <rgbColor rgb="FF33CCCC"/>
      <rgbColor rgb="FF99CC00"/>
      <rgbColor rgb="FFFFCC00"/>
      <rgbColor rgb="FFFF9900"/>
      <rgbColor rgb="FFFF6600"/>
      <rgbColor rgb="FF666699"/>
      <rgbColor rgb="FFA5A5A5"/>
      <rgbColor rgb="FF003366"/>
      <rgbColor rgb="FF339966"/>
      <rgbColor rgb="FF003300"/>
      <rgbColor rgb="FF333300"/>
      <rgbColor rgb="FF993300"/>
      <rgbColor rgb="FF993366"/>
      <rgbColor rgb="FF333399"/>
      <rgbColor rgb="FF333333"/>
    </indexedColors>
  </colors>
</styleSheet>
</file>

<file path=xl/_rels/workbook.xml.rels><?xml version="1.0" encoding="UTF-8"?>
<Relationships xmlns="http://schemas.openxmlformats.org/package/2006/relationships"><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worksheet" Target="worksheets/sheet1.xml"/><Relationship Id="rId4" Type="http://schemas.openxmlformats.org/officeDocument/2006/relationships/worksheet" Target="worksheets/sheet2.xml"/><Relationship Id="rId5" Type="http://schemas.openxmlformats.org/officeDocument/2006/relationships/worksheet" Target="worksheets/sheet3.xml"/><Relationship Id="rId6" Type="http://schemas.openxmlformats.org/officeDocument/2006/relationships/worksheet" Target="worksheets/sheet4.xml"/><Relationship Id="rId7" Type="http://schemas.openxmlformats.org/officeDocument/2006/relationships/worksheet" Target="worksheets/sheet5.xml"/><Relationship Id="rId8" Type="http://schemas.openxmlformats.org/officeDocument/2006/relationships/worksheet" Target="worksheets/sheet6.xml"/><Relationship Id="rId9" Type="http://schemas.openxmlformats.org/officeDocument/2006/relationships/worksheet" Target="worksheets/sheet7.xml"/><Relationship Id="rId10" Type="http://schemas.openxmlformats.org/officeDocument/2006/relationships/worksheet" Target="worksheets/sheet8.xml"/><Relationship Id="rId11" Type="http://schemas.openxmlformats.org/officeDocument/2006/relationships/worksheet" Target="worksheets/sheet9.xml"/><Relationship Id="rId12" Type="http://schemas.openxmlformats.org/officeDocument/2006/relationships/sharedStrings" Target="sharedStrings.xml"/><Relationship Id="rId13" Type="http://schemas.openxmlformats.org/officeDocument/2006/relationships/pivotCacheDefinition" Target="pivotCache/pivotCacheDefinition1.xml"/>
</Relationships>
</file>

<file path=xl/drawings/drawing1.xml><?xml version="1.0" encoding="utf-8"?>
<xdr:wsDr xmlns:xdr="http://schemas.openxmlformats.org/drawingml/2006/spreadsheetDrawing" xmlns:a="http://schemas.openxmlformats.org/drawingml/2006/main" xmlns:r="http://schemas.openxmlformats.org/officeDocument/2006/relationships"/>
</file>

<file path=xl/pivotCache/_rels/pivotCacheDefinition1.xml.rels><?xml version="1.0" encoding="UTF-8"?>
<Relationships xmlns="http://schemas.openxmlformats.org/package/2006/relationships"><Relationship Id="rId1" Type="http://schemas.openxmlformats.org/officeDocument/2006/relationships/pivotCacheRecords" Target="pivotCacheRecords1.xml"/>
</Relationships>
</file>

<file path=xl/pivotCache/pivotCacheDefinition1.xml><?xml version="1.0" encoding="utf-8"?>
<pivotCacheDefinition xmlns="http://schemas.openxmlformats.org/spreadsheetml/2006/main" xmlns:r="http://schemas.openxmlformats.org/officeDocument/2006/relationships" r:id="rId1" recordCount="91" createdVersion="3">
  <cacheSource type="worksheet">
    <worksheetSource ref="A1:CI94" sheet="Table"/>
  </cacheSource>
  <cacheFields count="87">
    <cacheField name="name" numFmtId="0">
      <sharedItems count="87">
        <s v="“Grainflow” Covered Hopper"/>
        <s v="“Polybulk” Covered Hopper"/>
        <s v="“Presflo” Powder Hopper"/>
        <s v="Alstom Class 458/5 &quot;5JUP&quot;"/>
        <s v="Bombardier Class 222 &quot;Meridian&quot;"/>
        <s v="BR Class 201 “Thumper” “4S”"/>
        <s v="BR Class 201 “Thumper” 6S"/>
        <s v="BR Class 205 “Thumper” 2H"/>
        <s v="BR Class 205 “Thumper” 3H"/>
        <s v="BR Class 302 “AM2”"/>
        <s v="BR Class 302/9"/>
        <s v="BR Class 309/1 “Clacton Express”"/>
        <s v="BR Class 309/2 “Clacton Express”"/>
        <s v="BR Class 309/3 “Clacton Express”"/>
        <s v="BR Class 411 “4CEP”"/>
        <s v="BR Class 419 “MLV”"/>
        <s v="BR Class 489 “GLV”"/>
        <s v="BR Class 73/9 “Ultra73”"/>
        <s v="BR Grain Hopper"/>
        <s v="BR Mark 3 Driving Trailer"/>
        <s v="BR Mk1 BG (B4 Bogies)"/>
        <s v="BR Mk1 BG (Prototype)"/>
        <s v="BR Mk1 Sleeper"/>
        <s v="BR Mk1 Super BG"/>
        <s v="BR Mk3 Sleeper"/>
        <s v="BREL &quot;APT-S&quot; Trailer Rake (10 cars)"/>
        <s v="BREL &quot;APT-S&quot; Trailer Rake (6 cars)"/>
        <s v="BREL APT-S Driving Motor"/>
        <s v="BREL APT-S/Q Driving Van Trailer"/>
        <s v="BREL Class 210 (3 car)"/>
        <s v="BREL Class 210 (4 car)"/>
        <s v="BREL Class 370 &quot;APT-P&quot; (2 car leading set)"/>
        <s v="BREL Class 370 &quot;APT-P&quot; (2 car trailing set)"/>
        <s v="BREL Class 370 &quot;APT-P&quot; (6 car leading set)"/>
        <s v="BREL Class 370 &quot;APT-P&quot; (6 car trailing set)"/>
        <s v="BREL Class 370 &quot;APT-P&quot; (power car)"/>
        <s v="BREL Class 38 &quot;Mini Bone&quot;"/>
        <s v="BREL Class 43 “HST” (Buffers)"/>
        <s v="BREL Class 43 DVT (Buffers)"/>
        <s v="BREL Class 466 “Networker”"/>
        <s v="BREL Class 88"/>
        <s v="BREL E-HST"/>
        <s v="CAF Mk5 Sleeper (Berths)"/>
        <s v="CAF Mk5 Sleeper (Club Car)"/>
        <s v="CAF Mk5 Sleeper (Seated)"/>
        <s v="EE Class 37/6 &quot;Tractor&quot;"/>
        <s v="EPS “Nightstar” Generator Car"/>
        <s v="EPS “Nightstar” Generator Car (Alternate Livery)"/>
        <s v="EPS “Nightstar” Sleeper (7 Car)"/>
        <s v="EPS “Nightstar” Sleeper (8 Car)"/>
        <s v="GEC-Alsthom Class 373 &quot;Eurostar&quot;"/>
        <s v="GEC-Alsthom Class 373 &quot;Eurostar&quot; NoL"/>
        <s v="Hitachi Class 810 &quot;Aurora&quot;"/>
        <s v="JPA Powder Tanker"/>
        <s v="LB&amp;SCR “Crystal Palace” EMU (2 car)"/>
        <s v="LB&amp;SCR “Crystal Palace” EMU (3 car)"/>
        <s v="LB&amp;SCR “Crystal Palace” EMU (4 car)"/>
        <s v="LB&amp;SCR “Crystal Palace” EMU (5 car)"/>
        <s v="LB&amp;SCR “Crystal Palace” EMU (6 car)"/>
        <s v="LB&amp;SCR “CW” EMU"/>
        <s v="LB&amp;SCR “Milk Van” MLV"/>
        <s v="Leyland/Hunslet Class 153 &quot;Mail Sprinter&quot; "/>
        <s v="Leyland/Hunslet Class 153 &quot;Super Sprinter&quot; "/>
        <s v="LMS Brake Van"/>
        <s v="LMS Grain Hopper"/>
        <s v="LNWR Sleeping Car"/>
        <s v="MC Class 251 &quot;Blue Pullman&quot; "/>
        <s v="Metro-Cammell Class 151"/>
        <s v="Midland Railway Brake Van"/>
        <s v="Midland Railway EMU (1 Car)"/>
        <s v="Midland Railway EMU (2 Car)"/>
        <s v="Midland Railway EMU (3 Car)"/>
        <s v="PCA “Vee” Powder Tanker"/>
        <s v="RCH Salt Wagon"/>
        <s v="Ruston and Hornsby 48DS"/>
        <s v="Ruston and Hornsby 88DS"/>
        <s v="Siemens Class 374 ‘Velaro D’"/>
        <s v="Siemens Class 717 &quot;Desiro City&quot;"/>
        <s v="SR “Queen Mary” Brake Van"/>
        <s v="SR “Queen Mary” Brake Van (Alternate)"/>
        <s v="Stadler Class 745 &quot;FLIRT&quot;"/>
        <s v="Tyne and Wear Metrocar"/>
        <s v="Windhoff MPV (2 Unit)"/>
        <s v="Windhoff MPV (3 Unit)"/>
        <s v="Windhoff MPV (4 Unit)"/>
        <s v="Windhoff MPV (5 Unit)"/>
        <s v="Windhoff MPV (Single)"/>
      </sharedItems>
    </cacheField>
    <cacheField name="id" numFmtId="0">
      <sharedItems count="91">
        <s v="apt_half_2"/>
        <s v="apt_half_2_rev"/>
        <s v="apt_half_6"/>
        <s v="apt_half_6_rev"/>
        <s v="apt_powercar"/>
        <s v="apt_q_dvt"/>
        <s v="apt_s_10"/>
        <s v="apt_s_6"/>
        <s v="apt_s_dm"/>
        <s v="blue_pullman_western"/>
        <s v="br_class_411"/>
        <s v="br_class_419"/>
        <s v="br_class_43_buffers"/>
        <s v="br_class_43_dvt"/>
        <s v="br_class_489"/>
        <s v="br_class_73_9"/>
        <s v="br_grain_hopper"/>
        <s v="br_mk3_driving"/>
        <s v="brake_van_lms"/>
        <s v="brake_van_mr"/>
        <s v="brake_van_queen_mary"/>
        <s v="brake_van_queen_mary_alt"/>
        <s v="brel_class_38"/>
        <s v="brel_class_88"/>
        <s v="brel_ehst"/>
        <s v="class_151"/>
        <s v="class_153"/>
        <s v="class_153_mail"/>
        <s v="class_201_4car"/>
        <s v="class_201_6car"/>
        <s v="class_205_2car"/>
        <s v="class_205_3car"/>
        <s v="class_210_3car"/>
        <s v="class_210_4car"/>
        <s v="class_302_4car"/>
        <s v="class_302_parcels"/>
        <s v="class_309_2_4car_buf"/>
        <s v="class_309_2car"/>
        <s v="class_309_3_4car"/>
        <s v="class_374_12car"/>
        <s v="class_374_16car"/>
        <s v="class_458_5"/>
        <s v="class_466"/>
        <s v="class_717_city"/>
        <s v="class_745"/>
        <s v="class_810_aurora"/>
        <s v="eps_class_37_6"/>
        <s v="eurostar_3cap"/>
        <s v="eurostar_nol"/>
        <s v="grainflow"/>
        <s v="jpa_tanker"/>
        <s v="lbscr_cp_emu_2"/>
        <s v="lbscr_cp_emu_3"/>
        <s v="lbscr_cp_emu_4"/>
        <s v="lbscr_cp_emu_5"/>
        <s v="lbscr_cp_emu_6"/>
        <s v="lbscr_cw_emu"/>
        <s v="lbscr_emu_mlv"/>
        <s v="lms_grain_hopper"/>
        <s v="mail_coach_mk1_bg"/>
        <s v="mail_coach_mk1_bg_b4"/>
        <s v="mail_coach_mk1_super_bg"/>
        <s v="meridian_4car"/>
        <s v="meridian_5car"/>
        <s v="meridian_7car"/>
        <s v="meridian_9car"/>
        <s v="metrocar"/>
        <s v="mpv_1car"/>
        <s v="mpv_2car"/>
        <s v="mpv_3car"/>
        <s v="mpv_4car"/>
        <s v="mpv_5car"/>
        <s v="mr_horsham_emu_1car"/>
        <s v="mr_horsham_emu_2car"/>
        <s v="mr_horsham_emu_3car"/>
        <s v="nightstar_rake_7car"/>
        <s v="nightstar_rake_8car"/>
        <s v="passenger_coach_lnwr_sleeper"/>
        <s v="passenger_coach_mk1_sleeper"/>
        <s v="passenger_coach_mk3_sleeper"/>
        <s v="passenger_coach_mk5_sleeper"/>
        <s v="passenger_coach_mk5_sleeper_club"/>
        <s v="passenger_coach_mk5_sleeper_seated"/>
        <s v="passenger_coach_nightstar_generator"/>
        <s v="passenger_coach_nightstar_generator_alt"/>
        <s v="pca_tanker"/>
        <s v="polybulk"/>
        <s v="presflo"/>
        <s v="ruston_48"/>
        <s v="ruston_88"/>
        <s v="salt_van"/>
      </sharedItems>
    </cacheField>
    <cacheField name="numeric_id" numFmtId="0">
      <sharedItems containsSemiMixedTypes="0" containsString="0" containsNumber="1" containsInteger="1" minValue="10" maxValue="11375" count="91">
        <n v="10"/>
        <n v="11"/>
        <n v="12"/>
        <n v="13"/>
        <n v="14"/>
        <n v="15"/>
        <n v="16"/>
        <n v="17"/>
        <n v="18"/>
        <n v="19"/>
        <n v="20"/>
        <n v="21"/>
        <n v="22"/>
        <n v="23"/>
        <n v="25"/>
        <n v="26"/>
        <n v="27"/>
        <n v="32"/>
        <n v="40"/>
        <n v="41"/>
        <n v="96"/>
        <n v="97"/>
        <n v="98"/>
        <n v="99"/>
        <n v="101"/>
        <n v="102"/>
        <n v="103"/>
        <n v="105"/>
        <n v="106"/>
        <n v="107"/>
        <n v="108"/>
        <n v="109"/>
        <n v="110"/>
        <n v="120"/>
        <n v="121"/>
        <n v="122"/>
        <n v="123"/>
        <n v="151"/>
        <n v="153"/>
        <n v="154"/>
        <n v="201"/>
        <n v="202"/>
        <n v="205"/>
        <n v="206"/>
        <n v="210"/>
        <n v="211"/>
        <n v="251"/>
        <n v="302"/>
        <n v="303"/>
        <n v="309"/>
        <n v="310"/>
        <n v="311"/>
        <n v="312"/>
        <n v="370"/>
        <n v="371"/>
        <n v="372"/>
        <n v="373"/>
        <n v="374"/>
        <n v="380"/>
        <n v="382"/>
        <n v="384"/>
        <n v="386"/>
        <n v="388"/>
        <n v="390"/>
        <n v="396"/>
        <n v="400"/>
        <n v="401"/>
        <n v="410"/>
        <n v="411"/>
        <n v="419"/>
        <n v="420"/>
        <n v="422"/>
        <n v="424"/>
        <n v="440"/>
        <n v="441"/>
        <n v="442"/>
        <n v="443"/>
        <n v="471"/>
        <n v="473"/>
        <n v="484"/>
        <n v="487"/>
        <n v="488"/>
        <n v="489"/>
        <n v="490"/>
        <n v="579"/>
        <n v="580"/>
        <n v="581"/>
        <n v="582"/>
        <n v="583"/>
        <n v="11374"/>
        <n v="11375"/>
      </sharedItems>
    </cacheField>
    <cacheField name="variant_group" numFmtId="0">
      <sharedItems containsString="0" containsBlank="1" containsNumber="1" containsInteger="1" minValue="10" maxValue="11374" count="21">
        <n v="10"/>
        <n v="14"/>
        <n v="98"/>
        <n v="105"/>
        <n v="108"/>
        <n v="121"/>
        <n v="153"/>
        <n v="201"/>
        <n v="205"/>
        <n v="210"/>
        <n v="302"/>
        <n v="310"/>
        <n v="372"/>
        <n v="382"/>
        <n v="386"/>
        <n v="400"/>
        <n v="420"/>
        <n v="440"/>
        <n v="580"/>
        <n v="11374"/>
        <m/>
      </sharedItems>
    </cacheField>
    <cacheField name="sort_order" numFmtId="0">
      <sharedItems containsSemiMixedTypes="0" containsString="0" containsNumber="1" containsInteger="1" minValue="10" maxValue="1114" count="78">
        <n v="10"/>
        <n v="11"/>
        <n v="12"/>
        <n v="14"/>
        <n v="19"/>
        <n v="20"/>
        <n v="22"/>
        <n v="24"/>
        <n v="26"/>
        <n v="27"/>
        <n v="28"/>
        <n v="29"/>
        <n v="30"/>
        <n v="32"/>
        <n v="39"/>
        <n v="40"/>
        <n v="41"/>
        <n v="45"/>
        <n v="153"/>
        <n v="155"/>
        <n v="156"/>
        <n v="372"/>
        <n v="373"/>
        <n v="374"/>
        <n v="375"/>
        <n v="376"/>
        <n v="382"/>
        <n v="384"/>
        <n v="386"/>
        <n v="388"/>
        <n v="390"/>
        <n v="392"/>
        <n v="394"/>
        <n v="396"/>
        <n v="398"/>
        <n v="400"/>
        <n v="410"/>
        <n v="411"/>
        <n v="413"/>
        <n v="421"/>
        <n v="470"/>
        <n v="472"/>
        <n v="473"/>
        <n v="474"/>
        <n v="475"/>
        <n v="476"/>
        <n v="480"/>
        <n v="481"/>
        <n v="482"/>
        <n v="483"/>
        <n v="490"/>
        <n v="491"/>
        <n v="500"/>
        <n v="510"/>
        <n v="515"/>
        <n v="520"/>
        <n v="1020"/>
        <n v="1021"/>
        <n v="1025"/>
        <n v="1026"/>
        <n v="1027"/>
        <n v="1029"/>
        <n v="1031"/>
        <n v="1090"/>
        <n v="1091"/>
        <n v="1092"/>
        <n v="1093"/>
        <n v="1101"/>
        <n v="1102"/>
        <n v="1103"/>
        <n v="1104"/>
        <n v="1108"/>
        <n v="1109"/>
        <n v="1110"/>
        <n v="1111"/>
        <n v="1112"/>
        <n v="1113"/>
        <n v="1114"/>
      </sharedItems>
    </cacheField>
    <cacheField name="sort_feature" numFmtId="0">
      <sharedItems count="1">
        <s v="FEAT_TRAINS"/>
      </sharedItems>
    </cacheField>
    <cacheField name="template" numFmtId="0">
      <sharedItems count="5">
        <s v="fixed_rake"/>
        <s v="locomotive"/>
        <s v="mpv"/>
        <s v="multiple_unit"/>
        <s v="wagon"/>
      </sharedItems>
    </cacheField>
    <cacheField name="type" numFmtId="0">
      <sharedItems count="10">
        <s v="brake"/>
        <s v="carriage"/>
        <s v="diesel"/>
        <s v="dual_electric"/>
        <s v="dual_power"/>
        <s v="electric"/>
        <s v="generator_car"/>
        <s v="luxury_carriage"/>
        <s v="none"/>
        <s v="wagon"/>
      </sharedItems>
    </cacheField>
    <cacheField name="railtype" numFmtId="0">
      <sharedItems count="5">
        <s v="BATTERY"/>
        <s v="DUAL_POWER"/>
        <s v="ELRL"/>
        <s v="RAIL"/>
        <s v="THIRD_RAIL"/>
      </sharedItems>
    </cacheField>
    <cacheField name="year" numFmtId="0">
      <sharedItems containsSemiMixedTypes="0" containsString="0" containsNumber="1" containsInteger="1" minValue="1905" maxValue="2022" count="35">
        <n v="1905"/>
        <n v="1907"/>
        <n v="1911"/>
        <n v="1924"/>
        <n v="1925"/>
        <n v="1936"/>
        <n v="1938"/>
        <n v="1955"/>
        <n v="1956"/>
        <n v="1957"/>
        <n v="1959"/>
        <n v="1960"/>
        <n v="1962"/>
        <n v="1966"/>
        <n v="1968"/>
        <n v="1973"/>
        <n v="1975"/>
        <n v="1979"/>
        <n v="1982"/>
        <n v="1985"/>
        <n v="1986"/>
        <n v="1989"/>
        <n v="1991"/>
        <n v="1992"/>
        <n v="1993"/>
        <n v="1994"/>
        <n v="1997"/>
        <n v="1999"/>
        <n v="2003"/>
        <n v="2007"/>
        <n v="2012"/>
        <n v="2014"/>
        <n v="2018"/>
        <n v="2020"/>
        <n v="2022"/>
      </sharedItems>
    </cacheField>
    <cacheField name="end_year" numFmtId="0">
      <sharedItems containsString="0" containsBlank="1" containsNumber="1" containsInteger="1" minValue="1950" maxValue="2026" count="26">
        <n v="1950"/>
        <n v="1955"/>
        <n v="1960"/>
        <n v="1962"/>
        <n v="1965"/>
        <n v="1966"/>
        <n v="1969"/>
        <n v="1974"/>
        <n v="1980"/>
        <n v="1981"/>
        <n v="1982"/>
        <n v="1986"/>
        <n v="1989"/>
        <n v="1990"/>
        <n v="1991"/>
        <n v="1994"/>
        <n v="1996"/>
        <n v="1998"/>
        <n v="1999"/>
        <n v="2002"/>
        <n v="2010"/>
        <n v="2012"/>
        <n v="2015"/>
        <n v="2025"/>
        <n v="2026"/>
        <m/>
      </sharedItems>
    </cacheField>
    <cacheField name="service" numFmtId="0">
      <sharedItems containsString="0" containsBlank="1" containsNumber="1" containsInteger="1" minValue="1955" maxValue="2031" count="24">
        <n v="1955"/>
        <n v="1960"/>
        <n v="1961"/>
        <n v="1966"/>
        <n v="1973"/>
        <n v="1982"/>
        <n v="1985"/>
        <n v="1987"/>
        <n v="1988"/>
        <n v="1991"/>
        <n v="1992"/>
        <n v="1994"/>
        <n v="1998"/>
        <n v="2000"/>
        <n v="2002"/>
        <n v="2004"/>
        <n v="2005"/>
        <n v="2006"/>
        <n v="2015"/>
        <n v="2022"/>
        <n v="2025"/>
        <n v="2028"/>
        <n v="2031"/>
        <m/>
      </sharedItems>
    </cacheField>
    <cacheField name="cars" numFmtId="0">
      <sharedItems containsString="0" containsBlank="1" containsNumber="1" containsInteger="1" minValue="1" maxValue="20" count="14">
        <n v="1"/>
        <n v="2"/>
        <n v="3"/>
        <n v="4"/>
        <n v="5"/>
        <n v="6"/>
        <n v="7"/>
        <n v="8"/>
        <n v="9"/>
        <n v="10"/>
        <n v="12"/>
        <n v="16"/>
        <n v="20"/>
        <m/>
      </sharedItems>
    </cacheField>
    <cacheField name="power" numFmtId="0">
      <sharedItems containsString="0" containsBlank="1" containsNumber="1" containsInteger="1" minValue="10" maxValue="21000" count="33">
        <n v="10"/>
        <n v="45"/>
        <n v="84"/>
        <n v="100"/>
        <n v="248"/>
        <n v="285"/>
        <n v="360"/>
        <n v="500"/>
        <n v="600"/>
        <n v="710"/>
        <n v="768"/>
        <n v="855"/>
        <n v="1000"/>
        <n v="1128"/>
        <n v="1500"/>
        <n v="1600"/>
        <n v="1750"/>
        <n v="2100"/>
        <n v="2250"/>
        <n v="2750"/>
        <n v="3000"/>
        <n v="3620"/>
        <n v="3750"/>
        <n v="4000"/>
        <n v="4800"/>
        <n v="5250"/>
        <n v="5400"/>
        <n v="6750"/>
        <n v="7000"/>
        <n v="15750"/>
        <n v="16400"/>
        <n v="21000"/>
        <m/>
      </sharedItems>
    </cacheField>
    <cacheField name="secondary_power" numFmtId="0">
      <sharedItems containsString="0" containsBlank="1" containsNumber="1" containsInteger="1" minValue="2700" maxValue="4600" count="4">
        <n v="2700"/>
        <n v="3950"/>
        <n v="4600"/>
        <m/>
      </sharedItems>
    </cacheField>
    <cacheField name="cyl_d" numFmtId="0">
      <sharedItems containsString="0" containsBlank="1" count="1">
        <m/>
      </sharedItems>
    </cacheField>
    <cacheField name="cyl_len" numFmtId="0">
      <sharedItems containsString="0" containsBlank="1" count="1">
        <m/>
      </sharedItems>
    </cacheField>
    <cacheField name="cyl_n" numFmtId="0">
      <sharedItems containsString="0" containsBlank="1" count="1">
        <m/>
      </sharedItems>
    </cacheField>
    <cacheField name="steam_psi" numFmtId="0">
      <sharedItems containsString="0" containsBlank="1" count="1">
        <m/>
      </sharedItems>
    </cacheField>
    <cacheField name="rpm" numFmtId="0">
      <sharedItems containsString="0" containsBlank="1" count="1">
        <m/>
      </sharedItems>
    </cacheField>
    <cacheField name="wheel_d" numFmtId="0">
      <sharedItems containsString="0" containsBlank="1" count="1">
        <m/>
      </sharedItems>
    </cacheField>
    <cacheField name="ihp" numFmtId="0">
      <sharedItems containsString="0" containsBlank="1" count="1">
        <m/>
      </sharedItems>
    </cacheField>
    <cacheField name="weight" numFmtId="0">
      <sharedItems containsSemiMixedTypes="0" containsString="0" containsNumber="1" minValue="6.4" maxValue="752" count="72">
        <n v="6.4"/>
        <n v="7"/>
        <n v="9.7"/>
        <n v="10.1"/>
        <n v="12.4"/>
        <n v="12.9"/>
        <n v="13.4"/>
        <n v="17"/>
        <n v="19.9"/>
        <n v="20"/>
        <n v="22.7"/>
        <n v="26"/>
        <n v="33"/>
        <n v="34"/>
        <n v="35"/>
        <n v="37.5"/>
        <n v="38.4"/>
        <n v="39"/>
        <n v="40"/>
        <n v="40.5"/>
        <n v="41.2"/>
        <n v="43"/>
        <n v="46.1"/>
        <n v="46.2"/>
        <n v="57.5"/>
        <n v="61"/>
        <n v="62"/>
        <n v="65.6"/>
        <n v="67.5"/>
        <n v="68.5"/>
        <n v="71.5"/>
        <n v="72"/>
        <n v="74"/>
        <n v="76.8"/>
        <n v="77"/>
        <n v="78"/>
        <n v="80"/>
        <n v="97"/>
        <n v="99"/>
        <n v="99.5"/>
        <n v="101"/>
        <n v="102"/>
        <n v="105"/>
        <n v="109"/>
        <n v="118"/>
        <n v="120"/>
        <n v="124"/>
        <n v="127"/>
        <n v="144"/>
        <n v="152"/>
        <n v="157"/>
        <n v="160"/>
        <n v="164.8"/>
        <n v="170"/>
        <n v="171"/>
        <n v="177"/>
        <n v="180"/>
        <n v="186.5"/>
        <n v="200"/>
        <n v="204"/>
        <n v="209.6"/>
        <n v="223.8"/>
        <n v="235"/>
        <n v="238"/>
        <n v="258.2"/>
        <n v="298.4"/>
        <n v="340"/>
        <n v="363.4"/>
        <n v="373"/>
        <n v="419.8"/>
        <n v="665"/>
        <n v="752"/>
      </sharedItems>
    </cacheField>
    <cacheField name="tender_weight" numFmtId="0">
      <sharedItems containsString="0" containsBlank="1" count="1">
        <m/>
      </sharedItems>
    </cacheField>
    <cacheField name="loading_speed" numFmtId="0">
      <sharedItems containsString="0" containsBlank="1" containsNumber="1" containsInteger="1" minValue="3" maxValue="6" count="5">
        <n v="3"/>
        <n v="4"/>
        <n v="5"/>
        <n v="6"/>
        <m/>
      </sharedItems>
    </cacheField>
    <cacheField name="tractive_effort" numFmtId="0">
      <sharedItems containsString="0" containsBlank="1" containsNumber="1" containsInteger="1" minValue="5" maxValue="486" count="33">
        <n v="5"/>
        <n v="15"/>
        <n v="40"/>
        <n v="48"/>
        <n v="55"/>
        <n v="60"/>
        <n v="83"/>
        <n v="85"/>
        <n v="92"/>
        <n v="95"/>
        <n v="106"/>
        <n v="130"/>
        <n v="145"/>
        <n v="155"/>
        <n v="180"/>
        <n v="186"/>
        <n v="192"/>
        <n v="195"/>
        <n v="205"/>
        <n v="210"/>
        <n v="216"/>
        <n v="220"/>
        <n v="225"/>
        <n v="240"/>
        <n v="247"/>
        <n v="267"/>
        <n v="270"/>
        <n v="360"/>
        <n v="378"/>
        <n v="400"/>
        <n v="480"/>
        <n v="486"/>
        <m/>
      </sharedItems>
    </cacheField>
    <cacheField name="te_coeff" numFmtId="0">
      <sharedItems containsMixedTypes="1" containsNumber="1" minValue="0.00193648334624322" maxValue="0.352941176470588" count="62">
        <n v="0.00193648334624322"/>
        <n v="0.00238549618320611"/>
        <n v="0.00303398058252427"/>
        <n v="0.0076219512195122"/>
        <n v="0.0125"/>
        <n v="0.0130208333333333"/>
        <n v="0.0142857142857143"/>
        <n v="0.0271186440677966"/>
        <n v="0.0292553191489362"/>
        <n v="0.03"/>
        <n v="0.0315789473684211"/>
        <n v="0.0330827067669173"/>
        <n v="0.0357142857142857"/>
        <n v="0.0377952755905512"/>
        <n v="0.0455882352941176"/>
        <n v="0.0470588235294118"/>
        <n v="0.0472222222222222"/>
        <n v="0.0482412060301508"/>
        <n v="0.0623376623376623"/>
        <n v="0.0638888888888889"/>
        <n v="0.0700729927007299"/>
        <n v="0.0774193548387097"/>
        <n v="0.0779661016949153"/>
        <n v="0.0828025477707006"/>
        <n v="0.0829787234042553"/>
        <n v="0.0898305084745763"/>
        <n v="0.1"/>
        <n v="0.104838709677419"/>
        <n v="0.107070707070707"/>
        <n v="0.110294117647059"/>
        <n v="0.115277777777778"/>
        <n v="0.115817694369973"/>
        <n v="0.119883040935673"/>
        <n v="0.12"/>
        <n v="0.120588235294118"/>
        <n v="0.120643431635389"/>
        <n v="0.126675603217158"/>
        <n v="0.128"/>
        <n v="0.13029490616622"/>
        <n v="0.1325"/>
        <n v="0.147826086956522"/>
        <n v="0.149484536082474"/>
        <n v="0.153631284916201"/>
        <n v="0.16"/>
        <n v="0.173770491803279"/>
        <n v="0.196078431372549"/>
        <n v="0.202970297029703"/>
        <n v="0.205384615384615"/>
        <n v="0.205627705627706"/>
        <n v="0.211764705882353"/>
        <n v="0.214285714285714"/>
        <n v="0.234567901234568"/>
        <n v="0.235238095238095"/>
        <n v="0.238461538461538"/>
        <n v="0.243243243243243"/>
        <n v="0.251748251748252"/>
        <n v="0.2734375"/>
        <n v="0.280701754385965"/>
        <n v="0.311111111111111"/>
        <n v="0.311764705882353"/>
        <n v="0.352941176470588"/>
        <s v=""/>
      </sharedItems>
    </cacheField>
    <cacheField name="speed" numFmtId="0">
      <sharedItems containsSemiMixedTypes="0" containsString="0" containsNumber="1" containsInteger="1" minValue="12" maxValue="200" count="15">
        <n v="12"/>
        <n v="18"/>
        <n v="45"/>
        <n v="50"/>
        <n v="60"/>
        <n v="75"/>
        <n v="85"/>
        <n v="90"/>
        <n v="100"/>
        <n v="110"/>
        <n v="125"/>
        <n v="140"/>
        <n v="155"/>
        <n v="186"/>
        <n v="200"/>
      </sharedItems>
    </cacheField>
    <cacheField name="kmhish_speed" numFmtId="0">
      <sharedItems containsSemiMixedTypes="0" containsString="0" containsNumber="1" containsInteger="1" minValue="19" maxValue="320" count="16">
        <n v="19"/>
        <n v="29"/>
        <n v="72"/>
        <n v="80"/>
        <n v="96"/>
        <n v="120"/>
        <n v="128"/>
        <n v="136"/>
        <n v="144"/>
        <n v="160"/>
        <n v="176"/>
        <n v="200"/>
        <n v="224"/>
        <n v="248"/>
        <n v="298"/>
        <n v="320"/>
      </sharedItems>
    </cacheField>
    <cacheField name="secondary_speed" numFmtId="0">
      <sharedItems containsString="0" containsBlank="1" count="1">
        <m/>
      </sharedItems>
    </cacheField>
    <cacheField name="speed_conf" numFmtId="0">
      <sharedItems containsString="0" containsBlank="1" count="1">
        <m/>
      </sharedItems>
    </cacheField>
    <cacheField name="length" numFmtId="0">
      <sharedItems containsString="0" containsBlank="1" containsNumber="1" minValue="5.5" maxValue="25.7" count="38">
        <n v="5.5"/>
        <n v="6"/>
        <n v="6.1"/>
        <n v="6.2"/>
        <n v="7.6"/>
        <n v="8"/>
        <n v="8.8"/>
        <n v="10"/>
        <n v="12.8"/>
        <n v="13.9"/>
        <n v="16.2"/>
        <n v="16.36"/>
        <n v="17.37"/>
        <n v="17.79"/>
        <n v="18"/>
        <n v="18.3"/>
        <n v="18.4"/>
        <n v="18.75"/>
        <n v="19.13"/>
        <n v="19.5"/>
        <n v="19.64"/>
        <n v="19.7"/>
        <n v="19.8"/>
        <n v="19.9"/>
        <n v="20.2"/>
        <n v="20.26"/>
        <n v="20.3"/>
        <n v="20.89"/>
        <n v="20.9"/>
        <n v="22"/>
        <n v="22.15"/>
        <n v="22.2"/>
        <n v="23"/>
        <n v="23.2"/>
        <n v="23.8"/>
        <n v="24"/>
        <n v="25.7"/>
        <m/>
      </sharedItems>
    </cacheField>
    <cacheField name="scale_len" numFmtId="0">
      <sharedItems containsSemiMixedTypes="0" containsString="0" containsNumber="1" minValue="6" maxValue="25.7" count="24">
        <n v="6"/>
        <n v="8"/>
        <n v="10"/>
        <n v="12.8"/>
        <n v="13.9"/>
        <n v="16.36"/>
        <n v="17"/>
        <n v="17.5"/>
        <n v="17.79"/>
        <n v="18"/>
        <n v="18.3"/>
        <n v="18.75"/>
        <n v="19.13"/>
        <n v="20"/>
        <n v="20.2"/>
        <n v="20.89"/>
        <n v="20.9"/>
        <n v="21"/>
        <n v="22"/>
        <n v="22.15"/>
        <n v="23"/>
        <n v="23.2"/>
        <n v="23.8"/>
        <n v="25.7"/>
      </sharedItems>
    </cacheField>
    <cacheField name="width" numFmtId="0">
      <sharedItems containsString="0" containsBlank="1" containsNumber="1" minValue="2.4" maxValue="2.92" count="14">
        <n v="2.4"/>
        <n v="2.5"/>
        <n v="2.6"/>
        <n v="2.65"/>
        <n v="2.7"/>
        <n v="2.71"/>
        <n v="2.73"/>
        <n v="2.75"/>
        <n v="2.8"/>
        <n v="2.81"/>
        <n v="2.82"/>
        <n v="2.9"/>
        <n v="2.92"/>
        <m/>
      </sharedItems>
    </cacheField>
    <cacheField name="height" numFmtId="0">
      <sharedItems containsString="0" containsBlank="1" containsNumber="1" minValue="3.16" maxValue="4.3" count="15">
        <n v="3.16"/>
        <n v="3.32"/>
        <n v="3.35"/>
        <n v="3.5"/>
        <n v="3.7"/>
        <n v="3.77"/>
        <n v="3.79"/>
        <n v="3.8"/>
        <n v="3.84"/>
        <n v="3.89"/>
        <n v="3.9"/>
        <n v="3.91"/>
        <n v="3.97"/>
        <n v="4.3"/>
        <m/>
      </sharedItems>
    </cacheField>
    <cacheField name="capacity" numFmtId="0">
      <sharedItems containsSemiMixedTypes="0" containsString="0" containsNumber="1" containsInteger="1" minValue="0" maxValue="84" count="37">
        <n v="0"/>
        <n v="10"/>
        <n v="13"/>
        <n v="18"/>
        <n v="20"/>
        <n v="22"/>
        <n v="24"/>
        <n v="25"/>
        <n v="30"/>
        <n v="33"/>
        <n v="35"/>
        <n v="36"/>
        <n v="37"/>
        <n v="38"/>
        <n v="39"/>
        <n v="40"/>
        <n v="41"/>
        <n v="42"/>
        <n v="44"/>
        <n v="45"/>
        <n v="47"/>
        <n v="48"/>
        <n v="49"/>
        <n v="50"/>
        <n v="51"/>
        <n v="53"/>
        <n v="54"/>
        <n v="56"/>
        <n v="57"/>
        <n v="60"/>
        <n v="64"/>
        <n v="65"/>
        <n v="67"/>
        <n v="72"/>
        <n v="77"/>
        <n v="80"/>
        <n v="84"/>
      </sharedItems>
    </cacheField>
    <cacheField name="voxel_size" numFmtId="0">
      <sharedItems count="34">
        <s v="102x37x50"/>
        <s v="102x40x57"/>
        <s v="136x0x0"/>
        <s v="136x37x50"/>
        <s v="136x39x47"/>
        <s v="164x0x0"/>
        <s v="164x0x58"/>
        <s v="164x40x57"/>
        <s v="186x0x58"/>
        <s v="186x37x56"/>
        <s v="186x40x57"/>
        <s v="186x40x58"/>
        <s v="186x42x56"/>
        <s v="198x0x0"/>
        <s v="198x0x56"/>
        <s v="198x37x56"/>
        <s v="198x40x52"/>
        <s v="198x40x56"/>
        <s v="198x42x56"/>
        <s v="198x42x57"/>
        <s v="198x42x59"/>
        <s v="198x43x56"/>
        <s v="214x0x0"/>
        <s v="214x40x52"/>
        <s v="214x41x56"/>
        <s v="214x42x0"/>
        <s v="214x42x56"/>
        <s v="238x40x0"/>
        <s v="238x40x55"/>
        <s v="256x43x64"/>
        <s v="66x36x49"/>
        <s v="82x36x49"/>
        <s v="82x37x50"/>
        <s v="82x39x58"/>
      </sharedItems>
    </cacheField>
    <cacheField name="ttd_len" numFmtId="0">
      <sharedItems containsSemiMixedTypes="0" containsString="0" containsNumber="1" containsInteger="1" minValue="4" maxValue="15" count="10">
        <n v="4"/>
        <n v="5"/>
        <n v="6"/>
        <n v="8"/>
        <n v="10"/>
        <n v="11"/>
        <n v="12"/>
        <n v="13"/>
        <n v="14"/>
        <n v="15"/>
      </sharedItems>
    </cacheField>
    <cacheField name="tender" numFmtId="0">
      <sharedItems containsString="0" containsBlank="1" count="1">
        <m/>
      </sharedItems>
    </cacheField>
    <cacheField name="articulated_lengths" numFmtId="0">
      <sharedItems count="10">
        <s v="1,2,1"/>
        <s v="2,1,2"/>
        <s v="2,2,2"/>
        <s v="2,4,2"/>
        <s v="4,2,4"/>
        <s v="4,3,4"/>
        <s v="4,4,4"/>
        <s v="4,5,4"/>
        <s v="4,6,4"/>
        <s v="4,7,4"/>
      </sharedItems>
    </cacheField>
    <cacheField name="effect_unit" numFmtId="0">
      <sharedItems containsBlank="1" containsMixedTypes="1" containsNumber="1" containsInteger="1" minValue="0" maxValue="12" count="15">
        <n v="0"/>
        <n v="1"/>
        <n v="2"/>
        <n v="3"/>
        <n v="4"/>
        <n v="6"/>
        <n v="8"/>
        <n v="12"/>
        <s v="0,11"/>
        <s v="0,17"/>
        <s v="0,24"/>
        <s v="4,32"/>
        <s v="6,30"/>
        <s v="6,42"/>
        <m/>
      </sharedItems>
    </cacheField>
    <cacheField name="manual_lengths" numFmtId="0">
      <sharedItems containsBlank="1" count="6">
        <s v="4,2,4,4,2,4,2,4,2,4,2,4,4,2,4"/>
        <s v="4,5,4,4,5,4,4,3,4,4,3,4,4,3,4,4,3,4,4,3,4,4,3,4,4,3,4,4,5,4,4,5,4,4,3,4,4,3,4,4,3,4,4,3,4,4,3,4,4,3,4,4,3,4,4,5,4,4,5,4"/>
        <s v="4,5,4,4,5,4,4,3,4,4,3,4,4,3,4,4,3,4,4,3,4,4,5,4,4,5,4,4,3,4,4,3,4,4,3,4,4,3,4,4,3,4,4,5,4,4,5,4"/>
        <s v="4,7,4,4,6,4,4,6,4,4,6,4,4,6,4,4,6,4,4,6,4,4,6,4,4,6,4,4,6,4,4,6,4,4,6,4,4,6,4,4,6,4,4,6,4,4,7,4"/>
        <s v="4,7,4,4,6,4,4,6,4,4,6,4,4,6,4,4,6,4,4,6,4,4,6,4,4,6,4,4,6,4,4,6,4,4,7,4"/>
        <m/>
      </sharedItems>
    </cacheField>
    <cacheField name="manual_ttd_len" numFmtId="0">
      <sharedItems containsBlank="1" count="6">
        <s v="10,10,8,10,10"/>
        <s v="13,13,11,11,11,11,11,11,11,13,13,11,11,11,11,11,11,11,13,13"/>
        <s v="13,13,11,11,11,11,11,13,13,11,11,11,11,11,13,13"/>
        <s v="15,14,14,14,14,14,14,14,14,14,14,14,14,14,14,15"/>
        <s v="15,14,14,14,14,14,14,14,14,14,14,15"/>
        <m/>
      </sharedItems>
    </cacheField>
    <cacheField name="layout" numFmtId="0">
      <sharedItems containsBlank="1" count="55" longText="1">
        <s v="apt_tbf_rev,apt_mid,apt_mid,apt_mid,apt_mid,apt_mid,apt_mid,apt_mid,apt_mid,apt_tbf"/>
        <s v="apt_tbf_rev,apt_mid,apt_mid,apt_mid,apt_mid,apt_tbf"/>
        <s v="apt_tbf2_rev,apt_mid,apt_mid,apt_mid,apt_mid,apt_rear"/>
        <s v="apt_tbf2_rev,apt_rear"/>
        <s v="apt,apt_mid,apt_mid,apt_mid,apt_mid,apt_tbf2"/>
        <s v="apt,apt_tbf2"/>
        <s v="blue_pullman,blue_pullman_coach,blue_pullman_coach,blue_pullman_coach,blue_pullman_coach,blue_pullman_coach,blue_pullman_coach,blue_pullman_rev"/>
        <s v="br_4cep,br_4cep_mid1,br_4cep_mid2,br_4cep_rear"/>
        <s v="br_am2_9,br_am2_9_power,br_am2_9_rear"/>
        <s v="br_am2,br_am2_mid,br_am2_power,br_am2_rear"/>
        <s v="br_am9_1,br_am9_2_rear"/>
        <s v="br_am9_2,br_am9_2_mid1,br_am9_2_mid2,br_am9_2_rear"/>
        <s v="br_am9_2,br_am9_3_mid1,br_am9_2_mid2,br_am9_2_rear"/>
        <s v="br_class_201,br_class_201_mid1,br_class_201_mid1,br_class_201_mid1,br_class_201_mid1,br_class_201_rear"/>
        <s v="br_class_201,br_class_201_mid1,br_class_201_mid1,br_class_201_rear"/>
        <s v="br_class_205,br_class_205_mid,br_class_205_rear"/>
        <s v="br_class_205,br_class_205_rear"/>
        <s v="br_class_419"/>
        <s v="br_class_489"/>
        <s v="brel_class_210_dmbs,brel_class_210_mid1,brel_class_210_mid2,brel_class_210_dtso_rear"/>
        <s v="brel_class_210_dtso,brel_class_210_mid1,brel_class_210_dms_rear"/>
        <s v="brel_networker,brel_networker_rear"/>
        <s v="class_151,class_151_mid,class_151_rear"/>
        <s v="class_153"/>
        <s v="class_153_mail"/>
        <s v="class_458,alstom_juniper_mid,alstom_juniper_mid,alstom_juniper_mid,class_458_rear"/>
        <s v="class_717_city,class_717_city_mid,class_717_city_mid,class_717_city_mid,class_717_city_power,class_717_city_rear"/>
        <s v="class_810_aurora,class_810_aurora_mid,class_810_aurora_mid,class_810_aurora_mid,class_810_aurora_rear"/>
        <s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
        <s v="eurostar_e320_front,eurostar_e320_p,eurostar_e320_m,eurostar_e320_pd,eurostar_e320_pd,eurostar_e320_m,eurostar_e320_pd,eurostar_e320_mc,eurostar_e320_mc,eurostar_e320_pdr,eurostar_e320_mr,eurostar_e320_pdr,eurostar_e320_pdr,eurostar_e320_mr,eurostar_e320_pr,eurostar_e320_rear"/>
        <s v="eurostar_e320_front,eurostar_e320_p,eurostar_e320_pd,eurostar_e320_m,eurostar_e320_pd,eurostar_e320_mc,eurostar_e320_mc,eurostar_e320_pdr,eurostar_e320_mr,eurostar_e320_pdr,eurostar_e320_pr,eurostar_e320_rear"/>
        <s v="eurostar_nol,eurostar_motor,eurostar_mid_rev,eurostar_mid_rev,eurostar_mid_rev,eurostar_tbk_rev,eurostar_mid_rev,eurostar_mid_div_rev,eurostar_mid_div,eurostar_mid,eurostar_tbk,eurostar_mid,eurostar_mid,eurostar_mid,eurostar_motor_rev,eurostar_nol_rear"/>
        <s v="lbscr_emu_dmbt,lbscr_emu_dt_rev"/>
        <s v="lbscr_emu_dt,lbscr_emu_dmbt,lbscr_emu_dt_rev"/>
        <s v="lbscr_emu_dt,lbscr_emu_dmbt,lbscr_emu_dt,lbscr_emu_dt_rev"/>
        <s v="lbscr_emu_dt,lbscr_emu_dmbt,lbscr_emu_dt,lbscr_emu_dt_rev,lbscr_emu_dt_rev"/>
        <s v="lbscr_emu_dt,lbscr_emu_dt_rev,lbscr_emu_dmbt,lbscr_emu_dt_rev,lbscr_emu_dt,lbscr_emu_dt_rev"/>
        <s v="lbscr_emu_dt,lbscr_emu_dt_rev,lbscr_emu_mlv,lbscr_emu_dt,lbscr_emu_dt_rev"/>
        <s v="meridian,meridian_mid,meridian_mid,meridian_mid,meridian_mid,meridian_mid,meridian_mid,meridian_mid,meridian_rear"/>
        <s v="meridian,meridian_mid,meridian_mid,meridian_mid,meridian_mid,meridian_mid,meridian_rear"/>
        <s v="meridian,meridian_mid,meridian_mid,meridian_mid,meridian_rear"/>
        <s v="meridian,meridian_mid,meridian_mid,meridian_rear"/>
        <s v="metrocar_front,metrocar_rear"/>
        <s v="mr_emu_dm"/>
        <s v="mr_emu_dt,mr_emu_dm"/>
        <s v="mr_emu_dt,mr_emu_dm,mr_emu_dt_rev"/>
        <s v="passenger_coach_nightstar_1e,passenger_coach_nightstar_1,passenger_coach_nightstar_1,passenger_coach_nightstar_2,passenger_coach_nightstar_3,passenger_coach_nightstar_3,passenger_coach_nightstar_3e"/>
        <s v="passenger_coach_nightstar_1e,passenger_coach_nightstar_1,passenger_coach_nightstar_2,passenger_coach_nightstar_3,passenger_coach_nightstar_3,passenger_coach_nightstar_3,passenger_coach_nightstar_3,passenger_coach_nightstar_3e"/>
        <s v="stadler_class_755,stadler_class_745_power,stadler_class_745_mid_rev,stadler_class_745_mid,stadler_class_745_mid_rev,stadler_class_745_mid,stadler_class_745_mid_rev,stadler_class_745_mid,stadler_class_745_mid_rev,stadler_class_745_mid,stadler_class_745_power_rev,stadler_class_755_rear"/>
        <s v="windhoff_mpv_front,windhoff_mpv_mid,windhoff_mpv_mid,windhoff_mpv_mid,windhoff_mpv_rear"/>
        <s v="windhoff_mpv_front,windhoff_mpv_mid,windhoff_mpv_mid,windhoff_mpv_rear"/>
        <s v="windhoff_mpv_front,windhoff_mpv_mid,windhoff_mpv_rear"/>
        <s v="windhoff_mpv_front,windhoff_mpv_rear"/>
        <s v="windhoff_mpv_single"/>
        <m/>
      </sharedItems>
    </cacheField>
    <cacheField name="pantograph_unit" numFmtId="0">
      <sharedItems containsBlank="1" count="6">
        <s v="brel_ehst"/>
        <s v="class_717_city_power"/>
        <s v="class_810_aurora_rear"/>
        <s v="eurostar_3cap_rear"/>
        <s v="eurostar_nol_rear"/>
        <m/>
      </sharedItems>
    </cacheField>
    <cacheField name="new_sprites" numFmtId="0">
      <sharedItems containsBlank="1" containsMixedTypes="1" containsNumber="1" containsInteger="1" minValue="1" maxValue="1" count="33">
        <n v="1"/>
        <s v="0,0"/>
        <s v="0,0,0,0"/>
        <s v="0,0,0,0,0"/>
        <s v="0,0,0,0,0,0"/>
        <s v="0,0,0,0,0,0,0"/>
        <s v="0,0,0,0,0,0,0,0"/>
        <s v="0,0,0,0,0,0,0,0,0"/>
        <s v="0,0,0,0,0,0,0,0,0,0,0,0"/>
        <s v="0,0,1"/>
        <s v="0,0,1,0,0"/>
        <s v="0,1,0"/>
        <s v="0,1,0,0"/>
        <s v="1,0"/>
        <s v="1,0,0"/>
        <s v="1,0,0,0,0,0,0,0,0,0,0,0,0,0,0,1"/>
        <s v="1,0,0,0,0,0,0,0,0,1"/>
        <s v="1,0,0,0,0,1"/>
        <s v="1,0,1"/>
        <s v="1,1"/>
        <s v="1,1,0,0,0,0,0,1"/>
        <s v="1,1,0,0,0,1"/>
        <s v="1,1,0,0,1"/>
        <s v="1,1,0,0,1,1"/>
        <s v="1,1,0,1"/>
        <s v="1,1,0,1,1,0,1"/>
        <s v="1,1,1"/>
        <s v="1,1,1,0"/>
        <s v="1,1,1,0,0,0,1,0,0,1,1,1,0,1,0,0,0,0,1,1"/>
        <s v="1,1,1,1"/>
        <s v="1,1,1,1,0,0,0,0,0,0,1,1"/>
        <s v="1,1,1,1,0,0,0,1,0,1,1,0,0,0,1,1"/>
        <m/>
      </sharedItems>
    </cacheField>
    <cacheField name="reuse_sprites" numFmtId="0">
      <sharedItems containsBlank="1" count="28">
        <s v="apt"/>
        <s v="apt_tbf_rev"/>
        <s v="apt_tbf2_rev"/>
        <s v="blue_pullman"/>
        <s v="br_4cep"/>
        <s v="br_am2"/>
        <s v="br_am2_9"/>
        <s v="br_am9_1"/>
        <s v="br_am9_2"/>
        <s v="br_class_201"/>
        <s v="br_class_205"/>
        <s v="brel_class_210_dmbs"/>
        <s v="brel_class_210_dtso"/>
        <s v="brel_networker"/>
        <s v="class_151"/>
        <s v="class_458"/>
        <s v="eurostar_e320_front"/>
        <s v="lbscr_emu_dt"/>
        <s v="lbscr_emu_mlv"/>
        <s v="meridian"/>
        <s v="metrocar_front"/>
        <s v="mr_emu_dm"/>
        <s v="mr_emu_dt_rev"/>
        <s v="passenger_coach_nightstar_1e"/>
        <s v="stadler_class_755"/>
        <s v="windhoff_mpv_front"/>
        <s v="windhoff_mpv_single"/>
        <m/>
      </sharedItems>
    </cacheField>
    <cacheField name="animated" numFmtId="0">
      <sharedItems containsString="0" containsBlank="1" count="1">
        <m/>
      </sharedItems>
    </cacheField>
    <cacheField name="random_flip_vehicle" numFmtId="0">
      <sharedItems containsBlank="1" count="6">
        <s v="passenger_coach_mk1_sleeper_rev"/>
        <s v="passenger_coach_mk3_sleeper_rev"/>
        <s v="passenger_coach_mk5_sleeper_club_rev"/>
        <s v="passenger_coach_mk5_sleeper_rev"/>
        <s v="passenger_coach_mk5_sleeper_seated_rev"/>
        <m/>
      </sharedItems>
    </cacheField>
    <cacheField name="vehicle_life" numFmtId="0">
      <sharedItems containsSemiMixedTypes="0" containsString="0" containsNumber="1" containsInteger="1" minValue="12" maxValue="60" count="14">
        <n v="12"/>
        <n v="20"/>
        <n v="22"/>
        <n v="25"/>
        <n v="27"/>
        <n v="29"/>
        <n v="30"/>
        <n v="32"/>
        <n v="33"/>
        <n v="35"/>
        <n v="40"/>
        <n v="45"/>
        <n v="50"/>
        <n v="60"/>
      </sharedItems>
    </cacheField>
    <cacheField name="lifespan" numFmtId="0">
      <sharedItems containsBlank="1" containsMixedTypes="1" containsNumber="1" containsInteger="1" minValue="16" maxValue="120" count="27">
        <n v="16"/>
        <n v="17"/>
        <n v="21"/>
        <n v="32"/>
        <n v="35"/>
        <n v="38"/>
        <n v="40"/>
        <n v="41"/>
        <n v="43"/>
        <n v="44"/>
        <n v="45"/>
        <n v="46"/>
        <n v="48"/>
        <n v="52"/>
        <n v="53"/>
        <n v="54"/>
        <n v="55"/>
        <n v="56"/>
        <n v="57"/>
        <n v="58"/>
        <n v="61"/>
        <n v="62"/>
        <n v="63"/>
        <n v="70"/>
        <n v="120"/>
        <s v=""/>
        <m/>
      </sharedItems>
    </cacheField>
    <cacheField name="run_cost_penalty" numFmtId="0">
      <sharedItems containsString="0" containsBlank="1" containsNumber="1" containsInteger="1" minValue="-60" maxValue="1250" count="21">
        <n v="-60"/>
        <n v="-45"/>
        <n v="-35"/>
        <n v="-20"/>
        <n v="-15"/>
        <n v="-11"/>
        <n v="-10"/>
        <n v="5"/>
        <n v="10"/>
        <n v="12"/>
        <n v="15"/>
        <n v="25"/>
        <n v="55"/>
        <n v="65"/>
        <n v="75"/>
        <n v="170"/>
        <n v="180"/>
        <n v="1000"/>
        <n v="1150"/>
        <n v="1250"/>
        <m/>
      </sharedItems>
    </cacheField>
    <cacheField name="purchase_penalty" numFmtId="0">
      <sharedItems containsString="0" containsBlank="1" containsNumber="1" containsInteger="1" minValue="-90" maxValue="150" count="23">
        <n v="-90"/>
        <n v="-65"/>
        <n v="-60"/>
        <n v="-55"/>
        <n v="-50"/>
        <n v="-45"/>
        <n v="-35"/>
        <n v="-30"/>
        <n v="-25"/>
        <n v="-20"/>
        <n v="-15"/>
        <n v="-14"/>
        <n v="-10"/>
        <n v="0"/>
        <n v="6"/>
        <n v="25"/>
        <n v="35"/>
        <n v="45"/>
        <n v="80"/>
        <n v="90"/>
        <n v="110"/>
        <n v="150"/>
        <m/>
      </sharedItems>
    </cacheField>
    <cacheField name="speed_cost_factor" numFmtId="0">
      <sharedItems containsSemiMixedTypes="0" containsString="0" containsNumber="1" minValue="2.4" maxValue="30" count="14">
        <n v="2.4"/>
        <n v="3.6"/>
        <n v="9"/>
        <n v="10"/>
        <n v="12"/>
        <n v="15"/>
        <n v="16"/>
        <n v="17"/>
        <n v="18"/>
        <n v="20"/>
        <n v="22"/>
        <n v="25"/>
        <n v="28"/>
        <n v="30"/>
      </sharedItems>
    </cacheField>
    <cacheField name="power_cost_factor" numFmtId="0">
      <sharedItems containsSemiMixedTypes="0" containsString="0" containsNumber="1" minValue="0" maxValue="20" count="26">
        <n v="0"/>
        <n v="0.05"/>
        <n v="0.225"/>
        <n v="0.42"/>
        <n v="0.5"/>
        <n v="1.24"/>
        <n v="1.425"/>
        <n v="1.8"/>
        <n v="2.5"/>
        <n v="3"/>
        <n v="3.55"/>
        <n v="3.84"/>
        <n v="4.275"/>
        <n v="5"/>
        <n v="5.64"/>
        <n v="7.5"/>
        <n v="8"/>
        <n v="8.75"/>
        <n v="10.5"/>
        <n v="11.25"/>
        <n v="13.75"/>
        <n v="15"/>
        <n v="16.5"/>
        <n v="18.1"/>
        <n v="18.75"/>
        <n v="20"/>
      </sharedItems>
    </cacheField>
    <cacheField name="te_cost_factor" numFmtId="0">
      <sharedItems containsSemiMixedTypes="0" containsString="0" containsNumber="1" minValue="0" maxValue="20" count="31">
        <n v="0"/>
        <n v="0.25"/>
        <n v="0.75"/>
        <n v="2"/>
        <n v="2.4"/>
        <n v="2.75"/>
        <n v="3"/>
        <n v="4.15"/>
        <n v="4.25"/>
        <n v="4.6"/>
        <n v="4.75"/>
        <n v="5.3"/>
        <n v="6.5"/>
        <n v="7.25"/>
        <n v="7.75"/>
        <n v="9"/>
        <n v="9.3"/>
        <n v="9.6"/>
        <n v="9.75"/>
        <n v="10.25"/>
        <n v="10.5"/>
        <n v="10.8"/>
        <n v="11"/>
        <n v="11.25"/>
        <n v="12"/>
        <n v="12.35"/>
        <n v="13.35"/>
        <n v="13.5"/>
        <n v="18"/>
        <n v="18.9"/>
        <n v="20"/>
      </sharedItems>
    </cacheField>
    <cacheField name="year_multiplier" numFmtId="0">
      <sharedItems containsSemiMixedTypes="0" containsString="0" containsNumber="1" minValue="0.837333333333333" maxValue="0.993333333333333" count="36">
        <n v="0.837333333333333"/>
        <n v="0.84"/>
        <n v="0.842666666666667"/>
        <n v="0.848"/>
        <n v="0.850666666666667"/>
        <n v="0.857333333333333"/>
        <n v="0.862666666666667"/>
        <n v="0.868"/>
        <n v="0.870666666666667"/>
        <n v="0.874666666666667"/>
        <n v="0.876"/>
        <n v="0.877333333333333"/>
        <n v="0.878666666666667"/>
        <n v="0.881333333333333"/>
        <n v="0.885333333333333"/>
        <n v="0.886666666666667"/>
        <n v="0.889333333333333"/>
        <n v="0.890666666666667"/>
        <n v="0.894666666666667"/>
        <n v="0.9"/>
        <n v="0.902666666666667"/>
        <n v="0.909333333333333"/>
        <n v="0.912"/>
        <n v="0.917333333333333"/>
        <n v="0.92"/>
        <n v="0.921333333333333"/>
        <n v="0.924"/>
        <n v="0.925333333333333"/>
        <n v="0.926666666666667"/>
        <n v="0.949333333333333"/>
        <n v="0.952"/>
        <n v="0.966666666666667"/>
        <n v="0.968"/>
        <n v="0.985333333333333"/>
        <n v="0.990666666666667"/>
        <n v="0.993333333333333"/>
      </sharedItems>
    </cacheField>
    <cacheField name="capacity_factor" numFmtId="0">
      <sharedItems containsSemiMixedTypes="0" containsString="0" containsNumber="1" minValue="0" maxValue="29.8666666666667" count="59">
        <n v="0"/>
        <n v="1.2"/>
        <n v="1.26666666666667"/>
        <n v="1.33333333333333"/>
        <n v="1.4"/>
        <n v="1.5"/>
        <n v="1.66666666666667"/>
        <n v="2"/>
        <n v="2.16666666666667"/>
        <n v="2.4"/>
        <n v="2.6"/>
        <n v="2.66666666666667"/>
        <n v="3"/>
        <n v="3.13333333333333"/>
        <n v="3.2"/>
        <n v="3.33333333333333"/>
        <n v="3.4"/>
        <n v="3.6"/>
        <n v="3.66666666666667"/>
        <n v="4"/>
        <n v="4.8"/>
        <n v="4.93333333333333"/>
        <n v="5"/>
        <n v="5.1"/>
        <n v="5.33333333333333"/>
        <n v="5.46666666666667"/>
        <n v="5.5"/>
        <n v="5.6"/>
        <n v="5.7"/>
        <n v="5.83333333333333"/>
        <n v="6"/>
        <n v="6.4"/>
        <n v="6.66666666666667"/>
        <n v="6.7"/>
        <n v="6.8"/>
        <n v="7.06666666666667"/>
        <n v="7.46666666666667"/>
        <n v="7.6"/>
        <n v="7.7"/>
        <n v="8"/>
        <n v="8.4"/>
        <n v="8.5"/>
        <n v="8.53333333333333"/>
        <n v="8.8"/>
        <n v="9"/>
        <n v="9.33333333333333"/>
        <n v="9.6"/>
        <n v="10"/>
        <n v="10.8333333333333"/>
        <n v="11.9"/>
        <n v="12"/>
        <n v="13.3333333333333"/>
        <n v="15.3"/>
        <n v="16.3333333333333"/>
        <n v="18.6666666666667"/>
        <n v="21.2"/>
        <n v="23.3333333333333"/>
        <n v="24"/>
        <n v="29.8666666666667"/>
      </sharedItems>
    </cacheField>
    <cacheField name="type_run_cost" numFmtId="0">
      <sharedItems containsSemiMixedTypes="0" containsString="0" containsNumber="1" minValue="0.85" maxValue="1.5" count="5">
        <n v="0.85"/>
        <n v="0.9"/>
        <n v="1"/>
        <n v="1.2"/>
        <n v="1.5"/>
      </sharedItems>
    </cacheField>
    <cacheField name="type_purchase_cost" numFmtId="0">
      <sharedItems containsSemiMixedTypes="0" containsString="0" containsNumber="1" minValue="0.4" maxValue="2.5" count="11">
        <n v="0.4"/>
        <n v="0.45"/>
        <n v="0.6"/>
        <n v="0.7"/>
        <n v="1.5"/>
        <n v="1.725"/>
        <n v="1.8"/>
        <n v="2"/>
        <n v="2.3"/>
        <n v="2.4"/>
        <n v="2.5"/>
      </sharedItems>
    </cacheField>
    <cacheField name="cost" numFmtId="0">
      <sharedItems containsSemiMixedTypes="0" containsString="0" containsNumber="1" containsInteger="1" minValue="4" maxValue="251" count="69">
        <n v="4"/>
        <n v="8"/>
        <n v="9"/>
        <n v="10"/>
        <n v="12"/>
        <n v="13"/>
        <n v="14"/>
        <n v="20"/>
        <n v="21"/>
        <n v="25"/>
        <n v="26"/>
        <n v="27"/>
        <n v="28"/>
        <n v="30"/>
        <n v="31"/>
        <n v="34"/>
        <n v="36"/>
        <n v="37"/>
        <n v="38"/>
        <n v="39"/>
        <n v="41"/>
        <n v="42"/>
        <n v="44"/>
        <n v="45"/>
        <n v="46"/>
        <n v="48"/>
        <n v="50"/>
        <n v="54"/>
        <n v="58"/>
        <n v="61"/>
        <n v="62"/>
        <n v="63"/>
        <n v="64"/>
        <n v="65"/>
        <n v="66"/>
        <n v="67"/>
        <n v="69"/>
        <n v="72"/>
        <n v="73"/>
        <n v="75"/>
        <n v="76"/>
        <n v="78"/>
        <n v="82"/>
        <n v="88"/>
        <n v="93"/>
        <n v="94"/>
        <n v="101"/>
        <n v="104"/>
        <n v="105"/>
        <n v="111"/>
        <n v="116"/>
        <n v="120"/>
        <n v="121"/>
        <n v="127"/>
        <n v="130"/>
        <n v="134"/>
        <n v="141"/>
        <n v="143"/>
        <n v="153"/>
        <n v="157"/>
        <n v="167"/>
        <n v="168"/>
        <n v="170"/>
        <n v="171"/>
        <n v="208"/>
        <n v="213"/>
        <n v="231"/>
        <n v="244"/>
        <n v="251"/>
      </sharedItems>
    </cacheField>
    <cacheField name="running_cost" numFmtId="0">
      <sharedItems containsSemiMixedTypes="0" containsString="0" containsNumber="1" containsInteger="1" minValue="14" maxValue="1284" count="71">
        <n v="14"/>
        <n v="20"/>
        <n v="27"/>
        <n v="28"/>
        <n v="29"/>
        <n v="30"/>
        <n v="31"/>
        <n v="32"/>
        <n v="33"/>
        <n v="35"/>
        <n v="37"/>
        <n v="38"/>
        <n v="43"/>
        <n v="46"/>
        <n v="47"/>
        <n v="48"/>
        <n v="49"/>
        <n v="51"/>
        <n v="53"/>
        <n v="54"/>
        <n v="55"/>
        <n v="58"/>
        <n v="61"/>
        <n v="64"/>
        <n v="65"/>
        <n v="66"/>
        <n v="67"/>
        <n v="69"/>
        <n v="70"/>
        <n v="71"/>
        <n v="73"/>
        <n v="74"/>
        <n v="75"/>
        <n v="76"/>
        <n v="77"/>
        <n v="79"/>
        <n v="82"/>
        <n v="84"/>
        <n v="86"/>
        <n v="88"/>
        <n v="101"/>
        <n v="102"/>
        <n v="103"/>
        <n v="104"/>
        <n v="105"/>
        <n v="107"/>
        <n v="109"/>
        <n v="113"/>
        <n v="114"/>
        <n v="118"/>
        <n v="121"/>
        <n v="126"/>
        <n v="128"/>
        <n v="147"/>
        <n v="150"/>
        <n v="154"/>
        <n v="165"/>
        <n v="168"/>
        <n v="172"/>
        <n v="175"/>
        <n v="183"/>
        <n v="225"/>
        <n v="305"/>
        <n v="318"/>
        <n v="1040"/>
        <n v="1053"/>
        <n v="1190"/>
        <n v="1192"/>
        <n v="1195"/>
        <n v="1197"/>
        <n v="1284"/>
      </sharedItems>
    </cacheField>
    <cacheField name="cost_gbp" numFmtId="0">
      <sharedItems containsSemiMixedTypes="0" containsString="0" containsNumber="1" minValue="500" maxValue="196093.75" count="71">
        <n v="500"/>
        <n v="562.5"/>
        <n v="625"/>
        <n v="812.5"/>
        <n v="875"/>
        <n v="3000"/>
        <n v="3125"/>
        <n v="3625"/>
        <n v="4187.5"/>
        <n v="7937.5"/>
        <n v="8125"/>
        <n v="9375"/>
        <n v="10437.5"/>
        <n v="10500"/>
        <n v="10625"/>
        <n v="10687.5"/>
        <n v="13312.5"/>
        <n v="15625"/>
        <n v="16406.25"/>
        <n v="19531.25"/>
        <n v="20312.5"/>
        <n v="21093.75"/>
        <n v="21875"/>
        <n v="23437.5"/>
        <n v="24218.75"/>
        <n v="26562.5"/>
        <n v="28125"/>
        <n v="28906.25"/>
        <n v="29687.5"/>
        <n v="30468.75"/>
        <n v="32031.25"/>
        <n v="32812.5"/>
        <n v="34375"/>
        <n v="35156.25"/>
        <n v="35937.5"/>
        <n v="37500"/>
        <n v="39062.5"/>
        <n v="42187.5"/>
        <n v="47656.25"/>
        <n v="48437.5"/>
        <n v="49218.75"/>
        <n v="50000"/>
        <n v="50781.25"/>
        <n v="51562.5"/>
        <n v="52343.75"/>
        <n v="53906.25"/>
        <n v="56250"/>
        <n v="57031.25"/>
        <n v="58593.75"/>
        <n v="59375"/>
        <n v="60937.5"/>
        <n v="64062.5"/>
        <n v="68750"/>
        <n v="72656.25"/>
        <n v="73437.5"/>
        <n v="78906.25"/>
        <n v="81250"/>
        <n v="82031.25"/>
        <n v="86718.75"/>
        <n v="90625"/>
        <n v="93750"/>
        <n v="94531.25"/>
        <n v="104687.5"/>
        <n v="110156.25"/>
        <n v="111718.75"/>
        <n v="119531.25"/>
        <n v="122656.25"/>
        <n v="162500"/>
        <n v="180468.75"/>
        <n v="190625"/>
        <n v="196093.75"/>
      </sharedItems>
    </cacheField>
    <cacheField name="run_cost_gbp" numFmtId="0">
      <sharedItems containsSemiMixedTypes="0" containsString="0" containsNumber="1" minValue="76.44" maxValue="25837.5" count="73">
        <n v="76.44"/>
        <n v="81.9"/>
        <n v="84.63"/>
        <n v="87.36"/>
        <n v="90.09"/>
        <n v="95.55"/>
        <n v="101.01"/>
        <n v="103.74"/>
        <n v="286.65"/>
        <n v="311.22"/>
        <n v="343.98"/>
        <n v="1137.5"/>
        <n v="1625"/>
        <n v="2193.75"/>
        <n v="2356.25"/>
        <n v="2681.25"/>
        <n v="2839.2"/>
        <n v="2874.69"/>
        <n v="3087.5"/>
        <n v="3248.7"/>
        <n v="3254.16"/>
        <n v="3262.35"/>
        <n v="3267.81"/>
        <n v="3493.75"/>
        <n v="3505.32"/>
        <n v="3737.5"/>
        <n v="3818.75"/>
        <n v="3900"/>
        <n v="3981.25"/>
        <n v="4143.75"/>
        <n v="4306.25"/>
        <n v="4387.5"/>
        <n v="4468.75"/>
        <n v="4712.5"/>
        <n v="4956.25"/>
        <n v="5200"/>
        <n v="5281.25"/>
        <n v="5362.5"/>
        <n v="5443.75"/>
        <n v="5606.25"/>
        <n v="5687.5"/>
        <n v="5768.75"/>
        <n v="5931.25"/>
        <n v="6012.5"/>
        <n v="6093.75"/>
        <n v="6175"/>
        <n v="6256.25"/>
        <n v="6418.75"/>
        <n v="6662.5"/>
        <n v="6825"/>
        <n v="6987.5"/>
        <n v="7150"/>
        <n v="8206.25"/>
        <n v="8287.5"/>
        <n v="8368.75"/>
        <n v="8450"/>
        <n v="8693.75"/>
        <n v="8856.25"/>
        <n v="9181.25"/>
        <n v="9587.5"/>
        <n v="9831.25"/>
        <n v="10400"/>
        <n v="11943.75"/>
        <n v="12187.5"/>
        <n v="12512.5"/>
        <n v="13406.25"/>
        <n v="13650"/>
        <n v="13975"/>
        <n v="14218.75"/>
        <n v="14868.75"/>
        <n v="18281.25"/>
        <n v="24781.25"/>
        <n v="25837.5"/>
      </sharedItems>
    </cacheField>
    <cacheField name="double_headed" numFmtId="0">
      <sharedItems containsString="0" containsBlank="1" containsNumber="1" containsInteger="1" minValue="1" maxValue="2" count="3">
        <n v="1"/>
        <n v="2"/>
        <m/>
      </sharedItems>
    </cacheField>
    <cacheField name="dvt" numFmtId="0">
      <sharedItems containsString="0" containsBlank="1" containsNumber="1" containsInteger="1" minValue="1" maxValue="1" count="2">
        <n v="1"/>
        <m/>
      </sharedItems>
    </cacheField>
    <cacheField name="inhibit_lead" numFmtId="0">
      <sharedItems containsString="0" containsBlank="1" containsNumber="1" containsInteger="1" minValue="1" maxValue="1" count="2">
        <n v="1"/>
        <m/>
      </sharedItems>
    </cacheField>
    <cacheField name="tilting" numFmtId="0">
      <sharedItems containsString="0" containsBlank="1" containsNumber="1" containsInteger="1" minValue="1" maxValue="1" count="2">
        <n v="1"/>
        <m/>
      </sharedItems>
    </cacheField>
    <cacheField name="multiple_working" numFmtId="0">
      <sharedItems containsBlank="1" count="40">
        <s v="apt_half_6_rev,apt_powercar,apt_half_2,apt_half_2_rev,apt_q_dvt,apt_s_dm,apt_s_10,apt_s_6"/>
        <s v="apt_half_6,apt_half_6_rev,apt_half_2,apt_half_2_rev,apt_q_dvt,apt_s_dm,apt_s_10,apt_s_6"/>
        <s v="apt_half_6,apt_half_6_rev,apt_powercar,apt_half_2_rev,apt_q_dvt,apt_s_dm,apt_s_10,apt_s_6"/>
        <s v="apt_half_6,apt_half_6_rev,apt_powercar,apt_half_2,apt_half_2_rev,apt_q_dvt,apt_s_10,apt_s_6"/>
        <s v="apt_half_6,apt_half_6_rev,apt_powercar,apt_half_2,apt_half_2_rev,apt_q_dvt,apt_s_dm,apt_s_10"/>
        <s v="apt_half_6,apt_half_6_rev,apt_powercar,apt_half_2,apt_half_2_rev,apt_q_dvt,apt_s_dm,apt_s_6"/>
        <s v="apt_half_6,apt_half_6_rev,apt_powercar,apt_half_2,apt_half_2_rev,apt_s_dm,apt_s_10,apt_s_6"/>
        <s v="apt_half_6,apt_half_6_rev,apt_powercar,apt_half_2,apt_q_dvt,apt_s_dm,apt_s_10,apt_s_6"/>
        <s v="apt_half_6,apt_powercar,apt_half_2,apt_half_2_rev,apt_q_dvt,apt_s_dm,apt_s_10,apt_s_6"/>
        <s v="br_class_411,br_class_419"/>
        <s v="br_class_411,br_class_489"/>
        <s v="br_class_419,br_class_489"/>
        <s v="class_151,class_153"/>
        <s v="class_151,class_153_mail"/>
        <s v="class_153,class_153_mail"/>
        <s v="class_201_4car,class_205_3car,class_205_2car"/>
        <s v="class_201_6car,class_205_3car,class_205_2car"/>
        <s v="class_205_2car,class_201_6car,class_201_4car"/>
        <s v="class_205_3car,class_201_6car,class_201_4car"/>
        <s v="class_210_3car"/>
        <s v="class_210_4car"/>
        <s v="class_302_4car,class_302_parcels,class_309_2_4car_buf,class_309_3_4car"/>
        <s v="class_302_4car,class_302_parcels,class_309_2car,class_309_2_4car_buf"/>
        <s v="class_302_4car,class_302_parcels,class_309_2car,class_309_2_4car_buf,class_309_3_4car"/>
        <s v="class_302_4car,class_302_parcels,class_309_2car,class_309_3_4car"/>
        <s v="class_302_4car,class_309_2car,class_309_2_4car_buf,class_309_3_4car"/>
        <s v="class_302_parcels,class_309_2car,class_309_2_4car_buf,class_309_3_4car"/>
        <s v="lbscr_cp_emu_2,lbscr_cp_emu_3,lbscr_cp_emu_4,lbscr_cp_emu_5"/>
        <s v="lbscr_cp_emu_2,lbscr_cp_emu_3,lbscr_cp_emu_4,lbscr_cp_emu_6"/>
        <s v="lbscr_cp_emu_2,lbscr_cp_emu_3,lbscr_cp_emu_5,lbscr_cp_emu_6"/>
        <s v="lbscr_cp_emu_2,lbscr_cp_emu_4,lbscr_cp_emu_5,lbscr_cp_emu_6"/>
        <s v="lbscr_cp_emu_3,lbscr_cp_emu_4,lbscr_cp_emu_5,lbscr_cp_emu_6"/>
        <s v="meridian_4car,meridian_5car,meridian_7car"/>
        <s v="meridian_4car,meridian_5car,meridian_9car"/>
        <s v="meridian_4car,meridian_7car,meridian_9car"/>
        <s v="meridian_5car,meridian_7car,meridian_9car"/>
        <s v="mr_horsham_emu_1car,mr_horsham_emu_2car"/>
        <s v="mr_horsham_emu_1car,mr_horsham_emu_3car"/>
        <s v="mr_horsham_emu_2car,mr_horsham_emu_3car"/>
        <m/>
      </sharedItems>
    </cacheField>
    <cacheField name="requires_second_power_car" numFmtId="0">
      <sharedItems containsString="0" containsBlank="1" count="1">
        <m/>
      </sharedItems>
    </cacheField>
    <cacheField name="enable_param" numFmtId="0">
      <sharedItems containsBlank="1" count="7">
        <s v="concept_trains"/>
        <s v="param_max_mu_length &lt; 1"/>
        <s v="param_max_mu_length &lt; 2"/>
        <s v="param_max_mu_length &lt; 2 &amp;&amp; concept_trains"/>
        <s v="param_max_mu_length == 0"/>
        <s v="param_max_mu_length == 0 &amp;&amp; concept_trains"/>
        <m/>
      </sharedItems>
    </cacheField>
    <cacheField name="intro_month" numFmtId="0">
      <sharedItems containsSemiMixedTypes="0" containsString="0" containsNumber="1" containsInteger="1" minValue="1" maxValue="11" count="11">
        <n v="1"/>
        <n v="2"/>
        <n v="3"/>
        <n v="4"/>
        <n v="5"/>
        <n v="6"/>
        <n v="7"/>
        <n v="8"/>
        <n v="9"/>
        <n v="10"/>
        <n v="11"/>
      </sharedItems>
    </cacheField>
    <cacheField name="cargo_age_period" numFmtId="0">
      <sharedItems containsString="0" containsBlank="1" containsNumber="1" containsInteger="1" minValue="148" maxValue="278" count="7">
        <n v="148"/>
        <n v="185"/>
        <n v="205"/>
        <n v="222"/>
        <n v="232"/>
        <n v="278"/>
        <m/>
      </sharedItems>
    </cacheField>
    <cacheField name="cargo_handling" numFmtId="0">
      <sharedItems containsBlank="1" count="7">
        <s v="Brakevan"/>
        <s v="Container"/>
        <s v="Covered"/>
        <s v="Parcel"/>
        <s v="Passengers"/>
        <s v="Powder"/>
        <m/>
      </sharedItems>
    </cacheField>
    <cacheField name="pax_special" numFmtId="0">
      <sharedItems containsBlank="1" count="4">
        <s v="buffet"/>
        <s v="generator_car"/>
        <s v="nightstar"/>
        <m/>
      </sharedItems>
    </cacheField>
    <cacheField name="default_cargo" numFmtId="0">
      <sharedItems containsBlank="1" count="8">
        <s v="BDMT"/>
        <s v="BRAKE"/>
        <s v="GOOD"/>
        <s v="GRAI"/>
        <s v="MAIL"/>
        <s v="PASS"/>
        <s v="SALT"/>
        <m/>
      </sharedItems>
    </cacheField>
    <cacheField name="era_id" numFmtId="0">
      <sharedItems count="6">
        <s v="big4"/>
        <s v="dsl"/>
        <s v="edw"/>
        <s v="lbr"/>
        <s v="mod"/>
        <s v="prv"/>
      </sharedItems>
    </cacheField>
    <cacheField name="category" numFmtId="0">
      <sharedItems count="13">
        <s v="Carriage"/>
        <s v="Cheap"/>
        <s v="DMU"/>
        <s v="DMU (Express)"/>
        <s v="EMU"/>
        <s v="EMU (Express)"/>
        <s v="Express"/>
        <s v="Express (Electric)"/>
        <s v="Extra"/>
        <s v="Freight"/>
        <s v="Mail Carriage"/>
        <s v="MT (Electric)"/>
        <s v="Tanker"/>
      </sharedItems>
    </cacheField>
    <cacheField name="era_cat" numFmtId="0">
      <sharedItems count="30">
        <s v="big4_Cheap"/>
        <s v="big4_EMU"/>
        <s v="big4_Extra"/>
        <s v="big4_Tanker"/>
        <s v="dsl_DMU"/>
        <s v="dsl_DMU (Express)"/>
        <s v="dsl_EMU"/>
        <s v="dsl_EMU (Express)"/>
        <s v="dsl_Mail Carriage"/>
        <s v="dsl_Tanker"/>
        <s v="edw_Carriage"/>
        <s v="edw_EMU"/>
        <s v="edw_Tanker"/>
        <s v="lbr_Carriage"/>
        <s v="lbr_DMU"/>
        <s v="lbr_EMU"/>
        <s v="lbr_EMU (Express)"/>
        <s v="lbr_Express"/>
        <s v="lbr_Express (Electric)"/>
        <s v="lbr_Freight"/>
        <s v="lbr_Mail Carriage"/>
        <s v="lbr_Tanker"/>
        <s v="mod_Carriage"/>
        <s v="mod_EMU"/>
        <s v="mod_EMU (Express)"/>
        <s v="mod_MT (Electric)"/>
        <s v="mod_Tanker"/>
        <s v="prv_Carriage"/>
        <s v="prv_DMU (Express)"/>
        <s v="prv_Freight"/>
      </sharedItems>
    </cacheField>
    <cacheField name="power_class" numFmtId="0">
      <sharedItems count="14">
        <s v="brake_RAIL"/>
        <s v="carriage_RAIL"/>
        <s v="diesel_RAIL"/>
        <s v="dual_electric_DUAL_POWER"/>
        <s v="dual_electric_ELRL"/>
        <s v="dual_power_BATTERY"/>
        <s v="dual_power_ELRL"/>
        <s v="dual_power_RAIL"/>
        <s v="electric_ELRL"/>
        <s v="electric_THIRD_RAIL"/>
        <s v="generator_car_RAIL"/>
        <s v="luxury_carriage_RAIL"/>
        <s v="none_RAIL"/>
        <s v="wagon_RAIL"/>
      </sharedItems>
    </cacheField>
    <cacheField name="length_text" numFmtId="0">
      <sharedItems count="31">
        <s v="{BLACK}Length: {GOLD}0.3 tiles{}"/>
        <s v="{BLACK}Length: {GOLD}0.4 tiles{}"/>
        <s v="{BLACK}Length: {GOLD}0.5 tiles{}"/>
        <s v="{BLACK}Length: {GOLD}0.7 tiles{}"/>
        <s v="{BLACK}Length: {GOLD}0.8 tiles{}"/>
        <s v="{BLACK}Length: {GOLD}0.9 tiles{}"/>
        <s v="{BLACK}Length: {GOLD}1.0 tiles{}"/>
        <s v="{BLACK}Length: {GOLD}1.3 tiles{}"/>
        <s v="{BLACK}Length: {GOLD}1.5 tiles{}"/>
        <s v="{BLACK}Length: {GOLD}1.9 tiles{}"/>
        <s v="{BLACK}Length: {GOLD}10.7 tiles{}"/>
        <s v="{BLACK}Length: {GOLD}11.8 tiles{}"/>
        <s v="{BLACK}Length: {GOLD}14.2 tiles{}"/>
        <s v="{BLACK}Length: {GOLD}14.5 tiles{}"/>
        <s v="{BLACK}Length: {GOLD}2.3 tiles{}"/>
        <s v="{BLACK}Length: {GOLD}2.5 tiles{}"/>
        <s v="{BLACK}Length: {GOLD}2.8 tiles{}"/>
        <s v="{BLACK}Length: {GOLD}3.0 tiles{}"/>
        <s v="{BLACK}Length: {GOLD}3.2 tiles{}"/>
        <s v="{BLACK}Length: {GOLD}3.5 tiles{}"/>
        <s v="{BLACK}Length: {GOLD}3.8 tiles{}"/>
        <s v="{BLACK}Length: {GOLD}4.1 tiles{}"/>
        <s v="{BLACK}Length: {GOLD}4.2 tiles{}"/>
        <s v="{BLACK}Length: {GOLD}4.4 tiles{}"/>
        <s v="{BLACK}Length: {GOLD}4.5 tiles{}"/>
        <s v="{BLACK}Length: {GOLD}5.7 tiles{}"/>
        <s v="{BLACK}Length: {GOLD}6.0 tiles{}"/>
        <s v="{BLACK}Length: {GOLD}6.2 tiles{}"/>
        <s v="{BLACK}Length: {GOLD}6.5 tiles{}"/>
        <s v="{BLACK}Length: {GOLD}7.9 tiles{}"/>
        <s v="{BLACK}Length: {GOLD}9.0 tiles{}"/>
      </sharedItems>
    </cacheField>
    <cacheField name="power_text" numFmtId="0">
      <sharedItems containsBlank="1" count="9">
        <s v=""/>
        <s v="{BLACK}Powered by: {GOLD}25kV AC"/>
        <s v="{BLACK}Powered by: {GOLD}25kV AC / 750V DC"/>
        <s v="{BLACK}Powered by: {GOLD}25kV AC / Diesel"/>
        <s v="{BLACK}Powered by: {GOLD}750V DC"/>
        <s v="{BLACK}Powered by: {GOLD}750V DC / Battery"/>
        <s v="{BLACK}Powered by: {GOLD}750V DC / Diesel"/>
        <s v="{BLACK}Powered by: {GOLD}Diesel"/>
        <m/>
      </sharedItems>
    </cacheField>
    <cacheField name="units_text" numFmtId="0">
      <sharedItems count="13">
        <s v=""/>
        <s v="{BLACK}Cars: {GOLD}10"/>
        <s v="{BLACK}Cars: {GOLD}12"/>
        <s v="{BLACK}Cars: {GOLD}16"/>
        <s v="{BLACK}Cars: {GOLD}2"/>
        <s v="{BLACK}Cars: {GOLD}20"/>
        <s v="{BLACK}Cars: {GOLD}3"/>
        <s v="{BLACK}Cars: {GOLD}4"/>
        <s v="{BLACK}Cars: {GOLD}5"/>
        <s v="{BLACK}Cars: {GOLD}6"/>
        <s v="{BLACK}Cars: {GOLD}7"/>
        <s v="{BLACK}Cars: {GOLD}8"/>
        <s v="{BLACK}Cars: {GOLD}9"/>
      </sharedItems>
    </cacheField>
    <cacheField name="bio" numFmtId="0">
      <sharedItems count="73" longText="1">
        <s v="A “Really Useless Engine” – these small, simple industrial locomotives saw service in many industrial yards but were almost never seen on the boader network."/>
        <s v="A 6-car half-rake of APT-P vehicles. This is the rear half of a formation."/>
        <s v="A 6-car unpowered half-rake of APT-P vehicles. Pair with the Non-Driving power car and a reversed set for a complete unit."/>
        <s v="A class of 2 prototype DMUs built to compete for the contract that became the Class 150 fleet purchase. These units suffered with gearbox issues and the BREL type won the contest instead."/>
        <s v="A conversion of the Mk3 coach to incorporate a driving cab was proposed before the Polmont derailment put a stop to the idea of having passengers in the leading vehicle of locomotive-propelled trains."/>
        <s v="A depowered Class 43, proposed as a conversion from surplus power cars and now suitable for carrying baggage."/>
        <s v="A fictional shorter Class 374 variant…"/>
        <s v="A late conversion of the 2HAP driving motor to a cab and luggage car for Gatwick Express services"/>
        <s v="A later conversion of the Class 302 to a parcels unit involved the addition of roller doors to the bodyside for faster loading and unloading. The prototypes were also painted in a striking Royal Mail red livery."/>
        <s v="A mild upgrade in power made the Ruston 88 significantly more effective than it’s little brother, without vastly increasing cost."/>
        <s v="A minimal 2-car half-rake of APT-P Vehicles. Lack of dining facilities makes this much less attractive for passengers. Pair with the Non-Driving power car and a reversed set for a complete unit."/>
        <s v="A minimal 2-car half-rake of APT-P Vehicles. Lack of dining facilities makes this much less attractive for passengers. This is the rear half of a formation."/>
        <s v="A proposed electric version of the Class 43 ‘HST’ Power Car was oft-discussed after the failure of the APT program."/>
        <s v="A suburban Mk1 EMU that mainly operated out of East London on the LT&amp;S line. Here we represent the refurbished condition of these units, which lasted until 1998."/>
        <s v="An adaption of the french TGV to UK Loading gauge, and designed to run through the Channel Tunnel onto 750V DC track for a slow crawl into south London, the Class 373 continues to run international services."/>
        <s v="An APT-P centre power car"/>
        <s v="An articulated trailer rake of APT-S Vehicles, intended to run with a Driving Motor and a DVT but also usable in other weird combinations."/>
        <s v="By the 2000s the BR-era 2-axle cement tankers then in use were beginning to show their age. They were replaced by these large bogie tank wagons built in Germany, with a distinctive fish-belly shape."/>
        <s v="By the 90s parcels traffic was in decline on the railway, and increasingly movement focused on fixed flows between mail terminals. As a result, a number of vehicles were rebuilt with roller shutter doors for faster loading."/>
        <s v="Class 201 ‘Hastings’ Units were constructed to a narrow loading gauge to work through a number of limited clearance tunnels in the southern region. Southern DEMUs of the time had their engines mounted above the frames."/>
        <s v="Class 205 units were a relatively numerous class of high-density non-corridor multiple units that worked services across Hampshire. In many ways they were the classic ‘Thumper’ unit."/>
        <s v="Early 20th century sleeping cars were often heavier and larger than their daytime counterparts. This represents a wooden-bodied, 6-axle sleeping coach of the golden era of train travel, in reality there were many variants built in many batches."/>
        <s v="Eurostar’s 2010s replacement for the Class 373 units, which were by this point corroding and becoming rather unreliable took a number of years to enter service but allowed Eurostar to begin service to new destinations in Europe."/>
        <s v="In the 1980s a number of BG vehicles were upgraded with B4 bogies and cleared for travel at 110mph, to provide additional capacity within fast passenger services, which were typically run with Mark 2 stock."/>
        <s v="Large bogie covered hoppers first appeared in Britain in the mid 1970s. These were frequently privately owned and registered as international vehicles. This slab-sided ‘Polybulk’ example was built in France."/>
        <s v="Mk5 sleeper services make up for their pathetic berth count with conventional seated stock, featuring a 2+1 airline style seating and not enough recline in the seats."/>
        <s v="Originally to power the “Nightstar” european sleeper services away from electrified lines, this sub-class of 12 locomotives mostly saw use as rescue and freight locomotives with other operators."/>
        <s v="Stadler’s Class 745 units replaced Class 90 hauled trains on the GEML. The semi-articulated design was required to meet crashworthiness specifications."/>
        <s v="The ‘Clacton’ units were iconic express EMUs of the GEML’s early electrification. This subclass represents a 2 car formation, used to boost 2nd class capacity and power on peak time services."/>
        <s v="The ‘Clacton’ units were iconic express EMUs of the GEML’s early electrification. This subclass represents a 4 car formation complete with the famous ‘Griddle Car’ restaurant."/>
        <s v="The ‘Clacton’ units were iconic express EMUs of the GEML’s early electrification. This subclass represents a basic 4 car formation complete."/>
        <s v="The APT-Q was proposed to rationalise existing APT-P stock into usable 6-car tains, with a single non-driving power car and a new-build DVT."/>
        <s v="The APT-S was a rework of the APT concept towards more conventional rolling stock, with a driving motor car, articulated trailers and a DVT."/>
        <s v="The archetypal Mk1 Express EMU – 4CEP units were an evolution of the earlier southern 4COR units. 133 were built and they enjoyed a long career into the early 2000s."/>
        <s v="The Blue Pullman is an express diesel multiple unit, designed to tempt motorists from their cars with a luxurious inter-city service. This is the 8-car “Western Region” set layout."/>
        <s v="The BR ‘Whiskey Covhops’ were a common sight on long-distance freight trains from southern England, headed for the distilleries of Scotland."/>
        <s v="The Class 153 was a conversion of earlier Class 155 units, 35 of which were split in two with small cabs added at the inner ends."/>
        <s v="The Class 210 was an early design for the modernization of DMU services that became the Sprinter series. A diesel-electric design to a very high specification, but through gangways and above-solebar engines like the classic ‘Thumper’. This unit represents 210 001, the 4-car test unit."/>
        <s v="The Class 210 was an early design for the modernization of DMU services that became the Sprinter series. A diesel-electric design to a very high specification, but through gangways and above-solebar engines like the classic ‘Thumper’. This unit represents 210 002, the 3-car test unit."/>
        <s v="The Class 222 is the final development of the Bombardier DEMU series, built first for the Midland Main Line and later seeing service in Scotland and with Open-Access operators."/>
        <s v="The Class 38 was a proposed cut-down Class 58 using a 2000hp-class diesel engine. If built, these would likely have displaced the oldest remaining Type 2 and Type 3 locomotives on the network, replacing Class 31s and Class 37s on freight duties."/>
        <s v="The Class 419 Motor Luggage Van was used to extend the luggage capacity of express services and was capable of running on it’s own batteries within non-electrified areas."/>
        <s v="The Class 717 ‘Desiro City’ units are variants of the Class 700 Thameslink units, with front emergency exit doors to allow them to work the Northern City Line. They replaced earlier PEP units on King’s Cross suburban services."/>
        <s v="The Class 810 &quot;Aurora&quot; is a variant on the class 800 series, built to a shorter vehicle length to suit station lengths on the Midland Mainline. It finally began to displace Class 222 DEMUs at the end of 2025."/>
        <s v="The Class 88 was a proposed re-use of the Class 58 design, dropping the diesel engine for a 25kv Overhead power supply."/>
        <s v="The European ‘Nightstar’ service never got off the ground and the Mark 4 derived coaches were eventually exported to Canada. 8-car sets were intended for flagship service between London and major European cities."/>
        <s v="The European ‘Nightstar’ service never got off the ground and the Mark 4 derived coaches were eventually exported to Canada. The 7-car sets were intended for service to the West Country, Wales and Scotland."/>
        <s v="The first of a number of cancelled cross-channel service concepts, the Regional Eurostar sets never operated as intended, but were used for relief services on the ECML and as conventional TGV sets in France."/>
        <s v="The first SR ‘Queen Mary’ Brake vans converted from LBSCR ‘Milk Van’ MLVs, and lasted in departmental and limited freight service into the 2000s! A shed on rails with a stove and a desk has 1000 uses."/>
        <s v="The first SR ‘Queen Mary’ Brake vans converted from LBSCR ‘Milk Van’ MLVs, and lasted in departmental and limited freight service into the 2000s! A shed on rails with a stove and a desk has 1000 uses. This variant is in the alternate company colour scheme."/>
        <s v="The LB&amp;SCR (Later SR) “Coulsden &amp; Wallington” EMUs were a rather more uniform set of vehicles than their previous units, and included a large dedicated luggage vehicle in the centre of the formation. They were soon converted to standard 3rd rail power supply."/>
        <s v="The LB&amp;SCR (Later SR) “CP” EMUs were a nightmare of different build dates and vehicle sizes, designed for use on the “Elevated Electric” line into London."/>
        <s v="The LMS Grain Hooper was later standardised into the BR COVGRAIN standard design. Long-distance bulk grain service in covered hoppers was a significant efficiency gain over shipping bagged grain by the vanload."/>
        <s v="The Mk1 Sleeper was built in relatively large numbers. The type was not especially popular with passengers, but the service was still an improvement on sleeping in ordinary compartment stock of the time."/>
        <s v="The Mk3 Sleeper was a significant upgrade over the previous stock – being air conditioned and air sprung. Two berths per cabin unfortunately give these vehicles a low capacity. This represents a typical Sleeper, Either Class, Pantry (SLEP) vehicle."/>
        <s v="The Mk5 ‘Club Car’ is the dining facility for sleeper services, but the 30 seats within are not bookable for travel."/>
        <s v="The Mk5 sleeper trains were procured to replace Mk3 sleepers. With the end of double berths, these trains have an even lower capacity than what they replaced!"/>
        <s v="The motor luggage vans powering the CW EMUs were usable locomotives in their own right, and could operate independantly if needed."/>
        <s v="The native design of LMS Brake Van had a sizable veranda at both ends. Once again, they lasted well into BR ownership as part of Engineers’ trains."/>
        <s v="The Nightstar rolling stock was so power-hungry that a number of Mk3 Sleepers were converted with 450 kVA generator sets for use when away from electrified areas."/>
        <s v="The PCA tanker, with it’s notable depressed-center ‘vee’ appearance, could carry large amounts of cement and was a common sight in mixed freight trains."/>
        <s v="The Presflo covered hopper was designed specifically to carry cement powder, being unloaded via a pressurized air connection and liquefaction of the cargo."/>
        <s v="The standard parcels and baggage car on British Rail for decades, the Mk1 Brake Gangwayed was extremely versatile. This represents a standard 57’ frame example, making it noticably shorter than the standard Mk1 coach."/>
        <s v="The standard RCH Salt Wagon design of 1907 was long-lived in private ownership and saw some use beyond sodium chloride, which was largely used as part of the chemical industry."/>
        <s v="The suburban conversion of ex-class 460 trains, now through-gangwayed and in 5 car formations. 4 of the former Class 460 baggage vehicles were scrapped as part of the conversion program."/>
        <s v="The Windhoff MPV units were mainly used for Departmental service, notably in the iconic Rail Head Treatment trains, but trials were made in freight service."/>
        <s v="These re-engined and modernized Class 73s retained their ability to run from the third rail but received diesel engines capable of operating at an equivalent power level."/>
        <s v="This is a representative BR GRAINFIT wagon, a vacuum-braked bulk hopper derived from the 1930s LMS design."/>
        <s v="This Midland Railway design of Brake Van was also built by the LMS - over 800 were constructed and they were still extant into the early 1960s."/>
        <s v="To facilitate the testing and introduction of the Class 91 fleet prior to the availability of Mark 4 Driving Van Trailers, 8 HST Power Cars were converted to act as control vehicles for electric locomotives."/>
        <s v="Tyne and Wear’s ‘Metrocars’ were built by Metro-Cammell to serve the Newcastle metro system in the northeast of England – an amalgamation of a number of suburban lines and newly built tunnels."/>
        <s v="Very early experiments in AC Multiple Units were built for the Lancaster-Morecambe-Heysham line, and were remarkably successful. Various lengths of unit were available, with twice as many single-ended driving trailers built as double-ended driving motors were."/>
        <s v="What if the class 153s were converted for parcels service rather than passenger use? This preceds the later use of the 153 as supplementary bike carriages or ‘active travel’ vehicles."/>
      </sharedItems>
    </cacheField>
    <cacheField name="brake_text" numFmtId="0">
      <sharedItems count="8">
        <s v=""/>
        <s v="{YELLOW}10% bonus for long distance travel{}"/>
        <s v="{YELLOW}20% bonus for long distance travel{}"/>
        <s v="{YELLOW}20% penalty for long distance travel{}"/>
        <s v="{YELLOW}25% bonus for long distance travel{}"/>
        <s v="{YELLOW}25% long distance bonus for consist{}"/>
        <s v="{YELLOW}50% bonus for long distance travel{}"/>
        <s v="{YELLOW}50% long distance bonus, if combined with generator car or 5000hp+ locomotive{}"/>
      </sharedItems>
    </cacheField>
    <cacheField name="additional_text" numFmtId="0">
      <sharedItems count="90" longText="1">
        <s v="{BLACK}Cars: {GOLD}10{}{BLACK}Length: {GOLD}0.8 tiles{}{YELLOW}20% bonus for long distance travel{}{SILVER}An articulated trailer rake of APT-S Vehicles, intended to run with a Driving Motor and a DVT but also usable in other weird combinations."/>
        <s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
        <s v="{BLACK}Cars: {GOLD}2{}{BLACK}Length: {GOLD}1.5 tiles{}{SILVER}A minimal 2-car half-rake of APT-P Vehicles. Lack of dining facilities makes this much less attractive for passengers. Pair with the Non-Driving power car and a reversed set for a complete unit."/>
        <s v="{BLACK}Cars: {GOLD}2{}{BLACK}Length: {GOLD}1.5 tiles{}{SILVER}A minimal 2-car half-rake of APT-P Vehicles. Lack of dining facilities makes this much less attractive for passengers. This is the rear half of a formation."/>
        <s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
        <s v="{BLACK}Cars: {GOLD}6{}{BLACK}Length: {GOLD}0.8 tiles{}{YELLOW}20% bonus for long distance travel{}{SILVER}An articulated trailer rake of APT-S Vehicles, intended to run with a Driving Motor and a DVT but also usable in other weird combinations."/>
        <s v="{BLACK}Cars: {GOLD}6{}{BLACK}Length: {GOLD}0.9 tiles{}{YELLOW}20% bonus for long distance travel{}{SILVER}A 6-car half-rake of APT-P vehicles. This is the rear half of a formation."/>
        <s v="{BLACK}Cars: {GOLD}6{}{BLACK}Length: {GOLD}0.9 tiles{}{YELLOW}20% bonus for long distance travel{}{SILVER}A 6-car unpowered half-rake of APT-P vehicles. Pair with the Non-Driving power car and a reversed set for a complete unit."/>
        <s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
        <s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
        <s v="{BLACK}Length: {GOLD}0.4 tiles{}{SILVER}The BR ‘Whiskey Covhops’ were a common sight on long-distance freight trains from southern England, headed for the distilleries of Scotland."/>
        <s v="{BLACK}Length: {GOLD}0.4 tiles{}{SILVER}The LMS Grain Hooper was later standardised into the BR COVGRAIN standard design. Long-distance bulk grain service in covered hoppers was a significant efficiency gain over shipping bagged grain by the vanload."/>
        <s v="{BLACK}Length: {GOLD}0.4 tiles{}{SILVER}The native design of LMS Brake Van had a sizable veranda at both ends. Once again, they lasted well into BR ownership as part of Engineers’ trains."/>
        <s v="{BLACK}Length: {GOLD}0.4 tiles{}{SILVER}The PCA tanker, with it’s notable depressed-center ‘vee’ appearance, could carry large amounts of cement and was a common sight in mixed freight trains."/>
        <s v="{BLACK}Length: {GOLD}0.4 tiles{}{SILVER}The Presflo covered hopper was designed specifically to carry cement powder, being unloaded via a pressurized air connection and liquefaction of the cargo."/>
        <s v="{BLACK}Length: {GOLD}0.4 tiles{}{SILVER}The standard RCH Salt Wagon design of 1907 was long-lived in private ownership and saw some use beyond sodium chloride, which was largely used as part of the chemical industry."/>
        <s v="{BLACK}Length: {GOLD}0.4 tiles{}{SILVER}This is a representative BR GRAINFIT wagon, a vacuum-braked bulk hopper derived from the 1930s LMS design."/>
        <s v="{BLACK}Length: {GOLD}0.4 tiles{}{SILVER}This Midland Railway design of Brake Van was also built by the LMS - over 800 were constructed and they were still extant into the early 1960s."/>
        <s v="{BLACK}Length: {GOLD}0.5 tiles{}{SILVER}The first SR ‘Queen Mary’ Brake vans converted from LBSCR ‘Milk Van’ MLVs, and lasted in departmental and limited freight service into the 2000s! A shed on rails with a stove and a desk has 1000 uses."/>
        <s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
        <s v="{BLACK}Length: {GOLD}0.7 tiles{}{SILVER}By the 2000s the BR-era 2-axle cement tankers then in use were beginning to show their age. They were replaced by these large bogie tank wagons built in Germany, with a distinctive fish-belly shape."/>
        <s v="{BLACK}Length: {GOLD}0.7 tiles{}{SILVER}By the 90s parcels traffic was in decline on the railway, and increasingly movement focused on fixed flows between mail terminals. As a result, a number of vehicles were rebuilt with roller shutter doors for faster loading."/>
        <s v="{BLACK}Length: {GOLD}0.7 tiles{}{SILVER}In the 1980s a number of BG vehicles were upgraded with B4 bogies and cleared for travel at 110mph, to provide additional capacity within fast passenger services, which were typically run with Mark 2 stock."/>
        <s v="{BLACK}Length: {GOLD}0.7 tiles{}{SILVER}Large bogie covered hoppers first appeared in Britain in the mid 1970s. These were frequently privately owned and registered as international vehicles. This slab-sided ‘Polybulk’ example was built in France."/>
        <s v="{BLACK}Length: {GOLD}0.7 tiles{}{SILVER}The standard parcels and baggage car on British Rail for decades, the Mk1 Brake Gangwayed was extremely versatile. This represents a standard 57’ frame example, making it noticably shorter than the standard Mk1 coach."/>
        <s v="{BLACK}Length: {GOLD}0.8 tiles{}{SILVER}A depowered Class 43, proposed as a conversion from surplus power cars and now suitable for carrying baggage."/>
        <s v="{BLACK}Length: {GOLD}0.8 tiles{}{SILVER}The APT-Q was proposed to rationalise existing APT-P stock into usable 6-car tains, with a single non-driving power car and a new-build DVT."/>
        <s v="{BLACK}Length: {GOLD}0.8 tiles{}{YELLOW}10% bonus for long distance travel{}{SILVER}A conversion of the Mk3 coach to incorporate a driving cab was proposed before the Polmont derailment put a stop to the idea of having passengers in the leading vehicle of locomotive-propelled trains."/>
        <s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
        <s v="{BLACK}Length: {GOLD}0.8 tiles{}{YELLOW}50% bonus for long distance travel{}{SILVER}The Mk1 Sleeper was built in relatively large numbers. The type was not especially popular with passengers, but the service was still an improvement on sleeping in ordinary compartment stock of the time."/>
        <s v="{BLACK}Length: {GOLD}0.9 tiles{}{YELLOW}20% bonus for long distance travel{}{SILVER}Mk5 sleeper services make up for their pathetic berth count with conventional seated stock, featuring a 2+1 airline style seating and not enough recline in the seats."/>
        <s v="{BLACK}Length: {GOLD}0.9 tiles{}{YELLOW}25% long distance bonus for consist{}{SILVER}The Mk5 ‘Club Car’ is the dining facility for sleeper services, but the 30 seats within are not bookable for travel."/>
        <s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
        <s v="{BLACK}Length: {GOLD}0.9 tiles{}{YELLOW}50% bonus for long distance travel{}{SILVER}The Mk5 sleeper trains were procured to replace Mk3 sleepers. With the end of double berths, these trains have an even lower capacity than what they replaced!"/>
        <s v="{BLACK}Powered by: {GOLD}25kV AC {}{BLACK}Length: {GOLD}0.5 tiles{}{SILVER}The motor luggage vans powering the CW EMUs were usable locomotives in their own right, and could operate independantly if needed."/>
        <s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Length: {GOLD}0.8 tiles{}{SILVER}A proposed electric version of the Class 43 ‘HST’ Power Car was oft-discussed after the failure of the APT program."/>
        <s v="{BLACK}Powered by: {GOLD}25kV AC {}{BLACK}Length: {GOLD}0.8 tiles{}{SILVER}An APT-P centre power car"/>
        <s v="{BLACK}Powered by: {GOLD}25kV AC {}{BLACK}Length: {GOLD}0.8 tiles{}{SILVER}The APT-S was a rework of the APT concept towards more conventional rolling stock, with a driving motor car, articulated trailers and a DVT."/>
        <s v="{BLACK}Powered by: {GOLD}25kV AC {}{BLACK}Length: {GOLD}0.8 tiles{}{SILVER}The Class 88 was a proposed re-use of the Class 58 design, dropping the diesel engine for a 25kv Overhead power supply."/>
        <s v="{BLACK}Powered by: {GOLD}25kV AC {BLACK}Cars: {GOLD}12{}{BLACK}Length: {GOLD}10.7 tiles{}{SILVER}A fictional shorter Class 374 variant…"/>
        <s v="{BLACK}Powered by: {GOLD}25kV AC {BLACK}Cars: {GOLD}12{}{BLACK}Length: {GOLD}9.0 tiles{}{SILVER}Stadler’s Class 745 units replaced Class 90 hauled trains on the GEML. The semi-articulated design was required to meet crashworthiness specifications."/>
        <s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
        <s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
        <s v="{BLACK}Powered by: {GOLD}25kV AC {BLACK}Cars: {GOLD}2{}{BLACK}Length: {GOLD}1.3 tiles{}{SILVER}The LB&amp;SCR (Later SR) “CP” EMUs were a nightmare of different build dates and vehicle sizes, designed for use on the “Elevated Electric” line into London."/>
        <s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2{}{BLACK}Length: {GOLD}1.5 tiles{}{SILVER}The ‘Clacton’ units were iconic express EMUs of the GEML’s early electrification. This subclass represents a 2 car formation, used to boost 2nd class capacity and power on peak time services."/>
        <s v="{BLACK}Powered by: {GOLD}25kV AC {BLACK}Cars: {GOLD}3{}{BLACK}Length: {GOLD}1.9 tiles{}{SILVER}The LB&amp;SCR (Later SR) “CP” EMUs were a nightmare of different build dates and vehicle sizes, designed for use on the “Elevated Electric” line into London."/>
        <s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
        <s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
        <s v="{BLACK}Powered by: {GOLD}25kV AC {BLACK}Cars: {GOLD}4{}{BLACK}Length: {GOLD}2.5 tiles{}{SILVER}The LB&amp;SCR (Later SR) “CP” EMUs were a nightmare of different build dates and vehicle sizes, designed for use on the “Elevated Electric” line into London."/>
        <s v="{BLACK}Powered by: {GOLD}25kV AC {BLACK}Cars: {GOLD}4{}{BLACK}Length: {GOLD}3.0 tiles{}{SILVER}A suburban Mk1 EMU that mainly operated out of East London on the LT&amp;S line. Here we represent the refurbished condition of these units, which lasted until 1998."/>
        <s v="{BLACK}Powered by: {GOLD}25kV AC {BLACK}Cars: {GOLD}4{}{BLACK}Length: {GOLD}3.0 tiles{}{SILVER}The ‘Clacton’ units were iconic express EMUs of the GEML’s early electrification. This subclass represents a basic 4 car formation complete."/>
        <s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
        <s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
        <s v="{BLACK}Powered by: {GOLD}25kV AC {BLACK}Cars: {GOLD}5{}{BLACK}Length: {GOLD}3.2 tiles{}{SILVER}The LB&amp;SCR (Later SR) “CP” EMUs were a nightmare of different build dates and vehicle sizes, designed for use on the “Elevated Electric” line into London."/>
        <s v="{BLACK}Powered by: {GOLD}25kV AC {BLACK}Cars: {GOLD}6{}{BLACK}Length: {GOLD}3.8 tiles{}{SILVER}The LB&amp;SCR (Later SR) “CP” EMUs were a nightmare of different build dates and vehicle sizes, designed for use on the “Elevated Electric” line into London."/>
        <s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
        <s v="{BLACK}Powered by: {GOLD}25kV AC / Diesel {BLACK}Cars: {GOLD}5{}{BLACK}Length: {GOLD}4.1 tiles{}{YELLOW}20% bonus for long distance travel{}{SILVER}The Class 810 &quot;Aurora&quot; is a variant on the class 800 series, built to a shorter vehicle length to suit station lengths on the Midland Mainline. It finally began to displace Class 222 DEMUs at the end of 2025."/>
        <s v="{BLACK}Powered by: {GOLD}750V DC {}{BLACK}Length: {GOLD}0.8 tiles{}{SILVER}A late conversion of the 2HAP driving motor to a cab and luggage car for Gatwick Express services"/>
        <s v="{BLACK}Powered by: {GOLD}750V DC {BLACK}Cars: {GOLD}2{}{BLACK}Length: {GOLD}1.5 tiles{}{SILVER}A suburban Mk1 EMU that mainly operated out of East London on the LT&amp;S line. Here we represent the refurbished condition of these units, which lasted until 1998."/>
        <s v="{BLACK}Powered by: {GOLD}750V DC {BLACK}Cars: {GOLD}4{}{BLACK}Length: {GOLD}3.0 tiles{}{SILVER}The archetypal Mk1 Express EMU – 4CEP units were an evolution of the earlier southern 4COR units. 133 were built and they enjoyed a long career into the early 2000s."/>
        <s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
        <s v="{BLACK}Powered by: {GOLD}750V DC / Battery {}{BLACK}Length: {GOLD}0.8 tiles{}{SILVER}The Class 419 Motor Luggage Van was used to extend the luggage capacity of express services and was capable of running on it’s own batteries within non-electrified areas."/>
        <s v="{BLACK}Powered by: {GOLD}750V DC / Diesel {}{BLACK}Length: {GOLD}0.7 tiles{}{SILVER}These re-engined and modernized Class 73s retained their ability to run from the third rail but received diesel engines capable of operating at an equivalent power level."/>
        <s v="{BLACK}Powered by: {GOLD}Diesel {}{BLACK}Length: {GOLD}0.3 tiles{}{SILVER}A “Really Useless Engine” – these small, simple industrial locomotives saw service in many industrial yards but were almost never seen on the boader network."/>
        <s v="{BLACK}Powered by: {GOLD}Diesel {}{BLACK}Length: {GOLD}0.4 tiles{}{SILVER}A mild upgrade in power made the Ruston 88 significantly more effective than it’s little brother, without vastly increasing cost."/>
        <s v="{BLACK}Powered by: {GOLD}Diesel {}{BLACK}Length: {GOLD}0.7 tiles{}{SILVER}Originally to power the “Nightstar” european sleeper services away from electrified lines, this sub-class of 12 locomotives mostly saw use as rescue and freight locomotives with other operators."/>
        <s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
        <s v="{BLACK}Powered by: {GOLD}Diesel {}{BLACK}Length: {GOLD}0.8 tiles{}{SILVER}The Windhoff MPV units were mainly used for Departmental service, notably in the iconic Rail Head Treatment trains, but trials were made in freight service."/>
        <s v="{BLACK}Powered by: {GOLD}Diesel {}{BLACK}Length: {GOLD}0.8 tiles{}{SILVER}To facilitate the testing and introduction of the Class 91 fleet prior to the availability of Mark 4 Driving Van Trailers, 8 HST Power Cars were converted to act as control vehicles for electric locomotives."/>
        <s v="{BLACK}Powered by: {GOLD}Diesel {}{BLACK}Length: {GOLD}0.9 tiles{}{SILVER}The Class 153 was a conversion of earlier Class 155 units, 35 of which were split in two with small cabs added at the inner ends."/>
        <s v="{BLACK}Powered by: {GOLD}Diesel {}{BLACK}Length: {GOLD}0.9 tiles{}{SILVER}The Nightstar rolling stock was so power-hungry that a number of Mk3 Sleepers were converted with 450 kVA generator sets for use when away from electrified areas."/>
        <s v="{BLACK}Powered by: {GOLD}Diesel {}{BLACK}Length: {GOLD}0.9 tiles{}{SILVER}What if the class 153s were converted for parcels service rather than passenger use? This preceds the later use of the 153 as supplementary bike carriages or ‘active travel’ vehicles."/>
        <s v="{BLACK}Powered by: {GOLD}Diesel {BLACK}Cars: {GOLD}2{}{BLACK}Length: {GOLD}1.5 tiles{}{SILVER}Class 205 units were a relatively numerous class of high-density non-corridor multiple units that worked services across Hampshire. In many ways they were the classic ‘Thumper’ unit."/>
        <s v="{BLACK}Powered by: {GOLD}Diesel {BLACK}Cars: {GOLD}2{}{BLACK}Length: {GOLD}1.5 tiles{}{SILVER}The Windhoff MPV units were mainly used for Departmental service, notably in the iconic Rail Head Treatment trains, but trials were made in freight service."/>
        <s v="{BLACK}Powered by: {GOLD}Diesel {BLACK}Cars: {GOLD}3{}{BLACK}Length: {GOLD}2.3 tiles{}{SILVER}A class of 2 prototype DMUs built to compete for the contract that became the Class 150 fleet purchase. These units suffered with gearbox issues and the BREL type won the contest instead."/>
        <s v="{BLACK}Powered by: {GOLD}Diesel {BLACK}Cars: {GOLD}3{}{BLACK}Length: {GOLD}2.3 tiles{}{SILVER}Class 205 units were a relatively numerous class of high-density non-corridor multiple units that worked services across Hampshire. In many ways they were the classic ‘Thumper’ unit."/>
        <s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
        <s v="{BLACK}Powered by: {GOLD}Diesel {BLACK}Cars: {GOLD}3{}{BLACK}Length: {GOLD}2.3 tiles{}{SILVER}The Windhoff MPV units were mainly used for Departmental service, notably in the iconic Rail Head Treatment trains, but trials were made in freight service."/>
        <s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
        <s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
        <s v="{BLACK}Powered by: {GOLD}Diesel {BLACK}Cars: {GOLD}4{}{BLACK}Length: {GOLD}3.0 tiles{}{SILVER}The Windhoff MPV units were mainly used for Departmental service, notably in the iconic Rail Head Treatment trains, but trials were made in freight service."/>
        <s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
        <s v="{BLACK}Powered by: {GOLD}Diesel {BLACK}Cars: {GOLD}5{}{BLACK}Length: {GOLD}3.8 tiles{}{SILVER}The Windhoff MPV units were mainly used for Departmental service, notably in the iconic Rail Head Treatment trains, but trials were made in freight service."/>
        <s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
        <s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
        <s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
        <s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
        <s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
      </sharedItems>
    </cacheField>
    <cacheField name="has_aged_variant" numFmtId="0">
      <sharedItems containsString="0" containsBlank="1" containsNumber="1" containsInteger="1" minValue="1" maxValue="1" count="2">
        <n v="1"/>
        <m/>
      </sharedItems>
    </cacheField>
  </cacheFields>
</pivotCacheDefinition>
</file>

<file path=xl/pivotCache/pivotCacheRecords1.xml><?xml version="1.0" encoding="utf-8"?>
<pivotCacheRecords xmlns="http://schemas.openxmlformats.org/spreadsheetml/2006/main" xmlns:r="http://schemas.openxmlformats.org/officeDocument/2006/relationships" count="91">
  <r>
    <x v="69"/>
    <x v="72"/>
    <x v="0"/>
    <x v="20"/>
    <x v="0"/>
    <x v="0"/>
    <x v="3"/>
    <x v="5"/>
    <x v="2"/>
    <x v="1"/>
    <x v="25"/>
    <x v="0"/>
    <x v="0"/>
    <x v="6"/>
    <x v="3"/>
    <x v="0"/>
    <x v="0"/>
    <x v="0"/>
    <x v="0"/>
    <x v="0"/>
    <x v="0"/>
    <x v="0"/>
    <x v="15"/>
    <x v="0"/>
    <x v="2"/>
    <x v="3"/>
    <x v="37"/>
    <x v="4"/>
    <x v="4"/>
    <x v="0"/>
    <x v="0"/>
    <x v="37"/>
    <x v="6"/>
    <x v="13"/>
    <x v="14"/>
    <x v="17"/>
    <x v="5"/>
    <x v="4"/>
    <x v="0"/>
    <x v="4"/>
    <x v="14"/>
    <x v="5"/>
    <x v="5"/>
    <x v="43"/>
    <x v="5"/>
    <x v="0"/>
    <x v="21"/>
    <x v="0"/>
    <x v="5"/>
    <x v="3"/>
    <x v="17"/>
    <x v="6"/>
    <x v="8"/>
    <x v="4"/>
    <x v="7"/>
    <x v="4"/>
    <x v="34"/>
    <x v="4"/>
    <x v="0"/>
    <x v="5"/>
    <x v="8"/>
    <x v="12"/>
    <x v="18"/>
    <x v="23"/>
    <x v="2"/>
    <x v="1"/>
    <x v="1"/>
    <x v="1"/>
    <x v="38"/>
    <x v="0"/>
    <x v="6"/>
    <x v="5"/>
    <x v="1"/>
    <x v="6"/>
    <x v="3"/>
    <x v="5"/>
    <x v="2"/>
    <x v="4"/>
    <x v="11"/>
    <x v="8"/>
    <x v="3"/>
    <x v="1"/>
    <x v="0"/>
    <x v="71"/>
    <x v="0"/>
    <x v="35"/>
    <x v="1"/>
  </r>
  <r>
    <x v="70"/>
    <x v="73"/>
    <x v="1"/>
    <x v="0"/>
    <x v="1"/>
    <x v="0"/>
    <x v="3"/>
    <x v="5"/>
    <x v="2"/>
    <x v="1"/>
    <x v="25"/>
    <x v="0"/>
    <x v="1"/>
    <x v="6"/>
    <x v="3"/>
    <x v="0"/>
    <x v="0"/>
    <x v="0"/>
    <x v="0"/>
    <x v="0"/>
    <x v="0"/>
    <x v="0"/>
    <x v="29"/>
    <x v="0"/>
    <x v="2"/>
    <x v="3"/>
    <x v="20"/>
    <x v="4"/>
    <x v="4"/>
    <x v="0"/>
    <x v="0"/>
    <x v="37"/>
    <x v="6"/>
    <x v="13"/>
    <x v="14"/>
    <x v="20"/>
    <x v="5"/>
    <x v="4"/>
    <x v="0"/>
    <x v="4"/>
    <x v="14"/>
    <x v="5"/>
    <x v="5"/>
    <x v="44"/>
    <x v="5"/>
    <x v="13"/>
    <x v="22"/>
    <x v="0"/>
    <x v="5"/>
    <x v="3"/>
    <x v="17"/>
    <x v="6"/>
    <x v="8"/>
    <x v="4"/>
    <x v="7"/>
    <x v="4"/>
    <x v="34"/>
    <x v="13"/>
    <x v="0"/>
    <x v="5"/>
    <x v="9"/>
    <x v="13"/>
    <x v="19"/>
    <x v="25"/>
    <x v="2"/>
    <x v="1"/>
    <x v="1"/>
    <x v="1"/>
    <x v="37"/>
    <x v="0"/>
    <x v="6"/>
    <x v="5"/>
    <x v="1"/>
    <x v="6"/>
    <x v="3"/>
    <x v="5"/>
    <x v="2"/>
    <x v="4"/>
    <x v="11"/>
    <x v="8"/>
    <x v="7"/>
    <x v="1"/>
    <x v="4"/>
    <x v="71"/>
    <x v="0"/>
    <x v="45"/>
    <x v="1"/>
  </r>
  <r>
    <x v="71"/>
    <x v="74"/>
    <x v="2"/>
    <x v="0"/>
    <x v="2"/>
    <x v="0"/>
    <x v="3"/>
    <x v="5"/>
    <x v="2"/>
    <x v="1"/>
    <x v="25"/>
    <x v="0"/>
    <x v="2"/>
    <x v="6"/>
    <x v="3"/>
    <x v="0"/>
    <x v="0"/>
    <x v="0"/>
    <x v="0"/>
    <x v="0"/>
    <x v="0"/>
    <x v="0"/>
    <x v="39"/>
    <x v="0"/>
    <x v="2"/>
    <x v="3"/>
    <x v="17"/>
    <x v="4"/>
    <x v="4"/>
    <x v="0"/>
    <x v="0"/>
    <x v="37"/>
    <x v="6"/>
    <x v="13"/>
    <x v="14"/>
    <x v="21"/>
    <x v="5"/>
    <x v="4"/>
    <x v="0"/>
    <x v="4"/>
    <x v="14"/>
    <x v="5"/>
    <x v="5"/>
    <x v="45"/>
    <x v="5"/>
    <x v="9"/>
    <x v="22"/>
    <x v="0"/>
    <x v="5"/>
    <x v="3"/>
    <x v="17"/>
    <x v="6"/>
    <x v="8"/>
    <x v="4"/>
    <x v="7"/>
    <x v="4"/>
    <x v="34"/>
    <x v="20"/>
    <x v="0"/>
    <x v="5"/>
    <x v="12"/>
    <x v="16"/>
    <x v="22"/>
    <x v="28"/>
    <x v="2"/>
    <x v="1"/>
    <x v="1"/>
    <x v="1"/>
    <x v="36"/>
    <x v="0"/>
    <x v="6"/>
    <x v="5"/>
    <x v="1"/>
    <x v="6"/>
    <x v="3"/>
    <x v="5"/>
    <x v="2"/>
    <x v="4"/>
    <x v="11"/>
    <x v="8"/>
    <x v="9"/>
    <x v="1"/>
    <x v="6"/>
    <x v="71"/>
    <x v="0"/>
    <x v="48"/>
    <x v="1"/>
  </r>
  <r>
    <x v="54"/>
    <x v="51"/>
    <x v="4"/>
    <x v="20"/>
    <x v="3"/>
    <x v="0"/>
    <x v="3"/>
    <x v="5"/>
    <x v="2"/>
    <x v="2"/>
    <x v="25"/>
    <x v="0"/>
    <x v="1"/>
    <x v="8"/>
    <x v="3"/>
    <x v="0"/>
    <x v="0"/>
    <x v="0"/>
    <x v="0"/>
    <x v="0"/>
    <x v="0"/>
    <x v="0"/>
    <x v="34"/>
    <x v="0"/>
    <x v="2"/>
    <x v="3"/>
    <x v="18"/>
    <x v="4"/>
    <x v="4"/>
    <x v="0"/>
    <x v="0"/>
    <x v="37"/>
    <x v="7"/>
    <x v="13"/>
    <x v="14"/>
    <x v="21"/>
    <x v="5"/>
    <x v="4"/>
    <x v="0"/>
    <x v="4"/>
    <x v="14"/>
    <x v="5"/>
    <x v="5"/>
    <x v="32"/>
    <x v="5"/>
    <x v="19"/>
    <x v="17"/>
    <x v="0"/>
    <x v="5"/>
    <x v="3"/>
    <x v="13"/>
    <x v="6"/>
    <x v="8"/>
    <x v="4"/>
    <x v="9"/>
    <x v="4"/>
    <x v="33"/>
    <x v="14"/>
    <x v="0"/>
    <x v="5"/>
    <x v="11"/>
    <x v="15"/>
    <x v="21"/>
    <x v="27"/>
    <x v="2"/>
    <x v="1"/>
    <x v="1"/>
    <x v="1"/>
    <x v="31"/>
    <x v="0"/>
    <x v="6"/>
    <x v="5"/>
    <x v="1"/>
    <x v="6"/>
    <x v="3"/>
    <x v="5"/>
    <x v="2"/>
    <x v="4"/>
    <x v="11"/>
    <x v="8"/>
    <x v="7"/>
    <x v="1"/>
    <x v="4"/>
    <x v="51"/>
    <x v="0"/>
    <x v="44"/>
    <x v="1"/>
  </r>
  <r>
    <x v="55"/>
    <x v="52"/>
    <x v="5"/>
    <x v="1"/>
    <x v="3"/>
    <x v="0"/>
    <x v="3"/>
    <x v="5"/>
    <x v="2"/>
    <x v="2"/>
    <x v="25"/>
    <x v="0"/>
    <x v="2"/>
    <x v="8"/>
    <x v="3"/>
    <x v="0"/>
    <x v="0"/>
    <x v="0"/>
    <x v="0"/>
    <x v="0"/>
    <x v="0"/>
    <x v="0"/>
    <x v="41"/>
    <x v="0"/>
    <x v="2"/>
    <x v="3"/>
    <x v="15"/>
    <x v="4"/>
    <x v="4"/>
    <x v="0"/>
    <x v="0"/>
    <x v="37"/>
    <x v="7"/>
    <x v="13"/>
    <x v="14"/>
    <x v="21"/>
    <x v="5"/>
    <x v="4"/>
    <x v="0"/>
    <x v="4"/>
    <x v="14"/>
    <x v="5"/>
    <x v="5"/>
    <x v="33"/>
    <x v="5"/>
    <x v="14"/>
    <x v="17"/>
    <x v="0"/>
    <x v="5"/>
    <x v="3"/>
    <x v="13"/>
    <x v="6"/>
    <x v="8"/>
    <x v="4"/>
    <x v="9"/>
    <x v="4"/>
    <x v="33"/>
    <x v="20"/>
    <x v="0"/>
    <x v="5"/>
    <x v="14"/>
    <x v="17"/>
    <x v="24"/>
    <x v="29"/>
    <x v="2"/>
    <x v="1"/>
    <x v="1"/>
    <x v="1"/>
    <x v="30"/>
    <x v="0"/>
    <x v="6"/>
    <x v="5"/>
    <x v="1"/>
    <x v="6"/>
    <x v="3"/>
    <x v="5"/>
    <x v="2"/>
    <x v="4"/>
    <x v="11"/>
    <x v="8"/>
    <x v="9"/>
    <x v="1"/>
    <x v="6"/>
    <x v="51"/>
    <x v="0"/>
    <x v="47"/>
    <x v="1"/>
  </r>
  <r>
    <x v="56"/>
    <x v="53"/>
    <x v="6"/>
    <x v="1"/>
    <x v="3"/>
    <x v="0"/>
    <x v="3"/>
    <x v="5"/>
    <x v="2"/>
    <x v="2"/>
    <x v="25"/>
    <x v="0"/>
    <x v="3"/>
    <x v="8"/>
    <x v="3"/>
    <x v="0"/>
    <x v="0"/>
    <x v="0"/>
    <x v="0"/>
    <x v="0"/>
    <x v="0"/>
    <x v="0"/>
    <x v="47"/>
    <x v="0"/>
    <x v="2"/>
    <x v="3"/>
    <x v="13"/>
    <x v="4"/>
    <x v="4"/>
    <x v="0"/>
    <x v="0"/>
    <x v="37"/>
    <x v="7"/>
    <x v="13"/>
    <x v="14"/>
    <x v="21"/>
    <x v="5"/>
    <x v="4"/>
    <x v="0"/>
    <x v="4"/>
    <x v="14"/>
    <x v="5"/>
    <x v="5"/>
    <x v="34"/>
    <x v="5"/>
    <x v="2"/>
    <x v="17"/>
    <x v="0"/>
    <x v="5"/>
    <x v="3"/>
    <x v="13"/>
    <x v="6"/>
    <x v="8"/>
    <x v="4"/>
    <x v="9"/>
    <x v="4"/>
    <x v="33"/>
    <x v="31"/>
    <x v="0"/>
    <x v="5"/>
    <x v="15"/>
    <x v="20"/>
    <x v="25"/>
    <x v="32"/>
    <x v="2"/>
    <x v="1"/>
    <x v="1"/>
    <x v="1"/>
    <x v="29"/>
    <x v="0"/>
    <x v="6"/>
    <x v="5"/>
    <x v="1"/>
    <x v="6"/>
    <x v="3"/>
    <x v="5"/>
    <x v="2"/>
    <x v="4"/>
    <x v="11"/>
    <x v="8"/>
    <x v="15"/>
    <x v="1"/>
    <x v="7"/>
    <x v="51"/>
    <x v="0"/>
    <x v="50"/>
    <x v="1"/>
  </r>
  <r>
    <x v="57"/>
    <x v="54"/>
    <x v="7"/>
    <x v="1"/>
    <x v="3"/>
    <x v="0"/>
    <x v="3"/>
    <x v="5"/>
    <x v="2"/>
    <x v="2"/>
    <x v="25"/>
    <x v="0"/>
    <x v="4"/>
    <x v="8"/>
    <x v="3"/>
    <x v="0"/>
    <x v="0"/>
    <x v="0"/>
    <x v="0"/>
    <x v="0"/>
    <x v="0"/>
    <x v="0"/>
    <x v="49"/>
    <x v="0"/>
    <x v="2"/>
    <x v="3"/>
    <x v="10"/>
    <x v="4"/>
    <x v="4"/>
    <x v="0"/>
    <x v="0"/>
    <x v="37"/>
    <x v="7"/>
    <x v="13"/>
    <x v="14"/>
    <x v="21"/>
    <x v="5"/>
    <x v="4"/>
    <x v="0"/>
    <x v="4"/>
    <x v="14"/>
    <x v="5"/>
    <x v="5"/>
    <x v="35"/>
    <x v="5"/>
    <x v="3"/>
    <x v="17"/>
    <x v="0"/>
    <x v="5"/>
    <x v="3"/>
    <x v="13"/>
    <x v="6"/>
    <x v="8"/>
    <x v="4"/>
    <x v="9"/>
    <x v="4"/>
    <x v="33"/>
    <x v="39"/>
    <x v="0"/>
    <x v="5"/>
    <x v="17"/>
    <x v="21"/>
    <x v="27"/>
    <x v="33"/>
    <x v="2"/>
    <x v="1"/>
    <x v="1"/>
    <x v="1"/>
    <x v="28"/>
    <x v="0"/>
    <x v="6"/>
    <x v="5"/>
    <x v="1"/>
    <x v="6"/>
    <x v="3"/>
    <x v="5"/>
    <x v="2"/>
    <x v="4"/>
    <x v="11"/>
    <x v="8"/>
    <x v="18"/>
    <x v="1"/>
    <x v="8"/>
    <x v="51"/>
    <x v="0"/>
    <x v="55"/>
    <x v="1"/>
  </r>
  <r>
    <x v="58"/>
    <x v="55"/>
    <x v="8"/>
    <x v="1"/>
    <x v="3"/>
    <x v="0"/>
    <x v="3"/>
    <x v="5"/>
    <x v="2"/>
    <x v="2"/>
    <x v="25"/>
    <x v="0"/>
    <x v="5"/>
    <x v="8"/>
    <x v="3"/>
    <x v="0"/>
    <x v="0"/>
    <x v="0"/>
    <x v="0"/>
    <x v="0"/>
    <x v="0"/>
    <x v="0"/>
    <x v="55"/>
    <x v="0"/>
    <x v="2"/>
    <x v="3"/>
    <x v="7"/>
    <x v="4"/>
    <x v="4"/>
    <x v="0"/>
    <x v="0"/>
    <x v="37"/>
    <x v="7"/>
    <x v="13"/>
    <x v="14"/>
    <x v="21"/>
    <x v="5"/>
    <x v="4"/>
    <x v="0"/>
    <x v="4"/>
    <x v="14"/>
    <x v="5"/>
    <x v="5"/>
    <x v="36"/>
    <x v="5"/>
    <x v="4"/>
    <x v="17"/>
    <x v="0"/>
    <x v="5"/>
    <x v="3"/>
    <x v="13"/>
    <x v="6"/>
    <x v="8"/>
    <x v="4"/>
    <x v="9"/>
    <x v="4"/>
    <x v="33"/>
    <x v="46"/>
    <x v="0"/>
    <x v="5"/>
    <x v="20"/>
    <x v="22"/>
    <x v="30"/>
    <x v="34"/>
    <x v="2"/>
    <x v="1"/>
    <x v="1"/>
    <x v="1"/>
    <x v="27"/>
    <x v="0"/>
    <x v="6"/>
    <x v="5"/>
    <x v="1"/>
    <x v="6"/>
    <x v="3"/>
    <x v="5"/>
    <x v="2"/>
    <x v="4"/>
    <x v="11"/>
    <x v="8"/>
    <x v="20"/>
    <x v="1"/>
    <x v="9"/>
    <x v="51"/>
    <x v="0"/>
    <x v="56"/>
    <x v="1"/>
  </r>
  <r>
    <x v="59"/>
    <x v="56"/>
    <x v="9"/>
    <x v="20"/>
    <x v="4"/>
    <x v="0"/>
    <x v="3"/>
    <x v="5"/>
    <x v="2"/>
    <x v="4"/>
    <x v="25"/>
    <x v="0"/>
    <x v="4"/>
    <x v="12"/>
    <x v="3"/>
    <x v="0"/>
    <x v="0"/>
    <x v="0"/>
    <x v="0"/>
    <x v="0"/>
    <x v="0"/>
    <x v="0"/>
    <x v="51"/>
    <x v="0"/>
    <x v="2"/>
    <x v="3"/>
    <x v="9"/>
    <x v="4"/>
    <x v="4"/>
    <x v="0"/>
    <x v="0"/>
    <x v="37"/>
    <x v="3"/>
    <x v="13"/>
    <x v="14"/>
    <x v="29"/>
    <x v="2"/>
    <x v="3"/>
    <x v="0"/>
    <x v="3"/>
    <x v="14"/>
    <x v="0"/>
    <x v="0"/>
    <x v="37"/>
    <x v="5"/>
    <x v="10"/>
    <x v="17"/>
    <x v="0"/>
    <x v="5"/>
    <x v="3"/>
    <x v="5"/>
    <x v="6"/>
    <x v="8"/>
    <x v="4"/>
    <x v="13"/>
    <x v="4"/>
    <x v="31"/>
    <x v="47"/>
    <x v="0"/>
    <x v="5"/>
    <x v="23"/>
    <x v="23"/>
    <x v="33"/>
    <x v="35"/>
    <x v="2"/>
    <x v="1"/>
    <x v="1"/>
    <x v="1"/>
    <x v="39"/>
    <x v="0"/>
    <x v="6"/>
    <x v="5"/>
    <x v="1"/>
    <x v="6"/>
    <x v="3"/>
    <x v="5"/>
    <x v="0"/>
    <x v="4"/>
    <x v="1"/>
    <x v="8"/>
    <x v="17"/>
    <x v="1"/>
    <x v="8"/>
    <x v="50"/>
    <x v="0"/>
    <x v="54"/>
    <x v="1"/>
  </r>
  <r>
    <x v="60"/>
    <x v="57"/>
    <x v="3"/>
    <x v="20"/>
    <x v="5"/>
    <x v="0"/>
    <x v="1"/>
    <x v="5"/>
    <x v="2"/>
    <x v="4"/>
    <x v="25"/>
    <x v="0"/>
    <x v="13"/>
    <x v="12"/>
    <x v="3"/>
    <x v="0"/>
    <x v="0"/>
    <x v="0"/>
    <x v="0"/>
    <x v="0"/>
    <x v="0"/>
    <x v="0"/>
    <x v="26"/>
    <x v="0"/>
    <x v="2"/>
    <x v="3"/>
    <x v="21"/>
    <x v="4"/>
    <x v="4"/>
    <x v="0"/>
    <x v="0"/>
    <x v="37"/>
    <x v="3"/>
    <x v="13"/>
    <x v="14"/>
    <x v="29"/>
    <x v="2"/>
    <x v="3"/>
    <x v="0"/>
    <x v="3"/>
    <x v="14"/>
    <x v="5"/>
    <x v="5"/>
    <x v="54"/>
    <x v="5"/>
    <x v="32"/>
    <x v="18"/>
    <x v="0"/>
    <x v="5"/>
    <x v="3"/>
    <x v="5"/>
    <x v="6"/>
    <x v="8"/>
    <x v="4"/>
    <x v="13"/>
    <x v="4"/>
    <x v="31"/>
    <x v="7"/>
    <x v="0"/>
    <x v="8"/>
    <x v="24"/>
    <x v="16"/>
    <x v="34"/>
    <x v="28"/>
    <x v="2"/>
    <x v="1"/>
    <x v="1"/>
    <x v="1"/>
    <x v="39"/>
    <x v="0"/>
    <x v="6"/>
    <x v="5"/>
    <x v="1"/>
    <x v="6"/>
    <x v="3"/>
    <x v="4"/>
    <x v="0"/>
    <x v="4"/>
    <x v="1"/>
    <x v="8"/>
    <x v="2"/>
    <x v="1"/>
    <x v="0"/>
    <x v="57"/>
    <x v="0"/>
    <x v="34"/>
    <x v="1"/>
  </r>
  <r>
    <x v="74"/>
    <x v="88"/>
    <x v="18"/>
    <x v="20"/>
    <x v="15"/>
    <x v="0"/>
    <x v="1"/>
    <x v="2"/>
    <x v="3"/>
    <x v="5"/>
    <x v="2"/>
    <x v="6"/>
    <x v="13"/>
    <x v="1"/>
    <x v="3"/>
    <x v="0"/>
    <x v="0"/>
    <x v="0"/>
    <x v="0"/>
    <x v="0"/>
    <x v="0"/>
    <x v="0"/>
    <x v="1"/>
    <x v="0"/>
    <x v="2"/>
    <x v="1"/>
    <x v="50"/>
    <x v="0"/>
    <x v="0"/>
    <x v="0"/>
    <x v="0"/>
    <x v="0"/>
    <x v="0"/>
    <x v="0"/>
    <x v="1"/>
    <x v="0"/>
    <x v="30"/>
    <x v="0"/>
    <x v="0"/>
    <x v="0"/>
    <x v="14"/>
    <x v="5"/>
    <x v="5"/>
    <x v="54"/>
    <x v="5"/>
    <x v="32"/>
    <x v="27"/>
    <x v="0"/>
    <x v="5"/>
    <x v="13"/>
    <x v="18"/>
    <x v="5"/>
    <x v="11"/>
    <x v="0"/>
    <x v="2"/>
    <x v="2"/>
    <x v="30"/>
    <x v="0"/>
    <x v="2"/>
    <x v="7"/>
    <x v="0"/>
    <x v="1"/>
    <x v="6"/>
    <x v="12"/>
    <x v="2"/>
    <x v="1"/>
    <x v="1"/>
    <x v="1"/>
    <x v="39"/>
    <x v="0"/>
    <x v="6"/>
    <x v="4"/>
    <x v="6"/>
    <x v="6"/>
    <x v="3"/>
    <x v="7"/>
    <x v="0"/>
    <x v="1"/>
    <x v="0"/>
    <x v="2"/>
    <x v="0"/>
    <x v="7"/>
    <x v="0"/>
    <x v="0"/>
    <x v="0"/>
    <x v="65"/>
    <x v="1"/>
  </r>
  <r>
    <x v="75"/>
    <x v="89"/>
    <x v="19"/>
    <x v="20"/>
    <x v="16"/>
    <x v="0"/>
    <x v="1"/>
    <x v="2"/>
    <x v="3"/>
    <x v="6"/>
    <x v="5"/>
    <x v="9"/>
    <x v="13"/>
    <x v="2"/>
    <x v="3"/>
    <x v="0"/>
    <x v="0"/>
    <x v="0"/>
    <x v="0"/>
    <x v="0"/>
    <x v="0"/>
    <x v="0"/>
    <x v="7"/>
    <x v="0"/>
    <x v="2"/>
    <x v="5"/>
    <x v="60"/>
    <x v="1"/>
    <x v="1"/>
    <x v="0"/>
    <x v="0"/>
    <x v="3"/>
    <x v="1"/>
    <x v="0"/>
    <x v="1"/>
    <x v="0"/>
    <x v="31"/>
    <x v="1"/>
    <x v="0"/>
    <x v="1"/>
    <x v="14"/>
    <x v="5"/>
    <x v="5"/>
    <x v="54"/>
    <x v="5"/>
    <x v="32"/>
    <x v="27"/>
    <x v="0"/>
    <x v="5"/>
    <x v="13"/>
    <x v="20"/>
    <x v="5"/>
    <x v="11"/>
    <x v="1"/>
    <x v="3"/>
    <x v="6"/>
    <x v="29"/>
    <x v="0"/>
    <x v="2"/>
    <x v="7"/>
    <x v="4"/>
    <x v="2"/>
    <x v="11"/>
    <x v="13"/>
    <x v="2"/>
    <x v="1"/>
    <x v="1"/>
    <x v="1"/>
    <x v="39"/>
    <x v="0"/>
    <x v="6"/>
    <x v="4"/>
    <x v="6"/>
    <x v="6"/>
    <x v="3"/>
    <x v="7"/>
    <x v="0"/>
    <x v="1"/>
    <x v="0"/>
    <x v="2"/>
    <x v="1"/>
    <x v="7"/>
    <x v="0"/>
    <x v="9"/>
    <x v="0"/>
    <x v="66"/>
    <x v="1"/>
  </r>
  <r>
    <x v="67"/>
    <x v="25"/>
    <x v="37"/>
    <x v="20"/>
    <x v="18"/>
    <x v="0"/>
    <x v="3"/>
    <x v="2"/>
    <x v="3"/>
    <x v="19"/>
    <x v="22"/>
    <x v="20"/>
    <x v="2"/>
    <x v="11"/>
    <x v="3"/>
    <x v="0"/>
    <x v="0"/>
    <x v="0"/>
    <x v="0"/>
    <x v="0"/>
    <x v="0"/>
    <x v="0"/>
    <x v="37"/>
    <x v="0"/>
    <x v="2"/>
    <x v="12"/>
    <x v="41"/>
    <x v="5"/>
    <x v="5"/>
    <x v="0"/>
    <x v="0"/>
    <x v="23"/>
    <x v="13"/>
    <x v="8"/>
    <x v="8"/>
    <x v="34"/>
    <x v="19"/>
    <x v="6"/>
    <x v="0"/>
    <x v="6"/>
    <x v="4"/>
    <x v="5"/>
    <x v="5"/>
    <x v="22"/>
    <x v="5"/>
    <x v="26"/>
    <x v="14"/>
    <x v="0"/>
    <x v="5"/>
    <x v="4"/>
    <x v="12"/>
    <x v="4"/>
    <x v="8"/>
    <x v="5"/>
    <x v="12"/>
    <x v="13"/>
    <x v="15"/>
    <x v="38"/>
    <x v="2"/>
    <x v="4"/>
    <x v="18"/>
    <x v="34"/>
    <x v="28"/>
    <x v="46"/>
    <x v="2"/>
    <x v="1"/>
    <x v="1"/>
    <x v="1"/>
    <x v="14"/>
    <x v="0"/>
    <x v="6"/>
    <x v="3"/>
    <x v="1"/>
    <x v="6"/>
    <x v="3"/>
    <x v="5"/>
    <x v="3"/>
    <x v="2"/>
    <x v="14"/>
    <x v="2"/>
    <x v="14"/>
    <x v="7"/>
    <x v="6"/>
    <x v="3"/>
    <x v="0"/>
    <x v="76"/>
    <x v="1"/>
  </r>
  <r>
    <x v="5"/>
    <x v="28"/>
    <x v="40"/>
    <x v="20"/>
    <x v="5"/>
    <x v="0"/>
    <x v="3"/>
    <x v="2"/>
    <x v="3"/>
    <x v="8"/>
    <x v="12"/>
    <x v="15"/>
    <x v="3"/>
    <x v="12"/>
    <x v="3"/>
    <x v="0"/>
    <x v="0"/>
    <x v="0"/>
    <x v="0"/>
    <x v="0"/>
    <x v="0"/>
    <x v="0"/>
    <x v="56"/>
    <x v="0"/>
    <x v="2"/>
    <x v="7"/>
    <x v="16"/>
    <x v="5"/>
    <x v="5"/>
    <x v="0"/>
    <x v="0"/>
    <x v="12"/>
    <x v="9"/>
    <x v="1"/>
    <x v="5"/>
    <x v="12"/>
    <x v="9"/>
    <x v="5"/>
    <x v="0"/>
    <x v="5"/>
    <x v="8"/>
    <x v="5"/>
    <x v="5"/>
    <x v="14"/>
    <x v="5"/>
    <x v="24"/>
    <x v="9"/>
    <x v="0"/>
    <x v="5"/>
    <x v="11"/>
    <x v="17"/>
    <x v="6"/>
    <x v="10"/>
    <x v="5"/>
    <x v="13"/>
    <x v="8"/>
    <x v="27"/>
    <x v="21"/>
    <x v="2"/>
    <x v="4"/>
    <x v="21"/>
    <x v="32"/>
    <x v="31"/>
    <x v="44"/>
    <x v="2"/>
    <x v="1"/>
    <x v="1"/>
    <x v="1"/>
    <x v="16"/>
    <x v="0"/>
    <x v="6"/>
    <x v="1"/>
    <x v="6"/>
    <x v="6"/>
    <x v="3"/>
    <x v="5"/>
    <x v="1"/>
    <x v="2"/>
    <x v="4"/>
    <x v="2"/>
    <x v="16"/>
    <x v="7"/>
    <x v="7"/>
    <x v="19"/>
    <x v="0"/>
    <x v="80"/>
    <x v="1"/>
  </r>
  <r>
    <x v="6"/>
    <x v="29"/>
    <x v="41"/>
    <x v="7"/>
    <x v="6"/>
    <x v="0"/>
    <x v="3"/>
    <x v="2"/>
    <x v="3"/>
    <x v="8"/>
    <x v="12"/>
    <x v="15"/>
    <x v="5"/>
    <x v="12"/>
    <x v="3"/>
    <x v="0"/>
    <x v="0"/>
    <x v="0"/>
    <x v="0"/>
    <x v="0"/>
    <x v="0"/>
    <x v="0"/>
    <x v="63"/>
    <x v="0"/>
    <x v="2"/>
    <x v="7"/>
    <x v="12"/>
    <x v="5"/>
    <x v="5"/>
    <x v="0"/>
    <x v="0"/>
    <x v="12"/>
    <x v="9"/>
    <x v="1"/>
    <x v="5"/>
    <x v="17"/>
    <x v="9"/>
    <x v="5"/>
    <x v="0"/>
    <x v="5"/>
    <x v="9"/>
    <x v="5"/>
    <x v="5"/>
    <x v="13"/>
    <x v="5"/>
    <x v="4"/>
    <x v="9"/>
    <x v="0"/>
    <x v="5"/>
    <x v="11"/>
    <x v="17"/>
    <x v="6"/>
    <x v="10"/>
    <x v="5"/>
    <x v="13"/>
    <x v="8"/>
    <x v="27"/>
    <x v="40"/>
    <x v="2"/>
    <x v="4"/>
    <x v="25"/>
    <x v="37"/>
    <x v="35"/>
    <x v="49"/>
    <x v="2"/>
    <x v="1"/>
    <x v="1"/>
    <x v="1"/>
    <x v="15"/>
    <x v="0"/>
    <x v="6"/>
    <x v="1"/>
    <x v="6"/>
    <x v="6"/>
    <x v="3"/>
    <x v="5"/>
    <x v="1"/>
    <x v="2"/>
    <x v="4"/>
    <x v="2"/>
    <x v="22"/>
    <x v="7"/>
    <x v="9"/>
    <x v="19"/>
    <x v="0"/>
    <x v="86"/>
    <x v="1"/>
  </r>
  <r>
    <x v="8"/>
    <x v="31"/>
    <x v="42"/>
    <x v="20"/>
    <x v="7"/>
    <x v="0"/>
    <x v="3"/>
    <x v="2"/>
    <x v="3"/>
    <x v="9"/>
    <x v="12"/>
    <x v="15"/>
    <x v="2"/>
    <x v="8"/>
    <x v="3"/>
    <x v="0"/>
    <x v="0"/>
    <x v="0"/>
    <x v="0"/>
    <x v="0"/>
    <x v="0"/>
    <x v="0"/>
    <x v="24"/>
    <x v="0"/>
    <x v="2"/>
    <x v="7"/>
    <x v="40"/>
    <x v="5"/>
    <x v="5"/>
    <x v="0"/>
    <x v="0"/>
    <x v="19"/>
    <x v="13"/>
    <x v="4"/>
    <x v="5"/>
    <x v="24"/>
    <x v="17"/>
    <x v="6"/>
    <x v="0"/>
    <x v="6"/>
    <x v="14"/>
    <x v="5"/>
    <x v="5"/>
    <x v="15"/>
    <x v="5"/>
    <x v="26"/>
    <x v="10"/>
    <x v="0"/>
    <x v="5"/>
    <x v="11"/>
    <x v="16"/>
    <x v="6"/>
    <x v="10"/>
    <x v="5"/>
    <x v="9"/>
    <x v="8"/>
    <x v="26"/>
    <x v="23"/>
    <x v="2"/>
    <x v="4"/>
    <x v="19"/>
    <x v="29"/>
    <x v="29"/>
    <x v="41"/>
    <x v="2"/>
    <x v="1"/>
    <x v="1"/>
    <x v="1"/>
    <x v="17"/>
    <x v="0"/>
    <x v="6"/>
    <x v="1"/>
    <x v="6"/>
    <x v="6"/>
    <x v="3"/>
    <x v="5"/>
    <x v="1"/>
    <x v="2"/>
    <x v="4"/>
    <x v="2"/>
    <x v="14"/>
    <x v="7"/>
    <x v="6"/>
    <x v="20"/>
    <x v="0"/>
    <x v="77"/>
    <x v="1"/>
  </r>
  <r>
    <x v="7"/>
    <x v="30"/>
    <x v="43"/>
    <x v="8"/>
    <x v="8"/>
    <x v="0"/>
    <x v="3"/>
    <x v="2"/>
    <x v="3"/>
    <x v="9"/>
    <x v="12"/>
    <x v="15"/>
    <x v="1"/>
    <x v="8"/>
    <x v="3"/>
    <x v="0"/>
    <x v="0"/>
    <x v="0"/>
    <x v="0"/>
    <x v="0"/>
    <x v="0"/>
    <x v="0"/>
    <x v="24"/>
    <x v="0"/>
    <x v="2"/>
    <x v="7"/>
    <x v="40"/>
    <x v="5"/>
    <x v="5"/>
    <x v="0"/>
    <x v="0"/>
    <x v="19"/>
    <x v="13"/>
    <x v="4"/>
    <x v="5"/>
    <x v="24"/>
    <x v="17"/>
    <x v="6"/>
    <x v="0"/>
    <x v="6"/>
    <x v="14"/>
    <x v="5"/>
    <x v="5"/>
    <x v="16"/>
    <x v="5"/>
    <x v="1"/>
    <x v="10"/>
    <x v="0"/>
    <x v="5"/>
    <x v="11"/>
    <x v="16"/>
    <x v="6"/>
    <x v="10"/>
    <x v="5"/>
    <x v="9"/>
    <x v="8"/>
    <x v="26"/>
    <x v="16"/>
    <x v="2"/>
    <x v="4"/>
    <x v="16"/>
    <x v="26"/>
    <x v="26"/>
    <x v="38"/>
    <x v="2"/>
    <x v="1"/>
    <x v="1"/>
    <x v="1"/>
    <x v="18"/>
    <x v="0"/>
    <x v="6"/>
    <x v="1"/>
    <x v="6"/>
    <x v="6"/>
    <x v="3"/>
    <x v="5"/>
    <x v="1"/>
    <x v="2"/>
    <x v="4"/>
    <x v="2"/>
    <x v="8"/>
    <x v="7"/>
    <x v="4"/>
    <x v="20"/>
    <x v="0"/>
    <x v="74"/>
    <x v="1"/>
  </r>
  <r>
    <x v="30"/>
    <x v="33"/>
    <x v="44"/>
    <x v="20"/>
    <x v="10"/>
    <x v="0"/>
    <x v="3"/>
    <x v="2"/>
    <x v="3"/>
    <x v="18"/>
    <x v="19"/>
    <x v="17"/>
    <x v="3"/>
    <x v="12"/>
    <x v="3"/>
    <x v="0"/>
    <x v="0"/>
    <x v="0"/>
    <x v="0"/>
    <x v="0"/>
    <x v="0"/>
    <x v="0"/>
    <x v="48"/>
    <x v="0"/>
    <x v="2"/>
    <x v="8"/>
    <x v="19"/>
    <x v="7"/>
    <x v="8"/>
    <x v="0"/>
    <x v="0"/>
    <x v="22"/>
    <x v="13"/>
    <x v="1"/>
    <x v="5"/>
    <x v="30"/>
    <x v="15"/>
    <x v="6"/>
    <x v="0"/>
    <x v="6"/>
    <x v="1"/>
    <x v="5"/>
    <x v="5"/>
    <x v="19"/>
    <x v="5"/>
    <x v="29"/>
    <x v="11"/>
    <x v="0"/>
    <x v="5"/>
    <x v="11"/>
    <x v="3"/>
    <x v="8"/>
    <x v="22"/>
    <x v="8"/>
    <x v="13"/>
    <x v="9"/>
    <x v="17"/>
    <x v="42"/>
    <x v="2"/>
    <x v="4"/>
    <x v="35"/>
    <x v="45"/>
    <x v="44"/>
    <x v="56"/>
    <x v="2"/>
    <x v="1"/>
    <x v="1"/>
    <x v="1"/>
    <x v="19"/>
    <x v="0"/>
    <x v="6"/>
    <x v="1"/>
    <x v="6"/>
    <x v="6"/>
    <x v="3"/>
    <x v="5"/>
    <x v="3"/>
    <x v="2"/>
    <x v="14"/>
    <x v="2"/>
    <x v="17"/>
    <x v="7"/>
    <x v="7"/>
    <x v="37"/>
    <x v="0"/>
    <x v="81"/>
    <x v="1"/>
  </r>
  <r>
    <x v="29"/>
    <x v="32"/>
    <x v="45"/>
    <x v="9"/>
    <x v="11"/>
    <x v="0"/>
    <x v="3"/>
    <x v="2"/>
    <x v="3"/>
    <x v="18"/>
    <x v="19"/>
    <x v="17"/>
    <x v="2"/>
    <x v="12"/>
    <x v="3"/>
    <x v="0"/>
    <x v="0"/>
    <x v="0"/>
    <x v="0"/>
    <x v="0"/>
    <x v="0"/>
    <x v="0"/>
    <x v="44"/>
    <x v="0"/>
    <x v="2"/>
    <x v="8"/>
    <x v="22"/>
    <x v="7"/>
    <x v="8"/>
    <x v="0"/>
    <x v="0"/>
    <x v="22"/>
    <x v="13"/>
    <x v="1"/>
    <x v="5"/>
    <x v="32"/>
    <x v="15"/>
    <x v="6"/>
    <x v="0"/>
    <x v="6"/>
    <x v="6"/>
    <x v="5"/>
    <x v="5"/>
    <x v="20"/>
    <x v="5"/>
    <x v="18"/>
    <x v="12"/>
    <x v="0"/>
    <x v="5"/>
    <x v="11"/>
    <x v="3"/>
    <x v="8"/>
    <x v="22"/>
    <x v="8"/>
    <x v="13"/>
    <x v="9"/>
    <x v="17"/>
    <x v="33"/>
    <x v="2"/>
    <x v="4"/>
    <x v="32"/>
    <x v="42"/>
    <x v="41"/>
    <x v="54"/>
    <x v="2"/>
    <x v="1"/>
    <x v="1"/>
    <x v="1"/>
    <x v="20"/>
    <x v="0"/>
    <x v="6"/>
    <x v="1"/>
    <x v="6"/>
    <x v="6"/>
    <x v="3"/>
    <x v="5"/>
    <x v="3"/>
    <x v="2"/>
    <x v="14"/>
    <x v="2"/>
    <x v="14"/>
    <x v="7"/>
    <x v="6"/>
    <x v="38"/>
    <x v="0"/>
    <x v="78"/>
    <x v="1"/>
  </r>
  <r>
    <x v="66"/>
    <x v="9"/>
    <x v="46"/>
    <x v="20"/>
    <x v="9"/>
    <x v="0"/>
    <x v="3"/>
    <x v="2"/>
    <x v="3"/>
    <x v="11"/>
    <x v="25"/>
    <x v="4"/>
    <x v="7"/>
    <x v="12"/>
    <x v="3"/>
    <x v="0"/>
    <x v="0"/>
    <x v="0"/>
    <x v="0"/>
    <x v="0"/>
    <x v="0"/>
    <x v="0"/>
    <x v="66"/>
    <x v="0"/>
    <x v="0"/>
    <x v="13"/>
    <x v="14"/>
    <x v="7"/>
    <x v="8"/>
    <x v="0"/>
    <x v="0"/>
    <x v="25"/>
    <x v="13"/>
    <x v="11"/>
    <x v="5"/>
    <x v="11"/>
    <x v="21"/>
    <x v="6"/>
    <x v="0"/>
    <x v="6"/>
    <x v="10"/>
    <x v="5"/>
    <x v="5"/>
    <x v="6"/>
    <x v="5"/>
    <x v="20"/>
    <x v="3"/>
    <x v="0"/>
    <x v="5"/>
    <x v="2"/>
    <x v="2"/>
    <x v="6"/>
    <x v="10"/>
    <x v="8"/>
    <x v="13"/>
    <x v="14"/>
    <x v="24"/>
    <x v="46"/>
    <x v="2"/>
    <x v="4"/>
    <x v="29"/>
    <x v="40"/>
    <x v="38"/>
    <x v="52"/>
    <x v="2"/>
    <x v="1"/>
    <x v="1"/>
    <x v="1"/>
    <x v="39"/>
    <x v="0"/>
    <x v="4"/>
    <x v="1"/>
    <x v="3"/>
    <x v="6"/>
    <x v="3"/>
    <x v="5"/>
    <x v="1"/>
    <x v="3"/>
    <x v="5"/>
    <x v="2"/>
    <x v="26"/>
    <x v="7"/>
    <x v="11"/>
    <x v="34"/>
    <x v="2"/>
    <x v="88"/>
    <x v="1"/>
  </r>
  <r>
    <x v="9"/>
    <x v="34"/>
    <x v="47"/>
    <x v="20"/>
    <x v="12"/>
    <x v="0"/>
    <x v="3"/>
    <x v="5"/>
    <x v="2"/>
    <x v="10"/>
    <x v="10"/>
    <x v="10"/>
    <x v="3"/>
    <x v="10"/>
    <x v="3"/>
    <x v="0"/>
    <x v="0"/>
    <x v="0"/>
    <x v="0"/>
    <x v="0"/>
    <x v="0"/>
    <x v="0"/>
    <x v="50"/>
    <x v="0"/>
    <x v="2"/>
    <x v="11"/>
    <x v="23"/>
    <x v="5"/>
    <x v="5"/>
    <x v="0"/>
    <x v="0"/>
    <x v="26"/>
    <x v="13"/>
    <x v="10"/>
    <x v="12"/>
    <x v="28"/>
    <x v="20"/>
    <x v="6"/>
    <x v="0"/>
    <x v="6"/>
    <x v="5"/>
    <x v="5"/>
    <x v="5"/>
    <x v="9"/>
    <x v="5"/>
    <x v="29"/>
    <x v="5"/>
    <x v="0"/>
    <x v="5"/>
    <x v="7"/>
    <x v="7"/>
    <x v="6"/>
    <x v="9"/>
    <x v="5"/>
    <x v="11"/>
    <x v="12"/>
    <x v="25"/>
    <x v="37"/>
    <x v="0"/>
    <x v="5"/>
    <x v="27"/>
    <x v="26"/>
    <x v="37"/>
    <x v="38"/>
    <x v="2"/>
    <x v="1"/>
    <x v="1"/>
    <x v="1"/>
    <x v="26"/>
    <x v="0"/>
    <x v="6"/>
    <x v="5"/>
    <x v="1"/>
    <x v="6"/>
    <x v="3"/>
    <x v="5"/>
    <x v="1"/>
    <x v="4"/>
    <x v="6"/>
    <x v="8"/>
    <x v="17"/>
    <x v="1"/>
    <x v="7"/>
    <x v="13"/>
    <x v="0"/>
    <x v="51"/>
    <x v="1"/>
  </r>
  <r>
    <x v="10"/>
    <x v="35"/>
    <x v="48"/>
    <x v="10"/>
    <x v="13"/>
    <x v="0"/>
    <x v="3"/>
    <x v="5"/>
    <x v="2"/>
    <x v="10"/>
    <x v="10"/>
    <x v="10"/>
    <x v="2"/>
    <x v="10"/>
    <x v="3"/>
    <x v="0"/>
    <x v="0"/>
    <x v="0"/>
    <x v="0"/>
    <x v="0"/>
    <x v="0"/>
    <x v="0"/>
    <x v="46"/>
    <x v="0"/>
    <x v="2"/>
    <x v="11"/>
    <x v="27"/>
    <x v="5"/>
    <x v="5"/>
    <x v="0"/>
    <x v="0"/>
    <x v="26"/>
    <x v="13"/>
    <x v="10"/>
    <x v="12"/>
    <x v="28"/>
    <x v="20"/>
    <x v="6"/>
    <x v="0"/>
    <x v="6"/>
    <x v="3"/>
    <x v="5"/>
    <x v="5"/>
    <x v="8"/>
    <x v="5"/>
    <x v="26"/>
    <x v="6"/>
    <x v="0"/>
    <x v="5"/>
    <x v="7"/>
    <x v="7"/>
    <x v="4"/>
    <x v="9"/>
    <x v="5"/>
    <x v="11"/>
    <x v="12"/>
    <x v="25"/>
    <x v="28"/>
    <x v="0"/>
    <x v="5"/>
    <x v="26"/>
    <x v="21"/>
    <x v="36"/>
    <x v="33"/>
    <x v="2"/>
    <x v="1"/>
    <x v="1"/>
    <x v="1"/>
    <x v="25"/>
    <x v="0"/>
    <x v="6"/>
    <x v="5"/>
    <x v="1"/>
    <x v="6"/>
    <x v="3"/>
    <x v="4"/>
    <x v="1"/>
    <x v="4"/>
    <x v="6"/>
    <x v="8"/>
    <x v="14"/>
    <x v="1"/>
    <x v="6"/>
    <x v="8"/>
    <x v="0"/>
    <x v="49"/>
    <x v="1"/>
  </r>
  <r>
    <x v="11"/>
    <x v="37"/>
    <x v="49"/>
    <x v="11"/>
    <x v="14"/>
    <x v="0"/>
    <x v="3"/>
    <x v="5"/>
    <x v="2"/>
    <x v="12"/>
    <x v="13"/>
    <x v="13"/>
    <x v="1"/>
    <x v="13"/>
    <x v="3"/>
    <x v="0"/>
    <x v="0"/>
    <x v="0"/>
    <x v="0"/>
    <x v="0"/>
    <x v="0"/>
    <x v="0"/>
    <x v="40"/>
    <x v="0"/>
    <x v="2"/>
    <x v="18"/>
    <x v="46"/>
    <x v="8"/>
    <x v="9"/>
    <x v="0"/>
    <x v="0"/>
    <x v="26"/>
    <x v="13"/>
    <x v="10"/>
    <x v="12"/>
    <x v="26"/>
    <x v="20"/>
    <x v="6"/>
    <x v="0"/>
    <x v="6"/>
    <x v="5"/>
    <x v="5"/>
    <x v="5"/>
    <x v="10"/>
    <x v="5"/>
    <x v="19"/>
    <x v="7"/>
    <x v="0"/>
    <x v="5"/>
    <x v="9"/>
    <x v="11"/>
    <x v="4"/>
    <x v="4"/>
    <x v="9"/>
    <x v="14"/>
    <x v="19"/>
    <x v="23"/>
    <x v="17"/>
    <x v="0"/>
    <x v="5"/>
    <x v="17"/>
    <x v="31"/>
    <x v="27"/>
    <x v="43"/>
    <x v="2"/>
    <x v="1"/>
    <x v="1"/>
    <x v="1"/>
    <x v="21"/>
    <x v="0"/>
    <x v="6"/>
    <x v="5"/>
    <x v="1"/>
    <x v="4"/>
    <x v="3"/>
    <x v="5"/>
    <x v="1"/>
    <x v="5"/>
    <x v="7"/>
    <x v="8"/>
    <x v="8"/>
    <x v="1"/>
    <x v="4"/>
    <x v="28"/>
    <x v="0"/>
    <x v="46"/>
    <x v="1"/>
  </r>
  <r>
    <x v="12"/>
    <x v="36"/>
    <x v="50"/>
    <x v="20"/>
    <x v="15"/>
    <x v="0"/>
    <x v="3"/>
    <x v="5"/>
    <x v="2"/>
    <x v="12"/>
    <x v="13"/>
    <x v="13"/>
    <x v="3"/>
    <x v="13"/>
    <x v="3"/>
    <x v="0"/>
    <x v="0"/>
    <x v="0"/>
    <x v="0"/>
    <x v="0"/>
    <x v="0"/>
    <x v="0"/>
    <x v="54"/>
    <x v="0"/>
    <x v="2"/>
    <x v="18"/>
    <x v="32"/>
    <x v="8"/>
    <x v="9"/>
    <x v="0"/>
    <x v="0"/>
    <x v="26"/>
    <x v="13"/>
    <x v="10"/>
    <x v="12"/>
    <x v="16"/>
    <x v="20"/>
    <x v="6"/>
    <x v="0"/>
    <x v="6"/>
    <x v="5"/>
    <x v="5"/>
    <x v="5"/>
    <x v="11"/>
    <x v="5"/>
    <x v="27"/>
    <x v="8"/>
    <x v="0"/>
    <x v="5"/>
    <x v="9"/>
    <x v="11"/>
    <x v="11"/>
    <x v="10"/>
    <x v="9"/>
    <x v="14"/>
    <x v="19"/>
    <x v="23"/>
    <x v="25"/>
    <x v="0"/>
    <x v="5"/>
    <x v="39"/>
    <x v="49"/>
    <x v="48"/>
    <x v="59"/>
    <x v="2"/>
    <x v="1"/>
    <x v="1"/>
    <x v="1"/>
    <x v="24"/>
    <x v="0"/>
    <x v="6"/>
    <x v="5"/>
    <x v="1"/>
    <x v="4"/>
    <x v="0"/>
    <x v="5"/>
    <x v="1"/>
    <x v="5"/>
    <x v="7"/>
    <x v="8"/>
    <x v="17"/>
    <x v="1"/>
    <x v="7"/>
    <x v="29"/>
    <x v="5"/>
    <x v="53"/>
    <x v="1"/>
  </r>
  <r>
    <x v="13"/>
    <x v="38"/>
    <x v="51"/>
    <x v="11"/>
    <x v="16"/>
    <x v="0"/>
    <x v="3"/>
    <x v="5"/>
    <x v="2"/>
    <x v="12"/>
    <x v="13"/>
    <x v="13"/>
    <x v="3"/>
    <x v="13"/>
    <x v="3"/>
    <x v="0"/>
    <x v="0"/>
    <x v="0"/>
    <x v="0"/>
    <x v="0"/>
    <x v="0"/>
    <x v="0"/>
    <x v="53"/>
    <x v="0"/>
    <x v="2"/>
    <x v="18"/>
    <x v="34"/>
    <x v="8"/>
    <x v="9"/>
    <x v="0"/>
    <x v="0"/>
    <x v="26"/>
    <x v="13"/>
    <x v="10"/>
    <x v="12"/>
    <x v="25"/>
    <x v="20"/>
    <x v="6"/>
    <x v="0"/>
    <x v="6"/>
    <x v="5"/>
    <x v="5"/>
    <x v="5"/>
    <x v="12"/>
    <x v="5"/>
    <x v="12"/>
    <x v="8"/>
    <x v="0"/>
    <x v="5"/>
    <x v="9"/>
    <x v="11"/>
    <x v="6"/>
    <x v="7"/>
    <x v="9"/>
    <x v="14"/>
    <x v="19"/>
    <x v="23"/>
    <x v="35"/>
    <x v="0"/>
    <x v="5"/>
    <x v="32"/>
    <x v="38"/>
    <x v="41"/>
    <x v="50"/>
    <x v="2"/>
    <x v="1"/>
    <x v="1"/>
    <x v="1"/>
    <x v="22"/>
    <x v="0"/>
    <x v="6"/>
    <x v="5"/>
    <x v="1"/>
    <x v="4"/>
    <x v="3"/>
    <x v="5"/>
    <x v="1"/>
    <x v="5"/>
    <x v="7"/>
    <x v="8"/>
    <x v="17"/>
    <x v="1"/>
    <x v="7"/>
    <x v="30"/>
    <x v="0"/>
    <x v="52"/>
    <x v="1"/>
  </r>
  <r>
    <x v="81"/>
    <x v="66"/>
    <x v="52"/>
    <x v="20"/>
    <x v="17"/>
    <x v="0"/>
    <x v="3"/>
    <x v="5"/>
    <x v="2"/>
    <x v="16"/>
    <x v="20"/>
    <x v="18"/>
    <x v="1"/>
    <x v="4"/>
    <x v="3"/>
    <x v="0"/>
    <x v="0"/>
    <x v="0"/>
    <x v="0"/>
    <x v="0"/>
    <x v="0"/>
    <x v="0"/>
    <x v="18"/>
    <x v="0"/>
    <x v="2"/>
    <x v="2"/>
    <x v="26"/>
    <x v="3"/>
    <x v="3"/>
    <x v="0"/>
    <x v="0"/>
    <x v="9"/>
    <x v="4"/>
    <x v="3"/>
    <x v="0"/>
    <x v="26"/>
    <x v="4"/>
    <x v="3"/>
    <x v="0"/>
    <x v="3"/>
    <x v="2"/>
    <x v="5"/>
    <x v="5"/>
    <x v="42"/>
    <x v="5"/>
    <x v="19"/>
    <x v="20"/>
    <x v="0"/>
    <x v="5"/>
    <x v="11"/>
    <x v="24"/>
    <x v="20"/>
    <x v="12"/>
    <x v="3"/>
    <x v="5"/>
    <x v="3"/>
    <x v="19"/>
    <x v="17"/>
    <x v="0"/>
    <x v="5"/>
    <x v="13"/>
    <x v="13"/>
    <x v="23"/>
    <x v="25"/>
    <x v="2"/>
    <x v="1"/>
    <x v="1"/>
    <x v="1"/>
    <x v="39"/>
    <x v="0"/>
    <x v="6"/>
    <x v="8"/>
    <x v="0"/>
    <x v="4"/>
    <x v="3"/>
    <x v="5"/>
    <x v="3"/>
    <x v="4"/>
    <x v="15"/>
    <x v="8"/>
    <x v="6"/>
    <x v="1"/>
    <x v="4"/>
    <x v="70"/>
    <x v="3"/>
    <x v="43"/>
    <x v="1"/>
  </r>
  <r>
    <x v="14"/>
    <x v="10"/>
    <x v="68"/>
    <x v="20"/>
    <x v="38"/>
    <x v="0"/>
    <x v="3"/>
    <x v="5"/>
    <x v="4"/>
    <x v="8"/>
    <x v="12"/>
    <x v="15"/>
    <x v="3"/>
    <x v="7"/>
    <x v="3"/>
    <x v="0"/>
    <x v="0"/>
    <x v="0"/>
    <x v="0"/>
    <x v="0"/>
    <x v="0"/>
    <x v="0"/>
    <x v="23"/>
    <x v="0"/>
    <x v="2"/>
    <x v="9"/>
    <x v="48"/>
    <x v="7"/>
    <x v="8"/>
    <x v="0"/>
    <x v="0"/>
    <x v="20"/>
    <x v="13"/>
    <x v="4"/>
    <x v="5"/>
    <x v="27"/>
    <x v="17"/>
    <x v="6"/>
    <x v="0"/>
    <x v="6"/>
    <x v="14"/>
    <x v="5"/>
    <x v="5"/>
    <x v="7"/>
    <x v="5"/>
    <x v="29"/>
    <x v="4"/>
    <x v="0"/>
    <x v="5"/>
    <x v="11"/>
    <x v="17"/>
    <x v="6"/>
    <x v="22"/>
    <x v="8"/>
    <x v="8"/>
    <x v="10"/>
    <x v="27"/>
    <x v="36"/>
    <x v="0"/>
    <x v="5"/>
    <x v="38"/>
    <x v="26"/>
    <x v="47"/>
    <x v="38"/>
    <x v="2"/>
    <x v="1"/>
    <x v="1"/>
    <x v="1"/>
    <x v="11"/>
    <x v="0"/>
    <x v="6"/>
    <x v="1"/>
    <x v="6"/>
    <x v="6"/>
    <x v="3"/>
    <x v="5"/>
    <x v="1"/>
    <x v="4"/>
    <x v="6"/>
    <x v="9"/>
    <x v="17"/>
    <x v="4"/>
    <x v="7"/>
    <x v="33"/>
    <x v="0"/>
    <x v="61"/>
    <x v="1"/>
  </r>
  <r>
    <x v="15"/>
    <x v="11"/>
    <x v="69"/>
    <x v="20"/>
    <x v="39"/>
    <x v="0"/>
    <x v="1"/>
    <x v="4"/>
    <x v="0"/>
    <x v="10"/>
    <x v="12"/>
    <x v="15"/>
    <x v="0"/>
    <x v="7"/>
    <x v="3"/>
    <x v="0"/>
    <x v="0"/>
    <x v="0"/>
    <x v="0"/>
    <x v="0"/>
    <x v="0"/>
    <x v="0"/>
    <x v="23"/>
    <x v="0"/>
    <x v="2"/>
    <x v="9"/>
    <x v="48"/>
    <x v="7"/>
    <x v="8"/>
    <x v="0"/>
    <x v="0"/>
    <x v="20"/>
    <x v="13"/>
    <x v="4"/>
    <x v="5"/>
    <x v="13"/>
    <x v="17"/>
    <x v="6"/>
    <x v="0"/>
    <x v="6"/>
    <x v="14"/>
    <x v="5"/>
    <x v="5"/>
    <x v="17"/>
    <x v="5"/>
    <x v="0"/>
    <x v="27"/>
    <x v="0"/>
    <x v="5"/>
    <x v="11"/>
    <x v="14"/>
    <x v="20"/>
    <x v="5"/>
    <x v="8"/>
    <x v="8"/>
    <x v="10"/>
    <x v="25"/>
    <x v="2"/>
    <x v="1"/>
    <x v="10"/>
    <x v="22"/>
    <x v="27"/>
    <x v="32"/>
    <x v="39"/>
    <x v="2"/>
    <x v="1"/>
    <x v="1"/>
    <x v="1"/>
    <x v="10"/>
    <x v="0"/>
    <x v="6"/>
    <x v="1"/>
    <x v="6"/>
    <x v="6"/>
    <x v="3"/>
    <x v="4"/>
    <x v="1"/>
    <x v="4"/>
    <x v="6"/>
    <x v="5"/>
    <x v="4"/>
    <x v="5"/>
    <x v="0"/>
    <x v="41"/>
    <x v="0"/>
    <x v="63"/>
    <x v="1"/>
  </r>
  <r>
    <x v="16"/>
    <x v="14"/>
    <x v="82"/>
    <x v="20"/>
    <x v="51"/>
    <x v="0"/>
    <x v="1"/>
    <x v="5"/>
    <x v="4"/>
    <x v="10"/>
    <x v="12"/>
    <x v="16"/>
    <x v="0"/>
    <x v="7"/>
    <x v="3"/>
    <x v="0"/>
    <x v="0"/>
    <x v="0"/>
    <x v="0"/>
    <x v="0"/>
    <x v="0"/>
    <x v="0"/>
    <x v="19"/>
    <x v="0"/>
    <x v="2"/>
    <x v="9"/>
    <x v="51"/>
    <x v="7"/>
    <x v="8"/>
    <x v="0"/>
    <x v="0"/>
    <x v="20"/>
    <x v="13"/>
    <x v="4"/>
    <x v="5"/>
    <x v="13"/>
    <x v="17"/>
    <x v="6"/>
    <x v="0"/>
    <x v="6"/>
    <x v="14"/>
    <x v="5"/>
    <x v="5"/>
    <x v="18"/>
    <x v="5"/>
    <x v="0"/>
    <x v="27"/>
    <x v="0"/>
    <x v="5"/>
    <x v="11"/>
    <x v="15"/>
    <x v="20"/>
    <x v="5"/>
    <x v="8"/>
    <x v="8"/>
    <x v="10"/>
    <x v="25"/>
    <x v="2"/>
    <x v="0"/>
    <x v="8"/>
    <x v="17"/>
    <x v="24"/>
    <x v="27"/>
    <x v="36"/>
    <x v="0"/>
    <x v="0"/>
    <x v="1"/>
    <x v="1"/>
    <x v="9"/>
    <x v="0"/>
    <x v="6"/>
    <x v="1"/>
    <x v="6"/>
    <x v="6"/>
    <x v="3"/>
    <x v="4"/>
    <x v="1"/>
    <x v="4"/>
    <x v="6"/>
    <x v="9"/>
    <x v="4"/>
    <x v="4"/>
    <x v="0"/>
    <x v="7"/>
    <x v="0"/>
    <x v="59"/>
    <x v="1"/>
  </r>
  <r>
    <x v="62"/>
    <x v="26"/>
    <x v="38"/>
    <x v="20"/>
    <x v="19"/>
    <x v="0"/>
    <x v="3"/>
    <x v="2"/>
    <x v="3"/>
    <x v="22"/>
    <x v="25"/>
    <x v="23"/>
    <x v="0"/>
    <x v="5"/>
    <x v="3"/>
    <x v="0"/>
    <x v="0"/>
    <x v="0"/>
    <x v="0"/>
    <x v="0"/>
    <x v="0"/>
    <x v="0"/>
    <x v="20"/>
    <x v="0"/>
    <x v="2"/>
    <x v="4"/>
    <x v="42"/>
    <x v="5"/>
    <x v="5"/>
    <x v="0"/>
    <x v="0"/>
    <x v="33"/>
    <x v="21"/>
    <x v="4"/>
    <x v="4"/>
    <x v="33"/>
    <x v="28"/>
    <x v="8"/>
    <x v="0"/>
    <x v="8"/>
    <x v="14"/>
    <x v="5"/>
    <x v="5"/>
    <x v="23"/>
    <x v="5"/>
    <x v="0"/>
    <x v="27"/>
    <x v="0"/>
    <x v="5"/>
    <x v="8"/>
    <x v="26"/>
    <x v="6"/>
    <x v="10"/>
    <x v="5"/>
    <x v="6"/>
    <x v="5"/>
    <x v="12"/>
    <x v="9"/>
    <x v="2"/>
    <x v="4"/>
    <x v="10"/>
    <x v="19"/>
    <x v="20"/>
    <x v="31"/>
    <x v="2"/>
    <x v="1"/>
    <x v="1"/>
    <x v="1"/>
    <x v="13"/>
    <x v="0"/>
    <x v="6"/>
    <x v="3"/>
    <x v="1"/>
    <x v="6"/>
    <x v="3"/>
    <x v="5"/>
    <x v="3"/>
    <x v="2"/>
    <x v="14"/>
    <x v="2"/>
    <x v="5"/>
    <x v="7"/>
    <x v="0"/>
    <x v="36"/>
    <x v="0"/>
    <x v="71"/>
    <x v="1"/>
  </r>
  <r>
    <x v="61"/>
    <x v="27"/>
    <x v="39"/>
    <x v="6"/>
    <x v="20"/>
    <x v="0"/>
    <x v="3"/>
    <x v="2"/>
    <x v="3"/>
    <x v="22"/>
    <x v="25"/>
    <x v="23"/>
    <x v="0"/>
    <x v="5"/>
    <x v="3"/>
    <x v="0"/>
    <x v="0"/>
    <x v="0"/>
    <x v="0"/>
    <x v="0"/>
    <x v="0"/>
    <x v="0"/>
    <x v="20"/>
    <x v="0"/>
    <x v="2"/>
    <x v="4"/>
    <x v="42"/>
    <x v="5"/>
    <x v="5"/>
    <x v="0"/>
    <x v="0"/>
    <x v="33"/>
    <x v="21"/>
    <x v="4"/>
    <x v="4"/>
    <x v="29"/>
    <x v="28"/>
    <x v="8"/>
    <x v="0"/>
    <x v="8"/>
    <x v="14"/>
    <x v="5"/>
    <x v="5"/>
    <x v="24"/>
    <x v="5"/>
    <x v="0"/>
    <x v="27"/>
    <x v="0"/>
    <x v="5"/>
    <x v="8"/>
    <x v="26"/>
    <x v="6"/>
    <x v="10"/>
    <x v="5"/>
    <x v="6"/>
    <x v="5"/>
    <x v="12"/>
    <x v="7"/>
    <x v="2"/>
    <x v="4"/>
    <x v="10"/>
    <x v="18"/>
    <x v="20"/>
    <x v="30"/>
    <x v="2"/>
    <x v="1"/>
    <x v="1"/>
    <x v="1"/>
    <x v="12"/>
    <x v="0"/>
    <x v="0"/>
    <x v="3"/>
    <x v="1"/>
    <x v="6"/>
    <x v="3"/>
    <x v="4"/>
    <x v="3"/>
    <x v="2"/>
    <x v="14"/>
    <x v="2"/>
    <x v="5"/>
    <x v="7"/>
    <x v="0"/>
    <x v="72"/>
    <x v="0"/>
    <x v="73"/>
    <x v="1"/>
  </r>
  <r>
    <x v="33"/>
    <x v="2"/>
    <x v="53"/>
    <x v="12"/>
    <x v="21"/>
    <x v="0"/>
    <x v="3"/>
    <x v="8"/>
    <x v="3"/>
    <x v="17"/>
    <x v="11"/>
    <x v="8"/>
    <x v="5"/>
    <x v="0"/>
    <x v="3"/>
    <x v="0"/>
    <x v="0"/>
    <x v="0"/>
    <x v="0"/>
    <x v="0"/>
    <x v="0"/>
    <x v="0"/>
    <x v="52"/>
    <x v="0"/>
    <x v="1"/>
    <x v="0"/>
    <x v="2"/>
    <x v="12"/>
    <x v="13"/>
    <x v="0"/>
    <x v="0"/>
    <x v="28"/>
    <x v="16"/>
    <x v="4"/>
    <x v="3"/>
    <x v="18"/>
    <x v="16"/>
    <x v="6"/>
    <x v="0"/>
    <x v="6"/>
    <x v="14"/>
    <x v="5"/>
    <x v="5"/>
    <x v="4"/>
    <x v="5"/>
    <x v="21"/>
    <x v="0"/>
    <x v="0"/>
    <x v="5"/>
    <x v="0"/>
    <x v="1"/>
    <x v="20"/>
    <x v="9"/>
    <x v="13"/>
    <x v="1"/>
    <x v="1"/>
    <x v="18"/>
    <x v="43"/>
    <x v="0"/>
    <x v="8"/>
    <x v="44"/>
    <x v="38"/>
    <x v="53"/>
    <x v="50"/>
    <x v="2"/>
    <x v="1"/>
    <x v="1"/>
    <x v="0"/>
    <x v="0"/>
    <x v="0"/>
    <x v="4"/>
    <x v="7"/>
    <x v="3"/>
    <x v="6"/>
    <x v="3"/>
    <x v="5"/>
    <x v="3"/>
    <x v="5"/>
    <x v="16"/>
    <x v="12"/>
    <x v="5"/>
    <x v="0"/>
    <x v="9"/>
    <x v="2"/>
    <x v="2"/>
    <x v="7"/>
    <x v="1"/>
  </r>
  <r>
    <x v="34"/>
    <x v="3"/>
    <x v="54"/>
    <x v="12"/>
    <x v="22"/>
    <x v="0"/>
    <x v="0"/>
    <x v="8"/>
    <x v="3"/>
    <x v="17"/>
    <x v="11"/>
    <x v="8"/>
    <x v="5"/>
    <x v="0"/>
    <x v="3"/>
    <x v="0"/>
    <x v="0"/>
    <x v="0"/>
    <x v="0"/>
    <x v="0"/>
    <x v="0"/>
    <x v="0"/>
    <x v="52"/>
    <x v="0"/>
    <x v="1"/>
    <x v="0"/>
    <x v="2"/>
    <x v="12"/>
    <x v="13"/>
    <x v="0"/>
    <x v="0"/>
    <x v="28"/>
    <x v="16"/>
    <x v="4"/>
    <x v="3"/>
    <x v="18"/>
    <x v="16"/>
    <x v="6"/>
    <x v="0"/>
    <x v="6"/>
    <x v="14"/>
    <x v="5"/>
    <x v="5"/>
    <x v="2"/>
    <x v="5"/>
    <x v="17"/>
    <x v="2"/>
    <x v="0"/>
    <x v="5"/>
    <x v="0"/>
    <x v="1"/>
    <x v="3"/>
    <x v="9"/>
    <x v="13"/>
    <x v="1"/>
    <x v="1"/>
    <x v="18"/>
    <x v="43"/>
    <x v="0"/>
    <x v="8"/>
    <x v="44"/>
    <x v="25"/>
    <x v="53"/>
    <x v="37"/>
    <x v="2"/>
    <x v="1"/>
    <x v="0"/>
    <x v="0"/>
    <x v="8"/>
    <x v="0"/>
    <x v="4"/>
    <x v="7"/>
    <x v="3"/>
    <x v="6"/>
    <x v="3"/>
    <x v="5"/>
    <x v="3"/>
    <x v="5"/>
    <x v="16"/>
    <x v="12"/>
    <x v="5"/>
    <x v="0"/>
    <x v="9"/>
    <x v="1"/>
    <x v="2"/>
    <x v="6"/>
    <x v="1"/>
  </r>
  <r>
    <x v="31"/>
    <x v="0"/>
    <x v="55"/>
    <x v="20"/>
    <x v="23"/>
    <x v="0"/>
    <x v="3"/>
    <x v="8"/>
    <x v="3"/>
    <x v="17"/>
    <x v="11"/>
    <x v="8"/>
    <x v="1"/>
    <x v="0"/>
    <x v="3"/>
    <x v="0"/>
    <x v="0"/>
    <x v="0"/>
    <x v="0"/>
    <x v="0"/>
    <x v="0"/>
    <x v="0"/>
    <x v="27"/>
    <x v="0"/>
    <x v="1"/>
    <x v="0"/>
    <x v="3"/>
    <x v="12"/>
    <x v="13"/>
    <x v="0"/>
    <x v="0"/>
    <x v="28"/>
    <x v="16"/>
    <x v="4"/>
    <x v="3"/>
    <x v="14"/>
    <x v="16"/>
    <x v="6"/>
    <x v="0"/>
    <x v="6"/>
    <x v="14"/>
    <x v="5"/>
    <x v="5"/>
    <x v="5"/>
    <x v="5"/>
    <x v="1"/>
    <x v="0"/>
    <x v="0"/>
    <x v="5"/>
    <x v="0"/>
    <x v="1"/>
    <x v="1"/>
    <x v="1"/>
    <x v="13"/>
    <x v="1"/>
    <x v="1"/>
    <x v="18"/>
    <x v="10"/>
    <x v="0"/>
    <x v="8"/>
    <x v="14"/>
    <x v="4"/>
    <x v="24"/>
    <x v="14"/>
    <x v="2"/>
    <x v="1"/>
    <x v="1"/>
    <x v="0"/>
    <x v="2"/>
    <x v="0"/>
    <x v="6"/>
    <x v="7"/>
    <x v="1"/>
    <x v="6"/>
    <x v="3"/>
    <x v="5"/>
    <x v="3"/>
    <x v="5"/>
    <x v="16"/>
    <x v="12"/>
    <x v="8"/>
    <x v="0"/>
    <x v="4"/>
    <x v="10"/>
    <x v="0"/>
    <x v="2"/>
    <x v="1"/>
  </r>
  <r>
    <x v="32"/>
    <x v="1"/>
    <x v="56"/>
    <x v="12"/>
    <x v="24"/>
    <x v="0"/>
    <x v="0"/>
    <x v="8"/>
    <x v="3"/>
    <x v="17"/>
    <x v="11"/>
    <x v="8"/>
    <x v="1"/>
    <x v="0"/>
    <x v="3"/>
    <x v="0"/>
    <x v="0"/>
    <x v="0"/>
    <x v="0"/>
    <x v="0"/>
    <x v="0"/>
    <x v="0"/>
    <x v="27"/>
    <x v="0"/>
    <x v="1"/>
    <x v="0"/>
    <x v="3"/>
    <x v="12"/>
    <x v="13"/>
    <x v="0"/>
    <x v="0"/>
    <x v="28"/>
    <x v="16"/>
    <x v="4"/>
    <x v="3"/>
    <x v="14"/>
    <x v="16"/>
    <x v="6"/>
    <x v="0"/>
    <x v="6"/>
    <x v="14"/>
    <x v="5"/>
    <x v="5"/>
    <x v="3"/>
    <x v="5"/>
    <x v="1"/>
    <x v="2"/>
    <x v="0"/>
    <x v="5"/>
    <x v="0"/>
    <x v="1"/>
    <x v="0"/>
    <x v="1"/>
    <x v="13"/>
    <x v="1"/>
    <x v="1"/>
    <x v="18"/>
    <x v="10"/>
    <x v="0"/>
    <x v="8"/>
    <x v="14"/>
    <x v="0"/>
    <x v="24"/>
    <x v="11"/>
    <x v="2"/>
    <x v="1"/>
    <x v="0"/>
    <x v="0"/>
    <x v="7"/>
    <x v="0"/>
    <x v="6"/>
    <x v="7"/>
    <x v="1"/>
    <x v="6"/>
    <x v="3"/>
    <x v="5"/>
    <x v="3"/>
    <x v="5"/>
    <x v="16"/>
    <x v="12"/>
    <x v="8"/>
    <x v="0"/>
    <x v="4"/>
    <x v="11"/>
    <x v="0"/>
    <x v="3"/>
    <x v="1"/>
  </r>
  <r>
    <x v="35"/>
    <x v="4"/>
    <x v="57"/>
    <x v="12"/>
    <x v="25"/>
    <x v="0"/>
    <x v="1"/>
    <x v="5"/>
    <x v="2"/>
    <x v="17"/>
    <x v="11"/>
    <x v="8"/>
    <x v="13"/>
    <x v="23"/>
    <x v="3"/>
    <x v="0"/>
    <x v="0"/>
    <x v="0"/>
    <x v="0"/>
    <x v="0"/>
    <x v="0"/>
    <x v="0"/>
    <x v="28"/>
    <x v="0"/>
    <x v="1"/>
    <x v="19"/>
    <x v="58"/>
    <x v="12"/>
    <x v="13"/>
    <x v="0"/>
    <x v="0"/>
    <x v="28"/>
    <x v="16"/>
    <x v="4"/>
    <x v="3"/>
    <x v="0"/>
    <x v="16"/>
    <x v="6"/>
    <x v="0"/>
    <x v="6"/>
    <x v="14"/>
    <x v="5"/>
    <x v="5"/>
    <x v="54"/>
    <x v="5"/>
    <x v="32"/>
    <x v="27"/>
    <x v="0"/>
    <x v="5"/>
    <x v="0"/>
    <x v="1"/>
    <x v="11"/>
    <x v="0"/>
    <x v="13"/>
    <x v="25"/>
    <x v="20"/>
    <x v="18"/>
    <x v="0"/>
    <x v="0"/>
    <x v="8"/>
    <x v="42"/>
    <x v="55"/>
    <x v="51"/>
    <x v="64"/>
    <x v="1"/>
    <x v="1"/>
    <x v="0"/>
    <x v="0"/>
    <x v="1"/>
    <x v="0"/>
    <x v="6"/>
    <x v="7"/>
    <x v="6"/>
    <x v="6"/>
    <x v="3"/>
    <x v="7"/>
    <x v="3"/>
    <x v="5"/>
    <x v="16"/>
    <x v="8"/>
    <x v="4"/>
    <x v="1"/>
    <x v="0"/>
    <x v="15"/>
    <x v="0"/>
    <x v="37"/>
    <x v="1"/>
  </r>
  <r>
    <x v="27"/>
    <x v="8"/>
    <x v="58"/>
    <x v="13"/>
    <x v="26"/>
    <x v="0"/>
    <x v="1"/>
    <x v="5"/>
    <x v="2"/>
    <x v="20"/>
    <x v="14"/>
    <x v="11"/>
    <x v="13"/>
    <x v="23"/>
    <x v="3"/>
    <x v="0"/>
    <x v="0"/>
    <x v="0"/>
    <x v="0"/>
    <x v="0"/>
    <x v="0"/>
    <x v="0"/>
    <x v="33"/>
    <x v="0"/>
    <x v="1"/>
    <x v="19"/>
    <x v="56"/>
    <x v="11"/>
    <x v="12"/>
    <x v="0"/>
    <x v="0"/>
    <x v="29"/>
    <x v="18"/>
    <x v="4"/>
    <x v="3"/>
    <x v="0"/>
    <x v="23"/>
    <x v="7"/>
    <x v="0"/>
    <x v="7"/>
    <x v="14"/>
    <x v="5"/>
    <x v="5"/>
    <x v="54"/>
    <x v="5"/>
    <x v="32"/>
    <x v="27"/>
    <x v="0"/>
    <x v="5"/>
    <x v="1"/>
    <x v="0"/>
    <x v="2"/>
    <x v="2"/>
    <x v="12"/>
    <x v="25"/>
    <x v="20"/>
    <x v="14"/>
    <x v="0"/>
    <x v="0"/>
    <x v="8"/>
    <x v="47"/>
    <x v="39"/>
    <x v="56"/>
    <x v="51"/>
    <x v="0"/>
    <x v="0"/>
    <x v="1"/>
    <x v="0"/>
    <x v="3"/>
    <x v="0"/>
    <x v="0"/>
    <x v="6"/>
    <x v="6"/>
    <x v="6"/>
    <x v="3"/>
    <x v="7"/>
    <x v="3"/>
    <x v="7"/>
    <x v="18"/>
    <x v="8"/>
    <x v="4"/>
    <x v="1"/>
    <x v="0"/>
    <x v="32"/>
    <x v="0"/>
    <x v="38"/>
    <x v="1"/>
  </r>
  <r>
    <x v="28"/>
    <x v="5"/>
    <x v="59"/>
    <x v="20"/>
    <x v="27"/>
    <x v="0"/>
    <x v="1"/>
    <x v="8"/>
    <x v="3"/>
    <x v="20"/>
    <x v="14"/>
    <x v="11"/>
    <x v="13"/>
    <x v="3"/>
    <x v="3"/>
    <x v="0"/>
    <x v="0"/>
    <x v="0"/>
    <x v="0"/>
    <x v="0"/>
    <x v="0"/>
    <x v="0"/>
    <x v="16"/>
    <x v="0"/>
    <x v="1"/>
    <x v="0"/>
    <x v="5"/>
    <x v="11"/>
    <x v="12"/>
    <x v="0"/>
    <x v="0"/>
    <x v="29"/>
    <x v="18"/>
    <x v="4"/>
    <x v="3"/>
    <x v="11"/>
    <x v="23"/>
    <x v="7"/>
    <x v="0"/>
    <x v="7"/>
    <x v="14"/>
    <x v="5"/>
    <x v="5"/>
    <x v="54"/>
    <x v="5"/>
    <x v="32"/>
    <x v="27"/>
    <x v="0"/>
    <x v="5"/>
    <x v="1"/>
    <x v="0"/>
    <x v="2"/>
    <x v="2"/>
    <x v="12"/>
    <x v="4"/>
    <x v="1"/>
    <x v="14"/>
    <x v="1"/>
    <x v="0"/>
    <x v="8"/>
    <x v="12"/>
    <x v="8"/>
    <x v="22"/>
    <x v="15"/>
    <x v="0"/>
    <x v="0"/>
    <x v="1"/>
    <x v="0"/>
    <x v="6"/>
    <x v="0"/>
    <x v="0"/>
    <x v="6"/>
    <x v="1"/>
    <x v="6"/>
    <x v="3"/>
    <x v="4"/>
    <x v="3"/>
    <x v="7"/>
    <x v="18"/>
    <x v="12"/>
    <x v="4"/>
    <x v="0"/>
    <x v="0"/>
    <x v="31"/>
    <x v="0"/>
    <x v="26"/>
    <x v="1"/>
  </r>
  <r>
    <x v="25"/>
    <x v="6"/>
    <x v="60"/>
    <x v="14"/>
    <x v="28"/>
    <x v="0"/>
    <x v="0"/>
    <x v="8"/>
    <x v="3"/>
    <x v="20"/>
    <x v="14"/>
    <x v="11"/>
    <x v="9"/>
    <x v="0"/>
    <x v="3"/>
    <x v="0"/>
    <x v="0"/>
    <x v="0"/>
    <x v="0"/>
    <x v="0"/>
    <x v="0"/>
    <x v="0"/>
    <x v="64"/>
    <x v="0"/>
    <x v="1"/>
    <x v="0"/>
    <x v="0"/>
    <x v="11"/>
    <x v="12"/>
    <x v="0"/>
    <x v="0"/>
    <x v="28"/>
    <x v="16"/>
    <x v="4"/>
    <x v="3"/>
    <x v="22"/>
    <x v="16"/>
    <x v="6"/>
    <x v="0"/>
    <x v="6"/>
    <x v="14"/>
    <x v="5"/>
    <x v="5"/>
    <x v="0"/>
    <x v="5"/>
    <x v="16"/>
    <x v="1"/>
    <x v="0"/>
    <x v="5"/>
    <x v="1"/>
    <x v="0"/>
    <x v="1"/>
    <x v="1"/>
    <x v="12"/>
    <x v="1"/>
    <x v="1"/>
    <x v="14"/>
    <x v="53"/>
    <x v="0"/>
    <x v="8"/>
    <x v="30"/>
    <x v="17"/>
    <x v="39"/>
    <x v="29"/>
    <x v="2"/>
    <x v="1"/>
    <x v="0"/>
    <x v="0"/>
    <x v="5"/>
    <x v="0"/>
    <x v="5"/>
    <x v="6"/>
    <x v="3"/>
    <x v="6"/>
    <x v="3"/>
    <x v="5"/>
    <x v="3"/>
    <x v="5"/>
    <x v="16"/>
    <x v="12"/>
    <x v="4"/>
    <x v="0"/>
    <x v="1"/>
    <x v="16"/>
    <x v="2"/>
    <x v="0"/>
    <x v="1"/>
  </r>
  <r>
    <x v="26"/>
    <x v="7"/>
    <x v="61"/>
    <x v="20"/>
    <x v="29"/>
    <x v="0"/>
    <x v="0"/>
    <x v="8"/>
    <x v="3"/>
    <x v="20"/>
    <x v="14"/>
    <x v="11"/>
    <x v="5"/>
    <x v="0"/>
    <x v="3"/>
    <x v="0"/>
    <x v="0"/>
    <x v="0"/>
    <x v="0"/>
    <x v="0"/>
    <x v="0"/>
    <x v="0"/>
    <x v="60"/>
    <x v="0"/>
    <x v="1"/>
    <x v="0"/>
    <x v="1"/>
    <x v="11"/>
    <x v="12"/>
    <x v="0"/>
    <x v="0"/>
    <x v="28"/>
    <x v="16"/>
    <x v="4"/>
    <x v="3"/>
    <x v="23"/>
    <x v="16"/>
    <x v="6"/>
    <x v="0"/>
    <x v="6"/>
    <x v="14"/>
    <x v="5"/>
    <x v="5"/>
    <x v="1"/>
    <x v="5"/>
    <x v="4"/>
    <x v="1"/>
    <x v="0"/>
    <x v="5"/>
    <x v="1"/>
    <x v="0"/>
    <x v="1"/>
    <x v="1"/>
    <x v="12"/>
    <x v="1"/>
    <x v="1"/>
    <x v="14"/>
    <x v="47"/>
    <x v="0"/>
    <x v="8"/>
    <x v="23"/>
    <x v="11"/>
    <x v="33"/>
    <x v="18"/>
    <x v="2"/>
    <x v="1"/>
    <x v="0"/>
    <x v="0"/>
    <x v="4"/>
    <x v="0"/>
    <x v="3"/>
    <x v="6"/>
    <x v="3"/>
    <x v="6"/>
    <x v="3"/>
    <x v="5"/>
    <x v="3"/>
    <x v="5"/>
    <x v="16"/>
    <x v="12"/>
    <x v="4"/>
    <x v="0"/>
    <x v="9"/>
    <x v="16"/>
    <x v="2"/>
    <x v="5"/>
    <x v="1"/>
  </r>
  <r>
    <x v="37"/>
    <x v="12"/>
    <x v="70"/>
    <x v="20"/>
    <x v="31"/>
    <x v="0"/>
    <x v="1"/>
    <x v="2"/>
    <x v="3"/>
    <x v="20"/>
    <x v="24"/>
    <x v="22"/>
    <x v="13"/>
    <x v="18"/>
    <x v="3"/>
    <x v="0"/>
    <x v="0"/>
    <x v="0"/>
    <x v="0"/>
    <x v="0"/>
    <x v="0"/>
    <x v="0"/>
    <x v="30"/>
    <x v="0"/>
    <x v="4"/>
    <x v="14"/>
    <x v="55"/>
    <x v="10"/>
    <x v="11"/>
    <x v="0"/>
    <x v="0"/>
    <x v="13"/>
    <x v="8"/>
    <x v="13"/>
    <x v="14"/>
    <x v="0"/>
    <x v="5"/>
    <x v="4"/>
    <x v="0"/>
    <x v="4"/>
    <x v="14"/>
    <x v="5"/>
    <x v="5"/>
    <x v="54"/>
    <x v="5"/>
    <x v="32"/>
    <x v="27"/>
    <x v="0"/>
    <x v="5"/>
    <x v="9"/>
    <x v="14"/>
    <x v="20"/>
    <x v="22"/>
    <x v="11"/>
    <x v="19"/>
    <x v="15"/>
    <x v="14"/>
    <x v="0"/>
    <x v="2"/>
    <x v="7"/>
    <x v="49"/>
    <x v="49"/>
    <x v="58"/>
    <x v="59"/>
    <x v="0"/>
    <x v="0"/>
    <x v="1"/>
    <x v="1"/>
    <x v="39"/>
    <x v="0"/>
    <x v="6"/>
    <x v="1"/>
    <x v="6"/>
    <x v="6"/>
    <x v="3"/>
    <x v="7"/>
    <x v="3"/>
    <x v="6"/>
    <x v="17"/>
    <x v="2"/>
    <x v="4"/>
    <x v="7"/>
    <x v="0"/>
    <x v="69"/>
    <x v="0"/>
    <x v="70"/>
    <x v="1"/>
  </r>
  <r>
    <x v="19"/>
    <x v="17"/>
    <x v="71"/>
    <x v="20"/>
    <x v="32"/>
    <x v="0"/>
    <x v="1"/>
    <x v="8"/>
    <x v="3"/>
    <x v="20"/>
    <x v="14"/>
    <x v="23"/>
    <x v="13"/>
    <x v="3"/>
    <x v="3"/>
    <x v="0"/>
    <x v="0"/>
    <x v="0"/>
    <x v="0"/>
    <x v="0"/>
    <x v="0"/>
    <x v="0"/>
    <x v="14"/>
    <x v="0"/>
    <x v="1"/>
    <x v="0"/>
    <x v="6"/>
    <x v="10"/>
    <x v="11"/>
    <x v="0"/>
    <x v="0"/>
    <x v="32"/>
    <x v="20"/>
    <x v="13"/>
    <x v="14"/>
    <x v="19"/>
    <x v="22"/>
    <x v="7"/>
    <x v="0"/>
    <x v="7"/>
    <x v="14"/>
    <x v="5"/>
    <x v="5"/>
    <x v="54"/>
    <x v="5"/>
    <x v="32"/>
    <x v="27"/>
    <x v="0"/>
    <x v="5"/>
    <x v="4"/>
    <x v="25"/>
    <x v="4"/>
    <x v="2"/>
    <x v="11"/>
    <x v="4"/>
    <x v="1"/>
    <x v="14"/>
    <x v="5"/>
    <x v="0"/>
    <x v="8"/>
    <x v="7"/>
    <x v="15"/>
    <x v="17"/>
    <x v="27"/>
    <x v="0"/>
    <x v="0"/>
    <x v="1"/>
    <x v="1"/>
    <x v="39"/>
    <x v="0"/>
    <x v="0"/>
    <x v="6"/>
    <x v="2"/>
    <x v="4"/>
    <x v="3"/>
    <x v="5"/>
    <x v="3"/>
    <x v="6"/>
    <x v="17"/>
    <x v="12"/>
    <x v="4"/>
    <x v="8"/>
    <x v="0"/>
    <x v="4"/>
    <x v="1"/>
    <x v="27"/>
    <x v="1"/>
  </r>
  <r>
    <x v="38"/>
    <x v="13"/>
    <x v="72"/>
    <x v="16"/>
    <x v="33"/>
    <x v="0"/>
    <x v="1"/>
    <x v="8"/>
    <x v="3"/>
    <x v="20"/>
    <x v="14"/>
    <x v="23"/>
    <x v="13"/>
    <x v="3"/>
    <x v="3"/>
    <x v="0"/>
    <x v="0"/>
    <x v="0"/>
    <x v="0"/>
    <x v="0"/>
    <x v="0"/>
    <x v="0"/>
    <x v="18"/>
    <x v="0"/>
    <x v="4"/>
    <x v="0"/>
    <x v="4"/>
    <x v="10"/>
    <x v="11"/>
    <x v="0"/>
    <x v="0"/>
    <x v="13"/>
    <x v="8"/>
    <x v="13"/>
    <x v="14"/>
    <x v="11"/>
    <x v="5"/>
    <x v="4"/>
    <x v="0"/>
    <x v="4"/>
    <x v="14"/>
    <x v="5"/>
    <x v="5"/>
    <x v="54"/>
    <x v="5"/>
    <x v="32"/>
    <x v="27"/>
    <x v="0"/>
    <x v="5"/>
    <x v="4"/>
    <x v="25"/>
    <x v="4"/>
    <x v="3"/>
    <x v="11"/>
    <x v="4"/>
    <x v="1"/>
    <x v="14"/>
    <x v="1"/>
    <x v="0"/>
    <x v="8"/>
    <x v="9"/>
    <x v="14"/>
    <x v="19"/>
    <x v="26"/>
    <x v="0"/>
    <x v="0"/>
    <x v="1"/>
    <x v="1"/>
    <x v="39"/>
    <x v="0"/>
    <x v="0"/>
    <x v="6"/>
    <x v="6"/>
    <x v="3"/>
    <x v="3"/>
    <x v="4"/>
    <x v="3"/>
    <x v="6"/>
    <x v="17"/>
    <x v="12"/>
    <x v="4"/>
    <x v="8"/>
    <x v="0"/>
    <x v="5"/>
    <x v="0"/>
    <x v="25"/>
    <x v="1"/>
  </r>
  <r>
    <x v="41"/>
    <x v="24"/>
    <x v="64"/>
    <x v="20"/>
    <x v="34"/>
    <x v="0"/>
    <x v="1"/>
    <x v="3"/>
    <x v="2"/>
    <x v="20"/>
    <x v="24"/>
    <x v="22"/>
    <x v="13"/>
    <x v="19"/>
    <x v="3"/>
    <x v="0"/>
    <x v="0"/>
    <x v="0"/>
    <x v="0"/>
    <x v="0"/>
    <x v="0"/>
    <x v="0"/>
    <x v="32"/>
    <x v="0"/>
    <x v="4"/>
    <x v="14"/>
    <x v="54"/>
    <x v="10"/>
    <x v="11"/>
    <x v="0"/>
    <x v="0"/>
    <x v="13"/>
    <x v="8"/>
    <x v="13"/>
    <x v="14"/>
    <x v="0"/>
    <x v="5"/>
    <x v="4"/>
    <x v="0"/>
    <x v="4"/>
    <x v="14"/>
    <x v="5"/>
    <x v="5"/>
    <x v="54"/>
    <x v="0"/>
    <x v="32"/>
    <x v="27"/>
    <x v="0"/>
    <x v="5"/>
    <x v="9"/>
    <x v="14"/>
    <x v="20"/>
    <x v="22"/>
    <x v="11"/>
    <x v="20"/>
    <x v="15"/>
    <x v="14"/>
    <x v="0"/>
    <x v="0"/>
    <x v="9"/>
    <x v="56"/>
    <x v="41"/>
    <x v="63"/>
    <x v="53"/>
    <x v="0"/>
    <x v="0"/>
    <x v="1"/>
    <x v="1"/>
    <x v="39"/>
    <x v="0"/>
    <x v="0"/>
    <x v="1"/>
    <x v="6"/>
    <x v="6"/>
    <x v="3"/>
    <x v="7"/>
    <x v="3"/>
    <x v="7"/>
    <x v="18"/>
    <x v="4"/>
    <x v="4"/>
    <x v="1"/>
    <x v="0"/>
    <x v="12"/>
    <x v="0"/>
    <x v="36"/>
    <x v="1"/>
  </r>
  <r>
    <x v="40"/>
    <x v="23"/>
    <x v="62"/>
    <x v="20"/>
    <x v="30"/>
    <x v="0"/>
    <x v="1"/>
    <x v="5"/>
    <x v="2"/>
    <x v="19"/>
    <x v="18"/>
    <x v="23"/>
    <x v="13"/>
    <x v="26"/>
    <x v="3"/>
    <x v="0"/>
    <x v="0"/>
    <x v="0"/>
    <x v="0"/>
    <x v="0"/>
    <x v="0"/>
    <x v="0"/>
    <x v="43"/>
    <x v="0"/>
    <x v="4"/>
    <x v="25"/>
    <x v="47"/>
    <x v="5"/>
    <x v="6"/>
    <x v="0"/>
    <x v="0"/>
    <x v="18"/>
    <x v="12"/>
    <x v="13"/>
    <x v="11"/>
    <x v="0"/>
    <x v="8"/>
    <x v="5"/>
    <x v="0"/>
    <x v="5"/>
    <x v="14"/>
    <x v="5"/>
    <x v="5"/>
    <x v="54"/>
    <x v="5"/>
    <x v="32"/>
    <x v="27"/>
    <x v="0"/>
    <x v="5"/>
    <x v="6"/>
    <x v="26"/>
    <x v="10"/>
    <x v="12"/>
    <x v="6"/>
    <x v="22"/>
    <x v="26"/>
    <x v="16"/>
    <x v="0"/>
    <x v="0"/>
    <x v="8"/>
    <x v="52"/>
    <x v="47"/>
    <x v="61"/>
    <x v="58"/>
    <x v="2"/>
    <x v="1"/>
    <x v="1"/>
    <x v="1"/>
    <x v="39"/>
    <x v="0"/>
    <x v="0"/>
    <x v="3"/>
    <x v="6"/>
    <x v="6"/>
    <x v="3"/>
    <x v="7"/>
    <x v="3"/>
    <x v="9"/>
    <x v="19"/>
    <x v="8"/>
    <x v="4"/>
    <x v="1"/>
    <x v="0"/>
    <x v="44"/>
    <x v="0"/>
    <x v="39"/>
    <x v="1"/>
  </r>
  <r>
    <x v="36"/>
    <x v="22"/>
    <x v="63"/>
    <x v="20"/>
    <x v="35"/>
    <x v="0"/>
    <x v="1"/>
    <x v="2"/>
    <x v="3"/>
    <x v="19"/>
    <x v="15"/>
    <x v="23"/>
    <x v="13"/>
    <x v="17"/>
    <x v="3"/>
    <x v="0"/>
    <x v="0"/>
    <x v="0"/>
    <x v="0"/>
    <x v="0"/>
    <x v="0"/>
    <x v="0"/>
    <x v="45"/>
    <x v="0"/>
    <x v="4"/>
    <x v="16"/>
    <x v="43"/>
    <x v="5"/>
    <x v="5"/>
    <x v="0"/>
    <x v="0"/>
    <x v="14"/>
    <x v="6"/>
    <x v="13"/>
    <x v="11"/>
    <x v="0"/>
    <x v="6"/>
    <x v="4"/>
    <x v="0"/>
    <x v="4"/>
    <x v="14"/>
    <x v="5"/>
    <x v="5"/>
    <x v="54"/>
    <x v="5"/>
    <x v="32"/>
    <x v="27"/>
    <x v="0"/>
    <x v="5"/>
    <x v="6"/>
    <x v="25"/>
    <x v="10"/>
    <x v="12"/>
    <x v="5"/>
    <x v="18"/>
    <x v="17"/>
    <x v="15"/>
    <x v="0"/>
    <x v="2"/>
    <x v="7"/>
    <x v="41"/>
    <x v="46"/>
    <x v="50"/>
    <x v="57"/>
    <x v="2"/>
    <x v="1"/>
    <x v="1"/>
    <x v="1"/>
    <x v="39"/>
    <x v="0"/>
    <x v="0"/>
    <x v="5"/>
    <x v="6"/>
    <x v="6"/>
    <x v="3"/>
    <x v="7"/>
    <x v="3"/>
    <x v="9"/>
    <x v="19"/>
    <x v="2"/>
    <x v="4"/>
    <x v="7"/>
    <x v="0"/>
    <x v="40"/>
    <x v="0"/>
    <x v="68"/>
    <x v="1"/>
  </r>
  <r>
    <x v="50"/>
    <x v="47"/>
    <x v="65"/>
    <x v="20"/>
    <x v="36"/>
    <x v="0"/>
    <x v="3"/>
    <x v="3"/>
    <x v="1"/>
    <x v="23"/>
    <x v="25"/>
    <x v="23"/>
    <x v="12"/>
    <x v="30"/>
    <x v="2"/>
    <x v="0"/>
    <x v="0"/>
    <x v="0"/>
    <x v="0"/>
    <x v="0"/>
    <x v="0"/>
    <x v="0"/>
    <x v="71"/>
    <x v="0"/>
    <x v="1"/>
    <x v="21"/>
    <x v="8"/>
    <x v="13"/>
    <x v="14"/>
    <x v="0"/>
    <x v="0"/>
    <x v="30"/>
    <x v="19"/>
    <x v="9"/>
    <x v="14"/>
    <x v="10"/>
    <x v="25"/>
    <x v="7"/>
    <x v="0"/>
    <x v="7"/>
    <x v="14"/>
    <x v="1"/>
    <x v="1"/>
    <x v="28"/>
    <x v="3"/>
    <x v="28"/>
    <x v="27"/>
    <x v="0"/>
    <x v="5"/>
    <x v="3"/>
    <x v="25"/>
    <x v="20"/>
    <x v="22"/>
    <x v="13"/>
    <x v="25"/>
    <x v="22"/>
    <x v="11"/>
    <x v="56"/>
    <x v="0"/>
    <x v="9"/>
    <x v="67"/>
    <x v="59"/>
    <x v="69"/>
    <x v="68"/>
    <x v="2"/>
    <x v="1"/>
    <x v="1"/>
    <x v="1"/>
    <x v="39"/>
    <x v="0"/>
    <x v="4"/>
    <x v="10"/>
    <x v="4"/>
    <x v="6"/>
    <x v="3"/>
    <x v="5"/>
    <x v="3"/>
    <x v="5"/>
    <x v="16"/>
    <x v="3"/>
    <x v="13"/>
    <x v="8"/>
    <x v="5"/>
    <x v="14"/>
    <x v="4"/>
    <x v="4"/>
    <x v="1"/>
  </r>
  <r>
    <x v="51"/>
    <x v="48"/>
    <x v="66"/>
    <x v="15"/>
    <x v="37"/>
    <x v="0"/>
    <x v="3"/>
    <x v="3"/>
    <x v="1"/>
    <x v="23"/>
    <x v="25"/>
    <x v="23"/>
    <x v="11"/>
    <x v="30"/>
    <x v="2"/>
    <x v="0"/>
    <x v="0"/>
    <x v="0"/>
    <x v="0"/>
    <x v="0"/>
    <x v="0"/>
    <x v="0"/>
    <x v="70"/>
    <x v="0"/>
    <x v="1"/>
    <x v="21"/>
    <x v="11"/>
    <x v="13"/>
    <x v="14"/>
    <x v="0"/>
    <x v="0"/>
    <x v="30"/>
    <x v="19"/>
    <x v="9"/>
    <x v="14"/>
    <x v="10"/>
    <x v="25"/>
    <x v="7"/>
    <x v="0"/>
    <x v="7"/>
    <x v="14"/>
    <x v="2"/>
    <x v="2"/>
    <x v="31"/>
    <x v="4"/>
    <x v="15"/>
    <x v="27"/>
    <x v="0"/>
    <x v="5"/>
    <x v="3"/>
    <x v="25"/>
    <x v="20"/>
    <x v="22"/>
    <x v="13"/>
    <x v="25"/>
    <x v="22"/>
    <x v="11"/>
    <x v="54"/>
    <x v="0"/>
    <x v="9"/>
    <x v="66"/>
    <x v="56"/>
    <x v="68"/>
    <x v="65"/>
    <x v="2"/>
    <x v="1"/>
    <x v="1"/>
    <x v="1"/>
    <x v="39"/>
    <x v="0"/>
    <x v="4"/>
    <x v="10"/>
    <x v="4"/>
    <x v="6"/>
    <x v="3"/>
    <x v="5"/>
    <x v="3"/>
    <x v="5"/>
    <x v="16"/>
    <x v="3"/>
    <x v="11"/>
    <x v="8"/>
    <x v="3"/>
    <x v="47"/>
    <x v="4"/>
    <x v="1"/>
    <x v="1"/>
  </r>
  <r>
    <x v="39"/>
    <x v="42"/>
    <x v="67"/>
    <x v="20"/>
    <x v="36"/>
    <x v="0"/>
    <x v="3"/>
    <x v="5"/>
    <x v="4"/>
    <x v="24"/>
    <x v="23"/>
    <x v="21"/>
    <x v="1"/>
    <x v="14"/>
    <x v="3"/>
    <x v="0"/>
    <x v="0"/>
    <x v="0"/>
    <x v="0"/>
    <x v="0"/>
    <x v="0"/>
    <x v="0"/>
    <x v="31"/>
    <x v="0"/>
    <x v="2"/>
    <x v="6"/>
    <x v="30"/>
    <x v="5"/>
    <x v="5"/>
    <x v="0"/>
    <x v="0"/>
    <x v="27"/>
    <x v="15"/>
    <x v="13"/>
    <x v="5"/>
    <x v="36"/>
    <x v="14"/>
    <x v="6"/>
    <x v="0"/>
    <x v="6"/>
    <x v="1"/>
    <x v="5"/>
    <x v="5"/>
    <x v="21"/>
    <x v="5"/>
    <x v="19"/>
    <x v="13"/>
    <x v="0"/>
    <x v="5"/>
    <x v="7"/>
    <x v="8"/>
    <x v="6"/>
    <x v="9"/>
    <x v="5"/>
    <x v="15"/>
    <x v="7"/>
    <x v="10"/>
    <x v="27"/>
    <x v="0"/>
    <x v="5"/>
    <x v="25"/>
    <x v="22"/>
    <x v="35"/>
    <x v="34"/>
    <x v="2"/>
    <x v="1"/>
    <x v="1"/>
    <x v="1"/>
    <x v="23"/>
    <x v="0"/>
    <x v="6"/>
    <x v="5"/>
    <x v="1"/>
    <x v="6"/>
    <x v="3"/>
    <x v="5"/>
    <x v="3"/>
    <x v="4"/>
    <x v="15"/>
    <x v="9"/>
    <x v="8"/>
    <x v="4"/>
    <x v="4"/>
    <x v="13"/>
    <x v="0"/>
    <x v="60"/>
    <x v="1"/>
  </r>
  <r>
    <x v="45"/>
    <x v="46"/>
    <x v="77"/>
    <x v="20"/>
    <x v="40"/>
    <x v="0"/>
    <x v="1"/>
    <x v="2"/>
    <x v="3"/>
    <x v="25"/>
    <x v="4"/>
    <x v="23"/>
    <x v="13"/>
    <x v="16"/>
    <x v="3"/>
    <x v="0"/>
    <x v="0"/>
    <x v="0"/>
    <x v="0"/>
    <x v="0"/>
    <x v="0"/>
    <x v="0"/>
    <x v="42"/>
    <x v="0"/>
    <x v="4"/>
    <x v="24"/>
    <x v="52"/>
    <x v="7"/>
    <x v="8"/>
    <x v="0"/>
    <x v="0"/>
    <x v="17"/>
    <x v="11"/>
    <x v="5"/>
    <x v="9"/>
    <x v="0"/>
    <x v="11"/>
    <x v="5"/>
    <x v="0"/>
    <x v="5"/>
    <x v="14"/>
    <x v="5"/>
    <x v="5"/>
    <x v="54"/>
    <x v="5"/>
    <x v="32"/>
    <x v="27"/>
    <x v="0"/>
    <x v="5"/>
    <x v="10"/>
    <x v="25"/>
    <x v="20"/>
    <x v="7"/>
    <x v="8"/>
    <x v="17"/>
    <x v="25"/>
    <x v="9"/>
    <x v="0"/>
    <x v="2"/>
    <x v="7"/>
    <x v="33"/>
    <x v="41"/>
    <x v="42"/>
    <x v="53"/>
    <x v="2"/>
    <x v="1"/>
    <x v="1"/>
    <x v="1"/>
    <x v="39"/>
    <x v="0"/>
    <x v="6"/>
    <x v="0"/>
    <x v="6"/>
    <x v="6"/>
    <x v="3"/>
    <x v="7"/>
    <x v="3"/>
    <x v="9"/>
    <x v="19"/>
    <x v="2"/>
    <x v="3"/>
    <x v="7"/>
    <x v="0"/>
    <x v="26"/>
    <x v="0"/>
    <x v="67"/>
    <x v="1"/>
  </r>
  <r>
    <x v="86"/>
    <x v="67"/>
    <x v="84"/>
    <x v="18"/>
    <x v="45"/>
    <x v="0"/>
    <x v="2"/>
    <x v="2"/>
    <x v="3"/>
    <x v="27"/>
    <x v="25"/>
    <x v="23"/>
    <x v="0"/>
    <x v="9"/>
    <x v="3"/>
    <x v="0"/>
    <x v="0"/>
    <x v="0"/>
    <x v="0"/>
    <x v="0"/>
    <x v="0"/>
    <x v="0"/>
    <x v="13"/>
    <x v="0"/>
    <x v="1"/>
    <x v="10"/>
    <x v="59"/>
    <x v="5"/>
    <x v="5"/>
    <x v="0"/>
    <x v="0"/>
    <x v="24"/>
    <x v="13"/>
    <x v="10"/>
    <x v="12"/>
    <x v="15"/>
    <x v="20"/>
    <x v="6"/>
    <x v="0"/>
    <x v="6"/>
    <x v="0"/>
    <x v="5"/>
    <x v="5"/>
    <x v="53"/>
    <x v="5"/>
    <x v="19"/>
    <x v="26"/>
    <x v="0"/>
    <x v="5"/>
    <x v="9"/>
    <x v="25"/>
    <x v="20"/>
    <x v="22"/>
    <x v="5"/>
    <x v="10"/>
    <x v="11"/>
    <x v="7"/>
    <x v="3"/>
    <x v="2"/>
    <x v="7"/>
    <x v="31"/>
    <x v="28"/>
    <x v="40"/>
    <x v="40"/>
    <x v="2"/>
    <x v="1"/>
    <x v="1"/>
    <x v="1"/>
    <x v="39"/>
    <x v="0"/>
    <x v="6"/>
    <x v="5"/>
    <x v="1"/>
    <x v="1"/>
    <x v="3"/>
    <x v="2"/>
    <x v="5"/>
    <x v="9"/>
    <x v="29"/>
    <x v="2"/>
    <x v="4"/>
    <x v="7"/>
    <x v="0"/>
    <x v="65"/>
    <x v="0"/>
    <x v="69"/>
    <x v="1"/>
  </r>
  <r>
    <x v="82"/>
    <x v="68"/>
    <x v="85"/>
    <x v="20"/>
    <x v="41"/>
    <x v="0"/>
    <x v="2"/>
    <x v="2"/>
    <x v="3"/>
    <x v="27"/>
    <x v="25"/>
    <x v="23"/>
    <x v="1"/>
    <x v="9"/>
    <x v="3"/>
    <x v="0"/>
    <x v="0"/>
    <x v="0"/>
    <x v="0"/>
    <x v="0"/>
    <x v="0"/>
    <x v="0"/>
    <x v="25"/>
    <x v="0"/>
    <x v="1"/>
    <x v="10"/>
    <x v="44"/>
    <x v="5"/>
    <x v="5"/>
    <x v="0"/>
    <x v="0"/>
    <x v="24"/>
    <x v="13"/>
    <x v="10"/>
    <x v="12"/>
    <x v="15"/>
    <x v="20"/>
    <x v="6"/>
    <x v="0"/>
    <x v="6"/>
    <x v="0"/>
    <x v="5"/>
    <x v="5"/>
    <x v="52"/>
    <x v="5"/>
    <x v="19"/>
    <x v="25"/>
    <x v="0"/>
    <x v="5"/>
    <x v="9"/>
    <x v="25"/>
    <x v="20"/>
    <x v="22"/>
    <x v="5"/>
    <x v="10"/>
    <x v="11"/>
    <x v="7"/>
    <x v="11"/>
    <x v="2"/>
    <x v="7"/>
    <x v="34"/>
    <x v="30"/>
    <x v="43"/>
    <x v="42"/>
    <x v="2"/>
    <x v="1"/>
    <x v="1"/>
    <x v="1"/>
    <x v="39"/>
    <x v="0"/>
    <x v="6"/>
    <x v="5"/>
    <x v="1"/>
    <x v="1"/>
    <x v="3"/>
    <x v="2"/>
    <x v="5"/>
    <x v="9"/>
    <x v="29"/>
    <x v="2"/>
    <x v="8"/>
    <x v="7"/>
    <x v="4"/>
    <x v="65"/>
    <x v="0"/>
    <x v="75"/>
    <x v="1"/>
  </r>
  <r>
    <x v="83"/>
    <x v="69"/>
    <x v="86"/>
    <x v="18"/>
    <x v="42"/>
    <x v="0"/>
    <x v="2"/>
    <x v="2"/>
    <x v="3"/>
    <x v="27"/>
    <x v="25"/>
    <x v="23"/>
    <x v="2"/>
    <x v="9"/>
    <x v="3"/>
    <x v="0"/>
    <x v="0"/>
    <x v="0"/>
    <x v="0"/>
    <x v="0"/>
    <x v="0"/>
    <x v="0"/>
    <x v="36"/>
    <x v="0"/>
    <x v="1"/>
    <x v="10"/>
    <x v="39"/>
    <x v="5"/>
    <x v="5"/>
    <x v="0"/>
    <x v="0"/>
    <x v="24"/>
    <x v="13"/>
    <x v="10"/>
    <x v="12"/>
    <x v="15"/>
    <x v="20"/>
    <x v="6"/>
    <x v="0"/>
    <x v="6"/>
    <x v="0"/>
    <x v="5"/>
    <x v="5"/>
    <x v="51"/>
    <x v="5"/>
    <x v="11"/>
    <x v="25"/>
    <x v="0"/>
    <x v="5"/>
    <x v="9"/>
    <x v="25"/>
    <x v="20"/>
    <x v="22"/>
    <x v="5"/>
    <x v="10"/>
    <x v="11"/>
    <x v="7"/>
    <x v="19"/>
    <x v="2"/>
    <x v="7"/>
    <x v="36"/>
    <x v="33"/>
    <x v="45"/>
    <x v="45"/>
    <x v="2"/>
    <x v="1"/>
    <x v="1"/>
    <x v="1"/>
    <x v="39"/>
    <x v="0"/>
    <x v="6"/>
    <x v="5"/>
    <x v="1"/>
    <x v="1"/>
    <x v="3"/>
    <x v="2"/>
    <x v="5"/>
    <x v="9"/>
    <x v="29"/>
    <x v="2"/>
    <x v="14"/>
    <x v="7"/>
    <x v="6"/>
    <x v="65"/>
    <x v="0"/>
    <x v="79"/>
    <x v="1"/>
  </r>
  <r>
    <x v="84"/>
    <x v="70"/>
    <x v="87"/>
    <x v="18"/>
    <x v="43"/>
    <x v="0"/>
    <x v="2"/>
    <x v="2"/>
    <x v="3"/>
    <x v="27"/>
    <x v="25"/>
    <x v="23"/>
    <x v="3"/>
    <x v="9"/>
    <x v="3"/>
    <x v="0"/>
    <x v="0"/>
    <x v="0"/>
    <x v="0"/>
    <x v="0"/>
    <x v="0"/>
    <x v="0"/>
    <x v="38"/>
    <x v="0"/>
    <x v="1"/>
    <x v="10"/>
    <x v="28"/>
    <x v="5"/>
    <x v="5"/>
    <x v="0"/>
    <x v="0"/>
    <x v="24"/>
    <x v="13"/>
    <x v="10"/>
    <x v="12"/>
    <x v="15"/>
    <x v="20"/>
    <x v="6"/>
    <x v="0"/>
    <x v="6"/>
    <x v="0"/>
    <x v="5"/>
    <x v="5"/>
    <x v="50"/>
    <x v="5"/>
    <x v="2"/>
    <x v="25"/>
    <x v="0"/>
    <x v="5"/>
    <x v="9"/>
    <x v="25"/>
    <x v="20"/>
    <x v="22"/>
    <x v="5"/>
    <x v="10"/>
    <x v="11"/>
    <x v="7"/>
    <x v="24"/>
    <x v="2"/>
    <x v="7"/>
    <x v="37"/>
    <x v="35"/>
    <x v="46"/>
    <x v="47"/>
    <x v="2"/>
    <x v="1"/>
    <x v="1"/>
    <x v="1"/>
    <x v="39"/>
    <x v="0"/>
    <x v="6"/>
    <x v="5"/>
    <x v="1"/>
    <x v="1"/>
    <x v="3"/>
    <x v="2"/>
    <x v="5"/>
    <x v="9"/>
    <x v="29"/>
    <x v="2"/>
    <x v="17"/>
    <x v="7"/>
    <x v="7"/>
    <x v="65"/>
    <x v="0"/>
    <x v="82"/>
    <x v="1"/>
  </r>
  <r>
    <x v="85"/>
    <x v="71"/>
    <x v="88"/>
    <x v="18"/>
    <x v="44"/>
    <x v="0"/>
    <x v="2"/>
    <x v="2"/>
    <x v="3"/>
    <x v="27"/>
    <x v="25"/>
    <x v="23"/>
    <x v="4"/>
    <x v="9"/>
    <x v="3"/>
    <x v="0"/>
    <x v="0"/>
    <x v="0"/>
    <x v="0"/>
    <x v="0"/>
    <x v="0"/>
    <x v="0"/>
    <x v="44"/>
    <x v="0"/>
    <x v="1"/>
    <x v="10"/>
    <x v="25"/>
    <x v="5"/>
    <x v="5"/>
    <x v="0"/>
    <x v="0"/>
    <x v="24"/>
    <x v="13"/>
    <x v="10"/>
    <x v="12"/>
    <x v="15"/>
    <x v="20"/>
    <x v="6"/>
    <x v="0"/>
    <x v="6"/>
    <x v="0"/>
    <x v="5"/>
    <x v="5"/>
    <x v="49"/>
    <x v="5"/>
    <x v="3"/>
    <x v="25"/>
    <x v="0"/>
    <x v="5"/>
    <x v="9"/>
    <x v="25"/>
    <x v="20"/>
    <x v="22"/>
    <x v="5"/>
    <x v="10"/>
    <x v="11"/>
    <x v="7"/>
    <x v="32"/>
    <x v="2"/>
    <x v="7"/>
    <x v="39"/>
    <x v="36"/>
    <x v="48"/>
    <x v="48"/>
    <x v="2"/>
    <x v="1"/>
    <x v="1"/>
    <x v="1"/>
    <x v="39"/>
    <x v="0"/>
    <x v="6"/>
    <x v="5"/>
    <x v="1"/>
    <x v="1"/>
    <x v="3"/>
    <x v="2"/>
    <x v="5"/>
    <x v="9"/>
    <x v="29"/>
    <x v="2"/>
    <x v="20"/>
    <x v="7"/>
    <x v="8"/>
    <x v="65"/>
    <x v="0"/>
    <x v="84"/>
    <x v="1"/>
  </r>
  <r>
    <x v="4"/>
    <x v="62"/>
    <x v="73"/>
    <x v="20"/>
    <x v="46"/>
    <x v="0"/>
    <x v="3"/>
    <x v="2"/>
    <x v="3"/>
    <x v="28"/>
    <x v="25"/>
    <x v="23"/>
    <x v="3"/>
    <x v="20"/>
    <x v="3"/>
    <x v="0"/>
    <x v="0"/>
    <x v="0"/>
    <x v="0"/>
    <x v="0"/>
    <x v="0"/>
    <x v="0"/>
    <x v="57"/>
    <x v="0"/>
    <x v="2"/>
    <x v="20"/>
    <x v="31"/>
    <x v="10"/>
    <x v="11"/>
    <x v="0"/>
    <x v="0"/>
    <x v="34"/>
    <x v="22"/>
    <x v="6"/>
    <x v="14"/>
    <x v="24"/>
    <x v="27"/>
    <x v="8"/>
    <x v="0"/>
    <x v="8"/>
    <x v="14"/>
    <x v="5"/>
    <x v="5"/>
    <x v="41"/>
    <x v="5"/>
    <x v="24"/>
    <x v="19"/>
    <x v="0"/>
    <x v="5"/>
    <x v="5"/>
    <x v="25"/>
    <x v="4"/>
    <x v="6"/>
    <x v="11"/>
    <x v="21"/>
    <x v="21"/>
    <x v="6"/>
    <x v="34"/>
    <x v="2"/>
    <x v="7"/>
    <x v="46"/>
    <x v="52"/>
    <x v="55"/>
    <x v="61"/>
    <x v="2"/>
    <x v="1"/>
    <x v="1"/>
    <x v="1"/>
    <x v="35"/>
    <x v="0"/>
    <x v="6"/>
    <x v="9"/>
    <x v="2"/>
    <x v="6"/>
    <x v="3"/>
    <x v="5"/>
    <x v="5"/>
    <x v="3"/>
    <x v="28"/>
    <x v="2"/>
    <x v="19"/>
    <x v="7"/>
    <x v="7"/>
    <x v="39"/>
    <x v="1"/>
    <x v="83"/>
    <x v="1"/>
  </r>
  <r>
    <x v="4"/>
    <x v="63"/>
    <x v="74"/>
    <x v="17"/>
    <x v="47"/>
    <x v="0"/>
    <x v="3"/>
    <x v="2"/>
    <x v="3"/>
    <x v="28"/>
    <x v="25"/>
    <x v="23"/>
    <x v="4"/>
    <x v="22"/>
    <x v="3"/>
    <x v="0"/>
    <x v="0"/>
    <x v="0"/>
    <x v="0"/>
    <x v="0"/>
    <x v="0"/>
    <x v="0"/>
    <x v="61"/>
    <x v="0"/>
    <x v="2"/>
    <x v="26"/>
    <x v="35"/>
    <x v="10"/>
    <x v="11"/>
    <x v="0"/>
    <x v="0"/>
    <x v="34"/>
    <x v="22"/>
    <x v="6"/>
    <x v="14"/>
    <x v="24"/>
    <x v="27"/>
    <x v="8"/>
    <x v="0"/>
    <x v="8"/>
    <x v="14"/>
    <x v="5"/>
    <x v="5"/>
    <x v="40"/>
    <x v="5"/>
    <x v="3"/>
    <x v="19"/>
    <x v="0"/>
    <x v="5"/>
    <x v="5"/>
    <x v="25"/>
    <x v="4"/>
    <x v="6"/>
    <x v="11"/>
    <x v="24"/>
    <x v="27"/>
    <x v="6"/>
    <x v="41"/>
    <x v="2"/>
    <x v="7"/>
    <x v="51"/>
    <x v="53"/>
    <x v="60"/>
    <x v="62"/>
    <x v="2"/>
    <x v="1"/>
    <x v="1"/>
    <x v="1"/>
    <x v="34"/>
    <x v="0"/>
    <x v="2"/>
    <x v="9"/>
    <x v="2"/>
    <x v="6"/>
    <x v="3"/>
    <x v="5"/>
    <x v="5"/>
    <x v="3"/>
    <x v="28"/>
    <x v="2"/>
    <x v="23"/>
    <x v="7"/>
    <x v="8"/>
    <x v="39"/>
    <x v="1"/>
    <x v="85"/>
    <x v="1"/>
  </r>
  <r>
    <x v="4"/>
    <x v="64"/>
    <x v="75"/>
    <x v="17"/>
    <x v="48"/>
    <x v="0"/>
    <x v="3"/>
    <x v="2"/>
    <x v="3"/>
    <x v="28"/>
    <x v="25"/>
    <x v="23"/>
    <x v="6"/>
    <x v="25"/>
    <x v="3"/>
    <x v="0"/>
    <x v="0"/>
    <x v="0"/>
    <x v="0"/>
    <x v="0"/>
    <x v="0"/>
    <x v="0"/>
    <x v="65"/>
    <x v="0"/>
    <x v="2"/>
    <x v="28"/>
    <x v="36"/>
    <x v="10"/>
    <x v="11"/>
    <x v="0"/>
    <x v="0"/>
    <x v="34"/>
    <x v="22"/>
    <x v="6"/>
    <x v="14"/>
    <x v="24"/>
    <x v="27"/>
    <x v="8"/>
    <x v="0"/>
    <x v="8"/>
    <x v="14"/>
    <x v="5"/>
    <x v="5"/>
    <x v="39"/>
    <x v="5"/>
    <x v="5"/>
    <x v="19"/>
    <x v="0"/>
    <x v="5"/>
    <x v="5"/>
    <x v="25"/>
    <x v="4"/>
    <x v="6"/>
    <x v="11"/>
    <x v="25"/>
    <x v="29"/>
    <x v="6"/>
    <x v="49"/>
    <x v="2"/>
    <x v="7"/>
    <x v="57"/>
    <x v="58"/>
    <x v="64"/>
    <x v="67"/>
    <x v="2"/>
    <x v="1"/>
    <x v="1"/>
    <x v="1"/>
    <x v="33"/>
    <x v="0"/>
    <x v="1"/>
    <x v="9"/>
    <x v="2"/>
    <x v="6"/>
    <x v="3"/>
    <x v="5"/>
    <x v="5"/>
    <x v="3"/>
    <x v="28"/>
    <x v="2"/>
    <x v="27"/>
    <x v="7"/>
    <x v="10"/>
    <x v="39"/>
    <x v="1"/>
    <x v="87"/>
    <x v="1"/>
  </r>
  <r>
    <x v="4"/>
    <x v="65"/>
    <x v="76"/>
    <x v="17"/>
    <x v="49"/>
    <x v="0"/>
    <x v="3"/>
    <x v="2"/>
    <x v="3"/>
    <x v="28"/>
    <x v="25"/>
    <x v="23"/>
    <x v="8"/>
    <x v="27"/>
    <x v="3"/>
    <x v="0"/>
    <x v="0"/>
    <x v="0"/>
    <x v="0"/>
    <x v="0"/>
    <x v="0"/>
    <x v="0"/>
    <x v="68"/>
    <x v="0"/>
    <x v="2"/>
    <x v="31"/>
    <x v="38"/>
    <x v="10"/>
    <x v="11"/>
    <x v="0"/>
    <x v="0"/>
    <x v="34"/>
    <x v="22"/>
    <x v="6"/>
    <x v="14"/>
    <x v="24"/>
    <x v="27"/>
    <x v="8"/>
    <x v="0"/>
    <x v="8"/>
    <x v="14"/>
    <x v="5"/>
    <x v="5"/>
    <x v="38"/>
    <x v="5"/>
    <x v="7"/>
    <x v="19"/>
    <x v="0"/>
    <x v="5"/>
    <x v="5"/>
    <x v="25"/>
    <x v="4"/>
    <x v="6"/>
    <x v="11"/>
    <x v="25"/>
    <x v="30"/>
    <x v="6"/>
    <x v="52"/>
    <x v="2"/>
    <x v="7"/>
    <x v="58"/>
    <x v="60"/>
    <x v="65"/>
    <x v="69"/>
    <x v="2"/>
    <x v="1"/>
    <x v="1"/>
    <x v="1"/>
    <x v="32"/>
    <x v="0"/>
    <x v="1"/>
    <x v="9"/>
    <x v="2"/>
    <x v="6"/>
    <x v="3"/>
    <x v="5"/>
    <x v="5"/>
    <x v="3"/>
    <x v="28"/>
    <x v="2"/>
    <x v="29"/>
    <x v="7"/>
    <x v="12"/>
    <x v="39"/>
    <x v="1"/>
    <x v="89"/>
    <x v="1"/>
  </r>
  <r>
    <x v="17"/>
    <x v="15"/>
    <x v="78"/>
    <x v="20"/>
    <x v="50"/>
    <x v="0"/>
    <x v="1"/>
    <x v="4"/>
    <x v="3"/>
    <x v="31"/>
    <x v="25"/>
    <x v="23"/>
    <x v="13"/>
    <x v="15"/>
    <x v="3"/>
    <x v="0"/>
    <x v="0"/>
    <x v="0"/>
    <x v="0"/>
    <x v="0"/>
    <x v="0"/>
    <x v="0"/>
    <x v="35"/>
    <x v="0"/>
    <x v="4"/>
    <x v="15"/>
    <x v="53"/>
    <x v="7"/>
    <x v="8"/>
    <x v="0"/>
    <x v="0"/>
    <x v="11"/>
    <x v="5"/>
    <x v="13"/>
    <x v="14"/>
    <x v="0"/>
    <x v="5"/>
    <x v="4"/>
    <x v="0"/>
    <x v="4"/>
    <x v="14"/>
    <x v="5"/>
    <x v="5"/>
    <x v="54"/>
    <x v="5"/>
    <x v="32"/>
    <x v="27"/>
    <x v="0"/>
    <x v="5"/>
    <x v="8"/>
    <x v="25"/>
    <x v="20"/>
    <x v="7"/>
    <x v="8"/>
    <x v="16"/>
    <x v="16"/>
    <x v="3"/>
    <x v="0"/>
    <x v="1"/>
    <x v="10"/>
    <x v="40"/>
    <x v="35"/>
    <x v="49"/>
    <x v="47"/>
    <x v="2"/>
    <x v="1"/>
    <x v="1"/>
    <x v="1"/>
    <x v="39"/>
    <x v="0"/>
    <x v="6"/>
    <x v="9"/>
    <x v="6"/>
    <x v="6"/>
    <x v="3"/>
    <x v="7"/>
    <x v="4"/>
    <x v="11"/>
    <x v="25"/>
    <x v="7"/>
    <x v="3"/>
    <x v="6"/>
    <x v="0"/>
    <x v="66"/>
    <x v="0"/>
    <x v="64"/>
    <x v="1"/>
  </r>
  <r>
    <x v="3"/>
    <x v="41"/>
    <x v="79"/>
    <x v="20"/>
    <x v="52"/>
    <x v="0"/>
    <x v="3"/>
    <x v="5"/>
    <x v="4"/>
    <x v="30"/>
    <x v="25"/>
    <x v="23"/>
    <x v="4"/>
    <x v="21"/>
    <x v="3"/>
    <x v="0"/>
    <x v="0"/>
    <x v="0"/>
    <x v="0"/>
    <x v="0"/>
    <x v="0"/>
    <x v="0"/>
    <x v="58"/>
    <x v="0"/>
    <x v="2"/>
    <x v="23"/>
    <x v="33"/>
    <x v="8"/>
    <x v="9"/>
    <x v="0"/>
    <x v="0"/>
    <x v="37"/>
    <x v="17"/>
    <x v="13"/>
    <x v="14"/>
    <x v="26"/>
    <x v="13"/>
    <x v="6"/>
    <x v="0"/>
    <x v="6"/>
    <x v="14"/>
    <x v="5"/>
    <x v="5"/>
    <x v="25"/>
    <x v="5"/>
    <x v="22"/>
    <x v="15"/>
    <x v="0"/>
    <x v="5"/>
    <x v="4"/>
    <x v="25"/>
    <x v="4"/>
    <x v="7"/>
    <x v="9"/>
    <x v="23"/>
    <x v="24"/>
    <x v="4"/>
    <x v="44"/>
    <x v="0"/>
    <x v="5"/>
    <x v="43"/>
    <x v="42"/>
    <x v="52"/>
    <x v="54"/>
    <x v="2"/>
    <x v="1"/>
    <x v="1"/>
    <x v="1"/>
    <x v="39"/>
    <x v="0"/>
    <x v="6"/>
    <x v="3"/>
    <x v="2"/>
    <x v="6"/>
    <x v="3"/>
    <x v="5"/>
    <x v="4"/>
    <x v="5"/>
    <x v="24"/>
    <x v="9"/>
    <x v="20"/>
    <x v="4"/>
    <x v="8"/>
    <x v="64"/>
    <x v="1"/>
    <x v="62"/>
    <x v="1"/>
  </r>
  <r>
    <x v="76"/>
    <x v="40"/>
    <x v="89"/>
    <x v="20"/>
    <x v="53"/>
    <x v="0"/>
    <x v="3"/>
    <x v="5"/>
    <x v="2"/>
    <x v="31"/>
    <x v="25"/>
    <x v="23"/>
    <x v="11"/>
    <x v="31"/>
    <x v="3"/>
    <x v="0"/>
    <x v="0"/>
    <x v="0"/>
    <x v="0"/>
    <x v="0"/>
    <x v="0"/>
    <x v="0"/>
    <x v="54"/>
    <x v="0"/>
    <x v="2"/>
    <x v="30"/>
    <x v="57"/>
    <x v="14"/>
    <x v="15"/>
    <x v="0"/>
    <x v="0"/>
    <x v="36"/>
    <x v="23"/>
    <x v="12"/>
    <x v="13"/>
    <x v="27"/>
    <x v="29"/>
    <x v="9"/>
    <x v="0"/>
    <x v="9"/>
    <x v="13"/>
    <x v="3"/>
    <x v="3"/>
    <x v="29"/>
    <x v="5"/>
    <x v="31"/>
    <x v="16"/>
    <x v="0"/>
    <x v="5"/>
    <x v="9"/>
    <x v="25"/>
    <x v="11"/>
    <x v="10"/>
    <x v="13"/>
    <x v="25"/>
    <x v="30"/>
    <x v="3"/>
    <x v="58"/>
    <x v="0"/>
    <x v="8"/>
    <x v="68"/>
    <x v="61"/>
    <x v="70"/>
    <x v="70"/>
    <x v="2"/>
    <x v="1"/>
    <x v="1"/>
    <x v="1"/>
    <x v="39"/>
    <x v="0"/>
    <x v="6"/>
    <x v="5"/>
    <x v="1"/>
    <x v="4"/>
    <x v="0"/>
    <x v="5"/>
    <x v="4"/>
    <x v="5"/>
    <x v="24"/>
    <x v="8"/>
    <x v="12"/>
    <x v="1"/>
    <x v="3"/>
    <x v="22"/>
    <x v="5"/>
    <x v="42"/>
    <x v="1"/>
  </r>
  <r>
    <x v="76"/>
    <x v="39"/>
    <x v="90"/>
    <x v="19"/>
    <x v="53"/>
    <x v="0"/>
    <x v="3"/>
    <x v="5"/>
    <x v="2"/>
    <x v="31"/>
    <x v="25"/>
    <x v="23"/>
    <x v="10"/>
    <x v="29"/>
    <x v="3"/>
    <x v="0"/>
    <x v="0"/>
    <x v="0"/>
    <x v="0"/>
    <x v="0"/>
    <x v="0"/>
    <x v="0"/>
    <x v="53"/>
    <x v="0"/>
    <x v="2"/>
    <x v="27"/>
    <x v="49"/>
    <x v="14"/>
    <x v="15"/>
    <x v="0"/>
    <x v="0"/>
    <x v="36"/>
    <x v="23"/>
    <x v="12"/>
    <x v="13"/>
    <x v="25"/>
    <x v="29"/>
    <x v="9"/>
    <x v="0"/>
    <x v="9"/>
    <x v="12"/>
    <x v="4"/>
    <x v="4"/>
    <x v="30"/>
    <x v="5"/>
    <x v="8"/>
    <x v="16"/>
    <x v="0"/>
    <x v="5"/>
    <x v="9"/>
    <x v="25"/>
    <x v="6"/>
    <x v="7"/>
    <x v="13"/>
    <x v="25"/>
    <x v="28"/>
    <x v="3"/>
    <x v="55"/>
    <x v="0"/>
    <x v="8"/>
    <x v="64"/>
    <x v="57"/>
    <x v="67"/>
    <x v="66"/>
    <x v="2"/>
    <x v="1"/>
    <x v="1"/>
    <x v="1"/>
    <x v="39"/>
    <x v="0"/>
    <x v="6"/>
    <x v="5"/>
    <x v="1"/>
    <x v="4"/>
    <x v="3"/>
    <x v="5"/>
    <x v="4"/>
    <x v="5"/>
    <x v="24"/>
    <x v="8"/>
    <x v="10"/>
    <x v="1"/>
    <x v="2"/>
    <x v="6"/>
    <x v="0"/>
    <x v="40"/>
    <x v="1"/>
  </r>
  <r>
    <x v="77"/>
    <x v="43"/>
    <x v="80"/>
    <x v="20"/>
    <x v="54"/>
    <x v="0"/>
    <x v="3"/>
    <x v="3"/>
    <x v="1"/>
    <x v="32"/>
    <x v="25"/>
    <x v="23"/>
    <x v="5"/>
    <x v="24"/>
    <x v="0"/>
    <x v="0"/>
    <x v="0"/>
    <x v="0"/>
    <x v="0"/>
    <x v="0"/>
    <x v="0"/>
    <x v="0"/>
    <x v="59"/>
    <x v="0"/>
    <x v="3"/>
    <x v="22"/>
    <x v="29"/>
    <x v="6"/>
    <x v="7"/>
    <x v="0"/>
    <x v="0"/>
    <x v="24"/>
    <x v="14"/>
    <x v="13"/>
    <x v="14"/>
    <x v="29"/>
    <x v="13"/>
    <x v="6"/>
    <x v="0"/>
    <x v="6"/>
    <x v="14"/>
    <x v="5"/>
    <x v="5"/>
    <x v="26"/>
    <x v="1"/>
    <x v="23"/>
    <x v="27"/>
    <x v="0"/>
    <x v="5"/>
    <x v="6"/>
    <x v="25"/>
    <x v="4"/>
    <x v="7"/>
    <x v="7"/>
    <x v="25"/>
    <x v="23"/>
    <x v="2"/>
    <x v="50"/>
    <x v="0"/>
    <x v="6"/>
    <x v="45"/>
    <x v="43"/>
    <x v="54"/>
    <x v="55"/>
    <x v="2"/>
    <x v="1"/>
    <x v="1"/>
    <x v="1"/>
    <x v="39"/>
    <x v="0"/>
    <x v="2"/>
    <x v="2"/>
    <x v="6"/>
    <x v="6"/>
    <x v="3"/>
    <x v="5"/>
    <x v="4"/>
    <x v="4"/>
    <x v="23"/>
    <x v="3"/>
    <x v="24"/>
    <x v="2"/>
    <x v="9"/>
    <x v="42"/>
    <x v="0"/>
    <x v="57"/>
    <x v="1"/>
  </r>
  <r>
    <x v="80"/>
    <x v="44"/>
    <x v="81"/>
    <x v="20"/>
    <x v="54"/>
    <x v="0"/>
    <x v="3"/>
    <x v="5"/>
    <x v="2"/>
    <x v="33"/>
    <x v="25"/>
    <x v="23"/>
    <x v="10"/>
    <x v="28"/>
    <x v="0"/>
    <x v="0"/>
    <x v="0"/>
    <x v="0"/>
    <x v="0"/>
    <x v="0"/>
    <x v="0"/>
    <x v="0"/>
    <x v="59"/>
    <x v="0"/>
    <x v="2"/>
    <x v="29"/>
    <x v="45"/>
    <x v="8"/>
    <x v="9"/>
    <x v="0"/>
    <x v="0"/>
    <x v="21"/>
    <x v="13"/>
    <x v="13"/>
    <x v="14"/>
    <x v="29"/>
    <x v="13"/>
    <x v="6"/>
    <x v="0"/>
    <x v="6"/>
    <x v="11"/>
    <x v="5"/>
    <x v="5"/>
    <x v="48"/>
    <x v="5"/>
    <x v="30"/>
    <x v="24"/>
    <x v="0"/>
    <x v="5"/>
    <x v="6"/>
    <x v="25"/>
    <x v="4"/>
    <x v="7"/>
    <x v="9"/>
    <x v="25"/>
    <x v="30"/>
    <x v="1"/>
    <x v="57"/>
    <x v="0"/>
    <x v="5"/>
    <x v="55"/>
    <x v="54"/>
    <x v="62"/>
    <x v="63"/>
    <x v="2"/>
    <x v="1"/>
    <x v="1"/>
    <x v="1"/>
    <x v="39"/>
    <x v="0"/>
    <x v="4"/>
    <x v="1"/>
    <x v="6"/>
    <x v="6"/>
    <x v="3"/>
    <x v="5"/>
    <x v="4"/>
    <x v="4"/>
    <x v="23"/>
    <x v="8"/>
    <x v="30"/>
    <x v="1"/>
    <x v="2"/>
    <x v="27"/>
    <x v="0"/>
    <x v="41"/>
    <x v="1"/>
  </r>
  <r>
    <x v="52"/>
    <x v="45"/>
    <x v="83"/>
    <x v="20"/>
    <x v="55"/>
    <x v="0"/>
    <x v="3"/>
    <x v="4"/>
    <x v="2"/>
    <x v="34"/>
    <x v="25"/>
    <x v="23"/>
    <x v="4"/>
    <x v="24"/>
    <x v="1"/>
    <x v="0"/>
    <x v="0"/>
    <x v="0"/>
    <x v="0"/>
    <x v="0"/>
    <x v="0"/>
    <x v="0"/>
    <x v="62"/>
    <x v="0"/>
    <x v="2"/>
    <x v="17"/>
    <x v="24"/>
    <x v="10"/>
    <x v="11"/>
    <x v="0"/>
    <x v="0"/>
    <x v="35"/>
    <x v="18"/>
    <x v="13"/>
    <x v="14"/>
    <x v="29"/>
    <x v="22"/>
    <x v="7"/>
    <x v="0"/>
    <x v="7"/>
    <x v="7"/>
    <x v="5"/>
    <x v="5"/>
    <x v="27"/>
    <x v="2"/>
    <x v="22"/>
    <x v="27"/>
    <x v="0"/>
    <x v="5"/>
    <x v="6"/>
    <x v="25"/>
    <x v="4"/>
    <x v="7"/>
    <x v="11"/>
    <x v="25"/>
    <x v="18"/>
    <x v="0"/>
    <x v="47"/>
    <x v="1"/>
    <x v="10"/>
    <x v="59"/>
    <x v="50"/>
    <x v="66"/>
    <x v="60"/>
    <x v="2"/>
    <x v="1"/>
    <x v="1"/>
    <x v="1"/>
    <x v="39"/>
    <x v="0"/>
    <x v="2"/>
    <x v="9"/>
    <x v="3"/>
    <x v="6"/>
    <x v="3"/>
    <x v="5"/>
    <x v="4"/>
    <x v="5"/>
    <x v="24"/>
    <x v="6"/>
    <x v="21"/>
    <x v="3"/>
    <x v="8"/>
    <x v="43"/>
    <x v="2"/>
    <x v="58"/>
    <x v="1"/>
  </r>
  <r>
    <x v="73"/>
    <x v="90"/>
    <x v="10"/>
    <x v="20"/>
    <x v="56"/>
    <x v="0"/>
    <x v="4"/>
    <x v="9"/>
    <x v="3"/>
    <x v="1"/>
    <x v="0"/>
    <x v="2"/>
    <x v="13"/>
    <x v="32"/>
    <x v="3"/>
    <x v="0"/>
    <x v="0"/>
    <x v="0"/>
    <x v="0"/>
    <x v="0"/>
    <x v="0"/>
    <x v="0"/>
    <x v="0"/>
    <x v="0"/>
    <x v="0"/>
    <x v="32"/>
    <x v="61"/>
    <x v="3"/>
    <x v="3"/>
    <x v="0"/>
    <x v="0"/>
    <x v="1"/>
    <x v="1"/>
    <x v="1"/>
    <x v="2"/>
    <x v="2"/>
    <x v="32"/>
    <x v="1"/>
    <x v="0"/>
    <x v="1"/>
    <x v="14"/>
    <x v="5"/>
    <x v="5"/>
    <x v="54"/>
    <x v="5"/>
    <x v="32"/>
    <x v="27"/>
    <x v="0"/>
    <x v="5"/>
    <x v="6"/>
    <x v="21"/>
    <x v="7"/>
    <x v="13"/>
    <x v="3"/>
    <x v="0"/>
    <x v="0"/>
    <x v="34"/>
    <x v="8"/>
    <x v="2"/>
    <x v="1"/>
    <x v="1"/>
    <x v="6"/>
    <x v="0"/>
    <x v="2"/>
    <x v="2"/>
    <x v="1"/>
    <x v="1"/>
    <x v="1"/>
    <x v="39"/>
    <x v="0"/>
    <x v="6"/>
    <x v="0"/>
    <x v="1"/>
    <x v="5"/>
    <x v="3"/>
    <x v="6"/>
    <x v="2"/>
    <x v="12"/>
    <x v="12"/>
    <x v="13"/>
    <x v="1"/>
    <x v="0"/>
    <x v="0"/>
    <x v="63"/>
    <x v="0"/>
    <x v="15"/>
    <x v="1"/>
  </r>
  <r>
    <x v="2"/>
    <x v="87"/>
    <x v="14"/>
    <x v="20"/>
    <x v="58"/>
    <x v="0"/>
    <x v="4"/>
    <x v="9"/>
    <x v="3"/>
    <x v="7"/>
    <x v="8"/>
    <x v="7"/>
    <x v="13"/>
    <x v="32"/>
    <x v="3"/>
    <x v="0"/>
    <x v="0"/>
    <x v="0"/>
    <x v="0"/>
    <x v="0"/>
    <x v="0"/>
    <x v="0"/>
    <x v="6"/>
    <x v="0"/>
    <x v="2"/>
    <x v="32"/>
    <x v="61"/>
    <x v="3"/>
    <x v="3"/>
    <x v="0"/>
    <x v="0"/>
    <x v="1"/>
    <x v="1"/>
    <x v="1"/>
    <x v="2"/>
    <x v="4"/>
    <x v="32"/>
    <x v="1"/>
    <x v="0"/>
    <x v="1"/>
    <x v="14"/>
    <x v="5"/>
    <x v="5"/>
    <x v="54"/>
    <x v="5"/>
    <x v="32"/>
    <x v="27"/>
    <x v="0"/>
    <x v="5"/>
    <x v="6"/>
    <x v="6"/>
    <x v="7"/>
    <x v="22"/>
    <x v="3"/>
    <x v="0"/>
    <x v="0"/>
    <x v="28"/>
    <x v="15"/>
    <x v="2"/>
    <x v="1"/>
    <x v="1"/>
    <x v="6"/>
    <x v="0"/>
    <x v="2"/>
    <x v="2"/>
    <x v="1"/>
    <x v="1"/>
    <x v="1"/>
    <x v="39"/>
    <x v="0"/>
    <x v="6"/>
    <x v="0"/>
    <x v="1"/>
    <x v="5"/>
    <x v="3"/>
    <x v="0"/>
    <x v="1"/>
    <x v="12"/>
    <x v="9"/>
    <x v="13"/>
    <x v="1"/>
    <x v="0"/>
    <x v="0"/>
    <x v="61"/>
    <x v="0"/>
    <x v="14"/>
    <x v="0"/>
  </r>
  <r>
    <x v="72"/>
    <x v="85"/>
    <x v="15"/>
    <x v="20"/>
    <x v="59"/>
    <x v="0"/>
    <x v="4"/>
    <x v="9"/>
    <x v="3"/>
    <x v="14"/>
    <x v="21"/>
    <x v="19"/>
    <x v="13"/>
    <x v="32"/>
    <x v="3"/>
    <x v="0"/>
    <x v="0"/>
    <x v="0"/>
    <x v="0"/>
    <x v="0"/>
    <x v="0"/>
    <x v="0"/>
    <x v="4"/>
    <x v="0"/>
    <x v="1"/>
    <x v="32"/>
    <x v="61"/>
    <x v="3"/>
    <x v="3"/>
    <x v="0"/>
    <x v="0"/>
    <x v="5"/>
    <x v="1"/>
    <x v="2"/>
    <x v="10"/>
    <x v="9"/>
    <x v="33"/>
    <x v="1"/>
    <x v="0"/>
    <x v="1"/>
    <x v="14"/>
    <x v="5"/>
    <x v="5"/>
    <x v="54"/>
    <x v="5"/>
    <x v="32"/>
    <x v="27"/>
    <x v="0"/>
    <x v="5"/>
    <x v="6"/>
    <x v="21"/>
    <x v="7"/>
    <x v="22"/>
    <x v="3"/>
    <x v="0"/>
    <x v="0"/>
    <x v="21"/>
    <x v="26"/>
    <x v="2"/>
    <x v="1"/>
    <x v="2"/>
    <x v="7"/>
    <x v="1"/>
    <x v="3"/>
    <x v="2"/>
    <x v="1"/>
    <x v="1"/>
    <x v="1"/>
    <x v="39"/>
    <x v="0"/>
    <x v="6"/>
    <x v="0"/>
    <x v="1"/>
    <x v="5"/>
    <x v="3"/>
    <x v="0"/>
    <x v="1"/>
    <x v="12"/>
    <x v="9"/>
    <x v="13"/>
    <x v="1"/>
    <x v="0"/>
    <x v="0"/>
    <x v="60"/>
    <x v="0"/>
    <x v="13"/>
    <x v="0"/>
  </r>
  <r>
    <x v="53"/>
    <x v="50"/>
    <x v="16"/>
    <x v="20"/>
    <x v="60"/>
    <x v="0"/>
    <x v="4"/>
    <x v="9"/>
    <x v="3"/>
    <x v="29"/>
    <x v="25"/>
    <x v="23"/>
    <x v="13"/>
    <x v="32"/>
    <x v="3"/>
    <x v="0"/>
    <x v="0"/>
    <x v="0"/>
    <x v="0"/>
    <x v="0"/>
    <x v="0"/>
    <x v="0"/>
    <x v="8"/>
    <x v="0"/>
    <x v="2"/>
    <x v="32"/>
    <x v="61"/>
    <x v="5"/>
    <x v="5"/>
    <x v="0"/>
    <x v="0"/>
    <x v="10"/>
    <x v="6"/>
    <x v="4"/>
    <x v="7"/>
    <x v="35"/>
    <x v="7"/>
    <x v="4"/>
    <x v="0"/>
    <x v="4"/>
    <x v="14"/>
    <x v="5"/>
    <x v="5"/>
    <x v="54"/>
    <x v="5"/>
    <x v="32"/>
    <x v="27"/>
    <x v="0"/>
    <x v="5"/>
    <x v="6"/>
    <x v="25"/>
    <x v="20"/>
    <x v="22"/>
    <x v="5"/>
    <x v="0"/>
    <x v="0"/>
    <x v="5"/>
    <x v="51"/>
    <x v="2"/>
    <x v="1"/>
    <x v="6"/>
    <x v="10"/>
    <x v="4"/>
    <x v="6"/>
    <x v="2"/>
    <x v="1"/>
    <x v="1"/>
    <x v="1"/>
    <x v="39"/>
    <x v="0"/>
    <x v="6"/>
    <x v="0"/>
    <x v="1"/>
    <x v="2"/>
    <x v="3"/>
    <x v="0"/>
    <x v="4"/>
    <x v="12"/>
    <x v="26"/>
    <x v="13"/>
    <x v="3"/>
    <x v="0"/>
    <x v="0"/>
    <x v="17"/>
    <x v="0"/>
    <x v="20"/>
    <x v="1"/>
  </r>
  <r>
    <x v="68"/>
    <x v="19"/>
    <x v="20"/>
    <x v="20"/>
    <x v="63"/>
    <x v="0"/>
    <x v="4"/>
    <x v="0"/>
    <x v="3"/>
    <x v="3"/>
    <x v="1"/>
    <x v="2"/>
    <x v="13"/>
    <x v="32"/>
    <x v="3"/>
    <x v="0"/>
    <x v="0"/>
    <x v="0"/>
    <x v="0"/>
    <x v="0"/>
    <x v="0"/>
    <x v="0"/>
    <x v="9"/>
    <x v="0"/>
    <x v="1"/>
    <x v="32"/>
    <x v="61"/>
    <x v="4"/>
    <x v="4"/>
    <x v="0"/>
    <x v="0"/>
    <x v="2"/>
    <x v="1"/>
    <x v="1"/>
    <x v="2"/>
    <x v="0"/>
    <x v="32"/>
    <x v="1"/>
    <x v="0"/>
    <x v="1"/>
    <x v="14"/>
    <x v="5"/>
    <x v="5"/>
    <x v="54"/>
    <x v="5"/>
    <x v="32"/>
    <x v="27"/>
    <x v="0"/>
    <x v="5"/>
    <x v="12"/>
    <x v="10"/>
    <x v="9"/>
    <x v="14"/>
    <x v="4"/>
    <x v="0"/>
    <x v="0"/>
    <x v="32"/>
    <x v="0"/>
    <x v="2"/>
    <x v="0"/>
    <x v="5"/>
    <x v="11"/>
    <x v="3"/>
    <x v="7"/>
    <x v="2"/>
    <x v="1"/>
    <x v="1"/>
    <x v="1"/>
    <x v="39"/>
    <x v="0"/>
    <x v="6"/>
    <x v="0"/>
    <x v="6"/>
    <x v="0"/>
    <x v="3"/>
    <x v="1"/>
    <x v="0"/>
    <x v="8"/>
    <x v="2"/>
    <x v="0"/>
    <x v="1"/>
    <x v="0"/>
    <x v="0"/>
    <x v="68"/>
    <x v="0"/>
    <x v="17"/>
    <x v="1"/>
  </r>
  <r>
    <x v="63"/>
    <x v="18"/>
    <x v="21"/>
    <x v="20"/>
    <x v="64"/>
    <x v="0"/>
    <x v="4"/>
    <x v="0"/>
    <x v="3"/>
    <x v="6"/>
    <x v="6"/>
    <x v="8"/>
    <x v="13"/>
    <x v="32"/>
    <x v="3"/>
    <x v="0"/>
    <x v="0"/>
    <x v="0"/>
    <x v="0"/>
    <x v="0"/>
    <x v="0"/>
    <x v="0"/>
    <x v="9"/>
    <x v="0"/>
    <x v="1"/>
    <x v="32"/>
    <x v="61"/>
    <x v="4"/>
    <x v="4"/>
    <x v="0"/>
    <x v="0"/>
    <x v="7"/>
    <x v="2"/>
    <x v="1"/>
    <x v="2"/>
    <x v="0"/>
    <x v="0"/>
    <x v="2"/>
    <x v="0"/>
    <x v="2"/>
    <x v="14"/>
    <x v="5"/>
    <x v="5"/>
    <x v="54"/>
    <x v="5"/>
    <x v="32"/>
    <x v="27"/>
    <x v="0"/>
    <x v="5"/>
    <x v="12"/>
    <x v="19"/>
    <x v="9"/>
    <x v="14"/>
    <x v="4"/>
    <x v="0"/>
    <x v="0"/>
    <x v="29"/>
    <x v="0"/>
    <x v="2"/>
    <x v="0"/>
    <x v="5"/>
    <x v="10"/>
    <x v="3"/>
    <x v="6"/>
    <x v="2"/>
    <x v="1"/>
    <x v="1"/>
    <x v="1"/>
    <x v="39"/>
    <x v="0"/>
    <x v="6"/>
    <x v="0"/>
    <x v="6"/>
    <x v="0"/>
    <x v="3"/>
    <x v="1"/>
    <x v="0"/>
    <x v="8"/>
    <x v="2"/>
    <x v="0"/>
    <x v="1"/>
    <x v="0"/>
    <x v="0"/>
    <x v="58"/>
    <x v="0"/>
    <x v="12"/>
    <x v="1"/>
  </r>
  <r>
    <x v="64"/>
    <x v="58"/>
    <x v="11"/>
    <x v="20"/>
    <x v="57"/>
    <x v="0"/>
    <x v="4"/>
    <x v="9"/>
    <x v="3"/>
    <x v="5"/>
    <x v="3"/>
    <x v="3"/>
    <x v="13"/>
    <x v="32"/>
    <x v="3"/>
    <x v="0"/>
    <x v="0"/>
    <x v="0"/>
    <x v="0"/>
    <x v="0"/>
    <x v="0"/>
    <x v="0"/>
    <x v="3"/>
    <x v="0"/>
    <x v="1"/>
    <x v="32"/>
    <x v="61"/>
    <x v="2"/>
    <x v="2"/>
    <x v="0"/>
    <x v="0"/>
    <x v="7"/>
    <x v="2"/>
    <x v="1"/>
    <x v="2"/>
    <x v="4"/>
    <x v="0"/>
    <x v="2"/>
    <x v="0"/>
    <x v="2"/>
    <x v="14"/>
    <x v="5"/>
    <x v="5"/>
    <x v="54"/>
    <x v="5"/>
    <x v="32"/>
    <x v="27"/>
    <x v="0"/>
    <x v="5"/>
    <x v="6"/>
    <x v="5"/>
    <x v="7"/>
    <x v="22"/>
    <x v="2"/>
    <x v="0"/>
    <x v="0"/>
    <x v="30"/>
    <x v="15"/>
    <x v="2"/>
    <x v="1"/>
    <x v="1"/>
    <x v="6"/>
    <x v="0"/>
    <x v="2"/>
    <x v="2"/>
    <x v="1"/>
    <x v="1"/>
    <x v="1"/>
    <x v="39"/>
    <x v="0"/>
    <x v="6"/>
    <x v="0"/>
    <x v="1"/>
    <x v="2"/>
    <x v="3"/>
    <x v="3"/>
    <x v="0"/>
    <x v="12"/>
    <x v="3"/>
    <x v="13"/>
    <x v="1"/>
    <x v="0"/>
    <x v="0"/>
    <x v="52"/>
    <x v="0"/>
    <x v="11"/>
    <x v="1"/>
  </r>
  <r>
    <x v="78"/>
    <x v="20"/>
    <x v="22"/>
    <x v="20"/>
    <x v="65"/>
    <x v="0"/>
    <x v="4"/>
    <x v="0"/>
    <x v="3"/>
    <x v="5"/>
    <x v="13"/>
    <x v="12"/>
    <x v="13"/>
    <x v="32"/>
    <x v="3"/>
    <x v="0"/>
    <x v="0"/>
    <x v="0"/>
    <x v="0"/>
    <x v="0"/>
    <x v="0"/>
    <x v="0"/>
    <x v="11"/>
    <x v="0"/>
    <x v="1"/>
    <x v="32"/>
    <x v="61"/>
    <x v="5"/>
    <x v="5"/>
    <x v="0"/>
    <x v="0"/>
    <x v="8"/>
    <x v="3"/>
    <x v="1"/>
    <x v="2"/>
    <x v="0"/>
    <x v="3"/>
    <x v="3"/>
    <x v="0"/>
    <x v="3"/>
    <x v="14"/>
    <x v="5"/>
    <x v="5"/>
    <x v="54"/>
    <x v="5"/>
    <x v="32"/>
    <x v="27"/>
    <x v="0"/>
    <x v="5"/>
    <x v="12"/>
    <x v="23"/>
    <x v="20"/>
    <x v="22"/>
    <x v="5"/>
    <x v="0"/>
    <x v="0"/>
    <x v="30"/>
    <x v="0"/>
    <x v="2"/>
    <x v="0"/>
    <x v="1"/>
    <x v="3"/>
    <x v="0"/>
    <x v="0"/>
    <x v="2"/>
    <x v="1"/>
    <x v="1"/>
    <x v="1"/>
    <x v="39"/>
    <x v="0"/>
    <x v="6"/>
    <x v="0"/>
    <x v="6"/>
    <x v="0"/>
    <x v="3"/>
    <x v="1"/>
    <x v="0"/>
    <x v="8"/>
    <x v="2"/>
    <x v="0"/>
    <x v="2"/>
    <x v="0"/>
    <x v="0"/>
    <x v="48"/>
    <x v="0"/>
    <x v="18"/>
    <x v="1"/>
  </r>
  <r>
    <x v="79"/>
    <x v="21"/>
    <x v="23"/>
    <x v="2"/>
    <x v="66"/>
    <x v="0"/>
    <x v="4"/>
    <x v="0"/>
    <x v="3"/>
    <x v="5"/>
    <x v="13"/>
    <x v="12"/>
    <x v="13"/>
    <x v="32"/>
    <x v="3"/>
    <x v="0"/>
    <x v="0"/>
    <x v="0"/>
    <x v="0"/>
    <x v="0"/>
    <x v="0"/>
    <x v="0"/>
    <x v="11"/>
    <x v="0"/>
    <x v="1"/>
    <x v="32"/>
    <x v="61"/>
    <x v="5"/>
    <x v="5"/>
    <x v="0"/>
    <x v="0"/>
    <x v="8"/>
    <x v="3"/>
    <x v="1"/>
    <x v="2"/>
    <x v="0"/>
    <x v="3"/>
    <x v="3"/>
    <x v="0"/>
    <x v="3"/>
    <x v="14"/>
    <x v="5"/>
    <x v="5"/>
    <x v="54"/>
    <x v="5"/>
    <x v="32"/>
    <x v="27"/>
    <x v="0"/>
    <x v="5"/>
    <x v="12"/>
    <x v="23"/>
    <x v="20"/>
    <x v="22"/>
    <x v="5"/>
    <x v="0"/>
    <x v="0"/>
    <x v="30"/>
    <x v="0"/>
    <x v="2"/>
    <x v="0"/>
    <x v="1"/>
    <x v="3"/>
    <x v="0"/>
    <x v="0"/>
    <x v="2"/>
    <x v="1"/>
    <x v="1"/>
    <x v="1"/>
    <x v="39"/>
    <x v="0"/>
    <x v="6"/>
    <x v="0"/>
    <x v="6"/>
    <x v="6"/>
    <x v="3"/>
    <x v="1"/>
    <x v="0"/>
    <x v="8"/>
    <x v="2"/>
    <x v="0"/>
    <x v="2"/>
    <x v="0"/>
    <x v="0"/>
    <x v="49"/>
    <x v="0"/>
    <x v="19"/>
    <x v="1"/>
  </r>
  <r>
    <x v="18"/>
    <x v="16"/>
    <x v="12"/>
    <x v="20"/>
    <x v="60"/>
    <x v="0"/>
    <x v="4"/>
    <x v="9"/>
    <x v="3"/>
    <x v="7"/>
    <x v="7"/>
    <x v="5"/>
    <x v="13"/>
    <x v="32"/>
    <x v="3"/>
    <x v="0"/>
    <x v="0"/>
    <x v="0"/>
    <x v="0"/>
    <x v="0"/>
    <x v="0"/>
    <x v="0"/>
    <x v="2"/>
    <x v="0"/>
    <x v="1"/>
    <x v="32"/>
    <x v="61"/>
    <x v="4"/>
    <x v="4"/>
    <x v="0"/>
    <x v="0"/>
    <x v="4"/>
    <x v="1"/>
    <x v="1"/>
    <x v="2"/>
    <x v="5"/>
    <x v="32"/>
    <x v="1"/>
    <x v="0"/>
    <x v="1"/>
    <x v="14"/>
    <x v="5"/>
    <x v="5"/>
    <x v="54"/>
    <x v="5"/>
    <x v="32"/>
    <x v="27"/>
    <x v="0"/>
    <x v="5"/>
    <x v="6"/>
    <x v="4"/>
    <x v="7"/>
    <x v="22"/>
    <x v="4"/>
    <x v="0"/>
    <x v="0"/>
    <x v="28"/>
    <x v="18"/>
    <x v="2"/>
    <x v="1"/>
    <x v="2"/>
    <x v="8"/>
    <x v="1"/>
    <x v="4"/>
    <x v="2"/>
    <x v="1"/>
    <x v="1"/>
    <x v="1"/>
    <x v="39"/>
    <x v="0"/>
    <x v="6"/>
    <x v="0"/>
    <x v="1"/>
    <x v="2"/>
    <x v="3"/>
    <x v="3"/>
    <x v="1"/>
    <x v="12"/>
    <x v="9"/>
    <x v="13"/>
    <x v="1"/>
    <x v="0"/>
    <x v="0"/>
    <x v="67"/>
    <x v="0"/>
    <x v="16"/>
    <x v="1"/>
  </r>
  <r>
    <x v="0"/>
    <x v="49"/>
    <x v="13"/>
    <x v="20"/>
    <x v="61"/>
    <x v="0"/>
    <x v="4"/>
    <x v="9"/>
    <x v="3"/>
    <x v="13"/>
    <x v="16"/>
    <x v="14"/>
    <x v="13"/>
    <x v="32"/>
    <x v="3"/>
    <x v="0"/>
    <x v="0"/>
    <x v="0"/>
    <x v="0"/>
    <x v="0"/>
    <x v="0"/>
    <x v="0"/>
    <x v="5"/>
    <x v="0"/>
    <x v="2"/>
    <x v="32"/>
    <x v="61"/>
    <x v="4"/>
    <x v="4"/>
    <x v="0"/>
    <x v="0"/>
    <x v="6"/>
    <x v="2"/>
    <x v="4"/>
    <x v="7"/>
    <x v="11"/>
    <x v="1"/>
    <x v="2"/>
    <x v="0"/>
    <x v="2"/>
    <x v="14"/>
    <x v="5"/>
    <x v="5"/>
    <x v="54"/>
    <x v="5"/>
    <x v="32"/>
    <x v="27"/>
    <x v="0"/>
    <x v="5"/>
    <x v="6"/>
    <x v="9"/>
    <x v="20"/>
    <x v="22"/>
    <x v="4"/>
    <x v="0"/>
    <x v="0"/>
    <x v="22"/>
    <x v="30"/>
    <x v="2"/>
    <x v="1"/>
    <x v="3"/>
    <x v="5"/>
    <x v="2"/>
    <x v="1"/>
    <x v="2"/>
    <x v="1"/>
    <x v="1"/>
    <x v="1"/>
    <x v="39"/>
    <x v="0"/>
    <x v="6"/>
    <x v="0"/>
    <x v="1"/>
    <x v="2"/>
    <x v="3"/>
    <x v="3"/>
    <x v="1"/>
    <x v="12"/>
    <x v="9"/>
    <x v="13"/>
    <x v="1"/>
    <x v="0"/>
    <x v="0"/>
    <x v="35"/>
    <x v="0"/>
    <x v="10"/>
    <x v="1"/>
  </r>
  <r>
    <x v="1"/>
    <x v="86"/>
    <x v="17"/>
    <x v="20"/>
    <x v="62"/>
    <x v="0"/>
    <x v="4"/>
    <x v="9"/>
    <x v="3"/>
    <x v="15"/>
    <x v="25"/>
    <x v="23"/>
    <x v="13"/>
    <x v="32"/>
    <x v="3"/>
    <x v="0"/>
    <x v="0"/>
    <x v="0"/>
    <x v="0"/>
    <x v="0"/>
    <x v="0"/>
    <x v="0"/>
    <x v="10"/>
    <x v="0"/>
    <x v="2"/>
    <x v="32"/>
    <x v="61"/>
    <x v="5"/>
    <x v="5"/>
    <x v="0"/>
    <x v="0"/>
    <x v="15"/>
    <x v="10"/>
    <x v="4"/>
    <x v="7"/>
    <x v="27"/>
    <x v="10"/>
    <x v="5"/>
    <x v="0"/>
    <x v="5"/>
    <x v="14"/>
    <x v="5"/>
    <x v="5"/>
    <x v="54"/>
    <x v="5"/>
    <x v="32"/>
    <x v="27"/>
    <x v="0"/>
    <x v="5"/>
    <x v="6"/>
    <x v="25"/>
    <x v="20"/>
    <x v="22"/>
    <x v="5"/>
    <x v="0"/>
    <x v="0"/>
    <x v="20"/>
    <x v="45"/>
    <x v="2"/>
    <x v="1"/>
    <x v="5"/>
    <x v="9"/>
    <x v="3"/>
    <x v="5"/>
    <x v="2"/>
    <x v="1"/>
    <x v="1"/>
    <x v="1"/>
    <x v="39"/>
    <x v="0"/>
    <x v="6"/>
    <x v="0"/>
    <x v="1"/>
    <x v="2"/>
    <x v="3"/>
    <x v="3"/>
    <x v="3"/>
    <x v="12"/>
    <x v="21"/>
    <x v="13"/>
    <x v="3"/>
    <x v="0"/>
    <x v="0"/>
    <x v="24"/>
    <x v="0"/>
    <x v="23"/>
    <x v="1"/>
  </r>
  <r>
    <x v="65"/>
    <x v="77"/>
    <x v="24"/>
    <x v="20"/>
    <x v="67"/>
    <x v="0"/>
    <x v="4"/>
    <x v="7"/>
    <x v="3"/>
    <x v="0"/>
    <x v="2"/>
    <x v="1"/>
    <x v="13"/>
    <x v="32"/>
    <x v="3"/>
    <x v="0"/>
    <x v="0"/>
    <x v="0"/>
    <x v="0"/>
    <x v="0"/>
    <x v="0"/>
    <x v="0"/>
    <x v="17"/>
    <x v="0"/>
    <x v="1"/>
    <x v="32"/>
    <x v="61"/>
    <x v="7"/>
    <x v="8"/>
    <x v="0"/>
    <x v="0"/>
    <x v="22"/>
    <x v="13"/>
    <x v="10"/>
    <x v="6"/>
    <x v="3"/>
    <x v="18"/>
    <x v="6"/>
    <x v="0"/>
    <x v="6"/>
    <x v="14"/>
    <x v="5"/>
    <x v="5"/>
    <x v="54"/>
    <x v="5"/>
    <x v="32"/>
    <x v="27"/>
    <x v="0"/>
    <x v="5"/>
    <x v="6"/>
    <x v="22"/>
    <x v="17"/>
    <x v="20"/>
    <x v="8"/>
    <x v="0"/>
    <x v="0"/>
    <x v="35"/>
    <x v="12"/>
    <x v="4"/>
    <x v="3"/>
    <x v="54"/>
    <x v="65"/>
    <x v="10"/>
    <x v="17"/>
    <x v="2"/>
    <x v="1"/>
    <x v="1"/>
    <x v="1"/>
    <x v="39"/>
    <x v="0"/>
    <x v="6"/>
    <x v="1"/>
    <x v="5"/>
    <x v="4"/>
    <x v="3"/>
    <x v="5"/>
    <x v="2"/>
    <x v="0"/>
    <x v="10"/>
    <x v="11"/>
    <x v="4"/>
    <x v="0"/>
    <x v="0"/>
    <x v="21"/>
    <x v="6"/>
    <x v="28"/>
    <x v="1"/>
  </r>
  <r>
    <x v="21"/>
    <x v="59"/>
    <x v="30"/>
    <x v="20"/>
    <x v="68"/>
    <x v="0"/>
    <x v="4"/>
    <x v="1"/>
    <x v="3"/>
    <x v="9"/>
    <x v="9"/>
    <x v="14"/>
    <x v="13"/>
    <x v="32"/>
    <x v="3"/>
    <x v="0"/>
    <x v="0"/>
    <x v="0"/>
    <x v="0"/>
    <x v="0"/>
    <x v="0"/>
    <x v="0"/>
    <x v="12"/>
    <x v="0"/>
    <x v="1"/>
    <x v="32"/>
    <x v="61"/>
    <x v="8"/>
    <x v="9"/>
    <x v="0"/>
    <x v="0"/>
    <x v="16"/>
    <x v="9"/>
    <x v="10"/>
    <x v="6"/>
    <x v="31"/>
    <x v="12"/>
    <x v="5"/>
    <x v="0"/>
    <x v="5"/>
    <x v="14"/>
    <x v="5"/>
    <x v="5"/>
    <x v="54"/>
    <x v="5"/>
    <x v="32"/>
    <x v="27"/>
    <x v="0"/>
    <x v="5"/>
    <x v="6"/>
    <x v="14"/>
    <x v="12"/>
    <x v="15"/>
    <x v="9"/>
    <x v="0"/>
    <x v="0"/>
    <x v="26"/>
    <x v="48"/>
    <x v="3"/>
    <x v="2"/>
    <x v="25"/>
    <x v="44"/>
    <x v="5"/>
    <x v="8"/>
    <x v="2"/>
    <x v="1"/>
    <x v="1"/>
    <x v="1"/>
    <x v="39"/>
    <x v="0"/>
    <x v="6"/>
    <x v="0"/>
    <x v="1"/>
    <x v="3"/>
    <x v="3"/>
    <x v="4"/>
    <x v="1"/>
    <x v="10"/>
    <x v="8"/>
    <x v="1"/>
    <x v="3"/>
    <x v="0"/>
    <x v="0"/>
    <x v="62"/>
    <x v="0"/>
    <x v="24"/>
    <x v="1"/>
  </r>
  <r>
    <x v="20"/>
    <x v="60"/>
    <x v="31"/>
    <x v="4"/>
    <x v="75"/>
    <x v="0"/>
    <x v="4"/>
    <x v="1"/>
    <x v="3"/>
    <x v="16"/>
    <x v="17"/>
    <x v="14"/>
    <x v="13"/>
    <x v="32"/>
    <x v="3"/>
    <x v="0"/>
    <x v="0"/>
    <x v="0"/>
    <x v="0"/>
    <x v="0"/>
    <x v="0"/>
    <x v="0"/>
    <x v="12"/>
    <x v="0"/>
    <x v="1"/>
    <x v="32"/>
    <x v="61"/>
    <x v="9"/>
    <x v="10"/>
    <x v="0"/>
    <x v="0"/>
    <x v="16"/>
    <x v="9"/>
    <x v="10"/>
    <x v="6"/>
    <x v="31"/>
    <x v="12"/>
    <x v="5"/>
    <x v="0"/>
    <x v="5"/>
    <x v="14"/>
    <x v="5"/>
    <x v="5"/>
    <x v="54"/>
    <x v="5"/>
    <x v="32"/>
    <x v="27"/>
    <x v="0"/>
    <x v="5"/>
    <x v="6"/>
    <x v="4"/>
    <x v="14"/>
    <x v="16"/>
    <x v="10"/>
    <x v="0"/>
    <x v="0"/>
    <x v="19"/>
    <x v="48"/>
    <x v="3"/>
    <x v="2"/>
    <x v="28"/>
    <x v="51"/>
    <x v="7"/>
    <x v="10"/>
    <x v="2"/>
    <x v="1"/>
    <x v="1"/>
    <x v="1"/>
    <x v="39"/>
    <x v="0"/>
    <x v="6"/>
    <x v="0"/>
    <x v="1"/>
    <x v="3"/>
    <x v="3"/>
    <x v="4"/>
    <x v="3"/>
    <x v="10"/>
    <x v="20"/>
    <x v="1"/>
    <x v="3"/>
    <x v="0"/>
    <x v="0"/>
    <x v="23"/>
    <x v="0"/>
    <x v="22"/>
    <x v="1"/>
  </r>
  <r>
    <x v="23"/>
    <x v="61"/>
    <x v="32"/>
    <x v="4"/>
    <x v="76"/>
    <x v="0"/>
    <x v="4"/>
    <x v="1"/>
    <x v="3"/>
    <x v="21"/>
    <x v="19"/>
    <x v="14"/>
    <x v="13"/>
    <x v="32"/>
    <x v="3"/>
    <x v="0"/>
    <x v="0"/>
    <x v="0"/>
    <x v="0"/>
    <x v="0"/>
    <x v="0"/>
    <x v="0"/>
    <x v="12"/>
    <x v="0"/>
    <x v="2"/>
    <x v="32"/>
    <x v="61"/>
    <x v="8"/>
    <x v="9"/>
    <x v="0"/>
    <x v="0"/>
    <x v="16"/>
    <x v="9"/>
    <x v="10"/>
    <x v="6"/>
    <x v="33"/>
    <x v="12"/>
    <x v="5"/>
    <x v="0"/>
    <x v="5"/>
    <x v="14"/>
    <x v="5"/>
    <x v="5"/>
    <x v="54"/>
    <x v="5"/>
    <x v="32"/>
    <x v="27"/>
    <x v="0"/>
    <x v="5"/>
    <x v="6"/>
    <x v="2"/>
    <x v="13"/>
    <x v="17"/>
    <x v="9"/>
    <x v="0"/>
    <x v="0"/>
    <x v="13"/>
    <x v="50"/>
    <x v="3"/>
    <x v="2"/>
    <x v="35"/>
    <x v="48"/>
    <x v="8"/>
    <x v="9"/>
    <x v="2"/>
    <x v="1"/>
    <x v="1"/>
    <x v="1"/>
    <x v="39"/>
    <x v="0"/>
    <x v="6"/>
    <x v="0"/>
    <x v="1"/>
    <x v="3"/>
    <x v="3"/>
    <x v="4"/>
    <x v="3"/>
    <x v="10"/>
    <x v="20"/>
    <x v="1"/>
    <x v="3"/>
    <x v="0"/>
    <x v="0"/>
    <x v="18"/>
    <x v="0"/>
    <x v="21"/>
    <x v="1"/>
  </r>
  <r>
    <x v="22"/>
    <x v="78"/>
    <x v="25"/>
    <x v="20"/>
    <x v="69"/>
    <x v="0"/>
    <x v="4"/>
    <x v="1"/>
    <x v="3"/>
    <x v="25"/>
    <x v="9"/>
    <x v="7"/>
    <x v="13"/>
    <x v="32"/>
    <x v="3"/>
    <x v="0"/>
    <x v="0"/>
    <x v="0"/>
    <x v="0"/>
    <x v="0"/>
    <x v="0"/>
    <x v="0"/>
    <x v="12"/>
    <x v="0"/>
    <x v="1"/>
    <x v="32"/>
    <x v="61"/>
    <x v="8"/>
    <x v="9"/>
    <x v="0"/>
    <x v="0"/>
    <x v="22"/>
    <x v="13"/>
    <x v="10"/>
    <x v="6"/>
    <x v="5"/>
    <x v="18"/>
    <x v="6"/>
    <x v="0"/>
    <x v="6"/>
    <x v="14"/>
    <x v="5"/>
    <x v="5"/>
    <x v="54"/>
    <x v="5"/>
    <x v="32"/>
    <x v="27"/>
    <x v="0"/>
    <x v="0"/>
    <x v="6"/>
    <x v="0"/>
    <x v="17"/>
    <x v="20"/>
    <x v="9"/>
    <x v="0"/>
    <x v="0"/>
    <x v="9"/>
    <x v="18"/>
    <x v="3"/>
    <x v="2"/>
    <x v="53"/>
    <x v="64"/>
    <x v="9"/>
    <x v="16"/>
    <x v="2"/>
    <x v="1"/>
    <x v="1"/>
    <x v="1"/>
    <x v="39"/>
    <x v="0"/>
    <x v="6"/>
    <x v="1"/>
    <x v="5"/>
    <x v="4"/>
    <x v="3"/>
    <x v="5"/>
    <x v="3"/>
    <x v="0"/>
    <x v="13"/>
    <x v="1"/>
    <x v="4"/>
    <x v="0"/>
    <x v="0"/>
    <x v="53"/>
    <x v="6"/>
    <x v="29"/>
    <x v="1"/>
  </r>
  <r>
    <x v="24"/>
    <x v="79"/>
    <x v="26"/>
    <x v="20"/>
    <x v="70"/>
    <x v="0"/>
    <x v="4"/>
    <x v="1"/>
    <x v="3"/>
    <x v="16"/>
    <x v="25"/>
    <x v="23"/>
    <x v="13"/>
    <x v="32"/>
    <x v="3"/>
    <x v="0"/>
    <x v="0"/>
    <x v="0"/>
    <x v="0"/>
    <x v="0"/>
    <x v="0"/>
    <x v="0"/>
    <x v="13"/>
    <x v="0"/>
    <x v="0"/>
    <x v="32"/>
    <x v="61"/>
    <x v="10"/>
    <x v="11"/>
    <x v="0"/>
    <x v="0"/>
    <x v="32"/>
    <x v="20"/>
    <x v="10"/>
    <x v="6"/>
    <x v="6"/>
    <x v="26"/>
    <x v="7"/>
    <x v="0"/>
    <x v="7"/>
    <x v="14"/>
    <x v="5"/>
    <x v="5"/>
    <x v="54"/>
    <x v="5"/>
    <x v="32"/>
    <x v="27"/>
    <x v="0"/>
    <x v="1"/>
    <x v="6"/>
    <x v="25"/>
    <x v="18"/>
    <x v="21"/>
    <x v="11"/>
    <x v="0"/>
    <x v="0"/>
    <x v="19"/>
    <x v="19"/>
    <x v="3"/>
    <x v="2"/>
    <x v="63"/>
    <x v="69"/>
    <x v="15"/>
    <x v="22"/>
    <x v="2"/>
    <x v="1"/>
    <x v="1"/>
    <x v="1"/>
    <x v="39"/>
    <x v="0"/>
    <x v="6"/>
    <x v="1"/>
    <x v="5"/>
    <x v="4"/>
    <x v="3"/>
    <x v="5"/>
    <x v="3"/>
    <x v="0"/>
    <x v="13"/>
    <x v="1"/>
    <x v="5"/>
    <x v="0"/>
    <x v="0"/>
    <x v="54"/>
    <x v="6"/>
    <x v="32"/>
    <x v="1"/>
  </r>
  <r>
    <x v="48"/>
    <x v="75"/>
    <x v="33"/>
    <x v="5"/>
    <x v="71"/>
    <x v="0"/>
    <x v="0"/>
    <x v="7"/>
    <x v="3"/>
    <x v="26"/>
    <x v="25"/>
    <x v="23"/>
    <x v="6"/>
    <x v="32"/>
    <x v="3"/>
    <x v="0"/>
    <x v="0"/>
    <x v="0"/>
    <x v="0"/>
    <x v="0"/>
    <x v="0"/>
    <x v="0"/>
    <x v="67"/>
    <x v="0"/>
    <x v="0"/>
    <x v="32"/>
    <x v="61"/>
    <x v="10"/>
    <x v="11"/>
    <x v="0"/>
    <x v="0"/>
    <x v="32"/>
    <x v="20"/>
    <x v="10"/>
    <x v="6"/>
    <x v="7"/>
    <x v="26"/>
    <x v="7"/>
    <x v="0"/>
    <x v="7"/>
    <x v="14"/>
    <x v="5"/>
    <x v="5"/>
    <x v="46"/>
    <x v="5"/>
    <x v="25"/>
    <x v="23"/>
    <x v="0"/>
    <x v="5"/>
    <x v="6"/>
    <x v="25"/>
    <x v="15"/>
    <x v="18"/>
    <x v="11"/>
    <x v="0"/>
    <x v="0"/>
    <x v="8"/>
    <x v="29"/>
    <x v="4"/>
    <x v="3"/>
    <x v="48"/>
    <x v="62"/>
    <x v="57"/>
    <x v="71"/>
    <x v="2"/>
    <x v="1"/>
    <x v="1"/>
    <x v="1"/>
    <x v="39"/>
    <x v="0"/>
    <x v="6"/>
    <x v="1"/>
    <x v="1"/>
    <x v="4"/>
    <x v="2"/>
    <x v="5"/>
    <x v="5"/>
    <x v="0"/>
    <x v="27"/>
    <x v="11"/>
    <x v="25"/>
    <x v="0"/>
    <x v="10"/>
    <x v="46"/>
    <x v="7"/>
    <x v="8"/>
    <x v="1"/>
  </r>
  <r>
    <x v="49"/>
    <x v="76"/>
    <x v="34"/>
    <x v="20"/>
    <x v="72"/>
    <x v="0"/>
    <x v="0"/>
    <x v="7"/>
    <x v="3"/>
    <x v="26"/>
    <x v="25"/>
    <x v="23"/>
    <x v="7"/>
    <x v="32"/>
    <x v="3"/>
    <x v="0"/>
    <x v="0"/>
    <x v="0"/>
    <x v="0"/>
    <x v="0"/>
    <x v="0"/>
    <x v="0"/>
    <x v="69"/>
    <x v="0"/>
    <x v="0"/>
    <x v="32"/>
    <x v="61"/>
    <x v="10"/>
    <x v="11"/>
    <x v="0"/>
    <x v="0"/>
    <x v="32"/>
    <x v="20"/>
    <x v="10"/>
    <x v="6"/>
    <x v="7"/>
    <x v="26"/>
    <x v="7"/>
    <x v="0"/>
    <x v="7"/>
    <x v="14"/>
    <x v="5"/>
    <x v="5"/>
    <x v="47"/>
    <x v="5"/>
    <x v="6"/>
    <x v="23"/>
    <x v="0"/>
    <x v="5"/>
    <x v="6"/>
    <x v="25"/>
    <x v="16"/>
    <x v="19"/>
    <x v="11"/>
    <x v="0"/>
    <x v="0"/>
    <x v="8"/>
    <x v="32"/>
    <x v="4"/>
    <x v="3"/>
    <x v="50"/>
    <x v="63"/>
    <x v="59"/>
    <x v="72"/>
    <x v="2"/>
    <x v="1"/>
    <x v="1"/>
    <x v="1"/>
    <x v="39"/>
    <x v="0"/>
    <x v="6"/>
    <x v="1"/>
    <x v="1"/>
    <x v="4"/>
    <x v="2"/>
    <x v="5"/>
    <x v="5"/>
    <x v="0"/>
    <x v="27"/>
    <x v="11"/>
    <x v="28"/>
    <x v="0"/>
    <x v="11"/>
    <x v="45"/>
    <x v="7"/>
    <x v="9"/>
    <x v="1"/>
  </r>
  <r>
    <x v="46"/>
    <x v="83"/>
    <x v="35"/>
    <x v="5"/>
    <x v="73"/>
    <x v="0"/>
    <x v="4"/>
    <x v="6"/>
    <x v="3"/>
    <x v="26"/>
    <x v="25"/>
    <x v="23"/>
    <x v="13"/>
    <x v="32"/>
    <x v="3"/>
    <x v="0"/>
    <x v="0"/>
    <x v="0"/>
    <x v="0"/>
    <x v="0"/>
    <x v="0"/>
    <x v="0"/>
    <x v="22"/>
    <x v="0"/>
    <x v="0"/>
    <x v="32"/>
    <x v="61"/>
    <x v="10"/>
    <x v="11"/>
    <x v="0"/>
    <x v="0"/>
    <x v="32"/>
    <x v="20"/>
    <x v="10"/>
    <x v="6"/>
    <x v="0"/>
    <x v="26"/>
    <x v="7"/>
    <x v="0"/>
    <x v="7"/>
    <x v="14"/>
    <x v="5"/>
    <x v="5"/>
    <x v="54"/>
    <x v="5"/>
    <x v="32"/>
    <x v="27"/>
    <x v="0"/>
    <x v="5"/>
    <x v="6"/>
    <x v="25"/>
    <x v="19"/>
    <x v="21"/>
    <x v="11"/>
    <x v="0"/>
    <x v="0"/>
    <x v="8"/>
    <x v="0"/>
    <x v="2"/>
    <x v="7"/>
    <x v="65"/>
    <x v="70"/>
    <x v="16"/>
    <x v="24"/>
    <x v="2"/>
    <x v="1"/>
    <x v="1"/>
    <x v="1"/>
    <x v="39"/>
    <x v="0"/>
    <x v="6"/>
    <x v="1"/>
    <x v="1"/>
    <x v="4"/>
    <x v="1"/>
    <x v="5"/>
    <x v="5"/>
    <x v="0"/>
    <x v="27"/>
    <x v="10"/>
    <x v="5"/>
    <x v="7"/>
    <x v="0"/>
    <x v="59"/>
    <x v="0"/>
    <x v="72"/>
    <x v="1"/>
  </r>
  <r>
    <x v="47"/>
    <x v="84"/>
    <x v="36"/>
    <x v="5"/>
    <x v="74"/>
    <x v="0"/>
    <x v="4"/>
    <x v="6"/>
    <x v="3"/>
    <x v="26"/>
    <x v="25"/>
    <x v="23"/>
    <x v="13"/>
    <x v="32"/>
    <x v="3"/>
    <x v="0"/>
    <x v="0"/>
    <x v="0"/>
    <x v="0"/>
    <x v="0"/>
    <x v="0"/>
    <x v="0"/>
    <x v="22"/>
    <x v="0"/>
    <x v="0"/>
    <x v="32"/>
    <x v="61"/>
    <x v="10"/>
    <x v="11"/>
    <x v="0"/>
    <x v="0"/>
    <x v="32"/>
    <x v="20"/>
    <x v="10"/>
    <x v="6"/>
    <x v="0"/>
    <x v="26"/>
    <x v="7"/>
    <x v="0"/>
    <x v="7"/>
    <x v="14"/>
    <x v="5"/>
    <x v="5"/>
    <x v="54"/>
    <x v="5"/>
    <x v="32"/>
    <x v="27"/>
    <x v="0"/>
    <x v="5"/>
    <x v="6"/>
    <x v="25"/>
    <x v="19"/>
    <x v="21"/>
    <x v="11"/>
    <x v="0"/>
    <x v="0"/>
    <x v="8"/>
    <x v="0"/>
    <x v="2"/>
    <x v="7"/>
    <x v="65"/>
    <x v="70"/>
    <x v="16"/>
    <x v="24"/>
    <x v="2"/>
    <x v="1"/>
    <x v="1"/>
    <x v="1"/>
    <x v="39"/>
    <x v="0"/>
    <x v="6"/>
    <x v="1"/>
    <x v="1"/>
    <x v="4"/>
    <x v="1"/>
    <x v="5"/>
    <x v="5"/>
    <x v="0"/>
    <x v="27"/>
    <x v="10"/>
    <x v="5"/>
    <x v="7"/>
    <x v="0"/>
    <x v="59"/>
    <x v="0"/>
    <x v="72"/>
    <x v="1"/>
  </r>
  <r>
    <x v="42"/>
    <x v="80"/>
    <x v="27"/>
    <x v="20"/>
    <x v="75"/>
    <x v="0"/>
    <x v="4"/>
    <x v="1"/>
    <x v="3"/>
    <x v="32"/>
    <x v="25"/>
    <x v="23"/>
    <x v="13"/>
    <x v="32"/>
    <x v="3"/>
    <x v="0"/>
    <x v="0"/>
    <x v="0"/>
    <x v="0"/>
    <x v="0"/>
    <x v="0"/>
    <x v="0"/>
    <x v="21"/>
    <x v="0"/>
    <x v="0"/>
    <x v="32"/>
    <x v="61"/>
    <x v="10"/>
    <x v="11"/>
    <x v="0"/>
    <x v="0"/>
    <x v="31"/>
    <x v="18"/>
    <x v="7"/>
    <x v="6"/>
    <x v="1"/>
    <x v="24"/>
    <x v="7"/>
    <x v="0"/>
    <x v="7"/>
    <x v="14"/>
    <x v="5"/>
    <x v="5"/>
    <x v="54"/>
    <x v="5"/>
    <x v="32"/>
    <x v="27"/>
    <x v="0"/>
    <x v="3"/>
    <x v="6"/>
    <x v="25"/>
    <x v="18"/>
    <x v="21"/>
    <x v="11"/>
    <x v="0"/>
    <x v="0"/>
    <x v="2"/>
    <x v="6"/>
    <x v="3"/>
    <x v="2"/>
    <x v="61"/>
    <x v="67"/>
    <x v="13"/>
    <x v="20"/>
    <x v="2"/>
    <x v="1"/>
    <x v="1"/>
    <x v="1"/>
    <x v="39"/>
    <x v="0"/>
    <x v="6"/>
    <x v="1"/>
    <x v="5"/>
    <x v="4"/>
    <x v="3"/>
    <x v="5"/>
    <x v="4"/>
    <x v="0"/>
    <x v="22"/>
    <x v="1"/>
    <x v="5"/>
    <x v="0"/>
    <x v="0"/>
    <x v="56"/>
    <x v="6"/>
    <x v="33"/>
    <x v="1"/>
  </r>
  <r>
    <x v="44"/>
    <x v="82"/>
    <x v="28"/>
    <x v="3"/>
    <x v="76"/>
    <x v="0"/>
    <x v="4"/>
    <x v="1"/>
    <x v="3"/>
    <x v="32"/>
    <x v="25"/>
    <x v="23"/>
    <x v="13"/>
    <x v="32"/>
    <x v="3"/>
    <x v="0"/>
    <x v="0"/>
    <x v="0"/>
    <x v="0"/>
    <x v="0"/>
    <x v="0"/>
    <x v="0"/>
    <x v="21"/>
    <x v="0"/>
    <x v="0"/>
    <x v="32"/>
    <x v="61"/>
    <x v="10"/>
    <x v="11"/>
    <x v="0"/>
    <x v="0"/>
    <x v="31"/>
    <x v="18"/>
    <x v="7"/>
    <x v="6"/>
    <x v="8"/>
    <x v="24"/>
    <x v="7"/>
    <x v="0"/>
    <x v="7"/>
    <x v="14"/>
    <x v="5"/>
    <x v="5"/>
    <x v="54"/>
    <x v="5"/>
    <x v="32"/>
    <x v="27"/>
    <x v="0"/>
    <x v="4"/>
    <x v="6"/>
    <x v="25"/>
    <x v="18"/>
    <x v="21"/>
    <x v="11"/>
    <x v="0"/>
    <x v="0"/>
    <x v="2"/>
    <x v="22"/>
    <x v="3"/>
    <x v="2"/>
    <x v="62"/>
    <x v="68"/>
    <x v="14"/>
    <x v="21"/>
    <x v="2"/>
    <x v="1"/>
    <x v="1"/>
    <x v="1"/>
    <x v="39"/>
    <x v="0"/>
    <x v="6"/>
    <x v="1"/>
    <x v="3"/>
    <x v="4"/>
    <x v="3"/>
    <x v="5"/>
    <x v="4"/>
    <x v="0"/>
    <x v="22"/>
    <x v="1"/>
    <x v="5"/>
    <x v="0"/>
    <x v="0"/>
    <x v="25"/>
    <x v="2"/>
    <x v="30"/>
    <x v="1"/>
  </r>
  <r>
    <x v="43"/>
    <x v="81"/>
    <x v="29"/>
    <x v="3"/>
    <x v="77"/>
    <x v="0"/>
    <x v="4"/>
    <x v="1"/>
    <x v="3"/>
    <x v="32"/>
    <x v="25"/>
    <x v="23"/>
    <x v="13"/>
    <x v="32"/>
    <x v="3"/>
    <x v="0"/>
    <x v="0"/>
    <x v="0"/>
    <x v="0"/>
    <x v="0"/>
    <x v="0"/>
    <x v="0"/>
    <x v="21"/>
    <x v="0"/>
    <x v="0"/>
    <x v="32"/>
    <x v="61"/>
    <x v="10"/>
    <x v="11"/>
    <x v="0"/>
    <x v="0"/>
    <x v="31"/>
    <x v="18"/>
    <x v="7"/>
    <x v="6"/>
    <x v="0"/>
    <x v="24"/>
    <x v="7"/>
    <x v="0"/>
    <x v="7"/>
    <x v="14"/>
    <x v="5"/>
    <x v="5"/>
    <x v="54"/>
    <x v="5"/>
    <x v="32"/>
    <x v="27"/>
    <x v="0"/>
    <x v="2"/>
    <x v="6"/>
    <x v="25"/>
    <x v="18"/>
    <x v="21"/>
    <x v="11"/>
    <x v="0"/>
    <x v="0"/>
    <x v="2"/>
    <x v="0"/>
    <x v="3"/>
    <x v="2"/>
    <x v="60"/>
    <x v="66"/>
    <x v="12"/>
    <x v="19"/>
    <x v="2"/>
    <x v="1"/>
    <x v="1"/>
    <x v="1"/>
    <x v="39"/>
    <x v="0"/>
    <x v="6"/>
    <x v="1"/>
    <x v="5"/>
    <x v="4"/>
    <x v="0"/>
    <x v="5"/>
    <x v="4"/>
    <x v="0"/>
    <x v="22"/>
    <x v="1"/>
    <x v="5"/>
    <x v="0"/>
    <x v="0"/>
    <x v="55"/>
    <x v="5"/>
    <x v="31"/>
    <x v="1"/>
  </r>
</pivotCacheRecords>
</file>

<file path=xl/pivotTables/_rels/pivotTable1.xml.rels><?xml version="1.0" encoding="UTF-8"?>
<Relationships xmlns="http://schemas.openxmlformats.org/package/2006/relationships"><Relationship Id="rId1" Type="http://schemas.openxmlformats.org/officeDocument/2006/relationships/pivotCacheDefinition" Target="../pivotCache/pivotCacheDefinition1.xml"/>
</Relationships>
</file>

<file path=xl/pivotTables/pivotTable1.xml><?xml version="1.0" encoding="utf-8"?>
<pivotTableDefinition xmlns="http://schemas.openxmlformats.org/spreadsheetml/2006/main" name="DataPilot1" cacheId="1" applyNumberFormats="0" applyBorderFormats="0" applyFontFormats="0" applyPatternFormats="0" applyAlignmentFormats="0" applyWidthHeightFormats="0" dataCaption="Values" showDrill="0" useAutoFormatting="0" itemPrintTitles="1" indent="0" outline="0" outlineData="0" compact="0" compactData="0">
  <location ref="A1:G93" firstHeaderRow="1" firstDataRow="1" firstDataCol="6"/>
  <pivotFields count="87">
    <pivotField axis="axisRow" compact="0" outline="0" showAll="0" defaultSubtotal="0">
      <items count="87">
        <item x="0"/>
        <item x="1"/>
        <item x="2"/>
        <item x="3"/>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2"/>
        <item x="63"/>
        <item x="64"/>
        <item x="65"/>
        <item x="66"/>
        <item x="67"/>
        <item x="68"/>
        <item x="69"/>
        <item x="70"/>
        <item x="71"/>
        <item x="72"/>
        <item x="73"/>
        <item x="74"/>
        <item x="75"/>
        <item x="76"/>
        <item x="78"/>
        <item x="79"/>
        <item x="81"/>
        <item x="82"/>
        <item x="83"/>
        <item x="84"/>
        <item x="85"/>
        <item x="86"/>
        <item x="4"/>
        <item x="61"/>
        <item x="77"/>
        <item x="80"/>
      </items>
    </pivotField>
    <pivotField axis="axisRow" compact="0" outline="0" showAll="0" defaultSubtotal="0">
      <items count="91">
        <item x="0"/>
        <item x="1"/>
        <item x="2"/>
        <item x="3"/>
        <item x="4"/>
        <item x="5"/>
        <item x="6"/>
        <item x="7"/>
        <item x="8"/>
        <item x="9"/>
        <item x="10"/>
        <item x="11"/>
        <item x="12"/>
        <item x="13"/>
        <item x="14"/>
        <item x="15"/>
        <item x="16"/>
        <item x="17"/>
        <item x="18"/>
        <item x="19"/>
        <item x="20"/>
        <item x="21"/>
        <item x="22"/>
        <item x="23"/>
        <item x="24"/>
        <item x="25"/>
        <item x="26"/>
        <item x="28"/>
        <item x="29"/>
        <item x="30"/>
        <item x="31"/>
        <item x="32"/>
        <item x="33"/>
        <item x="34"/>
        <item x="35"/>
        <item x="36"/>
        <item x="37"/>
        <item x="38"/>
        <item x="39"/>
        <item x="40"/>
        <item x="41"/>
        <item x="42"/>
        <item x="45"/>
        <item x="46"/>
        <item x="47"/>
        <item x="48"/>
        <item x="49"/>
        <item x="50"/>
        <item x="51"/>
        <item x="52"/>
        <item x="53"/>
        <item x="54"/>
        <item x="55"/>
        <item x="56"/>
        <item x="57"/>
        <item x="58"/>
        <item x="59"/>
        <item x="60"/>
        <item x="61"/>
        <item x="66"/>
        <item x="67"/>
        <item x="68"/>
        <item x="69"/>
        <item x="70"/>
        <item x="71"/>
        <item x="72"/>
        <item x="73"/>
        <item x="74"/>
        <item x="75"/>
        <item x="76"/>
        <item x="77"/>
        <item x="78"/>
        <item x="79"/>
        <item x="80"/>
        <item x="81"/>
        <item x="82"/>
        <item x="83"/>
        <item x="84"/>
        <item x="85"/>
        <item x="86"/>
        <item x="87"/>
        <item x="88"/>
        <item x="89"/>
        <item x="90"/>
        <item x="27"/>
        <item x="43"/>
        <item x="44"/>
        <item x="62"/>
        <item x="63"/>
        <item x="64"/>
        <item x="65"/>
      </items>
    </pivotField>
    <pivotField compact="0" showAll="0"/>
    <pivotField compact="0" showAll="0"/>
    <pivotField compact="0" showAll="0"/>
    <pivotField compact="0" showAll="0"/>
    <pivotField compact="0" showAll="0"/>
    <pivotField axis="axisRow" compact="0" outline="0" showAll="0" defaultSubtotal="0">
      <items count="10">
        <item x="0"/>
        <item x="1"/>
        <item x="2"/>
        <item x="3"/>
        <item x="4"/>
        <item x="5"/>
        <item x="6"/>
        <item x="7"/>
        <item x="8"/>
        <item x="9"/>
      </items>
    </pivotField>
    <pivotField compact="0" showAll="0"/>
    <pivotField axis="axisRow" compact="0" outline="0" showAll="0" defaultSubtotal="0">
      <items count="35">
        <item x="0"/>
        <item x="1"/>
        <item x="2"/>
        <item x="3"/>
        <item x="4"/>
        <item x="5"/>
        <item x="6"/>
        <item x="7"/>
        <item x="8"/>
        <item x="9"/>
        <item x="10"/>
        <item x="11"/>
        <item x="12"/>
        <item x="13"/>
        <item x="14"/>
        <item x="15"/>
        <item x="16"/>
        <item x="17"/>
        <item x="18"/>
        <item x="19"/>
        <item x="20"/>
        <item x="21"/>
        <item x="22"/>
        <item x="23"/>
        <item x="24"/>
        <item x="25"/>
        <item x="26"/>
        <item x="27"/>
        <item x="29"/>
        <item x="30"/>
        <item x="31"/>
        <item x="32"/>
        <item x="34"/>
        <item x="28"/>
        <item x="33"/>
      </items>
    </pivotField>
    <pivotField compact="0" showAll="0"/>
    <pivotField compact="0" showAll="0"/>
    <pivotField axis="axisRow" compact="0" outline="0" showAll="0" defaultSubtotal="0">
      <items count="14">
        <item x="0"/>
        <item x="1"/>
        <item x="2"/>
        <item x="3"/>
        <item x="4"/>
        <item x="5"/>
        <item x="6"/>
        <item x="7"/>
        <item x="9"/>
        <item x="10"/>
        <item x="11"/>
        <item x="12"/>
        <item x="13"/>
        <item x="8"/>
      </items>
    </pivotField>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compact="0" showAll="0"/>
    <pivotField axis="axisRow" compact="0" outline="0" showAll="0" defaultSubtotal="0">
      <items count="73">
        <item x="0"/>
        <item x="1"/>
        <item x="2"/>
        <item x="3"/>
        <item x="4"/>
        <item x="5"/>
        <item x="6"/>
        <item x="7"/>
        <item x="8"/>
        <item x="9"/>
        <item x="10"/>
        <item x="11"/>
        <item x="12"/>
        <item x="13"/>
        <item x="14"/>
        <item x="15"/>
        <item x="16"/>
        <item x="17"/>
        <item x="18"/>
        <item x="19"/>
        <item x="20"/>
        <item x="21"/>
        <item x="22"/>
        <item x="23"/>
        <item x="24"/>
        <item x="25"/>
        <item x="26"/>
        <item x="28"/>
        <item x="29"/>
        <item x="30"/>
        <item x="31"/>
        <item x="32"/>
        <item x="33"/>
        <item x="34"/>
        <item x="35"/>
        <item x="36"/>
        <item x="37"/>
        <item x="38"/>
        <item x="40"/>
        <item x="41"/>
        <item x="43"/>
        <item x="44"/>
        <item x="45"/>
        <item x="46"/>
        <item x="47"/>
        <item x="48"/>
        <item x="49"/>
        <item x="50"/>
        <item x="51"/>
        <item x="52"/>
        <item x="53"/>
        <item x="54"/>
        <item x="55"/>
        <item x="56"/>
        <item x="57"/>
        <item x="58"/>
        <item x="59"/>
        <item x="60"/>
        <item x="61"/>
        <item x="62"/>
        <item x="63"/>
        <item x="64"/>
        <item x="65"/>
        <item x="66"/>
        <item x="67"/>
        <item x="68"/>
        <item x="69"/>
        <item x="70"/>
        <item x="71"/>
        <item x="27"/>
        <item x="39"/>
        <item x="42"/>
        <item x="72"/>
      </items>
    </pivotField>
    <pivotField compact="0" showAll="0"/>
    <pivotField compact="0" showAll="0"/>
    <pivotField compact="0" showAll="0"/>
  </pivotFields>
  <rowFields count="6">
    <field x="0"/>
    <field x="1"/>
    <field x="7"/>
    <field x="9"/>
    <field x="12"/>
    <field x="83"/>
  </rowFields>
  <rowItems count="92">
    <i>
      <x/>
      <x v="46"/>
      <x v="9"/>
      <x v="13"/>
      <x v="34"/>
    </i>
    <i>
      <x v="1"/>
      <x v="79"/>
      <x v="9"/>
      <x v="15"/>
      <x v="24"/>
    </i>
    <i>
      <x v="2"/>
      <x v="80"/>
      <x v="9"/>
      <x v="7"/>
      <x v="58"/>
    </i>
    <i>
      <x v="3"/>
      <x v="40"/>
      <x v="5"/>
      <x v="29"/>
      <x v="4"/>
      <x v="61"/>
    </i>
    <i>
      <x v="4"/>
      <x v="27"/>
      <x v="2"/>
      <x v="8"/>
      <x v="3"/>
      <x v="19"/>
    </i>
    <i>
      <x v="5"/>
      <x v="28"/>
      <x v="2"/>
      <x v="8"/>
      <x v="5"/>
      <x v="19"/>
    </i>
    <i>
      <x v="6"/>
      <x v="29"/>
      <x v="2"/>
      <x v="9"/>
      <x v="1"/>
      <x v="20"/>
    </i>
    <i>
      <x v="7"/>
      <x v="30"/>
      <x v="2"/>
      <x v="9"/>
      <x v="2"/>
      <x v="20"/>
    </i>
    <i>
      <x v="8"/>
      <x v="33"/>
      <x v="5"/>
      <x v="10"/>
      <x v="3"/>
      <x v="13"/>
    </i>
    <i>
      <x v="9"/>
      <x v="34"/>
      <x v="5"/>
      <x v="10"/>
      <x v="2"/>
      <x v="8"/>
    </i>
    <i>
      <x v="10"/>
      <x v="36"/>
      <x v="5"/>
      <x v="12"/>
      <x v="1"/>
      <x v="27"/>
    </i>
    <i>
      <x v="11"/>
      <x v="35"/>
      <x v="5"/>
      <x v="12"/>
      <x v="3"/>
      <x v="28"/>
    </i>
    <i>
      <x v="12"/>
      <x v="37"/>
      <x v="5"/>
      <x v="12"/>
      <x v="3"/>
      <x v="29"/>
    </i>
    <i>
      <x v="13"/>
      <x v="10"/>
      <x v="5"/>
      <x v="8"/>
      <x v="3"/>
      <x v="32"/>
    </i>
    <i>
      <x v="14"/>
      <x v="11"/>
      <x v="4"/>
      <x v="10"/>
      <x/>
      <x v="39"/>
    </i>
    <i>
      <x v="15"/>
      <x v="14"/>
      <x v="5"/>
      <x v="10"/>
      <x/>
      <x v="7"/>
    </i>
    <i>
      <x v="16"/>
      <x v="15"/>
      <x v="4"/>
      <x v="30"/>
      <x v="63"/>
    </i>
    <i>
      <x v="17"/>
      <x v="16"/>
      <x v="9"/>
      <x v="7"/>
      <x v="64"/>
    </i>
    <i>
      <x v="18"/>
      <x v="17"/>
      <x v="8"/>
      <x v="20"/>
      <x v="4"/>
    </i>
    <i>
      <x v="19"/>
      <x v="57"/>
      <x v="1"/>
      <x v="16"/>
      <x v="23"/>
    </i>
    <i>
      <x v="20"/>
      <x v="56"/>
      <x v="1"/>
      <x v="9"/>
      <x v="59"/>
    </i>
    <i>
      <x v="21"/>
      <x v="71"/>
      <x v="1"/>
      <x v="25"/>
      <x v="50"/>
    </i>
    <i>
      <x v="22"/>
      <x v="58"/>
      <x v="1"/>
      <x v="21"/>
      <x v="18"/>
    </i>
    <i>
      <x v="23"/>
      <x v="72"/>
      <x v="1"/>
      <x v="16"/>
      <x v="51"/>
    </i>
    <i>
      <x v="24"/>
      <x v="6"/>
      <x v="8"/>
      <x v="20"/>
      <x v="8"/>
      <x v="16"/>
    </i>
    <i>
      <x v="25"/>
      <x v="7"/>
      <x v="8"/>
      <x v="20"/>
      <x v="5"/>
      <x v="16"/>
    </i>
    <i>
      <x v="26"/>
      <x v="8"/>
      <x v="5"/>
      <x v="20"/>
      <x v="31"/>
    </i>
    <i>
      <x v="27"/>
      <x v="5"/>
      <x v="8"/>
      <x v="20"/>
      <x v="30"/>
    </i>
    <i>
      <x v="28"/>
      <x v="31"/>
      <x v="2"/>
      <x v="18"/>
      <x v="2"/>
      <x v="37"/>
    </i>
    <i>
      <x v="29"/>
      <x v="32"/>
      <x v="2"/>
      <x v="18"/>
      <x v="3"/>
      <x v="36"/>
    </i>
    <i>
      <x v="30"/>
      <x/>
      <x v="8"/>
      <x v="17"/>
      <x v="1"/>
      <x v="10"/>
    </i>
    <i>
      <x v="31"/>
      <x v="1"/>
      <x v="8"/>
      <x v="17"/>
      <x v="1"/>
      <x v="11"/>
    </i>
    <i>
      <x v="32"/>
      <x v="2"/>
      <x v="8"/>
      <x v="17"/>
      <x v="5"/>
      <x v="2"/>
    </i>
    <i>
      <x v="33"/>
      <x v="3"/>
      <x v="8"/>
      <x v="17"/>
      <x v="5"/>
      <x v="1"/>
    </i>
    <i>
      <x v="34"/>
      <x v="4"/>
      <x v="5"/>
      <x v="17"/>
      <x v="15"/>
    </i>
    <i>
      <x v="35"/>
      <x v="22"/>
      <x v="2"/>
      <x v="19"/>
      <x v="38"/>
    </i>
    <i>
      <x v="36"/>
      <x v="12"/>
      <x v="2"/>
      <x v="20"/>
      <x v="66"/>
    </i>
    <i>
      <x v="37"/>
      <x v="13"/>
      <x v="8"/>
      <x v="20"/>
      <x v="5"/>
    </i>
    <i>
      <x v="38"/>
      <x v="41"/>
      <x v="5"/>
      <x v="24"/>
      <x v="1"/>
      <x v="13"/>
    </i>
    <i>
      <x v="39"/>
      <x v="23"/>
      <x v="5"/>
      <x v="19"/>
      <x v="41"/>
    </i>
    <i>
      <x v="40"/>
      <x v="24"/>
      <x v="3"/>
      <x v="20"/>
      <x v="12"/>
    </i>
    <i>
      <x v="41"/>
      <x v="73"/>
      <x v="1"/>
      <x v="31"/>
      <x v="53"/>
    </i>
    <i>
      <x v="42"/>
      <x v="74"/>
      <x v="1"/>
      <x v="31"/>
      <x v="52"/>
    </i>
    <i>
      <x v="43"/>
      <x v="75"/>
      <x v="1"/>
      <x v="31"/>
      <x v="25"/>
    </i>
    <i>
      <x v="44"/>
      <x v="43"/>
      <x v="2"/>
      <x v="25"/>
      <x v="26"/>
    </i>
    <i>
      <x v="45"/>
      <x v="76"/>
      <x v="6"/>
      <x v="26"/>
      <x v="56"/>
    </i>
    <i>
      <x v="46"/>
      <x v="77"/>
      <x v="6"/>
      <x v="26"/>
      <x v="56"/>
    </i>
    <i>
      <x v="47"/>
      <x v="68"/>
      <x v="7"/>
      <x v="26"/>
      <x v="6"/>
      <x v="43"/>
    </i>
    <i>
      <x v="48"/>
      <x v="69"/>
      <x v="7"/>
      <x v="26"/>
      <x v="7"/>
      <x v="42"/>
    </i>
    <i>
      <x v="49"/>
      <x v="44"/>
      <x v="3"/>
      <x v="23"/>
      <x v="11"/>
      <x v="14"/>
    </i>
    <i>
      <x v="50"/>
      <x v="45"/>
      <x v="3"/>
      <x v="23"/>
      <x v="10"/>
      <x v="44"/>
    </i>
    <i>
      <x v="51"/>
      <x v="42"/>
      <x v="4"/>
      <x v="32"/>
      <x v="4"/>
      <x v="40"/>
    </i>
    <i>
      <x v="52"/>
      <x v="47"/>
      <x v="9"/>
      <x v="28"/>
      <x v="17"/>
    </i>
    <i>
      <x v="53"/>
      <x v="48"/>
      <x v="5"/>
      <x v="2"/>
      <x v="1"/>
      <x v="48"/>
    </i>
    <i>
      <x v="54"/>
      <x v="49"/>
      <x v="5"/>
      <x v="2"/>
      <x v="2"/>
      <x v="48"/>
    </i>
    <i>
      <x v="55"/>
      <x v="50"/>
      <x v="5"/>
      <x v="2"/>
      <x v="3"/>
      <x v="48"/>
    </i>
    <i>
      <x v="56"/>
      <x v="51"/>
      <x v="5"/>
      <x v="2"/>
      <x v="4"/>
      <x v="48"/>
    </i>
    <i>
      <x v="57"/>
      <x v="52"/>
      <x v="5"/>
      <x v="2"/>
      <x v="5"/>
      <x v="48"/>
    </i>
    <i>
      <x v="58"/>
      <x v="53"/>
      <x v="5"/>
      <x v="4"/>
      <x v="4"/>
      <x v="47"/>
    </i>
    <i>
      <x v="59"/>
      <x v="54"/>
      <x v="5"/>
      <x v="4"/>
      <x v="54"/>
    </i>
    <i>
      <x v="60"/>
      <x v="26"/>
      <x v="2"/>
      <x v="22"/>
      <x/>
      <x v="35"/>
    </i>
    <i>
      <x v="61"/>
      <x v="18"/>
      <x/>
      <x v="6"/>
      <x v="55"/>
    </i>
    <i>
      <x v="62"/>
      <x v="55"/>
      <x v="9"/>
      <x v="5"/>
      <x v="49"/>
    </i>
    <i>
      <x v="63"/>
      <x v="70"/>
      <x v="7"/>
      <x/>
      <x v="21"/>
    </i>
    <i>
      <x v="64"/>
      <x v="9"/>
      <x v="2"/>
      <x v="11"/>
      <x v="7"/>
      <x v="33"/>
    </i>
    <i>
      <x v="65"/>
      <x v="25"/>
      <x v="2"/>
      <x v="19"/>
      <x v="2"/>
      <x v="3"/>
    </i>
    <i>
      <x v="66"/>
      <x v="19"/>
      <x/>
      <x v="3"/>
      <x v="65"/>
    </i>
    <i>
      <x v="67"/>
      <x v="65"/>
      <x v="5"/>
      <x v="1"/>
      <x/>
      <x v="68"/>
    </i>
    <i>
      <x v="68"/>
      <x v="66"/>
      <x v="5"/>
      <x v="1"/>
      <x v="1"/>
      <x v="68"/>
    </i>
    <i>
      <x v="69"/>
      <x v="67"/>
      <x v="5"/>
      <x v="1"/>
      <x v="2"/>
      <x v="68"/>
    </i>
    <i>
      <x v="70"/>
      <x v="78"/>
      <x v="9"/>
      <x v="14"/>
      <x v="57"/>
    </i>
    <i>
      <x v="71"/>
      <x v="83"/>
      <x v="9"/>
      <x v="1"/>
      <x v="60"/>
    </i>
    <i>
      <x v="72"/>
      <x v="81"/>
      <x v="2"/>
      <x v="5"/>
      <x/>
    </i>
    <i>
      <x v="73"/>
      <x v="82"/>
      <x v="2"/>
      <x v="6"/>
      <x v="9"/>
    </i>
    <i>
      <x v="74"/>
      <x v="38"/>
      <x v="5"/>
      <x v="30"/>
      <x v="9"/>
      <x v="6"/>
    </i>
    <i r="1">
      <x v="39"/>
      <x v="5"/>
      <x v="30"/>
      <x v="10"/>
      <x v="22"/>
    </i>
    <i>
      <x v="75"/>
      <x v="20"/>
      <x/>
      <x v="5"/>
      <x v="45"/>
    </i>
    <i>
      <x v="76"/>
      <x v="21"/>
      <x/>
      <x v="5"/>
      <x v="46"/>
    </i>
    <i>
      <x v="77"/>
      <x v="59"/>
      <x v="5"/>
      <x v="16"/>
      <x v="1"/>
      <x v="67"/>
    </i>
    <i>
      <x v="78"/>
      <x v="61"/>
      <x v="2"/>
      <x v="27"/>
      <x v="1"/>
      <x v="62"/>
    </i>
    <i>
      <x v="79"/>
      <x v="62"/>
      <x v="2"/>
      <x v="27"/>
      <x v="2"/>
      <x v="62"/>
    </i>
    <i>
      <x v="80"/>
      <x v="63"/>
      <x v="2"/>
      <x v="27"/>
      <x v="3"/>
      <x v="62"/>
    </i>
    <i>
      <x v="81"/>
      <x v="64"/>
      <x v="2"/>
      <x v="27"/>
      <x v="4"/>
      <x v="62"/>
    </i>
    <i>
      <x v="82"/>
      <x v="60"/>
      <x v="2"/>
      <x v="27"/>
      <x/>
      <x v="62"/>
    </i>
    <i>
      <x v="83"/>
      <x v="87"/>
      <x v="2"/>
      <x v="33"/>
      <x v="3"/>
      <x v="70"/>
    </i>
    <i r="1">
      <x v="88"/>
      <x v="2"/>
      <x v="33"/>
      <x v="4"/>
      <x v="70"/>
    </i>
    <i r="1">
      <x v="89"/>
      <x v="2"/>
      <x v="33"/>
      <x v="6"/>
      <x v="70"/>
    </i>
    <i r="1">
      <x v="90"/>
      <x v="2"/>
      <x v="33"/>
      <x v="13"/>
      <x v="70"/>
    </i>
    <i>
      <x v="84"/>
      <x v="84"/>
      <x v="2"/>
      <x v="22"/>
      <x/>
      <x v="72"/>
    </i>
    <i>
      <x v="85"/>
      <x v="85"/>
      <x v="3"/>
      <x v="31"/>
      <x v="5"/>
      <x v="71"/>
    </i>
    <i>
      <x v="86"/>
      <x v="86"/>
      <x v="5"/>
      <x v="34"/>
      <x v="9"/>
      <x v="69"/>
    </i>
    <i t="grand">
      <x/>
    </i>
  </rowItems>
  <colItems count="1">
    <i/>
  </colItems>
  <pivotTableStyleInfo name="PivotStyleLight16" showRowHeaders="1" showColHeaders="1" showRowStripes="0" showColStripes="0" showLastColumn="1"/>
</pivotTableDefinition>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1.xml.rels><?xml version="1.0" encoding="UTF-8"?>
<Relationships xmlns="http://schemas.openxmlformats.org/package/2006/relationships"><Relationship Id="rId1" Type="http://schemas.openxmlformats.org/officeDocument/2006/relationships/drawing" Target="../drawings/drawing1.xml"/>
</Relationships>
</file>

<file path=xl/worksheets/_rels/sheet8.xml.rels><?xml version="1.0" encoding="UTF-8"?>
<Relationships xmlns="http://schemas.openxmlformats.org/package/2006/relationships"><Relationship Id="rId1" Type="http://schemas.openxmlformats.org/officeDocument/2006/relationships/hyperlink" Target="https://grf.farm/polar_fox/1.0.0-beta-8/frax.html" TargetMode="External"/><Relationship Id="rId2" Type="http://schemas.openxmlformats.org/officeDocument/2006/relationships/hyperlink" Target="https://grf.farm/polar_fox/1.0.0-beta-8/frax.html" TargetMode="External"/><Relationship Id="rId3" Type="http://schemas.openxmlformats.org/officeDocument/2006/relationships/hyperlink" Target="https://grf.farm/polar_fox/1.0.0-beta-8/frax.html" TargetMode="External"/><Relationship Id="rId4" Type="http://schemas.openxmlformats.org/officeDocument/2006/relationships/hyperlink" Target="https://grf.farm/polar_fox/1.0.0-beta-8/frax.html" TargetMode="External"/><Relationship Id="rId5" Type="http://schemas.openxmlformats.org/officeDocument/2006/relationships/hyperlink" Target="https://grf.farm/polar_fox/1.0.0-beta-8/frax.html" TargetMode="External"/><Relationship Id="rId6" Type="http://schemas.openxmlformats.org/officeDocument/2006/relationships/hyperlink" Target="https://grf.farm/polar_fox/1.0.0-beta-8/frax.html" TargetMode="External"/><Relationship Id="rId7" Type="http://schemas.openxmlformats.org/officeDocument/2006/relationships/hyperlink" Target="https://grf.farm/polar_fox/1.0.0-beta-8/frax.html" TargetMode="External"/><Relationship Id="rId8" Type="http://schemas.openxmlformats.org/officeDocument/2006/relationships/hyperlink" Target="https://grf.farm/polar_fox/1.0.0-beta-8/frax.html" TargetMode="External"/><Relationship Id="rId9" Type="http://schemas.openxmlformats.org/officeDocument/2006/relationships/hyperlink" Target="https://grf.farm/polar_fox/1.0.0-beta-8/frax.html" TargetMode="External"/><Relationship Id="rId10" Type="http://schemas.openxmlformats.org/officeDocument/2006/relationships/hyperlink" Target="https://grf.farm/polar_fox/1.0.0-beta-8/frax.html" TargetMode="External"/><Relationship Id="rId11" Type="http://schemas.openxmlformats.org/officeDocument/2006/relationships/hyperlink" Target="https://grf.farm/polar_fox/1.0.0-beta-8/frax.html" TargetMode="External"/><Relationship Id="rId12" Type="http://schemas.openxmlformats.org/officeDocument/2006/relationships/hyperlink" Target="https://grf.farm/polar_fox/1.0.0-beta-8/frax.html" TargetMode="External"/><Relationship Id="rId13" Type="http://schemas.openxmlformats.org/officeDocument/2006/relationships/hyperlink" Target="https://grf.farm/polar_fox/1.0.0-beta-8/frax.html" TargetMode="External"/><Relationship Id="rId14" Type="http://schemas.openxmlformats.org/officeDocument/2006/relationships/hyperlink" Target="https://grf.farm/polar_fox/1.0.0-beta-8/frax.html" TargetMode="External"/><Relationship Id="rId15" Type="http://schemas.openxmlformats.org/officeDocument/2006/relationships/hyperlink" Target="https://grf.farm/polar_fox/1.0.0-beta-8/frax.html" TargetMode="External"/><Relationship Id="rId16" Type="http://schemas.openxmlformats.org/officeDocument/2006/relationships/hyperlink" Target="https://grf.farm/polar_fox/1.0.0-beta-8/frax.html" TargetMode="External"/><Relationship Id="rId17" Type="http://schemas.openxmlformats.org/officeDocument/2006/relationships/hyperlink" Target="https://grf.farm/polar_fox/1.0.0-beta-8/frax.html" TargetMode="External"/><Relationship Id="rId18" Type="http://schemas.openxmlformats.org/officeDocument/2006/relationships/hyperlink" Target="https://grf.farm/polar_fox/1.0.0-beta-8/frax.html" TargetMode="External"/><Relationship Id="rId19" Type="http://schemas.openxmlformats.org/officeDocument/2006/relationships/hyperlink" Target="https://grf.farm/polar_fox/1.0.0-beta-8/frax.html" TargetMode="External"/><Relationship Id="rId20" Type="http://schemas.openxmlformats.org/officeDocument/2006/relationships/hyperlink" Target="https://grf.farm/polar_fox/1.0.0-beta-8/frax.html" TargetMode="External"/><Relationship Id="rId21" Type="http://schemas.openxmlformats.org/officeDocument/2006/relationships/hyperlink" Target="https://grf.farm/polar_fox/1.0.0-beta-8/frax.html" TargetMode="External"/><Relationship Id="rId22" Type="http://schemas.openxmlformats.org/officeDocument/2006/relationships/hyperlink" Target="https://grf.farm/polar_fox/1.0.0-beta-8/frax.html" TargetMode="External"/><Relationship Id="rId23" Type="http://schemas.openxmlformats.org/officeDocument/2006/relationships/hyperlink" Target="https://grf.farm/polar_fox/1.0.0-beta-8/frax.html" TargetMode="External"/><Relationship Id="rId24" Type="http://schemas.openxmlformats.org/officeDocument/2006/relationships/hyperlink" Target="https://grf.farm/polar_fox/1.0.0-beta-8/frax.html" TargetMode="External"/><Relationship Id="rId25" Type="http://schemas.openxmlformats.org/officeDocument/2006/relationships/hyperlink" Target="https://grf.farm/polar_fox/1.0.0-beta-8/frax.html" TargetMode="External"/><Relationship Id="rId26" Type="http://schemas.openxmlformats.org/officeDocument/2006/relationships/hyperlink" Target="https://grf.farm/polar_fox/1.0.0-beta-8/frax.html" TargetMode="External"/><Relationship Id="rId27" Type="http://schemas.openxmlformats.org/officeDocument/2006/relationships/hyperlink" Target="https://grf.farm/polar_fox/1.0.0-beta-8/frax.html" TargetMode="External"/><Relationship Id="rId28" Type="http://schemas.openxmlformats.org/officeDocument/2006/relationships/hyperlink" Target="https://grf.farm/polar_fox/1.0.0-beta-8/frax.html" TargetMode="External"/><Relationship Id="rId29" Type="http://schemas.openxmlformats.org/officeDocument/2006/relationships/hyperlink" Target="https://grf.farm/polar_fox/1.0.0-beta-8/frax.html" TargetMode="External"/><Relationship Id="rId30" Type="http://schemas.openxmlformats.org/officeDocument/2006/relationships/hyperlink" Target="https://grf.farm/polar_fox/1.0.0-beta-8/frax.html" TargetMode="External"/><Relationship Id="rId31" Type="http://schemas.openxmlformats.org/officeDocument/2006/relationships/hyperlink" Target="https://grf.farm/polar_fox/1.0.0-beta-8/frax.html" TargetMode="External"/><Relationship Id="rId32" Type="http://schemas.openxmlformats.org/officeDocument/2006/relationships/hyperlink" Target="https://grf.farm/polar_fox/1.0.0-beta-8/frax.html" TargetMode="External"/>
</Relationships>
</file>

<file path=xl/worksheets/_rels/sheet9.xml.rels><?xml version="1.0" encoding="UTF-8"?>
<Relationships xmlns="http://schemas.openxmlformats.org/package/2006/relationships"><Relationship Id="rId1" Type="http://schemas.openxmlformats.org/officeDocument/2006/relationships/pivotTable" Target="../pivotTables/pivotTable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XFC158"/>
  <sheetViews>
    <sheetView showFormulas="false" showGridLines="true" showRowColHeaders="true" showZeros="true" rightToLeft="false" tabSelected="true" showOutlineSymbols="true" defaultGridColor="true" view="normal" topLeftCell="A1" colorId="64" zoomScale="89" zoomScaleNormal="89" zoomScalePageLayoutView="100" workbookViewId="0">
      <pane xSplit="1" ySplit="1" topLeftCell="B41" activePane="bottomRight" state="frozen"/>
      <selection pane="topLeft" activeCell="A1" activeCellId="0" sqref="A1"/>
      <selection pane="topRight" activeCell="B1" activeCellId="0" sqref="B1"/>
      <selection pane="bottomLeft" activeCell="A41" activeCellId="0" sqref="A41"/>
      <selection pane="bottomRight" activeCell="AJ85" activeCellId="0" sqref="AJ85"/>
    </sheetView>
  </sheetViews>
  <sheetFormatPr defaultColWidth="8.625" defaultRowHeight="13.8" customHeight="true" zeroHeight="false" outlineLevelRow="0" outlineLevelCol="0"/>
  <cols>
    <col collapsed="false" customWidth="true" hidden="false" outlineLevel="0" max="1" min="1" style="1" width="37.15"/>
    <col collapsed="false" customWidth="true" hidden="false" outlineLevel="0" max="2" min="2" style="1" width="28.3"/>
    <col collapsed="false" customWidth="true" hidden="false" outlineLevel="0" max="7" min="3" style="1" width="13.3"/>
    <col collapsed="false" customWidth="true" hidden="false" outlineLevel="0" max="8" min="8" style="1" width="14.69"/>
    <col collapsed="false" customWidth="true" hidden="false" outlineLevel="0" max="9" min="9" style="1" width="19.15"/>
    <col collapsed="false" customWidth="false" hidden="false" outlineLevel="0" max="11" min="10" style="1" width="8.61"/>
    <col collapsed="false" customWidth="true" hidden="false" outlineLevel="0" max="12" min="12" style="1" width="10.78"/>
    <col collapsed="false" customWidth="false" hidden="false" outlineLevel="0" max="13" min="13" style="1" width="8.61"/>
    <col collapsed="false" customWidth="true" hidden="false" outlineLevel="0" max="14" min="14" style="1" width="10.85"/>
    <col collapsed="false" customWidth="true" hidden="false" outlineLevel="0" max="15" min="15" style="2" width="10.32"/>
    <col collapsed="false" customWidth="true" hidden="false" outlineLevel="0" max="22" min="16" style="3" width="2.31"/>
    <col collapsed="false" customWidth="true" hidden="false" outlineLevel="0" max="23" min="23" style="1" width="10"/>
    <col collapsed="false" customWidth="true" hidden="false" outlineLevel="0" max="24" min="24" style="2" width="2.31"/>
    <col collapsed="false" customWidth="true" hidden="false" outlineLevel="0" max="25" min="25" style="1" width="13.3"/>
    <col collapsed="false" customWidth="true" hidden="false" outlineLevel="0" max="26" min="26" style="1" width="18"/>
    <col collapsed="false" customWidth="true" hidden="false" outlineLevel="0" max="27" min="27" style="4" width="8.43"/>
    <col collapsed="false" customWidth="true" hidden="false" outlineLevel="0" max="29" min="28" style="1" width="12.43"/>
    <col collapsed="false" customWidth="true" hidden="false" outlineLevel="0" max="30" min="30" style="1" width="21.43"/>
    <col collapsed="false" customWidth="true" hidden="false" outlineLevel="0" max="31" min="31" style="1" width="20.58"/>
    <col collapsed="false" customWidth="true" hidden="false" outlineLevel="0" max="32" min="32" style="1" width="10.58"/>
    <col collapsed="false" customWidth="true" hidden="false" outlineLevel="0" max="33" min="33" style="1" width="9.31"/>
    <col collapsed="false" customWidth="true" hidden="false" outlineLevel="0" max="34" min="34" style="1" width="10.58"/>
    <col collapsed="false" customWidth="true" hidden="false" outlineLevel="0" max="35" min="35" style="1" width="10.43"/>
    <col collapsed="false" customWidth="true" hidden="false" outlineLevel="0" max="36" min="36" style="5" width="9.13"/>
    <col collapsed="false" customWidth="true" hidden="false" outlineLevel="0" max="37" min="37" style="6" width="13.23"/>
    <col collapsed="false" customWidth="true" hidden="false" outlineLevel="0" max="38" min="38" style="6" width="10.29"/>
    <col collapsed="false" customWidth="true" hidden="false" outlineLevel="0" max="39" min="39" style="1" width="26.86"/>
    <col collapsed="false" customWidth="true" hidden="false" outlineLevel="0" max="40" min="40" style="6" width="18.43"/>
    <col collapsed="false" customWidth="true" hidden="false" outlineLevel="0" max="41" min="41" style="1" width="18.43"/>
    <col collapsed="false" customWidth="true" hidden="false" outlineLevel="0" max="43" min="42" style="7" width="18.43"/>
    <col collapsed="false" customWidth="true" hidden="false" outlineLevel="0" max="44" min="44" style="1" width="31.16"/>
    <col collapsed="false" customWidth="true" hidden="false" outlineLevel="0" max="45" min="45" style="1" width="17"/>
    <col collapsed="false" customWidth="true" hidden="false" outlineLevel="0" max="46" min="46" style="1" width="11.85"/>
    <col collapsed="false" customWidth="true" hidden="false" outlineLevel="0" max="47" min="47" style="1" width="13.15"/>
    <col collapsed="false" customWidth="true" hidden="false" outlineLevel="0" max="48" min="48" style="1" width="9.43"/>
    <col collapsed="false" customWidth="true" hidden="false" outlineLevel="0" max="49" min="49" style="1" width="18.44"/>
    <col collapsed="false" customWidth="true" hidden="false" outlineLevel="0" max="50" min="50" style="1" width="12.43"/>
    <col collapsed="false" customWidth="true" hidden="false" outlineLevel="0" max="51" min="51" style="6" width="14.69"/>
    <col collapsed="false" customWidth="true" hidden="false" outlineLevel="0" max="52" min="52" style="1" width="18.7"/>
    <col collapsed="false" customWidth="true" hidden="false" outlineLevel="0" max="53" min="53" style="1" width="20.22"/>
    <col collapsed="false" customWidth="true" hidden="false" outlineLevel="0" max="54" min="54" style="8" width="19.79"/>
    <col collapsed="false" customWidth="true" hidden="false" outlineLevel="0" max="55" min="55" style="8" width="20.71"/>
    <col collapsed="false" customWidth="true" hidden="false" outlineLevel="0" max="56" min="56" style="8" width="15.93"/>
    <col collapsed="false" customWidth="true" hidden="false" outlineLevel="0" max="57" min="57" style="8" width="25.24"/>
    <col collapsed="false" customWidth="true" hidden="false" outlineLevel="0" max="58" min="58" style="8" width="13.6"/>
    <col collapsed="false" customWidth="true" hidden="false" outlineLevel="0" max="60" min="59" style="8" width="23.15"/>
    <col collapsed="false" customWidth="true" hidden="false" outlineLevel="0" max="61" min="61" style="8" width="8.86"/>
    <col collapsed="false" customWidth="true" hidden="false" outlineLevel="0" max="62" min="62" style="8" width="11.15"/>
    <col collapsed="false" customWidth="true" hidden="false" outlineLevel="0" max="64" min="63" style="9" width="10.99"/>
    <col collapsed="false" customWidth="true" hidden="false" outlineLevel="0" max="65" min="65" style="1" width="27.03"/>
    <col collapsed="false" customWidth="false" hidden="false" outlineLevel="0" max="68" min="66" style="1" width="8.61"/>
    <col collapsed="false" customWidth="true" hidden="false" outlineLevel="0" max="69" min="69" style="1" width="28.67"/>
    <col collapsed="false" customWidth="true" hidden="false" outlineLevel="0" max="70" min="70" style="1" width="20.58"/>
    <col collapsed="false" customWidth="true" hidden="false" outlineLevel="0" max="71" min="71" style="1" width="22.16"/>
    <col collapsed="false" customWidth="true" hidden="false" outlineLevel="0" max="72" min="72" style="1" width="22.29"/>
    <col collapsed="false" customWidth="true" hidden="false" outlineLevel="0" max="73" min="73" style="1" width="31.16"/>
    <col collapsed="false" customWidth="true" hidden="false" outlineLevel="0" max="74" min="74" style="1" width="14.53"/>
    <col collapsed="false" customWidth="true" hidden="false" outlineLevel="0" max="76" min="75" style="1" width="19.15"/>
    <col collapsed="false" customWidth="true" hidden="false" outlineLevel="0" max="77" min="77" style="1" width="16.84"/>
    <col collapsed="false" customWidth="true" hidden="false" outlineLevel="0" max="78" min="78" style="1" width="15.57"/>
    <col collapsed="false" customWidth="true" hidden="false" outlineLevel="0" max="79" min="79" style="10" width="9.13"/>
    <col collapsed="false" customWidth="true" hidden="false" outlineLevel="0" max="80" min="80" style="1" width="15.72"/>
    <col collapsed="false" customWidth="true" hidden="false" outlineLevel="0" max="81" min="81" style="10" width="21.71"/>
    <col collapsed="false" customWidth="true" hidden="false" outlineLevel="0" max="82" min="82" style="10" width="37.51"/>
    <col collapsed="false" customWidth="true" hidden="false" outlineLevel="0" max="83" min="83" style="10" width="26.29"/>
    <col collapsed="false" customWidth="true" hidden="false" outlineLevel="0" max="84" min="84" style="10" width="28.99"/>
    <col collapsed="false" customWidth="true" hidden="false" outlineLevel="0" max="85" min="85" style="10" width="53.61"/>
    <col collapsed="false" customWidth="true" hidden="false" outlineLevel="0" max="86" min="86" style="1" width="220.1"/>
    <col collapsed="false" customWidth="true" hidden="false" outlineLevel="0" max="88" min="87" style="10" width="9.13"/>
    <col collapsed="false" customWidth="false" hidden="false" outlineLevel="0" max="89" min="89" style="1" width="8.62"/>
    <col collapsed="false" customWidth="false" hidden="false" outlineLevel="0" max="1024" min="90" style="1" width="8.61"/>
    <col collapsed="false" customWidth="false" hidden="false" outlineLevel="0" max="16384" min="1025" style="1" width="8.62"/>
  </cols>
  <sheetData>
    <row r="1" customFormat="false" ht="13.8" hidden="false" customHeight="false" outlineLevel="0" collapsed="false">
      <c r="A1" s="11" t="s">
        <v>0</v>
      </c>
      <c r="B1" s="11" t="s">
        <v>1</v>
      </c>
      <c r="C1" s="11" t="s">
        <v>2</v>
      </c>
      <c r="D1" s="11" t="s">
        <v>3</v>
      </c>
      <c r="E1" s="11" t="s">
        <v>4</v>
      </c>
      <c r="F1" s="11" t="s">
        <v>5</v>
      </c>
      <c r="G1" s="11" t="s">
        <v>6</v>
      </c>
      <c r="H1" s="11" t="s">
        <v>7</v>
      </c>
      <c r="I1" s="11" t="s">
        <v>8</v>
      </c>
      <c r="J1" s="11" t="s">
        <v>9</v>
      </c>
      <c r="K1" s="11" t="s">
        <v>10</v>
      </c>
      <c r="L1" s="11" t="s">
        <v>11</v>
      </c>
      <c r="M1" s="11" t="s">
        <v>12</v>
      </c>
      <c r="N1" s="11" t="s">
        <v>13</v>
      </c>
      <c r="O1" s="12" t="s">
        <v>14</v>
      </c>
      <c r="P1" s="13" t="s">
        <v>15</v>
      </c>
      <c r="Q1" s="13" t="s">
        <v>16</v>
      </c>
      <c r="R1" s="13" t="s">
        <v>17</v>
      </c>
      <c r="S1" s="13" t="s">
        <v>18</v>
      </c>
      <c r="T1" s="13" t="s">
        <v>19</v>
      </c>
      <c r="U1" s="13" t="s">
        <v>20</v>
      </c>
      <c r="V1" s="13" t="s">
        <v>21</v>
      </c>
      <c r="W1" s="11" t="s">
        <v>22</v>
      </c>
      <c r="X1" s="12" t="s">
        <v>23</v>
      </c>
      <c r="Y1" s="11" t="s">
        <v>24</v>
      </c>
      <c r="Z1" s="11" t="s">
        <v>25</v>
      </c>
      <c r="AA1" s="14" t="s">
        <v>26</v>
      </c>
      <c r="AB1" s="11" t="s">
        <v>27</v>
      </c>
      <c r="AC1" s="11" t="s">
        <v>28</v>
      </c>
      <c r="AD1" s="11" t="s">
        <v>29</v>
      </c>
      <c r="AE1" s="11" t="s">
        <v>30</v>
      </c>
      <c r="AF1" s="11" t="s">
        <v>31</v>
      </c>
      <c r="AG1" s="11" t="s">
        <v>32</v>
      </c>
      <c r="AH1" s="11" t="s">
        <v>33</v>
      </c>
      <c r="AI1" s="11" t="s">
        <v>34</v>
      </c>
      <c r="AJ1" s="15" t="s">
        <v>35</v>
      </c>
      <c r="AK1" s="11" t="s">
        <v>36</v>
      </c>
      <c r="AL1" s="11" t="s">
        <v>37</v>
      </c>
      <c r="AM1" s="11" t="s">
        <v>38</v>
      </c>
      <c r="AN1" s="11" t="s">
        <v>39</v>
      </c>
      <c r="AO1" s="11" t="s">
        <v>40</v>
      </c>
      <c r="AP1" s="16" t="s">
        <v>41</v>
      </c>
      <c r="AQ1" s="16" t="s">
        <v>42</v>
      </c>
      <c r="AR1" s="11" t="s">
        <v>43</v>
      </c>
      <c r="AS1" s="11" t="s">
        <v>44</v>
      </c>
      <c r="AT1" s="11" t="s">
        <v>45</v>
      </c>
      <c r="AU1" s="11" t="s">
        <v>46</v>
      </c>
      <c r="AV1" s="11" t="s">
        <v>47</v>
      </c>
      <c r="AW1" s="11" t="s">
        <v>48</v>
      </c>
      <c r="AX1" s="11" t="s">
        <v>49</v>
      </c>
      <c r="AY1" s="11" t="s">
        <v>50</v>
      </c>
      <c r="AZ1" s="11" t="s">
        <v>51</v>
      </c>
      <c r="BA1" s="11" t="s">
        <v>52</v>
      </c>
      <c r="BB1" s="11" t="s">
        <v>53</v>
      </c>
      <c r="BC1" s="11" t="s">
        <v>54</v>
      </c>
      <c r="BD1" s="11" t="s">
        <v>55</v>
      </c>
      <c r="BE1" s="11" t="s">
        <v>56</v>
      </c>
      <c r="BF1" s="11" t="s">
        <v>57</v>
      </c>
      <c r="BG1" s="11" t="s">
        <v>58</v>
      </c>
      <c r="BH1" s="11" t="s">
        <v>59</v>
      </c>
      <c r="BI1" s="11" t="s">
        <v>60</v>
      </c>
      <c r="BJ1" s="11" t="s">
        <v>61</v>
      </c>
      <c r="BK1" s="11" t="s">
        <v>62</v>
      </c>
      <c r="BL1" s="11" t="s">
        <v>63</v>
      </c>
      <c r="BM1" s="11" t="s">
        <v>64</v>
      </c>
      <c r="BN1" s="11" t="s">
        <v>65</v>
      </c>
      <c r="BO1" s="11" t="s">
        <v>66</v>
      </c>
      <c r="BP1" s="11" t="s">
        <v>67</v>
      </c>
      <c r="BQ1" s="11" t="s">
        <v>68</v>
      </c>
      <c r="BR1" s="11" t="s">
        <v>69</v>
      </c>
      <c r="BS1" s="11" t="s">
        <v>70</v>
      </c>
      <c r="BT1" s="11" t="s">
        <v>71</v>
      </c>
      <c r="BU1" s="11" t="s">
        <v>72</v>
      </c>
      <c r="BV1" s="11" t="s">
        <v>73</v>
      </c>
      <c r="BW1" s="11" t="s">
        <v>74</v>
      </c>
      <c r="BX1" s="11" t="s">
        <v>75</v>
      </c>
      <c r="BY1" s="11" t="s">
        <v>76</v>
      </c>
      <c r="BZ1" s="11" t="s">
        <v>77</v>
      </c>
      <c r="CA1" s="11" t="s">
        <v>78</v>
      </c>
      <c r="CB1" s="11" t="s">
        <v>79</v>
      </c>
      <c r="CC1" s="17" t="s">
        <v>80</v>
      </c>
      <c r="CD1" s="11" t="s">
        <v>81</v>
      </c>
      <c r="CE1" s="11" t="s">
        <v>82</v>
      </c>
      <c r="CF1" s="11" t="s">
        <v>83</v>
      </c>
      <c r="CG1" s="11" t="s">
        <v>84</v>
      </c>
      <c r="CH1" s="11" t="s">
        <v>85</v>
      </c>
      <c r="CI1" s="11" t="s">
        <v>86</v>
      </c>
      <c r="CJ1" s="11"/>
    </row>
    <row r="2" s="18" customFormat="true" ht="13.8" hidden="false" customHeight="false" outlineLevel="0" collapsed="false">
      <c r="A2" s="18" t="s">
        <v>87</v>
      </c>
      <c r="B2" s="18" t="s">
        <v>88</v>
      </c>
      <c r="C2" s="1" t="n">
        <v>10</v>
      </c>
      <c r="E2" s="18" t="n">
        <v>10</v>
      </c>
      <c r="F2" s="18" t="s">
        <v>89</v>
      </c>
      <c r="G2" s="1" t="s">
        <v>90</v>
      </c>
      <c r="H2" s="18" t="s">
        <v>91</v>
      </c>
      <c r="I2" s="18" t="s">
        <v>92</v>
      </c>
      <c r="J2" s="18" t="n">
        <v>1907</v>
      </c>
      <c r="L2" s="18" t="n">
        <v>1955</v>
      </c>
      <c r="M2" s="18" t="n">
        <v>1</v>
      </c>
      <c r="N2" s="18" t="n">
        <v>360</v>
      </c>
      <c r="O2" s="2"/>
      <c r="P2" s="3"/>
      <c r="Q2" s="3"/>
      <c r="R2" s="3"/>
      <c r="S2" s="3"/>
      <c r="T2" s="3"/>
      <c r="U2" s="3"/>
      <c r="V2" s="3"/>
      <c r="W2" s="18" t="n">
        <v>37.5</v>
      </c>
      <c r="X2" s="2"/>
      <c r="Y2" s="18" t="n">
        <v>5</v>
      </c>
      <c r="Z2" s="18" t="n">
        <v>48</v>
      </c>
      <c r="AA2" s="4" t="n">
        <f aca="false">IF(AND(W2&gt;0,Z2&gt;0),(Z2/((W2+X2)*10)),"")</f>
        <v>0.128</v>
      </c>
      <c r="AB2" s="18" t="n">
        <v>60</v>
      </c>
      <c r="AC2" s="18" t="n">
        <f aca="false">ROUND(AB2*1.6, 0)</f>
        <v>96</v>
      </c>
      <c r="AG2" s="18" t="n">
        <v>17</v>
      </c>
      <c r="AJ2" s="5" t="n">
        <v>42</v>
      </c>
      <c r="AK2" s="19" t="str">
        <f aca="false">CONCATENATE(VLOOKUP(AL2, 'Voxel Sizes'!$A$2:$B$18,2,FALSE()),"x",INT(AH2*15), "x", INT(AI2*15))</f>
        <v>164x0x0</v>
      </c>
      <c r="AL2" s="18" t="n">
        <f aca="false">ROUND(15*((AG2*10)/256),0)</f>
        <v>10</v>
      </c>
      <c r="AN2" s="1" t="str">
        <f aca="false">CONCATENATE(VLOOKUP(AL2,Constants!$A$2:$C$16,IF(AM2&lt;&gt;"", 3, 2), FALSE()),IF(AM2&lt;&gt;"",CONCATENATE(",",VLOOKUP(AM2,$B:$AN,38,FALSE())),""))</f>
        <v>4,2,4</v>
      </c>
      <c r="AP2" s="7"/>
      <c r="AQ2" s="7"/>
      <c r="AR2" s="18" t="s">
        <v>93</v>
      </c>
      <c r="AT2" s="18" t="n">
        <v>1</v>
      </c>
      <c r="AU2" s="18" t="s">
        <v>93</v>
      </c>
      <c r="AX2" s="18" t="n">
        <v>25</v>
      </c>
      <c r="AY2" s="6" t="n">
        <f aca="false">IF(L2&lt;&gt;"",MAX(16,(L2-J2)+8),"")</f>
        <v>56</v>
      </c>
      <c r="AZ2" s="18" t="n">
        <v>-10</v>
      </c>
      <c r="BA2" s="18" t="n">
        <v>-25</v>
      </c>
      <c r="BB2" s="18" t="n">
        <f aca="false">MIN(AB2/150, 1)*30</f>
        <v>12</v>
      </c>
      <c r="BC2" s="18" t="n">
        <f aca="false">MIN(N2/4000, 1)*20</f>
        <v>1.8</v>
      </c>
      <c r="BD2" s="18" t="n">
        <f aca="false">MIN(Z2/400,1)*20</f>
        <v>2.4</v>
      </c>
      <c r="BE2" s="4" t="n">
        <f aca="false">1-(MAX(J2-1900, 0)/750)</f>
        <v>0.990666666666667</v>
      </c>
      <c r="BF2" s="18" t="n">
        <f aca="false">((MAX($M2,1)*MIN($AJ2/300,1)))*IF(G2="Wagon",50,10)</f>
        <v>1.4</v>
      </c>
      <c r="BG2" s="1" t="n">
        <f aca="false">VLOOKUP($H2,Constants!$I:$K, 2, FALSE())</f>
        <v>0.85</v>
      </c>
      <c r="BH2" s="1" t="n">
        <f aca="false">VLOOKUP($H2,Constants!$I:$K, 3, FALSE())*IF(AND(G2="multiple_unit",AB2&lt;110),0.75,1)</f>
        <v>1.725</v>
      </c>
      <c r="BI2" s="18" t="n">
        <v>21</v>
      </c>
      <c r="BJ2" s="18" t="n">
        <v>43</v>
      </c>
      <c r="BK2" s="20" t="n">
        <f aca="false">BI2*IF($G2="wagon",62.5,781.25)</f>
        <v>16406.25</v>
      </c>
      <c r="BL2" s="20" t="n">
        <f aca="false">BJ2*IF($G2="wagon",2.73,81.25)</f>
        <v>3493.75</v>
      </c>
      <c r="BQ2" s="18" t="s">
        <v>94</v>
      </c>
      <c r="BT2" s="18" t="n">
        <v>6</v>
      </c>
      <c r="BU2" s="18" t="n">
        <v>185</v>
      </c>
      <c r="BX2" s="18" t="s">
        <v>95</v>
      </c>
      <c r="BY2" s="18" t="s">
        <v>96</v>
      </c>
      <c r="BZ2" s="18" t="s">
        <v>97</v>
      </c>
      <c r="CA2" s="18" t="str">
        <f aca="false">CONCATENATE(BY2,"_",BZ2)</f>
        <v>edw_EMU</v>
      </c>
      <c r="CB2" s="18" t="str">
        <f aca="false">_xlfn.CONCAT(H2, "_",I2)</f>
        <v>electric_ELRL</v>
      </c>
      <c r="CC2" s="21" t="str">
        <f aca="false" t="array" ref="CC2:CC2">_xlfn.CONCAT("{BLACK}Length: {GOLD}", TEXT(ROUNDUP(IF(AQ2&lt;&gt;"",SUM(VALUE(_xlfn.TEXTSPLIT(AQ2, ","))), SUM(VALUE(_xlfn.TEXTSPLIT(AN2, ",")))*IF(M2, M2, 1))/16, 1), "#,##0.0"), " tiles{}")</f>
        <v>{BLACK}Length: {GOLD}0.7 tiles{}</v>
      </c>
      <c r="CD2" s="1" t="str">
        <f aca="false">VLOOKUP($CB2, Constants!$M:$N, 2, FALSE())</f>
        <v>{BLACK}Powered by: {GOLD}25kV AC</v>
      </c>
      <c r="CE2" s="18" t="str">
        <f aca="false">IF(M2&gt;1,_xlfn.CONCAT("{BLACK}Cars: {GOLD}", M2),"")</f>
        <v/>
      </c>
      <c r="CF2" s="18" t="s">
        <v>98</v>
      </c>
      <c r="CG2" s="18" t="str">
        <f aca="false">IF($BT2="!param_no_gameplay_units","{GREEN}Included for gameplay purposes","")</f>
        <v/>
      </c>
      <c r="CH2" s="1" t="str">
        <f aca="false">_xlfn.CONCAT(CD2,IF(CD2 &lt;&gt; "", " ", ""),CE2,IF(OR(CE2&lt;&gt;"", CD2&lt;&gt;""), "{}",""), CC2, CG2,"{SILVER}", CF2)</f>
        <v>{BLACK}Powered by: {GOLD}25kV AC {}{BLACK}Length: {GOLD}0.7 tiles{}{SILVER}Very early experiments in AC Multiple Units were built for the Lancaster-Morecambe-Heysham line, and were remarkably successful. Various lengths of unit were available, with twice as many single-ended driving trailers built as double-ended driving motors were.</v>
      </c>
    </row>
    <row r="3" s="18" customFormat="true" ht="13.8" hidden="false" customHeight="false" outlineLevel="0" collapsed="false">
      <c r="A3" s="18" t="s">
        <v>99</v>
      </c>
      <c r="B3" s="18" t="s">
        <v>100</v>
      </c>
      <c r="C3" s="1" t="n">
        <v>11</v>
      </c>
      <c r="D3" s="18" t="n">
        <v>10</v>
      </c>
      <c r="E3" s="18" t="n">
        <v>11</v>
      </c>
      <c r="F3" s="18" t="s">
        <v>89</v>
      </c>
      <c r="G3" s="1" t="s">
        <v>90</v>
      </c>
      <c r="H3" s="18" t="s">
        <v>91</v>
      </c>
      <c r="I3" s="18" t="s">
        <v>92</v>
      </c>
      <c r="J3" s="18" t="n">
        <v>1907</v>
      </c>
      <c r="L3" s="18" t="n">
        <v>1955</v>
      </c>
      <c r="M3" s="18" t="n">
        <v>2</v>
      </c>
      <c r="N3" s="18" t="n">
        <v>360</v>
      </c>
      <c r="O3" s="2"/>
      <c r="P3" s="3"/>
      <c r="Q3" s="3"/>
      <c r="R3" s="3"/>
      <c r="S3" s="3"/>
      <c r="T3" s="3"/>
      <c r="U3" s="3"/>
      <c r="V3" s="3"/>
      <c r="W3" s="18" t="n">
        <f aca="false">37.5+31</f>
        <v>68.5</v>
      </c>
      <c r="X3" s="2"/>
      <c r="Y3" s="18" t="n">
        <v>5</v>
      </c>
      <c r="Z3" s="18" t="n">
        <v>48</v>
      </c>
      <c r="AA3" s="4" t="n">
        <f aca="false">IF(AND(W3&gt;0,Z3&gt;0),(Z3/((W3+X3)*10)),"")</f>
        <v>0.0700729927007299</v>
      </c>
      <c r="AB3" s="18" t="n">
        <v>60</v>
      </c>
      <c r="AC3" s="18" t="n">
        <f aca="false">ROUND(AB3*1.6, 0)</f>
        <v>96</v>
      </c>
      <c r="AG3" s="18" t="n">
        <v>17</v>
      </c>
      <c r="AJ3" s="5" t="n">
        <v>47</v>
      </c>
      <c r="AK3" s="19" t="str">
        <f aca="false">CONCATENATE(VLOOKUP(AL3, 'Voxel Sizes'!$A$2:$B$18,2,FALSE()),"x",INT(AH3*15), "x", INT(AI3*15))</f>
        <v>164x0x0</v>
      </c>
      <c r="AL3" s="18" t="n">
        <f aca="false">ROUND(15*((AG3*10)/256),0)</f>
        <v>10</v>
      </c>
      <c r="AN3" s="1" t="str">
        <f aca="false">CONCATENATE(VLOOKUP(AL3,Constants!$A$2:$C$16,IF(AM3&lt;&gt;"", 3, 2), FALSE()),IF(AM3&lt;&gt;"",CONCATENATE(",",VLOOKUP(AM3,$B:$AN,38,FALSE())),""))</f>
        <v>4,2,4</v>
      </c>
      <c r="AP3" s="7"/>
      <c r="AQ3" s="7"/>
      <c r="AR3" s="18" t="s">
        <v>101</v>
      </c>
      <c r="AT3" s="18" t="s">
        <v>102</v>
      </c>
      <c r="AU3" s="18" t="s">
        <v>103</v>
      </c>
      <c r="AX3" s="18" t="n">
        <v>25</v>
      </c>
      <c r="AY3" s="6" t="n">
        <f aca="false">IF(L3&lt;&gt;"",MAX(16,(L3-J3)+8),"")</f>
        <v>56</v>
      </c>
      <c r="AZ3" s="18" t="n">
        <v>-10</v>
      </c>
      <c r="BA3" s="18" t="n">
        <v>-25</v>
      </c>
      <c r="BB3" s="18" t="n">
        <f aca="false">MIN(AB3/150, 1)*30</f>
        <v>12</v>
      </c>
      <c r="BC3" s="18" t="n">
        <f aca="false">MIN(N3/4000, 1)*20</f>
        <v>1.8</v>
      </c>
      <c r="BD3" s="18" t="n">
        <f aca="false">MIN(Z3/400,1)*20</f>
        <v>2.4</v>
      </c>
      <c r="BE3" s="4" t="n">
        <f aca="false">1-(MAX(J3-1900, 0)/750)</f>
        <v>0.990666666666667</v>
      </c>
      <c r="BF3" s="18" t="n">
        <f aca="false">((MAX($M3,1)*MIN($AJ3/300,1)))*IF(G3="Wagon",50,10)</f>
        <v>3.13333333333333</v>
      </c>
      <c r="BG3" s="1" t="n">
        <f aca="false">VLOOKUP($H3,Constants!$I:$K, 2, FALSE())</f>
        <v>0.85</v>
      </c>
      <c r="BH3" s="1" t="n">
        <f aca="false">VLOOKUP($H3,Constants!$I:$K, 3, FALSE())*IF(AND(G3="multiple_unit",AB3&lt;110),0.75,1)</f>
        <v>1.725</v>
      </c>
      <c r="BI3" s="18" t="n">
        <v>25</v>
      </c>
      <c r="BJ3" s="18" t="n">
        <v>46</v>
      </c>
      <c r="BK3" s="20" t="n">
        <f aca="false">BI3*IF($G3="wagon",62.5,781.25)</f>
        <v>19531.25</v>
      </c>
      <c r="BL3" s="20" t="n">
        <f aca="false">BJ3*IF($G3="wagon",2.73,81.25)</f>
        <v>3737.5</v>
      </c>
      <c r="BQ3" s="18" t="s">
        <v>104</v>
      </c>
      <c r="BT3" s="18" t="n">
        <v>6</v>
      </c>
      <c r="BU3" s="18" t="n">
        <v>185</v>
      </c>
      <c r="BX3" s="18" t="s">
        <v>95</v>
      </c>
      <c r="BY3" s="18" t="s">
        <v>96</v>
      </c>
      <c r="BZ3" s="18" t="s">
        <v>97</v>
      </c>
      <c r="CA3" s="18" t="str">
        <f aca="false">CONCATENATE(BY3,"_",BZ3)</f>
        <v>edw_EMU</v>
      </c>
      <c r="CB3" s="18" t="str">
        <f aca="false">_xlfn.CONCAT(H3, "_",I3)</f>
        <v>electric_ELRL</v>
      </c>
      <c r="CC3" s="21" t="str">
        <f aca="false" t="array" ref="CC3:CC3">_xlfn.CONCAT("{BLACK}Length: {GOLD}", TEXT(ROUNDUP(IF(AQ3&lt;&gt;"",SUM(VALUE(_xlfn.TEXTSPLIT(AQ3, ","))), SUM(VALUE(_xlfn.TEXTSPLIT(AN3, ",")))*IF(M3, M3, 1))/16, 1), "#,##0.0"), " tiles{}")</f>
        <v>{BLACK}Length: {GOLD}1.3 tiles{}</v>
      </c>
      <c r="CD3" s="1" t="str">
        <f aca="false">VLOOKUP($CB3, Constants!$M:$N, 2, FALSE())</f>
        <v>{BLACK}Powered by: {GOLD}25kV AC</v>
      </c>
      <c r="CE3" s="18" t="str">
        <f aca="false">IF(M3&gt;1,_xlfn.CONCAT("{BLACK}Cars: {GOLD}", M3),"")</f>
        <v>{BLACK}Cars: {GOLD}2</v>
      </c>
      <c r="CF3" s="18" t="s">
        <v>98</v>
      </c>
      <c r="CG3" s="18" t="str">
        <f aca="false">IF($BT3="!param_no_gameplay_units","{GREEN}Included for gameplay purposes","")</f>
        <v/>
      </c>
      <c r="CH3" s="1" t="str">
        <f aca="false">_xlfn.CONCAT(CD3,IF(CD3 &lt;&gt; "", " ", ""),CE3,IF(OR(CE3&lt;&gt;"", CD3&lt;&gt;""), "{}",""), CC3, CG3,"{SILVER}", CF3)</f>
        <v>{BLACK}Powered by: {GOLD}25kV AC {BLACK}Cars: {GOLD}2{}{BLACK}Length: {GOLD}1.3 tiles{}{SILVER}Very early experiments in AC Multiple Units were built for the Lancaster-Morecambe-Heysham line, and were remarkably successful. Various lengths of unit were available, with twice as many single-ended driving trailers built as double-ended driving motors were.</v>
      </c>
    </row>
    <row r="4" s="18" customFormat="true" ht="13.8" hidden="false" customHeight="false" outlineLevel="0" collapsed="false">
      <c r="A4" s="18" t="s">
        <v>105</v>
      </c>
      <c r="B4" s="18" t="s">
        <v>106</v>
      </c>
      <c r="C4" s="1" t="n">
        <v>12</v>
      </c>
      <c r="D4" s="18" t="n">
        <v>10</v>
      </c>
      <c r="E4" s="18" t="n">
        <v>12</v>
      </c>
      <c r="F4" s="18" t="s">
        <v>89</v>
      </c>
      <c r="G4" s="1" t="s">
        <v>90</v>
      </c>
      <c r="H4" s="18" t="s">
        <v>91</v>
      </c>
      <c r="I4" s="18" t="s">
        <v>92</v>
      </c>
      <c r="J4" s="18" t="n">
        <v>1907</v>
      </c>
      <c r="L4" s="18" t="n">
        <v>1955</v>
      </c>
      <c r="M4" s="18" t="n">
        <v>3</v>
      </c>
      <c r="N4" s="18" t="n">
        <v>360</v>
      </c>
      <c r="O4" s="2"/>
      <c r="P4" s="3"/>
      <c r="Q4" s="3"/>
      <c r="R4" s="3"/>
      <c r="S4" s="3"/>
      <c r="T4" s="3"/>
      <c r="U4" s="3"/>
      <c r="V4" s="3"/>
      <c r="W4" s="18" t="n">
        <f aca="false">37.5+31+31</f>
        <v>99.5</v>
      </c>
      <c r="X4" s="2"/>
      <c r="Y4" s="18" t="n">
        <v>5</v>
      </c>
      <c r="Z4" s="18" t="n">
        <v>48</v>
      </c>
      <c r="AA4" s="4" t="n">
        <f aca="false">IF(AND(W4&gt;0,Z4&gt;0),(Z4/((W4+X4)*10)),"")</f>
        <v>0.0482412060301508</v>
      </c>
      <c r="AB4" s="18" t="n">
        <v>60</v>
      </c>
      <c r="AC4" s="18" t="n">
        <f aca="false">ROUND(AB4*1.6, 0)</f>
        <v>96</v>
      </c>
      <c r="AG4" s="18" t="n">
        <v>17</v>
      </c>
      <c r="AJ4" s="5" t="n">
        <v>48</v>
      </c>
      <c r="AK4" s="19" t="str">
        <f aca="false">CONCATENATE(VLOOKUP(AL4, 'Voxel Sizes'!$A$2:$B$18,2,FALSE()),"x",INT(AH4*15), "x", INT(AI4*15))</f>
        <v>164x0x0</v>
      </c>
      <c r="AL4" s="18" t="n">
        <f aca="false">ROUND(15*((AG4*10)/256),0)</f>
        <v>10</v>
      </c>
      <c r="AN4" s="1" t="str">
        <f aca="false">CONCATENATE(VLOOKUP(AL4,Constants!$A$2:$C$16,IF(AM4&lt;&gt;"", 3, 2), FALSE()),IF(AM4&lt;&gt;"",CONCATENATE(",",VLOOKUP(AM4,$B:$AN,38,FALSE())),""))</f>
        <v>4,2,4</v>
      </c>
      <c r="AP4" s="7"/>
      <c r="AQ4" s="7"/>
      <c r="AR4" s="18" t="s">
        <v>107</v>
      </c>
      <c r="AT4" s="18" t="s">
        <v>108</v>
      </c>
      <c r="AU4" s="18" t="s">
        <v>103</v>
      </c>
      <c r="AX4" s="18" t="n">
        <v>25</v>
      </c>
      <c r="AY4" s="6" t="n">
        <f aca="false">IF(L4&lt;&gt;"",MAX(16,(L4-J4)+8),"")</f>
        <v>56</v>
      </c>
      <c r="AZ4" s="18" t="n">
        <v>-10</v>
      </c>
      <c r="BA4" s="18" t="n">
        <v>-25</v>
      </c>
      <c r="BB4" s="18" t="n">
        <f aca="false">MIN(AB4/150, 1)*30</f>
        <v>12</v>
      </c>
      <c r="BC4" s="18" t="n">
        <f aca="false">MIN(N4/4000, 1)*20</f>
        <v>1.8</v>
      </c>
      <c r="BD4" s="18" t="n">
        <f aca="false">MIN(Z4/400,1)*20</f>
        <v>2.4</v>
      </c>
      <c r="BE4" s="4" t="n">
        <f aca="false">1-(MAX(J4-1900, 0)/750)</f>
        <v>0.990666666666667</v>
      </c>
      <c r="BF4" s="18" t="n">
        <f aca="false">((MAX($M4,1)*MIN($AJ4/300,1)))*IF(G4="Wagon",50,10)</f>
        <v>4.8</v>
      </c>
      <c r="BG4" s="1" t="n">
        <f aca="false">VLOOKUP($H4,Constants!$I:$K, 2, FALSE())</f>
        <v>0.85</v>
      </c>
      <c r="BH4" s="1" t="n">
        <f aca="false">VLOOKUP($H4,Constants!$I:$K, 3, FALSE())*IF(AND(G4="multiple_unit",AB4&lt;110),0.75,1)</f>
        <v>1.725</v>
      </c>
      <c r="BI4" s="18" t="n">
        <v>28</v>
      </c>
      <c r="BJ4" s="18" t="n">
        <v>49</v>
      </c>
      <c r="BK4" s="20" t="n">
        <f aca="false">BI4*IF($G4="wagon",62.5,781.25)</f>
        <v>21875</v>
      </c>
      <c r="BL4" s="20" t="n">
        <f aca="false">BJ4*IF($G4="wagon",2.73,81.25)</f>
        <v>3981.25</v>
      </c>
      <c r="BQ4" s="18" t="s">
        <v>109</v>
      </c>
      <c r="BT4" s="18" t="n">
        <v>6</v>
      </c>
      <c r="BU4" s="18" t="n">
        <v>185</v>
      </c>
      <c r="BX4" s="18" t="s">
        <v>95</v>
      </c>
      <c r="BY4" s="18" t="s">
        <v>96</v>
      </c>
      <c r="BZ4" s="18" t="s">
        <v>97</v>
      </c>
      <c r="CA4" s="18" t="str">
        <f aca="false">CONCATENATE(BY4,"_",BZ4)</f>
        <v>edw_EMU</v>
      </c>
      <c r="CB4" s="18" t="str">
        <f aca="false">_xlfn.CONCAT(H4, "_",I4)</f>
        <v>electric_ELRL</v>
      </c>
      <c r="CC4" s="21" t="str">
        <f aca="false" t="array" ref="CC4:CC4">_xlfn.CONCAT("{BLACK}Length: {GOLD}", TEXT(ROUNDUP(IF(AQ4&lt;&gt;"",SUM(VALUE(_xlfn.TEXTSPLIT(AQ4, ","))), SUM(VALUE(_xlfn.TEXTSPLIT(AN4, ",")))*IF(M4, M4, 1))/16, 1), "#,##0.0"), " tiles{}")</f>
        <v>{BLACK}Length: {GOLD}1.9 tiles{}</v>
      </c>
      <c r="CD4" s="1" t="str">
        <f aca="false">VLOOKUP($CB4, Constants!$M:$N, 2, FALSE())</f>
        <v>{BLACK}Powered by: {GOLD}25kV AC</v>
      </c>
      <c r="CE4" s="18" t="str">
        <f aca="false">IF(M4&gt;1,_xlfn.CONCAT("{BLACK}Cars: {GOLD}", M4),"")</f>
        <v>{BLACK}Cars: {GOLD}3</v>
      </c>
      <c r="CF4" s="18" t="s">
        <v>98</v>
      </c>
      <c r="CG4" s="18" t="str">
        <f aca="false">IF($BT4="!param_no_gameplay_units","{GREEN}Included for gameplay purposes","")</f>
        <v/>
      </c>
      <c r="CH4" s="1" t="str">
        <f aca="false">_xlfn.CONCAT(CD4,IF(CD4 &lt;&gt; "", " ", ""),CE4,IF(OR(CE4&lt;&gt;"", CD4&lt;&gt;""), "{}",""), CC4, CG4,"{SILVER}", CF4)</f>
        <v>{BLACK}Powered by: {GOLD}25kV AC {BLACK}Cars: {GOLD}3{}{BLACK}Length: {GOLD}1.9 tiles{}{SILVER}Very early experiments in AC Multiple Units were built for the Lancaster-Morecambe-Heysham line, and were remarkably successful. Various lengths of unit were available, with twice as many single-ended driving trailers built as double-ended driving motors were.</v>
      </c>
    </row>
    <row r="5" s="18" customFormat="true" ht="13.8" hidden="false" customHeight="false" outlineLevel="0" collapsed="false">
      <c r="A5" s="18" t="s">
        <v>110</v>
      </c>
      <c r="B5" s="18" t="s">
        <v>111</v>
      </c>
      <c r="C5" s="1" t="n">
        <v>14</v>
      </c>
      <c r="E5" s="18" t="n">
        <v>14</v>
      </c>
      <c r="F5" s="18" t="s">
        <v>89</v>
      </c>
      <c r="G5" s="1" t="s">
        <v>90</v>
      </c>
      <c r="H5" s="18" t="s">
        <v>91</v>
      </c>
      <c r="I5" s="18" t="s">
        <v>92</v>
      </c>
      <c r="J5" s="18" t="n">
        <v>1911</v>
      </c>
      <c r="L5" s="18" t="n">
        <v>1955</v>
      </c>
      <c r="M5" s="18" t="n">
        <v>2</v>
      </c>
      <c r="N5" s="18" t="n">
        <v>600</v>
      </c>
      <c r="O5" s="2"/>
      <c r="P5" s="3"/>
      <c r="Q5" s="3"/>
      <c r="R5" s="3"/>
      <c r="S5" s="3"/>
      <c r="T5" s="3"/>
      <c r="U5" s="3"/>
      <c r="V5" s="3"/>
      <c r="W5" s="18" t="n">
        <f aca="false">52+25</f>
        <v>77</v>
      </c>
      <c r="X5" s="2"/>
      <c r="Y5" s="18" t="n">
        <v>5</v>
      </c>
      <c r="Z5" s="18" t="n">
        <v>48</v>
      </c>
      <c r="AA5" s="4" t="n">
        <f aca="false">IF(AND(W5&gt;0,Z5&gt;0),(Z5/((W5+X5)*10)),"")</f>
        <v>0.0623376623376623</v>
      </c>
      <c r="AB5" s="18" t="n">
        <v>60</v>
      </c>
      <c r="AC5" s="18" t="n">
        <f aca="false">ROUND(AB5*1.6, 0)</f>
        <v>96</v>
      </c>
      <c r="AG5" s="18" t="n">
        <v>17.5</v>
      </c>
      <c r="AJ5" s="5" t="n">
        <v>48</v>
      </c>
      <c r="AK5" s="19" t="str">
        <f aca="false">CONCATENATE(VLOOKUP(AL5, 'Voxel Sizes'!$A$2:$B$18,2,FALSE()),"x",INT(AH5*15), "x", INT(AI5*15))</f>
        <v>164x0x0</v>
      </c>
      <c r="AL5" s="18" t="n">
        <f aca="false">ROUND(15*((AG5*10)/256),0)</f>
        <v>10</v>
      </c>
      <c r="AN5" s="1" t="str">
        <f aca="false">CONCATENATE(VLOOKUP(AL5,Constants!$A$2:$C$16,IF(AM5&lt;&gt;"", 3, 2), FALSE()),IF(AM5&lt;&gt;"",CONCATENATE(",",VLOOKUP(AM5,$B:$AN,38,FALSE())),""))</f>
        <v>4,2,4</v>
      </c>
      <c r="AP5" s="7"/>
      <c r="AQ5" s="7"/>
      <c r="AR5" s="18" t="s">
        <v>112</v>
      </c>
      <c r="AT5" s="18" t="s">
        <v>113</v>
      </c>
      <c r="AU5" s="18" t="s">
        <v>114</v>
      </c>
      <c r="AX5" s="18" t="n">
        <v>25</v>
      </c>
      <c r="AY5" s="6" t="n">
        <f aca="false">IF(L5&lt;&gt;"",MAX(16,(L5-J5)+8),"")</f>
        <v>52</v>
      </c>
      <c r="AZ5" s="18" t="n">
        <v>-10</v>
      </c>
      <c r="BA5" s="18" t="n">
        <v>-25</v>
      </c>
      <c r="BB5" s="18" t="n">
        <f aca="false">MIN(AB5/150, 1)*30</f>
        <v>12</v>
      </c>
      <c r="BC5" s="18" t="n">
        <f aca="false">MIN(N5/4000, 1)*20</f>
        <v>3</v>
      </c>
      <c r="BD5" s="18" t="n">
        <f aca="false">MIN(Z5/400,1)*20</f>
        <v>2.4</v>
      </c>
      <c r="BE5" s="4" t="n">
        <f aca="false">1-(MAX(J5-1900, 0)/750)</f>
        <v>0.985333333333333</v>
      </c>
      <c r="BF5" s="18" t="n">
        <f aca="false">((MAX($M5,1)*MIN($AJ5/300,1)))*IF(G5="Wagon",50,10)</f>
        <v>3.2</v>
      </c>
      <c r="BG5" s="1" t="n">
        <f aca="false">VLOOKUP($H5,Constants!$I:$K, 2, FALSE())</f>
        <v>0.85</v>
      </c>
      <c r="BH5" s="1" t="n">
        <f aca="false">VLOOKUP($H5,Constants!$I:$K, 3, FALSE())*IF(AND(G5="multiple_unit",AB5&lt;110),0.75,1)</f>
        <v>1.725</v>
      </c>
      <c r="BI5" s="18" t="n">
        <v>27</v>
      </c>
      <c r="BJ5" s="18" t="n">
        <v>48</v>
      </c>
      <c r="BK5" s="20" t="n">
        <f aca="false">BI5*IF($G5="wagon",62.5,781.25)</f>
        <v>21093.75</v>
      </c>
      <c r="BL5" s="20" t="n">
        <f aca="false">BJ5*IF($G5="wagon",2.73,81.25)</f>
        <v>3900</v>
      </c>
      <c r="BQ5" s="18" t="s">
        <v>115</v>
      </c>
      <c r="BT5" s="18" t="n">
        <v>6</v>
      </c>
      <c r="BU5" s="18" t="n">
        <v>185</v>
      </c>
      <c r="BX5" s="18" t="s">
        <v>95</v>
      </c>
      <c r="BY5" s="18" t="s">
        <v>96</v>
      </c>
      <c r="BZ5" s="18" t="s">
        <v>97</v>
      </c>
      <c r="CA5" s="18" t="str">
        <f aca="false">CONCATENATE(BY5,"_",BZ5)</f>
        <v>edw_EMU</v>
      </c>
      <c r="CB5" s="18" t="str">
        <f aca="false">_xlfn.CONCAT(H5, "_",I5)</f>
        <v>electric_ELRL</v>
      </c>
      <c r="CC5" s="21" t="str">
        <f aca="false" t="array" ref="CC5:CC5">_xlfn.CONCAT("{BLACK}Length: {GOLD}", TEXT(ROUNDUP(IF(AQ5&lt;&gt;"",SUM(VALUE(_xlfn.TEXTSPLIT(AQ5, ","))), SUM(VALUE(_xlfn.TEXTSPLIT(AN5, ",")))*IF(M5, M5, 1))/16, 1), "#,##0.0"), " tiles{}")</f>
        <v>{BLACK}Length: {GOLD}1.3 tiles{}</v>
      </c>
      <c r="CD5" s="1" t="str">
        <f aca="false">VLOOKUP($CB5, Constants!$M:$N, 2, FALSE())</f>
        <v>{BLACK}Powered by: {GOLD}25kV AC</v>
      </c>
      <c r="CE5" s="18" t="str">
        <f aca="false">IF(M5&gt;1,_xlfn.CONCAT("{BLACK}Cars: {GOLD}", M5),"")</f>
        <v>{BLACK}Cars: {GOLD}2</v>
      </c>
      <c r="CF5" s="18" t="s">
        <v>116</v>
      </c>
      <c r="CG5" s="1" t="str">
        <f aca="false">IF(BW5="buffet","{YELLOW}25% long distance bonus for consist{}",IF(BY5="BRAKE","{YELLOW}Speed bonus for slow wagons{}",IF(BU5&gt;190,CONCATENATE("{YELLOW}",INT((BU5-185)/1.85),"% bonus for long distance travel{}"),IF(AND(BU5&lt;180,BU5&lt;&gt;0),CONCATENATE("{YELLOW}",INT((185-BU5)/1.85),"% penalty for long distance travel{}"),""))))</f>
        <v/>
      </c>
      <c r="CH5" s="1" t="str">
        <f aca="false">_xlfn.CONCAT(CD5,IF(CD5 &lt;&gt; "", " ", ""),CE5,IF(OR(CE5&lt;&gt;"", CD5&lt;&gt;""), "{}",""), CC5, CG5,"{SILVER}", CF5)</f>
        <v>{BLACK}Powered by: {GOLD}25kV AC {BLACK}Cars: {GOLD}2{}{BLACK}Length: {GOLD}1.3 tiles{}{SILVER}The LB&amp;SCR (Later SR) “CP” EMUs were a nightmare of different build dates and vehicle sizes, designed for use on the “Elevated Electric” line into London.</v>
      </c>
    </row>
    <row r="6" s="18" customFormat="true" ht="13.8" hidden="false" customHeight="false" outlineLevel="0" collapsed="false">
      <c r="A6" s="18" t="s">
        <v>117</v>
      </c>
      <c r="B6" s="18" t="s">
        <v>118</v>
      </c>
      <c r="C6" s="1" t="n">
        <v>15</v>
      </c>
      <c r="D6" s="18" t="n">
        <v>14</v>
      </c>
      <c r="E6" s="18" t="n">
        <v>14</v>
      </c>
      <c r="F6" s="18" t="s">
        <v>89</v>
      </c>
      <c r="G6" s="1" t="s">
        <v>90</v>
      </c>
      <c r="H6" s="18" t="s">
        <v>91</v>
      </c>
      <c r="I6" s="18" t="s">
        <v>92</v>
      </c>
      <c r="J6" s="18" t="n">
        <v>1911</v>
      </c>
      <c r="L6" s="18" t="n">
        <v>1955</v>
      </c>
      <c r="M6" s="18" t="n">
        <v>3</v>
      </c>
      <c r="N6" s="18" t="n">
        <v>600</v>
      </c>
      <c r="O6" s="2"/>
      <c r="P6" s="3"/>
      <c r="Q6" s="3"/>
      <c r="R6" s="3"/>
      <c r="S6" s="3"/>
      <c r="T6" s="3"/>
      <c r="U6" s="3"/>
      <c r="V6" s="3"/>
      <c r="W6" s="18" t="n">
        <f aca="false">52+25*2</f>
        <v>102</v>
      </c>
      <c r="X6" s="2"/>
      <c r="Y6" s="18" t="n">
        <v>5</v>
      </c>
      <c r="Z6" s="18" t="n">
        <v>48</v>
      </c>
      <c r="AA6" s="4" t="n">
        <f aca="false">IF(AND(W6&gt;0,Z6&gt;0),(Z6/((W6+X6)*10)),"")</f>
        <v>0.0470588235294118</v>
      </c>
      <c r="AB6" s="18" t="n">
        <v>60</v>
      </c>
      <c r="AC6" s="18" t="n">
        <f aca="false">ROUND(AB6*1.6, 0)</f>
        <v>96</v>
      </c>
      <c r="AG6" s="18" t="n">
        <v>17.5</v>
      </c>
      <c r="AJ6" s="5" t="n">
        <v>48</v>
      </c>
      <c r="AK6" s="19" t="str">
        <f aca="false">CONCATENATE(VLOOKUP(AL6, 'Voxel Sizes'!$A$2:$B$18,2,FALSE()),"x",INT(AH6*15), "x", INT(AI6*15))</f>
        <v>164x0x0</v>
      </c>
      <c r="AL6" s="18" t="n">
        <f aca="false">ROUND(15*((AG6*10)/256),0)</f>
        <v>10</v>
      </c>
      <c r="AN6" s="1" t="str">
        <f aca="false">CONCATENATE(VLOOKUP(AL6,Constants!$A$2:$C$16,IF(AM6&lt;&gt;"", 3, 2), FALSE()),IF(AM6&lt;&gt;"",CONCATENATE(",",VLOOKUP(AM6,$B:$AN,38,FALSE())),""))</f>
        <v>4,2,4</v>
      </c>
      <c r="AP6" s="7"/>
      <c r="AQ6" s="7"/>
      <c r="AR6" s="18" t="s">
        <v>119</v>
      </c>
      <c r="AT6" s="18" t="s">
        <v>120</v>
      </c>
      <c r="AU6" s="18" t="s">
        <v>114</v>
      </c>
      <c r="AX6" s="18" t="n">
        <v>25</v>
      </c>
      <c r="AY6" s="6" t="n">
        <f aca="false">IF(L6&lt;&gt;"",MAX(16,(L6-J6)+8),"")</f>
        <v>52</v>
      </c>
      <c r="AZ6" s="18" t="n">
        <v>-10</v>
      </c>
      <c r="BA6" s="18" t="n">
        <v>-25</v>
      </c>
      <c r="BB6" s="18" t="n">
        <f aca="false">MIN(AB6/150, 1)*30</f>
        <v>12</v>
      </c>
      <c r="BC6" s="18" t="n">
        <f aca="false">MIN(N6/4000, 1)*20</f>
        <v>3</v>
      </c>
      <c r="BD6" s="18" t="n">
        <f aca="false">MIN(Z6/400,1)*20</f>
        <v>2.4</v>
      </c>
      <c r="BE6" s="4" t="n">
        <f aca="false">1-(MAX(J6-1900, 0)/750)</f>
        <v>0.985333333333333</v>
      </c>
      <c r="BF6" s="18" t="n">
        <f aca="false">((MAX($M6,1)*MIN($AJ6/300,1)))*IF(G6="Wagon",50,10)</f>
        <v>4.8</v>
      </c>
      <c r="BG6" s="1" t="n">
        <f aca="false">VLOOKUP($H6,Constants!$I:$K, 2, FALSE())</f>
        <v>0.85</v>
      </c>
      <c r="BH6" s="1" t="n">
        <f aca="false">VLOOKUP($H6,Constants!$I:$K, 3, FALSE())*IF(AND(G6="multiple_unit",AB6&lt;110),0.75,1)</f>
        <v>1.725</v>
      </c>
      <c r="BI6" s="18" t="n">
        <v>31</v>
      </c>
      <c r="BJ6" s="18" t="n">
        <v>51</v>
      </c>
      <c r="BK6" s="20" t="n">
        <f aca="false">BI6*IF($G6="wagon",62.5,781.25)</f>
        <v>24218.75</v>
      </c>
      <c r="BL6" s="20" t="n">
        <f aca="false">BJ6*IF($G6="wagon",2.73,81.25)</f>
        <v>4143.75</v>
      </c>
      <c r="BQ6" s="18" t="s">
        <v>121</v>
      </c>
      <c r="BT6" s="18" t="n">
        <v>6</v>
      </c>
      <c r="BU6" s="18" t="n">
        <v>185</v>
      </c>
      <c r="BX6" s="18" t="s">
        <v>95</v>
      </c>
      <c r="BY6" s="18" t="s">
        <v>96</v>
      </c>
      <c r="BZ6" s="18" t="s">
        <v>97</v>
      </c>
      <c r="CA6" s="18" t="str">
        <f aca="false">CONCATENATE(BY6,"_",BZ6)</f>
        <v>edw_EMU</v>
      </c>
      <c r="CB6" s="18" t="str">
        <f aca="false">_xlfn.CONCAT(H6, "_",I6)</f>
        <v>electric_ELRL</v>
      </c>
      <c r="CC6" s="21" t="str">
        <f aca="false" t="array" ref="CC6:CC6">_xlfn.CONCAT("{BLACK}Length: {GOLD}", TEXT(ROUNDUP(IF(AQ6&lt;&gt;"",SUM(VALUE(_xlfn.TEXTSPLIT(AQ6, ","))), SUM(VALUE(_xlfn.TEXTSPLIT(AN6, ",")))*IF(M6, M6, 1))/16, 1), "#,##0.0"), " tiles{}")</f>
        <v>{BLACK}Length: {GOLD}1.9 tiles{}</v>
      </c>
      <c r="CD6" s="1" t="str">
        <f aca="false">VLOOKUP($CB6, Constants!$M:$N, 2, FALSE())</f>
        <v>{BLACK}Powered by: {GOLD}25kV AC</v>
      </c>
      <c r="CE6" s="18" t="str">
        <f aca="false">IF(M6&gt;1,_xlfn.CONCAT("{BLACK}Cars: {GOLD}", M6),"")</f>
        <v>{BLACK}Cars: {GOLD}3</v>
      </c>
      <c r="CF6" s="18" t="s">
        <v>116</v>
      </c>
      <c r="CG6" s="1" t="str">
        <f aca="false">IF(BW6="buffet","{YELLOW}25% long distance bonus for consist{}",IF(BY6="BRAKE","{YELLOW}Speed bonus for slow wagons{}",IF(BU6&gt;190,CONCATENATE("{YELLOW}",INT((BU6-185)/1.85),"% bonus for long distance travel{}"),IF(AND(BU6&lt;180,BU6&lt;&gt;0),CONCATENATE("{YELLOW}",INT((185-BU6)/1.85),"% penalty for long distance travel{}"),""))))</f>
        <v/>
      </c>
      <c r="CH6" s="1" t="str">
        <f aca="false">_xlfn.CONCAT(CD6,IF(CD6 &lt;&gt; "", " ", ""),CE6,IF(OR(CE6&lt;&gt;"", CD6&lt;&gt;""), "{}",""), CC6, CG6,"{SILVER}", CF6)</f>
        <v>{BLACK}Powered by: {GOLD}25kV AC {BLACK}Cars: {GOLD}3{}{BLACK}Length: {GOLD}1.9 tiles{}{SILVER}The LB&amp;SCR (Later SR) “CP” EMUs were a nightmare of different build dates and vehicle sizes, designed for use on the “Elevated Electric” line into London.</v>
      </c>
    </row>
    <row r="7" s="18" customFormat="true" ht="13.8" hidden="false" customHeight="false" outlineLevel="0" collapsed="false">
      <c r="A7" s="18" t="s">
        <v>122</v>
      </c>
      <c r="B7" s="18" t="s">
        <v>123</v>
      </c>
      <c r="C7" s="1" t="n">
        <v>16</v>
      </c>
      <c r="D7" s="18" t="n">
        <v>14</v>
      </c>
      <c r="E7" s="18" t="n">
        <v>14</v>
      </c>
      <c r="F7" s="18" t="s">
        <v>89</v>
      </c>
      <c r="G7" s="1" t="s">
        <v>90</v>
      </c>
      <c r="H7" s="18" t="s">
        <v>91</v>
      </c>
      <c r="I7" s="18" t="s">
        <v>92</v>
      </c>
      <c r="J7" s="18" t="n">
        <v>1911</v>
      </c>
      <c r="L7" s="18" t="n">
        <v>1955</v>
      </c>
      <c r="M7" s="18" t="n">
        <v>4</v>
      </c>
      <c r="N7" s="18" t="n">
        <v>600</v>
      </c>
      <c r="O7" s="2"/>
      <c r="P7" s="3"/>
      <c r="Q7" s="3"/>
      <c r="R7" s="3"/>
      <c r="S7" s="3"/>
      <c r="T7" s="3"/>
      <c r="U7" s="3"/>
      <c r="V7" s="3"/>
      <c r="W7" s="18" t="n">
        <f aca="false">52+25*3</f>
        <v>127</v>
      </c>
      <c r="X7" s="2"/>
      <c r="Y7" s="18" t="n">
        <v>5</v>
      </c>
      <c r="Z7" s="18" t="n">
        <v>48</v>
      </c>
      <c r="AA7" s="4" t="n">
        <f aca="false">IF(AND(W7&gt;0,Z7&gt;0),(Z7/((W7+X7)*10)),"")</f>
        <v>0.0377952755905512</v>
      </c>
      <c r="AB7" s="18" t="n">
        <v>60</v>
      </c>
      <c r="AC7" s="18" t="n">
        <f aca="false">ROUND(AB7*1.6, 0)</f>
        <v>96</v>
      </c>
      <c r="AG7" s="18" t="n">
        <v>17.5</v>
      </c>
      <c r="AJ7" s="5" t="n">
        <v>48</v>
      </c>
      <c r="AK7" s="19" t="str">
        <f aca="false">CONCATENATE(VLOOKUP(AL7, 'Voxel Sizes'!$A$2:$B$18,2,FALSE()),"x",INT(AH7*15), "x", INT(AI7*15))</f>
        <v>164x0x0</v>
      </c>
      <c r="AL7" s="18" t="n">
        <f aca="false">ROUND(15*((AG7*10)/256),0)</f>
        <v>10</v>
      </c>
      <c r="AN7" s="1" t="str">
        <f aca="false">CONCATENATE(VLOOKUP(AL7,Constants!$A$2:$C$16,IF(AM7&lt;&gt;"", 3, 2), FALSE()),IF(AM7&lt;&gt;"",CONCATENATE(",",VLOOKUP(AM7,$B:$AN,38,FALSE())),""))</f>
        <v>4,2,4</v>
      </c>
      <c r="AP7" s="7"/>
      <c r="AQ7" s="7"/>
      <c r="AR7" s="18" t="s">
        <v>124</v>
      </c>
      <c r="AT7" s="18" t="s">
        <v>125</v>
      </c>
      <c r="AU7" s="18" t="s">
        <v>114</v>
      </c>
      <c r="AX7" s="18" t="n">
        <v>25</v>
      </c>
      <c r="AY7" s="6" t="n">
        <f aca="false">IF(L7&lt;&gt;"",MAX(16,(L7-J7)+8),"")</f>
        <v>52</v>
      </c>
      <c r="AZ7" s="18" t="n">
        <v>-10</v>
      </c>
      <c r="BA7" s="18" t="n">
        <v>-25</v>
      </c>
      <c r="BB7" s="18" t="n">
        <f aca="false">MIN(AB7/150, 1)*30</f>
        <v>12</v>
      </c>
      <c r="BC7" s="18" t="n">
        <f aca="false">MIN(N7/4000, 1)*20</f>
        <v>3</v>
      </c>
      <c r="BD7" s="18" t="n">
        <f aca="false">MIN(Z7/400,1)*20</f>
        <v>2.4</v>
      </c>
      <c r="BE7" s="4" t="n">
        <f aca="false">1-(MAX(J7-1900, 0)/750)</f>
        <v>0.985333333333333</v>
      </c>
      <c r="BF7" s="18" t="n">
        <f aca="false">((MAX($M7,1)*MIN($AJ7/300,1)))*IF(G7="Wagon",50,10)</f>
        <v>6.4</v>
      </c>
      <c r="BG7" s="1" t="n">
        <f aca="false">VLOOKUP($H7,Constants!$I:$K, 2, FALSE())</f>
        <v>0.85</v>
      </c>
      <c r="BH7" s="1" t="n">
        <f aca="false">VLOOKUP($H7,Constants!$I:$K, 3, FALSE())*IF(AND(G7="multiple_unit",AB7&lt;110),0.75,1)</f>
        <v>1.725</v>
      </c>
      <c r="BI7" s="18" t="n">
        <v>34</v>
      </c>
      <c r="BJ7" s="18" t="n">
        <v>55</v>
      </c>
      <c r="BK7" s="20" t="n">
        <f aca="false">BI7*IF($G7="wagon",62.5,781.25)</f>
        <v>26562.5</v>
      </c>
      <c r="BL7" s="20" t="n">
        <f aca="false">BJ7*IF($G7="wagon",2.73,81.25)</f>
        <v>4468.75</v>
      </c>
      <c r="BQ7" s="18" t="s">
        <v>126</v>
      </c>
      <c r="BT7" s="18" t="n">
        <v>6</v>
      </c>
      <c r="BU7" s="18" t="n">
        <v>185</v>
      </c>
      <c r="BX7" s="18" t="s">
        <v>95</v>
      </c>
      <c r="BY7" s="18" t="s">
        <v>96</v>
      </c>
      <c r="BZ7" s="18" t="s">
        <v>97</v>
      </c>
      <c r="CA7" s="18" t="str">
        <f aca="false">CONCATENATE(BY7,"_",BZ7)</f>
        <v>edw_EMU</v>
      </c>
      <c r="CB7" s="18" t="str">
        <f aca="false">_xlfn.CONCAT(H7, "_",I7)</f>
        <v>electric_ELRL</v>
      </c>
      <c r="CC7" s="21" t="str">
        <f aca="false" t="array" ref="CC7:CC7">_xlfn.CONCAT("{BLACK}Length: {GOLD}", TEXT(ROUNDUP(IF(AQ7&lt;&gt;"",SUM(VALUE(_xlfn.TEXTSPLIT(AQ7, ","))), SUM(VALUE(_xlfn.TEXTSPLIT(AN7, ",")))*IF(M7, M7, 1))/16, 1), "#,##0.0"), " tiles{}")</f>
        <v>{BLACK}Length: {GOLD}2.5 tiles{}</v>
      </c>
      <c r="CD7" s="1" t="str">
        <f aca="false">VLOOKUP($CB7, Constants!$M:$N, 2, FALSE())</f>
        <v>{BLACK}Powered by: {GOLD}25kV AC</v>
      </c>
      <c r="CE7" s="18" t="str">
        <f aca="false">IF(M7&gt;1,_xlfn.CONCAT("{BLACK}Cars: {GOLD}", M7),"")</f>
        <v>{BLACK}Cars: {GOLD}4</v>
      </c>
      <c r="CF7" s="18" t="s">
        <v>116</v>
      </c>
      <c r="CG7" s="1" t="str">
        <f aca="false">IF(BW7="buffet","{YELLOW}25% long distance bonus for consist{}",IF(BY7="BRAKE","{YELLOW}Speed bonus for slow wagons{}",IF(BU7&gt;190,CONCATENATE("{YELLOW}",INT((BU7-185)/1.85),"% bonus for long distance travel{}"),IF(AND(BU7&lt;180,BU7&lt;&gt;0),CONCATENATE("{YELLOW}",INT((185-BU7)/1.85),"% penalty for long distance travel{}"),""))))</f>
        <v/>
      </c>
      <c r="CH7" s="1" t="str">
        <f aca="false">_xlfn.CONCAT(CD7,IF(CD7 &lt;&gt; "", " ", ""),CE7,IF(OR(CE7&lt;&gt;"", CD7&lt;&gt;""), "{}",""), CC7, CG7,"{SILVER}", CF7)</f>
        <v>{BLACK}Powered by: {GOLD}25kV AC {BLACK}Cars: {GOLD}4{}{BLACK}Length: {GOLD}2.5 tiles{}{SILVER}The LB&amp;SCR (Later SR) “CP” EMUs were a nightmare of different build dates and vehicle sizes, designed for use on the “Elevated Electric” line into London.</v>
      </c>
    </row>
    <row r="8" s="18" customFormat="true" ht="13.8" hidden="false" customHeight="false" outlineLevel="0" collapsed="false">
      <c r="A8" s="18" t="s">
        <v>127</v>
      </c>
      <c r="B8" s="18" t="s">
        <v>128</v>
      </c>
      <c r="C8" s="1" t="n">
        <v>17</v>
      </c>
      <c r="D8" s="18" t="n">
        <v>14</v>
      </c>
      <c r="E8" s="18" t="n">
        <v>14</v>
      </c>
      <c r="F8" s="18" t="s">
        <v>89</v>
      </c>
      <c r="G8" s="1" t="s">
        <v>90</v>
      </c>
      <c r="H8" s="18" t="s">
        <v>91</v>
      </c>
      <c r="I8" s="18" t="s">
        <v>92</v>
      </c>
      <c r="J8" s="18" t="n">
        <v>1911</v>
      </c>
      <c r="L8" s="18" t="n">
        <v>1955</v>
      </c>
      <c r="M8" s="18" t="n">
        <v>5</v>
      </c>
      <c r="N8" s="18" t="n">
        <v>600</v>
      </c>
      <c r="O8" s="2"/>
      <c r="P8" s="3"/>
      <c r="Q8" s="3"/>
      <c r="R8" s="3"/>
      <c r="S8" s="3"/>
      <c r="T8" s="3"/>
      <c r="U8" s="3"/>
      <c r="V8" s="3"/>
      <c r="W8" s="18" t="n">
        <f aca="false">52+25*4</f>
        <v>152</v>
      </c>
      <c r="X8" s="2"/>
      <c r="Y8" s="18" t="n">
        <v>5</v>
      </c>
      <c r="Z8" s="18" t="n">
        <v>48</v>
      </c>
      <c r="AA8" s="4" t="n">
        <f aca="false">IF(AND(W8&gt;0,Z8&gt;0),(Z8/((W8+X8)*10)),"")</f>
        <v>0.0315789473684211</v>
      </c>
      <c r="AB8" s="18" t="n">
        <v>60</v>
      </c>
      <c r="AC8" s="18" t="n">
        <f aca="false">ROUND(AB8*1.6, 0)</f>
        <v>96</v>
      </c>
      <c r="AG8" s="18" t="n">
        <v>17.5</v>
      </c>
      <c r="AJ8" s="5" t="n">
        <v>48</v>
      </c>
      <c r="AK8" s="19" t="str">
        <f aca="false">CONCATENATE(VLOOKUP(AL8, 'Voxel Sizes'!$A$2:$B$18,2,FALSE()),"x",INT(AH8*15), "x", INT(AI8*15))</f>
        <v>164x0x0</v>
      </c>
      <c r="AL8" s="18" t="n">
        <f aca="false">ROUND(15*((AG8*10)/256),0)</f>
        <v>10</v>
      </c>
      <c r="AN8" s="1" t="str">
        <f aca="false">CONCATENATE(VLOOKUP(AL8,Constants!$A$2:$C$16,IF(AM8&lt;&gt;"", 3, 2), FALSE()),IF(AM8&lt;&gt;"",CONCATENATE(",",VLOOKUP(AM8,$B:$AN,38,FALSE())),""))</f>
        <v>4,2,4</v>
      </c>
      <c r="AP8" s="7"/>
      <c r="AQ8" s="7"/>
      <c r="AR8" s="18" t="s">
        <v>129</v>
      </c>
      <c r="AT8" s="18" t="s">
        <v>130</v>
      </c>
      <c r="AU8" s="18" t="s">
        <v>114</v>
      </c>
      <c r="AX8" s="18" t="n">
        <v>25</v>
      </c>
      <c r="AY8" s="6" t="n">
        <f aca="false">IF(L8&lt;&gt;"",MAX(16,(L8-J8)+8),"")</f>
        <v>52</v>
      </c>
      <c r="AZ8" s="18" t="n">
        <v>-10</v>
      </c>
      <c r="BA8" s="18" t="n">
        <v>-25</v>
      </c>
      <c r="BB8" s="18" t="n">
        <f aca="false">MIN(AB8/150, 1)*30</f>
        <v>12</v>
      </c>
      <c r="BC8" s="18" t="n">
        <f aca="false">MIN(N8/4000, 1)*20</f>
        <v>3</v>
      </c>
      <c r="BD8" s="18" t="n">
        <f aca="false">MIN(Z8/400,1)*20</f>
        <v>2.4</v>
      </c>
      <c r="BE8" s="4" t="n">
        <f aca="false">1-(MAX(J8-1900, 0)/750)</f>
        <v>0.985333333333333</v>
      </c>
      <c r="BF8" s="18" t="n">
        <f aca="false">((MAX($M8,1)*MIN($AJ8/300,1)))*IF(G8="Wagon",50,10)</f>
        <v>8</v>
      </c>
      <c r="BG8" s="1" t="n">
        <f aca="false">VLOOKUP($H8,Constants!$I:$K, 2, FALSE())</f>
        <v>0.85</v>
      </c>
      <c r="BH8" s="1" t="n">
        <f aca="false">VLOOKUP($H8,Constants!$I:$K, 3, FALSE())*IF(AND(G8="multiple_unit",AB8&lt;110),0.75,1)</f>
        <v>1.725</v>
      </c>
      <c r="BI8" s="18" t="n">
        <v>37</v>
      </c>
      <c r="BJ8" s="18" t="n">
        <v>58</v>
      </c>
      <c r="BK8" s="20" t="n">
        <f aca="false">BI8*IF($G8="wagon",62.5,781.25)</f>
        <v>28906.25</v>
      </c>
      <c r="BL8" s="20" t="n">
        <f aca="false">BJ8*IF($G8="wagon",2.73,81.25)</f>
        <v>4712.5</v>
      </c>
      <c r="BQ8" s="18" t="s">
        <v>131</v>
      </c>
      <c r="BT8" s="18" t="n">
        <v>6</v>
      </c>
      <c r="BU8" s="18" t="n">
        <v>185</v>
      </c>
      <c r="BX8" s="18" t="s">
        <v>95</v>
      </c>
      <c r="BY8" s="18" t="s">
        <v>96</v>
      </c>
      <c r="BZ8" s="18" t="s">
        <v>97</v>
      </c>
      <c r="CA8" s="18" t="str">
        <f aca="false">CONCATENATE(BY8,"_",BZ8)</f>
        <v>edw_EMU</v>
      </c>
      <c r="CB8" s="18" t="str">
        <f aca="false">_xlfn.CONCAT(H8, "_",I8)</f>
        <v>electric_ELRL</v>
      </c>
      <c r="CC8" s="21" t="str">
        <f aca="false" t="array" ref="CC8:CC8">_xlfn.CONCAT("{BLACK}Length: {GOLD}", TEXT(ROUNDUP(IF(AQ8&lt;&gt;"",SUM(VALUE(_xlfn.TEXTSPLIT(AQ8, ","))), SUM(VALUE(_xlfn.TEXTSPLIT(AN8, ",")))*IF(M8, M8, 1))/16, 1), "#,##0.0"), " tiles{}")</f>
        <v>{BLACK}Length: {GOLD}3.2 tiles{}</v>
      </c>
      <c r="CD8" s="1" t="str">
        <f aca="false">VLOOKUP($CB8, Constants!$M:$N, 2, FALSE())</f>
        <v>{BLACK}Powered by: {GOLD}25kV AC</v>
      </c>
      <c r="CE8" s="18" t="str">
        <f aca="false">IF(M8&gt;1,_xlfn.CONCAT("{BLACK}Cars: {GOLD}", M8),"")</f>
        <v>{BLACK}Cars: {GOLD}5</v>
      </c>
      <c r="CF8" s="18" t="s">
        <v>116</v>
      </c>
      <c r="CG8" s="1" t="str">
        <f aca="false">IF(BW8="buffet","{YELLOW}25% long distance bonus for consist{}",IF(BY8="BRAKE","{YELLOW}Speed bonus for slow wagons{}",IF(BU8&gt;190,CONCATENATE("{YELLOW}",INT((BU8-185)/1.85),"% bonus for long distance travel{}"),IF(AND(BU8&lt;180,BU8&lt;&gt;0),CONCATENATE("{YELLOW}",INT((185-BU8)/1.85),"% penalty for long distance travel{}"),""))))</f>
        <v/>
      </c>
      <c r="CH8" s="1" t="str">
        <f aca="false">_xlfn.CONCAT(CD8,IF(CD8 &lt;&gt; "", " ", ""),CE8,IF(OR(CE8&lt;&gt;"", CD8&lt;&gt;""), "{}",""), CC8, CG8,"{SILVER}", CF8)</f>
        <v>{BLACK}Powered by: {GOLD}25kV AC {BLACK}Cars: {GOLD}5{}{BLACK}Length: {GOLD}3.2 tiles{}{SILVER}The LB&amp;SCR (Later SR) “CP” EMUs were a nightmare of different build dates and vehicle sizes, designed for use on the “Elevated Electric” line into London.</v>
      </c>
    </row>
    <row r="9" s="18" customFormat="true" ht="13.8" hidden="false" customHeight="false" outlineLevel="0" collapsed="false">
      <c r="A9" s="18" t="s">
        <v>132</v>
      </c>
      <c r="B9" s="18" t="s">
        <v>133</v>
      </c>
      <c r="C9" s="1" t="n">
        <v>18</v>
      </c>
      <c r="D9" s="18" t="n">
        <v>14</v>
      </c>
      <c r="E9" s="18" t="n">
        <v>14</v>
      </c>
      <c r="F9" s="18" t="s">
        <v>89</v>
      </c>
      <c r="G9" s="1" t="s">
        <v>90</v>
      </c>
      <c r="H9" s="18" t="s">
        <v>91</v>
      </c>
      <c r="I9" s="18" t="s">
        <v>92</v>
      </c>
      <c r="J9" s="18" t="n">
        <v>1911</v>
      </c>
      <c r="L9" s="18" t="n">
        <v>1955</v>
      </c>
      <c r="M9" s="18" t="n">
        <v>6</v>
      </c>
      <c r="N9" s="18" t="n">
        <v>600</v>
      </c>
      <c r="O9" s="2"/>
      <c r="P9" s="3"/>
      <c r="Q9" s="3"/>
      <c r="R9" s="3"/>
      <c r="S9" s="3"/>
      <c r="T9" s="3"/>
      <c r="U9" s="3"/>
      <c r="V9" s="3"/>
      <c r="W9" s="18" t="n">
        <f aca="false">52+25*5</f>
        <v>177</v>
      </c>
      <c r="X9" s="2"/>
      <c r="Y9" s="18" t="n">
        <v>5</v>
      </c>
      <c r="Z9" s="18" t="n">
        <v>48</v>
      </c>
      <c r="AA9" s="4" t="n">
        <f aca="false">IF(AND(W9&gt;0,Z9&gt;0),(Z9/((W9+X9)*10)),"")</f>
        <v>0.0271186440677966</v>
      </c>
      <c r="AB9" s="18" t="n">
        <v>60</v>
      </c>
      <c r="AC9" s="18" t="n">
        <f aca="false">ROUND(AB9*1.6, 0)</f>
        <v>96</v>
      </c>
      <c r="AG9" s="18" t="n">
        <v>17.5</v>
      </c>
      <c r="AJ9" s="5" t="n">
        <v>48</v>
      </c>
      <c r="AK9" s="19" t="str">
        <f aca="false">CONCATENATE(VLOOKUP(AL9, 'Voxel Sizes'!$A$2:$B$18,2,FALSE()),"x",INT(AH9*15), "x", INT(AI9*15))</f>
        <v>164x0x0</v>
      </c>
      <c r="AL9" s="18" t="n">
        <f aca="false">ROUND(15*((AG9*10)/256),0)</f>
        <v>10</v>
      </c>
      <c r="AN9" s="1" t="str">
        <f aca="false">CONCATENATE(VLOOKUP(AL9,Constants!$A$2:$C$16,IF(AM9&lt;&gt;"", 3, 2), FALSE()),IF(AM9&lt;&gt;"",CONCATENATE(",",VLOOKUP(AM9,$B:$AN,38,FALSE())),""))</f>
        <v>4,2,4</v>
      </c>
      <c r="AP9" s="7"/>
      <c r="AQ9" s="7"/>
      <c r="AR9" s="18" t="s">
        <v>134</v>
      </c>
      <c r="AT9" s="18" t="s">
        <v>135</v>
      </c>
      <c r="AU9" s="18" t="s">
        <v>114</v>
      </c>
      <c r="AX9" s="18" t="n">
        <v>25</v>
      </c>
      <c r="AY9" s="6" t="n">
        <f aca="false">IF(L9&lt;&gt;"",MAX(16,(L9-J9)+8),"")</f>
        <v>52</v>
      </c>
      <c r="AZ9" s="18" t="n">
        <v>-10</v>
      </c>
      <c r="BA9" s="18" t="n">
        <v>-25</v>
      </c>
      <c r="BB9" s="18" t="n">
        <f aca="false">MIN(AB9/150, 1)*30</f>
        <v>12</v>
      </c>
      <c r="BC9" s="18" t="n">
        <f aca="false">MIN(N9/4000, 1)*20</f>
        <v>3</v>
      </c>
      <c r="BD9" s="18" t="n">
        <f aca="false">MIN(Z9/400,1)*20</f>
        <v>2.4</v>
      </c>
      <c r="BE9" s="4" t="n">
        <f aca="false">1-(MAX(J9-1900, 0)/750)</f>
        <v>0.985333333333333</v>
      </c>
      <c r="BF9" s="18" t="n">
        <f aca="false">((MAX($M9,1)*MIN($AJ9/300,1)))*IF(G9="Wagon",50,10)</f>
        <v>9.6</v>
      </c>
      <c r="BG9" s="1" t="n">
        <f aca="false">VLOOKUP($H9,Constants!$I:$K, 2, FALSE())</f>
        <v>0.85</v>
      </c>
      <c r="BH9" s="1" t="n">
        <f aca="false">VLOOKUP($H9,Constants!$I:$K, 3, FALSE())*IF(AND(G9="multiple_unit",AB9&lt;110),0.75,1)</f>
        <v>1.725</v>
      </c>
      <c r="BI9" s="18" t="n">
        <v>41</v>
      </c>
      <c r="BJ9" s="18" t="n">
        <v>61</v>
      </c>
      <c r="BK9" s="20" t="n">
        <f aca="false">BI9*IF($G9="wagon",62.5,781.25)</f>
        <v>32031.25</v>
      </c>
      <c r="BL9" s="20" t="n">
        <f aca="false">BJ9*IF($G9="wagon",2.73,81.25)</f>
        <v>4956.25</v>
      </c>
      <c r="BQ9" s="18" t="s">
        <v>136</v>
      </c>
      <c r="BT9" s="18" t="n">
        <v>6</v>
      </c>
      <c r="BU9" s="18" t="n">
        <v>185</v>
      </c>
      <c r="BX9" s="18" t="s">
        <v>95</v>
      </c>
      <c r="BY9" s="18" t="s">
        <v>96</v>
      </c>
      <c r="BZ9" s="18" t="s">
        <v>97</v>
      </c>
      <c r="CA9" s="18" t="str">
        <f aca="false">CONCATENATE(BY9,"_",BZ9)</f>
        <v>edw_EMU</v>
      </c>
      <c r="CB9" s="18" t="str">
        <f aca="false">_xlfn.CONCAT(H9, "_",I9)</f>
        <v>electric_ELRL</v>
      </c>
      <c r="CC9" s="21" t="str">
        <f aca="false" t="array" ref="CC9:CC9">_xlfn.CONCAT("{BLACK}Length: {GOLD}", TEXT(ROUNDUP(IF(AQ9&lt;&gt;"",SUM(VALUE(_xlfn.TEXTSPLIT(AQ9, ","))), SUM(VALUE(_xlfn.TEXTSPLIT(AN9, ",")))*IF(M9, M9, 1))/16, 1), "#,##0.0"), " tiles{}")</f>
        <v>{BLACK}Length: {GOLD}3.8 tiles{}</v>
      </c>
      <c r="CD9" s="1" t="str">
        <f aca="false">VLOOKUP($CB9, Constants!$M:$N, 2, FALSE())</f>
        <v>{BLACK}Powered by: {GOLD}25kV AC</v>
      </c>
      <c r="CE9" s="18" t="str">
        <f aca="false">IF(M9&gt;1,_xlfn.CONCAT("{BLACK}Cars: {GOLD}", M9),"")</f>
        <v>{BLACK}Cars: {GOLD}6</v>
      </c>
      <c r="CF9" s="18" t="s">
        <v>116</v>
      </c>
      <c r="CG9" s="1" t="str">
        <f aca="false">IF(BW9="buffet","{YELLOW}25% long distance bonus for consist{}",IF(BY9="BRAKE","{YELLOW}Speed bonus for slow wagons{}",IF(BU9&gt;190,CONCATENATE("{YELLOW}",INT((BU9-185)/1.85),"% bonus for long distance travel{}"),IF(AND(BU9&lt;180,BU9&lt;&gt;0),CONCATENATE("{YELLOW}",INT((185-BU9)/1.85),"% penalty for long distance travel{}"),""))))</f>
        <v/>
      </c>
      <c r="CH9" s="1" t="str">
        <f aca="false">_xlfn.CONCAT(CD9,IF(CD9 &lt;&gt; "", " ", ""),CE9,IF(OR(CE9&lt;&gt;"", CD9&lt;&gt;""), "{}",""), CC9, CG9,"{SILVER}", CF9)</f>
        <v>{BLACK}Powered by: {GOLD}25kV AC {BLACK}Cars: {GOLD}6{}{BLACK}Length: {GOLD}3.8 tiles{}{SILVER}The LB&amp;SCR (Later SR) “CP” EMUs were a nightmare of different build dates and vehicle sizes, designed for use on the “Elevated Electric” line into London.</v>
      </c>
    </row>
    <row r="10" s="18" customFormat="true" ht="13.8" hidden="false" customHeight="false" outlineLevel="0" collapsed="false">
      <c r="A10" s="18" t="s">
        <v>137</v>
      </c>
      <c r="B10" s="18" t="s">
        <v>138</v>
      </c>
      <c r="C10" s="1" t="n">
        <v>19</v>
      </c>
      <c r="E10" s="18" t="n">
        <v>19</v>
      </c>
      <c r="F10" s="18" t="s">
        <v>89</v>
      </c>
      <c r="G10" s="1" t="s">
        <v>90</v>
      </c>
      <c r="H10" s="18" t="s">
        <v>91</v>
      </c>
      <c r="I10" s="18" t="s">
        <v>92</v>
      </c>
      <c r="J10" s="18" t="n">
        <v>1925</v>
      </c>
      <c r="L10" s="18" t="n">
        <v>1955</v>
      </c>
      <c r="M10" s="18" t="n">
        <v>5</v>
      </c>
      <c r="N10" s="18" t="n">
        <v>1000</v>
      </c>
      <c r="O10" s="2"/>
      <c r="P10" s="3"/>
      <c r="Q10" s="3"/>
      <c r="R10" s="3"/>
      <c r="S10" s="3"/>
      <c r="T10" s="3"/>
      <c r="U10" s="3"/>
      <c r="V10" s="3"/>
      <c r="W10" s="18" t="n">
        <v>160</v>
      </c>
      <c r="X10" s="2"/>
      <c r="Y10" s="18" t="n">
        <v>5</v>
      </c>
      <c r="Z10" s="18" t="n">
        <v>48</v>
      </c>
      <c r="AA10" s="4" t="n">
        <f aca="false">IF(AND(W10&gt;0,Z10&gt;0),(Z10/((W10+X10)*10)),"")</f>
        <v>0.03</v>
      </c>
      <c r="AB10" s="18" t="n">
        <v>60</v>
      </c>
      <c r="AC10" s="18" t="n">
        <f aca="false">ROUND(AB10*1.6, 0)</f>
        <v>96</v>
      </c>
      <c r="AG10" s="18" t="n">
        <v>12.8</v>
      </c>
      <c r="AJ10" s="5" t="n">
        <v>60</v>
      </c>
      <c r="AK10" s="19" t="str">
        <f aca="false">CONCATENATE(VLOOKUP(AL10, 'Voxel Sizes'!$A$2:$B$18,2,FALSE()),"x",INT(AH10*15), "x", INT(AI10*15))</f>
        <v>136x0x0</v>
      </c>
      <c r="AL10" s="18" t="n">
        <f aca="false">ROUND(15*((AG10*10)/256),0)</f>
        <v>8</v>
      </c>
      <c r="AN10" s="1" t="str">
        <f aca="false">CONCATENATE(VLOOKUP(AL10,Constants!$A$2:$C$16,IF(AM10&lt;&gt;"", 3, 2), FALSE()),IF(AM10&lt;&gt;"",CONCATENATE(",",VLOOKUP(AM10,$B:$AN,38,FALSE())),""))</f>
        <v>2,4,2</v>
      </c>
      <c r="AP10" s="7" t="s">
        <v>139</v>
      </c>
      <c r="AQ10" s="7" t="s">
        <v>140</v>
      </c>
      <c r="AR10" s="18" t="s">
        <v>141</v>
      </c>
      <c r="AT10" s="18" t="s">
        <v>142</v>
      </c>
      <c r="AU10" s="18" t="s">
        <v>114</v>
      </c>
      <c r="AX10" s="18" t="n">
        <v>25</v>
      </c>
      <c r="AY10" s="6" t="n">
        <f aca="false">IF(L10&lt;&gt;"",MAX(16,(L10-J10)+8),"")</f>
        <v>38</v>
      </c>
      <c r="AZ10" s="18" t="n">
        <v>-10</v>
      </c>
      <c r="BA10" s="18" t="n">
        <v>-25</v>
      </c>
      <c r="BB10" s="18" t="n">
        <f aca="false">MIN(AB10/150, 1)*30</f>
        <v>12</v>
      </c>
      <c r="BC10" s="18" t="n">
        <f aca="false">MIN(N10/4000, 1)*20</f>
        <v>5</v>
      </c>
      <c r="BD10" s="18" t="n">
        <f aca="false">MIN(Z10/400,1)*20</f>
        <v>2.4</v>
      </c>
      <c r="BE10" s="4" t="n">
        <f aca="false">1-(MAX(J10-1900, 0)/750)</f>
        <v>0.966666666666667</v>
      </c>
      <c r="BF10" s="18" t="n">
        <f aca="false">((MAX($M10,1)*MIN($AJ10/300,1)))*IF(G10="Wagon",50,10)</f>
        <v>10</v>
      </c>
      <c r="BG10" s="1" t="n">
        <f aca="false">VLOOKUP($H10,Constants!$I:$K, 2, FALSE())</f>
        <v>0.85</v>
      </c>
      <c r="BH10" s="1" t="n">
        <f aca="false">VLOOKUP($H10,Constants!$I:$K, 3, FALSE())*IF(AND(G10="multiple_unit",AB10&lt;110),0.75,1)</f>
        <v>1.725</v>
      </c>
      <c r="BI10" s="18" t="n">
        <v>45</v>
      </c>
      <c r="BJ10" s="18" t="n">
        <v>64</v>
      </c>
      <c r="BK10" s="20" t="n">
        <f aca="false">BI10*IF($G10="wagon",62.5,781.25)</f>
        <v>35156.25</v>
      </c>
      <c r="BL10" s="20" t="n">
        <f aca="false">BJ10*IF($G10="wagon",2.73,81.25)</f>
        <v>5200</v>
      </c>
      <c r="BT10" s="18" t="n">
        <v>6</v>
      </c>
      <c r="BU10" s="18" t="n">
        <v>185</v>
      </c>
      <c r="BX10" s="18" t="s">
        <v>95</v>
      </c>
      <c r="BY10" s="18" t="s">
        <v>143</v>
      </c>
      <c r="BZ10" s="18" t="s">
        <v>97</v>
      </c>
      <c r="CA10" s="18" t="str">
        <f aca="false">CONCATENATE(BY10,"_",BZ10)</f>
        <v>big4_EMU</v>
      </c>
      <c r="CB10" s="18" t="str">
        <f aca="false">_xlfn.CONCAT(H10, "_",I10)</f>
        <v>electric_ELRL</v>
      </c>
      <c r="CC10" s="21" t="str">
        <f aca="false" t="array" ref="CC10:CC10">_xlfn.CONCAT("{BLACK}Length: {GOLD}", TEXT(ROUNDUP(IF(AQ10&lt;&gt;"",SUM(VALUE(_xlfn.TEXTSPLIT(AQ10, ","))), SUM(VALUE(_xlfn.TEXTSPLIT(AN10, ",")))*IF(M10, M10, 1))/16, 1), "#,##0.0"), " tiles{}")</f>
        <v>{BLACK}Length: {GOLD}3.0 tiles{}</v>
      </c>
      <c r="CD10" s="1" t="str">
        <f aca="false">VLOOKUP($CB10, Constants!$M:$N, 2, FALSE())</f>
        <v>{BLACK}Powered by: {GOLD}25kV AC</v>
      </c>
      <c r="CE10" s="18" t="str">
        <f aca="false">IF(M10&gt;1,_xlfn.CONCAT("{BLACK}Cars: {GOLD}", M10),"")</f>
        <v>{BLACK}Cars: {GOLD}5</v>
      </c>
      <c r="CF10" s="18" t="s">
        <v>144</v>
      </c>
      <c r="CG10" s="1" t="str">
        <f aca="false">IF(BW10="buffet","{YELLOW}25% long distance bonus for consist{}",IF(BY10="BRAKE","{YELLOW}Speed bonus for slow wagons{}",IF(BU10&gt;190,CONCATENATE("{YELLOW}",INT((BU10-185)/1.85),"% bonus for long distance travel{}"),IF(AND(BU10&lt;180,BU10&lt;&gt;0),CONCATENATE("{YELLOW}",INT((185-BU10)/1.85),"% penalty for long distance travel{}"),""))))</f>
        <v/>
      </c>
      <c r="CH10" s="1" t="str">
        <f aca="false">_xlfn.CONCAT(CD10,IF(CD10 &lt;&gt; "", " ", ""),CE10,IF(OR(CE10&lt;&gt;"", CD10&lt;&gt;""), "{}",""), CC10, CG10,"{SILVER}", CF10)</f>
        <v>{BLACK}Powered by: {GOLD}25kV AC {BLACK}Cars: {GOLD}5{}{BLACK}Length: {GOLD}3.0 tiles{}{SILVER}The LB&amp;SCR (Later SR) “Coulsden &amp; Wallington” EMUs were a rather more uniform set of vehicles than their previous units, and included a large dedicated luggage vehicle in the centre of the formation. They were soon converted to standard 3rd rail power supply.</v>
      </c>
    </row>
    <row r="11" s="18" customFormat="true" ht="13.8" hidden="false" customHeight="false" outlineLevel="0" collapsed="false">
      <c r="A11" s="18" t="s">
        <v>145</v>
      </c>
      <c r="B11" s="18" t="s">
        <v>146</v>
      </c>
      <c r="C11" s="1" t="n">
        <v>13</v>
      </c>
      <c r="E11" s="18" t="n">
        <v>20</v>
      </c>
      <c r="F11" s="18" t="s">
        <v>89</v>
      </c>
      <c r="G11" s="1" t="s">
        <v>147</v>
      </c>
      <c r="H11" s="18" t="s">
        <v>91</v>
      </c>
      <c r="I11" s="18" t="s">
        <v>92</v>
      </c>
      <c r="J11" s="18" t="n">
        <v>1925</v>
      </c>
      <c r="L11" s="18" t="n">
        <v>1955</v>
      </c>
      <c r="N11" s="18" t="n">
        <v>1000</v>
      </c>
      <c r="O11" s="2"/>
      <c r="P11" s="3"/>
      <c r="Q11" s="3"/>
      <c r="R11" s="3"/>
      <c r="S11" s="3"/>
      <c r="T11" s="3"/>
      <c r="U11" s="3"/>
      <c r="V11" s="3"/>
      <c r="W11" s="18" t="n">
        <v>62</v>
      </c>
      <c r="X11" s="2"/>
      <c r="Y11" s="18" t="n">
        <v>5</v>
      </c>
      <c r="Z11" s="18" t="n">
        <v>48</v>
      </c>
      <c r="AA11" s="4" t="n">
        <f aca="false">IF(AND(W11&gt;0,Z11&gt;0),(Z11/((W11+X11)*10)),"")</f>
        <v>0.0774193548387097</v>
      </c>
      <c r="AB11" s="18" t="n">
        <v>60</v>
      </c>
      <c r="AC11" s="18" t="n">
        <f aca="false">ROUND(AB11*1.6, 0)</f>
        <v>96</v>
      </c>
      <c r="AG11" s="18" t="n">
        <v>12.8</v>
      </c>
      <c r="AJ11" s="5" t="n">
        <v>60</v>
      </c>
      <c r="AK11" s="19" t="str">
        <f aca="false">CONCATENATE(VLOOKUP(AL11, 'Voxel Sizes'!$A$2:$B$18,2,FALSE()),"x",INT(AH11*15), "x", INT(AI11*15))</f>
        <v>136x0x0</v>
      </c>
      <c r="AL11" s="18" t="n">
        <f aca="false">ROUND(15*((AG11*10)/256),0)</f>
        <v>8</v>
      </c>
      <c r="AN11" s="1" t="str">
        <f aca="false">CONCATENATE(VLOOKUP(AL11,Constants!$A$2:$C$16,IF(AM11&lt;&gt;"", 3, 2), FALSE()),IF(AM11&lt;&gt;"",CONCATENATE(",",VLOOKUP(AM11,$B:$AN,38,FALSE())),""))</f>
        <v>2,4,2</v>
      </c>
      <c r="AP11" s="7"/>
      <c r="AQ11" s="7"/>
      <c r="AU11" s="18" t="s">
        <v>146</v>
      </c>
      <c r="AX11" s="18" t="n">
        <v>25</v>
      </c>
      <c r="AY11" s="6" t="n">
        <f aca="false">IF(L11&lt;&gt;"",MAX(16,(L11-J11)+8),"")</f>
        <v>38</v>
      </c>
      <c r="AZ11" s="18" t="n">
        <v>-10</v>
      </c>
      <c r="BA11" s="18" t="n">
        <v>-25</v>
      </c>
      <c r="BB11" s="18" t="n">
        <f aca="false">MIN(AB11/150, 1)*30</f>
        <v>12</v>
      </c>
      <c r="BC11" s="18" t="n">
        <f aca="false">MIN(N11/4000, 1)*20</f>
        <v>5</v>
      </c>
      <c r="BD11" s="18" t="n">
        <f aca="false">MIN(Z11/400,1)*20</f>
        <v>2.4</v>
      </c>
      <c r="BE11" s="4" t="n">
        <f aca="false">1-(MAX(J11-1900, 0)/750)</f>
        <v>0.966666666666667</v>
      </c>
      <c r="BF11" s="18" t="n">
        <f aca="false">((MAX($M11,1)*MIN($AJ11/300,1)))*IF(G11="Wagon",50,10)</f>
        <v>2</v>
      </c>
      <c r="BG11" s="1" t="n">
        <f aca="false">VLOOKUP($H11,Constants!$I:$K, 2, FALSE())</f>
        <v>0.85</v>
      </c>
      <c r="BH11" s="1" t="n">
        <f aca="false">VLOOKUP($H11,Constants!$I:$K, 3, FALSE())*IF(AND(G11="multiple_unit",AB11&lt;110),0.75,1)</f>
        <v>2.3</v>
      </c>
      <c r="BI11" s="18" t="n">
        <v>46</v>
      </c>
      <c r="BJ11" s="18" t="n">
        <v>49</v>
      </c>
      <c r="BK11" s="20" t="n">
        <f aca="false">BI11*IF($G11="wagon",62.5,781.25)</f>
        <v>35937.5</v>
      </c>
      <c r="BL11" s="20" t="n">
        <f aca="false">BJ11*IF($G11="wagon",2.73,81.25)</f>
        <v>3981.25</v>
      </c>
      <c r="BT11" s="18" t="n">
        <v>6</v>
      </c>
      <c r="BU11" s="18" t="n">
        <v>185</v>
      </c>
      <c r="BX11" s="18" t="s">
        <v>148</v>
      </c>
      <c r="BY11" s="18" t="s">
        <v>143</v>
      </c>
      <c r="BZ11" s="18" t="s">
        <v>97</v>
      </c>
      <c r="CA11" s="18" t="str">
        <f aca="false">CONCATENATE(BY11,"_",BZ11)</f>
        <v>big4_EMU</v>
      </c>
      <c r="CB11" s="18" t="str">
        <f aca="false">_xlfn.CONCAT(H11, "_",I11)</f>
        <v>electric_ELRL</v>
      </c>
      <c r="CC11" s="21" t="str">
        <f aca="false" t="array" ref="CC11:CC11">_xlfn.CONCAT("{BLACK}Length: {GOLD}", TEXT(ROUNDUP(IF(AQ11&lt;&gt;"",SUM(VALUE(_xlfn.TEXTSPLIT(AQ11, ","))), SUM(VALUE(_xlfn.TEXTSPLIT(AN11, ",")))*IF(M11, M11, 1))/16, 1), "#,##0.0"), " tiles{}")</f>
        <v>{BLACK}Length: {GOLD}0.5 tiles{}</v>
      </c>
      <c r="CD11" s="1" t="str">
        <f aca="false">VLOOKUP($CB11, Constants!$M:$N, 2, FALSE())</f>
        <v>{BLACK}Powered by: {GOLD}25kV AC</v>
      </c>
      <c r="CE11" s="18" t="str">
        <f aca="false">IF(M11&gt;1,_xlfn.CONCAT("{BLACK}Cars: {GOLD}", M11),"")</f>
        <v/>
      </c>
      <c r="CF11" s="18" t="s">
        <v>149</v>
      </c>
      <c r="CG11" s="1" t="str">
        <f aca="false">IF(BW11="buffet","{YELLOW}25% long distance bonus for consist{}",IF(BY11="BRAKE","{YELLOW}Speed bonus for slow wagons{}",IF(BU11&gt;190,CONCATENATE("{YELLOW}",INT((BU11-185)/1.85),"% bonus for long distance travel{}"),IF(AND(BU11&lt;180,BU11&lt;&gt;0),CONCATENATE("{YELLOW}",INT((185-BU11)/1.85),"% penalty for long distance travel{}"),""))))</f>
        <v/>
      </c>
      <c r="CH11" s="1" t="str">
        <f aca="false">_xlfn.CONCAT(CD11,IF(CD11 &lt;&gt; "", " ", ""),CE11,IF(OR(CE11&lt;&gt;"", CD11&lt;&gt;""), "{}",""), CC11, CG11,"{SILVER}", CF11)</f>
        <v>{BLACK}Powered by: {GOLD}25kV AC {}{BLACK}Length: {GOLD}0.5 tiles{}{SILVER}The motor luggage vans powering the CW EMUs were usable locomotives in their own right, and could operate independantly if needed.</v>
      </c>
    </row>
    <row r="12" s="18" customFormat="true" ht="13.8" hidden="false" customHeight="false" outlineLevel="0" collapsed="false">
      <c r="A12" s="18" t="s">
        <v>150</v>
      </c>
      <c r="B12" s="18" t="s">
        <v>151</v>
      </c>
      <c r="C12" s="1" t="n">
        <v>40</v>
      </c>
      <c r="E12" s="18" t="n">
        <v>40</v>
      </c>
      <c r="F12" s="18" t="s">
        <v>89</v>
      </c>
      <c r="G12" s="18" t="s">
        <v>147</v>
      </c>
      <c r="H12" s="18" t="s">
        <v>152</v>
      </c>
      <c r="I12" s="18" t="s">
        <v>153</v>
      </c>
      <c r="J12" s="18" t="n">
        <v>1936</v>
      </c>
      <c r="K12" s="18" t="n">
        <v>1960</v>
      </c>
      <c r="L12" s="18" t="n">
        <v>1985</v>
      </c>
      <c r="N12" s="18" t="n">
        <v>45</v>
      </c>
      <c r="O12" s="2"/>
      <c r="P12" s="3"/>
      <c r="Q12" s="3"/>
      <c r="R12" s="3"/>
      <c r="S12" s="3"/>
      <c r="T12" s="22"/>
      <c r="U12" s="3"/>
      <c r="V12" s="3"/>
      <c r="W12" s="18" t="n">
        <v>7</v>
      </c>
      <c r="X12" s="2"/>
      <c r="Y12" s="18" t="n">
        <v>5</v>
      </c>
      <c r="Z12" s="18" t="n">
        <v>15</v>
      </c>
      <c r="AA12" s="4" t="n">
        <f aca="false">IF(AND(W12&gt;0,Z12&gt;0),(Z12/((W12+X12)*10)),"")</f>
        <v>0.214285714285714</v>
      </c>
      <c r="AB12" s="18" t="n">
        <v>12</v>
      </c>
      <c r="AC12" s="18" t="n">
        <f aca="false">ROUND(AB12*1.6, 0)</f>
        <v>19</v>
      </c>
      <c r="AF12" s="18" t="n">
        <v>5.5</v>
      </c>
      <c r="AG12" s="18" t="n">
        <v>6</v>
      </c>
      <c r="AH12" s="18" t="n">
        <v>2.4</v>
      </c>
      <c r="AI12" s="18" t="n">
        <v>3.32</v>
      </c>
      <c r="AJ12" s="5" t="n">
        <v>0</v>
      </c>
      <c r="AK12" s="19" t="str">
        <f aca="false">CONCATENATE(VLOOKUP(AL12, 'Voxel Sizes'!$A$2:$B$18,2,FALSE()),"x",INT(AH12*15), "x", INT(AI12*15))</f>
        <v>66x36x49</v>
      </c>
      <c r="AL12" s="1" t="n">
        <f aca="false">ROUND(15*((AG12*10)/256),0)</f>
        <v>4</v>
      </c>
      <c r="AN12" s="1" t="str">
        <f aca="false">CONCATENATE(VLOOKUP(AL12,Constants!$A$2:$C$16,IF(AM12&lt;&gt;"", 3, 2), FALSE()),IF(AM12&lt;&gt;"",CONCATENATE(",",VLOOKUP(AM12,$B:$AN,38,FALSE())),""))</f>
        <v>1,2,1</v>
      </c>
      <c r="AP12" s="7"/>
      <c r="AQ12" s="7"/>
      <c r="AX12" s="18" t="n">
        <v>60</v>
      </c>
      <c r="AY12" s="6" t="n">
        <f aca="false">IF(L12&lt;&gt;"",MAX(16,(L12-J12)+8),"")</f>
        <v>57</v>
      </c>
      <c r="AZ12" s="18" t="n">
        <v>-11</v>
      </c>
      <c r="BA12" s="18" t="n">
        <v>-14</v>
      </c>
      <c r="BB12" s="8" t="n">
        <f aca="false">MIN(AB12/150, 1)*30</f>
        <v>2.4</v>
      </c>
      <c r="BC12" s="8" t="n">
        <f aca="false">MIN(N12/4000, 1)*20</f>
        <v>0.225</v>
      </c>
      <c r="BD12" s="8" t="n">
        <f aca="false">MIN(Z12/400,1)*20</f>
        <v>0.75</v>
      </c>
      <c r="BE12" s="23" t="n">
        <f aca="false">1-(MAX(J12-1900, 0)/750)</f>
        <v>0.952</v>
      </c>
      <c r="BF12" s="8" t="n">
        <f aca="false">((MAX($M12,1)*MIN($AJ12/300,1)))*IF(G12="Wagon",50,10)</f>
        <v>0</v>
      </c>
      <c r="BG12" s="1" t="n">
        <f aca="false">VLOOKUP($H12,Constants!$I:$K, 2, FALSE())</f>
        <v>1</v>
      </c>
      <c r="BH12" s="1" t="n">
        <f aca="false">VLOOKUP($H12,Constants!$I:$K, 3, FALSE())*IF(AND(G12="multiple_unit",AB12&lt;110),0.75,1)</f>
        <v>2</v>
      </c>
      <c r="BI12" s="1" t="n">
        <f aca="false">INT(POWER(((Constants!$G$2+$BB12+$BC12+$BD12+$BF12)*$BE12)*$BH12, 1.05))+$BA12</f>
        <v>4</v>
      </c>
      <c r="BJ12" s="1" t="n">
        <f aca="false">INT(POWER((((Constants!$G$1+$BB12+$BC12+$BD12+$BF12)*($BE12))*$BG12),IF($G12="wagon",1,1.2)))+$AZ12</f>
        <v>20</v>
      </c>
      <c r="BK12" s="24" t="n">
        <f aca="false">BI12*IF($G12="wagon",62.5,781.25)</f>
        <v>3125</v>
      </c>
      <c r="BL12" s="24" t="n">
        <f aca="false">BJ12*IF($G12="wagon",2.73,81.25)</f>
        <v>1625</v>
      </c>
      <c r="BT12" s="18" t="n">
        <v>5</v>
      </c>
      <c r="BY12" s="1" t="str">
        <f aca="false">VLOOKUP(J12,Eras!$A$2:$C$10, 2, TRUE())</f>
        <v>big4</v>
      </c>
      <c r="BZ12" s="18" t="s">
        <v>154</v>
      </c>
      <c r="CA12" s="10" t="str">
        <f aca="false">CONCATENATE(BY12,"_",BZ12)</f>
        <v>big4_Cheap</v>
      </c>
      <c r="CB12" s="10" t="str">
        <f aca="false">_xlfn.CONCAT(H12, "_",I12)</f>
        <v>diesel_RAIL</v>
      </c>
      <c r="CC12" s="21" t="str">
        <f aca="false" t="array" ref="CC12:CC12">IF(AN12&lt;&gt;"na", _xlfn.CONCAT("{BLACK}Length: {GOLD}", TEXT(ROUNDUP(IF(AQ12&lt;&gt;"",SUM(VALUE(_xlfn.TEXTSPLIT(AQ12, ","))), SUM(VALUE(_xlfn.TEXTSPLIT(AN12, ",")))*IF(M12, M12, 1))/16, 1),"#,##0.0"), " tiles{}"), "")</f>
        <v>{BLACK}Length: {GOLD}0.3 tiles{}</v>
      </c>
      <c r="CD12" s="1" t="str">
        <f aca="false">VLOOKUP($CB12, Constants!$M:$N, 2, FALSE())</f>
        <v>{BLACK}Powered by: {GOLD}Diesel</v>
      </c>
      <c r="CE12" s="10" t="str">
        <f aca="false">IF(AND(M12&gt;1,BO12&lt;&gt;1),_xlfn.CONCAT("{BLACK}Cars: {GOLD}", M12),"")</f>
        <v/>
      </c>
      <c r="CF12" s="18" t="s">
        <v>155</v>
      </c>
      <c r="CG12" s="1" t="str">
        <f aca="false">IF(BW12="buffet","{YELLOW}25% long distance bonus for consist{}",IF(BY12="BRAKE","{YELLOW}Speed bonus for slow wagons{}",IF(BU12&gt;190,CONCATENATE("{YELLOW}",INT((BU12-185)/1.85),"% bonus for long distance travel{}"),IF(AND(BU12&lt;180,BU12&lt;&gt;0),CONCATENATE("{YELLOW}",INT((185-BU12)/1.85),"% penalty for long distance travel{}"),""))))</f>
        <v/>
      </c>
      <c r="CH12" s="1" t="str">
        <f aca="false">_xlfn.CONCAT(CD12,IF(CD12 &lt;&gt; "", " ", ""),CE12,IF(OR(CE12&lt;&gt;"", CD12&lt;&gt;""), "{}",""), CC12, CG12,"{SILVER}", CF12)</f>
        <v>{BLACK}Powered by: {GOLD}Diesel {}{BLACK}Length: {GOLD}0.3 tiles{}{SILVER}A “Really Useless Engine” – these small, simple industrial locomotives saw service in many industrial yards but were almost never seen on the boader network.</v>
      </c>
      <c r="CJ12" s="1"/>
      <c r="CK12" s="1"/>
    </row>
    <row r="13" customFormat="false" ht="13.8" hidden="false" customHeight="false" outlineLevel="0" collapsed="false">
      <c r="A13" s="18" t="s">
        <v>156</v>
      </c>
      <c r="B13" s="18" t="s">
        <v>157</v>
      </c>
      <c r="C13" s="1" t="n">
        <v>41</v>
      </c>
      <c r="D13" s="18"/>
      <c r="E13" s="18" t="n">
        <v>41</v>
      </c>
      <c r="F13" s="18" t="s">
        <v>89</v>
      </c>
      <c r="G13" s="18" t="s">
        <v>147</v>
      </c>
      <c r="H13" s="18" t="s">
        <v>152</v>
      </c>
      <c r="I13" s="18" t="s">
        <v>153</v>
      </c>
      <c r="J13" s="18" t="n">
        <v>1938</v>
      </c>
      <c r="K13" s="18" t="n">
        <v>1966</v>
      </c>
      <c r="L13" s="18" t="n">
        <v>1991</v>
      </c>
      <c r="M13" s="18"/>
      <c r="N13" s="18" t="n">
        <v>84</v>
      </c>
      <c r="T13" s="22"/>
      <c r="W13" s="18" t="n">
        <v>17</v>
      </c>
      <c r="Y13" s="18" t="n">
        <v>5</v>
      </c>
      <c r="Z13" s="18" t="n">
        <v>60</v>
      </c>
      <c r="AA13" s="4" t="n">
        <f aca="false">IF(AND(W13&gt;0,Z13&gt;0),(Z13/((W13+X13)*10)),"")</f>
        <v>0.352941176470588</v>
      </c>
      <c r="AB13" s="18" t="n">
        <v>18</v>
      </c>
      <c r="AC13" s="18" t="n">
        <f aca="false">ROUND(AB13*1.6, 0)</f>
        <v>29</v>
      </c>
      <c r="AD13" s="18"/>
      <c r="AE13" s="18"/>
      <c r="AF13" s="18" t="n">
        <v>6.2</v>
      </c>
      <c r="AG13" s="18" t="n">
        <v>8</v>
      </c>
      <c r="AH13" s="18" t="n">
        <v>2.4</v>
      </c>
      <c r="AI13" s="18" t="n">
        <v>3.32</v>
      </c>
      <c r="AJ13" s="5" t="n">
        <v>0</v>
      </c>
      <c r="AK13" s="19" t="str">
        <f aca="false">CONCATENATE(VLOOKUP(AL13, 'Voxel Sizes'!$A$2:$B$18,2,FALSE()),"x",INT(AH13*15), "x", INT(AI13*15))</f>
        <v>82x36x49</v>
      </c>
      <c r="AL13" s="1" t="n">
        <f aca="false">ROUND(15*((AG13*10)/256),0)</f>
        <v>5</v>
      </c>
      <c r="AM13" s="18"/>
      <c r="AN13" s="1" t="str">
        <f aca="false">CONCATENATE(VLOOKUP(AL13,Constants!$A$2:$C$16,IF(AM13&lt;&gt;"", 3, 2), FALSE()),IF(AM13&lt;&gt;"",CONCATENATE(",",VLOOKUP(AM13,$B:$AN,38,FALSE())),""))</f>
        <v>2,1,2</v>
      </c>
      <c r="AO13" s="18"/>
      <c r="AR13" s="18"/>
      <c r="AS13" s="18"/>
      <c r="AT13" s="18"/>
      <c r="AU13" s="18"/>
      <c r="AV13" s="18"/>
      <c r="AW13" s="18"/>
      <c r="AX13" s="18" t="n">
        <v>60</v>
      </c>
      <c r="AY13" s="6" t="n">
        <f aca="false">IF(L13&lt;&gt;"",MAX(16,(L13-J13)+8),"")</f>
        <v>61</v>
      </c>
      <c r="AZ13" s="18" t="n">
        <v>-11</v>
      </c>
      <c r="BA13" s="18" t="n">
        <v>-14</v>
      </c>
      <c r="BB13" s="8" t="n">
        <f aca="false">MIN(AB13/150, 1)*30</f>
        <v>3.6</v>
      </c>
      <c r="BC13" s="8" t="n">
        <f aca="false">MIN(N13/4000, 1)*20</f>
        <v>0.42</v>
      </c>
      <c r="BD13" s="8" t="n">
        <f aca="false">MIN(Z13/400,1)*20</f>
        <v>3</v>
      </c>
      <c r="BE13" s="23" t="n">
        <f aca="false">1-(MAX(J13-1900, 0)/750)</f>
        <v>0.949333333333333</v>
      </c>
      <c r="BF13" s="8" t="n">
        <f aca="false">((MAX($M13,1)*MIN($AJ13/300,1)))*IF(G13="Wagon",50,10)</f>
        <v>0</v>
      </c>
      <c r="BG13" s="1" t="n">
        <f aca="false">VLOOKUP($H13,Constants!$I:$K, 2, FALSE())</f>
        <v>1</v>
      </c>
      <c r="BH13" s="1" t="n">
        <f aca="false">VLOOKUP($H13,Constants!$I:$K, 3, FALSE())*IF(AND(G13="multiple_unit",AB13&lt;110),0.75,1)</f>
        <v>2</v>
      </c>
      <c r="BI13" s="1" t="n">
        <f aca="false">INT(POWER(((Constants!$G$2+$BB13+$BC13+$BD13+$BF13)*$BE13)*$BH13, 1.05))+$BA13</f>
        <v>12</v>
      </c>
      <c r="BJ13" s="1" t="n">
        <f aca="false">INT(POWER((((Constants!$G$1+$BB13+$BC13+$BD13+$BF13)*($BE13))*$BG13),IF($G13="wagon",1,1.2)))+$AZ13</f>
        <v>27</v>
      </c>
      <c r="BK13" s="24" t="n">
        <f aca="false">BI13*IF($G13="wagon",62.5,781.25)</f>
        <v>9375</v>
      </c>
      <c r="BL13" s="24" t="n">
        <f aca="false">BJ13*IF($G13="wagon",2.73,81.25)</f>
        <v>2193.75</v>
      </c>
      <c r="BM13" s="18"/>
      <c r="BN13" s="18"/>
      <c r="BO13" s="18"/>
      <c r="BP13" s="18"/>
      <c r="BQ13" s="18"/>
      <c r="BR13" s="18"/>
      <c r="BS13" s="18"/>
      <c r="BT13" s="18" t="n">
        <v>5</v>
      </c>
      <c r="BU13" s="18"/>
      <c r="BV13" s="18"/>
      <c r="BW13" s="18"/>
      <c r="BX13" s="18"/>
      <c r="BY13" s="1" t="str">
        <f aca="false">VLOOKUP(J13,Eras!$A$2:$C$10, 2, TRUE())</f>
        <v>big4</v>
      </c>
      <c r="BZ13" s="18" t="s">
        <v>154</v>
      </c>
      <c r="CA13" s="10" t="str">
        <f aca="false">CONCATENATE(BY13,"_",BZ13)</f>
        <v>big4_Cheap</v>
      </c>
      <c r="CB13" s="10" t="str">
        <f aca="false">_xlfn.CONCAT(H13, "_",I13)</f>
        <v>diesel_RAIL</v>
      </c>
      <c r="CC13" s="21" t="str">
        <f aca="false" t="array" ref="CC13:CC13">IF(AN13&lt;&gt;"na", _xlfn.CONCAT("{BLACK}Length: {GOLD}", TEXT(ROUNDUP(IF(AQ13&lt;&gt;"",SUM(VALUE(_xlfn.TEXTSPLIT(AQ13, ","))), SUM(VALUE(_xlfn.TEXTSPLIT(AN13, ",")))*IF(M13, M13, 1))/16, 1),"#,##0.0"), " tiles{}"), "")</f>
        <v>{BLACK}Length: {GOLD}0.4 tiles{}</v>
      </c>
      <c r="CD13" s="1" t="str">
        <f aca="false">VLOOKUP($CB13, Constants!$M:$N, 2, FALSE())</f>
        <v>{BLACK}Powered by: {GOLD}Diesel</v>
      </c>
      <c r="CE13" s="10" t="str">
        <f aca="false">IF(AND(M13&gt;1,BO13&lt;&gt;1),_xlfn.CONCAT("{BLACK}Cars: {GOLD}", M13),"")</f>
        <v/>
      </c>
      <c r="CF13" s="18" t="s">
        <v>158</v>
      </c>
      <c r="CG13" s="1" t="str">
        <f aca="false">IF(BW13="buffet","{YELLOW}25% long distance bonus for consist{}",IF(BY13="BRAKE","{YELLOW}Speed bonus for slow wagons{}",IF(BU13&gt;190,CONCATENATE("{YELLOW}",INT((BU13-185)/1.85),"% bonus for long distance travel{}"),IF(AND(BU13&lt;180,BU13&lt;&gt;0),CONCATENATE("{YELLOW}",INT((185-BU13)/1.85),"% penalty for long distance travel{}"),""))))</f>
        <v/>
      </c>
      <c r="CH13" s="1" t="str">
        <f aca="false">_xlfn.CONCAT(CD13,IF(CD13 &lt;&gt; "", " ", ""),CE13,IF(OR(CE13&lt;&gt;"", CD13&lt;&gt;""), "{}",""), CC13, CG13,"{SILVER}", CF13)</f>
        <v>{BLACK}Powered by: {GOLD}Diesel {}{BLACK}Length: {GOLD}0.4 tiles{}{SILVER}A mild upgrade in power made the Ruston 88 significantly more effective than it’s little brother, without vastly increasing cost.</v>
      </c>
      <c r="CI13" s="18"/>
      <c r="CJ13" s="1"/>
    </row>
    <row r="14" customFormat="false" ht="13.8" hidden="false" customHeight="false" outlineLevel="0" collapsed="false">
      <c r="A14" s="1" t="s">
        <v>159</v>
      </c>
      <c r="B14" s="1" t="s">
        <v>160</v>
      </c>
      <c r="C14" s="1" t="n">
        <v>151</v>
      </c>
      <c r="E14" s="1" t="n">
        <v>153</v>
      </c>
      <c r="F14" s="1" t="s">
        <v>89</v>
      </c>
      <c r="G14" s="1" t="s">
        <v>90</v>
      </c>
      <c r="H14" s="1" t="s">
        <v>152</v>
      </c>
      <c r="I14" s="1" t="s">
        <v>153</v>
      </c>
      <c r="J14" s="1" t="n">
        <v>1985</v>
      </c>
      <c r="K14" s="1" t="n">
        <v>2015</v>
      </c>
      <c r="L14" s="1" t="n">
        <v>2025</v>
      </c>
      <c r="M14" s="1" t="n">
        <v>3</v>
      </c>
      <c r="N14" s="1" t="n">
        <v>855</v>
      </c>
      <c r="W14" s="1" t="n">
        <v>97</v>
      </c>
      <c r="Y14" s="1" t="n">
        <v>5</v>
      </c>
      <c r="Z14" s="1" t="n">
        <v>145</v>
      </c>
      <c r="AA14" s="4" t="n">
        <f aca="false">IF(AND(W14&gt;0,Z14&gt;0),(Z14/((W14+X14)*10)),"")</f>
        <v>0.149484536082474</v>
      </c>
      <c r="AB14" s="1" t="n">
        <v>75</v>
      </c>
      <c r="AC14" s="1" t="n">
        <f aca="false">ROUND(AB14*1.6, 0)</f>
        <v>120</v>
      </c>
      <c r="AF14" s="1" t="n">
        <v>19.9</v>
      </c>
      <c r="AG14" s="1" t="n">
        <v>20</v>
      </c>
      <c r="AH14" s="1" t="n">
        <v>2.8</v>
      </c>
      <c r="AI14" s="1" t="n">
        <v>3.84</v>
      </c>
      <c r="AJ14" s="5" t="n">
        <v>77</v>
      </c>
      <c r="AK14" s="19" t="str">
        <f aca="false">CONCATENATE(VLOOKUP(AL14, 'Voxel Sizes'!$A$2:$B$18,2,FALSE()),"x",INT(AH14*15), "x", INT(AI14*15))</f>
        <v>198x42x57</v>
      </c>
      <c r="AL14" s="1" t="n">
        <f aca="false">ROUND(15*((AG14*10)/256),0)</f>
        <v>12</v>
      </c>
      <c r="AN14" s="1" t="str">
        <f aca="false">CONCATENATE(VLOOKUP(AL14,Constants!$A$2:$C$16,IF(AM14&lt;&gt;"", 3, 2), FALSE()),IF(AM14&lt;&gt;"",CONCATENATE(",",VLOOKUP(AM14,$B:$AN,38,FALSE())),""))</f>
        <v>4,4,4</v>
      </c>
      <c r="AO14" s="1" t="n">
        <v>4</v>
      </c>
      <c r="AR14" s="1" t="s">
        <v>161</v>
      </c>
      <c r="AT14" s="1" t="s">
        <v>162</v>
      </c>
      <c r="AU14" s="1" t="s">
        <v>160</v>
      </c>
      <c r="AX14" s="1" t="n">
        <v>27</v>
      </c>
      <c r="AY14" s="6" t="n">
        <f aca="false">IF(L14&lt;&gt;"",MAX(16,(L14-J14)+8),"")</f>
        <v>48</v>
      </c>
      <c r="AZ14" s="1" t="n">
        <v>-15</v>
      </c>
      <c r="BA14" s="1" t="n">
        <v>-25</v>
      </c>
      <c r="BB14" s="1" t="n">
        <f aca="false">MIN(AB14/150, 1)*30</f>
        <v>15</v>
      </c>
      <c r="BC14" s="1" t="n">
        <f aca="false">MIN(N14/4000, 1)*20</f>
        <v>4.275</v>
      </c>
      <c r="BD14" s="1" t="n">
        <f aca="false">MIN(Z14/400,1)*20</f>
        <v>7.25</v>
      </c>
      <c r="BE14" s="4" t="n">
        <f aca="false">1-(MAX(J14-1900, 0)/750)</f>
        <v>0.886666666666667</v>
      </c>
      <c r="BF14" s="1" t="n">
        <f aca="false">((MAX($M14,1)*MIN($AJ14/300,1)))*IF(G14="Wagon",50,10)</f>
        <v>7.7</v>
      </c>
      <c r="BG14" s="1" t="n">
        <f aca="false">VLOOKUP($H14,Constants!$I:$K, 2, FALSE())</f>
        <v>1</v>
      </c>
      <c r="BH14" s="1" t="n">
        <f aca="false">VLOOKUP($H14,Constants!$I:$K, 3, FALSE())*IF(AND(G14="multiple_unit",AB14&lt;110),0.75,1)</f>
        <v>1.5</v>
      </c>
      <c r="BI14" s="1" t="n">
        <v>38</v>
      </c>
      <c r="BJ14" s="1" t="n">
        <v>77</v>
      </c>
      <c r="BK14" s="20" t="n">
        <f aca="false">BI14*IF($G14="wagon",62.5,781.25)</f>
        <v>29687.5</v>
      </c>
      <c r="BL14" s="20" t="n">
        <f aca="false">BJ14*IF($G14="wagon",2.73,81.25)</f>
        <v>6256.25</v>
      </c>
      <c r="BQ14" s="1" t="s">
        <v>163</v>
      </c>
      <c r="BT14" s="1" t="n">
        <v>4</v>
      </c>
      <c r="BU14" s="1" t="n">
        <v>185</v>
      </c>
      <c r="BX14" s="1" t="s">
        <v>95</v>
      </c>
      <c r="BY14" s="1" t="s">
        <v>164</v>
      </c>
      <c r="BZ14" s="18" t="s">
        <v>165</v>
      </c>
      <c r="CA14" s="1" t="str">
        <f aca="false">CONCATENATE(BY14,"_",BZ14)</f>
        <v>lbr_DMU</v>
      </c>
      <c r="CB14" s="1" t="str">
        <f aca="false">_xlfn.CONCAT(H14, "_",I14)</f>
        <v>diesel_RAIL</v>
      </c>
      <c r="CC14" s="21" t="str">
        <f aca="false" t="array" ref="CC14:CC14">_xlfn.CONCAT("{BLACK}Length: {GOLD}", TEXT(ROUNDUP(IF(AQ14&lt;&gt;"",SUM(VALUE(_xlfn.TEXTSPLIT(AQ14, ","))), SUM(VALUE(_xlfn.TEXTSPLIT(AN14, ",")))*IF(M14, M14, 1))/16, 1), "#,##0.0"), " tiles{}")</f>
        <v>{BLACK}Length: {GOLD}2.3 tiles{}</v>
      </c>
      <c r="CD14" s="1" t="str">
        <f aca="false">VLOOKUP($CB14, Constants!$M:$N, 2, FALSE())</f>
        <v>{BLACK}Powered by: {GOLD}Diesel</v>
      </c>
      <c r="CE14" s="1" t="str">
        <f aca="false">IF(M14&gt;1,_xlfn.CONCAT("{BLACK}Cars: {GOLD}", M14),"")</f>
        <v>{BLACK}Cars: {GOLD}3</v>
      </c>
      <c r="CF14" s="1" t="s">
        <v>166</v>
      </c>
      <c r="CG14" s="1" t="str">
        <f aca="false">IF(BW14="buffet","{YELLOW}25% long distance bonus for consist{}",IF(BY14="BRAKE","{YELLOW}Speed bonus for slow wagons{}",IF(BU14&gt;190,CONCATENATE("{YELLOW}",INT((BU14-185)/1.85),"% bonus for long distance travel{}"),IF(AND(BU14&lt;180,BU14&lt;&gt;0),CONCATENATE("{YELLOW}",INT((185-BU14)/1.85),"% penalty for long distance travel{}"),""))))</f>
        <v/>
      </c>
      <c r="CH14" s="1" t="str">
        <f aca="false">_xlfn.CONCAT(CD14,IF(CD14 &lt;&gt; "", " ", ""),CE14,IF(OR(CE14&lt;&gt;"", CD14&lt;&gt;""), "{}",""), CC14, CG14,"{SILVER}", CF14)</f>
        <v>{BLACK}Powered by: {GOLD}Diesel {BLACK}Cars: {GOLD}3{}{BLACK}Length: {GOLD}2.3 tiles{}{SILVER}A class of 2 prototype DMUs built to compete for the contract that became the Class 150 fleet purchase. These units suffered with gearbox issues and the BREL type won the contest instead.</v>
      </c>
      <c r="CI14" s="1"/>
      <c r="CJ14" s="1"/>
    </row>
    <row r="15" customFormat="false" ht="13.8" hidden="false" customHeight="false" outlineLevel="0" collapsed="false">
      <c r="A15" s="1" t="s">
        <v>167</v>
      </c>
      <c r="B15" s="1" t="s">
        <v>168</v>
      </c>
      <c r="C15" s="1" t="n">
        <v>201</v>
      </c>
      <c r="E15" s="1" t="n">
        <v>20</v>
      </c>
      <c r="F15" s="1" t="s">
        <v>89</v>
      </c>
      <c r="G15" s="1" t="s">
        <v>90</v>
      </c>
      <c r="H15" s="1" t="s">
        <v>152</v>
      </c>
      <c r="I15" s="1" t="s">
        <v>153</v>
      </c>
      <c r="J15" s="1" t="n">
        <v>1956</v>
      </c>
      <c r="K15" s="1" t="n">
        <v>1989</v>
      </c>
      <c r="L15" s="1" t="n">
        <v>2004</v>
      </c>
      <c r="M15" s="1" t="n">
        <v>4</v>
      </c>
      <c r="N15" s="1" t="n">
        <v>1000</v>
      </c>
      <c r="W15" s="1" t="n">
        <v>180</v>
      </c>
      <c r="Y15" s="1" t="n">
        <v>5</v>
      </c>
      <c r="Z15" s="1" t="n">
        <v>85</v>
      </c>
      <c r="AA15" s="4" t="n">
        <f aca="false">IF(AND(W15&gt;0,Z15&gt;0),(Z15/((W15+X15)*10)),"")</f>
        <v>0.0472222222222222</v>
      </c>
      <c r="AB15" s="1" t="n">
        <v>75</v>
      </c>
      <c r="AC15" s="1" t="n">
        <f aca="false">ROUND(AB15*1.6, 0)</f>
        <v>120</v>
      </c>
      <c r="AF15" s="1" t="n">
        <v>17.37</v>
      </c>
      <c r="AG15" s="1" t="n">
        <v>18</v>
      </c>
      <c r="AH15" s="1" t="n">
        <v>2.5</v>
      </c>
      <c r="AI15" s="1" t="n">
        <v>3.77</v>
      </c>
      <c r="AJ15" s="5" t="n">
        <v>37</v>
      </c>
      <c r="AK15" s="19" t="str">
        <f aca="false">CONCATENATE(VLOOKUP(AL15, 'Voxel Sizes'!$A$2:$B$18,2,FALSE()),"x",INT(AH15*15), "x", INT(AI15*15))</f>
        <v>186x37x56</v>
      </c>
      <c r="AL15" s="1" t="n">
        <f aca="false">ROUND(15*((AG15*10)/256),0)</f>
        <v>11</v>
      </c>
      <c r="AN15" s="1" t="str">
        <f aca="false">CONCATENATE(VLOOKUP(AL15,Constants!$A$2:$C$16,IF(AM15&lt;&gt;"", 3, 2), FALSE()),IF(AM15&lt;&gt;"",CONCATENATE(",",VLOOKUP(AM15,$B:$AN,38,FALSE())),""))</f>
        <v>4,3,4</v>
      </c>
      <c r="AO15" s="1" t="s">
        <v>169</v>
      </c>
      <c r="AR15" s="1" t="s">
        <v>170</v>
      </c>
      <c r="AT15" s="1" t="s">
        <v>171</v>
      </c>
      <c r="AU15" s="1" t="s">
        <v>172</v>
      </c>
      <c r="AX15" s="1" t="n">
        <v>45</v>
      </c>
      <c r="AY15" s="6" t="n">
        <f aca="false">IF(L15&lt;&gt;"",MAX(16,(L15-J15)+8),"")</f>
        <v>56</v>
      </c>
      <c r="AZ15" s="1" t="n">
        <v>-10</v>
      </c>
      <c r="BA15" s="1" t="n">
        <v>-15</v>
      </c>
      <c r="BB15" s="1" t="n">
        <f aca="false">MIN(AB15/150, 1)*30</f>
        <v>15</v>
      </c>
      <c r="BC15" s="1" t="n">
        <f aca="false">MIN(N15/4000, 1)*20</f>
        <v>5</v>
      </c>
      <c r="BD15" s="1" t="n">
        <f aca="false">MIN(Z15/400,1)*20</f>
        <v>4.25</v>
      </c>
      <c r="BE15" s="4" t="n">
        <f aca="false">1-(MAX(J15-1900, 0)/750)</f>
        <v>0.925333333333333</v>
      </c>
      <c r="BF15" s="1" t="n">
        <f aca="false">((MAX($M15,1)*MIN($AJ15/300,1)))*IF(G15="Wagon",50,10)</f>
        <v>4.93333333333333</v>
      </c>
      <c r="BG15" s="1" t="n">
        <f aca="false">VLOOKUP($H15,Constants!$I:$K, 2, FALSE())</f>
        <v>1</v>
      </c>
      <c r="BH15" s="1" t="n">
        <f aca="false">VLOOKUP($H15,Constants!$I:$K, 3, FALSE())*IF(AND(G15="multiple_unit",AB15&lt;110),0.75,1)</f>
        <v>1.5</v>
      </c>
      <c r="BI15" s="1" t="n">
        <f aca="false">INT(POWER(((Constants!$G$2+$BB15+$BC15+$BD15+$BF15)*$BE15)*$BH15, 1.05))+$BA15</f>
        <v>42</v>
      </c>
      <c r="BJ15" s="1" t="n">
        <f aca="false">INT(POWER((((Constants!$G$1+$BB15+$BC15+$BD15+$BF15)*($BE15))*$BG15),IF($G15="wagon",1,1.2)))+$AZ15</f>
        <v>75</v>
      </c>
      <c r="BK15" s="20" t="n">
        <f aca="false">BI15*IF($G15="wagon",62.5,781.25)</f>
        <v>32812.5</v>
      </c>
      <c r="BL15" s="20" t="n">
        <f aca="false">BJ15*IF($G15="wagon",2.73,81.25)</f>
        <v>6093.75</v>
      </c>
      <c r="BQ15" s="1" t="s">
        <v>173</v>
      </c>
      <c r="BT15" s="1" t="n">
        <v>2</v>
      </c>
      <c r="BX15" s="1" t="s">
        <v>95</v>
      </c>
      <c r="BY15" s="1" t="str">
        <f aca="false">VLOOKUP(J15,Eras!$A$2:$C$10, 2, TRUE())</f>
        <v>dsl</v>
      </c>
      <c r="BZ15" s="18" t="s">
        <v>165</v>
      </c>
      <c r="CA15" s="1" t="str">
        <f aca="false">CONCATENATE(BY15,"_",BZ15)</f>
        <v>dsl_DMU</v>
      </c>
      <c r="CB15" s="1" t="str">
        <f aca="false">_xlfn.CONCAT(H15, "_",I15)</f>
        <v>diesel_RAIL</v>
      </c>
      <c r="CC15" s="21" t="str">
        <f aca="false" t="array" ref="CC15:CC15">_xlfn.CONCAT("{BLACK}Length: {GOLD}", TEXT(ROUNDUP(IF(AQ15&lt;&gt;"",SUM(VALUE(_xlfn.TEXTSPLIT(AQ15, ","))), SUM(VALUE(_xlfn.TEXTSPLIT(AN15, ",")))*IF(M15, M15, 1))/16, 1), "#,##0.0"), " tiles{}")</f>
        <v>{BLACK}Length: {GOLD}2.8 tiles{}</v>
      </c>
      <c r="CD15" s="1" t="str">
        <f aca="false">VLOOKUP($CB15, Constants!$M:$N, 2, FALSE())</f>
        <v>{BLACK}Powered by: {GOLD}Diesel</v>
      </c>
      <c r="CE15" s="1" t="str">
        <f aca="false">IF(M15&gt;1,_xlfn.CONCAT("{BLACK}Cars: {GOLD}", M15),"")</f>
        <v>{BLACK}Cars: {GOLD}4</v>
      </c>
      <c r="CF15" s="1" t="s">
        <v>174</v>
      </c>
      <c r="CG15" s="1" t="str">
        <f aca="false">IF(BW15="buffet","{YELLOW}25% long distance bonus for consist{}",IF(BY15="BRAKE","{YELLOW}Speed bonus for slow wagons{}",IF(BU15&gt;190,CONCATENATE("{YELLOW}",INT((BU15-185)/1.85),"% bonus for long distance travel{}"),IF(AND(BU15&lt;180,BU15&lt;&gt;0),CONCATENATE("{YELLOW}",INT((185-BU15)/1.85),"% penalty for long distance travel{}"),""))))</f>
        <v/>
      </c>
      <c r="CH15" s="1" t="str">
        <f aca="false">_xlfn.CONCAT(CD15,IF(CD15 &lt;&gt; "", " ", ""),CE15,IF(OR(CE15&lt;&gt;"", CD15&lt;&gt;""), "{}",""), CC15, CG15,"{SILVER}", CF15)</f>
        <v>{BLACK}Powered by: {GOLD}Diesel {BLACK}Cars: {GOLD}4{}{BLACK}Length: {GOLD}2.8 tiles{}{SILVER}Class 201 ‘Hastings’ Units were constructed to a narrow loading gauge to work through a number of limited clearance tunnels in the southern region. Southern DEMUs of the time had their engines mounted above the frames.</v>
      </c>
      <c r="CI15" s="1"/>
      <c r="CJ15" s="1"/>
    </row>
    <row r="16" customFormat="false" ht="13.8" hidden="false" customHeight="false" outlineLevel="0" collapsed="false">
      <c r="A16" s="1" t="s">
        <v>175</v>
      </c>
      <c r="B16" s="1" t="s">
        <v>176</v>
      </c>
      <c r="C16" s="1" t="n">
        <v>202</v>
      </c>
      <c r="D16" s="1" t="n">
        <v>201</v>
      </c>
      <c r="E16" s="1" t="n">
        <v>22</v>
      </c>
      <c r="F16" s="1" t="s">
        <v>89</v>
      </c>
      <c r="G16" s="1" t="s">
        <v>90</v>
      </c>
      <c r="H16" s="1" t="s">
        <v>152</v>
      </c>
      <c r="I16" s="1" t="s">
        <v>153</v>
      </c>
      <c r="J16" s="1" t="n">
        <v>1956</v>
      </c>
      <c r="K16" s="1" t="n">
        <v>1989</v>
      </c>
      <c r="L16" s="1" t="n">
        <v>2004</v>
      </c>
      <c r="M16" s="1" t="n">
        <v>6</v>
      </c>
      <c r="N16" s="1" t="n">
        <v>1000</v>
      </c>
      <c r="W16" s="1" t="n">
        <v>238</v>
      </c>
      <c r="Y16" s="1" t="n">
        <v>5</v>
      </c>
      <c r="Z16" s="1" t="n">
        <v>85</v>
      </c>
      <c r="AA16" s="4" t="n">
        <f aca="false">IF(AND(W16&gt;0,Z16&gt;0),(Z16/((W16+X16)*10)),"")</f>
        <v>0.0357142857142857</v>
      </c>
      <c r="AB16" s="1" t="n">
        <v>75</v>
      </c>
      <c r="AC16" s="1" t="n">
        <f aca="false">ROUND(AB16*1.6, 0)</f>
        <v>120</v>
      </c>
      <c r="AF16" s="1" t="n">
        <v>17.37</v>
      </c>
      <c r="AG16" s="1" t="n">
        <v>18</v>
      </c>
      <c r="AH16" s="1" t="n">
        <v>2.5</v>
      </c>
      <c r="AI16" s="1" t="n">
        <v>3.77</v>
      </c>
      <c r="AJ16" s="5" t="n">
        <v>42</v>
      </c>
      <c r="AK16" s="19" t="str">
        <f aca="false">CONCATENATE(VLOOKUP(AL16, 'Voxel Sizes'!$A$2:$B$18,2,FALSE()),"x",INT(AH16*15), "x", INT(AI16*15))</f>
        <v>186x37x56</v>
      </c>
      <c r="AL16" s="1" t="n">
        <f aca="false">ROUND(15*((AG16*10)/256),0)</f>
        <v>11</v>
      </c>
      <c r="AN16" s="1" t="str">
        <f aca="false">CONCATENATE(VLOOKUP(AL16,Constants!$A$2:$C$16,IF(AM16&lt;&gt;"", 3, 2), FALSE()),IF(AM16&lt;&gt;"",CONCATENATE(",",VLOOKUP(AM16,$B:$AN,38,FALSE())),""))</f>
        <v>4,3,4</v>
      </c>
      <c r="AO16" s="1" t="s">
        <v>177</v>
      </c>
      <c r="AR16" s="1" t="s">
        <v>178</v>
      </c>
      <c r="AT16" s="1" t="s">
        <v>135</v>
      </c>
      <c r="AU16" s="1" t="s">
        <v>172</v>
      </c>
      <c r="AX16" s="1" t="n">
        <v>45</v>
      </c>
      <c r="AY16" s="6" t="n">
        <f aca="false">IF(L16&lt;&gt;"",MAX(16,(L16-J16)+8),"")</f>
        <v>56</v>
      </c>
      <c r="AZ16" s="1" t="n">
        <v>-10</v>
      </c>
      <c r="BA16" s="1" t="n">
        <v>-15</v>
      </c>
      <c r="BB16" s="1" t="n">
        <f aca="false">MIN(AB16/150, 1)*30</f>
        <v>15</v>
      </c>
      <c r="BC16" s="1" t="n">
        <f aca="false">MIN(N16/4000, 1)*20</f>
        <v>5</v>
      </c>
      <c r="BD16" s="1" t="n">
        <f aca="false">MIN(Z16/400,1)*20</f>
        <v>4.25</v>
      </c>
      <c r="BE16" s="4" t="n">
        <f aca="false">1-(MAX(J16-1900, 0)/750)</f>
        <v>0.925333333333333</v>
      </c>
      <c r="BF16" s="1" t="n">
        <f aca="false">((MAX($M16,1)*MIN($AJ16/300,1)))*IF(G16="Wagon",50,10)</f>
        <v>8.4</v>
      </c>
      <c r="BG16" s="1" t="n">
        <f aca="false">VLOOKUP($H16,Constants!$I:$K, 2, FALSE())</f>
        <v>1</v>
      </c>
      <c r="BH16" s="1" t="n">
        <f aca="false">VLOOKUP($H16,Constants!$I:$K, 3, FALSE())*IF(AND(G16="multiple_unit",AB16&lt;110),0.75,1)</f>
        <v>1.5</v>
      </c>
      <c r="BI16" s="1" t="n">
        <f aca="false">INT(POWER(((Constants!$G$2+$BB16+$BC16+$BD16+$BF16)*$BE16)*$BH16, 1.05))+$BA16</f>
        <v>48</v>
      </c>
      <c r="BJ16" s="1" t="n">
        <f aca="false">INT(POWER((((Constants!$G$1+$BB16+$BC16+$BD16+$BF16)*($BE16))*$BG16),IF($G16="wagon",1,1.2)))+$AZ16</f>
        <v>84</v>
      </c>
      <c r="BK16" s="20" t="n">
        <f aca="false">BI16*IF($G16="wagon",62.5,781.25)</f>
        <v>37500</v>
      </c>
      <c r="BL16" s="20" t="n">
        <f aca="false">BJ16*IF($G16="wagon",2.73,81.25)</f>
        <v>6825</v>
      </c>
      <c r="BQ16" s="18" t="s">
        <v>179</v>
      </c>
      <c r="BT16" s="1" t="n">
        <v>2</v>
      </c>
      <c r="BX16" s="1" t="s">
        <v>95</v>
      </c>
      <c r="BY16" s="1" t="str">
        <f aca="false">VLOOKUP(J16,Eras!$A$2:$C$10, 2, TRUE())</f>
        <v>dsl</v>
      </c>
      <c r="BZ16" s="18" t="s">
        <v>165</v>
      </c>
      <c r="CA16" s="1" t="str">
        <f aca="false">CONCATENATE(BY16,"_",BZ16)</f>
        <v>dsl_DMU</v>
      </c>
      <c r="CB16" s="1" t="str">
        <f aca="false">_xlfn.CONCAT(H16, "_",I16)</f>
        <v>diesel_RAIL</v>
      </c>
      <c r="CC16" s="21" t="str">
        <f aca="false" t="array" ref="CC16:CC16">_xlfn.CONCAT("{BLACK}Length: {GOLD}", TEXT(ROUNDUP(IF(AQ16&lt;&gt;"",SUM(VALUE(_xlfn.TEXTSPLIT(AQ16, ","))), SUM(VALUE(_xlfn.TEXTSPLIT(AN16, ",")))*IF(M16, M16, 1))/16, 1), "#,##0.0"), " tiles{}")</f>
        <v>{BLACK}Length: {GOLD}4.2 tiles{}</v>
      </c>
      <c r="CD16" s="1" t="str">
        <f aca="false">VLOOKUP($CB16, Constants!$M:$N, 2, FALSE())</f>
        <v>{BLACK}Powered by: {GOLD}Diesel</v>
      </c>
      <c r="CE16" s="1" t="str">
        <f aca="false">IF(M16&gt;1,_xlfn.CONCAT("{BLACK}Cars: {GOLD}", M16),"")</f>
        <v>{BLACK}Cars: {GOLD}6</v>
      </c>
      <c r="CF16" s="1" t="s">
        <v>174</v>
      </c>
      <c r="CG16" s="1" t="str">
        <f aca="false">IF(BW16="buffet","{YELLOW}25% long distance bonus for consist{}",IF(BY16="BRAKE","{YELLOW}Speed bonus for slow wagons{}",IF(BU16&gt;190,CONCATENATE("{YELLOW}",INT((BU16-185)/1.85),"% bonus for long distance travel{}"),IF(AND(BU16&lt;180,BU16&lt;&gt;0),CONCATENATE("{YELLOW}",INT((185-BU16)/1.85),"% penalty for long distance travel{}"),""))))</f>
        <v/>
      </c>
      <c r="CH16" s="1" t="str">
        <f aca="false">_xlfn.CONCAT(CD16,IF(CD16 &lt;&gt; "", " ", ""),CE16,IF(OR(CE16&lt;&gt;"", CD16&lt;&gt;""), "{}",""), CC16, CG16,"{SILVER}", CF16)</f>
        <v>{BLACK}Powered by: {GOLD}Diesel {BLACK}Cars: {GOLD}6{}{BLACK}Length: {GOLD}4.2 tiles{}{SILVER}Class 201 ‘Hastings’ Units were constructed to a narrow loading gauge to work through a number of limited clearance tunnels in the southern region. Southern DEMUs of the time had their engines mounted above the frames.</v>
      </c>
      <c r="CI16" s="1"/>
      <c r="CJ16" s="1"/>
    </row>
    <row r="17" customFormat="false" ht="13.8" hidden="false" customHeight="false" outlineLevel="0" collapsed="false">
      <c r="A17" s="1" t="s">
        <v>180</v>
      </c>
      <c r="B17" s="1" t="s">
        <v>181</v>
      </c>
      <c r="C17" s="1" t="n">
        <v>205</v>
      </c>
      <c r="E17" s="1" t="n">
        <v>24</v>
      </c>
      <c r="F17" s="1" t="s">
        <v>89</v>
      </c>
      <c r="G17" s="1" t="s">
        <v>90</v>
      </c>
      <c r="H17" s="1" t="s">
        <v>152</v>
      </c>
      <c r="I17" s="1" t="s">
        <v>153</v>
      </c>
      <c r="J17" s="1" t="n">
        <v>1957</v>
      </c>
      <c r="K17" s="1" t="n">
        <v>1989</v>
      </c>
      <c r="L17" s="1" t="n">
        <v>2004</v>
      </c>
      <c r="M17" s="1" t="n">
        <v>3</v>
      </c>
      <c r="N17" s="1" t="n">
        <v>600</v>
      </c>
      <c r="W17" s="1" t="n">
        <f aca="false">32.5+25</f>
        <v>57.5</v>
      </c>
      <c r="Y17" s="1" t="n">
        <v>5</v>
      </c>
      <c r="Z17" s="1" t="n">
        <v>85</v>
      </c>
      <c r="AA17" s="4" t="n">
        <f aca="false">IF(AND(W17&gt;0,Z17&gt;0),(Z17/((W17+X17)*10)),"")</f>
        <v>0.147826086956522</v>
      </c>
      <c r="AB17" s="1" t="n">
        <v>75</v>
      </c>
      <c r="AC17" s="1" t="n">
        <f aca="false">ROUND(AB17*1.6, 0)</f>
        <v>120</v>
      </c>
      <c r="AF17" s="1" t="n">
        <v>19.5</v>
      </c>
      <c r="AG17" s="1" t="n">
        <v>20</v>
      </c>
      <c r="AH17" s="1" t="n">
        <v>2.7</v>
      </c>
      <c r="AI17" s="1" t="n">
        <v>3.77</v>
      </c>
      <c r="AJ17" s="5" t="n">
        <v>51</v>
      </c>
      <c r="AK17" s="19" t="str">
        <f aca="false">CONCATENATE(VLOOKUP(AL17, 'Voxel Sizes'!$A$2:$B$18,2,FALSE()),"x",INT(AH17*15), "x", INT(AI17*15))</f>
        <v>198x40x56</v>
      </c>
      <c r="AL17" s="1" t="n">
        <f aca="false">ROUND(15*((AG17*10)/256),0)</f>
        <v>12</v>
      </c>
      <c r="AN17" s="1" t="str">
        <f aca="false">CONCATENATE(VLOOKUP(AL17,Constants!$A$2:$C$16,IF(AM17&lt;&gt;"", 3, 2), FALSE()),IF(AM17&lt;&gt;"",CONCATENATE(",",VLOOKUP(AM17,$B:$AN,38,FALSE())),""))</f>
        <v>4,4,4</v>
      </c>
      <c r="AR17" s="1" t="s">
        <v>182</v>
      </c>
      <c r="AT17" s="1" t="s">
        <v>162</v>
      </c>
      <c r="AU17" s="1" t="s">
        <v>183</v>
      </c>
      <c r="AX17" s="1" t="n">
        <v>45</v>
      </c>
      <c r="AY17" s="6" t="n">
        <f aca="false">IF(L17&lt;&gt;"",MAX(16,(L17-J17)+8),"")</f>
        <v>55</v>
      </c>
      <c r="AZ17" s="1" t="n">
        <v>-10</v>
      </c>
      <c r="BA17" s="1" t="n">
        <v>-15</v>
      </c>
      <c r="BB17" s="1" t="n">
        <f aca="false">MIN(AB17/150, 1)*30</f>
        <v>15</v>
      </c>
      <c r="BC17" s="1" t="n">
        <f aca="false">MIN(N17/4000, 1)*20</f>
        <v>3</v>
      </c>
      <c r="BD17" s="1" t="n">
        <f aca="false">MIN(Z17/400,1)*20</f>
        <v>4.25</v>
      </c>
      <c r="BE17" s="4" t="n">
        <f aca="false">1-(MAX(J17-1900, 0)/750)</f>
        <v>0.924</v>
      </c>
      <c r="BF17" s="1" t="n">
        <f aca="false">((MAX($M17,1)*MIN($AJ17/300,1)))*IF(G17="Wagon",50,10)</f>
        <v>5.1</v>
      </c>
      <c r="BG17" s="1" t="n">
        <f aca="false">VLOOKUP($H17,Constants!$I:$K, 2, FALSE())</f>
        <v>1</v>
      </c>
      <c r="BH17" s="1" t="n">
        <f aca="false">VLOOKUP($H17,Constants!$I:$K, 3, FALSE())*IF(AND(G17="multiple_unit",AB17&lt;110),0.75,1)</f>
        <v>1.5</v>
      </c>
      <c r="BI17" s="1" t="n">
        <f aca="false">INT(POWER(((Constants!$G$2+$BB17+$BC17+$BD17+$BF17)*$BE17)*$BH17, 1.05))+$BA17</f>
        <v>39</v>
      </c>
      <c r="BJ17" s="1" t="n">
        <f aca="false">INT(POWER((((Constants!$G$1+$BB17+$BC17+$BD17+$BF17)*($BE17))*$BG17),IF($G17="wagon",1,1.2)))+$AZ17</f>
        <v>71</v>
      </c>
      <c r="BK17" s="20" t="n">
        <f aca="false">BI17*IF($G17="wagon",62.5,781.25)</f>
        <v>30468.75</v>
      </c>
      <c r="BL17" s="20" t="n">
        <f aca="false">BJ17*IF($G17="wagon",2.73,81.25)</f>
        <v>5768.75</v>
      </c>
      <c r="BQ17" s="1" t="s">
        <v>184</v>
      </c>
      <c r="BT17" s="1" t="n">
        <v>2</v>
      </c>
      <c r="BX17" s="1" t="s">
        <v>95</v>
      </c>
      <c r="BY17" s="1" t="str">
        <f aca="false">VLOOKUP(J17,Eras!$A$2:$C$10, 2, TRUE())</f>
        <v>dsl</v>
      </c>
      <c r="BZ17" s="18" t="s">
        <v>165</v>
      </c>
      <c r="CA17" s="1" t="str">
        <f aca="false">CONCATENATE(BY17,"_",BZ17)</f>
        <v>dsl_DMU</v>
      </c>
      <c r="CB17" s="1" t="str">
        <f aca="false">_xlfn.CONCAT(H17, "_",I17)</f>
        <v>diesel_RAIL</v>
      </c>
      <c r="CC17" s="21" t="str">
        <f aca="false" t="array" ref="CC17:CC17">_xlfn.CONCAT("{BLACK}Length: {GOLD}", TEXT(ROUNDUP(IF(AQ17&lt;&gt;"",SUM(VALUE(_xlfn.TEXTSPLIT(AQ17, ","))), SUM(VALUE(_xlfn.TEXTSPLIT(AN17, ",")))*IF(M17, M17, 1))/16, 1), "#,##0.0"), " tiles{}")</f>
        <v>{BLACK}Length: {GOLD}2.3 tiles{}</v>
      </c>
      <c r="CD17" s="1" t="str">
        <f aca="false">VLOOKUP($CB17, Constants!$M:$N, 2, FALSE())</f>
        <v>{BLACK}Powered by: {GOLD}Diesel</v>
      </c>
      <c r="CE17" s="1" t="str">
        <f aca="false">IF(M17&gt;1,_xlfn.CONCAT("{BLACK}Cars: {GOLD}", M17),"")</f>
        <v>{BLACK}Cars: {GOLD}3</v>
      </c>
      <c r="CF17" s="1" t="s">
        <v>185</v>
      </c>
      <c r="CG17" s="1" t="str">
        <f aca="false">IF(BW17="buffet","{YELLOW}25% long distance bonus for consist{}",IF(BY17="BRAKE","{YELLOW}Speed bonus for slow wagons{}",IF(BU17&gt;190,CONCATENATE("{YELLOW}",INT((BU17-185)/1.85),"% bonus for long distance travel{}"),IF(AND(BU17&lt;180,BU17&lt;&gt;0),CONCATENATE("{YELLOW}",INT((185-BU17)/1.85),"% penalty for long distance travel{}"),""))))</f>
        <v/>
      </c>
      <c r="CH17" s="1" t="str">
        <f aca="false">_xlfn.CONCAT(CD17,IF(CD17 &lt;&gt; "", " ", ""),CE17,IF(OR(CE17&lt;&gt;"", CD17&lt;&gt;""), "{}",""), CC17, CG17,"{SILVER}", CF17)</f>
        <v>{BLACK}Powered by: {GOLD}Diesel {BLACK}Cars: {GOLD}3{}{BLACK}Length: {GOLD}2.3 tiles{}{SILVER}Class 205 units were a relatively numerous class of high-density non-corridor multiple units that worked services across Hampshire. In many ways they were the classic ‘Thumper’ unit.</v>
      </c>
      <c r="CI17" s="1"/>
      <c r="CJ17" s="1"/>
    </row>
    <row r="18" s="18" customFormat="true" ht="13.8" hidden="false" customHeight="false" outlineLevel="0" collapsed="false">
      <c r="A18" s="1" t="s">
        <v>186</v>
      </c>
      <c r="B18" s="1" t="s">
        <v>187</v>
      </c>
      <c r="C18" s="1" t="n">
        <v>206</v>
      </c>
      <c r="D18" s="1" t="n">
        <v>205</v>
      </c>
      <c r="E18" s="1" t="n">
        <v>26</v>
      </c>
      <c r="F18" s="1" t="s">
        <v>89</v>
      </c>
      <c r="G18" s="1" t="s">
        <v>90</v>
      </c>
      <c r="H18" s="1" t="s">
        <v>152</v>
      </c>
      <c r="I18" s="1" t="s">
        <v>153</v>
      </c>
      <c r="J18" s="1" t="n">
        <v>1957</v>
      </c>
      <c r="K18" s="1" t="n">
        <v>1989</v>
      </c>
      <c r="L18" s="1" t="n">
        <v>2004</v>
      </c>
      <c r="M18" s="1" t="n">
        <v>2</v>
      </c>
      <c r="N18" s="1" t="n">
        <v>600</v>
      </c>
      <c r="O18" s="2"/>
      <c r="P18" s="3"/>
      <c r="Q18" s="3"/>
      <c r="R18" s="3"/>
      <c r="S18" s="3"/>
      <c r="T18" s="3"/>
      <c r="U18" s="3"/>
      <c r="V18" s="3"/>
      <c r="W18" s="1" t="n">
        <f aca="false">32.5+25</f>
        <v>57.5</v>
      </c>
      <c r="X18" s="2"/>
      <c r="Y18" s="1" t="n">
        <v>5</v>
      </c>
      <c r="Z18" s="1" t="n">
        <v>85</v>
      </c>
      <c r="AA18" s="4" t="n">
        <f aca="false">IF(AND(W18&gt;0,Z18&gt;0),(Z18/((W18+X18)*10)),"")</f>
        <v>0.147826086956522</v>
      </c>
      <c r="AB18" s="1" t="n">
        <v>75</v>
      </c>
      <c r="AC18" s="1" t="n">
        <f aca="false">ROUND(AB18*1.6, 0)</f>
        <v>120</v>
      </c>
      <c r="AD18" s="1"/>
      <c r="AE18" s="1"/>
      <c r="AF18" s="1" t="n">
        <v>19.5</v>
      </c>
      <c r="AG18" s="1" t="n">
        <v>20</v>
      </c>
      <c r="AH18" s="1" t="n">
        <v>2.7</v>
      </c>
      <c r="AI18" s="1" t="n">
        <v>3.77</v>
      </c>
      <c r="AJ18" s="5" t="n">
        <v>51</v>
      </c>
      <c r="AK18" s="19" t="str">
        <f aca="false">CONCATENATE(VLOOKUP(AL18, 'Voxel Sizes'!$A$2:$B$18,2,FALSE()),"x",INT(AH18*15), "x", INT(AI18*15))</f>
        <v>198x40x56</v>
      </c>
      <c r="AL18" s="1" t="n">
        <f aca="false">ROUND(15*((AG18*10)/256),0)</f>
        <v>12</v>
      </c>
      <c r="AM18" s="1"/>
      <c r="AN18" s="1" t="str">
        <f aca="false">CONCATENATE(VLOOKUP(AL18,Constants!$A$2:$C$16,IF(AM18&lt;&gt;"", 3, 2), FALSE()),IF(AM18&lt;&gt;"",CONCATENATE(",",VLOOKUP(AM18,$B:$AN,38,FALSE())),""))</f>
        <v>4,4,4</v>
      </c>
      <c r="AO18" s="1"/>
      <c r="AP18" s="7"/>
      <c r="AQ18" s="7"/>
      <c r="AR18" s="1" t="s">
        <v>188</v>
      </c>
      <c r="AS18" s="1"/>
      <c r="AT18" s="1" t="s">
        <v>189</v>
      </c>
      <c r="AU18" s="1" t="s">
        <v>183</v>
      </c>
      <c r="AV18" s="1"/>
      <c r="AW18" s="1"/>
      <c r="AX18" s="1" t="n">
        <v>45</v>
      </c>
      <c r="AY18" s="6" t="n">
        <f aca="false">IF(L18&lt;&gt;"",MAX(16,(L18-J18)+8),"")</f>
        <v>55</v>
      </c>
      <c r="AZ18" s="1" t="n">
        <v>-10</v>
      </c>
      <c r="BA18" s="1" t="n">
        <v>-15</v>
      </c>
      <c r="BB18" s="1" t="n">
        <f aca="false">MIN(AB18/150, 1)*30</f>
        <v>15</v>
      </c>
      <c r="BC18" s="1" t="n">
        <f aca="false">MIN(N18/4000, 1)*20</f>
        <v>3</v>
      </c>
      <c r="BD18" s="1" t="n">
        <f aca="false">MIN(Z18/400,1)*20</f>
        <v>4.25</v>
      </c>
      <c r="BE18" s="4" t="n">
        <f aca="false">1-(MAX(J18-1900, 0)/750)</f>
        <v>0.924</v>
      </c>
      <c r="BF18" s="1" t="n">
        <f aca="false">((MAX($M18,1)*MIN($AJ18/300,1)))*IF(G18="Wagon",50,10)</f>
        <v>3.4</v>
      </c>
      <c r="BG18" s="1" t="n">
        <f aca="false">VLOOKUP($H18,Constants!$I:$K, 2, FALSE())</f>
        <v>1</v>
      </c>
      <c r="BH18" s="1" t="n">
        <f aca="false">VLOOKUP($H18,Constants!$I:$K, 3, FALSE())*IF(AND(G18="multiple_unit",AB18&lt;110),0.75,1)</f>
        <v>1.5</v>
      </c>
      <c r="BI18" s="1" t="n">
        <f aca="false">INT(POWER(((Constants!$G$2+$BB18+$BC18+$BD18+$BF18)*$BE18)*$BH18, 1.05))+$BA18</f>
        <v>36</v>
      </c>
      <c r="BJ18" s="1" t="n">
        <f aca="false">INT(POWER((((Constants!$G$1+$BB18+$BC18+$BD18+$BF18)*($BE18))*$BG18),IF($G18="wagon",1,1.2)))+$AZ18</f>
        <v>67</v>
      </c>
      <c r="BK18" s="20" t="n">
        <f aca="false">BI18*IF($G18="wagon",62.5,781.25)</f>
        <v>28125</v>
      </c>
      <c r="BL18" s="20" t="n">
        <f aca="false">BJ18*IF($G18="wagon",2.73,81.25)</f>
        <v>5443.75</v>
      </c>
      <c r="BM18" s="1"/>
      <c r="BN18" s="1"/>
      <c r="BO18" s="1"/>
      <c r="BP18" s="1"/>
      <c r="BQ18" s="1" t="s">
        <v>190</v>
      </c>
      <c r="BR18" s="1"/>
      <c r="BS18" s="1"/>
      <c r="BT18" s="1" t="n">
        <v>2</v>
      </c>
      <c r="BU18" s="1"/>
      <c r="BV18" s="1"/>
      <c r="BW18" s="1"/>
      <c r="BX18" s="1" t="s">
        <v>95</v>
      </c>
      <c r="BY18" s="1" t="str">
        <f aca="false">VLOOKUP(J18,Eras!$A$2:$C$10, 2, TRUE())</f>
        <v>dsl</v>
      </c>
      <c r="BZ18" s="18" t="s">
        <v>165</v>
      </c>
      <c r="CA18" s="1" t="str">
        <f aca="false">CONCATENATE(BY18,"_",BZ18)</f>
        <v>dsl_DMU</v>
      </c>
      <c r="CB18" s="1" t="str">
        <f aca="false">_xlfn.CONCAT(H18, "_",I18)</f>
        <v>diesel_RAIL</v>
      </c>
      <c r="CC18" s="21" t="str">
        <f aca="false" t="array" ref="CC18:CC18">_xlfn.CONCAT("{BLACK}Length: {GOLD}", TEXT(ROUNDUP(IF(AQ18&lt;&gt;"",SUM(VALUE(_xlfn.TEXTSPLIT(AQ18, ","))), SUM(VALUE(_xlfn.TEXTSPLIT(AN18, ",")))*IF(M18, M18, 1))/16, 1), "#,##0.0"), " tiles{}")</f>
        <v>{BLACK}Length: {GOLD}1.5 tiles{}</v>
      </c>
      <c r="CD18" s="1" t="str">
        <f aca="false">VLOOKUP($CB18, Constants!$M:$N, 2, FALSE())</f>
        <v>{BLACK}Powered by: {GOLD}Diesel</v>
      </c>
      <c r="CE18" s="1" t="str">
        <f aca="false">IF(M18&gt;1,_xlfn.CONCAT("{BLACK}Cars: {GOLD}", M18),"")</f>
        <v>{BLACK}Cars: {GOLD}2</v>
      </c>
      <c r="CF18" s="1" t="s">
        <v>185</v>
      </c>
      <c r="CG18" s="1" t="str">
        <f aca="false">IF(BW18="buffet","{YELLOW}25% long distance bonus for consist{}",IF(BY18="BRAKE","{YELLOW}Speed bonus for slow wagons{}",IF(BU18&gt;190,CONCATENATE("{YELLOW}",INT((BU18-185)/1.85),"% bonus for long distance travel{}"),IF(AND(BU18&lt;180,BU18&lt;&gt;0),CONCATENATE("{YELLOW}",INT((185-BU18)/1.85),"% penalty for long distance travel{}"),""))))</f>
        <v/>
      </c>
      <c r="CH18" s="1" t="str">
        <f aca="false">_xlfn.CONCAT(CD18,IF(CD18 &lt;&gt; "", " ", ""),CE18,IF(OR(CE18&lt;&gt;"", CD18&lt;&gt;""), "{}",""), CC18, CG18,"{SILVER}", CF18)</f>
        <v>{BLACK}Powered by: {GOLD}Diesel {BLACK}Cars: {GOLD}2{}{BLACK}Length: {GOLD}1.5 tiles{}{SILVER}Class 205 units were a relatively numerous class of high-density non-corridor multiple units that worked services across Hampshire. In many ways they were the classic ‘Thumper’ unit.</v>
      </c>
      <c r="CI18" s="1"/>
      <c r="CJ18" s="1"/>
      <c r="CK18" s="1"/>
    </row>
    <row r="19" customFormat="false" ht="13.8" hidden="false" customHeight="false" outlineLevel="0" collapsed="false">
      <c r="A19" s="1" t="s">
        <v>191</v>
      </c>
      <c r="B19" s="1" t="s">
        <v>192</v>
      </c>
      <c r="C19" s="1" t="n">
        <v>210</v>
      </c>
      <c r="E19" s="1" t="n">
        <v>28</v>
      </c>
      <c r="F19" s="1" t="s">
        <v>89</v>
      </c>
      <c r="G19" s="1" t="s">
        <v>90</v>
      </c>
      <c r="H19" s="1" t="s">
        <v>152</v>
      </c>
      <c r="I19" s="1" t="s">
        <v>153</v>
      </c>
      <c r="J19" s="1" t="n">
        <v>1982</v>
      </c>
      <c r="K19" s="1" t="n">
        <v>2002</v>
      </c>
      <c r="L19" s="1" t="n">
        <v>2006</v>
      </c>
      <c r="M19" s="1" t="n">
        <v>4</v>
      </c>
      <c r="N19" s="1" t="n">
        <v>1000</v>
      </c>
      <c r="W19" s="1" t="n">
        <v>144</v>
      </c>
      <c r="Y19" s="1" t="n">
        <v>5</v>
      </c>
      <c r="Z19" s="1" t="n">
        <v>92</v>
      </c>
      <c r="AA19" s="4" t="n">
        <f aca="false">IF(AND(W19&gt;0,Z19&gt;0),(Z19/((W19+X19)*10)),"")</f>
        <v>0.0638888888888889</v>
      </c>
      <c r="AB19" s="1" t="n">
        <v>90</v>
      </c>
      <c r="AC19" s="1" t="n">
        <f aca="false">ROUND(AB19*1.6, 0)</f>
        <v>144</v>
      </c>
      <c r="AF19" s="1" t="n">
        <v>19.8</v>
      </c>
      <c r="AG19" s="1" t="n">
        <v>20</v>
      </c>
      <c r="AH19" s="1" t="n">
        <v>2.5</v>
      </c>
      <c r="AI19" s="1" t="n">
        <v>3.77</v>
      </c>
      <c r="AJ19" s="5" t="n">
        <v>64</v>
      </c>
      <c r="AK19" s="19" t="str">
        <f aca="false">CONCATENATE(VLOOKUP(AL19, 'Voxel Sizes'!$A$2:$B$18,2,FALSE()),"x",INT(AH19*15), "x", INT(AI19*15))</f>
        <v>198x37x56</v>
      </c>
      <c r="AL19" s="1" t="n">
        <f aca="false">ROUND(15*((AG19*10)/256),0)</f>
        <v>12</v>
      </c>
      <c r="AN19" s="1" t="str">
        <f aca="false">CONCATENATE(VLOOKUP(AL19,Constants!$A$2:$C$16,IF(AM19&lt;&gt;"", 3, 2), FALSE()),IF(AM19&lt;&gt;"",CONCATENATE(",",VLOOKUP(AM19,$B:$AN,38,FALSE())),""))</f>
        <v>4,4,4</v>
      </c>
      <c r="AO19" s="1" t="n">
        <v>1</v>
      </c>
      <c r="AR19" s="1" t="s">
        <v>193</v>
      </c>
      <c r="AT19" s="1" t="s">
        <v>194</v>
      </c>
      <c r="AU19" s="1" t="s">
        <v>195</v>
      </c>
      <c r="AX19" s="1" t="n">
        <v>45</v>
      </c>
      <c r="AY19" s="6" t="n">
        <f aca="false">IF(L19&lt;&gt;"",MAX(16,(L19-J19)+8),"")</f>
        <v>32</v>
      </c>
      <c r="AZ19" s="1" t="n">
        <v>10</v>
      </c>
      <c r="BB19" s="1" t="n">
        <f aca="false">MIN(AB19/150, 1)*30</f>
        <v>18</v>
      </c>
      <c r="BC19" s="1" t="n">
        <f aca="false">MIN(N19/4000, 1)*20</f>
        <v>5</v>
      </c>
      <c r="BD19" s="1" t="n">
        <f aca="false">MIN(Z19/400,1)*20</f>
        <v>4.6</v>
      </c>
      <c r="BE19" s="4" t="n">
        <f aca="false">1-(MAX(J19-1900, 0)/750)</f>
        <v>0.890666666666667</v>
      </c>
      <c r="BF19" s="1" t="n">
        <f aca="false">((MAX($M19,1)*MIN($AJ19/300,1)))*IF(G19="Wagon",50,10)</f>
        <v>8.53333333333333</v>
      </c>
      <c r="BG19" s="1" t="n">
        <f aca="false">VLOOKUP($H19,Constants!$I:$K, 2, FALSE())</f>
        <v>1</v>
      </c>
      <c r="BH19" s="1" t="n">
        <f aca="false">VLOOKUP($H19,Constants!$I:$K, 3, FALSE())*IF(AND(G19="multiple_unit",AB19&lt;110),0.75,1)</f>
        <v>1.5</v>
      </c>
      <c r="BI19" s="1" t="n">
        <f aca="false">INT(POWER(((Constants!$G$2+$BB19+$BC19+$BD19+$BF19)*$BE19)*$BH19, 1.05))+$BA19</f>
        <v>67</v>
      </c>
      <c r="BJ19" s="1" t="n">
        <f aca="false">INT(POWER((((Constants!$G$1+$BB19+$BC19+$BD19+$BF19)*($BE19))*$BG19),IF($G19="wagon",1,1.2)))+$AZ19</f>
        <v>107</v>
      </c>
      <c r="BK19" s="20" t="n">
        <f aca="false">BI19*IF($G19="wagon",62.5,781.25)</f>
        <v>52343.75</v>
      </c>
      <c r="BL19" s="20" t="n">
        <f aca="false">BJ19*IF($G19="wagon",2.73,81.25)</f>
        <v>8693.75</v>
      </c>
      <c r="BQ19" s="1" t="s">
        <v>196</v>
      </c>
      <c r="BT19" s="1" t="n">
        <v>2</v>
      </c>
      <c r="BX19" s="1" t="s">
        <v>95</v>
      </c>
      <c r="BY19" s="1" t="str">
        <f aca="false">VLOOKUP(J19,Eras!$A$2:$C$10, 2, TRUE())</f>
        <v>lbr</v>
      </c>
      <c r="BZ19" s="18" t="s">
        <v>165</v>
      </c>
      <c r="CA19" s="1" t="str">
        <f aca="false">CONCATENATE(BY19,"_",BZ19)</f>
        <v>lbr_DMU</v>
      </c>
      <c r="CB19" s="1" t="str">
        <f aca="false">_xlfn.CONCAT(H19, "_",I19)</f>
        <v>diesel_RAIL</v>
      </c>
      <c r="CC19" s="21" t="str">
        <f aca="false" t="array" ref="CC19:CC19">_xlfn.CONCAT("{BLACK}Length: {GOLD}", TEXT(ROUNDUP(IF(AQ19&lt;&gt;"",SUM(VALUE(_xlfn.TEXTSPLIT(AQ19, ","))), SUM(VALUE(_xlfn.TEXTSPLIT(AN19, ",")))*IF(M19, M19, 1))/16, 1), "#,##0.0"), " tiles{}")</f>
        <v>{BLACK}Length: {GOLD}3.0 tiles{}</v>
      </c>
      <c r="CD19" s="1" t="str">
        <f aca="false">VLOOKUP($CB19, Constants!$M:$N, 2, FALSE())</f>
        <v>{BLACK}Powered by: {GOLD}Diesel</v>
      </c>
      <c r="CE19" s="1" t="str">
        <f aca="false">IF(M19&gt;1,_xlfn.CONCAT("{BLACK}Cars: {GOLD}", M19),"")</f>
        <v>{BLACK}Cars: {GOLD}4</v>
      </c>
      <c r="CF19" s="1" t="s">
        <v>197</v>
      </c>
      <c r="CG19" s="1" t="str">
        <f aca="false">IF(BW19="buffet","{YELLOW}25% long distance bonus for consist{}",IF(BY19="BRAKE","{YELLOW}Speed bonus for slow wagons{}",IF(BU19&gt;190,CONCATENATE("{YELLOW}",INT((BU19-185)/1.85),"% bonus for long distance travel{}"),IF(AND(BU19&lt;180,BU19&lt;&gt;0),CONCATENATE("{YELLOW}",INT((185-BU19)/1.85),"% penalty for long distance travel{}"),""))))</f>
        <v/>
      </c>
      <c r="CH19" s="1" t="str">
        <f aca="false">_xlfn.CONCAT(CD19,IF(CD19 &lt;&gt; "", " ", ""),CE19,IF(OR(CE19&lt;&gt;"", CD19&lt;&gt;""), "{}",""), CC19, CG19,"{SILVER}", CF19)</f>
        <v>{BLACK}Powered by: {GOLD}Diesel {BLACK}Cars: {GOLD}4{}{BLACK}Length: {GOLD}3.0 tiles{}{SILVER}The Class 210 was an early design for the modernization of DMU services that became the Sprinter series. A diesel-electric design to a very high specification, but through gangways and above-solebar engines like the classic ‘Thumper’. This unit represents 210 001, the 4-car test unit.</v>
      </c>
      <c r="CI19" s="1"/>
      <c r="CJ19" s="1"/>
    </row>
    <row r="20" customFormat="false" ht="13.8" hidden="false" customHeight="false" outlineLevel="0" collapsed="false">
      <c r="A20" s="1" t="s">
        <v>198</v>
      </c>
      <c r="B20" s="1" t="s">
        <v>196</v>
      </c>
      <c r="C20" s="1" t="n">
        <v>211</v>
      </c>
      <c r="D20" s="1" t="n">
        <v>210</v>
      </c>
      <c r="E20" s="1" t="n">
        <v>29</v>
      </c>
      <c r="F20" s="1" t="s">
        <v>89</v>
      </c>
      <c r="G20" s="1" t="s">
        <v>90</v>
      </c>
      <c r="H20" s="1" t="s">
        <v>152</v>
      </c>
      <c r="I20" s="1" t="s">
        <v>153</v>
      </c>
      <c r="J20" s="1" t="n">
        <v>1982</v>
      </c>
      <c r="K20" s="1" t="n">
        <v>2002</v>
      </c>
      <c r="L20" s="1" t="n">
        <v>2006</v>
      </c>
      <c r="M20" s="1" t="n">
        <v>3</v>
      </c>
      <c r="N20" s="1" t="n">
        <v>1000</v>
      </c>
      <c r="W20" s="1" t="n">
        <v>118</v>
      </c>
      <c r="Y20" s="1" t="n">
        <v>5</v>
      </c>
      <c r="Z20" s="1" t="n">
        <v>92</v>
      </c>
      <c r="AA20" s="4" t="n">
        <f aca="false">IF(AND(W20&gt;0,Z20&gt;0),(Z20/((W20+X20)*10)),"")</f>
        <v>0.0779661016949153</v>
      </c>
      <c r="AB20" s="1" t="n">
        <v>90</v>
      </c>
      <c r="AC20" s="1" t="n">
        <f aca="false">ROUND(AB20*1.6, 0)</f>
        <v>144</v>
      </c>
      <c r="AF20" s="1" t="n">
        <v>19.8</v>
      </c>
      <c r="AG20" s="1" t="n">
        <v>20</v>
      </c>
      <c r="AH20" s="1" t="n">
        <v>2.5</v>
      </c>
      <c r="AI20" s="1" t="n">
        <v>3.77</v>
      </c>
      <c r="AJ20" s="5" t="n">
        <v>67</v>
      </c>
      <c r="AK20" s="19" t="str">
        <f aca="false">CONCATENATE(VLOOKUP(AL20, 'Voxel Sizes'!$A$2:$B$18,2,FALSE()),"x",INT(AH20*15), "x", INT(AI20*15))</f>
        <v>198x37x56</v>
      </c>
      <c r="AL20" s="1" t="n">
        <f aca="false">ROUND(15*((AG20*10)/256),0)</f>
        <v>12</v>
      </c>
      <c r="AN20" s="1" t="str">
        <f aca="false">CONCATENATE(VLOOKUP(AL20,Constants!$A$2:$C$16,IF(AM20&lt;&gt;"", 3, 2), FALSE()),IF(AM20&lt;&gt;"",CONCATENATE(",",VLOOKUP(AM20,$B:$AN,38,FALSE())),""))</f>
        <v>4,4,4</v>
      </c>
      <c r="AO20" s="1" t="n">
        <v>8</v>
      </c>
      <c r="AR20" s="1" t="s">
        <v>199</v>
      </c>
      <c r="AT20" s="1" t="s">
        <v>200</v>
      </c>
      <c r="AU20" s="1" t="s">
        <v>201</v>
      </c>
      <c r="AX20" s="1" t="n">
        <v>45</v>
      </c>
      <c r="AY20" s="6" t="n">
        <f aca="false">IF(L20&lt;&gt;"",MAX(16,(L20-J20)+8),"")</f>
        <v>32</v>
      </c>
      <c r="AZ20" s="1" t="n">
        <v>10</v>
      </c>
      <c r="BB20" s="1" t="n">
        <f aca="false">MIN(AB20/150, 1)*30</f>
        <v>18</v>
      </c>
      <c r="BC20" s="1" t="n">
        <f aca="false">MIN(N20/4000, 1)*20</f>
        <v>5</v>
      </c>
      <c r="BD20" s="1" t="n">
        <f aca="false">MIN(Z20/400,1)*20</f>
        <v>4.6</v>
      </c>
      <c r="BE20" s="4" t="n">
        <f aca="false">1-(MAX(J20-1900, 0)/750)</f>
        <v>0.890666666666667</v>
      </c>
      <c r="BF20" s="1" t="n">
        <f aca="false">((MAX($M20,1)*MIN($AJ20/300,1)))*IF(G20="Wagon",50,10)</f>
        <v>6.7</v>
      </c>
      <c r="BG20" s="1" t="n">
        <f aca="false">VLOOKUP($H20,Constants!$I:$K, 2, FALSE())</f>
        <v>1</v>
      </c>
      <c r="BH20" s="1" t="n">
        <f aca="false">VLOOKUP($H20,Constants!$I:$K, 3, FALSE())*IF(AND(G20="multiple_unit",AB20&lt;110),0.75,1)</f>
        <v>1.5</v>
      </c>
      <c r="BI20" s="1" t="n">
        <f aca="false">INT(POWER(((Constants!$G$2+$BB20+$BC20+$BD20+$BF20)*$BE20)*$BH20, 1.05))+$BA20</f>
        <v>64</v>
      </c>
      <c r="BJ20" s="1" t="n">
        <f aca="false">INT(POWER((((Constants!$G$1+$BB20+$BC20+$BD20+$BF20)*($BE20))*$BG20),IF($G20="wagon",1,1.2)))+$AZ20</f>
        <v>103</v>
      </c>
      <c r="BK20" s="20" t="n">
        <f aca="false">BI20*IF($G20="wagon",62.5,781.25)</f>
        <v>50000</v>
      </c>
      <c r="BL20" s="20" t="n">
        <f aca="false">BJ20*IF($G20="wagon",2.73,81.25)</f>
        <v>8368.75</v>
      </c>
      <c r="BQ20" s="1" t="s">
        <v>192</v>
      </c>
      <c r="BT20" s="1" t="n">
        <v>2</v>
      </c>
      <c r="BX20" s="1" t="s">
        <v>95</v>
      </c>
      <c r="BY20" s="1" t="str">
        <f aca="false">VLOOKUP(J20,Eras!$A$2:$C$10, 2, TRUE())</f>
        <v>lbr</v>
      </c>
      <c r="BZ20" s="18" t="s">
        <v>165</v>
      </c>
      <c r="CA20" s="1" t="str">
        <f aca="false">CONCATENATE(BY20,"_",BZ20)</f>
        <v>lbr_DMU</v>
      </c>
      <c r="CB20" s="1" t="str">
        <f aca="false">_xlfn.CONCAT(H20, "_",I20)</f>
        <v>diesel_RAIL</v>
      </c>
      <c r="CC20" s="21" t="str">
        <f aca="false" t="array" ref="CC20:CC20">_xlfn.CONCAT("{BLACK}Length: {GOLD}", TEXT(ROUNDUP(IF(AQ20&lt;&gt;"",SUM(VALUE(_xlfn.TEXTSPLIT(AQ20, ","))), SUM(VALUE(_xlfn.TEXTSPLIT(AN20, ",")))*IF(M20, M20, 1))/16, 1), "#,##0.0"), " tiles{}")</f>
        <v>{BLACK}Length: {GOLD}2.3 tiles{}</v>
      </c>
      <c r="CD20" s="1" t="str">
        <f aca="false">VLOOKUP($CB20, Constants!$M:$N, 2, FALSE())</f>
        <v>{BLACK}Powered by: {GOLD}Diesel</v>
      </c>
      <c r="CE20" s="1" t="str">
        <f aca="false">IF(M20&gt;1,_xlfn.CONCAT("{BLACK}Cars: {GOLD}", M20),"")</f>
        <v>{BLACK}Cars: {GOLD}3</v>
      </c>
      <c r="CF20" s="1" t="s">
        <v>202</v>
      </c>
      <c r="CG20" s="1" t="str">
        <f aca="false">IF(BW20="buffet","{YELLOW}25% long distance bonus for consist{}",IF(BY20="BRAKE","{YELLOW}Speed bonus for slow wagons{}",IF(BU20&gt;190,CONCATENATE("{YELLOW}",INT((BU20-185)/1.85),"% bonus for long distance travel{}"),IF(AND(BU20&lt;180,BU20&lt;&gt;0),CONCATENATE("{YELLOW}",INT((185-BU20)/1.85),"% penalty for long distance travel{}"),""))))</f>
        <v/>
      </c>
      <c r="CH20" s="1" t="str">
        <f aca="false">_xlfn.CONCAT(CD20,IF(CD20 &lt;&gt; "", " ", ""),CE20,IF(OR(CE20&lt;&gt;"", CD20&lt;&gt;""), "{}",""), CC20, CG20,"{SILVER}", CF20)</f>
        <v>{BLACK}Powered by: {GOLD}Diesel {BLACK}Cars: {GOLD}3{}{BLACK}Length: {GOLD}2.3 tiles{}{SILVER}The Class 210 was an early design for the modernization of DMU services that became the Sprinter series. A diesel-electric design to a very high specification, but through gangways and above-solebar engines like the classic ‘Thumper’. This unit represents 210 002, the 3-car test unit.</v>
      </c>
      <c r="CI20" s="1"/>
      <c r="CJ20" s="1"/>
    </row>
    <row r="21" customFormat="false" ht="13.8" hidden="false" customHeight="false" outlineLevel="0" collapsed="false">
      <c r="A21" s="18" t="s">
        <v>203</v>
      </c>
      <c r="B21" s="18" t="s">
        <v>204</v>
      </c>
      <c r="C21" s="1" t="n">
        <v>251</v>
      </c>
      <c r="D21" s="18"/>
      <c r="E21" s="18" t="n">
        <v>27</v>
      </c>
      <c r="F21" s="18" t="s">
        <v>89</v>
      </c>
      <c r="G21" s="18" t="s">
        <v>90</v>
      </c>
      <c r="H21" s="18" t="s">
        <v>152</v>
      </c>
      <c r="I21" s="18" t="s">
        <v>153</v>
      </c>
      <c r="J21" s="18" t="n">
        <v>1960</v>
      </c>
      <c r="K21" s="18"/>
      <c r="L21" s="18" t="n">
        <v>1973</v>
      </c>
      <c r="M21" s="18" t="n">
        <v>8</v>
      </c>
      <c r="N21" s="18" t="n">
        <v>1000</v>
      </c>
      <c r="W21" s="18" t="n">
        <f aca="false">408/6*5</f>
        <v>340</v>
      </c>
      <c r="Y21" s="18" t="n">
        <v>3</v>
      </c>
      <c r="Z21" s="18" t="n">
        <v>155</v>
      </c>
      <c r="AA21" s="4" t="n">
        <f aca="false">IF(AND(W21&gt;0,Z21&gt;0),(Z21/((W21+X21)*10)),"")</f>
        <v>0.0455882352941176</v>
      </c>
      <c r="AB21" s="18" t="n">
        <v>90</v>
      </c>
      <c r="AC21" s="18" t="n">
        <f aca="false">ROUND(AB21*1.6, 0)</f>
        <v>144</v>
      </c>
      <c r="AD21" s="18"/>
      <c r="AE21" s="18"/>
      <c r="AF21" s="18" t="n">
        <v>20.26</v>
      </c>
      <c r="AG21" s="18" t="n">
        <v>20</v>
      </c>
      <c r="AH21" s="18" t="n">
        <v>2.9</v>
      </c>
      <c r="AI21" s="18" t="n">
        <v>3.77</v>
      </c>
      <c r="AJ21" s="5" t="n">
        <v>36</v>
      </c>
      <c r="AK21" s="19" t="str">
        <f aca="false">CONCATENATE(VLOOKUP(AL21, 'Voxel Sizes'!$A$2:$B$18,2,FALSE()),"x",INT(AH21*15), "x", INT(AI21*15))</f>
        <v>198x43x56</v>
      </c>
      <c r="AL21" s="18" t="n">
        <f aca="false">ROUND(15*((AG21*10)/256),0)</f>
        <v>12</v>
      </c>
      <c r="AM21" s="18"/>
      <c r="AN21" s="1" t="str">
        <f aca="false">CONCATENATE(VLOOKUP(AL21,Constants!$A$2:$C$16,IF(AM21&lt;&gt;"", 3, 2), FALSE()),IF(AM21&lt;&gt;"",CONCATENATE(",",VLOOKUP(AM21,$B:$AN,38,FALSE())),""))</f>
        <v>4,4,4</v>
      </c>
      <c r="AO21" s="18" t="s">
        <v>205</v>
      </c>
      <c r="AR21" s="18" t="s">
        <v>206</v>
      </c>
      <c r="AS21" s="18"/>
      <c r="AT21" s="18" t="s">
        <v>207</v>
      </c>
      <c r="AU21" s="18" t="s">
        <v>208</v>
      </c>
      <c r="AV21" s="18"/>
      <c r="AW21" s="18"/>
      <c r="AX21" s="18" t="n">
        <v>22</v>
      </c>
      <c r="AY21" s="6" t="n">
        <f aca="false">IF(L21&lt;&gt;"",MAX(16,(L21-J21)+8),"")</f>
        <v>21</v>
      </c>
      <c r="AZ21" s="18" t="n">
        <v>-10</v>
      </c>
      <c r="BA21" s="18" t="n">
        <v>-15</v>
      </c>
      <c r="BB21" s="18" t="n">
        <f aca="false">MIN(AB21/150, 1)*30</f>
        <v>18</v>
      </c>
      <c r="BC21" s="18" t="n">
        <f aca="false">MIN(N21/4000, 1)*20</f>
        <v>5</v>
      </c>
      <c r="BD21" s="18" t="n">
        <f aca="false">MIN(Z21/400,1)*20</f>
        <v>7.75</v>
      </c>
      <c r="BE21" s="4" t="n">
        <f aca="false">1-(MAX(J21-1900, 0)/750)</f>
        <v>0.92</v>
      </c>
      <c r="BF21" s="18" t="n">
        <f aca="false">((MAX($M21,1)*MIN($AJ21/300,1)))*IF(G21="Wagon",50,10)</f>
        <v>9.6</v>
      </c>
      <c r="BG21" s="1" t="n">
        <f aca="false">VLOOKUP($H21,Constants!$I:$K, 2, FALSE())</f>
        <v>1</v>
      </c>
      <c r="BH21" s="1" t="n">
        <f aca="false">VLOOKUP($H21,Constants!$I:$K, 3, FALSE())*IF(AND(G21="multiple_unit",AB21&lt;110),0.75,1)</f>
        <v>1.5</v>
      </c>
      <c r="BI21" s="18" t="n">
        <v>61</v>
      </c>
      <c r="BJ21" s="18" t="n">
        <v>101</v>
      </c>
      <c r="BK21" s="20" t="n">
        <f aca="false">BI21*IF($G21="wagon",62.5,781.25)</f>
        <v>47656.25</v>
      </c>
      <c r="BL21" s="20" t="n">
        <f aca="false">BJ21*IF($G21="wagon",2.73,81.25)</f>
        <v>8206.25</v>
      </c>
      <c r="BM21" s="18"/>
      <c r="BN21" s="18"/>
      <c r="BO21" s="18"/>
      <c r="BP21" s="18"/>
      <c r="BQ21" s="18"/>
      <c r="BR21" s="18"/>
      <c r="BS21" s="18" t="s">
        <v>209</v>
      </c>
      <c r="BT21" s="18" t="n">
        <v>2</v>
      </c>
      <c r="BU21" s="18" t="n">
        <v>222</v>
      </c>
      <c r="BV21" s="18"/>
      <c r="BW21" s="18"/>
      <c r="BX21" s="18" t="s">
        <v>95</v>
      </c>
      <c r="BY21" s="18" t="s">
        <v>210</v>
      </c>
      <c r="BZ21" s="18" t="s">
        <v>211</v>
      </c>
      <c r="CA21" s="1" t="str">
        <f aca="false">CONCATENATE(BY21,"_",BZ21)</f>
        <v>dsl_DMU (Express)</v>
      </c>
      <c r="CB21" s="1" t="str">
        <f aca="false">_xlfn.CONCAT(H21, "_",I21)</f>
        <v>diesel_RAIL</v>
      </c>
      <c r="CC21" s="21" t="str">
        <f aca="false" t="array" ref="CC21:CC21">_xlfn.CONCAT("{BLACK}Length: {GOLD}", TEXT(ROUNDUP(IF(AQ21&lt;&gt;"",SUM(VALUE(_xlfn.TEXTSPLIT(AQ21, ","))), SUM(VALUE(_xlfn.TEXTSPLIT(AN21, ",")))*IF(M21, M21, 1))/16, 1), "#,##0.0"), " tiles{}")</f>
        <v>{BLACK}Length: {GOLD}6.0 tiles{}</v>
      </c>
      <c r="CD21" s="1" t="str">
        <f aca="false">VLOOKUP($CB21, Constants!$M:$N, 2, FALSE())</f>
        <v>{BLACK}Powered by: {GOLD}Diesel</v>
      </c>
      <c r="CE21" s="1" t="str">
        <f aca="false">IF(M21&gt;1,_xlfn.CONCAT("{BLACK}Cars: {GOLD}", M21),"")</f>
        <v>{BLACK}Cars: {GOLD}8</v>
      </c>
      <c r="CF21" s="1" t="s">
        <v>212</v>
      </c>
      <c r="CG21" s="1" t="str">
        <f aca="false">IF(BW21="buffet","{YELLOW}25% long distance bonus for consist{}",IF(BY21="BRAKE","{YELLOW}Speed bonus for slow wagons{}",IF(BU21&gt;190,CONCATENATE("{YELLOW}",INT((BU21-185)/1.85),"% bonus for long distance travel{}"),IF(AND(BU21&lt;180,BU21&lt;&gt;0),CONCATENATE("{YELLOW}",INT((185-BU21)/1.85),"% penalty for long distance travel{}"),""))))</f>
        <v>{YELLOW}20% bonus for long distance travel{}</v>
      </c>
      <c r="CH21" s="1" t="str">
        <f aca="false">_xlfn.CONCAT(CD21,IF(CD21 &lt;&gt; "", " ", ""),CE21,IF(OR(CE21&lt;&gt;"", CD21&lt;&gt;""), "{}",""), CC21, CG21,"{SILVER}", CF21)</f>
        <v>{BLACK}Powered by: {GOLD}Diesel {BLACK}Cars: {GOLD}8{}{BLACK}Length: {GOLD}6.0 tiles{}{YELLOW}20% bonus for long distance travel{}{SILVER}The Blue Pullman is an express diesel multiple unit, designed to tempt motorists from their cars with a luxurious inter-city service. This is the 8-car “Western Region” set layout.</v>
      </c>
      <c r="CI21" s="1"/>
      <c r="CJ21" s="1"/>
    </row>
    <row r="22" s="18" customFormat="true" ht="13.8" hidden="false" customHeight="false" outlineLevel="0" collapsed="false">
      <c r="A22" s="18" t="s">
        <v>213</v>
      </c>
      <c r="B22" s="18" t="s">
        <v>214</v>
      </c>
      <c r="C22" s="1" t="n">
        <v>302</v>
      </c>
      <c r="D22" s="1"/>
      <c r="E22" s="1" t="n">
        <v>30</v>
      </c>
      <c r="F22" s="1" t="s">
        <v>89</v>
      </c>
      <c r="G22" s="1" t="s">
        <v>90</v>
      </c>
      <c r="H22" s="1" t="s">
        <v>91</v>
      </c>
      <c r="I22" s="1" t="s">
        <v>92</v>
      </c>
      <c r="J22" s="1" t="n">
        <v>1959</v>
      </c>
      <c r="K22" s="1" t="n">
        <v>1982</v>
      </c>
      <c r="L22" s="1" t="n">
        <v>1992</v>
      </c>
      <c r="M22" s="1" t="n">
        <v>4</v>
      </c>
      <c r="N22" s="1" t="n">
        <v>768</v>
      </c>
      <c r="O22" s="2"/>
      <c r="P22" s="3"/>
      <c r="Q22" s="3"/>
      <c r="R22" s="3"/>
      <c r="S22" s="3"/>
      <c r="T22" s="3"/>
      <c r="U22" s="3"/>
      <c r="V22" s="3"/>
      <c r="W22" s="1" t="n">
        <v>157</v>
      </c>
      <c r="X22" s="2"/>
      <c r="Y22" s="1" t="n">
        <v>5</v>
      </c>
      <c r="Z22" s="1" t="n">
        <v>130</v>
      </c>
      <c r="AA22" s="4" t="n">
        <f aca="false">IF(AND(W22&gt;0,Z22&gt;0),(Z22/((W22+X22)*10)),"")</f>
        <v>0.0828025477707006</v>
      </c>
      <c r="AB22" s="1" t="n">
        <v>75</v>
      </c>
      <c r="AC22" s="1" t="n">
        <f aca="false">ROUND(AB22*1.6, 0)</f>
        <v>120</v>
      </c>
      <c r="AD22" s="1"/>
      <c r="AE22" s="1"/>
      <c r="AF22" s="1" t="n">
        <v>20.3</v>
      </c>
      <c r="AG22" s="1" t="n">
        <v>20</v>
      </c>
      <c r="AH22" s="1" t="n">
        <v>2.82</v>
      </c>
      <c r="AI22" s="1" t="n">
        <v>3.97</v>
      </c>
      <c r="AJ22" s="5" t="n">
        <v>57</v>
      </c>
      <c r="AK22" s="19" t="str">
        <f aca="false">CONCATENATE(VLOOKUP(AL22, 'Voxel Sizes'!$A$2:$B$18,2,FALSE()),"x",INT(AH22*15), "x", INT(AI22*15))</f>
        <v>198x42x59</v>
      </c>
      <c r="AL22" s="1" t="n">
        <f aca="false">ROUND(15*((AG22*10)/256),0)</f>
        <v>12</v>
      </c>
      <c r="AM22" s="1"/>
      <c r="AN22" s="1" t="str">
        <f aca="false">CONCATENATE(VLOOKUP(AL22,Constants!$A$2:$C$16,IF(AM22&lt;&gt;"", 3, 2), FALSE()),IF(AM22&lt;&gt;"",CONCATENATE(",",VLOOKUP(AM22,$B:$AN,38,FALSE())),""))</f>
        <v>4,4,4</v>
      </c>
      <c r="AO22" s="1" t="n">
        <v>6</v>
      </c>
      <c r="AP22" s="7"/>
      <c r="AQ22" s="7"/>
      <c r="AR22" s="1" t="s">
        <v>215</v>
      </c>
      <c r="AS22" s="1"/>
      <c r="AT22" s="1" t="s">
        <v>194</v>
      </c>
      <c r="AU22" s="1" t="s">
        <v>216</v>
      </c>
      <c r="AV22" s="1"/>
      <c r="AW22" s="1"/>
      <c r="AX22" s="1" t="n">
        <v>32</v>
      </c>
      <c r="AY22" s="6" t="n">
        <f aca="false">IF(L22&lt;&gt;"",MAX(16,(L22-J22)+8),"")</f>
        <v>41</v>
      </c>
      <c r="AZ22" s="1" t="n">
        <v>-10</v>
      </c>
      <c r="BA22" s="1" t="n">
        <v>-20</v>
      </c>
      <c r="BB22" s="1" t="n">
        <f aca="false">MIN(AB22/150, 1)*30</f>
        <v>15</v>
      </c>
      <c r="BC22" s="1" t="n">
        <f aca="false">MIN(N22/4000, 1)*20</f>
        <v>3.84</v>
      </c>
      <c r="BD22" s="1" t="n">
        <f aca="false">MIN(Z22/400,1)*20</f>
        <v>6.5</v>
      </c>
      <c r="BE22" s="4" t="n">
        <f aca="false">1-(MAX(J22-1900, 0)/750)</f>
        <v>0.921333333333333</v>
      </c>
      <c r="BF22" s="1" t="n">
        <f aca="false">((MAX($M22,1)*MIN($AJ22/300,1)))*IF(G22="Wagon",50,10)</f>
        <v>7.6</v>
      </c>
      <c r="BG22" s="1" t="n">
        <f aca="false">VLOOKUP($H22,Constants!$I:$K, 2, FALSE())</f>
        <v>0.85</v>
      </c>
      <c r="BH22" s="1" t="n">
        <f aca="false">VLOOKUP($H22,Constants!$I:$K, 3, FALSE())*IF(AND(G22="multiple_unit",AB22&lt;110),0.75,1)</f>
        <v>1.725</v>
      </c>
      <c r="BI22" s="1" t="n">
        <v>54</v>
      </c>
      <c r="BJ22" s="1" t="n">
        <v>67</v>
      </c>
      <c r="BK22" s="20" t="n">
        <f aca="false">BI22*IF($G22="wagon",62.5,781.25)</f>
        <v>42187.5</v>
      </c>
      <c r="BL22" s="20" t="n">
        <f aca="false">BJ22*IF($G22="wagon",2.73,81.25)</f>
        <v>5443.75</v>
      </c>
      <c r="BM22" s="1"/>
      <c r="BN22" s="1"/>
      <c r="BO22" s="1"/>
      <c r="BP22" s="1"/>
      <c r="BQ22" s="1" t="str">
        <f aca="false">_xlfn.ORG.LIBREOFFICE.REGEX(_xlfn.ORG.LIBREOFFICE.REGEX(ACEMUVEHICLES, _xlfn.CONCAT(B22, ",?"), ""), ",$", "")</f>
        <v>class_302_parcels,class_309_2car,class_309_2_4car_buf,class_309_3_4car</v>
      </c>
      <c r="BR22" s="1"/>
      <c r="BS22" s="1"/>
      <c r="BT22" s="1" t="n">
        <v>6</v>
      </c>
      <c r="BU22" s="1" t="n">
        <v>185</v>
      </c>
      <c r="BV22" s="1"/>
      <c r="BW22" s="1"/>
      <c r="BX22" s="1" t="s">
        <v>95</v>
      </c>
      <c r="BY22" s="1" t="s">
        <v>210</v>
      </c>
      <c r="BZ22" s="18" t="s">
        <v>97</v>
      </c>
      <c r="CA22" s="1" t="str">
        <f aca="false">CONCATENATE(BY22,"_",BZ22)</f>
        <v>dsl_EMU</v>
      </c>
      <c r="CB22" s="1" t="str">
        <f aca="false">_xlfn.CONCAT(H22, "_",I22)</f>
        <v>electric_ELRL</v>
      </c>
      <c r="CC22" s="21" t="str">
        <f aca="false" t="array" ref="CC22:CC22">_xlfn.CONCAT("{BLACK}Length: {GOLD}", TEXT(ROUNDUP(IF(AQ22&lt;&gt;"",SUM(VALUE(_xlfn.TEXTSPLIT(AQ22, ","))), SUM(VALUE(_xlfn.TEXTSPLIT(AN22, ",")))*IF(M22, M22, 1))/16, 1), "#,##0.0"), " tiles{}")</f>
        <v>{BLACK}Length: {GOLD}3.0 tiles{}</v>
      </c>
      <c r="CD22" s="1" t="str">
        <f aca="false">VLOOKUP($CB22, Constants!$M:$N, 2, FALSE())</f>
        <v>{BLACK}Powered by: {GOLD}25kV AC</v>
      </c>
      <c r="CE22" s="1" t="str">
        <f aca="false">IF(M22&gt;1,_xlfn.CONCAT("{BLACK}Cars: {GOLD}", M22),"")</f>
        <v>{BLACK}Cars: {GOLD}4</v>
      </c>
      <c r="CF22" s="1" t="s">
        <v>217</v>
      </c>
      <c r="CG22" s="1" t="str">
        <f aca="false">IF(BW22="buffet","{YELLOW}25% long distance bonus for consist{}",IF(BY22="BRAKE","{YELLOW}Speed bonus for slow wagons{}",IF(BU22&gt;190,CONCATENATE("{YELLOW}",INT((BU22-185)/1.85),"% bonus for long distance travel{}"),IF(AND(BU22&lt;180,BU22&lt;&gt;0),CONCATENATE("{YELLOW}",INT((185-BU22)/1.85),"% penalty for long distance travel{}"),""))))</f>
        <v/>
      </c>
      <c r="CH22" s="1" t="str">
        <f aca="false">_xlfn.CONCAT(CD22,IF(CD22 &lt;&gt; "", " ", ""),CE22,IF(OR(CE22&lt;&gt;"", CD22&lt;&gt;""), "{}",""), CC22, CG22,"{SILVER}", CF22)</f>
        <v>{BLACK}Powered by: {GOLD}25kV AC {BLACK}Cars: {GOLD}4{}{BLACK}Length: {GOLD}3.0 tiles{}{SILVER}A suburban Mk1 EMU that mainly operated out of East London on the LT&amp;S line. Here we represent the refurbished condition of these units, which lasted until 1998.</v>
      </c>
      <c r="CI22" s="1"/>
      <c r="CJ22" s="1"/>
      <c r="CK22" s="1"/>
    </row>
    <row r="23" s="18" customFormat="true" ht="13.8" hidden="false" customHeight="false" outlineLevel="0" collapsed="false">
      <c r="A23" s="18" t="s">
        <v>218</v>
      </c>
      <c r="B23" s="18" t="s">
        <v>219</v>
      </c>
      <c r="C23" s="1" t="n">
        <v>303</v>
      </c>
      <c r="D23" s="1" t="n">
        <v>302</v>
      </c>
      <c r="E23" s="1" t="n">
        <v>32</v>
      </c>
      <c r="F23" s="1" t="s">
        <v>89</v>
      </c>
      <c r="G23" s="1" t="s">
        <v>90</v>
      </c>
      <c r="H23" s="1" t="s">
        <v>91</v>
      </c>
      <c r="I23" s="1" t="s">
        <v>92</v>
      </c>
      <c r="J23" s="1" t="n">
        <v>1959</v>
      </c>
      <c r="K23" s="1" t="n">
        <v>1982</v>
      </c>
      <c r="L23" s="1" t="n">
        <v>1992</v>
      </c>
      <c r="M23" s="1" t="n">
        <v>3</v>
      </c>
      <c r="N23" s="1" t="n">
        <v>768</v>
      </c>
      <c r="O23" s="2"/>
      <c r="P23" s="3"/>
      <c r="Q23" s="3"/>
      <c r="R23" s="3"/>
      <c r="S23" s="3"/>
      <c r="T23" s="3"/>
      <c r="U23" s="3"/>
      <c r="V23" s="3"/>
      <c r="W23" s="1" t="n">
        <v>124</v>
      </c>
      <c r="X23" s="2"/>
      <c r="Y23" s="1" t="n">
        <v>5</v>
      </c>
      <c r="Z23" s="1" t="n">
        <v>130</v>
      </c>
      <c r="AA23" s="4" t="n">
        <f aca="false">IF(AND(W23&gt;0,Z23&gt;0),(Z23/((W23+X23)*10)),"")</f>
        <v>0.104838709677419</v>
      </c>
      <c r="AB23" s="1" t="n">
        <v>75</v>
      </c>
      <c r="AC23" s="1" t="n">
        <f aca="false">ROUND(AB23*1.6, 0)</f>
        <v>120</v>
      </c>
      <c r="AD23" s="1"/>
      <c r="AE23" s="1"/>
      <c r="AF23" s="1" t="n">
        <v>20.3</v>
      </c>
      <c r="AG23" s="1" t="n">
        <v>20</v>
      </c>
      <c r="AH23" s="1" t="n">
        <v>2.82</v>
      </c>
      <c r="AI23" s="1" t="n">
        <v>3.97</v>
      </c>
      <c r="AJ23" s="5" t="n">
        <v>57</v>
      </c>
      <c r="AK23" s="19" t="str">
        <f aca="false">CONCATENATE(VLOOKUP(AL23, 'Voxel Sizes'!$A$2:$B$18,2,FALSE()),"x",INT(AH23*15), "x", INT(AI23*15))</f>
        <v>198x42x59</v>
      </c>
      <c r="AL23" s="1" t="n">
        <f aca="false">ROUND(15*((AG23*10)/256),0)</f>
        <v>12</v>
      </c>
      <c r="AM23" s="1"/>
      <c r="AN23" s="1" t="str">
        <f aca="false">CONCATENATE(VLOOKUP(AL23,Constants!$A$2:$C$16,IF(AM23&lt;&gt;"", 3, 2), FALSE()),IF(AM23&lt;&gt;"",CONCATENATE(",",VLOOKUP(AM23,$B:$AN,38,FALSE())),""))</f>
        <v>4,4,4</v>
      </c>
      <c r="AO23" s="1" t="n">
        <v>3</v>
      </c>
      <c r="AP23" s="7"/>
      <c r="AQ23" s="7"/>
      <c r="AR23" s="1" t="s">
        <v>220</v>
      </c>
      <c r="AS23" s="1"/>
      <c r="AT23" s="1" t="s">
        <v>162</v>
      </c>
      <c r="AU23" s="1" t="s">
        <v>221</v>
      </c>
      <c r="AV23" s="1"/>
      <c r="AW23" s="1"/>
      <c r="AX23" s="1" t="n">
        <v>32</v>
      </c>
      <c r="AY23" s="6" t="n">
        <f aca="false">IF(L23&lt;&gt;"",MAX(16,(L23-J23)+8),"")</f>
        <v>41</v>
      </c>
      <c r="AZ23" s="1" t="n">
        <v>-15</v>
      </c>
      <c r="BA23" s="1" t="n">
        <v>-20</v>
      </c>
      <c r="BB23" s="1" t="n">
        <f aca="false">MIN(AB23/150, 1)*30</f>
        <v>15</v>
      </c>
      <c r="BC23" s="1" t="n">
        <f aca="false">MIN(N23/4000, 1)*20</f>
        <v>3.84</v>
      </c>
      <c r="BD23" s="1" t="n">
        <f aca="false">MIN(Z23/400,1)*20</f>
        <v>6.5</v>
      </c>
      <c r="BE23" s="4" t="n">
        <f aca="false">1-(MAX(J23-1900, 0)/750)</f>
        <v>0.921333333333333</v>
      </c>
      <c r="BF23" s="1" t="n">
        <f aca="false">((MAX($M23,1)*MIN($AJ23/300,1)))*IF(G23="Wagon",50,10)</f>
        <v>5.7</v>
      </c>
      <c r="BG23" s="1" t="n">
        <f aca="false">VLOOKUP($H23,Constants!$I:$K, 2, FALSE())</f>
        <v>0.85</v>
      </c>
      <c r="BH23" s="1" t="n">
        <f aca="false">VLOOKUP($H23,Constants!$I:$K, 3, FALSE())*IF(AND(G23="multiple_unit",AB23&lt;110),0.75,1)</f>
        <v>1.725</v>
      </c>
      <c r="BI23" s="1" t="n">
        <v>50</v>
      </c>
      <c r="BJ23" s="1" t="n">
        <v>58</v>
      </c>
      <c r="BK23" s="20" t="n">
        <f aca="false">BI23*IF($G23="wagon",62.5,781.25)</f>
        <v>39062.5</v>
      </c>
      <c r="BL23" s="20" t="n">
        <f aca="false">BJ23*IF($G23="wagon",2.73,81.25)</f>
        <v>4712.5</v>
      </c>
      <c r="BM23" s="1"/>
      <c r="BN23" s="1"/>
      <c r="BO23" s="1"/>
      <c r="BP23" s="1"/>
      <c r="BQ23" s="1" t="str">
        <f aca="false">_xlfn.ORG.LIBREOFFICE.REGEX(_xlfn.ORG.LIBREOFFICE.REGEX(ACEMUVEHICLES, _xlfn.CONCAT(B23, ",?"), ""), ",$", "")</f>
        <v>class_302_4car,class_309_2car,class_309_2_4car_buf,class_309_3_4car</v>
      </c>
      <c r="BR23" s="1"/>
      <c r="BS23" s="1"/>
      <c r="BT23" s="1" t="n">
        <v>6</v>
      </c>
      <c r="BU23" s="1" t="n">
        <v>185</v>
      </c>
      <c r="BV23" s="1"/>
      <c r="BW23" s="1"/>
      <c r="BX23" s="1" t="s">
        <v>148</v>
      </c>
      <c r="BY23" s="1" t="s">
        <v>210</v>
      </c>
      <c r="BZ23" s="18" t="s">
        <v>97</v>
      </c>
      <c r="CA23" s="1" t="str">
        <f aca="false">CONCATENATE(BY23,"_",BZ23)</f>
        <v>dsl_EMU</v>
      </c>
      <c r="CB23" s="1" t="str">
        <f aca="false">_xlfn.CONCAT(H23, "_",I23)</f>
        <v>electric_ELRL</v>
      </c>
      <c r="CC23" s="21" t="str">
        <f aca="false" t="array" ref="CC23:CC23">_xlfn.CONCAT("{BLACK}Length: {GOLD}", TEXT(ROUNDUP(IF(AQ23&lt;&gt;"",SUM(VALUE(_xlfn.TEXTSPLIT(AQ23, ","))), SUM(VALUE(_xlfn.TEXTSPLIT(AN23, ",")))*IF(M23, M23, 1))/16, 1), "#,##0.0"), " tiles{}")</f>
        <v>{BLACK}Length: {GOLD}2.3 tiles{}</v>
      </c>
      <c r="CD23" s="1" t="str">
        <f aca="false">VLOOKUP($CB23, Constants!$M:$N, 2, FALSE())</f>
        <v>{BLACK}Powered by: {GOLD}25kV AC</v>
      </c>
      <c r="CE23" s="1" t="str">
        <f aca="false">IF(M23&gt;1,_xlfn.CONCAT("{BLACK}Cars: {GOLD}", M23),"")</f>
        <v>{BLACK}Cars: {GOLD}3</v>
      </c>
      <c r="CF23" s="1" t="s">
        <v>222</v>
      </c>
      <c r="CG23" s="1" t="str">
        <f aca="false">IF(BW23="buffet","{YELLOW}25% long distance bonus for consist{}",IF(BY23="BRAKE","{YELLOW}Speed bonus for slow wagons{}",IF(BU23&gt;190,CONCATENATE("{YELLOW}",INT((BU23-185)/1.85),"% bonus for long distance travel{}"),IF(AND(BU23&lt;180,BU23&lt;&gt;0),CONCATENATE("{YELLOW}",INT((185-BU23)/1.85),"% penalty for long distance travel{}"),""))))</f>
        <v/>
      </c>
      <c r="CH23" s="1" t="str">
        <f aca="false">_xlfn.CONCAT(CD23,IF(CD23 &lt;&gt; "", " ", ""),CE23,IF(OR(CE23&lt;&gt;"", CD23&lt;&gt;""), "{}",""), CC23, CG23,"{SILVER}", CF23)</f>
        <v>{BLACK}Powered by: {GOLD}25kV AC {BLACK}Cars: {GOLD}3{}{BLACK}Length: {GOLD}2.3 tiles{}{SILVER}A later conversion of the Class 302 to a parcels unit involved the addition of roller doors to the bodyside for faster loading and unloading. The prototypes were also painted in a striking Royal Mail red livery.</v>
      </c>
      <c r="CI23" s="1"/>
      <c r="CJ23" s="1"/>
      <c r="CK23" s="1"/>
    </row>
    <row r="24" customFormat="false" ht="13.8" hidden="false" customHeight="false" outlineLevel="0" collapsed="false">
      <c r="A24" s="18" t="s">
        <v>223</v>
      </c>
      <c r="B24" s="18" t="s">
        <v>224</v>
      </c>
      <c r="C24" s="1" t="n">
        <v>309</v>
      </c>
      <c r="D24" s="1" t="n">
        <v>310</v>
      </c>
      <c r="E24" s="1" t="n">
        <v>39</v>
      </c>
      <c r="F24" s="1" t="s">
        <v>89</v>
      </c>
      <c r="G24" s="1" t="s">
        <v>90</v>
      </c>
      <c r="H24" s="1" t="s">
        <v>91</v>
      </c>
      <c r="I24" s="1" t="s">
        <v>92</v>
      </c>
      <c r="J24" s="1" t="n">
        <v>1962</v>
      </c>
      <c r="K24" s="1" t="n">
        <v>1990</v>
      </c>
      <c r="L24" s="1" t="n">
        <v>2000</v>
      </c>
      <c r="M24" s="1" t="n">
        <v>2</v>
      </c>
      <c r="N24" s="1" t="n">
        <v>1128</v>
      </c>
      <c r="W24" s="1" t="n">
        <v>101</v>
      </c>
      <c r="Y24" s="1" t="n">
        <v>5</v>
      </c>
      <c r="Z24" s="1" t="n">
        <v>205</v>
      </c>
      <c r="AA24" s="4" t="n">
        <f aca="false">IF(AND(W24&gt;0,Z24&gt;0),(Z24/((W24+X24)*10)),"")</f>
        <v>0.202970297029703</v>
      </c>
      <c r="AB24" s="1" t="n">
        <v>100</v>
      </c>
      <c r="AC24" s="1" t="n">
        <f aca="false">ROUND(AB24*1.6, 0)</f>
        <v>160</v>
      </c>
      <c r="AF24" s="1" t="n">
        <v>20.3</v>
      </c>
      <c r="AG24" s="1" t="n">
        <v>20</v>
      </c>
      <c r="AH24" s="1" t="n">
        <v>2.82</v>
      </c>
      <c r="AI24" s="1" t="n">
        <v>3.97</v>
      </c>
      <c r="AJ24" s="5" t="n">
        <v>54</v>
      </c>
      <c r="AK24" s="19" t="str">
        <f aca="false">CONCATENATE(VLOOKUP(AL24, 'Voxel Sizes'!$A$2:$B$18,2,FALSE()),"x",INT(AH24*15), "x", INT(AI24*15))</f>
        <v>198x42x59</v>
      </c>
      <c r="AL24" s="1" t="n">
        <f aca="false">ROUND(15*((AG24*10)/256),0)</f>
        <v>12</v>
      </c>
      <c r="AN24" s="1" t="str">
        <f aca="false">CONCATENATE(VLOOKUP(AL24,Constants!$A$2:$C$16,IF(AM24&lt;&gt;"", 3, 2), FALSE()),IF(AM24&lt;&gt;"",CONCATENATE(",",VLOOKUP(AM24,$B:$AN,38,FALSE())),""))</f>
        <v>4,4,4</v>
      </c>
      <c r="AO24" s="1" t="n">
        <v>6</v>
      </c>
      <c r="AR24" s="1" t="s">
        <v>225</v>
      </c>
      <c r="AT24" s="1" t="s">
        <v>113</v>
      </c>
      <c r="AU24" s="1" t="s">
        <v>226</v>
      </c>
      <c r="AX24" s="1" t="n">
        <v>35</v>
      </c>
      <c r="AY24" s="6" t="n">
        <f aca="false">IF(L24&lt;&gt;"",MAX(16,(L24-J24)+8),"")</f>
        <v>46</v>
      </c>
      <c r="AZ24" s="1" t="n">
        <v>-15</v>
      </c>
      <c r="BA24" s="1" t="n">
        <v>-50</v>
      </c>
      <c r="BB24" s="1" t="n">
        <f aca="false">MIN(AB24/150, 1)*30</f>
        <v>20</v>
      </c>
      <c r="BC24" s="1" t="n">
        <f aca="false">MIN(N24/4000, 1)*20</f>
        <v>5.64</v>
      </c>
      <c r="BD24" s="1" t="n">
        <f aca="false">MIN(Z24/400,1)*20</f>
        <v>10.25</v>
      </c>
      <c r="BE24" s="4" t="n">
        <f aca="false">1-(MAX(J24-1900, 0)/750)</f>
        <v>0.917333333333333</v>
      </c>
      <c r="BF24" s="1" t="n">
        <f aca="false">((MAX($M24,1)*MIN($AJ24/300,1)))*IF(G24="Wagon",50,10)</f>
        <v>3.6</v>
      </c>
      <c r="BG24" s="1" t="n">
        <f aca="false">VLOOKUP($H24,Constants!$I:$K, 2, FALSE())</f>
        <v>0.85</v>
      </c>
      <c r="BH24" s="1" t="n">
        <f aca="false">VLOOKUP($H24,Constants!$I:$K, 3, FALSE())*IF(AND(G24="multiple_unit",AB24&lt;110),0.75,1)</f>
        <v>1.725</v>
      </c>
      <c r="BI24" s="1" t="n">
        <v>37</v>
      </c>
      <c r="BJ24" s="1" t="n">
        <v>74</v>
      </c>
      <c r="BK24" s="20" t="n">
        <f aca="false">BI24*IF($G24="wagon",62.5,781.25)</f>
        <v>28906.25</v>
      </c>
      <c r="BL24" s="20" t="n">
        <f aca="false">BJ24*IF($G24="wagon",2.73,81.25)</f>
        <v>6012.5</v>
      </c>
      <c r="BQ24" s="1" t="str">
        <f aca="false">_xlfn.ORG.LIBREOFFICE.REGEX(_xlfn.ORG.LIBREOFFICE.REGEX(ACEMUVEHICLES, _xlfn.CONCAT(B24, ",?"), ""), ",$", "")</f>
        <v>class_302_4car,class_302_parcels,class_309_2_4car_buf,class_309_3_4car</v>
      </c>
      <c r="BT24" s="1" t="n">
        <v>6</v>
      </c>
      <c r="BU24" s="1" t="n">
        <v>185</v>
      </c>
      <c r="BV24" s="1" t="s">
        <v>227</v>
      </c>
      <c r="BW24" s="18"/>
      <c r="BX24" s="1" t="s">
        <v>95</v>
      </c>
      <c r="BY24" s="1" t="s">
        <v>210</v>
      </c>
      <c r="BZ24" s="18" t="s">
        <v>228</v>
      </c>
      <c r="CA24" s="1" t="str">
        <f aca="false">CONCATENATE(BY24,"_",BZ24)</f>
        <v>dsl_EMU (Express)</v>
      </c>
      <c r="CB24" s="1" t="str">
        <f aca="false">_xlfn.CONCAT(H24, "_",I24)</f>
        <v>electric_ELRL</v>
      </c>
      <c r="CC24" s="21" t="str">
        <f aca="false" t="array" ref="CC24:CC24">_xlfn.CONCAT("{BLACK}Length: {GOLD}", TEXT(ROUNDUP(IF(AQ24&lt;&gt;"",SUM(VALUE(_xlfn.TEXTSPLIT(AQ24, ","))), SUM(VALUE(_xlfn.TEXTSPLIT(AN24, ",")))*IF(M24, M24, 1))/16, 1), "#,##0.0"), " tiles{}")</f>
        <v>{BLACK}Length: {GOLD}1.5 tiles{}</v>
      </c>
      <c r="CD24" s="1" t="str">
        <f aca="false">VLOOKUP($CB24, Constants!$M:$N, 2, FALSE())</f>
        <v>{BLACK}Powered by: {GOLD}25kV AC</v>
      </c>
      <c r="CE24" s="1" t="str">
        <f aca="false">IF(M24&gt;1,_xlfn.CONCAT("{BLACK}Cars: {GOLD}", M24),"")</f>
        <v>{BLACK}Cars: {GOLD}2</v>
      </c>
      <c r="CF24" s="1" t="s">
        <v>229</v>
      </c>
      <c r="CG24" s="1" t="str">
        <f aca="false">IF(BW24="buffet","{YELLOW}25% long distance bonus for consist{}",IF(BY24="BRAKE","{YELLOW}Speed bonus for slow wagons{}",IF(BU24&gt;190,CONCATENATE("{YELLOW}",INT((BU24-185)/1.85),"% bonus for long distance travel{}"),IF(AND(BU24&lt;180,BU24&lt;&gt;0),CONCATENATE("{YELLOW}",INT((185-BU24)/1.85),"% penalty for long distance travel{}"),""))))</f>
        <v/>
      </c>
      <c r="CH24" s="1" t="str">
        <f aca="false">_xlfn.CONCAT(CD24,IF(CD24 &lt;&gt; "", " ", ""),CE24,IF(OR(CE24&lt;&gt;"", CD24&lt;&gt;""), "{}",""), CC24, CG24,"{SILVER}", CF24)</f>
        <v>{BLACK}Powered by: {GOLD}25kV AC {BLACK}Cars: {GOLD}2{}{BLACK}Length: {GOLD}1.5 tiles{}{SILVER}The ‘Clacton’ units were iconic express EMUs of the GEML’s early electrification. This subclass represents a 2 car formation, used to boost 2nd class capacity and power on peak time services.</v>
      </c>
      <c r="CI24" s="1"/>
      <c r="CJ24" s="1"/>
    </row>
    <row r="25" customFormat="false" ht="13.8" hidden="false" customHeight="false" outlineLevel="0" collapsed="false">
      <c r="A25" s="18" t="s">
        <v>230</v>
      </c>
      <c r="B25" s="18" t="s">
        <v>231</v>
      </c>
      <c r="C25" s="1" t="n">
        <v>310</v>
      </c>
      <c r="E25" s="1" t="n">
        <v>40</v>
      </c>
      <c r="F25" s="1" t="s">
        <v>89</v>
      </c>
      <c r="G25" s="1" t="s">
        <v>90</v>
      </c>
      <c r="H25" s="1" t="s">
        <v>91</v>
      </c>
      <c r="I25" s="1" t="s">
        <v>92</v>
      </c>
      <c r="J25" s="1" t="n">
        <v>1962</v>
      </c>
      <c r="K25" s="1" t="n">
        <v>1990</v>
      </c>
      <c r="L25" s="1" t="n">
        <v>2000</v>
      </c>
      <c r="M25" s="1" t="n">
        <v>4</v>
      </c>
      <c r="N25" s="1" t="n">
        <v>1128</v>
      </c>
      <c r="W25" s="1" t="n">
        <v>171</v>
      </c>
      <c r="Y25" s="1" t="n">
        <v>5</v>
      </c>
      <c r="Z25" s="1" t="n">
        <v>205</v>
      </c>
      <c r="AA25" s="4" t="n">
        <f aca="false">IF(AND(W25&gt;0,Z25&gt;0),(Z25/((W25+X25)*10)),"")</f>
        <v>0.119883040935673</v>
      </c>
      <c r="AB25" s="1" t="n">
        <v>100</v>
      </c>
      <c r="AC25" s="1" t="n">
        <f aca="false">ROUND(AB25*1.6, 0)</f>
        <v>160</v>
      </c>
      <c r="AF25" s="1" t="n">
        <v>20.3</v>
      </c>
      <c r="AG25" s="1" t="n">
        <v>20</v>
      </c>
      <c r="AH25" s="1" t="n">
        <v>2.82</v>
      </c>
      <c r="AI25" s="1" t="n">
        <v>3.97</v>
      </c>
      <c r="AJ25" s="5" t="n">
        <v>41</v>
      </c>
      <c r="AK25" s="19" t="str">
        <f aca="false">CONCATENATE(VLOOKUP(AL25, 'Voxel Sizes'!$A$2:$B$18,2,FALSE()),"x",INT(AH25*15), "x", INT(AI25*15))</f>
        <v>198x42x59</v>
      </c>
      <c r="AL25" s="1" t="n">
        <f aca="false">ROUND(15*((AG25*10)/256),0)</f>
        <v>12</v>
      </c>
      <c r="AN25" s="1" t="str">
        <f aca="false">CONCATENATE(VLOOKUP(AL25,Constants!$A$2:$C$16,IF(AM25&lt;&gt;"", 3, 2), FALSE()),IF(AM25&lt;&gt;"",CONCATENATE(",",VLOOKUP(AM25,$B:$AN,38,FALSE())),""))</f>
        <v>4,4,4</v>
      </c>
      <c r="AO25" s="1" t="n">
        <v>6</v>
      </c>
      <c r="AR25" s="1" t="s">
        <v>232</v>
      </c>
      <c r="AT25" s="1" t="s">
        <v>233</v>
      </c>
      <c r="AU25" s="1" t="s">
        <v>234</v>
      </c>
      <c r="AX25" s="1" t="n">
        <v>35</v>
      </c>
      <c r="AY25" s="6" t="n">
        <f aca="false">IF(L25&lt;&gt;"",MAX(16,(L25-J25)+8),"")</f>
        <v>46</v>
      </c>
      <c r="AZ25" s="1" t="n">
        <v>25</v>
      </c>
      <c r="BA25" s="1" t="n">
        <v>-15</v>
      </c>
      <c r="BB25" s="1" t="n">
        <f aca="false">MIN(AB25/150, 1)*30</f>
        <v>20</v>
      </c>
      <c r="BC25" s="1" t="n">
        <f aca="false">MIN(N25/4000, 1)*20</f>
        <v>5.64</v>
      </c>
      <c r="BD25" s="1" t="n">
        <f aca="false">MIN(Z25/400,1)*20</f>
        <v>10.25</v>
      </c>
      <c r="BE25" s="4" t="n">
        <f aca="false">1-(MAX(J25-1900, 0)/750)</f>
        <v>0.917333333333333</v>
      </c>
      <c r="BF25" s="1" t="n">
        <f aca="false">((MAX($M25,1)*MIN($AJ25/300,1)))*IF(G25="Wagon",50,10)</f>
        <v>5.46666666666667</v>
      </c>
      <c r="BG25" s="1" t="n">
        <f aca="false">VLOOKUP($H25,Constants!$I:$K, 2, FALSE())</f>
        <v>0.85</v>
      </c>
      <c r="BH25" s="1" t="n">
        <f aca="false">VLOOKUP($H25,Constants!$I:$K, 3, FALSE())*IF(AND(G25="multiple_unit",AB25&lt;110),0.75,1)</f>
        <v>1.725</v>
      </c>
      <c r="BI25" s="1" t="n">
        <v>75</v>
      </c>
      <c r="BJ25" s="1" t="n">
        <v>118</v>
      </c>
      <c r="BK25" s="20" t="n">
        <f aca="false">BI25*IF($G25="wagon",62.5,781.25)</f>
        <v>58593.75</v>
      </c>
      <c r="BL25" s="20" t="n">
        <f aca="false">BJ25*IF($G25="wagon",2.73,81.25)</f>
        <v>9587.5</v>
      </c>
      <c r="BQ25" s="1" t="str">
        <f aca="false">_xlfn.ORG.LIBREOFFICE.REGEX(_xlfn.ORG.LIBREOFFICE.REGEX(ACEMUVEHICLES, _xlfn.CONCAT(B25, ",?"), ""), ",$", "")</f>
        <v>class_302_4car,class_302_parcels,class_309_2car,class_309_3_4car</v>
      </c>
      <c r="BT25" s="1" t="n">
        <v>6</v>
      </c>
      <c r="BU25" s="1" t="n">
        <v>185</v>
      </c>
      <c r="BV25" s="1" t="s">
        <v>227</v>
      </c>
      <c r="BW25" s="18" t="s">
        <v>235</v>
      </c>
      <c r="BX25" s="1" t="s">
        <v>95</v>
      </c>
      <c r="BY25" s="1" t="s">
        <v>210</v>
      </c>
      <c r="BZ25" s="18" t="s">
        <v>228</v>
      </c>
      <c r="CA25" s="1" t="str">
        <f aca="false">CONCATENATE(BY25,"_",BZ25)</f>
        <v>dsl_EMU (Express)</v>
      </c>
      <c r="CB25" s="1" t="str">
        <f aca="false">_xlfn.CONCAT(H25, "_",I25)</f>
        <v>electric_ELRL</v>
      </c>
      <c r="CC25" s="21" t="str">
        <f aca="false" t="array" ref="CC25:CC25">_xlfn.CONCAT("{BLACK}Length: {GOLD}", TEXT(ROUNDUP(IF(AQ25&lt;&gt;"",SUM(VALUE(_xlfn.TEXTSPLIT(AQ25, ","))), SUM(VALUE(_xlfn.TEXTSPLIT(AN25, ",")))*IF(M25, M25, 1))/16, 1), "#,##0.0"), " tiles{}")</f>
        <v>{BLACK}Length: {GOLD}3.0 tiles{}</v>
      </c>
      <c r="CD25" s="1" t="str">
        <f aca="false">VLOOKUP($CB25, Constants!$M:$N, 2, FALSE())</f>
        <v>{BLACK}Powered by: {GOLD}25kV AC</v>
      </c>
      <c r="CE25" s="1" t="str">
        <f aca="false">IF(M25&gt;1,_xlfn.CONCAT("{BLACK}Cars: {GOLD}", M25),"")</f>
        <v>{BLACK}Cars: {GOLD}4</v>
      </c>
      <c r="CF25" s="1" t="s">
        <v>236</v>
      </c>
      <c r="CG25" s="1" t="str">
        <f aca="false">IF(BW25="buffet","{YELLOW}25% long distance bonus for consist{}",IF(BY25="BRAKE","{YELLOW}Speed bonus for slow wagons{}",IF(BU25&gt;190,CONCATENATE("{YELLOW}",INT((BU25-185)/1.85),"% bonus for long distance travel{}"),IF(AND(BU25&lt;180,BU25&lt;&gt;0),CONCATENATE("{YELLOW}",INT((185-BU25)/1.85),"% penalty for long distance travel{}"),""))))</f>
        <v>{YELLOW}25% long distance bonus for consist{}</v>
      </c>
      <c r="CH25" s="1" t="str">
        <f aca="false">_xlfn.CONCAT(CD25,IF(CD25 &lt;&gt; "", " ", ""),CE25,IF(OR(CE25&lt;&gt;"", CD25&lt;&gt;""), "{}",""), CC25, CG25,"{SILVER}", CF25)</f>
        <v>{BLACK}Powered by: {GOLD}25kV AC {BLACK}Cars: {GOLD}4{}{BLACK}Length: {GOLD}3.0 tiles{}{YELLOW}25% long distance bonus for consist{}{SILVER}The ‘Clacton’ units were iconic express EMUs of the GEML’s early electrification. This subclass represents a 4 car formation complete with the famous ‘Griddle Car’ restaurant.</v>
      </c>
      <c r="CI25" s="1"/>
      <c r="CJ25" s="1"/>
    </row>
    <row r="26" customFormat="false" ht="13.8" hidden="false" customHeight="false" outlineLevel="0" collapsed="false">
      <c r="A26" s="18" t="s">
        <v>237</v>
      </c>
      <c r="B26" s="18" t="s">
        <v>238</v>
      </c>
      <c r="C26" s="1" t="n">
        <v>311</v>
      </c>
      <c r="D26" s="1" t="n">
        <v>310</v>
      </c>
      <c r="E26" s="1" t="n">
        <v>41</v>
      </c>
      <c r="F26" s="1" t="s">
        <v>89</v>
      </c>
      <c r="G26" s="1" t="s">
        <v>90</v>
      </c>
      <c r="H26" s="1" t="s">
        <v>91</v>
      </c>
      <c r="I26" s="1" t="s">
        <v>92</v>
      </c>
      <c r="J26" s="1" t="n">
        <v>1962</v>
      </c>
      <c r="K26" s="1" t="n">
        <v>1990</v>
      </c>
      <c r="L26" s="1" t="n">
        <v>2000</v>
      </c>
      <c r="M26" s="1" t="n">
        <v>4</v>
      </c>
      <c r="N26" s="1" t="n">
        <v>1128</v>
      </c>
      <c r="W26" s="1" t="n">
        <v>170</v>
      </c>
      <c r="Y26" s="1" t="n">
        <v>5</v>
      </c>
      <c r="Z26" s="1" t="n">
        <v>205</v>
      </c>
      <c r="AA26" s="4" t="n">
        <f aca="false">IF(AND(W26&gt;0,Z26&gt;0),(Z26/((W26+X26)*10)),"")</f>
        <v>0.120588235294118</v>
      </c>
      <c r="AB26" s="1" t="n">
        <v>100</v>
      </c>
      <c r="AC26" s="1" t="n">
        <f aca="false">ROUND(AB26*1.6, 0)</f>
        <v>160</v>
      </c>
      <c r="AF26" s="1" t="n">
        <v>20.3</v>
      </c>
      <c r="AG26" s="1" t="n">
        <v>20</v>
      </c>
      <c r="AH26" s="1" t="n">
        <v>2.82</v>
      </c>
      <c r="AI26" s="1" t="n">
        <v>3.97</v>
      </c>
      <c r="AJ26" s="5" t="n">
        <v>53</v>
      </c>
      <c r="AK26" s="19" t="str">
        <f aca="false">CONCATENATE(VLOOKUP(AL26, 'Voxel Sizes'!$A$2:$B$18,2,FALSE()),"x",INT(AH26*15), "x", INT(AI26*15))</f>
        <v>198x42x59</v>
      </c>
      <c r="AL26" s="1" t="n">
        <f aca="false">ROUND(15*((AG26*10)/256),0)</f>
        <v>12</v>
      </c>
      <c r="AN26" s="1" t="str">
        <f aca="false">CONCATENATE(VLOOKUP(AL26,Constants!$A$2:$C$16,IF(AM26&lt;&gt;"", 3, 2), FALSE()),IF(AM26&lt;&gt;"",CONCATENATE(",",VLOOKUP(AM26,$B:$AN,38,FALSE())),""))</f>
        <v>4,4,4</v>
      </c>
      <c r="AO26" s="1" t="n">
        <v>6</v>
      </c>
      <c r="AR26" s="1" t="s">
        <v>239</v>
      </c>
      <c r="AT26" s="1" t="s">
        <v>240</v>
      </c>
      <c r="AU26" s="1" t="s">
        <v>234</v>
      </c>
      <c r="AX26" s="1" t="n">
        <v>35</v>
      </c>
      <c r="AY26" s="6" t="n">
        <f aca="false">IF(L26&lt;&gt;"",MAX(16,(L26-J26)+8),"")</f>
        <v>46</v>
      </c>
      <c r="AZ26" s="1" t="n">
        <v>-10</v>
      </c>
      <c r="BA26" s="1" t="n">
        <v>-30</v>
      </c>
      <c r="BB26" s="1" t="n">
        <f aca="false">MIN(AB26/150, 1)*30</f>
        <v>20</v>
      </c>
      <c r="BC26" s="1" t="n">
        <f aca="false">MIN(N26/4000, 1)*20</f>
        <v>5.64</v>
      </c>
      <c r="BD26" s="1" t="n">
        <f aca="false">MIN(Z26/400,1)*20</f>
        <v>10.25</v>
      </c>
      <c r="BE26" s="4" t="n">
        <f aca="false">1-(MAX(J26-1900, 0)/750)</f>
        <v>0.917333333333333</v>
      </c>
      <c r="BF26" s="1" t="n">
        <f aca="false">((MAX($M26,1)*MIN($AJ26/300,1)))*IF(G26="Wagon",50,10)</f>
        <v>7.06666666666667</v>
      </c>
      <c r="BG26" s="1" t="n">
        <f aca="false">VLOOKUP($H26,Constants!$I:$K, 2, FALSE())</f>
        <v>0.85</v>
      </c>
      <c r="BH26" s="1" t="n">
        <f aca="false">VLOOKUP($H26,Constants!$I:$K, 3, FALSE())*IF(AND(G26="multiple_unit",AB26&lt;110),0.75,1)</f>
        <v>1.725</v>
      </c>
      <c r="BI26" s="1" t="n">
        <v>64</v>
      </c>
      <c r="BJ26" s="1" t="n">
        <v>86</v>
      </c>
      <c r="BK26" s="20" t="n">
        <f aca="false">BI26*IF($G26="wagon",62.5,781.25)</f>
        <v>50000</v>
      </c>
      <c r="BL26" s="20" t="n">
        <f aca="false">BJ26*IF($G26="wagon",2.73,81.25)</f>
        <v>6987.5</v>
      </c>
      <c r="BQ26" s="1" t="str">
        <f aca="false">_xlfn.ORG.LIBREOFFICE.REGEX(_xlfn.ORG.LIBREOFFICE.REGEX(ACEMUVEHICLES, _xlfn.CONCAT(B26, ",?"), ""), ",$", "")</f>
        <v>class_302_4car,class_302_parcels,class_309_2car,class_309_2_4car_buf</v>
      </c>
      <c r="BT26" s="1" t="n">
        <v>6</v>
      </c>
      <c r="BU26" s="1" t="n">
        <v>185</v>
      </c>
      <c r="BV26" s="1" t="s">
        <v>227</v>
      </c>
      <c r="BW26" s="18"/>
      <c r="BX26" s="1" t="s">
        <v>95</v>
      </c>
      <c r="BY26" s="1" t="s">
        <v>210</v>
      </c>
      <c r="BZ26" s="18" t="s">
        <v>228</v>
      </c>
      <c r="CA26" s="1" t="str">
        <f aca="false">CONCATENATE(BY26,"_",BZ26)</f>
        <v>dsl_EMU (Express)</v>
      </c>
      <c r="CB26" s="1" t="str">
        <f aca="false">_xlfn.CONCAT(H26, "_",I26)</f>
        <v>electric_ELRL</v>
      </c>
      <c r="CC26" s="21" t="str">
        <f aca="false" t="array" ref="CC26:CC26">_xlfn.CONCAT("{BLACK}Length: {GOLD}", TEXT(ROUNDUP(IF(AQ26&lt;&gt;"",SUM(VALUE(_xlfn.TEXTSPLIT(AQ26, ","))), SUM(VALUE(_xlfn.TEXTSPLIT(AN26, ",")))*IF(M26, M26, 1))/16, 1), "#,##0.0"), " tiles{}")</f>
        <v>{BLACK}Length: {GOLD}3.0 tiles{}</v>
      </c>
      <c r="CD26" s="1" t="str">
        <f aca="false">VLOOKUP($CB26, Constants!$M:$N, 2, FALSE())</f>
        <v>{BLACK}Powered by: {GOLD}25kV AC</v>
      </c>
      <c r="CE26" s="1" t="str">
        <f aca="false">IF(M26&gt;1,_xlfn.CONCAT("{BLACK}Cars: {GOLD}", M26),"")</f>
        <v>{BLACK}Cars: {GOLD}4</v>
      </c>
      <c r="CF26" s="1" t="s">
        <v>241</v>
      </c>
      <c r="CG26" s="1" t="str">
        <f aca="false">IF(BW26="buffet","{YELLOW}25% long distance bonus for consist{}",IF(BY26="BRAKE","{YELLOW}Speed bonus for slow wagons{}",IF(BU26&gt;190,CONCATENATE("{YELLOW}",INT((BU26-185)/1.85),"% bonus for long distance travel{}"),IF(AND(BU26&lt;180,BU26&lt;&gt;0),CONCATENATE("{YELLOW}",INT((185-BU26)/1.85),"% penalty for long distance travel{}"),""))))</f>
        <v/>
      </c>
      <c r="CH26" s="1" t="str">
        <f aca="false">_xlfn.CONCAT(CD26,IF(CD26 &lt;&gt; "", " ", ""),CE26,IF(OR(CE26&lt;&gt;"", CD26&lt;&gt;""), "{}",""), CC26, CG26,"{SILVER}", CF26)</f>
        <v>{BLACK}Powered by: {GOLD}25kV AC {BLACK}Cars: {GOLD}4{}{BLACK}Length: {GOLD}3.0 tiles{}{SILVER}The ‘Clacton’ units were iconic express EMUs of the GEML’s early electrification. This subclass represents a basic 4 car formation complete.</v>
      </c>
      <c r="CI26" s="1"/>
      <c r="CJ26" s="1"/>
    </row>
    <row r="27" customFormat="false" ht="13.8" hidden="false" customHeight="false" outlineLevel="0" collapsed="false">
      <c r="A27" s="18" t="s">
        <v>242</v>
      </c>
      <c r="B27" s="18" t="s">
        <v>243</v>
      </c>
      <c r="C27" s="1" t="n">
        <v>312</v>
      </c>
      <c r="E27" s="1" t="n">
        <v>45</v>
      </c>
      <c r="F27" s="1" t="s">
        <v>89</v>
      </c>
      <c r="G27" s="1" t="s">
        <v>90</v>
      </c>
      <c r="H27" s="1" t="s">
        <v>91</v>
      </c>
      <c r="I27" s="1" t="s">
        <v>92</v>
      </c>
      <c r="J27" s="1" t="n">
        <v>1975</v>
      </c>
      <c r="K27" s="1" t="n">
        <v>2010</v>
      </c>
      <c r="L27" s="1" t="n">
        <v>2015</v>
      </c>
      <c r="M27" s="1" t="n">
        <v>2</v>
      </c>
      <c r="N27" s="1" t="n">
        <v>248</v>
      </c>
      <c r="W27" s="1" t="n">
        <v>40</v>
      </c>
      <c r="Y27" s="1" t="n">
        <v>5</v>
      </c>
      <c r="Z27" s="1" t="n">
        <v>40</v>
      </c>
      <c r="AA27" s="4" t="n">
        <f aca="false">IF(AND(W27&gt;0,Z27&gt;0),(Z27/((W27+X27)*10)),"")</f>
        <v>0.1</v>
      </c>
      <c r="AB27" s="1" t="n">
        <v>50</v>
      </c>
      <c r="AC27" s="1" t="n">
        <f aca="false">ROUND(AB27*1.6, 0)</f>
        <v>80</v>
      </c>
      <c r="AF27" s="1" t="n">
        <v>13.9</v>
      </c>
      <c r="AG27" s="1" t="n">
        <v>13.9</v>
      </c>
      <c r="AH27" s="1" t="n">
        <v>2.65</v>
      </c>
      <c r="AI27" s="1" t="n">
        <v>3.16</v>
      </c>
      <c r="AJ27" s="5" t="n">
        <v>54</v>
      </c>
      <c r="AK27" s="19" t="str">
        <f aca="false">CONCATENATE(VLOOKUP(AL27, 'Voxel Sizes'!$A$2:$B$18,2,FALSE()),"x",INT(AH27*15), "x", INT(AI27*15))</f>
        <v>136x39x47</v>
      </c>
      <c r="AL27" s="1" t="n">
        <f aca="false">ROUND(15*((AG27*10)/256),0)</f>
        <v>8</v>
      </c>
      <c r="AN27" s="1" t="str">
        <f aca="false">CONCATENATE(VLOOKUP(AL27,Constants!$A$2:$C$16,IF(AM27&lt;&gt;"", 3, 2), FALSE()),IF(AM27&lt;&gt;"",CONCATENATE(",",VLOOKUP(AM27,$B:$AN,38,FALSE())),""))</f>
        <v>2,4,2</v>
      </c>
      <c r="AO27" s="1" t="n">
        <v>2</v>
      </c>
      <c r="AR27" s="1" t="s">
        <v>244</v>
      </c>
      <c r="AT27" s="1" t="s">
        <v>113</v>
      </c>
      <c r="AU27" s="1" t="s">
        <v>245</v>
      </c>
      <c r="AX27" s="1" t="n">
        <v>45</v>
      </c>
      <c r="AY27" s="6" t="n">
        <v>120</v>
      </c>
      <c r="BA27" s="1" t="n">
        <v>-10</v>
      </c>
      <c r="BB27" s="1" t="n">
        <f aca="false">MIN(AB27/150, 1)*30</f>
        <v>10</v>
      </c>
      <c r="BC27" s="1" t="n">
        <f aca="false">MIN(N27/4000, 1)*20</f>
        <v>1.24</v>
      </c>
      <c r="BD27" s="1" t="n">
        <f aca="false">MIN(Z27/400,1)*20</f>
        <v>2</v>
      </c>
      <c r="BE27" s="4" t="n">
        <f aca="false">1-(MAX(J27-1900, 0)/750)</f>
        <v>0.9</v>
      </c>
      <c r="BF27" s="1" t="n">
        <f aca="false">((MAX($M27,1)*MIN($AJ27/300,1)))*IF(G27="Wagon",50,10)</f>
        <v>3.6</v>
      </c>
      <c r="BG27" s="1" t="n">
        <f aca="false">VLOOKUP($H27,Constants!$I:$K, 2, FALSE())</f>
        <v>0.85</v>
      </c>
      <c r="BH27" s="1" t="n">
        <f aca="false">VLOOKUP($H27,Constants!$I:$K, 3, FALSE())*IF(AND(G27="multiple_unit",AB27&lt;110),0.75,1)</f>
        <v>1.725</v>
      </c>
      <c r="BI27" s="1" t="n">
        <v>30</v>
      </c>
      <c r="BJ27" s="1" t="n">
        <v>46</v>
      </c>
      <c r="BK27" s="20" t="n">
        <f aca="false">BI27*IF($G27="wagon",62.5,781.25)</f>
        <v>23437.5</v>
      </c>
      <c r="BL27" s="20" t="n">
        <f aca="false">BJ27*IF($G27="wagon",2.73,81.25)</f>
        <v>3737.5</v>
      </c>
      <c r="BT27" s="1" t="n">
        <v>9</v>
      </c>
      <c r="BU27" s="1" t="n">
        <v>148</v>
      </c>
      <c r="BV27" s="1" t="s">
        <v>227</v>
      </c>
      <c r="BW27" s="18"/>
      <c r="BX27" s="1" t="s">
        <v>95</v>
      </c>
      <c r="BY27" s="1" t="s">
        <v>164</v>
      </c>
      <c r="BZ27" s="18" t="s">
        <v>97</v>
      </c>
      <c r="CA27" s="1" t="str">
        <f aca="false">CONCATENATE(BY27,"_",BZ27)</f>
        <v>lbr_EMU</v>
      </c>
      <c r="CB27" s="1" t="str">
        <f aca="false">_xlfn.CONCAT(H27, "_",I27)</f>
        <v>electric_ELRL</v>
      </c>
      <c r="CC27" s="21" t="str">
        <f aca="false" t="array" ref="CC27:CC27">_xlfn.CONCAT("{BLACK}Length: {GOLD}", TEXT(ROUNDUP(IF(AQ27&lt;&gt;"",SUM(VALUE(_xlfn.TEXTSPLIT(AQ27, ","))), SUM(VALUE(_xlfn.TEXTSPLIT(AN27, ",")))*IF(M27, M27, 1))/16, 1), "#,##0.0"), " tiles{}")</f>
        <v>{BLACK}Length: {GOLD}1.0 tiles{}</v>
      </c>
      <c r="CD27" s="1" t="str">
        <f aca="false">VLOOKUP($CB27, Constants!$M:$N, 2, FALSE())</f>
        <v>{BLACK}Powered by: {GOLD}25kV AC</v>
      </c>
      <c r="CE27" s="1" t="str">
        <f aca="false">IF(M27&gt;1,_xlfn.CONCAT("{BLACK}Cars: {GOLD}", M27),"")</f>
        <v>{BLACK}Cars: {GOLD}2</v>
      </c>
      <c r="CF27" s="1" t="s">
        <v>246</v>
      </c>
      <c r="CG27" s="1" t="str">
        <f aca="false">IF(BW27="buffet","{YELLOW}25% long distance bonus for consist{}",IF(BY27="BRAKE","{YELLOW}Speed bonus for slow wagons{}",IF(BU27&gt;190,CONCATENATE("{YELLOW}",INT((BU27-185)/1.85),"% bonus for long distance travel{}"),IF(AND(BU27&lt;180,BU27&lt;&gt;0),CONCATENATE("{YELLOW}",INT((185-BU27)/1.85),"% penalty for long distance travel{}"),""))))</f>
        <v>{YELLOW}20% penalty for long distance travel{}</v>
      </c>
      <c r="CH27" s="1" t="str">
        <f aca="false">_xlfn.CONCAT(CD27,IF(CD27 &lt;&gt; "", " ", ""),CE27,IF(OR(CE27&lt;&gt;"", CD27&lt;&gt;""), "{}",""), CC27, CG27,"{SILVER}", CF27)</f>
        <v>{BLACK}Powered by: {GOLD}25kV AC {BLACK}Cars: {GOLD}2{}{BLACK}Length: {GOLD}1.0 tiles{}{YELLOW}20% penalty for long distance travel{}{SILVER}Tyne and Wear’s ‘Metrocars’ were built by Metro-Cammell to serve the Newcastle metro system in the northeast of England – an amalgamation of a number of suburban lines and newly built tunnels.</v>
      </c>
      <c r="CI27" s="1"/>
      <c r="CJ27" s="1"/>
    </row>
    <row r="28" s="18" customFormat="true" ht="13.8" hidden="false" customHeight="false" outlineLevel="0" collapsed="false">
      <c r="A28" s="1" t="s">
        <v>247</v>
      </c>
      <c r="B28" s="1" t="s">
        <v>248</v>
      </c>
      <c r="C28" s="1" t="n">
        <v>411</v>
      </c>
      <c r="D28" s="1"/>
      <c r="E28" s="1" t="n">
        <v>413</v>
      </c>
      <c r="F28" s="1" t="s">
        <v>89</v>
      </c>
      <c r="G28" s="1" t="s">
        <v>90</v>
      </c>
      <c r="H28" s="1" t="s">
        <v>91</v>
      </c>
      <c r="I28" s="1" t="s">
        <v>249</v>
      </c>
      <c r="J28" s="1" t="n">
        <v>1956</v>
      </c>
      <c r="K28" s="1" t="n">
        <v>1989</v>
      </c>
      <c r="L28" s="1" t="n">
        <v>2004</v>
      </c>
      <c r="M28" s="1" t="n">
        <v>4</v>
      </c>
      <c r="N28" s="1" t="n">
        <v>500</v>
      </c>
      <c r="O28" s="2"/>
      <c r="P28" s="3"/>
      <c r="Q28" s="3"/>
      <c r="R28" s="3"/>
      <c r="S28" s="3"/>
      <c r="T28" s="3"/>
      <c r="U28" s="3"/>
      <c r="V28" s="3"/>
      <c r="W28" s="1" t="n">
        <v>46.2</v>
      </c>
      <c r="X28" s="2"/>
      <c r="Y28" s="1" t="n">
        <v>5</v>
      </c>
      <c r="Z28" s="1" t="n">
        <v>95</v>
      </c>
      <c r="AA28" s="4" t="n">
        <f aca="false">IF(AND(W28&gt;0,Z28&gt;0),(Z28/((W28+X28)*10)),"")</f>
        <v>0.205627705627706</v>
      </c>
      <c r="AB28" s="1" t="n">
        <v>90</v>
      </c>
      <c r="AC28" s="1" t="n">
        <f aca="false">ROUND(AB28*1.6, 0)</f>
        <v>144</v>
      </c>
      <c r="AD28" s="1"/>
      <c r="AE28" s="1"/>
      <c r="AF28" s="1" t="n">
        <v>19.64</v>
      </c>
      <c r="AG28" s="1" t="n">
        <v>20</v>
      </c>
      <c r="AH28" s="1" t="n">
        <v>2.7</v>
      </c>
      <c r="AI28" s="1" t="n">
        <v>3.77</v>
      </c>
      <c r="AJ28" s="5" t="n">
        <v>56</v>
      </c>
      <c r="AK28" s="19" t="str">
        <f aca="false">CONCATENATE(VLOOKUP(AL28, 'Voxel Sizes'!$A$2:$B$18,2,FALSE()),"x",INT(AH28*15), "x", INT(AI28*15))</f>
        <v>198x40x56</v>
      </c>
      <c r="AL28" s="1" t="n">
        <f aca="false">ROUND(15*((AG28*10)/256),0)</f>
        <v>12</v>
      </c>
      <c r="AM28" s="1"/>
      <c r="AN28" s="1" t="str">
        <f aca="false">CONCATENATE(VLOOKUP(AL28,Constants!$A$2:$C$16,IF(AM28&lt;&gt;"", 3, 2), FALSE()),IF(AM28&lt;&gt;"",CONCATENATE(",",VLOOKUP(AM28,$B:$AN,38,FALSE())),""))</f>
        <v>4,4,4</v>
      </c>
      <c r="AO28" s="1"/>
      <c r="AP28" s="7"/>
      <c r="AQ28" s="7"/>
      <c r="AR28" s="1" t="s">
        <v>250</v>
      </c>
      <c r="AS28" s="1"/>
      <c r="AT28" s="1" t="s">
        <v>194</v>
      </c>
      <c r="AU28" s="1" t="s">
        <v>251</v>
      </c>
      <c r="AV28" s="1"/>
      <c r="AW28" s="1"/>
      <c r="AX28" s="1" t="n">
        <v>45</v>
      </c>
      <c r="AY28" s="6" t="n">
        <f aca="false">IF(L28&lt;&gt;"",MAX(16,(L28-J28)+8),"")</f>
        <v>56</v>
      </c>
      <c r="AZ28" s="1" t="n">
        <v>-10</v>
      </c>
      <c r="BA28" s="1"/>
      <c r="BB28" s="1" t="n">
        <f aca="false">MIN(AB28/150, 1)*30</f>
        <v>18</v>
      </c>
      <c r="BC28" s="1" t="n">
        <f aca="false">MIN(N28/4000, 1)*20</f>
        <v>2.5</v>
      </c>
      <c r="BD28" s="1" t="n">
        <f aca="false">MIN(Z28/400,1)*20</f>
        <v>4.75</v>
      </c>
      <c r="BE28" s="4" t="n">
        <f aca="false">1-(MAX(J28-1900, 0)/750)</f>
        <v>0.925333333333333</v>
      </c>
      <c r="BF28" s="1" t="n">
        <f aca="false">((MAX($M28,1)*MIN($AJ28/300,1)))*IF(G28="Wagon",50,10)</f>
        <v>7.46666666666667</v>
      </c>
      <c r="BG28" s="1" t="n">
        <f aca="false">VLOOKUP($H28,Constants!$I:$K, 2, FALSE())</f>
        <v>0.85</v>
      </c>
      <c r="BH28" s="1" t="n">
        <f aca="false">VLOOKUP($H28,Constants!$I:$K, 3, FALSE())*IF(AND(G28="multiple_unit",AB28&lt;110),0.75,1)</f>
        <v>1.725</v>
      </c>
      <c r="BI28" s="1" t="n">
        <f aca="false">INT(POWER(((Constants!$G$2+$BB28+$BC28+$BD28+$BF28)*$BE28)*$BH28, 1.05))+$BA28</f>
        <v>73</v>
      </c>
      <c r="BJ28" s="1" t="n">
        <f aca="false">INT(POWER((((Constants!$G$1+$BB28+$BC28+$BD28+$BF28)*($BE28))*$BG28),IF($G28="wagon",1,1.2)))+$AZ28</f>
        <v>67</v>
      </c>
      <c r="BK28" s="20" t="n">
        <f aca="false">BI28*IF($G28="wagon",62.5,781.25)</f>
        <v>57031.25</v>
      </c>
      <c r="BL28" s="20" t="n">
        <f aca="false">BJ28*IF($G28="wagon",2.73,81.25)</f>
        <v>5443.75</v>
      </c>
      <c r="BM28" s="1"/>
      <c r="BN28" s="1"/>
      <c r="BO28" s="1"/>
      <c r="BP28" s="1"/>
      <c r="BQ28" s="1" t="s">
        <v>252</v>
      </c>
      <c r="BR28" s="1"/>
      <c r="BS28" s="1"/>
      <c r="BT28" s="1" t="n">
        <v>2</v>
      </c>
      <c r="BU28" s="1"/>
      <c r="BV28" s="1"/>
      <c r="BW28" s="1"/>
      <c r="BX28" s="1" t="s">
        <v>95</v>
      </c>
      <c r="BY28" s="1" t="str">
        <f aca="false">VLOOKUP(J28,Eras!$A$2:$C$10, 2, TRUE())</f>
        <v>dsl</v>
      </c>
      <c r="BZ28" s="18" t="s">
        <v>97</v>
      </c>
      <c r="CA28" s="1" t="str">
        <f aca="false">CONCATENATE(BY28,"_",BZ28)</f>
        <v>dsl_EMU</v>
      </c>
      <c r="CB28" s="1" t="str">
        <f aca="false">_xlfn.CONCAT(H28, "_",I28)</f>
        <v>electric_THIRD_RAIL</v>
      </c>
      <c r="CC28" s="21" t="str">
        <f aca="false" t="array" ref="CC28:CC28">_xlfn.CONCAT("{BLACK}Length: {GOLD}", TEXT(ROUNDUP(IF(AQ28&lt;&gt;"",SUM(VALUE(_xlfn.TEXTSPLIT(AQ28, ","))), SUM(VALUE(_xlfn.TEXTSPLIT(AN28, ",")))*IF(M28, M28, 1))/16, 1), "#,##0.0"), " tiles{}")</f>
        <v>{BLACK}Length: {GOLD}3.0 tiles{}</v>
      </c>
      <c r="CD28" s="1" t="str">
        <f aca="false">VLOOKUP($CB28, Constants!$M:$N, 2, FALSE())</f>
        <v>{BLACK}Powered by: {GOLD}750V DC</v>
      </c>
      <c r="CE28" s="1" t="str">
        <f aca="false">IF(M28&gt;1,_xlfn.CONCAT("{BLACK}Cars: {GOLD}", M28),"")</f>
        <v>{BLACK}Cars: {GOLD}4</v>
      </c>
      <c r="CF28" s="1" t="s">
        <v>253</v>
      </c>
      <c r="CG28" s="1" t="str">
        <f aca="false">IF(BW28="buffet","{YELLOW}25% long distance bonus for consist{}",IF(BY28="BRAKE","{YELLOW}Speed bonus for slow wagons{}",IF(BU28&gt;190,CONCATENATE("{YELLOW}",INT((BU28-185)/1.85),"% bonus for long distance travel{}"),IF(AND(BU28&lt;180,BU28&lt;&gt;0),CONCATENATE("{YELLOW}",INT((185-BU28)/1.85),"% penalty for long distance travel{}"),""))))</f>
        <v/>
      </c>
      <c r="CH28" s="1" t="str">
        <f aca="false">_xlfn.CONCAT(CD28,IF(CD28 &lt;&gt; "", " ", ""),CE28,IF(OR(CE28&lt;&gt;"", CD28&lt;&gt;""), "{}",""), CC28, CG28,"{SILVER}", CF28)</f>
        <v>{BLACK}Powered by: {GOLD}750V DC {BLACK}Cars: {GOLD}4{}{BLACK}Length: {GOLD}3.0 tiles{}{SILVER}The archetypal Mk1 Express EMU – 4CEP units were an evolution of the earlier southern 4COR units. 133 were built and they enjoyed a long career into the early 2000s.</v>
      </c>
      <c r="CI28" s="1"/>
      <c r="CJ28" s="1"/>
      <c r="CK28" s="1"/>
    </row>
    <row r="29" customFormat="false" ht="13.8" hidden="false" customHeight="false" outlineLevel="0" collapsed="false">
      <c r="A29" s="1" t="s">
        <v>254</v>
      </c>
      <c r="B29" s="1" t="s">
        <v>255</v>
      </c>
      <c r="C29" s="1" t="n">
        <v>419</v>
      </c>
      <c r="E29" s="1" t="n">
        <v>421</v>
      </c>
      <c r="F29" s="1" t="s">
        <v>89</v>
      </c>
      <c r="G29" s="1" t="s">
        <v>147</v>
      </c>
      <c r="H29" s="1" t="s">
        <v>256</v>
      </c>
      <c r="I29" s="1" t="s">
        <v>257</v>
      </c>
      <c r="J29" s="1" t="n">
        <v>1959</v>
      </c>
      <c r="K29" s="1" t="n">
        <v>1989</v>
      </c>
      <c r="L29" s="1" t="n">
        <v>2004</v>
      </c>
      <c r="M29" s="1" t="n">
        <v>1</v>
      </c>
      <c r="N29" s="1" t="n">
        <v>500</v>
      </c>
      <c r="W29" s="1" t="n">
        <v>46.2</v>
      </c>
      <c r="Y29" s="1" t="n">
        <v>5</v>
      </c>
      <c r="Z29" s="1" t="n">
        <v>95</v>
      </c>
      <c r="AA29" s="4" t="n">
        <f aca="false">IF(AND(W29&gt;0,Z29&gt;0),(Z29/((W29+X29)*10)),"")</f>
        <v>0.205627705627706</v>
      </c>
      <c r="AB29" s="1" t="n">
        <v>90</v>
      </c>
      <c r="AC29" s="1" t="n">
        <f aca="false">ROUND(AB29*1.6, 0)</f>
        <v>144</v>
      </c>
      <c r="AF29" s="1" t="n">
        <v>19.64</v>
      </c>
      <c r="AG29" s="1" t="n">
        <v>20</v>
      </c>
      <c r="AH29" s="1" t="n">
        <v>2.7</v>
      </c>
      <c r="AI29" s="1" t="n">
        <v>3.77</v>
      </c>
      <c r="AJ29" s="5" t="n">
        <v>38</v>
      </c>
      <c r="AK29" s="19" t="str">
        <f aca="false">CONCATENATE(VLOOKUP(AL29, 'Voxel Sizes'!$A$2:$B$18,2,FALSE()),"x",INT(AH29*15), "x", INT(AI29*15))</f>
        <v>198x40x56</v>
      </c>
      <c r="AL29" s="1" t="n">
        <f aca="false">ROUND(15*((AG29*10)/256),0)</f>
        <v>12</v>
      </c>
      <c r="AN29" s="1" t="str">
        <f aca="false">CONCATENATE(VLOOKUP(AL29,Constants!$A$2:$C$16,IF(AM29&lt;&gt;"", 3, 2), FALSE()),IF(AM29&lt;&gt;"",CONCATENATE(",",VLOOKUP(AM29,$B:$AN,38,FALSE())),""))</f>
        <v>4,4,4</v>
      </c>
      <c r="AR29" s="1" t="s">
        <v>255</v>
      </c>
      <c r="AT29" s="1" t="n">
        <v>1</v>
      </c>
      <c r="AX29" s="1" t="n">
        <v>45</v>
      </c>
      <c r="AY29" s="6" t="n">
        <f aca="false">IF(L29&lt;&gt;"",MAX(16,(L29-J29)+8),"")</f>
        <v>53</v>
      </c>
      <c r="BA29" s="1" t="n">
        <v>-45</v>
      </c>
      <c r="BB29" s="1" t="n">
        <f aca="false">MIN(AB29/150, 1)*30</f>
        <v>18</v>
      </c>
      <c r="BC29" s="1" t="n">
        <f aca="false">MIN(N29/4000, 1)*20</f>
        <v>2.5</v>
      </c>
      <c r="BD29" s="1" t="n">
        <f aca="false">MIN(Z29/400,1)*20</f>
        <v>4.75</v>
      </c>
      <c r="BE29" s="4" t="n">
        <f aca="false">1-(MAX(J29-1900, 0)/750)</f>
        <v>0.921333333333333</v>
      </c>
      <c r="BF29" s="1" t="n">
        <f aca="false">((MAX($M29,1)*MIN($AJ29/300,1)))*IF(G29="Wagon",50,10)</f>
        <v>1.26666666666667</v>
      </c>
      <c r="BG29" s="1" t="n">
        <f aca="false">VLOOKUP($H29,Constants!$I:$K, 2, FALSE())</f>
        <v>0.9</v>
      </c>
      <c r="BH29" s="1" t="n">
        <f aca="false">VLOOKUP($H29,Constants!$I:$K, 3, FALSE())*IF(AND(G29="multiple_unit",AB29&lt;110),0.75,1)</f>
        <v>2.5</v>
      </c>
      <c r="BI29" s="1" t="n">
        <f aca="false">INT(POWER(((Constants!$G$2+$BB29+$BC29+$BD29+$BF29)*$BE29)*$BH29, 1.05))+$BA29</f>
        <v>44</v>
      </c>
      <c r="BJ29" s="1" t="n">
        <f aca="false">INT(POWER((((Constants!$G$1+$BB29+$BC29+$BD29+$BF29)*($BE29))*$BG29),IF($G29="wagon",1,1.2)))+$AZ29</f>
        <v>69</v>
      </c>
      <c r="BK29" s="20" t="n">
        <f aca="false">BI29*IF($G29="wagon",62.5,781.25)</f>
        <v>34375</v>
      </c>
      <c r="BL29" s="20" t="n">
        <f aca="false">BJ29*IF($G29="wagon",2.73,81.25)</f>
        <v>5606.25</v>
      </c>
      <c r="BQ29" s="1" t="s">
        <v>258</v>
      </c>
      <c r="BT29" s="1" t="n">
        <v>2</v>
      </c>
      <c r="BX29" s="1" t="s">
        <v>148</v>
      </c>
      <c r="BY29" s="1" t="str">
        <f aca="false">VLOOKUP(J29,Eras!$A$2:$C$10, 2, TRUE())</f>
        <v>dsl</v>
      </c>
      <c r="BZ29" s="18" t="s">
        <v>97</v>
      </c>
      <c r="CA29" s="1" t="str">
        <f aca="false">CONCATENATE(BY29,"_",BZ29)</f>
        <v>dsl_EMU</v>
      </c>
      <c r="CB29" s="1" t="str">
        <f aca="false">_xlfn.CONCAT(H29, "_",I29)</f>
        <v>dual_power_BATTERY</v>
      </c>
      <c r="CC29" s="21" t="str">
        <f aca="false" t="array" ref="CC29:CC29">_xlfn.CONCAT("{BLACK}Length: {GOLD}", TEXT(ROUNDUP(IF(AQ29&lt;&gt;"",SUM(VALUE(_xlfn.TEXTSPLIT(AQ29, ","))), SUM(VALUE(_xlfn.TEXTSPLIT(AN29, ",")))*IF(M29, M29, 1))/16, 1), "#,##0.0"), " tiles{}")</f>
        <v>{BLACK}Length: {GOLD}0.8 tiles{}</v>
      </c>
      <c r="CD29" s="1" t="str">
        <f aca="false">VLOOKUP($CB29, Constants!$M:$N, 2, FALSE())</f>
        <v>{BLACK}Powered by: {GOLD}750V DC / Battery</v>
      </c>
      <c r="CE29" s="1" t="str">
        <f aca="false">IF(M29&gt;1,_xlfn.CONCAT("{BLACK}Cars: {GOLD}", M29),"")</f>
        <v/>
      </c>
      <c r="CF29" s="1" t="s">
        <v>259</v>
      </c>
      <c r="CG29" s="1" t="str">
        <f aca="false">IF(BW29="buffet","{YELLOW}25% long distance bonus for consist{}",IF(BY29="BRAKE","{YELLOW}Speed bonus for slow wagons{}",IF(BU29&gt;190,CONCATENATE("{YELLOW}",INT((BU29-185)/1.85),"% bonus for long distance travel{}"),IF(AND(BU29&lt;180,BU29&lt;&gt;0),CONCATENATE("{YELLOW}",INT((185-BU29)/1.85),"% penalty for long distance travel{}"),""))))</f>
        <v/>
      </c>
      <c r="CH29" s="1" t="str">
        <f aca="false">_xlfn.CONCAT(CD29,IF(CD29 &lt;&gt; "", " ", ""),CE29,IF(OR(CE29&lt;&gt;"", CD29&lt;&gt;""), "{}",""), CC29, CG29,"{SILVER}", CF29)</f>
        <v>{BLACK}Powered by: {GOLD}750V DC / Battery {}{BLACK}Length: {GOLD}0.8 tiles{}{SILVER}The Class 419 Motor Luggage Van was used to extend the luggage capacity of express services and was capable of running on it’s own batteries within non-electrified areas.</v>
      </c>
      <c r="CI29" s="1"/>
      <c r="CJ29" s="1"/>
    </row>
    <row r="30" customFormat="false" ht="13.8" hidden="false" customHeight="false" outlineLevel="0" collapsed="false">
      <c r="A30" s="1" t="s">
        <v>260</v>
      </c>
      <c r="B30" s="1" t="s">
        <v>261</v>
      </c>
      <c r="C30" s="1" t="n">
        <v>489</v>
      </c>
      <c r="E30" s="1" t="n">
        <v>491</v>
      </c>
      <c r="F30" s="1" t="s">
        <v>89</v>
      </c>
      <c r="G30" s="1" t="s">
        <v>147</v>
      </c>
      <c r="H30" s="1" t="s">
        <v>91</v>
      </c>
      <c r="I30" s="1" t="s">
        <v>249</v>
      </c>
      <c r="J30" s="1" t="n">
        <v>1959</v>
      </c>
      <c r="K30" s="1" t="n">
        <v>1989</v>
      </c>
      <c r="L30" s="1" t="n">
        <v>2005</v>
      </c>
      <c r="M30" s="1" t="n">
        <v>1</v>
      </c>
      <c r="N30" s="1" t="n">
        <v>500</v>
      </c>
      <c r="W30" s="1" t="n">
        <v>40.5</v>
      </c>
      <c r="Y30" s="1" t="n">
        <v>5</v>
      </c>
      <c r="Z30" s="1" t="n">
        <v>95</v>
      </c>
      <c r="AA30" s="4" t="n">
        <f aca="false">IF(AND(W30&gt;0,Z30&gt;0),(Z30/((W30+X30)*10)),"")</f>
        <v>0.234567901234568</v>
      </c>
      <c r="AB30" s="1" t="n">
        <v>90</v>
      </c>
      <c r="AC30" s="1" t="n">
        <f aca="false">ROUND(AB30*1.6, 0)</f>
        <v>144</v>
      </c>
      <c r="AF30" s="1" t="n">
        <v>19.64</v>
      </c>
      <c r="AG30" s="1" t="n">
        <v>20</v>
      </c>
      <c r="AH30" s="1" t="n">
        <v>2.7</v>
      </c>
      <c r="AI30" s="1" t="n">
        <v>3.77</v>
      </c>
      <c r="AJ30" s="5" t="n">
        <v>38</v>
      </c>
      <c r="AK30" s="19" t="str">
        <f aca="false">CONCATENATE(VLOOKUP(AL30, 'Voxel Sizes'!$A$2:$B$18,2,FALSE()),"x",INT(AH30*15), "x", INT(AI30*15))</f>
        <v>198x40x56</v>
      </c>
      <c r="AL30" s="1" t="n">
        <f aca="false">ROUND(15*((AG30*10)/256),0)</f>
        <v>12</v>
      </c>
      <c r="AN30" s="1" t="str">
        <f aca="false">CONCATENATE(VLOOKUP(AL30,Constants!$A$2:$C$16,IF(AM30&lt;&gt;"", 3, 2), FALSE()),IF(AM30&lt;&gt;"",CONCATENATE(",",VLOOKUP(AM30,$B:$AN,38,FALSE())),""))</f>
        <v>4,4,4</v>
      </c>
      <c r="AR30" s="1" t="s">
        <v>261</v>
      </c>
      <c r="AT30" s="1" t="n">
        <v>1</v>
      </c>
      <c r="AX30" s="1" t="n">
        <v>45</v>
      </c>
      <c r="AY30" s="6" t="n">
        <f aca="false">IF(L30&lt;&gt;"",MAX(16,(L30-J30)+8),"")</f>
        <v>54</v>
      </c>
      <c r="BA30" s="1" t="n">
        <v>-45</v>
      </c>
      <c r="BB30" s="1" t="n">
        <f aca="false">MIN(AB30/150, 1)*30</f>
        <v>18</v>
      </c>
      <c r="BC30" s="1" t="n">
        <f aca="false">MIN(N30/4000, 1)*20</f>
        <v>2.5</v>
      </c>
      <c r="BD30" s="1" t="n">
        <f aca="false">MIN(Z30/400,1)*20</f>
        <v>4.75</v>
      </c>
      <c r="BE30" s="4" t="n">
        <f aca="false">1-(MAX(J30-1900, 0)/750)</f>
        <v>0.921333333333333</v>
      </c>
      <c r="BF30" s="1" t="n">
        <f aca="false">((MAX($M30,1)*MIN($AJ30/300,1)))*IF(G30="Wagon",50,10)</f>
        <v>1.26666666666667</v>
      </c>
      <c r="BG30" s="1" t="n">
        <f aca="false">VLOOKUP($H30,Constants!$I:$K, 2, FALSE())</f>
        <v>0.85</v>
      </c>
      <c r="BH30" s="1" t="n">
        <f aca="false">VLOOKUP($H30,Constants!$I:$K, 3, FALSE())*IF(AND(G30="multiple_unit",AB30&lt;110),0.75,1)</f>
        <v>2.3</v>
      </c>
      <c r="BI30" s="1" t="n">
        <f aca="false">INT(POWER(((Constants!$G$2+$BB30+$BC30+$BD30+$BF30)*$BE30)*$BH30, 1.05))+$BA30</f>
        <v>37</v>
      </c>
      <c r="BJ30" s="1" t="n">
        <f aca="false">INT(POWER((((Constants!$G$1+$BB30+$BC30+$BD30+$BF30)*($BE30))*$BG30),IF($G30="wagon",1,1.2)))+$AZ30</f>
        <v>65</v>
      </c>
      <c r="BK30" s="20" t="n">
        <f aca="false">BI30*IF($G30="wagon",62.5,781.25)</f>
        <v>28906.25</v>
      </c>
      <c r="BL30" s="20" t="n">
        <f aca="false">BJ30*IF($G30="wagon",2.73,81.25)</f>
        <v>5281.25</v>
      </c>
      <c r="BM30" s="1" t="n">
        <v>1</v>
      </c>
      <c r="BN30" s="1" t="n">
        <v>1</v>
      </c>
      <c r="BQ30" s="1" t="s">
        <v>262</v>
      </c>
      <c r="BT30" s="1" t="n">
        <v>2</v>
      </c>
      <c r="BX30" s="1" t="s">
        <v>148</v>
      </c>
      <c r="BY30" s="1" t="str">
        <f aca="false">VLOOKUP(J30,Eras!$A$2:$C$10, 2, TRUE())</f>
        <v>dsl</v>
      </c>
      <c r="BZ30" s="18" t="s">
        <v>97</v>
      </c>
      <c r="CA30" s="1" t="str">
        <f aca="false">CONCATENATE(BY30,"_",BZ30)</f>
        <v>dsl_EMU</v>
      </c>
      <c r="CB30" s="1" t="str">
        <f aca="false">_xlfn.CONCAT(H30, "_",I30)</f>
        <v>electric_THIRD_RAIL</v>
      </c>
      <c r="CC30" s="21" t="str">
        <f aca="false">_xlfn.CONCAT("{BLACK}Length: {GOLD}", TEXT(ROUNDUP(IF(AQ30&lt;&gt;"",SUM(VALUE(_xlfn.TEXTSPLIT(AQ30, ","))), SUM(VALUE(_xlfn.TEXTSPLIT(AN30, ",")))*IF(M30, M30, 1))/16, 1), "#,##0.0"), " tiles{}")</f>
        <v>{BLACK}Length: {GOLD}0.8 tiles{}</v>
      </c>
      <c r="CD30" s="1" t="str">
        <f aca="false">VLOOKUP($CB30, Constants!$M:$N, 2, FALSE())</f>
        <v>{BLACK}Powered by: {GOLD}750V DC</v>
      </c>
      <c r="CE30" s="1" t="str">
        <f aca="false">IF(M30&gt;1,_xlfn.CONCAT("{BLACK}Cars: {GOLD}", M30),"")</f>
        <v/>
      </c>
      <c r="CF30" s="1" t="s">
        <v>263</v>
      </c>
      <c r="CG30" s="1" t="str">
        <f aca="false">IF(BW30="buffet","{YELLOW}25% long distance bonus for consist{}",IF(BY30="BRAKE","{YELLOW}Speed bonus for slow wagons{}",IF(BU30&gt;190,CONCATENATE("{YELLOW}",INT((BU30-185)/1.85),"% bonus for long distance travel{}"),IF(AND(BU30&lt;180,BU30&lt;&gt;0),CONCATENATE("{YELLOW}",INT((185-BU30)/1.85),"% penalty for long distance travel{}"),""))))</f>
        <v/>
      </c>
      <c r="CH30" s="1" t="str">
        <f aca="false">_xlfn.CONCAT(CD30,IF(CD30 &lt;&gt; "", " ", ""),CE30,IF(OR(CE30&lt;&gt;"", CD30&lt;&gt;""), "{}",""), CC30, CG30,"{SILVER}", CF30)</f>
        <v>{BLACK}Powered by: {GOLD}750V DC {}{BLACK}Length: {GOLD}0.8 tiles{}{SILVER}A late conversion of the 2HAP driving motor to a cab and luggage car for Gatwick Express services</v>
      </c>
      <c r="CI30" s="1"/>
      <c r="CJ30" s="1"/>
    </row>
    <row r="31" customFormat="false" ht="13.8" hidden="false" customHeight="false" outlineLevel="0" collapsed="false">
      <c r="A31" s="1" t="s">
        <v>264</v>
      </c>
      <c r="B31" s="1" t="s">
        <v>265</v>
      </c>
      <c r="C31" s="1" t="n">
        <v>153</v>
      </c>
      <c r="E31" s="1" t="n">
        <v>155</v>
      </c>
      <c r="F31" s="1" t="s">
        <v>89</v>
      </c>
      <c r="G31" s="1" t="s">
        <v>90</v>
      </c>
      <c r="H31" s="1" t="s">
        <v>152</v>
      </c>
      <c r="I31" s="1" t="s">
        <v>153</v>
      </c>
      <c r="J31" s="1" t="n">
        <v>1991</v>
      </c>
      <c r="M31" s="1" t="n">
        <v>1</v>
      </c>
      <c r="N31" s="1" t="n">
        <v>285</v>
      </c>
      <c r="W31" s="1" t="n">
        <v>41.2</v>
      </c>
      <c r="Y31" s="1" t="n">
        <v>5</v>
      </c>
      <c r="Z31" s="1" t="n">
        <v>55</v>
      </c>
      <c r="AA31" s="4" t="n">
        <v>0.153631284916201</v>
      </c>
      <c r="AB31" s="1" t="n">
        <v>75</v>
      </c>
      <c r="AC31" s="1" t="n">
        <v>120</v>
      </c>
      <c r="AF31" s="1" t="n">
        <v>23.2</v>
      </c>
      <c r="AG31" s="1" t="n">
        <v>23.2</v>
      </c>
      <c r="AH31" s="1" t="n">
        <v>2.7</v>
      </c>
      <c r="AI31" s="1" t="n">
        <v>3.7</v>
      </c>
      <c r="AJ31" s="5" t="n">
        <v>72</v>
      </c>
      <c r="AK31" s="19" t="str">
        <f aca="false">CONCATENATE(VLOOKUP(AL31, 'Voxel Sizes'!$A$2:$B$18,2,FALSE()),"x",INT(AH31*15), "x", INT(AI31*15))</f>
        <v>238x40x55</v>
      </c>
      <c r="AL31" s="1" t="n">
        <f aca="false">ROUND(15*((AG31*10)/256),0)</f>
        <v>14</v>
      </c>
      <c r="AN31" s="1" t="str">
        <f aca="false">CONCATENATE(VLOOKUP(AL31,Constants!$A$2:$C$16,IF(AM31&lt;&gt;"", 3, 2), FALSE()),IF(AM31&lt;&gt;"",CONCATENATE(",",VLOOKUP(AM31,$B:$AN,38,FALSE())),""))</f>
        <v>4,6,4</v>
      </c>
      <c r="AR31" s="1" t="s">
        <v>265</v>
      </c>
      <c r="AT31" s="1" t="n">
        <v>1</v>
      </c>
      <c r="AX31" s="1" t="n">
        <v>33</v>
      </c>
      <c r="AZ31" s="1" t="n">
        <v>-10</v>
      </c>
      <c r="BA31" s="1" t="n">
        <v>-15</v>
      </c>
      <c r="BB31" s="1" t="n">
        <f aca="false">MIN(AB31/150, 1)*30</f>
        <v>15</v>
      </c>
      <c r="BC31" s="1" t="n">
        <f aca="false">MIN(N31/4000, 1)*20</f>
        <v>1.425</v>
      </c>
      <c r="BD31" s="1" t="n">
        <f aca="false">MIN(Z31/400,1)*20</f>
        <v>2.75</v>
      </c>
      <c r="BE31" s="4" t="n">
        <f aca="false">1-(MAX(J31-1900, 0)/750)</f>
        <v>0.878666666666667</v>
      </c>
      <c r="BF31" s="1" t="n">
        <f aca="false">((MAX($M31,1)*MIN($AJ31/300,1)))*IF(G31="Wagon",50,10)</f>
        <v>2.4</v>
      </c>
      <c r="BG31" s="1" t="n">
        <f aca="false">VLOOKUP($H31,Constants!$I:$K, 2, FALSE())</f>
        <v>1</v>
      </c>
      <c r="BH31" s="1" t="n">
        <f aca="false">VLOOKUP($H31,Constants!$I:$K, 3, FALSE())*IF(AND(G31="multiple_unit",AB31&lt;110),0.75,1)</f>
        <v>1.5</v>
      </c>
      <c r="BI31" s="1" t="n">
        <f aca="false">INT(POWER(((Constants!$G$2+$BB31+$BC31+$BD31+$BF31)*$BE31)*$BH31, 1.05))+$BA31</f>
        <v>26</v>
      </c>
      <c r="BJ31" s="1" t="n">
        <f aca="false">INT(POWER((((Constants!$G$1+$BB31+$BC31+$BD31+$BF31)*($BE31))*$BG31),IF($G31="wagon",1,1.2)))+$AZ31</f>
        <v>54</v>
      </c>
      <c r="BK31" s="20" t="n">
        <f aca="false">BI31*IF($G31="wagon",62.5,781.25)</f>
        <v>20312.5</v>
      </c>
      <c r="BL31" s="20" t="n">
        <f aca="false">BJ31*IF($G31="wagon",2.73,81.25)</f>
        <v>4387.5</v>
      </c>
      <c r="BQ31" s="1" t="s">
        <v>266</v>
      </c>
      <c r="BT31" s="1" t="n">
        <v>4</v>
      </c>
      <c r="BU31" s="1" t="n">
        <v>185</v>
      </c>
      <c r="BX31" s="1" t="s">
        <v>95</v>
      </c>
      <c r="BY31" s="1" t="str">
        <f aca="false">VLOOKUP(J31,Eras!$A$2:$C$10, 2, TRUE())</f>
        <v>lbr</v>
      </c>
      <c r="BZ31" s="18" t="s">
        <v>165</v>
      </c>
      <c r="CA31" s="1" t="s">
        <v>267</v>
      </c>
      <c r="CB31" s="1" t="s">
        <v>268</v>
      </c>
      <c r="CC31" s="21" t="str">
        <f aca="false">_xlfn.CONCAT("{BLACK}Length: {GOLD}", TEXT(ROUNDUP(IF(AQ31&lt;&gt;"",SUM(VALUE(_xlfn.TEXTSPLIT(AQ31, ","))), SUM(VALUE(_xlfn.TEXTSPLIT(AN31, ",")))*IF(M31, M31, 1))/16, 1), "#,##0.0"), " tiles{}")</f>
        <v>{BLACK}Length: {GOLD}0.9 tiles{}</v>
      </c>
      <c r="CD31" s="1" t="str">
        <f aca="false">VLOOKUP($CB31, Constants!$M:$N, 2, FALSE())</f>
        <v>{BLACK}Powered by: {GOLD}Diesel</v>
      </c>
      <c r="CE31" s="1" t="str">
        <f aca="false">IF(M31&gt;1,_xlfn.CONCAT("{BLACK}Cars: {GOLD}", M31),"")</f>
        <v/>
      </c>
      <c r="CF31" s="1" t="s">
        <v>269</v>
      </c>
      <c r="CG31" s="1" t="str">
        <f aca="false">IF(BW31="buffet","{YELLOW}25% long distance bonus for consist{}",IF(BY31="BRAKE","{YELLOW}Speed bonus for slow wagons{}",IF(BU31&gt;190,CONCATENATE("{YELLOW}",INT((BU31-185)/1.85),"% bonus for long distance travel{}"),IF(AND(BU31&lt;180,BU31&lt;&gt;0),CONCATENATE("{YELLOW}",INT((185-BU31)/1.85),"% penalty for long distance travel{}"),""))))</f>
        <v/>
      </c>
      <c r="CH31" s="1" t="str">
        <f aca="false">_xlfn.CONCAT(CD31,IF(CD31 &lt;&gt; "", " ", ""),CE31,IF(OR(CE31&lt;&gt;"", CD31&lt;&gt;""), "{}",""), CC31, CG31,"{SILVER}", CF31)</f>
        <v>{BLACK}Powered by: {GOLD}Diesel {}{BLACK}Length: {GOLD}0.9 tiles{}{SILVER}The Class 153 was a conversion of earlier Class 155 units, 35 of which were split in two with small cabs added at the inner ends.</v>
      </c>
      <c r="CI31" s="1"/>
      <c r="CJ31" s="1"/>
    </row>
    <row r="32" customFormat="false" ht="13.8" hidden="false" customHeight="false" outlineLevel="0" collapsed="false">
      <c r="A32" s="1" t="s">
        <v>270</v>
      </c>
      <c r="B32" s="1" t="s">
        <v>271</v>
      </c>
      <c r="C32" s="1" t="n">
        <v>154</v>
      </c>
      <c r="D32" s="1" t="n">
        <v>153</v>
      </c>
      <c r="E32" s="1" t="n">
        <v>156</v>
      </c>
      <c r="F32" s="1" t="s">
        <v>89</v>
      </c>
      <c r="G32" s="1" t="s">
        <v>90</v>
      </c>
      <c r="H32" s="1" t="s">
        <v>152</v>
      </c>
      <c r="I32" s="1" t="s">
        <v>153</v>
      </c>
      <c r="J32" s="1" t="n">
        <v>1991</v>
      </c>
      <c r="M32" s="1" t="n">
        <v>1</v>
      </c>
      <c r="N32" s="1" t="n">
        <v>285</v>
      </c>
      <c r="W32" s="1" t="n">
        <v>41.2</v>
      </c>
      <c r="Y32" s="1" t="n">
        <v>5</v>
      </c>
      <c r="Z32" s="1" t="n">
        <v>55</v>
      </c>
      <c r="AA32" s="4" t="n">
        <v>0.153631284916201</v>
      </c>
      <c r="AB32" s="1" t="n">
        <v>75</v>
      </c>
      <c r="AC32" s="1" t="n">
        <v>120</v>
      </c>
      <c r="AF32" s="1" t="n">
        <v>23.2</v>
      </c>
      <c r="AG32" s="1" t="n">
        <v>23.2</v>
      </c>
      <c r="AH32" s="1" t="n">
        <v>2.7</v>
      </c>
      <c r="AI32" s="1" t="n">
        <v>3.7</v>
      </c>
      <c r="AJ32" s="5" t="n">
        <v>60</v>
      </c>
      <c r="AK32" s="19" t="str">
        <f aca="false">CONCATENATE(VLOOKUP(AL32, 'Voxel Sizes'!$A$2:$B$18,2,FALSE()),"x",INT(AH32*15), "x", INT(AI32*15))</f>
        <v>238x40x55</v>
      </c>
      <c r="AL32" s="1" t="n">
        <f aca="false">ROUND(15*((AG32*10)/256),0)</f>
        <v>14</v>
      </c>
      <c r="AN32" s="1" t="str">
        <f aca="false">CONCATENATE(VLOOKUP(AL32,Constants!$A$2:$C$16,IF(AM32&lt;&gt;"", 3, 2), FALSE()),IF(AM32&lt;&gt;"",CONCATENATE(",",VLOOKUP(AM32,$B:$AN,38,FALSE())),""))</f>
        <v>4,6,4</v>
      </c>
      <c r="AR32" s="1" t="s">
        <v>271</v>
      </c>
      <c r="AT32" s="1" t="n">
        <v>1</v>
      </c>
      <c r="AX32" s="1" t="n">
        <v>33</v>
      </c>
      <c r="AZ32" s="1" t="n">
        <v>-10</v>
      </c>
      <c r="BA32" s="1" t="n">
        <v>-15</v>
      </c>
      <c r="BB32" s="1" t="n">
        <f aca="false">MIN(AB32/150, 1)*30</f>
        <v>15</v>
      </c>
      <c r="BC32" s="1" t="n">
        <f aca="false">MIN(N32/4000, 1)*20</f>
        <v>1.425</v>
      </c>
      <c r="BD32" s="1" t="n">
        <f aca="false">MIN(Z32/400,1)*20</f>
        <v>2.75</v>
      </c>
      <c r="BE32" s="4" t="n">
        <f aca="false">1-(MAX(J32-1900, 0)/750)</f>
        <v>0.878666666666667</v>
      </c>
      <c r="BF32" s="1" t="n">
        <f aca="false">((MAX($M32,1)*MIN($AJ32/300,1)))*IF(G32="Wagon",50,10)</f>
        <v>2</v>
      </c>
      <c r="BG32" s="1" t="n">
        <f aca="false">VLOOKUP($H32,Constants!$I:$K, 2, FALSE())</f>
        <v>1</v>
      </c>
      <c r="BH32" s="1" t="n">
        <f aca="false">VLOOKUP($H32,Constants!$I:$K, 3, FALSE())*IF(AND(G32="multiple_unit",AB32&lt;110),0.75,1)</f>
        <v>1.5</v>
      </c>
      <c r="BI32" s="1" t="n">
        <f aca="false">INT(POWER(((Constants!$G$2+$BB32+$BC32+$BD32+$BF32)*$BE32)*$BH32, 1.05))+$BA32</f>
        <v>26</v>
      </c>
      <c r="BJ32" s="1" t="n">
        <f aca="false">INT(POWER((((Constants!$G$1+$BB32+$BC32+$BD32+$BF32)*($BE32))*$BG32),IF($G32="wagon",1,1.2)))+$AZ32</f>
        <v>53</v>
      </c>
      <c r="BK32" s="20" t="n">
        <f aca="false">BI32*IF($G32="wagon",62.5,781.25)</f>
        <v>20312.5</v>
      </c>
      <c r="BL32" s="20" t="n">
        <f aca="false">BJ32*IF($G32="wagon",2.73,81.25)</f>
        <v>4306.25</v>
      </c>
      <c r="BQ32" s="1" t="s">
        <v>272</v>
      </c>
      <c r="BS32" s="1" t="s">
        <v>273</v>
      </c>
      <c r="BT32" s="1" t="n">
        <v>4</v>
      </c>
      <c r="BU32" s="1" t="n">
        <v>185</v>
      </c>
      <c r="BX32" s="1" t="s">
        <v>148</v>
      </c>
      <c r="BY32" s="1" t="str">
        <f aca="false">VLOOKUP(J32,Eras!$A$2:$C$10, 2, TRUE())</f>
        <v>lbr</v>
      </c>
      <c r="BZ32" s="18" t="s">
        <v>165</v>
      </c>
      <c r="CA32" s="1" t="s">
        <v>267</v>
      </c>
      <c r="CB32" s="1" t="s">
        <v>268</v>
      </c>
      <c r="CC32" s="21" t="str">
        <f aca="false">_xlfn.CONCAT("{BLACK}Length: {GOLD}", TEXT(ROUNDUP(IF(AQ32&lt;&gt;"",SUM(VALUE(_xlfn.TEXTSPLIT(AQ32, ","))), SUM(VALUE(_xlfn.TEXTSPLIT(AN32, ",")))*IF(M32, M32, 1))/16, 1), "#,##0.0"), " tiles{}")</f>
        <v>{BLACK}Length: {GOLD}0.9 tiles{}</v>
      </c>
      <c r="CD32" s="1" t="str">
        <f aca="false">VLOOKUP($CB32, Constants!$M:$N, 2, FALSE())</f>
        <v>{BLACK}Powered by: {GOLD}Diesel</v>
      </c>
      <c r="CE32" s="1" t="str">
        <f aca="false">IF(M32&gt;1,_xlfn.CONCAT("{BLACK}Cars: {GOLD}", M32),"")</f>
        <v/>
      </c>
      <c r="CF32" s="1" t="s">
        <v>274</v>
      </c>
      <c r="CG32" s="1" t="str">
        <f aca="false">IF(BW32="buffet","{YELLOW}25% long distance bonus for consist{}",IF(BY32="BRAKE","{YELLOW}Speed bonus for slow wagons{}",IF(BU32&gt;190,CONCATENATE("{YELLOW}",INT((BU32-185)/1.85),"% bonus for long distance travel{}"),IF(AND(BU32&lt;180,BU32&lt;&gt;0),CONCATENATE("{YELLOW}",INT((185-BU32)/1.85),"% penalty for long distance travel{}"),""))))</f>
        <v/>
      </c>
      <c r="CH32" s="1" t="str">
        <f aca="false">_xlfn.CONCAT(CD32,IF(CD32 &lt;&gt; "", " ", ""),CE32,IF(OR(CE32&lt;&gt;"", CD32&lt;&gt;""), "{}",""), CC32, CG32,"{SILVER}", CF32)</f>
        <v>{BLACK}Powered by: {GOLD}Diesel {}{BLACK}Length: {GOLD}0.9 tiles{}{SILVER}What if the class 153s were converted for parcels service rather than passenger use? This preceds the later use of the 153 as supplementary bike carriages or ‘active travel’ vehicles.</v>
      </c>
      <c r="CI32" s="1"/>
      <c r="CJ32" s="1"/>
    </row>
    <row r="33" customFormat="false" ht="13.8" hidden="false" customHeight="false" outlineLevel="0" collapsed="false">
      <c r="A33" s="18" t="s">
        <v>275</v>
      </c>
      <c r="B33" s="18" t="s">
        <v>276</v>
      </c>
      <c r="C33" s="18" t="n">
        <v>370</v>
      </c>
      <c r="D33" s="1" t="n">
        <v>372</v>
      </c>
      <c r="E33" s="18" t="n">
        <v>372</v>
      </c>
      <c r="F33" s="18" t="s">
        <v>89</v>
      </c>
      <c r="G33" s="18" t="s">
        <v>90</v>
      </c>
      <c r="H33" s="18" t="s">
        <v>277</v>
      </c>
      <c r="I33" s="18" t="s">
        <v>153</v>
      </c>
      <c r="J33" s="18" t="n">
        <v>1979</v>
      </c>
      <c r="K33" s="18" t="n">
        <v>1986</v>
      </c>
      <c r="L33" s="18" t="n">
        <v>1988</v>
      </c>
      <c r="M33" s="18" t="n">
        <v>6</v>
      </c>
      <c r="N33" s="18" t="n">
        <v>10</v>
      </c>
      <c r="W33" s="18" t="n">
        <v>164.8</v>
      </c>
      <c r="Y33" s="18" t="n">
        <v>4</v>
      </c>
      <c r="Z33" s="18" t="n">
        <v>5</v>
      </c>
      <c r="AA33" s="4" t="n">
        <f aca="false">IF(AND(W33&gt;0,Z33&gt;0),(Z33/((W33+X33)*10)),"")</f>
        <v>0.00303398058252427</v>
      </c>
      <c r="AB33" s="18" t="n">
        <v>155</v>
      </c>
      <c r="AC33" s="18" t="n">
        <f aca="false">ROUND(AB33*1.6, 0)</f>
        <v>248</v>
      </c>
      <c r="AD33" s="18"/>
      <c r="AE33" s="18"/>
      <c r="AF33" s="18" t="n">
        <v>20.9</v>
      </c>
      <c r="AG33" s="18" t="n">
        <v>20.9</v>
      </c>
      <c r="AH33" s="18" t="n">
        <v>2.7</v>
      </c>
      <c r="AI33" s="18" t="n">
        <v>3.5</v>
      </c>
      <c r="AJ33" s="5" t="n">
        <v>44</v>
      </c>
      <c r="AK33" s="19" t="str">
        <f aca="false">CONCATENATE(VLOOKUP(AL33, 'Voxel Sizes'!$A$2:$B$18,2,FALSE()),"x",INT(AH33*15), "x", INT(AI33*15))</f>
        <v>198x40x52</v>
      </c>
      <c r="AL33" s="18" t="n">
        <f aca="false">ROUND(15*((AG33*10)/256),0)</f>
        <v>12</v>
      </c>
      <c r="AM33" s="18"/>
      <c r="AN33" s="1" t="str">
        <f aca="false">CONCATENATE(VLOOKUP(AL33,Constants!$A$2:$C$16,IF(AM33&lt;&gt;"", 3, 2), FALSE()),IF(AM33&lt;&gt;"",CONCATENATE(",",VLOOKUP(AM33,$B:$AN,38,FALSE())),""))</f>
        <v>4,4,4</v>
      </c>
      <c r="AO33" s="18"/>
      <c r="AR33" s="18" t="s">
        <v>278</v>
      </c>
      <c r="AS33" s="18"/>
      <c r="AT33" s="18" t="s">
        <v>279</v>
      </c>
      <c r="AU33" s="18" t="s">
        <v>280</v>
      </c>
      <c r="AV33" s="18"/>
      <c r="AW33" s="18"/>
      <c r="AX33" s="18" t="n">
        <v>12</v>
      </c>
      <c r="AY33" s="6" t="n">
        <f aca="false">IF(L33&lt;&gt;"",MAX(16,(L33-J33)+8),"")</f>
        <v>17</v>
      </c>
      <c r="AZ33" s="18"/>
      <c r="BA33" s="18" t="n">
        <v>-20</v>
      </c>
      <c r="BB33" s="1" t="n">
        <f aca="false">MIN(AB33/150, 1)*30</f>
        <v>30</v>
      </c>
      <c r="BC33" s="1" t="n">
        <f aca="false">MIN(N33/4000, 1)*20</f>
        <v>0.05</v>
      </c>
      <c r="BD33" s="1" t="n">
        <f aca="false">MIN(Z33/400,1)*20</f>
        <v>0.25</v>
      </c>
      <c r="BE33" s="4" t="n">
        <f aca="false">1-(MAX(J33-1900, 0)/750)</f>
        <v>0.894666666666667</v>
      </c>
      <c r="BF33" s="1" t="n">
        <f aca="false">((MAX($M33,1)*MIN($AJ33/300,1)))*IF(G33="Wagon",50,10)</f>
        <v>8.8</v>
      </c>
      <c r="BG33" s="1" t="n">
        <f aca="false">VLOOKUP($H33,Constants!$I:$K, 2, FALSE())</f>
        <v>0.85</v>
      </c>
      <c r="BH33" s="1" t="n">
        <f aca="false">VLOOKUP($H33,Constants!$I:$K, 3, FALSE())*IF(AND(G33="multiple_unit",AB33&lt;110),0.75,1)</f>
        <v>2.3</v>
      </c>
      <c r="BI33" s="1" t="n">
        <f aca="false">INT(POWER(((Constants!$G$2+$BB33+$BC33+$BD33+$BF33)*$BE33)*$BH33, 1.05))+$BA33</f>
        <v>93</v>
      </c>
      <c r="BJ33" s="1" t="n">
        <f aca="false">INT(POWER((((Constants!$G$1+$BB33+$BC33+$BD33+$BF33)*($BE33))*$BG33),IF($G33="wagon",1,1.2)))+$AZ33</f>
        <v>86</v>
      </c>
      <c r="BK33" s="20" t="n">
        <f aca="false">BI33*IF($G33="wagon",62.5,781.25)</f>
        <v>72656.25</v>
      </c>
      <c r="BL33" s="20" t="n">
        <f aca="false">BJ33*IF($G33="wagon",2.73,81.25)</f>
        <v>6987.5</v>
      </c>
      <c r="BP33" s="18" t="n">
        <v>1</v>
      </c>
      <c r="BQ33" s="18" t="str">
        <f aca="false">_xlfn.ORG.LIBREOFFICE.REGEX(_xlfn.ORG.LIBREOFFICE.REGEX(APTMUVehicles, _xlfn.CONCAT(B33, ",?"), ""), ",$", "")</f>
        <v>apt_half_6_rev,apt_powercar,apt_half_2,apt_half_2_rev,apt_q_dvt,apt_s_dm,apt_s_10,apt_s_6</v>
      </c>
      <c r="BR33" s="18"/>
      <c r="BS33" s="18" t="s">
        <v>209</v>
      </c>
      <c r="BT33" s="18" t="n">
        <v>8</v>
      </c>
      <c r="BU33" s="18" t="n">
        <v>222</v>
      </c>
      <c r="BX33" s="18" t="s">
        <v>95</v>
      </c>
      <c r="BY33" s="1" t="str">
        <f aca="false">VLOOKUP(J33,Eras!$A$2:$C$10, 2, TRUE())</f>
        <v>lbr</v>
      </c>
      <c r="BZ33" s="18" t="s">
        <v>228</v>
      </c>
      <c r="CA33" s="18" t="str">
        <f aca="false">CONCATENATE(BY33,"_",BZ33)</f>
        <v>lbr_EMU (Express)</v>
      </c>
      <c r="CB33" s="18" t="str">
        <f aca="false">_xlfn.CONCAT(H33, "_",I33)</f>
        <v>none_RAIL</v>
      </c>
      <c r="CC33" s="21" t="s">
        <v>281</v>
      </c>
      <c r="CD33" s="1" t="str">
        <f aca="false">VLOOKUP($CB33, Constants!$M:$N, 2, FALSE())</f>
        <v/>
      </c>
      <c r="CE33" s="1" t="str">
        <f aca="false">IF(M33&gt;1,_xlfn.CONCAT("{BLACK}Cars: {GOLD}", M33),"")</f>
        <v>{BLACK}Cars: {GOLD}6</v>
      </c>
      <c r="CF33" s="18" t="s">
        <v>282</v>
      </c>
      <c r="CG33" s="1" t="str">
        <f aca="false">IF(BW33="buffet","{YELLOW}25% long distance bonus for consist{}",IF(BY33="BRAKE","{YELLOW}Speed bonus for slow wagons{}",IF(BU33&gt;190,CONCATENATE("{YELLOW}",INT((BU33-185)/1.85),"% bonus for long distance travel{}"),IF(AND(BU33&lt;180,BU33&lt;&gt;0),CONCATENATE("{YELLOW}",INT((185-BU33)/1.85),"% penalty for long distance travel{}"),""))))</f>
        <v>{YELLOW}20% bonus for long distance travel{}</v>
      </c>
      <c r="CH33" s="18" t="str">
        <f aca="false">_xlfn.CONCAT(CD33,IF(CD33 &lt;&gt; "", " ", ""),CE33,IF(OR(CE33&lt;&gt;"", CD33&lt;&gt;""), "{}",""), CC33, CG33,"{SILVER}", CF33)</f>
        <v>{BLACK}Cars: {GOLD}6{}{BLACK}Length: {GOLD}0.9 tiles{}{YELLOW}20% bonus for long distance travel{}{SILVER}A 6-car unpowered half-rake of APT-P vehicles. Pair with the Non-Driving power car and a reversed set for a complete unit.</v>
      </c>
      <c r="CI33" s="18"/>
      <c r="CJ33" s="18"/>
    </row>
    <row r="34" customFormat="false" ht="13.8" hidden="false" customHeight="false" outlineLevel="0" collapsed="false">
      <c r="A34" s="1" t="s">
        <v>283</v>
      </c>
      <c r="B34" s="1" t="s">
        <v>284</v>
      </c>
      <c r="C34" s="1" t="n">
        <v>371</v>
      </c>
      <c r="D34" s="1" t="n">
        <v>372</v>
      </c>
      <c r="E34" s="1" t="n">
        <v>373</v>
      </c>
      <c r="F34" s="1" t="s">
        <v>89</v>
      </c>
      <c r="G34" s="1" t="s">
        <v>285</v>
      </c>
      <c r="H34" s="1" t="s">
        <v>277</v>
      </c>
      <c r="I34" s="1" t="s">
        <v>153</v>
      </c>
      <c r="J34" s="1" t="n">
        <v>1979</v>
      </c>
      <c r="K34" s="1" t="n">
        <v>1986</v>
      </c>
      <c r="L34" s="1" t="n">
        <v>1988</v>
      </c>
      <c r="M34" s="1" t="n">
        <v>6</v>
      </c>
      <c r="N34" s="1" t="n">
        <v>10</v>
      </c>
      <c r="W34" s="1" t="n">
        <v>164.8</v>
      </c>
      <c r="Y34" s="1" t="n">
        <v>4</v>
      </c>
      <c r="Z34" s="1" t="n">
        <v>5</v>
      </c>
      <c r="AA34" s="4" t="n">
        <f aca="false">IF(AND(W34&gt;0,Z34&gt;0),(Z34/((W34+X34)*10)),"")</f>
        <v>0.00303398058252427</v>
      </c>
      <c r="AB34" s="1" t="n">
        <v>155</v>
      </c>
      <c r="AC34" s="1" t="n">
        <f aca="false">ROUND(AB34*1.6, 0)</f>
        <v>248</v>
      </c>
      <c r="AF34" s="1" t="n">
        <v>20.9</v>
      </c>
      <c r="AG34" s="1" t="n">
        <v>20.9</v>
      </c>
      <c r="AH34" s="1" t="n">
        <v>2.7</v>
      </c>
      <c r="AI34" s="1" t="n">
        <v>3.5</v>
      </c>
      <c r="AJ34" s="5" t="n">
        <v>44</v>
      </c>
      <c r="AK34" s="19" t="str">
        <f aca="false">CONCATENATE(VLOOKUP(AL34, 'Voxel Sizes'!$A$2:$B$18,2,FALSE()),"x",INT(AH34*15), "x", INT(AI34*15))</f>
        <v>198x40x52</v>
      </c>
      <c r="AL34" s="1" t="n">
        <f aca="false">ROUND(15*((AG34*10)/256),0)</f>
        <v>12</v>
      </c>
      <c r="AN34" s="1" t="str">
        <f aca="false">CONCATENATE(VLOOKUP(AL34,Constants!$A$2:$C$16,IF(AM34&lt;&gt;"", 3, 2), FALSE()),IF(AM34&lt;&gt;"",CONCATENATE(",",VLOOKUP(AM34,$B:$AN,38,FALSE())),""))</f>
        <v>4,4,4</v>
      </c>
      <c r="AR34" s="1" t="s">
        <v>286</v>
      </c>
      <c r="AT34" s="1" t="s">
        <v>287</v>
      </c>
      <c r="AU34" s="1" t="s">
        <v>288</v>
      </c>
      <c r="AX34" s="1" t="n">
        <v>12</v>
      </c>
      <c r="AY34" s="6" t="n">
        <f aca="false">IF(L34&lt;&gt;"",MAX(16,(L34-J34)+8),"")</f>
        <v>17</v>
      </c>
      <c r="AZ34" s="1" t="n">
        <v>-20</v>
      </c>
      <c r="BA34" s="1" t="n">
        <v>-20</v>
      </c>
      <c r="BB34" s="1" t="n">
        <f aca="false">MIN(AB34/150, 1)*30</f>
        <v>30</v>
      </c>
      <c r="BC34" s="1" t="n">
        <f aca="false">MIN(N34/4000, 1)*20</f>
        <v>0.05</v>
      </c>
      <c r="BD34" s="1" t="n">
        <f aca="false">MIN(Z34/400,1)*20</f>
        <v>0.25</v>
      </c>
      <c r="BE34" s="4" t="n">
        <f aca="false">1-(MAX(J34-1900, 0)/750)</f>
        <v>0.894666666666667</v>
      </c>
      <c r="BF34" s="1" t="n">
        <f aca="false">((MAX($M34,1)*MIN($AJ34/300,1)))*IF(G34="Wagon",50,10)</f>
        <v>8.8</v>
      </c>
      <c r="BG34" s="1" t="n">
        <f aca="false">VLOOKUP($H34,Constants!$I:$K, 2, FALSE())</f>
        <v>0.85</v>
      </c>
      <c r="BH34" s="1" t="n">
        <f aca="false">VLOOKUP($H34,Constants!$I:$K, 3, FALSE())*IF(AND(G34="multiple_unit",AB34&lt;110),0.75,1)</f>
        <v>2.3</v>
      </c>
      <c r="BI34" s="1" t="n">
        <f aca="false">INT(POWER(((Constants!$G$2+$BB34+$BC34+$BD34+$BF34)*$BE34)*$BH34, 1.05))+$BA34</f>
        <v>93</v>
      </c>
      <c r="BJ34" s="1" t="n">
        <f aca="false">INT(POWER((((Constants!$G$1+$BB34+$BC34+$BD34+$BF34)*($BE34))*$BG34),IF($G34="wagon",1,1.2)))+$AZ34</f>
        <v>66</v>
      </c>
      <c r="BK34" s="20" t="n">
        <f aca="false">BI34*IF($G34="wagon",62.5,781.25)</f>
        <v>72656.25</v>
      </c>
      <c r="BL34" s="20" t="n">
        <f aca="false">BJ34*IF($G34="wagon",2.73,81.25)</f>
        <v>5362.5</v>
      </c>
      <c r="BO34" s="1" t="n">
        <v>1</v>
      </c>
      <c r="BP34" s="1" t="n">
        <v>1</v>
      </c>
      <c r="BQ34" s="1" t="str">
        <f aca="false">_xlfn.ORG.LIBREOFFICE.REGEX(_xlfn.ORG.LIBREOFFICE.REGEX(APTMUVehicles, _xlfn.CONCAT(B34, ",?"), ""), ",$", "")</f>
        <v>apt_half_6,apt_powercar,apt_half_2,apt_half_2_rev,apt_q_dvt,apt_s_dm,apt_s_10,apt_s_6</v>
      </c>
      <c r="BS34" s="1" t="s">
        <v>209</v>
      </c>
      <c r="BT34" s="1" t="n">
        <v>8</v>
      </c>
      <c r="BU34" s="1" t="n">
        <v>222</v>
      </c>
      <c r="BX34" s="1" t="s">
        <v>95</v>
      </c>
      <c r="BY34" s="1" t="str">
        <f aca="false">VLOOKUP(J34,Eras!$A$2:$C$10, 2, TRUE())</f>
        <v>lbr</v>
      </c>
      <c r="BZ34" s="18" t="s">
        <v>228</v>
      </c>
      <c r="CA34" s="1" t="str">
        <f aca="false">CONCATENATE(BY34,"_",BZ34)</f>
        <v>lbr_EMU (Express)</v>
      </c>
      <c r="CB34" s="1" t="str">
        <f aca="false">_xlfn.CONCAT(H34, "_",I34)</f>
        <v>none_RAIL</v>
      </c>
      <c r="CC34" s="21" t="s">
        <v>281</v>
      </c>
      <c r="CD34" s="1" t="str">
        <f aca="false">VLOOKUP($CB34, Constants!$M:$N, 2, FALSE())</f>
        <v/>
      </c>
      <c r="CE34" s="1" t="str">
        <f aca="false">IF(M34&gt;1,_xlfn.CONCAT("{BLACK}Cars: {GOLD}", M34),"")</f>
        <v>{BLACK}Cars: {GOLD}6</v>
      </c>
      <c r="CF34" s="1" t="s">
        <v>289</v>
      </c>
      <c r="CG34" s="1" t="str">
        <f aca="false">IF(BW34="buffet","{YELLOW}25% long distance bonus for consist{}",IF(BY34="BRAKE","{YELLOW}Speed bonus for slow wagons{}",IF(BU34&gt;190,CONCATENATE("{YELLOW}",INT((BU34-185)/1.85),"% bonus for long distance travel{}"),IF(AND(BU34&lt;180,BU34&lt;&gt;0),CONCATENATE("{YELLOW}",INT((185-BU34)/1.85),"% penalty for long distance travel{}"),""))))</f>
        <v>{YELLOW}20% bonus for long distance travel{}</v>
      </c>
      <c r="CH34" s="1" t="str">
        <f aca="false">_xlfn.CONCAT(CD34,IF(CD34 &lt;&gt; "", " ", ""),CE34,IF(OR(CE34&lt;&gt;"", CD34&lt;&gt;""), "{}",""), CC34, CG34,"{SILVER}", CF34)</f>
        <v>{BLACK}Cars: {GOLD}6{}{BLACK}Length: {GOLD}0.9 tiles{}{YELLOW}20% bonus for long distance travel{}{SILVER}A 6-car half-rake of APT-P vehicles. This is the rear half of a formation.</v>
      </c>
      <c r="CI34" s="1"/>
      <c r="CJ34" s="1"/>
    </row>
    <row r="35" customFormat="false" ht="13.8" hidden="false" customHeight="false" outlineLevel="0" collapsed="false">
      <c r="A35" s="1" t="s">
        <v>290</v>
      </c>
      <c r="B35" s="1" t="s">
        <v>291</v>
      </c>
      <c r="C35" s="1" t="n">
        <v>372</v>
      </c>
      <c r="E35" s="1" t="n">
        <v>374</v>
      </c>
      <c r="F35" s="1" t="s">
        <v>89</v>
      </c>
      <c r="G35" s="1" t="s">
        <v>90</v>
      </c>
      <c r="H35" s="1" t="s">
        <v>277</v>
      </c>
      <c r="I35" s="1" t="s">
        <v>153</v>
      </c>
      <c r="J35" s="1" t="n">
        <v>1979</v>
      </c>
      <c r="K35" s="1" t="n">
        <v>1986</v>
      </c>
      <c r="L35" s="1" t="n">
        <v>1988</v>
      </c>
      <c r="M35" s="1" t="n">
        <v>2</v>
      </c>
      <c r="N35" s="1" t="n">
        <v>10</v>
      </c>
      <c r="W35" s="1" t="n">
        <v>65.6</v>
      </c>
      <c r="Y35" s="1" t="n">
        <v>4</v>
      </c>
      <c r="Z35" s="1" t="n">
        <v>5</v>
      </c>
      <c r="AA35" s="4" t="n">
        <f aca="false">IF(AND(W35&gt;0,Z35&gt;0),(Z35/((W35+X35)*10)),"")</f>
        <v>0.0076219512195122</v>
      </c>
      <c r="AB35" s="1" t="n">
        <v>155</v>
      </c>
      <c r="AC35" s="1" t="n">
        <f aca="false">ROUND(AB35*1.6, 0)</f>
        <v>248</v>
      </c>
      <c r="AF35" s="1" t="n">
        <v>20.9</v>
      </c>
      <c r="AG35" s="1" t="n">
        <v>20.9</v>
      </c>
      <c r="AH35" s="1" t="n">
        <v>2.7</v>
      </c>
      <c r="AI35" s="1" t="n">
        <v>3.5</v>
      </c>
      <c r="AJ35" s="5" t="n">
        <v>39</v>
      </c>
      <c r="AK35" s="19" t="str">
        <f aca="false">CONCATENATE(VLOOKUP(AL35, 'Voxel Sizes'!$A$2:$B$18,2,FALSE()),"x",INT(AH35*15), "x", INT(AI35*15))</f>
        <v>198x40x52</v>
      </c>
      <c r="AL35" s="1" t="n">
        <f aca="false">ROUND(15*((AG35*10)/256),0)</f>
        <v>12</v>
      </c>
      <c r="AN35" s="1" t="str">
        <f aca="false">CONCATENATE(VLOOKUP(AL35,Constants!$A$2:$C$16,IF(AM35&lt;&gt;"", 3, 2), FALSE()),IF(AM35&lt;&gt;"",CONCATENATE(",",VLOOKUP(AM35,$B:$AN,38,FALSE())),""))</f>
        <v>4,4,4</v>
      </c>
      <c r="AR35" s="1" t="s">
        <v>292</v>
      </c>
      <c r="AT35" s="1" t="s">
        <v>189</v>
      </c>
      <c r="AU35" s="1" t="s">
        <v>280</v>
      </c>
      <c r="AX35" s="1" t="n">
        <v>12</v>
      </c>
      <c r="AY35" s="6" t="n">
        <f aca="false">IF(L35&lt;&gt;"",MAX(16,(L35-J35)+8),"")</f>
        <v>17</v>
      </c>
      <c r="AZ35" s="1" t="n">
        <v>-45</v>
      </c>
      <c r="BA35" s="1" t="n">
        <v>-65</v>
      </c>
      <c r="BB35" s="1" t="n">
        <f aca="false">MIN(AB35/150, 1)*30</f>
        <v>30</v>
      </c>
      <c r="BC35" s="1" t="n">
        <f aca="false">MIN(N35/4000, 1)*20</f>
        <v>0.05</v>
      </c>
      <c r="BD35" s="1" t="n">
        <f aca="false">MIN(Z35/400,1)*20</f>
        <v>0.25</v>
      </c>
      <c r="BE35" s="4" t="n">
        <f aca="false">1-(MAX(J35-1900, 0)/750)</f>
        <v>0.894666666666667</v>
      </c>
      <c r="BF35" s="1" t="n">
        <f aca="false">((MAX($M35,1)*MIN($AJ35/300,1)))*IF(G35="Wagon",50,10)</f>
        <v>2.6</v>
      </c>
      <c r="BG35" s="1" t="n">
        <f aca="false">VLOOKUP($H35,Constants!$I:$K, 2, FALSE())</f>
        <v>0.85</v>
      </c>
      <c r="BH35" s="1" t="n">
        <f aca="false">VLOOKUP($H35,Constants!$I:$K, 3, FALSE())*IF(AND(G35="multiple_unit",AB35&lt;110),0.75,1)</f>
        <v>2.3</v>
      </c>
      <c r="BI35" s="1" t="n">
        <f aca="false">INT(POWER(((Constants!$G$2+$BB35+$BC35+$BD35+$BF35)*$BE35)*$BH35, 1.05))+$BA35</f>
        <v>31</v>
      </c>
      <c r="BJ35" s="1" t="n">
        <f aca="false">INT(POWER((((Constants!$G$1+$BB35+$BC35+$BD35+$BF35)*($BE35))*$BG35),IF($G35="wagon",1,1.2)))+$AZ35</f>
        <v>29</v>
      </c>
      <c r="BK35" s="20" t="n">
        <f aca="false">BI35*IF($G35="wagon",62.5,781.25)</f>
        <v>24218.75</v>
      </c>
      <c r="BL35" s="20" t="n">
        <f aca="false">BJ35*IF($G35="wagon",2.73,81.25)</f>
        <v>2356.25</v>
      </c>
      <c r="BP35" s="1" t="n">
        <v>1</v>
      </c>
      <c r="BQ35" s="1" t="str">
        <f aca="false">_xlfn.ORG.LIBREOFFICE.REGEX(_xlfn.ORG.LIBREOFFICE.REGEX(APTMUVehicles, _xlfn.CONCAT(B35, ",?"), ""), ",$", "")</f>
        <v>apt_half_6,apt_half_6_rev,apt_powercar,apt_half_2_rev,apt_q_dvt,apt_s_dm,apt_s_10,apt_s_6</v>
      </c>
      <c r="BT35" s="1" t="n">
        <v>8</v>
      </c>
      <c r="BU35" s="1" t="n">
        <v>185</v>
      </c>
      <c r="BX35" s="1" t="s">
        <v>95</v>
      </c>
      <c r="BY35" s="1" t="str">
        <f aca="false">VLOOKUP(J35,Eras!$A$2:$C$10, 2, TRUE())</f>
        <v>lbr</v>
      </c>
      <c r="BZ35" s="18" t="s">
        <v>228</v>
      </c>
      <c r="CA35" s="1" t="str">
        <f aca="false">CONCATENATE(BY35,"_",BZ35)</f>
        <v>lbr_EMU (Express)</v>
      </c>
      <c r="CB35" s="1" t="str">
        <f aca="false">_xlfn.CONCAT(H35, "_",I35)</f>
        <v>none_RAIL</v>
      </c>
      <c r="CC35" s="21" t="str">
        <f aca="false">_xlfn.CONCAT("{BLACK}Length: {GOLD}", TEXT(ROUNDUP(IF(AQ35&lt;&gt;"",SUM(VALUE(_xlfn.TEXTSPLIT(AQ35, ","))), SUM(VALUE(_xlfn.TEXTSPLIT(AN35, ",")))*IF(M35, M35, 1))/16, 1), "#,##0.0"), " tiles{}")</f>
        <v>{BLACK}Length: {GOLD}1.5 tiles{}</v>
      </c>
      <c r="CD35" s="1" t="str">
        <f aca="false">VLOOKUP($CB35, Constants!$M:$N, 2, FALSE())</f>
        <v/>
      </c>
      <c r="CE35" s="1" t="str">
        <f aca="false">IF(M35&gt;1,_xlfn.CONCAT("{BLACK}Cars: {GOLD}", M35),"")</f>
        <v>{BLACK}Cars: {GOLD}2</v>
      </c>
      <c r="CF35" s="1" t="s">
        <v>293</v>
      </c>
      <c r="CG35" s="1" t="str">
        <f aca="false">IF(BW35="buffet","{YELLOW}25% long distance bonus for consist{}",IF(BY35="BRAKE","{YELLOW}Speed bonus for slow wagons{}",IF(BU35&gt;190,CONCATENATE("{YELLOW}",INT((BU35-185)/1.85),"% bonus for long distance travel{}"),IF(AND(BU35&lt;180,BU35&lt;&gt;0),CONCATENATE("{YELLOW}",INT((185-BU35)/1.85),"% penalty for long distance travel{}"),""))))</f>
        <v/>
      </c>
      <c r="CH35" s="1" t="str">
        <f aca="false">_xlfn.CONCAT(CD35,IF(CD35 &lt;&gt; "", " ", ""),CE35,IF(OR(CE35&lt;&gt;"", CD35&lt;&gt;""), "{}",""), CC35, CG35,"{SILVER}", CF35)</f>
        <v>{BLACK}Cars: {GOLD}2{}{BLACK}Length: {GOLD}1.5 tiles{}{SILVER}A minimal 2-car half-rake of APT-P Vehicles. Lack of dining facilities makes this much less attractive for passengers. Pair with the Non-Driving power car and a reversed set for a complete unit.</v>
      </c>
      <c r="CI35" s="1"/>
      <c r="CJ35" s="1"/>
    </row>
    <row r="36" customFormat="false" ht="13.8" hidden="false" customHeight="false" outlineLevel="0" collapsed="false">
      <c r="A36" s="1" t="s">
        <v>294</v>
      </c>
      <c r="B36" s="1" t="s">
        <v>295</v>
      </c>
      <c r="C36" s="1" t="n">
        <v>373</v>
      </c>
      <c r="D36" s="1" t="n">
        <v>372</v>
      </c>
      <c r="E36" s="1" t="n">
        <v>375</v>
      </c>
      <c r="F36" s="1" t="s">
        <v>89</v>
      </c>
      <c r="G36" s="1" t="s">
        <v>285</v>
      </c>
      <c r="H36" s="1" t="s">
        <v>277</v>
      </c>
      <c r="I36" s="1" t="s">
        <v>153</v>
      </c>
      <c r="J36" s="1" t="n">
        <v>1979</v>
      </c>
      <c r="K36" s="1" t="n">
        <v>1986</v>
      </c>
      <c r="L36" s="1" t="n">
        <v>1988</v>
      </c>
      <c r="M36" s="1" t="n">
        <v>2</v>
      </c>
      <c r="N36" s="1" t="n">
        <v>10</v>
      </c>
      <c r="W36" s="1" t="n">
        <v>65.6</v>
      </c>
      <c r="Y36" s="1" t="n">
        <v>4</v>
      </c>
      <c r="Z36" s="1" t="n">
        <v>5</v>
      </c>
      <c r="AA36" s="4" t="n">
        <f aca="false">IF(AND(W36&gt;0,Z36&gt;0),(Z36/((W36+X36)*10)),"")</f>
        <v>0.0076219512195122</v>
      </c>
      <c r="AB36" s="1" t="n">
        <v>155</v>
      </c>
      <c r="AC36" s="1" t="n">
        <f aca="false">ROUND(AB36*1.6, 0)</f>
        <v>248</v>
      </c>
      <c r="AF36" s="1" t="n">
        <v>20.9</v>
      </c>
      <c r="AG36" s="1" t="n">
        <v>20.9</v>
      </c>
      <c r="AH36" s="1" t="n">
        <v>2.7</v>
      </c>
      <c r="AI36" s="1" t="n">
        <v>3.5</v>
      </c>
      <c r="AJ36" s="5" t="n">
        <v>39</v>
      </c>
      <c r="AK36" s="19" t="str">
        <f aca="false">CONCATENATE(VLOOKUP(AL36, 'Voxel Sizes'!$A$2:$B$18,2,FALSE()),"x",INT(AH36*15), "x", INT(AI36*15))</f>
        <v>198x40x52</v>
      </c>
      <c r="AL36" s="1" t="n">
        <f aca="false">ROUND(15*((AG36*10)/256),0)</f>
        <v>12</v>
      </c>
      <c r="AN36" s="1" t="str">
        <f aca="false">CONCATENATE(VLOOKUP(AL36,Constants!$A$2:$C$16,IF(AM36&lt;&gt;"", 3, 2), FALSE()),IF(AM36&lt;&gt;"",CONCATENATE(",",VLOOKUP(AM36,$B:$AN,38,FALSE())),""))</f>
        <v>4,4,4</v>
      </c>
      <c r="AR36" s="1" t="s">
        <v>296</v>
      </c>
      <c r="AT36" s="1" t="s">
        <v>189</v>
      </c>
      <c r="AU36" s="1" t="s">
        <v>288</v>
      </c>
      <c r="AX36" s="1" t="n">
        <v>12</v>
      </c>
      <c r="AY36" s="6" t="n">
        <f aca="false">IF(L36&lt;&gt;"",MAX(16,(L36-J36)+8),"")</f>
        <v>17</v>
      </c>
      <c r="AZ36" s="1" t="n">
        <v>-60</v>
      </c>
      <c r="BA36" s="1" t="n">
        <v>-65</v>
      </c>
      <c r="BB36" s="1" t="n">
        <f aca="false">MIN(AB36/150, 1)*30</f>
        <v>30</v>
      </c>
      <c r="BC36" s="1" t="n">
        <f aca="false">MIN(N36/4000, 1)*20</f>
        <v>0.05</v>
      </c>
      <c r="BD36" s="1" t="n">
        <f aca="false">MIN(Z36/400,1)*20</f>
        <v>0.25</v>
      </c>
      <c r="BE36" s="4" t="n">
        <f aca="false">1-(MAX(J36-1900, 0)/750)</f>
        <v>0.894666666666667</v>
      </c>
      <c r="BF36" s="1" t="n">
        <f aca="false">((MAX($M36,1)*MIN($AJ36/300,1)))*IF(G36="Wagon",50,10)</f>
        <v>2.6</v>
      </c>
      <c r="BG36" s="1" t="n">
        <f aca="false">VLOOKUP($H36,Constants!$I:$K, 2, FALSE())</f>
        <v>0.85</v>
      </c>
      <c r="BH36" s="1" t="n">
        <f aca="false">VLOOKUP($H36,Constants!$I:$K, 3, FALSE())*IF(AND(G36="multiple_unit",AB36&lt;110),0.75,1)</f>
        <v>2.3</v>
      </c>
      <c r="BI36" s="1" t="n">
        <f aca="false">INT(POWER(((Constants!$G$2+$BB36+$BC36+$BD36+$BF36)*$BE36)*$BH36, 1.05))+$BA36</f>
        <v>31</v>
      </c>
      <c r="BJ36" s="1" t="n">
        <f aca="false">INT(POWER((((Constants!$G$1+$BB36+$BC36+$BD36+$BF36)*($BE36))*$BG36),IF($G36="wagon",1,1.2)))+$AZ36</f>
        <v>14</v>
      </c>
      <c r="BK36" s="20" t="n">
        <f aca="false">BI36*IF($G36="wagon",62.5,781.25)</f>
        <v>24218.75</v>
      </c>
      <c r="BL36" s="20" t="n">
        <f aca="false">BJ36*IF($G36="wagon",2.73,81.25)</f>
        <v>1137.5</v>
      </c>
      <c r="BO36" s="1" t="n">
        <v>1</v>
      </c>
      <c r="BP36" s="1" t="n">
        <v>1</v>
      </c>
      <c r="BQ36" s="1" t="str">
        <f aca="false">_xlfn.ORG.LIBREOFFICE.REGEX(_xlfn.ORG.LIBREOFFICE.REGEX(APTMUVehicles, _xlfn.CONCAT(B36, ",?"), ""), ",$", "")</f>
        <v>apt_half_6,apt_half_6_rev,apt_powercar,apt_half_2,apt_q_dvt,apt_s_dm,apt_s_10,apt_s_6</v>
      </c>
      <c r="BT36" s="1" t="n">
        <v>8</v>
      </c>
      <c r="BU36" s="1" t="n">
        <v>185</v>
      </c>
      <c r="BX36" s="1" t="s">
        <v>95</v>
      </c>
      <c r="BY36" s="1" t="str">
        <f aca="false">VLOOKUP(J36,Eras!$A$2:$C$10, 2, TRUE())</f>
        <v>lbr</v>
      </c>
      <c r="BZ36" s="18" t="s">
        <v>228</v>
      </c>
      <c r="CA36" s="1" t="str">
        <f aca="false">CONCATENATE(BY36,"_",BZ36)</f>
        <v>lbr_EMU (Express)</v>
      </c>
      <c r="CB36" s="1" t="str">
        <f aca="false">_xlfn.CONCAT(H36, "_",I36)</f>
        <v>none_RAIL</v>
      </c>
      <c r="CC36" s="21" t="str">
        <f aca="false">_xlfn.CONCAT("{BLACK}Length: {GOLD}", TEXT(ROUNDUP(IF(AQ36&lt;&gt;"",SUM(VALUE(_xlfn.TEXTSPLIT(AQ36, ","))), SUM(VALUE(_xlfn.TEXTSPLIT(AN36, ",")))*IF(M36, M36, 1))/16, 1), "#,##0.0"), " tiles{}")</f>
        <v>{BLACK}Length: {GOLD}1.5 tiles{}</v>
      </c>
      <c r="CD36" s="1" t="str">
        <f aca="false">VLOOKUP($CB36, Constants!$M:$N, 2, FALSE())</f>
        <v/>
      </c>
      <c r="CE36" s="1" t="str">
        <f aca="false">IF(M36&gt;1,_xlfn.CONCAT("{BLACK}Cars: {GOLD}", M36),"")</f>
        <v>{BLACK}Cars: {GOLD}2</v>
      </c>
      <c r="CF36" s="1" t="s">
        <v>297</v>
      </c>
      <c r="CG36" s="1" t="str">
        <f aca="false">IF(BW36="buffet","{YELLOW}25% long distance bonus for consist{}",IF(BY36="BRAKE","{YELLOW}Speed bonus for slow wagons{}",IF(BU36&gt;190,CONCATENATE("{YELLOW}",INT((BU36-185)/1.85),"% bonus for long distance travel{}"),IF(AND(BU36&lt;180,BU36&lt;&gt;0),CONCATENATE("{YELLOW}",INT((185-BU36)/1.85),"% penalty for long distance travel{}"),""))))</f>
        <v/>
      </c>
      <c r="CH36" s="1" t="str">
        <f aca="false">_xlfn.CONCAT(CD36,IF(CD36 &lt;&gt; "", " ", ""),CE36,IF(OR(CE36&lt;&gt;"", CD36&lt;&gt;""), "{}",""), CC36, CG36,"{SILVER}", CF36)</f>
        <v>{BLACK}Cars: {GOLD}2{}{BLACK}Length: {GOLD}1.5 tiles{}{SILVER}A minimal 2-car half-rake of APT-P Vehicles. Lack of dining facilities makes this much less attractive for passengers. This is the rear half of a formation.</v>
      </c>
      <c r="CI36" s="1"/>
      <c r="CJ36" s="1"/>
    </row>
    <row r="37" customFormat="false" ht="13.8" hidden="false" customHeight="false" outlineLevel="0" collapsed="false">
      <c r="A37" s="1" t="s">
        <v>298</v>
      </c>
      <c r="B37" s="1" t="s">
        <v>299</v>
      </c>
      <c r="C37" s="1" t="n">
        <v>374</v>
      </c>
      <c r="D37" s="1" t="n">
        <v>372</v>
      </c>
      <c r="E37" s="1" t="n">
        <v>376</v>
      </c>
      <c r="F37" s="1" t="s">
        <v>89</v>
      </c>
      <c r="G37" s="18" t="s">
        <v>147</v>
      </c>
      <c r="H37" s="1" t="s">
        <v>91</v>
      </c>
      <c r="I37" s="1" t="s">
        <v>92</v>
      </c>
      <c r="J37" s="1" t="n">
        <v>1979</v>
      </c>
      <c r="K37" s="1" t="n">
        <v>1986</v>
      </c>
      <c r="L37" s="1" t="n">
        <v>1988</v>
      </c>
      <c r="N37" s="1" t="n">
        <v>4000</v>
      </c>
      <c r="W37" s="1" t="n">
        <v>67.5</v>
      </c>
      <c r="Y37" s="1" t="n">
        <v>4</v>
      </c>
      <c r="Z37" s="1" t="n">
        <v>210</v>
      </c>
      <c r="AA37" s="4" t="n">
        <f aca="false">IF(AND(W37&gt;0,Z37&gt;0),(Z37/((W37+X37)*10)),"")</f>
        <v>0.311111111111111</v>
      </c>
      <c r="AB37" s="1" t="n">
        <v>155</v>
      </c>
      <c r="AC37" s="1" t="n">
        <f aca="false">ROUND(AB37*1.6, 0)</f>
        <v>248</v>
      </c>
      <c r="AF37" s="1" t="n">
        <v>20.9</v>
      </c>
      <c r="AG37" s="1" t="n">
        <v>20.9</v>
      </c>
      <c r="AH37" s="1" t="n">
        <v>2.7</v>
      </c>
      <c r="AI37" s="1" t="n">
        <v>3.5</v>
      </c>
      <c r="AJ37" s="5" t="n">
        <v>0</v>
      </c>
      <c r="AK37" s="19" t="str">
        <f aca="false">CONCATENATE(VLOOKUP(AL37, 'Voxel Sizes'!$A$2:$B$18,2,FALSE()),"x",INT(AH37*15), "x", INT(AI37*15))</f>
        <v>198x40x52</v>
      </c>
      <c r="AL37" s="1" t="n">
        <f aca="false">ROUND(15*((AG37*10)/256),0)</f>
        <v>12</v>
      </c>
      <c r="AN37" s="1" t="str">
        <f aca="false">CONCATENATE(VLOOKUP(AL37,Constants!$A$2:$C$16,IF(AM37&lt;&gt;"", 3, 2), FALSE()),IF(AM37&lt;&gt;"",CONCATENATE(",",VLOOKUP(AM37,$B:$AN,38,FALSE())),""))</f>
        <v>4,4,4</v>
      </c>
      <c r="AX37" s="1" t="n">
        <v>12</v>
      </c>
      <c r="AY37" s="6" t="n">
        <f aca="false">IF(L37&lt;&gt;"",MAX(16,(L37-J37)+8),"")</f>
        <v>17</v>
      </c>
      <c r="AZ37" s="1" t="n">
        <v>25</v>
      </c>
      <c r="BA37" s="1" t="n">
        <v>-90</v>
      </c>
      <c r="BB37" s="1" t="n">
        <f aca="false">MIN(AB37/150, 1)*30</f>
        <v>30</v>
      </c>
      <c r="BC37" s="1" t="n">
        <f aca="false">MIN(N37/4000, 1)*20</f>
        <v>20</v>
      </c>
      <c r="BD37" s="1" t="n">
        <f aca="false">MIN(Z37/400,1)*20</f>
        <v>10.5</v>
      </c>
      <c r="BE37" s="4" t="n">
        <f aca="false">1-(MAX(J37-1900, 0)/750)</f>
        <v>0.894666666666667</v>
      </c>
      <c r="BF37" s="1" t="n">
        <f aca="false">((MAX($M37,1)*MIN($AJ37/300,1)))*IF(G37="Wagon",50,10)</f>
        <v>0</v>
      </c>
      <c r="BG37" s="1" t="n">
        <f aca="false">VLOOKUP($H37,Constants!$I:$K, 2, FALSE())</f>
        <v>0.85</v>
      </c>
      <c r="BH37" s="1" t="n">
        <f aca="false">VLOOKUP($H37,Constants!$I:$K, 3, FALSE())*IF(AND(G37="multiple_unit",AB37&lt;110),0.75,1)</f>
        <v>2.3</v>
      </c>
      <c r="BI37" s="1" t="n">
        <f aca="false">INT(POWER(((Constants!$G$2+$BB37+$BC37+$BD37+$BF37)*$BE37)*$BH37, 1.05))+$BA37</f>
        <v>82</v>
      </c>
      <c r="BJ37" s="1" t="n">
        <f aca="false">INT(POWER((((Constants!$G$1+$BB37+$BC37+$BD37+$BF37)*($BE37))*$BG37),IF($G37="wagon",1,1.2)))+$AZ37</f>
        <v>154</v>
      </c>
      <c r="BK37" s="20" t="n">
        <f aca="false">BI37*IF($G37="wagon",62.5,781.25)</f>
        <v>64062.5</v>
      </c>
      <c r="BL37" s="20" t="n">
        <f aca="false">BJ37*IF($G37="wagon",2.73,81.25)</f>
        <v>12512.5</v>
      </c>
      <c r="BM37" s="1" t="n">
        <v>2</v>
      </c>
      <c r="BO37" s="1" t="n">
        <v>1</v>
      </c>
      <c r="BP37" s="1" t="n">
        <v>1</v>
      </c>
      <c r="BQ37" s="1" t="str">
        <f aca="false">_xlfn.ORG.LIBREOFFICE.REGEX(_xlfn.ORG.LIBREOFFICE.REGEX(APTMUVehicles, _xlfn.CONCAT(B37, ",?"), ""), ",$", "")</f>
        <v>apt_half_6,apt_half_6_rev,apt_half_2,apt_half_2_rev,apt_q_dvt,apt_s_dm,apt_s_10,apt_s_6</v>
      </c>
      <c r="BT37" s="1" t="n">
        <v>8</v>
      </c>
      <c r="BY37" s="1" t="str">
        <f aca="false">VLOOKUP(J37,Eras!$A$2:$C$10, 2, TRUE())</f>
        <v>lbr</v>
      </c>
      <c r="BZ37" s="18" t="s">
        <v>228</v>
      </c>
      <c r="CA37" s="1" t="str">
        <f aca="false">CONCATENATE(BY37,"_",BZ37)</f>
        <v>lbr_EMU (Express)</v>
      </c>
      <c r="CB37" s="1" t="str">
        <f aca="false">_xlfn.CONCAT(H37, "_",I37)</f>
        <v>electric_ELRL</v>
      </c>
      <c r="CC37" s="21" t="str">
        <f aca="false">_xlfn.CONCAT("{BLACK}Length: {GOLD}", TEXT(ROUNDUP(IF(AQ37&lt;&gt;"",SUM(VALUE(_xlfn.TEXTSPLIT(AQ37, ","))), SUM(VALUE(_xlfn.TEXTSPLIT(AN37, ",")))*IF(M37, M37, 1))/16, 1), "#,##0.0"), " tiles{}")</f>
        <v>{BLACK}Length: {GOLD}0.8 tiles{}</v>
      </c>
      <c r="CD37" s="1" t="str">
        <f aca="false">VLOOKUP($CB37, Constants!$M:$N, 2, FALSE())</f>
        <v>{BLACK}Powered by: {GOLD}25kV AC</v>
      </c>
      <c r="CE37" s="1" t="str">
        <f aca="false">IF(M37&gt;1,_xlfn.CONCAT("{BLACK}Cars: {GOLD}", M37),"")</f>
        <v/>
      </c>
      <c r="CF37" s="1" t="s">
        <v>300</v>
      </c>
      <c r="CG37" s="1" t="str">
        <f aca="false">IF(BW37="buffet","{YELLOW}25% long distance bonus for consist{}",IF(BY37="BRAKE","{YELLOW}Speed bonus for slow wagons{}",IF(BU37&gt;190,CONCATENATE("{YELLOW}",INT((BU37-185)/1.85),"% bonus for long distance travel{}"),IF(AND(BU37&lt;180,BU37&lt;&gt;0),CONCATENATE("{YELLOW}",INT((185-BU37)/1.85),"% penalty for long distance travel{}"),""))))</f>
        <v/>
      </c>
      <c r="CH37" s="1" t="str">
        <f aca="false">_xlfn.CONCAT(CD37,IF(CD37 &lt;&gt; "", " ", ""),CE37,IF(OR(CE37&lt;&gt;"", CD37&lt;&gt;""), "{}",""), CC37, CG37,"{SILVER}", CF37)</f>
        <v>{BLACK}Powered by: {GOLD}25kV AC {}{BLACK}Length: {GOLD}0.8 tiles{}{SILVER}An APT-P centre power car</v>
      </c>
      <c r="CI37" s="1"/>
      <c r="CJ37" s="1"/>
    </row>
    <row r="38" customFormat="false" ht="13.8" hidden="false" customHeight="false" outlineLevel="0" collapsed="false">
      <c r="A38" s="18" t="s">
        <v>301</v>
      </c>
      <c r="B38" s="18" t="s">
        <v>302</v>
      </c>
      <c r="C38" s="18" t="n">
        <v>380</v>
      </c>
      <c r="D38" s="18" t="n">
        <v>382</v>
      </c>
      <c r="E38" s="18" t="n">
        <v>382</v>
      </c>
      <c r="F38" s="18" t="s">
        <v>89</v>
      </c>
      <c r="G38" s="18" t="s">
        <v>147</v>
      </c>
      <c r="H38" s="18" t="s">
        <v>91</v>
      </c>
      <c r="I38" s="18" t="s">
        <v>92</v>
      </c>
      <c r="J38" s="18" t="n">
        <v>1986</v>
      </c>
      <c r="K38" s="18" t="n">
        <v>1991</v>
      </c>
      <c r="L38" s="18" t="n">
        <v>1994</v>
      </c>
      <c r="M38" s="18"/>
      <c r="N38" s="18" t="n">
        <v>4000</v>
      </c>
      <c r="W38" s="1" t="n">
        <v>76.8</v>
      </c>
      <c r="Y38" s="1" t="n">
        <v>4</v>
      </c>
      <c r="Z38" s="1" t="n">
        <v>210</v>
      </c>
      <c r="AA38" s="4" t="n">
        <f aca="false">IF(AND(W38&gt;0,Z38&gt;0),(Z38/((W38+X38)*10)),"")</f>
        <v>0.2734375</v>
      </c>
      <c r="AB38" s="1" t="n">
        <v>140</v>
      </c>
      <c r="AC38" s="1" t="n">
        <f aca="false">ROUND(AB38*1.6, 0)</f>
        <v>224</v>
      </c>
      <c r="AF38" s="1" t="n">
        <v>22</v>
      </c>
      <c r="AG38" s="1" t="n">
        <v>22</v>
      </c>
      <c r="AH38" s="1" t="n">
        <v>2.7</v>
      </c>
      <c r="AI38" s="1" t="n">
        <v>3.5</v>
      </c>
      <c r="AJ38" s="5" t="n">
        <v>0</v>
      </c>
      <c r="AK38" s="19" t="str">
        <f aca="false">CONCATENATE(VLOOKUP(AL38, 'Voxel Sizes'!$A$2:$B$18,2,FALSE()),"x",INT(AH38*15), "x", INT(AI38*15))</f>
        <v>214x40x52</v>
      </c>
      <c r="AL38" s="1" t="n">
        <f aca="false">ROUND(15*((AG38*10)/256),0)</f>
        <v>13</v>
      </c>
      <c r="AN38" s="1" t="str">
        <f aca="false">CONCATENATE(VLOOKUP(AL38,Constants!$A$2:$C$16,IF(AM38&lt;&gt;"", 3, 2), FALSE()),IF(AM38&lt;&gt;"",CONCATENATE(",",VLOOKUP(AM38,$B:$AN,38,FALSE())),""))</f>
        <v>4,5,4</v>
      </c>
      <c r="AX38" s="1" t="n">
        <v>20</v>
      </c>
      <c r="AY38" s="6" t="n">
        <f aca="false">IF(L38&lt;&gt;"",MAX(16,(L38-J38)+8),"")</f>
        <v>16</v>
      </c>
      <c r="AZ38" s="1" t="n">
        <v>-35</v>
      </c>
      <c r="BA38" s="1" t="n">
        <v>-60</v>
      </c>
      <c r="BB38" s="1" t="n">
        <f aca="false">MIN(AB38/150, 1)*30</f>
        <v>28</v>
      </c>
      <c r="BC38" s="1" t="n">
        <f aca="false">MIN(N38/4000, 1)*20</f>
        <v>20</v>
      </c>
      <c r="BD38" s="1" t="n">
        <f aca="false">MIN(Z38/400,1)*20</f>
        <v>10.5</v>
      </c>
      <c r="BE38" s="4" t="n">
        <f aca="false">1-(MAX(J38-1900, 0)/750)</f>
        <v>0.885333333333333</v>
      </c>
      <c r="BF38" s="1" t="n">
        <f aca="false">((MAX($M38,1)*MIN($AJ38/300,1)))*IF(G38="Wagon",50,10)</f>
        <v>0</v>
      </c>
      <c r="BG38" s="1" t="n">
        <f aca="false">VLOOKUP($H38,Constants!$I:$K, 2, FALSE())</f>
        <v>0.85</v>
      </c>
      <c r="BH38" s="1" t="n">
        <f aca="false">VLOOKUP($H38,Constants!$I:$K, 3, FALSE())*IF(AND(G38="multiple_unit",AB38&lt;110),0.75,1)</f>
        <v>2.3</v>
      </c>
      <c r="BI38" s="1" t="n">
        <f aca="false">INT(POWER(((Constants!$G$2+$BB38+$BC38+$BD38+$BF38)*$BE38)*$BH38, 1.05))+$BA38</f>
        <v>104</v>
      </c>
      <c r="BJ38" s="1" t="n">
        <f aca="false">INT(POWER((((Constants!$G$1+$BB38+$BC38+$BD38+$BF38)*($BE38))*$BG38),IF($G38="wagon",1,1.2)))+$AZ38</f>
        <v>88</v>
      </c>
      <c r="BK38" s="20" t="n">
        <f aca="false">BI38*IF($G38="wagon",62.5,781.25)</f>
        <v>81250</v>
      </c>
      <c r="BL38" s="20" t="n">
        <f aca="false">BJ38*IF($G38="wagon",2.73,81.25)</f>
        <v>7150</v>
      </c>
      <c r="BM38" s="1" t="n">
        <v>1</v>
      </c>
      <c r="BN38" s="1" t="n">
        <v>1</v>
      </c>
      <c r="BP38" s="1" t="n">
        <v>1</v>
      </c>
      <c r="BQ38" s="1" t="str">
        <f aca="false">_xlfn.ORG.LIBREOFFICE.REGEX(_xlfn.ORG.LIBREOFFICE.REGEX(APTMUVehicles, _xlfn.CONCAT(B38, ",?"), ""), ",$", "")</f>
        <v>apt_half_6,apt_half_6_rev,apt_powercar,apt_half_2,apt_half_2_rev,apt_q_dvt,apt_s_10,apt_s_6</v>
      </c>
      <c r="BS38" s="1" t="s">
        <v>273</v>
      </c>
      <c r="BT38" s="1" t="n">
        <v>7</v>
      </c>
      <c r="BY38" s="1" t="str">
        <f aca="false">VLOOKUP(J38,Eras!$A$2:$C$10, 2, TRUE())</f>
        <v>lbr</v>
      </c>
      <c r="BZ38" s="18" t="s">
        <v>303</v>
      </c>
      <c r="CA38" s="1" t="str">
        <f aca="false">CONCATENATE(BY38,"_",BZ38)</f>
        <v>lbr_Express (Electric)</v>
      </c>
      <c r="CB38" s="1" t="str">
        <f aca="false">_xlfn.CONCAT(H38, "_",I38)</f>
        <v>electric_ELRL</v>
      </c>
      <c r="CC38" s="21" t="s">
        <v>304</v>
      </c>
      <c r="CD38" s="1" t="str">
        <f aca="false">VLOOKUP($CB38, Constants!$M:$N, 2, FALSE())</f>
        <v>{BLACK}Powered by: {GOLD}25kV AC</v>
      </c>
      <c r="CE38" s="1" t="str">
        <f aca="false">IF(M38&gt;1,_xlfn.CONCAT("{BLACK}Cars: {GOLD}", M38),"")</f>
        <v/>
      </c>
      <c r="CF38" s="1" t="s">
        <v>305</v>
      </c>
      <c r="CG38" s="1" t="str">
        <f aca="false">IF(BW38="buffet","{YELLOW}25% long distance bonus for consist{}",IF(BY38="BRAKE","{YELLOW}Speed bonus for slow wagons{}",IF(BU38&gt;190,CONCATENATE("{YELLOW}",INT((BU38-185)/1.85),"% bonus for long distance travel{}"),IF(AND(BU38&lt;180,BU38&lt;&gt;0),CONCATENATE("{YELLOW}",INT((185-BU38)/1.85),"% penalty for long distance travel{}"),""))))</f>
        <v/>
      </c>
      <c r="CH38" s="1" t="str">
        <f aca="false">_xlfn.CONCAT(CD38,IF(CD38 &lt;&gt; "", " ", ""),CE38,IF(OR(CE38&lt;&gt;"", CD38&lt;&gt;""), "{}",""), CC38, CG38,"{SILVER}", CF38)</f>
        <v>{BLACK}Powered by: {GOLD}25kV AC {}{BLACK}Length: {GOLD}0.8 tiles{}{SILVER}The APT-S was a rework of the APT concept towards more conventional rolling stock, with a driving motor car, articulated trailers and a DVT.</v>
      </c>
      <c r="CI38" s="1"/>
      <c r="CJ38" s="1"/>
    </row>
    <row r="39" customFormat="false" ht="13.8" hidden="false" customHeight="false" outlineLevel="0" collapsed="false">
      <c r="A39" s="18" t="s">
        <v>306</v>
      </c>
      <c r="B39" s="18" t="s">
        <v>307</v>
      </c>
      <c r="C39" s="18" t="n">
        <v>382</v>
      </c>
      <c r="E39" s="18" t="n">
        <v>384</v>
      </c>
      <c r="F39" s="18" t="s">
        <v>89</v>
      </c>
      <c r="G39" s="18" t="s">
        <v>147</v>
      </c>
      <c r="H39" s="18" t="s">
        <v>277</v>
      </c>
      <c r="I39" s="18" t="s">
        <v>153</v>
      </c>
      <c r="J39" s="18" t="n">
        <v>1986</v>
      </c>
      <c r="K39" s="18" t="n">
        <v>1991</v>
      </c>
      <c r="L39" s="18" t="n">
        <v>1994</v>
      </c>
      <c r="M39" s="18"/>
      <c r="N39" s="18" t="n">
        <v>100</v>
      </c>
      <c r="W39" s="1" t="n">
        <v>38.4</v>
      </c>
      <c r="Y39" s="1" t="n">
        <v>4</v>
      </c>
      <c r="Z39" s="1" t="n">
        <v>5</v>
      </c>
      <c r="AA39" s="4" t="n">
        <f aca="false">IF(AND(W39&gt;0,Z39&gt;0),(Z39/((W39+X39)*10)),"")</f>
        <v>0.0130208333333333</v>
      </c>
      <c r="AB39" s="1" t="n">
        <v>140</v>
      </c>
      <c r="AC39" s="1" t="n">
        <f aca="false">ROUND(AB39*1.6, 0)</f>
        <v>224</v>
      </c>
      <c r="AF39" s="1" t="n">
        <v>22</v>
      </c>
      <c r="AG39" s="1" t="n">
        <v>22</v>
      </c>
      <c r="AH39" s="1" t="n">
        <v>2.7</v>
      </c>
      <c r="AI39" s="1" t="n">
        <v>3.5</v>
      </c>
      <c r="AJ39" s="5" t="n">
        <v>36</v>
      </c>
      <c r="AK39" s="19" t="str">
        <f aca="false">CONCATENATE(VLOOKUP(AL39, 'Voxel Sizes'!$A$2:$B$18,2,FALSE()),"x",INT(AH39*15), "x", INT(AI39*15))</f>
        <v>214x40x52</v>
      </c>
      <c r="AL39" s="1" t="n">
        <f aca="false">ROUND(15*((AG39*10)/256),0)</f>
        <v>13</v>
      </c>
      <c r="AN39" s="1" t="str">
        <f aca="false">CONCATENATE(VLOOKUP(AL39,Constants!$A$2:$C$16,IF(AM39&lt;&gt;"", 3, 2), FALSE()),IF(AM39&lt;&gt;"",CONCATENATE(",",VLOOKUP(AM39,$B:$AN,38,FALSE())),""))</f>
        <v>4,5,4</v>
      </c>
      <c r="AX39" s="1" t="n">
        <v>20</v>
      </c>
      <c r="AY39" s="6" t="n">
        <f aca="false">IF(L39&lt;&gt;"",MAX(16,(L39-J39)+8),"")</f>
        <v>16</v>
      </c>
      <c r="AZ39" s="1" t="n">
        <v>-35</v>
      </c>
      <c r="BA39" s="1" t="n">
        <v>-60</v>
      </c>
      <c r="BB39" s="1" t="n">
        <f aca="false">MIN(AB39/150, 1)*30</f>
        <v>28</v>
      </c>
      <c r="BC39" s="1" t="n">
        <f aca="false">MIN(N39/4000, 1)*20</f>
        <v>0.5</v>
      </c>
      <c r="BD39" s="1" t="n">
        <f aca="false">MIN(Z39/400,1)*20</f>
        <v>0.25</v>
      </c>
      <c r="BE39" s="4" t="n">
        <f aca="false">1-(MAX(J39-1900, 0)/750)</f>
        <v>0.885333333333333</v>
      </c>
      <c r="BF39" s="1" t="n">
        <f aca="false">((MAX($M39,1)*MIN($AJ39/300,1)))*IF(G39="Wagon",50,10)</f>
        <v>1.2</v>
      </c>
      <c r="BG39" s="1" t="n">
        <f aca="false">VLOOKUP($H39,Constants!$I:$K, 2, FALSE())</f>
        <v>0.85</v>
      </c>
      <c r="BH39" s="1" t="n">
        <f aca="false">VLOOKUP($H39,Constants!$I:$K, 3, FALSE())*IF(AND(G39="multiple_unit",AB39&lt;110),0.75,1)</f>
        <v>2.3</v>
      </c>
      <c r="BI39" s="1" t="n">
        <f aca="false">INT(POWER(((Constants!$G$2+$BB39+$BC39+$BD39+$BF39)*$BE39)*$BH39, 1.05))+$BA39</f>
        <v>28</v>
      </c>
      <c r="BJ39" s="1" t="n">
        <f aca="false">INT(POWER((((Constants!$G$1+$BB39+$BC39+$BD39+$BF39)*($BE39))*$BG39),IF($G39="wagon",1,1.2)))+$AZ39</f>
        <v>33</v>
      </c>
      <c r="BK39" s="20" t="n">
        <f aca="false">BI39*IF($G39="wagon",62.5,781.25)</f>
        <v>21875</v>
      </c>
      <c r="BL39" s="20" t="n">
        <f aca="false">BJ39*IF($G39="wagon",2.73,81.25)</f>
        <v>2681.25</v>
      </c>
      <c r="BM39" s="1" t="n">
        <v>1</v>
      </c>
      <c r="BN39" s="1" t="n">
        <v>1</v>
      </c>
      <c r="BP39" s="1" t="n">
        <v>1</v>
      </c>
      <c r="BQ39" s="1" t="str">
        <f aca="false">_xlfn.ORG.LIBREOFFICE.REGEX(_xlfn.ORG.LIBREOFFICE.REGEX(APTMUVehicles, _xlfn.CONCAT(B39, ",?"), ""), ",$", "")</f>
        <v>apt_half_6,apt_half_6_rev,apt_powercar,apt_half_2,apt_half_2_rev,apt_s_dm,apt_s_10,apt_s_6</v>
      </c>
      <c r="BS39" s="1" t="s">
        <v>273</v>
      </c>
      <c r="BT39" s="1" t="n">
        <v>7</v>
      </c>
      <c r="BU39" s="1" t="n">
        <v>185</v>
      </c>
      <c r="BX39" s="1" t="s">
        <v>148</v>
      </c>
      <c r="BY39" s="1" t="str">
        <f aca="false">VLOOKUP(J39,Eras!$A$2:$C$10, 2, TRUE())</f>
        <v>lbr</v>
      </c>
      <c r="BZ39" s="18" t="s">
        <v>303</v>
      </c>
      <c r="CA39" s="1" t="str">
        <f aca="false">CONCATENATE(BY39,"_",BZ39)</f>
        <v>lbr_Express (Electric)</v>
      </c>
      <c r="CB39" s="1" t="str">
        <f aca="false">_xlfn.CONCAT(H39, "_",I39)</f>
        <v>none_RAIL</v>
      </c>
      <c r="CC39" s="21" t="s">
        <v>304</v>
      </c>
      <c r="CD39" s="1" t="str">
        <f aca="false">VLOOKUP($CB39, Constants!$M:$N, 2, FALSE())</f>
        <v/>
      </c>
      <c r="CE39" s="1" t="str">
        <f aca="false">IF(M39&gt;1,_xlfn.CONCAT("{BLACK}Cars: {GOLD}", M39),"")</f>
        <v/>
      </c>
      <c r="CF39" s="1" t="s">
        <v>308</v>
      </c>
      <c r="CG39" s="1" t="str">
        <f aca="false">IF(BW39="buffet","{YELLOW}25% long distance bonus for consist{}",IF(BY39="BRAKE","{YELLOW}Speed bonus for slow wagons{}",IF(BU39&gt;190,CONCATENATE("{YELLOW}",INT((BU39-185)/1.85),"% bonus for long distance travel{}"),IF(AND(BU39&lt;180,BU39&lt;&gt;0),CONCATENATE("{YELLOW}",INT((185-BU39)/1.85),"% penalty for long distance travel{}"),""))))</f>
        <v/>
      </c>
      <c r="CH39" s="1" t="str">
        <f aca="false">_xlfn.CONCAT(CD39,IF(CD39 &lt;&gt; "", " ", ""),CE39,IF(OR(CE39&lt;&gt;"", CD39&lt;&gt;""), "{}",""), CC39, CG39,"{SILVER}", CF39)</f>
        <v>{BLACK}Length: {GOLD}0.8 tiles{}{SILVER}The APT-Q was proposed to rationalise existing APT-P stock into usable 6-car tains, with a single non-driving power car and a new-build DVT.</v>
      </c>
      <c r="CI39" s="1"/>
      <c r="CJ39" s="1"/>
    </row>
    <row r="40" customFormat="false" ht="13.8" hidden="false" customHeight="false" outlineLevel="0" collapsed="false">
      <c r="A40" s="1" t="s">
        <v>309</v>
      </c>
      <c r="B40" s="1" t="s">
        <v>310</v>
      </c>
      <c r="C40" s="1" t="n">
        <v>384</v>
      </c>
      <c r="D40" s="1" t="n">
        <v>386</v>
      </c>
      <c r="E40" s="1" t="n">
        <v>386</v>
      </c>
      <c r="F40" s="1" t="s">
        <v>89</v>
      </c>
      <c r="G40" s="1" t="s">
        <v>285</v>
      </c>
      <c r="H40" s="1" t="s">
        <v>277</v>
      </c>
      <c r="I40" s="1" t="s">
        <v>153</v>
      </c>
      <c r="J40" s="1" t="n">
        <v>1986</v>
      </c>
      <c r="K40" s="1" t="n">
        <v>1991</v>
      </c>
      <c r="L40" s="1" t="n">
        <v>1994</v>
      </c>
      <c r="M40" s="1" t="n">
        <v>10</v>
      </c>
      <c r="N40" s="1" t="n">
        <v>10</v>
      </c>
      <c r="W40" s="18" t="n">
        <v>258.2</v>
      </c>
      <c r="Y40" s="1" t="n">
        <v>4</v>
      </c>
      <c r="Z40" s="1" t="n">
        <v>5</v>
      </c>
      <c r="AA40" s="4" t="n">
        <f aca="false">IF(AND(W40&gt;0,Z40&gt;0),(Z40/((W40+X40)*10)),"")</f>
        <v>0.00193648334624322</v>
      </c>
      <c r="AB40" s="1" t="n">
        <v>140</v>
      </c>
      <c r="AC40" s="1" t="n">
        <f aca="false">ROUND(AB40*1.6, 0)</f>
        <v>224</v>
      </c>
      <c r="AF40" s="1" t="n">
        <v>20.9</v>
      </c>
      <c r="AG40" s="1" t="n">
        <v>20.9</v>
      </c>
      <c r="AH40" s="1" t="n">
        <v>2.7</v>
      </c>
      <c r="AI40" s="1" t="n">
        <v>3.5</v>
      </c>
      <c r="AJ40" s="5" t="n">
        <v>49</v>
      </c>
      <c r="AK40" s="19" t="str">
        <f aca="false">CONCATENATE(VLOOKUP(AL40, 'Voxel Sizes'!$A$2:$B$18,2,FALSE()),"x",INT(AH40*15), "x", INT(AI40*15))</f>
        <v>198x40x52</v>
      </c>
      <c r="AL40" s="1" t="n">
        <f aca="false">ROUND(15*((AG40*10)/256),0)</f>
        <v>12</v>
      </c>
      <c r="AN40" s="1" t="str">
        <f aca="false">CONCATENATE(VLOOKUP(AL40,Constants!$A$2:$C$16,IF(AM40&lt;&gt;"", 3, 2), FALSE()),IF(AM40&lt;&gt;"",CONCATENATE(",",VLOOKUP(AM40,$B:$AN,38,FALSE())),""))</f>
        <v>4,4,4</v>
      </c>
      <c r="AR40" s="1" t="s">
        <v>311</v>
      </c>
      <c r="AT40" s="1" t="s">
        <v>312</v>
      </c>
      <c r="AU40" s="1" t="s">
        <v>313</v>
      </c>
      <c r="AX40" s="1" t="n">
        <v>20</v>
      </c>
      <c r="AY40" s="6" t="n">
        <f aca="false">IF(L40&lt;&gt;"",MAX(16,(L40-J40)+8),"")</f>
        <v>16</v>
      </c>
      <c r="AZ40" s="1" t="n">
        <v>-45</v>
      </c>
      <c r="BA40" s="1" t="n">
        <v>-65</v>
      </c>
      <c r="BB40" s="1" t="n">
        <f aca="false">MIN(AB40/150, 1)*30</f>
        <v>28</v>
      </c>
      <c r="BC40" s="1" t="n">
        <f aca="false">MIN(N40/4000, 1)*20</f>
        <v>0.05</v>
      </c>
      <c r="BD40" s="1" t="n">
        <f aca="false">MIN(Z40/400,1)*20</f>
        <v>0.25</v>
      </c>
      <c r="BE40" s="4" t="n">
        <f aca="false">1-(MAX(J40-1900, 0)/750)</f>
        <v>0.885333333333333</v>
      </c>
      <c r="BF40" s="1" t="n">
        <f aca="false">((MAX($M40,1)*MIN($AJ40/300,1)))*IF(G40="Wagon",50,10)</f>
        <v>16.3333333333333</v>
      </c>
      <c r="BG40" s="1" t="n">
        <f aca="false">VLOOKUP($H40,Constants!$I:$K, 2, FALSE())</f>
        <v>0.85</v>
      </c>
      <c r="BH40" s="1" t="n">
        <f aca="false">VLOOKUP($H40,Constants!$I:$K, 3, FALSE())*IF(AND(G40="multiple_unit",AB40&lt;110),0.75,1)</f>
        <v>2.3</v>
      </c>
      <c r="BI40" s="1" t="n">
        <f aca="false">INT(POWER(((Constants!$G$2+$BB40+$BC40+$BD40+$BF40)*$BE40)*$BH40, 1.05))+$BA40</f>
        <v>62</v>
      </c>
      <c r="BJ40" s="1" t="n">
        <f aca="false">INT(POWER((((Constants!$G$1+$BB40+$BC40+$BD40+$BF40)*($BE40))*$BG40),IF($G40="wagon",1,1.2)))+$AZ40</f>
        <v>51</v>
      </c>
      <c r="BK40" s="20" t="n">
        <f aca="false">BI40*IF($G40="wagon",62.5,781.25)</f>
        <v>48437.5</v>
      </c>
      <c r="BL40" s="20" t="n">
        <f aca="false">BJ40*IF($G40="wagon",2.73,81.25)</f>
        <v>4143.75</v>
      </c>
      <c r="BO40" s="1" t="n">
        <v>1</v>
      </c>
      <c r="BP40" s="1" t="n">
        <v>1</v>
      </c>
      <c r="BQ40" s="1" t="str">
        <f aca="false">_xlfn.ORG.LIBREOFFICE.REGEX(_xlfn.ORG.LIBREOFFICE.REGEX(APTMUVehicles, _xlfn.CONCAT(B40, ",?"), ""), ",$", "")</f>
        <v>apt_half_6,apt_half_6_rev,apt_powercar,apt_half_2,apt_half_2_rev,apt_q_dvt,apt_s_dm,apt_s_6</v>
      </c>
      <c r="BS40" s="18" t="s">
        <v>314</v>
      </c>
      <c r="BT40" s="1" t="n">
        <v>7</v>
      </c>
      <c r="BU40" s="1" t="n">
        <v>222</v>
      </c>
      <c r="BX40" s="1" t="s">
        <v>95</v>
      </c>
      <c r="BY40" s="1" t="str">
        <f aca="false">VLOOKUP(J40,Eras!$A$2:$C$10, 2, TRUE())</f>
        <v>lbr</v>
      </c>
      <c r="BZ40" s="18" t="s">
        <v>228</v>
      </c>
      <c r="CA40" s="1" t="str">
        <f aca="false">CONCATENATE(BY40,"_",BZ40)</f>
        <v>lbr_EMU (Express)</v>
      </c>
      <c r="CB40" s="1" t="str">
        <f aca="false">_xlfn.CONCAT(H40, "_",I40)</f>
        <v>none_RAIL</v>
      </c>
      <c r="CC40" s="21" t="s">
        <v>304</v>
      </c>
      <c r="CD40" s="1" t="str">
        <f aca="false">VLOOKUP($CB40, Constants!$M:$N, 2, FALSE())</f>
        <v/>
      </c>
      <c r="CE40" s="1" t="str">
        <f aca="false">IF(M40&gt;1,_xlfn.CONCAT("{BLACK}Cars: {GOLD}", M40),"")</f>
        <v>{BLACK}Cars: {GOLD}10</v>
      </c>
      <c r="CF40" s="1" t="s">
        <v>315</v>
      </c>
      <c r="CG40" s="1" t="str">
        <f aca="false">IF(BW40="buffet","{YELLOW}25% long distance bonus for consist{}",IF(BY40="BRAKE","{YELLOW}Speed bonus for slow wagons{}",IF(BU40&gt;190,CONCATENATE("{YELLOW}",INT((BU40-185)/1.85),"% bonus for long distance travel{}"),IF(AND(BU40&lt;180,BU40&lt;&gt;0),CONCATENATE("{YELLOW}",INT((185-BU40)/1.85),"% penalty for long distance travel{}"),""))))</f>
        <v>{YELLOW}20% bonus for long distance travel{}</v>
      </c>
      <c r="CH40" s="1" t="str">
        <f aca="false">_xlfn.CONCAT(CD40,IF(CD40 &lt;&gt; "", " ", ""),CE40,IF(OR(CE40&lt;&gt;"", CD40&lt;&gt;""), "{}",""), CC40, CG40,"{SILVER}", CF40)</f>
        <v>{BLACK}Cars: {GOLD}10{}{BLACK}Length: {GOLD}0.8 tiles{}{YELLOW}20% bonus for long distance travel{}{SILVER}An articulated trailer rake of APT-S Vehicles, intended to run with a Driving Motor and a DVT but also usable in other weird combinations.</v>
      </c>
      <c r="CI40" s="1"/>
      <c r="CJ40" s="1"/>
    </row>
    <row r="41" customFormat="false" ht="13.8" hidden="false" customHeight="false" outlineLevel="0" collapsed="false">
      <c r="A41" s="1" t="s">
        <v>316</v>
      </c>
      <c r="B41" s="1" t="s">
        <v>317</v>
      </c>
      <c r="C41" s="1" t="n">
        <v>386</v>
      </c>
      <c r="E41" s="1" t="n">
        <v>388</v>
      </c>
      <c r="F41" s="1" t="s">
        <v>89</v>
      </c>
      <c r="G41" s="1" t="s">
        <v>285</v>
      </c>
      <c r="H41" s="1" t="s">
        <v>277</v>
      </c>
      <c r="I41" s="1" t="s">
        <v>153</v>
      </c>
      <c r="J41" s="1" t="n">
        <v>1986</v>
      </c>
      <c r="K41" s="1" t="n">
        <v>1991</v>
      </c>
      <c r="L41" s="1" t="n">
        <v>1994</v>
      </c>
      <c r="M41" s="1" t="n">
        <v>6</v>
      </c>
      <c r="N41" s="1" t="n">
        <v>10</v>
      </c>
      <c r="W41" s="1" t="n">
        <v>209.6</v>
      </c>
      <c r="Y41" s="1" t="n">
        <v>4</v>
      </c>
      <c r="Z41" s="1" t="n">
        <v>5</v>
      </c>
      <c r="AA41" s="4" t="n">
        <f aca="false">IF(AND(W41&gt;0,Z41&gt;0),(Z41/((W41+X41)*10)),"")</f>
        <v>0.00238549618320611</v>
      </c>
      <c r="AB41" s="1" t="n">
        <v>140</v>
      </c>
      <c r="AC41" s="1" t="n">
        <f aca="false">ROUND(AB41*1.6, 0)</f>
        <v>224</v>
      </c>
      <c r="AF41" s="1" t="n">
        <v>20.9</v>
      </c>
      <c r="AG41" s="1" t="n">
        <v>20.9</v>
      </c>
      <c r="AH41" s="1" t="n">
        <v>2.7</v>
      </c>
      <c r="AI41" s="1" t="n">
        <v>3.5</v>
      </c>
      <c r="AJ41" s="5" t="n">
        <v>50</v>
      </c>
      <c r="AK41" s="19" t="str">
        <f aca="false">CONCATENATE(VLOOKUP(AL41, 'Voxel Sizes'!$A$2:$B$18,2,FALSE()),"x",INT(AH41*15), "x", INT(AI41*15))</f>
        <v>198x40x52</v>
      </c>
      <c r="AL41" s="1" t="n">
        <f aca="false">ROUND(15*((AG41*10)/256),0)</f>
        <v>12</v>
      </c>
      <c r="AN41" s="1" t="str">
        <f aca="false">CONCATENATE(VLOOKUP(AL41,Constants!$A$2:$C$16,IF(AM41&lt;&gt;"", 3, 2), FALSE()),IF(AM41&lt;&gt;"",CONCATENATE(",",VLOOKUP(AM41,$B:$AN,38,FALSE())),""))</f>
        <v>4,4,4</v>
      </c>
      <c r="AR41" s="1" t="s">
        <v>318</v>
      </c>
      <c r="AT41" s="1" t="s">
        <v>135</v>
      </c>
      <c r="AU41" s="1" t="s">
        <v>313</v>
      </c>
      <c r="AX41" s="1" t="n">
        <v>20</v>
      </c>
      <c r="AY41" s="6" t="n">
        <f aca="false">IF(L41&lt;&gt;"",MAX(16,(L41-J41)+8),"")</f>
        <v>16</v>
      </c>
      <c r="AZ41" s="1" t="n">
        <v>-45</v>
      </c>
      <c r="BA41" s="1" t="n">
        <v>-65</v>
      </c>
      <c r="BB41" s="1" t="n">
        <f aca="false">MIN(AB41/150, 1)*30</f>
        <v>28</v>
      </c>
      <c r="BC41" s="1" t="n">
        <f aca="false">MIN(N41/4000, 1)*20</f>
        <v>0.05</v>
      </c>
      <c r="BD41" s="1" t="n">
        <f aca="false">MIN(Z41/400,1)*20</f>
        <v>0.25</v>
      </c>
      <c r="BE41" s="4" t="n">
        <f aca="false">1-(MAX(J41-1900, 0)/750)</f>
        <v>0.885333333333333</v>
      </c>
      <c r="BF41" s="1" t="n">
        <f aca="false">((MAX($M41,1)*MIN($AJ41/300,1)))*IF(G41="Wagon",50,10)</f>
        <v>10</v>
      </c>
      <c r="BG41" s="1" t="n">
        <f aca="false">VLOOKUP($H41,Constants!$I:$K, 2, FALSE())</f>
        <v>0.85</v>
      </c>
      <c r="BH41" s="1" t="n">
        <f aca="false">VLOOKUP($H41,Constants!$I:$K, 3, FALSE())*IF(AND(G41="multiple_unit",AB41&lt;110),0.75,1)</f>
        <v>2.3</v>
      </c>
      <c r="BI41" s="1" t="n">
        <f aca="false">INT(POWER(((Constants!$G$2+$BB41+$BC41+$BD41+$BF41)*$BE41)*$BH41, 1.05))+$BA41</f>
        <v>45</v>
      </c>
      <c r="BJ41" s="1" t="n">
        <f aca="false">INT(POWER((((Constants!$G$1+$BB41+$BC41+$BD41+$BF41)*($BE41))*$BG41),IF($G41="wagon",1,1.2)))+$AZ41</f>
        <v>38</v>
      </c>
      <c r="BK41" s="20" t="n">
        <f aca="false">BI41*IF($G41="wagon",62.5,781.25)</f>
        <v>35156.25</v>
      </c>
      <c r="BL41" s="20" t="n">
        <f aca="false">BJ41*IF($G41="wagon",2.73,81.25)</f>
        <v>3087.5</v>
      </c>
      <c r="BO41" s="1" t="n">
        <v>1</v>
      </c>
      <c r="BP41" s="1" t="n">
        <v>1</v>
      </c>
      <c r="BQ41" s="1" t="str">
        <f aca="false">_xlfn.ORG.LIBREOFFICE.REGEX(_xlfn.ORG.LIBREOFFICE.REGEX(APTMUVehicles, _xlfn.CONCAT(B41, ",?"), ""), ",$", "")</f>
        <v>apt_half_6,apt_half_6_rev,apt_powercar,apt_half_2,apt_half_2_rev,apt_q_dvt,apt_s_dm,apt_s_10</v>
      </c>
      <c r="BS41" s="18" t="s">
        <v>319</v>
      </c>
      <c r="BT41" s="1" t="n">
        <v>7</v>
      </c>
      <c r="BU41" s="1" t="n">
        <v>222</v>
      </c>
      <c r="BX41" s="1" t="s">
        <v>95</v>
      </c>
      <c r="BY41" s="1" t="str">
        <f aca="false">VLOOKUP(J41,Eras!$A$2:$C$10, 2, TRUE())</f>
        <v>lbr</v>
      </c>
      <c r="BZ41" s="18" t="s">
        <v>228</v>
      </c>
      <c r="CA41" s="1" t="str">
        <f aca="false">CONCATENATE(BY41,"_",BZ41)</f>
        <v>lbr_EMU (Express)</v>
      </c>
      <c r="CB41" s="1" t="str">
        <f aca="false">_xlfn.CONCAT(H41, "_",I41)</f>
        <v>none_RAIL</v>
      </c>
      <c r="CC41" s="21" t="s">
        <v>304</v>
      </c>
      <c r="CD41" s="1" t="str">
        <f aca="false">VLOOKUP($CB41, Constants!$M:$N, 2, FALSE())</f>
        <v/>
      </c>
      <c r="CE41" s="1" t="str">
        <f aca="false">IF(M41&gt;1,_xlfn.CONCAT("{BLACK}Cars: {GOLD}", M41),"")</f>
        <v>{BLACK}Cars: {GOLD}6</v>
      </c>
      <c r="CF41" s="1" t="s">
        <v>315</v>
      </c>
      <c r="CG41" s="1" t="str">
        <f aca="false">IF(BW41="buffet","{YELLOW}25% long distance bonus for consist{}",IF(BY41="BRAKE","{YELLOW}Speed bonus for slow wagons{}",IF(BU41&gt;190,CONCATENATE("{YELLOW}",INT((BU41-185)/1.85),"% bonus for long distance travel{}"),IF(AND(BU41&lt;180,BU41&lt;&gt;0),CONCATENATE("{YELLOW}",INT((185-BU41)/1.85),"% penalty for long distance travel{}"),""))))</f>
        <v>{YELLOW}20% bonus for long distance travel{}</v>
      </c>
      <c r="CH41" s="1" t="str">
        <f aca="false">_xlfn.CONCAT(CD41,IF(CD41 &lt;&gt; "", " ", ""),CE41,IF(OR(CE41&lt;&gt;"", CD41&lt;&gt;""), "{}",""), CC41, CG41,"{SILVER}", CF41)</f>
        <v>{BLACK}Cars: {GOLD}6{}{BLACK}Length: {GOLD}0.8 tiles{}{YELLOW}20% bonus for long distance travel{}{SILVER}An articulated trailer rake of APT-S Vehicles, intended to run with a Driving Motor and a DVT but also usable in other weird combinations.</v>
      </c>
      <c r="CI41" s="1"/>
      <c r="CJ41" s="1"/>
    </row>
    <row r="42" customFormat="false" ht="13.8" hidden="false" customHeight="false" outlineLevel="0" collapsed="false">
      <c r="A42" s="1" t="s">
        <v>320</v>
      </c>
      <c r="B42" s="1" t="s">
        <v>321</v>
      </c>
      <c r="C42" s="1" t="n">
        <v>420</v>
      </c>
      <c r="E42" s="1" t="n">
        <v>392</v>
      </c>
      <c r="F42" s="1" t="s">
        <v>89</v>
      </c>
      <c r="G42" s="1" t="s">
        <v>147</v>
      </c>
      <c r="H42" s="1" t="s">
        <v>152</v>
      </c>
      <c r="I42" s="1" t="s">
        <v>153</v>
      </c>
      <c r="J42" s="1" t="n">
        <v>1986</v>
      </c>
      <c r="K42" s="1" t="n">
        <v>2026</v>
      </c>
      <c r="L42" s="1" t="n">
        <v>2031</v>
      </c>
      <c r="N42" s="1" t="n">
        <v>2250</v>
      </c>
      <c r="W42" s="1" t="n">
        <v>71.5</v>
      </c>
      <c r="Z42" s="1" t="n">
        <v>180</v>
      </c>
      <c r="AA42" s="4" t="n">
        <f aca="false">IF(AND(W42&gt;0,Z42&gt;0),(Z42/((W42+X42)*10)),"")</f>
        <v>0.251748251748252</v>
      </c>
      <c r="AB42" s="1" t="n">
        <v>125</v>
      </c>
      <c r="AC42" s="1" t="n">
        <f aca="false">ROUND(AB42*1.6, 0)</f>
        <v>200</v>
      </c>
      <c r="AF42" s="1" t="n">
        <v>17.79</v>
      </c>
      <c r="AG42" s="1" t="n">
        <v>17.79</v>
      </c>
      <c r="AJ42" s="5" t="n">
        <v>0</v>
      </c>
      <c r="AK42" s="19" t="str">
        <f aca="false">CONCATENATE(VLOOKUP(AL42, 'Voxel Sizes'!$A$2:$B$18,2,FALSE()),"x",INT(AH42*15), "x", INT(AI42*15))</f>
        <v>164x0x0</v>
      </c>
      <c r="AL42" s="1" t="n">
        <f aca="false">ROUND(15*((AG42*10)/256),0)</f>
        <v>10</v>
      </c>
      <c r="AN42" s="1" t="str">
        <f aca="false">CONCATENATE(VLOOKUP(AL42,Constants!$A$2:$C$16,IF(AM42&lt;&gt;"", 3, 2), FALSE()),IF(AM42&lt;&gt;"",CONCATENATE(",",VLOOKUP(AM42,$B:$AN,38,FALSE())),""))</f>
        <v>4,2,4</v>
      </c>
      <c r="AX42" s="1" t="n">
        <v>35</v>
      </c>
      <c r="AY42" s="6" t="n">
        <f aca="false">IF(L42&lt;&gt;"",MAX(16,(L42-J42)+8),"")</f>
        <v>53</v>
      </c>
      <c r="BB42" s="1" t="n">
        <f aca="false">MIN(AB42/150, 1)*30</f>
        <v>25</v>
      </c>
      <c r="BC42" s="1" t="n">
        <f aca="false">MIN(N42/4000, 1)*20</f>
        <v>11.25</v>
      </c>
      <c r="BD42" s="1" t="n">
        <f aca="false">MIN(Z42/400,1)*20</f>
        <v>9</v>
      </c>
      <c r="BE42" s="4" t="n">
        <f aca="false">1-(MAX(J42-1900, 0)/750)</f>
        <v>0.885333333333333</v>
      </c>
      <c r="BF42" s="1" t="n">
        <f aca="false">((MAX($M42,1)*MIN($AJ42/300,1)))*IF(G42="Wagon",50,10)</f>
        <v>0</v>
      </c>
      <c r="BG42" s="1" t="n">
        <f aca="false">VLOOKUP($H42,Constants!$I:$K, 2, FALSE())</f>
        <v>1</v>
      </c>
      <c r="BH42" s="1" t="n">
        <f aca="false">VLOOKUP($H42,Constants!$I:$K, 3, FALSE())*IF(AND(G42="multiple_unit",AB42&lt;110),0.75,1)</f>
        <v>2</v>
      </c>
      <c r="BI42" s="1" t="n">
        <f aca="false">INT(POWER(((Constants!$G$2+$BB42+$BC42+$BD42+$BF42)*$BE42)*$BH42, 1.05))+$BA42</f>
        <v>111</v>
      </c>
      <c r="BJ42" s="1" t="n">
        <f aca="false">INT(POWER((((Constants!$G$1+$BB42+$BC42+$BD42+$BF42)*($BE42))*$BG42),IF($G42="wagon",1,1.2)))+$AZ42</f>
        <v>118</v>
      </c>
      <c r="BK42" s="20" t="n">
        <f aca="false">BI42*IF($G42="wagon",62.5,781.25)</f>
        <v>86718.75</v>
      </c>
      <c r="BL42" s="20" t="n">
        <f aca="false">BJ42*IF($G42="wagon",2.73,81.25)</f>
        <v>9587.5</v>
      </c>
      <c r="BM42" s="1" t="n">
        <v>1</v>
      </c>
      <c r="BN42" s="1" t="n">
        <v>1</v>
      </c>
      <c r="BT42" s="1" t="n">
        <v>2</v>
      </c>
      <c r="BY42" s="1" t="str">
        <f aca="false">VLOOKUP(J42,Eras!$A$2:$C$10, 2, TRUE())</f>
        <v>lbr</v>
      </c>
      <c r="BZ42" s="18" t="s">
        <v>322</v>
      </c>
      <c r="CA42" s="1" t="str">
        <f aca="false">CONCATENATE(BY42,"_",BZ42)</f>
        <v>lbr_Express</v>
      </c>
      <c r="CB42" s="1" t="str">
        <f aca="false">_xlfn.CONCAT(H42, "_",I42)</f>
        <v>diesel_RAIL</v>
      </c>
      <c r="CC42" s="21" t="s">
        <v>304</v>
      </c>
      <c r="CD42" s="1" t="str">
        <f aca="false">VLOOKUP($CB42, Constants!$M:$N, 2, FALSE())</f>
        <v>{BLACK}Powered by: {GOLD}Diesel</v>
      </c>
      <c r="CE42" s="1" t="str">
        <f aca="false">IF(M42&gt;1,_xlfn.CONCAT("{BLACK}Cars: {GOLD}", M42),"")</f>
        <v/>
      </c>
      <c r="CF42" s="1" t="s">
        <v>323</v>
      </c>
      <c r="CG42" s="1" t="str">
        <f aca="false">IF(BW42="buffet","{YELLOW}25% long distance bonus for consist{}",IF(BY42="BRAKE","{YELLOW}Speed bonus for slow wagons{}",IF(BU42&gt;190,CONCATENATE("{YELLOW}",INT((BU42-185)/1.85),"% bonus for long distance travel{}"),IF(AND(BU42&lt;180,BU42&lt;&gt;0),CONCATENATE("{YELLOW}",INT((185-BU42)/1.85),"% penalty for long distance travel{}"),""))))</f>
        <v/>
      </c>
      <c r="CH42" s="1" t="str">
        <f aca="false">_xlfn.CONCAT(CD42,IF(CD42 &lt;&gt; "", " ", ""),CE42,IF(OR(CE42&lt;&gt;"", CD42&lt;&gt;""), "{}",""), CC42, CG42,"{SILVER}", CF42)</f>
        <v>{BLACK}Powered by: {GOLD}Diesel {}{BLACK}Length: {GOLD}0.8 tiles{}{SILVER}To facilitate the testing and introduction of the Class 91 fleet prior to the availability of Mark 4 Driving Van Trailers, 8 HST Power Cars were converted to act as control vehicles for electric locomotives.</v>
      </c>
      <c r="CI42" s="1"/>
      <c r="CJ42" s="1"/>
    </row>
    <row r="43" customFormat="false" ht="13.8" hidden="false" customHeight="false" outlineLevel="0" collapsed="false">
      <c r="A43" s="1" t="s">
        <v>324</v>
      </c>
      <c r="B43" s="1" t="s">
        <v>325</v>
      </c>
      <c r="C43" s="1" t="n">
        <v>422</v>
      </c>
      <c r="E43" s="1" t="n">
        <v>394</v>
      </c>
      <c r="F43" s="1" t="s">
        <v>89</v>
      </c>
      <c r="G43" s="1" t="s">
        <v>147</v>
      </c>
      <c r="H43" s="1" t="s">
        <v>277</v>
      </c>
      <c r="I43" s="1" t="s">
        <v>153</v>
      </c>
      <c r="J43" s="1" t="n">
        <v>1986</v>
      </c>
      <c r="K43" s="1" t="n">
        <v>1991</v>
      </c>
      <c r="N43" s="1" t="n">
        <v>100</v>
      </c>
      <c r="W43" s="1" t="n">
        <v>35</v>
      </c>
      <c r="Y43" s="1" t="n">
        <v>4</v>
      </c>
      <c r="Z43" s="1" t="n">
        <v>5</v>
      </c>
      <c r="AA43" s="4" t="n">
        <f aca="false">IF(AND(W43&gt;0,Z43&gt;0),(Z43/((W43+X43)*10)),"")</f>
        <v>0.0142857142857143</v>
      </c>
      <c r="AB43" s="1" t="n">
        <v>125</v>
      </c>
      <c r="AC43" s="1" t="n">
        <f aca="false">ROUND(AB43*1.6, 0)</f>
        <v>200</v>
      </c>
      <c r="AF43" s="1" t="n">
        <v>23</v>
      </c>
      <c r="AG43" s="1" t="n">
        <v>23</v>
      </c>
      <c r="AJ43" s="5" t="n">
        <v>45</v>
      </c>
      <c r="AK43" s="19" t="str">
        <f aca="false">CONCATENATE(VLOOKUP(AL43, 'Voxel Sizes'!$A$2:$B$18,2,FALSE()),"x",INT(AH43*15), "x", INT(AI43*15))</f>
        <v>214x0x0</v>
      </c>
      <c r="AL43" s="1" t="n">
        <f aca="false">ROUND(15*((AG43*10)/256),0)</f>
        <v>13</v>
      </c>
      <c r="AN43" s="1" t="str">
        <f aca="false">CONCATENATE(VLOOKUP(AL43,Constants!$A$2:$C$16,IF(AM43&lt;&gt;"", 3, 2), FALSE()),IF(AM43&lt;&gt;"",CONCATENATE(",",VLOOKUP(AM43,$B:$AN,38,FALSE())),""))</f>
        <v>4,5,4</v>
      </c>
      <c r="AX43" s="1" t="n">
        <v>27</v>
      </c>
      <c r="AY43" s="6" t="str">
        <f aca="false">IF(L43&lt;&gt;"",MAX(16,(L43-J43)+8),"")</f>
        <v/>
      </c>
      <c r="AZ43" s="1" t="n">
        <v>-15</v>
      </c>
      <c r="BA43" s="1" t="n">
        <v>-60</v>
      </c>
      <c r="BB43" s="1" t="n">
        <f aca="false">MIN(AB43/150, 1)*30</f>
        <v>25</v>
      </c>
      <c r="BC43" s="1" t="n">
        <f aca="false">MIN(N43/4000, 1)*20</f>
        <v>0.5</v>
      </c>
      <c r="BD43" s="1" t="n">
        <f aca="false">MIN(Z43/400,1)*20</f>
        <v>0.25</v>
      </c>
      <c r="BE43" s="4" t="n">
        <f aca="false">1-(MAX(J43-1900, 0)/750)</f>
        <v>0.885333333333333</v>
      </c>
      <c r="BF43" s="1" t="n">
        <f aca="false">((MAX($M43,1)*MIN($AJ43/300,1)))*IF(G43="Wagon",50,10)</f>
        <v>1.5</v>
      </c>
      <c r="BG43" s="1" t="n">
        <f aca="false">VLOOKUP($H43,Constants!$I:$K, 2, FALSE())</f>
        <v>0.85</v>
      </c>
      <c r="BH43" s="1" t="n">
        <f aca="false">VLOOKUP($H43,Constants!$I:$K, 3, FALSE())*IF(AND(G43="multiple_unit",AB43&lt;110),0.75,1)</f>
        <v>2.3</v>
      </c>
      <c r="BI43" s="1" t="n">
        <v>20</v>
      </c>
      <c r="BJ43" s="1" t="n">
        <f aca="false">INT(POWER((((Constants!$G$1+$BB43+$BC43+$BD43+$BF43)*($BE43))*$BG43),IF($G43="wagon",1,1.2)))+$AZ43</f>
        <v>48</v>
      </c>
      <c r="BK43" s="20" t="n">
        <f aca="false">BI43*IF($G43="wagon",62.5,781.25)</f>
        <v>15625</v>
      </c>
      <c r="BL43" s="20" t="n">
        <f aca="false">BJ43*IF($G43="wagon",2.73,81.25)</f>
        <v>3900</v>
      </c>
      <c r="BM43" s="1" t="n">
        <v>1</v>
      </c>
      <c r="BN43" s="1" t="n">
        <v>1</v>
      </c>
      <c r="BS43" s="1" t="s">
        <v>273</v>
      </c>
      <c r="BT43" s="1" t="n">
        <v>7</v>
      </c>
      <c r="BU43" s="1" t="n">
        <v>205</v>
      </c>
      <c r="BV43" s="1" t="s">
        <v>227</v>
      </c>
      <c r="BX43" s="1" t="s">
        <v>95</v>
      </c>
      <c r="BY43" s="1" t="str">
        <f aca="false">VLOOKUP(J43,Eras!$A$2:$C$10, 2, TRUE())</f>
        <v>lbr</v>
      </c>
      <c r="BZ43" s="18" t="s">
        <v>322</v>
      </c>
      <c r="CA43" s="1" t="str">
        <f aca="false">CONCATENATE(BY43,"_",BZ43)</f>
        <v>lbr_Express</v>
      </c>
      <c r="CB43" s="1" t="str">
        <f aca="false">_xlfn.CONCAT(H43, "_",I43)</f>
        <v>none_RAIL</v>
      </c>
      <c r="CC43" s="21" t="s">
        <v>304</v>
      </c>
      <c r="CD43" s="1"/>
      <c r="CE43" s="1" t="str">
        <f aca="false">IF(M43&gt;1,_xlfn.CONCAT("{BLACK}Cars: {GOLD}", M43),"")</f>
        <v/>
      </c>
      <c r="CF43" s="1" t="s">
        <v>326</v>
      </c>
      <c r="CG43" s="1" t="str">
        <f aca="false">IF(BW43="buffet","{YELLOW}25% long distance bonus for consist{}",IF(BY43="BRAKE","{YELLOW}Speed bonus for slow wagons{}",IF(BU43&gt;190,CONCATENATE("{YELLOW}",INT((BU43-185)/1.85),"% bonus for long distance travel{}"),IF(AND(BU43&lt;180,BU43&lt;&gt;0),CONCATENATE("{YELLOW}",INT((185-BU43)/1.85),"% penalty for long distance travel{}"),""))))</f>
        <v>{YELLOW}10% bonus for long distance travel{}</v>
      </c>
      <c r="CH43" s="1" t="str">
        <f aca="false">_xlfn.CONCAT(CD43,IF(CD43 &lt;&gt; "", " ", ""),CE43,IF(OR(CE43&lt;&gt;"", CD43&lt;&gt;""), "{}",""), CC43, CG43,"{SILVER}", CF43)</f>
        <v>{BLACK}Length: {GOLD}0.8 tiles{}{YELLOW}10% bonus for long distance travel{}{SILVER}A conversion of the Mk3 coach to incorporate a driving cab was proposed before the Polmont derailment put a stop to the idea of having passengers in the leading vehicle of locomotive-propelled trains.</v>
      </c>
      <c r="CI43" s="1"/>
      <c r="CJ43" s="1"/>
    </row>
    <row r="44" customFormat="false" ht="13.8" hidden="false" customHeight="false" outlineLevel="0" collapsed="false">
      <c r="A44" s="1" t="s">
        <v>327</v>
      </c>
      <c r="B44" s="1" t="s">
        <v>328</v>
      </c>
      <c r="C44" s="1" t="n">
        <v>424</v>
      </c>
      <c r="D44" s="1" t="n">
        <v>420</v>
      </c>
      <c r="E44" s="1" t="n">
        <v>396</v>
      </c>
      <c r="F44" s="1" t="s">
        <v>89</v>
      </c>
      <c r="G44" s="1" t="s">
        <v>147</v>
      </c>
      <c r="H44" s="1" t="s">
        <v>277</v>
      </c>
      <c r="I44" s="1" t="s">
        <v>153</v>
      </c>
      <c r="J44" s="1" t="n">
        <v>1986</v>
      </c>
      <c r="K44" s="1" t="n">
        <v>1991</v>
      </c>
      <c r="N44" s="1" t="n">
        <v>100</v>
      </c>
      <c r="W44" s="1" t="n">
        <v>40</v>
      </c>
      <c r="Z44" s="1" t="n">
        <v>5</v>
      </c>
      <c r="AA44" s="4" t="n">
        <f aca="false">IF(AND(W44&gt;0,Z44&gt;0),(Z44/((W44+X44)*10)),"")</f>
        <v>0.0125</v>
      </c>
      <c r="AB44" s="1" t="n">
        <v>125</v>
      </c>
      <c r="AC44" s="1" t="n">
        <f aca="false">ROUND(AB44*1.6, 0)</f>
        <v>200</v>
      </c>
      <c r="AF44" s="1" t="n">
        <v>17.79</v>
      </c>
      <c r="AG44" s="1" t="n">
        <v>17.79</v>
      </c>
      <c r="AJ44" s="5" t="n">
        <v>36</v>
      </c>
      <c r="AK44" s="19" t="str">
        <f aca="false">CONCATENATE(VLOOKUP(AL44, 'Voxel Sizes'!$A$2:$B$18,2,FALSE()),"x",INT(AH44*15), "x", INT(AI44*15))</f>
        <v>164x0x0</v>
      </c>
      <c r="AL44" s="1" t="n">
        <f aca="false">ROUND(15*((AG44*10)/256),0)</f>
        <v>10</v>
      </c>
      <c r="AN44" s="1" t="str">
        <f aca="false">CONCATENATE(VLOOKUP(AL44,Constants!$A$2:$C$16,IF(AM44&lt;&gt;"", 3, 2), FALSE()),IF(AM44&lt;&gt;"",CONCATENATE(",",VLOOKUP(AM44,$B:$AN,38,FALSE())),""))</f>
        <v>4,2,4</v>
      </c>
      <c r="AX44" s="1" t="n">
        <v>27</v>
      </c>
      <c r="AY44" s="6" t="str">
        <f aca="false">IF(L44&lt;&gt;"",MAX(16,(L44-J44)+8),"")</f>
        <v/>
      </c>
      <c r="AZ44" s="1" t="n">
        <v>-15</v>
      </c>
      <c r="BA44" s="1" t="n">
        <v>-55</v>
      </c>
      <c r="BB44" s="1" t="n">
        <f aca="false">MIN(AB44/150, 1)*30</f>
        <v>25</v>
      </c>
      <c r="BC44" s="1" t="n">
        <f aca="false">MIN(N44/4000, 1)*20</f>
        <v>0.5</v>
      </c>
      <c r="BD44" s="1" t="n">
        <f aca="false">MIN(Z44/400,1)*20</f>
        <v>0.25</v>
      </c>
      <c r="BE44" s="4" t="n">
        <f aca="false">1-(MAX(J44-1900, 0)/750)</f>
        <v>0.885333333333333</v>
      </c>
      <c r="BF44" s="1" t="n">
        <f aca="false">((MAX($M44,1)*MIN($AJ44/300,1)))*IF(G44="Wagon",50,10)</f>
        <v>1.2</v>
      </c>
      <c r="BG44" s="1" t="n">
        <f aca="false">VLOOKUP($H44,Constants!$I:$K, 2, FALSE())</f>
        <v>0.85</v>
      </c>
      <c r="BH44" s="1" t="n">
        <f aca="false">VLOOKUP($H44,Constants!$I:$K, 3, FALSE())*IF(AND(G44="multiple_unit",AB44&lt;110),0.75,1)</f>
        <v>2.3</v>
      </c>
      <c r="BI44" s="1" t="n">
        <v>25</v>
      </c>
      <c r="BJ44" s="1" t="n">
        <f aca="false">INT(POWER((((Constants!$G$1+$BB44+$BC44+$BD44+$BF44)*($BE44))*$BG44),IF($G44="wagon",1,1.2)))+$AZ44</f>
        <v>47</v>
      </c>
      <c r="BK44" s="20" t="n">
        <f aca="false">BI44*IF($G44="wagon",62.5,781.25)</f>
        <v>19531.25</v>
      </c>
      <c r="BL44" s="20" t="n">
        <f aca="false">BJ44*IF($G44="wagon",2.73,81.25)</f>
        <v>3818.75</v>
      </c>
      <c r="BM44" s="1" t="n">
        <v>1</v>
      </c>
      <c r="BN44" s="1" t="n">
        <v>1</v>
      </c>
      <c r="BS44" s="1" t="s">
        <v>273</v>
      </c>
      <c r="BT44" s="1" t="n">
        <v>7</v>
      </c>
      <c r="BV44" s="1" t="s">
        <v>329</v>
      </c>
      <c r="BX44" s="1" t="s">
        <v>148</v>
      </c>
      <c r="BY44" s="1" t="str">
        <f aca="false">VLOOKUP(J44,Eras!$A$2:$C$10, 2, TRUE())</f>
        <v>lbr</v>
      </c>
      <c r="BZ44" s="18" t="s">
        <v>322</v>
      </c>
      <c r="CA44" s="1" t="str">
        <f aca="false">CONCATENATE(BY44,"_",BZ44)</f>
        <v>lbr_Express</v>
      </c>
      <c r="CB44" s="1" t="str">
        <f aca="false">_xlfn.CONCAT(H44, "_",I44)</f>
        <v>none_RAIL</v>
      </c>
      <c r="CC44" s="21" t="s">
        <v>304</v>
      </c>
      <c r="CD44" s="1"/>
      <c r="CE44" s="1" t="str">
        <f aca="false">IF(M44&gt;1,_xlfn.CONCAT("{BLACK}Cars: {GOLD}", M44),"")</f>
        <v/>
      </c>
      <c r="CF44" s="1" t="s">
        <v>330</v>
      </c>
      <c r="CG44" s="1" t="str">
        <f aca="false">IF(BW44="buffet","{YELLOW}25% long distance bonus for consist{}",IF(BY44="BRAKE","{YELLOW}Speed bonus for slow wagons{}",IF(BU44&gt;190,CONCATENATE("{YELLOW}",INT((BU44-185)/1.85),"% bonus for long distance travel{}"),IF(AND(BU44&lt;180,BU44&lt;&gt;0),CONCATENATE("{YELLOW}",INT((185-BU44)/1.85),"% penalty for long distance travel{}"),""))))</f>
        <v/>
      </c>
      <c r="CH44" s="1" t="str">
        <f aca="false">_xlfn.CONCAT(CD44,IF(CD44 &lt;&gt; "", " ", ""),CE44,IF(OR(CE44&lt;&gt;"", CD44&lt;&gt;""), "{}",""), CC44, CG44,"{SILVER}", CF44)</f>
        <v>{BLACK}Length: {GOLD}0.8 tiles{}{SILVER}A depowered Class 43, proposed as a conversion from surplus power cars and now suitable for carrying baggage.</v>
      </c>
      <c r="CI44" s="1"/>
      <c r="CJ44" s="1"/>
    </row>
    <row r="45" customFormat="false" ht="13.8" hidden="false" customHeight="false" outlineLevel="0" collapsed="false">
      <c r="A45" s="1" t="s">
        <v>331</v>
      </c>
      <c r="B45" s="1" t="s">
        <v>332</v>
      </c>
      <c r="C45" s="1" t="n">
        <v>396</v>
      </c>
      <c r="E45" s="1" t="n">
        <v>398</v>
      </c>
      <c r="F45" s="1" t="s">
        <v>89</v>
      </c>
      <c r="G45" s="1" t="s">
        <v>147</v>
      </c>
      <c r="H45" s="1" t="s">
        <v>333</v>
      </c>
      <c r="I45" s="1" t="s">
        <v>92</v>
      </c>
      <c r="J45" s="1" t="n">
        <v>1986</v>
      </c>
      <c r="K45" s="1" t="n">
        <v>2026</v>
      </c>
      <c r="L45" s="1" t="n">
        <v>2031</v>
      </c>
      <c r="N45" s="1" t="n">
        <v>2750</v>
      </c>
      <c r="W45" s="1" t="n">
        <v>74</v>
      </c>
      <c r="Z45" s="1" t="n">
        <v>180</v>
      </c>
      <c r="AA45" s="4" t="n">
        <f aca="false">IF(AND(W45&gt;0,Z45&gt;0),(Z45/((W45+X45)*10)),"")</f>
        <v>0.243243243243243</v>
      </c>
      <c r="AB45" s="1" t="n">
        <v>125</v>
      </c>
      <c r="AC45" s="1" t="n">
        <f aca="false">ROUND(AB45*1.6, 0)</f>
        <v>200</v>
      </c>
      <c r="AF45" s="1" t="n">
        <v>17.79</v>
      </c>
      <c r="AG45" s="1" t="n">
        <v>17.79</v>
      </c>
      <c r="AJ45" s="5" t="n">
        <v>0</v>
      </c>
      <c r="AK45" s="19" t="str">
        <f aca="false">CONCATENATE(VLOOKUP(AL45, 'Voxel Sizes'!$A$2:$B$18,2,FALSE()),"x",INT(AH45*15), "x", INT(AI45*15))</f>
        <v>164x0x0</v>
      </c>
      <c r="AL45" s="1" t="n">
        <f aca="false">ROUND(15*((AG45*10)/256),0)</f>
        <v>10</v>
      </c>
      <c r="AN45" s="1" t="str">
        <f aca="false">CONCATENATE(VLOOKUP(AL45,Constants!$A$2:$C$16,IF(AM45&lt;&gt;"", 3, 2), FALSE()),IF(AM45&lt;&gt;"",CONCATENATE(",",VLOOKUP(AM45,$B:$AN,38,FALSE())),""))</f>
        <v>4,2,4</v>
      </c>
      <c r="AS45" s="1" t="s">
        <v>332</v>
      </c>
      <c r="AX45" s="1" t="n">
        <v>35</v>
      </c>
      <c r="AY45" s="6" t="n">
        <f aca="false">IF(L45&lt;&gt;"",MAX(16,(L45-J45)+8),"")</f>
        <v>53</v>
      </c>
      <c r="BB45" s="1" t="n">
        <f aca="false">MIN(AB45/150, 1)*30</f>
        <v>25</v>
      </c>
      <c r="BC45" s="1" t="n">
        <f aca="false">MIN(N45/4000, 1)*20</f>
        <v>13.75</v>
      </c>
      <c r="BD45" s="1" t="n">
        <f aca="false">MIN(Z45/400,1)*20</f>
        <v>9</v>
      </c>
      <c r="BE45" s="4" t="n">
        <f aca="false">1-(MAX(J45-1900, 0)/750)</f>
        <v>0.885333333333333</v>
      </c>
      <c r="BF45" s="1" t="n">
        <f aca="false">((MAX($M45,1)*MIN($AJ45/300,1)))*IF(G45="Wagon",50,10)</f>
        <v>0</v>
      </c>
      <c r="BG45" s="1" t="n">
        <f aca="false">VLOOKUP($H45,Constants!$I:$K, 2, FALSE())</f>
        <v>0.85</v>
      </c>
      <c r="BH45" s="1" t="n">
        <f aca="false">VLOOKUP($H45,Constants!$I:$K, 3, FALSE())*IF(AND(G45="multiple_unit",AB45&lt;110),0.75,1)</f>
        <v>2.4</v>
      </c>
      <c r="BI45" s="1" t="n">
        <f aca="false">INT(POWER(((Constants!$G$2+$BB45+$BC45+$BD45+$BF45)*$BE45)*$BH45, 1.05))+$BA45</f>
        <v>141</v>
      </c>
      <c r="BJ45" s="1" t="n">
        <f aca="false">INT(POWER((((Constants!$G$1+$BB45+$BC45+$BD45+$BF45)*($BE45))*$BG45),IF($G45="wagon",1,1.2)))+$AZ45</f>
        <v>102</v>
      </c>
      <c r="BK45" s="20" t="n">
        <f aca="false">BI45*IF($G45="wagon",62.5,781.25)</f>
        <v>110156.25</v>
      </c>
      <c r="BL45" s="20" t="n">
        <f aca="false">BJ45*IF($G45="wagon",2.73,81.25)</f>
        <v>8287.5</v>
      </c>
      <c r="BM45" s="1" t="n">
        <v>1</v>
      </c>
      <c r="BN45" s="1" t="n">
        <v>1</v>
      </c>
      <c r="BS45" s="1" t="s">
        <v>273</v>
      </c>
      <c r="BT45" s="1" t="n">
        <v>2</v>
      </c>
      <c r="BY45" s="1" t="str">
        <f aca="false">VLOOKUP(J45,Eras!$A$2:$C$10, 2, TRUE())</f>
        <v>lbr</v>
      </c>
      <c r="BZ45" s="18" t="s">
        <v>303</v>
      </c>
      <c r="CA45" s="1" t="str">
        <f aca="false">CONCATENATE(BY45,"_",BZ45)</f>
        <v>lbr_Express (Electric)</v>
      </c>
      <c r="CB45" s="1" t="str">
        <f aca="false">_xlfn.CONCAT(H45, "_",I45)</f>
        <v>dual_electric_ELRL</v>
      </c>
      <c r="CC45" s="21" t="s">
        <v>304</v>
      </c>
      <c r="CD45" s="1" t="str">
        <f aca="false">VLOOKUP($CB45, Constants!$M:$N, 2, FALSE())</f>
        <v>{BLACK}Powered by: {GOLD}25kV AC</v>
      </c>
      <c r="CE45" s="1" t="str">
        <f aca="false">IF(M45&gt;1,_xlfn.CONCAT("{BLACK}Cars: {GOLD}", M45),"")</f>
        <v/>
      </c>
      <c r="CF45" s="1" t="s">
        <v>334</v>
      </c>
      <c r="CG45" s="1" t="str">
        <f aca="false">IF(BW45="buffet","{YELLOW}25% long distance bonus for consist{}",IF(BY45="BRAKE","{YELLOW}Speed bonus for slow wagons{}",IF(BU45&gt;190,CONCATENATE("{YELLOW}",INT((BU45-185)/1.85),"% bonus for long distance travel{}"),IF(AND(BU45&lt;180,BU45&lt;&gt;0),CONCATENATE("{YELLOW}",INT((185-BU45)/1.85),"% penalty for long distance travel{}"),""))))</f>
        <v/>
      </c>
      <c r="CH45" s="1" t="str">
        <f aca="false">_xlfn.CONCAT(CD45,IF(CD45 &lt;&gt; "", " ", ""),CE45,IF(OR(CE45&lt;&gt;"", CD45&lt;&gt;""), "{}",""), CC45, CG45,"{SILVER}", CF45)</f>
        <v>{BLACK}Powered by: {GOLD}25kV AC {}{BLACK}Length: {GOLD}0.8 tiles{}{SILVER}A proposed electric version of the Class 43 ‘HST’ Power Car was oft-discussed after the failure of the APT program.</v>
      </c>
      <c r="CI45" s="1"/>
      <c r="CJ45" s="1"/>
    </row>
    <row r="46" customFormat="false" ht="13.8" hidden="false" customHeight="false" outlineLevel="0" collapsed="false">
      <c r="A46" s="18" t="s">
        <v>335</v>
      </c>
      <c r="B46" s="18" t="s">
        <v>336</v>
      </c>
      <c r="C46" s="1" t="n">
        <v>388</v>
      </c>
      <c r="D46" s="18"/>
      <c r="E46" s="18" t="n">
        <v>390</v>
      </c>
      <c r="F46" s="18" t="s">
        <v>89</v>
      </c>
      <c r="G46" s="18" t="s">
        <v>147</v>
      </c>
      <c r="H46" s="18" t="s">
        <v>91</v>
      </c>
      <c r="I46" s="18" t="s">
        <v>92</v>
      </c>
      <c r="J46" s="18" t="n">
        <v>1985</v>
      </c>
      <c r="K46" s="18" t="n">
        <v>1999</v>
      </c>
      <c r="L46" s="18"/>
      <c r="M46" s="18"/>
      <c r="N46" s="18" t="n">
        <v>5400</v>
      </c>
      <c r="W46" s="18" t="n">
        <v>109</v>
      </c>
      <c r="Y46" s="18"/>
      <c r="Z46" s="18" t="n">
        <v>267</v>
      </c>
      <c r="AA46" s="4" t="n">
        <v>0.205384615384615</v>
      </c>
      <c r="AB46" s="18" t="n">
        <v>75</v>
      </c>
      <c r="AC46" s="18" t="n">
        <v>128</v>
      </c>
      <c r="AD46" s="18"/>
      <c r="AE46" s="18"/>
      <c r="AF46" s="18" t="n">
        <v>19.13</v>
      </c>
      <c r="AG46" s="18" t="n">
        <v>19.13</v>
      </c>
      <c r="AH46" s="18"/>
      <c r="AI46" s="18" t="n">
        <v>3.91</v>
      </c>
      <c r="AJ46" s="5" t="n">
        <v>0</v>
      </c>
      <c r="AK46" s="19" t="str">
        <f aca="false">CONCATENATE(VLOOKUP(AL46, 'Voxel Sizes'!$A$2:$B$18,2,FALSE()),"x",INT(AH46*15), "x", INT(AI46*15))</f>
        <v>186x0x58</v>
      </c>
      <c r="AL46" s="18" t="n">
        <v>11</v>
      </c>
      <c r="AM46" s="18"/>
      <c r="AN46" s="1" t="str">
        <f aca="false">CONCATENATE(VLOOKUP(AL46,Constants!$A$2:$C$16,IF(AM46&lt;&gt;"", 3, 2), FALSE()),IF(AM46&lt;&gt;"",CONCATENATE(",",VLOOKUP(AM46,$B:$AN,38,FALSE())),""))</f>
        <v>4,3,4</v>
      </c>
      <c r="AO46" s="18"/>
      <c r="AR46" s="18"/>
      <c r="AS46" s="18"/>
      <c r="AT46" s="18"/>
      <c r="AU46" s="18"/>
      <c r="AV46" s="18"/>
      <c r="AW46" s="18"/>
      <c r="AX46" s="18" t="n">
        <v>30</v>
      </c>
      <c r="AZ46" s="18" t="n">
        <v>15</v>
      </c>
      <c r="BA46" s="18" t="n">
        <v>-10</v>
      </c>
      <c r="BB46" s="18" t="n">
        <v>16</v>
      </c>
      <c r="BC46" s="18" t="n">
        <v>16.5</v>
      </c>
      <c r="BD46" s="18" t="n">
        <v>13.35</v>
      </c>
      <c r="BE46" s="4" t="n">
        <v>0.889333333333333</v>
      </c>
      <c r="BF46" s="18" t="n">
        <v>0</v>
      </c>
      <c r="BG46" s="1" t="n">
        <f aca="false">VLOOKUP($H46,Constants!$I:$K, 2, FALSE())</f>
        <v>0.85</v>
      </c>
      <c r="BH46" s="1" t="n">
        <f aca="false">VLOOKUP($H46,Constants!$I:$K, 3, FALSE())*IF(AND(G46="multiple_unit",AB46&lt;110),0.75,1)</f>
        <v>2.3</v>
      </c>
      <c r="BI46" s="1" t="n">
        <f aca="false">INT(POWER(((Constants!$G$2+$BB46+$BC46+$BD46+$BF46)*$BE46)*$BH46, 1.05))+$BA46</f>
        <v>121</v>
      </c>
      <c r="BJ46" s="1" t="n">
        <f aca="false">INT(POWER((((Constants!$G$1+$BB46+$BC46+$BD46+$BF46)*($BE46))*$BG46),IF($G46="wagon",1,1.2)))+$AZ46</f>
        <v>113</v>
      </c>
      <c r="BK46" s="20" t="n">
        <f aca="false">BI46*IF($G46="wagon",62.5,781.25)</f>
        <v>94531.25</v>
      </c>
      <c r="BL46" s="20" t="n">
        <f aca="false">BJ46*IF($G46="wagon",2.73,81.25)</f>
        <v>9181.25</v>
      </c>
      <c r="BM46" s="18"/>
      <c r="BN46" s="18"/>
      <c r="BO46" s="18"/>
      <c r="BP46" s="18"/>
      <c r="BQ46" s="18"/>
      <c r="BR46" s="18"/>
      <c r="BS46" s="1" t="s">
        <v>273</v>
      </c>
      <c r="BT46" s="1" t="n">
        <v>4</v>
      </c>
      <c r="BY46" s="1" t="str">
        <f aca="false">VLOOKUP(J46,Eras!$A$2:$C$10, 2, TRUE())</f>
        <v>lbr</v>
      </c>
      <c r="BZ46" s="18" t="s">
        <v>337</v>
      </c>
      <c r="CA46" s="1" t="s">
        <v>338</v>
      </c>
      <c r="CB46" s="1" t="str">
        <f aca="false">_xlfn.CONCAT(H46, "_",I46)</f>
        <v>electric_ELRL</v>
      </c>
      <c r="CC46" s="25" t="s">
        <v>304</v>
      </c>
      <c r="CD46" s="1" t="str">
        <f aca="false">VLOOKUP($CB46, Constants!$M:$N, 2, FALSE())</f>
        <v>{BLACK}Powered by: {GOLD}25kV AC</v>
      </c>
      <c r="CE46" s="1" t="str">
        <f aca="false">IF(M46&gt;1,_xlfn.CONCAT("{BLACK}Cars: {GOLD}", M46),"")</f>
        <v/>
      </c>
      <c r="CF46" s="1" t="s">
        <v>339</v>
      </c>
      <c r="CG46" s="1" t="str">
        <f aca="false">IF(BW46="buffet","{YELLOW}25% long distance bonus for consist{}",IF(BY46="BRAKE","{YELLOW}Speed bonus for slow wagons{}",IF(BU46&gt;190,CONCATENATE("{YELLOW}",INT((BU46-185)/1.85),"% bonus for long distance travel{}"),IF(AND(BU46&lt;180,BU46&lt;&gt;0),CONCATENATE("{YELLOW}",INT((185-BU46)/1.85),"% penalty for long distance travel{}"),""))))</f>
        <v/>
      </c>
      <c r="CH46" s="1" t="str">
        <f aca="false">_xlfn.CONCAT(CD46,IF(CD46 &lt;&gt; "", " ", ""),CE46,IF(OR(CE46&lt;&gt;"", CD46&lt;&gt;""), "{}",""), CC46, CG46,"{SILVER}", CF46)</f>
        <v>{BLACK}Powered by: {GOLD}25kV AC {}{BLACK}Length: {GOLD}0.8 tiles{}{SILVER}The Class 88 was a proposed re-use of the Class 58 design, dropping the diesel engine for a 25kv Overhead power supply.</v>
      </c>
      <c r="CI46" s="1"/>
      <c r="CJ46" s="1"/>
    </row>
    <row r="47" customFormat="false" ht="13.8" hidden="false" customHeight="false" outlineLevel="0" collapsed="false">
      <c r="A47" s="18" t="s">
        <v>340</v>
      </c>
      <c r="B47" s="18" t="s">
        <v>341</v>
      </c>
      <c r="C47" s="1" t="n">
        <v>390</v>
      </c>
      <c r="D47" s="18"/>
      <c r="E47" s="18" t="n">
        <v>400</v>
      </c>
      <c r="F47" s="18" t="s">
        <v>89</v>
      </c>
      <c r="G47" s="18" t="s">
        <v>147</v>
      </c>
      <c r="H47" s="18" t="s">
        <v>152</v>
      </c>
      <c r="I47" s="18" t="s">
        <v>153</v>
      </c>
      <c r="J47" s="18" t="n">
        <v>1985</v>
      </c>
      <c r="K47" s="18" t="n">
        <v>1994</v>
      </c>
      <c r="L47" s="18"/>
      <c r="M47" s="18"/>
      <c r="N47" s="18" t="n">
        <v>2100</v>
      </c>
      <c r="W47" s="18" t="n">
        <v>120</v>
      </c>
      <c r="Y47" s="18"/>
      <c r="Z47" s="18" t="n">
        <v>192</v>
      </c>
      <c r="AA47" s="4" t="n">
        <f aca="false">IF(AND(W47&gt;0,Z47&gt;0),(Z47/((W47+X47)*10)),"")</f>
        <v>0.16</v>
      </c>
      <c r="AB47" s="18" t="n">
        <v>75</v>
      </c>
      <c r="AC47" s="18" t="n">
        <f aca="false">ROUND(AB47*1.6, 0)</f>
        <v>120</v>
      </c>
      <c r="AD47" s="18"/>
      <c r="AE47" s="18"/>
      <c r="AF47" s="18" t="n">
        <v>18</v>
      </c>
      <c r="AG47" s="18" t="n">
        <v>17</v>
      </c>
      <c r="AH47" s="18"/>
      <c r="AI47" s="18" t="n">
        <v>3.91</v>
      </c>
      <c r="AJ47" s="5" t="n">
        <v>0</v>
      </c>
      <c r="AK47" s="19" t="str">
        <f aca="false">CONCATENATE(VLOOKUP(AL47, 'Voxel Sizes'!$A$2:$B$18,2,FALSE()),"x",INT(AH47*15), "x", INT(AI47*15))</f>
        <v>164x0x58</v>
      </c>
      <c r="AL47" s="18" t="n">
        <f aca="false">ROUND(15*((AG47*10)/256),0)</f>
        <v>10</v>
      </c>
      <c r="AM47" s="18"/>
      <c r="AN47" s="1" t="str">
        <f aca="false">CONCATENATE(VLOOKUP(AL47,Constants!$A$2:$C$16,IF(AM47&lt;&gt;"", 3, 2), FALSE()),IF(AM47&lt;&gt;"",CONCATENATE(",",VLOOKUP(AM47,$B:$AN,38,FALSE())),""))</f>
        <v>4,2,4</v>
      </c>
      <c r="AO47" s="18"/>
      <c r="AR47" s="18"/>
      <c r="AS47" s="18"/>
      <c r="AT47" s="18"/>
      <c r="AU47" s="18"/>
      <c r="AV47" s="18"/>
      <c r="AW47" s="18"/>
      <c r="AX47" s="18" t="n">
        <v>30</v>
      </c>
      <c r="AY47" s="6" t="str">
        <f aca="false">IF(L47&lt;&gt;"",MAX(16,(L47-J47)+8),"")</f>
        <v/>
      </c>
      <c r="AZ47" s="18" t="n">
        <v>15</v>
      </c>
      <c r="BA47" s="18" t="n">
        <v>-10</v>
      </c>
      <c r="BB47" s="18" t="n">
        <f aca="false">MIN(AB47/150, 1)*30</f>
        <v>15</v>
      </c>
      <c r="BC47" s="18" t="n">
        <f aca="false">MIN(N47/4000, 1)*20</f>
        <v>10.5</v>
      </c>
      <c r="BD47" s="18" t="n">
        <f aca="false">MIN(Z47/400,1)*20</f>
        <v>9.6</v>
      </c>
      <c r="BE47" s="4" t="n">
        <f aca="false">1-(MAX(J47-1900, 0)/750)</f>
        <v>0.886666666666667</v>
      </c>
      <c r="BF47" s="18" t="n">
        <f aca="false">((MAX($M47,1)*MIN($AJ47/300,1)))*IF(G47="Wagon",50,10)</f>
        <v>0</v>
      </c>
      <c r="BG47" s="1" t="n">
        <f aca="false">VLOOKUP($H47,Constants!$I:$K, 2, FALSE())</f>
        <v>1</v>
      </c>
      <c r="BH47" s="1" t="n">
        <f aca="false">VLOOKUP($H47,Constants!$I:$K, 3, FALSE())*IF(AND(G47="multiple_unit",AB47&lt;110),0.75,1)</f>
        <v>2</v>
      </c>
      <c r="BI47" s="1" t="n">
        <f aca="false">INT(POWER(((Constants!$G$2+$BB47+$BC47+$BD47+$BF47)*$BE47)*$BH47, 1.05))+$BA47</f>
        <v>78</v>
      </c>
      <c r="BJ47" s="1" t="n">
        <f aca="false">INT(POWER((((Constants!$G$1+$BB47+$BC47+$BD47+$BF47)*($BE47))*$BG47),IF($G47="wagon",1,1.2)))+$AZ47</f>
        <v>109</v>
      </c>
      <c r="BK47" s="20" t="n">
        <f aca="false">BI47*IF($G47="wagon",62.5,781.25)</f>
        <v>60937.5</v>
      </c>
      <c r="BL47" s="20" t="n">
        <f aca="false">BJ47*IF($G47="wagon",2.73,81.25)</f>
        <v>8856.25</v>
      </c>
      <c r="BM47" s="18"/>
      <c r="BN47" s="18"/>
      <c r="BO47" s="18"/>
      <c r="BP47" s="18"/>
      <c r="BQ47" s="18"/>
      <c r="BR47" s="18"/>
      <c r="BS47" s="1" t="s">
        <v>273</v>
      </c>
      <c r="BT47" s="1" t="n">
        <v>6</v>
      </c>
      <c r="BY47" s="1" t="s">
        <v>164</v>
      </c>
      <c r="BZ47" s="18" t="s">
        <v>337</v>
      </c>
      <c r="CA47" s="1" t="str">
        <f aca="false">CONCATENATE(BY47,"_",BZ47)</f>
        <v>lbr_Freight</v>
      </c>
      <c r="CB47" s="1" t="str">
        <f aca="false">_xlfn.CONCAT(H47, "_",I47)</f>
        <v>diesel_RAIL</v>
      </c>
      <c r="CC47" s="25" t="s">
        <v>304</v>
      </c>
      <c r="CD47" s="1" t="str">
        <f aca="false">VLOOKUP($CB47, Constants!$M:$N, 2, FALSE())</f>
        <v>{BLACK}Powered by: {GOLD}Diesel</v>
      </c>
      <c r="CE47" s="1" t="str">
        <f aca="false">IF(M47&gt;1,_xlfn.CONCAT("{BLACK}Cars: {GOLD}", M47),"")</f>
        <v/>
      </c>
      <c r="CF47" s="1" t="s">
        <v>342</v>
      </c>
      <c r="CG47" s="1" t="str">
        <f aca="false">IF(BW47="buffet","{YELLOW}25% long distance bonus for consist{}",IF(BY47="BRAKE","{YELLOW}Speed bonus for slow wagons{}",IF(BU47&gt;190,CONCATENATE("{YELLOW}",INT((BU47-185)/1.85),"% bonus for long distance travel{}"),IF(AND(BU47&lt;180,BU47&lt;&gt;0),CONCATENATE("{YELLOW}",INT((185-BU47)/1.85),"% penalty for long distance travel{}"),""))))</f>
        <v/>
      </c>
      <c r="CH47" s="1" t="str">
        <f aca="false">_xlfn.CONCAT(CD47,IF(CD47 &lt;&gt; "", " ", ""),CE47,IF(OR(CE47&lt;&gt;"", CD47&lt;&gt;""), "{}",""), CC47, CG47,"{SILVER}", CF47)</f>
        <v>{BLACK}Powered by: {GOLD}Diesel {}{BLACK}Length: {GOLD}0.8 tiles{}{SILVER}The Class 38 was a proposed cut-down Class 58 using a 2000hp-class diesel engine. If built, these would likely have displaced the oldest remaining Type 2 and Type 3 locomotives on the network, replacing Class 31s and Class 37s on freight duties.</v>
      </c>
      <c r="CI47" s="1"/>
      <c r="CJ47" s="1"/>
    </row>
    <row r="48" s="18" customFormat="true" ht="13.8" hidden="false" customHeight="false" outlineLevel="0" collapsed="false">
      <c r="A48" s="18" t="s">
        <v>343</v>
      </c>
      <c r="B48" s="18" t="s">
        <v>344</v>
      </c>
      <c r="C48" s="1" t="n">
        <v>400</v>
      </c>
      <c r="E48" s="18" t="n">
        <v>410</v>
      </c>
      <c r="F48" s="18" t="s">
        <v>89</v>
      </c>
      <c r="G48" s="18" t="s">
        <v>90</v>
      </c>
      <c r="H48" s="18" t="s">
        <v>333</v>
      </c>
      <c r="I48" s="18" t="s">
        <v>345</v>
      </c>
      <c r="J48" s="18" t="n">
        <v>1992</v>
      </c>
      <c r="M48" s="18" t="n">
        <v>20</v>
      </c>
      <c r="N48" s="18" t="n">
        <v>16400</v>
      </c>
      <c r="O48" s="2" t="n">
        <v>4600</v>
      </c>
      <c r="P48" s="3"/>
      <c r="Q48" s="3"/>
      <c r="R48" s="3"/>
      <c r="S48" s="3"/>
      <c r="T48" s="3"/>
      <c r="U48" s="3"/>
      <c r="V48" s="3"/>
      <c r="W48" s="18" t="n">
        <v>752</v>
      </c>
      <c r="X48" s="2"/>
      <c r="Y48" s="18" t="n">
        <v>4</v>
      </c>
      <c r="Z48" s="18" t="n">
        <v>220</v>
      </c>
      <c r="AA48" s="4" t="n">
        <f aca="false">IF(AND(W48&gt;0,Z48&gt;0),(Z48/((W48+X48)*10)),"")</f>
        <v>0.0292553191489362</v>
      </c>
      <c r="AB48" s="18" t="n">
        <v>186</v>
      </c>
      <c r="AC48" s="18" t="n">
        <f aca="false">ROUND(AB48*1.6, 0)</f>
        <v>298</v>
      </c>
      <c r="AF48" s="18" t="n">
        <v>22.15</v>
      </c>
      <c r="AG48" s="18" t="n">
        <v>22.15</v>
      </c>
      <c r="AH48" s="18" t="n">
        <v>2.81</v>
      </c>
      <c r="AJ48" s="5" t="n">
        <v>35</v>
      </c>
      <c r="AK48" s="19" t="str">
        <f aca="false">CONCATENATE(VLOOKUP(AL48, 'Voxel Sizes'!$A$2:$B$18,2,FALSE()),"x",INT(AH48*15), "x", INT(AI48*15))</f>
        <v>214x42x0</v>
      </c>
      <c r="AL48" s="18" t="n">
        <f aca="false">ROUND(15*((AG48*10)/256),0)</f>
        <v>13</v>
      </c>
      <c r="AN48" s="1" t="str">
        <f aca="false">CONCATENATE(VLOOKUP(AL48,Constants!$A$2:$C$16,IF(AM48&lt;&gt;"", 3, 2), FALSE()),IF(AM48&lt;&gt;"",CONCATENATE(",",VLOOKUP(AM48,$B:$AN,38,FALSE())),""))</f>
        <v>4,5,4</v>
      </c>
      <c r="AP48" s="26" t="s">
        <v>346</v>
      </c>
      <c r="AQ48" s="26" t="s">
        <v>347</v>
      </c>
      <c r="AR48" s="18" t="s">
        <v>348</v>
      </c>
      <c r="AS48" s="18" t="s">
        <v>349</v>
      </c>
      <c r="AT48" s="18" t="s">
        <v>350</v>
      </c>
      <c r="AX48" s="18" t="n">
        <v>25</v>
      </c>
      <c r="AY48" s="6" t="str">
        <f aca="false">IF(L48&lt;&gt;"",MAX(16,(L48-J48)+8),"")</f>
        <v/>
      </c>
      <c r="BB48" s="18" t="n">
        <f aca="false">MIN(AB48/150, 1)*30</f>
        <v>30</v>
      </c>
      <c r="BC48" s="18" t="n">
        <f aca="false">MIN(N48/4000, 1)*20</f>
        <v>20</v>
      </c>
      <c r="BD48" s="18" t="n">
        <f aca="false">MIN(Z48/400,1)*20</f>
        <v>11</v>
      </c>
      <c r="BE48" s="4" t="n">
        <f aca="false">1-(MAX(J48-1900, 0)/750)</f>
        <v>0.877333333333333</v>
      </c>
      <c r="BF48" s="18" t="n">
        <f aca="false">((MAX($M48,1)*MIN($AJ48/300,1)))*IF(G48="Wagon",50,10)</f>
        <v>23.3333333333333</v>
      </c>
      <c r="BG48" s="1" t="n">
        <f aca="false">VLOOKUP($H48,Constants!$I:$K, 2, FALSE())</f>
        <v>0.85</v>
      </c>
      <c r="BH48" s="1" t="n">
        <f aca="false">VLOOKUP($H48,Constants!$I:$K, 3, FALSE())*IF(AND(G48="multiple_unit",AB48&lt;110),0.75,1)</f>
        <v>2.4</v>
      </c>
      <c r="BI48" s="1" t="n">
        <f aca="false">INT(POWER(((Constants!$G$2+$BB48+$BC48+$BD48+$BF48)*$BE48)*$BH48, 1.05))+$BA48</f>
        <v>244</v>
      </c>
      <c r="BJ48" s="1" t="n">
        <f aca="false">INT(POWER((((Constants!$G$1+$BB48+$BC48+$BD48+$BF48)*($BE48))*$BG48),IF($G48="wagon",1,1.2)))+$AZ48</f>
        <v>175</v>
      </c>
      <c r="BK48" s="20" t="n">
        <f aca="false">BI48*IF($G48="wagon",62.5,781.25)</f>
        <v>190625</v>
      </c>
      <c r="BL48" s="20" t="n">
        <f aca="false">BJ48*IF($G48="wagon",2.73,81.25)</f>
        <v>14218.75</v>
      </c>
      <c r="BS48" s="18" t="s">
        <v>209</v>
      </c>
      <c r="BT48" s="18" t="n">
        <v>11</v>
      </c>
      <c r="BU48" s="18" t="n">
        <v>232</v>
      </c>
      <c r="BX48" s="18" t="s">
        <v>95</v>
      </c>
      <c r="BY48" s="18" t="s">
        <v>164</v>
      </c>
      <c r="BZ48" s="18" t="s">
        <v>228</v>
      </c>
      <c r="CA48" s="18" t="str">
        <f aca="false">CONCATENATE(BY48,"_",BZ48)</f>
        <v>lbr_EMU (Express)</v>
      </c>
      <c r="CB48" s="18" t="str">
        <f aca="false">_xlfn.CONCAT(H48, "_",I48)</f>
        <v>dual_electric_DUAL_POWER</v>
      </c>
      <c r="CC48" s="21" t="str">
        <f aca="false">_xlfn.CONCAT("{BLACK}Length: {GOLD}", TEXT(ROUNDUP(IF(AQ48&lt;&gt;"",SUM(VALUE(_xlfn.TEXTSPLIT(AQ48, ","))), SUM(VALUE(_xlfn.TEXTSPLIT(AN48, ",")))*IF(M48, M48, 1))/16, 1), "#,##0.0"), " tiles{}")</f>
        <v>{BLACK}Length: {GOLD}14.5 tiles{}</v>
      </c>
      <c r="CE48" s="1" t="str">
        <f aca="false">IF(M48&gt;1,_xlfn.CONCAT("{BLACK}Cars: {GOLD}", M48),"")</f>
        <v>{BLACK}Cars: {GOLD}20</v>
      </c>
      <c r="CF48" s="18" t="s">
        <v>351</v>
      </c>
      <c r="CG48" s="1" t="str">
        <f aca="false">IF(BW48="buffet","{YELLOW}25% long distance bonus for consist{}",IF(BY48="BRAKE","{YELLOW}Speed bonus for slow wagons{}",IF(BU48&gt;190,CONCATENATE("{YELLOW}",INT((BU48-185)/1.85),"% bonus for long distance travel{}"),IF(AND(BU48&lt;180,BU48&lt;&gt;0),CONCATENATE("{YELLOW}",INT((185-BU48)/1.85),"% penalty for long distance travel{}"),""))))</f>
        <v>{YELLOW}25% bonus for long distance travel{}</v>
      </c>
      <c r="CH48" s="1" t="str">
        <f aca="false">_xlfn.CONCAT(CD48,IF(CD48 &lt;&gt; "", " ", ""),CE48,IF(OR(CE48&lt;&gt;"", CD48&lt;&gt;""), "{}",""), CC48, CG48,"{SILVER}", CF48)</f>
        <v>{BLACK}Cars: {GOLD}20{}{BLACK}Length: {GOLD}14.5 tiles{}{YELLOW}25% bonus for long distance travel{}{SILVER}An adaption of the french TGV to UK Loading gauge, and designed to run through the Channel Tunnel onto 750V DC track for a slow crawl into south London, the Class 373 continues to run international services.</v>
      </c>
    </row>
    <row r="49" s="18" customFormat="true" ht="13.8" hidden="false" customHeight="false" outlineLevel="0" collapsed="false">
      <c r="A49" s="18" t="s">
        <v>352</v>
      </c>
      <c r="B49" s="18" t="s">
        <v>353</v>
      </c>
      <c r="C49" s="1" t="n">
        <v>401</v>
      </c>
      <c r="D49" s="18" t="n">
        <v>400</v>
      </c>
      <c r="E49" s="18" t="n">
        <v>411</v>
      </c>
      <c r="F49" s="18" t="s">
        <v>89</v>
      </c>
      <c r="G49" s="18" t="s">
        <v>90</v>
      </c>
      <c r="H49" s="18" t="s">
        <v>333</v>
      </c>
      <c r="I49" s="18" t="s">
        <v>345</v>
      </c>
      <c r="J49" s="18" t="n">
        <v>1992</v>
      </c>
      <c r="M49" s="18" t="n">
        <v>16</v>
      </c>
      <c r="N49" s="18" t="n">
        <v>16400</v>
      </c>
      <c r="O49" s="2" t="n">
        <v>4600</v>
      </c>
      <c r="P49" s="3"/>
      <c r="Q49" s="3"/>
      <c r="R49" s="3"/>
      <c r="S49" s="3"/>
      <c r="T49" s="3"/>
      <c r="U49" s="3"/>
      <c r="V49" s="3"/>
      <c r="W49" s="18" t="n">
        <v>665</v>
      </c>
      <c r="X49" s="2"/>
      <c r="Y49" s="18" t="n">
        <v>4</v>
      </c>
      <c r="Z49" s="18" t="n">
        <v>220</v>
      </c>
      <c r="AA49" s="4" t="n">
        <f aca="false">IF(AND(W49&gt;0,Z49&gt;0),(Z49/((W49+X49)*10)),"")</f>
        <v>0.0330827067669173</v>
      </c>
      <c r="AB49" s="18" t="n">
        <v>186</v>
      </c>
      <c r="AC49" s="18" t="n">
        <f aca="false">ROUND(AB49*1.6, 0)</f>
        <v>298</v>
      </c>
      <c r="AF49" s="18" t="n">
        <v>22.15</v>
      </c>
      <c r="AG49" s="18" t="n">
        <v>22.15</v>
      </c>
      <c r="AH49" s="18" t="n">
        <v>2.81</v>
      </c>
      <c r="AJ49" s="5" t="n">
        <v>35</v>
      </c>
      <c r="AK49" s="19" t="str">
        <f aca="false">CONCATENATE(VLOOKUP(AL49, 'Voxel Sizes'!$A$2:$B$18,2,FALSE()),"x",INT(AH49*15), "x", INT(AI49*15))</f>
        <v>214x42x0</v>
      </c>
      <c r="AL49" s="18" t="n">
        <f aca="false">ROUND(15*((AG49*10)/256),0)</f>
        <v>13</v>
      </c>
      <c r="AN49" s="1" t="str">
        <f aca="false">CONCATENATE(VLOOKUP(AL49,Constants!$A$2:$C$16,IF(AM49&lt;&gt;"", 3, 2), FALSE()),IF(AM49&lt;&gt;"",CONCATENATE(",",VLOOKUP(AM49,$B:$AN,38,FALSE())),""))</f>
        <v>4,5,4</v>
      </c>
      <c r="AP49" s="26" t="s">
        <v>354</v>
      </c>
      <c r="AQ49" s="26" t="s">
        <v>355</v>
      </c>
      <c r="AR49" s="18" t="s">
        <v>356</v>
      </c>
      <c r="AS49" s="18" t="s">
        <v>357</v>
      </c>
      <c r="AT49" s="18" t="s">
        <v>358</v>
      </c>
      <c r="AX49" s="18" t="n">
        <v>25</v>
      </c>
      <c r="AY49" s="6" t="str">
        <f aca="false">IF(L49&lt;&gt;"",MAX(16,(L49-J49)+8),"")</f>
        <v/>
      </c>
      <c r="BB49" s="18" t="n">
        <f aca="false">MIN(AB49/150, 1)*30</f>
        <v>30</v>
      </c>
      <c r="BC49" s="18" t="n">
        <f aca="false">MIN(N49/4000, 1)*20</f>
        <v>20</v>
      </c>
      <c r="BD49" s="18" t="n">
        <f aca="false">MIN(Z49/400,1)*20</f>
        <v>11</v>
      </c>
      <c r="BE49" s="4" t="n">
        <f aca="false">1-(MAX(J49-1900, 0)/750)</f>
        <v>0.877333333333333</v>
      </c>
      <c r="BF49" s="18" t="n">
        <f aca="false">((MAX($M49,1)*MIN($AJ49/300,1)))*IF(G49="Wagon",50,10)</f>
        <v>18.6666666666667</v>
      </c>
      <c r="BG49" s="1" t="n">
        <f aca="false">VLOOKUP($H49,Constants!$I:$K, 2, FALSE())</f>
        <v>0.85</v>
      </c>
      <c r="BH49" s="1" t="n">
        <f aca="false">VLOOKUP($H49,Constants!$I:$K, 3, FALSE())*IF(AND(G49="multiple_unit",AB49&lt;110),0.75,1)</f>
        <v>2.4</v>
      </c>
      <c r="BI49" s="1" t="n">
        <f aca="false">INT(POWER(((Constants!$G$2+$BB49+$BC49+$BD49+$BF49)*$BE49)*$BH49, 1.05))+$BA49</f>
        <v>231</v>
      </c>
      <c r="BJ49" s="1" t="n">
        <f aca="false">INT(POWER((((Constants!$G$1+$BB49+$BC49+$BD49+$BF49)*($BE49))*$BG49),IF($G49="wagon",1,1.2)))+$AZ49</f>
        <v>165</v>
      </c>
      <c r="BK49" s="20" t="n">
        <f aca="false">BI49*IF($G49="wagon",62.5,781.25)</f>
        <v>180468.75</v>
      </c>
      <c r="BL49" s="20" t="n">
        <f aca="false">BJ49*IF($G49="wagon",2.73,81.25)</f>
        <v>13406.25</v>
      </c>
      <c r="BS49" s="18" t="s">
        <v>209</v>
      </c>
      <c r="BT49" s="18" t="n">
        <v>11</v>
      </c>
      <c r="BU49" s="18" t="n">
        <v>232</v>
      </c>
      <c r="BX49" s="18" t="s">
        <v>95</v>
      </c>
      <c r="BY49" s="18" t="s">
        <v>164</v>
      </c>
      <c r="BZ49" s="18" t="s">
        <v>228</v>
      </c>
      <c r="CA49" s="18" t="str">
        <f aca="false">CONCATENATE(BY49,"_",BZ49)</f>
        <v>lbr_EMU (Express)</v>
      </c>
      <c r="CB49" s="18" t="str">
        <f aca="false">_xlfn.CONCAT(H49, "_",I49)</f>
        <v>dual_electric_DUAL_POWER</v>
      </c>
      <c r="CC49" s="21" t="str">
        <f aca="false">_xlfn.CONCAT("{BLACK}Length: {GOLD}", TEXT(ROUNDUP(IF(AQ49&lt;&gt;"",SUM(VALUE(_xlfn.TEXTSPLIT(AQ49, ","))), SUM(VALUE(_xlfn.TEXTSPLIT(AN49, ",")))*IF(M49, M49, 1))/16, 1), "#,##0.0"), " tiles{}")</f>
        <v>{BLACK}Length: {GOLD}11.8 tiles{}</v>
      </c>
      <c r="CE49" s="1" t="str">
        <f aca="false">IF(M49&gt;1,_xlfn.CONCAT("{BLACK}Cars: {GOLD}", M49),"")</f>
        <v>{BLACK}Cars: {GOLD}16</v>
      </c>
      <c r="CF49" s="18" t="s">
        <v>359</v>
      </c>
      <c r="CG49" s="1" t="str">
        <f aca="false">IF(BW49="buffet","{YELLOW}25% long distance bonus for consist{}",IF(BY49="BRAKE","{YELLOW}Speed bonus for slow wagons{}",IF(BU49&gt;190,CONCATENATE("{YELLOW}",INT((BU49-185)/1.85),"% bonus for long distance travel{}"),IF(AND(BU49&lt;180,BU49&lt;&gt;0),CONCATENATE("{YELLOW}",INT((185-BU49)/1.85),"% penalty for long distance travel{}"),""))))</f>
        <v>{YELLOW}25% bonus for long distance travel{}</v>
      </c>
      <c r="CH49" s="1" t="str">
        <f aca="false">_xlfn.CONCAT(CD49,IF(CD49 &lt;&gt; "", " ", ""),CE49,IF(OR(CE49&lt;&gt;"", CD49&lt;&gt;""), "{}",""), CC49, CG49,"{SILVER}", CF49)</f>
        <v>{BLACK}Cars: {GOLD}16{}{BLACK}Length: {GOLD}11.8 tiles{}{YELLOW}25% bonus for long distance travel{}{SILVER}The first of a number of cancelled cross-channel service concepts, the Regional Eurostar sets never operated as intended, but were used for relief services on the ECML and as conventional TGV sets in France.</v>
      </c>
    </row>
    <row r="50" customFormat="false" ht="13.8" hidden="false" customHeight="false" outlineLevel="0" collapsed="false">
      <c r="A50" s="18" t="s">
        <v>360</v>
      </c>
      <c r="B50" s="18" t="s">
        <v>361</v>
      </c>
      <c r="C50" s="1" t="n">
        <v>410</v>
      </c>
      <c r="E50" s="1" t="n">
        <v>410</v>
      </c>
      <c r="F50" s="1" t="s">
        <v>89</v>
      </c>
      <c r="G50" s="1" t="s">
        <v>90</v>
      </c>
      <c r="H50" s="1" t="s">
        <v>91</v>
      </c>
      <c r="I50" s="1" t="s">
        <v>249</v>
      </c>
      <c r="J50" s="1" t="n">
        <v>1993</v>
      </c>
      <c r="K50" s="1" t="n">
        <v>2025</v>
      </c>
      <c r="L50" s="1" t="n">
        <v>2028</v>
      </c>
      <c r="M50" s="1" t="n">
        <v>2</v>
      </c>
      <c r="N50" s="1" t="n">
        <v>1500</v>
      </c>
      <c r="W50" s="1" t="n">
        <v>72</v>
      </c>
      <c r="Y50" s="1" t="n">
        <v>5</v>
      </c>
      <c r="Z50" s="1" t="n">
        <v>83</v>
      </c>
      <c r="AA50" s="4" t="n">
        <f aca="false">IF(AND(W50&gt;0,Z50&gt;0),(Z50/((W50+X50)*10)),"")</f>
        <v>0.115277777777778</v>
      </c>
      <c r="AB50" s="1" t="n">
        <v>75</v>
      </c>
      <c r="AC50" s="1" t="n">
        <f aca="false">ROUND(AB50*1.6, 0)</f>
        <v>120</v>
      </c>
      <c r="AF50" s="1" t="n">
        <v>20.89</v>
      </c>
      <c r="AG50" s="1" t="n">
        <v>20.89</v>
      </c>
      <c r="AI50" s="1" t="n">
        <v>3.77</v>
      </c>
      <c r="AJ50" s="5" t="n">
        <v>84</v>
      </c>
      <c r="AK50" s="19" t="str">
        <f aca="false">CONCATENATE(VLOOKUP(AL50, 'Voxel Sizes'!$A$2:$B$18,2,FALSE()),"x",INT(AH50*15), "x", INT(AI50*15))</f>
        <v>198x0x56</v>
      </c>
      <c r="AL50" s="1" t="n">
        <f aca="false">ROUND(15*((AG50*10)/256),0)</f>
        <v>12</v>
      </c>
      <c r="AN50" s="1" t="str">
        <f aca="false">CONCATENATE(VLOOKUP(AL50,Constants!$A$2:$C$16,IF(AM50&lt;&gt;"", 3, 2), FALSE()),IF(AM50&lt;&gt;"",CONCATENATE(",",VLOOKUP(AM50,$B:$AN,38,FALSE())),""))</f>
        <v>4,4,4</v>
      </c>
      <c r="AO50" s="1" t="n">
        <v>1</v>
      </c>
      <c r="AR50" s="1" t="s">
        <v>362</v>
      </c>
      <c r="AT50" s="1" t="s">
        <v>113</v>
      </c>
      <c r="AU50" s="1" t="s">
        <v>363</v>
      </c>
      <c r="AX50" s="1" t="n">
        <v>32</v>
      </c>
      <c r="AY50" s="6" t="n">
        <f aca="false">IF(L50&lt;&gt;"",MAX(16,(L50-J50)+8),"")</f>
        <v>43</v>
      </c>
      <c r="AZ50" s="1" t="n">
        <v>-10</v>
      </c>
      <c r="BA50" s="1" t="n">
        <v>-20</v>
      </c>
      <c r="BB50" s="1" t="n">
        <f aca="false">MIN(AB50/150, 1)*30</f>
        <v>15</v>
      </c>
      <c r="BC50" s="1" t="n">
        <f aca="false">MIN(N50/4000, 1)*20</f>
        <v>7.5</v>
      </c>
      <c r="BD50" s="1" t="n">
        <f aca="false">MIN(Z50/400,1)*20</f>
        <v>4.15</v>
      </c>
      <c r="BE50" s="4" t="n">
        <f aca="false">1-(MAX(J50-1900, 0)/750)</f>
        <v>0.876</v>
      </c>
      <c r="BF50" s="1" t="n">
        <f aca="false">((MAX($M50,1)*MIN($AJ50/300,1)))*IF(G50="Wagon",50,10)</f>
        <v>5.6</v>
      </c>
      <c r="BG50" s="1" t="n">
        <f aca="false">VLOOKUP($H50,Constants!$I:$K, 2, FALSE())</f>
        <v>0.85</v>
      </c>
      <c r="BH50" s="1" t="n">
        <f aca="false">VLOOKUP($H50,Constants!$I:$K, 3, FALSE())*IF(AND(G50="multiple_unit",AB50&lt;110),0.75,1)</f>
        <v>1.725</v>
      </c>
      <c r="BI50" s="1" t="n">
        <f aca="false">INT(POWER(((Constants!$G$2+$BB50+$BC50+$BD50+$BF50)*$BE50)*$BH50, 1.05))+$BA50</f>
        <v>48</v>
      </c>
      <c r="BJ50" s="1" t="n">
        <f aca="false">INT(POWER((((Constants!$G$1+$BB50+$BC50+$BD50+$BF50)*($BE50))*$BG50),IF($G50="wagon",1,1.2)))+$AZ50</f>
        <v>61</v>
      </c>
      <c r="BK50" s="20" t="n">
        <f aca="false">BI50*IF($G50="wagon",62.5,781.25)</f>
        <v>37500</v>
      </c>
      <c r="BL50" s="20" t="n">
        <f aca="false">BJ50*IF($G50="wagon",2.73,81.25)</f>
        <v>4956.25</v>
      </c>
      <c r="BQ50" s="1" t="str">
        <f aca="false">_xlfn.ORG.LIBREOFFICE.REGEX(_xlfn.ORG.LIBREOFFICE.REGEX(ACEMUVEHICLES, _xlfn.CONCAT(B50, ",?"), ""), ",$", "")</f>
        <v>class_302_4car,class_302_parcels,class_309_2car,class_309_2_4car_buf,class_309_3_4car</v>
      </c>
      <c r="BT50" s="1" t="n">
        <v>6</v>
      </c>
      <c r="BU50" s="1" t="n">
        <v>185</v>
      </c>
      <c r="BX50" s="1" t="s">
        <v>95</v>
      </c>
      <c r="BY50" s="1" t="s">
        <v>164</v>
      </c>
      <c r="BZ50" s="18" t="s">
        <v>97</v>
      </c>
      <c r="CA50" s="1" t="str">
        <f aca="false">CONCATENATE(BY50,"_",BZ50)</f>
        <v>lbr_EMU</v>
      </c>
      <c r="CB50" s="1" t="str">
        <f aca="false">_xlfn.CONCAT(H50, "_",I50)</f>
        <v>electric_THIRD_RAIL</v>
      </c>
      <c r="CC50" s="21" t="str">
        <f aca="false">_xlfn.CONCAT("{BLACK}Length: {GOLD}", TEXT(ROUNDUP(IF(AQ50&lt;&gt;"",SUM(VALUE(_xlfn.TEXTSPLIT(AQ50, ","))), SUM(VALUE(_xlfn.TEXTSPLIT(AN50, ",")))*IF(M50, M50, 1))/16, 1), "#,##0.0"), " tiles{}")</f>
        <v>{BLACK}Length: {GOLD}1.5 tiles{}</v>
      </c>
      <c r="CD50" s="1" t="str">
        <f aca="false">VLOOKUP($CB50, Constants!$M:$N, 2, FALSE())</f>
        <v>{BLACK}Powered by: {GOLD}750V DC</v>
      </c>
      <c r="CE50" s="1" t="str">
        <f aca="false">IF(M50&gt;1,_xlfn.CONCAT("{BLACK}Cars: {GOLD}", M50),"")</f>
        <v>{BLACK}Cars: {GOLD}2</v>
      </c>
      <c r="CF50" s="1" t="s">
        <v>217</v>
      </c>
      <c r="CG50" s="1" t="str">
        <f aca="false">IF(BW50="buffet","{YELLOW}25% long distance bonus for consist{}",IF(BY50="BRAKE","{YELLOW}Speed bonus for slow wagons{}",IF(BU50&gt;190,CONCATENATE("{YELLOW}",INT((BU50-185)/1.85),"% bonus for long distance travel{}"),IF(AND(BU50&lt;180,BU50&lt;&gt;0),CONCATENATE("{YELLOW}",INT((185-BU50)/1.85),"% penalty for long distance travel{}"),""))))</f>
        <v/>
      </c>
      <c r="CH50" s="1" t="str">
        <f aca="false">_xlfn.CONCAT(CD50,IF(CD50 &lt;&gt; "", " ", ""),CE50,IF(OR(CE50&lt;&gt;"", CD50&lt;&gt;""), "{}",""), CC50, CG50,"{SILVER}", CF50)</f>
        <v>{BLACK}Powered by: {GOLD}750V DC {BLACK}Cars: {GOLD}2{}{BLACK}Length: {GOLD}1.5 tiles{}{SILVER}A suburban Mk1 EMU that mainly operated out of East London on the LT&amp;S line. Here we represent the refurbished condition of these units, which lasted until 1998.</v>
      </c>
      <c r="CI50" s="1"/>
      <c r="CJ50" s="1"/>
      <c r="CL50" s="18"/>
      <c r="CM50" s="18"/>
      <c r="CN50" s="18"/>
      <c r="CO50" s="18"/>
      <c r="CP50" s="18"/>
      <c r="CQ50" s="18"/>
      <c r="CR50" s="18"/>
      <c r="CS50" s="18"/>
      <c r="CT50" s="18"/>
      <c r="CU50" s="18"/>
      <c r="CV50" s="18"/>
      <c r="CW50" s="18"/>
      <c r="CX50" s="18"/>
      <c r="CY50" s="18"/>
      <c r="CZ50" s="18"/>
      <c r="DA50" s="18"/>
      <c r="DB50" s="18"/>
      <c r="DC50" s="18"/>
      <c r="DD50" s="18"/>
      <c r="DE50" s="18"/>
      <c r="DF50" s="18"/>
      <c r="DG50" s="18"/>
      <c r="DH50" s="18"/>
      <c r="DI50" s="18"/>
      <c r="DJ50" s="18"/>
      <c r="DK50" s="18"/>
      <c r="DL50" s="18"/>
      <c r="DM50" s="18"/>
      <c r="DN50" s="18"/>
      <c r="DO50" s="18"/>
      <c r="DP50" s="18"/>
      <c r="DQ50" s="18"/>
      <c r="DR50" s="18"/>
      <c r="DS50" s="18"/>
      <c r="DT50" s="18"/>
      <c r="DU50" s="18"/>
      <c r="DV50" s="18"/>
      <c r="DW50" s="18"/>
      <c r="DX50" s="18"/>
      <c r="DY50" s="18"/>
      <c r="DZ50" s="18"/>
      <c r="EA50" s="18"/>
      <c r="EB50" s="18"/>
      <c r="EC50" s="18"/>
      <c r="ED50" s="18"/>
      <c r="EE50" s="18"/>
      <c r="EF50" s="18"/>
      <c r="EG50" s="18"/>
      <c r="EH50" s="18"/>
      <c r="EI50" s="18"/>
      <c r="EJ50" s="18"/>
      <c r="EK50" s="18"/>
      <c r="EL50" s="18"/>
      <c r="EM50" s="18"/>
      <c r="EN50" s="18"/>
      <c r="EO50" s="18"/>
      <c r="EP50" s="18"/>
      <c r="EQ50" s="18"/>
      <c r="ER50" s="18"/>
      <c r="ES50" s="18"/>
      <c r="ET50" s="18"/>
      <c r="EU50" s="18"/>
      <c r="EV50" s="18"/>
      <c r="EW50" s="18"/>
      <c r="EX50" s="18"/>
      <c r="EY50" s="18"/>
      <c r="EZ50" s="18"/>
      <c r="FA50" s="18"/>
      <c r="FB50" s="18"/>
      <c r="FC50" s="18"/>
      <c r="FD50" s="18"/>
      <c r="FE50" s="18"/>
      <c r="FF50" s="18"/>
      <c r="FG50" s="18"/>
      <c r="FH50" s="18"/>
      <c r="FI50" s="18"/>
      <c r="FJ50" s="18"/>
      <c r="FK50" s="18"/>
      <c r="FL50" s="18"/>
      <c r="FM50" s="18"/>
      <c r="FN50" s="18"/>
      <c r="FO50" s="18"/>
      <c r="FP50" s="18"/>
      <c r="FQ50" s="18"/>
      <c r="FR50" s="18"/>
      <c r="FS50" s="18"/>
      <c r="FT50" s="18"/>
      <c r="FU50" s="18"/>
      <c r="FV50" s="18"/>
      <c r="FW50" s="18"/>
      <c r="FX50" s="18"/>
      <c r="FY50" s="18"/>
      <c r="FZ50" s="18"/>
      <c r="GA50" s="18"/>
      <c r="GB50" s="18"/>
      <c r="GC50" s="18"/>
      <c r="GD50" s="18"/>
      <c r="GE50" s="18"/>
      <c r="GF50" s="18"/>
      <c r="GG50" s="18"/>
      <c r="GH50" s="18"/>
      <c r="GI50" s="18"/>
      <c r="GJ50" s="18"/>
      <c r="GK50" s="18"/>
      <c r="GL50" s="18"/>
      <c r="GM50" s="18"/>
      <c r="GN50" s="18"/>
      <c r="GO50" s="18"/>
      <c r="GP50" s="18"/>
      <c r="GQ50" s="18"/>
      <c r="GR50" s="18"/>
      <c r="GS50" s="18"/>
      <c r="GT50" s="18"/>
      <c r="GU50" s="18"/>
      <c r="GV50" s="18"/>
      <c r="GW50" s="18"/>
      <c r="GX50" s="18"/>
      <c r="GY50" s="18"/>
      <c r="GZ50" s="18"/>
      <c r="HA50" s="18"/>
      <c r="HB50" s="18"/>
      <c r="HC50" s="18"/>
      <c r="HD50" s="18"/>
      <c r="HE50" s="18"/>
      <c r="HF50" s="18"/>
      <c r="HG50" s="18"/>
      <c r="HH50" s="18"/>
      <c r="HI50" s="18"/>
      <c r="HJ50" s="18"/>
      <c r="HK50" s="18"/>
      <c r="HL50" s="18"/>
      <c r="HM50" s="18"/>
      <c r="HN50" s="18"/>
      <c r="HO50" s="18"/>
      <c r="HP50" s="18"/>
      <c r="HQ50" s="18"/>
      <c r="HR50" s="18"/>
      <c r="HS50" s="18"/>
      <c r="HT50" s="18"/>
      <c r="HU50" s="18"/>
      <c r="HV50" s="18"/>
      <c r="HW50" s="18"/>
      <c r="HX50" s="18"/>
      <c r="HY50" s="18"/>
      <c r="HZ50" s="18"/>
      <c r="IA50" s="18"/>
      <c r="IB50" s="18"/>
      <c r="IC50" s="18"/>
      <c r="ID50" s="18"/>
      <c r="IE50" s="18"/>
      <c r="IF50" s="18"/>
      <c r="IG50" s="18"/>
      <c r="IH50" s="18"/>
      <c r="II50" s="18"/>
      <c r="IJ50" s="18"/>
      <c r="IK50" s="18"/>
      <c r="IL50" s="18"/>
      <c r="IM50" s="18"/>
      <c r="IN50" s="18"/>
      <c r="IO50" s="18"/>
      <c r="IP50" s="18"/>
      <c r="IQ50" s="18"/>
      <c r="IR50" s="18"/>
      <c r="IS50" s="18"/>
      <c r="IT50" s="18"/>
      <c r="IU50" s="18"/>
      <c r="IV50" s="18"/>
      <c r="IW50" s="18"/>
      <c r="IX50" s="18"/>
      <c r="IY50" s="18"/>
      <c r="IZ50" s="18"/>
      <c r="JA50" s="18"/>
      <c r="JB50" s="18"/>
      <c r="JC50" s="18"/>
      <c r="JD50" s="18"/>
      <c r="JE50" s="18"/>
      <c r="JF50" s="18"/>
      <c r="JG50" s="18"/>
      <c r="JH50" s="18"/>
      <c r="JI50" s="18"/>
      <c r="JJ50" s="18"/>
      <c r="JK50" s="18"/>
      <c r="JL50" s="18"/>
      <c r="JM50" s="18"/>
      <c r="JN50" s="18"/>
      <c r="JO50" s="18"/>
      <c r="JP50" s="18"/>
      <c r="JQ50" s="18"/>
      <c r="JR50" s="18"/>
      <c r="JS50" s="18"/>
      <c r="JT50" s="18"/>
      <c r="JU50" s="18"/>
      <c r="JV50" s="18"/>
      <c r="JW50" s="18"/>
      <c r="JX50" s="18"/>
      <c r="JY50" s="18"/>
      <c r="JZ50" s="18"/>
      <c r="KA50" s="18"/>
      <c r="KB50" s="18"/>
      <c r="KC50" s="18"/>
      <c r="KD50" s="18"/>
      <c r="KE50" s="18"/>
      <c r="KF50" s="18"/>
      <c r="KG50" s="18"/>
      <c r="KH50" s="18"/>
      <c r="KI50" s="18"/>
      <c r="KJ50" s="18"/>
      <c r="KK50" s="18"/>
      <c r="KL50" s="18"/>
      <c r="KM50" s="18"/>
      <c r="KN50" s="18"/>
      <c r="KO50" s="18"/>
      <c r="KP50" s="18"/>
      <c r="KQ50" s="18"/>
      <c r="KR50" s="18"/>
      <c r="KS50" s="18"/>
      <c r="KT50" s="18"/>
      <c r="KU50" s="18"/>
      <c r="KV50" s="18"/>
      <c r="KW50" s="18"/>
      <c r="KX50" s="18"/>
      <c r="KY50" s="18"/>
      <c r="KZ50" s="18"/>
      <c r="LA50" s="18"/>
      <c r="LB50" s="18"/>
      <c r="LC50" s="18"/>
      <c r="LD50" s="18"/>
      <c r="LE50" s="18"/>
      <c r="LF50" s="18"/>
      <c r="LG50" s="18"/>
      <c r="LH50" s="18"/>
      <c r="LI50" s="18"/>
      <c r="LJ50" s="18"/>
      <c r="LK50" s="18"/>
      <c r="LL50" s="18"/>
      <c r="LM50" s="18"/>
      <c r="LN50" s="18"/>
      <c r="LO50" s="18"/>
      <c r="LP50" s="18"/>
      <c r="LQ50" s="18"/>
      <c r="LR50" s="18"/>
      <c r="LS50" s="18"/>
      <c r="LT50" s="18"/>
      <c r="LU50" s="18"/>
      <c r="LV50" s="18"/>
      <c r="LW50" s="18"/>
      <c r="LX50" s="18"/>
      <c r="LY50" s="18"/>
      <c r="LZ50" s="18"/>
      <c r="MA50" s="18"/>
      <c r="MB50" s="18"/>
      <c r="MC50" s="18"/>
      <c r="MD50" s="18"/>
      <c r="ME50" s="18"/>
      <c r="MF50" s="18"/>
      <c r="MG50" s="18"/>
      <c r="MH50" s="18"/>
      <c r="MI50" s="18"/>
      <c r="MJ50" s="18"/>
      <c r="MK50" s="18"/>
      <c r="ML50" s="18"/>
      <c r="MM50" s="18"/>
      <c r="MN50" s="18"/>
      <c r="MO50" s="18"/>
      <c r="MP50" s="18"/>
      <c r="MQ50" s="18"/>
      <c r="MR50" s="18"/>
      <c r="MS50" s="18"/>
      <c r="MT50" s="18"/>
      <c r="MU50" s="18"/>
      <c r="MV50" s="18"/>
      <c r="MW50" s="18"/>
      <c r="MX50" s="18"/>
      <c r="MY50" s="18"/>
      <c r="MZ50" s="18"/>
      <c r="NA50" s="18"/>
      <c r="NB50" s="18"/>
      <c r="NC50" s="18"/>
      <c r="ND50" s="18"/>
      <c r="NE50" s="18"/>
      <c r="NF50" s="18"/>
      <c r="NG50" s="18"/>
      <c r="NH50" s="18"/>
      <c r="NI50" s="18"/>
      <c r="NJ50" s="18"/>
      <c r="NK50" s="18"/>
      <c r="NL50" s="18"/>
      <c r="NM50" s="18"/>
      <c r="NN50" s="18"/>
      <c r="NO50" s="18"/>
      <c r="NP50" s="18"/>
      <c r="NQ50" s="18"/>
      <c r="NR50" s="18"/>
      <c r="NS50" s="18"/>
      <c r="NT50" s="18"/>
      <c r="NU50" s="18"/>
      <c r="NV50" s="18"/>
      <c r="NW50" s="18"/>
      <c r="NX50" s="18"/>
      <c r="NY50" s="18"/>
      <c r="NZ50" s="18"/>
      <c r="OA50" s="18"/>
      <c r="OB50" s="18"/>
      <c r="OC50" s="18"/>
      <c r="OD50" s="18"/>
      <c r="OE50" s="18"/>
      <c r="OF50" s="18"/>
      <c r="OG50" s="18"/>
      <c r="OH50" s="18"/>
      <c r="OI50" s="18"/>
      <c r="OJ50" s="18"/>
      <c r="OK50" s="18"/>
      <c r="OL50" s="18"/>
      <c r="OM50" s="18"/>
      <c r="ON50" s="18"/>
      <c r="OO50" s="18"/>
      <c r="OP50" s="18"/>
      <c r="OQ50" s="18"/>
      <c r="OR50" s="18"/>
      <c r="OS50" s="18"/>
      <c r="OT50" s="18"/>
      <c r="OU50" s="18"/>
      <c r="OV50" s="18"/>
      <c r="OW50" s="18"/>
      <c r="OX50" s="18"/>
      <c r="OY50" s="18"/>
      <c r="OZ50" s="18"/>
      <c r="PA50" s="18"/>
      <c r="PB50" s="18"/>
      <c r="PC50" s="18"/>
      <c r="PD50" s="18"/>
      <c r="PE50" s="18"/>
      <c r="PF50" s="18"/>
      <c r="PG50" s="18"/>
      <c r="PH50" s="18"/>
      <c r="PI50" s="18"/>
      <c r="PJ50" s="18"/>
      <c r="PK50" s="18"/>
      <c r="PL50" s="18"/>
      <c r="PM50" s="18"/>
      <c r="PN50" s="18"/>
      <c r="PO50" s="18"/>
      <c r="PP50" s="18"/>
      <c r="PQ50" s="18"/>
      <c r="PR50" s="18"/>
      <c r="PS50" s="18"/>
      <c r="PT50" s="18"/>
      <c r="PU50" s="18"/>
      <c r="PV50" s="18"/>
      <c r="PW50" s="18"/>
      <c r="PX50" s="18"/>
      <c r="PY50" s="18"/>
      <c r="PZ50" s="18"/>
      <c r="QA50" s="18"/>
      <c r="QB50" s="18"/>
      <c r="QC50" s="18"/>
      <c r="QD50" s="18"/>
      <c r="QE50" s="18"/>
      <c r="QF50" s="18"/>
      <c r="QG50" s="18"/>
      <c r="QH50" s="18"/>
      <c r="QI50" s="18"/>
      <c r="QJ50" s="18"/>
      <c r="QK50" s="18"/>
      <c r="QL50" s="18"/>
      <c r="QM50" s="18"/>
      <c r="QN50" s="18"/>
      <c r="QO50" s="18"/>
      <c r="QP50" s="18"/>
      <c r="QQ50" s="18"/>
      <c r="QR50" s="18"/>
      <c r="QS50" s="18"/>
      <c r="QT50" s="18"/>
      <c r="QU50" s="18"/>
      <c r="QV50" s="18"/>
      <c r="QW50" s="18"/>
      <c r="QX50" s="18"/>
      <c r="QY50" s="18"/>
      <c r="QZ50" s="18"/>
      <c r="RA50" s="18"/>
      <c r="RB50" s="18"/>
      <c r="RC50" s="18"/>
      <c r="RD50" s="18"/>
      <c r="RE50" s="18"/>
      <c r="RF50" s="18"/>
      <c r="RG50" s="18"/>
      <c r="RH50" s="18"/>
      <c r="RI50" s="18"/>
      <c r="RJ50" s="18"/>
      <c r="RK50" s="18"/>
      <c r="RL50" s="18"/>
      <c r="RM50" s="18"/>
      <c r="RN50" s="18"/>
      <c r="RO50" s="18"/>
      <c r="RP50" s="18"/>
      <c r="RQ50" s="18"/>
      <c r="RR50" s="18"/>
      <c r="RS50" s="18"/>
      <c r="RT50" s="18"/>
      <c r="RU50" s="18"/>
      <c r="RV50" s="18"/>
      <c r="RW50" s="18"/>
      <c r="RX50" s="18"/>
      <c r="RY50" s="18"/>
      <c r="RZ50" s="18"/>
      <c r="SA50" s="18"/>
      <c r="SB50" s="18"/>
      <c r="SC50" s="18"/>
      <c r="SD50" s="18"/>
      <c r="SE50" s="18"/>
      <c r="SF50" s="18"/>
      <c r="SG50" s="18"/>
      <c r="SH50" s="18"/>
      <c r="SI50" s="18"/>
      <c r="SJ50" s="18"/>
      <c r="SK50" s="18"/>
      <c r="SL50" s="18"/>
      <c r="SM50" s="18"/>
      <c r="SN50" s="18"/>
      <c r="SO50" s="18"/>
      <c r="SP50" s="18"/>
      <c r="SQ50" s="18"/>
      <c r="SR50" s="18"/>
      <c r="SS50" s="18"/>
      <c r="ST50" s="18"/>
      <c r="SU50" s="18"/>
      <c r="SV50" s="18"/>
      <c r="SW50" s="18"/>
      <c r="SX50" s="18"/>
      <c r="SY50" s="18"/>
      <c r="SZ50" s="18"/>
      <c r="TA50" s="18"/>
      <c r="TB50" s="18"/>
      <c r="TC50" s="18"/>
      <c r="TD50" s="18"/>
      <c r="TE50" s="18"/>
      <c r="TF50" s="18"/>
      <c r="TG50" s="18"/>
      <c r="TH50" s="18"/>
      <c r="TI50" s="18"/>
      <c r="TJ50" s="18"/>
      <c r="TK50" s="18"/>
      <c r="TL50" s="18"/>
      <c r="TM50" s="18"/>
      <c r="TN50" s="18"/>
      <c r="TO50" s="18"/>
      <c r="TP50" s="18"/>
      <c r="TQ50" s="18"/>
      <c r="TR50" s="18"/>
      <c r="TS50" s="18"/>
      <c r="TT50" s="18"/>
      <c r="TU50" s="18"/>
      <c r="TV50" s="18"/>
      <c r="TW50" s="18"/>
      <c r="TX50" s="18"/>
      <c r="TY50" s="18"/>
      <c r="TZ50" s="18"/>
      <c r="UA50" s="18"/>
      <c r="UB50" s="18"/>
      <c r="UC50" s="18"/>
      <c r="UD50" s="18"/>
      <c r="UE50" s="18"/>
      <c r="UF50" s="18"/>
      <c r="UG50" s="18"/>
      <c r="UH50" s="18"/>
      <c r="UI50" s="18"/>
      <c r="UJ50" s="18"/>
      <c r="UK50" s="18"/>
      <c r="UL50" s="18"/>
      <c r="UM50" s="18"/>
      <c r="UN50" s="18"/>
      <c r="UO50" s="18"/>
      <c r="UP50" s="18"/>
      <c r="UQ50" s="18"/>
      <c r="UR50" s="18"/>
      <c r="US50" s="18"/>
      <c r="UT50" s="18"/>
      <c r="UU50" s="18"/>
      <c r="UV50" s="18"/>
      <c r="UW50" s="18"/>
      <c r="UX50" s="18"/>
      <c r="UY50" s="18"/>
      <c r="UZ50" s="18"/>
      <c r="VA50" s="18"/>
      <c r="VB50" s="18"/>
      <c r="VC50" s="18"/>
      <c r="VD50" s="18"/>
      <c r="VE50" s="18"/>
      <c r="VF50" s="18"/>
      <c r="VG50" s="18"/>
      <c r="VH50" s="18"/>
      <c r="VI50" s="18"/>
      <c r="VJ50" s="18"/>
      <c r="VK50" s="18"/>
      <c r="VL50" s="18"/>
      <c r="VM50" s="18"/>
      <c r="VN50" s="18"/>
      <c r="VO50" s="18"/>
      <c r="VP50" s="18"/>
      <c r="VQ50" s="18"/>
      <c r="VR50" s="18"/>
      <c r="VS50" s="18"/>
      <c r="VT50" s="18"/>
      <c r="VU50" s="18"/>
      <c r="VV50" s="18"/>
      <c r="VW50" s="18"/>
      <c r="VX50" s="18"/>
      <c r="VY50" s="18"/>
      <c r="VZ50" s="18"/>
      <c r="WA50" s="18"/>
      <c r="WB50" s="18"/>
      <c r="WC50" s="18"/>
      <c r="WD50" s="18"/>
      <c r="WE50" s="18"/>
      <c r="WF50" s="18"/>
      <c r="WG50" s="18"/>
      <c r="WH50" s="18"/>
      <c r="WI50" s="18"/>
      <c r="WJ50" s="18"/>
      <c r="WK50" s="18"/>
      <c r="WL50" s="18"/>
      <c r="WM50" s="18"/>
      <c r="WN50" s="18"/>
      <c r="WO50" s="18"/>
      <c r="WP50" s="18"/>
      <c r="WQ50" s="18"/>
      <c r="WR50" s="18"/>
      <c r="WS50" s="18"/>
      <c r="WT50" s="18"/>
      <c r="WU50" s="18"/>
      <c r="WV50" s="18"/>
      <c r="WW50" s="18"/>
      <c r="WX50" s="18"/>
      <c r="WY50" s="18"/>
      <c r="WZ50" s="18"/>
      <c r="XA50" s="18"/>
      <c r="XB50" s="18"/>
      <c r="XC50" s="18"/>
      <c r="XD50" s="18"/>
      <c r="XE50" s="18"/>
      <c r="XF50" s="18"/>
      <c r="XG50" s="18"/>
      <c r="XH50" s="18"/>
      <c r="XI50" s="18"/>
      <c r="XJ50" s="18"/>
      <c r="XK50" s="18"/>
      <c r="XL50" s="18"/>
      <c r="XM50" s="18"/>
      <c r="XN50" s="18"/>
      <c r="XO50" s="18"/>
      <c r="XP50" s="18"/>
      <c r="XQ50" s="18"/>
      <c r="XR50" s="18"/>
      <c r="XS50" s="18"/>
      <c r="XT50" s="18"/>
      <c r="XU50" s="18"/>
      <c r="XV50" s="18"/>
      <c r="XW50" s="18"/>
      <c r="XX50" s="18"/>
      <c r="XY50" s="18"/>
      <c r="XZ50" s="18"/>
      <c r="YA50" s="18"/>
      <c r="YB50" s="18"/>
      <c r="YC50" s="18"/>
      <c r="YD50" s="18"/>
      <c r="YE50" s="18"/>
      <c r="YF50" s="18"/>
      <c r="YG50" s="18"/>
      <c r="YH50" s="18"/>
      <c r="YI50" s="18"/>
      <c r="YJ50" s="18"/>
      <c r="YK50" s="18"/>
      <c r="YL50" s="18"/>
      <c r="YM50" s="18"/>
      <c r="YN50" s="18"/>
      <c r="YO50" s="18"/>
      <c r="YP50" s="18"/>
      <c r="YQ50" s="18"/>
      <c r="YR50" s="18"/>
      <c r="YS50" s="18"/>
      <c r="YT50" s="18"/>
      <c r="YU50" s="18"/>
      <c r="YV50" s="18"/>
      <c r="YW50" s="18"/>
      <c r="YX50" s="18"/>
      <c r="YY50" s="18"/>
      <c r="YZ50" s="18"/>
      <c r="ZA50" s="18"/>
      <c r="ZB50" s="18"/>
      <c r="ZC50" s="18"/>
      <c r="ZD50" s="18"/>
      <c r="ZE50" s="18"/>
      <c r="ZF50" s="18"/>
      <c r="ZG50" s="18"/>
      <c r="ZH50" s="18"/>
      <c r="ZI50" s="18"/>
      <c r="ZJ50" s="18"/>
      <c r="ZK50" s="18"/>
      <c r="ZL50" s="18"/>
      <c r="ZM50" s="18"/>
      <c r="ZN50" s="18"/>
      <c r="ZO50" s="18"/>
      <c r="ZP50" s="18"/>
      <c r="ZQ50" s="18"/>
      <c r="ZR50" s="18"/>
      <c r="ZS50" s="18"/>
      <c r="ZT50" s="18"/>
      <c r="ZU50" s="18"/>
      <c r="ZV50" s="18"/>
      <c r="ZW50" s="18"/>
      <c r="ZX50" s="18"/>
      <c r="ZY50" s="18"/>
      <c r="ZZ50" s="18"/>
      <c r="AAA50" s="18"/>
      <c r="AAB50" s="18"/>
      <c r="AAC50" s="18"/>
      <c r="AAD50" s="18"/>
      <c r="AAE50" s="18"/>
      <c r="AAF50" s="18"/>
      <c r="AAG50" s="18"/>
      <c r="AAH50" s="18"/>
      <c r="AAI50" s="18"/>
      <c r="AAJ50" s="18"/>
      <c r="AAK50" s="18"/>
      <c r="AAL50" s="18"/>
      <c r="AAM50" s="18"/>
      <c r="AAN50" s="18"/>
      <c r="AAO50" s="18"/>
      <c r="AAP50" s="18"/>
      <c r="AAQ50" s="18"/>
      <c r="AAR50" s="18"/>
      <c r="AAS50" s="18"/>
      <c r="AAT50" s="18"/>
      <c r="AAU50" s="18"/>
      <c r="AAV50" s="18"/>
      <c r="AAW50" s="18"/>
      <c r="AAX50" s="18"/>
      <c r="AAY50" s="18"/>
      <c r="AAZ50" s="18"/>
      <c r="ABA50" s="18"/>
      <c r="ABB50" s="18"/>
      <c r="ABC50" s="18"/>
      <c r="ABD50" s="18"/>
      <c r="ABE50" s="18"/>
      <c r="ABF50" s="18"/>
      <c r="ABG50" s="18"/>
      <c r="ABH50" s="18"/>
      <c r="ABI50" s="18"/>
      <c r="ABJ50" s="18"/>
      <c r="ABK50" s="18"/>
      <c r="ABL50" s="18"/>
      <c r="ABM50" s="18"/>
      <c r="ABN50" s="18"/>
      <c r="ABO50" s="18"/>
      <c r="ABP50" s="18"/>
      <c r="ABQ50" s="18"/>
      <c r="ABR50" s="18"/>
      <c r="ABS50" s="18"/>
      <c r="ABT50" s="18"/>
      <c r="ABU50" s="18"/>
      <c r="ABV50" s="18"/>
      <c r="ABW50" s="18"/>
      <c r="ABX50" s="18"/>
      <c r="ABY50" s="18"/>
      <c r="ABZ50" s="18"/>
      <c r="ACA50" s="18"/>
      <c r="ACB50" s="18"/>
      <c r="ACC50" s="18"/>
      <c r="ACD50" s="18"/>
      <c r="ACE50" s="18"/>
      <c r="ACF50" s="18"/>
      <c r="ACG50" s="18"/>
      <c r="ACH50" s="18"/>
      <c r="ACI50" s="18"/>
      <c r="ACJ50" s="18"/>
      <c r="ACK50" s="18"/>
      <c r="ACL50" s="18"/>
      <c r="ACM50" s="18"/>
      <c r="ACN50" s="18"/>
      <c r="ACO50" s="18"/>
      <c r="ACP50" s="18"/>
      <c r="ACQ50" s="18"/>
      <c r="ACR50" s="18"/>
      <c r="ACS50" s="18"/>
      <c r="ACT50" s="18"/>
      <c r="ACU50" s="18"/>
      <c r="ACV50" s="18"/>
      <c r="ACW50" s="18"/>
      <c r="ACX50" s="18"/>
      <c r="ACY50" s="18"/>
      <c r="ACZ50" s="18"/>
      <c r="ADA50" s="18"/>
      <c r="ADB50" s="18"/>
      <c r="ADC50" s="18"/>
      <c r="ADD50" s="18"/>
      <c r="ADE50" s="18"/>
      <c r="ADF50" s="18"/>
      <c r="ADG50" s="18"/>
      <c r="ADH50" s="18"/>
      <c r="ADI50" s="18"/>
      <c r="ADJ50" s="18"/>
      <c r="ADK50" s="18"/>
      <c r="ADL50" s="18"/>
      <c r="ADM50" s="18"/>
      <c r="ADN50" s="18"/>
      <c r="ADO50" s="18"/>
      <c r="ADP50" s="18"/>
      <c r="ADQ50" s="18"/>
      <c r="ADR50" s="18"/>
      <c r="ADS50" s="18"/>
      <c r="ADT50" s="18"/>
      <c r="ADU50" s="18"/>
      <c r="ADV50" s="18"/>
      <c r="ADW50" s="18"/>
      <c r="ADX50" s="18"/>
      <c r="ADY50" s="18"/>
      <c r="ADZ50" s="18"/>
      <c r="AEA50" s="18"/>
      <c r="AEB50" s="18"/>
      <c r="AEC50" s="18"/>
      <c r="AED50" s="18"/>
      <c r="AEE50" s="18"/>
      <c r="AEF50" s="18"/>
      <c r="AEG50" s="18"/>
      <c r="AEH50" s="18"/>
      <c r="AEI50" s="18"/>
      <c r="AEJ50" s="18"/>
      <c r="AEK50" s="18"/>
      <c r="AEL50" s="18"/>
      <c r="AEM50" s="18"/>
      <c r="AEN50" s="18"/>
      <c r="AEO50" s="18"/>
      <c r="AEP50" s="18"/>
      <c r="AEQ50" s="18"/>
      <c r="AER50" s="18"/>
      <c r="AES50" s="18"/>
      <c r="AET50" s="18"/>
      <c r="AEU50" s="18"/>
      <c r="AEV50" s="18"/>
      <c r="AEW50" s="18"/>
      <c r="AEX50" s="18"/>
      <c r="AEY50" s="18"/>
      <c r="AEZ50" s="18"/>
      <c r="AFA50" s="18"/>
      <c r="AFB50" s="18"/>
      <c r="AFC50" s="18"/>
      <c r="AFD50" s="18"/>
      <c r="AFE50" s="18"/>
      <c r="AFF50" s="18"/>
      <c r="AFG50" s="18"/>
      <c r="AFH50" s="18"/>
      <c r="AFI50" s="18"/>
      <c r="AFJ50" s="18"/>
      <c r="AFK50" s="18"/>
      <c r="AFL50" s="18"/>
      <c r="AFM50" s="18"/>
      <c r="AFN50" s="18"/>
      <c r="AFO50" s="18"/>
      <c r="AFP50" s="18"/>
      <c r="AFQ50" s="18"/>
      <c r="AFR50" s="18"/>
      <c r="AFS50" s="18"/>
      <c r="AFT50" s="18"/>
      <c r="AFU50" s="18"/>
      <c r="AFV50" s="18"/>
      <c r="AFW50" s="18"/>
      <c r="AFX50" s="18"/>
      <c r="AFY50" s="18"/>
      <c r="AFZ50" s="18"/>
      <c r="AGA50" s="18"/>
      <c r="AGB50" s="18"/>
      <c r="AGC50" s="18"/>
      <c r="AGD50" s="18"/>
      <c r="AGE50" s="18"/>
      <c r="AGF50" s="18"/>
      <c r="AGG50" s="18"/>
      <c r="AGH50" s="18"/>
      <c r="AGI50" s="18"/>
      <c r="AGJ50" s="18"/>
      <c r="AGK50" s="18"/>
      <c r="AGL50" s="18"/>
      <c r="AGM50" s="18"/>
      <c r="AGN50" s="18"/>
      <c r="AGO50" s="18"/>
      <c r="AGP50" s="18"/>
      <c r="AGQ50" s="18"/>
      <c r="AGR50" s="18"/>
      <c r="AGS50" s="18"/>
      <c r="AGT50" s="18"/>
      <c r="AGU50" s="18"/>
      <c r="AGV50" s="18"/>
      <c r="AGW50" s="18"/>
      <c r="AGX50" s="18"/>
      <c r="AGY50" s="18"/>
      <c r="AGZ50" s="18"/>
      <c r="AHA50" s="18"/>
      <c r="AHB50" s="18"/>
      <c r="AHC50" s="18"/>
      <c r="AHD50" s="18"/>
      <c r="AHE50" s="18"/>
      <c r="AHF50" s="18"/>
      <c r="AHG50" s="18"/>
      <c r="AHH50" s="18"/>
      <c r="AHI50" s="18"/>
      <c r="AHJ50" s="18"/>
      <c r="AHK50" s="18"/>
      <c r="AHL50" s="18"/>
      <c r="AHM50" s="18"/>
      <c r="AHN50" s="18"/>
      <c r="AHO50" s="18"/>
      <c r="AHP50" s="18"/>
      <c r="AHQ50" s="18"/>
      <c r="AHR50" s="18"/>
      <c r="AHS50" s="18"/>
      <c r="AHT50" s="18"/>
      <c r="AHU50" s="18"/>
      <c r="AHV50" s="18"/>
      <c r="AHW50" s="18"/>
      <c r="AHX50" s="18"/>
      <c r="AHY50" s="18"/>
      <c r="AHZ50" s="18"/>
      <c r="AIA50" s="18"/>
      <c r="AIB50" s="18"/>
      <c r="AIC50" s="18"/>
      <c r="AID50" s="18"/>
      <c r="AIE50" s="18"/>
      <c r="AIF50" s="18"/>
      <c r="AIG50" s="18"/>
      <c r="AIH50" s="18"/>
      <c r="AII50" s="18"/>
      <c r="AIJ50" s="18"/>
      <c r="AIK50" s="18"/>
      <c r="AIL50" s="18"/>
      <c r="AIM50" s="18"/>
      <c r="AIN50" s="18"/>
      <c r="AIO50" s="18"/>
      <c r="AIP50" s="18"/>
      <c r="AIQ50" s="18"/>
      <c r="AIR50" s="18"/>
      <c r="AIS50" s="18"/>
      <c r="AIT50" s="18"/>
      <c r="AIU50" s="18"/>
      <c r="AIV50" s="18"/>
      <c r="AIW50" s="18"/>
      <c r="AIX50" s="18"/>
      <c r="AIY50" s="18"/>
      <c r="AIZ50" s="18"/>
      <c r="AJA50" s="18"/>
      <c r="AJB50" s="18"/>
      <c r="AJC50" s="18"/>
      <c r="AJD50" s="18"/>
      <c r="AJE50" s="18"/>
      <c r="AJF50" s="18"/>
      <c r="AJG50" s="18"/>
      <c r="AJH50" s="18"/>
      <c r="AJI50" s="18"/>
      <c r="AJJ50" s="18"/>
      <c r="AJK50" s="18"/>
      <c r="AJL50" s="18"/>
      <c r="AJM50" s="18"/>
      <c r="AJN50" s="18"/>
      <c r="AJO50" s="18"/>
      <c r="AJP50" s="18"/>
      <c r="AJQ50" s="18"/>
      <c r="AJR50" s="18"/>
      <c r="AJS50" s="18"/>
      <c r="AJT50" s="18"/>
      <c r="AJU50" s="18"/>
      <c r="AJV50" s="18"/>
      <c r="AJW50" s="18"/>
      <c r="AJX50" s="18"/>
      <c r="AJY50" s="18"/>
      <c r="AJZ50" s="18"/>
      <c r="AKA50" s="18"/>
      <c r="AKB50" s="18"/>
      <c r="AKC50" s="18"/>
      <c r="AKD50" s="18"/>
      <c r="AKE50" s="18"/>
      <c r="AKF50" s="18"/>
      <c r="AKG50" s="18"/>
      <c r="AKH50" s="18"/>
      <c r="AKI50" s="18"/>
      <c r="AKJ50" s="18"/>
      <c r="AKK50" s="18"/>
      <c r="AKL50" s="18"/>
      <c r="AKM50" s="18"/>
      <c r="AKN50" s="18"/>
      <c r="AKO50" s="18"/>
      <c r="AKP50" s="18"/>
      <c r="AKQ50" s="18"/>
      <c r="AKR50" s="18"/>
      <c r="AKS50" s="18"/>
      <c r="AKT50" s="18"/>
      <c r="AKU50" s="18"/>
      <c r="AKV50" s="18"/>
      <c r="AKW50" s="18"/>
      <c r="AKX50" s="18"/>
      <c r="AKY50" s="18"/>
      <c r="AKZ50" s="18"/>
      <c r="ALA50" s="18"/>
      <c r="ALB50" s="18"/>
      <c r="ALC50" s="18"/>
      <c r="ALD50" s="18"/>
      <c r="ALE50" s="18"/>
      <c r="ALF50" s="18"/>
      <c r="ALG50" s="18"/>
      <c r="ALH50" s="18"/>
      <c r="ALI50" s="18"/>
      <c r="ALJ50" s="18"/>
      <c r="ALK50" s="18"/>
      <c r="ALL50" s="18"/>
      <c r="ALM50" s="18"/>
      <c r="ALN50" s="18"/>
      <c r="ALO50" s="18"/>
      <c r="ALP50" s="18"/>
      <c r="ALQ50" s="18"/>
      <c r="ALR50" s="18"/>
      <c r="ALS50" s="18"/>
      <c r="ALT50" s="18"/>
      <c r="ALU50" s="18"/>
      <c r="ALV50" s="18"/>
      <c r="ALW50" s="18"/>
      <c r="ALX50" s="18"/>
      <c r="ALY50" s="18"/>
      <c r="ALZ50" s="18"/>
      <c r="AMA50" s="18"/>
      <c r="AMB50" s="18"/>
      <c r="AMC50" s="18"/>
      <c r="AMD50" s="18"/>
      <c r="AME50" s="18"/>
      <c r="AMF50" s="18"/>
      <c r="AMG50" s="18"/>
      <c r="AMH50" s="18"/>
      <c r="AMI50" s="18"/>
      <c r="AMJ50" s="18"/>
    </row>
    <row r="51" s="18" customFormat="true" ht="13.8" hidden="false" customHeight="false" outlineLevel="0" collapsed="false">
      <c r="A51" s="18" t="s">
        <v>364</v>
      </c>
      <c r="B51" s="18" t="s">
        <v>365</v>
      </c>
      <c r="C51" s="1" t="n">
        <v>471</v>
      </c>
      <c r="E51" s="18" t="n">
        <v>470</v>
      </c>
      <c r="F51" s="18" t="s">
        <v>89</v>
      </c>
      <c r="G51" s="18" t="s">
        <v>147</v>
      </c>
      <c r="H51" s="18" t="s">
        <v>152</v>
      </c>
      <c r="I51" s="18" t="s">
        <v>153</v>
      </c>
      <c r="J51" s="18" t="n">
        <v>1994</v>
      </c>
      <c r="K51" s="18" t="n">
        <v>1965</v>
      </c>
      <c r="N51" s="18" t="n">
        <v>1750</v>
      </c>
      <c r="O51" s="2"/>
      <c r="P51" s="3"/>
      <c r="Q51" s="3"/>
      <c r="R51" s="3"/>
      <c r="S51" s="3"/>
      <c r="T51" s="3"/>
      <c r="U51" s="3"/>
      <c r="V51" s="3"/>
      <c r="W51" s="18" t="n">
        <v>105</v>
      </c>
      <c r="X51" s="2"/>
      <c r="Z51" s="18" t="n">
        <v>247</v>
      </c>
      <c r="AA51" s="4" t="n">
        <f aca="false">IF(AND(W51&gt;0,Z51&gt;0),(Z51/((W51+X51)*10)),"")</f>
        <v>0.235238095238095</v>
      </c>
      <c r="AB51" s="18" t="n">
        <v>90</v>
      </c>
      <c r="AC51" s="18" t="n">
        <f aca="false">ROUND(AB51*1.6, 0)</f>
        <v>144</v>
      </c>
      <c r="AF51" s="18" t="n">
        <v>18.75</v>
      </c>
      <c r="AG51" s="18" t="n">
        <v>18.75</v>
      </c>
      <c r="AH51" s="18" t="n">
        <v>2.71</v>
      </c>
      <c r="AI51" s="18" t="n">
        <v>3.89</v>
      </c>
      <c r="AJ51" s="5" t="n">
        <v>0</v>
      </c>
      <c r="AK51" s="19" t="str">
        <f aca="false">CONCATENATE(VLOOKUP(AL51, 'Voxel Sizes'!$A$2:$B$18,2,FALSE()),"x",INT(AH51*15), "x", INT(AI51*15))</f>
        <v>186x40x58</v>
      </c>
      <c r="AL51" s="18" t="n">
        <f aca="false">ROUND(15*((AG51*10)/256),0)</f>
        <v>11</v>
      </c>
      <c r="AN51" s="1" t="str">
        <f aca="false">CONCATENATE(VLOOKUP(AL51,Constants!$A$2:$C$16,IF(AM51&lt;&gt;"", 3, 2), FALSE()),IF(AM51&lt;&gt;"",CONCATENATE(",",VLOOKUP(AM51,$B:$AN,38,FALSE())),""))</f>
        <v>4,3,4</v>
      </c>
      <c r="AP51" s="26"/>
      <c r="AQ51" s="26"/>
      <c r="AX51" s="18" t="n">
        <v>40</v>
      </c>
      <c r="AY51" s="6" t="str">
        <f aca="false">IF(L51&lt;&gt;"",MAX(16,(L51-J51)+8),"")</f>
        <v/>
      </c>
      <c r="BA51" s="18" t="n">
        <v>-30</v>
      </c>
      <c r="BB51" s="18" t="n">
        <f aca="false">MIN(AB51/150, 1)*30</f>
        <v>18</v>
      </c>
      <c r="BC51" s="18" t="n">
        <f aca="false">MIN(N51/4000, 1)*20</f>
        <v>8.75</v>
      </c>
      <c r="BD51" s="18" t="n">
        <f aca="false">MIN(Z51/400,1)*20</f>
        <v>12.35</v>
      </c>
      <c r="BE51" s="4" t="n">
        <f aca="false">1-(MAX(J51-1900, 0)/750)</f>
        <v>0.874666666666667</v>
      </c>
      <c r="BF51" s="18" t="n">
        <f aca="false">((MAX($M51,1)*MIN($AJ51/300,1)))*IF(G51="Wagon",50,10)</f>
        <v>0</v>
      </c>
      <c r="BG51" s="1" t="n">
        <f aca="false">VLOOKUP($H51,Constants!$I:$K, 2, FALSE())</f>
        <v>1</v>
      </c>
      <c r="BH51" s="1" t="n">
        <f aca="false">VLOOKUP($H51,Constants!$I:$K, 3, FALSE())*IF(AND(G51="multiple_unit",AB51&lt;110),0.75,1)</f>
        <v>2</v>
      </c>
      <c r="BI51" s="1" t="n">
        <f aca="false">INT(POWER(((Constants!$G$2+$BB51+$BC51+$BD51+$BF51)*$BE51)*$BH51, 1.05))+$BA51</f>
        <v>65</v>
      </c>
      <c r="BJ51" s="1" t="n">
        <f aca="false">INT(POWER((((Constants!$G$1+$BB51+$BC51+$BD51+$BF51)*($BE51))*$BG51),IF($G51="wagon",1,1.2)))+$AZ51</f>
        <v>102</v>
      </c>
      <c r="BK51" s="20" t="n">
        <f aca="false">BI51*IF($G51="wagon",62.5,781.25)</f>
        <v>50781.25</v>
      </c>
      <c r="BL51" s="20" t="n">
        <f aca="false">BJ51*IF($G51="wagon",2.73,81.25)</f>
        <v>8287.5</v>
      </c>
      <c r="BT51" s="18" t="n">
        <v>1</v>
      </c>
      <c r="BY51" s="18" t="s">
        <v>164</v>
      </c>
      <c r="BZ51" s="18" t="s">
        <v>337</v>
      </c>
      <c r="CA51" s="18" t="str">
        <f aca="false">CONCATENATE(BY51,"_",BZ51)</f>
        <v>lbr_Freight</v>
      </c>
      <c r="CB51" s="18" t="str">
        <f aca="false">_xlfn.CONCAT(H51, "_",I51)</f>
        <v>diesel_RAIL</v>
      </c>
      <c r="CC51" s="21" t="str">
        <f aca="false">_xlfn.CONCAT("{BLACK}Length: {GOLD}", TEXT(ROUNDUP(IF(AQ51&lt;&gt;"",SUM(VALUE(_xlfn.TEXTSPLIT(AQ51, ","))), SUM(VALUE(_xlfn.TEXTSPLIT(AN51, ",")))*IF(M51, M51, 1))/16, 1), "#,##0.0"), " tiles{}")</f>
        <v>{BLACK}Length: {GOLD}0.7 tiles{}</v>
      </c>
      <c r="CD51" s="1" t="str">
        <f aca="false">VLOOKUP($CB51, Constants!$M:$N, 2, FALSE())</f>
        <v>{BLACK}Powered by: {GOLD}Diesel</v>
      </c>
      <c r="CE51" s="1" t="str">
        <f aca="false">IF(M51&gt;1,_xlfn.CONCAT("{BLACK}Cars: {GOLD}", M51),"")</f>
        <v/>
      </c>
      <c r="CF51" s="18" t="s">
        <v>366</v>
      </c>
      <c r="CG51" s="1" t="str">
        <f aca="false">IF(BW51="buffet","{YELLOW}25% long distance bonus for consist{}",IF(BY51="BRAKE","{YELLOW}Speed bonus for slow wagons{}",IF(BU51&gt;190,CONCATENATE("{YELLOW}",INT((BU51-185)/1.85),"% bonus for long distance travel{}"),IF(AND(BU51&lt;180,BU51&lt;&gt;0),CONCATENATE("{YELLOW}",INT((185-BU51)/1.85),"% penalty for long distance travel{}"),""))))</f>
        <v/>
      </c>
      <c r="CH51" s="1" t="str">
        <f aca="false">_xlfn.CONCAT(CD51,IF(CD51 &lt;&gt; "", " ", ""),CE51,IF(OR(CE51&lt;&gt;"", CD51&lt;&gt;""), "{}",""), CC51, CG51,"{SILVER}", CF51)</f>
        <v>{BLACK}Powered by: {GOLD}Diesel {}{BLACK}Length: {GOLD}0.7 tiles{}{SILVER}Originally to power the “Nightstar” european sleeper services away from electrified lines, this sub-class of 12 locomotives mostly saw use as rescue and freight locomotives with other operators.</v>
      </c>
    </row>
    <row r="52" customFormat="false" ht="13.8" hidden="false" customHeight="false" outlineLevel="0" collapsed="false">
      <c r="A52" s="18" t="s">
        <v>367</v>
      </c>
      <c r="B52" s="18" t="s">
        <v>368</v>
      </c>
      <c r="C52" s="1" t="n">
        <v>579</v>
      </c>
      <c r="D52" s="1" t="n">
        <v>580</v>
      </c>
      <c r="E52" s="1" t="n">
        <v>476</v>
      </c>
      <c r="F52" s="1" t="s">
        <v>89</v>
      </c>
      <c r="G52" s="1" t="s">
        <v>369</v>
      </c>
      <c r="H52" s="1" t="s">
        <v>152</v>
      </c>
      <c r="I52" s="1" t="s">
        <v>153</v>
      </c>
      <c r="J52" s="1" t="n">
        <v>1999</v>
      </c>
      <c r="M52" s="1" t="n">
        <v>1</v>
      </c>
      <c r="N52" s="1" t="n">
        <v>710</v>
      </c>
      <c r="W52" s="1" t="n">
        <v>34</v>
      </c>
      <c r="Y52" s="1" t="n">
        <v>4</v>
      </c>
      <c r="Z52" s="1" t="n">
        <v>106</v>
      </c>
      <c r="AA52" s="4" t="n">
        <f aca="false">IF(AND(W52&gt;0,Z52&gt;0),(Z52/((W52+X52)*10)),"")</f>
        <v>0.311764705882353</v>
      </c>
      <c r="AB52" s="1" t="n">
        <v>75</v>
      </c>
      <c r="AC52" s="1" t="n">
        <f aca="false">ROUND(AB52*1.6, 0)</f>
        <v>120</v>
      </c>
      <c r="AF52" s="1" t="n">
        <v>20.2</v>
      </c>
      <c r="AG52" s="1" t="n">
        <v>20</v>
      </c>
      <c r="AH52" s="1" t="n">
        <v>2.82</v>
      </c>
      <c r="AI52" s="1" t="n">
        <v>3.97</v>
      </c>
      <c r="AJ52" s="5" t="n">
        <v>40</v>
      </c>
      <c r="AK52" s="19" t="str">
        <f aca="false">CONCATENATE(VLOOKUP(AL52, 'Voxel Sizes'!$A$2:$B$18,2,FALSE()),"x",INT(AH52*15), "x", INT(AI52*15))</f>
        <v>198x42x59</v>
      </c>
      <c r="AL52" s="1" t="n">
        <f aca="false">ROUND(15*((AG52*10)/256),0)</f>
        <v>12</v>
      </c>
      <c r="AN52" s="1" t="str">
        <f aca="false">CONCATENATE(VLOOKUP(AL52,Constants!$A$2:$C$16,IF(AM52&lt;&gt;"", 3, 2), FALSE()),IF(AM52&lt;&gt;"",CONCATENATE(",",VLOOKUP(AM52,$B:$AN,38,FALSE())),""))</f>
        <v>4,4,4</v>
      </c>
      <c r="AO52" s="1" t="n">
        <v>0</v>
      </c>
      <c r="AR52" s="1" t="s">
        <v>370</v>
      </c>
      <c r="AT52" s="1" t="s">
        <v>113</v>
      </c>
      <c r="AU52" s="1" t="s">
        <v>370</v>
      </c>
      <c r="AX52" s="1" t="n">
        <v>35</v>
      </c>
      <c r="AY52" s="6" t="str">
        <f aca="false">IF(L52&lt;&gt;"",MAX(16,(L52-J52)+8),"")</f>
        <v/>
      </c>
      <c r="BB52" s="1" t="n">
        <f aca="false">MIN(AB52/150, 1)*30</f>
        <v>15</v>
      </c>
      <c r="BC52" s="1" t="n">
        <f aca="false">MIN(N52/4000, 1)*20</f>
        <v>3.55</v>
      </c>
      <c r="BD52" s="1" t="n">
        <f aca="false">MIN(Z52/400,1)*20</f>
        <v>5.3</v>
      </c>
      <c r="BE52" s="4" t="n">
        <f aca="false">1-(MAX(J52-1900, 0)/750)</f>
        <v>0.868</v>
      </c>
      <c r="BF52" s="1" t="n">
        <f aca="false">((MAX($M52,1)*MIN($AJ52/300,1)))*IF(G52="Wagon",50,10)</f>
        <v>1.33333333333333</v>
      </c>
      <c r="BG52" s="1" t="n">
        <f aca="false">VLOOKUP($H52,Constants!$I:$K, 2, FALSE())</f>
        <v>1</v>
      </c>
      <c r="BH52" s="1" t="n">
        <f aca="false">VLOOKUP($H52,Constants!$I:$K, 3, FALSE())*IF(AND(G52="multiple_unit",AB52&lt;110),0.75,1)</f>
        <v>2</v>
      </c>
      <c r="BI52" s="1" t="n">
        <f aca="false">INT(POWER(((Constants!$G$2+$BB52+$BC52+$BD52+$BF52)*$BE52)*$BH52, 1.05))+$BA52</f>
        <v>63</v>
      </c>
      <c r="BJ52" s="1" t="n">
        <f aca="false">INT(POWER((((Constants!$G$1+$BB52+$BC52+$BD52+$BF52)*($BE52))*$BG52),IF($G52="wagon",1,1.2)))+$AZ52</f>
        <v>70</v>
      </c>
      <c r="BK52" s="20" t="n">
        <f aca="false">BI52*IF($G52="wagon",62.5,781.25)</f>
        <v>49218.75</v>
      </c>
      <c r="BL52" s="20" t="n">
        <f aca="false">BJ52*IF($G52="wagon",2.73,81.25)</f>
        <v>5687.5</v>
      </c>
      <c r="BT52" s="1" t="n">
        <v>6</v>
      </c>
      <c r="BU52" s="1" t="n">
        <v>185</v>
      </c>
      <c r="BV52" s="1" t="s">
        <v>371</v>
      </c>
      <c r="BX52" s="1" t="s">
        <v>372</v>
      </c>
      <c r="BY52" s="1" t="s">
        <v>373</v>
      </c>
      <c r="BZ52" s="18" t="s">
        <v>337</v>
      </c>
      <c r="CA52" s="1" t="str">
        <f aca="false">CONCATENATE(BY52,"_",BZ52)</f>
        <v>prv_Freight</v>
      </c>
      <c r="CB52" s="1" t="str">
        <f aca="false">_xlfn.CONCAT(H52, "_",I52)</f>
        <v>diesel_RAIL</v>
      </c>
      <c r="CC52" s="21" t="str">
        <f aca="false">_xlfn.CONCAT("{BLACK}Length: {GOLD}", TEXT(ROUNDUP(IF(AQ52&lt;&gt;"",SUM(VALUE(_xlfn.TEXTSPLIT(AQ52, ","))), SUM(VALUE(_xlfn.TEXTSPLIT(AN52, ",")))*IF(M52, M52, 1))/16, 1), "#,##0.0"), " tiles{}")</f>
        <v>{BLACK}Length: {GOLD}0.8 tiles{}</v>
      </c>
      <c r="CD52" s="1" t="str">
        <f aca="false">VLOOKUP($CB52, Constants!$M:$N, 2, FALSE())</f>
        <v>{BLACK}Powered by: {GOLD}Diesel</v>
      </c>
      <c r="CE52" s="1" t="str">
        <f aca="false">IF(M52&gt;1,_xlfn.CONCAT("{BLACK}Cars: {GOLD}", M52),"")</f>
        <v/>
      </c>
      <c r="CF52" s="1" t="s">
        <v>374</v>
      </c>
      <c r="CG52" s="1" t="str">
        <f aca="false">IF(BW52="buffet","{YELLOW}25% long distance bonus for consist{}",IF(BY52="BRAKE","{YELLOW}Speed bonus for slow wagons{}",IF(BU52&gt;190,CONCATENATE("{YELLOW}",INT((BU52-185)/1.85),"% bonus for long distance travel{}"),IF(AND(BU52&lt;180,BU52&lt;&gt;0),CONCATENATE("{YELLOW}",INT((185-BU52)/1.85),"% penalty for long distance travel{}"),""))))</f>
        <v/>
      </c>
      <c r="CH52" s="1" t="str">
        <f aca="false">_xlfn.CONCAT(CD52,IF(CD52 &lt;&gt; "", " ", ""),CE52,IF(OR(CE52&lt;&gt;"", CD52&lt;&gt;""), "{}",""), CC52, CG52,"{SILVER}", CF52)</f>
        <v>{BLACK}Powered by: {GOLD}Diesel {}{BLACK}Length: {GOLD}0.8 tiles{}{SILVER}The Windhoff MPV units were mainly used for Departmental service, notably in the iconic Rail Head Treatment trains, but trials were made in freight service.</v>
      </c>
      <c r="CI52" s="1"/>
      <c r="CJ52" s="1"/>
    </row>
    <row r="53" customFormat="false" ht="13.8" hidden="false" customHeight="false" outlineLevel="0" collapsed="false">
      <c r="A53" s="18" t="s">
        <v>375</v>
      </c>
      <c r="B53" s="18" t="s">
        <v>376</v>
      </c>
      <c r="C53" s="1" t="n">
        <v>580</v>
      </c>
      <c r="E53" s="1" t="n">
        <v>472</v>
      </c>
      <c r="F53" s="1" t="s">
        <v>89</v>
      </c>
      <c r="G53" s="1" t="s">
        <v>369</v>
      </c>
      <c r="H53" s="1" t="s">
        <v>152</v>
      </c>
      <c r="I53" s="1" t="s">
        <v>153</v>
      </c>
      <c r="J53" s="1" t="n">
        <v>1999</v>
      </c>
      <c r="M53" s="1" t="n">
        <v>2</v>
      </c>
      <c r="N53" s="1" t="n">
        <v>710</v>
      </c>
      <c r="W53" s="1" t="n">
        <v>61</v>
      </c>
      <c r="Y53" s="1" t="n">
        <v>4</v>
      </c>
      <c r="Z53" s="1" t="n">
        <v>106</v>
      </c>
      <c r="AA53" s="4" t="n">
        <f aca="false">IF(AND(W53&gt;0,Z53&gt;0),(Z53/((W53+X53)*10)),"")</f>
        <v>0.173770491803279</v>
      </c>
      <c r="AB53" s="1" t="n">
        <v>75</v>
      </c>
      <c r="AC53" s="1" t="n">
        <f aca="false">ROUND(AB53*1.6, 0)</f>
        <v>120</v>
      </c>
      <c r="AF53" s="1" t="n">
        <v>20.2</v>
      </c>
      <c r="AG53" s="1" t="n">
        <v>20</v>
      </c>
      <c r="AH53" s="1" t="n">
        <v>2.82</v>
      </c>
      <c r="AI53" s="1" t="n">
        <v>3.97</v>
      </c>
      <c r="AJ53" s="5" t="n">
        <v>40</v>
      </c>
      <c r="AK53" s="19" t="str">
        <f aca="false">CONCATENATE(VLOOKUP(AL53, 'Voxel Sizes'!$A$2:$B$18,2,FALSE()),"x",INT(AH53*15), "x", INT(AI53*15))</f>
        <v>198x42x59</v>
      </c>
      <c r="AL53" s="1" t="n">
        <f aca="false">ROUND(15*((AG53*10)/256),0)</f>
        <v>12</v>
      </c>
      <c r="AN53" s="1" t="str">
        <f aca="false">CONCATENATE(VLOOKUP(AL53,Constants!$A$2:$C$16,IF(AM53&lt;&gt;"", 3, 2), FALSE()),IF(AM53&lt;&gt;"",CONCATENATE(",",VLOOKUP(AM53,$B:$AN,38,FALSE())),""))</f>
        <v>4,4,4</v>
      </c>
      <c r="AO53" s="1" t="n">
        <v>0</v>
      </c>
      <c r="AR53" s="1" t="s">
        <v>377</v>
      </c>
      <c r="AT53" s="1" t="s">
        <v>113</v>
      </c>
      <c r="AU53" s="1" t="s">
        <v>378</v>
      </c>
      <c r="AX53" s="1" t="n">
        <v>35</v>
      </c>
      <c r="AY53" s="6" t="str">
        <f aca="false">IF(L53&lt;&gt;"",MAX(16,(L53-J53)+8),"")</f>
        <v/>
      </c>
      <c r="BB53" s="1" t="n">
        <f aca="false">MIN(AB53/150, 1)*30</f>
        <v>15</v>
      </c>
      <c r="BC53" s="1" t="n">
        <f aca="false">MIN(N53/4000, 1)*20</f>
        <v>3.55</v>
      </c>
      <c r="BD53" s="1" t="n">
        <f aca="false">MIN(Z53/400,1)*20</f>
        <v>5.3</v>
      </c>
      <c r="BE53" s="4" t="n">
        <f aca="false">1-(MAX(J53-1900, 0)/750)</f>
        <v>0.868</v>
      </c>
      <c r="BF53" s="1" t="n">
        <f aca="false">((MAX($M53,1)*MIN($AJ53/300,1)))*IF(G53="Wagon",50,10)</f>
        <v>2.66666666666667</v>
      </c>
      <c r="BG53" s="1" t="n">
        <f aca="false">VLOOKUP($H53,Constants!$I:$K, 2, FALSE())</f>
        <v>1</v>
      </c>
      <c r="BH53" s="1" t="n">
        <f aca="false">VLOOKUP($H53,Constants!$I:$K, 3, FALSE())*IF(AND(G53="multiple_unit",AB53&lt;110),0.75,1)</f>
        <v>2</v>
      </c>
      <c r="BI53" s="1" t="n">
        <f aca="false">INT(POWER(((Constants!$G$2+$BB53+$BC53+$BD53+$BF53)*$BE53)*$BH53, 1.05))+$BA53</f>
        <v>66</v>
      </c>
      <c r="BJ53" s="1" t="n">
        <f aca="false">INT(POWER((((Constants!$G$1+$BB53+$BC53+$BD53+$BF53)*($BE53))*$BG53),IF($G53="wagon",1,1.2)))+$AZ53</f>
        <v>73</v>
      </c>
      <c r="BK53" s="20" t="n">
        <f aca="false">BI53*IF($G53="wagon",62.5,781.25)</f>
        <v>51562.5</v>
      </c>
      <c r="BL53" s="20" t="n">
        <f aca="false">BJ53*IF($G53="wagon",2.73,81.25)</f>
        <v>5931.25</v>
      </c>
      <c r="BT53" s="1" t="n">
        <v>6</v>
      </c>
      <c r="BU53" s="1" t="n">
        <v>185</v>
      </c>
      <c r="BV53" s="1" t="s">
        <v>371</v>
      </c>
      <c r="BX53" s="1" t="s">
        <v>372</v>
      </c>
      <c r="BY53" s="1" t="s">
        <v>373</v>
      </c>
      <c r="BZ53" s="18" t="s">
        <v>337</v>
      </c>
      <c r="CA53" s="1" t="str">
        <f aca="false">CONCATENATE(BY53,"_",BZ53)</f>
        <v>prv_Freight</v>
      </c>
      <c r="CB53" s="1" t="str">
        <f aca="false">_xlfn.CONCAT(H53, "_",I53)</f>
        <v>diesel_RAIL</v>
      </c>
      <c r="CC53" s="21" t="str">
        <f aca="false">_xlfn.CONCAT("{BLACK}Length: {GOLD}", TEXT(ROUNDUP(IF(AQ53&lt;&gt;"",SUM(VALUE(_xlfn.TEXTSPLIT(AQ53, ","))), SUM(VALUE(_xlfn.TEXTSPLIT(AN53, ",")))*IF(M53, M53, 1))/16, 1), "#,##0.0"), " tiles{}")</f>
        <v>{BLACK}Length: {GOLD}1.5 tiles{}</v>
      </c>
      <c r="CD53" s="1" t="str">
        <f aca="false">VLOOKUP($CB53, Constants!$M:$N, 2, FALSE())</f>
        <v>{BLACK}Powered by: {GOLD}Diesel</v>
      </c>
      <c r="CE53" s="1" t="str">
        <f aca="false">IF(M53&gt;1,_xlfn.CONCAT("{BLACK}Cars: {GOLD}", M53),"")</f>
        <v>{BLACK}Cars: {GOLD}2</v>
      </c>
      <c r="CF53" s="1" t="s">
        <v>374</v>
      </c>
      <c r="CG53" s="1" t="str">
        <f aca="false">IF(BW53="buffet","{YELLOW}25% long distance bonus for consist{}",IF(BY53="BRAKE","{YELLOW}Speed bonus for slow wagons{}",IF(BU53&gt;190,CONCATENATE("{YELLOW}",INT((BU53-185)/1.85),"% bonus for long distance travel{}"),IF(AND(BU53&lt;180,BU53&lt;&gt;0),CONCATENATE("{YELLOW}",INT((185-BU53)/1.85),"% penalty for long distance travel{}"),""))))</f>
        <v/>
      </c>
      <c r="CH53" s="1" t="str">
        <f aca="false">_xlfn.CONCAT(CD53,IF(CD53 &lt;&gt; "", " ", ""),CE53,IF(OR(CE53&lt;&gt;"", CD53&lt;&gt;""), "{}",""), CC53, CG53,"{SILVER}", CF53)</f>
        <v>{BLACK}Powered by: {GOLD}Diesel {BLACK}Cars: {GOLD}2{}{BLACK}Length: {GOLD}1.5 tiles{}{SILVER}The Windhoff MPV units were mainly used for Departmental service, notably in the iconic Rail Head Treatment trains, but trials were made in freight service.</v>
      </c>
      <c r="CI53" s="1"/>
      <c r="CJ53" s="1"/>
    </row>
    <row r="54" customFormat="false" ht="13.8" hidden="false" customHeight="false" outlineLevel="0" collapsed="false">
      <c r="A54" s="18" t="s">
        <v>379</v>
      </c>
      <c r="B54" s="18" t="s">
        <v>380</v>
      </c>
      <c r="C54" s="1" t="n">
        <v>581</v>
      </c>
      <c r="D54" s="1" t="n">
        <v>580</v>
      </c>
      <c r="E54" s="1" t="n">
        <v>473</v>
      </c>
      <c r="F54" s="1" t="s">
        <v>89</v>
      </c>
      <c r="G54" s="1" t="s">
        <v>369</v>
      </c>
      <c r="H54" s="1" t="s">
        <v>152</v>
      </c>
      <c r="I54" s="1" t="s">
        <v>153</v>
      </c>
      <c r="J54" s="1" t="n">
        <v>1999</v>
      </c>
      <c r="M54" s="1" t="n">
        <v>3</v>
      </c>
      <c r="N54" s="1" t="n">
        <v>710</v>
      </c>
      <c r="W54" s="1" t="n">
        <f aca="false">W53+19</f>
        <v>80</v>
      </c>
      <c r="Y54" s="1" t="n">
        <v>4</v>
      </c>
      <c r="Z54" s="1" t="n">
        <v>106</v>
      </c>
      <c r="AA54" s="4" t="n">
        <f aca="false">IF(AND(W54&gt;0,Z54&gt;0),(Z54/((W54+X54)*10)),"")</f>
        <v>0.1325</v>
      </c>
      <c r="AB54" s="1" t="n">
        <v>75</v>
      </c>
      <c r="AC54" s="1" t="n">
        <f aca="false">ROUND(AB54*1.6, 0)</f>
        <v>120</v>
      </c>
      <c r="AF54" s="1" t="n">
        <v>20.2</v>
      </c>
      <c r="AG54" s="1" t="n">
        <v>20</v>
      </c>
      <c r="AH54" s="1" t="n">
        <v>2.82</v>
      </c>
      <c r="AI54" s="1" t="n">
        <v>3.97</v>
      </c>
      <c r="AJ54" s="5" t="n">
        <v>40</v>
      </c>
      <c r="AK54" s="19" t="str">
        <f aca="false">CONCATENATE(VLOOKUP(AL54, 'Voxel Sizes'!$A$2:$B$18,2,FALSE()),"x",INT(AH54*15), "x", INT(AI54*15))</f>
        <v>198x42x59</v>
      </c>
      <c r="AL54" s="1" t="n">
        <f aca="false">ROUND(15*((AG54*10)/256),0)</f>
        <v>12</v>
      </c>
      <c r="AN54" s="1" t="str">
        <f aca="false">CONCATENATE(VLOOKUP(AL54,Constants!$A$2:$C$16,IF(AM54&lt;&gt;"", 3, 2), FALSE()),IF(AM54&lt;&gt;"",CONCATENATE(",",VLOOKUP(AM54,$B:$AN,38,FALSE())),""))</f>
        <v>4,4,4</v>
      </c>
      <c r="AO54" s="1" t="n">
        <v>0</v>
      </c>
      <c r="AR54" s="1" t="s">
        <v>381</v>
      </c>
      <c r="AT54" s="1" t="s">
        <v>382</v>
      </c>
      <c r="AU54" s="1" t="s">
        <v>378</v>
      </c>
      <c r="AX54" s="1" t="n">
        <v>35</v>
      </c>
      <c r="AY54" s="6" t="str">
        <f aca="false">IF(L54&lt;&gt;"",MAX(16,(L54-J54)+8),"")</f>
        <v/>
      </c>
      <c r="BB54" s="1" t="n">
        <f aca="false">MIN(AB54/150, 1)*30</f>
        <v>15</v>
      </c>
      <c r="BC54" s="1" t="n">
        <f aca="false">MIN(N54/4000, 1)*20</f>
        <v>3.55</v>
      </c>
      <c r="BD54" s="1" t="n">
        <f aca="false">MIN(Z54/400,1)*20</f>
        <v>5.3</v>
      </c>
      <c r="BE54" s="4" t="n">
        <f aca="false">1-(MAX(J54-1900, 0)/750)</f>
        <v>0.868</v>
      </c>
      <c r="BF54" s="1" t="n">
        <f aca="false">((MAX($M54,1)*MIN($AJ54/300,1)))*IF(G54="Wagon",50,10)</f>
        <v>4</v>
      </c>
      <c r="BG54" s="1" t="n">
        <f aca="false">VLOOKUP($H54,Constants!$I:$K, 2, FALSE())</f>
        <v>1</v>
      </c>
      <c r="BH54" s="1" t="n">
        <f aca="false">VLOOKUP($H54,Constants!$I:$K, 3, FALSE())*IF(AND(G54="multiple_unit",AB54&lt;110),0.75,1)</f>
        <v>2</v>
      </c>
      <c r="BI54" s="1" t="n">
        <f aca="false">INT(POWER(((Constants!$G$2+$BB54+$BC54+$BD54+$BF54)*$BE54)*$BH54, 1.05))+$BA54</f>
        <v>69</v>
      </c>
      <c r="BJ54" s="1" t="n">
        <f aca="false">INT(POWER((((Constants!$G$1+$BB54+$BC54+$BD54+$BF54)*($BE54))*$BG54),IF($G54="wagon",1,1.2)))+$AZ54</f>
        <v>76</v>
      </c>
      <c r="BK54" s="20" t="n">
        <f aca="false">BI54*IF($G54="wagon",62.5,781.25)</f>
        <v>53906.25</v>
      </c>
      <c r="BL54" s="20" t="n">
        <f aca="false">BJ54*IF($G54="wagon",2.73,81.25)</f>
        <v>6175</v>
      </c>
      <c r="BT54" s="1" t="n">
        <v>6</v>
      </c>
      <c r="BU54" s="1" t="n">
        <v>185</v>
      </c>
      <c r="BV54" s="1" t="s">
        <v>371</v>
      </c>
      <c r="BX54" s="1" t="s">
        <v>372</v>
      </c>
      <c r="BY54" s="1" t="s">
        <v>373</v>
      </c>
      <c r="BZ54" s="18" t="s">
        <v>337</v>
      </c>
      <c r="CA54" s="1" t="str">
        <f aca="false">CONCATENATE(BY54,"_",BZ54)</f>
        <v>prv_Freight</v>
      </c>
      <c r="CB54" s="1" t="str">
        <f aca="false">_xlfn.CONCAT(H54, "_",I54)</f>
        <v>diesel_RAIL</v>
      </c>
      <c r="CC54" s="21" t="str">
        <f aca="false">_xlfn.CONCAT("{BLACK}Length: {GOLD}", TEXT(ROUNDUP(IF(AQ54&lt;&gt;"",SUM(VALUE(_xlfn.TEXTSPLIT(AQ54, ","))), SUM(VALUE(_xlfn.TEXTSPLIT(AN54, ",")))*IF(M54, M54, 1))/16, 1), "#,##0.0"), " tiles{}")</f>
        <v>{BLACK}Length: {GOLD}2.3 tiles{}</v>
      </c>
      <c r="CD54" s="1" t="str">
        <f aca="false">VLOOKUP($CB54, Constants!$M:$N, 2, FALSE())</f>
        <v>{BLACK}Powered by: {GOLD}Diesel</v>
      </c>
      <c r="CE54" s="1" t="str">
        <f aca="false">IF(M54&gt;1,_xlfn.CONCAT("{BLACK}Cars: {GOLD}", M54),"")</f>
        <v>{BLACK}Cars: {GOLD}3</v>
      </c>
      <c r="CF54" s="1" t="s">
        <v>374</v>
      </c>
      <c r="CG54" s="1" t="str">
        <f aca="false">IF(BW54="buffet","{YELLOW}25% long distance bonus for consist{}",IF(BY54="BRAKE","{YELLOW}Speed bonus for slow wagons{}",IF(BU54&gt;190,CONCATENATE("{YELLOW}",INT((BU54-185)/1.85),"% bonus for long distance travel{}"),IF(AND(BU54&lt;180,BU54&lt;&gt;0),CONCATENATE("{YELLOW}",INT((185-BU54)/1.85),"% penalty for long distance travel{}"),""))))</f>
        <v/>
      </c>
      <c r="CH54" s="1" t="str">
        <f aca="false">_xlfn.CONCAT(CD54,IF(CD54 &lt;&gt; "", " ", ""),CE54,IF(OR(CE54&lt;&gt;"", CD54&lt;&gt;""), "{}",""), CC54, CG54,"{SILVER}", CF54)</f>
        <v>{BLACK}Powered by: {GOLD}Diesel {BLACK}Cars: {GOLD}3{}{BLACK}Length: {GOLD}2.3 tiles{}{SILVER}The Windhoff MPV units were mainly used for Departmental service, notably in the iconic Rail Head Treatment trains, but trials were made in freight service.</v>
      </c>
      <c r="CI54" s="1"/>
      <c r="CJ54" s="1"/>
    </row>
    <row r="55" customFormat="false" ht="13.8" hidden="false" customHeight="false" outlineLevel="0" collapsed="false">
      <c r="A55" s="18" t="s">
        <v>383</v>
      </c>
      <c r="B55" s="18" t="s">
        <v>384</v>
      </c>
      <c r="C55" s="1" t="n">
        <v>582</v>
      </c>
      <c r="D55" s="1" t="n">
        <v>580</v>
      </c>
      <c r="E55" s="1" t="n">
        <v>474</v>
      </c>
      <c r="F55" s="1" t="s">
        <v>89</v>
      </c>
      <c r="G55" s="1" t="s">
        <v>369</v>
      </c>
      <c r="H55" s="1" t="s">
        <v>152</v>
      </c>
      <c r="I55" s="1" t="s">
        <v>153</v>
      </c>
      <c r="J55" s="1" t="n">
        <v>1999</v>
      </c>
      <c r="M55" s="1" t="n">
        <v>4</v>
      </c>
      <c r="N55" s="1" t="n">
        <v>710</v>
      </c>
      <c r="W55" s="1" t="n">
        <f aca="false">W54+19</f>
        <v>99</v>
      </c>
      <c r="Y55" s="1" t="n">
        <v>4</v>
      </c>
      <c r="Z55" s="1" t="n">
        <v>106</v>
      </c>
      <c r="AA55" s="4" t="n">
        <f aca="false">IF(AND(W55&gt;0,Z55&gt;0),(Z55/((W55+X55)*10)),"")</f>
        <v>0.107070707070707</v>
      </c>
      <c r="AB55" s="1" t="n">
        <v>75</v>
      </c>
      <c r="AC55" s="1" t="n">
        <f aca="false">ROUND(AB55*1.6, 0)</f>
        <v>120</v>
      </c>
      <c r="AF55" s="1" t="n">
        <v>20.2</v>
      </c>
      <c r="AG55" s="1" t="n">
        <v>20</v>
      </c>
      <c r="AH55" s="1" t="n">
        <v>2.82</v>
      </c>
      <c r="AI55" s="1" t="n">
        <v>3.97</v>
      </c>
      <c r="AJ55" s="5" t="n">
        <v>40</v>
      </c>
      <c r="AK55" s="19" t="str">
        <f aca="false">CONCATENATE(VLOOKUP(AL55, 'Voxel Sizes'!$A$2:$B$18,2,FALSE()),"x",INT(AH55*15), "x", INT(AI55*15))</f>
        <v>198x42x59</v>
      </c>
      <c r="AL55" s="1" t="n">
        <f aca="false">ROUND(15*((AG55*10)/256),0)</f>
        <v>12</v>
      </c>
      <c r="AN55" s="1" t="str">
        <f aca="false">CONCATENATE(VLOOKUP(AL55,Constants!$A$2:$C$16,IF(AM55&lt;&gt;"", 3, 2), FALSE()),IF(AM55&lt;&gt;"",CONCATENATE(",",VLOOKUP(AM55,$B:$AN,38,FALSE())),""))</f>
        <v>4,4,4</v>
      </c>
      <c r="AO55" s="1" t="n">
        <v>0</v>
      </c>
      <c r="AR55" s="1" t="s">
        <v>385</v>
      </c>
      <c r="AT55" s="1" t="s">
        <v>125</v>
      </c>
      <c r="AU55" s="1" t="s">
        <v>378</v>
      </c>
      <c r="AX55" s="1" t="n">
        <v>35</v>
      </c>
      <c r="AY55" s="6" t="str">
        <f aca="false">IF(L55&lt;&gt;"",MAX(16,(L55-J55)+8),"")</f>
        <v/>
      </c>
      <c r="BB55" s="1" t="n">
        <f aca="false">MIN(AB55/150, 1)*30</f>
        <v>15</v>
      </c>
      <c r="BC55" s="1" t="n">
        <f aca="false">MIN(N55/4000, 1)*20</f>
        <v>3.55</v>
      </c>
      <c r="BD55" s="1" t="n">
        <f aca="false">MIN(Z55/400,1)*20</f>
        <v>5.3</v>
      </c>
      <c r="BE55" s="4" t="n">
        <f aca="false">1-(MAX(J55-1900, 0)/750)</f>
        <v>0.868</v>
      </c>
      <c r="BF55" s="1" t="n">
        <f aca="false">((MAX($M55,1)*MIN($AJ55/300,1)))*IF(G55="Wagon",50,10)</f>
        <v>5.33333333333333</v>
      </c>
      <c r="BG55" s="1" t="n">
        <f aca="false">VLOOKUP($H55,Constants!$I:$K, 2, FALSE())</f>
        <v>1</v>
      </c>
      <c r="BH55" s="1" t="n">
        <f aca="false">VLOOKUP($H55,Constants!$I:$K, 3, FALSE())*IF(AND(G55="multiple_unit",AB55&lt;110),0.75,1)</f>
        <v>2</v>
      </c>
      <c r="BI55" s="1" t="n">
        <f aca="false">INT(POWER(((Constants!$G$2+$BB55+$BC55+$BD55+$BF55)*$BE55)*$BH55, 1.05))+$BA55</f>
        <v>72</v>
      </c>
      <c r="BJ55" s="1" t="n">
        <f aca="false">INT(POWER((((Constants!$G$1+$BB55+$BC55+$BD55+$BF55)*($BE55))*$BG55),IF($G55="wagon",1,1.2)))+$AZ55</f>
        <v>79</v>
      </c>
      <c r="BK55" s="20" t="n">
        <f aca="false">BI55*IF($G55="wagon",62.5,781.25)</f>
        <v>56250</v>
      </c>
      <c r="BL55" s="20" t="n">
        <f aca="false">BJ55*IF($G55="wagon",2.73,81.25)</f>
        <v>6418.75</v>
      </c>
      <c r="BT55" s="1" t="n">
        <v>6</v>
      </c>
      <c r="BU55" s="1" t="n">
        <v>185</v>
      </c>
      <c r="BV55" s="1" t="s">
        <v>371</v>
      </c>
      <c r="BX55" s="1" t="s">
        <v>372</v>
      </c>
      <c r="BY55" s="1" t="s">
        <v>373</v>
      </c>
      <c r="BZ55" s="18" t="s">
        <v>337</v>
      </c>
      <c r="CA55" s="1" t="str">
        <f aca="false">CONCATENATE(BY55,"_",BZ55)</f>
        <v>prv_Freight</v>
      </c>
      <c r="CB55" s="1" t="str">
        <f aca="false">_xlfn.CONCAT(H55, "_",I55)</f>
        <v>diesel_RAIL</v>
      </c>
      <c r="CC55" s="21" t="str">
        <f aca="false">_xlfn.CONCAT("{BLACK}Length: {GOLD}", TEXT(ROUNDUP(IF(AQ55&lt;&gt;"",SUM(VALUE(_xlfn.TEXTSPLIT(AQ55, ","))), SUM(VALUE(_xlfn.TEXTSPLIT(AN55, ",")))*IF(M55, M55, 1))/16, 1), "#,##0.0"), " tiles{}")</f>
        <v>{BLACK}Length: {GOLD}3.0 tiles{}</v>
      </c>
      <c r="CD55" s="1" t="str">
        <f aca="false">VLOOKUP($CB55, Constants!$M:$N, 2, FALSE())</f>
        <v>{BLACK}Powered by: {GOLD}Diesel</v>
      </c>
      <c r="CE55" s="1" t="str">
        <f aca="false">IF(M55&gt;1,_xlfn.CONCAT("{BLACK}Cars: {GOLD}", M55),"")</f>
        <v>{BLACK}Cars: {GOLD}4</v>
      </c>
      <c r="CF55" s="1" t="s">
        <v>374</v>
      </c>
      <c r="CG55" s="1" t="str">
        <f aca="false">IF(BW55="buffet","{YELLOW}25% long distance bonus for consist{}",IF(BY55="BRAKE","{YELLOW}Speed bonus for slow wagons{}",IF(BU55&gt;190,CONCATENATE("{YELLOW}",INT((BU55-185)/1.85),"% bonus for long distance travel{}"),IF(AND(BU55&lt;180,BU55&lt;&gt;0),CONCATENATE("{YELLOW}",INT((185-BU55)/1.85),"% penalty for long distance travel{}"),""))))</f>
        <v/>
      </c>
      <c r="CH55" s="1" t="str">
        <f aca="false">_xlfn.CONCAT(CD55,IF(CD55 &lt;&gt; "", " ", ""),CE55,IF(OR(CE55&lt;&gt;"", CD55&lt;&gt;""), "{}",""), CC55, CG55,"{SILVER}", CF55)</f>
        <v>{BLACK}Powered by: {GOLD}Diesel {BLACK}Cars: {GOLD}4{}{BLACK}Length: {GOLD}3.0 tiles{}{SILVER}The Windhoff MPV units were mainly used for Departmental service, notably in the iconic Rail Head Treatment trains, but trials were made in freight service.</v>
      </c>
      <c r="CI55" s="1"/>
      <c r="CJ55" s="1"/>
    </row>
    <row r="56" customFormat="false" ht="13.8" hidden="false" customHeight="false" outlineLevel="0" collapsed="false">
      <c r="A56" s="18" t="s">
        <v>386</v>
      </c>
      <c r="B56" s="18" t="s">
        <v>387</v>
      </c>
      <c r="C56" s="1" t="n">
        <v>583</v>
      </c>
      <c r="D56" s="1" t="n">
        <v>580</v>
      </c>
      <c r="E56" s="1" t="n">
        <v>475</v>
      </c>
      <c r="F56" s="1" t="s">
        <v>89</v>
      </c>
      <c r="G56" s="1" t="s">
        <v>369</v>
      </c>
      <c r="H56" s="1" t="s">
        <v>152</v>
      </c>
      <c r="I56" s="1" t="s">
        <v>153</v>
      </c>
      <c r="J56" s="1" t="n">
        <v>1999</v>
      </c>
      <c r="M56" s="1" t="n">
        <v>5</v>
      </c>
      <c r="N56" s="1" t="n">
        <v>710</v>
      </c>
      <c r="W56" s="1" t="n">
        <f aca="false">W55+19</f>
        <v>118</v>
      </c>
      <c r="Y56" s="1" t="n">
        <v>4</v>
      </c>
      <c r="Z56" s="1" t="n">
        <v>106</v>
      </c>
      <c r="AA56" s="4" t="n">
        <f aca="false">IF(AND(W56&gt;0,Z56&gt;0),(Z56/((W56+X56)*10)),"")</f>
        <v>0.0898305084745763</v>
      </c>
      <c r="AB56" s="1" t="n">
        <v>75</v>
      </c>
      <c r="AC56" s="1" t="n">
        <f aca="false">ROUND(AB56*1.6, 0)</f>
        <v>120</v>
      </c>
      <c r="AF56" s="1" t="n">
        <v>20.2</v>
      </c>
      <c r="AG56" s="1" t="n">
        <v>20</v>
      </c>
      <c r="AH56" s="1" t="n">
        <v>2.82</v>
      </c>
      <c r="AI56" s="1" t="n">
        <v>3.97</v>
      </c>
      <c r="AJ56" s="5" t="n">
        <v>40</v>
      </c>
      <c r="AK56" s="19" t="str">
        <f aca="false">CONCATENATE(VLOOKUP(AL56, 'Voxel Sizes'!$A$2:$B$18,2,FALSE()),"x",INT(AH56*15), "x", INT(AI56*15))</f>
        <v>198x42x59</v>
      </c>
      <c r="AL56" s="1" t="n">
        <f aca="false">ROUND(15*((AG56*10)/256),0)</f>
        <v>12</v>
      </c>
      <c r="AN56" s="1" t="str">
        <f aca="false">CONCATENATE(VLOOKUP(AL56,Constants!$A$2:$C$16,IF(AM56&lt;&gt;"", 3, 2), FALSE()),IF(AM56&lt;&gt;"",CONCATENATE(",",VLOOKUP(AM56,$B:$AN,38,FALSE())),""))</f>
        <v>4,4,4</v>
      </c>
      <c r="AO56" s="1" t="n">
        <v>0</v>
      </c>
      <c r="AR56" s="1" t="s">
        <v>388</v>
      </c>
      <c r="AT56" s="1" t="s">
        <v>130</v>
      </c>
      <c r="AU56" s="1" t="s">
        <v>378</v>
      </c>
      <c r="AX56" s="1" t="n">
        <v>35</v>
      </c>
      <c r="AY56" s="6" t="str">
        <f aca="false">IF(L56&lt;&gt;"",MAX(16,(L56-J56)+8),"")</f>
        <v/>
      </c>
      <c r="BB56" s="1" t="n">
        <f aca="false">MIN(AB56/150, 1)*30</f>
        <v>15</v>
      </c>
      <c r="BC56" s="1" t="n">
        <f aca="false">MIN(N56/4000, 1)*20</f>
        <v>3.55</v>
      </c>
      <c r="BD56" s="1" t="n">
        <f aca="false">MIN(Z56/400,1)*20</f>
        <v>5.3</v>
      </c>
      <c r="BE56" s="4" t="n">
        <f aca="false">1-(MAX(J56-1900, 0)/750)</f>
        <v>0.868</v>
      </c>
      <c r="BF56" s="1" t="n">
        <f aca="false">((MAX($M56,1)*MIN($AJ56/300,1)))*IF(G56="Wagon",50,10)</f>
        <v>6.66666666666667</v>
      </c>
      <c r="BG56" s="1" t="n">
        <f aca="false">VLOOKUP($H56,Constants!$I:$K, 2, FALSE())</f>
        <v>1</v>
      </c>
      <c r="BH56" s="1" t="n">
        <f aca="false">VLOOKUP($H56,Constants!$I:$K, 3, FALSE())*IF(AND(G56="multiple_unit",AB56&lt;110),0.75,1)</f>
        <v>2</v>
      </c>
      <c r="BI56" s="1" t="n">
        <f aca="false">INT(POWER(((Constants!$G$2+$BB56+$BC56+$BD56+$BF56)*$BE56)*$BH56, 1.05))+$BA56</f>
        <v>75</v>
      </c>
      <c r="BJ56" s="1" t="n">
        <f aca="false">INT(POWER((((Constants!$G$1+$BB56+$BC56+$BD56+$BF56)*($BE56))*$BG56),IF($G56="wagon",1,1.2)))+$AZ56</f>
        <v>82</v>
      </c>
      <c r="BK56" s="20" t="n">
        <f aca="false">BI56*IF($G56="wagon",62.5,781.25)</f>
        <v>58593.75</v>
      </c>
      <c r="BL56" s="20" t="n">
        <f aca="false">BJ56*IF($G56="wagon",2.73,81.25)</f>
        <v>6662.5</v>
      </c>
      <c r="BT56" s="1" t="n">
        <v>6</v>
      </c>
      <c r="BU56" s="1" t="n">
        <v>185</v>
      </c>
      <c r="BV56" s="1" t="s">
        <v>371</v>
      </c>
      <c r="BX56" s="1" t="s">
        <v>372</v>
      </c>
      <c r="BY56" s="1" t="s">
        <v>373</v>
      </c>
      <c r="BZ56" s="18" t="s">
        <v>337</v>
      </c>
      <c r="CA56" s="1" t="str">
        <f aca="false">CONCATENATE(BY56,"_",BZ56)</f>
        <v>prv_Freight</v>
      </c>
      <c r="CB56" s="1" t="str">
        <f aca="false">_xlfn.CONCAT(H56, "_",I56)</f>
        <v>diesel_RAIL</v>
      </c>
      <c r="CC56" s="21" t="str">
        <f aca="false">_xlfn.CONCAT("{BLACK}Length: {GOLD}", TEXT(ROUNDUP(IF(AQ56&lt;&gt;"",SUM(VALUE(_xlfn.TEXTSPLIT(AQ56, ","))), SUM(VALUE(_xlfn.TEXTSPLIT(AN56, ",")))*IF(M56, M56, 1))/16, 1), "#,##0.0"), " tiles{}")</f>
        <v>{BLACK}Length: {GOLD}3.8 tiles{}</v>
      </c>
      <c r="CD56" s="1" t="str">
        <f aca="false">VLOOKUP($CB56, Constants!$M:$N, 2, FALSE())</f>
        <v>{BLACK}Powered by: {GOLD}Diesel</v>
      </c>
      <c r="CE56" s="1" t="str">
        <f aca="false">IF(M56&gt;1,_xlfn.CONCAT("{BLACK}Cars: {GOLD}", M56),"")</f>
        <v>{BLACK}Cars: {GOLD}5</v>
      </c>
      <c r="CF56" s="1" t="s">
        <v>374</v>
      </c>
      <c r="CG56" s="1" t="str">
        <f aca="false">IF(BW56="buffet","{YELLOW}25% long distance bonus for consist{}",IF(BY56="BRAKE","{YELLOW}Speed bonus for slow wagons{}",IF(BU56&gt;190,CONCATENATE("{YELLOW}",INT((BU56-185)/1.85),"% bonus for long distance travel{}"),IF(AND(BU56&lt;180,BU56&lt;&gt;0),CONCATENATE("{YELLOW}",INT((185-BU56)/1.85),"% penalty for long distance travel{}"),""))))</f>
        <v/>
      </c>
      <c r="CH56" s="1" t="str">
        <f aca="false">_xlfn.CONCAT(CD56,IF(CD56 &lt;&gt; "", " ", ""),CE56,IF(OR(CE56&lt;&gt;"", CD56&lt;&gt;""), "{}",""), CC56, CG56,"{SILVER}", CF56)</f>
        <v>{BLACK}Powered by: {GOLD}Diesel {BLACK}Cars: {GOLD}5{}{BLACK}Length: {GOLD}3.8 tiles{}{SILVER}The Windhoff MPV units were mainly used for Departmental service, notably in the iconic Rail Head Treatment trains, but trials were made in freight service.</v>
      </c>
      <c r="CI56" s="1"/>
      <c r="CJ56" s="1"/>
    </row>
    <row r="57" s="19" customFormat="true" ht="13.8" hidden="false" customHeight="false" outlineLevel="0" collapsed="false">
      <c r="A57" s="19" t="s">
        <v>389</v>
      </c>
      <c r="B57" s="19" t="s">
        <v>390</v>
      </c>
      <c r="C57" s="19" t="n">
        <v>440</v>
      </c>
      <c r="E57" s="19" t="n">
        <v>480</v>
      </c>
      <c r="F57" s="19" t="s">
        <v>89</v>
      </c>
      <c r="G57" s="19" t="s">
        <v>90</v>
      </c>
      <c r="H57" s="19" t="s">
        <v>152</v>
      </c>
      <c r="I57" s="19" t="s">
        <v>153</v>
      </c>
      <c r="J57" s="19" t="n">
        <v>2003</v>
      </c>
      <c r="M57" s="19" t="n">
        <v>4</v>
      </c>
      <c r="N57" s="19" t="n">
        <f aca="false">750*M57</f>
        <v>3000</v>
      </c>
      <c r="O57" s="27"/>
      <c r="P57" s="28"/>
      <c r="Q57" s="28"/>
      <c r="R57" s="28"/>
      <c r="S57" s="28"/>
      <c r="T57" s="28"/>
      <c r="U57" s="28"/>
      <c r="V57" s="28"/>
      <c r="W57" s="19" t="n">
        <v>186.5</v>
      </c>
      <c r="X57" s="27"/>
      <c r="Y57" s="19" t="n">
        <v>5</v>
      </c>
      <c r="Z57" s="19" t="n">
        <f aca="false">54*M57</f>
        <v>216</v>
      </c>
      <c r="AA57" s="29" t="n">
        <f aca="false">IF(AND(W57&gt;0,Z57&gt;0),(Z57/((W57+X57)*10)),"")</f>
        <v>0.115817694369973</v>
      </c>
      <c r="AB57" s="19" t="n">
        <v>125</v>
      </c>
      <c r="AC57" s="19" t="n">
        <f aca="false">ROUND(AB57*1.6, 0)</f>
        <v>200</v>
      </c>
      <c r="AF57" s="19" t="n">
        <v>23.8</v>
      </c>
      <c r="AG57" s="19" t="n">
        <v>23.8</v>
      </c>
      <c r="AH57" s="19" t="n">
        <v>2.73</v>
      </c>
      <c r="AJ57" s="30" t="n">
        <v>51</v>
      </c>
      <c r="AK57" s="19" t="str">
        <f aca="false">CONCATENATE(VLOOKUP(AL57, 'Voxel Sizes'!$A$2:$B$18,2,FALSE()),"x",INT(AH57*15), "x", INT(AI57*15))</f>
        <v>238x40x0</v>
      </c>
      <c r="AL57" s="19" t="n">
        <f aca="false">ROUND(15*((AG57*10)/256),0)</f>
        <v>14</v>
      </c>
      <c r="AN57" s="1" t="str">
        <f aca="false">CONCATENATE(VLOOKUP(AL57,Constants!$A$2:$C$16,IF(AM57&lt;&gt;"", 3, 2), FALSE()),IF(AM57&lt;&gt;"",CONCATENATE(",",VLOOKUP(AM57,$B:$AN,38,FALSE())),""))</f>
        <v>4,6,4</v>
      </c>
      <c r="AP57" s="31"/>
      <c r="AQ57" s="31"/>
      <c r="AR57" s="19" t="s">
        <v>391</v>
      </c>
      <c r="AT57" s="19" t="s">
        <v>171</v>
      </c>
      <c r="AU57" s="19" t="s">
        <v>392</v>
      </c>
      <c r="AX57" s="19" t="n">
        <v>29</v>
      </c>
      <c r="AY57" s="32" t="str">
        <f aca="false">IF(L57&lt;&gt;"",MAX(16,(L57-J57)+8),"")</f>
        <v/>
      </c>
      <c r="AZ57" s="19" t="n">
        <v>-15</v>
      </c>
      <c r="BA57" s="19" t="n">
        <v>-35</v>
      </c>
      <c r="BB57" s="19" t="n">
        <f aca="false">MIN(AB57/150, 1)*30</f>
        <v>25</v>
      </c>
      <c r="BC57" s="19" t="n">
        <f aca="false">MIN(N57/4000, 1)*20</f>
        <v>15</v>
      </c>
      <c r="BD57" s="19" t="n">
        <f aca="false">MIN(Z57/400,1)*20</f>
        <v>10.8</v>
      </c>
      <c r="BE57" s="29" t="n">
        <f aca="false">1-(MAX(J57-1900, 0)/750)</f>
        <v>0.862666666666667</v>
      </c>
      <c r="BF57" s="19" t="n">
        <f aca="false">((MAX($M57,1)*MIN($AJ57/300,1)))*IF(G57="Wagon",50,10)</f>
        <v>6.8</v>
      </c>
      <c r="BG57" s="1" t="n">
        <f aca="false">VLOOKUP($H57,Constants!$I:$K, 2, FALSE())</f>
        <v>1</v>
      </c>
      <c r="BH57" s="1" t="n">
        <f aca="false">VLOOKUP($H57,Constants!$I:$K, 3, FALSE())*IF(AND(G57="multiple_unit",AB57&lt;110),0.75,1)</f>
        <v>2</v>
      </c>
      <c r="BI57" s="1" t="n">
        <f aca="false">INT(POWER(((Constants!$G$2+$BB57+$BC57+$BD57+$BF57)*$BE57)*$BH57, 1.05))+$BA57</f>
        <v>101</v>
      </c>
      <c r="BJ57" s="1" t="n">
        <f aca="false">INT(POWER((((Constants!$G$1+$BB57+$BC57+$BD57+$BF57)*($BE57))*$BG57),IF($G57="wagon",1,1.2)))+$AZ57</f>
        <v>128</v>
      </c>
      <c r="BK57" s="33" t="n">
        <f aca="false">BI57*IF($G57="wagon",62.5,781.25)</f>
        <v>78906.25</v>
      </c>
      <c r="BL57" s="33" t="n">
        <f aca="false">BJ57*IF($G57="wagon",2.73,81.25)</f>
        <v>10400</v>
      </c>
      <c r="BQ57" s="19" t="s">
        <v>393</v>
      </c>
      <c r="BT57" s="19" t="n">
        <v>10</v>
      </c>
      <c r="BU57" s="19" t="n">
        <v>205</v>
      </c>
      <c r="BX57" s="19" t="s">
        <v>95</v>
      </c>
      <c r="BY57" s="1" t="s">
        <v>373</v>
      </c>
      <c r="BZ57" s="34" t="s">
        <v>211</v>
      </c>
      <c r="CA57" s="19" t="str">
        <f aca="false">CONCATENATE(BY57,"_",BZ57)</f>
        <v>prv_DMU (Express)</v>
      </c>
      <c r="CB57" s="19" t="str">
        <f aca="false">_xlfn.CONCAT(H57, "_",I57)</f>
        <v>diesel_RAIL</v>
      </c>
      <c r="CC57" s="21" t="str">
        <f aca="false">_xlfn.CONCAT("{BLACK}Length: {GOLD}", TEXT(ROUNDUP(IF(AQ57&lt;&gt;"",SUM(VALUE(_xlfn.TEXTSPLIT(AQ57, ","))), SUM(VALUE(_xlfn.TEXTSPLIT(AN57, ",")))*IF(M57, M57, 1))/16, 1), "#,##0.0"), " tiles{}")</f>
        <v>{BLACK}Length: {GOLD}3.5 tiles{}</v>
      </c>
      <c r="CD57" s="1" t="str">
        <f aca="false">VLOOKUP($CB57, Constants!$M:$N, 2, FALSE())</f>
        <v>{BLACK}Powered by: {GOLD}Diesel</v>
      </c>
      <c r="CE57" s="1" t="str">
        <f aca="false">IF(M57&gt;1,_xlfn.CONCAT("{BLACK}Cars: {GOLD}", M57),"")</f>
        <v>{BLACK}Cars: {GOLD}4</v>
      </c>
      <c r="CF57" s="19" t="s">
        <v>394</v>
      </c>
      <c r="CG57" s="1" t="str">
        <f aca="false">IF(BW57="buffet","{YELLOW}25% long distance bonus for consist{}",IF(BY57="BRAKE","{YELLOW}Speed bonus for slow wagons{}",IF(BU57&gt;190,CONCATENATE("{YELLOW}",INT((BU57-185)/1.85),"% bonus for long distance travel{}"),IF(AND(BU57&lt;180,BU57&lt;&gt;0),CONCATENATE("{YELLOW}",INT((185-BU57)/1.85),"% penalty for long distance travel{}"),""))))</f>
        <v>{YELLOW}10% bonus for long distance travel{}</v>
      </c>
      <c r="CH57" s="1" t="str">
        <f aca="false">_xlfn.CONCAT(CD57,IF(CD57 &lt;&gt; "", " ", ""),CE57,IF(OR(CE57&lt;&gt;"", CD57&lt;&gt;""), "{}",""), CC57, CG57,"{SILVER}", CF57)</f>
        <v>{BLACK}Powered by: {GOLD}Diesel {BLACK}Cars: {GOLD}4{}{BLACK}Length: {GOLD}3.5 tiles{}{YELLOW}10% bonus for long distance travel{}{SILVER}The Class 222 is the final development of the Bombardier DEMU series, built first for the Midland Main Line and later seeing service in Scotland and with Open-Access operators.</v>
      </c>
    </row>
    <row r="58" s="19" customFormat="true" ht="13.8" hidden="false" customHeight="false" outlineLevel="0" collapsed="false">
      <c r="A58" s="19" t="s">
        <v>389</v>
      </c>
      <c r="B58" s="19" t="s">
        <v>395</v>
      </c>
      <c r="C58" s="19" t="n">
        <v>441</v>
      </c>
      <c r="D58" s="19" t="n">
        <v>440</v>
      </c>
      <c r="E58" s="19" t="n">
        <v>481</v>
      </c>
      <c r="F58" s="19" t="s">
        <v>89</v>
      </c>
      <c r="G58" s="19" t="s">
        <v>90</v>
      </c>
      <c r="H58" s="19" t="s">
        <v>152</v>
      </c>
      <c r="I58" s="19" t="s">
        <v>153</v>
      </c>
      <c r="J58" s="19" t="n">
        <v>2003</v>
      </c>
      <c r="M58" s="19" t="n">
        <v>5</v>
      </c>
      <c r="N58" s="19" t="n">
        <f aca="false">750*M58</f>
        <v>3750</v>
      </c>
      <c r="O58" s="27"/>
      <c r="P58" s="28"/>
      <c r="Q58" s="28"/>
      <c r="R58" s="28"/>
      <c r="S58" s="28"/>
      <c r="T58" s="28"/>
      <c r="U58" s="28"/>
      <c r="V58" s="28"/>
      <c r="W58" s="19" t="n">
        <f aca="false">W57+37.3</f>
        <v>223.8</v>
      </c>
      <c r="X58" s="27"/>
      <c r="Y58" s="19" t="n">
        <v>5</v>
      </c>
      <c r="Z58" s="19" t="n">
        <f aca="false">54*M58</f>
        <v>270</v>
      </c>
      <c r="AA58" s="29" t="n">
        <f aca="false">IF(AND(W58&gt;0,Z58&gt;0),(Z58/((W58+X58)*10)),"")</f>
        <v>0.120643431635389</v>
      </c>
      <c r="AB58" s="19" t="n">
        <v>125</v>
      </c>
      <c r="AC58" s="19" t="n">
        <f aca="false">ROUND(AB58*1.6, 0)</f>
        <v>200</v>
      </c>
      <c r="AF58" s="19" t="n">
        <v>23.8</v>
      </c>
      <c r="AG58" s="19" t="n">
        <v>23.8</v>
      </c>
      <c r="AH58" s="19" t="n">
        <v>2.73</v>
      </c>
      <c r="AJ58" s="30" t="n">
        <v>51</v>
      </c>
      <c r="AK58" s="19" t="str">
        <f aca="false">CONCATENATE(VLOOKUP(AL58, 'Voxel Sizes'!$A$2:$B$18,2,FALSE()),"x",INT(AH58*15), "x", INT(AI58*15))</f>
        <v>238x40x0</v>
      </c>
      <c r="AL58" s="19" t="n">
        <f aca="false">ROUND(15*((AG58*10)/256),0)</f>
        <v>14</v>
      </c>
      <c r="AN58" s="1" t="str">
        <f aca="false">CONCATENATE(VLOOKUP(AL58,Constants!$A$2:$C$16,IF(AM58&lt;&gt;"", 3, 2), FALSE()),IF(AM58&lt;&gt;"",CONCATENATE(",",VLOOKUP(AM58,$B:$AN,38,FALSE())),""))</f>
        <v>4,6,4</v>
      </c>
      <c r="AP58" s="31"/>
      <c r="AQ58" s="31"/>
      <c r="AR58" s="19" t="s">
        <v>396</v>
      </c>
      <c r="AT58" s="19" t="s">
        <v>130</v>
      </c>
      <c r="AU58" s="19" t="s">
        <v>392</v>
      </c>
      <c r="AX58" s="19" t="n">
        <v>29</v>
      </c>
      <c r="AY58" s="32" t="str">
        <f aca="false">IF(L58&lt;&gt;"",MAX(16,(L58-J58)+8),"")</f>
        <v/>
      </c>
      <c r="AZ58" s="19" t="n">
        <v>-15</v>
      </c>
      <c r="BA58" s="19" t="n">
        <v>-35</v>
      </c>
      <c r="BB58" s="19" t="n">
        <f aca="false">MIN(AB58/150, 1)*30</f>
        <v>25</v>
      </c>
      <c r="BC58" s="19" t="n">
        <f aca="false">MIN(N58/4000, 1)*20</f>
        <v>18.75</v>
      </c>
      <c r="BD58" s="19" t="n">
        <f aca="false">MIN(Z58/400,1)*20</f>
        <v>13.5</v>
      </c>
      <c r="BE58" s="29" t="n">
        <f aca="false">1-(MAX(J58-1900, 0)/750)</f>
        <v>0.862666666666667</v>
      </c>
      <c r="BF58" s="19" t="n">
        <f aca="false">((MAX($M58,1)*MIN($AJ58/300,1)))*IF(G58="Wagon",50,10)</f>
        <v>8.5</v>
      </c>
      <c r="BG58" s="1" t="n">
        <f aca="false">VLOOKUP($H58,Constants!$I:$K, 2, FALSE())</f>
        <v>1</v>
      </c>
      <c r="BH58" s="1" t="n">
        <f aca="false">VLOOKUP($H58,Constants!$I:$K, 3, FALSE())*IF(AND(G58="multiple_unit",AB58&lt;110),0.75,1)</f>
        <v>2</v>
      </c>
      <c r="BI58" s="1" t="n">
        <f aca="false">INT(POWER(((Constants!$G$2+$BB58+$BC58+$BD58+$BF58)*$BE58)*$BH58, 1.05))+$BA58</f>
        <v>120</v>
      </c>
      <c r="BJ58" s="1" t="n">
        <f aca="false">INT(POWER((((Constants!$G$1+$BB58+$BC58+$BD58+$BF58)*($BE58))*$BG58),IF($G58="wagon",1,1.2)))+$AZ58</f>
        <v>147</v>
      </c>
      <c r="BK58" s="33" t="n">
        <f aca="false">BI58*IF($G58="wagon",62.5,781.25)</f>
        <v>93750</v>
      </c>
      <c r="BL58" s="33" t="n">
        <f aca="false">BJ58*IF($G58="wagon",2.73,81.25)</f>
        <v>11943.75</v>
      </c>
      <c r="BQ58" s="19" t="s">
        <v>397</v>
      </c>
      <c r="BS58" s="1" t="s">
        <v>398</v>
      </c>
      <c r="BT58" s="19" t="n">
        <v>10</v>
      </c>
      <c r="BU58" s="19" t="n">
        <v>205</v>
      </c>
      <c r="BX58" s="19" t="s">
        <v>95</v>
      </c>
      <c r="BY58" s="1" t="s">
        <v>373</v>
      </c>
      <c r="BZ58" s="34" t="s">
        <v>211</v>
      </c>
      <c r="CA58" s="19" t="str">
        <f aca="false">CONCATENATE(BY58,"_",BZ58)</f>
        <v>prv_DMU (Express)</v>
      </c>
      <c r="CB58" s="19" t="str">
        <f aca="false">_xlfn.CONCAT(H58, "_",I58)</f>
        <v>diesel_RAIL</v>
      </c>
      <c r="CC58" s="21" t="str">
        <f aca="false">_xlfn.CONCAT("{BLACK}Length: {GOLD}", TEXT(ROUNDUP(IF(AQ58&lt;&gt;"",SUM(VALUE(_xlfn.TEXTSPLIT(AQ58, ","))), SUM(VALUE(_xlfn.TEXTSPLIT(AN58, ",")))*IF(M58, M58, 1))/16, 1), "#,##0.0"), " tiles{}")</f>
        <v>{BLACK}Length: {GOLD}4.4 tiles{}</v>
      </c>
      <c r="CD58" s="1" t="str">
        <f aca="false">VLOOKUP($CB58, Constants!$M:$N, 2, FALSE())</f>
        <v>{BLACK}Powered by: {GOLD}Diesel</v>
      </c>
      <c r="CE58" s="1" t="str">
        <f aca="false">IF(M58&gt;1,_xlfn.CONCAT("{BLACK}Cars: {GOLD}", M58),"")</f>
        <v>{BLACK}Cars: {GOLD}5</v>
      </c>
      <c r="CF58" s="19" t="s">
        <v>394</v>
      </c>
      <c r="CG58" s="1" t="str">
        <f aca="false">IF(BW58="buffet","{YELLOW}25% long distance bonus for consist{}",IF(BY58="BRAKE","{YELLOW}Speed bonus for slow wagons{}",IF(BU58&gt;190,CONCATENATE("{YELLOW}",INT((BU58-185)/1.85),"% bonus for long distance travel{}"),IF(AND(BU58&lt;180,BU58&lt;&gt;0),CONCATENATE("{YELLOW}",INT((185-BU58)/1.85),"% penalty for long distance travel{}"),""))))</f>
        <v>{YELLOW}10% bonus for long distance travel{}</v>
      </c>
      <c r="CH58" s="1" t="str">
        <f aca="false">_xlfn.CONCAT(CD58,IF(CD58 &lt;&gt; "", " ", ""),CE58,IF(OR(CE58&lt;&gt;"", CD58&lt;&gt;""), "{}",""), CC58, CG58,"{SILVER}", CF58)</f>
        <v>{BLACK}Powered by: {GOLD}Diesel {BLACK}Cars: {GOLD}5{}{BLACK}Length: {GOLD}4.4 tiles{}{YELLOW}10% bonus for long distance travel{}{SILVER}The Class 222 is the final development of the Bombardier DEMU series, built first for the Midland Main Line and later seeing service in Scotland and with Open-Access operators.</v>
      </c>
    </row>
    <row r="59" s="19" customFormat="true" ht="13.8" hidden="false" customHeight="false" outlineLevel="0" collapsed="false">
      <c r="A59" s="19" t="s">
        <v>389</v>
      </c>
      <c r="B59" s="19" t="s">
        <v>399</v>
      </c>
      <c r="C59" s="19" t="n">
        <v>442</v>
      </c>
      <c r="D59" s="19" t="n">
        <v>440</v>
      </c>
      <c r="E59" s="19" t="n">
        <v>482</v>
      </c>
      <c r="F59" s="19" t="s">
        <v>89</v>
      </c>
      <c r="G59" s="19" t="s">
        <v>90</v>
      </c>
      <c r="H59" s="19" t="s">
        <v>152</v>
      </c>
      <c r="I59" s="19" t="s">
        <v>153</v>
      </c>
      <c r="J59" s="19" t="n">
        <v>2003</v>
      </c>
      <c r="M59" s="19" t="n">
        <v>7</v>
      </c>
      <c r="N59" s="19" t="n">
        <f aca="false">750*M59</f>
        <v>5250</v>
      </c>
      <c r="O59" s="27"/>
      <c r="P59" s="28"/>
      <c r="Q59" s="28"/>
      <c r="R59" s="28"/>
      <c r="S59" s="28"/>
      <c r="T59" s="28"/>
      <c r="U59" s="28"/>
      <c r="V59" s="28"/>
      <c r="W59" s="19" t="n">
        <f aca="false">W58+(37.3*2)</f>
        <v>298.4</v>
      </c>
      <c r="X59" s="27"/>
      <c r="Y59" s="19" t="n">
        <v>5</v>
      </c>
      <c r="Z59" s="19" t="n">
        <f aca="false">54*M59</f>
        <v>378</v>
      </c>
      <c r="AA59" s="29" t="n">
        <f aca="false">IF(AND(W59&gt;0,Z59&gt;0),(Z59/((W59+X59)*10)),"")</f>
        <v>0.126675603217158</v>
      </c>
      <c r="AB59" s="19" t="n">
        <v>125</v>
      </c>
      <c r="AC59" s="19" t="n">
        <f aca="false">ROUND(AB59*1.6, 0)</f>
        <v>200</v>
      </c>
      <c r="AF59" s="19" t="n">
        <v>23.8</v>
      </c>
      <c r="AG59" s="19" t="n">
        <v>23.8</v>
      </c>
      <c r="AH59" s="19" t="n">
        <v>2.73</v>
      </c>
      <c r="AJ59" s="30" t="n">
        <v>51</v>
      </c>
      <c r="AK59" s="19" t="str">
        <f aca="false">CONCATENATE(VLOOKUP(AL59, 'Voxel Sizes'!$A$2:$B$18,2,FALSE()),"x",INT(AH59*15), "x", INT(AI59*15))</f>
        <v>238x40x0</v>
      </c>
      <c r="AL59" s="19" t="n">
        <f aca="false">ROUND(15*((AG59*10)/256),0)</f>
        <v>14</v>
      </c>
      <c r="AN59" s="1" t="str">
        <f aca="false">CONCATENATE(VLOOKUP(AL59,Constants!$A$2:$C$16,IF(AM59&lt;&gt;"", 3, 2), FALSE()),IF(AM59&lt;&gt;"",CONCATENATE(",",VLOOKUP(AM59,$B:$AN,38,FALSE())),""))</f>
        <v>4,6,4</v>
      </c>
      <c r="AP59" s="31"/>
      <c r="AQ59" s="31"/>
      <c r="AR59" s="19" t="s">
        <v>400</v>
      </c>
      <c r="AT59" s="19" t="s">
        <v>401</v>
      </c>
      <c r="AU59" s="19" t="s">
        <v>392</v>
      </c>
      <c r="AX59" s="19" t="n">
        <v>29</v>
      </c>
      <c r="AY59" s="32" t="str">
        <f aca="false">IF(L59&lt;&gt;"",MAX(16,(L59-J59)+8),"")</f>
        <v/>
      </c>
      <c r="AZ59" s="19" t="n">
        <v>-15</v>
      </c>
      <c r="BA59" s="19" t="n">
        <v>-35</v>
      </c>
      <c r="BB59" s="19" t="n">
        <f aca="false">MIN(AB59/150, 1)*30</f>
        <v>25</v>
      </c>
      <c r="BC59" s="19" t="n">
        <f aca="false">MIN(N59/4000, 1)*20</f>
        <v>20</v>
      </c>
      <c r="BD59" s="19" t="n">
        <f aca="false">MIN(Z59/400,1)*20</f>
        <v>18.9</v>
      </c>
      <c r="BE59" s="29" t="n">
        <f aca="false">1-(MAX(J59-1900, 0)/750)</f>
        <v>0.862666666666667</v>
      </c>
      <c r="BF59" s="19" t="n">
        <f aca="false">((MAX($M59,1)*MIN($AJ59/300,1)))*IF(G59="Wagon",50,10)</f>
        <v>11.9</v>
      </c>
      <c r="BG59" s="1" t="n">
        <f aca="false">VLOOKUP($H59,Constants!$I:$K, 2, FALSE())</f>
        <v>1</v>
      </c>
      <c r="BH59" s="1" t="n">
        <f aca="false">VLOOKUP($H59,Constants!$I:$K, 3, FALSE())*IF(AND(G59="multiple_unit",AB59&lt;110),0.75,1)</f>
        <v>2</v>
      </c>
      <c r="BI59" s="1" t="n">
        <f aca="false">INT(POWER(((Constants!$G$2+$BB59+$BC59+$BD59+$BF59)*$BE59)*$BH59, 1.05))+$BA59</f>
        <v>143</v>
      </c>
      <c r="BJ59" s="1" t="n">
        <f aca="false">INT(POWER((((Constants!$G$1+$BB59+$BC59+$BD59+$BF59)*($BE59))*$BG59),IF($G59="wagon",1,1.2)))+$AZ59</f>
        <v>172</v>
      </c>
      <c r="BK59" s="33" t="n">
        <f aca="false">BI59*IF($G59="wagon",62.5,781.25)</f>
        <v>111718.75</v>
      </c>
      <c r="BL59" s="33" t="n">
        <f aca="false">BJ59*IF($G59="wagon",2.73,81.25)</f>
        <v>13975</v>
      </c>
      <c r="BQ59" s="19" t="s">
        <v>402</v>
      </c>
      <c r="BS59" s="1" t="s">
        <v>403</v>
      </c>
      <c r="BT59" s="19" t="n">
        <v>10</v>
      </c>
      <c r="BU59" s="19" t="n">
        <v>205</v>
      </c>
      <c r="BX59" s="19" t="s">
        <v>95</v>
      </c>
      <c r="BY59" s="1" t="s">
        <v>373</v>
      </c>
      <c r="BZ59" s="34" t="s">
        <v>211</v>
      </c>
      <c r="CA59" s="19" t="str">
        <f aca="false">CONCATENATE(BY59,"_",BZ59)</f>
        <v>prv_DMU (Express)</v>
      </c>
      <c r="CB59" s="19" t="str">
        <f aca="false">_xlfn.CONCAT(H59, "_",I59)</f>
        <v>diesel_RAIL</v>
      </c>
      <c r="CC59" s="21" t="str">
        <f aca="false">_xlfn.CONCAT("{BLACK}Length: {GOLD}", TEXT(ROUNDUP(IF(AQ59&lt;&gt;"",SUM(VALUE(_xlfn.TEXTSPLIT(AQ59, ","))), SUM(VALUE(_xlfn.TEXTSPLIT(AN59, ",")))*IF(M59, M59, 1))/16, 1), "#,##0.0"), " tiles{}")</f>
        <v>{BLACK}Length: {GOLD}6.2 tiles{}</v>
      </c>
      <c r="CD59" s="1" t="str">
        <f aca="false">VLOOKUP($CB59, Constants!$M:$N, 2, FALSE())</f>
        <v>{BLACK}Powered by: {GOLD}Diesel</v>
      </c>
      <c r="CE59" s="1" t="str">
        <f aca="false">IF(M59&gt;1,_xlfn.CONCAT("{BLACK}Cars: {GOLD}", M59),"")</f>
        <v>{BLACK}Cars: {GOLD}7</v>
      </c>
      <c r="CF59" s="19" t="s">
        <v>394</v>
      </c>
      <c r="CG59" s="1" t="str">
        <f aca="false">IF(BW59="buffet","{YELLOW}25% long distance bonus for consist{}",IF(BY59="BRAKE","{YELLOW}Speed bonus for slow wagons{}",IF(BU59&gt;190,CONCATENATE("{YELLOW}",INT((BU59-185)/1.85),"% bonus for long distance travel{}"),IF(AND(BU59&lt;180,BU59&lt;&gt;0),CONCATENATE("{YELLOW}",INT((185-BU59)/1.85),"% penalty for long distance travel{}"),""))))</f>
        <v>{YELLOW}10% bonus for long distance travel{}</v>
      </c>
      <c r="CH59" s="1" t="str">
        <f aca="false">_xlfn.CONCAT(CD59,IF(CD59 &lt;&gt; "", " ", ""),CE59,IF(OR(CE59&lt;&gt;"", CD59&lt;&gt;""), "{}",""), CC59, CG59,"{SILVER}", CF59)</f>
        <v>{BLACK}Powered by: {GOLD}Diesel {BLACK}Cars: {GOLD}7{}{BLACK}Length: {GOLD}6.2 tiles{}{YELLOW}10% bonus for long distance travel{}{SILVER}The Class 222 is the final development of the Bombardier DEMU series, built first for the Midland Main Line and later seeing service in Scotland and with Open-Access operators.</v>
      </c>
    </row>
    <row r="60" s="19" customFormat="true" ht="13.8" hidden="false" customHeight="false" outlineLevel="0" collapsed="false">
      <c r="A60" s="19" t="s">
        <v>389</v>
      </c>
      <c r="B60" s="19" t="s">
        <v>404</v>
      </c>
      <c r="C60" s="19" t="n">
        <v>443</v>
      </c>
      <c r="D60" s="19" t="n">
        <v>440</v>
      </c>
      <c r="E60" s="19" t="n">
        <v>483</v>
      </c>
      <c r="F60" s="19" t="s">
        <v>89</v>
      </c>
      <c r="G60" s="19" t="s">
        <v>90</v>
      </c>
      <c r="H60" s="19" t="s">
        <v>152</v>
      </c>
      <c r="I60" s="19" t="s">
        <v>153</v>
      </c>
      <c r="J60" s="19" t="n">
        <v>2003</v>
      </c>
      <c r="M60" s="19" t="n">
        <v>9</v>
      </c>
      <c r="N60" s="19" t="n">
        <f aca="false">750*M60</f>
        <v>6750</v>
      </c>
      <c r="O60" s="27"/>
      <c r="P60" s="28"/>
      <c r="Q60" s="28"/>
      <c r="R60" s="28"/>
      <c r="S60" s="28"/>
      <c r="T60" s="28"/>
      <c r="U60" s="28"/>
      <c r="V60" s="28"/>
      <c r="W60" s="19" t="n">
        <f aca="false">W59+(37.3*2)</f>
        <v>373</v>
      </c>
      <c r="X60" s="27"/>
      <c r="Y60" s="19" t="n">
        <v>5</v>
      </c>
      <c r="Z60" s="19" t="n">
        <f aca="false">54*M60</f>
        <v>486</v>
      </c>
      <c r="AA60" s="29" t="n">
        <f aca="false">IF(AND(W60&gt;0,Z60&gt;0),(Z60/((W60+X60)*10)),"")</f>
        <v>0.13029490616622</v>
      </c>
      <c r="AB60" s="19" t="n">
        <v>125</v>
      </c>
      <c r="AC60" s="19" t="n">
        <f aca="false">ROUND(AB60*1.6, 0)</f>
        <v>200</v>
      </c>
      <c r="AF60" s="19" t="n">
        <v>23.8</v>
      </c>
      <c r="AG60" s="19" t="n">
        <v>23.8</v>
      </c>
      <c r="AH60" s="19" t="n">
        <v>2.73</v>
      </c>
      <c r="AJ60" s="30" t="n">
        <v>51</v>
      </c>
      <c r="AK60" s="19" t="str">
        <f aca="false">CONCATENATE(VLOOKUP(AL60, 'Voxel Sizes'!$A$2:$B$18,2,FALSE()),"x",INT(AH60*15), "x", INT(AI60*15))</f>
        <v>238x40x0</v>
      </c>
      <c r="AL60" s="19" t="n">
        <f aca="false">ROUND(15*((AG60*10)/256),0)</f>
        <v>14</v>
      </c>
      <c r="AN60" s="1" t="str">
        <f aca="false">CONCATENATE(VLOOKUP(AL60,Constants!$A$2:$C$16,IF(AM60&lt;&gt;"", 3, 2), FALSE()),IF(AM60&lt;&gt;"",CONCATENATE(",",VLOOKUP(AM60,$B:$AN,38,FALSE())),""))</f>
        <v>4,6,4</v>
      </c>
      <c r="AP60" s="31"/>
      <c r="AQ60" s="31"/>
      <c r="AR60" s="19" t="s">
        <v>405</v>
      </c>
      <c r="AT60" s="19" t="s">
        <v>406</v>
      </c>
      <c r="AU60" s="19" t="s">
        <v>392</v>
      </c>
      <c r="AX60" s="19" t="n">
        <v>29</v>
      </c>
      <c r="AY60" s="32" t="str">
        <f aca="false">IF(L60&lt;&gt;"",MAX(16,(L60-J60)+8),"")</f>
        <v/>
      </c>
      <c r="AZ60" s="19" t="n">
        <v>-15</v>
      </c>
      <c r="BA60" s="19" t="n">
        <v>-35</v>
      </c>
      <c r="BB60" s="19" t="n">
        <f aca="false">MIN(AB60/150, 1)*30</f>
        <v>25</v>
      </c>
      <c r="BC60" s="19" t="n">
        <f aca="false">MIN(N60/4000, 1)*20</f>
        <v>20</v>
      </c>
      <c r="BD60" s="19" t="n">
        <f aca="false">MIN(Z60/400,1)*20</f>
        <v>20</v>
      </c>
      <c r="BE60" s="29" t="n">
        <f aca="false">1-(MAX(J60-1900, 0)/750)</f>
        <v>0.862666666666667</v>
      </c>
      <c r="BF60" s="19" t="n">
        <f aca="false">((MAX($M60,1)*MIN($AJ60/300,1)))*IF(G60="Wagon",50,10)</f>
        <v>15.3</v>
      </c>
      <c r="BG60" s="1" t="n">
        <f aca="false">VLOOKUP($H60,Constants!$I:$K, 2, FALSE())</f>
        <v>1</v>
      </c>
      <c r="BH60" s="1" t="n">
        <f aca="false">VLOOKUP($H60,Constants!$I:$K, 3, FALSE())*IF(AND(G60="multiple_unit",AB60&lt;110),0.75,1)</f>
        <v>2</v>
      </c>
      <c r="BI60" s="1" t="n">
        <f aca="false">INT(POWER(((Constants!$G$2+$BB60+$BC60+$BD60+$BF60)*$BE60)*$BH60, 1.05))+$BA60</f>
        <v>153</v>
      </c>
      <c r="BJ60" s="1" t="n">
        <f aca="false">INT(POWER((((Constants!$G$1+$BB60+$BC60+$BD60+$BF60)*($BE60))*$BG60),IF($G60="wagon",1,1.2)))+$AZ60</f>
        <v>183</v>
      </c>
      <c r="BK60" s="33" t="n">
        <f aca="false">BI60*IF($G60="wagon",62.5,781.25)</f>
        <v>119531.25</v>
      </c>
      <c r="BL60" s="33" t="n">
        <f aca="false">BJ60*IF($G60="wagon",2.73,81.25)</f>
        <v>14868.75</v>
      </c>
      <c r="BQ60" s="19" t="s">
        <v>407</v>
      </c>
      <c r="BS60" s="1" t="s">
        <v>403</v>
      </c>
      <c r="BT60" s="19" t="n">
        <v>10</v>
      </c>
      <c r="BU60" s="19" t="n">
        <v>205</v>
      </c>
      <c r="BX60" s="19" t="s">
        <v>95</v>
      </c>
      <c r="BY60" s="1" t="s">
        <v>373</v>
      </c>
      <c r="BZ60" s="34" t="s">
        <v>211</v>
      </c>
      <c r="CA60" s="19" t="str">
        <f aca="false">CONCATENATE(BY60,"_",BZ60)</f>
        <v>prv_DMU (Express)</v>
      </c>
      <c r="CB60" s="19" t="str">
        <f aca="false">_xlfn.CONCAT(H60, "_",I60)</f>
        <v>diesel_RAIL</v>
      </c>
      <c r="CC60" s="21" t="str">
        <f aca="false">_xlfn.CONCAT("{BLACK}Length: {GOLD}", TEXT(ROUNDUP(IF(AQ60&lt;&gt;"",SUM(VALUE(_xlfn.TEXTSPLIT(AQ60, ","))), SUM(VALUE(_xlfn.TEXTSPLIT(AN60, ",")))*IF(M60, M60, 1))/16, 1), "#,##0.0"), " tiles{}")</f>
        <v>{BLACK}Length: {GOLD}7.9 tiles{}</v>
      </c>
      <c r="CD60" s="1" t="str">
        <f aca="false">VLOOKUP($CB60, Constants!$M:$N, 2, FALSE())</f>
        <v>{BLACK}Powered by: {GOLD}Diesel</v>
      </c>
      <c r="CE60" s="1" t="str">
        <f aca="false">IF(M60&gt;1,_xlfn.CONCAT("{BLACK}Cars: {GOLD}", M60),"")</f>
        <v>{BLACK}Cars: {GOLD}9</v>
      </c>
      <c r="CF60" s="19" t="s">
        <v>394</v>
      </c>
      <c r="CG60" s="1" t="str">
        <f aca="false">IF(BW60="buffet","{YELLOW}25% long distance bonus for consist{}",IF(BY60="BRAKE","{YELLOW}Speed bonus for slow wagons{}",IF(BU60&gt;190,CONCATENATE("{YELLOW}",INT((BU60-185)/1.85),"% bonus for long distance travel{}"),IF(AND(BU60&lt;180,BU60&lt;&gt;0),CONCATENATE("{YELLOW}",INT((185-BU60)/1.85),"% penalty for long distance travel{}"),""))))</f>
        <v>{YELLOW}10% bonus for long distance travel{}</v>
      </c>
      <c r="CH60" s="1" t="str">
        <f aca="false">_xlfn.CONCAT(CD60,IF(CD60 &lt;&gt; "", " ", ""),CE60,IF(OR(CE60&lt;&gt;"", CD60&lt;&gt;""), "{}",""), CC60, CG60,"{SILVER}", CF60)</f>
        <v>{BLACK}Powered by: {GOLD}Diesel {BLACK}Cars: {GOLD}9{}{BLACK}Length: {GOLD}7.9 tiles{}{YELLOW}10% bonus for long distance travel{}{SILVER}The Class 222 is the final development of the Bombardier DEMU series, built first for the Midland Main Line and later seeing service in Scotland and with Open-Access operators.</v>
      </c>
    </row>
    <row r="61" customFormat="false" ht="13.8" hidden="false" customHeight="false" outlineLevel="0" collapsed="false">
      <c r="A61" s="1" t="s">
        <v>408</v>
      </c>
      <c r="B61" s="1" t="s">
        <v>409</v>
      </c>
      <c r="C61" s="1" t="n">
        <v>473</v>
      </c>
      <c r="E61" s="1" t="n">
        <v>490</v>
      </c>
      <c r="F61" s="1" t="s">
        <v>89</v>
      </c>
      <c r="G61" s="1" t="s">
        <v>147</v>
      </c>
      <c r="H61" s="1" t="s">
        <v>256</v>
      </c>
      <c r="I61" s="1" t="s">
        <v>153</v>
      </c>
      <c r="J61" s="1" t="n">
        <v>2014</v>
      </c>
      <c r="N61" s="1" t="n">
        <v>1600</v>
      </c>
      <c r="W61" s="1" t="n">
        <v>78</v>
      </c>
      <c r="Z61" s="1" t="n">
        <v>186</v>
      </c>
      <c r="AA61" s="4" t="n">
        <f aca="false">IF(AND(W61&gt;0,Z61&gt;0),(Z61/((W61+X61)*10)),"")</f>
        <v>0.238461538461538</v>
      </c>
      <c r="AB61" s="1" t="n">
        <v>90</v>
      </c>
      <c r="AC61" s="1" t="n">
        <f aca="false">ROUND(AB61*1.6, 0)</f>
        <v>144</v>
      </c>
      <c r="AF61" s="1" t="n">
        <v>16.36</v>
      </c>
      <c r="AG61" s="1" t="n">
        <v>16.36</v>
      </c>
      <c r="AJ61" s="5" t="n">
        <v>0</v>
      </c>
      <c r="AK61" s="19" t="str">
        <f aca="false">CONCATENATE(VLOOKUP(AL61, 'Voxel Sizes'!$A$2:$B$18,2,FALSE()),"x",INT(AH61*15), "x", INT(AI61*15))</f>
        <v>164x0x0</v>
      </c>
      <c r="AL61" s="1" t="n">
        <f aca="false">ROUND(15*((AG61*10)/256),0)</f>
        <v>10</v>
      </c>
      <c r="AN61" s="1" t="str">
        <f aca="false">CONCATENATE(VLOOKUP(AL61,Constants!$A$2:$C$16,IF(AM61&lt;&gt;"", 3, 2), FALSE()),IF(AM61&lt;&gt;"",CONCATENATE(",",VLOOKUP(AM61,$B:$AN,38,FALSE())),""))</f>
        <v>4,2,4</v>
      </c>
      <c r="AX61" s="1" t="n">
        <v>33</v>
      </c>
      <c r="AY61" s="6" t="str">
        <f aca="false">IF(L61&lt;&gt;"",MAX(16,(L61-J61)+8),"")</f>
        <v/>
      </c>
      <c r="BA61" s="1" t="n">
        <v>-30</v>
      </c>
      <c r="BB61" s="1" t="n">
        <f aca="false">MIN(AB61/150, 1)*30</f>
        <v>18</v>
      </c>
      <c r="BC61" s="1" t="n">
        <f aca="false">MIN(N61/4000, 1)*20</f>
        <v>8</v>
      </c>
      <c r="BD61" s="1" t="n">
        <f aca="false">MIN(Z61/400,1)*20</f>
        <v>9.3</v>
      </c>
      <c r="BE61" s="4" t="n">
        <f aca="false">1-(MAX(J61-1900, 0)/750)</f>
        <v>0.848</v>
      </c>
      <c r="BF61" s="1" t="n">
        <f aca="false">((MAX($M61,1)*MIN($AJ61/300,1)))*IF(G61="Wagon",50,10)</f>
        <v>0</v>
      </c>
      <c r="BG61" s="1" t="n">
        <f aca="false">VLOOKUP($H61,Constants!$I:$K, 2, FALSE())</f>
        <v>0.9</v>
      </c>
      <c r="BH61" s="1" t="n">
        <f aca="false">VLOOKUP($H61,Constants!$I:$K, 3, FALSE())*IF(AND(G61="multiple_unit",AB61&lt;110),0.75,1)</f>
        <v>2.5</v>
      </c>
      <c r="BI61" s="1" t="n">
        <f aca="false">INT(POWER(((Constants!$G$2+$BB61+$BC61+$BD61+$BF61)*$BE61)*$BH61, 1.05))+$BA61</f>
        <v>76</v>
      </c>
      <c r="BJ61" s="1" t="n">
        <f aca="false">INT(POWER((((Constants!$G$1+$BB61+$BC61+$BD61+$BF61)*($BE61))*$BG61),IF($G61="wagon",1,1.2)))+$AZ61</f>
        <v>79</v>
      </c>
      <c r="BK61" s="20" t="n">
        <f aca="false">BI61*IF($G61="wagon",62.5,781.25)</f>
        <v>59375</v>
      </c>
      <c r="BL61" s="20" t="n">
        <f aca="false">BJ61*IF($G61="wagon",2.73,81.25)</f>
        <v>6418.75</v>
      </c>
      <c r="BT61" s="1" t="n">
        <v>10</v>
      </c>
      <c r="BY61" s="1" t="str">
        <f aca="false">VLOOKUP(J61,Eras!$A$2:$C$10, 2, TRUE())</f>
        <v>mod</v>
      </c>
      <c r="BZ61" s="18" t="s">
        <v>410</v>
      </c>
      <c r="CA61" s="1" t="str">
        <f aca="false">CONCATENATE(BY61,"_",BZ61)</f>
        <v>mod_MT (Electric)</v>
      </c>
      <c r="CB61" s="1" t="str">
        <f aca="false">_xlfn.CONCAT(H61, "_",I61)</f>
        <v>dual_power_RAIL</v>
      </c>
      <c r="CC61" s="21" t="str">
        <f aca="false">_xlfn.CONCAT("{BLACK}Length: {GOLD}", TEXT(ROUNDUP(IF(AQ61&lt;&gt;"",SUM(VALUE(_xlfn.TEXTSPLIT(AQ61, ","))), SUM(VALUE(_xlfn.TEXTSPLIT(AN61, ",")))*IF(M61, M61, 1))/16, 1), "#,##0.0"), " tiles{}")</f>
        <v>{BLACK}Length: {GOLD}0.7 tiles{}</v>
      </c>
      <c r="CD61" s="1" t="str">
        <f aca="false">VLOOKUP($CB61, Constants!$M:$N, 2, FALSE())</f>
        <v>{BLACK}Powered by: {GOLD}750V DC / Diesel</v>
      </c>
      <c r="CE61" s="1" t="str">
        <f aca="false">IF(M61&gt;1,_xlfn.CONCAT("{BLACK}Cars: {GOLD}", M61),"")</f>
        <v/>
      </c>
      <c r="CF61" s="1" t="s">
        <v>411</v>
      </c>
      <c r="CG61" s="1" t="str">
        <f aca="false">IF(BW61="buffet","{YELLOW}25% long distance bonus for consist{}",IF(BY61="BRAKE","{YELLOW}Speed bonus for slow wagons{}",IF(BU61&gt;190,CONCATENATE("{YELLOW}",INT((BU61-185)/1.85),"% bonus for long distance travel{}"),IF(AND(BU61&lt;180,BU61&lt;&gt;0),CONCATENATE("{YELLOW}",INT((185-BU61)/1.85),"% penalty for long distance travel{}"),""))))</f>
        <v/>
      </c>
      <c r="CH61" s="1" t="str">
        <f aca="false">_xlfn.CONCAT(CD61,IF(CD61 &lt;&gt; "", " ", ""),CE61,IF(OR(CE61&lt;&gt;"", CD61&lt;&gt;""), "{}",""), CC61, CG61,"{SILVER}", CF61)</f>
        <v>{BLACK}Powered by: {GOLD}750V DC / Diesel {}{BLACK}Length: {GOLD}0.7 tiles{}{SILVER}These re-engined and modernized Class 73s retained their ability to run from the third rail but received diesel engines capable of operating at an equivalent power level.</v>
      </c>
      <c r="CI61" s="1"/>
      <c r="CJ61" s="1"/>
    </row>
    <row r="62" customFormat="false" ht="13.8" hidden="false" customHeight="false" outlineLevel="0" collapsed="false">
      <c r="A62" s="1" t="s">
        <v>412</v>
      </c>
      <c r="B62" s="1" t="s">
        <v>413</v>
      </c>
      <c r="C62" s="1" t="n">
        <v>484</v>
      </c>
      <c r="E62" s="1" t="n">
        <v>500</v>
      </c>
      <c r="F62" s="1" t="s">
        <v>89</v>
      </c>
      <c r="G62" s="1" t="s">
        <v>90</v>
      </c>
      <c r="H62" s="1" t="s">
        <v>91</v>
      </c>
      <c r="I62" s="1" t="s">
        <v>249</v>
      </c>
      <c r="J62" s="1" t="n">
        <v>2012</v>
      </c>
      <c r="M62" s="1" t="n">
        <v>5</v>
      </c>
      <c r="N62" s="1" t="n">
        <v>3620</v>
      </c>
      <c r="W62" s="1" t="n">
        <v>200</v>
      </c>
      <c r="Y62" s="1" t="n">
        <v>5</v>
      </c>
      <c r="Z62" s="1" t="n">
        <v>240</v>
      </c>
      <c r="AA62" s="4" t="n">
        <f aca="false">IF(AND(W62&gt;0,Z62&gt;0),(Z62/((W62+X62)*10)),"")</f>
        <v>0.12</v>
      </c>
      <c r="AB62" s="1" t="n">
        <v>100</v>
      </c>
      <c r="AC62" s="1" t="n">
        <f aca="false">ROUND(AB62*1.6, 0)</f>
        <v>160</v>
      </c>
      <c r="AG62" s="1" t="n">
        <v>21</v>
      </c>
      <c r="AJ62" s="5" t="n">
        <v>54</v>
      </c>
      <c r="AK62" s="19" t="str">
        <f aca="false">CONCATENATE(VLOOKUP(AL62, 'Voxel Sizes'!$A$2:$B$18,2,FALSE()),"x",INT(AH62*15), "x", INT(AI62*15))</f>
        <v>198x0x0</v>
      </c>
      <c r="AL62" s="1" t="n">
        <f aca="false">ROUND(15*((AG62*10)/256),0)</f>
        <v>12</v>
      </c>
      <c r="AN62" s="1" t="str">
        <f aca="false">CONCATENATE(VLOOKUP(AL62,Constants!$A$2:$C$16,IF(AM62&lt;&gt;"", 3, 2), FALSE()),IF(AM62&lt;&gt;"",CONCATENATE(",",VLOOKUP(AM62,$B:$AN,38,FALSE())),""))</f>
        <v>4,4,4</v>
      </c>
      <c r="AR62" s="1" t="s">
        <v>414</v>
      </c>
      <c r="AT62" s="1" t="s">
        <v>415</v>
      </c>
      <c r="AU62" s="1" t="s">
        <v>416</v>
      </c>
      <c r="AX62" s="1" t="n">
        <v>27</v>
      </c>
      <c r="AY62" s="6" t="str">
        <f aca="false">IF(L62&lt;&gt;"",MAX(16,(L62-J62)+8),"")</f>
        <v/>
      </c>
      <c r="AZ62" s="1" t="n">
        <v>-15</v>
      </c>
      <c r="BA62" s="1" t="n">
        <v>-30</v>
      </c>
      <c r="BB62" s="1" t="n">
        <f aca="false">MIN(AB62/150, 1)*30</f>
        <v>20</v>
      </c>
      <c r="BC62" s="1" t="n">
        <f aca="false">MIN(N62/4000, 1)*20</f>
        <v>18.1</v>
      </c>
      <c r="BD62" s="1" t="n">
        <f aca="false">MIN(Z62/400,1)*20</f>
        <v>12</v>
      </c>
      <c r="BE62" s="4" t="n">
        <f aca="false">1-(MAX(J62-1900, 0)/750)</f>
        <v>0.850666666666667</v>
      </c>
      <c r="BF62" s="1" t="n">
        <f aca="false">((MAX($M62,1)*MIN($AJ62/300,1)))*IF(G62="Wagon",50,10)</f>
        <v>9</v>
      </c>
      <c r="BG62" s="1" t="n">
        <f aca="false">VLOOKUP($H62,Constants!$I:$K, 2, FALSE())</f>
        <v>0.85</v>
      </c>
      <c r="BH62" s="1" t="n">
        <f aca="false">VLOOKUP($H62,Constants!$I:$K, 3, FALSE())*IF(AND(G62="multiple_unit",AB62&lt;110),0.75,1)</f>
        <v>1.725</v>
      </c>
      <c r="BI62" s="1" t="n">
        <f aca="false">INT(POWER(((Constants!$G$2+$BB62+$BC62+$BD62+$BF62)*$BE62)*$BH62, 1.05))+$BA62</f>
        <v>88</v>
      </c>
      <c r="BJ62" s="1" t="n">
        <f aca="false">INT(POWER((((Constants!$G$1+$BB62+$BC62+$BD62+$BF62)*($BE62))*$BG62),IF($G62="wagon",1,1.2)))+$AZ62</f>
        <v>103</v>
      </c>
      <c r="BK62" s="20" t="n">
        <f aca="false">BI62*IF($G62="wagon",62.5,781.25)</f>
        <v>68750</v>
      </c>
      <c r="BL62" s="20" t="n">
        <f aca="false">BJ62*IF($G62="wagon",2.73,81.25)</f>
        <v>8368.75</v>
      </c>
      <c r="BT62" s="1" t="n">
        <v>4</v>
      </c>
      <c r="BU62" s="1" t="n">
        <v>205</v>
      </c>
      <c r="BX62" s="1" t="s">
        <v>95</v>
      </c>
      <c r="BY62" s="1" t="s">
        <v>417</v>
      </c>
      <c r="BZ62" s="18" t="s">
        <v>228</v>
      </c>
      <c r="CA62" s="1" t="str">
        <f aca="false">CONCATENATE(BY62,"_",BZ62)</f>
        <v>mod_EMU (Express)</v>
      </c>
      <c r="CB62" s="1" t="str">
        <f aca="false">_xlfn.CONCAT(H62, "_",I62)</f>
        <v>electric_THIRD_RAIL</v>
      </c>
      <c r="CC62" s="21" t="str">
        <f aca="false">_xlfn.CONCAT("{BLACK}Length: {GOLD}", TEXT(ROUNDUP(IF(AQ62&lt;&gt;"",SUM(VALUE(_xlfn.TEXTSPLIT(AQ62, ","))), SUM(VALUE(_xlfn.TEXTSPLIT(AN62, ",")))*IF(M62, M62, 1))/16, 1), "#,##0.0"), " tiles{}")</f>
        <v>{BLACK}Length: {GOLD}3.8 tiles{}</v>
      </c>
      <c r="CD62" s="1" t="str">
        <f aca="false">VLOOKUP($CB62, Constants!$M:$N, 2, FALSE())</f>
        <v>{BLACK}Powered by: {GOLD}750V DC</v>
      </c>
      <c r="CE62" s="1" t="str">
        <f aca="false">IF(M62&gt;1,_xlfn.CONCAT("{BLACK}Cars: {GOLD}", M62),"")</f>
        <v>{BLACK}Cars: {GOLD}5</v>
      </c>
      <c r="CF62" s="1" t="s">
        <v>418</v>
      </c>
      <c r="CG62" s="1" t="str">
        <f aca="false">IF(BW62="buffet","{YELLOW}25% long distance bonus for consist{}",IF(BY62="BRAKE","{YELLOW}Speed bonus for slow wagons{}",IF(BU62&gt;190,CONCATENATE("{YELLOW}",INT((BU62-185)/1.85),"% bonus for long distance travel{}"),IF(AND(BU62&lt;180,BU62&lt;&gt;0),CONCATENATE("{YELLOW}",INT((185-BU62)/1.85),"% penalty for long distance travel{}"),""))))</f>
        <v>{YELLOW}10% bonus for long distance travel{}</v>
      </c>
      <c r="CH62" s="1" t="str">
        <f aca="false">_xlfn.CONCAT(CD62,IF(CD62 &lt;&gt; "", " ", ""),CE62,IF(OR(CE62&lt;&gt;"", CD62&lt;&gt;""), "{}",""), CC62, CG62,"{SILVER}", CF62)</f>
        <v>{BLACK}Powered by: {GOLD}750V DC {BLACK}Cars: {GOLD}5{}{BLACK}Length: {GOLD}3.8 tiles{}{YELLOW}10% bonus for long distance travel{}{SILVER}The suburban conversion of ex-class 460 trains, now through-gangwayed and in 5 car formations. 4 of the former Class 460 baggage vehicles were scrapped as part of the conversion program.</v>
      </c>
      <c r="CI62" s="1"/>
      <c r="CJ62" s="1"/>
    </row>
    <row r="63" customFormat="false" ht="13.8" hidden="false" customHeight="false" outlineLevel="0" collapsed="false">
      <c r="A63" s="18" t="s">
        <v>419</v>
      </c>
      <c r="B63" s="18" t="s">
        <v>420</v>
      </c>
      <c r="C63" s="1" t="n">
        <v>11374</v>
      </c>
      <c r="E63" s="1" t="n">
        <v>510</v>
      </c>
      <c r="F63" s="1" t="s">
        <v>89</v>
      </c>
      <c r="G63" s="1" t="s">
        <v>90</v>
      </c>
      <c r="H63" s="1" t="s">
        <v>91</v>
      </c>
      <c r="I63" s="1" t="s">
        <v>92</v>
      </c>
      <c r="J63" s="1" t="n">
        <v>2014</v>
      </c>
      <c r="M63" s="1" t="n">
        <v>16</v>
      </c>
      <c r="N63" s="1" t="n">
        <v>21000</v>
      </c>
      <c r="W63" s="1" t="n">
        <v>171</v>
      </c>
      <c r="Y63" s="1" t="n">
        <v>5</v>
      </c>
      <c r="Z63" s="1" t="n">
        <v>480</v>
      </c>
      <c r="AA63" s="4" t="n">
        <f aca="false">IF(AND(W63&gt;0,Z63&gt;0),(Z63/((W63+X63)*10)),"")</f>
        <v>0.280701754385965</v>
      </c>
      <c r="AB63" s="1" t="n">
        <v>200</v>
      </c>
      <c r="AC63" s="1" t="n">
        <f aca="false">ROUND(AB63*1.6, 0)</f>
        <v>320</v>
      </c>
      <c r="AF63" s="1" t="n">
        <v>25.7</v>
      </c>
      <c r="AG63" s="1" t="n">
        <v>25.7</v>
      </c>
      <c r="AH63" s="1" t="n">
        <v>2.92</v>
      </c>
      <c r="AI63" s="1" t="n">
        <v>4.3</v>
      </c>
      <c r="AJ63" s="5" t="n">
        <v>56</v>
      </c>
      <c r="AK63" s="19" t="str">
        <f aca="false">CONCATENATE(VLOOKUP(AL63, 'Voxel Sizes'!$A$2:$B$18,2,FALSE()),"x",INT(AH63*15), "x", INT(AI63*15))</f>
        <v>256x43x64</v>
      </c>
      <c r="AL63" s="1" t="n">
        <f aca="false">ROUND(15*((AG63*10)/256),0)</f>
        <v>15</v>
      </c>
      <c r="AN63" s="1" t="str">
        <f aca="false">CONCATENATE(VLOOKUP(AL63,Constants!$A$2:$C$16,IF(AM63&lt;&gt;"", 3, 2), FALSE()),IF(AM63&lt;&gt;"",CONCATENATE(",",VLOOKUP(AM63,$B:$AN,38,FALSE())),""))</f>
        <v>4,7,4</v>
      </c>
      <c r="AO63" s="1" t="s">
        <v>421</v>
      </c>
      <c r="AP63" s="7" t="str">
        <f aca="false">E320_16_ULEN</f>
        <v>4,7,4,4,6,4,4,6,4,4,6,4,4,6,4,4,6,4,4,6,4,4,6,4,4,6,4,4,6,4,4,6,4,4,6,4,4,6,4,4,6,4,4,6,4,4,7,4</v>
      </c>
      <c r="AQ63" s="7" t="str">
        <f aca="false">E320_16_VLEN</f>
        <v>15,14,14,14,14,14,14,14,14,14,14,14,14,14,14,15</v>
      </c>
      <c r="AR63" s="1" t="str">
        <f aca="false">E320_16_VEH</f>
        <v>eurostar_e320_front,eurostar_e320_p,eurostar_e320_m,eurostar_e320_pd,eurostar_e320_pd,eurostar_e320_m,eurostar_e320_pd,eurostar_e320_mc,eurostar_e320_mc,eurostar_e320_pdr,eurostar_e320_mr,eurostar_e320_pdr,eurostar_e320_pdr,eurostar_e320_mr,eurostar_e320_pr,eurostar_e320_rear</v>
      </c>
      <c r="AT63" s="1" t="str">
        <f aca="false">E320_16_NV</f>
        <v>1,1,1,1,0,0,0,1,0,1,1,0,0,0,1,1</v>
      </c>
      <c r="AU63" s="1" t="s">
        <v>422</v>
      </c>
      <c r="AX63" s="1" t="n">
        <v>35</v>
      </c>
      <c r="AY63" s="6" t="str">
        <f aca="false">IF(L63&lt;&gt;"",MAX(16,(L63-J63)+8),"")</f>
        <v/>
      </c>
      <c r="AZ63" s="1" t="n">
        <v>25</v>
      </c>
      <c r="BA63" s="1" t="n">
        <v>-15</v>
      </c>
      <c r="BB63" s="1" t="n">
        <f aca="false">MIN(AB63/150, 1)*30</f>
        <v>30</v>
      </c>
      <c r="BC63" s="1" t="n">
        <f aca="false">MIN(N63/4000, 1)*20</f>
        <v>20</v>
      </c>
      <c r="BD63" s="1" t="n">
        <f aca="false">MIN(Z63/400,1)*20</f>
        <v>20</v>
      </c>
      <c r="BE63" s="4" t="n">
        <f aca="false">1-(MAX(J63-1900, 0)/750)</f>
        <v>0.848</v>
      </c>
      <c r="BF63" s="1" t="n">
        <f aca="false">((MAX($M63,1)*MIN($AJ63/300,1)))*IF(G63="Wagon",50,10)</f>
        <v>29.8666666666667</v>
      </c>
      <c r="BG63" s="1" t="n">
        <f aca="false">VLOOKUP($H63,Constants!$I:$K, 2, FALSE())</f>
        <v>0.85</v>
      </c>
      <c r="BH63" s="1" t="n">
        <f aca="false">VLOOKUP($H63,Constants!$I:$K, 3, FALSE())*IF(AND(G63="multiple_unit",AB63&lt;110),0.75,1)</f>
        <v>2.3</v>
      </c>
      <c r="BI63" s="1" t="n">
        <f aca="false">INT(POWER(((Constants!$G$2+$BB63+$BC63+$BD63+$BF63)*$BE63)*$BH63, 1.05))+$BA63</f>
        <v>251</v>
      </c>
      <c r="BJ63" s="1" t="n">
        <f aca="false">INT(POWER((((Constants!$G$1+$BB63+$BC63+$BD63+$BF63)*($BE63))*$BG63),IF($G63="wagon",1,1.2)))+$AZ63</f>
        <v>225</v>
      </c>
      <c r="BK63" s="20" t="n">
        <f aca="false">BI63*IF($G63="wagon",62.5,781.25)</f>
        <v>196093.75</v>
      </c>
      <c r="BL63" s="20" t="n">
        <f aca="false">BJ63*IF($G63="wagon",2.73,81.25)</f>
        <v>18281.25</v>
      </c>
      <c r="BT63" s="1" t="n">
        <v>6</v>
      </c>
      <c r="BU63" s="1" t="n">
        <v>185</v>
      </c>
      <c r="BV63" s="1" t="s">
        <v>227</v>
      </c>
      <c r="BW63" s="18" t="s">
        <v>235</v>
      </c>
      <c r="BX63" s="1" t="s">
        <v>95</v>
      </c>
      <c r="BY63" s="1" t="s">
        <v>417</v>
      </c>
      <c r="BZ63" s="18" t="s">
        <v>228</v>
      </c>
      <c r="CA63" s="1" t="str">
        <f aca="false">CONCATENATE(BY63,"_",BZ63)</f>
        <v>mod_EMU (Express)</v>
      </c>
      <c r="CB63" s="1" t="str">
        <f aca="false">_xlfn.CONCAT(H63, "_",I63)</f>
        <v>electric_ELRL</v>
      </c>
      <c r="CC63" s="21" t="str">
        <f aca="false">_xlfn.CONCAT("{BLACK}Length: {GOLD}", TEXT(ROUNDUP(IF(AQ63&lt;&gt;"",SUM(VALUE(_xlfn.TEXTSPLIT(AQ63, ","))), SUM(VALUE(_xlfn.TEXTSPLIT(AN63, ",")))*IF(M63, M63, 1))/16, 1), "#,##0.0"), " tiles{}")</f>
        <v>{BLACK}Length: {GOLD}14.2 tiles{}</v>
      </c>
      <c r="CD63" s="1" t="str">
        <f aca="false">VLOOKUP($CB63, Constants!$M:$N, 2, FALSE())</f>
        <v>{BLACK}Powered by: {GOLD}25kV AC</v>
      </c>
      <c r="CE63" s="1" t="str">
        <f aca="false">IF(M63&gt;1,_xlfn.CONCAT("{BLACK}Cars: {GOLD}", M63),"")</f>
        <v>{BLACK}Cars: {GOLD}16</v>
      </c>
      <c r="CF63" s="1" t="s">
        <v>423</v>
      </c>
      <c r="CG63" s="1" t="str">
        <f aca="false">IF(BW63="buffet","{YELLOW}25% long distance bonus for consist{}",IF(BY63="BRAKE","{YELLOW}Speed bonus for slow wagons{}",IF(BU63&gt;190,CONCATENATE("{YELLOW}",INT((BU63-185)/1.85),"% bonus for long distance travel{}"),IF(AND(BU63&lt;180,BU63&lt;&gt;0),CONCATENATE("{YELLOW}",INT((185-BU63)/1.85),"% penalty for long distance travel{}"),""))))</f>
        <v>{YELLOW}25% long distance bonus for consist{}</v>
      </c>
      <c r="CH63" s="1" t="str">
        <f aca="false">_xlfn.CONCAT(CD63,IF(CD63 &lt;&gt; "", " ", ""),CE63,IF(OR(CE63&lt;&gt;"", CD63&lt;&gt;""), "{}",""), CC63, CG63,"{SILVER}", CF63)</f>
        <v>{BLACK}Powered by: {GOLD}25kV AC {BLACK}Cars: {GOLD}16{}{BLACK}Length: {GOLD}14.2 tiles{}{YELLOW}25% long distance bonus for consist{}{SILVER}Eurostar’s 2010s replacement for the Class 373 units, which were by this point corroding and becoming rather unreliable took a number of years to enter service but allowed Eurostar to begin service to new destinations in Europe.</v>
      </c>
      <c r="CI63" s="1"/>
      <c r="CJ63" s="1"/>
    </row>
    <row r="64" customFormat="false" ht="13.8" hidden="false" customHeight="false" outlineLevel="0" collapsed="false">
      <c r="A64" s="18" t="s">
        <v>419</v>
      </c>
      <c r="B64" s="18" t="s">
        <v>424</v>
      </c>
      <c r="C64" s="1" t="n">
        <v>11375</v>
      </c>
      <c r="D64" s="1" t="n">
        <v>11374</v>
      </c>
      <c r="E64" s="1" t="n">
        <v>510</v>
      </c>
      <c r="F64" s="1" t="s">
        <v>89</v>
      </c>
      <c r="G64" s="1" t="s">
        <v>90</v>
      </c>
      <c r="H64" s="1" t="s">
        <v>91</v>
      </c>
      <c r="I64" s="1" t="s">
        <v>92</v>
      </c>
      <c r="J64" s="1" t="n">
        <v>2014</v>
      </c>
      <c r="M64" s="1" t="n">
        <v>12</v>
      </c>
      <c r="N64" s="1" t="n">
        <v>15750</v>
      </c>
      <c r="W64" s="1" t="n">
        <v>170</v>
      </c>
      <c r="Y64" s="1" t="n">
        <v>5</v>
      </c>
      <c r="Z64" s="1" t="n">
        <v>360</v>
      </c>
      <c r="AA64" s="4" t="n">
        <f aca="false">IF(AND(W64&gt;0,Z64&gt;0),(Z64/((W64+X64)*10)),"")</f>
        <v>0.211764705882353</v>
      </c>
      <c r="AB64" s="1" t="n">
        <v>200</v>
      </c>
      <c r="AC64" s="1" t="n">
        <f aca="false">ROUND(AB64*1.6, 0)</f>
        <v>320</v>
      </c>
      <c r="AF64" s="1" t="n">
        <v>25.7</v>
      </c>
      <c r="AG64" s="1" t="n">
        <v>25.7</v>
      </c>
      <c r="AH64" s="1" t="n">
        <v>2.92</v>
      </c>
      <c r="AI64" s="1" t="n">
        <v>4.3</v>
      </c>
      <c r="AJ64" s="5" t="n">
        <v>53</v>
      </c>
      <c r="AK64" s="19" t="str">
        <f aca="false">CONCATENATE(VLOOKUP(AL64, 'Voxel Sizes'!$A$2:$B$18,2,FALSE()),"x",INT(AH64*15), "x", INT(AI64*15))</f>
        <v>256x43x64</v>
      </c>
      <c r="AL64" s="1" t="n">
        <f aca="false">ROUND(15*((AG64*10)/256),0)</f>
        <v>15</v>
      </c>
      <c r="AN64" s="1" t="str">
        <f aca="false">CONCATENATE(VLOOKUP(AL64,Constants!$A$2:$C$16,IF(AM64&lt;&gt;"", 3, 2), FALSE()),IF(AM64&lt;&gt;"",CONCATENATE(",",VLOOKUP(AM64,$B:$AN,38,FALSE())),""))</f>
        <v>4,7,4</v>
      </c>
      <c r="AO64" s="1" t="s">
        <v>425</v>
      </c>
      <c r="AP64" s="7" t="str">
        <f aca="false">E320_12_ULEN</f>
        <v>4,7,4,4,6,4,4,6,4,4,6,4,4,6,4,4,6,4,4,6,4,4,6,4,4,6,4,4,6,4,4,6,4,4,7,4</v>
      </c>
      <c r="AQ64" s="7" t="str">
        <f aca="false">E320_12_VLEN</f>
        <v>15,14,14,14,14,14,14,14,14,14,14,15</v>
      </c>
      <c r="AR64" s="1" t="str">
        <f aca="false">E320_12_VEH</f>
        <v>eurostar_e320_front,eurostar_e320_p,eurostar_e320_pd,eurostar_e320_m,eurostar_e320_pd,eurostar_e320_mc,eurostar_e320_mc,eurostar_e320_pdr,eurostar_e320_mr,eurostar_e320_pdr,eurostar_e320_pr,eurostar_e320_rear</v>
      </c>
      <c r="AT64" s="1" t="str">
        <f aca="false">E320_12_NV</f>
        <v>0,0,0,0,0,0,0,0,0,0,0,0</v>
      </c>
      <c r="AU64" s="1" t="s">
        <v>422</v>
      </c>
      <c r="AX64" s="1" t="n">
        <v>35</v>
      </c>
      <c r="AY64" s="6" t="str">
        <f aca="false">IF(L64&lt;&gt;"",MAX(16,(L64-J64)+8),"")</f>
        <v/>
      </c>
      <c r="AZ64" s="1" t="n">
        <v>-10</v>
      </c>
      <c r="BA64" s="1" t="n">
        <v>-30</v>
      </c>
      <c r="BB64" s="1" t="n">
        <f aca="false">MIN(AB64/150, 1)*30</f>
        <v>30</v>
      </c>
      <c r="BC64" s="1" t="n">
        <f aca="false">MIN(N64/4000, 1)*20</f>
        <v>20</v>
      </c>
      <c r="BD64" s="1" t="n">
        <f aca="false">MIN(Z64/400,1)*20</f>
        <v>18</v>
      </c>
      <c r="BE64" s="4" t="n">
        <f aca="false">1-(MAX(J64-1900, 0)/750)</f>
        <v>0.848</v>
      </c>
      <c r="BF64" s="1" t="n">
        <f aca="false">((MAX($M64,1)*MIN($AJ64/300,1)))*IF(G64="Wagon",50,10)</f>
        <v>21.2</v>
      </c>
      <c r="BG64" s="1" t="n">
        <f aca="false">VLOOKUP($H64,Constants!$I:$K, 2, FALSE())</f>
        <v>0.85</v>
      </c>
      <c r="BH64" s="1" t="n">
        <f aca="false">VLOOKUP($H64,Constants!$I:$K, 3, FALSE())*IF(AND(G64="multiple_unit",AB64&lt;110),0.75,1)</f>
        <v>2.3</v>
      </c>
      <c r="BI64" s="1" t="n">
        <f aca="false">INT(POWER(((Constants!$G$2+$BB64+$BC64+$BD64+$BF64)*$BE64)*$BH64, 1.05))+$BA64</f>
        <v>208</v>
      </c>
      <c r="BJ64" s="1" t="n">
        <f aca="false">INT(POWER((((Constants!$G$1+$BB64+$BC64+$BD64+$BF64)*($BE64))*$BG64),IF($G64="wagon",1,1.2)))+$AZ64</f>
        <v>168</v>
      </c>
      <c r="BK64" s="20" t="n">
        <f aca="false">BI64*IF($G64="wagon",62.5,781.25)</f>
        <v>162500</v>
      </c>
      <c r="BL64" s="20" t="n">
        <f aca="false">BJ64*IF($G64="wagon",2.73,81.25)</f>
        <v>13650</v>
      </c>
      <c r="BT64" s="1" t="n">
        <v>6</v>
      </c>
      <c r="BU64" s="1" t="n">
        <v>185</v>
      </c>
      <c r="BV64" s="1" t="s">
        <v>227</v>
      </c>
      <c r="BW64" s="18"/>
      <c r="BX64" s="1" t="s">
        <v>95</v>
      </c>
      <c r="BY64" s="1" t="s">
        <v>417</v>
      </c>
      <c r="BZ64" s="18" t="s">
        <v>228</v>
      </c>
      <c r="CA64" s="1" t="str">
        <f aca="false">CONCATENATE(BY64,"_",BZ64)</f>
        <v>mod_EMU (Express)</v>
      </c>
      <c r="CB64" s="1" t="str">
        <f aca="false">_xlfn.CONCAT(H64, "_",I64)</f>
        <v>electric_ELRL</v>
      </c>
      <c r="CC64" s="21" t="str">
        <f aca="false">_xlfn.CONCAT("{BLACK}Length: {GOLD}", TEXT(ROUNDUP(IF(AQ64&lt;&gt;"",SUM(VALUE(_xlfn.TEXTSPLIT(AQ64, ","))), SUM(VALUE(_xlfn.TEXTSPLIT(AN64, ",")))*IF(M64, M64, 1))/16, 1), "#,##0.0"), " tiles{}")</f>
        <v>{BLACK}Length: {GOLD}10.7 tiles{}</v>
      </c>
      <c r="CD64" s="1" t="str">
        <f aca="false">VLOOKUP($CB64, Constants!$M:$N, 2, FALSE())</f>
        <v>{BLACK}Powered by: {GOLD}25kV AC</v>
      </c>
      <c r="CE64" s="1" t="str">
        <f aca="false">IF(M64&gt;1,_xlfn.CONCAT("{BLACK}Cars: {GOLD}", M64),"")</f>
        <v>{BLACK}Cars: {GOLD}12</v>
      </c>
      <c r="CF64" s="1" t="s">
        <v>426</v>
      </c>
      <c r="CG64" s="1" t="str">
        <f aca="false">IF(BW64="buffet","{YELLOW}25% long distance bonus for consist{}",IF(BY64="BRAKE","{YELLOW}Speed bonus for slow wagons{}",IF(BU64&gt;190,CONCATENATE("{YELLOW}",INT((BU64-185)/1.85),"% bonus for long distance travel{}"),IF(AND(BU64&lt;180,BU64&lt;&gt;0),CONCATENATE("{YELLOW}",INT((185-BU64)/1.85),"% penalty for long distance travel{}"),""))))</f>
        <v/>
      </c>
      <c r="CH64" s="1" t="str">
        <f aca="false">_xlfn.CONCAT(CD64,IF(CD64 &lt;&gt; "", " ", ""),CE64,IF(OR(CE64&lt;&gt;"", CD64&lt;&gt;""), "{}",""), CC64, CG64,"{SILVER}", CF64)</f>
        <v>{BLACK}Powered by: {GOLD}25kV AC {BLACK}Cars: {GOLD}12{}{BLACK}Length: {GOLD}10.7 tiles{}{SILVER}A fictional shorter Class 374 variant…</v>
      </c>
      <c r="CI64" s="1"/>
      <c r="CJ64" s="1"/>
    </row>
    <row r="65" s="19" customFormat="true" ht="13.8" hidden="false" customHeight="false" outlineLevel="0" collapsed="false">
      <c r="A65" s="19" t="s">
        <v>427</v>
      </c>
      <c r="B65" s="19" t="s">
        <v>428</v>
      </c>
      <c r="C65" s="19" t="n">
        <v>487</v>
      </c>
      <c r="E65" s="19" t="n">
        <v>515</v>
      </c>
      <c r="F65" s="19" t="s">
        <v>89</v>
      </c>
      <c r="G65" s="19" t="s">
        <v>90</v>
      </c>
      <c r="H65" s="19" t="s">
        <v>333</v>
      </c>
      <c r="I65" s="19" t="s">
        <v>345</v>
      </c>
      <c r="J65" s="19" t="n">
        <v>2018</v>
      </c>
      <c r="M65" s="19" t="n">
        <v>6</v>
      </c>
      <c r="N65" s="19" t="n">
        <v>4800</v>
      </c>
      <c r="O65" s="27" t="n">
        <v>2700</v>
      </c>
      <c r="P65" s="28"/>
      <c r="Q65" s="28"/>
      <c r="R65" s="28"/>
      <c r="S65" s="28"/>
      <c r="T65" s="28"/>
      <c r="U65" s="28"/>
      <c r="V65" s="28"/>
      <c r="W65" s="19" t="n">
        <v>204</v>
      </c>
      <c r="X65" s="27"/>
      <c r="Y65" s="19" t="n">
        <v>6</v>
      </c>
      <c r="Z65" s="19" t="n">
        <v>225</v>
      </c>
      <c r="AA65" s="29" t="n">
        <f aca="false">IF(AND(W65&gt;0,Z65&gt;0),(Z65/((W65+X65)*10)),"")</f>
        <v>0.110294117647059</v>
      </c>
      <c r="AB65" s="19" t="n">
        <v>85</v>
      </c>
      <c r="AC65" s="19" t="n">
        <f aca="false">ROUND(AB65*1.6, 0)</f>
        <v>136</v>
      </c>
      <c r="AF65" s="19" t="n">
        <v>20.2</v>
      </c>
      <c r="AG65" s="19" t="n">
        <v>20.2</v>
      </c>
      <c r="AJ65" s="30" t="n">
        <v>60</v>
      </c>
      <c r="AK65" s="19" t="str">
        <f aca="false">CONCATENATE(VLOOKUP(AL65, 'Voxel Sizes'!$A$2:$B$18,2,FALSE()),"x",INT(AH65*15), "x", INT(AI65*15))</f>
        <v>198x0x0</v>
      </c>
      <c r="AL65" s="19" t="n">
        <f aca="false">ROUND(15*((AG65*10)/256),0)</f>
        <v>12</v>
      </c>
      <c r="AN65" s="1" t="str">
        <f aca="false">CONCATENATE(VLOOKUP(AL65,Constants!$A$2:$C$16,IF(AM65&lt;&gt;"", 3, 2), FALSE()),IF(AM65&lt;&gt;"",CONCATENATE(",",VLOOKUP(AM65,$B:$AN,38,FALSE())),""))</f>
        <v>4,4,4</v>
      </c>
      <c r="AP65" s="31"/>
      <c r="AQ65" s="31"/>
      <c r="AR65" s="19" t="s">
        <v>429</v>
      </c>
      <c r="AS65" s="19" t="s">
        <v>430</v>
      </c>
      <c r="AT65" s="19" t="s">
        <v>431</v>
      </c>
      <c r="AX65" s="19" t="n">
        <v>30</v>
      </c>
      <c r="AY65" s="32" t="str">
        <f aca="false">IF(L65&lt;&gt;"",MAX(16,(L65-J65)+8),"")</f>
        <v/>
      </c>
      <c r="AZ65" s="19" t="n">
        <v>-15</v>
      </c>
      <c r="BA65" s="19" t="n">
        <v>-30</v>
      </c>
      <c r="BB65" s="19" t="n">
        <f aca="false">MIN(AB65/150, 1)*30</f>
        <v>17</v>
      </c>
      <c r="BC65" s="19" t="n">
        <f aca="false">MIN(N65/4000, 1)*20</f>
        <v>20</v>
      </c>
      <c r="BD65" s="19" t="n">
        <f aca="false">MIN(Z65/400,1)*20</f>
        <v>11.25</v>
      </c>
      <c r="BE65" s="29" t="n">
        <f aca="false">1-(MAX(J65-1900, 0)/750)</f>
        <v>0.842666666666667</v>
      </c>
      <c r="BF65" s="19" t="n">
        <f aca="false">((MAX($M65,1)*MIN($AJ65/300,1)))*IF(G65="Wagon",50,10)</f>
        <v>12</v>
      </c>
      <c r="BG65" s="1" t="n">
        <f aca="false">VLOOKUP($H65,Constants!$I:$K, 2, FALSE())</f>
        <v>0.85</v>
      </c>
      <c r="BH65" s="1" t="n">
        <f aca="false">VLOOKUP($H65,Constants!$I:$K, 3, FALSE())*IF(AND(G65="multiple_unit",AB65&lt;110),0.75,1)</f>
        <v>1.8</v>
      </c>
      <c r="BI65" s="1" t="n">
        <f aca="false">INT(POWER(((Constants!$G$2+$BB65+$BC65+$BD65+$BF65)*$BE65)*$BH65, 1.05))+$BA65</f>
        <v>94</v>
      </c>
      <c r="BJ65" s="1" t="n">
        <f aca="false">INT(POWER((((Constants!$G$1+$BB65+$BC65+$BD65+$BF65)*($BE65))*$BG65),IF($G65="wagon",1,1.2)))+$AZ65</f>
        <v>104</v>
      </c>
      <c r="BK65" s="33" t="n">
        <f aca="false">BI65*IF($G65="wagon",62.5,781.25)</f>
        <v>73437.5</v>
      </c>
      <c r="BL65" s="33" t="n">
        <f aca="false">BJ65*IF($G65="wagon",2.73,81.25)</f>
        <v>8450</v>
      </c>
      <c r="BS65" s="19" t="s">
        <v>398</v>
      </c>
      <c r="BT65" s="19" t="n">
        <v>3</v>
      </c>
      <c r="BX65" s="19" t="s">
        <v>95</v>
      </c>
      <c r="BY65" s="1" t="s">
        <v>417</v>
      </c>
      <c r="BZ65" s="34" t="s">
        <v>97</v>
      </c>
      <c r="CA65" s="19" t="str">
        <f aca="false">CONCATENATE(BY65,"_",BZ65)</f>
        <v>mod_EMU</v>
      </c>
      <c r="CB65" s="19" t="str">
        <f aca="false">_xlfn.CONCAT(H65, "_",I65)</f>
        <v>dual_electric_DUAL_POWER</v>
      </c>
      <c r="CC65" s="35" t="str">
        <f aca="false" t="array" ref="CC65:CC65">_xlfn.CONCAT("{BLACK}Length: {GOLD}", TEXT(ROUNDUP(IF(AQ65&lt;&gt;"",SUM(VALUE(_xlfn.TEXTSPLIT(AQ65, ","))), SUM(VALUE(_xlfn.TEXTSPLIT(AN65, ",")))*IF(M65, M65, 1))/16, 1), "#,##0.0"), " tiles{}")</f>
        <v>{BLACK}Length: {GOLD}4.5 tiles{}</v>
      </c>
      <c r="CD65" s="1" t="str">
        <f aca="false">VLOOKUP($CB65, Constants!$M:$N, 2, FALSE())</f>
        <v>{BLACK}Powered by: {GOLD}25kV AC / 750V DC</v>
      </c>
      <c r="CE65" s="19" t="str">
        <f aca="false">IF(M65&gt;1,_xlfn.CONCAT("{BLACK}Cars: {GOLD}", M65),"")</f>
        <v>{BLACK}Cars: {GOLD}6</v>
      </c>
      <c r="CF65" s="19" t="s">
        <v>432</v>
      </c>
      <c r="CG65" s="1" t="str">
        <f aca="false">IF(BW65="buffet","{YELLOW}25% long distance bonus for consist{}",IF(BY65="BRAKE","{YELLOW}Speed bonus for slow wagons{}",IF(BU65&gt;190,CONCATENATE("{YELLOW}",INT((BU65-185)/1.85),"% bonus for long distance travel{}"),IF(AND(BU65&lt;180,BU65&lt;&gt;0),CONCATENATE("{YELLOW}",INT((185-BU65)/1.85),"% penalty for long distance travel{}"),""))))</f>
        <v/>
      </c>
      <c r="CH65" s="1" t="str">
        <f aca="false">_xlfn.CONCAT(CD65,IF(CD65 &lt;&gt; "", " ", ""),CE65,IF(OR(CE65&lt;&gt;"", CD65&lt;&gt;""), "{}",""), CC65, CG65,"{SILVER}", CF65)</f>
        <v>{BLACK}Powered by: {GOLD}25kV AC / 750V DC {BLACK}Cars: {GOLD}6{}{BLACK}Length: {GOLD}4.5 tiles{}{SILVER}The Class 717 ‘Desiro City’ units are variants of the Class 700 Thameslink units, with front emergency exit doors to allow them to work the Northern City Line. They replaced earlier PEP units on King’s Cross suburban services.</v>
      </c>
    </row>
    <row r="66" s="19" customFormat="true" ht="13.8" hidden="false" customHeight="false" outlineLevel="0" collapsed="false">
      <c r="A66" s="19" t="s">
        <v>433</v>
      </c>
      <c r="B66" s="19" t="s">
        <v>434</v>
      </c>
      <c r="C66" s="19" t="n">
        <v>488</v>
      </c>
      <c r="E66" s="19" t="n">
        <v>515</v>
      </c>
      <c r="F66" s="19" t="s">
        <v>89</v>
      </c>
      <c r="G66" s="19" t="s">
        <v>90</v>
      </c>
      <c r="H66" s="19" t="s">
        <v>91</v>
      </c>
      <c r="I66" s="19" t="s">
        <v>92</v>
      </c>
      <c r="J66" s="19" t="n">
        <v>2020</v>
      </c>
      <c r="M66" s="19" t="n">
        <v>12</v>
      </c>
      <c r="N66" s="19" t="n">
        <v>7000</v>
      </c>
      <c r="O66" s="27" t="n">
        <v>2700</v>
      </c>
      <c r="P66" s="28"/>
      <c r="Q66" s="28"/>
      <c r="R66" s="28"/>
      <c r="S66" s="28"/>
      <c r="T66" s="28"/>
      <c r="U66" s="28"/>
      <c r="V66" s="28"/>
      <c r="W66" s="19" t="n">
        <v>204</v>
      </c>
      <c r="X66" s="27"/>
      <c r="Y66" s="19" t="n">
        <v>5</v>
      </c>
      <c r="Z66" s="19" t="n">
        <v>400</v>
      </c>
      <c r="AA66" s="29" t="n">
        <f aca="false">IF(AND(W66&gt;0,Z66&gt;0),(Z66/((W66+X66)*10)),"")</f>
        <v>0.196078431372549</v>
      </c>
      <c r="AB66" s="19" t="n">
        <v>100</v>
      </c>
      <c r="AC66" s="19" t="n">
        <f aca="false">ROUND(AB66*1.6, 0)</f>
        <v>160</v>
      </c>
      <c r="AF66" s="19" t="n">
        <v>19.7</v>
      </c>
      <c r="AG66" s="19" t="n">
        <v>20</v>
      </c>
      <c r="AJ66" s="30" t="n">
        <v>60</v>
      </c>
      <c r="AK66" s="19" t="str">
        <f aca="false">CONCATENATE(VLOOKUP(AL66, 'Voxel Sizes'!$A$2:$B$18,2,FALSE()),"x",INT(AH66*15), "x", INT(AI66*15))</f>
        <v>198x0x0</v>
      </c>
      <c r="AL66" s="19" t="n">
        <f aca="false">ROUND(15*((AG66*10)/256),0)</f>
        <v>12</v>
      </c>
      <c r="AN66" s="1" t="str">
        <f aca="false">CONCATENATE(VLOOKUP(AL66,Constants!$A$2:$C$16,IF(AM66&lt;&gt;"", 3, 2), FALSE()),IF(AM66&lt;&gt;"",CONCATENATE(",",VLOOKUP(AM66,$B:$AN,38,FALSE())),""))</f>
        <v>4,4,4</v>
      </c>
      <c r="AO66" s="19" t="s">
        <v>435</v>
      </c>
      <c r="AP66" s="31"/>
      <c r="AQ66" s="31"/>
      <c r="AR66" s="19" t="str">
        <f aca="false">STAD_745_VEH</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c r="AT66" s="19" t="str">
        <f aca="false">STAD_745_NS</f>
        <v>1,1,1,1,0,0,0,0,0,0,1,1</v>
      </c>
      <c r="AU66" s="19" t="s">
        <v>436</v>
      </c>
      <c r="AX66" s="19" t="n">
        <v>30</v>
      </c>
      <c r="AY66" s="32" t="str">
        <f aca="false">IF(L66&lt;&gt;"",MAX(16,(L66-J66)+8),"")</f>
        <v/>
      </c>
      <c r="AZ66" s="19" t="n">
        <v>-15</v>
      </c>
      <c r="BA66" s="19" t="n">
        <v>-30</v>
      </c>
      <c r="BB66" s="19" t="n">
        <f aca="false">MIN(AB66/150, 1)*30</f>
        <v>20</v>
      </c>
      <c r="BC66" s="19" t="n">
        <f aca="false">MIN(N66/4000, 1)*20</f>
        <v>20</v>
      </c>
      <c r="BD66" s="19" t="n">
        <f aca="false">MIN(Z66/400,1)*20</f>
        <v>20</v>
      </c>
      <c r="BE66" s="29" t="n">
        <f aca="false">1-(MAX(J66-1900, 0)/750)</f>
        <v>0.84</v>
      </c>
      <c r="BF66" s="19" t="n">
        <f aca="false">((MAX($M66,1)*MIN($AJ66/300,1)))*IF(G66="Wagon",50,10)</f>
        <v>24</v>
      </c>
      <c r="BG66" s="1" t="n">
        <f aca="false">VLOOKUP($H66,Constants!$I:$K, 2, FALSE())</f>
        <v>0.85</v>
      </c>
      <c r="BH66" s="1" t="n">
        <f aca="false">VLOOKUP($H66,Constants!$I:$K, 3, FALSE())*IF(AND(G66="multiple_unit",AB66&lt;110),0.75,1)</f>
        <v>1.725</v>
      </c>
      <c r="BI66" s="1" t="n">
        <f aca="false">INT(POWER(((Constants!$G$2+$BB66+$BC66+$BD66+$BF66)*$BE66)*$BH66, 1.05))+$BA66</f>
        <v>134</v>
      </c>
      <c r="BJ66" s="1" t="n">
        <f aca="false">INT(POWER((((Constants!$G$1+$BB66+$BC66+$BD66+$BF66)*($BE66))*$BG66),IF($G66="wagon",1,1.2)))+$AZ66</f>
        <v>150</v>
      </c>
      <c r="BK66" s="33" t="n">
        <f aca="false">BI66*IF($G66="wagon",62.5,781.25)</f>
        <v>104687.5</v>
      </c>
      <c r="BL66" s="33" t="n">
        <f aca="false">BJ66*IF($G66="wagon",2.73,81.25)</f>
        <v>12187.5</v>
      </c>
      <c r="BS66" s="19" t="s">
        <v>209</v>
      </c>
      <c r="BT66" s="19" t="n">
        <v>2</v>
      </c>
      <c r="BX66" s="19" t="s">
        <v>95</v>
      </c>
      <c r="BY66" s="1" t="s">
        <v>417</v>
      </c>
      <c r="BZ66" s="34" t="s">
        <v>97</v>
      </c>
      <c r="CA66" s="19" t="str">
        <f aca="false">CONCATENATE(BY66,"_",BZ66)</f>
        <v>mod_EMU</v>
      </c>
      <c r="CB66" s="19" t="str">
        <f aca="false">_xlfn.CONCAT(H66, "_",I66)</f>
        <v>electric_ELRL</v>
      </c>
      <c r="CC66" s="35" t="str">
        <f aca="false" t="array" ref="CC66:CC66">_xlfn.CONCAT("{BLACK}Length: {GOLD}", TEXT(ROUNDUP(IF(AQ66&lt;&gt;"",SUM(VALUE(_xlfn.TEXTSPLIT(AQ66, ","))), SUM(VALUE(_xlfn.TEXTSPLIT(AN66, ",")))*IF(M66, M66, 1))/16, 1), "#,##0.0"), " tiles{}")</f>
        <v>{BLACK}Length: {GOLD}9.0 tiles{}</v>
      </c>
      <c r="CD66" s="1" t="str">
        <f aca="false">VLOOKUP($CB66, Constants!$M:$N, 2, FALSE())</f>
        <v>{BLACK}Powered by: {GOLD}25kV AC</v>
      </c>
      <c r="CE66" s="19" t="str">
        <f aca="false">IF(M66&gt;1,_xlfn.CONCAT("{BLACK}Cars: {GOLD}", M66),"")</f>
        <v>{BLACK}Cars: {GOLD}12</v>
      </c>
      <c r="CF66" s="19" t="s">
        <v>437</v>
      </c>
      <c r="CG66" s="1" t="str">
        <f aca="false">IF(BW66="buffet","{YELLOW}25% long distance bonus for consist{}",IF(BY66="BRAKE","{YELLOW}Speed bonus for slow wagons{}",IF(BU66&gt;190,CONCATENATE("{YELLOW}",INT((BU66-185)/1.85),"% bonus for long distance travel{}"),IF(AND(BU66&lt;180,BU66&lt;&gt;0),CONCATENATE("{YELLOW}",INT((185-BU66)/1.85),"% penalty for long distance travel{}"),""))))</f>
        <v/>
      </c>
      <c r="CH66" s="1" t="str">
        <f aca="false">_xlfn.CONCAT(CD66,IF(CD66 &lt;&gt; "", " ", ""),CE66,IF(OR(CE66&lt;&gt;"", CD66&lt;&gt;""), "{}",""), CC66, CG66,"{SILVER}", CF66)</f>
        <v>{BLACK}Powered by: {GOLD}25kV AC {BLACK}Cars: {GOLD}12{}{BLACK}Length: {GOLD}9.0 tiles{}{SILVER}Stadler’s Class 745 units replaced Class 90 hauled trains on the GEML. The semi-articulated design was required to meet crashworthiness specifications.</v>
      </c>
    </row>
    <row r="67" customFormat="false" ht="13.8" hidden="false" customHeight="false" outlineLevel="0" collapsed="false">
      <c r="A67" s="1" t="s">
        <v>438</v>
      </c>
      <c r="B67" s="1" t="s">
        <v>439</v>
      </c>
      <c r="C67" s="1" t="n">
        <v>490</v>
      </c>
      <c r="E67" s="1" t="n">
        <v>520</v>
      </c>
      <c r="F67" s="1" t="s">
        <v>89</v>
      </c>
      <c r="G67" s="1" t="s">
        <v>90</v>
      </c>
      <c r="H67" s="1" t="s">
        <v>256</v>
      </c>
      <c r="I67" s="1" t="s">
        <v>92</v>
      </c>
      <c r="J67" s="1" t="n">
        <v>2022</v>
      </c>
      <c r="M67" s="1" t="n">
        <v>5</v>
      </c>
      <c r="N67" s="1" t="n">
        <v>4800</v>
      </c>
      <c r="O67" s="2" t="n">
        <v>3950</v>
      </c>
      <c r="W67" s="1" t="n">
        <v>235</v>
      </c>
      <c r="Y67" s="1" t="n">
        <v>5</v>
      </c>
      <c r="Z67" s="1" t="n">
        <v>195</v>
      </c>
      <c r="AA67" s="4" t="n">
        <f aca="false">IF(AND(W67&gt;0,Z67&gt;0),(Z67/((W67+X67)*10)),"")</f>
        <v>0.0829787234042553</v>
      </c>
      <c r="AB67" s="1" t="n">
        <v>125</v>
      </c>
      <c r="AC67" s="1" t="n">
        <f aca="false">ROUND(AB67*1.6, 0)</f>
        <v>200</v>
      </c>
      <c r="AF67" s="1" t="n">
        <v>24</v>
      </c>
      <c r="AG67" s="1" t="n">
        <v>22</v>
      </c>
      <c r="AJ67" s="5" t="n">
        <v>60</v>
      </c>
      <c r="AK67" s="19" t="str">
        <f aca="false">CONCATENATE(VLOOKUP(AL67, 'Voxel Sizes'!$A$2:$B$18,2,FALSE()),"x",INT(AH67*15), "x", INT(AI67*15))</f>
        <v>214x0x0</v>
      </c>
      <c r="AL67" s="1" t="n">
        <f aca="false">ROUND(15*((AG67*10)/256),0)</f>
        <v>13</v>
      </c>
      <c r="AN67" s="1" t="str">
        <f aca="false">CONCATENATE(VLOOKUP(AL67,Constants!$A$2:$C$16,IF(AM67&lt;&gt;"", 3, 2), FALSE()),IF(AM67&lt;&gt;"",CONCATENATE(",",VLOOKUP(AM67,$B:$AN,38,FALSE())),""))</f>
        <v>4,5,4</v>
      </c>
      <c r="AO67" s="1" t="n">
        <v>12</v>
      </c>
      <c r="AR67" s="1" t="s">
        <v>440</v>
      </c>
      <c r="AS67" s="1" t="s">
        <v>441</v>
      </c>
      <c r="AT67" s="1" t="s">
        <v>415</v>
      </c>
      <c r="AX67" s="1" t="n">
        <v>30</v>
      </c>
      <c r="AY67" s="6" t="str">
        <f aca="false">IF(L67&lt;&gt;"",MAX(16,(L67-J67)+8),"")</f>
        <v/>
      </c>
      <c r="AZ67" s="1" t="n">
        <v>-15</v>
      </c>
      <c r="BA67" s="1" t="n">
        <v>-30</v>
      </c>
      <c r="BB67" s="1" t="n">
        <f aca="false">MIN(AB67/150, 1)*30</f>
        <v>25</v>
      </c>
      <c r="BC67" s="1" t="n">
        <f aca="false">MIN(N67/4000, 1)*20</f>
        <v>20</v>
      </c>
      <c r="BD67" s="1" t="n">
        <f aca="false">MIN(Z67/400,1)*20</f>
        <v>9.75</v>
      </c>
      <c r="BE67" s="4" t="n">
        <f aca="false">1-(MAX(J67-1900, 0)/750)</f>
        <v>0.837333333333333</v>
      </c>
      <c r="BF67" s="1" t="n">
        <f aca="false">((MAX($M67,1)*MIN($AJ67/300,1)))*IF(G67="Wagon",50,10)</f>
        <v>10</v>
      </c>
      <c r="BG67" s="1" t="n">
        <f aca="false">VLOOKUP($H67,Constants!$I:$K, 2, FALSE())</f>
        <v>0.9</v>
      </c>
      <c r="BH67" s="1" t="n">
        <f aca="false">VLOOKUP($H67,Constants!$I:$K, 3, FALSE())*IF(AND(G67="multiple_unit",AB67&lt;110),0.75,1)</f>
        <v>2.5</v>
      </c>
      <c r="BI67" s="1" t="n">
        <f aca="false">INT(POWER(((Constants!$G$2+$BB67+$BC67+$BD67+$BF67)*$BE67)*$BH67, 1.05))+$BA67</f>
        <v>157</v>
      </c>
      <c r="BJ67" s="1" t="n">
        <f aca="false">INT(POWER((((Constants!$G$1+$BB67+$BC67+$BD67+$BF67)*($BE67))*$BG67),IF($G67="wagon",1,1.2)))+$AZ67</f>
        <v>121</v>
      </c>
      <c r="BK67" s="20" t="n">
        <f aca="false">BI67*IF($G67="wagon",62.5,781.25)</f>
        <v>122656.25</v>
      </c>
      <c r="BL67" s="20" t="n">
        <f aca="false">BJ67*IF($G67="wagon",2.73,81.25)</f>
        <v>9831.25</v>
      </c>
      <c r="BS67" s="1" t="s">
        <v>398</v>
      </c>
      <c r="BT67" s="1" t="n">
        <v>10</v>
      </c>
      <c r="BU67" s="1" t="n">
        <v>222</v>
      </c>
      <c r="BX67" s="1" t="s">
        <v>95</v>
      </c>
      <c r="BY67" s="1" t="s">
        <v>417</v>
      </c>
      <c r="BZ67" s="18" t="s">
        <v>228</v>
      </c>
      <c r="CA67" s="1" t="str">
        <f aca="false">CONCATENATE(BY67,"_",BZ67)</f>
        <v>mod_EMU (Express)</v>
      </c>
      <c r="CB67" s="1" t="str">
        <f aca="false">_xlfn.CONCAT(H67, "_",I67)</f>
        <v>dual_power_ELRL</v>
      </c>
      <c r="CC67" s="21" t="str">
        <f aca="false">_xlfn.CONCAT("{BLACK}Length: {GOLD}", TEXT(ROUNDUP(IF(AQ67&lt;&gt;"",SUM(VALUE(_xlfn.TEXTSPLIT(AQ67, ","))), SUM(VALUE(_xlfn.TEXTSPLIT(AN67, ",")))*IF(M67, M67, 1))/16, 1), "#,##0.0"), " tiles{}")</f>
        <v>{BLACK}Length: {GOLD}4.1 tiles{}</v>
      </c>
      <c r="CD67" s="1" t="str">
        <f aca="false">VLOOKUP($CB67, Constants!$M:$N, 2, FALSE())</f>
        <v>{BLACK}Powered by: {GOLD}25kV AC / Diesel</v>
      </c>
      <c r="CE67" s="1" t="str">
        <f aca="false">IF(M67&gt;1,_xlfn.CONCAT("{BLACK}Cars: {GOLD}", M67),"")</f>
        <v>{BLACK}Cars: {GOLD}5</v>
      </c>
      <c r="CF67" s="1" t="s">
        <v>442</v>
      </c>
      <c r="CG67" s="1" t="str">
        <f aca="false">IF(BW67="buffet","{YELLOW}25% long distance bonus for consist{}",IF(BY67="BRAKE","{YELLOW}Speed bonus for slow wagons{}",IF(BU67&gt;190,CONCATENATE("{YELLOW}",INT((BU67-185)/1.85),"% bonus for long distance travel{}"),IF(AND(BU67&lt;180,BU67&lt;&gt;0),CONCATENATE("{YELLOW}",INT((185-BU67)/1.85),"% penalty for long distance travel{}"),""))))</f>
        <v>{YELLOW}20% bonus for long distance travel{}</v>
      </c>
      <c r="CH67" s="1" t="str">
        <f aca="false">_xlfn.CONCAT(CD67,IF(CD67 &lt;&gt; "", " ", ""),CE67,IF(OR(CE67&lt;&gt;"", CD67&lt;&gt;""), "{}",""), CC67, CG67,"{SILVER}", CF67)</f>
        <v>{BLACK}Powered by: {GOLD}25kV AC / Diesel {BLACK}Cars: {GOLD}5{}{BLACK}Length: {GOLD}4.1 tiles{}{YELLOW}20% bonus for long distance travel{}{SILVER}The Class 810 "Aurora" is a variant on the class 800 series, built to a shorter vehicle length to suit station lengths on the Midland Mainline. It finally began to displace Class 222 DEMUs at the end of 2025.</v>
      </c>
      <c r="CI67" s="1"/>
      <c r="CJ67" s="1"/>
    </row>
    <row r="68" customFormat="false" ht="13.8" hidden="false" customHeight="false" outlineLevel="0" collapsed="false">
      <c r="A68" s="1" t="s">
        <v>443</v>
      </c>
      <c r="B68" s="1" t="s">
        <v>444</v>
      </c>
      <c r="C68" s="1" t="n">
        <v>20</v>
      </c>
      <c r="E68" s="1" t="n">
        <v>1020</v>
      </c>
      <c r="F68" s="1" t="s">
        <v>89</v>
      </c>
      <c r="G68" s="1" t="s">
        <v>445</v>
      </c>
      <c r="H68" s="1" t="s">
        <v>445</v>
      </c>
      <c r="I68" s="1" t="s">
        <v>153</v>
      </c>
      <c r="J68" s="1" t="n">
        <v>1907</v>
      </c>
      <c r="K68" s="1" t="n">
        <v>1950</v>
      </c>
      <c r="L68" s="1" t="n">
        <v>1961</v>
      </c>
      <c r="W68" s="1" t="n">
        <v>6.4</v>
      </c>
      <c r="Y68" s="1" t="n">
        <v>3</v>
      </c>
      <c r="AA68" s="4" t="str">
        <f aca="false">IF(AND(W68&gt;0,Z68&gt;0),(Z68/((W68+X68)*10)),"")</f>
        <v/>
      </c>
      <c r="AB68" s="1" t="n">
        <v>50</v>
      </c>
      <c r="AC68" s="1" t="n">
        <f aca="false">ROUND(AB68*1.6, 0)</f>
        <v>80</v>
      </c>
      <c r="AF68" s="1" t="n">
        <v>6</v>
      </c>
      <c r="AG68" s="1" t="n">
        <v>8</v>
      </c>
      <c r="AH68" s="1" t="n">
        <v>2.5</v>
      </c>
      <c r="AI68" s="1" t="n">
        <v>3.35</v>
      </c>
      <c r="AJ68" s="5" t="n">
        <v>13</v>
      </c>
      <c r="AK68" s="19" t="str">
        <f aca="false">CONCATENATE(VLOOKUP(AL68, 'Voxel Sizes'!$A$2:$B$18,2,FALSE()),"x",INT(AH68*15), "x", INT(AI68*15))</f>
        <v>82x37x50</v>
      </c>
      <c r="AL68" s="1" t="n">
        <f aca="false">ROUND(15*((AG68*10)/256),0)</f>
        <v>5</v>
      </c>
      <c r="AN68" s="1" t="str">
        <f aca="false">CONCATENATE(VLOOKUP(AL68,Constants!$A$2:$C$16,IF(AM68&lt;&gt;"", 3, 2), FALSE()),IF(AM68&lt;&gt;"",CONCATENATE(",",VLOOKUP(AM68,$B:$AN,38,FALSE())),""))</f>
        <v>2,1,2</v>
      </c>
      <c r="AX68" s="1" t="n">
        <v>30</v>
      </c>
      <c r="AY68" s="6" t="n">
        <f aca="false">IF(L68&lt;&gt;"",MAX(16,(L68-J68)+8),"")</f>
        <v>62</v>
      </c>
      <c r="AZ68" s="1" t="n">
        <v>5</v>
      </c>
      <c r="BA68" s="1" t="n">
        <v>0</v>
      </c>
      <c r="BB68" s="1" t="n">
        <f aca="false">MIN(AB68/150, 1)*30</f>
        <v>10</v>
      </c>
      <c r="BC68" s="1" t="n">
        <f aca="false">MIN(N68/4000, 1)*20</f>
        <v>0</v>
      </c>
      <c r="BD68" s="1" t="n">
        <f aca="false">MIN(Z68/400,1)*20</f>
        <v>0</v>
      </c>
      <c r="BE68" s="4" t="n">
        <f aca="false">1-(MAX(J68-1900, 0)/750)</f>
        <v>0.990666666666667</v>
      </c>
      <c r="BF68" s="1" t="n">
        <f aca="false">((MAX($M68,1)*MIN($AJ68/300,1)))*IF(G68="Wagon",50,10)</f>
        <v>2.16666666666667</v>
      </c>
      <c r="BG68" s="1" t="n">
        <f aca="false">VLOOKUP($H68,Constants!$I:$K, 2, FALSE())</f>
        <v>1</v>
      </c>
      <c r="BH68" s="1" t="n">
        <f aca="false">VLOOKUP($H68,Constants!$I:$K, 3, FALSE())*IF(AND(G68="multiple_unit",AB68&lt;110),0.75,1)</f>
        <v>0.45</v>
      </c>
      <c r="BI68" s="1" t="n">
        <f aca="false">INT(POWER(((Constants!$G$2+$BB68+$BC68+$BD68+$BF68)*$BE68)*$BH68, 1.05))+$BA68</f>
        <v>8</v>
      </c>
      <c r="BJ68" s="1" t="n">
        <f aca="false">INT(POWER((((Constants!$G$1+$BB68+$BC68+$BD68+$BF68)*($BE68))*$BG68),IF($G68="wagon",1,1.2)))+$AZ68</f>
        <v>31</v>
      </c>
      <c r="BK68" s="20" t="n">
        <f aca="false">BI68*IF($G68="wagon",62.5,781.25)</f>
        <v>500</v>
      </c>
      <c r="BL68" s="20" t="n">
        <f aca="false">BJ68*IF($G68="wagon",2.73,81.25)</f>
        <v>84.63</v>
      </c>
      <c r="BT68" s="1" t="n">
        <v>1</v>
      </c>
      <c r="BU68" s="1" t="n">
        <v>185</v>
      </c>
      <c r="BV68" s="18" t="s">
        <v>446</v>
      </c>
      <c r="BW68" s="18"/>
      <c r="BX68" s="1" t="s">
        <v>447</v>
      </c>
      <c r="BY68" s="1" t="str">
        <f aca="false">VLOOKUP(J68,Eras!$A$2:$C$10, 2, TRUE())</f>
        <v>edw</v>
      </c>
      <c r="BZ68" s="18" t="s">
        <v>448</v>
      </c>
      <c r="CA68" s="1" t="str">
        <f aca="false">CONCATENATE(BY68,"_",BZ68)</f>
        <v>edw_Tanker</v>
      </c>
      <c r="CB68" s="1" t="str">
        <f aca="false">_xlfn.CONCAT(H68, "_",I68)</f>
        <v>wagon_RAIL</v>
      </c>
      <c r="CC68" s="21" t="str">
        <f aca="false">_xlfn.CONCAT("{BLACK}Length: {GOLD}", TEXT(ROUNDUP(IF(AQ68&lt;&gt;"",SUM(VALUE(_xlfn.TEXTSPLIT(AQ68, ","))), SUM(VALUE(_xlfn.TEXTSPLIT(AN68, ",")))*IF(M68, M68, 1))/16, 1), "#,##0.0"), " tiles{}")</f>
        <v>{BLACK}Length: {GOLD}0.4 tiles{}</v>
      </c>
      <c r="CD68" s="1" t="str">
        <f aca="false">VLOOKUP($CB68, Constants!$M:$N, 2, FALSE())</f>
        <v/>
      </c>
      <c r="CE68" s="1" t="str">
        <f aca="false">IF(M68&gt;1,_xlfn.CONCAT("{BLACK}Cars: {GOLD}", M68),"")</f>
        <v/>
      </c>
      <c r="CF68" s="1" t="s">
        <v>449</v>
      </c>
      <c r="CG68" s="1" t="str">
        <f aca="false">IF(BW68="buffet","{YELLOW}25% long distance bonus for consist{}",IF(BY68="BRAKE","{YELLOW}Speed bonus for slow wagons{}",IF(BU68&gt;190,CONCATENATE("{YELLOW}",INT((BU68-185)/1.85),"% bonus for long distance travel{}"),IF(AND(BU68&lt;180,BU68&lt;&gt;0),CONCATENATE("{YELLOW}",INT((185-BU68)/1.85),"% penalty for long distance travel{}"),""))))</f>
        <v/>
      </c>
      <c r="CH68" s="1" t="str">
        <f aca="false">_xlfn.CONCAT(CD68,IF(CD68 &lt;&gt; "", " ", ""),CE68,IF(OR(CE68&lt;&gt;"", CD68&lt;&gt;""), "{}",""), CC68, CG68,"{SILVER}", CF68)</f>
        <v>{BLACK}Length: {GOLD}0.4 tiles{}{SILVER}The standard RCH Salt Wagon design of 1907 was long-lived in private ownership and saw some use beyond sodium chloride, which was largely used as part of the chemical industry.</v>
      </c>
      <c r="CI68" s="1"/>
      <c r="CJ68" s="1"/>
    </row>
    <row r="69" customFormat="false" ht="13.8" hidden="false" customHeight="false" outlineLevel="0" collapsed="false">
      <c r="A69" s="1" t="s">
        <v>450</v>
      </c>
      <c r="B69" s="1" t="s">
        <v>451</v>
      </c>
      <c r="C69" s="1" t="n">
        <v>25</v>
      </c>
      <c r="E69" s="1" t="n">
        <v>1025</v>
      </c>
      <c r="F69" s="1" t="s">
        <v>89</v>
      </c>
      <c r="G69" s="1" t="s">
        <v>445</v>
      </c>
      <c r="H69" s="1" t="s">
        <v>445</v>
      </c>
      <c r="I69" s="1" t="s">
        <v>153</v>
      </c>
      <c r="J69" s="1" t="n">
        <v>1955</v>
      </c>
      <c r="K69" s="1" t="n">
        <v>1980</v>
      </c>
      <c r="L69" s="1" t="n">
        <v>1987</v>
      </c>
      <c r="W69" s="1" t="n">
        <v>13.4</v>
      </c>
      <c r="Y69" s="1" t="n">
        <v>5</v>
      </c>
      <c r="AA69" s="4" t="str">
        <f aca="false">IF(AND(W69&gt;0,Z69&gt;0),(Z69/((W69+X69)*10)),"")</f>
        <v/>
      </c>
      <c r="AB69" s="1" t="n">
        <v>50</v>
      </c>
      <c r="AC69" s="1" t="n">
        <f aca="false">ROUND(AB69*1.6, 0)</f>
        <v>80</v>
      </c>
      <c r="AF69" s="1" t="n">
        <v>6</v>
      </c>
      <c r="AG69" s="1" t="n">
        <v>8</v>
      </c>
      <c r="AH69" s="1" t="n">
        <v>2.5</v>
      </c>
      <c r="AI69" s="1" t="n">
        <v>3.35</v>
      </c>
      <c r="AJ69" s="5" t="n">
        <v>20</v>
      </c>
      <c r="AK69" s="19" t="str">
        <f aca="false">CONCATENATE(VLOOKUP(AL69, 'Voxel Sizes'!$A$2:$B$18,2,FALSE()),"x",INT(AH69*15), "x", INT(AI69*15))</f>
        <v>82x37x50</v>
      </c>
      <c r="AL69" s="1" t="n">
        <f aca="false">ROUND(15*((AG69*10)/256),0)</f>
        <v>5</v>
      </c>
      <c r="AN69" s="1" t="str">
        <f aca="false">CONCATENATE(VLOOKUP(AL69,Constants!$A$2:$C$16,IF(AM69&lt;&gt;"", 3, 2), FALSE()),IF(AM69&lt;&gt;"",CONCATENATE(",",VLOOKUP(AM69,$B:$AN,38,FALSE())),""))</f>
        <v>2,1,2</v>
      </c>
      <c r="AX69" s="1" t="n">
        <v>30</v>
      </c>
      <c r="AY69" s="6" t="n">
        <f aca="false">IF(L69&lt;&gt;"",MAX(16,(L69-J69)+8),"")</f>
        <v>40</v>
      </c>
      <c r="AZ69" s="1" t="n">
        <v>5</v>
      </c>
      <c r="BB69" s="1" t="n">
        <f aca="false">MIN(AB69/150, 1)*30</f>
        <v>10</v>
      </c>
      <c r="BC69" s="1" t="n">
        <f aca="false">MIN(N69/4000, 1)*20</f>
        <v>0</v>
      </c>
      <c r="BD69" s="1" t="n">
        <f aca="false">MIN(Z69/400,1)*20</f>
        <v>0</v>
      </c>
      <c r="BE69" s="4" t="n">
        <f aca="false">1-(MAX(J69-1900, 0)/750)</f>
        <v>0.926666666666667</v>
      </c>
      <c r="BF69" s="1" t="n">
        <f aca="false">((MAX($M69,1)*MIN($AJ69/300,1)))*IF(G69="Wagon",50,10)</f>
        <v>3.33333333333333</v>
      </c>
      <c r="BG69" s="1" t="n">
        <f aca="false">VLOOKUP($H69,Constants!$I:$K, 2, FALSE())</f>
        <v>1</v>
      </c>
      <c r="BH69" s="1" t="n">
        <f aca="false">VLOOKUP($H69,Constants!$I:$K, 3, FALSE())*IF(AND(G69="multiple_unit",AB69&lt;110),0.75,1)</f>
        <v>0.45</v>
      </c>
      <c r="BI69" s="1" t="n">
        <f aca="false">INT(POWER(((Constants!$G$2+$BB69+$BC69+$BD69+$BF69)*$BE69)*$BH69, 1.05))+$BA69</f>
        <v>8</v>
      </c>
      <c r="BJ69" s="1" t="n">
        <f aca="false">INT(POWER((((Constants!$G$1+$BB69+$BC69+$BD69+$BF69)*($BE69))*$BG69),IF($G69="wagon",1,1.2)))+$AZ69</f>
        <v>31</v>
      </c>
      <c r="BK69" s="20" t="n">
        <f aca="false">BI69*IF($G69="wagon",62.5,781.25)</f>
        <v>500</v>
      </c>
      <c r="BL69" s="20" t="n">
        <f aca="false">BJ69*IF($G69="wagon",2.73,81.25)</f>
        <v>84.63</v>
      </c>
      <c r="BT69" s="1" t="n">
        <v>1</v>
      </c>
      <c r="BU69" s="1" t="n">
        <v>185</v>
      </c>
      <c r="BV69" s="1" t="s">
        <v>446</v>
      </c>
      <c r="BX69" s="1" t="s">
        <v>452</v>
      </c>
      <c r="BY69" s="1" t="str">
        <f aca="false">VLOOKUP(J69,Eras!$A$2:$C$10, 2, TRUE())</f>
        <v>dsl</v>
      </c>
      <c r="BZ69" s="18" t="s">
        <v>448</v>
      </c>
      <c r="CA69" s="1" t="str">
        <f aca="false">CONCATENATE(BY69,"_",BZ69)</f>
        <v>dsl_Tanker</v>
      </c>
      <c r="CB69" s="1" t="str">
        <f aca="false">_xlfn.CONCAT(H69, "_",I69)</f>
        <v>wagon_RAIL</v>
      </c>
      <c r="CC69" s="21" t="str">
        <f aca="false">_xlfn.CONCAT("{BLACK}Length: {GOLD}", TEXT(ROUNDUP(IF(AQ69&lt;&gt;"",SUM(VALUE(_xlfn.TEXTSPLIT(AQ69, ","))), SUM(VALUE(_xlfn.TEXTSPLIT(AN69, ",")))*IF(M69, M69, 1))/16, 1), "#,##0.0"), " tiles{}")</f>
        <v>{BLACK}Length: {GOLD}0.4 tiles{}</v>
      </c>
      <c r="CD69" s="1" t="str">
        <f aca="false">VLOOKUP($CB69, Constants!$M:$N, 2, FALSE())</f>
        <v/>
      </c>
      <c r="CE69" s="1" t="str">
        <f aca="false">IF(M69&gt;1,_xlfn.CONCAT("{BLACK}Cars: {GOLD}", M69),"")</f>
        <v/>
      </c>
      <c r="CF69" s="1" t="s">
        <v>453</v>
      </c>
      <c r="CG69" s="1" t="str">
        <f aca="false">IF(BW69="buffet","{YELLOW}25% long distance bonus for consist{}",IF(BY69="BRAKE","{YELLOW}Speed bonus for slow wagons{}",IF(BU69&gt;190,CONCATENATE("{YELLOW}",INT((BU69-185)/1.85),"% bonus for long distance travel{}"),IF(AND(BU69&lt;180,BU69&lt;&gt;0),CONCATENATE("{YELLOW}",INT((185-BU69)/1.85),"% penalty for long distance travel{}"),""))))</f>
        <v/>
      </c>
      <c r="CH69" s="1" t="str">
        <f aca="false">_xlfn.CONCAT(CD69,IF(CD69 &lt;&gt; "", " ", ""),CE69,IF(OR(CE69&lt;&gt;"", CD69&lt;&gt;""), "{}",""), CC69, CG69,"{SILVER}", CF69)</f>
        <v>{BLACK}Length: {GOLD}0.4 tiles{}{SILVER}The Presflo covered hopper was designed specifically to carry cement powder, being unloaded via a pressurized air connection and liquefaction of the cargo.</v>
      </c>
      <c r="CI69" s="1" t="n">
        <v>1</v>
      </c>
      <c r="CJ69" s="1"/>
    </row>
    <row r="70" customFormat="false" ht="13.8" hidden="false" customHeight="false" outlineLevel="0" collapsed="false">
      <c r="A70" s="18" t="s">
        <v>454</v>
      </c>
      <c r="B70" s="18" t="s">
        <v>455</v>
      </c>
      <c r="C70" s="1" t="n">
        <v>26</v>
      </c>
      <c r="E70" s="1" t="n">
        <v>1026</v>
      </c>
      <c r="F70" s="1" t="s">
        <v>89</v>
      </c>
      <c r="G70" s="1" t="s">
        <v>445</v>
      </c>
      <c r="H70" s="1" t="s">
        <v>445</v>
      </c>
      <c r="I70" s="1" t="s">
        <v>153</v>
      </c>
      <c r="J70" s="1" t="n">
        <v>1968</v>
      </c>
      <c r="K70" s="1" t="n">
        <v>2012</v>
      </c>
      <c r="L70" s="1" t="n">
        <v>2022</v>
      </c>
      <c r="W70" s="1" t="n">
        <v>12.4</v>
      </c>
      <c r="Y70" s="1" t="n">
        <v>4</v>
      </c>
      <c r="AA70" s="4" t="str">
        <f aca="false">IF(AND(W70&gt;0,Z70&gt;0),(Z70/((W70+X70)*10)),"")</f>
        <v/>
      </c>
      <c r="AB70" s="1" t="n">
        <v>50</v>
      </c>
      <c r="AC70" s="1" t="n">
        <f aca="false">ROUND(AB70*1.6, 0)</f>
        <v>80</v>
      </c>
      <c r="AF70" s="1" t="n">
        <v>8</v>
      </c>
      <c r="AG70" s="1" t="n">
        <v>8</v>
      </c>
      <c r="AH70" s="1" t="n">
        <v>2.6</v>
      </c>
      <c r="AI70" s="1" t="n">
        <v>3.9</v>
      </c>
      <c r="AJ70" s="5" t="n">
        <v>33</v>
      </c>
      <c r="AK70" s="19" t="str">
        <f aca="false">CONCATENATE(VLOOKUP(AL70, 'Voxel Sizes'!$A$2:$B$18,2,FALSE()),"x",INT(AH70*15), "x", INT(AI70*15))</f>
        <v>82x39x58</v>
      </c>
      <c r="AL70" s="1" t="n">
        <f aca="false">ROUND(15*((AG70*10)/256),0)</f>
        <v>5</v>
      </c>
      <c r="AN70" s="1" t="str">
        <f aca="false">CONCATENATE(VLOOKUP(AL70,Constants!$A$2:$C$16,IF(AM70&lt;&gt;"", 3, 2), FALSE()),IF(AM70&lt;&gt;"",CONCATENATE(",",VLOOKUP(AM70,$B:$AN,38,FALSE())),""))</f>
        <v>2,1,2</v>
      </c>
      <c r="AX70" s="1" t="n">
        <v>30</v>
      </c>
      <c r="AY70" s="6" t="n">
        <f aca="false">IF(L70&lt;&gt;"",MAX(16,(L70-J70)+8),"")</f>
        <v>62</v>
      </c>
      <c r="AZ70" s="1" t="n">
        <v>5</v>
      </c>
      <c r="BB70" s="1" t="n">
        <f aca="false">MIN(AB70/150, 1)*30</f>
        <v>10</v>
      </c>
      <c r="BC70" s="1" t="n">
        <f aca="false">MIN(N70/4000, 1)*20</f>
        <v>0</v>
      </c>
      <c r="BD70" s="1" t="n">
        <f aca="false">MIN(Z70/400,1)*20</f>
        <v>0</v>
      </c>
      <c r="BE70" s="4" t="n">
        <f aca="false">1-(MAX(J70-1900, 0)/750)</f>
        <v>0.909333333333333</v>
      </c>
      <c r="BF70" s="1" t="n">
        <f aca="false">((MAX($M70,1)*MIN($AJ70/300,1)))*IF(G70="Wagon",50,10)</f>
        <v>5.5</v>
      </c>
      <c r="BG70" s="1" t="n">
        <f aca="false">VLOOKUP($H70,Constants!$I:$K, 2, FALSE())</f>
        <v>1</v>
      </c>
      <c r="BH70" s="1" t="n">
        <f aca="false">VLOOKUP($H70,Constants!$I:$K, 3, FALSE())*IF(AND(G70="multiple_unit",AB70&lt;110),0.75,1)</f>
        <v>0.45</v>
      </c>
      <c r="BI70" s="1" t="n">
        <f aca="false">INT(POWER(((Constants!$G$2+$BB70+$BC70+$BD70+$BF70)*$BE70)*$BH70, 1.05))+$BA70</f>
        <v>9</v>
      </c>
      <c r="BJ70" s="1" t="n">
        <f aca="false">INT(POWER((((Constants!$G$1+$BB70+$BC70+$BD70+$BF70)*($BE70))*$BG70),IF($G70="wagon",1,1.2)))+$AZ70</f>
        <v>32</v>
      </c>
      <c r="BK70" s="20" t="n">
        <f aca="false">BI70*IF($G70="wagon",62.5,781.25)</f>
        <v>562.5</v>
      </c>
      <c r="BL70" s="20" t="n">
        <f aca="false">BJ70*IF($G70="wagon",2.73,81.25)</f>
        <v>87.36</v>
      </c>
      <c r="BT70" s="1" t="n">
        <v>1</v>
      </c>
      <c r="BU70" s="1" t="n">
        <v>185</v>
      </c>
      <c r="BV70" s="1" t="s">
        <v>446</v>
      </c>
      <c r="BX70" s="1" t="s">
        <v>452</v>
      </c>
      <c r="BY70" s="1" t="str">
        <f aca="false">VLOOKUP(J70,Eras!$A$2:$C$10, 2, TRUE())</f>
        <v>dsl</v>
      </c>
      <c r="BZ70" s="18" t="s">
        <v>448</v>
      </c>
      <c r="CA70" s="1" t="str">
        <f aca="false">CONCATENATE(BY70,"_",BZ70)</f>
        <v>dsl_Tanker</v>
      </c>
      <c r="CB70" s="1" t="str">
        <f aca="false">_xlfn.CONCAT(H70, "_",I70)</f>
        <v>wagon_RAIL</v>
      </c>
      <c r="CC70" s="21" t="str">
        <f aca="false">_xlfn.CONCAT("{BLACK}Length: {GOLD}", TEXT(ROUNDUP(IF(AQ70&lt;&gt;"",SUM(VALUE(_xlfn.TEXTSPLIT(AQ70, ","))), SUM(VALUE(_xlfn.TEXTSPLIT(AN70, ",")))*IF(M70, M70, 1))/16, 1), "#,##0.0"), " tiles{}")</f>
        <v>{BLACK}Length: {GOLD}0.4 tiles{}</v>
      </c>
      <c r="CD70" s="1" t="str">
        <f aca="false">VLOOKUP($CB70, Constants!$M:$N, 2, FALSE())</f>
        <v/>
      </c>
      <c r="CE70" s="1" t="str">
        <f aca="false">IF(M70&gt;1,_xlfn.CONCAT("{BLACK}Cars: {GOLD}", M70),"")</f>
        <v/>
      </c>
      <c r="CF70" s="1" t="s">
        <v>456</v>
      </c>
      <c r="CG70" s="1" t="str">
        <f aca="false">IF(BW70="buffet","{YELLOW}25% long distance bonus for consist{}",IF(BY70="BRAKE","{YELLOW}Speed bonus for slow wagons{}",IF(BU70&gt;190,CONCATENATE("{YELLOW}",INT((BU70-185)/1.85),"% bonus for long distance travel{}"),IF(AND(BU70&lt;180,BU70&lt;&gt;0),CONCATENATE("{YELLOW}",INT((185-BU70)/1.85),"% penalty for long distance travel{}"),""))))</f>
        <v/>
      </c>
      <c r="CH70" s="1" t="str">
        <f aca="false">_xlfn.CONCAT(CD70,IF(CD70 &lt;&gt; "", " ", ""),CE70,IF(OR(CE70&lt;&gt;"", CD70&lt;&gt;""), "{}",""), CC70, CG70,"{SILVER}", CF70)</f>
        <v>{BLACK}Length: {GOLD}0.4 tiles{}{SILVER}The PCA tanker, with it’s notable depressed-center ‘vee’ appearance, could carry large amounts of cement and was a common sight in mixed freight trains.</v>
      </c>
      <c r="CI70" s="1" t="n">
        <v>1</v>
      </c>
      <c r="CJ70" s="1"/>
    </row>
    <row r="71" customFormat="false" ht="13.8" hidden="false" customHeight="false" outlineLevel="0" collapsed="false">
      <c r="A71" s="18" t="s">
        <v>457</v>
      </c>
      <c r="B71" s="18" t="s">
        <v>458</v>
      </c>
      <c r="C71" s="1" t="n">
        <v>27</v>
      </c>
      <c r="E71" s="1" t="n">
        <v>1027</v>
      </c>
      <c r="F71" s="1" t="s">
        <v>89</v>
      </c>
      <c r="G71" s="1" t="s">
        <v>445</v>
      </c>
      <c r="H71" s="1" t="s">
        <v>445</v>
      </c>
      <c r="I71" s="1" t="s">
        <v>153</v>
      </c>
      <c r="J71" s="1" t="n">
        <v>2007</v>
      </c>
      <c r="W71" s="1" t="n">
        <v>19.9</v>
      </c>
      <c r="Y71" s="1" t="n">
        <v>5</v>
      </c>
      <c r="AA71" s="4" t="str">
        <f aca="false">IF(AND(W71&gt;0,Z71&gt;0),(Z71/((W71+X71)*10)),"")</f>
        <v/>
      </c>
      <c r="AB71" s="1" t="n">
        <v>75</v>
      </c>
      <c r="AC71" s="1" t="n">
        <f aca="false">ROUND(AB71*1.6, 0)</f>
        <v>120</v>
      </c>
      <c r="AF71" s="1" t="n">
        <v>16.2</v>
      </c>
      <c r="AG71" s="1" t="n">
        <v>17</v>
      </c>
      <c r="AH71" s="1" t="n">
        <v>2.7</v>
      </c>
      <c r="AI71" s="1" t="n">
        <v>3.8</v>
      </c>
      <c r="AJ71" s="5" t="n">
        <v>80</v>
      </c>
      <c r="AK71" s="19" t="str">
        <f aca="false">CONCATENATE(VLOOKUP(AL71, 'Voxel Sizes'!$A$2:$B$18,2,FALSE()),"x",INT(AH71*15), "x", INT(AI71*15))</f>
        <v>164x40x57</v>
      </c>
      <c r="AL71" s="1" t="n">
        <f aca="false">ROUND(15*((AG71*10)/256),0)</f>
        <v>10</v>
      </c>
      <c r="AN71" s="1" t="str">
        <f aca="false">CONCATENATE(VLOOKUP(AL71,Constants!$A$2:$C$16,IF(AM71&lt;&gt;"", 3, 2), FALSE()),IF(AM71&lt;&gt;"",CONCATENATE(",",VLOOKUP(AM71,$B:$AN,38,FALSE())),""))</f>
        <v>4,2,4</v>
      </c>
      <c r="AX71" s="1" t="n">
        <v>30</v>
      </c>
      <c r="AY71" s="6" t="str">
        <f aca="false">IF(L71&lt;&gt;"",MAX(16,(L71-J71)+8),"")</f>
        <v/>
      </c>
      <c r="BB71" s="1" t="n">
        <f aca="false">MIN(AB71/150, 1)*30</f>
        <v>15</v>
      </c>
      <c r="BC71" s="1" t="n">
        <f aca="false">MIN(N71/4000, 1)*20</f>
        <v>0</v>
      </c>
      <c r="BD71" s="1" t="n">
        <f aca="false">MIN(Z71/400,1)*20</f>
        <v>0</v>
      </c>
      <c r="BE71" s="4" t="n">
        <f aca="false">1-(MAX(J71-1900, 0)/750)</f>
        <v>0.857333333333333</v>
      </c>
      <c r="BF71" s="1" t="n">
        <f aca="false">((MAX($M71,1)*MIN($AJ71/300,1)))*IF(G71="Wagon",50,10)</f>
        <v>13.3333333333333</v>
      </c>
      <c r="BG71" s="1" t="n">
        <f aca="false">VLOOKUP($H71,Constants!$I:$K, 2, FALSE())</f>
        <v>1</v>
      </c>
      <c r="BH71" s="1" t="n">
        <f aca="false">VLOOKUP($H71,Constants!$I:$K, 3, FALSE())*IF(AND(G71="multiple_unit",AB71&lt;110),0.75,1)</f>
        <v>0.45</v>
      </c>
      <c r="BI71" s="1" t="n">
        <f aca="false">INT(POWER(((Constants!$G$2+$BB71+$BC71+$BD71+$BF71)*$BE71)*$BH71, 1.05))+$BA71</f>
        <v>14</v>
      </c>
      <c r="BJ71" s="1" t="n">
        <f aca="false">INT(POWER((((Constants!$G$1+$BB71+$BC71+$BD71+$BF71)*($BE71))*$BG71),IF($G71="wagon",1,1.2)))+$AZ71</f>
        <v>37</v>
      </c>
      <c r="BK71" s="20" t="n">
        <f aca="false">BI71*IF($G71="wagon",62.5,781.25)</f>
        <v>875</v>
      </c>
      <c r="BL71" s="20" t="n">
        <f aca="false">BJ71*IF($G71="wagon",2.73,81.25)</f>
        <v>101.01</v>
      </c>
      <c r="BT71" s="1" t="n">
        <v>1</v>
      </c>
      <c r="BU71" s="1" t="n">
        <v>185</v>
      </c>
      <c r="BV71" s="1" t="s">
        <v>459</v>
      </c>
      <c r="BX71" s="1" t="s">
        <v>452</v>
      </c>
      <c r="BY71" s="1" t="str">
        <f aca="false">VLOOKUP(J71,Eras!$A$2:$C$10, 2, TRUE())</f>
        <v>mod</v>
      </c>
      <c r="BZ71" s="18" t="s">
        <v>448</v>
      </c>
      <c r="CA71" s="1" t="str">
        <f aca="false">CONCATENATE(BY71,"_",BZ71)</f>
        <v>mod_Tanker</v>
      </c>
      <c r="CB71" s="1" t="str">
        <f aca="false">_xlfn.CONCAT(H71, "_",I71)</f>
        <v>wagon_RAIL</v>
      </c>
      <c r="CC71" s="21" t="str">
        <f aca="false">_xlfn.CONCAT("{BLACK}Length: {GOLD}", TEXT(ROUNDUP(IF(AQ71&lt;&gt;"",SUM(VALUE(_xlfn.TEXTSPLIT(AQ71, ","))), SUM(VALUE(_xlfn.TEXTSPLIT(AN71, ",")))*IF(M71, M71, 1))/16, 1), "#,##0.0"), " tiles{}")</f>
        <v>{BLACK}Length: {GOLD}0.7 tiles{}</v>
      </c>
      <c r="CD71" s="1" t="str">
        <f aca="false">VLOOKUP($CB71, Constants!$M:$N, 2, FALSE())</f>
        <v/>
      </c>
      <c r="CE71" s="1" t="str">
        <f aca="false">IF(M71&gt;1,_xlfn.CONCAT("{BLACK}Cars: {GOLD}", M71),"")</f>
        <v/>
      </c>
      <c r="CF71" s="1" t="s">
        <v>460</v>
      </c>
      <c r="CG71" s="1" t="str">
        <f aca="false">IF(BW71="buffet","{YELLOW}25% long distance bonus for consist{}",IF(BY71="BRAKE","{YELLOW}Speed bonus for slow wagons{}",IF(BU71&gt;190,CONCATENATE("{YELLOW}",INT((BU71-185)/1.85),"% bonus for long distance travel{}"),IF(AND(BU71&lt;180,BU71&lt;&gt;0),CONCATENATE("{YELLOW}",INT((185-BU71)/1.85),"% penalty for long distance travel{}"),""))))</f>
        <v/>
      </c>
      <c r="CH71" s="1" t="str">
        <f aca="false">_xlfn.CONCAT(CD71,IF(CD71 &lt;&gt; "", " ", ""),CE71,IF(OR(CE71&lt;&gt;"", CD71&lt;&gt;""), "{}",""), CC71, CG71,"{SILVER}", CF71)</f>
        <v>{BLACK}Length: {GOLD}0.7 tiles{}{SILVER}By the 2000s the BR-era 2-axle cement tankers then in use were beginning to show their age. They were replaced by these large bogie tank wagons built in Germany, with a distinctive fish-belly shape.</v>
      </c>
      <c r="CI71" s="1"/>
      <c r="CJ71" s="1"/>
    </row>
    <row r="72" customFormat="false" ht="13.8" hidden="false" customHeight="false" outlineLevel="0" collapsed="false">
      <c r="A72" s="18" t="s">
        <v>461</v>
      </c>
      <c r="B72" s="18" t="s">
        <v>462</v>
      </c>
      <c r="C72" s="1" t="n">
        <v>96</v>
      </c>
      <c r="E72" s="1" t="n">
        <v>1090</v>
      </c>
      <c r="F72" s="1" t="s">
        <v>89</v>
      </c>
      <c r="G72" s="1" t="s">
        <v>445</v>
      </c>
      <c r="H72" s="1" t="s">
        <v>463</v>
      </c>
      <c r="I72" s="1" t="s">
        <v>153</v>
      </c>
      <c r="J72" s="1" t="n">
        <v>1924</v>
      </c>
      <c r="K72" s="1" t="n">
        <v>1955</v>
      </c>
      <c r="L72" s="1" t="n">
        <v>1961</v>
      </c>
      <c r="W72" s="1" t="n">
        <v>20</v>
      </c>
      <c r="Y72" s="1" t="n">
        <v>4</v>
      </c>
      <c r="AA72" s="4" t="str">
        <f aca="false">IF(AND(W72&gt;0,Z72&gt;0),(Z72/((W72+X72)*10)),"")</f>
        <v/>
      </c>
      <c r="AB72" s="1" t="n">
        <v>60</v>
      </c>
      <c r="AC72" s="1" t="n">
        <f aca="false">ROUND(AB72*1.6, 0)</f>
        <v>96</v>
      </c>
      <c r="AF72" s="1" t="n">
        <v>6.1</v>
      </c>
      <c r="AG72" s="1" t="n">
        <v>8</v>
      </c>
      <c r="AH72" s="1" t="n">
        <v>2.5</v>
      </c>
      <c r="AI72" s="1" t="n">
        <v>3.35</v>
      </c>
      <c r="AJ72" s="5" t="n">
        <v>0</v>
      </c>
      <c r="AK72" s="19" t="str">
        <f aca="false">CONCATENATE(VLOOKUP(AL72, 'Voxel Sizes'!$A$2:$B$18,2,FALSE()),"x",INT(AH72*15), "x", INT(AI72*15))</f>
        <v>82x37x50</v>
      </c>
      <c r="AL72" s="1" t="n">
        <f aca="false">ROUND(15*((AG72*10)/256),0)</f>
        <v>5</v>
      </c>
      <c r="AN72" s="1" t="str">
        <f aca="false">CONCATENATE(VLOOKUP(AL72,Constants!$A$2:$C$16,IF(AM72&lt;&gt;"", 3, 2), FALSE()),IF(AM72&lt;&gt;"",CONCATENATE(",",VLOOKUP(AM72,$B:$AN,38,FALSE())),""))</f>
        <v>2,1,2</v>
      </c>
      <c r="AX72" s="1" t="n">
        <v>50</v>
      </c>
      <c r="AY72" s="6" t="n">
        <f aca="false">IF(L72&lt;&gt;"",MAX(16,(L72-J72)+8),"")</f>
        <v>45</v>
      </c>
      <c r="AZ72" s="1" t="n">
        <v>12</v>
      </c>
      <c r="BA72" s="1" t="n">
        <v>6</v>
      </c>
      <c r="BB72" s="1" t="n">
        <f aca="false">MIN(AB72/150, 1)*30</f>
        <v>12</v>
      </c>
      <c r="BC72" s="1" t="n">
        <f aca="false">MIN(N72/4000, 1)*20</f>
        <v>0</v>
      </c>
      <c r="BD72" s="1" t="n">
        <f aca="false">MIN(Z72/400,1)*20</f>
        <v>0</v>
      </c>
      <c r="BE72" s="4" t="n">
        <f aca="false">1-(MAX(J72-1900, 0)/750)</f>
        <v>0.968</v>
      </c>
      <c r="BF72" s="1" t="n">
        <f aca="false">((MAX($M72,1)*MIN($AJ72/300,1)))*IF(G72="Wagon",50,10)</f>
        <v>0</v>
      </c>
      <c r="BG72" s="1" t="n">
        <f aca="false">VLOOKUP($H72,Constants!$I:$K, 2, FALSE())</f>
        <v>1</v>
      </c>
      <c r="BH72" s="1" t="n">
        <f aca="false">VLOOKUP($H72,Constants!$I:$K, 3, FALSE())*IF(AND(G72="multiple_unit",AB72&lt;110),0.75,1)</f>
        <v>0.4</v>
      </c>
      <c r="BI72" s="1" t="n">
        <f aca="false">INT(POWER(((Constants!$G$2+$BB72+$BC72+$BD72+$BF72)*$BE72)*$BH72, 1.05))+$BA72</f>
        <v>13</v>
      </c>
      <c r="BJ72" s="1" t="n">
        <f aca="false">INT(POWER((((Constants!$G$1+$BB72+$BC72+$BD72+$BF72)*($BE72))*$BG72),IF($G72="wagon",1,1.2)))+$AZ72</f>
        <v>38</v>
      </c>
      <c r="BK72" s="20" t="n">
        <f aca="false">BI72*IF($G72="wagon",62.5,781.25)</f>
        <v>812.5</v>
      </c>
      <c r="BL72" s="20" t="n">
        <f aca="false">BJ72*IF($G72="wagon",2.73,81.25)</f>
        <v>103.74</v>
      </c>
      <c r="BT72" s="1" t="n">
        <v>1</v>
      </c>
      <c r="BV72" s="18" t="s">
        <v>464</v>
      </c>
      <c r="BW72" s="18"/>
      <c r="BX72" s="18" t="s">
        <v>465</v>
      </c>
      <c r="BY72" s="1" t="str">
        <f aca="false">VLOOKUP(J72,Eras!$A$2:$C$10, 2, TRUE())</f>
        <v>big4</v>
      </c>
      <c r="BZ72" s="18" t="s">
        <v>466</v>
      </c>
      <c r="CA72" s="1" t="str">
        <f aca="false">CONCATENATE(BY72,"_",BZ72)</f>
        <v>big4_Extra</v>
      </c>
      <c r="CB72" s="1" t="str">
        <f aca="false">_xlfn.CONCAT(H72, "_",I72)</f>
        <v>brake_RAIL</v>
      </c>
      <c r="CC72" s="21" t="str">
        <f aca="false">_xlfn.CONCAT("{BLACK}Length: {GOLD}", TEXT(ROUNDUP(IF(AQ72&lt;&gt;"",SUM(VALUE(_xlfn.TEXTSPLIT(AQ72, ","))), SUM(VALUE(_xlfn.TEXTSPLIT(AN72, ",")))*IF(M72, M72, 1))/16, 1), "#,##0.0"), " tiles{}")</f>
        <v>{BLACK}Length: {GOLD}0.4 tiles{}</v>
      </c>
      <c r="CD72" s="1" t="str">
        <f aca="false">VLOOKUP($CB72, Constants!$M:$N, 2, FALSE())</f>
        <v/>
      </c>
      <c r="CE72" s="1" t="str">
        <f aca="false">IF(M72&gt;1,_xlfn.CONCAT("{BLACK}Cars: {GOLD}", M72),"")</f>
        <v/>
      </c>
      <c r="CF72" s="1" t="s">
        <v>467</v>
      </c>
      <c r="CG72" s="1" t="str">
        <f aca="false">IF(BX72="buffet","{YELLOW}25% long distance bonus for consist{}",IF(BY72="BRAKE","{YELLOW}Speed bonus for slow wagons{}",IF(BU72&gt;190,CONCATENATE("{YELLOW}",INT((BU72-185)/1.85),"% bonus for long distance travel{}"),IF(AND(BU72&lt;180,BU72&lt;&gt;0),CONCATENATE("{YELLOW}",INT((185-BU72)/1.85),"% penalty for long distance travel{}"),""))))</f>
        <v/>
      </c>
      <c r="CH72" s="1" t="str">
        <f aca="false">_xlfn.CONCAT(CD72,IF(CD72 &lt;&gt; "", " ", ""),CE72,IF(OR(CE72&lt;&gt;"", CD72&lt;&gt;""), "{}",""), CC72, CG72,"{SILVER}", CF72)</f>
        <v>{BLACK}Length: {GOLD}0.4 tiles{}{SILVER}This Midland Railway design of Brake Van was also built by the LMS - over 800 were constructed and they were still extant into the early 1960s.</v>
      </c>
      <c r="CI72" s="1"/>
      <c r="CJ72" s="1"/>
    </row>
    <row r="73" customFormat="false" ht="13.8" hidden="false" customHeight="false" outlineLevel="0" collapsed="false">
      <c r="A73" s="18" t="s">
        <v>468</v>
      </c>
      <c r="B73" s="18" t="s">
        <v>469</v>
      </c>
      <c r="C73" s="1" t="n">
        <v>97</v>
      </c>
      <c r="E73" s="1" t="n">
        <v>1091</v>
      </c>
      <c r="F73" s="1" t="s">
        <v>89</v>
      </c>
      <c r="G73" s="1" t="s">
        <v>445</v>
      </c>
      <c r="H73" s="1" t="s">
        <v>463</v>
      </c>
      <c r="I73" s="1" t="s">
        <v>153</v>
      </c>
      <c r="J73" s="1" t="n">
        <v>1938</v>
      </c>
      <c r="K73" s="1" t="n">
        <v>1969</v>
      </c>
      <c r="L73" s="1" t="n">
        <v>1988</v>
      </c>
      <c r="W73" s="1" t="n">
        <v>20</v>
      </c>
      <c r="Y73" s="1" t="n">
        <v>4</v>
      </c>
      <c r="AA73" s="4" t="str">
        <f aca="false">IF(AND(W73&gt;0,Z73&gt;0),(Z73/((W73+X73)*10)),"")</f>
        <v/>
      </c>
      <c r="AB73" s="1" t="n">
        <v>60</v>
      </c>
      <c r="AC73" s="1" t="n">
        <f aca="false">ROUND(AB73*1.6, 0)</f>
        <v>96</v>
      </c>
      <c r="AF73" s="1" t="n">
        <v>10</v>
      </c>
      <c r="AG73" s="1" t="n">
        <v>10</v>
      </c>
      <c r="AH73" s="1" t="n">
        <v>2.5</v>
      </c>
      <c r="AI73" s="1" t="n">
        <v>3.35</v>
      </c>
      <c r="AJ73" s="5" t="n">
        <v>0</v>
      </c>
      <c r="AK73" s="19" t="str">
        <f aca="false">CONCATENATE(VLOOKUP(AL73, 'Voxel Sizes'!$A$2:$B$18,2,FALSE()),"x",INT(AH73*15), "x", INT(AI73*15))</f>
        <v>102x37x50</v>
      </c>
      <c r="AL73" s="1" t="n">
        <f aca="false">ROUND(15*((AG73*10)/256),0)</f>
        <v>6</v>
      </c>
      <c r="AN73" s="1" t="str">
        <f aca="false">CONCATENATE(VLOOKUP(AL73,Constants!$A$2:$C$16,IF(AM73&lt;&gt;"", 3, 2), FALSE()),IF(AM73&lt;&gt;"",CONCATENATE(",",VLOOKUP(AM73,$B:$AN,38,FALSE())),""))</f>
        <v>2,2,2</v>
      </c>
      <c r="AX73" s="1" t="n">
        <v>50</v>
      </c>
      <c r="AY73" s="6" t="n">
        <f aca="false">IF(L73&lt;&gt;"",MAX(16,(L73-J73)+8),"")</f>
        <v>58</v>
      </c>
      <c r="AZ73" s="1" t="n">
        <v>12</v>
      </c>
      <c r="BA73" s="1" t="n">
        <v>6</v>
      </c>
      <c r="BB73" s="1" t="n">
        <f aca="false">MIN(AB73/150, 1)*30</f>
        <v>12</v>
      </c>
      <c r="BC73" s="1" t="n">
        <f aca="false">MIN(N73/4000, 1)*20</f>
        <v>0</v>
      </c>
      <c r="BD73" s="1" t="n">
        <f aca="false">MIN(Z73/400,1)*20</f>
        <v>0</v>
      </c>
      <c r="BE73" s="4" t="n">
        <f aca="false">1-(MAX(J73-1900, 0)/750)</f>
        <v>0.949333333333333</v>
      </c>
      <c r="BF73" s="1" t="n">
        <f aca="false">((MAX($M73,1)*MIN($AJ73/300,1)))*IF(G73="Wagon",50,10)</f>
        <v>0</v>
      </c>
      <c r="BG73" s="1" t="n">
        <f aca="false">VLOOKUP($H73,Constants!$I:$K, 2, FALSE())</f>
        <v>1</v>
      </c>
      <c r="BH73" s="1" t="n">
        <f aca="false">VLOOKUP($H73,Constants!$I:$K, 3, FALSE())*IF(AND(G73="multiple_unit",AB73&lt;110),0.75,1)</f>
        <v>0.4</v>
      </c>
      <c r="BI73" s="1" t="n">
        <f aca="false">INT(POWER(((Constants!$G$2+$BB73+$BC73+$BD73+$BF73)*$BE73)*$BH73, 1.05))+$BA73</f>
        <v>13</v>
      </c>
      <c r="BJ73" s="1" t="n">
        <f aca="false">INT(POWER((((Constants!$G$1+$BB73+$BC73+$BD73+$BF73)*($BE73))*$BG73),IF($G73="wagon",1,1.2)))+$AZ73</f>
        <v>37</v>
      </c>
      <c r="BK73" s="20" t="n">
        <f aca="false">BI73*IF($G73="wagon",62.5,781.25)</f>
        <v>812.5</v>
      </c>
      <c r="BL73" s="20" t="n">
        <f aca="false">BJ73*IF($G73="wagon",2.73,81.25)</f>
        <v>101.01</v>
      </c>
      <c r="BT73" s="1" t="n">
        <v>1</v>
      </c>
      <c r="BV73" s="18" t="s">
        <v>464</v>
      </c>
      <c r="BW73" s="18"/>
      <c r="BX73" s="18" t="s">
        <v>465</v>
      </c>
      <c r="BY73" s="1" t="str">
        <f aca="false">VLOOKUP(J73,Eras!$A$2:$C$10, 2, TRUE())</f>
        <v>big4</v>
      </c>
      <c r="BZ73" s="18" t="s">
        <v>466</v>
      </c>
      <c r="CA73" s="1" t="str">
        <f aca="false">CONCATENATE(BY73,"_",BZ73)</f>
        <v>big4_Extra</v>
      </c>
      <c r="CB73" s="1" t="str">
        <f aca="false">_xlfn.CONCAT(H73, "_",I73)</f>
        <v>brake_RAIL</v>
      </c>
      <c r="CC73" s="21" t="str">
        <f aca="false">_xlfn.CONCAT("{BLACK}Length: {GOLD}", TEXT(ROUNDUP(IF(AQ73&lt;&gt;"",SUM(VALUE(_xlfn.TEXTSPLIT(AQ73, ","))), SUM(VALUE(_xlfn.TEXTSPLIT(AN73, ",")))*IF(M73, M73, 1))/16, 1), "#,##0.0"), " tiles{}")</f>
        <v>{BLACK}Length: {GOLD}0.4 tiles{}</v>
      </c>
      <c r="CD73" s="1" t="str">
        <f aca="false">VLOOKUP($CB73, Constants!$M:$N, 2, FALSE())</f>
        <v/>
      </c>
      <c r="CE73" s="1" t="str">
        <f aca="false">IF(M73&gt;1,_xlfn.CONCAT("{BLACK}Cars: {GOLD}", M73),"")</f>
        <v/>
      </c>
      <c r="CF73" s="1" t="s">
        <v>470</v>
      </c>
      <c r="CG73" s="1" t="str">
        <f aca="false">IF(BX73="buffet","{YELLOW}25% long distance bonus for consist{}",IF(BY73="BRAKE","{YELLOW}Speed bonus for slow wagons{}",IF(BU73&gt;190,CONCATENATE("{YELLOW}",INT((BU73-185)/1.85),"% bonus for long distance travel{}"),IF(AND(BU73&lt;180,BU73&lt;&gt;0),CONCATENATE("{YELLOW}",INT((185-BU73)/1.85),"% penalty for long distance travel{}"),""))))</f>
        <v/>
      </c>
      <c r="CH73" s="1" t="str">
        <f aca="false">_xlfn.CONCAT(CD73,IF(CD73 &lt;&gt; "", " ", ""),CE73,IF(OR(CE73&lt;&gt;"", CD73&lt;&gt;""), "{}",""), CC73, CG73,"{SILVER}", CF73)</f>
        <v>{BLACK}Length: {GOLD}0.4 tiles{}{SILVER}The native design of LMS Brake Van had a sizable veranda at both ends. Once again, they lasted well into BR ownership as part of Engineers’ trains.</v>
      </c>
      <c r="CI73" s="1"/>
      <c r="CJ73" s="1"/>
    </row>
    <row r="74" customFormat="false" ht="13.8" hidden="false" customHeight="false" outlineLevel="0" collapsed="false">
      <c r="A74" s="18" t="s">
        <v>471</v>
      </c>
      <c r="B74" s="18" t="s">
        <v>472</v>
      </c>
      <c r="C74" s="1" t="n">
        <v>21</v>
      </c>
      <c r="E74" s="1" t="n">
        <v>1021</v>
      </c>
      <c r="F74" s="1" t="s">
        <v>89</v>
      </c>
      <c r="G74" s="1" t="s">
        <v>445</v>
      </c>
      <c r="H74" s="1" t="s">
        <v>445</v>
      </c>
      <c r="I74" s="1" t="s">
        <v>153</v>
      </c>
      <c r="J74" s="1" t="n">
        <v>1936</v>
      </c>
      <c r="K74" s="1" t="n">
        <v>1962</v>
      </c>
      <c r="L74" s="1" t="n">
        <v>1966</v>
      </c>
      <c r="W74" s="1" t="n">
        <v>10.1</v>
      </c>
      <c r="Y74" s="1" t="n">
        <v>4</v>
      </c>
      <c r="AA74" s="4" t="str">
        <f aca="false">IF(AND(W74&gt;0,Z74&gt;0),(Z74/((W74+X74)*10)),"")</f>
        <v/>
      </c>
      <c r="AB74" s="1" t="n">
        <v>45</v>
      </c>
      <c r="AC74" s="1" t="n">
        <f aca="false">ROUND(AB74*1.6, 0)</f>
        <v>72</v>
      </c>
      <c r="AF74" s="1" t="n">
        <v>10</v>
      </c>
      <c r="AG74" s="1" t="n">
        <v>10</v>
      </c>
      <c r="AH74" s="1" t="n">
        <v>2.5</v>
      </c>
      <c r="AI74" s="1" t="n">
        <v>3.35</v>
      </c>
      <c r="AJ74" s="5" t="n">
        <v>20</v>
      </c>
      <c r="AK74" s="19" t="str">
        <f aca="false">CONCATENATE(VLOOKUP(AL74, 'Voxel Sizes'!$A$2:$B$18,2,FALSE()),"x",INT(AH74*15), "x", INT(AI74*15))</f>
        <v>102x37x50</v>
      </c>
      <c r="AL74" s="1" t="n">
        <f aca="false">ROUND(15*((AG74*10)/256),0)</f>
        <v>6</v>
      </c>
      <c r="AN74" s="1" t="str">
        <f aca="false">CONCATENATE(VLOOKUP(AL74,Constants!$A$2:$C$16,IF(AM74&lt;&gt;"", 3, 2), FALSE()),IF(AM74&lt;&gt;"",CONCATENATE(",",VLOOKUP(AM74,$B:$AN,38,FALSE())),""))</f>
        <v>2,2,2</v>
      </c>
      <c r="AX74" s="1" t="n">
        <v>30</v>
      </c>
      <c r="AY74" s="6" t="n">
        <f aca="false">IF(L74&lt;&gt;"",MAX(16,(L74-J74)+8),"")</f>
        <v>38</v>
      </c>
      <c r="AZ74" s="1" t="n">
        <v>5</v>
      </c>
      <c r="BB74" s="1" t="n">
        <f aca="false">MIN(AB74/150, 1)*30</f>
        <v>9</v>
      </c>
      <c r="BC74" s="1" t="n">
        <f aca="false">MIN(N74/4000, 1)*20</f>
        <v>0</v>
      </c>
      <c r="BD74" s="1" t="n">
        <f aca="false">MIN(Z74/400,1)*20</f>
        <v>0</v>
      </c>
      <c r="BE74" s="4" t="n">
        <f aca="false">1-(MAX(J74-1900, 0)/750)</f>
        <v>0.952</v>
      </c>
      <c r="BF74" s="1" t="n">
        <f aca="false">((MAX($M74,1)*MIN($AJ74/300,1)))*IF(G74="Wagon",50,10)</f>
        <v>3.33333333333333</v>
      </c>
      <c r="BG74" s="1" t="n">
        <f aca="false">VLOOKUP($H74,Constants!$I:$K, 2, FALSE())</f>
        <v>1</v>
      </c>
      <c r="BH74" s="1" t="n">
        <f aca="false">VLOOKUP($H74,Constants!$I:$K, 3, FALSE())*IF(AND(G74="multiple_unit",AB74&lt;110),0.75,1)</f>
        <v>0.45</v>
      </c>
      <c r="BI74" s="1" t="n">
        <f aca="false">INT(POWER(((Constants!$G$2+$BB74+$BC74+$BD74+$BF74)*$BE74)*$BH74, 1.05))+$BA74</f>
        <v>8</v>
      </c>
      <c r="BJ74" s="1" t="n">
        <f aca="false">INT(POWER((((Constants!$G$1+$BB74+$BC74+$BD74+$BF74)*($BE74))*$BG74),IF($G74="wagon",1,1.2)))+$AZ74</f>
        <v>31</v>
      </c>
      <c r="BK74" s="20" t="n">
        <f aca="false">BI74*IF($G74="wagon",62.5,781.25)</f>
        <v>500</v>
      </c>
      <c r="BL74" s="20" t="n">
        <f aca="false">BJ74*IF($G74="wagon",2.73,81.25)</f>
        <v>84.63</v>
      </c>
      <c r="BT74" s="1" t="n">
        <v>1</v>
      </c>
      <c r="BU74" s="1" t="n">
        <v>185</v>
      </c>
      <c r="BV74" s="1" t="s">
        <v>459</v>
      </c>
      <c r="BX74" s="1" t="s">
        <v>473</v>
      </c>
      <c r="BY74" s="1" t="str">
        <f aca="false">VLOOKUP(J74,Eras!$A$2:$C$10, 2, TRUE())</f>
        <v>big4</v>
      </c>
      <c r="BZ74" s="18" t="s">
        <v>448</v>
      </c>
      <c r="CA74" s="1" t="str">
        <f aca="false">CONCATENATE(BY74,"_",BZ74)</f>
        <v>big4_Tanker</v>
      </c>
      <c r="CB74" s="1" t="str">
        <f aca="false">_xlfn.CONCAT(H74, "_",I74)</f>
        <v>wagon_RAIL</v>
      </c>
      <c r="CC74" s="21" t="str">
        <f aca="false">_xlfn.CONCAT("{BLACK}Length: {GOLD}", TEXT(ROUNDUP(IF(AQ74&lt;&gt;"",SUM(VALUE(_xlfn.TEXTSPLIT(AQ74, ","))), SUM(VALUE(_xlfn.TEXTSPLIT(AN74, ",")))*IF(M74, M74, 1))/16, 1), "#,##0.0"), " tiles{}")</f>
        <v>{BLACK}Length: {GOLD}0.4 tiles{}</v>
      </c>
      <c r="CD74" s="1" t="str">
        <f aca="false">VLOOKUP($CB74, Constants!$M:$N, 2, FALSE())</f>
        <v/>
      </c>
      <c r="CE74" s="1" t="str">
        <f aca="false">IF(M74&gt;1,_xlfn.CONCAT("{BLACK}Cars: {GOLD}", M74),"")</f>
        <v/>
      </c>
      <c r="CF74" s="1" t="s">
        <v>474</v>
      </c>
      <c r="CG74" s="1" t="str">
        <f aca="false">IF(BW74="buffet","{YELLOW}25% long distance bonus for consist{}",IF(BY74="BRAKE","{YELLOW}Speed bonus for slow wagons{}",IF(BU74&gt;190,CONCATENATE("{YELLOW}",INT((BU74-185)/1.85),"% bonus for long distance travel{}"),IF(AND(BU74&lt;180,BU74&lt;&gt;0),CONCATENATE("{YELLOW}",INT((185-BU74)/1.85),"% penalty for long distance travel{}"),""))))</f>
        <v/>
      </c>
      <c r="CH74" s="1" t="str">
        <f aca="false">_xlfn.CONCAT(CD74,IF(CD74 &lt;&gt; "", " ", ""),CE74,IF(OR(CE74&lt;&gt;"", CD74&lt;&gt;""), "{}",""), CC74, CG74,"{SILVER}", CF74)</f>
        <v>{BLACK}Length: {GOLD}0.4 tiles{}{SILVER}The LMS Grain Hooper was later standardised into the BR COVGRAIN standard design. Long-distance bulk grain service in covered hoppers was a significant efficiency gain over shipping bagged grain by the vanload.</v>
      </c>
      <c r="CI74" s="1"/>
      <c r="CJ74" s="1"/>
    </row>
    <row r="75" customFormat="false" ht="13.8" hidden="false" customHeight="false" outlineLevel="0" collapsed="false">
      <c r="A75" s="18" t="s">
        <v>475</v>
      </c>
      <c r="B75" s="18" t="s">
        <v>476</v>
      </c>
      <c r="C75" s="1" t="n">
        <v>98</v>
      </c>
      <c r="E75" s="1" t="n">
        <v>1092</v>
      </c>
      <c r="F75" s="1" t="s">
        <v>89</v>
      </c>
      <c r="G75" s="1" t="s">
        <v>445</v>
      </c>
      <c r="H75" s="1" t="s">
        <v>463</v>
      </c>
      <c r="I75" s="1" t="s">
        <v>153</v>
      </c>
      <c r="J75" s="1" t="n">
        <v>1936</v>
      </c>
      <c r="K75" s="1" t="n">
        <v>1990</v>
      </c>
      <c r="L75" s="1" t="n">
        <v>1998</v>
      </c>
      <c r="W75" s="1" t="n">
        <v>26</v>
      </c>
      <c r="Y75" s="1" t="n">
        <v>4</v>
      </c>
      <c r="AA75" s="4" t="str">
        <f aca="false">IF(AND(W75&gt;0,Z75&gt;0),(Z75/((W75+X75)*10)),"")</f>
        <v/>
      </c>
      <c r="AB75" s="1" t="n">
        <v>75</v>
      </c>
      <c r="AC75" s="1" t="n">
        <f aca="false">ROUND(AB75*1.6, 0)</f>
        <v>120</v>
      </c>
      <c r="AF75" s="1" t="n">
        <v>12.8</v>
      </c>
      <c r="AG75" s="1" t="n">
        <v>12.8</v>
      </c>
      <c r="AH75" s="1" t="n">
        <v>2.5</v>
      </c>
      <c r="AI75" s="1" t="n">
        <v>3.35</v>
      </c>
      <c r="AJ75" s="5" t="n">
        <v>0</v>
      </c>
      <c r="AK75" s="19" t="str">
        <f aca="false">CONCATENATE(VLOOKUP(AL75, 'Voxel Sizes'!$A$2:$B$18,2,FALSE()),"x",INT(AH75*15), "x", INT(AI75*15))</f>
        <v>136x37x50</v>
      </c>
      <c r="AL75" s="1" t="n">
        <f aca="false">ROUND(15*((AG75*10)/256),0)</f>
        <v>8</v>
      </c>
      <c r="AN75" s="1" t="str">
        <f aca="false">CONCATENATE(VLOOKUP(AL75,Constants!$A$2:$C$16,IF(AM75&lt;&gt;"", 3, 2), FALSE()),IF(AM75&lt;&gt;"",CONCATENATE(",",VLOOKUP(AM75,$B:$AN,38,FALSE())),""))</f>
        <v>2,4,2</v>
      </c>
      <c r="AX75" s="1" t="n">
        <v>50</v>
      </c>
      <c r="AY75" s="6" t="n">
        <f aca="false">IF(L75&lt;&gt;"",MAX(16,(L75-J75)+8),"")</f>
        <v>70</v>
      </c>
      <c r="BB75" s="1" t="n">
        <f aca="false">MIN(AB75/150, 1)*30</f>
        <v>15</v>
      </c>
      <c r="BC75" s="1" t="n">
        <f aca="false">MIN(N75/4000, 1)*20</f>
        <v>0</v>
      </c>
      <c r="BD75" s="1" t="n">
        <f aca="false">MIN(Z75/400,1)*20</f>
        <v>0</v>
      </c>
      <c r="BE75" s="4" t="n">
        <f aca="false">1-(MAX(J75-1900, 0)/750)</f>
        <v>0.952</v>
      </c>
      <c r="BF75" s="1" t="n">
        <f aca="false">((MAX($M75,1)*MIN($AJ75/300,1)))*IF(G75="Wagon",50,10)</f>
        <v>0</v>
      </c>
      <c r="BG75" s="1" t="n">
        <f aca="false">VLOOKUP($H75,Constants!$I:$K, 2, FALSE())</f>
        <v>1</v>
      </c>
      <c r="BH75" s="1" t="n">
        <f aca="false">VLOOKUP($H75,Constants!$I:$K, 3, FALSE())*IF(AND(G75="multiple_unit",AB75&lt;110),0.75,1)</f>
        <v>0.4</v>
      </c>
      <c r="BI75" s="1" t="n">
        <f aca="false">INT(POWER(((Constants!$G$2+$BB75+$BC75+$BD75+$BF75)*$BE75)*$BH75, 1.05))+$BA75</f>
        <v>8</v>
      </c>
      <c r="BJ75" s="1" t="n">
        <f aca="false">INT(POWER((((Constants!$G$1+$BB75+$BC75+$BD75+$BF75)*($BE75))*$BG75),IF($G75="wagon",1,1.2)))+$AZ75</f>
        <v>28</v>
      </c>
      <c r="BK75" s="20" t="n">
        <f aca="false">BI75*IF($G75="wagon",62.5,781.25)</f>
        <v>500</v>
      </c>
      <c r="BL75" s="20" t="n">
        <f aca="false">BJ75*IF($G75="wagon",2.73,81.25)</f>
        <v>76.44</v>
      </c>
      <c r="BT75" s="1" t="n">
        <v>1</v>
      </c>
      <c r="BV75" s="18" t="s">
        <v>464</v>
      </c>
      <c r="BW75" s="18"/>
      <c r="BX75" s="18" t="s">
        <v>465</v>
      </c>
      <c r="BY75" s="1" t="str">
        <f aca="false">VLOOKUP(J75,Eras!$A$2:$C$10, 2, TRUE())</f>
        <v>big4</v>
      </c>
      <c r="BZ75" s="18" t="s">
        <v>466</v>
      </c>
      <c r="CA75" s="1" t="str">
        <f aca="false">CONCATENATE(BY75,"_",BZ75)</f>
        <v>big4_Extra</v>
      </c>
      <c r="CB75" s="1" t="str">
        <f aca="false">_xlfn.CONCAT(H75, "_",I75)</f>
        <v>brake_RAIL</v>
      </c>
      <c r="CC75" s="21" t="str">
        <f aca="false">_xlfn.CONCAT("{BLACK}Length: {GOLD}", TEXT(ROUNDUP(IF(AQ75&lt;&gt;"",SUM(VALUE(_xlfn.TEXTSPLIT(AQ75, ","))), SUM(VALUE(_xlfn.TEXTSPLIT(AN75, ",")))*IF(M75, M75, 1))/16, 1), "#,##0.0"), " tiles{}")</f>
        <v>{BLACK}Length: {GOLD}0.5 tiles{}</v>
      </c>
      <c r="CD75" s="1" t="str">
        <f aca="false">VLOOKUP($CB75, Constants!$M:$N, 2, FALSE())</f>
        <v/>
      </c>
      <c r="CE75" s="1" t="str">
        <f aca="false">IF(M75&gt;1,_xlfn.CONCAT("{BLACK}Cars: {GOLD}", M75),"")</f>
        <v/>
      </c>
      <c r="CF75" s="1" t="s">
        <v>477</v>
      </c>
      <c r="CG75" s="1" t="str">
        <f aca="false">IF(BX75="buffet","{YELLOW}25% long distance bonus for consist{}",IF(BY75="BRAKE","{YELLOW}Speed bonus for slow wagons{}",IF(BU75&gt;190,CONCATENATE("{YELLOW}",INT((BU75-185)/1.85),"% bonus for long distance travel{}"),IF(AND(BU75&lt;180,BU75&lt;&gt;0),CONCATENATE("{YELLOW}",INT((185-BU75)/1.85),"% penalty for long distance travel{}"),""))))</f>
        <v/>
      </c>
      <c r="CH75" s="1" t="str">
        <f aca="false">_xlfn.CONCAT(CD75,IF(CD75 &lt;&gt; "", " ", ""),CE75,IF(OR(CE75&lt;&gt;"", CD75&lt;&gt;""), "{}",""), CC75, CG75,"{SILVER}", CF75)</f>
        <v>{BLACK}Length: {GOLD}0.5 tiles{}{SILVER}The first SR ‘Queen Mary’ Brake vans converted from LBSCR ‘Milk Van’ MLVs, and lasted in departmental and limited freight service into the 2000s! A shed on rails with a stove and a desk has 1000 uses.</v>
      </c>
      <c r="CI75" s="1"/>
      <c r="CJ75" s="1"/>
    </row>
    <row r="76" s="18" customFormat="true" ht="13.8" hidden="false" customHeight="false" outlineLevel="0" collapsed="false">
      <c r="A76" s="18" t="s">
        <v>478</v>
      </c>
      <c r="B76" s="18" t="s">
        <v>479</v>
      </c>
      <c r="C76" s="1" t="n">
        <v>99</v>
      </c>
      <c r="D76" s="1" t="n">
        <v>98</v>
      </c>
      <c r="E76" s="1" t="n">
        <v>1093</v>
      </c>
      <c r="F76" s="1" t="s">
        <v>89</v>
      </c>
      <c r="G76" s="1" t="s">
        <v>445</v>
      </c>
      <c r="H76" s="1" t="s">
        <v>463</v>
      </c>
      <c r="I76" s="1" t="s">
        <v>153</v>
      </c>
      <c r="J76" s="1" t="n">
        <v>1936</v>
      </c>
      <c r="K76" s="1" t="n">
        <v>1990</v>
      </c>
      <c r="L76" s="1" t="n">
        <v>1998</v>
      </c>
      <c r="M76" s="1"/>
      <c r="N76" s="1"/>
      <c r="O76" s="2"/>
      <c r="P76" s="3"/>
      <c r="Q76" s="3"/>
      <c r="R76" s="3"/>
      <c r="S76" s="3"/>
      <c r="T76" s="3"/>
      <c r="U76" s="3"/>
      <c r="V76" s="3"/>
      <c r="W76" s="1" t="n">
        <v>26</v>
      </c>
      <c r="X76" s="2"/>
      <c r="Y76" s="1" t="n">
        <v>4</v>
      </c>
      <c r="Z76" s="1"/>
      <c r="AA76" s="4" t="str">
        <f aca="false">IF(AND(W76&gt;0,Z76&gt;0),(Z76/((W76+X76)*10)),"")</f>
        <v/>
      </c>
      <c r="AB76" s="1" t="n">
        <v>75</v>
      </c>
      <c r="AC76" s="1" t="n">
        <f aca="false">ROUND(AB76*1.6, 0)</f>
        <v>120</v>
      </c>
      <c r="AD76" s="1"/>
      <c r="AE76" s="1"/>
      <c r="AF76" s="1" t="n">
        <v>12.8</v>
      </c>
      <c r="AG76" s="1" t="n">
        <v>12.8</v>
      </c>
      <c r="AH76" s="1" t="n">
        <v>2.5</v>
      </c>
      <c r="AI76" s="1" t="n">
        <v>3.35</v>
      </c>
      <c r="AJ76" s="5" t="n">
        <v>0</v>
      </c>
      <c r="AK76" s="19" t="str">
        <f aca="false">CONCATENATE(VLOOKUP(AL76, 'Voxel Sizes'!$A$2:$B$18,2,FALSE()),"x",INT(AH76*15), "x", INT(AI76*15))</f>
        <v>136x37x50</v>
      </c>
      <c r="AL76" s="1" t="n">
        <f aca="false">ROUND(15*((AG76*10)/256),0)</f>
        <v>8</v>
      </c>
      <c r="AM76" s="1"/>
      <c r="AN76" s="1" t="str">
        <f aca="false">CONCATENATE(VLOOKUP(AL76,Constants!$A$2:$C$16,IF(AM76&lt;&gt;"", 3, 2), FALSE()),IF(AM76&lt;&gt;"",CONCATENATE(",",VLOOKUP(AM76,$B:$AN,38,FALSE())),""))</f>
        <v>2,4,2</v>
      </c>
      <c r="AO76" s="1"/>
      <c r="AP76" s="7"/>
      <c r="AQ76" s="7"/>
      <c r="AR76" s="1"/>
      <c r="AS76" s="1"/>
      <c r="AT76" s="1"/>
      <c r="AU76" s="1"/>
      <c r="AV76" s="1"/>
      <c r="AW76" s="1"/>
      <c r="AX76" s="1" t="n">
        <v>50</v>
      </c>
      <c r="AY76" s="6" t="n">
        <f aca="false">IF(L76&lt;&gt;"",MAX(16,(L76-J76)+8),"")</f>
        <v>70</v>
      </c>
      <c r="AZ76" s="1"/>
      <c r="BA76" s="1"/>
      <c r="BB76" s="1" t="n">
        <f aca="false">MIN(AB76/150, 1)*30</f>
        <v>15</v>
      </c>
      <c r="BC76" s="1" t="n">
        <f aca="false">MIN(N76/4000, 1)*20</f>
        <v>0</v>
      </c>
      <c r="BD76" s="1" t="n">
        <f aca="false">MIN(Z76/400,1)*20</f>
        <v>0</v>
      </c>
      <c r="BE76" s="4" t="n">
        <f aca="false">1-(MAX(J76-1900, 0)/750)</f>
        <v>0.952</v>
      </c>
      <c r="BF76" s="1" t="n">
        <f aca="false">((MAX($M76,1)*MIN($AJ76/300,1)))*IF(G76="Wagon",50,10)</f>
        <v>0</v>
      </c>
      <c r="BG76" s="1" t="n">
        <f aca="false">VLOOKUP($H76,Constants!$I:$K, 2, FALSE())</f>
        <v>1</v>
      </c>
      <c r="BH76" s="1" t="n">
        <f aca="false">VLOOKUP($H76,Constants!$I:$K, 3, FALSE())*IF(AND(G76="multiple_unit",AB76&lt;110),0.75,1)</f>
        <v>0.4</v>
      </c>
      <c r="BI76" s="1" t="n">
        <f aca="false">INT(POWER(((Constants!$G$2+$BB76+$BC76+$BD76+$BF76)*$BE76)*$BH76, 1.05))+$BA76</f>
        <v>8</v>
      </c>
      <c r="BJ76" s="1" t="n">
        <f aca="false">INT(POWER((((Constants!$G$1+$BB76+$BC76+$BD76+$BF76)*($BE76))*$BG76),IF($G76="wagon",1,1.2)))+$AZ76</f>
        <v>28</v>
      </c>
      <c r="BK76" s="20" t="n">
        <f aca="false">BI76*IF($G76="wagon",62.5,781.25)</f>
        <v>500</v>
      </c>
      <c r="BL76" s="20" t="n">
        <f aca="false">BJ76*IF($G76="wagon",2.73,81.25)</f>
        <v>76.44</v>
      </c>
      <c r="BM76" s="1"/>
      <c r="BN76" s="1"/>
      <c r="BO76" s="1"/>
      <c r="BP76" s="1"/>
      <c r="BQ76" s="1"/>
      <c r="BR76" s="1"/>
      <c r="BS76" s="1"/>
      <c r="BT76" s="1" t="n">
        <v>1</v>
      </c>
      <c r="BU76" s="1"/>
      <c r="BX76" s="18" t="s">
        <v>465</v>
      </c>
      <c r="BY76" s="1" t="str">
        <f aca="false">VLOOKUP(J76,Eras!$A$2:$C$10, 2, TRUE())</f>
        <v>big4</v>
      </c>
      <c r="BZ76" s="18" t="s">
        <v>466</v>
      </c>
      <c r="CA76" s="1" t="str">
        <f aca="false">CONCATENATE(BY76,"_",BZ76)</f>
        <v>big4_Extra</v>
      </c>
      <c r="CB76" s="1" t="str">
        <f aca="false">_xlfn.CONCAT(H76, "_",I76)</f>
        <v>brake_RAIL</v>
      </c>
      <c r="CC76" s="21" t="str">
        <f aca="false">_xlfn.CONCAT("{BLACK}Length: {GOLD}", TEXT(ROUNDUP(IF(AQ76&lt;&gt;"",SUM(VALUE(_xlfn.TEXTSPLIT(AQ76, ","))), SUM(VALUE(_xlfn.TEXTSPLIT(AN76, ",")))*IF(M76, M76, 1))/16, 1), "#,##0.0"), " tiles{}")</f>
        <v>{BLACK}Length: {GOLD}0.5 tiles{}</v>
      </c>
      <c r="CD76" s="1" t="str">
        <f aca="false">VLOOKUP($CB76, Constants!$M:$N, 2, FALSE())</f>
        <v/>
      </c>
      <c r="CE76" s="1" t="str">
        <f aca="false">IF(M76&gt;1,_xlfn.CONCAT("{BLACK}Cars: {GOLD}", M76),"")</f>
        <v/>
      </c>
      <c r="CF76" s="1" t="s">
        <v>480</v>
      </c>
      <c r="CG76" s="1" t="str">
        <f aca="false">IF(BX76="buffet","{YELLOW}25% long distance bonus for consist{}",IF(BY76="BRAKE","{YELLOW}Speed bonus for slow wagons{}",IF(BU76&gt;190,CONCATENATE("{YELLOW}",INT((BU76-185)/1.85),"% bonus for long distance travel{}"),IF(AND(BU76&lt;180,BU76&lt;&gt;0),CONCATENATE("{YELLOW}",INT((185-BU76)/1.85),"% penalty for long distance travel{}"),""))))</f>
        <v/>
      </c>
      <c r="CH76" s="1" t="str">
        <f aca="false">_xlfn.CONCAT(CD76,IF(CD76 &lt;&gt; "", " ", ""),CE76,IF(OR(CE76&lt;&gt;"", CD76&lt;&gt;""), "{}",""), CC76, CG76,"{SILVER}", CF76)</f>
        <v>{BLACK}Length: {GOLD}0.5 tiles{}{SILVER}The first SR ‘Queen Mary’ Brake vans converted from LBSCR ‘Milk Van’ MLVs, and lasted in departmental and limited freight service into the 2000s! A shed on rails with a stove and a desk has 1000 uses. This variant is in the alternate company colour scheme.</v>
      </c>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c r="EF76" s="1"/>
      <c r="EG76" s="1"/>
      <c r="EH76" s="1"/>
      <c r="EI76" s="1"/>
      <c r="EJ76" s="1"/>
      <c r="EK76" s="1"/>
      <c r="EL76" s="1"/>
      <c r="EM76" s="1"/>
      <c r="EN76" s="1"/>
      <c r="EO76" s="1"/>
      <c r="EP76" s="1"/>
      <c r="EQ76" s="1"/>
      <c r="ER76" s="1"/>
      <c r="ES76" s="1"/>
      <c r="ET76" s="1"/>
      <c r="EU76" s="1"/>
      <c r="EV76" s="1"/>
      <c r="EW76" s="1"/>
      <c r="EX76" s="1"/>
      <c r="EY76" s="1"/>
      <c r="EZ76" s="1"/>
      <c r="FA76" s="1"/>
      <c r="FB76" s="1"/>
      <c r="FC76" s="1"/>
      <c r="FD76" s="1"/>
      <c r="FE76" s="1"/>
      <c r="FF76" s="1"/>
      <c r="FG76" s="1"/>
      <c r="FH76" s="1"/>
      <c r="FI76" s="1"/>
      <c r="FJ76" s="1"/>
      <c r="FK76" s="1"/>
      <c r="FL76" s="1"/>
      <c r="FM76" s="1"/>
      <c r="FN76" s="1"/>
      <c r="FO76" s="1"/>
      <c r="FP76" s="1"/>
      <c r="FQ76" s="1"/>
      <c r="FR76" s="1"/>
      <c r="FS76" s="1"/>
      <c r="FT76" s="1"/>
      <c r="FU76" s="1"/>
      <c r="FV76" s="1"/>
      <c r="FW76" s="1"/>
      <c r="FX76" s="1"/>
      <c r="FY76" s="1"/>
      <c r="FZ76" s="1"/>
      <c r="GA76" s="1"/>
      <c r="GB76" s="1"/>
      <c r="GC76" s="1"/>
      <c r="GD76" s="1"/>
      <c r="GE76" s="1"/>
      <c r="GF76" s="1"/>
      <c r="GG76" s="1"/>
      <c r="GH76" s="1"/>
      <c r="GI76" s="1"/>
      <c r="GJ76" s="1"/>
      <c r="GK76" s="1"/>
      <c r="GL76" s="1"/>
      <c r="GM76" s="1"/>
      <c r="GN76" s="1"/>
      <c r="GO76" s="1"/>
      <c r="GP76" s="1"/>
      <c r="GQ76" s="1"/>
      <c r="GR76" s="1"/>
      <c r="GS76" s="1"/>
      <c r="GT76" s="1"/>
      <c r="GU76" s="1"/>
      <c r="GV76" s="1"/>
      <c r="GW76" s="1"/>
      <c r="GX76" s="1"/>
      <c r="GY76" s="1"/>
      <c r="GZ76" s="1"/>
      <c r="HA76" s="1"/>
      <c r="HB76" s="1"/>
      <c r="HC76" s="1"/>
      <c r="HD76" s="1"/>
      <c r="HE76" s="1"/>
      <c r="HF76" s="1"/>
      <c r="HG76" s="1"/>
      <c r="HH76" s="1"/>
      <c r="HI76" s="1"/>
      <c r="HJ76" s="1"/>
      <c r="HK76" s="1"/>
      <c r="HL76" s="1"/>
      <c r="HM76" s="1"/>
      <c r="HN76" s="1"/>
      <c r="HO76" s="1"/>
      <c r="HP76" s="1"/>
      <c r="HQ76" s="1"/>
      <c r="HR76" s="1"/>
      <c r="HS76" s="1"/>
      <c r="HT76" s="1"/>
      <c r="HU76" s="1"/>
      <c r="HV76" s="1"/>
      <c r="HW76" s="1"/>
      <c r="HX76" s="1"/>
      <c r="HY76" s="1"/>
      <c r="HZ76" s="1"/>
      <c r="IA76" s="1"/>
      <c r="IB76" s="1"/>
      <c r="IC76" s="1"/>
      <c r="ID76" s="1"/>
      <c r="IE76" s="1"/>
      <c r="IF76" s="1"/>
      <c r="IG76" s="1"/>
      <c r="IH76" s="1"/>
      <c r="II76" s="1"/>
      <c r="IJ76" s="1"/>
      <c r="IK76" s="1"/>
      <c r="IL76" s="1"/>
      <c r="IM76" s="1"/>
      <c r="IN76" s="1"/>
      <c r="IO76" s="1"/>
      <c r="IP76" s="1"/>
      <c r="IQ76" s="1"/>
      <c r="IR76" s="1"/>
      <c r="IS76" s="1"/>
      <c r="IT76" s="1"/>
      <c r="IU76" s="1"/>
      <c r="IV76" s="1"/>
      <c r="IW76" s="1"/>
      <c r="IX76" s="1"/>
      <c r="IY76" s="1"/>
      <c r="IZ76" s="1"/>
      <c r="JA76" s="1"/>
      <c r="JB76" s="1"/>
      <c r="JC76" s="1"/>
      <c r="JD76" s="1"/>
      <c r="JE76" s="1"/>
      <c r="JF76" s="1"/>
      <c r="JG76" s="1"/>
      <c r="JH76" s="1"/>
      <c r="JI76" s="1"/>
      <c r="JJ76" s="1"/>
      <c r="JK76" s="1"/>
      <c r="JL76" s="1"/>
      <c r="JM76" s="1"/>
      <c r="JN76" s="1"/>
      <c r="JO76" s="1"/>
      <c r="JP76" s="1"/>
      <c r="JQ76" s="1"/>
      <c r="JR76" s="1"/>
      <c r="JS76" s="1"/>
      <c r="JT76" s="1"/>
      <c r="JU76" s="1"/>
      <c r="JV76" s="1"/>
      <c r="JW76" s="1"/>
      <c r="JX76" s="1"/>
      <c r="JY76" s="1"/>
      <c r="JZ76" s="1"/>
      <c r="KA76" s="1"/>
      <c r="KB76" s="1"/>
      <c r="KC76" s="1"/>
      <c r="KD76" s="1"/>
      <c r="KE76" s="1"/>
      <c r="KF76" s="1"/>
      <c r="KG76" s="1"/>
      <c r="KH76" s="1"/>
      <c r="KI76" s="1"/>
      <c r="KJ76" s="1"/>
      <c r="KK76" s="1"/>
      <c r="KL76" s="1"/>
      <c r="KM76" s="1"/>
      <c r="KN76" s="1"/>
      <c r="KO76" s="1"/>
      <c r="KP76" s="1"/>
      <c r="KQ76" s="1"/>
      <c r="KR76" s="1"/>
      <c r="KS76" s="1"/>
      <c r="KT76" s="1"/>
      <c r="KU76" s="1"/>
      <c r="KV76" s="1"/>
      <c r="KW76" s="1"/>
      <c r="KX76" s="1"/>
      <c r="KY76" s="1"/>
      <c r="KZ76" s="1"/>
      <c r="LA76" s="1"/>
      <c r="LB76" s="1"/>
      <c r="LC76" s="1"/>
      <c r="LD76" s="1"/>
      <c r="LE76" s="1"/>
      <c r="LF76" s="1"/>
      <c r="LG76" s="1"/>
      <c r="LH76" s="1"/>
      <c r="LI76" s="1"/>
      <c r="LJ76" s="1"/>
      <c r="LK76" s="1"/>
      <c r="LL76" s="1"/>
      <c r="LM76" s="1"/>
      <c r="LN76" s="1"/>
      <c r="LO76" s="1"/>
      <c r="LP76" s="1"/>
      <c r="LQ76" s="1"/>
      <c r="LR76" s="1"/>
      <c r="LS76" s="1"/>
      <c r="LT76" s="1"/>
      <c r="LU76" s="1"/>
      <c r="LV76" s="1"/>
      <c r="LW76" s="1"/>
      <c r="LX76" s="1"/>
      <c r="LY76" s="1"/>
      <c r="LZ76" s="1"/>
      <c r="MA76" s="1"/>
      <c r="MB76" s="1"/>
      <c r="MC76" s="1"/>
      <c r="MD76" s="1"/>
      <c r="ME76" s="1"/>
      <c r="MF76" s="1"/>
      <c r="MG76" s="1"/>
      <c r="MH76" s="1"/>
      <c r="MI76" s="1"/>
      <c r="MJ76" s="1"/>
      <c r="MK76" s="1"/>
      <c r="ML76" s="1"/>
      <c r="MM76" s="1"/>
      <c r="MN76" s="1"/>
      <c r="MO76" s="1"/>
      <c r="MP76" s="1"/>
      <c r="MQ76" s="1"/>
      <c r="MR76" s="1"/>
      <c r="MS76" s="1"/>
      <c r="MT76" s="1"/>
      <c r="MU76" s="1"/>
      <c r="MV76" s="1"/>
      <c r="MW76" s="1"/>
      <c r="MX76" s="1"/>
      <c r="MY76" s="1"/>
      <c r="MZ76" s="1"/>
      <c r="NA76" s="1"/>
      <c r="NB76" s="1"/>
      <c r="NC76" s="1"/>
      <c r="ND76" s="1"/>
      <c r="NE76" s="1"/>
      <c r="NF76" s="1"/>
      <c r="NG76" s="1"/>
      <c r="NH76" s="1"/>
      <c r="NI76" s="1"/>
      <c r="NJ76" s="1"/>
      <c r="NK76" s="1"/>
      <c r="NL76" s="1"/>
      <c r="NM76" s="1"/>
      <c r="NN76" s="1"/>
      <c r="NO76" s="1"/>
      <c r="NP76" s="1"/>
      <c r="NQ76" s="1"/>
      <c r="NR76" s="1"/>
      <c r="NS76" s="1"/>
      <c r="NT76" s="1"/>
      <c r="NU76" s="1"/>
      <c r="NV76" s="1"/>
      <c r="NW76" s="1"/>
      <c r="NX76" s="1"/>
      <c r="NY76" s="1"/>
      <c r="NZ76" s="1"/>
      <c r="OA76" s="1"/>
      <c r="OB76" s="1"/>
      <c r="OC76" s="1"/>
      <c r="OD76" s="1"/>
      <c r="OE76" s="1"/>
      <c r="OF76" s="1"/>
      <c r="OG76" s="1"/>
      <c r="OH76" s="1"/>
      <c r="OI76" s="1"/>
      <c r="OJ76" s="1"/>
      <c r="OK76" s="1"/>
      <c r="OL76" s="1"/>
      <c r="OM76" s="1"/>
      <c r="ON76" s="1"/>
      <c r="OO76" s="1"/>
      <c r="OP76" s="1"/>
      <c r="OQ76" s="1"/>
      <c r="OR76" s="1"/>
      <c r="OS76" s="1"/>
      <c r="OT76" s="1"/>
      <c r="OU76" s="1"/>
      <c r="OV76" s="1"/>
      <c r="OW76" s="1"/>
      <c r="OX76" s="1"/>
      <c r="OY76" s="1"/>
      <c r="OZ76" s="1"/>
      <c r="PA76" s="1"/>
      <c r="PB76" s="1"/>
      <c r="PC76" s="1"/>
      <c r="PD76" s="1"/>
      <c r="PE76" s="1"/>
      <c r="PF76" s="1"/>
      <c r="PG76" s="1"/>
      <c r="PH76" s="1"/>
      <c r="PI76" s="1"/>
      <c r="PJ76" s="1"/>
      <c r="PK76" s="1"/>
      <c r="PL76" s="1"/>
      <c r="PM76" s="1"/>
      <c r="PN76" s="1"/>
      <c r="PO76" s="1"/>
      <c r="PP76" s="1"/>
      <c r="PQ76" s="1"/>
      <c r="PR76" s="1"/>
      <c r="PS76" s="1"/>
      <c r="PT76" s="1"/>
      <c r="PU76" s="1"/>
      <c r="PV76" s="1"/>
      <c r="PW76" s="1"/>
      <c r="PX76" s="1"/>
      <c r="PY76" s="1"/>
      <c r="PZ76" s="1"/>
      <c r="QA76" s="1"/>
      <c r="QB76" s="1"/>
      <c r="QC76" s="1"/>
      <c r="QD76" s="1"/>
      <c r="QE76" s="1"/>
      <c r="QF76" s="1"/>
      <c r="QG76" s="1"/>
      <c r="QH76" s="1"/>
      <c r="QI76" s="1"/>
      <c r="QJ76" s="1"/>
      <c r="QK76" s="1"/>
      <c r="QL76" s="1"/>
      <c r="QM76" s="1"/>
      <c r="QN76" s="1"/>
      <c r="QO76" s="1"/>
      <c r="QP76" s="1"/>
      <c r="QQ76" s="1"/>
      <c r="QR76" s="1"/>
      <c r="QS76" s="1"/>
      <c r="QT76" s="1"/>
      <c r="QU76" s="1"/>
      <c r="QV76" s="1"/>
      <c r="QW76" s="1"/>
      <c r="QX76" s="1"/>
      <c r="QY76" s="1"/>
      <c r="QZ76" s="1"/>
      <c r="RA76" s="1"/>
      <c r="RB76" s="1"/>
      <c r="RC76" s="1"/>
      <c r="RD76" s="1"/>
      <c r="RE76" s="1"/>
      <c r="RF76" s="1"/>
      <c r="RG76" s="1"/>
      <c r="RH76" s="1"/>
      <c r="RI76" s="1"/>
      <c r="RJ76" s="1"/>
      <c r="RK76" s="1"/>
      <c r="RL76" s="1"/>
      <c r="RM76" s="1"/>
      <c r="RN76" s="1"/>
      <c r="RO76" s="1"/>
      <c r="RP76" s="1"/>
      <c r="RQ76" s="1"/>
      <c r="RR76" s="1"/>
      <c r="RS76" s="1"/>
      <c r="RT76" s="1"/>
      <c r="RU76" s="1"/>
      <c r="RV76" s="1"/>
      <c r="RW76" s="1"/>
      <c r="RX76" s="1"/>
      <c r="RY76" s="1"/>
      <c r="RZ76" s="1"/>
      <c r="SA76" s="1"/>
      <c r="SB76" s="1"/>
      <c r="SC76" s="1"/>
      <c r="SD76" s="1"/>
      <c r="SE76" s="1"/>
      <c r="SF76" s="1"/>
      <c r="SG76" s="1"/>
      <c r="SH76" s="1"/>
      <c r="SI76" s="1"/>
      <c r="SJ76" s="1"/>
      <c r="SK76" s="1"/>
      <c r="SL76" s="1"/>
      <c r="SM76" s="1"/>
      <c r="SN76" s="1"/>
      <c r="SO76" s="1"/>
      <c r="SP76" s="1"/>
      <c r="SQ76" s="1"/>
      <c r="SR76" s="1"/>
      <c r="SS76" s="1"/>
      <c r="ST76" s="1"/>
      <c r="SU76" s="1"/>
      <c r="SV76" s="1"/>
      <c r="SW76" s="1"/>
      <c r="SX76" s="1"/>
      <c r="SY76" s="1"/>
      <c r="SZ76" s="1"/>
      <c r="TA76" s="1"/>
      <c r="TB76" s="1"/>
      <c r="TC76" s="1"/>
      <c r="TD76" s="1"/>
      <c r="TE76" s="1"/>
      <c r="TF76" s="1"/>
      <c r="TG76" s="1"/>
      <c r="TH76" s="1"/>
      <c r="TI76" s="1"/>
      <c r="TJ76" s="1"/>
      <c r="TK76" s="1"/>
      <c r="TL76" s="1"/>
      <c r="TM76" s="1"/>
      <c r="TN76" s="1"/>
      <c r="TO76" s="1"/>
      <c r="TP76" s="1"/>
      <c r="TQ76" s="1"/>
      <c r="TR76" s="1"/>
      <c r="TS76" s="1"/>
      <c r="TT76" s="1"/>
      <c r="TU76" s="1"/>
      <c r="TV76" s="1"/>
      <c r="TW76" s="1"/>
      <c r="TX76" s="1"/>
      <c r="TY76" s="1"/>
      <c r="TZ76" s="1"/>
      <c r="UA76" s="1"/>
      <c r="UB76" s="1"/>
      <c r="UC76" s="1"/>
      <c r="UD76" s="1"/>
      <c r="UE76" s="1"/>
      <c r="UF76" s="1"/>
      <c r="UG76" s="1"/>
      <c r="UH76" s="1"/>
      <c r="UI76" s="1"/>
      <c r="UJ76" s="1"/>
      <c r="UK76" s="1"/>
      <c r="UL76" s="1"/>
      <c r="UM76" s="1"/>
      <c r="UN76" s="1"/>
      <c r="UO76" s="1"/>
      <c r="UP76" s="1"/>
      <c r="UQ76" s="1"/>
      <c r="UR76" s="1"/>
      <c r="US76" s="1"/>
      <c r="UT76" s="1"/>
      <c r="UU76" s="1"/>
      <c r="UV76" s="1"/>
      <c r="UW76" s="1"/>
      <c r="UX76" s="1"/>
      <c r="UY76" s="1"/>
      <c r="UZ76" s="1"/>
      <c r="VA76" s="1"/>
      <c r="VB76" s="1"/>
      <c r="VC76" s="1"/>
      <c r="VD76" s="1"/>
      <c r="VE76" s="1"/>
      <c r="VF76" s="1"/>
      <c r="VG76" s="1"/>
      <c r="VH76" s="1"/>
      <c r="VI76" s="1"/>
      <c r="VJ76" s="1"/>
      <c r="VK76" s="1"/>
      <c r="VL76" s="1"/>
      <c r="VM76" s="1"/>
      <c r="VN76" s="1"/>
      <c r="VO76" s="1"/>
      <c r="VP76" s="1"/>
      <c r="VQ76" s="1"/>
      <c r="VR76" s="1"/>
      <c r="VS76" s="1"/>
      <c r="VT76" s="1"/>
      <c r="VU76" s="1"/>
      <c r="VV76" s="1"/>
      <c r="VW76" s="1"/>
      <c r="VX76" s="1"/>
      <c r="VY76" s="1"/>
      <c r="VZ76" s="1"/>
      <c r="WA76" s="1"/>
      <c r="WB76" s="1"/>
      <c r="WC76" s="1"/>
      <c r="WD76" s="1"/>
      <c r="WE76" s="1"/>
      <c r="WF76" s="1"/>
      <c r="WG76" s="1"/>
      <c r="WH76" s="1"/>
      <c r="WI76" s="1"/>
      <c r="WJ76" s="1"/>
      <c r="WK76" s="1"/>
      <c r="WL76" s="1"/>
      <c r="WM76" s="1"/>
      <c r="WN76" s="1"/>
      <c r="WO76" s="1"/>
      <c r="WP76" s="1"/>
      <c r="WQ76" s="1"/>
      <c r="WR76" s="1"/>
      <c r="WS76" s="1"/>
      <c r="WT76" s="1"/>
      <c r="WU76" s="1"/>
      <c r="WV76" s="1"/>
      <c r="WW76" s="1"/>
      <c r="WX76" s="1"/>
      <c r="WY76" s="1"/>
      <c r="WZ76" s="1"/>
      <c r="XA76" s="1"/>
      <c r="XB76" s="1"/>
      <c r="XC76" s="1"/>
      <c r="XD76" s="1"/>
      <c r="XE76" s="1"/>
      <c r="XF76" s="1"/>
      <c r="XG76" s="1"/>
      <c r="XH76" s="1"/>
      <c r="XI76" s="1"/>
      <c r="XJ76" s="1"/>
      <c r="XK76" s="1"/>
      <c r="XL76" s="1"/>
      <c r="XM76" s="1"/>
      <c r="XN76" s="1"/>
      <c r="XO76" s="1"/>
      <c r="XP76" s="1"/>
      <c r="XQ76" s="1"/>
      <c r="XR76" s="1"/>
      <c r="XS76" s="1"/>
      <c r="XT76" s="1"/>
      <c r="XU76" s="1"/>
      <c r="XV76" s="1"/>
      <c r="XW76" s="1"/>
      <c r="XX76" s="1"/>
      <c r="XY76" s="1"/>
      <c r="XZ76" s="1"/>
      <c r="YA76" s="1"/>
      <c r="YB76" s="1"/>
      <c r="YC76" s="1"/>
      <c r="YD76" s="1"/>
      <c r="YE76" s="1"/>
      <c r="YF76" s="1"/>
      <c r="YG76" s="1"/>
      <c r="YH76" s="1"/>
      <c r="YI76" s="1"/>
      <c r="YJ76" s="1"/>
      <c r="YK76" s="1"/>
      <c r="YL76" s="1"/>
      <c r="YM76" s="1"/>
      <c r="YN76" s="1"/>
      <c r="YO76" s="1"/>
      <c r="YP76" s="1"/>
      <c r="YQ76" s="1"/>
      <c r="YR76" s="1"/>
      <c r="YS76" s="1"/>
      <c r="YT76" s="1"/>
      <c r="YU76" s="1"/>
      <c r="YV76" s="1"/>
      <c r="YW76" s="1"/>
      <c r="YX76" s="1"/>
      <c r="YY76" s="1"/>
      <c r="YZ76" s="1"/>
      <c r="ZA76" s="1"/>
      <c r="ZB76" s="1"/>
      <c r="ZC76" s="1"/>
      <c r="ZD76" s="1"/>
      <c r="ZE76" s="1"/>
      <c r="ZF76" s="1"/>
      <c r="ZG76" s="1"/>
      <c r="ZH76" s="1"/>
      <c r="ZI76" s="1"/>
      <c r="ZJ76" s="1"/>
      <c r="ZK76" s="1"/>
      <c r="ZL76" s="1"/>
      <c r="ZM76" s="1"/>
      <c r="ZN76" s="1"/>
      <c r="ZO76" s="1"/>
      <c r="ZP76" s="1"/>
      <c r="ZQ76" s="1"/>
      <c r="ZR76" s="1"/>
      <c r="ZS76" s="1"/>
      <c r="ZT76" s="1"/>
      <c r="ZU76" s="1"/>
      <c r="ZV76" s="1"/>
      <c r="ZW76" s="1"/>
      <c r="ZX76" s="1"/>
      <c r="ZY76" s="1"/>
      <c r="ZZ76" s="1"/>
      <c r="AAA76" s="1"/>
      <c r="AAB76" s="1"/>
      <c r="AAC76" s="1"/>
      <c r="AAD76" s="1"/>
      <c r="AAE76" s="1"/>
      <c r="AAF76" s="1"/>
      <c r="AAG76" s="1"/>
      <c r="AAH76" s="1"/>
      <c r="AAI76" s="1"/>
      <c r="AAJ76" s="1"/>
      <c r="AAK76" s="1"/>
      <c r="AAL76" s="1"/>
      <c r="AAM76" s="1"/>
      <c r="AAN76" s="1"/>
      <c r="AAO76" s="1"/>
      <c r="AAP76" s="1"/>
      <c r="AAQ76" s="1"/>
      <c r="AAR76" s="1"/>
      <c r="AAS76" s="1"/>
      <c r="AAT76" s="1"/>
      <c r="AAU76" s="1"/>
      <c r="AAV76" s="1"/>
      <c r="AAW76" s="1"/>
      <c r="AAX76" s="1"/>
      <c r="AAY76" s="1"/>
      <c r="AAZ76" s="1"/>
      <c r="ABA76" s="1"/>
      <c r="ABB76" s="1"/>
      <c r="ABC76" s="1"/>
      <c r="ABD76" s="1"/>
      <c r="ABE76" s="1"/>
      <c r="ABF76" s="1"/>
      <c r="ABG76" s="1"/>
      <c r="ABH76" s="1"/>
      <c r="ABI76" s="1"/>
      <c r="ABJ76" s="1"/>
      <c r="ABK76" s="1"/>
      <c r="ABL76" s="1"/>
      <c r="ABM76" s="1"/>
      <c r="ABN76" s="1"/>
      <c r="ABO76" s="1"/>
      <c r="ABP76" s="1"/>
      <c r="ABQ76" s="1"/>
      <c r="ABR76" s="1"/>
      <c r="ABS76" s="1"/>
      <c r="ABT76" s="1"/>
      <c r="ABU76" s="1"/>
      <c r="ABV76" s="1"/>
      <c r="ABW76" s="1"/>
      <c r="ABX76" s="1"/>
      <c r="ABY76" s="1"/>
      <c r="ABZ76" s="1"/>
      <c r="ACA76" s="1"/>
      <c r="ACB76" s="1"/>
      <c r="ACC76" s="1"/>
      <c r="ACD76" s="1"/>
      <c r="ACE76" s="1"/>
      <c r="ACF76" s="1"/>
      <c r="ACG76" s="1"/>
      <c r="ACH76" s="1"/>
      <c r="ACI76" s="1"/>
      <c r="ACJ76" s="1"/>
      <c r="ACK76" s="1"/>
      <c r="ACL76" s="1"/>
      <c r="ACM76" s="1"/>
      <c r="ACN76" s="1"/>
      <c r="ACO76" s="1"/>
      <c r="ACP76" s="1"/>
      <c r="ACQ76" s="1"/>
      <c r="ACR76" s="1"/>
      <c r="ACS76" s="1"/>
      <c r="ACT76" s="1"/>
      <c r="ACU76" s="1"/>
      <c r="ACV76" s="1"/>
      <c r="ACW76" s="1"/>
      <c r="ACX76" s="1"/>
      <c r="ACY76" s="1"/>
      <c r="ACZ76" s="1"/>
      <c r="ADA76" s="1"/>
      <c r="ADB76" s="1"/>
      <c r="ADC76" s="1"/>
      <c r="ADD76" s="1"/>
      <c r="ADE76" s="1"/>
      <c r="ADF76" s="1"/>
      <c r="ADG76" s="1"/>
      <c r="ADH76" s="1"/>
      <c r="ADI76" s="1"/>
      <c r="ADJ76" s="1"/>
      <c r="ADK76" s="1"/>
      <c r="ADL76" s="1"/>
      <c r="ADM76" s="1"/>
      <c r="ADN76" s="1"/>
      <c r="ADO76" s="1"/>
      <c r="ADP76" s="1"/>
      <c r="ADQ76" s="1"/>
      <c r="ADR76" s="1"/>
      <c r="ADS76" s="1"/>
      <c r="ADT76" s="1"/>
      <c r="ADU76" s="1"/>
      <c r="ADV76" s="1"/>
      <c r="ADW76" s="1"/>
      <c r="ADX76" s="1"/>
      <c r="ADY76" s="1"/>
      <c r="ADZ76" s="1"/>
      <c r="AEA76" s="1"/>
      <c r="AEB76" s="1"/>
      <c r="AEC76" s="1"/>
      <c r="AED76" s="1"/>
      <c r="AEE76" s="1"/>
      <c r="AEF76" s="1"/>
      <c r="AEG76" s="1"/>
      <c r="AEH76" s="1"/>
      <c r="AEI76" s="1"/>
      <c r="AEJ76" s="1"/>
      <c r="AEK76" s="1"/>
      <c r="AEL76" s="1"/>
      <c r="AEM76" s="1"/>
      <c r="AEN76" s="1"/>
      <c r="AEO76" s="1"/>
      <c r="AEP76" s="1"/>
      <c r="AEQ76" s="1"/>
      <c r="AER76" s="1"/>
      <c r="AES76" s="1"/>
      <c r="AET76" s="1"/>
      <c r="AEU76" s="1"/>
      <c r="AEV76" s="1"/>
      <c r="AEW76" s="1"/>
      <c r="AEX76" s="1"/>
      <c r="AEY76" s="1"/>
      <c r="AEZ76" s="1"/>
      <c r="AFA76" s="1"/>
      <c r="AFB76" s="1"/>
      <c r="AFC76" s="1"/>
      <c r="AFD76" s="1"/>
      <c r="AFE76" s="1"/>
      <c r="AFF76" s="1"/>
      <c r="AFG76" s="1"/>
      <c r="AFH76" s="1"/>
      <c r="AFI76" s="1"/>
      <c r="AFJ76" s="1"/>
      <c r="AFK76" s="1"/>
      <c r="AFL76" s="1"/>
      <c r="AFM76" s="1"/>
      <c r="AFN76" s="1"/>
      <c r="AFO76" s="1"/>
      <c r="AFP76" s="1"/>
      <c r="AFQ76" s="1"/>
      <c r="AFR76" s="1"/>
      <c r="AFS76" s="1"/>
      <c r="AFT76" s="1"/>
      <c r="AFU76" s="1"/>
      <c r="AFV76" s="1"/>
      <c r="AFW76" s="1"/>
      <c r="AFX76" s="1"/>
      <c r="AFY76" s="1"/>
      <c r="AFZ76" s="1"/>
      <c r="AGA76" s="1"/>
      <c r="AGB76" s="1"/>
      <c r="AGC76" s="1"/>
      <c r="AGD76" s="1"/>
      <c r="AGE76" s="1"/>
      <c r="AGF76" s="1"/>
      <c r="AGG76" s="1"/>
      <c r="AGH76" s="1"/>
      <c r="AGI76" s="1"/>
      <c r="AGJ76" s="1"/>
      <c r="AGK76" s="1"/>
      <c r="AGL76" s="1"/>
      <c r="AGM76" s="1"/>
      <c r="AGN76" s="1"/>
      <c r="AGO76" s="1"/>
      <c r="AGP76" s="1"/>
      <c r="AGQ76" s="1"/>
      <c r="AGR76" s="1"/>
      <c r="AGS76" s="1"/>
      <c r="AGT76" s="1"/>
      <c r="AGU76" s="1"/>
      <c r="AGV76" s="1"/>
      <c r="AGW76" s="1"/>
      <c r="AGX76" s="1"/>
      <c r="AGY76" s="1"/>
      <c r="AGZ76" s="1"/>
      <c r="AHA76" s="1"/>
      <c r="AHB76" s="1"/>
      <c r="AHC76" s="1"/>
      <c r="AHD76" s="1"/>
      <c r="AHE76" s="1"/>
      <c r="AHF76" s="1"/>
      <c r="AHG76" s="1"/>
      <c r="AHH76" s="1"/>
      <c r="AHI76" s="1"/>
      <c r="AHJ76" s="1"/>
      <c r="AHK76" s="1"/>
      <c r="AHL76" s="1"/>
      <c r="AHM76" s="1"/>
      <c r="AHN76" s="1"/>
      <c r="AHO76" s="1"/>
      <c r="AHP76" s="1"/>
      <c r="AHQ76" s="1"/>
      <c r="AHR76" s="1"/>
      <c r="AHS76" s="1"/>
      <c r="AHT76" s="1"/>
      <c r="AHU76" s="1"/>
      <c r="AHV76" s="1"/>
      <c r="AHW76" s="1"/>
      <c r="AHX76" s="1"/>
      <c r="AHY76" s="1"/>
      <c r="AHZ76" s="1"/>
      <c r="AIA76" s="1"/>
      <c r="AIB76" s="1"/>
      <c r="AIC76" s="1"/>
      <c r="AID76" s="1"/>
      <c r="AIE76" s="1"/>
      <c r="AIF76" s="1"/>
      <c r="AIG76" s="1"/>
      <c r="AIH76" s="1"/>
      <c r="AII76" s="1"/>
      <c r="AIJ76" s="1"/>
      <c r="AIK76" s="1"/>
      <c r="AIL76" s="1"/>
      <c r="AIM76" s="1"/>
      <c r="AIN76" s="1"/>
      <c r="AIO76" s="1"/>
      <c r="AIP76" s="1"/>
      <c r="AIQ76" s="1"/>
      <c r="AIR76" s="1"/>
      <c r="AIS76" s="1"/>
      <c r="AIT76" s="1"/>
      <c r="AIU76" s="1"/>
      <c r="AIV76" s="1"/>
      <c r="AIW76" s="1"/>
      <c r="AIX76" s="1"/>
      <c r="AIY76" s="1"/>
      <c r="AIZ76" s="1"/>
      <c r="AJA76" s="1"/>
      <c r="AJB76" s="1"/>
      <c r="AJC76" s="1"/>
      <c r="AJD76" s="1"/>
      <c r="AJE76" s="1"/>
      <c r="AJF76" s="1"/>
      <c r="AJG76" s="1"/>
      <c r="AJH76" s="1"/>
      <c r="AJI76" s="1"/>
      <c r="AJJ76" s="1"/>
      <c r="AJK76" s="1"/>
      <c r="AJL76" s="1"/>
      <c r="AJM76" s="1"/>
      <c r="AJN76" s="1"/>
      <c r="AJO76" s="1"/>
      <c r="AJP76" s="1"/>
      <c r="AJQ76" s="1"/>
      <c r="AJR76" s="1"/>
      <c r="AJS76" s="1"/>
      <c r="AJT76" s="1"/>
      <c r="AJU76" s="1"/>
      <c r="AJV76" s="1"/>
      <c r="AJW76" s="1"/>
      <c r="AJX76" s="1"/>
      <c r="AJY76" s="1"/>
      <c r="AJZ76" s="1"/>
      <c r="AKA76" s="1"/>
      <c r="AKB76" s="1"/>
      <c r="AKC76" s="1"/>
      <c r="AKD76" s="1"/>
      <c r="AKE76" s="1"/>
      <c r="AKF76" s="1"/>
      <c r="AKG76" s="1"/>
      <c r="AKH76" s="1"/>
      <c r="AKI76" s="1"/>
      <c r="AKJ76" s="1"/>
      <c r="AKK76" s="1"/>
      <c r="AKL76" s="1"/>
      <c r="AKM76" s="1"/>
      <c r="AKN76" s="1"/>
      <c r="AKO76" s="1"/>
      <c r="AKP76" s="1"/>
      <c r="AKQ76" s="1"/>
      <c r="AKR76" s="1"/>
      <c r="AKS76" s="1"/>
      <c r="AKT76" s="1"/>
      <c r="AKU76" s="1"/>
      <c r="AKV76" s="1"/>
      <c r="AKW76" s="1"/>
      <c r="AKX76" s="1"/>
      <c r="AKY76" s="1"/>
      <c r="AKZ76" s="1"/>
      <c r="ALA76" s="1"/>
      <c r="ALB76" s="1"/>
      <c r="ALC76" s="1"/>
      <c r="ALD76" s="1"/>
      <c r="ALE76" s="1"/>
      <c r="ALF76" s="1"/>
      <c r="ALG76" s="1"/>
      <c r="ALH76" s="1"/>
      <c r="ALI76" s="1"/>
      <c r="ALJ76" s="1"/>
      <c r="ALK76" s="1"/>
      <c r="ALL76" s="1"/>
      <c r="ALM76" s="1"/>
      <c r="ALN76" s="1"/>
      <c r="ALO76" s="1"/>
      <c r="ALP76" s="1"/>
      <c r="ALQ76" s="1"/>
      <c r="ALR76" s="1"/>
      <c r="ALS76" s="1"/>
      <c r="ALT76" s="1"/>
      <c r="ALU76" s="1"/>
      <c r="ALV76" s="1"/>
      <c r="ALW76" s="1"/>
      <c r="ALX76" s="1"/>
      <c r="ALY76" s="1"/>
      <c r="ALZ76" s="1"/>
      <c r="AMA76" s="1"/>
      <c r="AMB76" s="1"/>
      <c r="AMC76" s="1"/>
      <c r="AMD76" s="1"/>
      <c r="AME76" s="1"/>
      <c r="AMF76" s="1"/>
      <c r="AMG76" s="1"/>
      <c r="AMH76" s="1"/>
      <c r="AMI76" s="1"/>
      <c r="AMJ76" s="1"/>
    </row>
    <row r="77" customFormat="false" ht="13.8" hidden="false" customHeight="false" outlineLevel="0" collapsed="false">
      <c r="A77" s="18" t="s">
        <v>481</v>
      </c>
      <c r="B77" s="18" t="s">
        <v>482</v>
      </c>
      <c r="C77" s="1" t="n">
        <v>22</v>
      </c>
      <c r="E77" s="1" t="n">
        <v>1027</v>
      </c>
      <c r="F77" s="1" t="s">
        <v>89</v>
      </c>
      <c r="G77" s="1" t="s">
        <v>445</v>
      </c>
      <c r="H77" s="1" t="s">
        <v>445</v>
      </c>
      <c r="I77" s="1" t="s">
        <v>153</v>
      </c>
      <c r="J77" s="1" t="n">
        <v>1955</v>
      </c>
      <c r="K77" s="1" t="n">
        <v>1974</v>
      </c>
      <c r="L77" s="1" t="n">
        <v>1982</v>
      </c>
      <c r="W77" s="1" t="n">
        <v>9.7</v>
      </c>
      <c r="Y77" s="1" t="n">
        <v>4</v>
      </c>
      <c r="AA77" s="4" t="str">
        <f aca="false">IF(AND(W77&gt;0,Z77&gt;0),(Z77/((W77+X77)*10)),"")</f>
        <v/>
      </c>
      <c r="AB77" s="1" t="n">
        <v>60</v>
      </c>
      <c r="AC77" s="1" t="n">
        <f aca="false">ROUND(AB77*1.6, 0)</f>
        <v>96</v>
      </c>
      <c r="AF77" s="1" t="n">
        <v>7.6</v>
      </c>
      <c r="AG77" s="1" t="n">
        <v>8</v>
      </c>
      <c r="AH77" s="1" t="n">
        <v>2.5</v>
      </c>
      <c r="AI77" s="1" t="n">
        <v>3.35</v>
      </c>
      <c r="AJ77" s="5" t="n">
        <v>22</v>
      </c>
      <c r="AK77" s="19" t="str">
        <f aca="false">CONCATENATE(VLOOKUP(AL77, 'Voxel Sizes'!$A$2:$B$18,2,FALSE()),"x",INT(AH77*15), "x", INT(AI77*15))</f>
        <v>82x37x50</v>
      </c>
      <c r="AL77" s="1" t="n">
        <f aca="false">ROUND(15*((AG77*10)/256),0)</f>
        <v>5</v>
      </c>
      <c r="AN77" s="1" t="str">
        <f aca="false">CONCATENATE(VLOOKUP(AL77,Constants!$A$2:$C$16,IF(AM77&lt;&gt;"", 3, 2), FALSE()),IF(AM77&lt;&gt;"",CONCATENATE(",",VLOOKUP(AM77,$B:$AN,38,FALSE())),""))</f>
        <v>2,1,2</v>
      </c>
      <c r="AX77" s="1" t="n">
        <v>30</v>
      </c>
      <c r="AY77" s="6" t="n">
        <f aca="false">IF(L77&lt;&gt;"",MAX(16,(L77-J77)+8),"")</f>
        <v>35</v>
      </c>
      <c r="AZ77" s="1" t="n">
        <v>5</v>
      </c>
      <c r="BB77" s="1" t="n">
        <f aca="false">MIN(AB77/150, 1)*30</f>
        <v>12</v>
      </c>
      <c r="BC77" s="1" t="n">
        <f aca="false">MIN(N77/4000, 1)*20</f>
        <v>0</v>
      </c>
      <c r="BD77" s="1" t="n">
        <f aca="false">MIN(Z77/400,1)*20</f>
        <v>0</v>
      </c>
      <c r="BE77" s="4" t="n">
        <f aca="false">1-(MAX(J77-1900, 0)/750)</f>
        <v>0.926666666666667</v>
      </c>
      <c r="BF77" s="1" t="n">
        <f aca="false">((MAX($M77,1)*MIN($AJ77/300,1)))*IF(G77="Wagon",50,10)</f>
        <v>3.66666666666667</v>
      </c>
      <c r="BG77" s="1" t="n">
        <f aca="false">VLOOKUP($H77,Constants!$I:$K, 2, FALSE())</f>
        <v>1</v>
      </c>
      <c r="BH77" s="1" t="n">
        <f aca="false">VLOOKUP($H77,Constants!$I:$K, 3, FALSE())*IF(AND(G77="multiple_unit",AB77&lt;110),0.75,1)</f>
        <v>0.45</v>
      </c>
      <c r="BI77" s="1" t="n">
        <f aca="false">INT(POWER(((Constants!$G$2+$BB77+$BC77+$BD77+$BF77)*$BE77)*$BH77, 1.05))+$BA77</f>
        <v>9</v>
      </c>
      <c r="BJ77" s="1" t="n">
        <f aca="false">INT(POWER((((Constants!$G$1+$BB77+$BC77+$BD77+$BF77)*($BE77))*$BG77),IF($G77="wagon",1,1.2)))+$AZ77</f>
        <v>33</v>
      </c>
      <c r="BK77" s="20" t="n">
        <f aca="false">BI77*IF($G77="wagon",62.5,781.25)</f>
        <v>562.5</v>
      </c>
      <c r="BL77" s="20" t="n">
        <f aca="false">BJ77*IF($G77="wagon",2.73,81.25)</f>
        <v>90.09</v>
      </c>
      <c r="BT77" s="1" t="n">
        <v>1</v>
      </c>
      <c r="BU77" s="1" t="n">
        <v>185</v>
      </c>
      <c r="BV77" s="1" t="s">
        <v>459</v>
      </c>
      <c r="BX77" s="1" t="s">
        <v>473</v>
      </c>
      <c r="BY77" s="1" t="str">
        <f aca="false">VLOOKUP(J77,Eras!$A$2:$C$10, 2, TRUE())</f>
        <v>dsl</v>
      </c>
      <c r="BZ77" s="18" t="s">
        <v>448</v>
      </c>
      <c r="CA77" s="1" t="str">
        <f aca="false">CONCATENATE(BY77,"_",BZ77)</f>
        <v>dsl_Tanker</v>
      </c>
      <c r="CB77" s="1" t="str">
        <f aca="false">_xlfn.CONCAT(H77, "_",I77)</f>
        <v>wagon_RAIL</v>
      </c>
      <c r="CC77" s="21" t="str">
        <f aca="false">_xlfn.CONCAT("{BLACK}Length: {GOLD}", TEXT(ROUNDUP(IF(AQ77&lt;&gt;"",SUM(VALUE(_xlfn.TEXTSPLIT(AQ77, ","))), SUM(VALUE(_xlfn.TEXTSPLIT(AN77, ",")))*IF(M77, M77, 1))/16, 1), "#,##0.0"), " tiles{}")</f>
        <v>{BLACK}Length: {GOLD}0.4 tiles{}</v>
      </c>
      <c r="CD77" s="1" t="str">
        <f aca="false">VLOOKUP($CB77, Constants!$M:$N, 2, FALSE())</f>
        <v/>
      </c>
      <c r="CE77" s="1" t="str">
        <f aca="false">IF(M77&gt;1,_xlfn.CONCAT("{BLACK}Cars: {GOLD}", M77),"")</f>
        <v/>
      </c>
      <c r="CF77" s="1" t="s">
        <v>483</v>
      </c>
      <c r="CG77" s="1" t="str">
        <f aca="false">IF(BW77="buffet","{YELLOW}25% long distance bonus for consist{}",IF(BY77="BRAKE","{YELLOW}Speed bonus for slow wagons{}",IF(BU77&gt;190,CONCATENATE("{YELLOW}",INT((BU77-185)/1.85),"% bonus for long distance travel{}"),IF(AND(BU77&lt;180,BU77&lt;&gt;0),CONCATENATE("{YELLOW}",INT((185-BU77)/1.85),"% penalty for long distance travel{}"),""))))</f>
        <v/>
      </c>
      <c r="CH77" s="1" t="str">
        <f aca="false">_xlfn.CONCAT(CD77,IF(CD77 &lt;&gt; "", " ", ""),CE77,IF(OR(CE77&lt;&gt;"", CD77&lt;&gt;""), "{}",""), CC77, CG77,"{SILVER}", CF77)</f>
        <v>{BLACK}Length: {GOLD}0.4 tiles{}{SILVER}This is a representative BR GRAINFIT wagon, a vacuum-braked bulk hopper derived from the 1930s LMS design.</v>
      </c>
      <c r="CI77" s="1"/>
      <c r="CJ77" s="1"/>
    </row>
    <row r="78" customFormat="false" ht="13.8" hidden="false" customHeight="false" outlineLevel="0" collapsed="false">
      <c r="A78" s="18" t="s">
        <v>484</v>
      </c>
      <c r="B78" s="18" t="s">
        <v>485</v>
      </c>
      <c r="C78" s="1" t="n">
        <v>23</v>
      </c>
      <c r="E78" s="1" t="n">
        <v>1029</v>
      </c>
      <c r="F78" s="1" t="s">
        <v>89</v>
      </c>
      <c r="G78" s="1" t="s">
        <v>445</v>
      </c>
      <c r="H78" s="1" t="s">
        <v>445</v>
      </c>
      <c r="I78" s="1" t="s">
        <v>153</v>
      </c>
      <c r="J78" s="1" t="n">
        <v>1966</v>
      </c>
      <c r="K78" s="1" t="n">
        <v>1996</v>
      </c>
      <c r="L78" s="1" t="n">
        <v>2002</v>
      </c>
      <c r="W78" s="1" t="n">
        <v>12.9</v>
      </c>
      <c r="Y78" s="1" t="n">
        <v>5</v>
      </c>
      <c r="AA78" s="4" t="str">
        <f aca="false">IF(AND(W78&gt;0,Z78&gt;0),(Z78/((W78+X78)*10)),"")</f>
        <v/>
      </c>
      <c r="AB78" s="1" t="n">
        <v>60</v>
      </c>
      <c r="AC78" s="1" t="n">
        <f aca="false">ROUND(AB78*1.6, 0)</f>
        <v>96</v>
      </c>
      <c r="AF78" s="1" t="n">
        <v>8.8</v>
      </c>
      <c r="AG78" s="1" t="n">
        <v>10</v>
      </c>
      <c r="AH78" s="1" t="n">
        <v>2.7</v>
      </c>
      <c r="AI78" s="1" t="n">
        <v>3.8</v>
      </c>
      <c r="AJ78" s="5" t="n">
        <v>36</v>
      </c>
      <c r="AK78" s="19" t="str">
        <f aca="false">CONCATENATE(VLOOKUP(AL78, 'Voxel Sizes'!$A$2:$B$18,2,FALSE()),"x",INT(AH78*15), "x", INT(AI78*15))</f>
        <v>102x40x57</v>
      </c>
      <c r="AL78" s="1" t="n">
        <f aca="false">ROUND(15*((AG78*10)/256),0)</f>
        <v>6</v>
      </c>
      <c r="AN78" s="1" t="str">
        <f aca="false">CONCATENATE(VLOOKUP(AL78,Constants!$A$2:$C$16,IF(AM78&lt;&gt;"", 3, 2), FALSE()),IF(AM78&lt;&gt;"",CONCATENATE(",",VLOOKUP(AM78,$B:$AN,38,FALSE())),""))</f>
        <v>2,2,2</v>
      </c>
      <c r="AX78" s="1" t="n">
        <v>30</v>
      </c>
      <c r="AY78" s="6" t="n">
        <f aca="false">IF(L78&lt;&gt;"",MAX(16,(L78-J78)+8),"")</f>
        <v>44</v>
      </c>
      <c r="BB78" s="1" t="n">
        <f aca="false">MIN(AB78/150, 1)*30</f>
        <v>12</v>
      </c>
      <c r="BC78" s="1" t="n">
        <f aca="false">MIN(N78/4000, 1)*20</f>
        <v>0</v>
      </c>
      <c r="BD78" s="1" t="n">
        <f aca="false">MIN(Z78/400,1)*20</f>
        <v>0</v>
      </c>
      <c r="BE78" s="4" t="n">
        <f aca="false">1-(MAX(J78-1900, 0)/750)</f>
        <v>0.912</v>
      </c>
      <c r="BF78" s="1" t="n">
        <f aca="false">((MAX($M78,1)*MIN($AJ78/300,1)))*IF(G78="Wagon",50,10)</f>
        <v>6</v>
      </c>
      <c r="BG78" s="1" t="n">
        <f aca="false">VLOOKUP($H78,Constants!$I:$K, 2, FALSE())</f>
        <v>1</v>
      </c>
      <c r="BH78" s="1" t="n">
        <f aca="false">VLOOKUP($H78,Constants!$I:$K, 3, FALSE())*IF(AND(G78="multiple_unit",AB78&lt;110),0.75,1)</f>
        <v>0.45</v>
      </c>
      <c r="BI78" s="1" t="n">
        <f aca="false">INT(POWER(((Constants!$G$2+$BB78+$BC78+$BD78+$BF78)*$BE78)*$BH78, 1.05))+$BA78</f>
        <v>10</v>
      </c>
      <c r="BJ78" s="1" t="n">
        <f aca="false">INT(POWER((((Constants!$G$1+$BB78+$BC78+$BD78+$BF78)*($BE78))*$BG78),IF($G78="wagon",1,1.2)))+$AZ78</f>
        <v>30</v>
      </c>
      <c r="BK78" s="20" t="n">
        <f aca="false">BI78*IF($G78="wagon",62.5,781.25)</f>
        <v>625</v>
      </c>
      <c r="BL78" s="20" t="n">
        <f aca="false">BJ78*IF($G78="wagon",2.73,81.25)</f>
        <v>81.9</v>
      </c>
      <c r="BT78" s="1" t="n">
        <v>1</v>
      </c>
      <c r="BU78" s="1" t="n">
        <v>185</v>
      </c>
      <c r="BV78" s="1" t="s">
        <v>459</v>
      </c>
      <c r="BX78" s="1" t="s">
        <v>473</v>
      </c>
      <c r="BY78" s="1" t="str">
        <f aca="false">VLOOKUP(J78,Eras!$A$2:$C$10, 2, TRUE())</f>
        <v>dsl</v>
      </c>
      <c r="BZ78" s="18" t="s">
        <v>448</v>
      </c>
      <c r="CA78" s="1" t="str">
        <f aca="false">CONCATENATE(BY78,"_",BZ78)</f>
        <v>dsl_Tanker</v>
      </c>
      <c r="CB78" s="1" t="str">
        <f aca="false">_xlfn.CONCAT(H78, "_",I78)</f>
        <v>wagon_RAIL</v>
      </c>
      <c r="CC78" s="21" t="str">
        <f aca="false">_xlfn.CONCAT("{BLACK}Length: {GOLD}", TEXT(ROUNDUP(IF(AQ78&lt;&gt;"",SUM(VALUE(_xlfn.TEXTSPLIT(AQ78, ","))), SUM(VALUE(_xlfn.TEXTSPLIT(AN78, ",")))*IF(M78, M78, 1))/16, 1), "#,##0.0"), " tiles{}")</f>
        <v>{BLACK}Length: {GOLD}0.4 tiles{}</v>
      </c>
      <c r="CD78" s="1" t="str">
        <f aca="false">VLOOKUP($CB78, Constants!$M:$N, 2, FALSE())</f>
        <v/>
      </c>
      <c r="CE78" s="1" t="str">
        <f aca="false">IF(M78&gt;1,_xlfn.CONCAT("{BLACK}Cars: {GOLD}", M78),"")</f>
        <v/>
      </c>
      <c r="CF78" s="1" t="s">
        <v>486</v>
      </c>
      <c r="CG78" s="1" t="str">
        <f aca="false">IF(BW78="buffet","{YELLOW}25% long distance bonus for consist{}",IF(BY78="BRAKE","{YELLOW}Speed bonus for slow wagons{}",IF(BU78&gt;190,CONCATENATE("{YELLOW}",INT((BU78-185)/1.85),"% bonus for long distance travel{}"),IF(AND(BU78&lt;180,BU78&lt;&gt;0),CONCATENATE("{YELLOW}",INT((185-BU78)/1.85),"% penalty for long distance travel{}"),""))))</f>
        <v/>
      </c>
      <c r="CH78" s="1" t="str">
        <f aca="false">_xlfn.CONCAT(CD78,IF(CD78 &lt;&gt; "", " ", ""),CE78,IF(OR(CE78&lt;&gt;"", CD78&lt;&gt;""), "{}",""), CC78, CG78,"{SILVER}", CF78)</f>
        <v>{BLACK}Length: {GOLD}0.4 tiles{}{SILVER}The BR ‘Whiskey Covhops’ were a common sight on long-distance freight trains from southern England, headed for the distilleries of Scotland.</v>
      </c>
      <c r="CI78" s="1"/>
      <c r="CJ78" s="1"/>
    </row>
    <row r="79" customFormat="false" ht="13.8" hidden="false" customHeight="false" outlineLevel="0" collapsed="false">
      <c r="A79" s="1" t="s">
        <v>487</v>
      </c>
      <c r="B79" s="1" t="s">
        <v>488</v>
      </c>
      <c r="C79" s="1" t="n">
        <v>32</v>
      </c>
      <c r="E79" s="1" t="n">
        <v>1031</v>
      </c>
      <c r="F79" s="1" t="s">
        <v>89</v>
      </c>
      <c r="G79" s="1" t="s">
        <v>445</v>
      </c>
      <c r="H79" s="1" t="s">
        <v>445</v>
      </c>
      <c r="I79" s="1" t="s">
        <v>153</v>
      </c>
      <c r="J79" s="1" t="n">
        <v>1973</v>
      </c>
      <c r="W79" s="1" t="n">
        <v>22.7</v>
      </c>
      <c r="Y79" s="1" t="n">
        <v>5</v>
      </c>
      <c r="AA79" s="4" t="str">
        <f aca="false">IF(AND(W79&gt;0,Z79&gt;0),(Z79/((W79+X79)*10)),"")</f>
        <v/>
      </c>
      <c r="AB79" s="1" t="n">
        <v>75</v>
      </c>
      <c r="AC79" s="1" t="n">
        <f aca="false">ROUND(AB79*1.6, 0)</f>
        <v>120</v>
      </c>
      <c r="AF79" s="1" t="n">
        <v>18.3</v>
      </c>
      <c r="AG79" s="1" t="n">
        <v>18.3</v>
      </c>
      <c r="AH79" s="1" t="n">
        <v>2.7</v>
      </c>
      <c r="AI79" s="1" t="n">
        <v>3.8</v>
      </c>
      <c r="AJ79" s="5" t="n">
        <v>56</v>
      </c>
      <c r="AK79" s="19" t="str">
        <f aca="false">CONCATENATE(VLOOKUP(AL79, 'Voxel Sizes'!$A$2:$B$18,2,FALSE()),"x",INT(AH79*15), "x", INT(AI79*15))</f>
        <v>186x40x57</v>
      </c>
      <c r="AL79" s="1" t="n">
        <f aca="false">ROUND(15*((AG79*10)/256),0)</f>
        <v>11</v>
      </c>
      <c r="AN79" s="1" t="str">
        <f aca="false">CONCATENATE(VLOOKUP(AL79,Constants!$A$2:$C$16,IF(AM79&lt;&gt;"", 3, 2), FALSE()),IF(AM79&lt;&gt;"",CONCATENATE(",",VLOOKUP(AM79,$B:$AN,38,FALSE())),""))</f>
        <v>4,3,4</v>
      </c>
      <c r="AX79" s="1" t="n">
        <v>30</v>
      </c>
      <c r="AY79" s="6" t="str">
        <f aca="false">IF(L79&lt;&gt;"",MAX(16,(L79-J79)+8),"")</f>
        <v/>
      </c>
      <c r="BB79" s="1" t="n">
        <f aca="false">MIN(AB79/150, 1)*30</f>
        <v>15</v>
      </c>
      <c r="BC79" s="1" t="n">
        <f aca="false">MIN(N79/4000, 1)*20</f>
        <v>0</v>
      </c>
      <c r="BD79" s="1" t="n">
        <f aca="false">MIN(Z79/400,1)*20</f>
        <v>0</v>
      </c>
      <c r="BE79" s="4" t="n">
        <f aca="false">1-(MAX(J79-1900, 0)/750)</f>
        <v>0.902666666666667</v>
      </c>
      <c r="BF79" s="1" t="n">
        <f aca="false">((MAX($M79,1)*MIN($AJ79/300,1)))*IF(G79="Wagon",50,10)</f>
        <v>9.33333333333333</v>
      </c>
      <c r="BG79" s="1" t="n">
        <f aca="false">VLOOKUP($H79,Constants!$I:$K, 2, FALSE())</f>
        <v>1</v>
      </c>
      <c r="BH79" s="1" t="n">
        <f aca="false">VLOOKUP($H79,Constants!$I:$K, 3, FALSE())*IF(AND(G79="multiple_unit",AB79&lt;110),0.75,1)</f>
        <v>0.45</v>
      </c>
      <c r="BI79" s="1" t="n">
        <f aca="false">INT(POWER(((Constants!$G$2+$BB79+$BC79+$BD79+$BF79)*$BE79)*$BH79, 1.05))+$BA79</f>
        <v>13</v>
      </c>
      <c r="BJ79" s="1" t="n">
        <f aca="false">INT(POWER((((Constants!$G$1+$BB79+$BC79+$BD79+$BF79)*($BE79))*$BG79),IF($G79="wagon",1,1.2)))+$AZ79</f>
        <v>35</v>
      </c>
      <c r="BK79" s="20" t="n">
        <f aca="false">BI79*IF($G79="wagon",62.5,781.25)</f>
        <v>812.5</v>
      </c>
      <c r="BL79" s="20" t="n">
        <f aca="false">BJ79*IF($G79="wagon",2.73,81.25)</f>
        <v>95.55</v>
      </c>
      <c r="BT79" s="1" t="n">
        <v>1</v>
      </c>
      <c r="BU79" s="1" t="n">
        <v>185</v>
      </c>
      <c r="BV79" s="1" t="s">
        <v>459</v>
      </c>
      <c r="BX79" s="1" t="s">
        <v>473</v>
      </c>
      <c r="BY79" s="1" t="str">
        <f aca="false">VLOOKUP(J79,Eras!$A$2:$C$10, 2, TRUE())</f>
        <v>lbr</v>
      </c>
      <c r="BZ79" s="18" t="s">
        <v>448</v>
      </c>
      <c r="CA79" s="1" t="str">
        <f aca="false">CONCATENATE(BY79,"_",BZ79)</f>
        <v>lbr_Tanker</v>
      </c>
      <c r="CB79" s="1" t="str">
        <f aca="false">_xlfn.CONCAT(H79, "_",I79)</f>
        <v>wagon_RAIL</v>
      </c>
      <c r="CC79" s="21" t="str">
        <f aca="false">_xlfn.CONCAT("{BLACK}Length: {GOLD}", TEXT(ROUNDUP(IF(AQ79&lt;&gt;"",SUM(VALUE(_xlfn.TEXTSPLIT(AQ79, ","))), SUM(VALUE(_xlfn.TEXTSPLIT(AN79, ",")))*IF(M79, M79, 1))/16, 1), "#,##0.0"), " tiles{}")</f>
        <v>{BLACK}Length: {GOLD}0.7 tiles{}</v>
      </c>
      <c r="CD79" s="1" t="str">
        <f aca="false">VLOOKUP($CB79, Constants!$M:$N, 2, FALSE())</f>
        <v/>
      </c>
      <c r="CE79" s="1" t="str">
        <f aca="false">IF(M79&gt;1,_xlfn.CONCAT("{BLACK}Cars: {GOLD}", M79),"")</f>
        <v/>
      </c>
      <c r="CF79" s="1" t="s">
        <v>489</v>
      </c>
      <c r="CG79" s="1" t="str">
        <f aca="false">IF(BW79="buffet","{YELLOW}25% long distance bonus for consist{}",IF(BY79="BRAKE","{YELLOW}Speed bonus for slow wagons{}",IF(BU79&gt;190,CONCATENATE("{YELLOW}",INT((BU79-185)/1.85),"% bonus for long distance travel{}"),IF(AND(BU79&lt;180,BU79&lt;&gt;0),CONCATENATE("{YELLOW}",INT((185-BU79)/1.85),"% penalty for long distance travel{}"),""))))</f>
        <v/>
      </c>
      <c r="CH79" s="1" t="str">
        <f aca="false">_xlfn.CONCAT(CD79,IF(CD79 &lt;&gt; "", " ", ""),CE79,IF(OR(CE79&lt;&gt;"", CD79&lt;&gt;""), "{}",""), CC79, CG79,"{SILVER}", CF79)</f>
        <v>{BLACK}Length: {GOLD}0.7 tiles{}{SILVER}Large bogie covered hoppers first appeared in Britain in the mid 1970s. These were frequently privately owned and registered as international vehicles. This slab-sided ‘Polybulk’ example was built in France.</v>
      </c>
      <c r="CI79" s="1"/>
      <c r="CJ79" s="1"/>
    </row>
    <row r="80" customFormat="false" ht="13.8" hidden="false" customHeight="false" outlineLevel="0" collapsed="false">
      <c r="A80" s="18" t="s">
        <v>490</v>
      </c>
      <c r="B80" s="18" t="s">
        <v>491</v>
      </c>
      <c r="C80" s="1" t="n">
        <v>101</v>
      </c>
      <c r="E80" s="1" t="n">
        <v>1101</v>
      </c>
      <c r="F80" s="1" t="s">
        <v>89</v>
      </c>
      <c r="G80" s="1" t="s">
        <v>445</v>
      </c>
      <c r="H80" s="1" t="s">
        <v>492</v>
      </c>
      <c r="I80" s="1" t="s">
        <v>153</v>
      </c>
      <c r="J80" s="1" t="n">
        <v>1905</v>
      </c>
      <c r="K80" s="1" t="n">
        <v>1960</v>
      </c>
      <c r="L80" s="1" t="n">
        <v>1960</v>
      </c>
      <c r="W80" s="1" t="n">
        <v>39</v>
      </c>
      <c r="Y80" s="1" t="n">
        <v>4</v>
      </c>
      <c r="AA80" s="4" t="str">
        <f aca="false">IF(AND(W80&gt;0,Z80&gt;0),(Z80/((W80+X80)*10)),"")</f>
        <v/>
      </c>
      <c r="AB80" s="1" t="n">
        <v>90</v>
      </c>
      <c r="AC80" s="1" t="n">
        <f aca="false">ROUND(AB80*1.6, 0)</f>
        <v>144</v>
      </c>
      <c r="AF80" s="1" t="n">
        <v>19.8</v>
      </c>
      <c r="AG80" s="1" t="n">
        <v>20</v>
      </c>
      <c r="AH80" s="1" t="n">
        <v>2.82</v>
      </c>
      <c r="AI80" s="1" t="n">
        <v>3.79</v>
      </c>
      <c r="AJ80" s="5" t="n">
        <v>18</v>
      </c>
      <c r="AK80" s="19" t="str">
        <f aca="false">CONCATENATE(VLOOKUP(AL80, 'Voxel Sizes'!$A$2:$B$18,2,FALSE()),"x",INT(AH80*15), "x", INT(AI80*15))</f>
        <v>198x42x56</v>
      </c>
      <c r="AL80" s="1" t="n">
        <f aca="false">ROUND(15*((AG80*10)/256),0)</f>
        <v>12</v>
      </c>
      <c r="AN80" s="1" t="str">
        <f aca="false">CONCATENATE(VLOOKUP(AL80,Constants!$A$2:$C$16,IF(AM80&lt;&gt;"", 3, 2), FALSE()),IF(AM80&lt;&gt;"",CONCATENATE(",",VLOOKUP(AM80,$B:$AN,38,FALSE())),""))</f>
        <v>4,4,4</v>
      </c>
      <c r="AX80" s="1" t="n">
        <v>30</v>
      </c>
      <c r="AY80" s="6" t="n">
        <f aca="false">IF(L80&lt;&gt;"",MAX(16,(L80-J80)+8),"")</f>
        <v>63</v>
      </c>
      <c r="AZ80" s="1" t="n">
        <v>1000</v>
      </c>
      <c r="BA80" s="1" t="n">
        <v>110</v>
      </c>
      <c r="BB80" s="1" t="n">
        <f aca="false">MIN(AB80/150, 1)*30</f>
        <v>18</v>
      </c>
      <c r="BC80" s="1" t="n">
        <f aca="false">MIN(N80/4000, 1)*20</f>
        <v>0</v>
      </c>
      <c r="BD80" s="1" t="n">
        <f aca="false">MIN(Z80/400,1)*20</f>
        <v>0</v>
      </c>
      <c r="BE80" s="4" t="n">
        <f aca="false">1-(MAX(J80-1900, 0)/750)</f>
        <v>0.993333333333333</v>
      </c>
      <c r="BF80" s="1" t="n">
        <f aca="false">((MAX($M80,1)*MIN($AJ80/300,1)))*IF(G80="Wagon",50,10)</f>
        <v>3</v>
      </c>
      <c r="BG80" s="1" t="n">
        <f aca="false">VLOOKUP($H80,Constants!$I:$K, 2, FALSE())</f>
        <v>1.5</v>
      </c>
      <c r="BH80" s="1" t="n">
        <f aca="false">VLOOKUP($H80,Constants!$I:$K, 3, FALSE())*IF(AND(G80="multiple_unit",AB80&lt;110),0.75,1)</f>
        <v>0.7</v>
      </c>
      <c r="BI80" s="1" t="n">
        <f aca="false">INT(POWER(((Constants!$G$2+$BB80+$BC80+$BD80+$BF80)*$BE80)*$BH80, 1.05))+$BA80</f>
        <v>130</v>
      </c>
      <c r="BJ80" s="1" t="n">
        <f aca="false">INT(POWER((((Constants!$G$1+$BB80+$BC80+$BD80+$BF80)*($BE80))*$BG80),IF($G80="wagon",1,1.2)))+$AZ80</f>
        <v>1053</v>
      </c>
      <c r="BK80" s="20" t="n">
        <f aca="false">BI80*IF($G80="wagon",62.5,781.25)</f>
        <v>8125</v>
      </c>
      <c r="BL80" s="20" t="n">
        <f aca="false">BJ80*IF($G80="wagon",2.73,81.25)</f>
        <v>2874.69</v>
      </c>
      <c r="BT80" s="1" t="n">
        <v>2</v>
      </c>
      <c r="BU80" s="1" t="n">
        <v>278</v>
      </c>
      <c r="BV80" s="1" t="s">
        <v>227</v>
      </c>
      <c r="BX80" s="1" t="s">
        <v>95</v>
      </c>
      <c r="BY80" s="1" t="str">
        <f aca="false">VLOOKUP(J80,Eras!$A$2:$C$10, 2, TRUE())</f>
        <v>edw</v>
      </c>
      <c r="BZ80" s="18" t="s">
        <v>493</v>
      </c>
      <c r="CA80" s="1" t="str">
        <f aca="false">CONCATENATE(BY80,"_",BZ80)</f>
        <v>edw_Carriage</v>
      </c>
      <c r="CB80" s="1" t="str">
        <f aca="false">_xlfn.CONCAT(H80, "_",I80)</f>
        <v>luxury_carriage_RAIL</v>
      </c>
      <c r="CC80" s="21" t="str">
        <f aca="false">_xlfn.CONCAT("{BLACK}Length: {GOLD}", TEXT(ROUNDUP(IF(AQ80&lt;&gt;"",SUM(VALUE(_xlfn.TEXTSPLIT(AQ80, ","))), SUM(VALUE(_xlfn.TEXTSPLIT(AN80, ",")))*IF(M80, M80, 1))/16, 1), "#,##0.0"), " tiles{}")</f>
        <v>{BLACK}Length: {GOLD}0.8 tiles{}</v>
      </c>
      <c r="CD80" s="1" t="str">
        <f aca="false">VLOOKUP($CB80, Constants!$M:$N, 2, FALSE())</f>
        <v/>
      </c>
      <c r="CE80" s="1" t="str">
        <f aca="false">IF(M80&gt;1,_xlfn.CONCAT("{BLACK}Cars: {GOLD}", M80),"")</f>
        <v/>
      </c>
      <c r="CF80" s="1" t="s">
        <v>494</v>
      </c>
      <c r="CG80" s="1" t="str">
        <f aca="false">IF(BW80="buffet","{YELLOW}25% long distance bonus for consist{}",IF(BY80="BRAKE","{YELLOW}Speed bonus for slow wagons{}",IF(BU80&gt;190,CONCATENATE("{YELLOW}",INT((BU80-185)/1.85),"% bonus for long distance travel{}"),IF(AND(BU80&lt;180,BU80&lt;&gt;0),CONCATENATE("{YELLOW}",INT((185-BU80)/1.85),"% penalty for long distance travel{}"),""))))</f>
        <v>{YELLOW}50% bonus for long distance travel{}</v>
      </c>
      <c r="CH80" s="1" t="str">
        <f aca="false">_xlfn.CONCAT(CD80,IF(CD80 &lt;&gt; "", " ", ""),CE80,IF(OR(CE80&lt;&gt;"", CD80&lt;&gt;""), "{}",""), CC80, CG80,"{SILVER}", CF80)</f>
        <v>{BLACK}Length: {GOLD}0.8 tiles{}{YELLOW}50% bonus for long distance travel{}{SILVER}Early 20th century sleeping cars were often heavier and larger than their daytime counterparts. This represents a wooden-bodied, 6-axle sleeping coach of the golden era of train travel, in reality there were many variants built in many batches.</v>
      </c>
      <c r="CI80" s="1"/>
      <c r="CJ80" s="1"/>
    </row>
    <row r="81" customFormat="false" ht="13.8" hidden="false" customHeight="false" outlineLevel="0" collapsed="false">
      <c r="A81" s="18" t="s">
        <v>495</v>
      </c>
      <c r="B81" s="18" t="s">
        <v>496</v>
      </c>
      <c r="C81" s="1" t="n">
        <v>108</v>
      </c>
      <c r="E81" s="1" t="n">
        <v>1102</v>
      </c>
      <c r="F81" s="1" t="s">
        <v>89</v>
      </c>
      <c r="G81" s="1" t="s">
        <v>445</v>
      </c>
      <c r="H81" s="1" t="s">
        <v>497</v>
      </c>
      <c r="I81" s="1" t="s">
        <v>153</v>
      </c>
      <c r="J81" s="1" t="n">
        <v>1957</v>
      </c>
      <c r="K81" s="1" t="n">
        <v>1981</v>
      </c>
      <c r="L81" s="1" t="n">
        <v>2002</v>
      </c>
      <c r="W81" s="1" t="n">
        <v>33</v>
      </c>
      <c r="Y81" s="1" t="n">
        <v>4</v>
      </c>
      <c r="AA81" s="4" t="str">
        <f aca="false">IF(AND(W81&gt;0,Z81&gt;0),(Z81/((W81+X81)*10)),"")</f>
        <v/>
      </c>
      <c r="AB81" s="1" t="n">
        <v>100</v>
      </c>
      <c r="AC81" s="1" t="n">
        <f aca="false">ROUND(AB81*1.6, 0)</f>
        <v>160</v>
      </c>
      <c r="AF81" s="1" t="n">
        <v>18.4</v>
      </c>
      <c r="AG81" s="1" t="n">
        <v>18</v>
      </c>
      <c r="AH81" s="1" t="n">
        <v>2.82</v>
      </c>
      <c r="AI81" s="1" t="n">
        <v>3.79</v>
      </c>
      <c r="AJ81" s="5" t="n">
        <v>65</v>
      </c>
      <c r="AK81" s="19" t="str">
        <f aca="false">CONCATENATE(VLOOKUP(AL81, 'Voxel Sizes'!$A$2:$B$18,2,FALSE()),"x",INT(AH81*15), "x", INT(AI81*15))</f>
        <v>186x42x56</v>
      </c>
      <c r="AL81" s="1" t="n">
        <f aca="false">ROUND(15*((AG81*10)/256),0)</f>
        <v>11</v>
      </c>
      <c r="AN81" s="1" t="str">
        <f aca="false">CONCATENATE(VLOOKUP(AL81,Constants!$A$2:$C$16,IF(AM81&lt;&gt;"", 3, 2), FALSE()),IF(AM81&lt;&gt;"",CONCATENATE(",",VLOOKUP(AM81,$B:$AN,38,FALSE())),""))</f>
        <v>4,3,4</v>
      </c>
      <c r="AX81" s="1" t="n">
        <v>30</v>
      </c>
      <c r="AY81" s="6" t="n">
        <f aca="false">IF(L81&lt;&gt;"",MAX(16,(L81-J81)+8),"")</f>
        <v>53</v>
      </c>
      <c r="AZ81" s="1" t="n">
        <v>55</v>
      </c>
      <c r="BA81" s="1" t="n">
        <v>25</v>
      </c>
      <c r="BB81" s="1" t="n">
        <f aca="false">MIN(AB81/150, 1)*30</f>
        <v>20</v>
      </c>
      <c r="BC81" s="1" t="n">
        <f aca="false">MIN(N81/4000, 1)*20</f>
        <v>0</v>
      </c>
      <c r="BD81" s="1" t="n">
        <f aca="false">MIN(Z81/400,1)*20</f>
        <v>0</v>
      </c>
      <c r="BE81" s="4" t="n">
        <f aca="false">1-(MAX(J81-1900, 0)/750)</f>
        <v>0.924</v>
      </c>
      <c r="BF81" s="1" t="n">
        <f aca="false">((MAX($M81,1)*MIN($AJ81/300,1)))*IF(G81="Wagon",50,10)</f>
        <v>10.8333333333333</v>
      </c>
      <c r="BG81" s="1" t="n">
        <f aca="false">VLOOKUP($H81,Constants!$I:$K, 2, FALSE())</f>
        <v>1.2</v>
      </c>
      <c r="BH81" s="1" t="n">
        <f aca="false">VLOOKUP($H81,Constants!$I:$K, 3, FALSE())*IF(AND(G81="multiple_unit",AB81&lt;110),0.75,1)</f>
        <v>0.6</v>
      </c>
      <c r="BI81" s="1" t="n">
        <f aca="false">INT(POWER(((Constants!$G$2+$BB81+$BC81+$BD81+$BF81)*$BE81)*$BH81, 1.05))+$BA81</f>
        <v>48</v>
      </c>
      <c r="BJ81" s="1" t="n">
        <f aca="false">INT(POWER((((Constants!$G$1+$BB81+$BC81+$BD81+$BF81)*($BE81))*$BG81),IF($G81="wagon",1,1.2)))+$AZ81</f>
        <v>105</v>
      </c>
      <c r="BK81" s="20" t="n">
        <f aca="false">BI81*IF($G81="wagon",62.5,781.25)</f>
        <v>3000</v>
      </c>
      <c r="BL81" s="20" t="n">
        <f aca="false">BJ81*IF($G81="wagon",2.73,81.25)</f>
        <v>286.65</v>
      </c>
      <c r="BT81" s="1" t="n">
        <v>1</v>
      </c>
      <c r="BU81" s="1" t="n">
        <v>185</v>
      </c>
      <c r="BV81" s="1" t="s">
        <v>329</v>
      </c>
      <c r="BX81" s="1" t="s">
        <v>148</v>
      </c>
      <c r="BY81" s="1" t="str">
        <f aca="false">VLOOKUP(J81,Eras!$A$2:$C$10, 2, TRUE())</f>
        <v>dsl</v>
      </c>
      <c r="BZ81" s="18" t="s">
        <v>498</v>
      </c>
      <c r="CA81" s="1" t="str">
        <f aca="false">CONCATENATE(BY81,"_",BZ81)</f>
        <v>dsl_Mail Carriage</v>
      </c>
      <c r="CB81" s="1" t="str">
        <f aca="false">_xlfn.CONCAT(H81, "_",I81)</f>
        <v>carriage_RAIL</v>
      </c>
      <c r="CC81" s="21" t="str">
        <f aca="false">_xlfn.CONCAT("{BLACK}Length: {GOLD}", TEXT(ROUNDUP(IF(AQ81&lt;&gt;"",SUM(VALUE(_xlfn.TEXTSPLIT(AQ81, ","))), SUM(VALUE(_xlfn.TEXTSPLIT(AN81, ",")))*IF(M81, M81, 1))/16, 1), "#,##0.0"), " tiles{}")</f>
        <v>{BLACK}Length: {GOLD}0.7 tiles{}</v>
      </c>
      <c r="CD81" s="1" t="str">
        <f aca="false">VLOOKUP($CB81, Constants!$M:$N, 2, FALSE())</f>
        <v/>
      </c>
      <c r="CE81" s="1" t="str">
        <f aca="false">IF(M81&gt;1,_xlfn.CONCAT("{BLACK}Cars: {GOLD}", M81),"")</f>
        <v/>
      </c>
      <c r="CF81" s="1" t="s">
        <v>499</v>
      </c>
      <c r="CG81" s="1" t="str">
        <f aca="false">IF(BW81="buffet","{YELLOW}25% long distance bonus for consist{}",IF(BY81="BRAKE","{YELLOW}Speed bonus for slow wagons{}",IF(BU81&gt;190,CONCATENATE("{YELLOW}",INT((BU81-185)/1.85),"% bonus for long distance travel{}"),IF(AND(BU81&lt;180,BU81&lt;&gt;0),CONCATENATE("{YELLOW}",INT((185-BU81)/1.85),"% penalty for long distance travel{}"),""))))</f>
        <v/>
      </c>
      <c r="CH81" s="1" t="str">
        <f aca="false">_xlfn.CONCAT(CD81,IF(CD81 &lt;&gt; "", " ", ""),CE81,IF(OR(CE81&lt;&gt;"", CD81&lt;&gt;""), "{}",""), CC81, CG81,"{SILVER}", CF81)</f>
        <v>{BLACK}Length: {GOLD}0.7 tiles{}{SILVER}The standard parcels and baggage car on British Rail for decades, the Mk1 Brake Gangwayed was extremely versatile. This represents a standard 57’ frame example, making it noticably shorter than the standard Mk1 coach.</v>
      </c>
      <c r="CI81" s="1"/>
      <c r="CJ81" s="1"/>
    </row>
    <row r="82" customFormat="false" ht="13.8" hidden="false" customHeight="false" outlineLevel="0" collapsed="false">
      <c r="A82" s="18" t="s">
        <v>500</v>
      </c>
      <c r="B82" s="18" t="s">
        <v>501</v>
      </c>
      <c r="C82" s="1" t="n">
        <v>109</v>
      </c>
      <c r="D82" s="1" t="n">
        <v>108</v>
      </c>
      <c r="E82" s="1" t="n">
        <v>1112</v>
      </c>
      <c r="F82" s="1" t="s">
        <v>89</v>
      </c>
      <c r="G82" s="1" t="s">
        <v>445</v>
      </c>
      <c r="H82" s="1" t="s">
        <v>497</v>
      </c>
      <c r="I82" s="1" t="s">
        <v>153</v>
      </c>
      <c r="J82" s="1" t="n">
        <v>1975</v>
      </c>
      <c r="K82" s="1" t="n">
        <v>1998</v>
      </c>
      <c r="L82" s="1" t="n">
        <v>2002</v>
      </c>
      <c r="W82" s="1" t="n">
        <v>33</v>
      </c>
      <c r="Y82" s="1" t="n">
        <v>4</v>
      </c>
      <c r="AA82" s="4" t="str">
        <f aca="false">IF(AND(W82&gt;0,Z82&gt;0),(Z82/((W82+X82)*10)),"")</f>
        <v/>
      </c>
      <c r="AB82" s="1" t="n">
        <v>110</v>
      </c>
      <c r="AC82" s="1" t="n">
        <f aca="false">ROUND(AB82*1.6, 0)</f>
        <v>176</v>
      </c>
      <c r="AF82" s="1" t="n">
        <v>18.4</v>
      </c>
      <c r="AG82" s="1" t="n">
        <v>18</v>
      </c>
      <c r="AH82" s="1" t="n">
        <v>2.82</v>
      </c>
      <c r="AI82" s="1" t="n">
        <v>3.79</v>
      </c>
      <c r="AJ82" s="5" t="n">
        <v>65</v>
      </c>
      <c r="AK82" s="19" t="str">
        <f aca="false">CONCATENATE(VLOOKUP(AL82, 'Voxel Sizes'!$A$2:$B$18,2,FALSE()),"x",INT(AH82*15), "x", INT(AI82*15))</f>
        <v>186x42x56</v>
      </c>
      <c r="AL82" s="1" t="n">
        <f aca="false">ROUND(15*((AG82*10)/256),0)</f>
        <v>11</v>
      </c>
      <c r="AN82" s="1" t="str">
        <f aca="false">CONCATENATE(VLOOKUP(AL82,Constants!$A$2:$C$16,IF(AM82&lt;&gt;"", 3, 2), FALSE()),IF(AM82&lt;&gt;"",CONCATENATE(",",VLOOKUP(AM82,$B:$AN,38,FALSE())),""))</f>
        <v>4,3,4</v>
      </c>
      <c r="AX82" s="1" t="n">
        <v>30</v>
      </c>
      <c r="AY82" s="6" t="n">
        <f aca="false">IF(L82&lt;&gt;"",MAX(16,(L82-J82)+8),"")</f>
        <v>35</v>
      </c>
      <c r="AZ82" s="1" t="n">
        <v>75</v>
      </c>
      <c r="BA82" s="1" t="n">
        <v>35</v>
      </c>
      <c r="BB82" s="1" t="n">
        <f aca="false">MIN(AB82/150, 1)*30</f>
        <v>22</v>
      </c>
      <c r="BC82" s="1" t="n">
        <f aca="false">MIN(N82/4000, 1)*20</f>
        <v>0</v>
      </c>
      <c r="BD82" s="1" t="n">
        <f aca="false">MIN(Z82/400,1)*20</f>
        <v>0</v>
      </c>
      <c r="BE82" s="4" t="n">
        <f aca="false">1-(MAX(J82-1900, 0)/750)</f>
        <v>0.9</v>
      </c>
      <c r="BF82" s="1" t="n">
        <f aca="false">((MAX($M82,1)*MIN($AJ82/300,1)))*IF(G82="Wagon",50,10)</f>
        <v>10.8333333333333</v>
      </c>
      <c r="BG82" s="1" t="n">
        <f aca="false">VLOOKUP($H82,Constants!$I:$K, 2, FALSE())</f>
        <v>1.2</v>
      </c>
      <c r="BH82" s="1" t="n">
        <f aca="false">VLOOKUP($H82,Constants!$I:$K, 3, FALSE())*IF(AND(G82="multiple_unit",AB82&lt;110),0.75,1)</f>
        <v>0.6</v>
      </c>
      <c r="BI82" s="1" t="n">
        <f aca="false">INT(POWER(((Constants!$G$2+$BB82+$BC82+$BD82+$BF82)*$BE82)*$BH82, 1.05))+$BA82</f>
        <v>58</v>
      </c>
      <c r="BJ82" s="1" t="n">
        <f aca="false">INT(POWER((((Constants!$G$1+$BB82+$BC82+$BD82+$BF82)*($BE82))*$BG82),IF($G82="wagon",1,1.2)))+$AZ82</f>
        <v>126</v>
      </c>
      <c r="BK82" s="20" t="n">
        <f aca="false">BI82*IF($G82="wagon",62.5,781.25)</f>
        <v>3625</v>
      </c>
      <c r="BL82" s="20" t="n">
        <f aca="false">BJ82*IF($G82="wagon",2.73,81.25)</f>
        <v>343.98</v>
      </c>
      <c r="BT82" s="1" t="n">
        <v>1</v>
      </c>
      <c r="BU82" s="1" t="n">
        <v>185</v>
      </c>
      <c r="BV82" s="1" t="s">
        <v>329</v>
      </c>
      <c r="BX82" s="1" t="s">
        <v>148</v>
      </c>
      <c r="BY82" s="1" t="str">
        <f aca="false">VLOOKUP(J82,Eras!$A$2:$C$10, 2, TRUE())</f>
        <v>lbr</v>
      </c>
      <c r="BZ82" s="18" t="s">
        <v>498</v>
      </c>
      <c r="CA82" s="1" t="str">
        <f aca="false">CONCATENATE(BY82,"_",BZ82)</f>
        <v>lbr_Mail Carriage</v>
      </c>
      <c r="CB82" s="1" t="str">
        <f aca="false">_xlfn.CONCAT(H82, "_",I82)</f>
        <v>carriage_RAIL</v>
      </c>
      <c r="CC82" s="21" t="str">
        <f aca="false">_xlfn.CONCAT("{BLACK}Length: {GOLD}", TEXT(ROUNDUP(IF(AQ82&lt;&gt;"",SUM(VALUE(_xlfn.TEXTSPLIT(AQ82, ","))), SUM(VALUE(_xlfn.TEXTSPLIT(AN82, ",")))*IF(M82, M82, 1))/16, 1), "#,##0.0"), " tiles{}")</f>
        <v>{BLACK}Length: {GOLD}0.7 tiles{}</v>
      </c>
      <c r="CD82" s="1" t="str">
        <f aca="false">VLOOKUP($CB82, Constants!$M:$N, 2, FALSE())</f>
        <v/>
      </c>
      <c r="CE82" s="1" t="str">
        <f aca="false">IF(M82&gt;1,_xlfn.CONCAT("{BLACK}Cars: {GOLD}", M82),"")</f>
        <v/>
      </c>
      <c r="CF82" s="1" t="s">
        <v>502</v>
      </c>
      <c r="CG82" s="1" t="str">
        <f aca="false">IF(BW82="buffet","{YELLOW}25% long distance bonus for consist{}",IF(BY82="BRAKE","{YELLOW}Speed bonus for slow wagons{}",IF(BU82&gt;190,CONCATENATE("{YELLOW}",INT((BU82-185)/1.85),"% bonus for long distance travel{}"),IF(AND(BU82&lt;180,BU82&lt;&gt;0),CONCATENATE("{YELLOW}",INT((185-BU82)/1.85),"% penalty for long distance travel{}"),""))))</f>
        <v/>
      </c>
      <c r="CH82" s="1" t="str">
        <f aca="false">_xlfn.CONCAT(CD82,IF(CD82 &lt;&gt; "", " ", ""),CE82,IF(OR(CE82&lt;&gt;"", CD82&lt;&gt;""), "{}",""), CC82, CG82,"{SILVER}", CF82)</f>
        <v>{BLACK}Length: {GOLD}0.7 tiles{}{SILVER}In the 1980s a number of BG vehicles were upgraded with B4 bogies and cleared for travel at 110mph, to provide additional capacity within fast passenger services, which were typically run with Mark 2 stock.</v>
      </c>
      <c r="CI82" s="1"/>
      <c r="CJ82" s="1"/>
    </row>
    <row r="83" customFormat="false" ht="13.8" hidden="false" customHeight="false" outlineLevel="0" collapsed="false">
      <c r="A83" s="18" t="s">
        <v>503</v>
      </c>
      <c r="B83" s="18" t="s">
        <v>504</v>
      </c>
      <c r="C83" s="1" t="n">
        <v>110</v>
      </c>
      <c r="D83" s="1" t="n">
        <v>108</v>
      </c>
      <c r="E83" s="1" t="n">
        <v>1113</v>
      </c>
      <c r="F83" s="1" t="s">
        <v>89</v>
      </c>
      <c r="G83" s="1" t="s">
        <v>445</v>
      </c>
      <c r="H83" s="1" t="s">
        <v>497</v>
      </c>
      <c r="I83" s="1" t="s">
        <v>153</v>
      </c>
      <c r="J83" s="1" t="n">
        <v>1989</v>
      </c>
      <c r="K83" s="1" t="n">
        <v>2002</v>
      </c>
      <c r="L83" s="1" t="n">
        <v>2002</v>
      </c>
      <c r="W83" s="1" t="n">
        <v>33</v>
      </c>
      <c r="Y83" s="1" t="n">
        <v>5</v>
      </c>
      <c r="AA83" s="4" t="str">
        <f aca="false">IF(AND(W83&gt;0,Z83&gt;0),(Z83/((W83+X83)*10)),"")</f>
        <v/>
      </c>
      <c r="AB83" s="1" t="n">
        <v>100</v>
      </c>
      <c r="AC83" s="1" t="n">
        <f aca="false">ROUND(AB83*1.6, 0)</f>
        <v>160</v>
      </c>
      <c r="AF83" s="1" t="n">
        <v>18.4</v>
      </c>
      <c r="AG83" s="1" t="n">
        <v>18</v>
      </c>
      <c r="AH83" s="1" t="n">
        <v>2.82</v>
      </c>
      <c r="AI83" s="1" t="n">
        <v>3.79</v>
      </c>
      <c r="AJ83" s="5" t="n">
        <v>72</v>
      </c>
      <c r="AK83" s="19" t="str">
        <f aca="false">CONCATENATE(VLOOKUP(AL83, 'Voxel Sizes'!$A$2:$B$18,2,FALSE()),"x",INT(AH83*15), "x", INT(AI83*15))</f>
        <v>186x42x56</v>
      </c>
      <c r="AL83" s="1" t="n">
        <f aca="false">ROUND(15*((AG83*10)/256),0)</f>
        <v>11</v>
      </c>
      <c r="AN83" s="1" t="str">
        <f aca="false">CONCATENATE(VLOOKUP(AL83,Constants!$A$2:$C$16,IF(AM83&lt;&gt;"", 3, 2), FALSE()),IF(AM83&lt;&gt;"",CONCATENATE(",",VLOOKUP(AM83,$B:$AN,38,FALSE())),""))</f>
        <v>4,3,4</v>
      </c>
      <c r="AX83" s="1" t="n">
        <v>30</v>
      </c>
      <c r="AY83" s="6" t="n">
        <f aca="false">IF(L83&lt;&gt;"",MAX(16,(L83-J83)+8),"")</f>
        <v>21</v>
      </c>
      <c r="AZ83" s="1" t="n">
        <v>65</v>
      </c>
      <c r="BA83" s="1" t="n">
        <v>45</v>
      </c>
      <c r="BB83" s="1" t="n">
        <f aca="false">MIN(AB83/150, 1)*30</f>
        <v>20</v>
      </c>
      <c r="BC83" s="1" t="n">
        <f aca="false">MIN(N83/4000, 1)*20</f>
        <v>0</v>
      </c>
      <c r="BD83" s="1" t="n">
        <f aca="false">MIN(Z83/400,1)*20</f>
        <v>0</v>
      </c>
      <c r="BE83" s="4" t="n">
        <f aca="false">1-(MAX(J83-1900, 0)/750)</f>
        <v>0.881333333333333</v>
      </c>
      <c r="BF83" s="1" t="n">
        <f aca="false">((MAX($M83,1)*MIN($AJ83/300,1)))*IF(G83="Wagon",50,10)</f>
        <v>12</v>
      </c>
      <c r="BG83" s="1" t="n">
        <f aca="false">VLOOKUP($H83,Constants!$I:$K, 2, FALSE())</f>
        <v>1.2</v>
      </c>
      <c r="BH83" s="1" t="n">
        <f aca="false">VLOOKUP($H83,Constants!$I:$K, 3, FALSE())*IF(AND(G83="multiple_unit",AB83&lt;110),0.75,1)</f>
        <v>0.6</v>
      </c>
      <c r="BI83" s="1" t="n">
        <f aca="false">INT(POWER(((Constants!$G$2+$BB83+$BC83+$BD83+$BF83)*$BE83)*$BH83, 1.05))+$BA83</f>
        <v>67</v>
      </c>
      <c r="BJ83" s="1" t="n">
        <f aca="false">INT(POWER((((Constants!$G$1+$BB83+$BC83+$BD83+$BF83)*($BE83))*$BG83),IF($G83="wagon",1,1.2)))+$AZ83</f>
        <v>114</v>
      </c>
      <c r="BK83" s="20" t="n">
        <f aca="false">BI83*IF($G83="wagon",62.5,781.25)</f>
        <v>4187.5</v>
      </c>
      <c r="BL83" s="20" t="n">
        <f aca="false">BJ83*IF($G83="wagon",2.73,81.25)</f>
        <v>311.22</v>
      </c>
      <c r="BT83" s="1" t="n">
        <v>1</v>
      </c>
      <c r="BU83" s="1" t="n">
        <v>185</v>
      </c>
      <c r="BV83" s="1" t="s">
        <v>329</v>
      </c>
      <c r="BX83" s="1" t="s">
        <v>148</v>
      </c>
      <c r="BY83" s="1" t="str">
        <f aca="false">VLOOKUP(J83,Eras!$A$2:$C$10, 2, TRUE())</f>
        <v>lbr</v>
      </c>
      <c r="BZ83" s="18" t="s">
        <v>498</v>
      </c>
      <c r="CA83" s="1" t="str">
        <f aca="false">CONCATENATE(BY83,"_",BZ83)</f>
        <v>lbr_Mail Carriage</v>
      </c>
      <c r="CB83" s="1" t="str">
        <f aca="false">_xlfn.CONCAT(H83, "_",I83)</f>
        <v>carriage_RAIL</v>
      </c>
      <c r="CC83" s="21" t="str">
        <f aca="false">_xlfn.CONCAT("{BLACK}Length: {GOLD}", TEXT(ROUNDUP(IF(AQ83&lt;&gt;"",SUM(VALUE(_xlfn.TEXTSPLIT(AQ83, ","))), SUM(VALUE(_xlfn.TEXTSPLIT(AN83, ",")))*IF(M83, M83, 1))/16, 1), "#,##0.0"), " tiles{}")</f>
        <v>{BLACK}Length: {GOLD}0.7 tiles{}</v>
      </c>
      <c r="CD83" s="1" t="str">
        <f aca="false">VLOOKUP($CB83, Constants!$M:$N, 2, FALSE())</f>
        <v/>
      </c>
      <c r="CE83" s="1" t="str">
        <f aca="false">IF(M83&gt;1,_xlfn.CONCAT("{BLACK}Cars: {GOLD}", M83),"")</f>
        <v/>
      </c>
      <c r="CF83" s="1" t="s">
        <v>505</v>
      </c>
      <c r="CG83" s="1" t="str">
        <f aca="false">IF(BW83="buffet","{YELLOW}25% long distance bonus for consist{}",IF(BY83="BRAKE","{YELLOW}Speed bonus for slow wagons{}",IF(BU83&gt;190,CONCATENATE("{YELLOW}",INT((BU83-185)/1.85),"% bonus for long distance travel{}"),IF(AND(BU83&lt;180,BU83&lt;&gt;0),CONCATENATE("{YELLOW}",INT((185-BU83)/1.85),"% penalty for long distance travel{}"),""))))</f>
        <v/>
      </c>
      <c r="CH83" s="1" t="str">
        <f aca="false">_xlfn.CONCAT(CD83,IF(CD83 &lt;&gt; "", " ", ""),CE83,IF(OR(CE83&lt;&gt;"", CD83&lt;&gt;""), "{}",""), CC83, CG83,"{SILVER}", CF83)</f>
        <v>{BLACK}Length: {GOLD}0.7 tiles{}{SILVER}By the 90s parcels traffic was in decline on the railway, and increasingly movement focused on fixed flows between mail terminals. As a result, a number of vehicles were rebuilt with roller shutter doors for faster loading.</v>
      </c>
      <c r="CI83" s="1"/>
      <c r="CJ83" s="1"/>
    </row>
    <row r="84" customFormat="false" ht="13.8" hidden="false" customHeight="false" outlineLevel="0" collapsed="false">
      <c r="A84" s="18" t="s">
        <v>506</v>
      </c>
      <c r="B84" s="18" t="s">
        <v>507</v>
      </c>
      <c r="C84" s="1" t="n">
        <v>85</v>
      </c>
      <c r="E84" s="1" t="n">
        <v>1185</v>
      </c>
      <c r="F84" s="1" t="s">
        <v>89</v>
      </c>
      <c r="G84" s="1" t="s">
        <v>445</v>
      </c>
      <c r="H84" s="1" t="s">
        <v>445</v>
      </c>
      <c r="I84" s="1" t="s">
        <v>153</v>
      </c>
      <c r="J84" s="1" t="n">
        <v>1958</v>
      </c>
      <c r="K84" s="1" t="n">
        <v>1975</v>
      </c>
      <c r="L84" s="1" t="n">
        <v>1990</v>
      </c>
      <c r="W84" s="1" t="n">
        <v>21</v>
      </c>
      <c r="Y84" s="1" t="n">
        <v>4</v>
      </c>
      <c r="AA84" s="4" t="str">
        <f aca="false">IF(AND(W84&gt;0,Z84&gt;0),(Z84/((W84+X84)*10)),"")</f>
        <v/>
      </c>
      <c r="AB84" s="1" t="n">
        <v>80</v>
      </c>
      <c r="AC84" s="1" t="n">
        <f aca="false">ROUND(AB84*1.6, 0)</f>
        <v>128</v>
      </c>
      <c r="AF84" s="1" t="n">
        <v>19.8</v>
      </c>
      <c r="AG84" s="1" t="n">
        <v>20</v>
      </c>
      <c r="AH84" s="1" t="n">
        <v>2.82</v>
      </c>
      <c r="AI84" s="1" t="n">
        <v>3.79</v>
      </c>
      <c r="AJ84" s="5" t="n">
        <v>12</v>
      </c>
      <c r="AK84" s="19" t="str">
        <f aca="false">CONCATENATE(VLOOKUP(AL84, 'Voxel Sizes'!$A$2:$B$18,2,FALSE()),"x",INT(AH84*15), "x", INT(AI84*15))</f>
        <v>198x42x56</v>
      </c>
      <c r="AL84" s="1" t="n">
        <f aca="false">ROUND(15*((AG84*10)/256),0)</f>
        <v>12</v>
      </c>
      <c r="AN84" s="1" t="str">
        <f aca="false">CONCATENATE(VLOOKUP(AL84,Constants!$A$2:$C$16,IF(AM84&lt;&gt;"", 3, 2), FALSE()),IF(AM84&lt;&gt;"",CONCATENATE(",",VLOOKUP(AM84,$B:$AN,38,FALSE())),""))</f>
        <v>4,4,4</v>
      </c>
      <c r="AX84" s="1" t="n">
        <v>30</v>
      </c>
      <c r="AY84" s="6" t="n">
        <f aca="false">IF(L84&lt;&gt;"",MAX(16,(L84-J84)+8),"")</f>
        <v>40</v>
      </c>
      <c r="AZ84" s="1" t="n">
        <v>1000</v>
      </c>
      <c r="BA84" s="1" t="n">
        <v>110</v>
      </c>
      <c r="BB84" s="1" t="n">
        <f aca="false">MIN(AB84/150, 1)*30</f>
        <v>16</v>
      </c>
      <c r="BC84" s="1" t="n">
        <f aca="false">MIN(N84/4000, 1)*20</f>
        <v>0</v>
      </c>
      <c r="BD84" s="1" t="n">
        <f aca="false">MIN(Z84/400,1)*20</f>
        <v>0</v>
      </c>
      <c r="BE84" s="4" t="n">
        <f aca="false">1-(MAX(J84-1900, 0)/750)</f>
        <v>0.922666666666667</v>
      </c>
      <c r="BF84" s="1" t="n">
        <f aca="false">((MAX($M84,1)*MIN($AJ84/300,1)))*IF(G84="Wagon",50,10)</f>
        <v>2</v>
      </c>
      <c r="BG84" s="1" t="n">
        <f aca="false">VLOOKUP($H84,Constants!$I:$K, 2, FALSE())</f>
        <v>1</v>
      </c>
      <c r="BH84" s="1" t="n">
        <f aca="false">VLOOKUP($H84,Constants!$I:$K, 3, FALSE())*IF(AND(G84="multiple_unit",AB84&lt;110),0.75,1)</f>
        <v>0.45</v>
      </c>
      <c r="BI84" s="1" t="n">
        <f aca="false">INT(POWER(((Constants!$G$2+$BB84+$BC84+$BD84+$BF84)*$BE84)*$BH84, 1.05))+$BA84</f>
        <v>120</v>
      </c>
      <c r="BJ84" s="1" t="n">
        <f aca="false">INT(POWER((((Constants!$G$1+$BB84+$BC84+$BD84+$BF84)*($BE84))*$BG84),IF($G84="wagon",1,1.2)))+$AZ84</f>
        <v>1030</v>
      </c>
      <c r="BK84" s="20" t="n">
        <f aca="false">BI84*IF($G84="wagon",62.5,781.25)</f>
        <v>7500</v>
      </c>
      <c r="BL84" s="20" t="n">
        <f aca="false">BJ84*IF($G84="wagon",2.73,81.25)</f>
        <v>2811.9</v>
      </c>
      <c r="BT84" s="1" t="n">
        <v>2</v>
      </c>
      <c r="BU84" s="1" t="n">
        <v>278</v>
      </c>
      <c r="BV84" s="1" t="s">
        <v>508</v>
      </c>
      <c r="BX84" s="1" t="s">
        <v>95</v>
      </c>
      <c r="BY84" s="1" t="str">
        <f aca="false">VLOOKUP(J84,Eras!$A$2:$C$10, 2, TRUE())</f>
        <v>dsl</v>
      </c>
      <c r="BZ84" s="18" t="s">
        <v>493</v>
      </c>
      <c r="CA84" s="1" t="str">
        <f aca="false">CONCATENATE(BY84,"_",BZ84)</f>
        <v>dsl_Carriage</v>
      </c>
      <c r="CB84" s="1" t="str">
        <f aca="false">_xlfn.CONCAT(H84, "_",I84)</f>
        <v>wagon_RAIL</v>
      </c>
      <c r="CC84" s="21" t="str">
        <f aca="false">_xlfn.CONCAT("{BLACK}Length: {GOLD}", TEXT(ROUNDUP(IF(AQ84&lt;&gt;"",SUM(VALUE(_xlfn.TEXTSPLIT(AQ84, ","))), SUM(VALUE(_xlfn.TEXTSPLIT(AN84, ",")))*IF(M84, M84, 1))/16, 1), "#,##0.0"), " tiles{}")</f>
        <v>{BLACK}Length: {GOLD}0.8 tiles{}</v>
      </c>
      <c r="CD84" s="1" t="str">
        <f aca="false">VLOOKUP($CB84, Constants!$M:$N, 2, FALSE())</f>
        <v/>
      </c>
      <c r="CE84" s="1" t="str">
        <f aca="false">IF(M84&gt;1,_xlfn.CONCAT("{BLACK}Cars: {GOLD}", M84),"")</f>
        <v/>
      </c>
      <c r="CF84" s="1" t="s">
        <v>509</v>
      </c>
      <c r="CG84" s="1" t="str">
        <f aca="false">IF(BW84="buffet","{YELLOW}25% long distance bonus for consist{}",IF(BY84="BRAKE","{YELLOW}Speed bonus for slow wagons{}",IF(BU84&gt;190,CONCATENATE("{YELLOW}",INT((BU84-185)/1.85),"% bonus for long distance travel (for passengers){}"),IF(AND(BU84&lt;180,BU84&lt;&gt;0),CONCATENATE("{YELLOW}",INT((185-BU84)/1.85),"% penalty for long distance travel{}"),""))))</f>
        <v>{YELLOW}50% bonus for long distance travel (for passengers){}</v>
      </c>
      <c r="CH84" s="1" t="str">
        <f aca="false">_xlfn.CONCAT(CD84,IF(CD84 &lt;&gt; "", " ", ""),CE84,IF(OR(CE84&lt;&gt;"", CD84&lt;&gt;""), "{}",""), CC84, CG84,"{SILVER}", CF84)</f>
        <v>{BLACK}Length: {GOLD}0.8 tiles{}{YELLOW}50% bonus for long distance travel (for passengers){}{SILVER}The ‘Carflat’ Wagons were simply coach underframes with wooden decks and low sides added, normally used to convey assembled vehicles. In many cases, these were used in passenger train formations, in the Motorail service as part of sleeper trains.</v>
      </c>
      <c r="CI84" s="0"/>
      <c r="CJ84" s="0"/>
      <c r="CK84" s="0"/>
      <c r="CL84" s="0"/>
      <c r="CM84" s="0"/>
      <c r="CN84" s="0"/>
      <c r="CO84" s="0"/>
      <c r="CP84" s="0"/>
      <c r="CQ84" s="0"/>
      <c r="CR84" s="0"/>
      <c r="CS84" s="0"/>
      <c r="CT84" s="0"/>
      <c r="CU84" s="0"/>
      <c r="CV84" s="0"/>
      <c r="CW84" s="0"/>
      <c r="CX84" s="0"/>
      <c r="CY84" s="0"/>
      <c r="CZ84" s="0"/>
      <c r="DA84" s="0"/>
      <c r="DB84" s="0"/>
      <c r="DC84" s="0"/>
      <c r="DD84" s="0"/>
      <c r="DE84" s="0"/>
      <c r="DF84" s="0"/>
      <c r="DG84" s="0"/>
      <c r="DH84" s="0"/>
      <c r="DI84" s="0"/>
      <c r="DJ84" s="0"/>
      <c r="DK84" s="0"/>
      <c r="DL84" s="0"/>
      <c r="DM84" s="0"/>
      <c r="DN84" s="0"/>
      <c r="DO84" s="0"/>
      <c r="DP84" s="0"/>
      <c r="DQ84" s="0"/>
      <c r="DR84" s="0"/>
      <c r="DS84" s="0"/>
      <c r="DT84" s="0"/>
      <c r="DU84" s="0"/>
      <c r="DV84" s="0"/>
      <c r="DW84" s="0"/>
      <c r="DX84" s="0"/>
      <c r="DY84" s="0"/>
      <c r="DZ84" s="0"/>
      <c r="EA84" s="0"/>
      <c r="EB84" s="0"/>
      <c r="EC84" s="0"/>
      <c r="ED84" s="0"/>
      <c r="EE84" s="0"/>
      <c r="EF84" s="0"/>
      <c r="EG84" s="0"/>
      <c r="EH84" s="0"/>
      <c r="EI84" s="0"/>
      <c r="EJ84" s="0"/>
      <c r="EK84" s="0"/>
      <c r="EL84" s="0"/>
      <c r="EM84" s="0"/>
      <c r="EN84" s="0"/>
      <c r="EO84" s="0"/>
      <c r="EP84" s="0"/>
      <c r="EQ84" s="0"/>
      <c r="ER84" s="0"/>
      <c r="ES84" s="0"/>
      <c r="ET84" s="0"/>
      <c r="EU84" s="0"/>
      <c r="EV84" s="0"/>
      <c r="EW84" s="0"/>
      <c r="EX84" s="0"/>
      <c r="EY84" s="0"/>
      <c r="EZ84" s="0"/>
      <c r="FA84" s="0"/>
      <c r="FB84" s="0"/>
      <c r="FC84" s="0"/>
      <c r="FD84" s="0"/>
      <c r="FE84" s="0"/>
      <c r="FF84" s="0"/>
      <c r="FG84" s="0"/>
      <c r="FH84" s="0"/>
      <c r="FI84" s="0"/>
      <c r="FJ84" s="0"/>
      <c r="FK84" s="0"/>
      <c r="FL84" s="0"/>
      <c r="FM84" s="0"/>
      <c r="FN84" s="0"/>
      <c r="FO84" s="0"/>
      <c r="FP84" s="0"/>
      <c r="FQ84" s="0"/>
      <c r="FR84" s="0"/>
      <c r="FS84" s="0"/>
      <c r="FT84" s="0"/>
      <c r="FU84" s="0"/>
      <c r="FV84" s="0"/>
      <c r="FW84" s="0"/>
      <c r="FX84" s="0"/>
      <c r="FY84" s="0"/>
      <c r="FZ84" s="0"/>
      <c r="GA84" s="0"/>
      <c r="GB84" s="0"/>
      <c r="GC84" s="0"/>
      <c r="GD84" s="0"/>
      <c r="GE84" s="0"/>
      <c r="GF84" s="0"/>
      <c r="GG84" s="0"/>
      <c r="GH84" s="0"/>
      <c r="GI84" s="0"/>
      <c r="GJ84" s="0"/>
      <c r="GK84" s="0"/>
      <c r="GL84" s="0"/>
      <c r="GM84" s="0"/>
      <c r="GN84" s="0"/>
      <c r="GO84" s="0"/>
      <c r="GP84" s="0"/>
      <c r="GQ84" s="0"/>
      <c r="GR84" s="0"/>
      <c r="GS84" s="0"/>
      <c r="GT84" s="0"/>
      <c r="GU84" s="0"/>
      <c r="GV84" s="0"/>
      <c r="GW84" s="0"/>
      <c r="GX84" s="0"/>
      <c r="GY84" s="0"/>
      <c r="GZ84" s="0"/>
      <c r="HA84" s="0"/>
      <c r="HB84" s="0"/>
      <c r="HC84" s="0"/>
      <c r="HD84" s="0"/>
      <c r="HE84" s="0"/>
      <c r="HF84" s="0"/>
      <c r="HG84" s="0"/>
      <c r="HH84" s="0"/>
      <c r="HI84" s="0"/>
      <c r="HJ84" s="0"/>
      <c r="HK84" s="0"/>
      <c r="HL84" s="0"/>
      <c r="HM84" s="0"/>
      <c r="HN84" s="0"/>
      <c r="HO84" s="0"/>
      <c r="HP84" s="0"/>
      <c r="HQ84" s="0"/>
      <c r="HR84" s="0"/>
      <c r="HS84" s="0"/>
      <c r="HT84" s="0"/>
      <c r="HU84" s="0"/>
      <c r="HV84" s="0"/>
      <c r="HW84" s="0"/>
      <c r="HX84" s="0"/>
      <c r="HY84" s="0"/>
      <c r="HZ84" s="0"/>
      <c r="IA84" s="0"/>
      <c r="IB84" s="0"/>
      <c r="IC84" s="0"/>
      <c r="ID84" s="0"/>
      <c r="IE84" s="0"/>
      <c r="IF84" s="0"/>
      <c r="IG84" s="0"/>
      <c r="IH84" s="0"/>
      <c r="II84" s="0"/>
      <c r="IJ84" s="0"/>
      <c r="IK84" s="0"/>
      <c r="IL84" s="0"/>
      <c r="IM84" s="0"/>
      <c r="IN84" s="0"/>
      <c r="IO84" s="0"/>
      <c r="IP84" s="0"/>
      <c r="IQ84" s="0"/>
      <c r="IR84" s="0"/>
      <c r="IS84" s="0"/>
      <c r="IT84" s="0"/>
      <c r="IU84" s="0"/>
      <c r="IV84" s="0"/>
      <c r="IW84" s="0"/>
      <c r="IX84" s="0"/>
      <c r="IY84" s="0"/>
      <c r="IZ84" s="0"/>
      <c r="JA84" s="0"/>
      <c r="JB84" s="0"/>
      <c r="JC84" s="0"/>
      <c r="JD84" s="0"/>
      <c r="JE84" s="0"/>
      <c r="JF84" s="0"/>
      <c r="JG84" s="0"/>
      <c r="JH84" s="0"/>
      <c r="JI84" s="0"/>
      <c r="JJ84" s="0"/>
      <c r="JK84" s="0"/>
      <c r="JL84" s="0"/>
      <c r="JM84" s="0"/>
      <c r="JN84" s="0"/>
      <c r="JO84" s="0"/>
      <c r="JP84" s="0"/>
      <c r="JQ84" s="0"/>
      <c r="JR84" s="0"/>
      <c r="JS84" s="0"/>
      <c r="JT84" s="0"/>
      <c r="JU84" s="0"/>
      <c r="JV84" s="0"/>
      <c r="JW84" s="0"/>
      <c r="JX84" s="0"/>
      <c r="JY84" s="0"/>
      <c r="JZ84" s="0"/>
      <c r="KA84" s="0"/>
      <c r="KB84" s="0"/>
      <c r="KC84" s="0"/>
      <c r="KD84" s="0"/>
      <c r="KE84" s="0"/>
      <c r="KF84" s="0"/>
      <c r="KG84" s="0"/>
      <c r="KH84" s="0"/>
      <c r="KI84" s="0"/>
      <c r="KJ84" s="0"/>
      <c r="KK84" s="0"/>
      <c r="KL84" s="0"/>
      <c r="KM84" s="0"/>
      <c r="KN84" s="0"/>
      <c r="KO84" s="0"/>
      <c r="KP84" s="0"/>
      <c r="KQ84" s="0"/>
      <c r="KR84" s="0"/>
      <c r="KS84" s="0"/>
      <c r="KT84" s="0"/>
      <c r="KU84" s="0"/>
      <c r="KV84" s="0"/>
      <c r="KW84" s="0"/>
      <c r="KX84" s="0"/>
      <c r="KY84" s="0"/>
      <c r="KZ84" s="0"/>
      <c r="LA84" s="0"/>
      <c r="LB84" s="0"/>
      <c r="LC84" s="0"/>
      <c r="LD84" s="0"/>
      <c r="LE84" s="0"/>
      <c r="LF84" s="0"/>
      <c r="LG84" s="0"/>
      <c r="LH84" s="0"/>
      <c r="LI84" s="0"/>
      <c r="LJ84" s="0"/>
      <c r="LK84" s="0"/>
      <c r="LL84" s="0"/>
      <c r="LM84" s="0"/>
      <c r="LN84" s="0"/>
      <c r="LO84" s="0"/>
      <c r="LP84" s="0"/>
      <c r="LQ84" s="0"/>
      <c r="LR84" s="0"/>
      <c r="LS84" s="0"/>
      <c r="LT84" s="0"/>
      <c r="LU84" s="0"/>
      <c r="LV84" s="0"/>
      <c r="LW84" s="0"/>
      <c r="LX84" s="0"/>
      <c r="LY84" s="0"/>
      <c r="LZ84" s="0"/>
      <c r="MA84" s="0"/>
      <c r="MB84" s="0"/>
      <c r="MC84" s="0"/>
      <c r="MD84" s="0"/>
      <c r="ME84" s="0"/>
      <c r="MF84" s="0"/>
      <c r="MG84" s="0"/>
      <c r="MH84" s="0"/>
      <c r="MI84" s="0"/>
      <c r="MJ84" s="0"/>
      <c r="MK84" s="0"/>
      <c r="ML84" s="0"/>
      <c r="MM84" s="0"/>
      <c r="MN84" s="0"/>
      <c r="MO84" s="0"/>
      <c r="MP84" s="0"/>
      <c r="MQ84" s="0"/>
      <c r="MR84" s="0"/>
      <c r="MS84" s="0"/>
      <c r="MT84" s="0"/>
      <c r="MU84" s="0"/>
      <c r="MV84" s="0"/>
      <c r="MW84" s="0"/>
      <c r="MX84" s="0"/>
      <c r="MY84" s="0"/>
      <c r="MZ84" s="0"/>
      <c r="NA84" s="0"/>
      <c r="NB84" s="0"/>
      <c r="NC84" s="0"/>
      <c r="ND84" s="0"/>
      <c r="NE84" s="0"/>
      <c r="NF84" s="0"/>
      <c r="NG84" s="0"/>
      <c r="NH84" s="0"/>
      <c r="NI84" s="0"/>
      <c r="NJ84" s="0"/>
      <c r="NK84" s="0"/>
      <c r="NL84" s="0"/>
      <c r="NM84" s="0"/>
      <c r="NN84" s="0"/>
      <c r="NO84" s="0"/>
      <c r="NP84" s="0"/>
      <c r="NQ84" s="0"/>
      <c r="NR84" s="0"/>
      <c r="NS84" s="0"/>
      <c r="NT84" s="0"/>
      <c r="NU84" s="0"/>
      <c r="NV84" s="0"/>
      <c r="NW84" s="0"/>
      <c r="NX84" s="0"/>
      <c r="NY84" s="0"/>
      <c r="NZ84" s="0"/>
      <c r="OA84" s="0"/>
      <c r="OB84" s="0"/>
      <c r="OC84" s="0"/>
      <c r="OD84" s="0"/>
      <c r="OE84" s="0"/>
      <c r="OF84" s="0"/>
      <c r="OG84" s="0"/>
      <c r="OH84" s="0"/>
      <c r="OI84" s="0"/>
      <c r="OJ84" s="0"/>
      <c r="OK84" s="0"/>
      <c r="OL84" s="0"/>
      <c r="OM84" s="0"/>
      <c r="ON84" s="0"/>
      <c r="OO84" s="0"/>
      <c r="OP84" s="0"/>
      <c r="OQ84" s="0"/>
      <c r="OR84" s="0"/>
      <c r="OS84" s="0"/>
      <c r="OT84" s="0"/>
      <c r="OU84" s="0"/>
      <c r="OV84" s="0"/>
      <c r="OW84" s="0"/>
      <c r="OX84" s="0"/>
      <c r="OY84" s="0"/>
      <c r="OZ84" s="0"/>
      <c r="PA84" s="0"/>
      <c r="PB84" s="0"/>
      <c r="PC84" s="0"/>
      <c r="PD84" s="0"/>
      <c r="PE84" s="0"/>
      <c r="PF84" s="0"/>
      <c r="PG84" s="0"/>
      <c r="PH84" s="0"/>
      <c r="PI84" s="0"/>
      <c r="PJ84" s="0"/>
      <c r="PK84" s="0"/>
      <c r="PL84" s="0"/>
      <c r="PM84" s="0"/>
      <c r="PN84" s="0"/>
      <c r="PO84" s="0"/>
      <c r="PP84" s="0"/>
      <c r="PQ84" s="0"/>
      <c r="PR84" s="0"/>
      <c r="PS84" s="0"/>
      <c r="PT84" s="0"/>
      <c r="PU84" s="0"/>
      <c r="PV84" s="0"/>
      <c r="PW84" s="0"/>
      <c r="PX84" s="0"/>
      <c r="PY84" s="0"/>
      <c r="PZ84" s="0"/>
      <c r="QA84" s="0"/>
      <c r="QB84" s="0"/>
      <c r="QC84" s="0"/>
      <c r="QD84" s="0"/>
      <c r="QE84" s="0"/>
      <c r="QF84" s="0"/>
      <c r="QG84" s="0"/>
      <c r="QH84" s="0"/>
      <c r="QI84" s="0"/>
      <c r="QJ84" s="0"/>
      <c r="QK84" s="0"/>
      <c r="QL84" s="0"/>
      <c r="QM84" s="0"/>
      <c r="QN84" s="0"/>
      <c r="QO84" s="0"/>
      <c r="QP84" s="0"/>
      <c r="QQ84" s="0"/>
      <c r="QR84" s="0"/>
      <c r="QS84" s="0"/>
      <c r="QT84" s="0"/>
      <c r="QU84" s="0"/>
      <c r="QV84" s="0"/>
      <c r="QW84" s="0"/>
      <c r="QX84" s="0"/>
      <c r="QY84" s="0"/>
      <c r="QZ84" s="0"/>
      <c r="RA84" s="0"/>
      <c r="RB84" s="0"/>
      <c r="RC84" s="0"/>
      <c r="RD84" s="0"/>
      <c r="RE84" s="0"/>
      <c r="RF84" s="0"/>
      <c r="RG84" s="0"/>
      <c r="RH84" s="0"/>
      <c r="RI84" s="0"/>
      <c r="RJ84" s="0"/>
      <c r="RK84" s="0"/>
      <c r="RL84" s="0"/>
      <c r="RM84" s="0"/>
      <c r="RN84" s="0"/>
      <c r="RO84" s="0"/>
      <c r="RP84" s="0"/>
      <c r="RQ84" s="0"/>
      <c r="RR84" s="0"/>
      <c r="RS84" s="0"/>
      <c r="RT84" s="0"/>
      <c r="RU84" s="0"/>
      <c r="RV84" s="0"/>
      <c r="RW84" s="0"/>
      <c r="RX84" s="0"/>
      <c r="RY84" s="0"/>
      <c r="RZ84" s="0"/>
      <c r="SA84" s="0"/>
      <c r="SB84" s="0"/>
      <c r="SC84" s="0"/>
      <c r="SD84" s="0"/>
      <c r="SE84" s="0"/>
      <c r="SF84" s="0"/>
      <c r="SG84" s="0"/>
      <c r="SH84" s="0"/>
      <c r="SI84" s="0"/>
      <c r="SJ84" s="0"/>
      <c r="SK84" s="0"/>
      <c r="SL84" s="0"/>
      <c r="SM84" s="0"/>
      <c r="SN84" s="0"/>
      <c r="SO84" s="0"/>
      <c r="SP84" s="0"/>
      <c r="SQ84" s="0"/>
      <c r="SR84" s="0"/>
      <c r="SS84" s="0"/>
      <c r="ST84" s="0"/>
      <c r="SU84" s="0"/>
      <c r="SV84" s="0"/>
      <c r="SW84" s="0"/>
      <c r="SX84" s="0"/>
      <c r="SY84" s="0"/>
      <c r="SZ84" s="0"/>
      <c r="TA84" s="0"/>
      <c r="TB84" s="0"/>
      <c r="TC84" s="0"/>
      <c r="TD84" s="0"/>
      <c r="TE84" s="0"/>
      <c r="TF84" s="0"/>
      <c r="TG84" s="0"/>
      <c r="TH84" s="0"/>
      <c r="TI84" s="0"/>
      <c r="TJ84" s="0"/>
      <c r="TK84" s="0"/>
      <c r="TL84" s="0"/>
      <c r="TM84" s="0"/>
      <c r="TN84" s="0"/>
      <c r="TO84" s="0"/>
      <c r="TP84" s="0"/>
      <c r="TQ84" s="0"/>
      <c r="TR84" s="0"/>
      <c r="TS84" s="0"/>
      <c r="TT84" s="0"/>
      <c r="TU84" s="0"/>
      <c r="TV84" s="0"/>
      <c r="TW84" s="0"/>
      <c r="TX84" s="0"/>
      <c r="TY84" s="0"/>
      <c r="TZ84" s="0"/>
      <c r="UA84" s="0"/>
      <c r="UB84" s="0"/>
      <c r="UC84" s="0"/>
      <c r="UD84" s="0"/>
      <c r="UE84" s="0"/>
      <c r="UF84" s="0"/>
      <c r="UG84" s="0"/>
      <c r="UH84" s="0"/>
      <c r="UI84" s="0"/>
      <c r="UJ84" s="0"/>
      <c r="UK84" s="0"/>
      <c r="UL84" s="0"/>
      <c r="UM84" s="0"/>
      <c r="UN84" s="0"/>
      <c r="UO84" s="0"/>
      <c r="UP84" s="0"/>
      <c r="UQ84" s="0"/>
      <c r="UR84" s="0"/>
      <c r="US84" s="0"/>
      <c r="UT84" s="0"/>
      <c r="UU84" s="0"/>
      <c r="UV84" s="0"/>
      <c r="UW84" s="0"/>
      <c r="UX84" s="0"/>
      <c r="UY84" s="0"/>
      <c r="UZ84" s="0"/>
      <c r="VA84" s="0"/>
      <c r="VB84" s="0"/>
      <c r="VC84" s="0"/>
      <c r="VD84" s="0"/>
      <c r="VE84" s="0"/>
      <c r="VF84" s="0"/>
      <c r="VG84" s="0"/>
      <c r="VH84" s="0"/>
      <c r="VI84" s="0"/>
      <c r="VJ84" s="0"/>
      <c r="VK84" s="0"/>
      <c r="VL84" s="0"/>
      <c r="VM84" s="0"/>
      <c r="VN84" s="0"/>
      <c r="VO84" s="0"/>
      <c r="VP84" s="0"/>
      <c r="VQ84" s="0"/>
      <c r="VR84" s="0"/>
      <c r="VS84" s="0"/>
      <c r="VT84" s="0"/>
      <c r="VU84" s="0"/>
      <c r="VV84" s="0"/>
      <c r="VW84" s="0"/>
      <c r="VX84" s="0"/>
      <c r="VY84" s="0"/>
      <c r="VZ84" s="0"/>
      <c r="WA84" s="0"/>
      <c r="WB84" s="0"/>
      <c r="WC84" s="0"/>
      <c r="WD84" s="0"/>
      <c r="WE84" s="0"/>
      <c r="WF84" s="0"/>
      <c r="WG84" s="0"/>
      <c r="WH84" s="0"/>
      <c r="WI84" s="0"/>
      <c r="WJ84" s="0"/>
      <c r="WK84" s="0"/>
      <c r="WL84" s="0"/>
      <c r="WM84" s="0"/>
      <c r="WN84" s="0"/>
      <c r="WO84" s="0"/>
      <c r="WP84" s="0"/>
      <c r="WQ84" s="0"/>
      <c r="WR84" s="0"/>
      <c r="WS84" s="0"/>
      <c r="WT84" s="0"/>
      <c r="WU84" s="0"/>
      <c r="WV84" s="0"/>
      <c r="WW84" s="0"/>
      <c r="WX84" s="0"/>
      <c r="WY84" s="0"/>
      <c r="WZ84" s="0"/>
      <c r="XA84" s="0"/>
      <c r="XB84" s="0"/>
      <c r="XC84" s="0"/>
      <c r="XD84" s="0"/>
      <c r="XE84" s="0"/>
      <c r="XF84" s="0"/>
      <c r="XG84" s="0"/>
      <c r="XH84" s="0"/>
      <c r="XI84" s="0"/>
      <c r="XJ84" s="0"/>
      <c r="XK84" s="0"/>
      <c r="XL84" s="0"/>
      <c r="XM84" s="0"/>
      <c r="XN84" s="0"/>
      <c r="XO84" s="0"/>
      <c r="XP84" s="0"/>
      <c r="XQ84" s="0"/>
      <c r="XR84" s="0"/>
      <c r="XS84" s="0"/>
      <c r="XT84" s="0"/>
      <c r="XU84" s="0"/>
      <c r="XV84" s="0"/>
      <c r="XW84" s="0"/>
      <c r="XX84" s="0"/>
      <c r="XY84" s="0"/>
      <c r="XZ84" s="0"/>
      <c r="YA84" s="0"/>
      <c r="YB84" s="0"/>
      <c r="YC84" s="0"/>
      <c r="YD84" s="0"/>
      <c r="YE84" s="0"/>
      <c r="YF84" s="0"/>
      <c r="YG84" s="0"/>
      <c r="YH84" s="0"/>
      <c r="YI84" s="0"/>
      <c r="YJ84" s="0"/>
      <c r="YK84" s="0"/>
      <c r="YL84" s="0"/>
      <c r="YM84" s="0"/>
      <c r="YN84" s="0"/>
      <c r="YO84" s="0"/>
      <c r="YP84" s="0"/>
      <c r="YQ84" s="0"/>
      <c r="YR84" s="0"/>
      <c r="YS84" s="0"/>
      <c r="YT84" s="0"/>
      <c r="YU84" s="0"/>
      <c r="YV84" s="0"/>
      <c r="YW84" s="0"/>
      <c r="YX84" s="0"/>
      <c r="YY84" s="0"/>
      <c r="YZ84" s="0"/>
      <c r="ZA84" s="0"/>
      <c r="ZB84" s="0"/>
      <c r="ZC84" s="0"/>
      <c r="ZD84" s="0"/>
      <c r="ZE84" s="0"/>
      <c r="ZF84" s="0"/>
      <c r="ZG84" s="0"/>
      <c r="ZH84" s="0"/>
      <c r="ZI84" s="0"/>
      <c r="ZJ84" s="0"/>
      <c r="ZK84" s="0"/>
      <c r="ZL84" s="0"/>
      <c r="ZM84" s="0"/>
      <c r="ZN84" s="0"/>
      <c r="ZO84" s="0"/>
      <c r="ZP84" s="0"/>
      <c r="ZQ84" s="0"/>
      <c r="ZR84" s="0"/>
      <c r="ZS84" s="0"/>
      <c r="ZT84" s="0"/>
      <c r="ZU84" s="0"/>
      <c r="ZV84" s="0"/>
      <c r="ZW84" s="0"/>
      <c r="ZX84" s="0"/>
      <c r="ZY84" s="0"/>
      <c r="ZZ84" s="0"/>
      <c r="AAA84" s="0"/>
      <c r="AAB84" s="0"/>
      <c r="AAC84" s="0"/>
      <c r="AAD84" s="0"/>
      <c r="AAE84" s="0"/>
      <c r="AAF84" s="0"/>
      <c r="AAG84" s="0"/>
      <c r="AAH84" s="0"/>
      <c r="AAI84" s="0"/>
      <c r="AAJ84" s="0"/>
      <c r="AAK84" s="0"/>
      <c r="AAL84" s="0"/>
      <c r="AAM84" s="0"/>
      <c r="AAN84" s="0"/>
      <c r="AAO84" s="0"/>
      <c r="AAP84" s="0"/>
      <c r="AAQ84" s="0"/>
      <c r="AAR84" s="0"/>
      <c r="AAS84" s="0"/>
      <c r="AAT84" s="0"/>
      <c r="AAU84" s="0"/>
      <c r="AAV84" s="0"/>
      <c r="AAW84" s="0"/>
      <c r="AAX84" s="0"/>
      <c r="AAY84" s="0"/>
      <c r="AAZ84" s="0"/>
      <c r="ABA84" s="0"/>
      <c r="ABB84" s="0"/>
      <c r="ABC84" s="0"/>
      <c r="ABD84" s="0"/>
      <c r="ABE84" s="0"/>
      <c r="ABF84" s="0"/>
      <c r="ABG84" s="0"/>
      <c r="ABH84" s="0"/>
      <c r="ABI84" s="0"/>
      <c r="ABJ84" s="0"/>
      <c r="ABK84" s="0"/>
      <c r="ABL84" s="0"/>
      <c r="ABM84" s="0"/>
      <c r="ABN84" s="0"/>
      <c r="ABO84" s="0"/>
      <c r="ABP84" s="0"/>
      <c r="ABQ84" s="0"/>
      <c r="ABR84" s="0"/>
      <c r="ABS84" s="0"/>
      <c r="ABT84" s="0"/>
      <c r="ABU84" s="0"/>
      <c r="ABV84" s="0"/>
      <c r="ABW84" s="0"/>
      <c r="ABX84" s="0"/>
      <c r="ABY84" s="0"/>
      <c r="ABZ84" s="0"/>
      <c r="ACA84" s="0"/>
      <c r="ACB84" s="0"/>
      <c r="ACC84" s="0"/>
      <c r="ACD84" s="0"/>
      <c r="ACE84" s="0"/>
      <c r="ACF84" s="0"/>
      <c r="ACG84" s="0"/>
      <c r="ACH84" s="0"/>
      <c r="ACI84" s="0"/>
      <c r="ACJ84" s="0"/>
      <c r="ACK84" s="0"/>
      <c r="ACL84" s="0"/>
      <c r="ACM84" s="0"/>
      <c r="ACN84" s="0"/>
      <c r="ACO84" s="0"/>
      <c r="ACP84" s="0"/>
      <c r="ACQ84" s="0"/>
      <c r="ACR84" s="0"/>
      <c r="ACS84" s="0"/>
      <c r="ACT84" s="0"/>
      <c r="ACU84" s="0"/>
      <c r="ACV84" s="0"/>
      <c r="ACW84" s="0"/>
      <c r="ACX84" s="0"/>
      <c r="ACY84" s="0"/>
      <c r="ACZ84" s="0"/>
      <c r="ADA84" s="0"/>
      <c r="ADB84" s="0"/>
      <c r="ADC84" s="0"/>
      <c r="ADD84" s="0"/>
      <c r="ADE84" s="0"/>
      <c r="ADF84" s="0"/>
      <c r="ADG84" s="0"/>
      <c r="ADH84" s="0"/>
      <c r="ADI84" s="0"/>
      <c r="ADJ84" s="0"/>
      <c r="ADK84" s="0"/>
      <c r="ADL84" s="0"/>
      <c r="ADM84" s="0"/>
      <c r="ADN84" s="0"/>
      <c r="ADO84" s="0"/>
      <c r="ADP84" s="0"/>
      <c r="ADQ84" s="0"/>
      <c r="ADR84" s="0"/>
      <c r="ADS84" s="0"/>
      <c r="ADT84" s="0"/>
      <c r="ADU84" s="0"/>
      <c r="ADV84" s="0"/>
      <c r="ADW84" s="0"/>
      <c r="ADX84" s="0"/>
      <c r="ADY84" s="0"/>
      <c r="ADZ84" s="0"/>
      <c r="AEA84" s="0"/>
      <c r="AEB84" s="0"/>
      <c r="AEC84" s="0"/>
      <c r="AED84" s="0"/>
      <c r="AEE84" s="0"/>
      <c r="AEF84" s="0"/>
      <c r="AEG84" s="0"/>
      <c r="AEH84" s="0"/>
      <c r="AEI84" s="0"/>
      <c r="AEJ84" s="0"/>
      <c r="AEK84" s="0"/>
      <c r="AEL84" s="0"/>
      <c r="AEM84" s="0"/>
      <c r="AEN84" s="0"/>
      <c r="AEO84" s="0"/>
      <c r="AEP84" s="0"/>
      <c r="AEQ84" s="0"/>
      <c r="AER84" s="0"/>
      <c r="AES84" s="0"/>
      <c r="AET84" s="0"/>
      <c r="AEU84" s="0"/>
      <c r="AEV84" s="0"/>
      <c r="AEW84" s="0"/>
      <c r="AEX84" s="0"/>
      <c r="AEY84" s="0"/>
      <c r="AEZ84" s="0"/>
      <c r="AFA84" s="0"/>
      <c r="AFB84" s="0"/>
      <c r="AFC84" s="0"/>
      <c r="AFD84" s="0"/>
      <c r="AFE84" s="0"/>
      <c r="AFF84" s="0"/>
      <c r="AFG84" s="0"/>
      <c r="AFH84" s="0"/>
      <c r="AFI84" s="0"/>
      <c r="AFJ84" s="0"/>
      <c r="AFK84" s="0"/>
      <c r="AFL84" s="0"/>
      <c r="AFM84" s="0"/>
      <c r="AFN84" s="0"/>
      <c r="AFO84" s="0"/>
      <c r="AFP84" s="0"/>
      <c r="AFQ84" s="0"/>
      <c r="AFR84" s="0"/>
      <c r="AFS84" s="0"/>
      <c r="AFT84" s="0"/>
      <c r="AFU84" s="0"/>
      <c r="AFV84" s="0"/>
      <c r="AFW84" s="0"/>
      <c r="AFX84" s="0"/>
      <c r="AFY84" s="0"/>
      <c r="AFZ84" s="0"/>
      <c r="AGA84" s="0"/>
      <c r="AGB84" s="0"/>
      <c r="AGC84" s="0"/>
      <c r="AGD84" s="0"/>
      <c r="AGE84" s="0"/>
      <c r="AGF84" s="0"/>
      <c r="AGG84" s="0"/>
      <c r="AGH84" s="0"/>
      <c r="AGI84" s="0"/>
      <c r="AGJ84" s="0"/>
      <c r="AGK84" s="0"/>
      <c r="AGL84" s="0"/>
      <c r="AGM84" s="0"/>
      <c r="AGN84" s="0"/>
      <c r="AGO84" s="0"/>
      <c r="AGP84" s="0"/>
      <c r="AGQ84" s="0"/>
      <c r="AGR84" s="0"/>
      <c r="AGS84" s="0"/>
      <c r="AGT84" s="0"/>
      <c r="AGU84" s="0"/>
      <c r="AGV84" s="0"/>
      <c r="AGW84" s="0"/>
      <c r="AGX84" s="0"/>
      <c r="AGY84" s="0"/>
      <c r="AGZ84" s="0"/>
      <c r="AHA84" s="0"/>
      <c r="AHB84" s="0"/>
      <c r="AHC84" s="0"/>
      <c r="AHD84" s="0"/>
      <c r="AHE84" s="0"/>
      <c r="AHF84" s="0"/>
      <c r="AHG84" s="0"/>
      <c r="AHH84" s="0"/>
      <c r="AHI84" s="0"/>
      <c r="AHJ84" s="0"/>
      <c r="AHK84" s="0"/>
      <c r="AHL84" s="0"/>
      <c r="AHM84" s="0"/>
      <c r="AHN84" s="0"/>
      <c r="AHO84" s="0"/>
      <c r="AHP84" s="0"/>
      <c r="AHQ84" s="0"/>
      <c r="AHR84" s="0"/>
      <c r="AHS84" s="0"/>
      <c r="AHT84" s="0"/>
      <c r="AHU84" s="0"/>
      <c r="AHV84" s="0"/>
      <c r="AHW84" s="0"/>
      <c r="AHX84" s="0"/>
      <c r="AHY84" s="0"/>
      <c r="AHZ84" s="0"/>
      <c r="AIA84" s="0"/>
      <c r="AIB84" s="0"/>
      <c r="AIC84" s="0"/>
      <c r="AID84" s="0"/>
      <c r="AIE84" s="0"/>
      <c r="AIF84" s="0"/>
      <c r="AIG84" s="0"/>
      <c r="AIH84" s="0"/>
      <c r="AII84" s="0"/>
      <c r="AIJ84" s="0"/>
      <c r="AIK84" s="0"/>
      <c r="AIL84" s="0"/>
      <c r="AIM84" s="0"/>
      <c r="AIN84" s="0"/>
      <c r="AIO84" s="0"/>
      <c r="AIP84" s="0"/>
      <c r="AIQ84" s="0"/>
      <c r="AIR84" s="0"/>
      <c r="AIS84" s="0"/>
      <c r="AIT84" s="0"/>
      <c r="AIU84" s="0"/>
      <c r="AIV84" s="0"/>
      <c r="AIW84" s="0"/>
      <c r="AIX84" s="0"/>
      <c r="AIY84" s="0"/>
      <c r="AIZ84" s="0"/>
      <c r="AJA84" s="0"/>
      <c r="AJB84" s="0"/>
      <c r="AJC84" s="0"/>
      <c r="AJD84" s="0"/>
      <c r="AJE84" s="0"/>
      <c r="AJF84" s="0"/>
      <c r="AJG84" s="0"/>
      <c r="AJH84" s="0"/>
      <c r="AJI84" s="0"/>
      <c r="AJJ84" s="0"/>
      <c r="AJK84" s="0"/>
      <c r="AJL84" s="0"/>
      <c r="AJM84" s="0"/>
      <c r="AJN84" s="0"/>
      <c r="AJO84" s="0"/>
      <c r="AJP84" s="0"/>
      <c r="AJQ84" s="0"/>
      <c r="AJR84" s="0"/>
      <c r="AJS84" s="0"/>
      <c r="AJT84" s="0"/>
      <c r="AJU84" s="0"/>
      <c r="AJV84" s="0"/>
      <c r="AJW84" s="0"/>
      <c r="AJX84" s="0"/>
      <c r="AJY84" s="0"/>
      <c r="AJZ84" s="0"/>
      <c r="AKA84" s="0"/>
      <c r="AKB84" s="0"/>
      <c r="AKC84" s="0"/>
      <c r="AKD84" s="0"/>
      <c r="AKE84" s="0"/>
      <c r="AKF84" s="0"/>
      <c r="AKG84" s="0"/>
      <c r="AKH84" s="0"/>
      <c r="AKI84" s="0"/>
      <c r="AKJ84" s="0"/>
      <c r="AKK84" s="0"/>
      <c r="AKL84" s="0"/>
      <c r="AKM84" s="0"/>
      <c r="AKN84" s="0"/>
      <c r="AKO84" s="0"/>
      <c r="AKP84" s="0"/>
      <c r="AKQ84" s="0"/>
      <c r="AKR84" s="0"/>
      <c r="AKS84" s="0"/>
      <c r="AKT84" s="0"/>
      <c r="AKU84" s="0"/>
      <c r="AKV84" s="0"/>
      <c r="AKW84" s="0"/>
      <c r="AKX84" s="0"/>
      <c r="AKY84" s="0"/>
      <c r="AKZ84" s="0"/>
      <c r="ALA84" s="0"/>
      <c r="ALB84" s="0"/>
      <c r="ALC84" s="0"/>
      <c r="ALD84" s="0"/>
      <c r="ALE84" s="0"/>
      <c r="ALF84" s="0"/>
      <c r="ALG84" s="0"/>
      <c r="ALH84" s="0"/>
      <c r="ALI84" s="0"/>
      <c r="ALJ84" s="0"/>
      <c r="ALK84" s="0"/>
      <c r="ALL84" s="0"/>
      <c r="ALM84" s="0"/>
      <c r="ALN84" s="0"/>
      <c r="ALO84" s="0"/>
      <c r="ALP84" s="0"/>
      <c r="ALQ84" s="0"/>
      <c r="ALR84" s="0"/>
      <c r="ALS84" s="0"/>
      <c r="ALT84" s="0"/>
      <c r="ALU84" s="0"/>
      <c r="ALV84" s="0"/>
      <c r="ALW84" s="0"/>
      <c r="ALX84" s="0"/>
      <c r="ALY84" s="0"/>
      <c r="ALZ84" s="0"/>
      <c r="AMA84" s="0"/>
      <c r="AMB84" s="0"/>
      <c r="AMC84" s="0"/>
      <c r="AMD84" s="0"/>
      <c r="AME84" s="0"/>
      <c r="AMF84" s="0"/>
      <c r="AMG84" s="0"/>
      <c r="AMH84" s="0"/>
      <c r="AMI84" s="0"/>
      <c r="AMJ84" s="0"/>
      <c r="AMK84" s="0"/>
      <c r="AML84" s="0"/>
      <c r="AMM84" s="0"/>
      <c r="AMN84" s="0"/>
      <c r="AMO84" s="0"/>
      <c r="AMP84" s="0"/>
      <c r="AMQ84" s="0"/>
      <c r="AMR84" s="0"/>
      <c r="AMS84" s="0"/>
      <c r="AMT84" s="0"/>
      <c r="AMU84" s="0"/>
      <c r="AMV84" s="0"/>
      <c r="AMW84" s="0"/>
      <c r="AMX84" s="0"/>
      <c r="AMY84" s="0"/>
      <c r="AMZ84" s="0"/>
      <c r="ANA84" s="0"/>
      <c r="ANB84" s="0"/>
      <c r="ANC84" s="0"/>
      <c r="AND84" s="0"/>
      <c r="ANE84" s="0"/>
      <c r="ANF84" s="0"/>
      <c r="ANG84" s="0"/>
      <c r="ANH84" s="0"/>
      <c r="ANI84" s="0"/>
      <c r="ANJ84" s="0"/>
      <c r="ANK84" s="0"/>
      <c r="ANL84" s="0"/>
      <c r="ANM84" s="0"/>
      <c r="ANN84" s="0"/>
      <c r="ANO84" s="0"/>
      <c r="ANP84" s="0"/>
      <c r="ANQ84" s="0"/>
      <c r="ANR84" s="0"/>
      <c r="ANS84" s="0"/>
      <c r="ANT84" s="0"/>
      <c r="ANU84" s="0"/>
      <c r="ANV84" s="0"/>
      <c r="ANW84" s="0"/>
      <c r="ANX84" s="0"/>
      <c r="ANY84" s="0"/>
      <c r="ANZ84" s="0"/>
      <c r="AOA84" s="0"/>
      <c r="AOB84" s="0"/>
      <c r="AOC84" s="0"/>
      <c r="AOD84" s="0"/>
      <c r="AOE84" s="0"/>
      <c r="AOF84" s="0"/>
      <c r="AOG84" s="0"/>
      <c r="AOH84" s="0"/>
      <c r="AOI84" s="0"/>
      <c r="AOJ84" s="0"/>
      <c r="AOK84" s="0"/>
      <c r="AOL84" s="0"/>
      <c r="AOM84" s="0"/>
      <c r="AON84" s="0"/>
      <c r="AOO84" s="0"/>
      <c r="AOP84" s="0"/>
      <c r="AOQ84" s="0"/>
      <c r="AOR84" s="0"/>
      <c r="AOS84" s="0"/>
      <c r="AOT84" s="0"/>
      <c r="AOU84" s="0"/>
      <c r="AOV84" s="0"/>
      <c r="AOW84" s="0"/>
      <c r="AOX84" s="0"/>
      <c r="AOY84" s="0"/>
      <c r="AOZ84" s="0"/>
      <c r="APA84" s="0"/>
      <c r="APB84" s="0"/>
      <c r="APC84" s="0"/>
      <c r="APD84" s="0"/>
      <c r="APE84" s="0"/>
      <c r="APF84" s="0"/>
      <c r="APG84" s="0"/>
      <c r="APH84" s="0"/>
      <c r="API84" s="0"/>
      <c r="APJ84" s="0"/>
      <c r="APK84" s="0"/>
      <c r="APL84" s="0"/>
      <c r="APM84" s="0"/>
      <c r="APN84" s="0"/>
      <c r="APO84" s="0"/>
      <c r="APP84" s="0"/>
      <c r="APQ84" s="0"/>
      <c r="APR84" s="0"/>
      <c r="APS84" s="0"/>
      <c r="APT84" s="0"/>
      <c r="APU84" s="0"/>
      <c r="APV84" s="0"/>
      <c r="APW84" s="0"/>
      <c r="APX84" s="0"/>
      <c r="APY84" s="0"/>
      <c r="APZ84" s="0"/>
      <c r="AQA84" s="0"/>
      <c r="AQB84" s="0"/>
      <c r="AQC84" s="0"/>
      <c r="AQD84" s="0"/>
      <c r="AQE84" s="0"/>
      <c r="AQF84" s="0"/>
      <c r="AQG84" s="0"/>
      <c r="AQH84" s="0"/>
      <c r="AQI84" s="0"/>
      <c r="AQJ84" s="0"/>
      <c r="AQK84" s="0"/>
      <c r="AQL84" s="0"/>
      <c r="AQM84" s="0"/>
      <c r="AQN84" s="0"/>
      <c r="AQO84" s="0"/>
      <c r="AQP84" s="0"/>
      <c r="AQQ84" s="0"/>
      <c r="AQR84" s="0"/>
      <c r="AQS84" s="0"/>
      <c r="AQT84" s="0"/>
      <c r="AQU84" s="0"/>
      <c r="AQV84" s="0"/>
      <c r="AQW84" s="0"/>
      <c r="AQX84" s="0"/>
      <c r="AQY84" s="0"/>
      <c r="AQZ84" s="0"/>
      <c r="ARA84" s="0"/>
      <c r="ARB84" s="0"/>
      <c r="ARC84" s="0"/>
      <c r="ARD84" s="0"/>
      <c r="ARE84" s="0"/>
      <c r="ARF84" s="0"/>
      <c r="ARG84" s="0"/>
      <c r="ARH84" s="0"/>
      <c r="ARI84" s="0"/>
      <c r="ARJ84" s="0"/>
      <c r="ARK84" s="0"/>
      <c r="ARL84" s="0"/>
      <c r="ARM84" s="0"/>
      <c r="ARN84" s="0"/>
      <c r="ARO84" s="0"/>
      <c r="ARP84" s="0"/>
      <c r="ARQ84" s="0"/>
      <c r="ARR84" s="0"/>
      <c r="ARS84" s="0"/>
      <c r="ART84" s="0"/>
      <c r="ARU84" s="0"/>
      <c r="ARV84" s="0"/>
      <c r="ARW84" s="0"/>
      <c r="ARX84" s="0"/>
      <c r="ARY84" s="0"/>
      <c r="ARZ84" s="0"/>
      <c r="ASA84" s="0"/>
      <c r="ASB84" s="0"/>
      <c r="ASC84" s="0"/>
      <c r="ASD84" s="0"/>
      <c r="ASE84" s="0"/>
      <c r="ASF84" s="0"/>
      <c r="ASG84" s="0"/>
      <c r="ASH84" s="0"/>
      <c r="ASI84" s="0"/>
      <c r="ASJ84" s="0"/>
      <c r="ASK84" s="0"/>
      <c r="ASL84" s="0"/>
      <c r="ASM84" s="0"/>
      <c r="ASN84" s="0"/>
      <c r="ASO84" s="0"/>
      <c r="ASP84" s="0"/>
      <c r="ASQ84" s="0"/>
      <c r="ASR84" s="0"/>
      <c r="ASS84" s="0"/>
      <c r="AST84" s="0"/>
      <c r="ASU84" s="0"/>
      <c r="ASV84" s="0"/>
      <c r="ASW84" s="0"/>
      <c r="ASX84" s="0"/>
      <c r="ASY84" s="0"/>
      <c r="ASZ84" s="0"/>
      <c r="ATA84" s="0"/>
      <c r="ATB84" s="0"/>
      <c r="ATC84" s="0"/>
      <c r="ATD84" s="0"/>
      <c r="ATE84" s="0"/>
      <c r="ATF84" s="0"/>
      <c r="ATG84" s="0"/>
      <c r="ATH84" s="0"/>
      <c r="ATI84" s="0"/>
      <c r="ATJ84" s="0"/>
      <c r="ATK84" s="0"/>
      <c r="ATL84" s="0"/>
      <c r="ATM84" s="0"/>
      <c r="ATN84" s="0"/>
      <c r="ATO84" s="0"/>
      <c r="ATP84" s="0"/>
      <c r="ATQ84" s="0"/>
      <c r="ATR84" s="0"/>
      <c r="ATS84" s="0"/>
      <c r="ATT84" s="0"/>
      <c r="ATU84" s="0"/>
      <c r="ATV84" s="0"/>
      <c r="ATW84" s="0"/>
      <c r="ATX84" s="0"/>
      <c r="ATY84" s="0"/>
      <c r="ATZ84" s="0"/>
      <c r="AUA84" s="0"/>
      <c r="AUB84" s="0"/>
      <c r="AUC84" s="0"/>
      <c r="AUD84" s="0"/>
      <c r="AUE84" s="0"/>
      <c r="AUF84" s="0"/>
      <c r="AUG84" s="0"/>
      <c r="AUH84" s="0"/>
      <c r="AUI84" s="0"/>
      <c r="AUJ84" s="0"/>
      <c r="AUK84" s="0"/>
      <c r="AUL84" s="0"/>
      <c r="AUM84" s="0"/>
      <c r="AUN84" s="0"/>
      <c r="AUO84" s="0"/>
      <c r="AUP84" s="0"/>
      <c r="AUQ84" s="0"/>
      <c r="AUR84" s="0"/>
      <c r="AUS84" s="0"/>
      <c r="AUT84" s="0"/>
      <c r="AUU84" s="0"/>
      <c r="AUV84" s="0"/>
      <c r="AUW84" s="0"/>
      <c r="AUX84" s="0"/>
      <c r="AUY84" s="0"/>
      <c r="AUZ84" s="0"/>
      <c r="AVA84" s="0"/>
      <c r="AVB84" s="0"/>
      <c r="AVC84" s="0"/>
      <c r="AVD84" s="0"/>
      <c r="AVE84" s="0"/>
      <c r="AVF84" s="0"/>
      <c r="AVG84" s="0"/>
      <c r="AVH84" s="0"/>
      <c r="AVI84" s="0"/>
      <c r="AVJ84" s="0"/>
      <c r="AVK84" s="0"/>
      <c r="AVL84" s="0"/>
      <c r="AVM84" s="0"/>
      <c r="AVN84" s="0"/>
      <c r="AVO84" s="0"/>
      <c r="AVP84" s="0"/>
      <c r="AVQ84" s="0"/>
      <c r="AVR84" s="0"/>
      <c r="AVS84" s="0"/>
      <c r="AVT84" s="0"/>
      <c r="AVU84" s="0"/>
      <c r="AVV84" s="0"/>
      <c r="AVW84" s="0"/>
      <c r="AVX84" s="0"/>
      <c r="AVY84" s="0"/>
      <c r="AVZ84" s="0"/>
      <c r="AWA84" s="0"/>
      <c r="AWB84" s="0"/>
      <c r="AWC84" s="0"/>
      <c r="AWD84" s="0"/>
      <c r="AWE84" s="0"/>
      <c r="AWF84" s="0"/>
      <c r="AWG84" s="0"/>
      <c r="AWH84" s="0"/>
      <c r="AWI84" s="0"/>
      <c r="AWJ84" s="0"/>
      <c r="AWK84" s="0"/>
      <c r="AWL84" s="0"/>
      <c r="AWM84" s="0"/>
      <c r="AWN84" s="0"/>
      <c r="AWO84" s="0"/>
      <c r="AWP84" s="0"/>
      <c r="AWQ84" s="0"/>
      <c r="AWR84" s="0"/>
      <c r="AWS84" s="0"/>
      <c r="AWT84" s="0"/>
      <c r="AWU84" s="0"/>
      <c r="AWV84" s="0"/>
      <c r="AWW84" s="0"/>
      <c r="AWX84" s="0"/>
      <c r="AWY84" s="0"/>
      <c r="AWZ84" s="0"/>
      <c r="AXA84" s="0"/>
      <c r="AXB84" s="0"/>
      <c r="AXC84" s="0"/>
      <c r="AXD84" s="0"/>
      <c r="AXE84" s="0"/>
      <c r="AXF84" s="0"/>
      <c r="AXG84" s="0"/>
      <c r="AXH84" s="0"/>
      <c r="AXI84" s="0"/>
      <c r="AXJ84" s="0"/>
      <c r="AXK84" s="0"/>
      <c r="AXL84" s="0"/>
      <c r="AXM84" s="0"/>
      <c r="AXN84" s="0"/>
      <c r="AXO84" s="0"/>
      <c r="AXP84" s="0"/>
      <c r="AXQ84" s="0"/>
      <c r="AXR84" s="0"/>
      <c r="AXS84" s="0"/>
      <c r="AXT84" s="0"/>
      <c r="AXU84" s="0"/>
      <c r="AXV84" s="0"/>
      <c r="AXW84" s="0"/>
      <c r="AXX84" s="0"/>
      <c r="AXY84" s="0"/>
      <c r="AXZ84" s="0"/>
      <c r="AYA84" s="0"/>
      <c r="AYB84" s="0"/>
      <c r="AYC84" s="0"/>
      <c r="AYD84" s="0"/>
      <c r="AYE84" s="0"/>
      <c r="AYF84" s="0"/>
      <c r="AYG84" s="0"/>
      <c r="AYH84" s="0"/>
      <c r="AYI84" s="0"/>
      <c r="AYJ84" s="0"/>
      <c r="AYK84" s="0"/>
      <c r="AYL84" s="0"/>
      <c r="AYM84" s="0"/>
      <c r="AYN84" s="0"/>
      <c r="AYO84" s="0"/>
      <c r="AYP84" s="0"/>
      <c r="AYQ84" s="0"/>
      <c r="AYR84" s="0"/>
      <c r="AYS84" s="0"/>
      <c r="AYT84" s="0"/>
      <c r="AYU84" s="0"/>
      <c r="AYV84" s="0"/>
      <c r="AYW84" s="0"/>
      <c r="AYX84" s="0"/>
      <c r="AYY84" s="0"/>
      <c r="AYZ84" s="0"/>
      <c r="AZA84" s="0"/>
      <c r="AZB84" s="0"/>
      <c r="AZC84" s="0"/>
      <c r="AZD84" s="0"/>
      <c r="AZE84" s="0"/>
      <c r="AZF84" s="0"/>
      <c r="AZG84" s="0"/>
      <c r="AZH84" s="0"/>
      <c r="AZI84" s="0"/>
      <c r="AZJ84" s="0"/>
      <c r="AZK84" s="0"/>
      <c r="AZL84" s="0"/>
      <c r="AZM84" s="0"/>
      <c r="AZN84" s="0"/>
      <c r="AZO84" s="0"/>
      <c r="AZP84" s="0"/>
      <c r="AZQ84" s="0"/>
      <c r="AZR84" s="0"/>
      <c r="AZS84" s="0"/>
      <c r="AZT84" s="0"/>
      <c r="AZU84" s="0"/>
      <c r="AZV84" s="0"/>
      <c r="AZW84" s="0"/>
      <c r="AZX84" s="0"/>
      <c r="AZY84" s="0"/>
      <c r="AZZ84" s="0"/>
      <c r="BAA84" s="0"/>
      <c r="BAB84" s="0"/>
      <c r="BAC84" s="0"/>
      <c r="BAD84" s="0"/>
      <c r="BAE84" s="0"/>
      <c r="BAF84" s="0"/>
      <c r="BAG84" s="0"/>
      <c r="BAH84" s="0"/>
      <c r="BAI84" s="0"/>
      <c r="BAJ84" s="0"/>
      <c r="BAK84" s="0"/>
      <c r="BAL84" s="0"/>
      <c r="BAM84" s="0"/>
      <c r="BAN84" s="0"/>
      <c r="BAO84" s="0"/>
      <c r="BAP84" s="0"/>
      <c r="BAQ84" s="0"/>
      <c r="BAR84" s="0"/>
      <c r="BAS84" s="0"/>
      <c r="BAT84" s="0"/>
      <c r="BAU84" s="0"/>
      <c r="BAV84" s="0"/>
      <c r="BAW84" s="0"/>
      <c r="BAX84" s="0"/>
      <c r="BAY84" s="0"/>
      <c r="BAZ84" s="0"/>
      <c r="BBA84" s="0"/>
      <c r="BBB84" s="0"/>
      <c r="BBC84" s="0"/>
      <c r="BBD84" s="0"/>
      <c r="BBE84" s="0"/>
      <c r="BBF84" s="0"/>
      <c r="BBG84" s="0"/>
      <c r="BBH84" s="0"/>
      <c r="BBI84" s="0"/>
      <c r="BBJ84" s="0"/>
      <c r="BBK84" s="0"/>
      <c r="BBL84" s="0"/>
      <c r="BBM84" s="0"/>
      <c r="BBN84" s="0"/>
      <c r="BBO84" s="0"/>
      <c r="BBP84" s="0"/>
      <c r="BBQ84" s="0"/>
      <c r="BBR84" s="0"/>
      <c r="BBS84" s="0"/>
      <c r="BBT84" s="0"/>
      <c r="BBU84" s="0"/>
      <c r="BBV84" s="0"/>
      <c r="BBW84" s="0"/>
      <c r="BBX84" s="0"/>
      <c r="BBY84" s="0"/>
      <c r="BBZ84" s="0"/>
      <c r="BCA84" s="0"/>
      <c r="BCB84" s="0"/>
      <c r="BCC84" s="0"/>
      <c r="BCD84" s="0"/>
      <c r="BCE84" s="0"/>
      <c r="BCF84" s="0"/>
      <c r="BCG84" s="0"/>
      <c r="BCH84" s="0"/>
      <c r="BCI84" s="0"/>
      <c r="BCJ84" s="0"/>
      <c r="BCK84" s="0"/>
      <c r="BCL84" s="0"/>
      <c r="BCM84" s="0"/>
      <c r="BCN84" s="0"/>
      <c r="BCO84" s="0"/>
      <c r="BCP84" s="0"/>
      <c r="BCQ84" s="0"/>
      <c r="BCR84" s="0"/>
      <c r="BCS84" s="0"/>
      <c r="BCT84" s="0"/>
      <c r="BCU84" s="0"/>
      <c r="BCV84" s="0"/>
      <c r="BCW84" s="0"/>
      <c r="BCX84" s="0"/>
      <c r="BCY84" s="0"/>
      <c r="BCZ84" s="0"/>
      <c r="BDA84" s="0"/>
      <c r="BDB84" s="0"/>
      <c r="BDC84" s="0"/>
      <c r="BDD84" s="0"/>
      <c r="BDE84" s="0"/>
      <c r="BDF84" s="0"/>
      <c r="BDG84" s="0"/>
      <c r="BDH84" s="0"/>
      <c r="BDI84" s="0"/>
      <c r="BDJ84" s="0"/>
      <c r="BDK84" s="0"/>
      <c r="BDL84" s="0"/>
      <c r="BDM84" s="0"/>
      <c r="BDN84" s="0"/>
      <c r="BDO84" s="0"/>
      <c r="BDP84" s="0"/>
      <c r="BDQ84" s="0"/>
      <c r="BDR84" s="0"/>
      <c r="BDS84" s="0"/>
      <c r="BDT84" s="0"/>
      <c r="BDU84" s="0"/>
      <c r="BDV84" s="0"/>
      <c r="BDW84" s="0"/>
      <c r="BDX84" s="0"/>
      <c r="BDY84" s="0"/>
      <c r="BDZ84" s="0"/>
      <c r="BEA84" s="0"/>
      <c r="BEB84" s="0"/>
      <c r="BEC84" s="0"/>
      <c r="BED84" s="0"/>
      <c r="BEE84" s="0"/>
      <c r="BEF84" s="0"/>
      <c r="BEG84" s="0"/>
      <c r="BEH84" s="0"/>
      <c r="BEI84" s="0"/>
      <c r="BEJ84" s="0"/>
      <c r="BEK84" s="0"/>
      <c r="BEL84" s="0"/>
      <c r="BEM84" s="0"/>
      <c r="BEN84" s="0"/>
      <c r="BEO84" s="0"/>
      <c r="BEP84" s="0"/>
      <c r="BEQ84" s="0"/>
      <c r="BER84" s="0"/>
      <c r="BES84" s="0"/>
      <c r="BET84" s="0"/>
      <c r="BEU84" s="0"/>
      <c r="BEV84" s="0"/>
      <c r="BEW84" s="0"/>
      <c r="BEX84" s="0"/>
      <c r="BEY84" s="0"/>
      <c r="BEZ84" s="0"/>
      <c r="BFA84" s="0"/>
      <c r="BFB84" s="0"/>
      <c r="BFC84" s="0"/>
      <c r="BFD84" s="0"/>
      <c r="BFE84" s="0"/>
      <c r="BFF84" s="0"/>
      <c r="BFG84" s="0"/>
      <c r="BFH84" s="0"/>
      <c r="BFI84" s="0"/>
      <c r="BFJ84" s="0"/>
      <c r="BFK84" s="0"/>
      <c r="BFL84" s="0"/>
      <c r="BFM84" s="0"/>
      <c r="BFN84" s="0"/>
      <c r="BFO84" s="0"/>
      <c r="BFP84" s="0"/>
      <c r="BFQ84" s="0"/>
      <c r="BFR84" s="0"/>
      <c r="BFS84" s="0"/>
      <c r="BFT84" s="0"/>
      <c r="BFU84" s="0"/>
      <c r="BFV84" s="0"/>
      <c r="BFW84" s="0"/>
      <c r="BFX84" s="0"/>
      <c r="BFY84" s="0"/>
      <c r="BFZ84" s="0"/>
      <c r="BGA84" s="0"/>
      <c r="BGB84" s="0"/>
      <c r="BGC84" s="0"/>
      <c r="BGD84" s="0"/>
      <c r="BGE84" s="0"/>
      <c r="BGF84" s="0"/>
      <c r="BGG84" s="0"/>
      <c r="BGH84" s="0"/>
      <c r="BGI84" s="0"/>
      <c r="BGJ84" s="0"/>
      <c r="BGK84" s="0"/>
      <c r="BGL84" s="0"/>
      <c r="BGM84" s="0"/>
      <c r="BGN84" s="0"/>
      <c r="BGO84" s="0"/>
      <c r="BGP84" s="0"/>
      <c r="BGQ84" s="0"/>
      <c r="BGR84" s="0"/>
      <c r="BGS84" s="0"/>
      <c r="BGT84" s="0"/>
      <c r="BGU84" s="0"/>
      <c r="BGV84" s="0"/>
      <c r="BGW84" s="0"/>
      <c r="BGX84" s="0"/>
      <c r="BGY84" s="0"/>
      <c r="BGZ84" s="0"/>
      <c r="BHA84" s="0"/>
      <c r="BHB84" s="0"/>
      <c r="BHC84" s="0"/>
      <c r="BHD84" s="0"/>
      <c r="BHE84" s="0"/>
      <c r="BHF84" s="0"/>
      <c r="BHG84" s="0"/>
      <c r="BHH84" s="0"/>
      <c r="BHI84" s="0"/>
      <c r="BHJ84" s="0"/>
      <c r="BHK84" s="0"/>
      <c r="BHL84" s="0"/>
      <c r="BHM84" s="0"/>
      <c r="BHN84" s="0"/>
      <c r="BHO84" s="0"/>
      <c r="BHP84" s="0"/>
      <c r="BHQ84" s="0"/>
      <c r="BHR84" s="0"/>
      <c r="BHS84" s="0"/>
      <c r="BHT84" s="0"/>
      <c r="BHU84" s="0"/>
      <c r="BHV84" s="0"/>
      <c r="BHW84" s="0"/>
      <c r="BHX84" s="0"/>
      <c r="BHY84" s="0"/>
      <c r="BHZ84" s="0"/>
      <c r="BIA84" s="0"/>
      <c r="BIB84" s="0"/>
      <c r="BIC84" s="0"/>
      <c r="BID84" s="0"/>
      <c r="BIE84" s="0"/>
      <c r="BIF84" s="0"/>
      <c r="BIG84" s="0"/>
      <c r="BIH84" s="0"/>
      <c r="BII84" s="0"/>
      <c r="BIJ84" s="0"/>
      <c r="BIK84" s="0"/>
      <c r="BIL84" s="0"/>
      <c r="BIM84" s="0"/>
      <c r="BIN84" s="0"/>
      <c r="BIO84" s="0"/>
      <c r="BIP84" s="0"/>
      <c r="BIQ84" s="0"/>
      <c r="BIR84" s="0"/>
      <c r="BIS84" s="0"/>
      <c r="BIT84" s="0"/>
      <c r="BIU84" s="0"/>
      <c r="BIV84" s="0"/>
      <c r="BIW84" s="0"/>
      <c r="BIX84" s="0"/>
      <c r="BIY84" s="0"/>
      <c r="BIZ84" s="0"/>
      <c r="BJA84" s="0"/>
      <c r="BJB84" s="0"/>
      <c r="BJC84" s="0"/>
      <c r="BJD84" s="0"/>
      <c r="BJE84" s="0"/>
      <c r="BJF84" s="0"/>
      <c r="BJG84" s="0"/>
      <c r="BJH84" s="0"/>
      <c r="BJI84" s="0"/>
      <c r="BJJ84" s="0"/>
      <c r="BJK84" s="0"/>
      <c r="BJL84" s="0"/>
      <c r="BJM84" s="0"/>
      <c r="BJN84" s="0"/>
      <c r="BJO84" s="0"/>
      <c r="BJP84" s="0"/>
      <c r="BJQ84" s="0"/>
      <c r="BJR84" s="0"/>
      <c r="BJS84" s="0"/>
      <c r="BJT84" s="0"/>
      <c r="BJU84" s="0"/>
      <c r="BJV84" s="0"/>
      <c r="BJW84" s="0"/>
      <c r="BJX84" s="0"/>
      <c r="BJY84" s="0"/>
      <c r="BJZ84" s="0"/>
      <c r="BKA84" s="0"/>
      <c r="BKB84" s="0"/>
      <c r="BKC84" s="0"/>
      <c r="BKD84" s="0"/>
      <c r="BKE84" s="0"/>
      <c r="BKF84" s="0"/>
      <c r="BKG84" s="0"/>
      <c r="BKH84" s="0"/>
      <c r="BKI84" s="0"/>
      <c r="BKJ84" s="0"/>
      <c r="BKK84" s="0"/>
      <c r="BKL84" s="0"/>
      <c r="BKM84" s="0"/>
      <c r="BKN84" s="0"/>
      <c r="BKO84" s="0"/>
      <c r="BKP84" s="0"/>
      <c r="BKQ84" s="0"/>
      <c r="BKR84" s="0"/>
      <c r="BKS84" s="0"/>
      <c r="BKT84" s="0"/>
      <c r="BKU84" s="0"/>
      <c r="BKV84" s="0"/>
      <c r="BKW84" s="0"/>
      <c r="BKX84" s="0"/>
      <c r="BKY84" s="0"/>
      <c r="BKZ84" s="0"/>
      <c r="BLA84" s="0"/>
      <c r="BLB84" s="0"/>
      <c r="BLC84" s="0"/>
      <c r="BLD84" s="0"/>
      <c r="BLE84" s="0"/>
      <c r="BLF84" s="0"/>
      <c r="BLG84" s="0"/>
      <c r="BLH84" s="0"/>
      <c r="BLI84" s="0"/>
      <c r="BLJ84" s="0"/>
      <c r="BLK84" s="0"/>
      <c r="BLL84" s="0"/>
      <c r="BLM84" s="0"/>
      <c r="BLN84" s="0"/>
      <c r="BLO84" s="0"/>
      <c r="BLP84" s="0"/>
      <c r="BLQ84" s="0"/>
      <c r="BLR84" s="0"/>
      <c r="BLS84" s="0"/>
      <c r="BLT84" s="0"/>
      <c r="BLU84" s="0"/>
      <c r="BLV84" s="0"/>
      <c r="BLW84" s="0"/>
      <c r="BLX84" s="0"/>
      <c r="BLY84" s="0"/>
      <c r="BLZ84" s="0"/>
      <c r="BMA84" s="0"/>
      <c r="BMB84" s="0"/>
      <c r="BMC84" s="0"/>
      <c r="BMD84" s="0"/>
      <c r="BME84" s="0"/>
      <c r="BMF84" s="0"/>
      <c r="BMG84" s="0"/>
      <c r="BMH84" s="0"/>
      <c r="BMI84" s="0"/>
      <c r="BMJ84" s="0"/>
      <c r="BMK84" s="0"/>
      <c r="BML84" s="0"/>
      <c r="BMM84" s="0"/>
      <c r="BMN84" s="0"/>
      <c r="BMO84" s="0"/>
      <c r="BMP84" s="0"/>
      <c r="BMQ84" s="0"/>
      <c r="BMR84" s="0"/>
      <c r="BMS84" s="0"/>
      <c r="BMT84" s="0"/>
      <c r="BMU84" s="0"/>
      <c r="BMV84" s="0"/>
      <c r="BMW84" s="0"/>
      <c r="BMX84" s="0"/>
      <c r="BMY84" s="0"/>
      <c r="BMZ84" s="0"/>
      <c r="BNA84" s="0"/>
      <c r="BNB84" s="0"/>
      <c r="BNC84" s="0"/>
      <c r="BND84" s="0"/>
      <c r="BNE84" s="0"/>
      <c r="BNF84" s="0"/>
      <c r="BNG84" s="0"/>
      <c r="BNH84" s="0"/>
      <c r="BNI84" s="0"/>
      <c r="BNJ84" s="0"/>
      <c r="BNK84" s="0"/>
      <c r="BNL84" s="0"/>
      <c r="BNM84" s="0"/>
      <c r="BNN84" s="0"/>
      <c r="BNO84" s="0"/>
      <c r="BNP84" s="0"/>
      <c r="BNQ84" s="0"/>
      <c r="BNR84" s="0"/>
      <c r="BNS84" s="0"/>
      <c r="BNT84" s="0"/>
      <c r="BNU84" s="0"/>
      <c r="BNV84" s="0"/>
      <c r="BNW84" s="0"/>
      <c r="BNX84" s="0"/>
      <c r="BNY84" s="0"/>
      <c r="BNZ84" s="0"/>
      <c r="BOA84" s="0"/>
      <c r="BOB84" s="0"/>
      <c r="BOC84" s="0"/>
      <c r="BOD84" s="0"/>
      <c r="BOE84" s="0"/>
      <c r="BOF84" s="0"/>
      <c r="BOG84" s="0"/>
      <c r="BOH84" s="0"/>
      <c r="BOI84" s="0"/>
      <c r="BOJ84" s="0"/>
      <c r="BOK84" s="0"/>
      <c r="BOL84" s="0"/>
      <c r="BOM84" s="0"/>
      <c r="BON84" s="0"/>
      <c r="BOO84" s="0"/>
      <c r="BOP84" s="0"/>
      <c r="BOQ84" s="0"/>
      <c r="BOR84" s="0"/>
      <c r="BOS84" s="0"/>
      <c r="BOT84" s="0"/>
      <c r="BOU84" s="0"/>
      <c r="BOV84" s="0"/>
      <c r="BOW84" s="0"/>
      <c r="BOX84" s="0"/>
      <c r="BOY84" s="0"/>
      <c r="BOZ84" s="0"/>
      <c r="BPA84" s="0"/>
      <c r="BPB84" s="0"/>
      <c r="BPC84" s="0"/>
      <c r="BPD84" s="0"/>
      <c r="BPE84" s="0"/>
      <c r="BPF84" s="0"/>
      <c r="BPG84" s="0"/>
      <c r="BPH84" s="0"/>
      <c r="BPI84" s="0"/>
      <c r="BPJ84" s="0"/>
      <c r="BPK84" s="0"/>
      <c r="BPL84" s="0"/>
      <c r="BPM84" s="0"/>
      <c r="BPN84" s="0"/>
      <c r="BPO84" s="0"/>
      <c r="BPP84" s="0"/>
      <c r="BPQ84" s="0"/>
      <c r="BPR84" s="0"/>
      <c r="BPS84" s="0"/>
      <c r="BPT84" s="0"/>
      <c r="BPU84" s="0"/>
      <c r="BPV84" s="0"/>
      <c r="BPW84" s="0"/>
      <c r="BPX84" s="0"/>
      <c r="BPY84" s="0"/>
      <c r="BPZ84" s="0"/>
      <c r="BQA84" s="0"/>
      <c r="BQB84" s="0"/>
      <c r="BQC84" s="0"/>
      <c r="BQD84" s="0"/>
      <c r="BQE84" s="0"/>
      <c r="BQF84" s="0"/>
      <c r="BQG84" s="0"/>
      <c r="BQH84" s="0"/>
      <c r="BQI84" s="0"/>
      <c r="BQJ84" s="0"/>
      <c r="BQK84" s="0"/>
      <c r="BQL84" s="0"/>
      <c r="BQM84" s="0"/>
      <c r="BQN84" s="0"/>
      <c r="BQO84" s="0"/>
      <c r="BQP84" s="0"/>
      <c r="BQQ84" s="0"/>
      <c r="BQR84" s="0"/>
      <c r="BQS84" s="0"/>
      <c r="BQT84" s="0"/>
      <c r="BQU84" s="0"/>
      <c r="BQV84" s="0"/>
      <c r="BQW84" s="0"/>
      <c r="BQX84" s="0"/>
      <c r="BQY84" s="0"/>
      <c r="BQZ84" s="0"/>
      <c r="BRA84" s="0"/>
      <c r="BRB84" s="0"/>
      <c r="BRC84" s="0"/>
      <c r="BRD84" s="0"/>
      <c r="BRE84" s="0"/>
      <c r="BRF84" s="0"/>
      <c r="BRG84" s="0"/>
      <c r="BRH84" s="0"/>
      <c r="BRI84" s="0"/>
      <c r="BRJ84" s="0"/>
      <c r="BRK84" s="0"/>
      <c r="BRL84" s="0"/>
      <c r="BRM84" s="0"/>
      <c r="BRN84" s="0"/>
      <c r="BRO84" s="0"/>
      <c r="BRP84" s="0"/>
      <c r="BRQ84" s="0"/>
      <c r="BRR84" s="0"/>
      <c r="BRS84" s="0"/>
      <c r="BRT84" s="0"/>
      <c r="BRU84" s="0"/>
      <c r="BRV84" s="0"/>
      <c r="BRW84" s="0"/>
      <c r="BRX84" s="0"/>
      <c r="BRY84" s="0"/>
      <c r="BRZ84" s="0"/>
      <c r="BSA84" s="0"/>
      <c r="BSB84" s="0"/>
      <c r="BSC84" s="0"/>
      <c r="BSD84" s="0"/>
      <c r="BSE84" s="0"/>
      <c r="BSF84" s="0"/>
      <c r="BSG84" s="0"/>
      <c r="BSH84" s="0"/>
      <c r="BSI84" s="0"/>
      <c r="BSJ84" s="0"/>
      <c r="BSK84" s="0"/>
      <c r="BSL84" s="0"/>
      <c r="BSM84" s="0"/>
      <c r="BSN84" s="0"/>
      <c r="BSO84" s="0"/>
      <c r="BSP84" s="0"/>
      <c r="BSQ84" s="0"/>
      <c r="BSR84" s="0"/>
      <c r="BSS84" s="0"/>
      <c r="BST84" s="0"/>
      <c r="BSU84" s="0"/>
      <c r="BSV84" s="0"/>
      <c r="BSW84" s="0"/>
      <c r="BSX84" s="0"/>
      <c r="BSY84" s="0"/>
      <c r="BSZ84" s="0"/>
      <c r="BTA84" s="0"/>
      <c r="BTB84" s="0"/>
      <c r="BTC84" s="0"/>
      <c r="BTD84" s="0"/>
      <c r="BTE84" s="0"/>
      <c r="BTF84" s="0"/>
      <c r="BTG84" s="0"/>
      <c r="BTH84" s="0"/>
      <c r="BTI84" s="0"/>
      <c r="BTJ84" s="0"/>
      <c r="BTK84" s="0"/>
      <c r="BTL84" s="0"/>
      <c r="BTM84" s="0"/>
      <c r="BTN84" s="0"/>
      <c r="BTO84" s="0"/>
      <c r="BTP84" s="0"/>
      <c r="BTQ84" s="0"/>
      <c r="BTR84" s="0"/>
      <c r="BTS84" s="0"/>
      <c r="BTT84" s="0"/>
      <c r="BTU84" s="0"/>
      <c r="BTV84" s="0"/>
      <c r="BTW84" s="0"/>
      <c r="BTX84" s="0"/>
      <c r="BTY84" s="0"/>
      <c r="BTZ84" s="0"/>
      <c r="BUA84" s="0"/>
      <c r="BUB84" s="0"/>
      <c r="BUC84" s="0"/>
      <c r="BUD84" s="0"/>
      <c r="BUE84" s="0"/>
      <c r="BUF84" s="0"/>
      <c r="BUG84" s="0"/>
      <c r="BUH84" s="0"/>
      <c r="BUI84" s="0"/>
      <c r="BUJ84" s="0"/>
      <c r="BUK84" s="0"/>
      <c r="BUL84" s="0"/>
      <c r="BUM84" s="0"/>
      <c r="BUN84" s="0"/>
      <c r="BUO84" s="0"/>
      <c r="BUP84" s="0"/>
      <c r="BUQ84" s="0"/>
      <c r="BUR84" s="0"/>
      <c r="BUS84" s="0"/>
      <c r="BUT84" s="0"/>
      <c r="BUU84" s="0"/>
      <c r="BUV84" s="0"/>
      <c r="BUW84" s="0"/>
      <c r="BUX84" s="0"/>
      <c r="BUY84" s="0"/>
      <c r="BUZ84" s="0"/>
      <c r="BVA84" s="0"/>
      <c r="BVB84" s="0"/>
      <c r="BVC84" s="0"/>
      <c r="BVD84" s="0"/>
      <c r="BVE84" s="0"/>
      <c r="BVF84" s="0"/>
      <c r="BVG84" s="0"/>
      <c r="BVH84" s="0"/>
      <c r="BVI84" s="0"/>
      <c r="BVJ84" s="0"/>
      <c r="BVK84" s="0"/>
      <c r="BVL84" s="0"/>
      <c r="BVM84" s="0"/>
      <c r="BVN84" s="0"/>
      <c r="BVO84" s="0"/>
      <c r="BVP84" s="0"/>
      <c r="BVQ84" s="0"/>
      <c r="BVR84" s="0"/>
      <c r="BVS84" s="0"/>
      <c r="BVT84" s="0"/>
      <c r="BVU84" s="0"/>
      <c r="BVV84" s="0"/>
      <c r="BVW84" s="0"/>
      <c r="BVX84" s="0"/>
      <c r="BVY84" s="0"/>
      <c r="BVZ84" s="0"/>
      <c r="BWA84" s="0"/>
      <c r="BWB84" s="0"/>
      <c r="BWC84" s="0"/>
      <c r="BWD84" s="0"/>
      <c r="BWE84" s="0"/>
      <c r="BWF84" s="0"/>
      <c r="BWG84" s="0"/>
      <c r="BWH84" s="0"/>
      <c r="BWI84" s="0"/>
      <c r="BWJ84" s="0"/>
      <c r="BWK84" s="0"/>
      <c r="BWL84" s="0"/>
      <c r="BWM84" s="0"/>
      <c r="BWN84" s="0"/>
      <c r="BWO84" s="0"/>
      <c r="BWP84" s="0"/>
      <c r="BWQ84" s="0"/>
      <c r="BWR84" s="0"/>
      <c r="BWS84" s="0"/>
      <c r="BWT84" s="0"/>
      <c r="BWU84" s="0"/>
      <c r="BWV84" s="0"/>
      <c r="BWW84" s="0"/>
      <c r="BWX84" s="0"/>
      <c r="BWY84" s="0"/>
      <c r="BWZ84" s="0"/>
      <c r="BXA84" s="0"/>
      <c r="BXB84" s="0"/>
      <c r="BXC84" s="0"/>
      <c r="BXD84" s="0"/>
      <c r="BXE84" s="0"/>
      <c r="BXF84" s="0"/>
      <c r="BXG84" s="0"/>
      <c r="BXH84" s="0"/>
      <c r="BXI84" s="0"/>
      <c r="BXJ84" s="0"/>
      <c r="BXK84" s="0"/>
      <c r="BXL84" s="0"/>
      <c r="BXM84" s="0"/>
      <c r="BXN84" s="0"/>
      <c r="BXO84" s="0"/>
      <c r="BXP84" s="0"/>
      <c r="BXQ84" s="0"/>
      <c r="BXR84" s="0"/>
      <c r="BXS84" s="0"/>
      <c r="BXT84" s="0"/>
      <c r="BXU84" s="0"/>
      <c r="BXV84" s="0"/>
      <c r="BXW84" s="0"/>
      <c r="BXX84" s="0"/>
      <c r="BXY84" s="0"/>
      <c r="BXZ84" s="0"/>
      <c r="BYA84" s="0"/>
      <c r="BYB84" s="0"/>
      <c r="BYC84" s="0"/>
      <c r="BYD84" s="0"/>
      <c r="BYE84" s="0"/>
      <c r="BYF84" s="0"/>
      <c r="BYG84" s="0"/>
      <c r="BYH84" s="0"/>
      <c r="BYI84" s="0"/>
      <c r="BYJ84" s="0"/>
      <c r="BYK84" s="0"/>
      <c r="BYL84" s="0"/>
      <c r="BYM84" s="0"/>
      <c r="BYN84" s="0"/>
      <c r="BYO84" s="0"/>
      <c r="BYP84" s="0"/>
      <c r="BYQ84" s="0"/>
      <c r="BYR84" s="0"/>
      <c r="BYS84" s="0"/>
      <c r="BYT84" s="0"/>
      <c r="BYU84" s="0"/>
      <c r="BYV84" s="0"/>
      <c r="BYW84" s="0"/>
      <c r="BYX84" s="0"/>
      <c r="BYY84" s="0"/>
      <c r="BYZ84" s="0"/>
      <c r="BZA84" s="0"/>
      <c r="BZB84" s="0"/>
      <c r="BZC84" s="0"/>
      <c r="BZD84" s="0"/>
      <c r="BZE84" s="0"/>
      <c r="BZF84" s="0"/>
      <c r="BZG84" s="0"/>
      <c r="BZH84" s="0"/>
      <c r="BZI84" s="0"/>
      <c r="BZJ84" s="0"/>
      <c r="BZK84" s="0"/>
      <c r="BZL84" s="0"/>
      <c r="BZM84" s="0"/>
      <c r="BZN84" s="0"/>
      <c r="BZO84" s="0"/>
      <c r="BZP84" s="0"/>
      <c r="BZQ84" s="0"/>
      <c r="BZR84" s="0"/>
      <c r="BZS84" s="0"/>
      <c r="BZT84" s="0"/>
      <c r="BZU84" s="0"/>
      <c r="BZV84" s="0"/>
      <c r="BZW84" s="0"/>
      <c r="BZX84" s="0"/>
      <c r="BZY84" s="0"/>
      <c r="BZZ84" s="0"/>
      <c r="CAA84" s="0"/>
      <c r="CAB84" s="0"/>
      <c r="CAC84" s="0"/>
      <c r="CAD84" s="0"/>
      <c r="CAE84" s="0"/>
      <c r="CAF84" s="0"/>
      <c r="CAG84" s="0"/>
      <c r="CAH84" s="0"/>
      <c r="CAI84" s="0"/>
      <c r="CAJ84" s="0"/>
      <c r="CAK84" s="0"/>
      <c r="CAL84" s="0"/>
      <c r="CAM84" s="0"/>
      <c r="CAN84" s="0"/>
      <c r="CAO84" s="0"/>
      <c r="CAP84" s="0"/>
      <c r="CAQ84" s="0"/>
      <c r="CAR84" s="0"/>
      <c r="CAS84" s="0"/>
      <c r="CAT84" s="0"/>
      <c r="CAU84" s="0"/>
      <c r="CAV84" s="0"/>
      <c r="CAW84" s="0"/>
      <c r="CAX84" s="0"/>
      <c r="CAY84" s="0"/>
      <c r="CAZ84" s="0"/>
      <c r="CBA84" s="0"/>
      <c r="CBB84" s="0"/>
      <c r="CBC84" s="0"/>
      <c r="CBD84" s="0"/>
      <c r="CBE84" s="0"/>
      <c r="CBF84" s="0"/>
      <c r="CBG84" s="0"/>
      <c r="CBH84" s="0"/>
      <c r="CBI84" s="0"/>
      <c r="CBJ84" s="0"/>
      <c r="CBK84" s="0"/>
      <c r="CBL84" s="0"/>
      <c r="CBM84" s="0"/>
      <c r="CBN84" s="0"/>
      <c r="CBO84" s="0"/>
      <c r="CBP84" s="0"/>
      <c r="CBQ84" s="0"/>
      <c r="CBR84" s="0"/>
      <c r="CBS84" s="0"/>
      <c r="CBT84" s="0"/>
      <c r="CBU84" s="0"/>
      <c r="CBV84" s="0"/>
      <c r="CBW84" s="0"/>
      <c r="CBX84" s="0"/>
      <c r="CBY84" s="0"/>
      <c r="CBZ84" s="0"/>
      <c r="CCA84" s="0"/>
      <c r="CCB84" s="0"/>
      <c r="CCC84" s="0"/>
      <c r="CCD84" s="0"/>
      <c r="CCE84" s="0"/>
      <c r="CCF84" s="0"/>
      <c r="CCG84" s="0"/>
      <c r="CCH84" s="0"/>
      <c r="CCI84" s="0"/>
      <c r="CCJ84" s="0"/>
      <c r="CCK84" s="0"/>
      <c r="CCL84" s="0"/>
      <c r="CCM84" s="0"/>
      <c r="CCN84" s="0"/>
      <c r="CCO84" s="0"/>
      <c r="CCP84" s="0"/>
      <c r="CCQ84" s="0"/>
      <c r="CCR84" s="0"/>
      <c r="CCS84" s="0"/>
      <c r="CCT84" s="0"/>
      <c r="CCU84" s="0"/>
      <c r="CCV84" s="0"/>
      <c r="CCW84" s="0"/>
      <c r="CCX84" s="0"/>
      <c r="CCY84" s="0"/>
      <c r="CCZ84" s="0"/>
      <c r="CDA84" s="0"/>
      <c r="CDB84" s="0"/>
      <c r="CDC84" s="0"/>
      <c r="CDD84" s="0"/>
      <c r="CDE84" s="0"/>
      <c r="CDF84" s="0"/>
      <c r="CDG84" s="0"/>
      <c r="CDH84" s="0"/>
      <c r="CDI84" s="0"/>
      <c r="CDJ84" s="0"/>
      <c r="CDK84" s="0"/>
      <c r="CDL84" s="0"/>
      <c r="CDM84" s="0"/>
      <c r="CDN84" s="0"/>
      <c r="CDO84" s="0"/>
      <c r="CDP84" s="0"/>
      <c r="CDQ84" s="0"/>
      <c r="CDR84" s="0"/>
      <c r="CDS84" s="0"/>
      <c r="CDT84" s="0"/>
      <c r="CDU84" s="0"/>
      <c r="CDV84" s="0"/>
      <c r="CDW84" s="0"/>
      <c r="CDX84" s="0"/>
      <c r="CDY84" s="0"/>
      <c r="CDZ84" s="0"/>
      <c r="CEA84" s="0"/>
      <c r="CEB84" s="0"/>
      <c r="CEC84" s="0"/>
      <c r="CED84" s="0"/>
      <c r="CEE84" s="0"/>
      <c r="CEF84" s="0"/>
      <c r="CEG84" s="0"/>
      <c r="CEH84" s="0"/>
      <c r="CEI84" s="0"/>
      <c r="CEJ84" s="0"/>
      <c r="CEK84" s="0"/>
      <c r="CEL84" s="0"/>
      <c r="CEM84" s="0"/>
      <c r="CEN84" s="0"/>
      <c r="CEO84" s="0"/>
      <c r="CEP84" s="0"/>
      <c r="CEQ84" s="0"/>
      <c r="CER84" s="0"/>
      <c r="CES84" s="0"/>
      <c r="CET84" s="0"/>
      <c r="CEU84" s="0"/>
      <c r="CEV84" s="0"/>
      <c r="CEW84" s="0"/>
      <c r="CEX84" s="0"/>
      <c r="CEY84" s="0"/>
      <c r="CEZ84" s="0"/>
      <c r="CFA84" s="0"/>
      <c r="CFB84" s="0"/>
      <c r="CFC84" s="0"/>
      <c r="CFD84" s="0"/>
      <c r="CFE84" s="0"/>
      <c r="CFF84" s="0"/>
      <c r="CFG84" s="0"/>
      <c r="CFH84" s="0"/>
      <c r="CFI84" s="0"/>
      <c r="CFJ84" s="0"/>
      <c r="CFK84" s="0"/>
      <c r="CFL84" s="0"/>
      <c r="CFM84" s="0"/>
      <c r="CFN84" s="0"/>
      <c r="CFO84" s="0"/>
      <c r="CFP84" s="0"/>
      <c r="CFQ84" s="0"/>
      <c r="CFR84" s="0"/>
      <c r="CFS84" s="0"/>
      <c r="CFT84" s="0"/>
      <c r="CFU84" s="0"/>
      <c r="CFV84" s="0"/>
      <c r="CFW84" s="0"/>
      <c r="CFX84" s="0"/>
      <c r="CFY84" s="0"/>
      <c r="CFZ84" s="0"/>
      <c r="CGA84" s="0"/>
      <c r="CGB84" s="0"/>
      <c r="CGC84" s="0"/>
      <c r="CGD84" s="0"/>
      <c r="CGE84" s="0"/>
      <c r="CGF84" s="0"/>
      <c r="CGG84" s="0"/>
      <c r="CGH84" s="0"/>
      <c r="CGI84" s="0"/>
      <c r="CGJ84" s="0"/>
      <c r="CGK84" s="0"/>
      <c r="CGL84" s="0"/>
      <c r="CGM84" s="0"/>
      <c r="CGN84" s="0"/>
      <c r="CGO84" s="0"/>
      <c r="CGP84" s="0"/>
      <c r="CGQ84" s="0"/>
      <c r="CGR84" s="0"/>
      <c r="CGS84" s="0"/>
      <c r="CGT84" s="0"/>
      <c r="CGU84" s="0"/>
      <c r="CGV84" s="0"/>
      <c r="CGW84" s="0"/>
      <c r="CGX84" s="0"/>
      <c r="CGY84" s="0"/>
      <c r="CGZ84" s="0"/>
      <c r="CHA84" s="0"/>
      <c r="CHB84" s="0"/>
      <c r="CHC84" s="0"/>
      <c r="CHD84" s="0"/>
      <c r="CHE84" s="0"/>
      <c r="CHF84" s="0"/>
      <c r="CHG84" s="0"/>
      <c r="CHH84" s="0"/>
      <c r="CHI84" s="0"/>
      <c r="CHJ84" s="0"/>
      <c r="CHK84" s="0"/>
      <c r="CHL84" s="0"/>
      <c r="CHM84" s="0"/>
      <c r="CHN84" s="0"/>
      <c r="CHO84" s="0"/>
      <c r="CHP84" s="0"/>
      <c r="CHQ84" s="0"/>
      <c r="CHR84" s="0"/>
      <c r="CHS84" s="0"/>
      <c r="CHT84" s="0"/>
      <c r="CHU84" s="0"/>
      <c r="CHV84" s="0"/>
      <c r="CHW84" s="0"/>
      <c r="CHX84" s="0"/>
      <c r="CHY84" s="0"/>
      <c r="CHZ84" s="0"/>
      <c r="CIA84" s="0"/>
      <c r="CIB84" s="0"/>
      <c r="CIC84" s="0"/>
      <c r="CID84" s="0"/>
      <c r="CIE84" s="0"/>
      <c r="CIF84" s="0"/>
      <c r="CIG84" s="0"/>
      <c r="CIH84" s="0"/>
      <c r="CII84" s="0"/>
      <c r="CIJ84" s="0"/>
      <c r="CIK84" s="0"/>
      <c r="CIL84" s="0"/>
      <c r="CIM84" s="0"/>
      <c r="CIN84" s="0"/>
      <c r="CIO84" s="0"/>
      <c r="CIP84" s="0"/>
      <c r="CIQ84" s="0"/>
      <c r="CIR84" s="0"/>
      <c r="CIS84" s="0"/>
      <c r="CIT84" s="0"/>
      <c r="CIU84" s="0"/>
      <c r="CIV84" s="0"/>
      <c r="CIW84" s="0"/>
      <c r="CIX84" s="0"/>
      <c r="CIY84" s="0"/>
      <c r="CIZ84" s="0"/>
      <c r="CJA84" s="0"/>
      <c r="CJB84" s="0"/>
      <c r="CJC84" s="0"/>
      <c r="CJD84" s="0"/>
      <c r="CJE84" s="0"/>
      <c r="CJF84" s="0"/>
      <c r="CJG84" s="0"/>
      <c r="CJH84" s="0"/>
      <c r="CJI84" s="0"/>
      <c r="CJJ84" s="0"/>
      <c r="CJK84" s="0"/>
      <c r="CJL84" s="0"/>
      <c r="CJM84" s="0"/>
      <c r="CJN84" s="0"/>
      <c r="CJO84" s="0"/>
      <c r="CJP84" s="0"/>
      <c r="CJQ84" s="0"/>
      <c r="CJR84" s="0"/>
      <c r="CJS84" s="0"/>
      <c r="CJT84" s="0"/>
      <c r="CJU84" s="0"/>
      <c r="CJV84" s="0"/>
      <c r="CJW84" s="0"/>
      <c r="CJX84" s="0"/>
      <c r="CJY84" s="0"/>
      <c r="CJZ84" s="0"/>
      <c r="CKA84" s="0"/>
      <c r="CKB84" s="0"/>
      <c r="CKC84" s="0"/>
      <c r="CKD84" s="0"/>
      <c r="CKE84" s="0"/>
      <c r="CKF84" s="0"/>
      <c r="CKG84" s="0"/>
      <c r="CKH84" s="0"/>
      <c r="CKI84" s="0"/>
      <c r="CKJ84" s="0"/>
      <c r="CKK84" s="0"/>
      <c r="CKL84" s="0"/>
      <c r="CKM84" s="0"/>
      <c r="CKN84" s="0"/>
      <c r="CKO84" s="0"/>
      <c r="CKP84" s="0"/>
      <c r="CKQ84" s="0"/>
      <c r="CKR84" s="0"/>
      <c r="CKS84" s="0"/>
      <c r="CKT84" s="0"/>
      <c r="CKU84" s="0"/>
      <c r="CKV84" s="0"/>
      <c r="CKW84" s="0"/>
      <c r="CKX84" s="0"/>
      <c r="CKY84" s="0"/>
      <c r="CKZ84" s="0"/>
      <c r="CLA84" s="0"/>
      <c r="CLB84" s="0"/>
      <c r="CLC84" s="0"/>
      <c r="CLD84" s="0"/>
      <c r="CLE84" s="0"/>
      <c r="CLF84" s="0"/>
      <c r="CLG84" s="0"/>
      <c r="CLH84" s="0"/>
      <c r="CLI84" s="0"/>
      <c r="CLJ84" s="0"/>
      <c r="CLK84" s="0"/>
      <c r="CLL84" s="0"/>
      <c r="CLM84" s="0"/>
      <c r="CLN84" s="0"/>
      <c r="CLO84" s="0"/>
      <c r="CLP84" s="0"/>
      <c r="CLQ84" s="0"/>
      <c r="CLR84" s="0"/>
      <c r="CLS84" s="0"/>
      <c r="CLT84" s="0"/>
      <c r="CLU84" s="0"/>
      <c r="CLV84" s="0"/>
      <c r="CLW84" s="0"/>
      <c r="CLX84" s="0"/>
      <c r="CLY84" s="0"/>
      <c r="CLZ84" s="0"/>
      <c r="CMA84" s="0"/>
      <c r="CMB84" s="0"/>
      <c r="CMC84" s="0"/>
      <c r="CMD84" s="0"/>
      <c r="CME84" s="0"/>
      <c r="CMF84" s="0"/>
      <c r="CMG84" s="0"/>
      <c r="CMH84" s="0"/>
      <c r="CMI84" s="0"/>
      <c r="CMJ84" s="0"/>
      <c r="CMK84" s="0"/>
      <c r="CML84" s="0"/>
      <c r="CMM84" s="0"/>
      <c r="CMN84" s="0"/>
      <c r="CMO84" s="0"/>
      <c r="CMP84" s="0"/>
      <c r="CMQ84" s="0"/>
      <c r="CMR84" s="0"/>
      <c r="CMS84" s="0"/>
      <c r="CMT84" s="0"/>
      <c r="CMU84" s="0"/>
      <c r="CMV84" s="0"/>
      <c r="CMW84" s="0"/>
      <c r="CMX84" s="0"/>
      <c r="CMY84" s="0"/>
      <c r="CMZ84" s="0"/>
      <c r="CNA84" s="0"/>
      <c r="CNB84" s="0"/>
      <c r="CNC84" s="0"/>
      <c r="CND84" s="0"/>
      <c r="CNE84" s="0"/>
      <c r="CNF84" s="0"/>
      <c r="CNG84" s="0"/>
      <c r="CNH84" s="0"/>
      <c r="CNI84" s="0"/>
      <c r="CNJ84" s="0"/>
      <c r="CNK84" s="0"/>
      <c r="CNL84" s="0"/>
      <c r="CNM84" s="0"/>
      <c r="CNN84" s="0"/>
      <c r="CNO84" s="0"/>
      <c r="CNP84" s="0"/>
      <c r="CNQ84" s="0"/>
      <c r="CNR84" s="0"/>
      <c r="CNS84" s="0"/>
      <c r="CNT84" s="0"/>
      <c r="CNU84" s="0"/>
      <c r="CNV84" s="0"/>
      <c r="CNW84" s="0"/>
      <c r="CNX84" s="0"/>
      <c r="CNY84" s="0"/>
      <c r="CNZ84" s="0"/>
      <c r="COA84" s="0"/>
      <c r="COB84" s="0"/>
      <c r="COC84" s="0"/>
      <c r="COD84" s="0"/>
      <c r="COE84" s="0"/>
      <c r="COF84" s="0"/>
      <c r="COG84" s="0"/>
      <c r="COH84" s="0"/>
      <c r="COI84" s="0"/>
      <c r="COJ84" s="0"/>
      <c r="COK84" s="0"/>
      <c r="COL84" s="0"/>
      <c r="COM84" s="0"/>
      <c r="CON84" s="0"/>
      <c r="COO84" s="0"/>
      <c r="COP84" s="0"/>
      <c r="COQ84" s="0"/>
      <c r="COR84" s="0"/>
      <c r="COS84" s="0"/>
      <c r="COT84" s="0"/>
      <c r="COU84" s="0"/>
      <c r="COV84" s="0"/>
      <c r="COW84" s="0"/>
      <c r="COX84" s="0"/>
      <c r="COY84" s="0"/>
      <c r="COZ84" s="0"/>
      <c r="CPA84" s="0"/>
      <c r="CPB84" s="0"/>
      <c r="CPC84" s="0"/>
      <c r="CPD84" s="0"/>
      <c r="CPE84" s="0"/>
      <c r="CPF84" s="0"/>
      <c r="CPG84" s="0"/>
      <c r="CPH84" s="0"/>
      <c r="CPI84" s="0"/>
      <c r="CPJ84" s="0"/>
      <c r="CPK84" s="0"/>
      <c r="CPL84" s="0"/>
      <c r="CPM84" s="0"/>
      <c r="CPN84" s="0"/>
      <c r="CPO84" s="0"/>
      <c r="CPP84" s="0"/>
      <c r="CPQ84" s="0"/>
      <c r="CPR84" s="0"/>
      <c r="CPS84" s="0"/>
      <c r="CPT84" s="0"/>
      <c r="CPU84" s="0"/>
      <c r="CPV84" s="0"/>
      <c r="CPW84" s="0"/>
      <c r="CPX84" s="0"/>
      <c r="CPY84" s="0"/>
      <c r="CPZ84" s="0"/>
      <c r="CQA84" s="0"/>
      <c r="CQB84" s="0"/>
      <c r="CQC84" s="0"/>
      <c r="CQD84" s="0"/>
      <c r="CQE84" s="0"/>
      <c r="CQF84" s="0"/>
      <c r="CQG84" s="0"/>
      <c r="CQH84" s="0"/>
      <c r="CQI84" s="0"/>
      <c r="CQJ84" s="0"/>
      <c r="CQK84" s="0"/>
      <c r="CQL84" s="0"/>
      <c r="CQM84" s="0"/>
      <c r="CQN84" s="0"/>
      <c r="CQO84" s="0"/>
      <c r="CQP84" s="0"/>
      <c r="CQQ84" s="0"/>
      <c r="CQR84" s="0"/>
      <c r="CQS84" s="0"/>
      <c r="CQT84" s="0"/>
      <c r="CQU84" s="0"/>
      <c r="CQV84" s="0"/>
      <c r="CQW84" s="0"/>
      <c r="CQX84" s="0"/>
      <c r="CQY84" s="0"/>
      <c r="CQZ84" s="0"/>
      <c r="CRA84" s="0"/>
      <c r="CRB84" s="0"/>
      <c r="CRC84" s="0"/>
      <c r="CRD84" s="0"/>
      <c r="CRE84" s="0"/>
      <c r="CRF84" s="0"/>
      <c r="CRG84" s="0"/>
      <c r="CRH84" s="0"/>
      <c r="CRI84" s="0"/>
      <c r="CRJ84" s="0"/>
      <c r="CRK84" s="0"/>
      <c r="CRL84" s="0"/>
      <c r="CRM84" s="0"/>
      <c r="CRN84" s="0"/>
      <c r="CRO84" s="0"/>
      <c r="CRP84" s="0"/>
      <c r="CRQ84" s="0"/>
      <c r="CRR84" s="0"/>
      <c r="CRS84" s="0"/>
      <c r="CRT84" s="0"/>
      <c r="CRU84" s="0"/>
      <c r="CRV84" s="0"/>
      <c r="CRW84" s="0"/>
      <c r="CRX84" s="0"/>
      <c r="CRY84" s="0"/>
      <c r="CRZ84" s="0"/>
      <c r="CSA84" s="0"/>
      <c r="CSB84" s="0"/>
      <c r="CSC84" s="0"/>
      <c r="CSD84" s="0"/>
      <c r="CSE84" s="0"/>
      <c r="CSF84" s="0"/>
      <c r="CSG84" s="0"/>
      <c r="CSH84" s="0"/>
      <c r="CSI84" s="0"/>
      <c r="CSJ84" s="0"/>
      <c r="CSK84" s="0"/>
      <c r="CSL84" s="0"/>
      <c r="CSM84" s="0"/>
      <c r="CSN84" s="0"/>
      <c r="CSO84" s="0"/>
      <c r="CSP84" s="0"/>
      <c r="CSQ84" s="0"/>
      <c r="CSR84" s="0"/>
      <c r="CSS84" s="0"/>
      <c r="CST84" s="0"/>
      <c r="CSU84" s="0"/>
      <c r="CSV84" s="0"/>
      <c r="CSW84" s="0"/>
      <c r="CSX84" s="0"/>
      <c r="CSY84" s="0"/>
      <c r="CSZ84" s="0"/>
      <c r="CTA84" s="0"/>
      <c r="CTB84" s="0"/>
      <c r="CTC84" s="0"/>
      <c r="CTD84" s="0"/>
      <c r="CTE84" s="0"/>
      <c r="CTF84" s="0"/>
      <c r="CTG84" s="0"/>
      <c r="CTH84" s="0"/>
      <c r="CTI84" s="0"/>
      <c r="CTJ84" s="0"/>
      <c r="CTK84" s="0"/>
      <c r="CTL84" s="0"/>
      <c r="CTM84" s="0"/>
      <c r="CTN84" s="0"/>
      <c r="CTO84" s="0"/>
      <c r="CTP84" s="0"/>
      <c r="CTQ84" s="0"/>
      <c r="CTR84" s="0"/>
      <c r="CTS84" s="0"/>
      <c r="CTT84" s="0"/>
      <c r="CTU84" s="0"/>
      <c r="CTV84" s="0"/>
      <c r="CTW84" s="0"/>
      <c r="CTX84" s="0"/>
      <c r="CTY84" s="0"/>
      <c r="CTZ84" s="0"/>
      <c r="CUA84" s="0"/>
      <c r="CUB84" s="0"/>
      <c r="CUC84" s="0"/>
      <c r="CUD84" s="0"/>
      <c r="CUE84" s="0"/>
      <c r="CUF84" s="0"/>
      <c r="CUG84" s="0"/>
      <c r="CUH84" s="0"/>
      <c r="CUI84" s="0"/>
      <c r="CUJ84" s="0"/>
      <c r="CUK84" s="0"/>
      <c r="CUL84" s="0"/>
      <c r="CUM84" s="0"/>
      <c r="CUN84" s="0"/>
      <c r="CUO84" s="0"/>
      <c r="CUP84" s="0"/>
      <c r="CUQ84" s="0"/>
      <c r="CUR84" s="0"/>
      <c r="CUS84" s="0"/>
      <c r="CUT84" s="0"/>
      <c r="CUU84" s="0"/>
      <c r="CUV84" s="0"/>
      <c r="CUW84" s="0"/>
      <c r="CUX84" s="0"/>
      <c r="CUY84" s="0"/>
      <c r="CUZ84" s="0"/>
      <c r="CVA84" s="0"/>
      <c r="CVB84" s="0"/>
      <c r="CVC84" s="0"/>
      <c r="CVD84" s="0"/>
      <c r="CVE84" s="0"/>
      <c r="CVF84" s="0"/>
      <c r="CVG84" s="0"/>
      <c r="CVH84" s="0"/>
      <c r="CVI84" s="0"/>
      <c r="CVJ84" s="0"/>
      <c r="CVK84" s="0"/>
      <c r="CVL84" s="0"/>
      <c r="CVM84" s="0"/>
      <c r="CVN84" s="0"/>
      <c r="CVO84" s="0"/>
      <c r="CVP84" s="0"/>
      <c r="CVQ84" s="0"/>
      <c r="CVR84" s="0"/>
      <c r="CVS84" s="0"/>
      <c r="CVT84" s="0"/>
      <c r="CVU84" s="0"/>
      <c r="CVV84" s="0"/>
      <c r="CVW84" s="0"/>
      <c r="CVX84" s="0"/>
      <c r="CVY84" s="0"/>
      <c r="CVZ84" s="0"/>
      <c r="CWA84" s="0"/>
      <c r="CWB84" s="0"/>
      <c r="CWC84" s="0"/>
      <c r="CWD84" s="0"/>
      <c r="CWE84" s="0"/>
      <c r="CWF84" s="0"/>
      <c r="CWG84" s="0"/>
      <c r="CWH84" s="0"/>
      <c r="CWI84" s="0"/>
      <c r="CWJ84" s="0"/>
      <c r="CWK84" s="0"/>
      <c r="CWL84" s="0"/>
      <c r="CWM84" s="0"/>
      <c r="CWN84" s="0"/>
      <c r="CWO84" s="0"/>
      <c r="CWP84" s="0"/>
      <c r="CWQ84" s="0"/>
      <c r="CWR84" s="0"/>
      <c r="CWS84" s="0"/>
      <c r="CWT84" s="0"/>
      <c r="CWU84" s="0"/>
      <c r="CWV84" s="0"/>
      <c r="CWW84" s="0"/>
      <c r="CWX84" s="0"/>
      <c r="CWY84" s="0"/>
      <c r="CWZ84" s="0"/>
      <c r="CXA84" s="0"/>
      <c r="CXB84" s="0"/>
      <c r="CXC84" s="0"/>
      <c r="CXD84" s="0"/>
      <c r="CXE84" s="0"/>
      <c r="CXF84" s="0"/>
      <c r="CXG84" s="0"/>
      <c r="CXH84" s="0"/>
      <c r="CXI84" s="0"/>
      <c r="CXJ84" s="0"/>
      <c r="CXK84" s="0"/>
      <c r="CXL84" s="0"/>
      <c r="CXM84" s="0"/>
      <c r="CXN84" s="0"/>
      <c r="CXO84" s="0"/>
      <c r="CXP84" s="0"/>
      <c r="CXQ84" s="0"/>
      <c r="CXR84" s="0"/>
      <c r="CXS84" s="0"/>
      <c r="CXT84" s="0"/>
      <c r="CXU84" s="0"/>
      <c r="CXV84" s="0"/>
      <c r="CXW84" s="0"/>
      <c r="CXX84" s="0"/>
      <c r="CXY84" s="0"/>
      <c r="CXZ84" s="0"/>
      <c r="CYA84" s="0"/>
      <c r="CYB84" s="0"/>
      <c r="CYC84" s="0"/>
      <c r="CYD84" s="0"/>
      <c r="CYE84" s="0"/>
      <c r="CYF84" s="0"/>
      <c r="CYG84" s="0"/>
      <c r="CYH84" s="0"/>
      <c r="CYI84" s="0"/>
      <c r="CYJ84" s="0"/>
      <c r="CYK84" s="0"/>
      <c r="CYL84" s="0"/>
      <c r="CYM84" s="0"/>
      <c r="CYN84" s="0"/>
      <c r="CYO84" s="0"/>
      <c r="CYP84" s="0"/>
      <c r="CYQ84" s="0"/>
      <c r="CYR84" s="0"/>
      <c r="CYS84" s="0"/>
      <c r="CYT84" s="0"/>
      <c r="CYU84" s="0"/>
      <c r="CYV84" s="0"/>
      <c r="CYW84" s="0"/>
      <c r="CYX84" s="0"/>
      <c r="CYY84" s="0"/>
      <c r="CYZ84" s="0"/>
      <c r="CZA84" s="0"/>
      <c r="CZB84" s="0"/>
      <c r="CZC84" s="0"/>
      <c r="CZD84" s="0"/>
      <c r="CZE84" s="0"/>
      <c r="CZF84" s="0"/>
      <c r="CZG84" s="0"/>
      <c r="CZH84" s="0"/>
      <c r="CZI84" s="0"/>
      <c r="CZJ84" s="0"/>
      <c r="CZK84" s="0"/>
      <c r="CZL84" s="0"/>
      <c r="CZM84" s="0"/>
      <c r="CZN84" s="0"/>
      <c r="CZO84" s="0"/>
      <c r="CZP84" s="0"/>
      <c r="CZQ84" s="0"/>
      <c r="CZR84" s="0"/>
      <c r="CZS84" s="0"/>
      <c r="CZT84" s="0"/>
      <c r="CZU84" s="0"/>
      <c r="CZV84" s="0"/>
      <c r="CZW84" s="0"/>
      <c r="CZX84" s="0"/>
      <c r="CZY84" s="0"/>
      <c r="CZZ84" s="0"/>
      <c r="DAA84" s="0"/>
      <c r="DAB84" s="0"/>
      <c r="DAC84" s="0"/>
      <c r="DAD84" s="0"/>
      <c r="DAE84" s="0"/>
      <c r="DAF84" s="0"/>
      <c r="DAG84" s="0"/>
      <c r="DAH84" s="0"/>
      <c r="DAI84" s="0"/>
      <c r="DAJ84" s="0"/>
      <c r="DAK84" s="0"/>
      <c r="DAL84" s="0"/>
      <c r="DAM84" s="0"/>
      <c r="DAN84" s="0"/>
      <c r="DAO84" s="0"/>
      <c r="DAP84" s="0"/>
      <c r="DAQ84" s="0"/>
      <c r="DAR84" s="0"/>
      <c r="DAS84" s="0"/>
      <c r="DAT84" s="0"/>
      <c r="DAU84" s="0"/>
      <c r="DAV84" s="0"/>
      <c r="DAW84" s="0"/>
      <c r="DAX84" s="0"/>
      <c r="DAY84" s="0"/>
      <c r="DAZ84" s="0"/>
      <c r="DBA84" s="0"/>
      <c r="DBB84" s="0"/>
      <c r="DBC84" s="0"/>
      <c r="DBD84" s="0"/>
      <c r="DBE84" s="0"/>
      <c r="DBF84" s="0"/>
      <c r="DBG84" s="0"/>
      <c r="DBH84" s="0"/>
      <c r="DBI84" s="0"/>
      <c r="DBJ84" s="0"/>
      <c r="DBK84" s="0"/>
      <c r="DBL84" s="0"/>
      <c r="DBM84" s="0"/>
      <c r="DBN84" s="0"/>
      <c r="DBO84" s="0"/>
      <c r="DBP84" s="0"/>
      <c r="DBQ84" s="0"/>
      <c r="DBR84" s="0"/>
      <c r="DBS84" s="0"/>
      <c r="DBT84" s="0"/>
      <c r="DBU84" s="0"/>
      <c r="DBV84" s="0"/>
      <c r="DBW84" s="0"/>
      <c r="DBX84" s="0"/>
      <c r="DBY84" s="0"/>
      <c r="DBZ84" s="0"/>
      <c r="DCA84" s="0"/>
      <c r="DCB84" s="0"/>
      <c r="DCC84" s="0"/>
      <c r="DCD84" s="0"/>
      <c r="DCE84" s="0"/>
      <c r="DCF84" s="0"/>
      <c r="DCG84" s="0"/>
      <c r="DCH84" s="0"/>
      <c r="DCI84" s="0"/>
      <c r="DCJ84" s="0"/>
      <c r="DCK84" s="0"/>
      <c r="DCL84" s="0"/>
      <c r="DCM84" s="0"/>
      <c r="DCN84" s="0"/>
      <c r="DCO84" s="0"/>
      <c r="DCP84" s="0"/>
      <c r="DCQ84" s="0"/>
      <c r="DCR84" s="0"/>
      <c r="DCS84" s="0"/>
      <c r="DCT84" s="0"/>
      <c r="DCU84" s="0"/>
      <c r="DCV84" s="0"/>
      <c r="DCW84" s="0"/>
      <c r="DCX84" s="0"/>
      <c r="DCY84" s="0"/>
      <c r="DCZ84" s="0"/>
      <c r="DDA84" s="0"/>
      <c r="DDB84" s="0"/>
      <c r="DDC84" s="0"/>
      <c r="DDD84" s="0"/>
      <c r="DDE84" s="0"/>
      <c r="DDF84" s="0"/>
      <c r="DDG84" s="0"/>
      <c r="DDH84" s="0"/>
      <c r="DDI84" s="0"/>
      <c r="DDJ84" s="0"/>
      <c r="DDK84" s="0"/>
      <c r="DDL84" s="0"/>
      <c r="DDM84" s="0"/>
      <c r="DDN84" s="0"/>
      <c r="DDO84" s="0"/>
      <c r="DDP84" s="0"/>
      <c r="DDQ84" s="0"/>
      <c r="DDR84" s="0"/>
      <c r="DDS84" s="0"/>
      <c r="DDT84" s="0"/>
      <c r="DDU84" s="0"/>
      <c r="DDV84" s="0"/>
      <c r="DDW84" s="0"/>
      <c r="DDX84" s="0"/>
      <c r="DDY84" s="0"/>
      <c r="DDZ84" s="0"/>
      <c r="DEA84" s="0"/>
      <c r="DEB84" s="0"/>
      <c r="DEC84" s="0"/>
      <c r="DED84" s="0"/>
      <c r="DEE84" s="0"/>
      <c r="DEF84" s="0"/>
      <c r="DEG84" s="0"/>
      <c r="DEH84" s="0"/>
      <c r="DEI84" s="0"/>
      <c r="DEJ84" s="0"/>
      <c r="DEK84" s="0"/>
      <c r="DEL84" s="0"/>
      <c r="DEM84" s="0"/>
      <c r="DEN84" s="0"/>
      <c r="DEO84" s="0"/>
      <c r="DEP84" s="0"/>
      <c r="DEQ84" s="0"/>
      <c r="DER84" s="0"/>
      <c r="DES84" s="0"/>
      <c r="DET84" s="0"/>
      <c r="DEU84" s="0"/>
      <c r="DEV84" s="0"/>
      <c r="DEW84" s="0"/>
      <c r="DEX84" s="0"/>
      <c r="DEY84" s="0"/>
      <c r="DEZ84" s="0"/>
      <c r="DFA84" s="0"/>
      <c r="DFB84" s="0"/>
      <c r="DFC84" s="0"/>
      <c r="DFD84" s="0"/>
      <c r="DFE84" s="0"/>
      <c r="DFF84" s="0"/>
      <c r="DFG84" s="0"/>
      <c r="DFH84" s="0"/>
      <c r="DFI84" s="0"/>
      <c r="DFJ84" s="0"/>
      <c r="DFK84" s="0"/>
      <c r="DFL84" s="0"/>
      <c r="DFM84" s="0"/>
      <c r="DFN84" s="0"/>
      <c r="DFO84" s="0"/>
      <c r="DFP84" s="0"/>
      <c r="DFQ84" s="0"/>
      <c r="DFR84" s="0"/>
      <c r="DFS84" s="0"/>
      <c r="DFT84" s="0"/>
      <c r="DFU84" s="0"/>
      <c r="DFV84" s="0"/>
      <c r="DFW84" s="0"/>
      <c r="DFX84" s="0"/>
      <c r="DFY84" s="0"/>
      <c r="DFZ84" s="0"/>
      <c r="DGA84" s="0"/>
      <c r="DGB84" s="0"/>
      <c r="DGC84" s="0"/>
      <c r="DGD84" s="0"/>
      <c r="DGE84" s="0"/>
      <c r="DGF84" s="0"/>
      <c r="DGG84" s="0"/>
      <c r="DGH84" s="0"/>
      <c r="DGI84" s="0"/>
      <c r="DGJ84" s="0"/>
      <c r="DGK84" s="0"/>
      <c r="DGL84" s="0"/>
      <c r="DGM84" s="0"/>
      <c r="DGN84" s="0"/>
      <c r="DGO84" s="0"/>
      <c r="DGP84" s="0"/>
      <c r="DGQ84" s="0"/>
      <c r="DGR84" s="0"/>
      <c r="DGS84" s="0"/>
      <c r="DGT84" s="0"/>
      <c r="DGU84" s="0"/>
      <c r="DGV84" s="0"/>
      <c r="DGW84" s="0"/>
      <c r="DGX84" s="0"/>
      <c r="DGY84" s="0"/>
      <c r="DGZ84" s="0"/>
      <c r="DHA84" s="0"/>
      <c r="DHB84" s="0"/>
      <c r="DHC84" s="0"/>
      <c r="DHD84" s="0"/>
      <c r="DHE84" s="0"/>
      <c r="DHF84" s="0"/>
      <c r="DHG84" s="0"/>
      <c r="DHH84" s="0"/>
      <c r="DHI84" s="0"/>
      <c r="DHJ84" s="0"/>
      <c r="DHK84" s="0"/>
      <c r="DHL84" s="0"/>
      <c r="DHM84" s="0"/>
      <c r="DHN84" s="0"/>
      <c r="DHO84" s="0"/>
      <c r="DHP84" s="0"/>
      <c r="DHQ84" s="0"/>
      <c r="DHR84" s="0"/>
      <c r="DHS84" s="0"/>
      <c r="DHT84" s="0"/>
      <c r="DHU84" s="0"/>
      <c r="DHV84" s="0"/>
      <c r="DHW84" s="0"/>
      <c r="DHX84" s="0"/>
      <c r="DHY84" s="0"/>
      <c r="DHZ84" s="0"/>
      <c r="DIA84" s="0"/>
      <c r="DIB84" s="0"/>
      <c r="DIC84" s="0"/>
      <c r="DID84" s="0"/>
      <c r="DIE84" s="0"/>
      <c r="DIF84" s="0"/>
      <c r="DIG84" s="0"/>
      <c r="DIH84" s="0"/>
      <c r="DII84" s="0"/>
      <c r="DIJ84" s="0"/>
      <c r="DIK84" s="0"/>
      <c r="DIL84" s="0"/>
      <c r="DIM84" s="0"/>
      <c r="DIN84" s="0"/>
      <c r="DIO84" s="0"/>
      <c r="DIP84" s="0"/>
      <c r="DIQ84" s="0"/>
      <c r="DIR84" s="0"/>
      <c r="DIS84" s="0"/>
      <c r="DIT84" s="0"/>
      <c r="DIU84" s="0"/>
      <c r="DIV84" s="0"/>
      <c r="DIW84" s="0"/>
      <c r="DIX84" s="0"/>
      <c r="DIY84" s="0"/>
      <c r="DIZ84" s="0"/>
      <c r="DJA84" s="0"/>
      <c r="DJB84" s="0"/>
      <c r="DJC84" s="0"/>
      <c r="DJD84" s="0"/>
      <c r="DJE84" s="0"/>
      <c r="DJF84" s="0"/>
      <c r="DJG84" s="0"/>
      <c r="DJH84" s="0"/>
      <c r="DJI84" s="0"/>
      <c r="DJJ84" s="0"/>
      <c r="DJK84" s="0"/>
      <c r="DJL84" s="0"/>
      <c r="DJM84" s="0"/>
      <c r="DJN84" s="0"/>
      <c r="DJO84" s="0"/>
      <c r="DJP84" s="0"/>
      <c r="DJQ84" s="0"/>
      <c r="DJR84" s="0"/>
      <c r="DJS84" s="0"/>
      <c r="DJT84" s="0"/>
      <c r="DJU84" s="0"/>
      <c r="DJV84" s="0"/>
      <c r="DJW84" s="0"/>
      <c r="DJX84" s="0"/>
      <c r="DJY84" s="0"/>
      <c r="DJZ84" s="0"/>
      <c r="DKA84" s="0"/>
      <c r="DKB84" s="0"/>
      <c r="DKC84" s="0"/>
      <c r="DKD84" s="0"/>
      <c r="DKE84" s="0"/>
      <c r="DKF84" s="0"/>
      <c r="DKG84" s="0"/>
      <c r="DKH84" s="0"/>
      <c r="DKI84" s="0"/>
      <c r="DKJ84" s="0"/>
      <c r="DKK84" s="0"/>
      <c r="DKL84" s="0"/>
      <c r="DKM84" s="0"/>
      <c r="DKN84" s="0"/>
      <c r="DKO84" s="0"/>
      <c r="DKP84" s="0"/>
      <c r="DKQ84" s="0"/>
      <c r="DKR84" s="0"/>
      <c r="DKS84" s="0"/>
      <c r="DKT84" s="0"/>
      <c r="DKU84" s="0"/>
      <c r="DKV84" s="0"/>
      <c r="DKW84" s="0"/>
      <c r="DKX84" s="0"/>
      <c r="DKY84" s="0"/>
      <c r="DKZ84" s="0"/>
      <c r="DLA84" s="0"/>
      <c r="DLB84" s="0"/>
      <c r="DLC84" s="0"/>
      <c r="DLD84" s="0"/>
      <c r="DLE84" s="0"/>
      <c r="DLF84" s="0"/>
      <c r="DLG84" s="0"/>
      <c r="DLH84" s="0"/>
      <c r="DLI84" s="0"/>
      <c r="DLJ84" s="0"/>
      <c r="DLK84" s="0"/>
      <c r="DLL84" s="0"/>
      <c r="DLM84" s="0"/>
      <c r="DLN84" s="0"/>
      <c r="DLO84" s="0"/>
      <c r="DLP84" s="0"/>
      <c r="DLQ84" s="0"/>
      <c r="DLR84" s="0"/>
      <c r="DLS84" s="0"/>
      <c r="DLT84" s="0"/>
      <c r="DLU84" s="0"/>
      <c r="DLV84" s="0"/>
      <c r="DLW84" s="0"/>
      <c r="DLX84" s="0"/>
      <c r="DLY84" s="0"/>
      <c r="DLZ84" s="0"/>
      <c r="DMA84" s="0"/>
      <c r="DMB84" s="0"/>
      <c r="DMC84" s="0"/>
      <c r="DMD84" s="0"/>
      <c r="DME84" s="0"/>
      <c r="DMF84" s="0"/>
      <c r="DMG84" s="0"/>
      <c r="DMH84" s="0"/>
      <c r="DMI84" s="0"/>
      <c r="DMJ84" s="0"/>
      <c r="DMK84" s="0"/>
      <c r="DML84" s="0"/>
      <c r="DMM84" s="0"/>
      <c r="DMN84" s="0"/>
      <c r="DMO84" s="0"/>
      <c r="DMP84" s="0"/>
      <c r="DMQ84" s="0"/>
      <c r="DMR84" s="0"/>
      <c r="DMS84" s="0"/>
      <c r="DMT84" s="0"/>
      <c r="DMU84" s="0"/>
      <c r="DMV84" s="0"/>
      <c r="DMW84" s="0"/>
      <c r="DMX84" s="0"/>
      <c r="DMY84" s="0"/>
      <c r="DMZ84" s="0"/>
      <c r="DNA84" s="0"/>
      <c r="DNB84" s="0"/>
      <c r="DNC84" s="0"/>
      <c r="DND84" s="0"/>
      <c r="DNE84" s="0"/>
      <c r="DNF84" s="0"/>
      <c r="DNG84" s="0"/>
      <c r="DNH84" s="0"/>
      <c r="DNI84" s="0"/>
      <c r="DNJ84" s="0"/>
      <c r="DNK84" s="0"/>
      <c r="DNL84" s="0"/>
      <c r="DNM84" s="0"/>
      <c r="DNN84" s="0"/>
      <c r="DNO84" s="0"/>
      <c r="DNP84" s="0"/>
      <c r="DNQ84" s="0"/>
      <c r="DNR84" s="0"/>
      <c r="DNS84" s="0"/>
      <c r="DNT84" s="0"/>
      <c r="DNU84" s="0"/>
      <c r="DNV84" s="0"/>
      <c r="DNW84" s="0"/>
      <c r="DNX84" s="0"/>
      <c r="DNY84" s="0"/>
      <c r="DNZ84" s="0"/>
      <c r="DOA84" s="0"/>
      <c r="DOB84" s="0"/>
      <c r="DOC84" s="0"/>
      <c r="DOD84" s="0"/>
      <c r="DOE84" s="0"/>
      <c r="DOF84" s="0"/>
      <c r="DOG84" s="0"/>
      <c r="DOH84" s="0"/>
      <c r="DOI84" s="0"/>
      <c r="DOJ84" s="0"/>
      <c r="DOK84" s="0"/>
      <c r="DOL84" s="0"/>
      <c r="DOM84" s="0"/>
      <c r="DON84" s="0"/>
      <c r="DOO84" s="0"/>
      <c r="DOP84" s="0"/>
      <c r="DOQ84" s="0"/>
      <c r="DOR84" s="0"/>
      <c r="DOS84" s="0"/>
      <c r="DOT84" s="0"/>
      <c r="DOU84" s="0"/>
      <c r="DOV84" s="0"/>
      <c r="DOW84" s="0"/>
      <c r="DOX84" s="0"/>
      <c r="DOY84" s="0"/>
      <c r="DOZ84" s="0"/>
      <c r="DPA84" s="0"/>
      <c r="DPB84" s="0"/>
      <c r="DPC84" s="0"/>
      <c r="DPD84" s="0"/>
      <c r="DPE84" s="0"/>
      <c r="DPF84" s="0"/>
      <c r="DPG84" s="0"/>
      <c r="DPH84" s="0"/>
      <c r="DPI84" s="0"/>
      <c r="DPJ84" s="0"/>
      <c r="DPK84" s="0"/>
      <c r="DPL84" s="0"/>
      <c r="DPM84" s="0"/>
      <c r="DPN84" s="0"/>
      <c r="DPO84" s="0"/>
      <c r="DPP84" s="0"/>
      <c r="DPQ84" s="0"/>
      <c r="DPR84" s="0"/>
      <c r="DPS84" s="0"/>
      <c r="DPT84" s="0"/>
      <c r="DPU84" s="0"/>
      <c r="DPV84" s="0"/>
      <c r="DPW84" s="0"/>
      <c r="DPX84" s="0"/>
      <c r="DPY84" s="0"/>
      <c r="DPZ84" s="0"/>
      <c r="DQA84" s="0"/>
      <c r="DQB84" s="0"/>
      <c r="DQC84" s="0"/>
      <c r="DQD84" s="0"/>
      <c r="DQE84" s="0"/>
      <c r="DQF84" s="0"/>
      <c r="DQG84" s="0"/>
      <c r="DQH84" s="0"/>
      <c r="DQI84" s="0"/>
      <c r="DQJ84" s="0"/>
      <c r="DQK84" s="0"/>
      <c r="DQL84" s="0"/>
      <c r="DQM84" s="0"/>
      <c r="DQN84" s="0"/>
      <c r="DQO84" s="0"/>
      <c r="DQP84" s="0"/>
      <c r="DQQ84" s="0"/>
      <c r="DQR84" s="0"/>
      <c r="DQS84" s="0"/>
      <c r="DQT84" s="0"/>
      <c r="DQU84" s="0"/>
      <c r="DQV84" s="0"/>
      <c r="DQW84" s="0"/>
      <c r="DQX84" s="0"/>
      <c r="DQY84" s="0"/>
      <c r="DQZ84" s="0"/>
      <c r="DRA84" s="0"/>
      <c r="DRB84" s="0"/>
      <c r="DRC84" s="0"/>
      <c r="DRD84" s="0"/>
      <c r="DRE84" s="0"/>
      <c r="DRF84" s="0"/>
      <c r="DRG84" s="0"/>
      <c r="DRH84" s="0"/>
      <c r="DRI84" s="0"/>
      <c r="DRJ84" s="0"/>
      <c r="DRK84" s="0"/>
      <c r="DRL84" s="0"/>
      <c r="DRM84" s="0"/>
      <c r="DRN84" s="0"/>
      <c r="DRO84" s="0"/>
      <c r="DRP84" s="0"/>
      <c r="DRQ84" s="0"/>
      <c r="DRR84" s="0"/>
      <c r="DRS84" s="0"/>
      <c r="DRT84" s="0"/>
      <c r="DRU84" s="0"/>
      <c r="DRV84" s="0"/>
      <c r="DRW84" s="0"/>
      <c r="DRX84" s="0"/>
      <c r="DRY84" s="0"/>
      <c r="DRZ84" s="0"/>
      <c r="DSA84" s="0"/>
      <c r="DSB84" s="0"/>
      <c r="DSC84" s="0"/>
      <c r="DSD84" s="0"/>
      <c r="DSE84" s="0"/>
      <c r="DSF84" s="0"/>
      <c r="DSG84" s="0"/>
      <c r="DSH84" s="0"/>
      <c r="DSI84" s="0"/>
      <c r="DSJ84" s="0"/>
      <c r="DSK84" s="0"/>
      <c r="DSL84" s="0"/>
      <c r="DSM84" s="0"/>
      <c r="DSN84" s="0"/>
      <c r="DSO84" s="0"/>
      <c r="DSP84" s="0"/>
      <c r="DSQ84" s="0"/>
      <c r="DSR84" s="0"/>
      <c r="DSS84" s="0"/>
      <c r="DST84" s="0"/>
      <c r="DSU84" s="0"/>
      <c r="DSV84" s="0"/>
      <c r="DSW84" s="0"/>
      <c r="DSX84" s="0"/>
      <c r="DSY84" s="0"/>
      <c r="DSZ84" s="0"/>
      <c r="DTA84" s="0"/>
      <c r="DTB84" s="0"/>
      <c r="DTC84" s="0"/>
      <c r="DTD84" s="0"/>
      <c r="DTE84" s="0"/>
      <c r="DTF84" s="0"/>
      <c r="DTG84" s="0"/>
      <c r="DTH84" s="0"/>
      <c r="DTI84" s="0"/>
      <c r="DTJ84" s="0"/>
      <c r="DTK84" s="0"/>
      <c r="DTL84" s="0"/>
      <c r="DTM84" s="0"/>
      <c r="DTN84" s="0"/>
      <c r="DTO84" s="0"/>
      <c r="DTP84" s="0"/>
      <c r="DTQ84" s="0"/>
      <c r="DTR84" s="0"/>
      <c r="DTS84" s="0"/>
      <c r="DTT84" s="0"/>
      <c r="DTU84" s="0"/>
      <c r="DTV84" s="0"/>
      <c r="DTW84" s="0"/>
      <c r="DTX84" s="0"/>
      <c r="DTY84" s="0"/>
      <c r="DTZ84" s="0"/>
      <c r="DUA84" s="0"/>
      <c r="DUB84" s="0"/>
      <c r="DUC84" s="0"/>
      <c r="DUD84" s="0"/>
      <c r="DUE84" s="0"/>
      <c r="DUF84" s="0"/>
      <c r="DUG84" s="0"/>
      <c r="DUH84" s="0"/>
      <c r="DUI84" s="0"/>
      <c r="DUJ84" s="0"/>
      <c r="DUK84" s="0"/>
      <c r="DUL84" s="0"/>
      <c r="DUM84" s="0"/>
      <c r="DUN84" s="0"/>
      <c r="DUO84" s="0"/>
      <c r="DUP84" s="0"/>
      <c r="DUQ84" s="0"/>
      <c r="DUR84" s="0"/>
      <c r="DUS84" s="0"/>
      <c r="DUT84" s="0"/>
      <c r="DUU84" s="0"/>
      <c r="DUV84" s="0"/>
      <c r="DUW84" s="0"/>
      <c r="DUX84" s="0"/>
      <c r="DUY84" s="0"/>
      <c r="DUZ84" s="0"/>
      <c r="DVA84" s="0"/>
      <c r="DVB84" s="0"/>
      <c r="DVC84" s="0"/>
      <c r="DVD84" s="0"/>
      <c r="DVE84" s="0"/>
      <c r="DVF84" s="0"/>
      <c r="DVG84" s="0"/>
      <c r="DVH84" s="0"/>
      <c r="DVI84" s="0"/>
      <c r="DVJ84" s="0"/>
      <c r="DVK84" s="0"/>
      <c r="DVL84" s="0"/>
      <c r="DVM84" s="0"/>
      <c r="DVN84" s="0"/>
      <c r="DVO84" s="0"/>
      <c r="DVP84" s="0"/>
      <c r="DVQ84" s="0"/>
      <c r="DVR84" s="0"/>
      <c r="DVS84" s="0"/>
      <c r="DVT84" s="0"/>
      <c r="DVU84" s="0"/>
      <c r="DVV84" s="0"/>
      <c r="DVW84" s="0"/>
      <c r="DVX84" s="0"/>
      <c r="DVY84" s="0"/>
      <c r="DVZ84" s="0"/>
      <c r="DWA84" s="0"/>
      <c r="DWB84" s="0"/>
      <c r="DWC84" s="0"/>
      <c r="DWD84" s="0"/>
      <c r="DWE84" s="0"/>
      <c r="DWF84" s="0"/>
      <c r="DWG84" s="0"/>
      <c r="DWH84" s="0"/>
      <c r="DWI84" s="0"/>
      <c r="DWJ84" s="0"/>
      <c r="DWK84" s="0"/>
      <c r="DWL84" s="0"/>
      <c r="DWM84" s="0"/>
      <c r="DWN84" s="0"/>
      <c r="DWO84" s="0"/>
      <c r="DWP84" s="0"/>
      <c r="DWQ84" s="0"/>
      <c r="DWR84" s="0"/>
      <c r="DWS84" s="0"/>
      <c r="DWT84" s="0"/>
      <c r="DWU84" s="0"/>
      <c r="DWV84" s="0"/>
      <c r="DWW84" s="0"/>
      <c r="DWX84" s="0"/>
      <c r="DWY84" s="0"/>
      <c r="DWZ84" s="0"/>
      <c r="DXA84" s="0"/>
      <c r="DXB84" s="0"/>
      <c r="DXC84" s="0"/>
      <c r="DXD84" s="0"/>
      <c r="DXE84" s="0"/>
      <c r="DXF84" s="0"/>
      <c r="DXG84" s="0"/>
      <c r="DXH84" s="0"/>
      <c r="DXI84" s="0"/>
      <c r="DXJ84" s="0"/>
      <c r="DXK84" s="0"/>
      <c r="DXL84" s="0"/>
      <c r="DXM84" s="0"/>
      <c r="DXN84" s="0"/>
      <c r="DXO84" s="0"/>
      <c r="DXP84" s="0"/>
      <c r="DXQ84" s="0"/>
      <c r="DXR84" s="0"/>
      <c r="DXS84" s="0"/>
      <c r="DXT84" s="0"/>
      <c r="DXU84" s="0"/>
      <c r="DXV84" s="0"/>
      <c r="DXW84" s="0"/>
      <c r="DXX84" s="0"/>
      <c r="DXY84" s="0"/>
      <c r="DXZ84" s="0"/>
      <c r="DYA84" s="0"/>
      <c r="DYB84" s="0"/>
      <c r="DYC84" s="0"/>
      <c r="DYD84" s="0"/>
      <c r="DYE84" s="0"/>
      <c r="DYF84" s="0"/>
      <c r="DYG84" s="0"/>
      <c r="DYH84" s="0"/>
      <c r="DYI84" s="0"/>
      <c r="DYJ84" s="0"/>
      <c r="DYK84" s="0"/>
      <c r="DYL84" s="0"/>
      <c r="DYM84" s="0"/>
      <c r="DYN84" s="0"/>
      <c r="DYO84" s="0"/>
      <c r="DYP84" s="0"/>
      <c r="DYQ84" s="0"/>
      <c r="DYR84" s="0"/>
      <c r="DYS84" s="0"/>
      <c r="DYT84" s="0"/>
      <c r="DYU84" s="0"/>
      <c r="DYV84" s="0"/>
      <c r="DYW84" s="0"/>
      <c r="DYX84" s="0"/>
      <c r="DYY84" s="0"/>
      <c r="DYZ84" s="0"/>
      <c r="DZA84" s="0"/>
      <c r="DZB84" s="0"/>
      <c r="DZC84" s="0"/>
      <c r="DZD84" s="0"/>
      <c r="DZE84" s="0"/>
      <c r="DZF84" s="0"/>
      <c r="DZG84" s="0"/>
      <c r="DZH84" s="0"/>
      <c r="DZI84" s="0"/>
      <c r="DZJ84" s="0"/>
      <c r="DZK84" s="0"/>
      <c r="DZL84" s="0"/>
      <c r="DZM84" s="0"/>
      <c r="DZN84" s="0"/>
      <c r="DZO84" s="0"/>
      <c r="DZP84" s="0"/>
      <c r="DZQ84" s="0"/>
      <c r="DZR84" s="0"/>
      <c r="DZS84" s="0"/>
      <c r="DZT84" s="0"/>
      <c r="DZU84" s="0"/>
      <c r="DZV84" s="0"/>
      <c r="DZW84" s="0"/>
      <c r="DZX84" s="0"/>
      <c r="DZY84" s="0"/>
      <c r="DZZ84" s="0"/>
      <c r="EAA84" s="0"/>
      <c r="EAB84" s="0"/>
      <c r="EAC84" s="0"/>
      <c r="EAD84" s="0"/>
      <c r="EAE84" s="0"/>
      <c r="EAF84" s="0"/>
      <c r="EAG84" s="0"/>
      <c r="EAH84" s="0"/>
      <c r="EAI84" s="0"/>
      <c r="EAJ84" s="0"/>
      <c r="EAK84" s="0"/>
      <c r="EAL84" s="0"/>
      <c r="EAM84" s="0"/>
      <c r="EAN84" s="0"/>
      <c r="EAO84" s="0"/>
      <c r="EAP84" s="0"/>
      <c r="EAQ84" s="0"/>
      <c r="EAR84" s="0"/>
      <c r="EAS84" s="0"/>
      <c r="EAT84" s="0"/>
      <c r="EAU84" s="0"/>
      <c r="EAV84" s="0"/>
      <c r="EAW84" s="0"/>
      <c r="EAX84" s="0"/>
      <c r="EAY84" s="0"/>
      <c r="EAZ84" s="0"/>
      <c r="EBA84" s="0"/>
      <c r="EBB84" s="0"/>
      <c r="EBC84" s="0"/>
      <c r="EBD84" s="0"/>
      <c r="EBE84" s="0"/>
      <c r="EBF84" s="0"/>
      <c r="EBG84" s="0"/>
      <c r="EBH84" s="0"/>
      <c r="EBI84" s="0"/>
      <c r="EBJ84" s="0"/>
      <c r="EBK84" s="0"/>
      <c r="EBL84" s="0"/>
      <c r="EBM84" s="0"/>
      <c r="EBN84" s="0"/>
      <c r="EBO84" s="0"/>
      <c r="EBP84" s="0"/>
      <c r="EBQ84" s="0"/>
      <c r="EBR84" s="0"/>
      <c r="EBS84" s="0"/>
      <c r="EBT84" s="0"/>
      <c r="EBU84" s="0"/>
      <c r="EBV84" s="0"/>
      <c r="EBW84" s="0"/>
      <c r="EBX84" s="0"/>
      <c r="EBY84" s="0"/>
      <c r="EBZ84" s="0"/>
      <c r="ECA84" s="0"/>
      <c r="ECB84" s="0"/>
      <c r="ECC84" s="0"/>
      <c r="ECD84" s="0"/>
      <c r="ECE84" s="0"/>
      <c r="ECF84" s="0"/>
      <c r="ECG84" s="0"/>
      <c r="ECH84" s="0"/>
      <c r="ECI84" s="0"/>
      <c r="ECJ84" s="0"/>
      <c r="ECK84" s="0"/>
      <c r="ECL84" s="0"/>
      <c r="ECM84" s="0"/>
      <c r="ECN84" s="0"/>
      <c r="ECO84" s="0"/>
      <c r="ECP84" s="0"/>
      <c r="ECQ84" s="0"/>
      <c r="ECR84" s="0"/>
      <c r="ECS84" s="0"/>
      <c r="ECT84" s="0"/>
      <c r="ECU84" s="0"/>
      <c r="ECV84" s="0"/>
      <c r="ECW84" s="0"/>
      <c r="ECX84" s="0"/>
      <c r="ECY84" s="0"/>
      <c r="ECZ84" s="0"/>
      <c r="EDA84" s="0"/>
      <c r="EDB84" s="0"/>
      <c r="EDC84" s="0"/>
      <c r="EDD84" s="0"/>
      <c r="EDE84" s="0"/>
      <c r="EDF84" s="0"/>
      <c r="EDG84" s="0"/>
      <c r="EDH84" s="0"/>
      <c r="EDI84" s="0"/>
      <c r="EDJ84" s="0"/>
      <c r="EDK84" s="0"/>
      <c r="EDL84" s="0"/>
      <c r="EDM84" s="0"/>
      <c r="EDN84" s="0"/>
      <c r="EDO84" s="0"/>
      <c r="EDP84" s="0"/>
      <c r="EDQ84" s="0"/>
      <c r="EDR84" s="0"/>
      <c r="EDS84" s="0"/>
      <c r="EDT84" s="0"/>
      <c r="EDU84" s="0"/>
      <c r="EDV84" s="0"/>
      <c r="EDW84" s="0"/>
      <c r="EDX84" s="0"/>
      <c r="EDY84" s="0"/>
      <c r="EDZ84" s="0"/>
      <c r="EEA84" s="0"/>
      <c r="EEB84" s="0"/>
      <c r="EEC84" s="0"/>
      <c r="EED84" s="0"/>
      <c r="EEE84" s="0"/>
      <c r="EEF84" s="0"/>
      <c r="EEG84" s="0"/>
      <c r="EEH84" s="0"/>
      <c r="EEI84" s="0"/>
      <c r="EEJ84" s="0"/>
      <c r="EEK84" s="0"/>
      <c r="EEL84" s="0"/>
      <c r="EEM84" s="0"/>
      <c r="EEN84" s="0"/>
      <c r="EEO84" s="0"/>
      <c r="EEP84" s="0"/>
      <c r="EEQ84" s="0"/>
      <c r="EER84" s="0"/>
      <c r="EES84" s="0"/>
      <c r="EET84" s="0"/>
      <c r="EEU84" s="0"/>
      <c r="EEV84" s="0"/>
      <c r="EEW84" s="0"/>
      <c r="EEX84" s="0"/>
      <c r="EEY84" s="0"/>
      <c r="EEZ84" s="0"/>
      <c r="EFA84" s="0"/>
      <c r="EFB84" s="0"/>
      <c r="EFC84" s="0"/>
      <c r="EFD84" s="0"/>
      <c r="EFE84" s="0"/>
      <c r="EFF84" s="0"/>
      <c r="EFG84" s="0"/>
      <c r="EFH84" s="0"/>
      <c r="EFI84" s="0"/>
      <c r="EFJ84" s="0"/>
      <c r="EFK84" s="0"/>
      <c r="EFL84" s="0"/>
      <c r="EFM84" s="0"/>
      <c r="EFN84" s="0"/>
      <c r="EFO84" s="0"/>
      <c r="EFP84" s="0"/>
      <c r="EFQ84" s="0"/>
      <c r="EFR84" s="0"/>
      <c r="EFS84" s="0"/>
      <c r="EFT84" s="0"/>
      <c r="EFU84" s="0"/>
      <c r="EFV84" s="0"/>
      <c r="EFW84" s="0"/>
      <c r="EFX84" s="0"/>
      <c r="EFY84" s="0"/>
      <c r="EFZ84" s="0"/>
      <c r="EGA84" s="0"/>
      <c r="EGB84" s="0"/>
      <c r="EGC84" s="0"/>
      <c r="EGD84" s="0"/>
      <c r="EGE84" s="0"/>
      <c r="EGF84" s="0"/>
      <c r="EGG84" s="0"/>
      <c r="EGH84" s="0"/>
      <c r="EGI84" s="0"/>
      <c r="EGJ84" s="0"/>
      <c r="EGK84" s="0"/>
      <c r="EGL84" s="0"/>
      <c r="EGM84" s="0"/>
      <c r="EGN84" s="0"/>
      <c r="EGO84" s="0"/>
      <c r="EGP84" s="0"/>
      <c r="EGQ84" s="0"/>
      <c r="EGR84" s="0"/>
      <c r="EGS84" s="0"/>
      <c r="EGT84" s="0"/>
      <c r="EGU84" s="0"/>
      <c r="EGV84" s="0"/>
      <c r="EGW84" s="0"/>
      <c r="EGX84" s="0"/>
      <c r="EGY84" s="0"/>
      <c r="EGZ84" s="0"/>
      <c r="EHA84" s="0"/>
      <c r="EHB84" s="0"/>
      <c r="EHC84" s="0"/>
      <c r="EHD84" s="0"/>
      <c r="EHE84" s="0"/>
      <c r="EHF84" s="0"/>
      <c r="EHG84" s="0"/>
      <c r="EHH84" s="0"/>
      <c r="EHI84" s="0"/>
      <c r="EHJ84" s="0"/>
      <c r="EHK84" s="0"/>
      <c r="EHL84" s="0"/>
      <c r="EHM84" s="0"/>
      <c r="EHN84" s="0"/>
      <c r="EHO84" s="0"/>
      <c r="EHP84" s="0"/>
      <c r="EHQ84" s="0"/>
      <c r="EHR84" s="0"/>
      <c r="EHS84" s="0"/>
      <c r="EHT84" s="0"/>
      <c r="EHU84" s="0"/>
      <c r="EHV84" s="0"/>
      <c r="EHW84" s="0"/>
      <c r="EHX84" s="0"/>
      <c r="EHY84" s="0"/>
      <c r="EHZ84" s="0"/>
      <c r="EIA84" s="0"/>
      <c r="EIB84" s="0"/>
      <c r="EIC84" s="0"/>
      <c r="EID84" s="0"/>
      <c r="EIE84" s="0"/>
      <c r="EIF84" s="0"/>
      <c r="EIG84" s="0"/>
      <c r="EIH84" s="0"/>
      <c r="EII84" s="0"/>
      <c r="EIJ84" s="0"/>
      <c r="EIK84" s="0"/>
      <c r="EIL84" s="0"/>
      <c r="EIM84" s="0"/>
      <c r="EIN84" s="0"/>
      <c r="EIO84" s="0"/>
      <c r="EIP84" s="0"/>
      <c r="EIQ84" s="0"/>
      <c r="EIR84" s="0"/>
      <c r="EIS84" s="0"/>
      <c r="EIT84" s="0"/>
      <c r="EIU84" s="0"/>
      <c r="EIV84" s="0"/>
      <c r="EIW84" s="0"/>
      <c r="EIX84" s="0"/>
      <c r="EIY84" s="0"/>
      <c r="EIZ84" s="0"/>
      <c r="EJA84" s="0"/>
      <c r="EJB84" s="0"/>
      <c r="EJC84" s="0"/>
      <c r="EJD84" s="0"/>
      <c r="EJE84" s="0"/>
      <c r="EJF84" s="0"/>
      <c r="EJG84" s="0"/>
      <c r="EJH84" s="0"/>
      <c r="EJI84" s="0"/>
      <c r="EJJ84" s="0"/>
      <c r="EJK84" s="0"/>
      <c r="EJL84" s="0"/>
      <c r="EJM84" s="0"/>
      <c r="EJN84" s="0"/>
      <c r="EJO84" s="0"/>
      <c r="EJP84" s="0"/>
      <c r="EJQ84" s="0"/>
      <c r="EJR84" s="0"/>
      <c r="EJS84" s="0"/>
      <c r="EJT84" s="0"/>
      <c r="EJU84" s="0"/>
      <c r="EJV84" s="0"/>
      <c r="EJW84" s="0"/>
      <c r="EJX84" s="0"/>
      <c r="EJY84" s="0"/>
      <c r="EJZ84" s="0"/>
      <c r="EKA84" s="0"/>
      <c r="EKB84" s="0"/>
      <c r="EKC84" s="0"/>
      <c r="EKD84" s="0"/>
      <c r="EKE84" s="0"/>
      <c r="EKF84" s="0"/>
      <c r="EKG84" s="0"/>
      <c r="EKH84" s="0"/>
      <c r="EKI84" s="0"/>
      <c r="EKJ84" s="0"/>
      <c r="EKK84" s="0"/>
      <c r="EKL84" s="0"/>
      <c r="EKM84" s="0"/>
      <c r="EKN84" s="0"/>
      <c r="EKO84" s="0"/>
      <c r="EKP84" s="0"/>
      <c r="EKQ84" s="0"/>
      <c r="EKR84" s="0"/>
      <c r="EKS84" s="0"/>
      <c r="EKT84" s="0"/>
      <c r="EKU84" s="0"/>
      <c r="EKV84" s="0"/>
      <c r="EKW84" s="0"/>
      <c r="EKX84" s="0"/>
      <c r="EKY84" s="0"/>
      <c r="EKZ84" s="0"/>
      <c r="ELA84" s="0"/>
      <c r="ELB84" s="0"/>
      <c r="ELC84" s="0"/>
      <c r="ELD84" s="0"/>
      <c r="ELE84" s="0"/>
      <c r="ELF84" s="0"/>
      <c r="ELG84" s="0"/>
      <c r="ELH84" s="0"/>
      <c r="ELI84" s="0"/>
      <c r="ELJ84" s="0"/>
      <c r="ELK84" s="0"/>
      <c r="ELL84" s="0"/>
      <c r="ELM84" s="0"/>
      <c r="ELN84" s="0"/>
      <c r="ELO84" s="0"/>
      <c r="ELP84" s="0"/>
      <c r="ELQ84" s="0"/>
      <c r="ELR84" s="0"/>
      <c r="ELS84" s="0"/>
      <c r="ELT84" s="0"/>
      <c r="ELU84" s="0"/>
      <c r="ELV84" s="0"/>
      <c r="ELW84" s="0"/>
      <c r="ELX84" s="0"/>
      <c r="ELY84" s="0"/>
      <c r="ELZ84" s="0"/>
      <c r="EMA84" s="0"/>
      <c r="EMB84" s="0"/>
      <c r="EMC84" s="0"/>
      <c r="EMD84" s="0"/>
      <c r="EME84" s="0"/>
      <c r="EMF84" s="0"/>
      <c r="EMG84" s="0"/>
      <c r="EMH84" s="0"/>
      <c r="EMI84" s="0"/>
      <c r="EMJ84" s="0"/>
      <c r="EMK84" s="0"/>
      <c r="EML84" s="0"/>
      <c r="EMM84" s="0"/>
      <c r="EMN84" s="0"/>
      <c r="EMO84" s="0"/>
      <c r="EMP84" s="0"/>
      <c r="EMQ84" s="0"/>
      <c r="EMR84" s="0"/>
      <c r="EMS84" s="0"/>
      <c r="EMT84" s="0"/>
      <c r="EMU84" s="0"/>
      <c r="EMV84" s="0"/>
      <c r="EMW84" s="0"/>
      <c r="EMX84" s="0"/>
      <c r="EMY84" s="0"/>
      <c r="EMZ84" s="0"/>
      <c r="ENA84" s="0"/>
      <c r="ENB84" s="0"/>
      <c r="ENC84" s="0"/>
      <c r="END84" s="0"/>
      <c r="ENE84" s="0"/>
      <c r="ENF84" s="0"/>
      <c r="ENG84" s="0"/>
      <c r="ENH84" s="0"/>
      <c r="ENI84" s="0"/>
      <c r="ENJ84" s="0"/>
      <c r="ENK84" s="0"/>
      <c r="ENL84" s="0"/>
      <c r="ENM84" s="0"/>
      <c r="ENN84" s="0"/>
      <c r="ENO84" s="0"/>
      <c r="ENP84" s="0"/>
      <c r="ENQ84" s="0"/>
      <c r="ENR84" s="0"/>
      <c r="ENS84" s="0"/>
      <c r="ENT84" s="0"/>
      <c r="ENU84" s="0"/>
      <c r="ENV84" s="0"/>
      <c r="ENW84" s="0"/>
      <c r="ENX84" s="0"/>
      <c r="ENY84" s="0"/>
      <c r="ENZ84" s="0"/>
      <c r="EOA84" s="0"/>
      <c r="EOB84" s="0"/>
      <c r="EOC84" s="0"/>
      <c r="EOD84" s="0"/>
      <c r="EOE84" s="0"/>
      <c r="EOF84" s="0"/>
      <c r="EOG84" s="0"/>
      <c r="EOH84" s="0"/>
      <c r="EOI84" s="0"/>
      <c r="EOJ84" s="0"/>
      <c r="EOK84" s="0"/>
      <c r="EOL84" s="0"/>
      <c r="EOM84" s="0"/>
      <c r="EON84" s="0"/>
      <c r="EOO84" s="0"/>
      <c r="EOP84" s="0"/>
      <c r="EOQ84" s="0"/>
      <c r="EOR84" s="0"/>
      <c r="EOS84" s="0"/>
      <c r="EOT84" s="0"/>
      <c r="EOU84" s="0"/>
      <c r="EOV84" s="0"/>
      <c r="EOW84" s="0"/>
      <c r="EOX84" s="0"/>
      <c r="EOY84" s="0"/>
      <c r="EOZ84" s="0"/>
      <c r="EPA84" s="0"/>
      <c r="EPB84" s="0"/>
      <c r="EPC84" s="0"/>
      <c r="EPD84" s="0"/>
      <c r="EPE84" s="0"/>
      <c r="EPF84" s="0"/>
      <c r="EPG84" s="0"/>
      <c r="EPH84" s="0"/>
      <c r="EPI84" s="0"/>
      <c r="EPJ84" s="0"/>
      <c r="EPK84" s="0"/>
      <c r="EPL84" s="0"/>
      <c r="EPM84" s="0"/>
      <c r="EPN84" s="0"/>
      <c r="EPO84" s="0"/>
      <c r="EPP84" s="0"/>
      <c r="EPQ84" s="0"/>
      <c r="EPR84" s="0"/>
      <c r="EPS84" s="0"/>
      <c r="EPT84" s="0"/>
      <c r="EPU84" s="0"/>
      <c r="EPV84" s="0"/>
      <c r="EPW84" s="0"/>
      <c r="EPX84" s="0"/>
      <c r="EPY84" s="0"/>
      <c r="EPZ84" s="0"/>
      <c r="EQA84" s="0"/>
      <c r="EQB84" s="0"/>
      <c r="EQC84" s="0"/>
      <c r="EQD84" s="0"/>
      <c r="EQE84" s="0"/>
      <c r="EQF84" s="0"/>
      <c r="EQG84" s="0"/>
      <c r="EQH84" s="0"/>
      <c r="EQI84" s="0"/>
      <c r="EQJ84" s="0"/>
      <c r="EQK84" s="0"/>
      <c r="EQL84" s="0"/>
      <c r="EQM84" s="0"/>
      <c r="EQN84" s="0"/>
      <c r="EQO84" s="0"/>
      <c r="EQP84" s="0"/>
      <c r="EQQ84" s="0"/>
      <c r="EQR84" s="0"/>
      <c r="EQS84" s="0"/>
      <c r="EQT84" s="0"/>
      <c r="EQU84" s="0"/>
      <c r="EQV84" s="0"/>
      <c r="EQW84" s="0"/>
      <c r="EQX84" s="0"/>
      <c r="EQY84" s="0"/>
      <c r="EQZ84" s="0"/>
      <c r="ERA84" s="0"/>
      <c r="ERB84" s="0"/>
      <c r="ERC84" s="0"/>
      <c r="ERD84" s="0"/>
      <c r="ERE84" s="0"/>
      <c r="ERF84" s="0"/>
      <c r="ERG84" s="0"/>
      <c r="ERH84" s="0"/>
      <c r="ERI84" s="0"/>
      <c r="ERJ84" s="0"/>
      <c r="ERK84" s="0"/>
      <c r="ERL84" s="0"/>
      <c r="ERM84" s="0"/>
      <c r="ERN84" s="0"/>
      <c r="ERO84" s="0"/>
      <c r="ERP84" s="0"/>
      <c r="ERQ84" s="0"/>
      <c r="ERR84" s="0"/>
      <c r="ERS84" s="0"/>
      <c r="ERT84" s="0"/>
      <c r="ERU84" s="0"/>
      <c r="ERV84" s="0"/>
      <c r="ERW84" s="0"/>
      <c r="ERX84" s="0"/>
      <c r="ERY84" s="0"/>
      <c r="ERZ84" s="0"/>
      <c r="ESA84" s="0"/>
      <c r="ESB84" s="0"/>
      <c r="ESC84" s="0"/>
      <c r="ESD84" s="0"/>
      <c r="ESE84" s="0"/>
      <c r="ESF84" s="0"/>
      <c r="ESG84" s="0"/>
      <c r="ESH84" s="0"/>
      <c r="ESI84" s="0"/>
      <c r="ESJ84" s="0"/>
      <c r="ESK84" s="0"/>
      <c r="ESL84" s="0"/>
      <c r="ESM84" s="0"/>
      <c r="ESN84" s="0"/>
      <c r="ESO84" s="0"/>
      <c r="ESP84" s="0"/>
      <c r="ESQ84" s="0"/>
      <c r="ESR84" s="0"/>
      <c r="ESS84" s="0"/>
      <c r="EST84" s="0"/>
      <c r="ESU84" s="0"/>
      <c r="ESV84" s="0"/>
      <c r="ESW84" s="0"/>
      <c r="ESX84" s="0"/>
      <c r="ESY84" s="0"/>
      <c r="ESZ84" s="0"/>
      <c r="ETA84" s="0"/>
      <c r="ETB84" s="0"/>
      <c r="ETC84" s="0"/>
      <c r="ETD84" s="0"/>
      <c r="ETE84" s="0"/>
      <c r="ETF84" s="0"/>
      <c r="ETG84" s="0"/>
      <c r="ETH84" s="0"/>
      <c r="ETI84" s="0"/>
      <c r="ETJ84" s="0"/>
      <c r="ETK84" s="0"/>
      <c r="ETL84" s="0"/>
      <c r="ETM84" s="0"/>
      <c r="ETN84" s="0"/>
      <c r="ETO84" s="0"/>
      <c r="ETP84" s="0"/>
      <c r="ETQ84" s="0"/>
      <c r="ETR84" s="0"/>
      <c r="ETS84" s="0"/>
      <c r="ETT84" s="0"/>
      <c r="ETU84" s="0"/>
      <c r="ETV84" s="0"/>
      <c r="ETW84" s="0"/>
      <c r="ETX84" s="0"/>
      <c r="ETY84" s="0"/>
      <c r="ETZ84" s="0"/>
      <c r="EUA84" s="0"/>
      <c r="EUB84" s="0"/>
      <c r="EUC84" s="0"/>
      <c r="EUD84" s="0"/>
      <c r="EUE84" s="0"/>
      <c r="EUF84" s="0"/>
      <c r="EUG84" s="0"/>
      <c r="EUH84" s="0"/>
      <c r="EUI84" s="0"/>
      <c r="EUJ84" s="0"/>
      <c r="EUK84" s="0"/>
      <c r="EUL84" s="0"/>
      <c r="EUM84" s="0"/>
      <c r="EUN84" s="0"/>
      <c r="EUO84" s="0"/>
      <c r="EUP84" s="0"/>
      <c r="EUQ84" s="0"/>
      <c r="EUR84" s="0"/>
      <c r="EUS84" s="0"/>
      <c r="EUT84" s="0"/>
      <c r="EUU84" s="0"/>
      <c r="EUV84" s="0"/>
      <c r="EUW84" s="0"/>
      <c r="EUX84" s="0"/>
      <c r="EUY84" s="0"/>
      <c r="EUZ84" s="0"/>
      <c r="EVA84" s="0"/>
      <c r="EVB84" s="0"/>
      <c r="EVC84" s="0"/>
      <c r="EVD84" s="0"/>
      <c r="EVE84" s="0"/>
      <c r="EVF84" s="0"/>
      <c r="EVG84" s="0"/>
      <c r="EVH84" s="0"/>
      <c r="EVI84" s="0"/>
      <c r="EVJ84" s="0"/>
      <c r="EVK84" s="0"/>
      <c r="EVL84" s="0"/>
      <c r="EVM84" s="0"/>
      <c r="EVN84" s="0"/>
      <c r="EVO84" s="0"/>
      <c r="EVP84" s="0"/>
      <c r="EVQ84" s="0"/>
      <c r="EVR84" s="0"/>
      <c r="EVS84" s="0"/>
      <c r="EVT84" s="0"/>
      <c r="EVU84" s="0"/>
      <c r="EVV84" s="0"/>
      <c r="EVW84" s="0"/>
      <c r="EVX84" s="0"/>
      <c r="EVY84" s="0"/>
      <c r="EVZ84" s="0"/>
      <c r="EWA84" s="0"/>
      <c r="EWB84" s="0"/>
      <c r="EWC84" s="0"/>
      <c r="EWD84" s="0"/>
      <c r="EWE84" s="0"/>
      <c r="EWF84" s="0"/>
      <c r="EWG84" s="0"/>
      <c r="EWH84" s="0"/>
      <c r="EWI84" s="0"/>
      <c r="EWJ84" s="0"/>
      <c r="EWK84" s="0"/>
      <c r="EWL84" s="0"/>
      <c r="EWM84" s="0"/>
      <c r="EWN84" s="0"/>
      <c r="EWO84" s="0"/>
      <c r="EWP84" s="0"/>
      <c r="EWQ84" s="0"/>
      <c r="EWR84" s="0"/>
      <c r="EWS84" s="0"/>
      <c r="EWT84" s="0"/>
      <c r="EWU84" s="0"/>
      <c r="EWV84" s="0"/>
      <c r="EWW84" s="0"/>
      <c r="EWX84" s="0"/>
      <c r="EWY84" s="0"/>
      <c r="EWZ84" s="0"/>
      <c r="EXA84" s="0"/>
      <c r="EXB84" s="0"/>
      <c r="EXC84" s="0"/>
      <c r="EXD84" s="0"/>
      <c r="EXE84" s="0"/>
      <c r="EXF84" s="0"/>
      <c r="EXG84" s="0"/>
      <c r="EXH84" s="0"/>
      <c r="EXI84" s="0"/>
      <c r="EXJ84" s="0"/>
      <c r="EXK84" s="0"/>
      <c r="EXL84" s="0"/>
      <c r="EXM84" s="0"/>
      <c r="EXN84" s="0"/>
      <c r="EXO84" s="0"/>
      <c r="EXP84" s="0"/>
      <c r="EXQ84" s="0"/>
      <c r="EXR84" s="0"/>
      <c r="EXS84" s="0"/>
      <c r="EXT84" s="0"/>
      <c r="EXU84" s="0"/>
      <c r="EXV84" s="0"/>
      <c r="EXW84" s="0"/>
      <c r="EXX84" s="0"/>
      <c r="EXY84" s="0"/>
      <c r="EXZ84" s="0"/>
      <c r="EYA84" s="0"/>
      <c r="EYB84" s="0"/>
      <c r="EYC84" s="0"/>
      <c r="EYD84" s="0"/>
      <c r="EYE84" s="0"/>
      <c r="EYF84" s="0"/>
      <c r="EYG84" s="0"/>
      <c r="EYH84" s="0"/>
      <c r="EYI84" s="0"/>
      <c r="EYJ84" s="0"/>
      <c r="EYK84" s="0"/>
      <c r="EYL84" s="0"/>
      <c r="EYM84" s="0"/>
      <c r="EYN84" s="0"/>
      <c r="EYO84" s="0"/>
      <c r="EYP84" s="0"/>
      <c r="EYQ84" s="0"/>
      <c r="EYR84" s="0"/>
      <c r="EYS84" s="0"/>
      <c r="EYT84" s="0"/>
      <c r="EYU84" s="0"/>
      <c r="EYV84" s="0"/>
      <c r="EYW84" s="0"/>
      <c r="EYX84" s="0"/>
      <c r="EYY84" s="0"/>
      <c r="EYZ84" s="0"/>
      <c r="EZA84" s="0"/>
      <c r="EZB84" s="0"/>
      <c r="EZC84" s="0"/>
      <c r="EZD84" s="0"/>
      <c r="EZE84" s="0"/>
      <c r="EZF84" s="0"/>
      <c r="EZG84" s="0"/>
      <c r="EZH84" s="0"/>
      <c r="EZI84" s="0"/>
      <c r="EZJ84" s="0"/>
      <c r="EZK84" s="0"/>
      <c r="EZL84" s="0"/>
      <c r="EZM84" s="0"/>
      <c r="EZN84" s="0"/>
      <c r="EZO84" s="0"/>
      <c r="EZP84" s="0"/>
      <c r="EZQ84" s="0"/>
      <c r="EZR84" s="0"/>
      <c r="EZS84" s="0"/>
      <c r="EZT84" s="0"/>
      <c r="EZU84" s="0"/>
      <c r="EZV84" s="0"/>
      <c r="EZW84" s="0"/>
      <c r="EZX84" s="0"/>
      <c r="EZY84" s="0"/>
      <c r="EZZ84" s="0"/>
      <c r="FAA84" s="0"/>
      <c r="FAB84" s="0"/>
      <c r="FAC84" s="0"/>
      <c r="FAD84" s="0"/>
      <c r="FAE84" s="0"/>
      <c r="FAF84" s="0"/>
      <c r="FAG84" s="0"/>
      <c r="FAH84" s="0"/>
      <c r="FAI84" s="0"/>
      <c r="FAJ84" s="0"/>
      <c r="FAK84" s="0"/>
      <c r="FAL84" s="0"/>
      <c r="FAM84" s="0"/>
      <c r="FAN84" s="0"/>
      <c r="FAO84" s="0"/>
      <c r="FAP84" s="0"/>
      <c r="FAQ84" s="0"/>
      <c r="FAR84" s="0"/>
      <c r="FAS84" s="0"/>
      <c r="FAT84" s="0"/>
      <c r="FAU84" s="0"/>
      <c r="FAV84" s="0"/>
      <c r="FAW84" s="0"/>
      <c r="FAX84" s="0"/>
      <c r="FAY84" s="0"/>
      <c r="FAZ84" s="0"/>
      <c r="FBA84" s="0"/>
      <c r="FBB84" s="0"/>
      <c r="FBC84" s="0"/>
      <c r="FBD84" s="0"/>
      <c r="FBE84" s="0"/>
      <c r="FBF84" s="0"/>
      <c r="FBG84" s="0"/>
      <c r="FBH84" s="0"/>
      <c r="FBI84" s="0"/>
      <c r="FBJ84" s="0"/>
      <c r="FBK84" s="0"/>
      <c r="FBL84" s="0"/>
      <c r="FBM84" s="0"/>
      <c r="FBN84" s="0"/>
      <c r="FBO84" s="0"/>
      <c r="FBP84" s="0"/>
      <c r="FBQ84" s="0"/>
      <c r="FBR84" s="0"/>
      <c r="FBS84" s="0"/>
      <c r="FBT84" s="0"/>
      <c r="FBU84" s="0"/>
      <c r="FBV84" s="0"/>
      <c r="FBW84" s="0"/>
      <c r="FBX84" s="0"/>
      <c r="FBY84" s="0"/>
      <c r="FBZ84" s="0"/>
      <c r="FCA84" s="0"/>
      <c r="FCB84" s="0"/>
      <c r="FCC84" s="0"/>
      <c r="FCD84" s="0"/>
      <c r="FCE84" s="0"/>
      <c r="FCF84" s="0"/>
      <c r="FCG84" s="0"/>
      <c r="FCH84" s="0"/>
      <c r="FCI84" s="0"/>
      <c r="FCJ84" s="0"/>
      <c r="FCK84" s="0"/>
      <c r="FCL84" s="0"/>
      <c r="FCM84" s="0"/>
      <c r="FCN84" s="0"/>
      <c r="FCO84" s="0"/>
      <c r="FCP84" s="0"/>
      <c r="FCQ84" s="0"/>
      <c r="FCR84" s="0"/>
      <c r="FCS84" s="0"/>
      <c r="FCT84" s="0"/>
      <c r="FCU84" s="0"/>
      <c r="FCV84" s="0"/>
      <c r="FCW84" s="0"/>
      <c r="FCX84" s="0"/>
      <c r="FCY84" s="0"/>
      <c r="FCZ84" s="0"/>
      <c r="FDA84" s="0"/>
      <c r="FDB84" s="0"/>
      <c r="FDC84" s="0"/>
      <c r="FDD84" s="0"/>
      <c r="FDE84" s="0"/>
      <c r="FDF84" s="0"/>
      <c r="FDG84" s="0"/>
      <c r="FDH84" s="0"/>
      <c r="FDI84" s="0"/>
      <c r="FDJ84" s="0"/>
      <c r="FDK84" s="0"/>
      <c r="FDL84" s="0"/>
      <c r="FDM84" s="0"/>
      <c r="FDN84" s="0"/>
      <c r="FDO84" s="0"/>
      <c r="FDP84" s="0"/>
      <c r="FDQ84" s="0"/>
      <c r="FDR84" s="0"/>
      <c r="FDS84" s="0"/>
      <c r="FDT84" s="0"/>
      <c r="FDU84" s="0"/>
      <c r="FDV84" s="0"/>
      <c r="FDW84" s="0"/>
      <c r="FDX84" s="0"/>
      <c r="FDY84" s="0"/>
      <c r="FDZ84" s="0"/>
      <c r="FEA84" s="0"/>
      <c r="FEB84" s="0"/>
      <c r="FEC84" s="0"/>
      <c r="FED84" s="0"/>
      <c r="FEE84" s="0"/>
      <c r="FEF84" s="0"/>
      <c r="FEG84" s="0"/>
      <c r="FEH84" s="0"/>
      <c r="FEI84" s="0"/>
      <c r="FEJ84" s="0"/>
      <c r="FEK84" s="0"/>
      <c r="FEL84" s="0"/>
      <c r="FEM84" s="0"/>
      <c r="FEN84" s="0"/>
      <c r="FEO84" s="0"/>
      <c r="FEP84" s="0"/>
      <c r="FEQ84" s="0"/>
      <c r="FER84" s="0"/>
      <c r="FES84" s="0"/>
      <c r="FET84" s="0"/>
      <c r="FEU84" s="0"/>
      <c r="FEV84" s="0"/>
      <c r="FEW84" s="0"/>
      <c r="FEX84" s="0"/>
      <c r="FEY84" s="0"/>
      <c r="FEZ84" s="0"/>
      <c r="FFA84" s="0"/>
      <c r="FFB84" s="0"/>
      <c r="FFC84" s="0"/>
      <c r="FFD84" s="0"/>
      <c r="FFE84" s="0"/>
      <c r="FFF84" s="0"/>
      <c r="FFG84" s="0"/>
      <c r="FFH84" s="0"/>
      <c r="FFI84" s="0"/>
      <c r="FFJ84" s="0"/>
      <c r="FFK84" s="0"/>
      <c r="FFL84" s="0"/>
      <c r="FFM84" s="0"/>
      <c r="FFN84" s="0"/>
      <c r="FFO84" s="0"/>
      <c r="FFP84" s="0"/>
      <c r="FFQ84" s="0"/>
      <c r="FFR84" s="0"/>
      <c r="FFS84" s="0"/>
      <c r="FFT84" s="0"/>
      <c r="FFU84" s="0"/>
      <c r="FFV84" s="0"/>
      <c r="FFW84" s="0"/>
      <c r="FFX84" s="0"/>
      <c r="FFY84" s="0"/>
      <c r="FFZ84" s="0"/>
      <c r="FGA84" s="0"/>
      <c r="FGB84" s="0"/>
      <c r="FGC84" s="0"/>
      <c r="FGD84" s="0"/>
      <c r="FGE84" s="0"/>
      <c r="FGF84" s="0"/>
      <c r="FGG84" s="0"/>
      <c r="FGH84" s="0"/>
      <c r="FGI84" s="0"/>
      <c r="FGJ84" s="0"/>
      <c r="FGK84" s="0"/>
      <c r="FGL84" s="0"/>
      <c r="FGM84" s="0"/>
      <c r="FGN84" s="0"/>
      <c r="FGO84" s="0"/>
      <c r="FGP84" s="0"/>
      <c r="FGQ84" s="0"/>
      <c r="FGR84" s="0"/>
      <c r="FGS84" s="0"/>
      <c r="FGT84" s="0"/>
      <c r="FGU84" s="0"/>
      <c r="FGV84" s="0"/>
      <c r="FGW84" s="0"/>
      <c r="FGX84" s="0"/>
      <c r="FGY84" s="0"/>
      <c r="FGZ84" s="0"/>
      <c r="FHA84" s="0"/>
      <c r="FHB84" s="0"/>
      <c r="FHC84" s="0"/>
      <c r="FHD84" s="0"/>
      <c r="FHE84" s="0"/>
      <c r="FHF84" s="0"/>
      <c r="FHG84" s="0"/>
      <c r="FHH84" s="0"/>
      <c r="FHI84" s="0"/>
      <c r="FHJ84" s="0"/>
      <c r="FHK84" s="0"/>
      <c r="FHL84" s="0"/>
      <c r="FHM84" s="0"/>
      <c r="FHN84" s="0"/>
      <c r="FHO84" s="0"/>
      <c r="FHP84" s="0"/>
      <c r="FHQ84" s="0"/>
      <c r="FHR84" s="0"/>
      <c r="FHS84" s="0"/>
      <c r="FHT84" s="0"/>
      <c r="FHU84" s="0"/>
      <c r="FHV84" s="0"/>
      <c r="FHW84" s="0"/>
      <c r="FHX84" s="0"/>
      <c r="FHY84" s="0"/>
      <c r="FHZ84" s="0"/>
      <c r="FIA84" s="0"/>
      <c r="FIB84" s="0"/>
      <c r="FIC84" s="0"/>
      <c r="FID84" s="0"/>
      <c r="FIE84" s="0"/>
      <c r="FIF84" s="0"/>
      <c r="FIG84" s="0"/>
      <c r="FIH84" s="0"/>
      <c r="FII84" s="0"/>
      <c r="FIJ84" s="0"/>
      <c r="FIK84" s="0"/>
      <c r="FIL84" s="0"/>
      <c r="FIM84" s="0"/>
      <c r="FIN84" s="0"/>
      <c r="FIO84" s="0"/>
      <c r="FIP84" s="0"/>
      <c r="FIQ84" s="0"/>
      <c r="FIR84" s="0"/>
      <c r="FIS84" s="0"/>
      <c r="FIT84" s="0"/>
      <c r="FIU84" s="0"/>
      <c r="FIV84" s="0"/>
      <c r="FIW84" s="0"/>
      <c r="FIX84" s="0"/>
      <c r="FIY84" s="0"/>
      <c r="FIZ84" s="0"/>
      <c r="FJA84" s="0"/>
      <c r="FJB84" s="0"/>
      <c r="FJC84" s="0"/>
      <c r="FJD84" s="0"/>
      <c r="FJE84" s="0"/>
      <c r="FJF84" s="0"/>
      <c r="FJG84" s="0"/>
      <c r="FJH84" s="0"/>
      <c r="FJI84" s="0"/>
      <c r="FJJ84" s="0"/>
      <c r="FJK84" s="0"/>
      <c r="FJL84" s="0"/>
      <c r="FJM84" s="0"/>
      <c r="FJN84" s="0"/>
      <c r="FJO84" s="0"/>
      <c r="FJP84" s="0"/>
      <c r="FJQ84" s="0"/>
      <c r="FJR84" s="0"/>
      <c r="FJS84" s="0"/>
      <c r="FJT84" s="0"/>
      <c r="FJU84" s="0"/>
      <c r="FJV84" s="0"/>
      <c r="FJW84" s="0"/>
      <c r="FJX84" s="0"/>
      <c r="FJY84" s="0"/>
      <c r="FJZ84" s="0"/>
      <c r="FKA84" s="0"/>
      <c r="FKB84" s="0"/>
      <c r="FKC84" s="0"/>
      <c r="FKD84" s="0"/>
      <c r="FKE84" s="0"/>
      <c r="FKF84" s="0"/>
      <c r="FKG84" s="0"/>
      <c r="FKH84" s="0"/>
      <c r="FKI84" s="0"/>
      <c r="FKJ84" s="0"/>
      <c r="FKK84" s="0"/>
      <c r="FKL84" s="0"/>
      <c r="FKM84" s="0"/>
      <c r="FKN84" s="0"/>
      <c r="FKO84" s="0"/>
      <c r="FKP84" s="0"/>
      <c r="FKQ84" s="0"/>
      <c r="FKR84" s="0"/>
      <c r="FKS84" s="0"/>
      <c r="FKT84" s="0"/>
      <c r="FKU84" s="0"/>
      <c r="FKV84" s="0"/>
      <c r="FKW84" s="0"/>
      <c r="FKX84" s="0"/>
      <c r="FKY84" s="0"/>
      <c r="FKZ84" s="0"/>
      <c r="FLA84" s="0"/>
      <c r="FLB84" s="0"/>
      <c r="FLC84" s="0"/>
      <c r="FLD84" s="0"/>
      <c r="FLE84" s="0"/>
      <c r="FLF84" s="0"/>
      <c r="FLG84" s="0"/>
      <c r="FLH84" s="0"/>
      <c r="FLI84" s="0"/>
      <c r="FLJ84" s="0"/>
      <c r="FLK84" s="0"/>
      <c r="FLL84" s="0"/>
      <c r="FLM84" s="0"/>
      <c r="FLN84" s="0"/>
      <c r="FLO84" s="0"/>
      <c r="FLP84" s="0"/>
      <c r="FLQ84" s="0"/>
      <c r="FLR84" s="0"/>
      <c r="FLS84" s="0"/>
      <c r="FLT84" s="0"/>
      <c r="FLU84" s="0"/>
      <c r="FLV84" s="0"/>
      <c r="FLW84" s="0"/>
      <c r="FLX84" s="0"/>
      <c r="FLY84" s="0"/>
      <c r="FLZ84" s="0"/>
      <c r="FMA84" s="0"/>
      <c r="FMB84" s="0"/>
      <c r="FMC84" s="0"/>
      <c r="FMD84" s="0"/>
      <c r="FME84" s="0"/>
      <c r="FMF84" s="0"/>
      <c r="FMG84" s="0"/>
      <c r="FMH84" s="0"/>
      <c r="FMI84" s="0"/>
      <c r="FMJ84" s="0"/>
      <c r="FMK84" s="0"/>
      <c r="FML84" s="0"/>
      <c r="FMM84" s="0"/>
      <c r="FMN84" s="0"/>
      <c r="FMO84" s="0"/>
      <c r="FMP84" s="0"/>
      <c r="FMQ84" s="0"/>
      <c r="FMR84" s="0"/>
      <c r="FMS84" s="0"/>
      <c r="FMT84" s="0"/>
      <c r="FMU84" s="0"/>
      <c r="FMV84" s="0"/>
      <c r="FMW84" s="0"/>
      <c r="FMX84" s="0"/>
      <c r="FMY84" s="0"/>
      <c r="FMZ84" s="0"/>
      <c r="FNA84" s="0"/>
      <c r="FNB84" s="0"/>
      <c r="FNC84" s="0"/>
      <c r="FND84" s="0"/>
      <c r="FNE84" s="0"/>
      <c r="FNF84" s="0"/>
      <c r="FNG84" s="0"/>
      <c r="FNH84" s="0"/>
      <c r="FNI84" s="0"/>
      <c r="FNJ84" s="0"/>
      <c r="FNK84" s="0"/>
      <c r="FNL84" s="0"/>
      <c r="FNM84" s="0"/>
      <c r="FNN84" s="0"/>
      <c r="FNO84" s="0"/>
      <c r="FNP84" s="0"/>
      <c r="FNQ84" s="0"/>
      <c r="FNR84" s="0"/>
      <c r="FNS84" s="0"/>
      <c r="FNT84" s="0"/>
      <c r="FNU84" s="0"/>
      <c r="FNV84" s="0"/>
      <c r="FNW84" s="0"/>
      <c r="FNX84" s="0"/>
      <c r="FNY84" s="0"/>
      <c r="FNZ84" s="0"/>
      <c r="FOA84" s="0"/>
      <c r="FOB84" s="0"/>
      <c r="FOC84" s="0"/>
      <c r="FOD84" s="0"/>
      <c r="FOE84" s="0"/>
      <c r="FOF84" s="0"/>
      <c r="FOG84" s="0"/>
      <c r="FOH84" s="0"/>
      <c r="FOI84" s="0"/>
      <c r="FOJ84" s="0"/>
      <c r="FOK84" s="0"/>
      <c r="FOL84" s="0"/>
      <c r="FOM84" s="0"/>
      <c r="FON84" s="0"/>
      <c r="FOO84" s="0"/>
      <c r="FOP84" s="0"/>
      <c r="FOQ84" s="0"/>
      <c r="FOR84" s="0"/>
      <c r="FOS84" s="0"/>
      <c r="FOT84" s="0"/>
      <c r="FOU84" s="0"/>
      <c r="FOV84" s="0"/>
      <c r="FOW84" s="0"/>
      <c r="FOX84" s="0"/>
      <c r="FOY84" s="0"/>
      <c r="FOZ84" s="0"/>
      <c r="FPA84" s="0"/>
      <c r="FPB84" s="0"/>
      <c r="FPC84" s="0"/>
      <c r="FPD84" s="0"/>
      <c r="FPE84" s="0"/>
      <c r="FPF84" s="0"/>
      <c r="FPG84" s="0"/>
      <c r="FPH84" s="0"/>
      <c r="FPI84" s="0"/>
      <c r="FPJ84" s="0"/>
      <c r="FPK84" s="0"/>
      <c r="FPL84" s="0"/>
      <c r="FPM84" s="0"/>
      <c r="FPN84" s="0"/>
      <c r="FPO84" s="0"/>
      <c r="FPP84" s="0"/>
      <c r="FPQ84" s="0"/>
      <c r="FPR84" s="0"/>
      <c r="FPS84" s="0"/>
      <c r="FPT84" s="0"/>
      <c r="FPU84" s="0"/>
      <c r="FPV84" s="0"/>
      <c r="FPW84" s="0"/>
      <c r="FPX84" s="0"/>
      <c r="FPY84" s="0"/>
      <c r="FPZ84" s="0"/>
      <c r="FQA84" s="0"/>
      <c r="FQB84" s="0"/>
      <c r="FQC84" s="0"/>
      <c r="FQD84" s="0"/>
      <c r="FQE84" s="0"/>
      <c r="FQF84" s="0"/>
      <c r="FQG84" s="0"/>
      <c r="FQH84" s="0"/>
      <c r="FQI84" s="0"/>
      <c r="FQJ84" s="0"/>
      <c r="FQK84" s="0"/>
      <c r="FQL84" s="0"/>
      <c r="FQM84" s="0"/>
      <c r="FQN84" s="0"/>
      <c r="FQO84" s="0"/>
      <c r="FQP84" s="0"/>
      <c r="FQQ84" s="0"/>
      <c r="FQR84" s="0"/>
      <c r="FQS84" s="0"/>
      <c r="FQT84" s="0"/>
      <c r="FQU84" s="0"/>
      <c r="FQV84" s="0"/>
      <c r="FQW84" s="0"/>
      <c r="FQX84" s="0"/>
      <c r="FQY84" s="0"/>
      <c r="FQZ84" s="0"/>
      <c r="FRA84" s="0"/>
      <c r="FRB84" s="0"/>
      <c r="FRC84" s="0"/>
      <c r="FRD84" s="0"/>
      <c r="FRE84" s="0"/>
      <c r="FRF84" s="0"/>
      <c r="FRG84" s="0"/>
      <c r="FRH84" s="0"/>
      <c r="FRI84" s="0"/>
      <c r="FRJ84" s="0"/>
      <c r="FRK84" s="0"/>
      <c r="FRL84" s="0"/>
      <c r="FRM84" s="0"/>
      <c r="FRN84" s="0"/>
      <c r="FRO84" s="0"/>
      <c r="FRP84" s="0"/>
      <c r="FRQ84" s="0"/>
      <c r="FRR84" s="0"/>
      <c r="FRS84" s="0"/>
      <c r="FRT84" s="0"/>
      <c r="FRU84" s="0"/>
      <c r="FRV84" s="0"/>
      <c r="FRW84" s="0"/>
      <c r="FRX84" s="0"/>
      <c r="FRY84" s="0"/>
      <c r="FRZ84" s="0"/>
      <c r="FSA84" s="0"/>
      <c r="FSB84" s="0"/>
      <c r="FSC84" s="0"/>
      <c r="FSD84" s="0"/>
      <c r="FSE84" s="0"/>
      <c r="FSF84" s="0"/>
      <c r="FSG84" s="0"/>
      <c r="FSH84" s="0"/>
      <c r="FSI84" s="0"/>
      <c r="FSJ84" s="0"/>
      <c r="FSK84" s="0"/>
      <c r="FSL84" s="0"/>
      <c r="FSM84" s="0"/>
      <c r="FSN84" s="0"/>
      <c r="FSO84" s="0"/>
      <c r="FSP84" s="0"/>
      <c r="FSQ84" s="0"/>
      <c r="FSR84" s="0"/>
      <c r="FSS84" s="0"/>
      <c r="FST84" s="0"/>
      <c r="FSU84" s="0"/>
      <c r="FSV84" s="0"/>
      <c r="FSW84" s="0"/>
      <c r="FSX84" s="0"/>
      <c r="FSY84" s="0"/>
      <c r="FSZ84" s="0"/>
      <c r="FTA84" s="0"/>
      <c r="FTB84" s="0"/>
      <c r="FTC84" s="0"/>
      <c r="FTD84" s="0"/>
      <c r="FTE84" s="0"/>
      <c r="FTF84" s="0"/>
      <c r="FTG84" s="0"/>
      <c r="FTH84" s="0"/>
      <c r="FTI84" s="0"/>
      <c r="FTJ84" s="0"/>
      <c r="FTK84" s="0"/>
      <c r="FTL84" s="0"/>
      <c r="FTM84" s="0"/>
      <c r="FTN84" s="0"/>
      <c r="FTO84" s="0"/>
      <c r="FTP84" s="0"/>
      <c r="FTQ84" s="0"/>
      <c r="FTR84" s="0"/>
      <c r="FTS84" s="0"/>
      <c r="FTT84" s="0"/>
      <c r="FTU84" s="0"/>
      <c r="FTV84" s="0"/>
      <c r="FTW84" s="0"/>
      <c r="FTX84" s="0"/>
      <c r="FTY84" s="0"/>
      <c r="FTZ84" s="0"/>
      <c r="FUA84" s="0"/>
      <c r="FUB84" s="0"/>
      <c r="FUC84" s="0"/>
      <c r="FUD84" s="0"/>
      <c r="FUE84" s="0"/>
      <c r="FUF84" s="0"/>
      <c r="FUG84" s="0"/>
      <c r="FUH84" s="0"/>
      <c r="FUI84" s="0"/>
      <c r="FUJ84" s="0"/>
      <c r="FUK84" s="0"/>
      <c r="FUL84" s="0"/>
      <c r="FUM84" s="0"/>
      <c r="FUN84" s="0"/>
      <c r="FUO84" s="0"/>
      <c r="FUP84" s="0"/>
      <c r="FUQ84" s="0"/>
      <c r="FUR84" s="0"/>
      <c r="FUS84" s="0"/>
      <c r="FUT84" s="0"/>
      <c r="FUU84" s="0"/>
      <c r="FUV84" s="0"/>
      <c r="FUW84" s="0"/>
      <c r="FUX84" s="0"/>
      <c r="FUY84" s="0"/>
      <c r="FUZ84" s="0"/>
      <c r="FVA84" s="0"/>
      <c r="FVB84" s="0"/>
      <c r="FVC84" s="0"/>
      <c r="FVD84" s="0"/>
      <c r="FVE84" s="0"/>
      <c r="FVF84" s="0"/>
      <c r="FVG84" s="0"/>
      <c r="FVH84" s="0"/>
      <c r="FVI84" s="0"/>
      <c r="FVJ84" s="0"/>
      <c r="FVK84" s="0"/>
      <c r="FVL84" s="0"/>
      <c r="FVM84" s="0"/>
      <c r="FVN84" s="0"/>
      <c r="FVO84" s="0"/>
      <c r="FVP84" s="0"/>
      <c r="FVQ84" s="0"/>
      <c r="FVR84" s="0"/>
      <c r="FVS84" s="0"/>
      <c r="FVT84" s="0"/>
      <c r="FVU84" s="0"/>
      <c r="FVV84" s="0"/>
      <c r="FVW84" s="0"/>
      <c r="FVX84" s="0"/>
      <c r="FVY84" s="0"/>
      <c r="FVZ84" s="0"/>
      <c r="FWA84" s="0"/>
      <c r="FWB84" s="0"/>
      <c r="FWC84" s="0"/>
      <c r="FWD84" s="0"/>
      <c r="FWE84" s="0"/>
      <c r="FWF84" s="0"/>
      <c r="FWG84" s="0"/>
      <c r="FWH84" s="0"/>
      <c r="FWI84" s="0"/>
      <c r="FWJ84" s="0"/>
      <c r="FWK84" s="0"/>
      <c r="FWL84" s="0"/>
      <c r="FWM84" s="0"/>
      <c r="FWN84" s="0"/>
      <c r="FWO84" s="0"/>
      <c r="FWP84" s="0"/>
      <c r="FWQ84" s="0"/>
      <c r="FWR84" s="0"/>
      <c r="FWS84" s="0"/>
      <c r="FWT84" s="0"/>
      <c r="FWU84" s="0"/>
      <c r="FWV84" s="0"/>
      <c r="FWW84" s="0"/>
      <c r="FWX84" s="0"/>
      <c r="FWY84" s="0"/>
      <c r="FWZ84" s="0"/>
      <c r="FXA84" s="0"/>
      <c r="FXB84" s="0"/>
      <c r="FXC84" s="0"/>
      <c r="FXD84" s="0"/>
      <c r="FXE84" s="0"/>
      <c r="FXF84" s="0"/>
      <c r="FXG84" s="0"/>
      <c r="FXH84" s="0"/>
      <c r="FXI84" s="0"/>
      <c r="FXJ84" s="0"/>
      <c r="FXK84" s="0"/>
      <c r="FXL84" s="0"/>
      <c r="FXM84" s="0"/>
      <c r="FXN84" s="0"/>
      <c r="FXO84" s="0"/>
      <c r="FXP84" s="0"/>
      <c r="FXQ84" s="0"/>
      <c r="FXR84" s="0"/>
      <c r="FXS84" s="0"/>
      <c r="FXT84" s="0"/>
      <c r="FXU84" s="0"/>
      <c r="FXV84" s="0"/>
      <c r="FXW84" s="0"/>
      <c r="FXX84" s="0"/>
      <c r="FXY84" s="0"/>
      <c r="FXZ84" s="0"/>
      <c r="FYA84" s="0"/>
      <c r="FYB84" s="0"/>
      <c r="FYC84" s="0"/>
      <c r="FYD84" s="0"/>
      <c r="FYE84" s="0"/>
      <c r="FYF84" s="0"/>
      <c r="FYG84" s="0"/>
      <c r="FYH84" s="0"/>
      <c r="FYI84" s="0"/>
      <c r="FYJ84" s="0"/>
      <c r="FYK84" s="0"/>
      <c r="FYL84" s="0"/>
      <c r="FYM84" s="0"/>
      <c r="FYN84" s="0"/>
      <c r="FYO84" s="0"/>
      <c r="FYP84" s="0"/>
      <c r="FYQ84" s="0"/>
      <c r="FYR84" s="0"/>
      <c r="FYS84" s="0"/>
      <c r="FYT84" s="0"/>
      <c r="FYU84" s="0"/>
      <c r="FYV84" s="0"/>
      <c r="FYW84" s="0"/>
      <c r="FYX84" s="0"/>
      <c r="FYY84" s="0"/>
      <c r="FYZ84" s="0"/>
      <c r="FZA84" s="0"/>
      <c r="FZB84" s="0"/>
      <c r="FZC84" s="0"/>
      <c r="FZD84" s="0"/>
      <c r="FZE84" s="0"/>
      <c r="FZF84" s="0"/>
      <c r="FZG84" s="0"/>
      <c r="FZH84" s="0"/>
      <c r="FZI84" s="0"/>
      <c r="FZJ84" s="0"/>
      <c r="FZK84" s="0"/>
      <c r="FZL84" s="0"/>
      <c r="FZM84" s="0"/>
      <c r="FZN84" s="0"/>
      <c r="FZO84" s="0"/>
      <c r="FZP84" s="0"/>
      <c r="FZQ84" s="0"/>
      <c r="FZR84" s="0"/>
      <c r="FZS84" s="0"/>
      <c r="FZT84" s="0"/>
      <c r="FZU84" s="0"/>
      <c r="FZV84" s="0"/>
      <c r="FZW84" s="0"/>
      <c r="FZX84" s="0"/>
      <c r="FZY84" s="0"/>
      <c r="FZZ84" s="0"/>
      <c r="GAA84" s="0"/>
      <c r="GAB84" s="0"/>
      <c r="GAC84" s="0"/>
      <c r="GAD84" s="0"/>
      <c r="GAE84" s="0"/>
      <c r="GAF84" s="0"/>
      <c r="GAG84" s="0"/>
      <c r="GAH84" s="0"/>
      <c r="GAI84" s="0"/>
      <c r="GAJ84" s="0"/>
      <c r="GAK84" s="0"/>
      <c r="GAL84" s="0"/>
      <c r="GAM84" s="0"/>
      <c r="GAN84" s="0"/>
      <c r="GAO84" s="0"/>
      <c r="GAP84" s="0"/>
      <c r="GAQ84" s="0"/>
      <c r="GAR84" s="0"/>
      <c r="GAS84" s="0"/>
      <c r="GAT84" s="0"/>
      <c r="GAU84" s="0"/>
      <c r="GAV84" s="0"/>
      <c r="GAW84" s="0"/>
      <c r="GAX84" s="0"/>
      <c r="GAY84" s="0"/>
      <c r="GAZ84" s="0"/>
      <c r="GBA84" s="0"/>
      <c r="GBB84" s="0"/>
      <c r="GBC84" s="0"/>
      <c r="GBD84" s="0"/>
      <c r="GBE84" s="0"/>
      <c r="GBF84" s="0"/>
      <c r="GBG84" s="0"/>
      <c r="GBH84" s="0"/>
      <c r="GBI84" s="0"/>
      <c r="GBJ84" s="0"/>
      <c r="GBK84" s="0"/>
      <c r="GBL84" s="0"/>
      <c r="GBM84" s="0"/>
      <c r="GBN84" s="0"/>
      <c r="GBO84" s="0"/>
      <c r="GBP84" s="0"/>
      <c r="GBQ84" s="0"/>
      <c r="GBR84" s="0"/>
      <c r="GBS84" s="0"/>
      <c r="GBT84" s="0"/>
      <c r="GBU84" s="0"/>
      <c r="GBV84" s="0"/>
      <c r="GBW84" s="0"/>
      <c r="GBX84" s="0"/>
      <c r="GBY84" s="0"/>
      <c r="GBZ84" s="0"/>
      <c r="GCA84" s="0"/>
      <c r="GCB84" s="0"/>
      <c r="GCC84" s="0"/>
      <c r="GCD84" s="0"/>
      <c r="GCE84" s="0"/>
      <c r="GCF84" s="0"/>
      <c r="GCG84" s="0"/>
      <c r="GCH84" s="0"/>
      <c r="GCI84" s="0"/>
      <c r="GCJ84" s="0"/>
      <c r="GCK84" s="0"/>
      <c r="GCL84" s="0"/>
      <c r="GCM84" s="0"/>
      <c r="GCN84" s="0"/>
      <c r="GCO84" s="0"/>
      <c r="GCP84" s="0"/>
      <c r="GCQ84" s="0"/>
      <c r="GCR84" s="0"/>
      <c r="GCS84" s="0"/>
      <c r="GCT84" s="0"/>
      <c r="GCU84" s="0"/>
      <c r="GCV84" s="0"/>
      <c r="GCW84" s="0"/>
      <c r="GCX84" s="0"/>
      <c r="GCY84" s="0"/>
      <c r="GCZ84" s="0"/>
      <c r="GDA84" s="0"/>
      <c r="GDB84" s="0"/>
      <c r="GDC84" s="0"/>
      <c r="GDD84" s="0"/>
      <c r="GDE84" s="0"/>
      <c r="GDF84" s="0"/>
      <c r="GDG84" s="0"/>
      <c r="GDH84" s="0"/>
      <c r="GDI84" s="0"/>
      <c r="GDJ84" s="0"/>
      <c r="GDK84" s="0"/>
      <c r="GDL84" s="0"/>
      <c r="GDM84" s="0"/>
      <c r="GDN84" s="0"/>
      <c r="GDO84" s="0"/>
      <c r="GDP84" s="0"/>
      <c r="GDQ84" s="0"/>
      <c r="GDR84" s="0"/>
      <c r="GDS84" s="0"/>
      <c r="GDT84" s="0"/>
      <c r="GDU84" s="0"/>
      <c r="GDV84" s="0"/>
      <c r="GDW84" s="0"/>
      <c r="GDX84" s="0"/>
      <c r="GDY84" s="0"/>
      <c r="GDZ84" s="0"/>
      <c r="GEA84" s="0"/>
      <c r="GEB84" s="0"/>
      <c r="GEC84" s="0"/>
      <c r="GED84" s="0"/>
      <c r="GEE84" s="0"/>
      <c r="GEF84" s="0"/>
      <c r="GEG84" s="0"/>
      <c r="GEH84" s="0"/>
      <c r="GEI84" s="0"/>
      <c r="GEJ84" s="0"/>
      <c r="GEK84" s="0"/>
      <c r="GEL84" s="0"/>
      <c r="GEM84" s="0"/>
      <c r="GEN84" s="0"/>
      <c r="GEO84" s="0"/>
      <c r="GEP84" s="0"/>
      <c r="GEQ84" s="0"/>
      <c r="GER84" s="0"/>
      <c r="GES84" s="0"/>
      <c r="GET84" s="0"/>
      <c r="GEU84" s="0"/>
      <c r="GEV84" s="0"/>
      <c r="GEW84" s="0"/>
      <c r="GEX84" s="0"/>
      <c r="GEY84" s="0"/>
      <c r="GEZ84" s="0"/>
      <c r="GFA84" s="0"/>
      <c r="GFB84" s="0"/>
      <c r="GFC84" s="0"/>
      <c r="GFD84" s="0"/>
      <c r="GFE84" s="0"/>
      <c r="GFF84" s="0"/>
      <c r="GFG84" s="0"/>
      <c r="GFH84" s="0"/>
      <c r="GFI84" s="0"/>
      <c r="GFJ84" s="0"/>
      <c r="GFK84" s="0"/>
      <c r="GFL84" s="0"/>
      <c r="GFM84" s="0"/>
      <c r="GFN84" s="0"/>
      <c r="GFO84" s="0"/>
      <c r="GFP84" s="0"/>
      <c r="GFQ84" s="0"/>
      <c r="GFR84" s="0"/>
      <c r="GFS84" s="0"/>
      <c r="GFT84" s="0"/>
      <c r="GFU84" s="0"/>
      <c r="GFV84" s="0"/>
      <c r="GFW84" s="0"/>
      <c r="GFX84" s="0"/>
      <c r="GFY84" s="0"/>
      <c r="GFZ84" s="0"/>
      <c r="GGA84" s="0"/>
      <c r="GGB84" s="0"/>
      <c r="GGC84" s="0"/>
      <c r="GGD84" s="0"/>
      <c r="GGE84" s="0"/>
      <c r="GGF84" s="0"/>
      <c r="GGG84" s="0"/>
      <c r="GGH84" s="0"/>
      <c r="GGI84" s="0"/>
      <c r="GGJ84" s="0"/>
      <c r="GGK84" s="0"/>
      <c r="GGL84" s="0"/>
      <c r="GGM84" s="0"/>
      <c r="GGN84" s="0"/>
      <c r="GGO84" s="0"/>
      <c r="GGP84" s="0"/>
      <c r="GGQ84" s="0"/>
      <c r="GGR84" s="0"/>
      <c r="GGS84" s="0"/>
      <c r="GGT84" s="0"/>
      <c r="GGU84" s="0"/>
      <c r="GGV84" s="0"/>
      <c r="GGW84" s="0"/>
      <c r="GGX84" s="0"/>
      <c r="GGY84" s="0"/>
      <c r="GGZ84" s="0"/>
      <c r="GHA84" s="0"/>
      <c r="GHB84" s="0"/>
      <c r="GHC84" s="0"/>
      <c r="GHD84" s="0"/>
      <c r="GHE84" s="0"/>
      <c r="GHF84" s="0"/>
      <c r="GHG84" s="0"/>
      <c r="GHH84" s="0"/>
      <c r="GHI84" s="0"/>
      <c r="GHJ84" s="0"/>
      <c r="GHK84" s="0"/>
      <c r="GHL84" s="0"/>
      <c r="GHM84" s="0"/>
      <c r="GHN84" s="0"/>
      <c r="GHO84" s="0"/>
      <c r="GHP84" s="0"/>
      <c r="GHQ84" s="0"/>
      <c r="GHR84" s="0"/>
      <c r="GHS84" s="0"/>
      <c r="GHT84" s="0"/>
      <c r="GHU84" s="0"/>
      <c r="GHV84" s="0"/>
      <c r="GHW84" s="0"/>
      <c r="GHX84" s="0"/>
      <c r="GHY84" s="0"/>
      <c r="GHZ84" s="0"/>
      <c r="GIA84" s="0"/>
      <c r="GIB84" s="0"/>
      <c r="GIC84" s="0"/>
      <c r="GID84" s="0"/>
      <c r="GIE84" s="0"/>
      <c r="GIF84" s="0"/>
      <c r="GIG84" s="0"/>
      <c r="GIH84" s="0"/>
      <c r="GII84" s="0"/>
      <c r="GIJ84" s="0"/>
      <c r="GIK84" s="0"/>
      <c r="GIL84" s="0"/>
      <c r="GIM84" s="0"/>
      <c r="GIN84" s="0"/>
      <c r="GIO84" s="0"/>
      <c r="GIP84" s="0"/>
      <c r="GIQ84" s="0"/>
      <c r="GIR84" s="0"/>
      <c r="GIS84" s="0"/>
      <c r="GIT84" s="0"/>
      <c r="GIU84" s="0"/>
      <c r="GIV84" s="0"/>
      <c r="GIW84" s="0"/>
      <c r="GIX84" s="0"/>
      <c r="GIY84" s="0"/>
      <c r="GIZ84" s="0"/>
      <c r="GJA84" s="0"/>
      <c r="GJB84" s="0"/>
      <c r="GJC84" s="0"/>
      <c r="GJD84" s="0"/>
      <c r="GJE84" s="0"/>
      <c r="GJF84" s="0"/>
      <c r="GJG84" s="0"/>
      <c r="GJH84" s="0"/>
      <c r="GJI84" s="0"/>
      <c r="GJJ84" s="0"/>
      <c r="GJK84" s="0"/>
      <c r="GJL84" s="0"/>
      <c r="GJM84" s="0"/>
      <c r="GJN84" s="0"/>
      <c r="GJO84" s="0"/>
      <c r="GJP84" s="0"/>
      <c r="GJQ84" s="0"/>
      <c r="GJR84" s="0"/>
      <c r="GJS84" s="0"/>
      <c r="GJT84" s="0"/>
      <c r="GJU84" s="0"/>
      <c r="GJV84" s="0"/>
      <c r="GJW84" s="0"/>
      <c r="GJX84" s="0"/>
      <c r="GJY84" s="0"/>
      <c r="GJZ84" s="0"/>
      <c r="GKA84" s="0"/>
      <c r="GKB84" s="0"/>
      <c r="GKC84" s="0"/>
      <c r="GKD84" s="0"/>
      <c r="GKE84" s="0"/>
      <c r="GKF84" s="0"/>
      <c r="GKG84" s="0"/>
      <c r="GKH84" s="0"/>
      <c r="GKI84" s="0"/>
      <c r="GKJ84" s="0"/>
      <c r="GKK84" s="0"/>
      <c r="GKL84" s="0"/>
      <c r="GKM84" s="0"/>
      <c r="GKN84" s="0"/>
      <c r="GKO84" s="0"/>
      <c r="GKP84" s="0"/>
      <c r="GKQ84" s="0"/>
      <c r="GKR84" s="0"/>
      <c r="GKS84" s="0"/>
      <c r="GKT84" s="0"/>
      <c r="GKU84" s="0"/>
      <c r="GKV84" s="0"/>
      <c r="GKW84" s="0"/>
      <c r="GKX84" s="0"/>
      <c r="GKY84" s="0"/>
      <c r="GKZ84" s="0"/>
      <c r="GLA84" s="0"/>
      <c r="GLB84" s="0"/>
      <c r="GLC84" s="0"/>
      <c r="GLD84" s="0"/>
      <c r="GLE84" s="0"/>
      <c r="GLF84" s="0"/>
      <c r="GLG84" s="0"/>
      <c r="GLH84" s="0"/>
      <c r="GLI84" s="0"/>
      <c r="GLJ84" s="0"/>
      <c r="GLK84" s="0"/>
      <c r="GLL84" s="0"/>
      <c r="GLM84" s="0"/>
      <c r="GLN84" s="0"/>
      <c r="GLO84" s="0"/>
      <c r="GLP84" s="0"/>
      <c r="GLQ84" s="0"/>
      <c r="GLR84" s="0"/>
      <c r="GLS84" s="0"/>
      <c r="GLT84" s="0"/>
      <c r="GLU84" s="0"/>
      <c r="GLV84" s="0"/>
      <c r="GLW84" s="0"/>
      <c r="GLX84" s="0"/>
      <c r="GLY84" s="0"/>
      <c r="GLZ84" s="0"/>
      <c r="GMA84" s="0"/>
      <c r="GMB84" s="0"/>
      <c r="GMC84" s="0"/>
      <c r="GMD84" s="0"/>
      <c r="GME84" s="0"/>
      <c r="GMF84" s="0"/>
      <c r="GMG84" s="0"/>
      <c r="GMH84" s="0"/>
      <c r="GMI84" s="0"/>
      <c r="GMJ84" s="0"/>
      <c r="GMK84" s="0"/>
      <c r="GML84" s="0"/>
      <c r="GMM84" s="0"/>
      <c r="GMN84" s="0"/>
      <c r="GMO84" s="0"/>
      <c r="GMP84" s="0"/>
      <c r="GMQ84" s="0"/>
      <c r="GMR84" s="0"/>
      <c r="GMS84" s="0"/>
      <c r="GMT84" s="0"/>
      <c r="GMU84" s="0"/>
      <c r="GMV84" s="0"/>
      <c r="GMW84" s="0"/>
      <c r="GMX84" s="0"/>
      <c r="GMY84" s="0"/>
      <c r="GMZ84" s="0"/>
      <c r="GNA84" s="0"/>
      <c r="GNB84" s="0"/>
      <c r="GNC84" s="0"/>
      <c r="GND84" s="0"/>
      <c r="GNE84" s="0"/>
      <c r="GNF84" s="0"/>
      <c r="GNG84" s="0"/>
      <c r="GNH84" s="0"/>
      <c r="GNI84" s="0"/>
      <c r="GNJ84" s="0"/>
      <c r="GNK84" s="0"/>
      <c r="GNL84" s="0"/>
      <c r="GNM84" s="0"/>
      <c r="GNN84" s="0"/>
      <c r="GNO84" s="0"/>
      <c r="GNP84" s="0"/>
      <c r="GNQ84" s="0"/>
      <c r="GNR84" s="0"/>
      <c r="GNS84" s="0"/>
      <c r="GNT84" s="0"/>
      <c r="GNU84" s="0"/>
      <c r="GNV84" s="0"/>
      <c r="GNW84" s="0"/>
      <c r="GNX84" s="0"/>
      <c r="GNY84" s="0"/>
      <c r="GNZ84" s="0"/>
      <c r="GOA84" s="0"/>
      <c r="GOB84" s="0"/>
      <c r="GOC84" s="0"/>
      <c r="GOD84" s="0"/>
      <c r="GOE84" s="0"/>
      <c r="GOF84" s="0"/>
      <c r="GOG84" s="0"/>
      <c r="GOH84" s="0"/>
      <c r="GOI84" s="0"/>
      <c r="GOJ84" s="0"/>
      <c r="GOK84" s="0"/>
      <c r="GOL84" s="0"/>
      <c r="GOM84" s="0"/>
      <c r="GON84" s="0"/>
      <c r="GOO84" s="0"/>
      <c r="GOP84" s="0"/>
      <c r="GOQ84" s="0"/>
      <c r="GOR84" s="0"/>
      <c r="GOS84" s="0"/>
      <c r="GOT84" s="0"/>
      <c r="GOU84" s="0"/>
      <c r="GOV84" s="0"/>
      <c r="GOW84" s="0"/>
      <c r="GOX84" s="0"/>
      <c r="GOY84" s="0"/>
      <c r="GOZ84" s="0"/>
      <c r="GPA84" s="0"/>
      <c r="GPB84" s="0"/>
      <c r="GPC84" s="0"/>
      <c r="GPD84" s="0"/>
      <c r="GPE84" s="0"/>
      <c r="GPF84" s="0"/>
      <c r="GPG84" s="0"/>
      <c r="GPH84" s="0"/>
      <c r="GPI84" s="0"/>
      <c r="GPJ84" s="0"/>
      <c r="GPK84" s="0"/>
      <c r="GPL84" s="0"/>
      <c r="GPM84" s="0"/>
      <c r="GPN84" s="0"/>
      <c r="GPO84" s="0"/>
      <c r="GPP84" s="0"/>
      <c r="GPQ84" s="0"/>
      <c r="GPR84" s="0"/>
      <c r="GPS84" s="0"/>
      <c r="GPT84" s="0"/>
      <c r="GPU84" s="0"/>
      <c r="GPV84" s="0"/>
      <c r="GPW84" s="0"/>
      <c r="GPX84" s="0"/>
      <c r="GPY84" s="0"/>
      <c r="GPZ84" s="0"/>
      <c r="GQA84" s="0"/>
      <c r="GQB84" s="0"/>
      <c r="GQC84" s="0"/>
      <c r="GQD84" s="0"/>
      <c r="GQE84" s="0"/>
      <c r="GQF84" s="0"/>
      <c r="GQG84" s="0"/>
      <c r="GQH84" s="0"/>
      <c r="GQI84" s="0"/>
      <c r="GQJ84" s="0"/>
      <c r="GQK84" s="0"/>
      <c r="GQL84" s="0"/>
      <c r="GQM84" s="0"/>
      <c r="GQN84" s="0"/>
      <c r="GQO84" s="0"/>
      <c r="GQP84" s="0"/>
      <c r="GQQ84" s="0"/>
      <c r="GQR84" s="0"/>
      <c r="GQS84" s="0"/>
      <c r="GQT84" s="0"/>
      <c r="GQU84" s="0"/>
      <c r="GQV84" s="0"/>
      <c r="GQW84" s="0"/>
      <c r="GQX84" s="0"/>
      <c r="GQY84" s="0"/>
      <c r="GQZ84" s="0"/>
      <c r="GRA84" s="0"/>
      <c r="GRB84" s="0"/>
      <c r="GRC84" s="0"/>
      <c r="GRD84" s="0"/>
      <c r="GRE84" s="0"/>
      <c r="GRF84" s="0"/>
      <c r="GRG84" s="0"/>
      <c r="GRH84" s="0"/>
      <c r="GRI84" s="0"/>
      <c r="GRJ84" s="0"/>
      <c r="GRK84" s="0"/>
      <c r="GRL84" s="0"/>
      <c r="GRM84" s="0"/>
      <c r="GRN84" s="0"/>
      <c r="GRO84" s="0"/>
      <c r="GRP84" s="0"/>
      <c r="GRQ84" s="0"/>
      <c r="GRR84" s="0"/>
      <c r="GRS84" s="0"/>
      <c r="GRT84" s="0"/>
      <c r="GRU84" s="0"/>
      <c r="GRV84" s="0"/>
      <c r="GRW84" s="0"/>
      <c r="GRX84" s="0"/>
      <c r="GRY84" s="0"/>
      <c r="GRZ84" s="0"/>
      <c r="GSA84" s="0"/>
      <c r="GSB84" s="0"/>
      <c r="GSC84" s="0"/>
      <c r="GSD84" s="0"/>
      <c r="GSE84" s="0"/>
      <c r="GSF84" s="0"/>
      <c r="GSG84" s="0"/>
      <c r="GSH84" s="0"/>
      <c r="GSI84" s="0"/>
      <c r="GSJ84" s="0"/>
      <c r="GSK84" s="0"/>
      <c r="GSL84" s="0"/>
      <c r="GSM84" s="0"/>
      <c r="GSN84" s="0"/>
      <c r="GSO84" s="0"/>
      <c r="GSP84" s="0"/>
      <c r="GSQ84" s="0"/>
      <c r="GSR84" s="0"/>
      <c r="GSS84" s="0"/>
      <c r="GST84" s="0"/>
      <c r="GSU84" s="0"/>
      <c r="GSV84" s="0"/>
      <c r="GSW84" s="0"/>
      <c r="GSX84" s="0"/>
      <c r="GSY84" s="0"/>
      <c r="GSZ84" s="0"/>
      <c r="GTA84" s="0"/>
      <c r="GTB84" s="0"/>
      <c r="GTC84" s="0"/>
      <c r="GTD84" s="0"/>
      <c r="GTE84" s="0"/>
      <c r="GTF84" s="0"/>
      <c r="GTG84" s="0"/>
      <c r="GTH84" s="0"/>
      <c r="GTI84" s="0"/>
      <c r="GTJ84" s="0"/>
      <c r="GTK84" s="0"/>
      <c r="GTL84" s="0"/>
      <c r="GTM84" s="0"/>
      <c r="GTN84" s="0"/>
      <c r="GTO84" s="0"/>
      <c r="GTP84" s="0"/>
      <c r="GTQ84" s="0"/>
      <c r="GTR84" s="0"/>
      <c r="GTS84" s="0"/>
      <c r="GTT84" s="0"/>
      <c r="GTU84" s="0"/>
      <c r="GTV84" s="0"/>
      <c r="GTW84" s="0"/>
      <c r="GTX84" s="0"/>
      <c r="GTY84" s="0"/>
      <c r="GTZ84" s="0"/>
      <c r="GUA84" s="0"/>
      <c r="GUB84" s="0"/>
      <c r="GUC84" s="0"/>
      <c r="GUD84" s="0"/>
      <c r="GUE84" s="0"/>
      <c r="GUF84" s="0"/>
      <c r="GUG84" s="0"/>
      <c r="GUH84" s="0"/>
      <c r="GUI84" s="0"/>
      <c r="GUJ84" s="0"/>
      <c r="GUK84" s="0"/>
      <c r="GUL84" s="0"/>
      <c r="GUM84" s="0"/>
      <c r="GUN84" s="0"/>
      <c r="GUO84" s="0"/>
      <c r="GUP84" s="0"/>
      <c r="GUQ84" s="0"/>
      <c r="GUR84" s="0"/>
      <c r="GUS84" s="0"/>
      <c r="GUT84" s="0"/>
      <c r="GUU84" s="0"/>
      <c r="GUV84" s="0"/>
      <c r="GUW84" s="0"/>
      <c r="GUX84" s="0"/>
      <c r="GUY84" s="0"/>
      <c r="GUZ84" s="0"/>
      <c r="GVA84" s="0"/>
      <c r="GVB84" s="0"/>
      <c r="GVC84" s="0"/>
      <c r="GVD84" s="0"/>
      <c r="GVE84" s="0"/>
      <c r="GVF84" s="0"/>
      <c r="GVG84" s="0"/>
      <c r="GVH84" s="0"/>
      <c r="GVI84" s="0"/>
      <c r="GVJ84" s="0"/>
      <c r="GVK84" s="0"/>
      <c r="GVL84" s="0"/>
      <c r="GVM84" s="0"/>
      <c r="GVN84" s="0"/>
      <c r="GVO84" s="0"/>
      <c r="GVP84" s="0"/>
      <c r="GVQ84" s="0"/>
      <c r="GVR84" s="0"/>
      <c r="GVS84" s="0"/>
      <c r="GVT84" s="0"/>
      <c r="GVU84" s="0"/>
      <c r="GVV84" s="0"/>
      <c r="GVW84" s="0"/>
      <c r="GVX84" s="0"/>
      <c r="GVY84" s="0"/>
      <c r="GVZ84" s="0"/>
      <c r="GWA84" s="0"/>
      <c r="GWB84" s="0"/>
      <c r="GWC84" s="0"/>
      <c r="GWD84" s="0"/>
      <c r="GWE84" s="0"/>
      <c r="GWF84" s="0"/>
      <c r="GWG84" s="0"/>
      <c r="GWH84" s="0"/>
      <c r="GWI84" s="0"/>
      <c r="GWJ84" s="0"/>
      <c r="GWK84" s="0"/>
      <c r="GWL84" s="0"/>
      <c r="GWM84" s="0"/>
      <c r="GWN84" s="0"/>
      <c r="GWO84" s="0"/>
      <c r="GWP84" s="0"/>
      <c r="GWQ84" s="0"/>
      <c r="GWR84" s="0"/>
      <c r="GWS84" s="0"/>
      <c r="GWT84" s="0"/>
      <c r="GWU84" s="0"/>
      <c r="GWV84" s="0"/>
      <c r="GWW84" s="0"/>
      <c r="GWX84" s="0"/>
      <c r="GWY84" s="0"/>
      <c r="GWZ84" s="0"/>
      <c r="GXA84" s="0"/>
      <c r="GXB84" s="0"/>
      <c r="GXC84" s="0"/>
      <c r="GXD84" s="0"/>
      <c r="GXE84" s="0"/>
      <c r="GXF84" s="0"/>
      <c r="GXG84" s="0"/>
      <c r="GXH84" s="0"/>
      <c r="GXI84" s="0"/>
      <c r="GXJ84" s="0"/>
      <c r="GXK84" s="0"/>
      <c r="GXL84" s="0"/>
      <c r="GXM84" s="0"/>
      <c r="GXN84" s="0"/>
      <c r="GXO84" s="0"/>
      <c r="GXP84" s="0"/>
      <c r="GXQ84" s="0"/>
      <c r="GXR84" s="0"/>
      <c r="GXS84" s="0"/>
      <c r="GXT84" s="0"/>
      <c r="GXU84" s="0"/>
      <c r="GXV84" s="0"/>
      <c r="GXW84" s="0"/>
      <c r="GXX84" s="0"/>
      <c r="GXY84" s="0"/>
      <c r="GXZ84" s="0"/>
      <c r="GYA84" s="0"/>
      <c r="GYB84" s="0"/>
      <c r="GYC84" s="0"/>
      <c r="GYD84" s="0"/>
      <c r="GYE84" s="0"/>
      <c r="GYF84" s="0"/>
      <c r="GYG84" s="0"/>
      <c r="GYH84" s="0"/>
      <c r="GYI84" s="0"/>
      <c r="GYJ84" s="0"/>
      <c r="GYK84" s="0"/>
      <c r="GYL84" s="0"/>
      <c r="GYM84" s="0"/>
      <c r="GYN84" s="0"/>
      <c r="GYO84" s="0"/>
      <c r="GYP84" s="0"/>
      <c r="GYQ84" s="0"/>
      <c r="GYR84" s="0"/>
      <c r="GYS84" s="0"/>
      <c r="GYT84" s="0"/>
      <c r="GYU84" s="0"/>
      <c r="GYV84" s="0"/>
      <c r="GYW84" s="0"/>
      <c r="GYX84" s="0"/>
      <c r="GYY84" s="0"/>
      <c r="GYZ84" s="0"/>
      <c r="GZA84" s="0"/>
      <c r="GZB84" s="0"/>
      <c r="GZC84" s="0"/>
      <c r="GZD84" s="0"/>
      <c r="GZE84" s="0"/>
      <c r="GZF84" s="0"/>
      <c r="GZG84" s="0"/>
      <c r="GZH84" s="0"/>
      <c r="GZI84" s="0"/>
      <c r="GZJ84" s="0"/>
      <c r="GZK84" s="0"/>
      <c r="GZL84" s="0"/>
      <c r="GZM84" s="0"/>
      <c r="GZN84" s="0"/>
      <c r="GZO84" s="0"/>
      <c r="GZP84" s="0"/>
      <c r="GZQ84" s="0"/>
      <c r="GZR84" s="0"/>
      <c r="GZS84" s="0"/>
      <c r="GZT84" s="0"/>
      <c r="GZU84" s="0"/>
      <c r="GZV84" s="0"/>
      <c r="GZW84" s="0"/>
      <c r="GZX84" s="0"/>
      <c r="GZY84" s="0"/>
      <c r="GZZ84" s="0"/>
      <c r="HAA84" s="0"/>
      <c r="HAB84" s="0"/>
      <c r="HAC84" s="0"/>
      <c r="HAD84" s="0"/>
      <c r="HAE84" s="0"/>
      <c r="HAF84" s="0"/>
      <c r="HAG84" s="0"/>
      <c r="HAH84" s="0"/>
      <c r="HAI84" s="0"/>
      <c r="HAJ84" s="0"/>
      <c r="HAK84" s="0"/>
      <c r="HAL84" s="0"/>
      <c r="HAM84" s="0"/>
      <c r="HAN84" s="0"/>
      <c r="HAO84" s="0"/>
      <c r="HAP84" s="0"/>
      <c r="HAQ84" s="0"/>
      <c r="HAR84" s="0"/>
      <c r="HAS84" s="0"/>
      <c r="HAT84" s="0"/>
      <c r="HAU84" s="0"/>
      <c r="HAV84" s="0"/>
      <c r="HAW84" s="0"/>
      <c r="HAX84" s="0"/>
      <c r="HAY84" s="0"/>
      <c r="HAZ84" s="0"/>
      <c r="HBA84" s="0"/>
      <c r="HBB84" s="0"/>
      <c r="HBC84" s="0"/>
      <c r="HBD84" s="0"/>
      <c r="HBE84" s="0"/>
      <c r="HBF84" s="0"/>
      <c r="HBG84" s="0"/>
      <c r="HBH84" s="0"/>
      <c r="HBI84" s="0"/>
      <c r="HBJ84" s="0"/>
      <c r="HBK84" s="0"/>
      <c r="HBL84" s="0"/>
      <c r="HBM84" s="0"/>
      <c r="HBN84" s="0"/>
      <c r="HBO84" s="0"/>
      <c r="HBP84" s="0"/>
      <c r="HBQ84" s="0"/>
      <c r="HBR84" s="0"/>
      <c r="HBS84" s="0"/>
      <c r="HBT84" s="0"/>
      <c r="HBU84" s="0"/>
      <c r="HBV84" s="0"/>
      <c r="HBW84" s="0"/>
      <c r="HBX84" s="0"/>
      <c r="HBY84" s="0"/>
      <c r="HBZ84" s="0"/>
      <c r="HCA84" s="0"/>
      <c r="HCB84" s="0"/>
      <c r="HCC84" s="0"/>
      <c r="HCD84" s="0"/>
      <c r="HCE84" s="0"/>
      <c r="HCF84" s="0"/>
      <c r="HCG84" s="0"/>
      <c r="HCH84" s="0"/>
      <c r="HCI84" s="0"/>
      <c r="HCJ84" s="0"/>
      <c r="HCK84" s="0"/>
      <c r="HCL84" s="0"/>
      <c r="HCM84" s="0"/>
      <c r="HCN84" s="0"/>
      <c r="HCO84" s="0"/>
      <c r="HCP84" s="0"/>
      <c r="HCQ84" s="0"/>
      <c r="HCR84" s="0"/>
      <c r="HCS84" s="0"/>
      <c r="HCT84" s="0"/>
      <c r="HCU84" s="0"/>
      <c r="HCV84" s="0"/>
      <c r="HCW84" s="0"/>
      <c r="HCX84" s="0"/>
      <c r="HCY84" s="0"/>
      <c r="HCZ84" s="0"/>
      <c r="HDA84" s="0"/>
      <c r="HDB84" s="0"/>
      <c r="HDC84" s="0"/>
      <c r="HDD84" s="0"/>
      <c r="HDE84" s="0"/>
      <c r="HDF84" s="0"/>
      <c r="HDG84" s="0"/>
      <c r="HDH84" s="0"/>
      <c r="HDI84" s="0"/>
      <c r="HDJ84" s="0"/>
      <c r="HDK84" s="0"/>
      <c r="HDL84" s="0"/>
      <c r="HDM84" s="0"/>
      <c r="HDN84" s="0"/>
      <c r="HDO84" s="0"/>
      <c r="HDP84" s="0"/>
      <c r="HDQ84" s="0"/>
      <c r="HDR84" s="0"/>
      <c r="HDS84" s="0"/>
      <c r="HDT84" s="0"/>
      <c r="HDU84" s="0"/>
      <c r="HDV84" s="0"/>
      <c r="HDW84" s="0"/>
      <c r="HDX84" s="0"/>
      <c r="HDY84" s="0"/>
      <c r="HDZ84" s="0"/>
      <c r="HEA84" s="0"/>
      <c r="HEB84" s="0"/>
      <c r="HEC84" s="0"/>
      <c r="HED84" s="0"/>
      <c r="HEE84" s="0"/>
      <c r="HEF84" s="0"/>
      <c r="HEG84" s="0"/>
      <c r="HEH84" s="0"/>
      <c r="HEI84" s="0"/>
      <c r="HEJ84" s="0"/>
      <c r="HEK84" s="0"/>
      <c r="HEL84" s="0"/>
      <c r="HEM84" s="0"/>
      <c r="HEN84" s="0"/>
      <c r="HEO84" s="0"/>
      <c r="HEP84" s="0"/>
      <c r="HEQ84" s="0"/>
      <c r="HER84" s="0"/>
      <c r="HES84" s="0"/>
      <c r="HET84" s="0"/>
      <c r="HEU84" s="0"/>
      <c r="HEV84" s="0"/>
      <c r="HEW84" s="0"/>
      <c r="HEX84" s="0"/>
      <c r="HEY84" s="0"/>
      <c r="HEZ84" s="0"/>
      <c r="HFA84" s="0"/>
      <c r="HFB84" s="0"/>
      <c r="HFC84" s="0"/>
      <c r="HFD84" s="0"/>
      <c r="HFE84" s="0"/>
      <c r="HFF84" s="0"/>
      <c r="HFG84" s="0"/>
      <c r="HFH84" s="0"/>
      <c r="HFI84" s="0"/>
      <c r="HFJ84" s="0"/>
      <c r="HFK84" s="0"/>
      <c r="HFL84" s="0"/>
      <c r="HFM84" s="0"/>
      <c r="HFN84" s="0"/>
      <c r="HFO84" s="0"/>
      <c r="HFP84" s="0"/>
      <c r="HFQ84" s="0"/>
      <c r="HFR84" s="0"/>
      <c r="HFS84" s="0"/>
      <c r="HFT84" s="0"/>
      <c r="HFU84" s="0"/>
      <c r="HFV84" s="0"/>
      <c r="HFW84" s="0"/>
      <c r="HFX84" s="0"/>
      <c r="HFY84" s="0"/>
      <c r="HFZ84" s="0"/>
      <c r="HGA84" s="0"/>
      <c r="HGB84" s="0"/>
      <c r="HGC84" s="0"/>
      <c r="HGD84" s="0"/>
      <c r="HGE84" s="0"/>
      <c r="HGF84" s="0"/>
      <c r="HGG84" s="0"/>
      <c r="HGH84" s="0"/>
      <c r="HGI84" s="0"/>
      <c r="HGJ84" s="0"/>
      <c r="HGK84" s="0"/>
      <c r="HGL84" s="0"/>
      <c r="HGM84" s="0"/>
      <c r="HGN84" s="0"/>
      <c r="HGO84" s="0"/>
      <c r="HGP84" s="0"/>
      <c r="HGQ84" s="0"/>
      <c r="HGR84" s="0"/>
      <c r="HGS84" s="0"/>
      <c r="HGT84" s="0"/>
      <c r="HGU84" s="0"/>
      <c r="HGV84" s="0"/>
      <c r="HGW84" s="0"/>
      <c r="HGX84" s="0"/>
      <c r="HGY84" s="0"/>
      <c r="HGZ84" s="0"/>
      <c r="HHA84" s="0"/>
      <c r="HHB84" s="0"/>
      <c r="HHC84" s="0"/>
      <c r="HHD84" s="0"/>
      <c r="HHE84" s="0"/>
      <c r="HHF84" s="0"/>
      <c r="HHG84" s="0"/>
      <c r="HHH84" s="0"/>
      <c r="HHI84" s="0"/>
      <c r="HHJ84" s="0"/>
      <c r="HHK84" s="0"/>
      <c r="HHL84" s="0"/>
      <c r="HHM84" s="0"/>
      <c r="HHN84" s="0"/>
      <c r="HHO84" s="0"/>
      <c r="HHP84" s="0"/>
      <c r="HHQ84" s="0"/>
      <c r="HHR84" s="0"/>
      <c r="HHS84" s="0"/>
      <c r="HHT84" s="0"/>
      <c r="HHU84" s="0"/>
      <c r="HHV84" s="0"/>
      <c r="HHW84" s="0"/>
      <c r="HHX84" s="0"/>
      <c r="HHY84" s="0"/>
      <c r="HHZ84" s="0"/>
      <c r="HIA84" s="0"/>
      <c r="HIB84" s="0"/>
      <c r="HIC84" s="0"/>
      <c r="HID84" s="0"/>
      <c r="HIE84" s="0"/>
      <c r="HIF84" s="0"/>
      <c r="HIG84" s="0"/>
      <c r="HIH84" s="0"/>
      <c r="HII84" s="0"/>
      <c r="HIJ84" s="0"/>
      <c r="HIK84" s="0"/>
      <c r="HIL84" s="0"/>
      <c r="HIM84" s="0"/>
      <c r="HIN84" s="0"/>
      <c r="HIO84" s="0"/>
      <c r="HIP84" s="0"/>
      <c r="HIQ84" s="0"/>
      <c r="HIR84" s="0"/>
      <c r="HIS84" s="0"/>
      <c r="HIT84" s="0"/>
      <c r="HIU84" s="0"/>
      <c r="HIV84" s="0"/>
      <c r="HIW84" s="0"/>
      <c r="HIX84" s="0"/>
      <c r="HIY84" s="0"/>
      <c r="HIZ84" s="0"/>
      <c r="HJA84" s="0"/>
      <c r="HJB84" s="0"/>
      <c r="HJC84" s="0"/>
      <c r="HJD84" s="0"/>
      <c r="HJE84" s="0"/>
      <c r="HJF84" s="0"/>
      <c r="HJG84" s="0"/>
      <c r="HJH84" s="0"/>
      <c r="HJI84" s="0"/>
      <c r="HJJ84" s="0"/>
      <c r="HJK84" s="0"/>
      <c r="HJL84" s="0"/>
      <c r="HJM84" s="0"/>
      <c r="HJN84" s="0"/>
      <c r="HJO84" s="0"/>
      <c r="HJP84" s="0"/>
      <c r="HJQ84" s="0"/>
      <c r="HJR84" s="0"/>
      <c r="HJS84" s="0"/>
      <c r="HJT84" s="0"/>
      <c r="HJU84" s="0"/>
      <c r="HJV84" s="0"/>
      <c r="HJW84" s="0"/>
      <c r="HJX84" s="0"/>
      <c r="HJY84" s="0"/>
      <c r="HJZ84" s="0"/>
      <c r="HKA84" s="0"/>
      <c r="HKB84" s="0"/>
      <c r="HKC84" s="0"/>
      <c r="HKD84" s="0"/>
      <c r="HKE84" s="0"/>
      <c r="HKF84" s="0"/>
      <c r="HKG84" s="0"/>
      <c r="HKH84" s="0"/>
      <c r="HKI84" s="0"/>
      <c r="HKJ84" s="0"/>
      <c r="HKK84" s="0"/>
      <c r="HKL84" s="0"/>
      <c r="HKM84" s="0"/>
      <c r="HKN84" s="0"/>
      <c r="HKO84" s="0"/>
      <c r="HKP84" s="0"/>
      <c r="HKQ84" s="0"/>
      <c r="HKR84" s="0"/>
      <c r="HKS84" s="0"/>
      <c r="HKT84" s="0"/>
      <c r="HKU84" s="0"/>
      <c r="HKV84" s="0"/>
      <c r="HKW84" s="0"/>
      <c r="HKX84" s="0"/>
      <c r="HKY84" s="0"/>
      <c r="HKZ84" s="0"/>
      <c r="HLA84" s="0"/>
      <c r="HLB84" s="0"/>
      <c r="HLC84" s="0"/>
      <c r="HLD84" s="0"/>
      <c r="HLE84" s="0"/>
      <c r="HLF84" s="0"/>
      <c r="HLG84" s="0"/>
      <c r="HLH84" s="0"/>
      <c r="HLI84" s="0"/>
      <c r="HLJ84" s="0"/>
      <c r="HLK84" s="0"/>
      <c r="HLL84" s="0"/>
      <c r="HLM84" s="0"/>
      <c r="HLN84" s="0"/>
      <c r="HLO84" s="0"/>
      <c r="HLP84" s="0"/>
      <c r="HLQ84" s="0"/>
      <c r="HLR84" s="0"/>
      <c r="HLS84" s="0"/>
      <c r="HLT84" s="0"/>
      <c r="HLU84" s="0"/>
      <c r="HLV84" s="0"/>
      <c r="HLW84" s="0"/>
      <c r="HLX84" s="0"/>
      <c r="HLY84" s="0"/>
      <c r="HLZ84" s="0"/>
      <c r="HMA84" s="0"/>
      <c r="HMB84" s="0"/>
      <c r="HMC84" s="0"/>
      <c r="HMD84" s="0"/>
      <c r="HME84" s="0"/>
      <c r="HMF84" s="0"/>
      <c r="HMG84" s="0"/>
      <c r="HMH84" s="0"/>
      <c r="HMI84" s="0"/>
      <c r="HMJ84" s="0"/>
      <c r="HMK84" s="0"/>
      <c r="HML84" s="0"/>
      <c r="HMM84" s="0"/>
      <c r="HMN84" s="0"/>
      <c r="HMO84" s="0"/>
      <c r="HMP84" s="0"/>
      <c r="HMQ84" s="0"/>
      <c r="HMR84" s="0"/>
      <c r="HMS84" s="0"/>
      <c r="HMT84" s="0"/>
      <c r="HMU84" s="0"/>
      <c r="HMV84" s="0"/>
      <c r="HMW84" s="0"/>
      <c r="HMX84" s="0"/>
      <c r="HMY84" s="0"/>
      <c r="HMZ84" s="0"/>
      <c r="HNA84" s="0"/>
      <c r="HNB84" s="0"/>
      <c r="HNC84" s="0"/>
      <c r="HND84" s="0"/>
      <c r="HNE84" s="0"/>
      <c r="HNF84" s="0"/>
      <c r="HNG84" s="0"/>
      <c r="HNH84" s="0"/>
      <c r="HNI84" s="0"/>
      <c r="HNJ84" s="0"/>
      <c r="HNK84" s="0"/>
      <c r="HNL84" s="0"/>
      <c r="HNM84" s="0"/>
      <c r="HNN84" s="0"/>
      <c r="HNO84" s="0"/>
      <c r="HNP84" s="0"/>
      <c r="HNQ84" s="0"/>
      <c r="HNR84" s="0"/>
      <c r="HNS84" s="0"/>
      <c r="HNT84" s="0"/>
      <c r="HNU84" s="0"/>
      <c r="HNV84" s="0"/>
      <c r="HNW84" s="0"/>
      <c r="HNX84" s="0"/>
      <c r="HNY84" s="0"/>
      <c r="HNZ84" s="0"/>
      <c r="HOA84" s="0"/>
      <c r="HOB84" s="0"/>
      <c r="HOC84" s="0"/>
      <c r="HOD84" s="0"/>
      <c r="HOE84" s="0"/>
      <c r="HOF84" s="0"/>
      <c r="HOG84" s="0"/>
      <c r="HOH84" s="0"/>
      <c r="HOI84" s="0"/>
      <c r="HOJ84" s="0"/>
      <c r="HOK84" s="0"/>
      <c r="HOL84" s="0"/>
      <c r="HOM84" s="0"/>
      <c r="HON84" s="0"/>
      <c r="HOO84" s="0"/>
      <c r="HOP84" s="0"/>
      <c r="HOQ84" s="0"/>
      <c r="HOR84" s="0"/>
      <c r="HOS84" s="0"/>
      <c r="HOT84" s="0"/>
      <c r="HOU84" s="0"/>
      <c r="HOV84" s="0"/>
      <c r="HOW84" s="0"/>
      <c r="HOX84" s="0"/>
      <c r="HOY84" s="0"/>
      <c r="HOZ84" s="0"/>
      <c r="HPA84" s="0"/>
      <c r="HPB84" s="0"/>
      <c r="HPC84" s="0"/>
      <c r="HPD84" s="0"/>
      <c r="HPE84" s="0"/>
      <c r="HPF84" s="0"/>
      <c r="HPG84" s="0"/>
      <c r="HPH84" s="0"/>
      <c r="HPI84" s="0"/>
      <c r="HPJ84" s="0"/>
      <c r="HPK84" s="0"/>
      <c r="HPL84" s="0"/>
      <c r="HPM84" s="0"/>
      <c r="HPN84" s="0"/>
      <c r="HPO84" s="0"/>
      <c r="HPP84" s="0"/>
      <c r="HPQ84" s="0"/>
      <c r="HPR84" s="0"/>
      <c r="HPS84" s="0"/>
      <c r="HPT84" s="0"/>
      <c r="HPU84" s="0"/>
      <c r="HPV84" s="0"/>
      <c r="HPW84" s="0"/>
      <c r="HPX84" s="0"/>
      <c r="HPY84" s="0"/>
      <c r="HPZ84" s="0"/>
      <c r="HQA84" s="0"/>
      <c r="HQB84" s="0"/>
      <c r="HQC84" s="0"/>
      <c r="HQD84" s="0"/>
      <c r="HQE84" s="0"/>
      <c r="HQF84" s="0"/>
      <c r="HQG84" s="0"/>
      <c r="HQH84" s="0"/>
      <c r="HQI84" s="0"/>
      <c r="HQJ84" s="0"/>
      <c r="HQK84" s="0"/>
      <c r="HQL84" s="0"/>
      <c r="HQM84" s="0"/>
      <c r="HQN84" s="0"/>
      <c r="HQO84" s="0"/>
      <c r="HQP84" s="0"/>
      <c r="HQQ84" s="0"/>
      <c r="HQR84" s="0"/>
      <c r="HQS84" s="0"/>
      <c r="HQT84" s="0"/>
      <c r="HQU84" s="0"/>
      <c r="HQV84" s="0"/>
      <c r="HQW84" s="0"/>
      <c r="HQX84" s="0"/>
      <c r="HQY84" s="0"/>
      <c r="HQZ84" s="0"/>
      <c r="HRA84" s="0"/>
      <c r="HRB84" s="0"/>
      <c r="HRC84" s="0"/>
      <c r="HRD84" s="0"/>
      <c r="HRE84" s="0"/>
      <c r="HRF84" s="0"/>
      <c r="HRG84" s="0"/>
      <c r="HRH84" s="0"/>
      <c r="HRI84" s="0"/>
      <c r="HRJ84" s="0"/>
      <c r="HRK84" s="0"/>
      <c r="HRL84" s="0"/>
      <c r="HRM84" s="0"/>
      <c r="HRN84" s="0"/>
      <c r="HRO84" s="0"/>
      <c r="HRP84" s="0"/>
      <c r="HRQ84" s="0"/>
      <c r="HRR84" s="0"/>
      <c r="HRS84" s="0"/>
      <c r="HRT84" s="0"/>
      <c r="HRU84" s="0"/>
      <c r="HRV84" s="0"/>
      <c r="HRW84" s="0"/>
      <c r="HRX84" s="0"/>
      <c r="HRY84" s="0"/>
      <c r="HRZ84" s="0"/>
      <c r="HSA84" s="0"/>
      <c r="HSB84" s="0"/>
      <c r="HSC84" s="0"/>
      <c r="HSD84" s="0"/>
      <c r="HSE84" s="0"/>
      <c r="HSF84" s="0"/>
      <c r="HSG84" s="0"/>
      <c r="HSH84" s="0"/>
      <c r="HSI84" s="0"/>
      <c r="HSJ84" s="0"/>
      <c r="HSK84" s="0"/>
      <c r="HSL84" s="0"/>
      <c r="HSM84" s="0"/>
      <c r="HSN84" s="0"/>
      <c r="HSO84" s="0"/>
      <c r="HSP84" s="0"/>
      <c r="HSQ84" s="0"/>
      <c r="HSR84" s="0"/>
      <c r="HSS84" s="0"/>
      <c r="HST84" s="0"/>
      <c r="HSU84" s="0"/>
      <c r="HSV84" s="0"/>
      <c r="HSW84" s="0"/>
      <c r="HSX84" s="0"/>
      <c r="HSY84" s="0"/>
      <c r="HSZ84" s="0"/>
      <c r="HTA84" s="0"/>
      <c r="HTB84" s="0"/>
      <c r="HTC84" s="0"/>
      <c r="HTD84" s="0"/>
      <c r="HTE84" s="0"/>
      <c r="HTF84" s="0"/>
      <c r="HTG84" s="0"/>
      <c r="HTH84" s="0"/>
      <c r="HTI84" s="0"/>
      <c r="HTJ84" s="0"/>
      <c r="HTK84" s="0"/>
      <c r="HTL84" s="0"/>
      <c r="HTM84" s="0"/>
      <c r="HTN84" s="0"/>
      <c r="HTO84" s="0"/>
      <c r="HTP84" s="0"/>
      <c r="HTQ84" s="0"/>
      <c r="HTR84" s="0"/>
      <c r="HTS84" s="0"/>
      <c r="HTT84" s="0"/>
      <c r="HTU84" s="0"/>
      <c r="HTV84" s="0"/>
      <c r="HTW84" s="0"/>
      <c r="HTX84" s="0"/>
      <c r="HTY84" s="0"/>
      <c r="HTZ84" s="0"/>
      <c r="HUA84" s="0"/>
      <c r="HUB84" s="0"/>
      <c r="HUC84" s="0"/>
      <c r="HUD84" s="0"/>
      <c r="HUE84" s="0"/>
      <c r="HUF84" s="0"/>
      <c r="HUG84" s="0"/>
      <c r="HUH84" s="0"/>
      <c r="HUI84" s="0"/>
      <c r="HUJ84" s="0"/>
      <c r="HUK84" s="0"/>
      <c r="HUL84" s="0"/>
      <c r="HUM84" s="0"/>
      <c r="HUN84" s="0"/>
      <c r="HUO84" s="0"/>
      <c r="HUP84" s="0"/>
      <c r="HUQ84" s="0"/>
      <c r="HUR84" s="0"/>
      <c r="HUS84" s="0"/>
      <c r="HUT84" s="0"/>
      <c r="HUU84" s="0"/>
      <c r="HUV84" s="0"/>
      <c r="HUW84" s="0"/>
      <c r="HUX84" s="0"/>
      <c r="HUY84" s="0"/>
      <c r="HUZ84" s="0"/>
      <c r="HVA84" s="0"/>
      <c r="HVB84" s="0"/>
      <c r="HVC84" s="0"/>
      <c r="HVD84" s="0"/>
      <c r="HVE84" s="0"/>
      <c r="HVF84" s="0"/>
      <c r="HVG84" s="0"/>
      <c r="HVH84" s="0"/>
      <c r="HVI84" s="0"/>
      <c r="HVJ84" s="0"/>
      <c r="HVK84" s="0"/>
      <c r="HVL84" s="0"/>
      <c r="HVM84" s="0"/>
      <c r="HVN84" s="0"/>
      <c r="HVO84" s="0"/>
      <c r="HVP84" s="0"/>
      <c r="HVQ84" s="0"/>
      <c r="HVR84" s="0"/>
      <c r="HVS84" s="0"/>
      <c r="HVT84" s="0"/>
      <c r="HVU84" s="0"/>
      <c r="HVV84" s="0"/>
      <c r="HVW84" s="0"/>
      <c r="HVX84" s="0"/>
      <c r="HVY84" s="0"/>
      <c r="HVZ84" s="0"/>
      <c r="HWA84" s="0"/>
      <c r="HWB84" s="0"/>
      <c r="HWC84" s="0"/>
      <c r="HWD84" s="0"/>
      <c r="HWE84" s="0"/>
      <c r="HWF84" s="0"/>
      <c r="HWG84" s="0"/>
      <c r="HWH84" s="0"/>
      <c r="HWI84" s="0"/>
      <c r="HWJ84" s="0"/>
      <c r="HWK84" s="0"/>
      <c r="HWL84" s="0"/>
      <c r="HWM84" s="0"/>
      <c r="HWN84" s="0"/>
      <c r="HWO84" s="0"/>
      <c r="HWP84" s="0"/>
      <c r="HWQ84" s="0"/>
      <c r="HWR84" s="0"/>
      <c r="HWS84" s="0"/>
      <c r="HWT84" s="0"/>
      <c r="HWU84" s="0"/>
      <c r="HWV84" s="0"/>
      <c r="HWW84" s="0"/>
      <c r="HWX84" s="0"/>
      <c r="HWY84" s="0"/>
      <c r="HWZ84" s="0"/>
      <c r="HXA84" s="0"/>
      <c r="HXB84" s="0"/>
      <c r="HXC84" s="0"/>
      <c r="HXD84" s="0"/>
      <c r="HXE84" s="0"/>
      <c r="HXF84" s="0"/>
      <c r="HXG84" s="0"/>
      <c r="HXH84" s="0"/>
      <c r="HXI84" s="0"/>
      <c r="HXJ84" s="0"/>
      <c r="HXK84" s="0"/>
      <c r="HXL84" s="0"/>
      <c r="HXM84" s="0"/>
      <c r="HXN84" s="0"/>
      <c r="HXO84" s="0"/>
      <c r="HXP84" s="0"/>
      <c r="HXQ84" s="0"/>
      <c r="HXR84" s="0"/>
      <c r="HXS84" s="0"/>
      <c r="HXT84" s="0"/>
      <c r="HXU84" s="0"/>
      <c r="HXV84" s="0"/>
      <c r="HXW84" s="0"/>
      <c r="HXX84" s="0"/>
      <c r="HXY84" s="0"/>
      <c r="HXZ84" s="0"/>
      <c r="HYA84" s="0"/>
      <c r="HYB84" s="0"/>
      <c r="HYC84" s="0"/>
      <c r="HYD84" s="0"/>
      <c r="HYE84" s="0"/>
      <c r="HYF84" s="0"/>
      <c r="HYG84" s="0"/>
      <c r="HYH84" s="0"/>
      <c r="HYI84" s="0"/>
      <c r="HYJ84" s="0"/>
      <c r="HYK84" s="0"/>
      <c r="HYL84" s="0"/>
      <c r="HYM84" s="0"/>
      <c r="HYN84" s="0"/>
      <c r="HYO84" s="0"/>
      <c r="HYP84" s="0"/>
      <c r="HYQ84" s="0"/>
      <c r="HYR84" s="0"/>
      <c r="HYS84" s="0"/>
      <c r="HYT84" s="0"/>
      <c r="HYU84" s="0"/>
      <c r="HYV84" s="0"/>
      <c r="HYW84" s="0"/>
      <c r="HYX84" s="0"/>
      <c r="HYY84" s="0"/>
      <c r="HYZ84" s="0"/>
      <c r="HZA84" s="0"/>
      <c r="HZB84" s="0"/>
      <c r="HZC84" s="0"/>
      <c r="HZD84" s="0"/>
      <c r="HZE84" s="0"/>
      <c r="HZF84" s="0"/>
      <c r="HZG84" s="0"/>
      <c r="HZH84" s="0"/>
      <c r="HZI84" s="0"/>
      <c r="HZJ84" s="0"/>
      <c r="HZK84" s="0"/>
      <c r="HZL84" s="0"/>
      <c r="HZM84" s="0"/>
      <c r="HZN84" s="0"/>
      <c r="HZO84" s="0"/>
      <c r="HZP84" s="0"/>
      <c r="HZQ84" s="0"/>
      <c r="HZR84" s="0"/>
      <c r="HZS84" s="0"/>
      <c r="HZT84" s="0"/>
      <c r="HZU84" s="0"/>
      <c r="HZV84" s="0"/>
      <c r="HZW84" s="0"/>
      <c r="HZX84" s="0"/>
      <c r="HZY84" s="0"/>
      <c r="HZZ84" s="0"/>
      <c r="IAA84" s="0"/>
      <c r="IAB84" s="0"/>
      <c r="IAC84" s="0"/>
      <c r="IAD84" s="0"/>
      <c r="IAE84" s="0"/>
      <c r="IAF84" s="0"/>
      <c r="IAG84" s="0"/>
      <c r="IAH84" s="0"/>
      <c r="IAI84" s="0"/>
      <c r="IAJ84" s="0"/>
      <c r="IAK84" s="0"/>
      <c r="IAL84" s="0"/>
      <c r="IAM84" s="0"/>
      <c r="IAN84" s="0"/>
      <c r="IAO84" s="0"/>
      <c r="IAP84" s="0"/>
      <c r="IAQ84" s="0"/>
      <c r="IAR84" s="0"/>
      <c r="IAS84" s="0"/>
      <c r="IAT84" s="0"/>
      <c r="IAU84" s="0"/>
      <c r="IAV84" s="0"/>
      <c r="IAW84" s="0"/>
      <c r="IAX84" s="0"/>
      <c r="IAY84" s="0"/>
      <c r="IAZ84" s="0"/>
      <c r="IBA84" s="0"/>
      <c r="IBB84" s="0"/>
      <c r="IBC84" s="0"/>
      <c r="IBD84" s="0"/>
      <c r="IBE84" s="0"/>
      <c r="IBF84" s="0"/>
      <c r="IBG84" s="0"/>
      <c r="IBH84" s="0"/>
      <c r="IBI84" s="0"/>
      <c r="IBJ84" s="0"/>
      <c r="IBK84" s="0"/>
      <c r="IBL84" s="0"/>
      <c r="IBM84" s="0"/>
      <c r="IBN84" s="0"/>
      <c r="IBO84" s="0"/>
      <c r="IBP84" s="0"/>
      <c r="IBQ84" s="0"/>
      <c r="IBR84" s="0"/>
      <c r="IBS84" s="0"/>
      <c r="IBT84" s="0"/>
      <c r="IBU84" s="0"/>
      <c r="IBV84" s="0"/>
      <c r="IBW84" s="0"/>
      <c r="IBX84" s="0"/>
      <c r="IBY84" s="0"/>
      <c r="IBZ84" s="0"/>
      <c r="ICA84" s="0"/>
      <c r="ICB84" s="0"/>
      <c r="ICC84" s="0"/>
      <c r="ICD84" s="0"/>
      <c r="ICE84" s="0"/>
      <c r="ICF84" s="0"/>
      <c r="ICG84" s="0"/>
      <c r="ICH84" s="0"/>
      <c r="ICI84" s="0"/>
      <c r="ICJ84" s="0"/>
      <c r="ICK84" s="0"/>
      <c r="ICL84" s="0"/>
      <c r="ICM84" s="0"/>
      <c r="ICN84" s="0"/>
      <c r="ICO84" s="0"/>
      <c r="ICP84" s="0"/>
      <c r="ICQ84" s="0"/>
      <c r="ICR84" s="0"/>
      <c r="ICS84" s="0"/>
      <c r="ICT84" s="0"/>
      <c r="ICU84" s="0"/>
      <c r="ICV84" s="0"/>
      <c r="ICW84" s="0"/>
      <c r="ICX84" s="0"/>
      <c r="ICY84" s="0"/>
      <c r="ICZ84" s="0"/>
      <c r="IDA84" s="0"/>
      <c r="IDB84" s="0"/>
      <c r="IDC84" s="0"/>
      <c r="IDD84" s="0"/>
      <c r="IDE84" s="0"/>
      <c r="IDF84" s="0"/>
      <c r="IDG84" s="0"/>
      <c r="IDH84" s="0"/>
      <c r="IDI84" s="0"/>
      <c r="IDJ84" s="0"/>
      <c r="IDK84" s="0"/>
      <c r="IDL84" s="0"/>
      <c r="IDM84" s="0"/>
      <c r="IDN84" s="0"/>
      <c r="IDO84" s="0"/>
      <c r="IDP84" s="0"/>
      <c r="IDQ84" s="0"/>
      <c r="IDR84" s="0"/>
      <c r="IDS84" s="0"/>
      <c r="IDT84" s="0"/>
      <c r="IDU84" s="0"/>
      <c r="IDV84" s="0"/>
      <c r="IDW84" s="0"/>
      <c r="IDX84" s="0"/>
      <c r="IDY84" s="0"/>
      <c r="IDZ84" s="0"/>
      <c r="IEA84" s="0"/>
      <c r="IEB84" s="0"/>
      <c r="IEC84" s="0"/>
      <c r="IED84" s="0"/>
      <c r="IEE84" s="0"/>
      <c r="IEF84" s="0"/>
      <c r="IEG84" s="0"/>
      <c r="IEH84" s="0"/>
      <c r="IEI84" s="0"/>
      <c r="IEJ84" s="0"/>
      <c r="IEK84" s="0"/>
      <c r="IEL84" s="0"/>
      <c r="IEM84" s="0"/>
      <c r="IEN84" s="0"/>
      <c r="IEO84" s="0"/>
      <c r="IEP84" s="0"/>
      <c r="IEQ84" s="0"/>
      <c r="IER84" s="0"/>
      <c r="IES84" s="0"/>
      <c r="IET84" s="0"/>
      <c r="IEU84" s="0"/>
      <c r="IEV84" s="0"/>
      <c r="IEW84" s="0"/>
      <c r="IEX84" s="0"/>
      <c r="IEY84" s="0"/>
      <c r="IEZ84" s="0"/>
      <c r="IFA84" s="0"/>
      <c r="IFB84" s="0"/>
      <c r="IFC84" s="0"/>
      <c r="IFD84" s="0"/>
      <c r="IFE84" s="0"/>
      <c r="IFF84" s="0"/>
      <c r="IFG84" s="0"/>
      <c r="IFH84" s="0"/>
      <c r="IFI84" s="0"/>
      <c r="IFJ84" s="0"/>
      <c r="IFK84" s="0"/>
      <c r="IFL84" s="0"/>
      <c r="IFM84" s="0"/>
      <c r="IFN84" s="0"/>
      <c r="IFO84" s="0"/>
      <c r="IFP84" s="0"/>
      <c r="IFQ84" s="0"/>
      <c r="IFR84" s="0"/>
      <c r="IFS84" s="0"/>
      <c r="IFT84" s="0"/>
      <c r="IFU84" s="0"/>
      <c r="IFV84" s="0"/>
      <c r="IFW84" s="0"/>
      <c r="IFX84" s="0"/>
      <c r="IFY84" s="0"/>
      <c r="IFZ84" s="0"/>
      <c r="IGA84" s="0"/>
      <c r="IGB84" s="0"/>
      <c r="IGC84" s="0"/>
      <c r="IGD84" s="0"/>
      <c r="IGE84" s="0"/>
      <c r="IGF84" s="0"/>
      <c r="IGG84" s="0"/>
      <c r="IGH84" s="0"/>
      <c r="IGI84" s="0"/>
      <c r="IGJ84" s="0"/>
      <c r="IGK84" s="0"/>
      <c r="IGL84" s="0"/>
      <c r="IGM84" s="0"/>
      <c r="IGN84" s="0"/>
      <c r="IGO84" s="0"/>
      <c r="IGP84" s="0"/>
      <c r="IGQ84" s="0"/>
      <c r="IGR84" s="0"/>
      <c r="IGS84" s="0"/>
      <c r="IGT84" s="0"/>
      <c r="IGU84" s="0"/>
      <c r="IGV84" s="0"/>
      <c r="IGW84" s="0"/>
      <c r="IGX84" s="0"/>
      <c r="IGY84" s="0"/>
      <c r="IGZ84" s="0"/>
      <c r="IHA84" s="0"/>
      <c r="IHB84" s="0"/>
      <c r="IHC84" s="0"/>
      <c r="IHD84" s="0"/>
      <c r="IHE84" s="0"/>
      <c r="IHF84" s="0"/>
      <c r="IHG84" s="0"/>
      <c r="IHH84" s="0"/>
      <c r="IHI84" s="0"/>
      <c r="IHJ84" s="0"/>
      <c r="IHK84" s="0"/>
      <c r="IHL84" s="0"/>
      <c r="IHM84" s="0"/>
      <c r="IHN84" s="0"/>
      <c r="IHO84" s="0"/>
      <c r="IHP84" s="0"/>
      <c r="IHQ84" s="0"/>
      <c r="IHR84" s="0"/>
      <c r="IHS84" s="0"/>
      <c r="IHT84" s="0"/>
      <c r="IHU84" s="0"/>
      <c r="IHV84" s="0"/>
      <c r="IHW84" s="0"/>
      <c r="IHX84" s="0"/>
      <c r="IHY84" s="0"/>
      <c r="IHZ84" s="0"/>
      <c r="IIA84" s="0"/>
      <c r="IIB84" s="0"/>
      <c r="IIC84" s="0"/>
      <c r="IID84" s="0"/>
      <c r="IIE84" s="0"/>
      <c r="IIF84" s="0"/>
      <c r="IIG84" s="0"/>
      <c r="IIH84" s="0"/>
      <c r="III84" s="0"/>
      <c r="IIJ84" s="0"/>
      <c r="IIK84" s="0"/>
      <c r="IIL84" s="0"/>
      <c r="IIM84" s="0"/>
      <c r="IIN84" s="0"/>
      <c r="IIO84" s="0"/>
      <c r="IIP84" s="0"/>
      <c r="IIQ84" s="0"/>
      <c r="IIR84" s="0"/>
      <c r="IIS84" s="0"/>
      <c r="IIT84" s="0"/>
      <c r="IIU84" s="0"/>
      <c r="IIV84" s="0"/>
      <c r="IIW84" s="0"/>
      <c r="IIX84" s="0"/>
      <c r="IIY84" s="0"/>
      <c r="IIZ84" s="0"/>
      <c r="IJA84" s="0"/>
      <c r="IJB84" s="0"/>
      <c r="IJC84" s="0"/>
      <c r="IJD84" s="0"/>
      <c r="IJE84" s="0"/>
      <c r="IJF84" s="0"/>
      <c r="IJG84" s="0"/>
      <c r="IJH84" s="0"/>
      <c r="IJI84" s="0"/>
      <c r="IJJ84" s="0"/>
      <c r="IJK84" s="0"/>
      <c r="IJL84" s="0"/>
      <c r="IJM84" s="0"/>
      <c r="IJN84" s="0"/>
      <c r="IJO84" s="0"/>
      <c r="IJP84" s="0"/>
      <c r="IJQ84" s="0"/>
      <c r="IJR84" s="0"/>
      <c r="IJS84" s="0"/>
      <c r="IJT84" s="0"/>
      <c r="IJU84" s="0"/>
      <c r="IJV84" s="0"/>
      <c r="IJW84" s="0"/>
      <c r="IJX84" s="0"/>
      <c r="IJY84" s="0"/>
      <c r="IJZ84" s="0"/>
      <c r="IKA84" s="0"/>
      <c r="IKB84" s="0"/>
      <c r="IKC84" s="0"/>
      <c r="IKD84" s="0"/>
      <c r="IKE84" s="0"/>
      <c r="IKF84" s="0"/>
      <c r="IKG84" s="0"/>
      <c r="IKH84" s="0"/>
      <c r="IKI84" s="0"/>
      <c r="IKJ84" s="0"/>
      <c r="IKK84" s="0"/>
      <c r="IKL84" s="0"/>
      <c r="IKM84" s="0"/>
      <c r="IKN84" s="0"/>
      <c r="IKO84" s="0"/>
      <c r="IKP84" s="0"/>
      <c r="IKQ84" s="0"/>
      <c r="IKR84" s="0"/>
      <c r="IKS84" s="0"/>
      <c r="IKT84" s="0"/>
      <c r="IKU84" s="0"/>
      <c r="IKV84" s="0"/>
      <c r="IKW84" s="0"/>
      <c r="IKX84" s="0"/>
      <c r="IKY84" s="0"/>
      <c r="IKZ84" s="0"/>
      <c r="ILA84" s="0"/>
      <c r="ILB84" s="0"/>
      <c r="ILC84" s="0"/>
      <c r="ILD84" s="0"/>
      <c r="ILE84" s="0"/>
      <c r="ILF84" s="0"/>
      <c r="ILG84" s="0"/>
      <c r="ILH84" s="0"/>
      <c r="ILI84" s="0"/>
      <c r="ILJ84" s="0"/>
      <c r="ILK84" s="0"/>
      <c r="ILL84" s="0"/>
      <c r="ILM84" s="0"/>
      <c r="ILN84" s="0"/>
      <c r="ILO84" s="0"/>
      <c r="ILP84" s="0"/>
      <c r="ILQ84" s="0"/>
      <c r="ILR84" s="0"/>
      <c r="ILS84" s="0"/>
      <c r="ILT84" s="0"/>
      <c r="ILU84" s="0"/>
      <c r="ILV84" s="0"/>
      <c r="ILW84" s="0"/>
      <c r="ILX84" s="0"/>
      <c r="ILY84" s="0"/>
      <c r="ILZ84" s="0"/>
      <c r="IMA84" s="0"/>
      <c r="IMB84" s="0"/>
      <c r="IMC84" s="0"/>
      <c r="IMD84" s="0"/>
      <c r="IME84" s="0"/>
      <c r="IMF84" s="0"/>
      <c r="IMG84" s="0"/>
      <c r="IMH84" s="0"/>
      <c r="IMI84" s="0"/>
      <c r="IMJ84" s="0"/>
      <c r="IMK84" s="0"/>
      <c r="IML84" s="0"/>
      <c r="IMM84" s="0"/>
      <c r="IMN84" s="0"/>
      <c r="IMO84" s="0"/>
      <c r="IMP84" s="0"/>
      <c r="IMQ84" s="0"/>
      <c r="IMR84" s="0"/>
      <c r="IMS84" s="0"/>
      <c r="IMT84" s="0"/>
      <c r="IMU84" s="0"/>
      <c r="IMV84" s="0"/>
      <c r="IMW84" s="0"/>
      <c r="IMX84" s="0"/>
      <c r="IMY84" s="0"/>
      <c r="IMZ84" s="0"/>
      <c r="INA84" s="0"/>
      <c r="INB84" s="0"/>
      <c r="INC84" s="0"/>
      <c r="IND84" s="0"/>
      <c r="INE84" s="0"/>
      <c r="INF84" s="0"/>
      <c r="ING84" s="0"/>
      <c r="INH84" s="0"/>
      <c r="INI84" s="0"/>
      <c r="INJ84" s="0"/>
      <c r="INK84" s="0"/>
      <c r="INL84" s="0"/>
      <c r="INM84" s="0"/>
      <c r="INN84" s="0"/>
      <c r="INO84" s="0"/>
      <c r="INP84" s="0"/>
      <c r="INQ84" s="0"/>
      <c r="INR84" s="0"/>
      <c r="INS84" s="0"/>
      <c r="INT84" s="0"/>
      <c r="INU84" s="0"/>
      <c r="INV84" s="0"/>
      <c r="INW84" s="0"/>
      <c r="INX84" s="0"/>
      <c r="INY84" s="0"/>
      <c r="INZ84" s="0"/>
      <c r="IOA84" s="0"/>
      <c r="IOB84" s="0"/>
      <c r="IOC84" s="0"/>
      <c r="IOD84" s="0"/>
      <c r="IOE84" s="0"/>
      <c r="IOF84" s="0"/>
      <c r="IOG84" s="0"/>
      <c r="IOH84" s="0"/>
      <c r="IOI84" s="0"/>
      <c r="IOJ84" s="0"/>
      <c r="IOK84" s="0"/>
      <c r="IOL84" s="0"/>
      <c r="IOM84" s="0"/>
      <c r="ION84" s="0"/>
      <c r="IOO84" s="0"/>
      <c r="IOP84" s="0"/>
      <c r="IOQ84" s="0"/>
      <c r="IOR84" s="0"/>
      <c r="IOS84" s="0"/>
      <c r="IOT84" s="0"/>
      <c r="IOU84" s="0"/>
      <c r="IOV84" s="0"/>
      <c r="IOW84" s="0"/>
      <c r="IOX84" s="0"/>
      <c r="IOY84" s="0"/>
      <c r="IOZ84" s="0"/>
      <c r="IPA84" s="0"/>
      <c r="IPB84" s="0"/>
      <c r="IPC84" s="0"/>
      <c r="IPD84" s="0"/>
      <c r="IPE84" s="0"/>
      <c r="IPF84" s="0"/>
      <c r="IPG84" s="0"/>
      <c r="IPH84" s="0"/>
      <c r="IPI84" s="0"/>
      <c r="IPJ84" s="0"/>
      <c r="IPK84" s="0"/>
      <c r="IPL84" s="0"/>
      <c r="IPM84" s="0"/>
      <c r="IPN84" s="0"/>
      <c r="IPO84" s="0"/>
      <c r="IPP84" s="0"/>
      <c r="IPQ84" s="0"/>
      <c r="IPR84" s="0"/>
      <c r="IPS84" s="0"/>
      <c r="IPT84" s="0"/>
      <c r="IPU84" s="0"/>
      <c r="IPV84" s="0"/>
      <c r="IPW84" s="0"/>
      <c r="IPX84" s="0"/>
      <c r="IPY84" s="0"/>
      <c r="IPZ84" s="0"/>
      <c r="IQA84" s="0"/>
      <c r="IQB84" s="0"/>
      <c r="IQC84" s="0"/>
      <c r="IQD84" s="0"/>
      <c r="IQE84" s="0"/>
      <c r="IQF84" s="0"/>
      <c r="IQG84" s="0"/>
      <c r="IQH84" s="0"/>
      <c r="IQI84" s="0"/>
      <c r="IQJ84" s="0"/>
      <c r="IQK84" s="0"/>
      <c r="IQL84" s="0"/>
      <c r="IQM84" s="0"/>
      <c r="IQN84" s="0"/>
      <c r="IQO84" s="0"/>
      <c r="IQP84" s="0"/>
      <c r="IQQ84" s="0"/>
      <c r="IQR84" s="0"/>
      <c r="IQS84" s="0"/>
      <c r="IQT84" s="0"/>
      <c r="IQU84" s="0"/>
      <c r="IQV84" s="0"/>
      <c r="IQW84" s="0"/>
      <c r="IQX84" s="0"/>
      <c r="IQY84" s="0"/>
      <c r="IQZ84" s="0"/>
      <c r="IRA84" s="0"/>
      <c r="IRB84" s="0"/>
      <c r="IRC84" s="0"/>
      <c r="IRD84" s="0"/>
      <c r="IRE84" s="0"/>
      <c r="IRF84" s="0"/>
      <c r="IRG84" s="0"/>
      <c r="IRH84" s="0"/>
      <c r="IRI84" s="0"/>
      <c r="IRJ84" s="0"/>
      <c r="IRK84" s="0"/>
      <c r="IRL84" s="0"/>
      <c r="IRM84" s="0"/>
      <c r="IRN84" s="0"/>
      <c r="IRO84" s="0"/>
      <c r="IRP84" s="0"/>
      <c r="IRQ84" s="0"/>
      <c r="IRR84" s="0"/>
      <c r="IRS84" s="0"/>
      <c r="IRT84" s="0"/>
      <c r="IRU84" s="0"/>
      <c r="IRV84" s="0"/>
      <c r="IRW84" s="0"/>
      <c r="IRX84" s="0"/>
      <c r="IRY84" s="0"/>
      <c r="IRZ84" s="0"/>
      <c r="ISA84" s="0"/>
      <c r="ISB84" s="0"/>
      <c r="ISC84" s="0"/>
      <c r="ISD84" s="0"/>
      <c r="ISE84" s="0"/>
      <c r="ISF84" s="0"/>
      <c r="ISG84" s="0"/>
      <c r="ISH84" s="0"/>
      <c r="ISI84" s="0"/>
      <c r="ISJ84" s="0"/>
      <c r="ISK84" s="0"/>
      <c r="ISL84" s="0"/>
      <c r="ISM84" s="0"/>
      <c r="ISN84" s="0"/>
      <c r="ISO84" s="0"/>
      <c r="ISP84" s="0"/>
      <c r="ISQ84" s="0"/>
      <c r="ISR84" s="0"/>
      <c r="ISS84" s="0"/>
      <c r="IST84" s="0"/>
      <c r="ISU84" s="0"/>
      <c r="ISV84" s="0"/>
      <c r="ISW84" s="0"/>
      <c r="ISX84" s="0"/>
      <c r="ISY84" s="0"/>
      <c r="ISZ84" s="0"/>
      <c r="ITA84" s="0"/>
      <c r="ITB84" s="0"/>
      <c r="ITC84" s="0"/>
      <c r="ITD84" s="0"/>
      <c r="ITE84" s="0"/>
      <c r="ITF84" s="0"/>
      <c r="ITG84" s="0"/>
      <c r="ITH84" s="0"/>
      <c r="ITI84" s="0"/>
      <c r="ITJ84" s="0"/>
      <c r="ITK84" s="0"/>
      <c r="ITL84" s="0"/>
      <c r="ITM84" s="0"/>
      <c r="ITN84" s="0"/>
      <c r="ITO84" s="0"/>
      <c r="ITP84" s="0"/>
      <c r="ITQ84" s="0"/>
      <c r="ITR84" s="0"/>
      <c r="ITS84" s="0"/>
      <c r="ITT84" s="0"/>
      <c r="ITU84" s="0"/>
      <c r="ITV84" s="0"/>
      <c r="ITW84" s="0"/>
      <c r="ITX84" s="0"/>
      <c r="ITY84" s="0"/>
      <c r="ITZ84" s="0"/>
      <c r="IUA84" s="0"/>
      <c r="IUB84" s="0"/>
      <c r="IUC84" s="0"/>
      <c r="IUD84" s="0"/>
      <c r="IUE84" s="0"/>
      <c r="IUF84" s="0"/>
      <c r="IUG84" s="0"/>
      <c r="IUH84" s="0"/>
      <c r="IUI84" s="0"/>
      <c r="IUJ84" s="0"/>
      <c r="IUK84" s="0"/>
      <c r="IUL84" s="0"/>
      <c r="IUM84" s="0"/>
      <c r="IUN84" s="0"/>
      <c r="IUO84" s="0"/>
      <c r="IUP84" s="0"/>
      <c r="IUQ84" s="0"/>
      <c r="IUR84" s="0"/>
      <c r="IUS84" s="0"/>
      <c r="IUT84" s="0"/>
      <c r="IUU84" s="0"/>
      <c r="IUV84" s="0"/>
      <c r="IUW84" s="0"/>
      <c r="IUX84" s="0"/>
      <c r="IUY84" s="0"/>
      <c r="IUZ84" s="0"/>
      <c r="IVA84" s="0"/>
      <c r="IVB84" s="0"/>
      <c r="IVC84" s="0"/>
      <c r="IVD84" s="0"/>
      <c r="IVE84" s="0"/>
      <c r="IVF84" s="0"/>
      <c r="IVG84" s="0"/>
      <c r="IVH84" s="0"/>
      <c r="IVI84" s="0"/>
      <c r="IVJ84" s="0"/>
      <c r="IVK84" s="0"/>
      <c r="IVL84" s="0"/>
      <c r="IVM84" s="0"/>
      <c r="IVN84" s="0"/>
      <c r="IVO84" s="0"/>
      <c r="IVP84" s="0"/>
      <c r="IVQ84" s="0"/>
      <c r="IVR84" s="0"/>
      <c r="IVS84" s="0"/>
      <c r="IVT84" s="0"/>
      <c r="IVU84" s="0"/>
      <c r="IVV84" s="0"/>
      <c r="IVW84" s="0"/>
      <c r="IVX84" s="0"/>
      <c r="IVY84" s="0"/>
      <c r="IVZ84" s="0"/>
      <c r="IWA84" s="0"/>
      <c r="IWB84" s="0"/>
      <c r="IWC84" s="0"/>
      <c r="IWD84" s="0"/>
      <c r="IWE84" s="0"/>
      <c r="IWF84" s="0"/>
      <c r="IWG84" s="0"/>
      <c r="IWH84" s="0"/>
      <c r="IWI84" s="0"/>
      <c r="IWJ84" s="0"/>
      <c r="IWK84" s="0"/>
      <c r="IWL84" s="0"/>
      <c r="IWM84" s="0"/>
      <c r="IWN84" s="0"/>
      <c r="IWO84" s="0"/>
      <c r="IWP84" s="0"/>
      <c r="IWQ84" s="0"/>
      <c r="IWR84" s="0"/>
      <c r="IWS84" s="0"/>
      <c r="IWT84" s="0"/>
      <c r="IWU84" s="0"/>
      <c r="IWV84" s="0"/>
      <c r="IWW84" s="0"/>
      <c r="IWX84" s="0"/>
      <c r="IWY84" s="0"/>
      <c r="IWZ84" s="0"/>
      <c r="IXA84" s="0"/>
      <c r="IXB84" s="0"/>
      <c r="IXC84" s="0"/>
      <c r="IXD84" s="0"/>
      <c r="IXE84" s="0"/>
      <c r="IXF84" s="0"/>
      <c r="IXG84" s="0"/>
      <c r="IXH84" s="0"/>
      <c r="IXI84" s="0"/>
      <c r="IXJ84" s="0"/>
      <c r="IXK84" s="0"/>
      <c r="IXL84" s="0"/>
      <c r="IXM84" s="0"/>
      <c r="IXN84" s="0"/>
      <c r="IXO84" s="0"/>
      <c r="IXP84" s="0"/>
      <c r="IXQ84" s="0"/>
      <c r="IXR84" s="0"/>
      <c r="IXS84" s="0"/>
      <c r="IXT84" s="0"/>
      <c r="IXU84" s="0"/>
      <c r="IXV84" s="0"/>
      <c r="IXW84" s="0"/>
      <c r="IXX84" s="0"/>
      <c r="IXY84" s="0"/>
      <c r="IXZ84" s="0"/>
      <c r="IYA84" s="0"/>
      <c r="IYB84" s="0"/>
      <c r="IYC84" s="0"/>
      <c r="IYD84" s="0"/>
      <c r="IYE84" s="0"/>
      <c r="IYF84" s="0"/>
      <c r="IYG84" s="0"/>
      <c r="IYH84" s="0"/>
      <c r="IYI84" s="0"/>
      <c r="IYJ84" s="0"/>
      <c r="IYK84" s="0"/>
      <c r="IYL84" s="0"/>
      <c r="IYM84" s="0"/>
      <c r="IYN84" s="0"/>
      <c r="IYO84" s="0"/>
      <c r="IYP84" s="0"/>
      <c r="IYQ84" s="0"/>
      <c r="IYR84" s="0"/>
      <c r="IYS84" s="0"/>
      <c r="IYT84" s="0"/>
      <c r="IYU84" s="0"/>
      <c r="IYV84" s="0"/>
      <c r="IYW84" s="0"/>
      <c r="IYX84" s="0"/>
      <c r="IYY84" s="0"/>
      <c r="IYZ84" s="0"/>
      <c r="IZA84" s="0"/>
      <c r="IZB84" s="0"/>
      <c r="IZC84" s="0"/>
      <c r="IZD84" s="0"/>
      <c r="IZE84" s="0"/>
      <c r="IZF84" s="0"/>
      <c r="IZG84" s="0"/>
      <c r="IZH84" s="0"/>
      <c r="IZI84" s="0"/>
      <c r="IZJ84" s="0"/>
      <c r="IZK84" s="0"/>
      <c r="IZL84" s="0"/>
      <c r="IZM84" s="0"/>
      <c r="IZN84" s="0"/>
      <c r="IZO84" s="0"/>
      <c r="IZP84" s="0"/>
      <c r="IZQ84" s="0"/>
      <c r="IZR84" s="0"/>
      <c r="IZS84" s="0"/>
      <c r="IZT84" s="0"/>
      <c r="IZU84" s="0"/>
      <c r="IZV84" s="0"/>
      <c r="IZW84" s="0"/>
      <c r="IZX84" s="0"/>
      <c r="IZY84" s="0"/>
      <c r="IZZ84" s="0"/>
      <c r="JAA84" s="0"/>
      <c r="JAB84" s="0"/>
      <c r="JAC84" s="0"/>
      <c r="JAD84" s="0"/>
      <c r="JAE84" s="0"/>
      <c r="JAF84" s="0"/>
      <c r="JAG84" s="0"/>
      <c r="JAH84" s="0"/>
      <c r="JAI84" s="0"/>
      <c r="JAJ84" s="0"/>
      <c r="JAK84" s="0"/>
      <c r="JAL84" s="0"/>
      <c r="JAM84" s="0"/>
      <c r="JAN84" s="0"/>
      <c r="JAO84" s="0"/>
      <c r="JAP84" s="0"/>
      <c r="JAQ84" s="0"/>
      <c r="JAR84" s="0"/>
      <c r="JAS84" s="0"/>
      <c r="JAT84" s="0"/>
      <c r="JAU84" s="0"/>
      <c r="JAV84" s="0"/>
      <c r="JAW84" s="0"/>
      <c r="JAX84" s="0"/>
      <c r="JAY84" s="0"/>
      <c r="JAZ84" s="0"/>
      <c r="JBA84" s="0"/>
      <c r="JBB84" s="0"/>
      <c r="JBC84" s="0"/>
      <c r="JBD84" s="0"/>
      <c r="JBE84" s="0"/>
      <c r="JBF84" s="0"/>
      <c r="JBG84" s="0"/>
      <c r="JBH84" s="0"/>
      <c r="JBI84" s="0"/>
      <c r="JBJ84" s="0"/>
      <c r="JBK84" s="0"/>
      <c r="JBL84" s="0"/>
      <c r="JBM84" s="0"/>
      <c r="JBN84" s="0"/>
      <c r="JBO84" s="0"/>
      <c r="JBP84" s="0"/>
      <c r="JBQ84" s="0"/>
      <c r="JBR84" s="0"/>
      <c r="JBS84" s="0"/>
      <c r="JBT84" s="0"/>
      <c r="JBU84" s="0"/>
      <c r="JBV84" s="0"/>
      <c r="JBW84" s="0"/>
      <c r="JBX84" s="0"/>
      <c r="JBY84" s="0"/>
      <c r="JBZ84" s="0"/>
      <c r="JCA84" s="0"/>
      <c r="JCB84" s="0"/>
      <c r="JCC84" s="0"/>
      <c r="JCD84" s="0"/>
      <c r="JCE84" s="0"/>
      <c r="JCF84" s="0"/>
      <c r="JCG84" s="0"/>
      <c r="JCH84" s="0"/>
      <c r="JCI84" s="0"/>
      <c r="JCJ84" s="0"/>
      <c r="JCK84" s="0"/>
      <c r="JCL84" s="0"/>
      <c r="JCM84" s="0"/>
      <c r="JCN84" s="0"/>
      <c r="JCO84" s="0"/>
      <c r="JCP84" s="0"/>
      <c r="JCQ84" s="0"/>
      <c r="JCR84" s="0"/>
      <c r="JCS84" s="0"/>
      <c r="JCT84" s="0"/>
      <c r="JCU84" s="0"/>
      <c r="JCV84" s="0"/>
      <c r="JCW84" s="0"/>
      <c r="JCX84" s="0"/>
      <c r="JCY84" s="0"/>
      <c r="JCZ84" s="0"/>
      <c r="JDA84" s="0"/>
      <c r="JDB84" s="0"/>
      <c r="JDC84" s="0"/>
      <c r="JDD84" s="0"/>
      <c r="JDE84" s="0"/>
      <c r="JDF84" s="0"/>
      <c r="JDG84" s="0"/>
      <c r="JDH84" s="0"/>
      <c r="JDI84" s="0"/>
      <c r="JDJ84" s="0"/>
      <c r="JDK84" s="0"/>
      <c r="JDL84" s="0"/>
      <c r="JDM84" s="0"/>
      <c r="JDN84" s="0"/>
      <c r="JDO84" s="0"/>
      <c r="JDP84" s="0"/>
      <c r="JDQ84" s="0"/>
      <c r="JDR84" s="0"/>
      <c r="JDS84" s="0"/>
      <c r="JDT84" s="0"/>
      <c r="JDU84" s="0"/>
      <c r="JDV84" s="0"/>
      <c r="JDW84" s="0"/>
      <c r="JDX84" s="0"/>
      <c r="JDY84" s="0"/>
      <c r="JDZ84" s="0"/>
      <c r="JEA84" s="0"/>
      <c r="JEB84" s="0"/>
      <c r="JEC84" s="0"/>
      <c r="JED84" s="0"/>
      <c r="JEE84" s="0"/>
      <c r="JEF84" s="0"/>
      <c r="JEG84" s="0"/>
      <c r="JEH84" s="0"/>
      <c r="JEI84" s="0"/>
      <c r="JEJ84" s="0"/>
      <c r="JEK84" s="0"/>
      <c r="JEL84" s="0"/>
      <c r="JEM84" s="0"/>
      <c r="JEN84" s="0"/>
      <c r="JEO84" s="0"/>
      <c r="JEP84" s="0"/>
      <c r="JEQ84" s="0"/>
      <c r="JER84" s="0"/>
      <c r="JES84" s="0"/>
      <c r="JET84" s="0"/>
      <c r="JEU84" s="0"/>
      <c r="JEV84" s="0"/>
      <c r="JEW84" s="0"/>
      <c r="JEX84" s="0"/>
      <c r="JEY84" s="0"/>
      <c r="JEZ84" s="0"/>
      <c r="JFA84" s="0"/>
      <c r="JFB84" s="0"/>
      <c r="JFC84" s="0"/>
      <c r="JFD84" s="0"/>
      <c r="JFE84" s="0"/>
      <c r="JFF84" s="0"/>
      <c r="JFG84" s="0"/>
      <c r="JFH84" s="0"/>
      <c r="JFI84" s="0"/>
      <c r="JFJ84" s="0"/>
      <c r="JFK84" s="0"/>
      <c r="JFL84" s="0"/>
      <c r="JFM84" s="0"/>
      <c r="JFN84" s="0"/>
      <c r="JFO84" s="0"/>
      <c r="JFP84" s="0"/>
      <c r="JFQ84" s="0"/>
      <c r="JFR84" s="0"/>
      <c r="JFS84" s="0"/>
      <c r="JFT84" s="0"/>
      <c r="JFU84" s="0"/>
      <c r="JFV84" s="0"/>
      <c r="JFW84" s="0"/>
      <c r="JFX84" s="0"/>
      <c r="JFY84" s="0"/>
      <c r="JFZ84" s="0"/>
      <c r="JGA84" s="0"/>
      <c r="JGB84" s="0"/>
      <c r="JGC84" s="0"/>
      <c r="JGD84" s="0"/>
      <c r="JGE84" s="0"/>
      <c r="JGF84" s="0"/>
      <c r="JGG84" s="0"/>
      <c r="JGH84" s="0"/>
      <c r="JGI84" s="0"/>
      <c r="JGJ84" s="0"/>
      <c r="JGK84" s="0"/>
      <c r="JGL84" s="0"/>
      <c r="JGM84" s="0"/>
      <c r="JGN84" s="0"/>
      <c r="JGO84" s="0"/>
      <c r="JGP84" s="0"/>
      <c r="JGQ84" s="0"/>
      <c r="JGR84" s="0"/>
      <c r="JGS84" s="0"/>
      <c r="JGT84" s="0"/>
      <c r="JGU84" s="0"/>
      <c r="JGV84" s="0"/>
      <c r="JGW84" s="0"/>
      <c r="JGX84" s="0"/>
      <c r="JGY84" s="0"/>
      <c r="JGZ84" s="0"/>
      <c r="JHA84" s="0"/>
      <c r="JHB84" s="0"/>
      <c r="JHC84" s="0"/>
      <c r="JHD84" s="0"/>
      <c r="JHE84" s="0"/>
      <c r="JHF84" s="0"/>
      <c r="JHG84" s="0"/>
      <c r="JHH84" s="0"/>
      <c r="JHI84" s="0"/>
      <c r="JHJ84" s="0"/>
      <c r="JHK84" s="0"/>
      <c r="JHL84" s="0"/>
      <c r="JHM84" s="0"/>
      <c r="JHN84" s="0"/>
      <c r="JHO84" s="0"/>
      <c r="JHP84" s="0"/>
      <c r="JHQ84" s="0"/>
      <c r="JHR84" s="0"/>
      <c r="JHS84" s="0"/>
      <c r="JHT84" s="0"/>
      <c r="JHU84" s="0"/>
      <c r="JHV84" s="0"/>
      <c r="JHW84" s="0"/>
      <c r="JHX84" s="0"/>
      <c r="JHY84" s="0"/>
      <c r="JHZ84" s="0"/>
      <c r="JIA84" s="0"/>
      <c r="JIB84" s="0"/>
      <c r="JIC84" s="0"/>
      <c r="JID84" s="0"/>
      <c r="JIE84" s="0"/>
      <c r="JIF84" s="0"/>
      <c r="JIG84" s="0"/>
      <c r="JIH84" s="0"/>
      <c r="JII84" s="0"/>
      <c r="JIJ84" s="0"/>
      <c r="JIK84" s="0"/>
      <c r="JIL84" s="0"/>
      <c r="JIM84" s="0"/>
      <c r="JIN84" s="0"/>
      <c r="JIO84" s="0"/>
      <c r="JIP84" s="0"/>
      <c r="JIQ84" s="0"/>
      <c r="JIR84" s="0"/>
      <c r="JIS84" s="0"/>
      <c r="JIT84" s="0"/>
      <c r="JIU84" s="0"/>
      <c r="JIV84" s="0"/>
      <c r="JIW84" s="0"/>
      <c r="JIX84" s="0"/>
      <c r="JIY84" s="0"/>
      <c r="JIZ84" s="0"/>
      <c r="JJA84" s="0"/>
      <c r="JJB84" s="0"/>
      <c r="JJC84" s="0"/>
      <c r="JJD84" s="0"/>
      <c r="JJE84" s="0"/>
      <c r="JJF84" s="0"/>
      <c r="JJG84" s="0"/>
      <c r="JJH84" s="0"/>
      <c r="JJI84" s="0"/>
      <c r="JJJ84" s="0"/>
      <c r="JJK84" s="0"/>
      <c r="JJL84" s="0"/>
      <c r="JJM84" s="0"/>
      <c r="JJN84" s="0"/>
      <c r="JJO84" s="0"/>
      <c r="JJP84" s="0"/>
      <c r="JJQ84" s="0"/>
      <c r="JJR84" s="0"/>
      <c r="JJS84" s="0"/>
      <c r="JJT84" s="0"/>
      <c r="JJU84" s="0"/>
      <c r="JJV84" s="0"/>
      <c r="JJW84" s="0"/>
      <c r="JJX84" s="0"/>
      <c r="JJY84" s="0"/>
      <c r="JJZ84" s="0"/>
      <c r="JKA84" s="0"/>
      <c r="JKB84" s="0"/>
      <c r="JKC84" s="0"/>
      <c r="JKD84" s="0"/>
      <c r="JKE84" s="0"/>
      <c r="JKF84" s="0"/>
      <c r="JKG84" s="0"/>
      <c r="JKH84" s="0"/>
      <c r="JKI84" s="0"/>
      <c r="JKJ84" s="0"/>
      <c r="JKK84" s="0"/>
      <c r="JKL84" s="0"/>
      <c r="JKM84" s="0"/>
      <c r="JKN84" s="0"/>
      <c r="JKO84" s="0"/>
      <c r="JKP84" s="0"/>
      <c r="JKQ84" s="0"/>
      <c r="JKR84" s="0"/>
      <c r="JKS84" s="0"/>
      <c r="JKT84" s="0"/>
      <c r="JKU84" s="0"/>
      <c r="JKV84" s="0"/>
      <c r="JKW84" s="0"/>
      <c r="JKX84" s="0"/>
      <c r="JKY84" s="0"/>
      <c r="JKZ84" s="0"/>
      <c r="JLA84" s="0"/>
      <c r="JLB84" s="0"/>
      <c r="JLC84" s="0"/>
      <c r="JLD84" s="0"/>
      <c r="JLE84" s="0"/>
      <c r="JLF84" s="0"/>
      <c r="JLG84" s="0"/>
      <c r="JLH84" s="0"/>
      <c r="JLI84" s="0"/>
      <c r="JLJ84" s="0"/>
      <c r="JLK84" s="0"/>
      <c r="JLL84" s="0"/>
      <c r="JLM84" s="0"/>
      <c r="JLN84" s="0"/>
      <c r="JLO84" s="0"/>
      <c r="JLP84" s="0"/>
      <c r="JLQ84" s="0"/>
      <c r="JLR84" s="0"/>
      <c r="JLS84" s="0"/>
      <c r="JLT84" s="0"/>
      <c r="JLU84" s="0"/>
      <c r="JLV84" s="0"/>
      <c r="JLW84" s="0"/>
      <c r="JLX84" s="0"/>
      <c r="JLY84" s="0"/>
      <c r="JLZ84" s="0"/>
      <c r="JMA84" s="0"/>
      <c r="JMB84" s="0"/>
      <c r="JMC84" s="0"/>
      <c r="JMD84" s="0"/>
      <c r="JME84" s="0"/>
      <c r="JMF84" s="0"/>
      <c r="JMG84" s="0"/>
      <c r="JMH84" s="0"/>
      <c r="JMI84" s="0"/>
      <c r="JMJ84" s="0"/>
      <c r="JMK84" s="0"/>
      <c r="JML84" s="0"/>
      <c r="JMM84" s="0"/>
      <c r="JMN84" s="0"/>
      <c r="JMO84" s="0"/>
      <c r="JMP84" s="0"/>
      <c r="JMQ84" s="0"/>
      <c r="JMR84" s="0"/>
      <c r="JMS84" s="0"/>
      <c r="JMT84" s="0"/>
      <c r="JMU84" s="0"/>
      <c r="JMV84" s="0"/>
      <c r="JMW84" s="0"/>
      <c r="JMX84" s="0"/>
      <c r="JMY84" s="0"/>
      <c r="JMZ84" s="0"/>
      <c r="JNA84" s="0"/>
      <c r="JNB84" s="0"/>
      <c r="JNC84" s="0"/>
      <c r="JND84" s="0"/>
      <c r="JNE84" s="0"/>
      <c r="JNF84" s="0"/>
      <c r="JNG84" s="0"/>
      <c r="JNH84" s="0"/>
      <c r="JNI84" s="0"/>
      <c r="JNJ84" s="0"/>
      <c r="JNK84" s="0"/>
      <c r="JNL84" s="0"/>
      <c r="JNM84" s="0"/>
      <c r="JNN84" s="0"/>
      <c r="JNO84" s="0"/>
      <c r="JNP84" s="0"/>
      <c r="JNQ84" s="0"/>
      <c r="JNR84" s="0"/>
      <c r="JNS84" s="0"/>
      <c r="JNT84" s="0"/>
      <c r="JNU84" s="0"/>
      <c r="JNV84" s="0"/>
      <c r="JNW84" s="0"/>
      <c r="JNX84" s="0"/>
      <c r="JNY84" s="0"/>
      <c r="JNZ84" s="0"/>
      <c r="JOA84" s="0"/>
      <c r="JOB84" s="0"/>
      <c r="JOC84" s="0"/>
      <c r="JOD84" s="0"/>
      <c r="JOE84" s="0"/>
      <c r="JOF84" s="0"/>
      <c r="JOG84" s="0"/>
      <c r="JOH84" s="0"/>
      <c r="JOI84" s="0"/>
      <c r="JOJ84" s="0"/>
      <c r="JOK84" s="0"/>
      <c r="JOL84" s="0"/>
      <c r="JOM84" s="0"/>
      <c r="JON84" s="0"/>
      <c r="JOO84" s="0"/>
      <c r="JOP84" s="0"/>
      <c r="JOQ84" s="0"/>
      <c r="JOR84" s="0"/>
      <c r="JOS84" s="0"/>
      <c r="JOT84" s="0"/>
      <c r="JOU84" s="0"/>
      <c r="JOV84" s="0"/>
      <c r="JOW84" s="0"/>
      <c r="JOX84" s="0"/>
      <c r="JOY84" s="0"/>
      <c r="JOZ84" s="0"/>
      <c r="JPA84" s="0"/>
      <c r="JPB84" s="0"/>
      <c r="JPC84" s="0"/>
      <c r="JPD84" s="0"/>
      <c r="JPE84" s="0"/>
      <c r="JPF84" s="0"/>
      <c r="JPG84" s="0"/>
      <c r="JPH84" s="0"/>
      <c r="JPI84" s="0"/>
      <c r="JPJ84" s="0"/>
      <c r="JPK84" s="0"/>
      <c r="JPL84" s="0"/>
      <c r="JPM84" s="0"/>
      <c r="JPN84" s="0"/>
      <c r="JPO84" s="0"/>
      <c r="JPP84" s="0"/>
      <c r="JPQ84" s="0"/>
      <c r="JPR84" s="0"/>
      <c r="JPS84" s="0"/>
      <c r="JPT84" s="0"/>
      <c r="JPU84" s="0"/>
      <c r="JPV84" s="0"/>
      <c r="JPW84" s="0"/>
      <c r="JPX84" s="0"/>
      <c r="JPY84" s="0"/>
      <c r="JPZ84" s="0"/>
      <c r="JQA84" s="0"/>
      <c r="JQB84" s="0"/>
      <c r="JQC84" s="0"/>
      <c r="JQD84" s="0"/>
      <c r="JQE84" s="0"/>
      <c r="JQF84" s="0"/>
      <c r="JQG84" s="0"/>
      <c r="JQH84" s="0"/>
      <c r="JQI84" s="0"/>
      <c r="JQJ84" s="0"/>
      <c r="JQK84" s="0"/>
      <c r="JQL84" s="0"/>
      <c r="JQM84" s="0"/>
      <c r="JQN84" s="0"/>
      <c r="JQO84" s="0"/>
      <c r="JQP84" s="0"/>
      <c r="JQQ84" s="0"/>
      <c r="JQR84" s="0"/>
      <c r="JQS84" s="0"/>
      <c r="JQT84" s="0"/>
      <c r="JQU84" s="0"/>
      <c r="JQV84" s="0"/>
      <c r="JQW84" s="0"/>
      <c r="JQX84" s="0"/>
      <c r="JQY84" s="0"/>
      <c r="JQZ84" s="0"/>
      <c r="JRA84" s="0"/>
      <c r="JRB84" s="0"/>
      <c r="JRC84" s="0"/>
      <c r="JRD84" s="0"/>
      <c r="JRE84" s="0"/>
      <c r="JRF84" s="0"/>
      <c r="JRG84" s="0"/>
      <c r="JRH84" s="0"/>
      <c r="JRI84" s="0"/>
      <c r="JRJ84" s="0"/>
      <c r="JRK84" s="0"/>
      <c r="JRL84" s="0"/>
      <c r="JRM84" s="0"/>
      <c r="JRN84" s="0"/>
      <c r="JRO84" s="0"/>
      <c r="JRP84" s="0"/>
      <c r="JRQ84" s="0"/>
      <c r="JRR84" s="0"/>
      <c r="JRS84" s="0"/>
      <c r="JRT84" s="0"/>
      <c r="JRU84" s="0"/>
      <c r="JRV84" s="0"/>
      <c r="JRW84" s="0"/>
      <c r="JRX84" s="0"/>
      <c r="JRY84" s="0"/>
      <c r="JRZ84" s="0"/>
      <c r="JSA84" s="0"/>
      <c r="JSB84" s="0"/>
      <c r="JSC84" s="0"/>
      <c r="JSD84" s="0"/>
      <c r="JSE84" s="0"/>
      <c r="JSF84" s="0"/>
      <c r="JSG84" s="0"/>
      <c r="JSH84" s="0"/>
      <c r="JSI84" s="0"/>
      <c r="JSJ84" s="0"/>
      <c r="JSK84" s="0"/>
      <c r="JSL84" s="0"/>
      <c r="JSM84" s="0"/>
      <c r="JSN84" s="0"/>
      <c r="JSO84" s="0"/>
      <c r="JSP84" s="0"/>
      <c r="JSQ84" s="0"/>
      <c r="JSR84" s="0"/>
      <c r="JSS84" s="0"/>
      <c r="JST84" s="0"/>
      <c r="JSU84" s="0"/>
      <c r="JSV84" s="0"/>
      <c r="JSW84" s="0"/>
      <c r="JSX84" s="0"/>
      <c r="JSY84" s="0"/>
      <c r="JSZ84" s="0"/>
      <c r="JTA84" s="0"/>
      <c r="JTB84" s="0"/>
      <c r="JTC84" s="0"/>
      <c r="JTD84" s="0"/>
      <c r="JTE84" s="0"/>
      <c r="JTF84" s="0"/>
      <c r="JTG84" s="0"/>
      <c r="JTH84" s="0"/>
      <c r="JTI84" s="0"/>
      <c r="JTJ84" s="0"/>
      <c r="JTK84" s="0"/>
      <c r="JTL84" s="0"/>
      <c r="JTM84" s="0"/>
      <c r="JTN84" s="0"/>
      <c r="JTO84" s="0"/>
      <c r="JTP84" s="0"/>
      <c r="JTQ84" s="0"/>
      <c r="JTR84" s="0"/>
      <c r="JTS84" s="0"/>
      <c r="JTT84" s="0"/>
      <c r="JTU84" s="0"/>
      <c r="JTV84" s="0"/>
      <c r="JTW84" s="0"/>
      <c r="JTX84" s="0"/>
      <c r="JTY84" s="0"/>
      <c r="JTZ84" s="0"/>
      <c r="JUA84" s="0"/>
      <c r="JUB84" s="0"/>
      <c r="JUC84" s="0"/>
      <c r="JUD84" s="0"/>
      <c r="JUE84" s="0"/>
      <c r="JUF84" s="0"/>
      <c r="JUG84" s="0"/>
      <c r="JUH84" s="0"/>
      <c r="JUI84" s="0"/>
      <c r="JUJ84" s="0"/>
      <c r="JUK84" s="0"/>
      <c r="JUL84" s="0"/>
      <c r="JUM84" s="0"/>
      <c r="JUN84" s="0"/>
      <c r="JUO84" s="0"/>
      <c r="JUP84" s="0"/>
      <c r="JUQ84" s="0"/>
      <c r="JUR84" s="0"/>
      <c r="JUS84" s="0"/>
      <c r="JUT84" s="0"/>
      <c r="JUU84" s="0"/>
      <c r="JUV84" s="0"/>
      <c r="JUW84" s="0"/>
      <c r="JUX84" s="0"/>
      <c r="JUY84" s="0"/>
      <c r="JUZ84" s="0"/>
      <c r="JVA84" s="0"/>
      <c r="JVB84" s="0"/>
      <c r="JVC84" s="0"/>
      <c r="JVD84" s="0"/>
      <c r="JVE84" s="0"/>
      <c r="JVF84" s="0"/>
      <c r="JVG84" s="0"/>
      <c r="JVH84" s="0"/>
      <c r="JVI84" s="0"/>
      <c r="JVJ84" s="0"/>
      <c r="JVK84" s="0"/>
      <c r="JVL84" s="0"/>
      <c r="JVM84" s="0"/>
      <c r="JVN84" s="0"/>
      <c r="JVO84" s="0"/>
      <c r="JVP84" s="0"/>
      <c r="JVQ84" s="0"/>
      <c r="JVR84" s="0"/>
      <c r="JVS84" s="0"/>
      <c r="JVT84" s="0"/>
      <c r="JVU84" s="0"/>
      <c r="JVV84" s="0"/>
      <c r="JVW84" s="0"/>
      <c r="JVX84" s="0"/>
      <c r="JVY84" s="0"/>
      <c r="JVZ84" s="0"/>
      <c r="JWA84" s="0"/>
      <c r="JWB84" s="0"/>
      <c r="JWC84" s="0"/>
      <c r="JWD84" s="0"/>
      <c r="JWE84" s="0"/>
      <c r="JWF84" s="0"/>
      <c r="JWG84" s="0"/>
      <c r="JWH84" s="0"/>
      <c r="JWI84" s="0"/>
      <c r="JWJ84" s="0"/>
      <c r="JWK84" s="0"/>
      <c r="JWL84" s="0"/>
      <c r="JWM84" s="0"/>
      <c r="JWN84" s="0"/>
      <c r="JWO84" s="0"/>
      <c r="JWP84" s="0"/>
      <c r="JWQ84" s="0"/>
      <c r="JWR84" s="0"/>
      <c r="JWS84" s="0"/>
      <c r="JWT84" s="0"/>
      <c r="JWU84" s="0"/>
      <c r="JWV84" s="0"/>
      <c r="JWW84" s="0"/>
      <c r="JWX84" s="0"/>
      <c r="JWY84" s="0"/>
      <c r="JWZ84" s="0"/>
      <c r="JXA84" s="0"/>
      <c r="JXB84" s="0"/>
      <c r="JXC84" s="0"/>
      <c r="JXD84" s="0"/>
      <c r="JXE84" s="0"/>
      <c r="JXF84" s="0"/>
      <c r="JXG84" s="0"/>
      <c r="JXH84" s="0"/>
      <c r="JXI84" s="0"/>
      <c r="JXJ84" s="0"/>
      <c r="JXK84" s="0"/>
      <c r="JXL84" s="0"/>
      <c r="JXM84" s="0"/>
      <c r="JXN84" s="0"/>
      <c r="JXO84" s="0"/>
      <c r="JXP84" s="0"/>
      <c r="JXQ84" s="0"/>
      <c r="JXR84" s="0"/>
      <c r="JXS84" s="0"/>
      <c r="JXT84" s="0"/>
      <c r="JXU84" s="0"/>
      <c r="JXV84" s="0"/>
      <c r="JXW84" s="0"/>
      <c r="JXX84" s="0"/>
      <c r="JXY84" s="0"/>
      <c r="JXZ84" s="0"/>
      <c r="JYA84" s="0"/>
      <c r="JYB84" s="0"/>
      <c r="JYC84" s="0"/>
      <c r="JYD84" s="0"/>
      <c r="JYE84" s="0"/>
      <c r="JYF84" s="0"/>
      <c r="JYG84" s="0"/>
      <c r="JYH84" s="0"/>
      <c r="JYI84" s="0"/>
      <c r="JYJ84" s="0"/>
      <c r="JYK84" s="0"/>
      <c r="JYL84" s="0"/>
      <c r="JYM84" s="0"/>
      <c r="JYN84" s="0"/>
      <c r="JYO84" s="0"/>
      <c r="JYP84" s="0"/>
      <c r="JYQ84" s="0"/>
      <c r="JYR84" s="0"/>
      <c r="JYS84" s="0"/>
      <c r="JYT84" s="0"/>
      <c r="JYU84" s="0"/>
      <c r="JYV84" s="0"/>
      <c r="JYW84" s="0"/>
      <c r="JYX84" s="0"/>
      <c r="JYY84" s="0"/>
      <c r="JYZ84" s="0"/>
      <c r="JZA84" s="0"/>
      <c r="JZB84" s="0"/>
      <c r="JZC84" s="0"/>
      <c r="JZD84" s="0"/>
      <c r="JZE84" s="0"/>
      <c r="JZF84" s="0"/>
      <c r="JZG84" s="0"/>
      <c r="JZH84" s="0"/>
      <c r="JZI84" s="0"/>
      <c r="JZJ84" s="0"/>
      <c r="JZK84" s="0"/>
      <c r="JZL84" s="0"/>
      <c r="JZM84" s="0"/>
      <c r="JZN84" s="0"/>
      <c r="JZO84" s="0"/>
      <c r="JZP84" s="0"/>
      <c r="JZQ84" s="0"/>
      <c r="JZR84" s="0"/>
      <c r="JZS84" s="0"/>
      <c r="JZT84" s="0"/>
      <c r="JZU84" s="0"/>
      <c r="JZV84" s="0"/>
      <c r="JZW84" s="0"/>
      <c r="JZX84" s="0"/>
      <c r="JZY84" s="0"/>
      <c r="JZZ84" s="0"/>
      <c r="KAA84" s="0"/>
      <c r="KAB84" s="0"/>
      <c r="KAC84" s="0"/>
      <c r="KAD84" s="0"/>
      <c r="KAE84" s="0"/>
      <c r="KAF84" s="0"/>
      <c r="KAG84" s="0"/>
      <c r="KAH84" s="0"/>
      <c r="KAI84" s="0"/>
      <c r="KAJ84" s="0"/>
      <c r="KAK84" s="0"/>
      <c r="KAL84" s="0"/>
      <c r="KAM84" s="0"/>
      <c r="KAN84" s="0"/>
      <c r="KAO84" s="0"/>
      <c r="KAP84" s="0"/>
      <c r="KAQ84" s="0"/>
      <c r="KAR84" s="0"/>
      <c r="KAS84" s="0"/>
      <c r="KAT84" s="0"/>
      <c r="KAU84" s="0"/>
      <c r="KAV84" s="0"/>
      <c r="KAW84" s="0"/>
      <c r="KAX84" s="0"/>
      <c r="KAY84" s="0"/>
      <c r="KAZ84" s="0"/>
      <c r="KBA84" s="0"/>
      <c r="KBB84" s="0"/>
      <c r="KBC84" s="0"/>
      <c r="KBD84" s="0"/>
      <c r="KBE84" s="0"/>
      <c r="KBF84" s="0"/>
      <c r="KBG84" s="0"/>
      <c r="KBH84" s="0"/>
      <c r="KBI84" s="0"/>
      <c r="KBJ84" s="0"/>
      <c r="KBK84" s="0"/>
      <c r="KBL84" s="0"/>
      <c r="KBM84" s="0"/>
      <c r="KBN84" s="0"/>
      <c r="KBO84" s="0"/>
      <c r="KBP84" s="0"/>
      <c r="KBQ84" s="0"/>
      <c r="KBR84" s="0"/>
      <c r="KBS84" s="0"/>
      <c r="KBT84" s="0"/>
      <c r="KBU84" s="0"/>
      <c r="KBV84" s="0"/>
      <c r="KBW84" s="0"/>
      <c r="KBX84" s="0"/>
      <c r="KBY84" s="0"/>
      <c r="KBZ84" s="0"/>
      <c r="KCA84" s="0"/>
      <c r="KCB84" s="0"/>
      <c r="KCC84" s="0"/>
      <c r="KCD84" s="0"/>
      <c r="KCE84" s="0"/>
      <c r="KCF84" s="0"/>
      <c r="KCG84" s="0"/>
      <c r="KCH84" s="0"/>
      <c r="KCI84" s="0"/>
      <c r="KCJ84" s="0"/>
      <c r="KCK84" s="0"/>
      <c r="KCL84" s="0"/>
      <c r="KCM84" s="0"/>
      <c r="KCN84" s="0"/>
      <c r="KCO84" s="0"/>
      <c r="KCP84" s="0"/>
      <c r="KCQ84" s="0"/>
      <c r="KCR84" s="0"/>
      <c r="KCS84" s="0"/>
      <c r="KCT84" s="0"/>
      <c r="KCU84" s="0"/>
      <c r="KCV84" s="0"/>
      <c r="KCW84" s="0"/>
      <c r="KCX84" s="0"/>
      <c r="KCY84" s="0"/>
      <c r="KCZ84" s="0"/>
      <c r="KDA84" s="0"/>
      <c r="KDB84" s="0"/>
      <c r="KDC84" s="0"/>
      <c r="KDD84" s="0"/>
      <c r="KDE84" s="0"/>
      <c r="KDF84" s="0"/>
      <c r="KDG84" s="0"/>
      <c r="KDH84" s="0"/>
      <c r="KDI84" s="0"/>
      <c r="KDJ84" s="0"/>
      <c r="KDK84" s="0"/>
      <c r="KDL84" s="0"/>
      <c r="KDM84" s="0"/>
      <c r="KDN84" s="0"/>
      <c r="KDO84" s="0"/>
      <c r="KDP84" s="0"/>
      <c r="KDQ84" s="0"/>
      <c r="KDR84" s="0"/>
      <c r="KDS84" s="0"/>
      <c r="KDT84" s="0"/>
      <c r="KDU84" s="0"/>
      <c r="KDV84" s="0"/>
      <c r="KDW84" s="0"/>
      <c r="KDX84" s="0"/>
      <c r="KDY84" s="0"/>
      <c r="KDZ84" s="0"/>
      <c r="KEA84" s="0"/>
      <c r="KEB84" s="0"/>
      <c r="KEC84" s="0"/>
      <c r="KED84" s="0"/>
      <c r="KEE84" s="0"/>
      <c r="KEF84" s="0"/>
      <c r="KEG84" s="0"/>
      <c r="KEH84" s="0"/>
      <c r="KEI84" s="0"/>
      <c r="KEJ84" s="0"/>
      <c r="KEK84" s="0"/>
      <c r="KEL84" s="0"/>
      <c r="KEM84" s="0"/>
      <c r="KEN84" s="0"/>
      <c r="KEO84" s="0"/>
      <c r="KEP84" s="0"/>
      <c r="KEQ84" s="0"/>
      <c r="KER84" s="0"/>
      <c r="KES84" s="0"/>
      <c r="KET84" s="0"/>
      <c r="KEU84" s="0"/>
      <c r="KEV84" s="0"/>
      <c r="KEW84" s="0"/>
      <c r="KEX84" s="0"/>
      <c r="KEY84" s="0"/>
      <c r="KEZ84" s="0"/>
      <c r="KFA84" s="0"/>
      <c r="KFB84" s="0"/>
      <c r="KFC84" s="0"/>
      <c r="KFD84" s="0"/>
      <c r="KFE84" s="0"/>
      <c r="KFF84" s="0"/>
      <c r="KFG84" s="0"/>
      <c r="KFH84" s="0"/>
      <c r="KFI84" s="0"/>
      <c r="KFJ84" s="0"/>
      <c r="KFK84" s="0"/>
      <c r="KFL84" s="0"/>
      <c r="KFM84" s="0"/>
      <c r="KFN84" s="0"/>
      <c r="KFO84" s="0"/>
      <c r="KFP84" s="0"/>
      <c r="KFQ84" s="0"/>
      <c r="KFR84" s="0"/>
      <c r="KFS84" s="0"/>
      <c r="KFT84" s="0"/>
      <c r="KFU84" s="0"/>
      <c r="KFV84" s="0"/>
      <c r="KFW84" s="0"/>
      <c r="KFX84" s="0"/>
      <c r="KFY84" s="0"/>
      <c r="KFZ84" s="0"/>
      <c r="KGA84" s="0"/>
      <c r="KGB84" s="0"/>
      <c r="KGC84" s="0"/>
      <c r="KGD84" s="0"/>
      <c r="KGE84" s="0"/>
      <c r="KGF84" s="0"/>
      <c r="KGG84" s="0"/>
      <c r="KGH84" s="0"/>
      <c r="KGI84" s="0"/>
      <c r="KGJ84" s="0"/>
      <c r="KGK84" s="0"/>
      <c r="KGL84" s="0"/>
      <c r="KGM84" s="0"/>
      <c r="KGN84" s="0"/>
      <c r="KGO84" s="0"/>
      <c r="KGP84" s="0"/>
      <c r="KGQ84" s="0"/>
      <c r="KGR84" s="0"/>
      <c r="KGS84" s="0"/>
      <c r="KGT84" s="0"/>
      <c r="KGU84" s="0"/>
      <c r="KGV84" s="0"/>
      <c r="KGW84" s="0"/>
      <c r="KGX84" s="0"/>
      <c r="KGY84" s="0"/>
      <c r="KGZ84" s="0"/>
      <c r="KHA84" s="0"/>
      <c r="KHB84" s="0"/>
      <c r="KHC84" s="0"/>
      <c r="KHD84" s="0"/>
      <c r="KHE84" s="0"/>
      <c r="KHF84" s="0"/>
      <c r="KHG84" s="0"/>
      <c r="KHH84" s="0"/>
      <c r="KHI84" s="0"/>
      <c r="KHJ84" s="0"/>
      <c r="KHK84" s="0"/>
      <c r="KHL84" s="0"/>
      <c r="KHM84" s="0"/>
      <c r="KHN84" s="0"/>
      <c r="KHO84" s="0"/>
      <c r="KHP84" s="0"/>
      <c r="KHQ84" s="0"/>
      <c r="KHR84" s="0"/>
      <c r="KHS84" s="0"/>
      <c r="KHT84" s="0"/>
      <c r="KHU84" s="0"/>
      <c r="KHV84" s="0"/>
      <c r="KHW84" s="0"/>
      <c r="KHX84" s="0"/>
      <c r="KHY84" s="0"/>
      <c r="KHZ84" s="0"/>
      <c r="KIA84" s="0"/>
      <c r="KIB84" s="0"/>
      <c r="KIC84" s="0"/>
      <c r="KID84" s="0"/>
      <c r="KIE84" s="0"/>
      <c r="KIF84" s="0"/>
      <c r="KIG84" s="0"/>
      <c r="KIH84" s="0"/>
      <c r="KII84" s="0"/>
      <c r="KIJ84" s="0"/>
      <c r="KIK84" s="0"/>
      <c r="KIL84" s="0"/>
      <c r="KIM84" s="0"/>
      <c r="KIN84" s="0"/>
      <c r="KIO84" s="0"/>
      <c r="KIP84" s="0"/>
      <c r="KIQ84" s="0"/>
      <c r="KIR84" s="0"/>
      <c r="KIS84" s="0"/>
      <c r="KIT84" s="0"/>
      <c r="KIU84" s="0"/>
      <c r="KIV84" s="0"/>
      <c r="KIW84" s="0"/>
      <c r="KIX84" s="0"/>
      <c r="KIY84" s="0"/>
      <c r="KIZ84" s="0"/>
      <c r="KJA84" s="0"/>
      <c r="KJB84" s="0"/>
      <c r="KJC84" s="0"/>
      <c r="KJD84" s="0"/>
      <c r="KJE84" s="0"/>
      <c r="KJF84" s="0"/>
      <c r="KJG84" s="0"/>
      <c r="KJH84" s="0"/>
      <c r="KJI84" s="0"/>
      <c r="KJJ84" s="0"/>
      <c r="KJK84" s="0"/>
      <c r="KJL84" s="0"/>
      <c r="KJM84" s="0"/>
      <c r="KJN84" s="0"/>
      <c r="KJO84" s="0"/>
      <c r="KJP84" s="0"/>
      <c r="KJQ84" s="0"/>
      <c r="KJR84" s="0"/>
      <c r="KJS84" s="0"/>
      <c r="KJT84" s="0"/>
      <c r="KJU84" s="0"/>
      <c r="KJV84" s="0"/>
      <c r="KJW84" s="0"/>
      <c r="KJX84" s="0"/>
      <c r="KJY84" s="0"/>
      <c r="KJZ84" s="0"/>
      <c r="KKA84" s="0"/>
      <c r="KKB84" s="0"/>
      <c r="KKC84" s="0"/>
      <c r="KKD84" s="0"/>
      <c r="KKE84" s="0"/>
      <c r="KKF84" s="0"/>
      <c r="KKG84" s="0"/>
      <c r="KKH84" s="0"/>
      <c r="KKI84" s="0"/>
      <c r="KKJ84" s="0"/>
      <c r="KKK84" s="0"/>
      <c r="KKL84" s="0"/>
      <c r="KKM84" s="0"/>
      <c r="KKN84" s="0"/>
      <c r="KKO84" s="0"/>
      <c r="KKP84" s="0"/>
      <c r="KKQ84" s="0"/>
      <c r="KKR84" s="0"/>
      <c r="KKS84" s="0"/>
      <c r="KKT84" s="0"/>
      <c r="KKU84" s="0"/>
      <c r="KKV84" s="0"/>
      <c r="KKW84" s="0"/>
      <c r="KKX84" s="0"/>
      <c r="KKY84" s="0"/>
      <c r="KKZ84" s="0"/>
      <c r="KLA84" s="0"/>
      <c r="KLB84" s="0"/>
      <c r="KLC84" s="0"/>
      <c r="KLD84" s="0"/>
      <c r="KLE84" s="0"/>
      <c r="KLF84" s="0"/>
      <c r="KLG84" s="0"/>
      <c r="KLH84" s="0"/>
      <c r="KLI84" s="0"/>
      <c r="KLJ84" s="0"/>
      <c r="KLK84" s="0"/>
      <c r="KLL84" s="0"/>
      <c r="KLM84" s="0"/>
      <c r="KLN84" s="0"/>
      <c r="KLO84" s="0"/>
      <c r="KLP84" s="0"/>
      <c r="KLQ84" s="0"/>
      <c r="KLR84" s="0"/>
      <c r="KLS84" s="0"/>
      <c r="KLT84" s="0"/>
      <c r="KLU84" s="0"/>
      <c r="KLV84" s="0"/>
      <c r="KLW84" s="0"/>
      <c r="KLX84" s="0"/>
      <c r="KLY84" s="0"/>
      <c r="KLZ84" s="0"/>
      <c r="KMA84" s="0"/>
      <c r="KMB84" s="0"/>
      <c r="KMC84" s="0"/>
      <c r="KMD84" s="0"/>
      <c r="KME84" s="0"/>
      <c r="KMF84" s="0"/>
      <c r="KMG84" s="0"/>
      <c r="KMH84" s="0"/>
      <c r="KMI84" s="0"/>
      <c r="KMJ84" s="0"/>
      <c r="KMK84" s="0"/>
      <c r="KML84" s="0"/>
      <c r="KMM84" s="0"/>
      <c r="KMN84" s="0"/>
      <c r="KMO84" s="0"/>
      <c r="KMP84" s="0"/>
      <c r="KMQ84" s="0"/>
      <c r="KMR84" s="0"/>
      <c r="KMS84" s="0"/>
      <c r="KMT84" s="0"/>
      <c r="KMU84" s="0"/>
      <c r="KMV84" s="0"/>
      <c r="KMW84" s="0"/>
      <c r="KMX84" s="0"/>
      <c r="KMY84" s="0"/>
      <c r="KMZ84" s="0"/>
      <c r="KNA84" s="0"/>
      <c r="KNB84" s="0"/>
      <c r="KNC84" s="0"/>
      <c r="KND84" s="0"/>
      <c r="KNE84" s="0"/>
      <c r="KNF84" s="0"/>
      <c r="KNG84" s="0"/>
      <c r="KNH84" s="0"/>
      <c r="KNI84" s="0"/>
      <c r="KNJ84" s="0"/>
      <c r="KNK84" s="0"/>
      <c r="KNL84" s="0"/>
      <c r="KNM84" s="0"/>
      <c r="KNN84" s="0"/>
      <c r="KNO84" s="0"/>
      <c r="KNP84" s="0"/>
      <c r="KNQ84" s="0"/>
      <c r="KNR84" s="0"/>
      <c r="KNS84" s="0"/>
      <c r="KNT84" s="0"/>
      <c r="KNU84" s="0"/>
      <c r="KNV84" s="0"/>
      <c r="KNW84" s="0"/>
      <c r="KNX84" s="0"/>
      <c r="KNY84" s="0"/>
      <c r="KNZ84" s="0"/>
      <c r="KOA84" s="0"/>
      <c r="KOB84" s="0"/>
      <c r="KOC84" s="0"/>
      <c r="KOD84" s="0"/>
      <c r="KOE84" s="0"/>
      <c r="KOF84" s="0"/>
      <c r="KOG84" s="0"/>
      <c r="KOH84" s="0"/>
      <c r="KOI84" s="0"/>
      <c r="KOJ84" s="0"/>
      <c r="KOK84" s="0"/>
      <c r="KOL84" s="0"/>
      <c r="KOM84" s="0"/>
      <c r="KON84" s="0"/>
      <c r="KOO84" s="0"/>
      <c r="KOP84" s="0"/>
      <c r="KOQ84" s="0"/>
      <c r="KOR84" s="0"/>
      <c r="KOS84" s="0"/>
      <c r="KOT84" s="0"/>
      <c r="KOU84" s="0"/>
      <c r="KOV84" s="0"/>
      <c r="KOW84" s="0"/>
      <c r="KOX84" s="0"/>
      <c r="KOY84" s="0"/>
      <c r="KOZ84" s="0"/>
      <c r="KPA84" s="0"/>
      <c r="KPB84" s="0"/>
      <c r="KPC84" s="0"/>
      <c r="KPD84" s="0"/>
      <c r="KPE84" s="0"/>
      <c r="KPF84" s="0"/>
      <c r="KPG84" s="0"/>
      <c r="KPH84" s="0"/>
      <c r="KPI84" s="0"/>
      <c r="KPJ84" s="0"/>
      <c r="KPK84" s="0"/>
      <c r="KPL84" s="0"/>
      <c r="KPM84" s="0"/>
      <c r="KPN84" s="0"/>
      <c r="KPO84" s="0"/>
      <c r="KPP84" s="0"/>
      <c r="KPQ84" s="0"/>
      <c r="KPR84" s="0"/>
      <c r="KPS84" s="0"/>
      <c r="KPT84" s="0"/>
      <c r="KPU84" s="0"/>
      <c r="KPV84" s="0"/>
      <c r="KPW84" s="0"/>
      <c r="KPX84" s="0"/>
      <c r="KPY84" s="0"/>
      <c r="KPZ84" s="0"/>
      <c r="KQA84" s="0"/>
      <c r="KQB84" s="0"/>
      <c r="KQC84" s="0"/>
      <c r="KQD84" s="0"/>
      <c r="KQE84" s="0"/>
      <c r="KQF84" s="0"/>
      <c r="KQG84" s="0"/>
      <c r="KQH84" s="0"/>
      <c r="KQI84" s="0"/>
      <c r="KQJ84" s="0"/>
      <c r="KQK84" s="0"/>
      <c r="KQL84" s="0"/>
      <c r="KQM84" s="0"/>
      <c r="KQN84" s="0"/>
      <c r="KQO84" s="0"/>
      <c r="KQP84" s="0"/>
      <c r="KQQ84" s="0"/>
      <c r="KQR84" s="0"/>
      <c r="KQS84" s="0"/>
      <c r="KQT84" s="0"/>
      <c r="KQU84" s="0"/>
      <c r="KQV84" s="0"/>
      <c r="KQW84" s="0"/>
      <c r="KQX84" s="0"/>
      <c r="KQY84" s="0"/>
      <c r="KQZ84" s="0"/>
      <c r="KRA84" s="0"/>
      <c r="KRB84" s="0"/>
      <c r="KRC84" s="0"/>
      <c r="KRD84" s="0"/>
      <c r="KRE84" s="0"/>
      <c r="KRF84" s="0"/>
      <c r="KRG84" s="0"/>
      <c r="KRH84" s="0"/>
      <c r="KRI84" s="0"/>
      <c r="KRJ84" s="0"/>
      <c r="KRK84" s="0"/>
      <c r="KRL84" s="0"/>
      <c r="KRM84" s="0"/>
      <c r="KRN84" s="0"/>
      <c r="KRO84" s="0"/>
      <c r="KRP84" s="0"/>
      <c r="KRQ84" s="0"/>
      <c r="KRR84" s="0"/>
      <c r="KRS84" s="0"/>
      <c r="KRT84" s="0"/>
      <c r="KRU84" s="0"/>
      <c r="KRV84" s="0"/>
      <c r="KRW84" s="0"/>
      <c r="KRX84" s="0"/>
      <c r="KRY84" s="0"/>
      <c r="KRZ84" s="0"/>
      <c r="KSA84" s="0"/>
      <c r="KSB84" s="0"/>
      <c r="KSC84" s="0"/>
      <c r="KSD84" s="0"/>
      <c r="KSE84" s="0"/>
      <c r="KSF84" s="0"/>
      <c r="KSG84" s="0"/>
      <c r="KSH84" s="0"/>
      <c r="KSI84" s="0"/>
      <c r="KSJ84" s="0"/>
      <c r="KSK84" s="0"/>
      <c r="KSL84" s="0"/>
      <c r="KSM84" s="0"/>
      <c r="KSN84" s="0"/>
      <c r="KSO84" s="0"/>
      <c r="KSP84" s="0"/>
      <c r="KSQ84" s="0"/>
      <c r="KSR84" s="0"/>
      <c r="KSS84" s="0"/>
      <c r="KST84" s="0"/>
      <c r="KSU84" s="0"/>
      <c r="KSV84" s="0"/>
      <c r="KSW84" s="0"/>
      <c r="KSX84" s="0"/>
      <c r="KSY84" s="0"/>
      <c r="KSZ84" s="0"/>
      <c r="KTA84" s="0"/>
      <c r="KTB84" s="0"/>
      <c r="KTC84" s="0"/>
      <c r="KTD84" s="0"/>
      <c r="KTE84" s="0"/>
      <c r="KTF84" s="0"/>
      <c r="KTG84" s="0"/>
      <c r="KTH84" s="0"/>
      <c r="KTI84" s="0"/>
      <c r="KTJ84" s="0"/>
      <c r="KTK84" s="0"/>
      <c r="KTL84" s="0"/>
      <c r="KTM84" s="0"/>
      <c r="KTN84" s="0"/>
      <c r="KTO84" s="0"/>
      <c r="KTP84" s="0"/>
      <c r="KTQ84" s="0"/>
      <c r="KTR84" s="0"/>
      <c r="KTS84" s="0"/>
      <c r="KTT84" s="0"/>
      <c r="KTU84" s="0"/>
      <c r="KTV84" s="0"/>
      <c r="KTW84" s="0"/>
      <c r="KTX84" s="0"/>
      <c r="KTY84" s="0"/>
      <c r="KTZ84" s="0"/>
      <c r="KUA84" s="0"/>
      <c r="KUB84" s="0"/>
      <c r="KUC84" s="0"/>
      <c r="KUD84" s="0"/>
      <c r="KUE84" s="0"/>
      <c r="KUF84" s="0"/>
      <c r="KUG84" s="0"/>
      <c r="KUH84" s="0"/>
      <c r="KUI84" s="0"/>
      <c r="KUJ84" s="0"/>
      <c r="KUK84" s="0"/>
      <c r="KUL84" s="0"/>
      <c r="KUM84" s="0"/>
      <c r="KUN84" s="0"/>
      <c r="KUO84" s="0"/>
      <c r="KUP84" s="0"/>
      <c r="KUQ84" s="0"/>
      <c r="KUR84" s="0"/>
      <c r="KUS84" s="0"/>
      <c r="KUT84" s="0"/>
      <c r="KUU84" s="0"/>
      <c r="KUV84" s="0"/>
      <c r="KUW84" s="0"/>
      <c r="KUX84" s="0"/>
      <c r="KUY84" s="0"/>
      <c r="KUZ84" s="0"/>
      <c r="KVA84" s="0"/>
      <c r="KVB84" s="0"/>
      <c r="KVC84" s="0"/>
      <c r="KVD84" s="0"/>
      <c r="KVE84" s="0"/>
      <c r="KVF84" s="0"/>
      <c r="KVG84" s="0"/>
      <c r="KVH84" s="0"/>
      <c r="KVI84" s="0"/>
      <c r="KVJ84" s="0"/>
      <c r="KVK84" s="0"/>
      <c r="KVL84" s="0"/>
      <c r="KVM84" s="0"/>
      <c r="KVN84" s="0"/>
      <c r="KVO84" s="0"/>
      <c r="KVP84" s="0"/>
      <c r="KVQ84" s="0"/>
      <c r="KVR84" s="0"/>
      <c r="KVS84" s="0"/>
      <c r="KVT84" s="0"/>
      <c r="KVU84" s="0"/>
      <c r="KVV84" s="0"/>
      <c r="KVW84" s="0"/>
      <c r="KVX84" s="0"/>
      <c r="KVY84" s="0"/>
      <c r="KVZ84" s="0"/>
      <c r="KWA84" s="0"/>
      <c r="KWB84" s="0"/>
      <c r="KWC84" s="0"/>
      <c r="KWD84" s="0"/>
      <c r="KWE84" s="0"/>
      <c r="KWF84" s="0"/>
      <c r="KWG84" s="0"/>
      <c r="KWH84" s="0"/>
      <c r="KWI84" s="0"/>
      <c r="KWJ84" s="0"/>
      <c r="KWK84" s="0"/>
      <c r="KWL84" s="0"/>
      <c r="KWM84" s="0"/>
      <c r="KWN84" s="0"/>
      <c r="KWO84" s="0"/>
      <c r="KWP84" s="0"/>
      <c r="KWQ84" s="0"/>
      <c r="KWR84" s="0"/>
      <c r="KWS84" s="0"/>
      <c r="KWT84" s="0"/>
      <c r="KWU84" s="0"/>
      <c r="KWV84" s="0"/>
      <c r="KWW84" s="0"/>
      <c r="KWX84" s="0"/>
      <c r="KWY84" s="0"/>
      <c r="KWZ84" s="0"/>
      <c r="KXA84" s="0"/>
      <c r="KXB84" s="0"/>
      <c r="KXC84" s="0"/>
      <c r="KXD84" s="0"/>
      <c r="KXE84" s="0"/>
      <c r="KXF84" s="0"/>
      <c r="KXG84" s="0"/>
      <c r="KXH84" s="0"/>
      <c r="KXI84" s="0"/>
      <c r="KXJ84" s="0"/>
      <c r="KXK84" s="0"/>
      <c r="KXL84" s="0"/>
      <c r="KXM84" s="0"/>
      <c r="KXN84" s="0"/>
      <c r="KXO84" s="0"/>
      <c r="KXP84" s="0"/>
      <c r="KXQ84" s="0"/>
      <c r="KXR84" s="0"/>
      <c r="KXS84" s="0"/>
      <c r="KXT84" s="0"/>
      <c r="KXU84" s="0"/>
      <c r="KXV84" s="0"/>
      <c r="KXW84" s="0"/>
      <c r="KXX84" s="0"/>
      <c r="KXY84" s="0"/>
      <c r="KXZ84" s="0"/>
      <c r="KYA84" s="0"/>
      <c r="KYB84" s="0"/>
      <c r="KYC84" s="0"/>
      <c r="KYD84" s="0"/>
      <c r="KYE84" s="0"/>
      <c r="KYF84" s="0"/>
      <c r="KYG84" s="0"/>
      <c r="KYH84" s="0"/>
      <c r="KYI84" s="0"/>
      <c r="KYJ84" s="0"/>
      <c r="KYK84" s="0"/>
      <c r="KYL84" s="0"/>
      <c r="KYM84" s="0"/>
      <c r="KYN84" s="0"/>
      <c r="KYO84" s="0"/>
      <c r="KYP84" s="0"/>
      <c r="KYQ84" s="0"/>
      <c r="KYR84" s="0"/>
      <c r="KYS84" s="0"/>
      <c r="KYT84" s="0"/>
      <c r="KYU84" s="0"/>
      <c r="KYV84" s="0"/>
      <c r="KYW84" s="0"/>
      <c r="KYX84" s="0"/>
      <c r="KYY84" s="0"/>
      <c r="KYZ84" s="0"/>
      <c r="KZA84" s="0"/>
      <c r="KZB84" s="0"/>
      <c r="KZC84" s="0"/>
      <c r="KZD84" s="0"/>
      <c r="KZE84" s="0"/>
      <c r="KZF84" s="0"/>
      <c r="KZG84" s="0"/>
      <c r="KZH84" s="0"/>
      <c r="KZI84" s="0"/>
      <c r="KZJ84" s="0"/>
      <c r="KZK84" s="0"/>
      <c r="KZL84" s="0"/>
      <c r="KZM84" s="0"/>
      <c r="KZN84" s="0"/>
      <c r="KZO84" s="0"/>
      <c r="KZP84" s="0"/>
      <c r="KZQ84" s="0"/>
      <c r="KZR84" s="0"/>
      <c r="KZS84" s="0"/>
      <c r="KZT84" s="0"/>
      <c r="KZU84" s="0"/>
      <c r="KZV84" s="0"/>
      <c r="KZW84" s="0"/>
      <c r="KZX84" s="0"/>
      <c r="KZY84" s="0"/>
      <c r="KZZ84" s="0"/>
      <c r="LAA84" s="0"/>
      <c r="LAB84" s="0"/>
      <c r="LAC84" s="0"/>
      <c r="LAD84" s="0"/>
      <c r="LAE84" s="0"/>
      <c r="LAF84" s="0"/>
      <c r="LAG84" s="0"/>
      <c r="LAH84" s="0"/>
      <c r="LAI84" s="0"/>
      <c r="LAJ84" s="0"/>
      <c r="LAK84" s="0"/>
      <c r="LAL84" s="0"/>
      <c r="LAM84" s="0"/>
      <c r="LAN84" s="0"/>
      <c r="LAO84" s="0"/>
      <c r="LAP84" s="0"/>
      <c r="LAQ84" s="0"/>
      <c r="LAR84" s="0"/>
      <c r="LAS84" s="0"/>
      <c r="LAT84" s="0"/>
      <c r="LAU84" s="0"/>
      <c r="LAV84" s="0"/>
      <c r="LAW84" s="0"/>
      <c r="LAX84" s="0"/>
      <c r="LAY84" s="0"/>
      <c r="LAZ84" s="0"/>
      <c r="LBA84" s="0"/>
      <c r="LBB84" s="0"/>
      <c r="LBC84" s="0"/>
      <c r="LBD84" s="0"/>
      <c r="LBE84" s="0"/>
      <c r="LBF84" s="0"/>
      <c r="LBG84" s="0"/>
      <c r="LBH84" s="0"/>
      <c r="LBI84" s="0"/>
      <c r="LBJ84" s="0"/>
      <c r="LBK84" s="0"/>
      <c r="LBL84" s="0"/>
      <c r="LBM84" s="0"/>
      <c r="LBN84" s="0"/>
      <c r="LBO84" s="0"/>
      <c r="LBP84" s="0"/>
      <c r="LBQ84" s="0"/>
      <c r="LBR84" s="0"/>
      <c r="LBS84" s="0"/>
      <c r="LBT84" s="0"/>
      <c r="LBU84" s="0"/>
      <c r="LBV84" s="0"/>
      <c r="LBW84" s="0"/>
      <c r="LBX84" s="0"/>
      <c r="LBY84" s="0"/>
      <c r="LBZ84" s="0"/>
      <c r="LCA84" s="0"/>
      <c r="LCB84" s="0"/>
      <c r="LCC84" s="0"/>
      <c r="LCD84" s="0"/>
      <c r="LCE84" s="0"/>
      <c r="LCF84" s="0"/>
      <c r="LCG84" s="0"/>
      <c r="LCH84" s="0"/>
      <c r="LCI84" s="0"/>
      <c r="LCJ84" s="0"/>
      <c r="LCK84" s="0"/>
      <c r="LCL84" s="0"/>
      <c r="LCM84" s="0"/>
      <c r="LCN84" s="0"/>
      <c r="LCO84" s="0"/>
      <c r="LCP84" s="0"/>
      <c r="LCQ84" s="0"/>
      <c r="LCR84" s="0"/>
      <c r="LCS84" s="0"/>
      <c r="LCT84" s="0"/>
      <c r="LCU84" s="0"/>
      <c r="LCV84" s="0"/>
      <c r="LCW84" s="0"/>
      <c r="LCX84" s="0"/>
      <c r="LCY84" s="0"/>
      <c r="LCZ84" s="0"/>
      <c r="LDA84" s="0"/>
      <c r="LDB84" s="0"/>
      <c r="LDC84" s="0"/>
      <c r="LDD84" s="0"/>
      <c r="LDE84" s="0"/>
      <c r="LDF84" s="0"/>
      <c r="LDG84" s="0"/>
      <c r="LDH84" s="0"/>
      <c r="LDI84" s="0"/>
      <c r="LDJ84" s="0"/>
      <c r="LDK84" s="0"/>
      <c r="LDL84" s="0"/>
      <c r="LDM84" s="0"/>
      <c r="LDN84" s="0"/>
      <c r="LDO84" s="0"/>
      <c r="LDP84" s="0"/>
      <c r="LDQ84" s="0"/>
      <c r="LDR84" s="0"/>
      <c r="LDS84" s="0"/>
      <c r="LDT84" s="0"/>
      <c r="LDU84" s="0"/>
      <c r="LDV84" s="0"/>
      <c r="LDW84" s="0"/>
      <c r="LDX84" s="0"/>
      <c r="LDY84" s="0"/>
      <c r="LDZ84" s="0"/>
      <c r="LEA84" s="0"/>
      <c r="LEB84" s="0"/>
      <c r="LEC84" s="0"/>
      <c r="LED84" s="0"/>
      <c r="LEE84" s="0"/>
      <c r="LEF84" s="0"/>
      <c r="LEG84" s="0"/>
      <c r="LEH84" s="0"/>
      <c r="LEI84" s="0"/>
      <c r="LEJ84" s="0"/>
      <c r="LEK84" s="0"/>
      <c r="LEL84" s="0"/>
      <c r="LEM84" s="0"/>
      <c r="LEN84" s="0"/>
      <c r="LEO84" s="0"/>
      <c r="LEP84" s="0"/>
      <c r="LEQ84" s="0"/>
      <c r="LER84" s="0"/>
      <c r="LES84" s="0"/>
      <c r="LET84" s="0"/>
      <c r="LEU84" s="0"/>
      <c r="LEV84" s="0"/>
      <c r="LEW84" s="0"/>
      <c r="LEX84" s="0"/>
      <c r="LEY84" s="0"/>
      <c r="LEZ84" s="0"/>
      <c r="LFA84" s="0"/>
      <c r="LFB84" s="0"/>
      <c r="LFC84" s="0"/>
      <c r="LFD84" s="0"/>
      <c r="LFE84" s="0"/>
      <c r="LFF84" s="0"/>
      <c r="LFG84" s="0"/>
      <c r="LFH84" s="0"/>
      <c r="LFI84" s="0"/>
      <c r="LFJ84" s="0"/>
      <c r="LFK84" s="0"/>
      <c r="LFL84" s="0"/>
      <c r="LFM84" s="0"/>
      <c r="LFN84" s="0"/>
      <c r="LFO84" s="0"/>
      <c r="LFP84" s="0"/>
      <c r="LFQ84" s="0"/>
      <c r="LFR84" s="0"/>
      <c r="LFS84" s="0"/>
      <c r="LFT84" s="0"/>
      <c r="LFU84" s="0"/>
      <c r="LFV84" s="0"/>
      <c r="LFW84" s="0"/>
      <c r="LFX84" s="0"/>
      <c r="LFY84" s="0"/>
      <c r="LFZ84" s="0"/>
      <c r="LGA84" s="0"/>
      <c r="LGB84" s="0"/>
      <c r="LGC84" s="0"/>
      <c r="LGD84" s="0"/>
      <c r="LGE84" s="0"/>
      <c r="LGF84" s="0"/>
      <c r="LGG84" s="0"/>
      <c r="LGH84" s="0"/>
      <c r="LGI84" s="0"/>
      <c r="LGJ84" s="0"/>
      <c r="LGK84" s="0"/>
      <c r="LGL84" s="0"/>
      <c r="LGM84" s="0"/>
      <c r="LGN84" s="0"/>
      <c r="LGO84" s="0"/>
      <c r="LGP84" s="0"/>
      <c r="LGQ84" s="0"/>
      <c r="LGR84" s="0"/>
      <c r="LGS84" s="0"/>
      <c r="LGT84" s="0"/>
      <c r="LGU84" s="0"/>
      <c r="LGV84" s="0"/>
      <c r="LGW84" s="0"/>
      <c r="LGX84" s="0"/>
      <c r="LGY84" s="0"/>
      <c r="LGZ84" s="0"/>
      <c r="LHA84" s="0"/>
      <c r="LHB84" s="0"/>
      <c r="LHC84" s="0"/>
      <c r="LHD84" s="0"/>
      <c r="LHE84" s="0"/>
      <c r="LHF84" s="0"/>
      <c r="LHG84" s="0"/>
      <c r="LHH84" s="0"/>
      <c r="LHI84" s="0"/>
      <c r="LHJ84" s="0"/>
      <c r="LHK84" s="0"/>
      <c r="LHL84" s="0"/>
      <c r="LHM84" s="0"/>
      <c r="LHN84" s="0"/>
      <c r="LHO84" s="0"/>
      <c r="LHP84" s="0"/>
      <c r="LHQ84" s="0"/>
      <c r="LHR84" s="0"/>
      <c r="LHS84" s="0"/>
      <c r="LHT84" s="0"/>
      <c r="LHU84" s="0"/>
      <c r="LHV84" s="0"/>
      <c r="LHW84" s="0"/>
      <c r="LHX84" s="0"/>
      <c r="LHY84" s="0"/>
      <c r="LHZ84" s="0"/>
      <c r="LIA84" s="0"/>
      <c r="LIB84" s="0"/>
      <c r="LIC84" s="0"/>
      <c r="LID84" s="0"/>
      <c r="LIE84" s="0"/>
      <c r="LIF84" s="0"/>
      <c r="LIG84" s="0"/>
      <c r="LIH84" s="0"/>
      <c r="LII84" s="0"/>
      <c r="LIJ84" s="0"/>
      <c r="LIK84" s="0"/>
      <c r="LIL84" s="0"/>
      <c r="LIM84" s="0"/>
      <c r="LIN84" s="0"/>
      <c r="LIO84" s="0"/>
      <c r="LIP84" s="0"/>
      <c r="LIQ84" s="0"/>
      <c r="LIR84" s="0"/>
      <c r="LIS84" s="0"/>
      <c r="LIT84" s="0"/>
      <c r="LIU84" s="0"/>
      <c r="LIV84" s="0"/>
      <c r="LIW84" s="0"/>
      <c r="LIX84" s="0"/>
      <c r="LIY84" s="0"/>
      <c r="LIZ84" s="0"/>
      <c r="LJA84" s="0"/>
      <c r="LJB84" s="0"/>
      <c r="LJC84" s="0"/>
      <c r="LJD84" s="0"/>
      <c r="LJE84" s="0"/>
      <c r="LJF84" s="0"/>
      <c r="LJG84" s="0"/>
      <c r="LJH84" s="0"/>
      <c r="LJI84" s="0"/>
      <c r="LJJ84" s="0"/>
      <c r="LJK84" s="0"/>
      <c r="LJL84" s="0"/>
      <c r="LJM84" s="0"/>
      <c r="LJN84" s="0"/>
      <c r="LJO84" s="0"/>
      <c r="LJP84" s="0"/>
      <c r="LJQ84" s="0"/>
      <c r="LJR84" s="0"/>
      <c r="LJS84" s="0"/>
      <c r="LJT84" s="0"/>
      <c r="LJU84" s="0"/>
      <c r="LJV84" s="0"/>
      <c r="LJW84" s="0"/>
      <c r="LJX84" s="0"/>
      <c r="LJY84" s="0"/>
      <c r="LJZ84" s="0"/>
      <c r="LKA84" s="0"/>
      <c r="LKB84" s="0"/>
      <c r="LKC84" s="0"/>
      <c r="LKD84" s="0"/>
      <c r="LKE84" s="0"/>
      <c r="LKF84" s="0"/>
      <c r="LKG84" s="0"/>
      <c r="LKH84" s="0"/>
      <c r="LKI84" s="0"/>
      <c r="LKJ84" s="0"/>
      <c r="LKK84" s="0"/>
      <c r="LKL84" s="0"/>
      <c r="LKM84" s="0"/>
      <c r="LKN84" s="0"/>
      <c r="LKO84" s="0"/>
      <c r="LKP84" s="0"/>
      <c r="LKQ84" s="0"/>
      <c r="LKR84" s="0"/>
      <c r="LKS84" s="0"/>
      <c r="LKT84" s="0"/>
      <c r="LKU84" s="0"/>
      <c r="LKV84" s="0"/>
      <c r="LKW84" s="0"/>
      <c r="LKX84" s="0"/>
      <c r="LKY84" s="0"/>
      <c r="LKZ84" s="0"/>
      <c r="LLA84" s="0"/>
      <c r="LLB84" s="0"/>
      <c r="LLC84" s="0"/>
      <c r="LLD84" s="0"/>
      <c r="LLE84" s="0"/>
      <c r="LLF84" s="0"/>
      <c r="LLG84" s="0"/>
      <c r="LLH84" s="0"/>
      <c r="LLI84" s="0"/>
      <c r="LLJ84" s="0"/>
      <c r="LLK84" s="0"/>
      <c r="LLL84" s="0"/>
      <c r="LLM84" s="0"/>
      <c r="LLN84" s="0"/>
      <c r="LLO84" s="0"/>
      <c r="LLP84" s="0"/>
      <c r="LLQ84" s="0"/>
      <c r="LLR84" s="0"/>
      <c r="LLS84" s="0"/>
      <c r="LLT84" s="0"/>
      <c r="LLU84" s="0"/>
      <c r="LLV84" s="0"/>
      <c r="LLW84" s="0"/>
      <c r="LLX84" s="0"/>
      <c r="LLY84" s="0"/>
      <c r="LLZ84" s="0"/>
      <c r="LMA84" s="0"/>
      <c r="LMB84" s="0"/>
      <c r="LMC84" s="0"/>
      <c r="LMD84" s="0"/>
      <c r="LME84" s="0"/>
      <c r="LMF84" s="0"/>
      <c r="LMG84" s="0"/>
      <c r="LMH84" s="0"/>
      <c r="LMI84" s="0"/>
      <c r="LMJ84" s="0"/>
      <c r="LMK84" s="0"/>
      <c r="LML84" s="0"/>
      <c r="LMM84" s="0"/>
      <c r="LMN84" s="0"/>
      <c r="LMO84" s="0"/>
      <c r="LMP84" s="0"/>
      <c r="LMQ84" s="0"/>
      <c r="LMR84" s="0"/>
      <c r="LMS84" s="0"/>
      <c r="LMT84" s="0"/>
      <c r="LMU84" s="0"/>
      <c r="LMV84" s="0"/>
      <c r="LMW84" s="0"/>
      <c r="LMX84" s="0"/>
      <c r="LMY84" s="0"/>
      <c r="LMZ84" s="0"/>
      <c r="LNA84" s="0"/>
      <c r="LNB84" s="0"/>
      <c r="LNC84" s="0"/>
      <c r="LND84" s="0"/>
      <c r="LNE84" s="0"/>
      <c r="LNF84" s="0"/>
      <c r="LNG84" s="0"/>
      <c r="LNH84" s="0"/>
      <c r="LNI84" s="0"/>
      <c r="LNJ84" s="0"/>
      <c r="LNK84" s="0"/>
      <c r="LNL84" s="0"/>
      <c r="LNM84" s="0"/>
      <c r="LNN84" s="0"/>
      <c r="LNO84" s="0"/>
      <c r="LNP84" s="0"/>
      <c r="LNQ84" s="0"/>
      <c r="LNR84" s="0"/>
      <c r="LNS84" s="0"/>
      <c r="LNT84" s="0"/>
      <c r="LNU84" s="0"/>
      <c r="LNV84" s="0"/>
      <c r="LNW84" s="0"/>
      <c r="LNX84" s="0"/>
      <c r="LNY84" s="0"/>
      <c r="LNZ84" s="0"/>
      <c r="LOA84" s="0"/>
      <c r="LOB84" s="0"/>
      <c r="LOC84" s="0"/>
      <c r="LOD84" s="0"/>
      <c r="LOE84" s="0"/>
      <c r="LOF84" s="0"/>
      <c r="LOG84" s="0"/>
      <c r="LOH84" s="0"/>
      <c r="LOI84" s="0"/>
      <c r="LOJ84" s="0"/>
      <c r="LOK84" s="0"/>
      <c r="LOL84" s="0"/>
      <c r="LOM84" s="0"/>
      <c r="LON84" s="0"/>
      <c r="LOO84" s="0"/>
      <c r="LOP84" s="0"/>
      <c r="LOQ84" s="0"/>
      <c r="LOR84" s="0"/>
      <c r="LOS84" s="0"/>
      <c r="LOT84" s="0"/>
      <c r="LOU84" s="0"/>
      <c r="LOV84" s="0"/>
      <c r="LOW84" s="0"/>
      <c r="LOX84" s="0"/>
      <c r="LOY84" s="0"/>
      <c r="LOZ84" s="0"/>
      <c r="LPA84" s="0"/>
      <c r="LPB84" s="0"/>
      <c r="LPC84" s="0"/>
      <c r="LPD84" s="0"/>
      <c r="LPE84" s="0"/>
      <c r="LPF84" s="0"/>
      <c r="LPG84" s="0"/>
      <c r="LPH84" s="0"/>
      <c r="LPI84" s="0"/>
      <c r="LPJ84" s="0"/>
      <c r="LPK84" s="0"/>
      <c r="LPL84" s="0"/>
      <c r="LPM84" s="0"/>
      <c r="LPN84" s="0"/>
      <c r="LPO84" s="0"/>
      <c r="LPP84" s="0"/>
      <c r="LPQ84" s="0"/>
      <c r="LPR84" s="0"/>
      <c r="LPS84" s="0"/>
      <c r="LPT84" s="0"/>
      <c r="LPU84" s="0"/>
      <c r="LPV84" s="0"/>
      <c r="LPW84" s="0"/>
      <c r="LPX84" s="0"/>
      <c r="LPY84" s="0"/>
      <c r="LPZ84" s="0"/>
      <c r="LQA84" s="0"/>
      <c r="LQB84" s="0"/>
      <c r="LQC84" s="0"/>
      <c r="LQD84" s="0"/>
      <c r="LQE84" s="0"/>
      <c r="LQF84" s="0"/>
      <c r="LQG84" s="0"/>
      <c r="LQH84" s="0"/>
      <c r="LQI84" s="0"/>
      <c r="LQJ84" s="0"/>
      <c r="LQK84" s="0"/>
      <c r="LQL84" s="0"/>
      <c r="LQM84" s="0"/>
      <c r="LQN84" s="0"/>
      <c r="LQO84" s="0"/>
      <c r="LQP84" s="0"/>
      <c r="LQQ84" s="0"/>
      <c r="LQR84" s="0"/>
      <c r="LQS84" s="0"/>
      <c r="LQT84" s="0"/>
      <c r="LQU84" s="0"/>
      <c r="LQV84" s="0"/>
      <c r="LQW84" s="0"/>
      <c r="LQX84" s="0"/>
      <c r="LQY84" s="0"/>
      <c r="LQZ84" s="0"/>
      <c r="LRA84" s="0"/>
      <c r="LRB84" s="0"/>
      <c r="LRC84" s="0"/>
      <c r="LRD84" s="0"/>
      <c r="LRE84" s="0"/>
      <c r="LRF84" s="0"/>
      <c r="LRG84" s="0"/>
      <c r="LRH84" s="0"/>
      <c r="LRI84" s="0"/>
      <c r="LRJ84" s="0"/>
      <c r="LRK84" s="0"/>
      <c r="LRL84" s="0"/>
      <c r="LRM84" s="0"/>
      <c r="LRN84" s="0"/>
      <c r="LRO84" s="0"/>
      <c r="LRP84" s="0"/>
      <c r="LRQ84" s="0"/>
      <c r="LRR84" s="0"/>
      <c r="LRS84" s="0"/>
      <c r="LRT84" s="0"/>
      <c r="LRU84" s="0"/>
      <c r="LRV84" s="0"/>
      <c r="LRW84" s="0"/>
      <c r="LRX84" s="0"/>
      <c r="LRY84" s="0"/>
      <c r="LRZ84" s="0"/>
      <c r="LSA84" s="0"/>
      <c r="LSB84" s="0"/>
      <c r="LSC84" s="0"/>
      <c r="LSD84" s="0"/>
      <c r="LSE84" s="0"/>
      <c r="LSF84" s="0"/>
      <c r="LSG84" s="0"/>
      <c r="LSH84" s="0"/>
      <c r="LSI84" s="0"/>
      <c r="LSJ84" s="0"/>
      <c r="LSK84" s="0"/>
      <c r="LSL84" s="0"/>
      <c r="LSM84" s="0"/>
      <c r="LSN84" s="0"/>
      <c r="LSO84" s="0"/>
      <c r="LSP84" s="0"/>
      <c r="LSQ84" s="0"/>
      <c r="LSR84" s="0"/>
      <c r="LSS84" s="0"/>
      <c r="LST84" s="0"/>
      <c r="LSU84" s="0"/>
      <c r="LSV84" s="0"/>
      <c r="LSW84" s="0"/>
      <c r="LSX84" s="0"/>
      <c r="LSY84" s="0"/>
      <c r="LSZ84" s="0"/>
      <c r="LTA84" s="0"/>
      <c r="LTB84" s="0"/>
      <c r="LTC84" s="0"/>
      <c r="LTD84" s="0"/>
      <c r="LTE84" s="0"/>
      <c r="LTF84" s="0"/>
      <c r="LTG84" s="0"/>
      <c r="LTH84" s="0"/>
      <c r="LTI84" s="0"/>
      <c r="LTJ84" s="0"/>
      <c r="LTK84" s="0"/>
      <c r="LTL84" s="0"/>
      <c r="LTM84" s="0"/>
      <c r="LTN84" s="0"/>
      <c r="LTO84" s="0"/>
      <c r="LTP84" s="0"/>
      <c r="LTQ84" s="0"/>
      <c r="LTR84" s="0"/>
      <c r="LTS84" s="0"/>
      <c r="LTT84" s="0"/>
      <c r="LTU84" s="0"/>
      <c r="LTV84" s="0"/>
      <c r="LTW84" s="0"/>
      <c r="LTX84" s="0"/>
      <c r="LTY84" s="0"/>
      <c r="LTZ84" s="0"/>
      <c r="LUA84" s="0"/>
      <c r="LUB84" s="0"/>
      <c r="LUC84" s="0"/>
      <c r="LUD84" s="0"/>
      <c r="LUE84" s="0"/>
      <c r="LUF84" s="0"/>
      <c r="LUG84" s="0"/>
      <c r="LUH84" s="0"/>
      <c r="LUI84" s="0"/>
      <c r="LUJ84" s="0"/>
      <c r="LUK84" s="0"/>
      <c r="LUL84" s="0"/>
      <c r="LUM84" s="0"/>
      <c r="LUN84" s="0"/>
      <c r="LUO84" s="0"/>
      <c r="LUP84" s="0"/>
      <c r="LUQ84" s="0"/>
      <c r="LUR84" s="0"/>
      <c r="LUS84" s="0"/>
      <c r="LUT84" s="0"/>
      <c r="LUU84" s="0"/>
      <c r="LUV84" s="0"/>
      <c r="LUW84" s="0"/>
      <c r="LUX84" s="0"/>
      <c r="LUY84" s="0"/>
      <c r="LUZ84" s="0"/>
      <c r="LVA84" s="0"/>
      <c r="LVB84" s="0"/>
      <c r="LVC84" s="0"/>
      <c r="LVD84" s="0"/>
      <c r="LVE84" s="0"/>
      <c r="LVF84" s="0"/>
      <c r="LVG84" s="0"/>
      <c r="LVH84" s="0"/>
      <c r="LVI84" s="0"/>
      <c r="LVJ84" s="0"/>
      <c r="LVK84" s="0"/>
      <c r="LVL84" s="0"/>
      <c r="LVM84" s="0"/>
      <c r="LVN84" s="0"/>
      <c r="LVO84" s="0"/>
      <c r="LVP84" s="0"/>
      <c r="LVQ84" s="0"/>
      <c r="LVR84" s="0"/>
      <c r="LVS84" s="0"/>
      <c r="LVT84" s="0"/>
      <c r="LVU84" s="0"/>
      <c r="LVV84" s="0"/>
      <c r="LVW84" s="0"/>
      <c r="LVX84" s="0"/>
      <c r="LVY84" s="0"/>
      <c r="LVZ84" s="0"/>
      <c r="LWA84" s="0"/>
      <c r="LWB84" s="0"/>
      <c r="LWC84" s="0"/>
      <c r="LWD84" s="0"/>
      <c r="LWE84" s="0"/>
      <c r="LWF84" s="0"/>
      <c r="LWG84" s="0"/>
      <c r="LWH84" s="0"/>
      <c r="LWI84" s="0"/>
      <c r="LWJ84" s="0"/>
      <c r="LWK84" s="0"/>
      <c r="LWL84" s="0"/>
      <c r="LWM84" s="0"/>
      <c r="LWN84" s="0"/>
      <c r="LWO84" s="0"/>
      <c r="LWP84" s="0"/>
      <c r="LWQ84" s="0"/>
      <c r="LWR84" s="0"/>
      <c r="LWS84" s="0"/>
      <c r="LWT84" s="0"/>
      <c r="LWU84" s="0"/>
      <c r="LWV84" s="0"/>
      <c r="LWW84" s="0"/>
      <c r="LWX84" s="0"/>
      <c r="LWY84" s="0"/>
      <c r="LWZ84" s="0"/>
      <c r="LXA84" s="0"/>
      <c r="LXB84" s="0"/>
      <c r="LXC84" s="0"/>
      <c r="LXD84" s="0"/>
      <c r="LXE84" s="0"/>
      <c r="LXF84" s="0"/>
      <c r="LXG84" s="0"/>
      <c r="LXH84" s="0"/>
      <c r="LXI84" s="0"/>
      <c r="LXJ84" s="0"/>
      <c r="LXK84" s="0"/>
      <c r="LXL84" s="0"/>
      <c r="LXM84" s="0"/>
      <c r="LXN84" s="0"/>
      <c r="LXO84" s="0"/>
      <c r="LXP84" s="0"/>
      <c r="LXQ84" s="0"/>
      <c r="LXR84" s="0"/>
      <c r="LXS84" s="0"/>
      <c r="LXT84" s="0"/>
      <c r="LXU84" s="0"/>
      <c r="LXV84" s="0"/>
      <c r="LXW84" s="0"/>
      <c r="LXX84" s="0"/>
      <c r="LXY84" s="0"/>
      <c r="LXZ84" s="0"/>
      <c r="LYA84" s="0"/>
      <c r="LYB84" s="0"/>
      <c r="LYC84" s="0"/>
      <c r="LYD84" s="0"/>
      <c r="LYE84" s="0"/>
      <c r="LYF84" s="0"/>
      <c r="LYG84" s="0"/>
      <c r="LYH84" s="0"/>
      <c r="LYI84" s="0"/>
      <c r="LYJ84" s="0"/>
      <c r="LYK84" s="0"/>
      <c r="LYL84" s="0"/>
      <c r="LYM84" s="0"/>
      <c r="LYN84" s="0"/>
      <c r="LYO84" s="0"/>
      <c r="LYP84" s="0"/>
      <c r="LYQ84" s="0"/>
      <c r="LYR84" s="0"/>
      <c r="LYS84" s="0"/>
      <c r="LYT84" s="0"/>
      <c r="LYU84" s="0"/>
      <c r="LYV84" s="0"/>
      <c r="LYW84" s="0"/>
      <c r="LYX84" s="0"/>
      <c r="LYY84" s="0"/>
      <c r="LYZ84" s="0"/>
      <c r="LZA84" s="0"/>
      <c r="LZB84" s="0"/>
      <c r="LZC84" s="0"/>
      <c r="LZD84" s="0"/>
      <c r="LZE84" s="0"/>
      <c r="LZF84" s="0"/>
      <c r="LZG84" s="0"/>
      <c r="LZH84" s="0"/>
      <c r="LZI84" s="0"/>
      <c r="LZJ84" s="0"/>
      <c r="LZK84" s="0"/>
      <c r="LZL84" s="0"/>
      <c r="LZM84" s="0"/>
      <c r="LZN84" s="0"/>
      <c r="LZO84" s="0"/>
      <c r="LZP84" s="0"/>
      <c r="LZQ84" s="0"/>
      <c r="LZR84" s="0"/>
      <c r="LZS84" s="0"/>
      <c r="LZT84" s="0"/>
      <c r="LZU84" s="0"/>
      <c r="LZV84" s="0"/>
      <c r="LZW84" s="0"/>
      <c r="LZX84" s="0"/>
      <c r="LZY84" s="0"/>
      <c r="LZZ84" s="0"/>
      <c r="MAA84" s="0"/>
      <c r="MAB84" s="0"/>
      <c r="MAC84" s="0"/>
      <c r="MAD84" s="0"/>
      <c r="MAE84" s="0"/>
      <c r="MAF84" s="0"/>
      <c r="MAG84" s="0"/>
      <c r="MAH84" s="0"/>
      <c r="MAI84" s="0"/>
      <c r="MAJ84" s="0"/>
      <c r="MAK84" s="0"/>
      <c r="MAL84" s="0"/>
      <c r="MAM84" s="0"/>
      <c r="MAN84" s="0"/>
      <c r="MAO84" s="0"/>
      <c r="MAP84" s="0"/>
      <c r="MAQ84" s="0"/>
      <c r="MAR84" s="0"/>
      <c r="MAS84" s="0"/>
      <c r="MAT84" s="0"/>
      <c r="MAU84" s="0"/>
      <c r="MAV84" s="0"/>
      <c r="MAW84" s="0"/>
      <c r="MAX84" s="0"/>
      <c r="MAY84" s="0"/>
      <c r="MAZ84" s="0"/>
      <c r="MBA84" s="0"/>
      <c r="MBB84" s="0"/>
      <c r="MBC84" s="0"/>
      <c r="MBD84" s="0"/>
      <c r="MBE84" s="0"/>
      <c r="MBF84" s="0"/>
      <c r="MBG84" s="0"/>
      <c r="MBH84" s="0"/>
      <c r="MBI84" s="0"/>
      <c r="MBJ84" s="0"/>
      <c r="MBK84" s="0"/>
      <c r="MBL84" s="0"/>
      <c r="MBM84" s="0"/>
      <c r="MBN84" s="0"/>
      <c r="MBO84" s="0"/>
      <c r="MBP84" s="0"/>
      <c r="MBQ84" s="0"/>
      <c r="MBR84" s="0"/>
      <c r="MBS84" s="0"/>
      <c r="MBT84" s="0"/>
      <c r="MBU84" s="0"/>
      <c r="MBV84" s="0"/>
      <c r="MBW84" s="0"/>
      <c r="MBX84" s="0"/>
      <c r="MBY84" s="0"/>
      <c r="MBZ84" s="0"/>
      <c r="MCA84" s="0"/>
      <c r="MCB84" s="0"/>
      <c r="MCC84" s="0"/>
      <c r="MCD84" s="0"/>
      <c r="MCE84" s="0"/>
      <c r="MCF84" s="0"/>
      <c r="MCG84" s="0"/>
      <c r="MCH84" s="0"/>
      <c r="MCI84" s="0"/>
      <c r="MCJ84" s="0"/>
      <c r="MCK84" s="0"/>
      <c r="MCL84" s="0"/>
      <c r="MCM84" s="0"/>
      <c r="MCN84" s="0"/>
      <c r="MCO84" s="0"/>
      <c r="MCP84" s="0"/>
      <c r="MCQ84" s="0"/>
      <c r="MCR84" s="0"/>
      <c r="MCS84" s="0"/>
      <c r="MCT84" s="0"/>
      <c r="MCU84" s="0"/>
      <c r="MCV84" s="0"/>
      <c r="MCW84" s="0"/>
      <c r="MCX84" s="0"/>
      <c r="MCY84" s="0"/>
      <c r="MCZ84" s="0"/>
      <c r="MDA84" s="0"/>
      <c r="MDB84" s="0"/>
      <c r="MDC84" s="0"/>
      <c r="MDD84" s="0"/>
      <c r="MDE84" s="0"/>
      <c r="MDF84" s="0"/>
      <c r="MDG84" s="0"/>
      <c r="MDH84" s="0"/>
      <c r="MDI84" s="0"/>
      <c r="MDJ84" s="0"/>
      <c r="MDK84" s="0"/>
      <c r="MDL84" s="0"/>
      <c r="MDM84" s="0"/>
      <c r="MDN84" s="0"/>
      <c r="MDO84" s="0"/>
      <c r="MDP84" s="0"/>
      <c r="MDQ84" s="0"/>
      <c r="MDR84" s="0"/>
      <c r="MDS84" s="0"/>
      <c r="MDT84" s="0"/>
      <c r="MDU84" s="0"/>
      <c r="MDV84" s="0"/>
      <c r="MDW84" s="0"/>
      <c r="MDX84" s="0"/>
      <c r="MDY84" s="0"/>
      <c r="MDZ84" s="0"/>
      <c r="MEA84" s="0"/>
      <c r="MEB84" s="0"/>
      <c r="MEC84" s="0"/>
      <c r="MED84" s="0"/>
      <c r="MEE84" s="0"/>
      <c r="MEF84" s="0"/>
      <c r="MEG84" s="0"/>
      <c r="MEH84" s="0"/>
      <c r="MEI84" s="0"/>
      <c r="MEJ84" s="0"/>
      <c r="MEK84" s="0"/>
      <c r="MEL84" s="0"/>
      <c r="MEM84" s="0"/>
      <c r="MEN84" s="0"/>
      <c r="MEO84" s="0"/>
      <c r="MEP84" s="0"/>
      <c r="MEQ84" s="0"/>
      <c r="MER84" s="0"/>
      <c r="MES84" s="0"/>
      <c r="MET84" s="0"/>
      <c r="MEU84" s="0"/>
      <c r="MEV84" s="0"/>
      <c r="MEW84" s="0"/>
      <c r="MEX84" s="0"/>
      <c r="MEY84" s="0"/>
      <c r="MEZ84" s="0"/>
      <c r="MFA84" s="0"/>
      <c r="MFB84" s="0"/>
      <c r="MFC84" s="0"/>
      <c r="MFD84" s="0"/>
      <c r="MFE84" s="0"/>
      <c r="MFF84" s="0"/>
      <c r="MFG84" s="0"/>
      <c r="MFH84" s="0"/>
      <c r="MFI84" s="0"/>
      <c r="MFJ84" s="0"/>
      <c r="MFK84" s="0"/>
      <c r="MFL84" s="0"/>
      <c r="MFM84" s="0"/>
      <c r="MFN84" s="0"/>
      <c r="MFO84" s="0"/>
      <c r="MFP84" s="0"/>
      <c r="MFQ84" s="0"/>
      <c r="MFR84" s="0"/>
      <c r="MFS84" s="0"/>
      <c r="MFT84" s="0"/>
      <c r="MFU84" s="0"/>
      <c r="MFV84" s="0"/>
      <c r="MFW84" s="0"/>
      <c r="MFX84" s="0"/>
      <c r="MFY84" s="0"/>
      <c r="MFZ84" s="0"/>
      <c r="MGA84" s="0"/>
      <c r="MGB84" s="0"/>
      <c r="MGC84" s="0"/>
      <c r="MGD84" s="0"/>
      <c r="MGE84" s="0"/>
      <c r="MGF84" s="0"/>
      <c r="MGG84" s="0"/>
      <c r="MGH84" s="0"/>
      <c r="MGI84" s="0"/>
      <c r="MGJ84" s="0"/>
      <c r="MGK84" s="0"/>
      <c r="MGL84" s="0"/>
      <c r="MGM84" s="0"/>
      <c r="MGN84" s="0"/>
      <c r="MGO84" s="0"/>
      <c r="MGP84" s="0"/>
      <c r="MGQ84" s="0"/>
      <c r="MGR84" s="0"/>
      <c r="MGS84" s="0"/>
      <c r="MGT84" s="0"/>
      <c r="MGU84" s="0"/>
      <c r="MGV84" s="0"/>
      <c r="MGW84" s="0"/>
      <c r="MGX84" s="0"/>
      <c r="MGY84" s="0"/>
      <c r="MGZ84" s="0"/>
      <c r="MHA84" s="0"/>
      <c r="MHB84" s="0"/>
      <c r="MHC84" s="0"/>
      <c r="MHD84" s="0"/>
      <c r="MHE84" s="0"/>
      <c r="MHF84" s="0"/>
      <c r="MHG84" s="0"/>
      <c r="MHH84" s="0"/>
      <c r="MHI84" s="0"/>
      <c r="MHJ84" s="0"/>
      <c r="MHK84" s="0"/>
      <c r="MHL84" s="0"/>
      <c r="MHM84" s="0"/>
      <c r="MHN84" s="0"/>
      <c r="MHO84" s="0"/>
      <c r="MHP84" s="0"/>
      <c r="MHQ84" s="0"/>
      <c r="MHR84" s="0"/>
      <c r="MHS84" s="0"/>
      <c r="MHT84" s="0"/>
      <c r="MHU84" s="0"/>
      <c r="MHV84" s="0"/>
      <c r="MHW84" s="0"/>
      <c r="MHX84" s="0"/>
      <c r="MHY84" s="0"/>
      <c r="MHZ84" s="0"/>
      <c r="MIA84" s="0"/>
      <c r="MIB84" s="0"/>
      <c r="MIC84" s="0"/>
      <c r="MID84" s="0"/>
      <c r="MIE84" s="0"/>
      <c r="MIF84" s="0"/>
      <c r="MIG84" s="0"/>
      <c r="MIH84" s="0"/>
      <c r="MII84" s="0"/>
      <c r="MIJ84" s="0"/>
      <c r="MIK84" s="0"/>
      <c r="MIL84" s="0"/>
      <c r="MIM84" s="0"/>
      <c r="MIN84" s="0"/>
      <c r="MIO84" s="0"/>
      <c r="MIP84" s="0"/>
      <c r="MIQ84" s="0"/>
      <c r="MIR84" s="0"/>
      <c r="MIS84" s="0"/>
      <c r="MIT84" s="0"/>
      <c r="MIU84" s="0"/>
      <c r="MIV84" s="0"/>
      <c r="MIW84" s="0"/>
      <c r="MIX84" s="0"/>
      <c r="MIY84" s="0"/>
      <c r="MIZ84" s="0"/>
      <c r="MJA84" s="0"/>
      <c r="MJB84" s="0"/>
      <c r="MJC84" s="0"/>
      <c r="MJD84" s="0"/>
      <c r="MJE84" s="0"/>
      <c r="MJF84" s="0"/>
      <c r="MJG84" s="0"/>
      <c r="MJH84" s="0"/>
      <c r="MJI84" s="0"/>
      <c r="MJJ84" s="0"/>
      <c r="MJK84" s="0"/>
      <c r="MJL84" s="0"/>
      <c r="MJM84" s="0"/>
      <c r="MJN84" s="0"/>
      <c r="MJO84" s="0"/>
      <c r="MJP84" s="0"/>
      <c r="MJQ84" s="0"/>
      <c r="MJR84" s="0"/>
      <c r="MJS84" s="0"/>
      <c r="MJT84" s="0"/>
      <c r="MJU84" s="0"/>
      <c r="MJV84" s="0"/>
      <c r="MJW84" s="0"/>
      <c r="MJX84" s="0"/>
      <c r="MJY84" s="0"/>
      <c r="MJZ84" s="0"/>
      <c r="MKA84" s="0"/>
      <c r="MKB84" s="0"/>
      <c r="MKC84" s="0"/>
      <c r="MKD84" s="0"/>
      <c r="MKE84" s="0"/>
      <c r="MKF84" s="0"/>
      <c r="MKG84" s="0"/>
      <c r="MKH84" s="0"/>
      <c r="MKI84" s="0"/>
      <c r="MKJ84" s="0"/>
      <c r="MKK84" s="0"/>
      <c r="MKL84" s="0"/>
      <c r="MKM84" s="0"/>
      <c r="MKN84" s="0"/>
      <c r="MKO84" s="0"/>
      <c r="MKP84" s="0"/>
      <c r="MKQ84" s="0"/>
      <c r="MKR84" s="0"/>
      <c r="MKS84" s="0"/>
      <c r="MKT84" s="0"/>
      <c r="MKU84" s="0"/>
      <c r="MKV84" s="0"/>
      <c r="MKW84" s="0"/>
      <c r="MKX84" s="0"/>
      <c r="MKY84" s="0"/>
      <c r="MKZ84" s="0"/>
      <c r="MLA84" s="0"/>
      <c r="MLB84" s="0"/>
      <c r="MLC84" s="0"/>
      <c r="MLD84" s="0"/>
      <c r="MLE84" s="0"/>
      <c r="MLF84" s="0"/>
      <c r="MLG84" s="0"/>
      <c r="MLH84" s="0"/>
      <c r="MLI84" s="0"/>
      <c r="MLJ84" s="0"/>
      <c r="MLK84" s="0"/>
      <c r="MLL84" s="0"/>
      <c r="MLM84" s="0"/>
      <c r="MLN84" s="0"/>
      <c r="MLO84" s="0"/>
      <c r="MLP84" s="0"/>
      <c r="MLQ84" s="0"/>
      <c r="MLR84" s="0"/>
      <c r="MLS84" s="0"/>
      <c r="MLT84" s="0"/>
      <c r="MLU84" s="0"/>
      <c r="MLV84" s="0"/>
      <c r="MLW84" s="0"/>
      <c r="MLX84" s="0"/>
      <c r="MLY84" s="0"/>
      <c r="MLZ84" s="0"/>
      <c r="MMA84" s="0"/>
      <c r="MMB84" s="0"/>
      <c r="MMC84" s="0"/>
      <c r="MMD84" s="0"/>
      <c r="MME84" s="0"/>
      <c r="MMF84" s="0"/>
      <c r="MMG84" s="0"/>
      <c r="MMH84" s="0"/>
      <c r="MMI84" s="0"/>
      <c r="MMJ84" s="0"/>
      <c r="MMK84" s="0"/>
      <c r="MML84" s="0"/>
      <c r="MMM84" s="0"/>
      <c r="MMN84" s="0"/>
      <c r="MMO84" s="0"/>
      <c r="MMP84" s="0"/>
      <c r="MMQ84" s="0"/>
      <c r="MMR84" s="0"/>
      <c r="MMS84" s="0"/>
      <c r="MMT84" s="0"/>
      <c r="MMU84" s="0"/>
      <c r="MMV84" s="0"/>
      <c r="MMW84" s="0"/>
      <c r="MMX84" s="0"/>
      <c r="MMY84" s="0"/>
      <c r="MMZ84" s="0"/>
      <c r="MNA84" s="0"/>
      <c r="MNB84" s="0"/>
      <c r="MNC84" s="0"/>
      <c r="MND84" s="0"/>
      <c r="MNE84" s="0"/>
      <c r="MNF84" s="0"/>
      <c r="MNG84" s="0"/>
      <c r="MNH84" s="0"/>
      <c r="MNI84" s="0"/>
      <c r="MNJ84" s="0"/>
      <c r="MNK84" s="0"/>
      <c r="MNL84" s="0"/>
      <c r="MNM84" s="0"/>
      <c r="MNN84" s="0"/>
      <c r="MNO84" s="0"/>
      <c r="MNP84" s="0"/>
      <c r="MNQ84" s="0"/>
      <c r="MNR84" s="0"/>
      <c r="MNS84" s="0"/>
      <c r="MNT84" s="0"/>
      <c r="MNU84" s="0"/>
      <c r="MNV84" s="0"/>
      <c r="MNW84" s="0"/>
      <c r="MNX84" s="0"/>
      <c r="MNY84" s="0"/>
      <c r="MNZ84" s="0"/>
      <c r="MOA84" s="0"/>
      <c r="MOB84" s="0"/>
      <c r="MOC84" s="0"/>
      <c r="MOD84" s="0"/>
      <c r="MOE84" s="0"/>
      <c r="MOF84" s="0"/>
      <c r="MOG84" s="0"/>
      <c r="MOH84" s="0"/>
      <c r="MOI84" s="0"/>
      <c r="MOJ84" s="0"/>
      <c r="MOK84" s="0"/>
      <c r="MOL84" s="0"/>
      <c r="MOM84" s="0"/>
      <c r="MON84" s="0"/>
      <c r="MOO84" s="0"/>
      <c r="MOP84" s="0"/>
      <c r="MOQ84" s="0"/>
      <c r="MOR84" s="0"/>
      <c r="MOS84" s="0"/>
      <c r="MOT84" s="0"/>
      <c r="MOU84" s="0"/>
      <c r="MOV84" s="0"/>
      <c r="MOW84" s="0"/>
      <c r="MOX84" s="0"/>
      <c r="MOY84" s="0"/>
      <c r="MOZ84" s="0"/>
      <c r="MPA84" s="0"/>
      <c r="MPB84" s="0"/>
      <c r="MPC84" s="0"/>
      <c r="MPD84" s="0"/>
      <c r="MPE84" s="0"/>
      <c r="MPF84" s="0"/>
      <c r="MPG84" s="0"/>
      <c r="MPH84" s="0"/>
      <c r="MPI84" s="0"/>
      <c r="MPJ84" s="0"/>
      <c r="MPK84" s="0"/>
      <c r="MPL84" s="0"/>
      <c r="MPM84" s="0"/>
      <c r="MPN84" s="0"/>
      <c r="MPO84" s="0"/>
      <c r="MPP84" s="0"/>
      <c r="MPQ84" s="0"/>
      <c r="MPR84" s="0"/>
      <c r="MPS84" s="0"/>
      <c r="MPT84" s="0"/>
      <c r="MPU84" s="0"/>
      <c r="MPV84" s="0"/>
      <c r="MPW84" s="0"/>
      <c r="MPX84" s="0"/>
      <c r="MPY84" s="0"/>
      <c r="MPZ84" s="0"/>
      <c r="MQA84" s="0"/>
      <c r="MQB84" s="0"/>
      <c r="MQC84" s="0"/>
      <c r="MQD84" s="0"/>
      <c r="MQE84" s="0"/>
      <c r="MQF84" s="0"/>
      <c r="MQG84" s="0"/>
      <c r="MQH84" s="0"/>
      <c r="MQI84" s="0"/>
      <c r="MQJ84" s="0"/>
      <c r="MQK84" s="0"/>
      <c r="MQL84" s="0"/>
      <c r="MQM84" s="0"/>
      <c r="MQN84" s="0"/>
      <c r="MQO84" s="0"/>
      <c r="MQP84" s="0"/>
      <c r="MQQ84" s="0"/>
      <c r="MQR84" s="0"/>
      <c r="MQS84" s="0"/>
      <c r="MQT84" s="0"/>
      <c r="MQU84" s="0"/>
      <c r="MQV84" s="0"/>
      <c r="MQW84" s="0"/>
      <c r="MQX84" s="0"/>
      <c r="MQY84" s="0"/>
      <c r="MQZ84" s="0"/>
      <c r="MRA84" s="0"/>
      <c r="MRB84" s="0"/>
      <c r="MRC84" s="0"/>
      <c r="MRD84" s="0"/>
      <c r="MRE84" s="0"/>
      <c r="MRF84" s="0"/>
      <c r="MRG84" s="0"/>
      <c r="MRH84" s="0"/>
      <c r="MRI84" s="0"/>
      <c r="MRJ84" s="0"/>
      <c r="MRK84" s="0"/>
      <c r="MRL84" s="0"/>
      <c r="MRM84" s="0"/>
      <c r="MRN84" s="0"/>
      <c r="MRO84" s="0"/>
      <c r="MRP84" s="0"/>
      <c r="MRQ84" s="0"/>
      <c r="MRR84" s="0"/>
      <c r="MRS84" s="0"/>
      <c r="MRT84" s="0"/>
      <c r="MRU84" s="0"/>
      <c r="MRV84" s="0"/>
      <c r="MRW84" s="0"/>
      <c r="MRX84" s="0"/>
      <c r="MRY84" s="0"/>
      <c r="MRZ84" s="0"/>
      <c r="MSA84" s="0"/>
      <c r="MSB84" s="0"/>
      <c r="MSC84" s="0"/>
      <c r="MSD84" s="0"/>
      <c r="MSE84" s="0"/>
      <c r="MSF84" s="0"/>
      <c r="MSG84" s="0"/>
      <c r="MSH84" s="0"/>
      <c r="MSI84" s="0"/>
      <c r="MSJ84" s="0"/>
      <c r="MSK84" s="0"/>
      <c r="MSL84" s="0"/>
      <c r="MSM84" s="0"/>
      <c r="MSN84" s="0"/>
      <c r="MSO84" s="0"/>
      <c r="MSP84" s="0"/>
      <c r="MSQ84" s="0"/>
      <c r="MSR84" s="0"/>
      <c r="MSS84" s="0"/>
      <c r="MST84" s="0"/>
      <c r="MSU84" s="0"/>
      <c r="MSV84" s="0"/>
      <c r="MSW84" s="0"/>
      <c r="MSX84" s="0"/>
      <c r="MSY84" s="0"/>
      <c r="MSZ84" s="0"/>
      <c r="MTA84" s="0"/>
      <c r="MTB84" s="0"/>
      <c r="MTC84" s="0"/>
      <c r="MTD84" s="0"/>
      <c r="MTE84" s="0"/>
      <c r="MTF84" s="0"/>
      <c r="MTG84" s="0"/>
      <c r="MTH84" s="0"/>
      <c r="MTI84" s="0"/>
      <c r="MTJ84" s="0"/>
      <c r="MTK84" s="0"/>
      <c r="MTL84" s="0"/>
      <c r="MTM84" s="0"/>
      <c r="MTN84" s="0"/>
      <c r="MTO84" s="0"/>
      <c r="MTP84" s="0"/>
      <c r="MTQ84" s="0"/>
      <c r="MTR84" s="0"/>
      <c r="MTS84" s="0"/>
      <c r="MTT84" s="0"/>
      <c r="MTU84" s="0"/>
      <c r="MTV84" s="0"/>
      <c r="MTW84" s="0"/>
      <c r="MTX84" s="0"/>
      <c r="MTY84" s="0"/>
      <c r="MTZ84" s="0"/>
      <c r="MUA84" s="0"/>
      <c r="MUB84" s="0"/>
      <c r="MUC84" s="0"/>
      <c r="MUD84" s="0"/>
      <c r="MUE84" s="0"/>
      <c r="MUF84" s="0"/>
      <c r="MUG84" s="0"/>
      <c r="MUH84" s="0"/>
      <c r="MUI84" s="0"/>
      <c r="MUJ84" s="0"/>
      <c r="MUK84" s="0"/>
      <c r="MUL84" s="0"/>
      <c r="MUM84" s="0"/>
      <c r="MUN84" s="0"/>
      <c r="MUO84" s="0"/>
      <c r="MUP84" s="0"/>
      <c r="MUQ84" s="0"/>
      <c r="MUR84" s="0"/>
      <c r="MUS84" s="0"/>
      <c r="MUT84" s="0"/>
      <c r="MUU84" s="0"/>
      <c r="MUV84" s="0"/>
      <c r="MUW84" s="0"/>
      <c r="MUX84" s="0"/>
      <c r="MUY84" s="0"/>
      <c r="MUZ84" s="0"/>
      <c r="MVA84" s="0"/>
      <c r="MVB84" s="0"/>
      <c r="MVC84" s="0"/>
      <c r="MVD84" s="0"/>
      <c r="MVE84" s="0"/>
      <c r="MVF84" s="0"/>
      <c r="MVG84" s="0"/>
      <c r="MVH84" s="0"/>
      <c r="MVI84" s="0"/>
      <c r="MVJ84" s="0"/>
      <c r="MVK84" s="0"/>
      <c r="MVL84" s="0"/>
      <c r="MVM84" s="0"/>
      <c r="MVN84" s="0"/>
      <c r="MVO84" s="0"/>
      <c r="MVP84" s="0"/>
      <c r="MVQ84" s="0"/>
      <c r="MVR84" s="0"/>
      <c r="MVS84" s="0"/>
      <c r="MVT84" s="0"/>
      <c r="MVU84" s="0"/>
      <c r="MVV84" s="0"/>
      <c r="MVW84" s="0"/>
      <c r="MVX84" s="0"/>
      <c r="MVY84" s="0"/>
      <c r="MVZ84" s="0"/>
      <c r="MWA84" s="0"/>
      <c r="MWB84" s="0"/>
      <c r="MWC84" s="0"/>
      <c r="MWD84" s="0"/>
      <c r="MWE84" s="0"/>
      <c r="MWF84" s="0"/>
      <c r="MWG84" s="0"/>
      <c r="MWH84" s="0"/>
      <c r="MWI84" s="0"/>
      <c r="MWJ84" s="0"/>
      <c r="MWK84" s="0"/>
      <c r="MWL84" s="0"/>
      <c r="MWM84" s="0"/>
      <c r="MWN84" s="0"/>
      <c r="MWO84" s="0"/>
      <c r="MWP84" s="0"/>
      <c r="MWQ84" s="0"/>
      <c r="MWR84" s="0"/>
      <c r="MWS84" s="0"/>
      <c r="MWT84" s="0"/>
      <c r="MWU84" s="0"/>
      <c r="MWV84" s="0"/>
      <c r="MWW84" s="0"/>
      <c r="MWX84" s="0"/>
      <c r="MWY84" s="0"/>
      <c r="MWZ84" s="0"/>
      <c r="MXA84" s="0"/>
      <c r="MXB84" s="0"/>
      <c r="MXC84" s="0"/>
      <c r="MXD84" s="0"/>
      <c r="MXE84" s="0"/>
      <c r="MXF84" s="0"/>
      <c r="MXG84" s="0"/>
      <c r="MXH84" s="0"/>
      <c r="MXI84" s="0"/>
      <c r="MXJ84" s="0"/>
      <c r="MXK84" s="0"/>
      <c r="MXL84" s="0"/>
      <c r="MXM84" s="0"/>
      <c r="MXN84" s="0"/>
      <c r="MXO84" s="0"/>
      <c r="MXP84" s="0"/>
      <c r="MXQ84" s="0"/>
      <c r="MXR84" s="0"/>
      <c r="MXS84" s="0"/>
      <c r="MXT84" s="0"/>
      <c r="MXU84" s="0"/>
      <c r="MXV84" s="0"/>
      <c r="MXW84" s="0"/>
      <c r="MXX84" s="0"/>
      <c r="MXY84" s="0"/>
      <c r="MXZ84" s="0"/>
      <c r="MYA84" s="0"/>
      <c r="MYB84" s="0"/>
      <c r="MYC84" s="0"/>
      <c r="MYD84" s="0"/>
      <c r="MYE84" s="0"/>
      <c r="MYF84" s="0"/>
      <c r="MYG84" s="0"/>
      <c r="MYH84" s="0"/>
      <c r="MYI84" s="0"/>
      <c r="MYJ84" s="0"/>
      <c r="MYK84" s="0"/>
      <c r="MYL84" s="0"/>
      <c r="MYM84" s="0"/>
      <c r="MYN84" s="0"/>
      <c r="MYO84" s="0"/>
      <c r="MYP84" s="0"/>
      <c r="MYQ84" s="0"/>
      <c r="MYR84" s="0"/>
      <c r="MYS84" s="0"/>
      <c r="MYT84" s="0"/>
      <c r="MYU84" s="0"/>
      <c r="MYV84" s="0"/>
      <c r="MYW84" s="0"/>
      <c r="MYX84" s="0"/>
      <c r="MYY84" s="0"/>
      <c r="MYZ84" s="0"/>
      <c r="MZA84" s="0"/>
      <c r="MZB84" s="0"/>
      <c r="MZC84" s="0"/>
      <c r="MZD84" s="0"/>
      <c r="MZE84" s="0"/>
      <c r="MZF84" s="0"/>
      <c r="MZG84" s="0"/>
      <c r="MZH84" s="0"/>
      <c r="MZI84" s="0"/>
      <c r="MZJ84" s="0"/>
      <c r="MZK84" s="0"/>
      <c r="MZL84" s="0"/>
      <c r="MZM84" s="0"/>
      <c r="MZN84" s="0"/>
      <c r="MZO84" s="0"/>
      <c r="MZP84" s="0"/>
      <c r="MZQ84" s="0"/>
      <c r="MZR84" s="0"/>
      <c r="MZS84" s="0"/>
      <c r="MZT84" s="0"/>
      <c r="MZU84" s="0"/>
      <c r="MZV84" s="0"/>
      <c r="MZW84" s="0"/>
      <c r="MZX84" s="0"/>
      <c r="MZY84" s="0"/>
      <c r="MZZ84" s="0"/>
      <c r="NAA84" s="0"/>
      <c r="NAB84" s="0"/>
      <c r="NAC84" s="0"/>
      <c r="NAD84" s="0"/>
      <c r="NAE84" s="0"/>
      <c r="NAF84" s="0"/>
      <c r="NAG84" s="0"/>
      <c r="NAH84" s="0"/>
      <c r="NAI84" s="0"/>
      <c r="NAJ84" s="0"/>
      <c r="NAK84" s="0"/>
      <c r="NAL84" s="0"/>
      <c r="NAM84" s="0"/>
      <c r="NAN84" s="0"/>
      <c r="NAO84" s="0"/>
      <c r="NAP84" s="0"/>
      <c r="NAQ84" s="0"/>
      <c r="NAR84" s="0"/>
      <c r="NAS84" s="0"/>
      <c r="NAT84" s="0"/>
      <c r="NAU84" s="0"/>
      <c r="NAV84" s="0"/>
      <c r="NAW84" s="0"/>
      <c r="NAX84" s="0"/>
      <c r="NAY84" s="0"/>
      <c r="NAZ84" s="0"/>
      <c r="NBA84" s="0"/>
      <c r="NBB84" s="0"/>
      <c r="NBC84" s="0"/>
      <c r="NBD84" s="0"/>
      <c r="NBE84" s="0"/>
      <c r="NBF84" s="0"/>
      <c r="NBG84" s="0"/>
      <c r="NBH84" s="0"/>
      <c r="NBI84" s="0"/>
      <c r="NBJ84" s="0"/>
      <c r="NBK84" s="0"/>
      <c r="NBL84" s="0"/>
      <c r="NBM84" s="0"/>
      <c r="NBN84" s="0"/>
      <c r="NBO84" s="0"/>
      <c r="NBP84" s="0"/>
      <c r="NBQ84" s="0"/>
      <c r="NBR84" s="0"/>
      <c r="NBS84" s="0"/>
      <c r="NBT84" s="0"/>
      <c r="NBU84" s="0"/>
      <c r="NBV84" s="0"/>
      <c r="NBW84" s="0"/>
      <c r="NBX84" s="0"/>
      <c r="NBY84" s="0"/>
      <c r="NBZ84" s="0"/>
      <c r="NCA84" s="0"/>
      <c r="NCB84" s="0"/>
      <c r="NCC84" s="0"/>
      <c r="NCD84" s="0"/>
      <c r="NCE84" s="0"/>
      <c r="NCF84" s="0"/>
      <c r="NCG84" s="0"/>
      <c r="NCH84" s="0"/>
      <c r="NCI84" s="0"/>
      <c r="NCJ84" s="0"/>
      <c r="NCK84" s="0"/>
      <c r="NCL84" s="0"/>
      <c r="NCM84" s="0"/>
      <c r="NCN84" s="0"/>
      <c r="NCO84" s="0"/>
      <c r="NCP84" s="0"/>
      <c r="NCQ84" s="0"/>
      <c r="NCR84" s="0"/>
      <c r="NCS84" s="0"/>
      <c r="NCT84" s="0"/>
      <c r="NCU84" s="0"/>
      <c r="NCV84" s="0"/>
      <c r="NCW84" s="0"/>
      <c r="NCX84" s="0"/>
      <c r="NCY84" s="0"/>
      <c r="NCZ84" s="0"/>
      <c r="NDA84" s="0"/>
      <c r="NDB84" s="0"/>
      <c r="NDC84" s="0"/>
      <c r="NDD84" s="0"/>
      <c r="NDE84" s="0"/>
      <c r="NDF84" s="0"/>
      <c r="NDG84" s="0"/>
      <c r="NDH84" s="0"/>
      <c r="NDI84" s="0"/>
      <c r="NDJ84" s="0"/>
      <c r="NDK84" s="0"/>
      <c r="NDL84" s="0"/>
      <c r="NDM84" s="0"/>
      <c r="NDN84" s="0"/>
      <c r="NDO84" s="0"/>
      <c r="NDP84" s="0"/>
      <c r="NDQ84" s="0"/>
      <c r="NDR84" s="0"/>
      <c r="NDS84" s="0"/>
      <c r="NDT84" s="0"/>
      <c r="NDU84" s="0"/>
      <c r="NDV84" s="0"/>
      <c r="NDW84" s="0"/>
      <c r="NDX84" s="0"/>
      <c r="NDY84" s="0"/>
      <c r="NDZ84" s="0"/>
      <c r="NEA84" s="0"/>
      <c r="NEB84" s="0"/>
      <c r="NEC84" s="0"/>
      <c r="NED84" s="0"/>
      <c r="NEE84" s="0"/>
      <c r="NEF84" s="0"/>
      <c r="NEG84" s="0"/>
      <c r="NEH84" s="0"/>
      <c r="NEI84" s="0"/>
      <c r="NEJ84" s="0"/>
      <c r="NEK84" s="0"/>
      <c r="NEL84" s="0"/>
      <c r="NEM84" s="0"/>
      <c r="NEN84" s="0"/>
      <c r="NEO84" s="0"/>
      <c r="NEP84" s="0"/>
      <c r="NEQ84" s="0"/>
      <c r="NER84" s="0"/>
      <c r="NES84" s="0"/>
      <c r="NET84" s="0"/>
      <c r="NEU84" s="0"/>
      <c r="NEV84" s="0"/>
      <c r="NEW84" s="0"/>
      <c r="NEX84" s="0"/>
      <c r="NEY84" s="0"/>
      <c r="NEZ84" s="0"/>
      <c r="NFA84" s="0"/>
      <c r="NFB84" s="0"/>
      <c r="NFC84" s="0"/>
      <c r="NFD84" s="0"/>
      <c r="NFE84" s="0"/>
      <c r="NFF84" s="0"/>
      <c r="NFG84" s="0"/>
      <c r="NFH84" s="0"/>
      <c r="NFI84" s="0"/>
      <c r="NFJ84" s="0"/>
      <c r="NFK84" s="0"/>
      <c r="NFL84" s="0"/>
      <c r="NFM84" s="0"/>
      <c r="NFN84" s="0"/>
      <c r="NFO84" s="0"/>
      <c r="NFP84" s="0"/>
      <c r="NFQ84" s="0"/>
      <c r="NFR84" s="0"/>
      <c r="NFS84" s="0"/>
      <c r="NFT84" s="0"/>
      <c r="NFU84" s="0"/>
      <c r="NFV84" s="0"/>
      <c r="NFW84" s="0"/>
      <c r="NFX84" s="0"/>
      <c r="NFY84" s="0"/>
      <c r="NFZ84" s="0"/>
      <c r="NGA84" s="0"/>
      <c r="NGB84" s="0"/>
      <c r="NGC84" s="0"/>
      <c r="NGD84" s="0"/>
      <c r="NGE84" s="0"/>
      <c r="NGF84" s="0"/>
      <c r="NGG84" s="0"/>
      <c r="NGH84" s="0"/>
      <c r="NGI84" s="0"/>
      <c r="NGJ84" s="0"/>
      <c r="NGK84" s="0"/>
      <c r="NGL84" s="0"/>
      <c r="NGM84" s="0"/>
      <c r="NGN84" s="0"/>
      <c r="NGO84" s="0"/>
      <c r="NGP84" s="0"/>
      <c r="NGQ84" s="0"/>
      <c r="NGR84" s="0"/>
      <c r="NGS84" s="0"/>
      <c r="NGT84" s="0"/>
      <c r="NGU84" s="0"/>
      <c r="NGV84" s="0"/>
      <c r="NGW84" s="0"/>
      <c r="NGX84" s="0"/>
      <c r="NGY84" s="0"/>
      <c r="NGZ84" s="0"/>
      <c r="NHA84" s="0"/>
      <c r="NHB84" s="0"/>
      <c r="NHC84" s="0"/>
      <c r="NHD84" s="0"/>
      <c r="NHE84" s="0"/>
      <c r="NHF84" s="0"/>
      <c r="NHG84" s="0"/>
      <c r="NHH84" s="0"/>
      <c r="NHI84" s="0"/>
      <c r="NHJ84" s="0"/>
      <c r="NHK84" s="0"/>
      <c r="NHL84" s="0"/>
      <c r="NHM84" s="0"/>
      <c r="NHN84" s="0"/>
      <c r="NHO84" s="0"/>
      <c r="NHP84" s="0"/>
      <c r="NHQ84" s="0"/>
      <c r="NHR84" s="0"/>
      <c r="NHS84" s="0"/>
      <c r="NHT84" s="0"/>
      <c r="NHU84" s="0"/>
      <c r="NHV84" s="0"/>
      <c r="NHW84" s="0"/>
      <c r="NHX84" s="0"/>
      <c r="NHY84" s="0"/>
      <c r="NHZ84" s="0"/>
      <c r="NIA84" s="0"/>
      <c r="NIB84" s="0"/>
      <c r="NIC84" s="0"/>
      <c r="NID84" s="0"/>
      <c r="NIE84" s="0"/>
      <c r="NIF84" s="0"/>
      <c r="NIG84" s="0"/>
      <c r="NIH84" s="0"/>
      <c r="NII84" s="0"/>
      <c r="NIJ84" s="0"/>
      <c r="NIK84" s="0"/>
      <c r="NIL84" s="0"/>
      <c r="NIM84" s="0"/>
      <c r="NIN84" s="0"/>
      <c r="NIO84" s="0"/>
      <c r="NIP84" s="0"/>
      <c r="NIQ84" s="0"/>
      <c r="NIR84" s="0"/>
      <c r="NIS84" s="0"/>
      <c r="NIT84" s="0"/>
      <c r="NIU84" s="0"/>
      <c r="NIV84" s="0"/>
      <c r="NIW84" s="0"/>
      <c r="NIX84" s="0"/>
      <c r="NIY84" s="0"/>
      <c r="NIZ84" s="0"/>
      <c r="NJA84" s="0"/>
      <c r="NJB84" s="0"/>
      <c r="NJC84" s="0"/>
      <c r="NJD84" s="0"/>
      <c r="NJE84" s="0"/>
      <c r="NJF84" s="0"/>
      <c r="NJG84" s="0"/>
      <c r="NJH84" s="0"/>
      <c r="NJI84" s="0"/>
      <c r="NJJ84" s="0"/>
      <c r="NJK84" s="0"/>
      <c r="NJL84" s="0"/>
      <c r="NJM84" s="0"/>
      <c r="NJN84" s="0"/>
      <c r="NJO84" s="0"/>
      <c r="NJP84" s="0"/>
      <c r="NJQ84" s="0"/>
      <c r="NJR84" s="0"/>
      <c r="NJS84" s="0"/>
      <c r="NJT84" s="0"/>
      <c r="NJU84" s="0"/>
      <c r="NJV84" s="0"/>
      <c r="NJW84" s="0"/>
      <c r="NJX84" s="0"/>
      <c r="NJY84" s="0"/>
      <c r="NJZ84" s="0"/>
      <c r="NKA84" s="0"/>
      <c r="NKB84" s="0"/>
      <c r="NKC84" s="0"/>
      <c r="NKD84" s="0"/>
      <c r="NKE84" s="0"/>
      <c r="NKF84" s="0"/>
      <c r="NKG84" s="0"/>
      <c r="NKH84" s="0"/>
      <c r="NKI84" s="0"/>
      <c r="NKJ84" s="0"/>
      <c r="NKK84" s="0"/>
      <c r="NKL84" s="0"/>
      <c r="NKM84" s="0"/>
      <c r="NKN84" s="0"/>
      <c r="NKO84" s="0"/>
      <c r="NKP84" s="0"/>
      <c r="NKQ84" s="0"/>
      <c r="NKR84" s="0"/>
      <c r="NKS84" s="0"/>
      <c r="NKT84" s="0"/>
      <c r="NKU84" s="0"/>
      <c r="NKV84" s="0"/>
      <c r="NKW84" s="0"/>
      <c r="NKX84" s="0"/>
      <c r="NKY84" s="0"/>
      <c r="NKZ84" s="0"/>
      <c r="NLA84" s="0"/>
      <c r="NLB84" s="0"/>
      <c r="NLC84" s="0"/>
      <c r="NLD84" s="0"/>
      <c r="NLE84" s="0"/>
      <c r="NLF84" s="0"/>
      <c r="NLG84" s="0"/>
      <c r="NLH84" s="0"/>
      <c r="NLI84" s="0"/>
      <c r="NLJ84" s="0"/>
      <c r="NLK84" s="0"/>
      <c r="NLL84" s="0"/>
      <c r="NLM84" s="0"/>
      <c r="NLN84" s="0"/>
      <c r="NLO84" s="0"/>
      <c r="NLP84" s="0"/>
      <c r="NLQ84" s="0"/>
      <c r="NLR84" s="0"/>
      <c r="NLS84" s="0"/>
      <c r="NLT84" s="0"/>
      <c r="NLU84" s="0"/>
      <c r="NLV84" s="0"/>
      <c r="NLW84" s="0"/>
      <c r="NLX84" s="0"/>
      <c r="NLY84" s="0"/>
      <c r="NLZ84" s="0"/>
      <c r="NMA84" s="0"/>
      <c r="NMB84" s="0"/>
      <c r="NMC84" s="0"/>
      <c r="NMD84" s="0"/>
      <c r="NME84" s="0"/>
      <c r="NMF84" s="0"/>
      <c r="NMG84" s="0"/>
      <c r="NMH84" s="0"/>
      <c r="NMI84" s="0"/>
      <c r="NMJ84" s="0"/>
      <c r="NMK84" s="0"/>
      <c r="NML84" s="0"/>
      <c r="NMM84" s="0"/>
      <c r="NMN84" s="0"/>
      <c r="NMO84" s="0"/>
      <c r="NMP84" s="0"/>
      <c r="NMQ84" s="0"/>
      <c r="NMR84" s="0"/>
      <c r="NMS84" s="0"/>
      <c r="NMT84" s="0"/>
      <c r="NMU84" s="0"/>
      <c r="NMV84" s="0"/>
      <c r="NMW84" s="0"/>
      <c r="NMX84" s="0"/>
      <c r="NMY84" s="0"/>
      <c r="NMZ84" s="0"/>
      <c r="NNA84" s="0"/>
      <c r="NNB84" s="0"/>
      <c r="NNC84" s="0"/>
      <c r="NND84" s="0"/>
      <c r="NNE84" s="0"/>
      <c r="NNF84" s="0"/>
      <c r="NNG84" s="0"/>
      <c r="NNH84" s="0"/>
      <c r="NNI84" s="0"/>
      <c r="NNJ84" s="0"/>
      <c r="NNK84" s="0"/>
      <c r="NNL84" s="0"/>
      <c r="NNM84" s="0"/>
      <c r="NNN84" s="0"/>
      <c r="NNO84" s="0"/>
      <c r="NNP84" s="0"/>
      <c r="NNQ84" s="0"/>
      <c r="NNR84" s="0"/>
      <c r="NNS84" s="0"/>
      <c r="NNT84" s="0"/>
      <c r="NNU84" s="0"/>
      <c r="NNV84" s="0"/>
      <c r="NNW84" s="0"/>
      <c r="NNX84" s="0"/>
      <c r="NNY84" s="0"/>
      <c r="NNZ84" s="0"/>
      <c r="NOA84" s="0"/>
      <c r="NOB84" s="0"/>
      <c r="NOC84" s="0"/>
      <c r="NOD84" s="0"/>
      <c r="NOE84" s="0"/>
      <c r="NOF84" s="0"/>
      <c r="NOG84" s="0"/>
      <c r="NOH84" s="0"/>
      <c r="NOI84" s="0"/>
      <c r="NOJ84" s="0"/>
      <c r="NOK84" s="0"/>
      <c r="NOL84" s="0"/>
      <c r="NOM84" s="0"/>
      <c r="NON84" s="0"/>
      <c r="NOO84" s="0"/>
      <c r="NOP84" s="0"/>
      <c r="NOQ84" s="0"/>
      <c r="NOR84" s="0"/>
      <c r="NOS84" s="0"/>
      <c r="NOT84" s="0"/>
      <c r="NOU84" s="0"/>
      <c r="NOV84" s="0"/>
      <c r="NOW84" s="0"/>
      <c r="NOX84" s="0"/>
      <c r="NOY84" s="0"/>
      <c r="NOZ84" s="0"/>
      <c r="NPA84" s="0"/>
      <c r="NPB84" s="0"/>
      <c r="NPC84" s="0"/>
      <c r="NPD84" s="0"/>
      <c r="NPE84" s="0"/>
      <c r="NPF84" s="0"/>
      <c r="NPG84" s="0"/>
      <c r="NPH84" s="0"/>
      <c r="NPI84" s="0"/>
      <c r="NPJ84" s="0"/>
      <c r="NPK84" s="0"/>
      <c r="NPL84" s="0"/>
      <c r="NPM84" s="0"/>
      <c r="NPN84" s="0"/>
      <c r="NPO84" s="0"/>
      <c r="NPP84" s="0"/>
      <c r="NPQ84" s="0"/>
      <c r="NPR84" s="0"/>
      <c r="NPS84" s="0"/>
      <c r="NPT84" s="0"/>
      <c r="NPU84" s="0"/>
      <c r="NPV84" s="0"/>
      <c r="NPW84" s="0"/>
      <c r="NPX84" s="0"/>
      <c r="NPY84" s="0"/>
      <c r="NPZ84" s="0"/>
      <c r="NQA84" s="0"/>
      <c r="NQB84" s="0"/>
      <c r="NQC84" s="0"/>
      <c r="NQD84" s="0"/>
      <c r="NQE84" s="0"/>
      <c r="NQF84" s="0"/>
      <c r="NQG84" s="0"/>
      <c r="NQH84" s="0"/>
      <c r="NQI84" s="0"/>
      <c r="NQJ84" s="0"/>
      <c r="NQK84" s="0"/>
      <c r="NQL84" s="0"/>
      <c r="NQM84" s="0"/>
      <c r="NQN84" s="0"/>
      <c r="NQO84" s="0"/>
      <c r="NQP84" s="0"/>
      <c r="NQQ84" s="0"/>
      <c r="NQR84" s="0"/>
      <c r="NQS84" s="0"/>
      <c r="NQT84" s="0"/>
      <c r="NQU84" s="0"/>
      <c r="NQV84" s="0"/>
      <c r="NQW84" s="0"/>
      <c r="NQX84" s="0"/>
      <c r="NQY84" s="0"/>
      <c r="NQZ84" s="0"/>
      <c r="NRA84" s="0"/>
      <c r="NRB84" s="0"/>
      <c r="NRC84" s="0"/>
      <c r="NRD84" s="0"/>
      <c r="NRE84" s="0"/>
      <c r="NRF84" s="0"/>
      <c r="NRG84" s="0"/>
      <c r="NRH84" s="0"/>
      <c r="NRI84" s="0"/>
      <c r="NRJ84" s="0"/>
      <c r="NRK84" s="0"/>
      <c r="NRL84" s="0"/>
      <c r="NRM84" s="0"/>
      <c r="NRN84" s="0"/>
      <c r="NRO84" s="0"/>
      <c r="NRP84" s="0"/>
      <c r="NRQ84" s="0"/>
      <c r="NRR84" s="0"/>
      <c r="NRS84" s="0"/>
      <c r="NRT84" s="0"/>
      <c r="NRU84" s="0"/>
      <c r="NRV84" s="0"/>
      <c r="NRW84" s="0"/>
      <c r="NRX84" s="0"/>
      <c r="NRY84" s="0"/>
      <c r="NRZ84" s="0"/>
      <c r="NSA84" s="0"/>
      <c r="NSB84" s="0"/>
      <c r="NSC84" s="0"/>
      <c r="NSD84" s="0"/>
      <c r="NSE84" s="0"/>
      <c r="NSF84" s="0"/>
      <c r="NSG84" s="0"/>
      <c r="NSH84" s="0"/>
      <c r="NSI84" s="0"/>
      <c r="NSJ84" s="0"/>
      <c r="NSK84" s="0"/>
      <c r="NSL84" s="0"/>
      <c r="NSM84" s="0"/>
      <c r="NSN84" s="0"/>
      <c r="NSO84" s="0"/>
      <c r="NSP84" s="0"/>
      <c r="NSQ84" s="0"/>
      <c r="NSR84" s="0"/>
      <c r="NSS84" s="0"/>
      <c r="NST84" s="0"/>
      <c r="NSU84" s="0"/>
      <c r="NSV84" s="0"/>
      <c r="NSW84" s="0"/>
      <c r="NSX84" s="0"/>
      <c r="NSY84" s="0"/>
      <c r="NSZ84" s="0"/>
      <c r="NTA84" s="0"/>
      <c r="NTB84" s="0"/>
      <c r="NTC84" s="0"/>
      <c r="NTD84" s="0"/>
      <c r="NTE84" s="0"/>
      <c r="NTF84" s="0"/>
      <c r="NTG84" s="0"/>
      <c r="NTH84" s="0"/>
      <c r="NTI84" s="0"/>
      <c r="NTJ84" s="0"/>
      <c r="NTK84" s="0"/>
      <c r="NTL84" s="0"/>
      <c r="NTM84" s="0"/>
      <c r="NTN84" s="0"/>
      <c r="NTO84" s="0"/>
      <c r="NTP84" s="0"/>
      <c r="NTQ84" s="0"/>
      <c r="NTR84" s="0"/>
      <c r="NTS84" s="0"/>
      <c r="NTT84" s="0"/>
      <c r="NTU84" s="0"/>
      <c r="NTV84" s="0"/>
      <c r="NTW84" s="0"/>
      <c r="NTX84" s="0"/>
      <c r="NTY84" s="0"/>
      <c r="NTZ84" s="0"/>
      <c r="NUA84" s="0"/>
      <c r="NUB84" s="0"/>
      <c r="NUC84" s="0"/>
      <c r="NUD84" s="0"/>
      <c r="NUE84" s="0"/>
      <c r="NUF84" s="0"/>
      <c r="NUG84" s="0"/>
      <c r="NUH84" s="0"/>
      <c r="NUI84" s="0"/>
      <c r="NUJ84" s="0"/>
      <c r="NUK84" s="0"/>
      <c r="NUL84" s="0"/>
      <c r="NUM84" s="0"/>
      <c r="NUN84" s="0"/>
      <c r="NUO84" s="0"/>
      <c r="NUP84" s="0"/>
      <c r="NUQ84" s="0"/>
      <c r="NUR84" s="0"/>
      <c r="NUS84" s="0"/>
      <c r="NUT84" s="0"/>
      <c r="NUU84" s="0"/>
      <c r="NUV84" s="0"/>
      <c r="NUW84" s="0"/>
      <c r="NUX84" s="0"/>
      <c r="NUY84" s="0"/>
      <c r="NUZ84" s="0"/>
      <c r="NVA84" s="0"/>
      <c r="NVB84" s="0"/>
      <c r="NVC84" s="0"/>
      <c r="NVD84" s="0"/>
      <c r="NVE84" s="0"/>
      <c r="NVF84" s="0"/>
      <c r="NVG84" s="0"/>
      <c r="NVH84" s="0"/>
      <c r="NVI84" s="0"/>
      <c r="NVJ84" s="0"/>
      <c r="NVK84" s="0"/>
      <c r="NVL84" s="0"/>
      <c r="NVM84" s="0"/>
      <c r="NVN84" s="0"/>
      <c r="NVO84" s="0"/>
      <c r="NVP84" s="0"/>
      <c r="NVQ84" s="0"/>
      <c r="NVR84" s="0"/>
      <c r="NVS84" s="0"/>
      <c r="NVT84" s="0"/>
      <c r="NVU84" s="0"/>
      <c r="NVV84" s="0"/>
      <c r="NVW84" s="0"/>
      <c r="NVX84" s="0"/>
      <c r="NVY84" s="0"/>
      <c r="NVZ84" s="0"/>
      <c r="NWA84" s="0"/>
      <c r="NWB84" s="0"/>
      <c r="NWC84" s="0"/>
      <c r="NWD84" s="0"/>
      <c r="NWE84" s="0"/>
      <c r="NWF84" s="0"/>
      <c r="NWG84" s="0"/>
      <c r="NWH84" s="0"/>
      <c r="NWI84" s="0"/>
      <c r="NWJ84" s="0"/>
      <c r="NWK84" s="0"/>
      <c r="NWL84" s="0"/>
      <c r="NWM84" s="0"/>
      <c r="NWN84" s="0"/>
      <c r="NWO84" s="0"/>
      <c r="NWP84" s="0"/>
      <c r="NWQ84" s="0"/>
      <c r="NWR84" s="0"/>
      <c r="NWS84" s="0"/>
      <c r="NWT84" s="0"/>
      <c r="NWU84" s="0"/>
      <c r="NWV84" s="0"/>
      <c r="NWW84" s="0"/>
      <c r="NWX84" s="0"/>
      <c r="NWY84" s="0"/>
      <c r="NWZ84" s="0"/>
      <c r="NXA84" s="0"/>
      <c r="NXB84" s="0"/>
      <c r="NXC84" s="0"/>
      <c r="NXD84" s="0"/>
      <c r="NXE84" s="0"/>
      <c r="NXF84" s="0"/>
      <c r="NXG84" s="0"/>
      <c r="NXH84" s="0"/>
      <c r="NXI84" s="0"/>
      <c r="NXJ84" s="0"/>
      <c r="NXK84" s="0"/>
      <c r="NXL84" s="0"/>
      <c r="NXM84" s="0"/>
      <c r="NXN84" s="0"/>
      <c r="NXO84" s="0"/>
      <c r="NXP84" s="0"/>
      <c r="NXQ84" s="0"/>
      <c r="NXR84" s="0"/>
      <c r="NXS84" s="0"/>
      <c r="NXT84" s="0"/>
      <c r="NXU84" s="0"/>
      <c r="NXV84" s="0"/>
      <c r="NXW84" s="0"/>
      <c r="NXX84" s="0"/>
      <c r="NXY84" s="0"/>
      <c r="NXZ84" s="0"/>
      <c r="NYA84" s="0"/>
      <c r="NYB84" s="0"/>
      <c r="NYC84" s="0"/>
      <c r="NYD84" s="0"/>
      <c r="NYE84" s="0"/>
      <c r="NYF84" s="0"/>
      <c r="NYG84" s="0"/>
      <c r="NYH84" s="0"/>
      <c r="NYI84" s="0"/>
      <c r="NYJ84" s="0"/>
      <c r="NYK84" s="0"/>
      <c r="NYL84" s="0"/>
      <c r="NYM84" s="0"/>
      <c r="NYN84" s="0"/>
      <c r="NYO84" s="0"/>
      <c r="NYP84" s="0"/>
      <c r="NYQ84" s="0"/>
      <c r="NYR84" s="0"/>
      <c r="NYS84" s="0"/>
      <c r="NYT84" s="0"/>
      <c r="NYU84" s="0"/>
      <c r="NYV84" s="0"/>
      <c r="NYW84" s="0"/>
      <c r="NYX84" s="0"/>
      <c r="NYY84" s="0"/>
      <c r="NYZ84" s="0"/>
      <c r="NZA84" s="0"/>
      <c r="NZB84" s="0"/>
      <c r="NZC84" s="0"/>
      <c r="NZD84" s="0"/>
      <c r="NZE84" s="0"/>
      <c r="NZF84" s="0"/>
      <c r="NZG84" s="0"/>
      <c r="NZH84" s="0"/>
      <c r="NZI84" s="0"/>
      <c r="NZJ84" s="0"/>
      <c r="NZK84" s="0"/>
      <c r="NZL84" s="0"/>
      <c r="NZM84" s="0"/>
      <c r="NZN84" s="0"/>
      <c r="NZO84" s="0"/>
      <c r="NZP84" s="0"/>
      <c r="NZQ84" s="0"/>
      <c r="NZR84" s="0"/>
      <c r="NZS84" s="0"/>
      <c r="NZT84" s="0"/>
      <c r="NZU84" s="0"/>
      <c r="NZV84" s="0"/>
      <c r="NZW84" s="0"/>
      <c r="NZX84" s="0"/>
      <c r="NZY84" s="0"/>
      <c r="NZZ84" s="0"/>
      <c r="OAA84" s="0"/>
      <c r="OAB84" s="0"/>
      <c r="OAC84" s="0"/>
      <c r="OAD84" s="0"/>
      <c r="OAE84" s="0"/>
      <c r="OAF84" s="0"/>
      <c r="OAG84" s="0"/>
      <c r="OAH84" s="0"/>
      <c r="OAI84" s="0"/>
      <c r="OAJ84" s="0"/>
      <c r="OAK84" s="0"/>
      <c r="OAL84" s="0"/>
      <c r="OAM84" s="0"/>
      <c r="OAN84" s="0"/>
      <c r="OAO84" s="0"/>
      <c r="OAP84" s="0"/>
      <c r="OAQ84" s="0"/>
      <c r="OAR84" s="0"/>
      <c r="OAS84" s="0"/>
      <c r="OAT84" s="0"/>
      <c r="OAU84" s="0"/>
      <c r="OAV84" s="0"/>
      <c r="OAW84" s="0"/>
      <c r="OAX84" s="0"/>
      <c r="OAY84" s="0"/>
      <c r="OAZ84" s="0"/>
      <c r="OBA84" s="0"/>
      <c r="OBB84" s="0"/>
      <c r="OBC84" s="0"/>
      <c r="OBD84" s="0"/>
      <c r="OBE84" s="0"/>
      <c r="OBF84" s="0"/>
      <c r="OBG84" s="0"/>
      <c r="OBH84" s="0"/>
      <c r="OBI84" s="0"/>
      <c r="OBJ84" s="0"/>
      <c r="OBK84" s="0"/>
      <c r="OBL84" s="0"/>
      <c r="OBM84" s="0"/>
      <c r="OBN84" s="0"/>
      <c r="OBO84" s="0"/>
      <c r="OBP84" s="0"/>
      <c r="OBQ84" s="0"/>
      <c r="OBR84" s="0"/>
      <c r="OBS84" s="0"/>
      <c r="OBT84" s="0"/>
      <c r="OBU84" s="0"/>
      <c r="OBV84" s="0"/>
      <c r="OBW84" s="0"/>
      <c r="OBX84" s="0"/>
      <c r="OBY84" s="0"/>
      <c r="OBZ84" s="0"/>
      <c r="OCA84" s="0"/>
      <c r="OCB84" s="0"/>
      <c r="OCC84" s="0"/>
      <c r="OCD84" s="0"/>
      <c r="OCE84" s="0"/>
      <c r="OCF84" s="0"/>
      <c r="OCG84" s="0"/>
      <c r="OCH84" s="0"/>
      <c r="OCI84" s="0"/>
      <c r="OCJ84" s="0"/>
      <c r="OCK84" s="0"/>
      <c r="OCL84" s="0"/>
      <c r="OCM84" s="0"/>
      <c r="OCN84" s="0"/>
      <c r="OCO84" s="0"/>
      <c r="OCP84" s="0"/>
      <c r="OCQ84" s="0"/>
      <c r="OCR84" s="0"/>
      <c r="OCS84" s="0"/>
      <c r="OCT84" s="0"/>
      <c r="OCU84" s="0"/>
      <c r="OCV84" s="0"/>
      <c r="OCW84" s="0"/>
      <c r="OCX84" s="0"/>
      <c r="OCY84" s="0"/>
      <c r="OCZ84" s="0"/>
      <c r="ODA84" s="0"/>
      <c r="ODB84" s="0"/>
      <c r="ODC84" s="0"/>
      <c r="ODD84" s="0"/>
      <c r="ODE84" s="0"/>
      <c r="ODF84" s="0"/>
      <c r="ODG84" s="0"/>
      <c r="ODH84" s="0"/>
      <c r="ODI84" s="0"/>
      <c r="ODJ84" s="0"/>
      <c r="ODK84" s="0"/>
      <c r="ODL84" s="0"/>
      <c r="ODM84" s="0"/>
      <c r="ODN84" s="0"/>
      <c r="ODO84" s="0"/>
      <c r="ODP84" s="0"/>
      <c r="ODQ84" s="0"/>
      <c r="ODR84" s="0"/>
      <c r="ODS84" s="0"/>
      <c r="ODT84" s="0"/>
      <c r="ODU84" s="0"/>
      <c r="ODV84" s="0"/>
      <c r="ODW84" s="0"/>
      <c r="ODX84" s="0"/>
      <c r="ODY84" s="0"/>
      <c r="ODZ84" s="0"/>
      <c r="OEA84" s="0"/>
      <c r="OEB84" s="0"/>
      <c r="OEC84" s="0"/>
      <c r="OED84" s="0"/>
      <c r="OEE84" s="0"/>
      <c r="OEF84" s="0"/>
      <c r="OEG84" s="0"/>
      <c r="OEH84" s="0"/>
      <c r="OEI84" s="0"/>
      <c r="OEJ84" s="0"/>
      <c r="OEK84" s="0"/>
      <c r="OEL84" s="0"/>
      <c r="OEM84" s="0"/>
      <c r="OEN84" s="0"/>
      <c r="OEO84" s="0"/>
      <c r="OEP84" s="0"/>
      <c r="OEQ84" s="0"/>
      <c r="OER84" s="0"/>
      <c r="OES84" s="0"/>
      <c r="OET84" s="0"/>
      <c r="OEU84" s="0"/>
      <c r="OEV84" s="0"/>
      <c r="OEW84" s="0"/>
      <c r="OEX84" s="0"/>
      <c r="OEY84" s="0"/>
      <c r="OEZ84" s="0"/>
      <c r="OFA84" s="0"/>
      <c r="OFB84" s="0"/>
      <c r="OFC84" s="0"/>
      <c r="OFD84" s="0"/>
      <c r="OFE84" s="0"/>
      <c r="OFF84" s="0"/>
      <c r="OFG84" s="0"/>
      <c r="OFH84" s="0"/>
      <c r="OFI84" s="0"/>
      <c r="OFJ84" s="0"/>
      <c r="OFK84" s="0"/>
      <c r="OFL84" s="0"/>
      <c r="OFM84" s="0"/>
      <c r="OFN84" s="0"/>
      <c r="OFO84" s="0"/>
      <c r="OFP84" s="0"/>
      <c r="OFQ84" s="0"/>
      <c r="OFR84" s="0"/>
      <c r="OFS84" s="0"/>
      <c r="OFT84" s="0"/>
      <c r="OFU84" s="0"/>
      <c r="OFV84" s="0"/>
      <c r="OFW84" s="0"/>
      <c r="OFX84" s="0"/>
      <c r="OFY84" s="0"/>
      <c r="OFZ84" s="0"/>
      <c r="OGA84" s="0"/>
      <c r="OGB84" s="0"/>
      <c r="OGC84" s="0"/>
      <c r="OGD84" s="0"/>
      <c r="OGE84" s="0"/>
      <c r="OGF84" s="0"/>
      <c r="OGG84" s="0"/>
      <c r="OGH84" s="0"/>
      <c r="OGI84" s="0"/>
      <c r="OGJ84" s="0"/>
      <c r="OGK84" s="0"/>
      <c r="OGL84" s="0"/>
      <c r="OGM84" s="0"/>
      <c r="OGN84" s="0"/>
      <c r="OGO84" s="0"/>
      <c r="OGP84" s="0"/>
      <c r="OGQ84" s="0"/>
      <c r="OGR84" s="0"/>
      <c r="OGS84" s="0"/>
      <c r="OGT84" s="0"/>
      <c r="OGU84" s="0"/>
      <c r="OGV84" s="0"/>
      <c r="OGW84" s="0"/>
      <c r="OGX84" s="0"/>
      <c r="OGY84" s="0"/>
      <c r="OGZ84" s="0"/>
      <c r="OHA84" s="0"/>
      <c r="OHB84" s="0"/>
      <c r="OHC84" s="0"/>
      <c r="OHD84" s="0"/>
      <c r="OHE84" s="0"/>
      <c r="OHF84" s="0"/>
      <c r="OHG84" s="0"/>
      <c r="OHH84" s="0"/>
      <c r="OHI84" s="0"/>
      <c r="OHJ84" s="0"/>
      <c r="OHK84" s="0"/>
      <c r="OHL84" s="0"/>
      <c r="OHM84" s="0"/>
      <c r="OHN84" s="0"/>
      <c r="OHO84" s="0"/>
      <c r="OHP84" s="0"/>
      <c r="OHQ84" s="0"/>
      <c r="OHR84" s="0"/>
      <c r="OHS84" s="0"/>
      <c r="OHT84" s="0"/>
      <c r="OHU84" s="0"/>
      <c r="OHV84" s="0"/>
      <c r="OHW84" s="0"/>
      <c r="OHX84" s="0"/>
      <c r="OHY84" s="0"/>
      <c r="OHZ84" s="0"/>
      <c r="OIA84" s="0"/>
      <c r="OIB84" s="0"/>
      <c r="OIC84" s="0"/>
      <c r="OID84" s="0"/>
      <c r="OIE84" s="0"/>
      <c r="OIF84" s="0"/>
      <c r="OIG84" s="0"/>
      <c r="OIH84" s="0"/>
      <c r="OII84" s="0"/>
      <c r="OIJ84" s="0"/>
      <c r="OIK84" s="0"/>
      <c r="OIL84" s="0"/>
      <c r="OIM84" s="0"/>
      <c r="OIN84" s="0"/>
      <c r="OIO84" s="0"/>
      <c r="OIP84" s="0"/>
      <c r="OIQ84" s="0"/>
      <c r="OIR84" s="0"/>
      <c r="OIS84" s="0"/>
      <c r="OIT84" s="0"/>
      <c r="OIU84" s="0"/>
      <c r="OIV84" s="0"/>
      <c r="OIW84" s="0"/>
      <c r="OIX84" s="0"/>
      <c r="OIY84" s="0"/>
      <c r="OIZ84" s="0"/>
      <c r="OJA84" s="0"/>
      <c r="OJB84" s="0"/>
      <c r="OJC84" s="0"/>
      <c r="OJD84" s="0"/>
      <c r="OJE84" s="0"/>
      <c r="OJF84" s="0"/>
      <c r="OJG84" s="0"/>
      <c r="OJH84" s="0"/>
      <c r="OJI84" s="0"/>
      <c r="OJJ84" s="0"/>
      <c r="OJK84" s="0"/>
      <c r="OJL84" s="0"/>
      <c r="OJM84" s="0"/>
      <c r="OJN84" s="0"/>
      <c r="OJO84" s="0"/>
      <c r="OJP84" s="0"/>
      <c r="OJQ84" s="0"/>
      <c r="OJR84" s="0"/>
      <c r="OJS84" s="0"/>
      <c r="OJT84" s="0"/>
      <c r="OJU84" s="0"/>
      <c r="OJV84" s="0"/>
      <c r="OJW84" s="0"/>
      <c r="OJX84" s="0"/>
      <c r="OJY84" s="0"/>
      <c r="OJZ84" s="0"/>
      <c r="OKA84" s="0"/>
      <c r="OKB84" s="0"/>
      <c r="OKC84" s="0"/>
      <c r="OKD84" s="0"/>
      <c r="OKE84" s="0"/>
      <c r="OKF84" s="0"/>
      <c r="OKG84" s="0"/>
      <c r="OKH84" s="0"/>
      <c r="OKI84" s="0"/>
      <c r="OKJ84" s="0"/>
      <c r="OKK84" s="0"/>
      <c r="OKL84" s="0"/>
      <c r="OKM84" s="0"/>
      <c r="OKN84" s="0"/>
      <c r="OKO84" s="0"/>
      <c r="OKP84" s="0"/>
      <c r="OKQ84" s="0"/>
      <c r="OKR84" s="0"/>
      <c r="OKS84" s="0"/>
      <c r="OKT84" s="0"/>
      <c r="OKU84" s="0"/>
      <c r="OKV84" s="0"/>
      <c r="OKW84" s="0"/>
      <c r="OKX84" s="0"/>
      <c r="OKY84" s="0"/>
      <c r="OKZ84" s="0"/>
      <c r="OLA84" s="0"/>
      <c r="OLB84" s="0"/>
      <c r="OLC84" s="0"/>
      <c r="OLD84" s="0"/>
      <c r="OLE84" s="0"/>
      <c r="OLF84" s="0"/>
      <c r="OLG84" s="0"/>
      <c r="OLH84" s="0"/>
      <c r="OLI84" s="0"/>
      <c r="OLJ84" s="0"/>
      <c r="OLK84" s="0"/>
      <c r="OLL84" s="0"/>
      <c r="OLM84" s="0"/>
      <c r="OLN84" s="0"/>
      <c r="OLO84" s="0"/>
      <c r="OLP84" s="0"/>
      <c r="OLQ84" s="0"/>
      <c r="OLR84" s="0"/>
      <c r="OLS84" s="0"/>
      <c r="OLT84" s="0"/>
      <c r="OLU84" s="0"/>
      <c r="OLV84" s="0"/>
      <c r="OLW84" s="0"/>
      <c r="OLX84" s="0"/>
      <c r="OLY84" s="0"/>
      <c r="OLZ84" s="0"/>
      <c r="OMA84" s="0"/>
      <c r="OMB84" s="0"/>
      <c r="OMC84" s="0"/>
      <c r="OMD84" s="0"/>
      <c r="OME84" s="0"/>
      <c r="OMF84" s="0"/>
      <c r="OMG84" s="0"/>
      <c r="OMH84" s="0"/>
      <c r="OMI84" s="0"/>
      <c r="OMJ84" s="0"/>
      <c r="OMK84" s="0"/>
      <c r="OML84" s="0"/>
      <c r="OMM84" s="0"/>
      <c r="OMN84" s="0"/>
      <c r="OMO84" s="0"/>
      <c r="OMP84" s="0"/>
      <c r="OMQ84" s="0"/>
      <c r="OMR84" s="0"/>
      <c r="OMS84" s="0"/>
      <c r="OMT84" s="0"/>
      <c r="OMU84" s="0"/>
      <c r="OMV84" s="0"/>
      <c r="OMW84" s="0"/>
      <c r="OMX84" s="0"/>
      <c r="OMY84" s="0"/>
      <c r="OMZ84" s="0"/>
      <c r="ONA84" s="0"/>
      <c r="ONB84" s="0"/>
      <c r="ONC84" s="0"/>
      <c r="OND84" s="0"/>
      <c r="ONE84" s="0"/>
      <c r="ONF84" s="0"/>
      <c r="ONG84" s="0"/>
      <c r="ONH84" s="0"/>
      <c r="ONI84" s="0"/>
      <c r="ONJ84" s="0"/>
      <c r="ONK84" s="0"/>
      <c r="ONL84" s="0"/>
      <c r="ONM84" s="0"/>
      <c r="ONN84" s="0"/>
      <c r="ONO84" s="0"/>
      <c r="ONP84" s="0"/>
      <c r="ONQ84" s="0"/>
      <c r="ONR84" s="0"/>
      <c r="ONS84" s="0"/>
      <c r="ONT84" s="0"/>
      <c r="ONU84" s="0"/>
      <c r="ONV84" s="0"/>
      <c r="ONW84" s="0"/>
      <c r="ONX84" s="0"/>
      <c r="ONY84" s="0"/>
      <c r="ONZ84" s="0"/>
      <c r="OOA84" s="0"/>
      <c r="OOB84" s="0"/>
      <c r="OOC84" s="0"/>
      <c r="OOD84" s="0"/>
      <c r="OOE84" s="0"/>
      <c r="OOF84" s="0"/>
      <c r="OOG84" s="0"/>
      <c r="OOH84" s="0"/>
      <c r="OOI84" s="0"/>
      <c r="OOJ84" s="0"/>
      <c r="OOK84" s="0"/>
      <c r="OOL84" s="0"/>
      <c r="OOM84" s="0"/>
      <c r="OON84" s="0"/>
      <c r="OOO84" s="0"/>
      <c r="OOP84" s="0"/>
      <c r="OOQ84" s="0"/>
      <c r="OOR84" s="0"/>
      <c r="OOS84" s="0"/>
      <c r="OOT84" s="0"/>
      <c r="OOU84" s="0"/>
      <c r="OOV84" s="0"/>
      <c r="OOW84" s="0"/>
      <c r="OOX84" s="0"/>
      <c r="OOY84" s="0"/>
      <c r="OOZ84" s="0"/>
      <c r="OPA84" s="0"/>
      <c r="OPB84" s="0"/>
      <c r="OPC84" s="0"/>
      <c r="OPD84" s="0"/>
      <c r="OPE84" s="0"/>
      <c r="OPF84" s="0"/>
      <c r="OPG84" s="0"/>
      <c r="OPH84" s="0"/>
      <c r="OPI84" s="0"/>
      <c r="OPJ84" s="0"/>
      <c r="OPK84" s="0"/>
      <c r="OPL84" s="0"/>
      <c r="OPM84" s="0"/>
      <c r="OPN84" s="0"/>
      <c r="OPO84" s="0"/>
      <c r="OPP84" s="0"/>
      <c r="OPQ84" s="0"/>
      <c r="OPR84" s="0"/>
      <c r="OPS84" s="0"/>
      <c r="OPT84" s="0"/>
      <c r="OPU84" s="0"/>
      <c r="OPV84" s="0"/>
      <c r="OPW84" s="0"/>
      <c r="OPX84" s="0"/>
      <c r="OPY84" s="0"/>
      <c r="OPZ84" s="0"/>
      <c r="OQA84" s="0"/>
      <c r="OQB84" s="0"/>
      <c r="OQC84" s="0"/>
      <c r="OQD84" s="0"/>
      <c r="OQE84" s="0"/>
      <c r="OQF84" s="0"/>
      <c r="OQG84" s="0"/>
      <c r="OQH84" s="0"/>
      <c r="OQI84" s="0"/>
      <c r="OQJ84" s="0"/>
      <c r="OQK84" s="0"/>
      <c r="OQL84" s="0"/>
      <c r="OQM84" s="0"/>
      <c r="OQN84" s="0"/>
      <c r="OQO84" s="0"/>
      <c r="OQP84" s="0"/>
      <c r="OQQ84" s="0"/>
      <c r="OQR84" s="0"/>
      <c r="OQS84" s="0"/>
      <c r="OQT84" s="0"/>
      <c r="OQU84" s="0"/>
      <c r="OQV84" s="0"/>
      <c r="OQW84" s="0"/>
      <c r="OQX84" s="0"/>
      <c r="OQY84" s="0"/>
      <c r="OQZ84" s="0"/>
      <c r="ORA84" s="0"/>
      <c r="ORB84" s="0"/>
      <c r="ORC84" s="0"/>
      <c r="ORD84" s="0"/>
      <c r="ORE84" s="0"/>
      <c r="ORF84" s="0"/>
      <c r="ORG84" s="0"/>
      <c r="ORH84" s="0"/>
      <c r="ORI84" s="0"/>
      <c r="ORJ84" s="0"/>
      <c r="ORK84" s="0"/>
      <c r="ORL84" s="0"/>
      <c r="ORM84" s="0"/>
      <c r="ORN84" s="0"/>
      <c r="ORO84" s="0"/>
      <c r="ORP84" s="0"/>
      <c r="ORQ84" s="0"/>
      <c r="ORR84" s="0"/>
      <c r="ORS84" s="0"/>
      <c r="ORT84" s="0"/>
      <c r="ORU84" s="0"/>
      <c r="ORV84" s="0"/>
      <c r="ORW84" s="0"/>
      <c r="ORX84" s="0"/>
      <c r="ORY84" s="0"/>
      <c r="ORZ84" s="0"/>
      <c r="OSA84" s="0"/>
      <c r="OSB84" s="0"/>
      <c r="OSC84" s="0"/>
      <c r="OSD84" s="0"/>
      <c r="OSE84" s="0"/>
      <c r="OSF84" s="0"/>
      <c r="OSG84" s="0"/>
      <c r="OSH84" s="0"/>
      <c r="OSI84" s="0"/>
      <c r="OSJ84" s="0"/>
      <c r="OSK84" s="0"/>
      <c r="OSL84" s="0"/>
      <c r="OSM84" s="0"/>
      <c r="OSN84" s="0"/>
      <c r="OSO84" s="0"/>
      <c r="OSP84" s="0"/>
      <c r="OSQ84" s="0"/>
      <c r="OSR84" s="0"/>
      <c r="OSS84" s="0"/>
      <c r="OST84" s="0"/>
      <c r="OSU84" s="0"/>
      <c r="OSV84" s="0"/>
      <c r="OSW84" s="0"/>
      <c r="OSX84" s="0"/>
      <c r="OSY84" s="0"/>
      <c r="OSZ84" s="0"/>
      <c r="OTA84" s="0"/>
      <c r="OTB84" s="0"/>
      <c r="OTC84" s="0"/>
      <c r="OTD84" s="0"/>
      <c r="OTE84" s="0"/>
      <c r="OTF84" s="0"/>
      <c r="OTG84" s="0"/>
      <c r="OTH84" s="0"/>
      <c r="OTI84" s="0"/>
      <c r="OTJ84" s="0"/>
      <c r="OTK84" s="0"/>
      <c r="OTL84" s="0"/>
      <c r="OTM84" s="0"/>
      <c r="OTN84" s="0"/>
      <c r="OTO84" s="0"/>
      <c r="OTP84" s="0"/>
      <c r="OTQ84" s="0"/>
      <c r="OTR84" s="0"/>
      <c r="OTS84" s="0"/>
      <c r="OTT84" s="0"/>
      <c r="OTU84" s="0"/>
      <c r="OTV84" s="0"/>
      <c r="OTW84" s="0"/>
      <c r="OTX84" s="0"/>
      <c r="OTY84" s="0"/>
      <c r="OTZ84" s="0"/>
      <c r="OUA84" s="0"/>
      <c r="OUB84" s="0"/>
      <c r="OUC84" s="0"/>
      <c r="OUD84" s="0"/>
      <c r="OUE84" s="0"/>
      <c r="OUF84" s="0"/>
      <c r="OUG84" s="0"/>
      <c r="OUH84" s="0"/>
      <c r="OUI84" s="0"/>
      <c r="OUJ84" s="0"/>
      <c r="OUK84" s="0"/>
      <c r="OUL84" s="0"/>
      <c r="OUM84" s="0"/>
      <c r="OUN84" s="0"/>
      <c r="OUO84" s="0"/>
      <c r="OUP84" s="0"/>
      <c r="OUQ84" s="0"/>
      <c r="OUR84" s="0"/>
      <c r="OUS84" s="0"/>
      <c r="OUT84" s="0"/>
      <c r="OUU84" s="0"/>
      <c r="OUV84" s="0"/>
      <c r="OUW84" s="0"/>
      <c r="OUX84" s="0"/>
      <c r="OUY84" s="0"/>
      <c r="OUZ84" s="0"/>
      <c r="OVA84" s="0"/>
      <c r="OVB84" s="0"/>
      <c r="OVC84" s="0"/>
      <c r="OVD84" s="0"/>
      <c r="OVE84" s="0"/>
      <c r="OVF84" s="0"/>
      <c r="OVG84" s="0"/>
      <c r="OVH84" s="0"/>
      <c r="OVI84" s="0"/>
      <c r="OVJ84" s="0"/>
      <c r="OVK84" s="0"/>
      <c r="OVL84" s="0"/>
      <c r="OVM84" s="0"/>
      <c r="OVN84" s="0"/>
      <c r="OVO84" s="0"/>
      <c r="OVP84" s="0"/>
      <c r="OVQ84" s="0"/>
      <c r="OVR84" s="0"/>
      <c r="OVS84" s="0"/>
      <c r="OVT84" s="0"/>
      <c r="OVU84" s="0"/>
      <c r="OVV84" s="0"/>
      <c r="OVW84" s="0"/>
      <c r="OVX84" s="0"/>
      <c r="OVY84" s="0"/>
      <c r="OVZ84" s="0"/>
      <c r="OWA84" s="0"/>
      <c r="OWB84" s="0"/>
      <c r="OWC84" s="0"/>
      <c r="OWD84" s="0"/>
      <c r="OWE84" s="0"/>
      <c r="OWF84" s="0"/>
      <c r="OWG84" s="0"/>
      <c r="OWH84" s="0"/>
      <c r="OWI84" s="0"/>
      <c r="OWJ84" s="0"/>
      <c r="OWK84" s="0"/>
      <c r="OWL84" s="0"/>
      <c r="OWM84" s="0"/>
      <c r="OWN84" s="0"/>
      <c r="OWO84" s="0"/>
      <c r="OWP84" s="0"/>
      <c r="OWQ84" s="0"/>
      <c r="OWR84" s="0"/>
      <c r="OWS84" s="0"/>
      <c r="OWT84" s="0"/>
      <c r="OWU84" s="0"/>
      <c r="OWV84" s="0"/>
      <c r="OWW84" s="0"/>
      <c r="OWX84" s="0"/>
      <c r="OWY84" s="0"/>
      <c r="OWZ84" s="0"/>
      <c r="OXA84" s="0"/>
      <c r="OXB84" s="0"/>
      <c r="OXC84" s="0"/>
      <c r="OXD84" s="0"/>
      <c r="OXE84" s="0"/>
      <c r="OXF84" s="0"/>
      <c r="OXG84" s="0"/>
      <c r="OXH84" s="0"/>
      <c r="OXI84" s="0"/>
      <c r="OXJ84" s="0"/>
      <c r="OXK84" s="0"/>
      <c r="OXL84" s="0"/>
      <c r="OXM84" s="0"/>
      <c r="OXN84" s="0"/>
      <c r="OXO84" s="0"/>
      <c r="OXP84" s="0"/>
      <c r="OXQ84" s="0"/>
      <c r="OXR84" s="0"/>
      <c r="OXS84" s="0"/>
      <c r="OXT84" s="0"/>
      <c r="OXU84" s="0"/>
      <c r="OXV84" s="0"/>
      <c r="OXW84" s="0"/>
      <c r="OXX84" s="0"/>
      <c r="OXY84" s="0"/>
      <c r="OXZ84" s="0"/>
      <c r="OYA84" s="0"/>
      <c r="OYB84" s="0"/>
      <c r="OYC84" s="0"/>
      <c r="OYD84" s="0"/>
      <c r="OYE84" s="0"/>
      <c r="OYF84" s="0"/>
      <c r="OYG84" s="0"/>
      <c r="OYH84" s="0"/>
      <c r="OYI84" s="0"/>
      <c r="OYJ84" s="0"/>
      <c r="OYK84" s="0"/>
      <c r="OYL84" s="0"/>
      <c r="OYM84" s="0"/>
      <c r="OYN84" s="0"/>
      <c r="OYO84" s="0"/>
      <c r="OYP84" s="0"/>
      <c r="OYQ84" s="0"/>
      <c r="OYR84" s="0"/>
      <c r="OYS84" s="0"/>
      <c r="OYT84" s="0"/>
      <c r="OYU84" s="0"/>
      <c r="OYV84" s="0"/>
      <c r="OYW84" s="0"/>
      <c r="OYX84" s="0"/>
      <c r="OYY84" s="0"/>
      <c r="OYZ84" s="0"/>
      <c r="OZA84" s="0"/>
      <c r="OZB84" s="0"/>
      <c r="OZC84" s="0"/>
      <c r="OZD84" s="0"/>
      <c r="OZE84" s="0"/>
      <c r="OZF84" s="0"/>
      <c r="OZG84" s="0"/>
      <c r="OZH84" s="0"/>
      <c r="OZI84" s="0"/>
      <c r="OZJ84" s="0"/>
      <c r="OZK84" s="0"/>
      <c r="OZL84" s="0"/>
      <c r="OZM84" s="0"/>
      <c r="OZN84" s="0"/>
      <c r="OZO84" s="0"/>
      <c r="OZP84" s="0"/>
      <c r="OZQ84" s="0"/>
      <c r="OZR84" s="0"/>
      <c r="OZS84" s="0"/>
      <c r="OZT84" s="0"/>
      <c r="OZU84" s="0"/>
      <c r="OZV84" s="0"/>
      <c r="OZW84" s="0"/>
      <c r="OZX84" s="0"/>
      <c r="OZY84" s="0"/>
      <c r="OZZ84" s="0"/>
      <c r="PAA84" s="0"/>
      <c r="PAB84" s="0"/>
      <c r="PAC84" s="0"/>
      <c r="PAD84" s="0"/>
      <c r="PAE84" s="0"/>
      <c r="PAF84" s="0"/>
      <c r="PAG84" s="0"/>
      <c r="PAH84" s="0"/>
      <c r="PAI84" s="0"/>
      <c r="PAJ84" s="0"/>
      <c r="PAK84" s="0"/>
      <c r="PAL84" s="0"/>
      <c r="PAM84" s="0"/>
      <c r="PAN84" s="0"/>
      <c r="PAO84" s="0"/>
      <c r="PAP84" s="0"/>
      <c r="PAQ84" s="0"/>
      <c r="PAR84" s="0"/>
      <c r="PAS84" s="0"/>
      <c r="PAT84" s="0"/>
      <c r="PAU84" s="0"/>
      <c r="PAV84" s="0"/>
      <c r="PAW84" s="0"/>
      <c r="PAX84" s="0"/>
      <c r="PAY84" s="0"/>
      <c r="PAZ84" s="0"/>
      <c r="PBA84" s="0"/>
      <c r="PBB84" s="0"/>
      <c r="PBC84" s="0"/>
      <c r="PBD84" s="0"/>
      <c r="PBE84" s="0"/>
      <c r="PBF84" s="0"/>
      <c r="PBG84" s="0"/>
      <c r="PBH84" s="0"/>
      <c r="PBI84" s="0"/>
      <c r="PBJ84" s="0"/>
      <c r="PBK84" s="0"/>
      <c r="PBL84" s="0"/>
      <c r="PBM84" s="0"/>
      <c r="PBN84" s="0"/>
      <c r="PBO84" s="0"/>
      <c r="PBP84" s="0"/>
      <c r="PBQ84" s="0"/>
      <c r="PBR84" s="0"/>
      <c r="PBS84" s="0"/>
      <c r="PBT84" s="0"/>
      <c r="PBU84" s="0"/>
      <c r="PBV84" s="0"/>
      <c r="PBW84" s="0"/>
      <c r="PBX84" s="0"/>
      <c r="PBY84" s="0"/>
      <c r="PBZ84" s="0"/>
      <c r="PCA84" s="0"/>
      <c r="PCB84" s="0"/>
      <c r="PCC84" s="0"/>
      <c r="PCD84" s="0"/>
      <c r="PCE84" s="0"/>
      <c r="PCF84" s="0"/>
      <c r="PCG84" s="0"/>
      <c r="PCH84" s="0"/>
      <c r="PCI84" s="0"/>
      <c r="PCJ84" s="0"/>
      <c r="PCK84" s="0"/>
      <c r="PCL84" s="0"/>
      <c r="PCM84" s="0"/>
      <c r="PCN84" s="0"/>
      <c r="PCO84" s="0"/>
      <c r="PCP84" s="0"/>
      <c r="PCQ84" s="0"/>
      <c r="PCR84" s="0"/>
      <c r="PCS84" s="0"/>
      <c r="PCT84" s="0"/>
      <c r="PCU84" s="0"/>
      <c r="PCV84" s="0"/>
      <c r="PCW84" s="0"/>
      <c r="PCX84" s="0"/>
      <c r="PCY84" s="0"/>
      <c r="PCZ84" s="0"/>
      <c r="PDA84" s="0"/>
      <c r="PDB84" s="0"/>
      <c r="PDC84" s="0"/>
      <c r="PDD84" s="0"/>
      <c r="PDE84" s="0"/>
      <c r="PDF84" s="0"/>
      <c r="PDG84" s="0"/>
      <c r="PDH84" s="0"/>
      <c r="PDI84" s="0"/>
      <c r="PDJ84" s="0"/>
      <c r="PDK84" s="0"/>
      <c r="PDL84" s="0"/>
      <c r="PDM84" s="0"/>
      <c r="PDN84" s="0"/>
      <c r="PDO84" s="0"/>
      <c r="PDP84" s="0"/>
      <c r="PDQ84" s="0"/>
      <c r="PDR84" s="0"/>
      <c r="PDS84" s="0"/>
      <c r="PDT84" s="0"/>
      <c r="PDU84" s="0"/>
      <c r="PDV84" s="0"/>
      <c r="PDW84" s="0"/>
      <c r="PDX84" s="0"/>
      <c r="PDY84" s="0"/>
      <c r="PDZ84" s="0"/>
      <c r="PEA84" s="0"/>
      <c r="PEB84" s="0"/>
      <c r="PEC84" s="0"/>
      <c r="PED84" s="0"/>
      <c r="PEE84" s="0"/>
      <c r="PEF84" s="0"/>
      <c r="PEG84" s="0"/>
      <c r="PEH84" s="0"/>
      <c r="PEI84" s="0"/>
      <c r="PEJ84" s="0"/>
      <c r="PEK84" s="0"/>
      <c r="PEL84" s="0"/>
      <c r="PEM84" s="0"/>
      <c r="PEN84" s="0"/>
      <c r="PEO84" s="0"/>
      <c r="PEP84" s="0"/>
      <c r="PEQ84" s="0"/>
      <c r="PER84" s="0"/>
      <c r="PES84" s="0"/>
      <c r="PET84" s="0"/>
      <c r="PEU84" s="0"/>
      <c r="PEV84" s="0"/>
      <c r="PEW84" s="0"/>
      <c r="PEX84" s="0"/>
      <c r="PEY84" s="0"/>
      <c r="PEZ84" s="0"/>
      <c r="PFA84" s="0"/>
      <c r="PFB84" s="0"/>
      <c r="PFC84" s="0"/>
      <c r="PFD84" s="0"/>
      <c r="PFE84" s="0"/>
      <c r="PFF84" s="0"/>
      <c r="PFG84" s="0"/>
      <c r="PFH84" s="0"/>
      <c r="PFI84" s="0"/>
      <c r="PFJ84" s="0"/>
      <c r="PFK84" s="0"/>
      <c r="PFL84" s="0"/>
      <c r="PFM84" s="0"/>
      <c r="PFN84" s="0"/>
      <c r="PFO84" s="0"/>
      <c r="PFP84" s="0"/>
      <c r="PFQ84" s="0"/>
      <c r="PFR84" s="0"/>
      <c r="PFS84" s="0"/>
      <c r="PFT84" s="0"/>
      <c r="PFU84" s="0"/>
      <c r="PFV84" s="0"/>
      <c r="PFW84" s="0"/>
      <c r="PFX84" s="0"/>
      <c r="PFY84" s="0"/>
      <c r="PFZ84" s="0"/>
      <c r="PGA84" s="0"/>
      <c r="PGB84" s="0"/>
      <c r="PGC84" s="0"/>
      <c r="PGD84" s="0"/>
      <c r="PGE84" s="0"/>
      <c r="PGF84" s="0"/>
      <c r="PGG84" s="0"/>
      <c r="PGH84" s="0"/>
      <c r="PGI84" s="0"/>
      <c r="PGJ84" s="0"/>
      <c r="PGK84" s="0"/>
      <c r="PGL84" s="0"/>
      <c r="PGM84" s="0"/>
      <c r="PGN84" s="0"/>
      <c r="PGO84" s="0"/>
      <c r="PGP84" s="0"/>
      <c r="PGQ84" s="0"/>
      <c r="PGR84" s="0"/>
      <c r="PGS84" s="0"/>
      <c r="PGT84" s="0"/>
      <c r="PGU84" s="0"/>
      <c r="PGV84" s="0"/>
      <c r="PGW84" s="0"/>
      <c r="PGX84" s="0"/>
      <c r="PGY84" s="0"/>
      <c r="PGZ84" s="0"/>
      <c r="PHA84" s="0"/>
      <c r="PHB84" s="0"/>
      <c r="PHC84" s="0"/>
      <c r="PHD84" s="0"/>
      <c r="PHE84" s="0"/>
      <c r="PHF84" s="0"/>
      <c r="PHG84" s="0"/>
      <c r="PHH84" s="0"/>
      <c r="PHI84" s="0"/>
      <c r="PHJ84" s="0"/>
      <c r="PHK84" s="0"/>
      <c r="PHL84" s="0"/>
      <c r="PHM84" s="0"/>
      <c r="PHN84" s="0"/>
      <c r="PHO84" s="0"/>
      <c r="PHP84" s="0"/>
      <c r="PHQ84" s="0"/>
      <c r="PHR84" s="0"/>
      <c r="PHS84" s="0"/>
      <c r="PHT84" s="0"/>
      <c r="PHU84" s="0"/>
      <c r="PHV84" s="0"/>
      <c r="PHW84" s="0"/>
      <c r="PHX84" s="0"/>
      <c r="PHY84" s="0"/>
      <c r="PHZ84" s="0"/>
      <c r="PIA84" s="0"/>
      <c r="PIB84" s="0"/>
      <c r="PIC84" s="0"/>
      <c r="PID84" s="0"/>
      <c r="PIE84" s="0"/>
      <c r="PIF84" s="0"/>
      <c r="PIG84" s="0"/>
      <c r="PIH84" s="0"/>
      <c r="PII84" s="0"/>
      <c r="PIJ84" s="0"/>
      <c r="PIK84" s="0"/>
      <c r="PIL84" s="0"/>
      <c r="PIM84" s="0"/>
      <c r="PIN84" s="0"/>
      <c r="PIO84" s="0"/>
      <c r="PIP84" s="0"/>
      <c r="PIQ84" s="0"/>
      <c r="PIR84" s="0"/>
      <c r="PIS84" s="0"/>
      <c r="PIT84" s="0"/>
      <c r="PIU84" s="0"/>
      <c r="PIV84" s="0"/>
      <c r="PIW84" s="0"/>
      <c r="PIX84" s="0"/>
      <c r="PIY84" s="0"/>
      <c r="PIZ84" s="0"/>
      <c r="PJA84" s="0"/>
      <c r="PJB84" s="0"/>
      <c r="PJC84" s="0"/>
      <c r="PJD84" s="0"/>
      <c r="PJE84" s="0"/>
      <c r="PJF84" s="0"/>
      <c r="PJG84" s="0"/>
      <c r="PJH84" s="0"/>
      <c r="PJI84" s="0"/>
      <c r="PJJ84" s="0"/>
      <c r="PJK84" s="0"/>
      <c r="PJL84" s="0"/>
      <c r="PJM84" s="0"/>
      <c r="PJN84" s="0"/>
      <c r="PJO84" s="0"/>
      <c r="PJP84" s="0"/>
      <c r="PJQ84" s="0"/>
      <c r="PJR84" s="0"/>
      <c r="PJS84" s="0"/>
      <c r="PJT84" s="0"/>
      <c r="PJU84" s="0"/>
      <c r="PJV84" s="0"/>
      <c r="PJW84" s="0"/>
      <c r="PJX84" s="0"/>
      <c r="PJY84" s="0"/>
      <c r="PJZ84" s="0"/>
      <c r="PKA84" s="0"/>
      <c r="PKB84" s="0"/>
      <c r="PKC84" s="0"/>
      <c r="PKD84" s="0"/>
      <c r="PKE84" s="0"/>
      <c r="PKF84" s="0"/>
      <c r="PKG84" s="0"/>
      <c r="PKH84" s="0"/>
      <c r="PKI84" s="0"/>
      <c r="PKJ84" s="0"/>
      <c r="PKK84" s="0"/>
      <c r="PKL84" s="0"/>
      <c r="PKM84" s="0"/>
      <c r="PKN84" s="0"/>
      <c r="PKO84" s="0"/>
      <c r="PKP84" s="0"/>
      <c r="PKQ84" s="0"/>
      <c r="PKR84" s="0"/>
      <c r="PKS84" s="0"/>
      <c r="PKT84" s="0"/>
      <c r="PKU84" s="0"/>
      <c r="PKV84" s="0"/>
      <c r="PKW84" s="0"/>
      <c r="PKX84" s="0"/>
      <c r="PKY84" s="0"/>
      <c r="PKZ84" s="0"/>
      <c r="PLA84" s="0"/>
      <c r="PLB84" s="0"/>
      <c r="PLC84" s="0"/>
      <c r="PLD84" s="0"/>
      <c r="PLE84" s="0"/>
      <c r="PLF84" s="0"/>
      <c r="PLG84" s="0"/>
      <c r="PLH84" s="0"/>
      <c r="PLI84" s="0"/>
      <c r="PLJ84" s="0"/>
      <c r="PLK84" s="0"/>
      <c r="PLL84" s="0"/>
      <c r="PLM84" s="0"/>
      <c r="PLN84" s="0"/>
      <c r="PLO84" s="0"/>
      <c r="PLP84" s="0"/>
      <c r="PLQ84" s="0"/>
      <c r="PLR84" s="0"/>
      <c r="PLS84" s="0"/>
      <c r="PLT84" s="0"/>
      <c r="PLU84" s="0"/>
      <c r="PLV84" s="0"/>
      <c r="PLW84" s="0"/>
      <c r="PLX84" s="0"/>
      <c r="PLY84" s="0"/>
      <c r="PLZ84" s="0"/>
      <c r="PMA84" s="0"/>
      <c r="PMB84" s="0"/>
      <c r="PMC84" s="0"/>
      <c r="PMD84" s="0"/>
      <c r="PME84" s="0"/>
      <c r="PMF84" s="0"/>
      <c r="PMG84" s="0"/>
      <c r="PMH84" s="0"/>
      <c r="PMI84" s="0"/>
      <c r="PMJ84" s="0"/>
      <c r="PMK84" s="0"/>
      <c r="PML84" s="0"/>
      <c r="PMM84" s="0"/>
      <c r="PMN84" s="0"/>
      <c r="PMO84" s="0"/>
      <c r="PMP84" s="0"/>
      <c r="PMQ84" s="0"/>
      <c r="PMR84" s="0"/>
      <c r="PMS84" s="0"/>
      <c r="PMT84" s="0"/>
      <c r="PMU84" s="0"/>
      <c r="PMV84" s="0"/>
      <c r="PMW84" s="0"/>
      <c r="PMX84" s="0"/>
      <c r="PMY84" s="0"/>
      <c r="PMZ84" s="0"/>
      <c r="PNA84" s="0"/>
      <c r="PNB84" s="0"/>
      <c r="PNC84" s="0"/>
      <c r="PND84" s="0"/>
      <c r="PNE84" s="0"/>
      <c r="PNF84" s="0"/>
      <c r="PNG84" s="0"/>
      <c r="PNH84" s="0"/>
      <c r="PNI84" s="0"/>
      <c r="PNJ84" s="0"/>
      <c r="PNK84" s="0"/>
      <c r="PNL84" s="0"/>
      <c r="PNM84" s="0"/>
      <c r="PNN84" s="0"/>
      <c r="PNO84" s="0"/>
      <c r="PNP84" s="0"/>
      <c r="PNQ84" s="0"/>
      <c r="PNR84" s="0"/>
      <c r="PNS84" s="0"/>
      <c r="PNT84" s="0"/>
      <c r="PNU84" s="0"/>
      <c r="PNV84" s="0"/>
      <c r="PNW84" s="0"/>
      <c r="PNX84" s="0"/>
      <c r="PNY84" s="0"/>
      <c r="PNZ84" s="0"/>
      <c r="POA84" s="0"/>
      <c r="POB84" s="0"/>
      <c r="POC84" s="0"/>
      <c r="POD84" s="0"/>
      <c r="POE84" s="0"/>
      <c r="POF84" s="0"/>
      <c r="POG84" s="0"/>
      <c r="POH84" s="0"/>
      <c r="POI84" s="0"/>
      <c r="POJ84" s="0"/>
      <c r="POK84" s="0"/>
      <c r="POL84" s="0"/>
      <c r="POM84" s="0"/>
      <c r="PON84" s="0"/>
      <c r="POO84" s="0"/>
      <c r="POP84" s="0"/>
      <c r="POQ84" s="0"/>
      <c r="POR84" s="0"/>
      <c r="POS84" s="0"/>
      <c r="POT84" s="0"/>
      <c r="POU84" s="0"/>
      <c r="POV84" s="0"/>
      <c r="POW84" s="0"/>
      <c r="POX84" s="0"/>
      <c r="POY84" s="0"/>
      <c r="POZ84" s="0"/>
      <c r="PPA84" s="0"/>
      <c r="PPB84" s="0"/>
      <c r="PPC84" s="0"/>
      <c r="PPD84" s="0"/>
      <c r="PPE84" s="0"/>
      <c r="PPF84" s="0"/>
      <c r="PPG84" s="0"/>
      <c r="PPH84" s="0"/>
      <c r="PPI84" s="0"/>
      <c r="PPJ84" s="0"/>
      <c r="PPK84" s="0"/>
      <c r="PPL84" s="0"/>
      <c r="PPM84" s="0"/>
      <c r="PPN84" s="0"/>
      <c r="PPO84" s="0"/>
      <c r="PPP84" s="0"/>
      <c r="PPQ84" s="0"/>
      <c r="PPR84" s="0"/>
      <c r="PPS84" s="0"/>
      <c r="PPT84" s="0"/>
      <c r="PPU84" s="0"/>
      <c r="PPV84" s="0"/>
      <c r="PPW84" s="0"/>
      <c r="PPX84" s="0"/>
      <c r="PPY84" s="0"/>
      <c r="PPZ84" s="0"/>
      <c r="PQA84" s="0"/>
      <c r="PQB84" s="0"/>
      <c r="PQC84" s="0"/>
      <c r="PQD84" s="0"/>
      <c r="PQE84" s="0"/>
      <c r="PQF84" s="0"/>
      <c r="PQG84" s="0"/>
      <c r="PQH84" s="0"/>
      <c r="PQI84" s="0"/>
      <c r="PQJ84" s="0"/>
      <c r="PQK84" s="0"/>
      <c r="PQL84" s="0"/>
      <c r="PQM84" s="0"/>
      <c r="PQN84" s="0"/>
      <c r="PQO84" s="0"/>
      <c r="PQP84" s="0"/>
      <c r="PQQ84" s="0"/>
      <c r="PQR84" s="0"/>
      <c r="PQS84" s="0"/>
      <c r="PQT84" s="0"/>
      <c r="PQU84" s="0"/>
      <c r="PQV84" s="0"/>
      <c r="PQW84" s="0"/>
      <c r="PQX84" s="0"/>
      <c r="PQY84" s="0"/>
      <c r="PQZ84" s="0"/>
      <c r="PRA84" s="0"/>
      <c r="PRB84" s="0"/>
      <c r="PRC84" s="0"/>
      <c r="PRD84" s="0"/>
      <c r="PRE84" s="0"/>
      <c r="PRF84" s="0"/>
      <c r="PRG84" s="0"/>
      <c r="PRH84" s="0"/>
      <c r="PRI84" s="0"/>
      <c r="PRJ84" s="0"/>
      <c r="PRK84" s="0"/>
      <c r="PRL84" s="0"/>
      <c r="PRM84" s="0"/>
      <c r="PRN84" s="0"/>
      <c r="PRO84" s="0"/>
      <c r="PRP84" s="0"/>
      <c r="PRQ84" s="0"/>
      <c r="PRR84" s="0"/>
      <c r="PRS84" s="0"/>
      <c r="PRT84" s="0"/>
      <c r="PRU84" s="0"/>
      <c r="PRV84" s="0"/>
      <c r="PRW84" s="0"/>
      <c r="PRX84" s="0"/>
      <c r="PRY84" s="0"/>
      <c r="PRZ84" s="0"/>
      <c r="PSA84" s="0"/>
      <c r="PSB84" s="0"/>
      <c r="PSC84" s="0"/>
      <c r="PSD84" s="0"/>
      <c r="PSE84" s="0"/>
      <c r="PSF84" s="0"/>
      <c r="PSG84" s="0"/>
      <c r="PSH84" s="0"/>
      <c r="PSI84" s="0"/>
      <c r="PSJ84" s="0"/>
      <c r="PSK84" s="0"/>
      <c r="PSL84" s="0"/>
      <c r="PSM84" s="0"/>
      <c r="PSN84" s="0"/>
      <c r="PSO84" s="0"/>
      <c r="PSP84" s="0"/>
      <c r="PSQ84" s="0"/>
      <c r="PSR84" s="0"/>
      <c r="PSS84" s="0"/>
      <c r="PST84" s="0"/>
      <c r="PSU84" s="0"/>
      <c r="PSV84" s="0"/>
      <c r="PSW84" s="0"/>
      <c r="PSX84" s="0"/>
      <c r="PSY84" s="0"/>
      <c r="PSZ84" s="0"/>
      <c r="PTA84" s="0"/>
      <c r="PTB84" s="0"/>
      <c r="PTC84" s="0"/>
      <c r="PTD84" s="0"/>
      <c r="PTE84" s="0"/>
      <c r="PTF84" s="0"/>
      <c r="PTG84" s="0"/>
      <c r="PTH84" s="0"/>
      <c r="PTI84" s="0"/>
      <c r="PTJ84" s="0"/>
      <c r="PTK84" s="0"/>
      <c r="PTL84" s="0"/>
      <c r="PTM84" s="0"/>
      <c r="PTN84" s="0"/>
      <c r="PTO84" s="0"/>
      <c r="PTP84" s="0"/>
      <c r="PTQ84" s="0"/>
      <c r="PTR84" s="0"/>
      <c r="PTS84" s="0"/>
      <c r="PTT84" s="0"/>
      <c r="PTU84" s="0"/>
      <c r="PTV84" s="0"/>
      <c r="PTW84" s="0"/>
      <c r="PTX84" s="0"/>
      <c r="PTY84" s="0"/>
      <c r="PTZ84" s="0"/>
      <c r="PUA84" s="0"/>
      <c r="PUB84" s="0"/>
      <c r="PUC84" s="0"/>
      <c r="PUD84" s="0"/>
      <c r="PUE84" s="0"/>
      <c r="PUF84" s="0"/>
      <c r="PUG84" s="0"/>
      <c r="PUH84" s="0"/>
      <c r="PUI84" s="0"/>
      <c r="PUJ84" s="0"/>
      <c r="PUK84" s="0"/>
      <c r="PUL84" s="0"/>
      <c r="PUM84" s="0"/>
      <c r="PUN84" s="0"/>
      <c r="PUO84" s="0"/>
      <c r="PUP84" s="0"/>
      <c r="PUQ84" s="0"/>
      <c r="PUR84" s="0"/>
      <c r="PUS84" s="0"/>
      <c r="PUT84" s="0"/>
      <c r="PUU84" s="0"/>
      <c r="PUV84" s="0"/>
      <c r="PUW84" s="0"/>
      <c r="PUX84" s="0"/>
      <c r="PUY84" s="0"/>
      <c r="PUZ84" s="0"/>
      <c r="PVA84" s="0"/>
      <c r="PVB84" s="0"/>
      <c r="PVC84" s="0"/>
      <c r="PVD84" s="0"/>
      <c r="PVE84" s="0"/>
      <c r="PVF84" s="0"/>
      <c r="PVG84" s="0"/>
      <c r="PVH84" s="0"/>
      <c r="PVI84" s="0"/>
      <c r="PVJ84" s="0"/>
      <c r="PVK84" s="0"/>
      <c r="PVL84" s="0"/>
      <c r="PVM84" s="0"/>
      <c r="PVN84" s="0"/>
      <c r="PVO84" s="0"/>
      <c r="PVP84" s="0"/>
      <c r="PVQ84" s="0"/>
      <c r="PVR84" s="0"/>
      <c r="PVS84" s="0"/>
      <c r="PVT84" s="0"/>
      <c r="PVU84" s="0"/>
      <c r="PVV84" s="0"/>
      <c r="PVW84" s="0"/>
      <c r="PVX84" s="0"/>
      <c r="PVY84" s="0"/>
      <c r="PVZ84" s="0"/>
      <c r="PWA84" s="0"/>
      <c r="PWB84" s="0"/>
      <c r="PWC84" s="0"/>
      <c r="PWD84" s="0"/>
      <c r="PWE84" s="0"/>
      <c r="PWF84" s="0"/>
      <c r="PWG84" s="0"/>
      <c r="PWH84" s="0"/>
      <c r="PWI84" s="0"/>
      <c r="PWJ84" s="0"/>
      <c r="PWK84" s="0"/>
      <c r="PWL84" s="0"/>
      <c r="PWM84" s="0"/>
      <c r="PWN84" s="0"/>
      <c r="PWO84" s="0"/>
      <c r="PWP84" s="0"/>
      <c r="PWQ84" s="0"/>
      <c r="PWR84" s="0"/>
      <c r="PWS84" s="0"/>
      <c r="PWT84" s="0"/>
      <c r="PWU84" s="0"/>
      <c r="PWV84" s="0"/>
      <c r="PWW84" s="0"/>
      <c r="PWX84" s="0"/>
      <c r="PWY84" s="0"/>
      <c r="PWZ84" s="0"/>
      <c r="PXA84" s="0"/>
      <c r="PXB84" s="0"/>
      <c r="PXC84" s="0"/>
      <c r="PXD84" s="0"/>
      <c r="PXE84" s="0"/>
      <c r="PXF84" s="0"/>
      <c r="PXG84" s="0"/>
      <c r="PXH84" s="0"/>
      <c r="PXI84" s="0"/>
      <c r="PXJ84" s="0"/>
      <c r="PXK84" s="0"/>
      <c r="PXL84" s="0"/>
      <c r="PXM84" s="0"/>
      <c r="PXN84" s="0"/>
      <c r="PXO84" s="0"/>
      <c r="PXP84" s="0"/>
      <c r="PXQ84" s="0"/>
      <c r="PXR84" s="0"/>
      <c r="PXS84" s="0"/>
      <c r="PXT84" s="0"/>
      <c r="PXU84" s="0"/>
      <c r="PXV84" s="0"/>
      <c r="PXW84" s="0"/>
      <c r="PXX84" s="0"/>
      <c r="PXY84" s="0"/>
      <c r="PXZ84" s="0"/>
      <c r="PYA84" s="0"/>
      <c r="PYB84" s="0"/>
      <c r="PYC84" s="0"/>
      <c r="PYD84" s="0"/>
      <c r="PYE84" s="0"/>
      <c r="PYF84" s="0"/>
      <c r="PYG84" s="0"/>
      <c r="PYH84" s="0"/>
      <c r="PYI84" s="0"/>
      <c r="PYJ84" s="0"/>
      <c r="PYK84" s="0"/>
      <c r="PYL84" s="0"/>
      <c r="PYM84" s="0"/>
      <c r="PYN84" s="0"/>
      <c r="PYO84" s="0"/>
      <c r="PYP84" s="0"/>
      <c r="PYQ84" s="0"/>
      <c r="PYR84" s="0"/>
      <c r="PYS84" s="0"/>
      <c r="PYT84" s="0"/>
      <c r="PYU84" s="0"/>
      <c r="PYV84" s="0"/>
      <c r="PYW84" s="0"/>
      <c r="PYX84" s="0"/>
      <c r="PYY84" s="0"/>
      <c r="PYZ84" s="0"/>
      <c r="PZA84" s="0"/>
      <c r="PZB84" s="0"/>
      <c r="PZC84" s="0"/>
      <c r="PZD84" s="0"/>
      <c r="PZE84" s="0"/>
      <c r="PZF84" s="0"/>
      <c r="PZG84" s="0"/>
      <c r="PZH84" s="0"/>
      <c r="PZI84" s="0"/>
      <c r="PZJ84" s="0"/>
      <c r="PZK84" s="0"/>
      <c r="PZL84" s="0"/>
      <c r="PZM84" s="0"/>
      <c r="PZN84" s="0"/>
      <c r="PZO84" s="0"/>
      <c r="PZP84" s="0"/>
      <c r="PZQ84" s="0"/>
      <c r="PZR84" s="0"/>
      <c r="PZS84" s="0"/>
      <c r="PZT84" s="0"/>
      <c r="PZU84" s="0"/>
      <c r="PZV84" s="0"/>
      <c r="PZW84" s="0"/>
      <c r="PZX84" s="0"/>
      <c r="PZY84" s="0"/>
      <c r="PZZ84" s="0"/>
      <c r="QAA84" s="0"/>
      <c r="QAB84" s="0"/>
      <c r="QAC84" s="0"/>
      <c r="QAD84" s="0"/>
      <c r="QAE84" s="0"/>
      <c r="QAF84" s="0"/>
      <c r="QAG84" s="0"/>
      <c r="QAH84" s="0"/>
      <c r="QAI84" s="0"/>
      <c r="QAJ84" s="0"/>
      <c r="QAK84" s="0"/>
      <c r="QAL84" s="0"/>
      <c r="QAM84" s="0"/>
      <c r="QAN84" s="0"/>
      <c r="QAO84" s="0"/>
      <c r="QAP84" s="0"/>
      <c r="QAQ84" s="0"/>
      <c r="QAR84" s="0"/>
      <c r="QAS84" s="0"/>
      <c r="QAT84" s="0"/>
      <c r="QAU84" s="0"/>
      <c r="QAV84" s="0"/>
      <c r="QAW84" s="0"/>
      <c r="QAX84" s="0"/>
      <c r="QAY84" s="0"/>
      <c r="QAZ84" s="0"/>
      <c r="QBA84" s="0"/>
      <c r="QBB84" s="0"/>
      <c r="QBC84" s="0"/>
      <c r="QBD84" s="0"/>
      <c r="QBE84" s="0"/>
      <c r="QBF84" s="0"/>
      <c r="QBG84" s="0"/>
      <c r="QBH84" s="0"/>
      <c r="QBI84" s="0"/>
      <c r="QBJ84" s="0"/>
      <c r="QBK84" s="0"/>
      <c r="QBL84" s="0"/>
      <c r="QBM84" s="0"/>
      <c r="QBN84" s="0"/>
      <c r="QBO84" s="0"/>
      <c r="QBP84" s="0"/>
      <c r="QBQ84" s="0"/>
      <c r="QBR84" s="0"/>
      <c r="QBS84" s="0"/>
      <c r="QBT84" s="0"/>
      <c r="QBU84" s="0"/>
      <c r="QBV84" s="0"/>
      <c r="QBW84" s="0"/>
      <c r="QBX84" s="0"/>
      <c r="QBY84" s="0"/>
      <c r="QBZ84" s="0"/>
      <c r="QCA84" s="0"/>
      <c r="QCB84" s="0"/>
      <c r="QCC84" s="0"/>
      <c r="QCD84" s="0"/>
      <c r="QCE84" s="0"/>
      <c r="QCF84" s="0"/>
      <c r="QCG84" s="0"/>
      <c r="QCH84" s="0"/>
      <c r="QCI84" s="0"/>
      <c r="QCJ84" s="0"/>
      <c r="QCK84" s="0"/>
      <c r="QCL84" s="0"/>
      <c r="QCM84" s="0"/>
      <c r="QCN84" s="0"/>
      <c r="QCO84" s="0"/>
      <c r="QCP84" s="0"/>
      <c r="QCQ84" s="0"/>
      <c r="QCR84" s="0"/>
      <c r="QCS84" s="0"/>
      <c r="QCT84" s="0"/>
      <c r="QCU84" s="0"/>
      <c r="QCV84" s="0"/>
      <c r="QCW84" s="0"/>
      <c r="QCX84" s="0"/>
      <c r="QCY84" s="0"/>
      <c r="QCZ84" s="0"/>
      <c r="QDA84" s="0"/>
      <c r="QDB84" s="0"/>
      <c r="QDC84" s="0"/>
      <c r="QDD84" s="0"/>
      <c r="QDE84" s="0"/>
      <c r="QDF84" s="0"/>
      <c r="QDG84" s="0"/>
      <c r="QDH84" s="0"/>
      <c r="QDI84" s="0"/>
      <c r="QDJ84" s="0"/>
      <c r="QDK84" s="0"/>
      <c r="QDL84" s="0"/>
      <c r="QDM84" s="0"/>
      <c r="QDN84" s="0"/>
      <c r="QDO84" s="0"/>
      <c r="QDP84" s="0"/>
      <c r="QDQ84" s="0"/>
      <c r="QDR84" s="0"/>
      <c r="QDS84" s="0"/>
      <c r="QDT84" s="0"/>
      <c r="QDU84" s="0"/>
      <c r="QDV84" s="0"/>
      <c r="QDW84" s="0"/>
      <c r="QDX84" s="0"/>
      <c r="QDY84" s="0"/>
      <c r="QDZ84" s="0"/>
      <c r="QEA84" s="0"/>
      <c r="QEB84" s="0"/>
      <c r="QEC84" s="0"/>
      <c r="QED84" s="0"/>
      <c r="QEE84" s="0"/>
      <c r="QEF84" s="0"/>
      <c r="QEG84" s="0"/>
      <c r="QEH84" s="0"/>
      <c r="QEI84" s="0"/>
      <c r="QEJ84" s="0"/>
      <c r="QEK84" s="0"/>
      <c r="QEL84" s="0"/>
      <c r="QEM84" s="0"/>
      <c r="QEN84" s="0"/>
      <c r="QEO84" s="0"/>
      <c r="QEP84" s="0"/>
      <c r="QEQ84" s="0"/>
      <c r="QER84" s="0"/>
      <c r="QES84" s="0"/>
      <c r="QET84" s="0"/>
      <c r="QEU84" s="0"/>
      <c r="QEV84" s="0"/>
      <c r="QEW84" s="0"/>
      <c r="QEX84" s="0"/>
      <c r="QEY84" s="0"/>
      <c r="QEZ84" s="0"/>
      <c r="QFA84" s="0"/>
      <c r="QFB84" s="0"/>
      <c r="QFC84" s="0"/>
      <c r="QFD84" s="0"/>
      <c r="QFE84" s="0"/>
      <c r="QFF84" s="0"/>
      <c r="QFG84" s="0"/>
      <c r="QFH84" s="0"/>
      <c r="QFI84" s="0"/>
      <c r="QFJ84" s="0"/>
      <c r="QFK84" s="0"/>
      <c r="QFL84" s="0"/>
      <c r="QFM84" s="0"/>
      <c r="QFN84" s="0"/>
      <c r="QFO84" s="0"/>
      <c r="QFP84" s="0"/>
      <c r="QFQ84" s="0"/>
      <c r="QFR84" s="0"/>
      <c r="QFS84" s="0"/>
      <c r="QFT84" s="0"/>
      <c r="QFU84" s="0"/>
      <c r="QFV84" s="0"/>
      <c r="QFW84" s="0"/>
      <c r="QFX84" s="0"/>
      <c r="QFY84" s="0"/>
      <c r="QFZ84" s="0"/>
      <c r="QGA84" s="0"/>
      <c r="QGB84" s="0"/>
      <c r="QGC84" s="0"/>
      <c r="QGD84" s="0"/>
      <c r="QGE84" s="0"/>
      <c r="QGF84" s="0"/>
      <c r="QGG84" s="0"/>
      <c r="QGH84" s="0"/>
      <c r="QGI84" s="0"/>
      <c r="QGJ84" s="0"/>
      <c r="QGK84" s="0"/>
      <c r="QGL84" s="0"/>
      <c r="QGM84" s="0"/>
      <c r="QGN84" s="0"/>
      <c r="QGO84" s="0"/>
      <c r="QGP84" s="0"/>
      <c r="QGQ84" s="0"/>
      <c r="QGR84" s="0"/>
      <c r="QGS84" s="0"/>
      <c r="QGT84" s="0"/>
      <c r="QGU84" s="0"/>
      <c r="QGV84" s="0"/>
      <c r="QGW84" s="0"/>
      <c r="QGX84" s="0"/>
      <c r="QGY84" s="0"/>
      <c r="QGZ84" s="0"/>
      <c r="QHA84" s="0"/>
      <c r="QHB84" s="0"/>
      <c r="QHC84" s="0"/>
      <c r="QHD84" s="0"/>
      <c r="QHE84" s="0"/>
      <c r="QHF84" s="0"/>
      <c r="QHG84" s="0"/>
      <c r="QHH84" s="0"/>
      <c r="QHI84" s="0"/>
      <c r="QHJ84" s="0"/>
      <c r="QHK84" s="0"/>
      <c r="QHL84" s="0"/>
      <c r="QHM84" s="0"/>
      <c r="QHN84" s="0"/>
      <c r="QHO84" s="0"/>
      <c r="QHP84" s="0"/>
      <c r="QHQ84" s="0"/>
      <c r="QHR84" s="0"/>
      <c r="QHS84" s="0"/>
      <c r="QHT84" s="0"/>
      <c r="QHU84" s="0"/>
      <c r="QHV84" s="0"/>
      <c r="QHW84" s="0"/>
      <c r="QHX84" s="0"/>
      <c r="QHY84" s="0"/>
      <c r="QHZ84" s="0"/>
      <c r="QIA84" s="0"/>
      <c r="QIB84" s="0"/>
      <c r="QIC84" s="0"/>
      <c r="QID84" s="0"/>
      <c r="QIE84" s="0"/>
      <c r="QIF84" s="0"/>
      <c r="QIG84" s="0"/>
      <c r="QIH84" s="0"/>
      <c r="QII84" s="0"/>
      <c r="QIJ84" s="0"/>
      <c r="QIK84" s="0"/>
      <c r="QIL84" s="0"/>
      <c r="QIM84" s="0"/>
      <c r="QIN84" s="0"/>
      <c r="QIO84" s="0"/>
      <c r="QIP84" s="0"/>
      <c r="QIQ84" s="0"/>
      <c r="QIR84" s="0"/>
      <c r="QIS84" s="0"/>
      <c r="QIT84" s="0"/>
      <c r="QIU84" s="0"/>
      <c r="QIV84" s="0"/>
      <c r="QIW84" s="0"/>
      <c r="QIX84" s="0"/>
      <c r="QIY84" s="0"/>
      <c r="QIZ84" s="0"/>
      <c r="QJA84" s="0"/>
      <c r="QJB84" s="0"/>
      <c r="QJC84" s="0"/>
      <c r="QJD84" s="0"/>
      <c r="QJE84" s="0"/>
      <c r="QJF84" s="0"/>
      <c r="QJG84" s="0"/>
      <c r="QJH84" s="0"/>
      <c r="QJI84" s="0"/>
      <c r="QJJ84" s="0"/>
      <c r="QJK84" s="0"/>
      <c r="QJL84" s="0"/>
      <c r="QJM84" s="0"/>
      <c r="QJN84" s="0"/>
      <c r="QJO84" s="0"/>
      <c r="QJP84" s="0"/>
      <c r="QJQ84" s="0"/>
      <c r="QJR84" s="0"/>
      <c r="QJS84" s="0"/>
      <c r="QJT84" s="0"/>
      <c r="QJU84" s="0"/>
      <c r="QJV84" s="0"/>
      <c r="QJW84" s="0"/>
      <c r="QJX84" s="0"/>
      <c r="QJY84" s="0"/>
      <c r="QJZ84" s="0"/>
      <c r="QKA84" s="0"/>
      <c r="QKB84" s="0"/>
      <c r="QKC84" s="0"/>
      <c r="QKD84" s="0"/>
      <c r="QKE84" s="0"/>
      <c r="QKF84" s="0"/>
      <c r="QKG84" s="0"/>
      <c r="QKH84" s="0"/>
      <c r="QKI84" s="0"/>
      <c r="QKJ84" s="0"/>
      <c r="QKK84" s="0"/>
      <c r="QKL84" s="0"/>
      <c r="QKM84" s="0"/>
      <c r="QKN84" s="0"/>
      <c r="QKO84" s="0"/>
      <c r="QKP84" s="0"/>
      <c r="QKQ84" s="0"/>
      <c r="QKR84" s="0"/>
      <c r="QKS84" s="0"/>
      <c r="QKT84" s="0"/>
      <c r="QKU84" s="0"/>
      <c r="QKV84" s="0"/>
      <c r="QKW84" s="0"/>
      <c r="QKX84" s="0"/>
      <c r="QKY84" s="0"/>
      <c r="QKZ84" s="0"/>
      <c r="QLA84" s="0"/>
      <c r="QLB84" s="0"/>
      <c r="QLC84" s="0"/>
      <c r="QLD84" s="0"/>
      <c r="QLE84" s="0"/>
      <c r="QLF84" s="0"/>
      <c r="QLG84" s="0"/>
      <c r="QLH84" s="0"/>
      <c r="QLI84" s="0"/>
      <c r="QLJ84" s="0"/>
      <c r="QLK84" s="0"/>
      <c r="QLL84" s="0"/>
      <c r="QLM84" s="0"/>
      <c r="QLN84" s="0"/>
      <c r="QLO84" s="0"/>
      <c r="QLP84" s="0"/>
      <c r="QLQ84" s="0"/>
      <c r="QLR84" s="0"/>
      <c r="QLS84" s="0"/>
      <c r="QLT84" s="0"/>
      <c r="QLU84" s="0"/>
      <c r="QLV84" s="0"/>
      <c r="QLW84" s="0"/>
      <c r="QLX84" s="0"/>
      <c r="QLY84" s="0"/>
      <c r="QLZ84" s="0"/>
      <c r="QMA84" s="0"/>
      <c r="QMB84" s="0"/>
      <c r="QMC84" s="0"/>
      <c r="QMD84" s="0"/>
      <c r="QME84" s="0"/>
      <c r="QMF84" s="0"/>
      <c r="QMG84" s="0"/>
      <c r="QMH84" s="0"/>
      <c r="QMI84" s="0"/>
      <c r="QMJ84" s="0"/>
      <c r="QMK84" s="0"/>
      <c r="QML84" s="0"/>
      <c r="QMM84" s="0"/>
      <c r="QMN84" s="0"/>
      <c r="QMO84" s="0"/>
      <c r="QMP84" s="0"/>
      <c r="QMQ84" s="0"/>
      <c r="QMR84" s="0"/>
      <c r="QMS84" s="0"/>
      <c r="QMT84" s="0"/>
      <c r="QMU84" s="0"/>
      <c r="QMV84" s="0"/>
      <c r="QMW84" s="0"/>
      <c r="QMX84" s="0"/>
      <c r="QMY84" s="0"/>
      <c r="QMZ84" s="0"/>
      <c r="QNA84" s="0"/>
      <c r="QNB84" s="0"/>
      <c r="QNC84" s="0"/>
      <c r="QND84" s="0"/>
      <c r="QNE84" s="0"/>
      <c r="QNF84" s="0"/>
      <c r="QNG84" s="0"/>
      <c r="QNH84" s="0"/>
      <c r="QNI84" s="0"/>
      <c r="QNJ84" s="0"/>
      <c r="QNK84" s="0"/>
      <c r="QNL84" s="0"/>
      <c r="QNM84" s="0"/>
      <c r="QNN84" s="0"/>
      <c r="QNO84" s="0"/>
      <c r="QNP84" s="0"/>
      <c r="QNQ84" s="0"/>
      <c r="QNR84" s="0"/>
      <c r="QNS84" s="0"/>
      <c r="QNT84" s="0"/>
      <c r="QNU84" s="0"/>
      <c r="QNV84" s="0"/>
      <c r="QNW84" s="0"/>
      <c r="QNX84" s="0"/>
      <c r="QNY84" s="0"/>
      <c r="QNZ84" s="0"/>
      <c r="QOA84" s="0"/>
      <c r="QOB84" s="0"/>
      <c r="QOC84" s="0"/>
      <c r="QOD84" s="0"/>
      <c r="QOE84" s="0"/>
      <c r="QOF84" s="0"/>
      <c r="QOG84" s="0"/>
      <c r="QOH84" s="0"/>
      <c r="QOI84" s="0"/>
      <c r="QOJ84" s="0"/>
      <c r="QOK84" s="0"/>
      <c r="QOL84" s="0"/>
      <c r="QOM84" s="0"/>
      <c r="QON84" s="0"/>
      <c r="QOO84" s="0"/>
      <c r="QOP84" s="0"/>
      <c r="QOQ84" s="0"/>
      <c r="QOR84" s="0"/>
      <c r="QOS84" s="0"/>
      <c r="QOT84" s="0"/>
      <c r="QOU84" s="0"/>
      <c r="QOV84" s="0"/>
      <c r="QOW84" s="0"/>
      <c r="QOX84" s="0"/>
      <c r="QOY84" s="0"/>
      <c r="QOZ84" s="0"/>
      <c r="QPA84" s="0"/>
      <c r="QPB84" s="0"/>
      <c r="QPC84" s="0"/>
      <c r="QPD84" s="0"/>
      <c r="QPE84" s="0"/>
      <c r="QPF84" s="0"/>
      <c r="QPG84" s="0"/>
      <c r="QPH84" s="0"/>
      <c r="QPI84" s="0"/>
      <c r="QPJ84" s="0"/>
      <c r="QPK84" s="0"/>
      <c r="QPL84" s="0"/>
      <c r="QPM84" s="0"/>
      <c r="QPN84" s="0"/>
      <c r="QPO84" s="0"/>
      <c r="QPP84" s="0"/>
      <c r="QPQ84" s="0"/>
      <c r="QPR84" s="0"/>
      <c r="QPS84" s="0"/>
      <c r="QPT84" s="0"/>
      <c r="QPU84" s="0"/>
      <c r="QPV84" s="0"/>
      <c r="QPW84" s="0"/>
      <c r="QPX84" s="0"/>
      <c r="QPY84" s="0"/>
      <c r="QPZ84" s="0"/>
      <c r="QQA84" s="0"/>
      <c r="QQB84" s="0"/>
      <c r="QQC84" s="0"/>
      <c r="QQD84" s="0"/>
      <c r="QQE84" s="0"/>
      <c r="QQF84" s="0"/>
      <c r="QQG84" s="0"/>
      <c r="QQH84" s="0"/>
      <c r="QQI84" s="0"/>
      <c r="QQJ84" s="0"/>
      <c r="QQK84" s="0"/>
      <c r="QQL84" s="0"/>
      <c r="QQM84" s="0"/>
      <c r="QQN84" s="0"/>
      <c r="QQO84" s="0"/>
      <c r="QQP84" s="0"/>
      <c r="QQQ84" s="0"/>
      <c r="QQR84" s="0"/>
      <c r="QQS84" s="0"/>
      <c r="QQT84" s="0"/>
      <c r="QQU84" s="0"/>
      <c r="QQV84" s="0"/>
      <c r="QQW84" s="0"/>
      <c r="QQX84" s="0"/>
      <c r="QQY84" s="0"/>
      <c r="QQZ84" s="0"/>
      <c r="QRA84" s="0"/>
      <c r="QRB84" s="0"/>
      <c r="QRC84" s="0"/>
      <c r="QRD84" s="0"/>
      <c r="QRE84" s="0"/>
      <c r="QRF84" s="0"/>
      <c r="QRG84" s="0"/>
      <c r="QRH84" s="0"/>
      <c r="QRI84" s="0"/>
      <c r="QRJ84" s="0"/>
      <c r="QRK84" s="0"/>
      <c r="QRL84" s="0"/>
      <c r="QRM84" s="0"/>
      <c r="QRN84" s="0"/>
      <c r="QRO84" s="0"/>
      <c r="QRP84" s="0"/>
      <c r="QRQ84" s="0"/>
      <c r="QRR84" s="0"/>
      <c r="QRS84" s="0"/>
      <c r="QRT84" s="0"/>
      <c r="QRU84" s="0"/>
      <c r="QRV84" s="0"/>
      <c r="QRW84" s="0"/>
      <c r="QRX84" s="0"/>
      <c r="QRY84" s="0"/>
      <c r="QRZ84" s="0"/>
      <c r="QSA84" s="0"/>
      <c r="QSB84" s="0"/>
      <c r="QSC84" s="0"/>
      <c r="QSD84" s="0"/>
      <c r="QSE84" s="0"/>
      <c r="QSF84" s="0"/>
      <c r="QSG84" s="0"/>
      <c r="QSH84" s="0"/>
      <c r="QSI84" s="0"/>
      <c r="QSJ84" s="0"/>
      <c r="QSK84" s="0"/>
      <c r="QSL84" s="0"/>
      <c r="QSM84" s="0"/>
      <c r="QSN84" s="0"/>
      <c r="QSO84" s="0"/>
      <c r="QSP84" s="0"/>
      <c r="QSQ84" s="0"/>
      <c r="QSR84" s="0"/>
      <c r="QSS84" s="0"/>
      <c r="QST84" s="0"/>
      <c r="QSU84" s="0"/>
      <c r="QSV84" s="0"/>
      <c r="QSW84" s="0"/>
      <c r="QSX84" s="0"/>
      <c r="QSY84" s="0"/>
      <c r="QSZ84" s="0"/>
      <c r="QTA84" s="0"/>
      <c r="QTB84" s="0"/>
      <c r="QTC84" s="0"/>
      <c r="QTD84" s="0"/>
      <c r="QTE84" s="0"/>
      <c r="QTF84" s="0"/>
      <c r="QTG84" s="0"/>
      <c r="QTH84" s="0"/>
      <c r="QTI84" s="0"/>
      <c r="QTJ84" s="0"/>
      <c r="QTK84" s="0"/>
      <c r="QTL84" s="0"/>
      <c r="QTM84" s="0"/>
      <c r="QTN84" s="0"/>
      <c r="QTO84" s="0"/>
      <c r="QTP84" s="0"/>
      <c r="QTQ84" s="0"/>
      <c r="QTR84" s="0"/>
      <c r="QTS84" s="0"/>
      <c r="QTT84" s="0"/>
      <c r="QTU84" s="0"/>
      <c r="QTV84" s="0"/>
      <c r="QTW84" s="0"/>
      <c r="QTX84" s="0"/>
      <c r="QTY84" s="0"/>
      <c r="QTZ84" s="0"/>
      <c r="QUA84" s="0"/>
      <c r="QUB84" s="0"/>
      <c r="QUC84" s="0"/>
      <c r="QUD84" s="0"/>
      <c r="QUE84" s="0"/>
      <c r="QUF84" s="0"/>
      <c r="QUG84" s="0"/>
      <c r="QUH84" s="0"/>
      <c r="QUI84" s="0"/>
      <c r="QUJ84" s="0"/>
      <c r="QUK84" s="0"/>
      <c r="QUL84" s="0"/>
      <c r="QUM84" s="0"/>
      <c r="QUN84" s="0"/>
      <c r="QUO84" s="0"/>
      <c r="QUP84" s="0"/>
      <c r="QUQ84" s="0"/>
      <c r="QUR84" s="0"/>
      <c r="QUS84" s="0"/>
      <c r="QUT84" s="0"/>
      <c r="QUU84" s="0"/>
      <c r="QUV84" s="0"/>
      <c r="QUW84" s="0"/>
      <c r="QUX84" s="0"/>
      <c r="QUY84" s="0"/>
      <c r="QUZ84" s="0"/>
      <c r="QVA84" s="0"/>
      <c r="QVB84" s="0"/>
      <c r="QVC84" s="0"/>
      <c r="QVD84" s="0"/>
      <c r="QVE84" s="0"/>
      <c r="QVF84" s="0"/>
      <c r="QVG84" s="0"/>
      <c r="QVH84" s="0"/>
      <c r="QVI84" s="0"/>
      <c r="QVJ84" s="0"/>
      <c r="QVK84" s="0"/>
      <c r="QVL84" s="0"/>
      <c r="QVM84" s="0"/>
      <c r="QVN84" s="0"/>
      <c r="QVO84" s="0"/>
      <c r="QVP84" s="0"/>
      <c r="QVQ84" s="0"/>
      <c r="QVR84" s="0"/>
      <c r="QVS84" s="0"/>
      <c r="QVT84" s="0"/>
      <c r="QVU84" s="0"/>
      <c r="QVV84" s="0"/>
      <c r="QVW84" s="0"/>
      <c r="QVX84" s="0"/>
      <c r="QVY84" s="0"/>
      <c r="QVZ84" s="0"/>
      <c r="QWA84" s="0"/>
      <c r="QWB84" s="0"/>
      <c r="QWC84" s="0"/>
      <c r="QWD84" s="0"/>
      <c r="QWE84" s="0"/>
      <c r="QWF84" s="0"/>
      <c r="QWG84" s="0"/>
      <c r="QWH84" s="0"/>
      <c r="QWI84" s="0"/>
      <c r="QWJ84" s="0"/>
      <c r="QWK84" s="0"/>
      <c r="QWL84" s="0"/>
      <c r="QWM84" s="0"/>
      <c r="QWN84" s="0"/>
      <c r="QWO84" s="0"/>
      <c r="QWP84" s="0"/>
      <c r="QWQ84" s="0"/>
      <c r="QWR84" s="0"/>
      <c r="QWS84" s="0"/>
      <c r="QWT84" s="0"/>
      <c r="QWU84" s="0"/>
      <c r="QWV84" s="0"/>
      <c r="QWW84" s="0"/>
      <c r="QWX84" s="0"/>
      <c r="QWY84" s="0"/>
      <c r="QWZ84" s="0"/>
      <c r="QXA84" s="0"/>
      <c r="QXB84" s="0"/>
      <c r="QXC84" s="0"/>
      <c r="QXD84" s="0"/>
      <c r="QXE84" s="0"/>
      <c r="QXF84" s="0"/>
      <c r="QXG84" s="0"/>
      <c r="QXH84" s="0"/>
      <c r="QXI84" s="0"/>
      <c r="QXJ84" s="0"/>
      <c r="QXK84" s="0"/>
      <c r="QXL84" s="0"/>
      <c r="QXM84" s="0"/>
      <c r="QXN84" s="0"/>
      <c r="QXO84" s="0"/>
      <c r="QXP84" s="0"/>
      <c r="QXQ84" s="0"/>
      <c r="QXR84" s="0"/>
      <c r="QXS84" s="0"/>
      <c r="QXT84" s="0"/>
      <c r="QXU84" s="0"/>
      <c r="QXV84" s="0"/>
      <c r="QXW84" s="0"/>
      <c r="QXX84" s="0"/>
      <c r="QXY84" s="0"/>
      <c r="QXZ84" s="0"/>
      <c r="QYA84" s="0"/>
      <c r="QYB84" s="0"/>
      <c r="QYC84" s="0"/>
      <c r="QYD84" s="0"/>
      <c r="QYE84" s="0"/>
      <c r="QYF84" s="0"/>
      <c r="QYG84" s="0"/>
      <c r="QYH84" s="0"/>
      <c r="QYI84" s="0"/>
      <c r="QYJ84" s="0"/>
      <c r="QYK84" s="0"/>
      <c r="QYL84" s="0"/>
      <c r="QYM84" s="0"/>
      <c r="QYN84" s="0"/>
      <c r="QYO84" s="0"/>
      <c r="QYP84" s="0"/>
      <c r="QYQ84" s="0"/>
      <c r="QYR84" s="0"/>
      <c r="QYS84" s="0"/>
      <c r="QYT84" s="0"/>
      <c r="QYU84" s="0"/>
      <c r="QYV84" s="0"/>
      <c r="QYW84" s="0"/>
      <c r="QYX84" s="0"/>
      <c r="QYY84" s="0"/>
      <c r="QYZ84" s="0"/>
      <c r="QZA84" s="0"/>
      <c r="QZB84" s="0"/>
      <c r="QZC84" s="0"/>
      <c r="QZD84" s="0"/>
      <c r="QZE84" s="0"/>
      <c r="QZF84" s="0"/>
      <c r="QZG84" s="0"/>
      <c r="QZH84" s="0"/>
      <c r="QZI84" s="0"/>
      <c r="QZJ84" s="0"/>
      <c r="QZK84" s="0"/>
      <c r="QZL84" s="0"/>
      <c r="QZM84" s="0"/>
      <c r="QZN84" s="0"/>
      <c r="QZO84" s="0"/>
      <c r="QZP84" s="0"/>
      <c r="QZQ84" s="0"/>
      <c r="QZR84" s="0"/>
      <c r="QZS84" s="0"/>
      <c r="QZT84" s="0"/>
      <c r="QZU84" s="0"/>
      <c r="QZV84" s="0"/>
      <c r="QZW84" s="0"/>
      <c r="QZX84" s="0"/>
      <c r="QZY84" s="0"/>
      <c r="QZZ84" s="0"/>
      <c r="RAA84" s="0"/>
      <c r="RAB84" s="0"/>
      <c r="RAC84" s="0"/>
      <c r="RAD84" s="0"/>
      <c r="RAE84" s="0"/>
      <c r="RAF84" s="0"/>
      <c r="RAG84" s="0"/>
      <c r="RAH84" s="0"/>
      <c r="RAI84" s="0"/>
      <c r="RAJ84" s="0"/>
      <c r="RAK84" s="0"/>
      <c r="RAL84" s="0"/>
      <c r="RAM84" s="0"/>
      <c r="RAN84" s="0"/>
      <c r="RAO84" s="0"/>
      <c r="RAP84" s="0"/>
      <c r="RAQ84" s="0"/>
      <c r="RAR84" s="0"/>
      <c r="RAS84" s="0"/>
      <c r="RAT84" s="0"/>
      <c r="RAU84" s="0"/>
      <c r="RAV84" s="0"/>
      <c r="RAW84" s="0"/>
      <c r="RAX84" s="0"/>
      <c r="RAY84" s="0"/>
      <c r="RAZ84" s="0"/>
      <c r="RBA84" s="0"/>
      <c r="RBB84" s="0"/>
      <c r="RBC84" s="0"/>
      <c r="RBD84" s="0"/>
      <c r="RBE84" s="0"/>
      <c r="RBF84" s="0"/>
      <c r="RBG84" s="0"/>
      <c r="RBH84" s="0"/>
      <c r="RBI84" s="0"/>
      <c r="RBJ84" s="0"/>
      <c r="RBK84" s="0"/>
      <c r="RBL84" s="0"/>
      <c r="RBM84" s="0"/>
      <c r="RBN84" s="0"/>
      <c r="RBO84" s="0"/>
      <c r="RBP84" s="0"/>
      <c r="RBQ84" s="0"/>
      <c r="RBR84" s="0"/>
      <c r="RBS84" s="0"/>
      <c r="RBT84" s="0"/>
      <c r="RBU84" s="0"/>
      <c r="RBV84" s="0"/>
      <c r="RBW84" s="0"/>
      <c r="RBX84" s="0"/>
      <c r="RBY84" s="0"/>
      <c r="RBZ84" s="0"/>
      <c r="RCA84" s="0"/>
      <c r="RCB84" s="0"/>
      <c r="RCC84" s="0"/>
      <c r="RCD84" s="0"/>
      <c r="RCE84" s="0"/>
      <c r="RCF84" s="0"/>
      <c r="RCG84" s="0"/>
      <c r="RCH84" s="0"/>
      <c r="RCI84" s="0"/>
      <c r="RCJ84" s="0"/>
      <c r="RCK84" s="0"/>
      <c r="RCL84" s="0"/>
      <c r="RCM84" s="0"/>
      <c r="RCN84" s="0"/>
      <c r="RCO84" s="0"/>
      <c r="RCP84" s="0"/>
      <c r="RCQ84" s="0"/>
      <c r="RCR84" s="0"/>
      <c r="RCS84" s="0"/>
      <c r="RCT84" s="0"/>
      <c r="RCU84" s="0"/>
      <c r="RCV84" s="0"/>
      <c r="RCW84" s="0"/>
      <c r="RCX84" s="0"/>
      <c r="RCY84" s="0"/>
      <c r="RCZ84" s="0"/>
      <c r="RDA84" s="0"/>
      <c r="RDB84" s="0"/>
      <c r="RDC84" s="0"/>
      <c r="RDD84" s="0"/>
      <c r="RDE84" s="0"/>
      <c r="RDF84" s="0"/>
      <c r="RDG84" s="0"/>
      <c r="RDH84" s="0"/>
      <c r="RDI84" s="0"/>
      <c r="RDJ84" s="0"/>
      <c r="RDK84" s="0"/>
      <c r="RDL84" s="0"/>
      <c r="RDM84" s="0"/>
      <c r="RDN84" s="0"/>
      <c r="RDO84" s="0"/>
      <c r="RDP84" s="0"/>
      <c r="RDQ84" s="0"/>
      <c r="RDR84" s="0"/>
      <c r="RDS84" s="0"/>
      <c r="RDT84" s="0"/>
      <c r="RDU84" s="0"/>
      <c r="RDV84" s="0"/>
      <c r="RDW84" s="0"/>
      <c r="RDX84" s="0"/>
      <c r="RDY84" s="0"/>
      <c r="RDZ84" s="0"/>
      <c r="REA84" s="0"/>
      <c r="REB84" s="0"/>
      <c r="REC84" s="0"/>
      <c r="RED84" s="0"/>
      <c r="REE84" s="0"/>
      <c r="REF84" s="0"/>
      <c r="REG84" s="0"/>
      <c r="REH84" s="0"/>
      <c r="REI84" s="0"/>
      <c r="REJ84" s="0"/>
      <c r="REK84" s="0"/>
      <c r="REL84" s="0"/>
      <c r="REM84" s="0"/>
      <c r="REN84" s="0"/>
      <c r="REO84" s="0"/>
      <c r="REP84" s="0"/>
      <c r="REQ84" s="0"/>
      <c r="RER84" s="0"/>
      <c r="RES84" s="0"/>
      <c r="RET84" s="0"/>
      <c r="REU84" s="0"/>
      <c r="REV84" s="0"/>
      <c r="REW84" s="0"/>
      <c r="REX84" s="0"/>
      <c r="REY84" s="0"/>
      <c r="REZ84" s="0"/>
      <c r="RFA84" s="0"/>
      <c r="RFB84" s="0"/>
      <c r="RFC84" s="0"/>
      <c r="RFD84" s="0"/>
      <c r="RFE84" s="0"/>
      <c r="RFF84" s="0"/>
      <c r="RFG84" s="0"/>
      <c r="RFH84" s="0"/>
      <c r="RFI84" s="0"/>
      <c r="RFJ84" s="0"/>
      <c r="RFK84" s="0"/>
      <c r="RFL84" s="0"/>
      <c r="RFM84" s="0"/>
      <c r="RFN84" s="0"/>
      <c r="RFO84" s="0"/>
      <c r="RFP84" s="0"/>
      <c r="RFQ84" s="0"/>
      <c r="RFR84" s="0"/>
      <c r="RFS84" s="0"/>
      <c r="RFT84" s="0"/>
      <c r="RFU84" s="0"/>
      <c r="RFV84" s="0"/>
      <c r="RFW84" s="0"/>
      <c r="RFX84" s="0"/>
      <c r="RFY84" s="0"/>
      <c r="RFZ84" s="0"/>
      <c r="RGA84" s="0"/>
      <c r="RGB84" s="0"/>
      <c r="RGC84" s="0"/>
      <c r="RGD84" s="0"/>
      <c r="RGE84" s="0"/>
      <c r="RGF84" s="0"/>
      <c r="RGG84" s="0"/>
      <c r="RGH84" s="0"/>
      <c r="RGI84" s="0"/>
      <c r="RGJ84" s="0"/>
      <c r="RGK84" s="0"/>
      <c r="RGL84" s="0"/>
      <c r="RGM84" s="0"/>
      <c r="RGN84" s="0"/>
      <c r="RGO84" s="0"/>
      <c r="RGP84" s="0"/>
      <c r="RGQ84" s="0"/>
      <c r="RGR84" s="0"/>
      <c r="RGS84" s="0"/>
      <c r="RGT84" s="0"/>
      <c r="RGU84" s="0"/>
      <c r="RGV84" s="0"/>
      <c r="RGW84" s="0"/>
      <c r="RGX84" s="0"/>
      <c r="RGY84" s="0"/>
      <c r="RGZ84" s="0"/>
      <c r="RHA84" s="0"/>
      <c r="RHB84" s="0"/>
      <c r="RHC84" s="0"/>
      <c r="RHD84" s="0"/>
      <c r="RHE84" s="0"/>
      <c r="RHF84" s="0"/>
      <c r="RHG84" s="0"/>
      <c r="RHH84" s="0"/>
      <c r="RHI84" s="0"/>
      <c r="RHJ84" s="0"/>
      <c r="RHK84" s="0"/>
      <c r="RHL84" s="0"/>
      <c r="RHM84" s="0"/>
      <c r="RHN84" s="0"/>
      <c r="RHO84" s="0"/>
      <c r="RHP84" s="0"/>
      <c r="RHQ84" s="0"/>
      <c r="RHR84" s="0"/>
      <c r="RHS84" s="0"/>
      <c r="RHT84" s="0"/>
      <c r="RHU84" s="0"/>
      <c r="RHV84" s="0"/>
      <c r="RHW84" s="0"/>
      <c r="RHX84" s="0"/>
      <c r="RHY84" s="0"/>
      <c r="RHZ84" s="0"/>
      <c r="RIA84" s="0"/>
      <c r="RIB84" s="0"/>
      <c r="RIC84" s="0"/>
      <c r="RID84" s="0"/>
      <c r="RIE84" s="0"/>
      <c r="RIF84" s="0"/>
      <c r="RIG84" s="0"/>
      <c r="RIH84" s="0"/>
      <c r="RII84" s="0"/>
      <c r="RIJ84" s="0"/>
      <c r="RIK84" s="0"/>
      <c r="RIL84" s="0"/>
      <c r="RIM84" s="0"/>
      <c r="RIN84" s="0"/>
      <c r="RIO84" s="0"/>
      <c r="RIP84" s="0"/>
      <c r="RIQ84" s="0"/>
      <c r="RIR84" s="0"/>
      <c r="RIS84" s="0"/>
      <c r="RIT84" s="0"/>
      <c r="RIU84" s="0"/>
      <c r="RIV84" s="0"/>
      <c r="RIW84" s="0"/>
      <c r="RIX84" s="0"/>
      <c r="RIY84" s="0"/>
      <c r="RIZ84" s="0"/>
      <c r="RJA84" s="0"/>
      <c r="RJB84" s="0"/>
      <c r="RJC84" s="0"/>
      <c r="RJD84" s="0"/>
      <c r="RJE84" s="0"/>
      <c r="RJF84" s="0"/>
      <c r="RJG84" s="0"/>
      <c r="RJH84" s="0"/>
      <c r="RJI84" s="0"/>
      <c r="RJJ84" s="0"/>
      <c r="RJK84" s="0"/>
      <c r="RJL84" s="0"/>
      <c r="RJM84" s="0"/>
      <c r="RJN84" s="0"/>
      <c r="RJO84" s="0"/>
      <c r="RJP84" s="0"/>
      <c r="RJQ84" s="0"/>
      <c r="RJR84" s="0"/>
      <c r="RJS84" s="0"/>
      <c r="RJT84" s="0"/>
      <c r="RJU84" s="0"/>
      <c r="RJV84" s="0"/>
      <c r="RJW84" s="0"/>
      <c r="RJX84" s="0"/>
      <c r="RJY84" s="0"/>
      <c r="RJZ84" s="0"/>
      <c r="RKA84" s="0"/>
      <c r="RKB84" s="0"/>
      <c r="RKC84" s="0"/>
      <c r="RKD84" s="0"/>
      <c r="RKE84" s="0"/>
      <c r="RKF84" s="0"/>
      <c r="RKG84" s="0"/>
      <c r="RKH84" s="0"/>
      <c r="RKI84" s="0"/>
      <c r="RKJ84" s="0"/>
      <c r="RKK84" s="0"/>
      <c r="RKL84" s="0"/>
      <c r="RKM84" s="0"/>
      <c r="RKN84" s="0"/>
      <c r="RKO84" s="0"/>
      <c r="RKP84" s="0"/>
      <c r="RKQ84" s="0"/>
      <c r="RKR84" s="0"/>
      <c r="RKS84" s="0"/>
      <c r="RKT84" s="0"/>
      <c r="RKU84" s="0"/>
      <c r="RKV84" s="0"/>
      <c r="RKW84" s="0"/>
      <c r="RKX84" s="0"/>
      <c r="RKY84" s="0"/>
      <c r="RKZ84" s="0"/>
      <c r="RLA84" s="0"/>
      <c r="RLB84" s="0"/>
      <c r="RLC84" s="0"/>
      <c r="RLD84" s="0"/>
      <c r="RLE84" s="0"/>
      <c r="RLF84" s="0"/>
      <c r="RLG84" s="0"/>
      <c r="RLH84" s="0"/>
      <c r="RLI84" s="0"/>
      <c r="RLJ84" s="0"/>
      <c r="RLK84" s="0"/>
      <c r="RLL84" s="0"/>
      <c r="RLM84" s="0"/>
      <c r="RLN84" s="0"/>
      <c r="RLO84" s="0"/>
      <c r="RLP84" s="0"/>
      <c r="RLQ84" s="0"/>
      <c r="RLR84" s="0"/>
      <c r="RLS84" s="0"/>
      <c r="RLT84" s="0"/>
      <c r="RLU84" s="0"/>
      <c r="RLV84" s="0"/>
      <c r="RLW84" s="0"/>
      <c r="RLX84" s="0"/>
      <c r="RLY84" s="0"/>
      <c r="RLZ84" s="0"/>
      <c r="RMA84" s="0"/>
      <c r="RMB84" s="0"/>
      <c r="RMC84" s="0"/>
      <c r="RMD84" s="0"/>
      <c r="RME84" s="0"/>
      <c r="RMF84" s="0"/>
      <c r="RMG84" s="0"/>
      <c r="RMH84" s="0"/>
      <c r="RMI84" s="0"/>
      <c r="RMJ84" s="0"/>
      <c r="RMK84" s="0"/>
      <c r="RML84" s="0"/>
      <c r="RMM84" s="0"/>
      <c r="RMN84" s="0"/>
      <c r="RMO84" s="0"/>
      <c r="RMP84" s="0"/>
      <c r="RMQ84" s="0"/>
      <c r="RMR84" s="0"/>
      <c r="RMS84" s="0"/>
      <c r="RMT84" s="0"/>
      <c r="RMU84" s="0"/>
      <c r="RMV84" s="0"/>
      <c r="RMW84" s="0"/>
      <c r="RMX84" s="0"/>
      <c r="RMY84" s="0"/>
      <c r="RMZ84" s="0"/>
      <c r="RNA84" s="0"/>
      <c r="RNB84" s="0"/>
      <c r="RNC84" s="0"/>
      <c r="RND84" s="0"/>
      <c r="RNE84" s="0"/>
      <c r="RNF84" s="0"/>
      <c r="RNG84" s="0"/>
      <c r="RNH84" s="0"/>
      <c r="RNI84" s="0"/>
      <c r="RNJ84" s="0"/>
      <c r="RNK84" s="0"/>
      <c r="RNL84" s="0"/>
      <c r="RNM84" s="0"/>
      <c r="RNN84" s="0"/>
      <c r="RNO84" s="0"/>
      <c r="RNP84" s="0"/>
      <c r="RNQ84" s="0"/>
      <c r="RNR84" s="0"/>
      <c r="RNS84" s="0"/>
      <c r="RNT84" s="0"/>
      <c r="RNU84" s="0"/>
      <c r="RNV84" s="0"/>
      <c r="RNW84" s="0"/>
      <c r="RNX84" s="0"/>
      <c r="RNY84" s="0"/>
      <c r="RNZ84" s="0"/>
      <c r="ROA84" s="0"/>
      <c r="ROB84" s="0"/>
      <c r="ROC84" s="0"/>
      <c r="ROD84" s="0"/>
      <c r="ROE84" s="0"/>
      <c r="ROF84" s="0"/>
      <c r="ROG84" s="0"/>
      <c r="ROH84" s="0"/>
      <c r="ROI84" s="0"/>
      <c r="ROJ84" s="0"/>
      <c r="ROK84" s="0"/>
      <c r="ROL84" s="0"/>
      <c r="ROM84" s="0"/>
      <c r="RON84" s="0"/>
      <c r="ROO84" s="0"/>
      <c r="ROP84" s="0"/>
      <c r="ROQ84" s="0"/>
      <c r="ROR84" s="0"/>
      <c r="ROS84" s="0"/>
      <c r="ROT84" s="0"/>
      <c r="ROU84" s="0"/>
      <c r="ROV84" s="0"/>
      <c r="ROW84" s="0"/>
      <c r="ROX84" s="0"/>
      <c r="ROY84" s="0"/>
      <c r="ROZ84" s="0"/>
      <c r="RPA84" s="0"/>
      <c r="RPB84" s="0"/>
      <c r="RPC84" s="0"/>
      <c r="RPD84" s="0"/>
      <c r="RPE84" s="0"/>
      <c r="RPF84" s="0"/>
      <c r="RPG84" s="0"/>
      <c r="RPH84" s="0"/>
      <c r="RPI84" s="0"/>
      <c r="RPJ84" s="0"/>
      <c r="RPK84" s="0"/>
      <c r="RPL84" s="0"/>
      <c r="RPM84" s="0"/>
      <c r="RPN84" s="0"/>
      <c r="RPO84" s="0"/>
      <c r="RPP84" s="0"/>
      <c r="RPQ84" s="0"/>
      <c r="RPR84" s="0"/>
      <c r="RPS84" s="0"/>
      <c r="RPT84" s="0"/>
      <c r="RPU84" s="0"/>
      <c r="RPV84" s="0"/>
      <c r="RPW84" s="0"/>
      <c r="RPX84" s="0"/>
      <c r="RPY84" s="0"/>
      <c r="RPZ84" s="0"/>
      <c r="RQA84" s="0"/>
      <c r="RQB84" s="0"/>
      <c r="RQC84" s="0"/>
      <c r="RQD84" s="0"/>
      <c r="RQE84" s="0"/>
      <c r="RQF84" s="0"/>
      <c r="RQG84" s="0"/>
      <c r="RQH84" s="0"/>
      <c r="RQI84" s="0"/>
      <c r="RQJ84" s="0"/>
      <c r="RQK84" s="0"/>
      <c r="RQL84" s="0"/>
      <c r="RQM84" s="0"/>
      <c r="RQN84" s="0"/>
      <c r="RQO84" s="0"/>
      <c r="RQP84" s="0"/>
      <c r="RQQ84" s="0"/>
      <c r="RQR84" s="0"/>
      <c r="RQS84" s="0"/>
      <c r="RQT84" s="0"/>
      <c r="RQU84" s="0"/>
      <c r="RQV84" s="0"/>
      <c r="RQW84" s="0"/>
      <c r="RQX84" s="0"/>
      <c r="RQY84" s="0"/>
      <c r="RQZ84" s="0"/>
      <c r="RRA84" s="0"/>
      <c r="RRB84" s="0"/>
      <c r="RRC84" s="0"/>
      <c r="RRD84" s="0"/>
      <c r="RRE84" s="0"/>
      <c r="RRF84" s="0"/>
      <c r="RRG84" s="0"/>
      <c r="RRH84" s="0"/>
      <c r="RRI84" s="0"/>
      <c r="RRJ84" s="0"/>
      <c r="RRK84" s="0"/>
      <c r="RRL84" s="0"/>
      <c r="RRM84" s="0"/>
      <c r="RRN84" s="0"/>
      <c r="RRO84" s="0"/>
      <c r="RRP84" s="0"/>
      <c r="RRQ84" s="0"/>
      <c r="RRR84" s="0"/>
      <c r="RRS84" s="0"/>
      <c r="RRT84" s="0"/>
      <c r="RRU84" s="0"/>
      <c r="RRV84" s="0"/>
      <c r="RRW84" s="0"/>
      <c r="RRX84" s="0"/>
      <c r="RRY84" s="0"/>
      <c r="RRZ84" s="0"/>
      <c r="RSA84" s="0"/>
      <c r="RSB84" s="0"/>
      <c r="RSC84" s="0"/>
      <c r="RSD84" s="0"/>
      <c r="RSE84" s="0"/>
      <c r="RSF84" s="0"/>
      <c r="RSG84" s="0"/>
      <c r="RSH84" s="0"/>
      <c r="RSI84" s="0"/>
      <c r="RSJ84" s="0"/>
      <c r="RSK84" s="0"/>
      <c r="RSL84" s="0"/>
      <c r="RSM84" s="0"/>
      <c r="RSN84" s="0"/>
      <c r="RSO84" s="0"/>
      <c r="RSP84" s="0"/>
      <c r="RSQ84" s="0"/>
      <c r="RSR84" s="0"/>
      <c r="RSS84" s="0"/>
      <c r="RST84" s="0"/>
      <c r="RSU84" s="0"/>
      <c r="RSV84" s="0"/>
      <c r="RSW84" s="0"/>
      <c r="RSX84" s="0"/>
      <c r="RSY84" s="0"/>
      <c r="RSZ84" s="0"/>
      <c r="RTA84" s="0"/>
      <c r="RTB84" s="0"/>
      <c r="RTC84" s="0"/>
      <c r="RTD84" s="0"/>
      <c r="RTE84" s="0"/>
      <c r="RTF84" s="0"/>
      <c r="RTG84" s="0"/>
      <c r="RTH84" s="0"/>
      <c r="RTI84" s="0"/>
      <c r="RTJ84" s="0"/>
      <c r="RTK84" s="0"/>
      <c r="RTL84" s="0"/>
      <c r="RTM84" s="0"/>
      <c r="RTN84" s="0"/>
      <c r="RTO84" s="0"/>
      <c r="RTP84" s="0"/>
      <c r="RTQ84" s="0"/>
      <c r="RTR84" s="0"/>
      <c r="RTS84" s="0"/>
      <c r="RTT84" s="0"/>
      <c r="RTU84" s="0"/>
      <c r="RTV84" s="0"/>
      <c r="RTW84" s="0"/>
      <c r="RTX84" s="0"/>
      <c r="RTY84" s="0"/>
      <c r="RTZ84" s="0"/>
      <c r="RUA84" s="0"/>
      <c r="RUB84" s="0"/>
      <c r="RUC84" s="0"/>
      <c r="RUD84" s="0"/>
      <c r="RUE84" s="0"/>
      <c r="RUF84" s="0"/>
      <c r="RUG84" s="0"/>
      <c r="RUH84" s="0"/>
      <c r="RUI84" s="0"/>
      <c r="RUJ84" s="0"/>
      <c r="RUK84" s="0"/>
      <c r="RUL84" s="0"/>
      <c r="RUM84" s="0"/>
      <c r="RUN84" s="0"/>
      <c r="RUO84" s="0"/>
      <c r="RUP84" s="0"/>
      <c r="RUQ84" s="0"/>
      <c r="RUR84" s="0"/>
      <c r="RUS84" s="0"/>
      <c r="RUT84" s="0"/>
      <c r="RUU84" s="0"/>
      <c r="RUV84" s="0"/>
      <c r="RUW84" s="0"/>
      <c r="RUX84" s="0"/>
      <c r="RUY84" s="0"/>
      <c r="RUZ84" s="0"/>
      <c r="RVA84" s="0"/>
      <c r="RVB84" s="0"/>
      <c r="RVC84" s="0"/>
      <c r="RVD84" s="0"/>
      <c r="RVE84" s="0"/>
      <c r="RVF84" s="0"/>
      <c r="RVG84" s="0"/>
      <c r="RVH84" s="0"/>
      <c r="RVI84" s="0"/>
      <c r="RVJ84" s="0"/>
      <c r="RVK84" s="0"/>
      <c r="RVL84" s="0"/>
      <c r="RVM84" s="0"/>
      <c r="RVN84" s="0"/>
      <c r="RVO84" s="0"/>
      <c r="RVP84" s="0"/>
      <c r="RVQ84" s="0"/>
      <c r="RVR84" s="0"/>
      <c r="RVS84" s="0"/>
      <c r="RVT84" s="0"/>
      <c r="RVU84" s="0"/>
      <c r="RVV84" s="0"/>
      <c r="RVW84" s="0"/>
      <c r="RVX84" s="0"/>
      <c r="RVY84" s="0"/>
      <c r="RVZ84" s="0"/>
      <c r="RWA84" s="0"/>
      <c r="RWB84" s="0"/>
      <c r="RWC84" s="0"/>
      <c r="RWD84" s="0"/>
      <c r="RWE84" s="0"/>
      <c r="RWF84" s="0"/>
      <c r="RWG84" s="0"/>
      <c r="RWH84" s="0"/>
      <c r="RWI84" s="0"/>
      <c r="RWJ84" s="0"/>
      <c r="RWK84" s="0"/>
      <c r="RWL84" s="0"/>
      <c r="RWM84" s="0"/>
      <c r="RWN84" s="0"/>
      <c r="RWO84" s="0"/>
      <c r="RWP84" s="0"/>
      <c r="RWQ84" s="0"/>
      <c r="RWR84" s="0"/>
      <c r="RWS84" s="0"/>
      <c r="RWT84" s="0"/>
      <c r="RWU84" s="0"/>
      <c r="RWV84" s="0"/>
      <c r="RWW84" s="0"/>
      <c r="RWX84" s="0"/>
      <c r="RWY84" s="0"/>
      <c r="RWZ84" s="0"/>
      <c r="RXA84" s="0"/>
      <c r="RXB84" s="0"/>
      <c r="RXC84" s="0"/>
      <c r="RXD84" s="0"/>
      <c r="RXE84" s="0"/>
      <c r="RXF84" s="0"/>
      <c r="RXG84" s="0"/>
      <c r="RXH84" s="0"/>
      <c r="RXI84" s="0"/>
      <c r="RXJ84" s="0"/>
      <c r="RXK84" s="0"/>
      <c r="RXL84" s="0"/>
      <c r="RXM84" s="0"/>
      <c r="RXN84" s="0"/>
      <c r="RXO84" s="0"/>
      <c r="RXP84" s="0"/>
      <c r="RXQ84" s="0"/>
      <c r="RXR84" s="0"/>
      <c r="RXS84" s="0"/>
      <c r="RXT84" s="0"/>
      <c r="RXU84" s="0"/>
      <c r="RXV84" s="0"/>
      <c r="RXW84" s="0"/>
      <c r="RXX84" s="0"/>
      <c r="RXY84" s="0"/>
      <c r="RXZ84" s="0"/>
      <c r="RYA84" s="0"/>
      <c r="RYB84" s="0"/>
      <c r="RYC84" s="0"/>
      <c r="RYD84" s="0"/>
      <c r="RYE84" s="0"/>
      <c r="RYF84" s="0"/>
      <c r="RYG84" s="0"/>
      <c r="RYH84" s="0"/>
      <c r="RYI84" s="0"/>
      <c r="RYJ84" s="0"/>
      <c r="RYK84" s="0"/>
      <c r="RYL84" s="0"/>
      <c r="RYM84" s="0"/>
      <c r="RYN84" s="0"/>
      <c r="RYO84" s="0"/>
      <c r="RYP84" s="0"/>
      <c r="RYQ84" s="0"/>
      <c r="RYR84" s="0"/>
      <c r="RYS84" s="0"/>
      <c r="RYT84" s="0"/>
      <c r="RYU84" s="0"/>
      <c r="RYV84" s="0"/>
      <c r="RYW84" s="0"/>
      <c r="RYX84" s="0"/>
      <c r="RYY84" s="0"/>
      <c r="RYZ84" s="0"/>
      <c r="RZA84" s="0"/>
      <c r="RZB84" s="0"/>
      <c r="RZC84" s="0"/>
      <c r="RZD84" s="0"/>
      <c r="RZE84" s="0"/>
      <c r="RZF84" s="0"/>
      <c r="RZG84" s="0"/>
      <c r="RZH84" s="0"/>
      <c r="RZI84" s="0"/>
      <c r="RZJ84" s="0"/>
      <c r="RZK84" s="0"/>
      <c r="RZL84" s="0"/>
      <c r="RZM84" s="0"/>
      <c r="RZN84" s="0"/>
      <c r="RZO84" s="0"/>
      <c r="RZP84" s="0"/>
      <c r="RZQ84" s="0"/>
      <c r="RZR84" s="0"/>
      <c r="RZS84" s="0"/>
      <c r="RZT84" s="0"/>
      <c r="RZU84" s="0"/>
      <c r="RZV84" s="0"/>
      <c r="RZW84" s="0"/>
      <c r="RZX84" s="0"/>
      <c r="RZY84" s="0"/>
      <c r="RZZ84" s="0"/>
      <c r="SAA84" s="0"/>
      <c r="SAB84" s="0"/>
      <c r="SAC84" s="0"/>
      <c r="SAD84" s="0"/>
      <c r="SAE84" s="0"/>
      <c r="SAF84" s="0"/>
      <c r="SAG84" s="0"/>
      <c r="SAH84" s="0"/>
      <c r="SAI84" s="0"/>
      <c r="SAJ84" s="0"/>
      <c r="SAK84" s="0"/>
      <c r="SAL84" s="0"/>
      <c r="SAM84" s="0"/>
      <c r="SAN84" s="0"/>
      <c r="SAO84" s="0"/>
      <c r="SAP84" s="0"/>
      <c r="SAQ84" s="0"/>
      <c r="SAR84" s="0"/>
      <c r="SAS84" s="0"/>
      <c r="SAT84" s="0"/>
      <c r="SAU84" s="0"/>
      <c r="SAV84" s="0"/>
      <c r="SAW84" s="0"/>
      <c r="SAX84" s="0"/>
      <c r="SAY84" s="0"/>
      <c r="SAZ84" s="0"/>
      <c r="SBA84" s="0"/>
      <c r="SBB84" s="0"/>
      <c r="SBC84" s="0"/>
      <c r="SBD84" s="0"/>
      <c r="SBE84" s="0"/>
      <c r="SBF84" s="0"/>
      <c r="SBG84" s="0"/>
      <c r="SBH84" s="0"/>
      <c r="SBI84" s="0"/>
      <c r="SBJ84" s="0"/>
      <c r="SBK84" s="0"/>
      <c r="SBL84" s="0"/>
      <c r="SBM84" s="0"/>
      <c r="SBN84" s="0"/>
      <c r="SBO84" s="0"/>
      <c r="SBP84" s="0"/>
      <c r="SBQ84" s="0"/>
      <c r="SBR84" s="0"/>
      <c r="SBS84" s="0"/>
      <c r="SBT84" s="0"/>
      <c r="SBU84" s="0"/>
      <c r="SBV84" s="0"/>
      <c r="SBW84" s="0"/>
      <c r="SBX84" s="0"/>
      <c r="SBY84" s="0"/>
      <c r="SBZ84" s="0"/>
      <c r="SCA84" s="0"/>
      <c r="SCB84" s="0"/>
      <c r="SCC84" s="0"/>
      <c r="SCD84" s="0"/>
      <c r="SCE84" s="0"/>
      <c r="SCF84" s="0"/>
      <c r="SCG84" s="0"/>
      <c r="SCH84" s="0"/>
      <c r="SCI84" s="0"/>
      <c r="SCJ84" s="0"/>
      <c r="SCK84" s="0"/>
      <c r="SCL84" s="0"/>
      <c r="SCM84" s="0"/>
      <c r="SCN84" s="0"/>
      <c r="SCO84" s="0"/>
      <c r="SCP84" s="0"/>
      <c r="SCQ84" s="0"/>
      <c r="SCR84" s="0"/>
      <c r="SCS84" s="0"/>
      <c r="SCT84" s="0"/>
      <c r="SCU84" s="0"/>
      <c r="SCV84" s="0"/>
      <c r="SCW84" s="0"/>
      <c r="SCX84" s="0"/>
      <c r="SCY84" s="0"/>
      <c r="SCZ84" s="0"/>
      <c r="SDA84" s="0"/>
      <c r="SDB84" s="0"/>
      <c r="SDC84" s="0"/>
      <c r="SDD84" s="0"/>
      <c r="SDE84" s="0"/>
      <c r="SDF84" s="0"/>
      <c r="SDG84" s="0"/>
      <c r="SDH84" s="0"/>
      <c r="SDI84" s="0"/>
      <c r="SDJ84" s="0"/>
      <c r="SDK84" s="0"/>
      <c r="SDL84" s="0"/>
      <c r="SDM84" s="0"/>
      <c r="SDN84" s="0"/>
      <c r="SDO84" s="0"/>
      <c r="SDP84" s="0"/>
      <c r="SDQ84" s="0"/>
      <c r="SDR84" s="0"/>
      <c r="SDS84" s="0"/>
      <c r="SDT84" s="0"/>
      <c r="SDU84" s="0"/>
      <c r="SDV84" s="0"/>
      <c r="SDW84" s="0"/>
      <c r="SDX84" s="0"/>
      <c r="SDY84" s="0"/>
      <c r="SDZ84" s="0"/>
      <c r="SEA84" s="0"/>
      <c r="SEB84" s="0"/>
      <c r="SEC84" s="0"/>
      <c r="SED84" s="0"/>
      <c r="SEE84" s="0"/>
      <c r="SEF84" s="0"/>
      <c r="SEG84" s="0"/>
      <c r="SEH84" s="0"/>
      <c r="SEI84" s="0"/>
      <c r="SEJ84" s="0"/>
      <c r="SEK84" s="0"/>
      <c r="SEL84" s="0"/>
      <c r="SEM84" s="0"/>
      <c r="SEN84" s="0"/>
      <c r="SEO84" s="0"/>
      <c r="SEP84" s="0"/>
      <c r="SEQ84" s="0"/>
      <c r="SER84" s="0"/>
      <c r="SES84" s="0"/>
      <c r="SET84" s="0"/>
      <c r="SEU84" s="0"/>
      <c r="SEV84" s="0"/>
      <c r="SEW84" s="0"/>
      <c r="SEX84" s="0"/>
      <c r="SEY84" s="0"/>
      <c r="SEZ84" s="0"/>
      <c r="SFA84" s="0"/>
      <c r="SFB84" s="0"/>
      <c r="SFC84" s="0"/>
      <c r="SFD84" s="0"/>
      <c r="SFE84" s="0"/>
      <c r="SFF84" s="0"/>
      <c r="SFG84" s="0"/>
      <c r="SFH84" s="0"/>
      <c r="SFI84" s="0"/>
      <c r="SFJ84" s="0"/>
      <c r="SFK84" s="0"/>
      <c r="SFL84" s="0"/>
      <c r="SFM84" s="0"/>
      <c r="SFN84" s="0"/>
      <c r="SFO84" s="0"/>
      <c r="SFP84" s="0"/>
      <c r="SFQ84" s="0"/>
      <c r="SFR84" s="0"/>
      <c r="SFS84" s="0"/>
      <c r="SFT84" s="0"/>
      <c r="SFU84" s="0"/>
      <c r="SFV84" s="0"/>
      <c r="SFW84" s="0"/>
      <c r="SFX84" s="0"/>
      <c r="SFY84" s="0"/>
      <c r="SFZ84" s="0"/>
      <c r="SGA84" s="0"/>
      <c r="SGB84" s="0"/>
      <c r="SGC84" s="0"/>
      <c r="SGD84" s="0"/>
      <c r="SGE84" s="0"/>
      <c r="SGF84" s="0"/>
      <c r="SGG84" s="0"/>
      <c r="SGH84" s="0"/>
      <c r="SGI84" s="0"/>
      <c r="SGJ84" s="0"/>
      <c r="SGK84" s="0"/>
      <c r="SGL84" s="0"/>
      <c r="SGM84" s="0"/>
      <c r="SGN84" s="0"/>
      <c r="SGO84" s="0"/>
      <c r="SGP84" s="0"/>
      <c r="SGQ84" s="0"/>
      <c r="SGR84" s="0"/>
      <c r="SGS84" s="0"/>
      <c r="SGT84" s="0"/>
      <c r="SGU84" s="0"/>
      <c r="SGV84" s="0"/>
      <c r="SGW84" s="0"/>
      <c r="SGX84" s="0"/>
      <c r="SGY84" s="0"/>
      <c r="SGZ84" s="0"/>
      <c r="SHA84" s="0"/>
      <c r="SHB84" s="0"/>
      <c r="SHC84" s="0"/>
      <c r="SHD84" s="0"/>
      <c r="SHE84" s="0"/>
      <c r="SHF84" s="0"/>
      <c r="SHG84" s="0"/>
      <c r="SHH84" s="0"/>
      <c r="SHI84" s="0"/>
      <c r="SHJ84" s="0"/>
      <c r="SHK84" s="0"/>
      <c r="SHL84" s="0"/>
      <c r="SHM84" s="0"/>
      <c r="SHN84" s="0"/>
      <c r="SHO84" s="0"/>
      <c r="SHP84" s="0"/>
      <c r="SHQ84" s="0"/>
      <c r="SHR84" s="0"/>
      <c r="SHS84" s="0"/>
      <c r="SHT84" s="0"/>
      <c r="SHU84" s="0"/>
      <c r="SHV84" s="0"/>
      <c r="SHW84" s="0"/>
      <c r="SHX84" s="0"/>
      <c r="SHY84" s="0"/>
      <c r="SHZ84" s="0"/>
      <c r="SIA84" s="0"/>
      <c r="SIB84" s="0"/>
      <c r="SIC84" s="0"/>
      <c r="SID84" s="0"/>
      <c r="SIE84" s="0"/>
      <c r="SIF84" s="0"/>
      <c r="SIG84" s="0"/>
      <c r="SIH84" s="0"/>
      <c r="SII84" s="0"/>
      <c r="SIJ84" s="0"/>
      <c r="SIK84" s="0"/>
      <c r="SIL84" s="0"/>
      <c r="SIM84" s="0"/>
      <c r="SIN84" s="0"/>
      <c r="SIO84" s="0"/>
      <c r="SIP84" s="0"/>
      <c r="SIQ84" s="0"/>
      <c r="SIR84" s="0"/>
      <c r="SIS84" s="0"/>
      <c r="SIT84" s="0"/>
      <c r="SIU84" s="0"/>
      <c r="SIV84" s="0"/>
      <c r="SIW84" s="0"/>
      <c r="SIX84" s="0"/>
      <c r="SIY84" s="0"/>
      <c r="SIZ84" s="0"/>
      <c r="SJA84" s="0"/>
      <c r="SJB84" s="0"/>
      <c r="SJC84" s="0"/>
      <c r="SJD84" s="0"/>
      <c r="SJE84" s="0"/>
      <c r="SJF84" s="0"/>
      <c r="SJG84" s="0"/>
      <c r="SJH84" s="0"/>
      <c r="SJI84" s="0"/>
      <c r="SJJ84" s="0"/>
      <c r="SJK84" s="0"/>
      <c r="SJL84" s="0"/>
      <c r="SJM84" s="0"/>
      <c r="SJN84" s="0"/>
      <c r="SJO84" s="0"/>
      <c r="SJP84" s="0"/>
      <c r="SJQ84" s="0"/>
      <c r="SJR84" s="0"/>
      <c r="SJS84" s="0"/>
      <c r="SJT84" s="0"/>
      <c r="SJU84" s="0"/>
      <c r="SJV84" s="0"/>
      <c r="SJW84" s="0"/>
      <c r="SJX84" s="0"/>
      <c r="SJY84" s="0"/>
      <c r="SJZ84" s="0"/>
      <c r="SKA84" s="0"/>
      <c r="SKB84" s="0"/>
      <c r="SKC84" s="0"/>
      <c r="SKD84" s="0"/>
      <c r="SKE84" s="0"/>
      <c r="SKF84" s="0"/>
      <c r="SKG84" s="0"/>
      <c r="SKH84" s="0"/>
      <c r="SKI84" s="0"/>
      <c r="SKJ84" s="0"/>
      <c r="SKK84" s="0"/>
      <c r="SKL84" s="0"/>
      <c r="SKM84" s="0"/>
      <c r="SKN84" s="0"/>
      <c r="SKO84" s="0"/>
      <c r="SKP84" s="0"/>
      <c r="SKQ84" s="0"/>
      <c r="SKR84" s="0"/>
      <c r="SKS84" s="0"/>
      <c r="SKT84" s="0"/>
      <c r="SKU84" s="0"/>
      <c r="SKV84" s="0"/>
      <c r="SKW84" s="0"/>
      <c r="SKX84" s="0"/>
      <c r="SKY84" s="0"/>
      <c r="SKZ84" s="0"/>
      <c r="SLA84" s="0"/>
      <c r="SLB84" s="0"/>
      <c r="SLC84" s="0"/>
      <c r="SLD84" s="0"/>
      <c r="SLE84" s="0"/>
      <c r="SLF84" s="0"/>
      <c r="SLG84" s="0"/>
      <c r="SLH84" s="0"/>
      <c r="SLI84" s="0"/>
      <c r="SLJ84" s="0"/>
      <c r="SLK84" s="0"/>
      <c r="SLL84" s="0"/>
      <c r="SLM84" s="0"/>
      <c r="SLN84" s="0"/>
      <c r="SLO84" s="0"/>
      <c r="SLP84" s="0"/>
      <c r="SLQ84" s="0"/>
      <c r="SLR84" s="0"/>
      <c r="SLS84" s="0"/>
      <c r="SLT84" s="0"/>
      <c r="SLU84" s="0"/>
      <c r="SLV84" s="0"/>
      <c r="SLW84" s="0"/>
      <c r="SLX84" s="0"/>
      <c r="SLY84" s="0"/>
      <c r="SLZ84" s="0"/>
      <c r="SMA84" s="0"/>
      <c r="SMB84" s="0"/>
      <c r="SMC84" s="0"/>
      <c r="SMD84" s="0"/>
      <c r="SME84" s="0"/>
      <c r="SMF84" s="0"/>
      <c r="SMG84" s="0"/>
      <c r="SMH84" s="0"/>
      <c r="SMI84" s="0"/>
      <c r="SMJ84" s="0"/>
      <c r="SMK84" s="0"/>
      <c r="SML84" s="0"/>
      <c r="SMM84" s="0"/>
      <c r="SMN84" s="0"/>
      <c r="SMO84" s="0"/>
      <c r="SMP84" s="0"/>
      <c r="SMQ84" s="0"/>
      <c r="SMR84" s="0"/>
      <c r="SMS84" s="0"/>
      <c r="SMT84" s="0"/>
      <c r="SMU84" s="0"/>
      <c r="SMV84" s="0"/>
      <c r="SMW84" s="0"/>
      <c r="SMX84" s="0"/>
      <c r="SMY84" s="0"/>
      <c r="SMZ84" s="0"/>
      <c r="SNA84" s="0"/>
      <c r="SNB84" s="0"/>
      <c r="SNC84" s="0"/>
      <c r="SND84" s="0"/>
      <c r="SNE84" s="0"/>
      <c r="SNF84" s="0"/>
      <c r="SNG84" s="0"/>
      <c r="SNH84" s="0"/>
      <c r="SNI84" s="0"/>
      <c r="SNJ84" s="0"/>
      <c r="SNK84" s="0"/>
      <c r="SNL84" s="0"/>
      <c r="SNM84" s="0"/>
      <c r="SNN84" s="0"/>
      <c r="SNO84" s="0"/>
      <c r="SNP84" s="0"/>
      <c r="SNQ84" s="0"/>
      <c r="SNR84" s="0"/>
      <c r="SNS84" s="0"/>
      <c r="SNT84" s="0"/>
      <c r="SNU84" s="0"/>
      <c r="SNV84" s="0"/>
      <c r="SNW84" s="0"/>
      <c r="SNX84" s="0"/>
      <c r="SNY84" s="0"/>
      <c r="SNZ84" s="0"/>
      <c r="SOA84" s="0"/>
      <c r="SOB84" s="0"/>
      <c r="SOC84" s="0"/>
      <c r="SOD84" s="0"/>
      <c r="SOE84" s="0"/>
      <c r="SOF84" s="0"/>
      <c r="SOG84" s="0"/>
      <c r="SOH84" s="0"/>
      <c r="SOI84" s="0"/>
      <c r="SOJ84" s="0"/>
      <c r="SOK84" s="0"/>
      <c r="SOL84" s="0"/>
      <c r="SOM84" s="0"/>
      <c r="SON84" s="0"/>
      <c r="SOO84" s="0"/>
      <c r="SOP84" s="0"/>
      <c r="SOQ84" s="0"/>
      <c r="SOR84" s="0"/>
      <c r="SOS84" s="0"/>
      <c r="SOT84" s="0"/>
      <c r="SOU84" s="0"/>
      <c r="SOV84" s="0"/>
      <c r="SOW84" s="0"/>
      <c r="SOX84" s="0"/>
      <c r="SOY84" s="0"/>
      <c r="SOZ84" s="0"/>
      <c r="SPA84" s="0"/>
      <c r="SPB84" s="0"/>
      <c r="SPC84" s="0"/>
      <c r="SPD84" s="0"/>
      <c r="SPE84" s="0"/>
      <c r="SPF84" s="0"/>
      <c r="SPG84" s="0"/>
      <c r="SPH84" s="0"/>
      <c r="SPI84" s="0"/>
      <c r="SPJ84" s="0"/>
      <c r="SPK84" s="0"/>
      <c r="SPL84" s="0"/>
      <c r="SPM84" s="0"/>
      <c r="SPN84" s="0"/>
      <c r="SPO84" s="0"/>
      <c r="SPP84" s="0"/>
      <c r="SPQ84" s="0"/>
      <c r="SPR84" s="0"/>
      <c r="SPS84" s="0"/>
      <c r="SPT84" s="0"/>
      <c r="SPU84" s="0"/>
      <c r="SPV84" s="0"/>
      <c r="SPW84" s="0"/>
      <c r="SPX84" s="0"/>
      <c r="SPY84" s="0"/>
      <c r="SPZ84" s="0"/>
      <c r="SQA84" s="0"/>
      <c r="SQB84" s="0"/>
      <c r="SQC84" s="0"/>
      <c r="SQD84" s="0"/>
      <c r="SQE84" s="0"/>
      <c r="SQF84" s="0"/>
      <c r="SQG84" s="0"/>
      <c r="SQH84" s="0"/>
      <c r="SQI84" s="0"/>
      <c r="SQJ84" s="0"/>
      <c r="SQK84" s="0"/>
      <c r="SQL84" s="0"/>
      <c r="SQM84" s="0"/>
      <c r="SQN84" s="0"/>
      <c r="SQO84" s="0"/>
      <c r="SQP84" s="0"/>
      <c r="SQQ84" s="0"/>
      <c r="SQR84" s="0"/>
      <c r="SQS84" s="0"/>
      <c r="SQT84" s="0"/>
      <c r="SQU84" s="0"/>
      <c r="SQV84" s="0"/>
      <c r="SQW84" s="0"/>
      <c r="SQX84" s="0"/>
      <c r="SQY84" s="0"/>
      <c r="SQZ84" s="0"/>
      <c r="SRA84" s="0"/>
      <c r="SRB84" s="0"/>
      <c r="SRC84" s="0"/>
      <c r="SRD84" s="0"/>
      <c r="SRE84" s="0"/>
      <c r="SRF84" s="0"/>
      <c r="SRG84" s="0"/>
      <c r="SRH84" s="0"/>
      <c r="SRI84" s="0"/>
      <c r="SRJ84" s="0"/>
      <c r="SRK84" s="0"/>
      <c r="SRL84" s="0"/>
      <c r="SRM84" s="0"/>
      <c r="SRN84" s="0"/>
      <c r="SRO84" s="0"/>
      <c r="SRP84" s="0"/>
      <c r="SRQ84" s="0"/>
      <c r="SRR84" s="0"/>
      <c r="SRS84" s="0"/>
      <c r="SRT84" s="0"/>
      <c r="SRU84" s="0"/>
      <c r="SRV84" s="0"/>
      <c r="SRW84" s="0"/>
      <c r="SRX84" s="0"/>
      <c r="SRY84" s="0"/>
      <c r="SRZ84" s="0"/>
      <c r="SSA84" s="0"/>
      <c r="SSB84" s="0"/>
      <c r="SSC84" s="0"/>
      <c r="SSD84" s="0"/>
      <c r="SSE84" s="0"/>
      <c r="SSF84" s="0"/>
      <c r="SSG84" s="0"/>
      <c r="SSH84" s="0"/>
      <c r="SSI84" s="0"/>
      <c r="SSJ84" s="0"/>
      <c r="SSK84" s="0"/>
      <c r="SSL84" s="0"/>
      <c r="SSM84" s="0"/>
      <c r="SSN84" s="0"/>
      <c r="SSO84" s="0"/>
      <c r="SSP84" s="0"/>
      <c r="SSQ84" s="0"/>
      <c r="SSR84" s="0"/>
      <c r="SSS84" s="0"/>
      <c r="SST84" s="0"/>
      <c r="SSU84" s="0"/>
      <c r="SSV84" s="0"/>
      <c r="SSW84" s="0"/>
      <c r="SSX84" s="0"/>
      <c r="SSY84" s="0"/>
      <c r="SSZ84" s="0"/>
      <c r="STA84" s="0"/>
      <c r="STB84" s="0"/>
      <c r="STC84" s="0"/>
      <c r="STD84" s="0"/>
      <c r="STE84" s="0"/>
      <c r="STF84" s="0"/>
      <c r="STG84" s="0"/>
      <c r="STH84" s="0"/>
      <c r="STI84" s="0"/>
      <c r="STJ84" s="0"/>
      <c r="STK84" s="0"/>
      <c r="STL84" s="0"/>
      <c r="STM84" s="0"/>
      <c r="STN84" s="0"/>
      <c r="STO84" s="0"/>
      <c r="STP84" s="0"/>
      <c r="STQ84" s="0"/>
      <c r="STR84" s="0"/>
      <c r="STS84" s="0"/>
      <c r="STT84" s="0"/>
      <c r="STU84" s="0"/>
      <c r="STV84" s="0"/>
      <c r="STW84" s="0"/>
      <c r="STX84" s="0"/>
      <c r="STY84" s="0"/>
      <c r="STZ84" s="0"/>
      <c r="SUA84" s="0"/>
      <c r="SUB84" s="0"/>
      <c r="SUC84" s="0"/>
      <c r="SUD84" s="0"/>
      <c r="SUE84" s="0"/>
      <c r="SUF84" s="0"/>
      <c r="SUG84" s="0"/>
      <c r="SUH84" s="0"/>
      <c r="SUI84" s="0"/>
      <c r="SUJ84" s="0"/>
      <c r="SUK84" s="0"/>
      <c r="SUL84" s="0"/>
      <c r="SUM84" s="0"/>
      <c r="SUN84" s="0"/>
      <c r="SUO84" s="0"/>
      <c r="SUP84" s="0"/>
      <c r="SUQ84" s="0"/>
      <c r="SUR84" s="0"/>
      <c r="SUS84" s="0"/>
      <c r="SUT84" s="0"/>
      <c r="SUU84" s="0"/>
      <c r="SUV84" s="0"/>
      <c r="SUW84" s="0"/>
      <c r="SUX84" s="0"/>
      <c r="SUY84" s="0"/>
      <c r="SUZ84" s="0"/>
      <c r="SVA84" s="0"/>
      <c r="SVB84" s="0"/>
      <c r="SVC84" s="0"/>
      <c r="SVD84" s="0"/>
      <c r="SVE84" s="0"/>
      <c r="SVF84" s="0"/>
      <c r="SVG84" s="0"/>
      <c r="SVH84" s="0"/>
      <c r="SVI84" s="0"/>
      <c r="SVJ84" s="0"/>
      <c r="SVK84" s="0"/>
      <c r="SVL84" s="0"/>
      <c r="SVM84" s="0"/>
      <c r="SVN84" s="0"/>
      <c r="SVO84" s="0"/>
      <c r="SVP84" s="0"/>
      <c r="SVQ84" s="0"/>
      <c r="SVR84" s="0"/>
      <c r="SVS84" s="0"/>
      <c r="SVT84" s="0"/>
      <c r="SVU84" s="0"/>
      <c r="SVV84" s="0"/>
      <c r="SVW84" s="0"/>
      <c r="SVX84" s="0"/>
      <c r="SVY84" s="0"/>
      <c r="SVZ84" s="0"/>
      <c r="SWA84" s="0"/>
      <c r="SWB84" s="0"/>
      <c r="SWC84" s="0"/>
      <c r="SWD84" s="0"/>
      <c r="SWE84" s="0"/>
      <c r="SWF84" s="0"/>
      <c r="SWG84" s="0"/>
      <c r="SWH84" s="0"/>
      <c r="SWI84" s="0"/>
      <c r="SWJ84" s="0"/>
      <c r="SWK84" s="0"/>
      <c r="SWL84" s="0"/>
      <c r="SWM84" s="0"/>
      <c r="SWN84" s="0"/>
      <c r="SWO84" s="0"/>
      <c r="SWP84" s="0"/>
      <c r="SWQ84" s="0"/>
      <c r="SWR84" s="0"/>
      <c r="SWS84" s="0"/>
      <c r="SWT84" s="0"/>
      <c r="SWU84" s="0"/>
      <c r="SWV84" s="0"/>
      <c r="SWW84" s="0"/>
      <c r="SWX84" s="0"/>
      <c r="SWY84" s="0"/>
      <c r="SWZ84" s="0"/>
      <c r="SXA84" s="0"/>
      <c r="SXB84" s="0"/>
      <c r="SXC84" s="0"/>
      <c r="SXD84" s="0"/>
      <c r="SXE84" s="0"/>
      <c r="SXF84" s="0"/>
      <c r="SXG84" s="0"/>
      <c r="SXH84" s="0"/>
      <c r="SXI84" s="0"/>
      <c r="SXJ84" s="0"/>
      <c r="SXK84" s="0"/>
      <c r="SXL84" s="0"/>
      <c r="SXM84" s="0"/>
      <c r="SXN84" s="0"/>
      <c r="SXO84" s="0"/>
      <c r="SXP84" s="0"/>
      <c r="SXQ84" s="0"/>
      <c r="SXR84" s="0"/>
      <c r="SXS84" s="0"/>
      <c r="SXT84" s="0"/>
      <c r="SXU84" s="0"/>
      <c r="SXV84" s="0"/>
      <c r="SXW84" s="0"/>
      <c r="SXX84" s="0"/>
      <c r="SXY84" s="0"/>
      <c r="SXZ84" s="0"/>
      <c r="SYA84" s="0"/>
      <c r="SYB84" s="0"/>
      <c r="SYC84" s="0"/>
      <c r="SYD84" s="0"/>
      <c r="SYE84" s="0"/>
      <c r="SYF84" s="0"/>
      <c r="SYG84" s="0"/>
      <c r="SYH84" s="0"/>
      <c r="SYI84" s="0"/>
      <c r="SYJ84" s="0"/>
      <c r="SYK84" s="0"/>
      <c r="SYL84" s="0"/>
      <c r="SYM84" s="0"/>
      <c r="SYN84" s="0"/>
      <c r="SYO84" s="0"/>
      <c r="SYP84" s="0"/>
      <c r="SYQ84" s="0"/>
      <c r="SYR84" s="0"/>
      <c r="SYS84" s="0"/>
      <c r="SYT84" s="0"/>
      <c r="SYU84" s="0"/>
      <c r="SYV84" s="0"/>
      <c r="SYW84" s="0"/>
      <c r="SYX84" s="0"/>
      <c r="SYY84" s="0"/>
      <c r="SYZ84" s="0"/>
      <c r="SZA84" s="0"/>
      <c r="SZB84" s="0"/>
      <c r="SZC84" s="0"/>
      <c r="SZD84" s="0"/>
      <c r="SZE84" s="0"/>
      <c r="SZF84" s="0"/>
      <c r="SZG84" s="0"/>
      <c r="SZH84" s="0"/>
      <c r="SZI84" s="0"/>
      <c r="SZJ84" s="0"/>
      <c r="SZK84" s="0"/>
      <c r="SZL84" s="0"/>
      <c r="SZM84" s="0"/>
      <c r="SZN84" s="0"/>
      <c r="SZO84" s="0"/>
      <c r="SZP84" s="0"/>
      <c r="SZQ84" s="0"/>
      <c r="SZR84" s="0"/>
      <c r="SZS84" s="0"/>
      <c r="SZT84" s="0"/>
      <c r="SZU84" s="0"/>
      <c r="SZV84" s="0"/>
      <c r="SZW84" s="0"/>
      <c r="SZX84" s="0"/>
      <c r="SZY84" s="0"/>
      <c r="SZZ84" s="0"/>
      <c r="TAA84" s="0"/>
      <c r="TAB84" s="0"/>
      <c r="TAC84" s="0"/>
      <c r="TAD84" s="0"/>
      <c r="TAE84" s="0"/>
      <c r="TAF84" s="0"/>
      <c r="TAG84" s="0"/>
      <c r="TAH84" s="0"/>
      <c r="TAI84" s="0"/>
      <c r="TAJ84" s="0"/>
      <c r="TAK84" s="0"/>
      <c r="TAL84" s="0"/>
      <c r="TAM84" s="0"/>
      <c r="TAN84" s="0"/>
      <c r="TAO84" s="0"/>
      <c r="TAP84" s="0"/>
      <c r="TAQ84" s="0"/>
      <c r="TAR84" s="0"/>
      <c r="TAS84" s="0"/>
      <c r="TAT84" s="0"/>
      <c r="TAU84" s="0"/>
      <c r="TAV84" s="0"/>
      <c r="TAW84" s="0"/>
      <c r="TAX84" s="0"/>
      <c r="TAY84" s="0"/>
      <c r="TAZ84" s="0"/>
      <c r="TBA84" s="0"/>
      <c r="TBB84" s="0"/>
      <c r="TBC84" s="0"/>
      <c r="TBD84" s="0"/>
      <c r="TBE84" s="0"/>
      <c r="TBF84" s="0"/>
      <c r="TBG84" s="0"/>
      <c r="TBH84" s="0"/>
      <c r="TBI84" s="0"/>
      <c r="TBJ84" s="0"/>
      <c r="TBK84" s="0"/>
      <c r="TBL84" s="0"/>
      <c r="TBM84" s="0"/>
      <c r="TBN84" s="0"/>
      <c r="TBO84" s="0"/>
      <c r="TBP84" s="0"/>
      <c r="TBQ84" s="0"/>
      <c r="TBR84" s="0"/>
      <c r="TBS84" s="0"/>
      <c r="TBT84" s="0"/>
      <c r="TBU84" s="0"/>
      <c r="TBV84" s="0"/>
      <c r="TBW84" s="0"/>
      <c r="TBX84" s="0"/>
      <c r="TBY84" s="0"/>
      <c r="TBZ84" s="0"/>
      <c r="TCA84" s="0"/>
      <c r="TCB84" s="0"/>
      <c r="TCC84" s="0"/>
      <c r="TCD84" s="0"/>
      <c r="TCE84" s="0"/>
      <c r="TCF84" s="0"/>
      <c r="TCG84" s="0"/>
      <c r="TCH84" s="0"/>
      <c r="TCI84" s="0"/>
      <c r="TCJ84" s="0"/>
      <c r="TCK84" s="0"/>
      <c r="TCL84" s="0"/>
      <c r="TCM84" s="0"/>
      <c r="TCN84" s="0"/>
      <c r="TCO84" s="0"/>
      <c r="TCP84" s="0"/>
      <c r="TCQ84" s="0"/>
      <c r="TCR84" s="0"/>
      <c r="TCS84" s="0"/>
      <c r="TCT84" s="0"/>
      <c r="TCU84" s="0"/>
      <c r="TCV84" s="0"/>
      <c r="TCW84" s="0"/>
      <c r="TCX84" s="0"/>
      <c r="TCY84" s="0"/>
      <c r="TCZ84" s="0"/>
      <c r="TDA84" s="0"/>
      <c r="TDB84" s="0"/>
      <c r="TDC84" s="0"/>
      <c r="TDD84" s="0"/>
      <c r="TDE84" s="0"/>
      <c r="TDF84" s="0"/>
      <c r="TDG84" s="0"/>
      <c r="TDH84" s="0"/>
      <c r="TDI84" s="0"/>
      <c r="TDJ84" s="0"/>
      <c r="TDK84" s="0"/>
      <c r="TDL84" s="0"/>
      <c r="TDM84" s="0"/>
      <c r="TDN84" s="0"/>
      <c r="TDO84" s="0"/>
      <c r="TDP84" s="0"/>
      <c r="TDQ84" s="0"/>
      <c r="TDR84" s="0"/>
      <c r="TDS84" s="0"/>
      <c r="TDT84" s="0"/>
      <c r="TDU84" s="0"/>
      <c r="TDV84" s="0"/>
      <c r="TDW84" s="0"/>
      <c r="TDX84" s="0"/>
      <c r="TDY84" s="0"/>
      <c r="TDZ84" s="0"/>
      <c r="TEA84" s="0"/>
      <c r="TEB84" s="0"/>
      <c r="TEC84" s="0"/>
      <c r="TED84" s="0"/>
      <c r="TEE84" s="0"/>
      <c r="TEF84" s="0"/>
      <c r="TEG84" s="0"/>
      <c r="TEH84" s="0"/>
      <c r="TEI84" s="0"/>
      <c r="TEJ84" s="0"/>
      <c r="TEK84" s="0"/>
      <c r="TEL84" s="0"/>
      <c r="TEM84" s="0"/>
      <c r="TEN84" s="0"/>
      <c r="TEO84" s="0"/>
      <c r="TEP84" s="0"/>
      <c r="TEQ84" s="0"/>
      <c r="TER84" s="0"/>
      <c r="TES84" s="0"/>
      <c r="TET84" s="0"/>
      <c r="TEU84" s="0"/>
      <c r="TEV84" s="0"/>
      <c r="TEW84" s="0"/>
      <c r="TEX84" s="0"/>
      <c r="TEY84" s="0"/>
      <c r="TEZ84" s="0"/>
      <c r="TFA84" s="0"/>
      <c r="TFB84" s="0"/>
      <c r="TFC84" s="0"/>
      <c r="TFD84" s="0"/>
      <c r="TFE84" s="0"/>
      <c r="TFF84" s="0"/>
      <c r="TFG84" s="0"/>
      <c r="TFH84" s="0"/>
      <c r="TFI84" s="0"/>
      <c r="TFJ84" s="0"/>
      <c r="TFK84" s="0"/>
      <c r="TFL84" s="0"/>
      <c r="TFM84" s="0"/>
      <c r="TFN84" s="0"/>
      <c r="TFO84" s="0"/>
      <c r="TFP84" s="0"/>
      <c r="TFQ84" s="0"/>
      <c r="TFR84" s="0"/>
      <c r="TFS84" s="0"/>
      <c r="TFT84" s="0"/>
      <c r="TFU84" s="0"/>
      <c r="TFV84" s="0"/>
      <c r="TFW84" s="0"/>
      <c r="TFX84" s="0"/>
      <c r="TFY84" s="0"/>
      <c r="TFZ84" s="0"/>
      <c r="TGA84" s="0"/>
      <c r="TGB84" s="0"/>
      <c r="TGC84" s="0"/>
      <c r="TGD84" s="0"/>
      <c r="TGE84" s="0"/>
      <c r="TGF84" s="0"/>
      <c r="TGG84" s="0"/>
      <c r="TGH84" s="0"/>
      <c r="TGI84" s="0"/>
      <c r="TGJ84" s="0"/>
      <c r="TGK84" s="0"/>
      <c r="TGL84" s="0"/>
      <c r="TGM84" s="0"/>
      <c r="TGN84" s="0"/>
      <c r="TGO84" s="0"/>
      <c r="TGP84" s="0"/>
      <c r="TGQ84" s="0"/>
      <c r="TGR84" s="0"/>
      <c r="TGS84" s="0"/>
      <c r="TGT84" s="0"/>
      <c r="TGU84" s="0"/>
      <c r="TGV84" s="0"/>
      <c r="TGW84" s="0"/>
      <c r="TGX84" s="0"/>
      <c r="TGY84" s="0"/>
      <c r="TGZ84" s="0"/>
      <c r="THA84" s="0"/>
      <c r="THB84" s="0"/>
      <c r="THC84" s="0"/>
      <c r="THD84" s="0"/>
      <c r="THE84" s="0"/>
      <c r="THF84" s="0"/>
      <c r="THG84" s="0"/>
      <c r="THH84" s="0"/>
      <c r="THI84" s="0"/>
      <c r="THJ84" s="0"/>
      <c r="THK84" s="0"/>
      <c r="THL84" s="0"/>
      <c r="THM84" s="0"/>
      <c r="THN84" s="0"/>
      <c r="THO84" s="0"/>
      <c r="THP84" s="0"/>
      <c r="THQ84" s="0"/>
      <c r="THR84" s="0"/>
      <c r="THS84" s="0"/>
      <c r="THT84" s="0"/>
      <c r="THU84" s="0"/>
      <c r="THV84" s="0"/>
      <c r="THW84" s="0"/>
      <c r="THX84" s="0"/>
      <c r="THY84" s="0"/>
      <c r="THZ84" s="0"/>
      <c r="TIA84" s="0"/>
      <c r="TIB84" s="0"/>
      <c r="TIC84" s="0"/>
      <c r="TID84" s="0"/>
      <c r="TIE84" s="0"/>
      <c r="TIF84" s="0"/>
      <c r="TIG84" s="0"/>
      <c r="TIH84" s="0"/>
      <c r="TII84" s="0"/>
      <c r="TIJ84" s="0"/>
      <c r="TIK84" s="0"/>
      <c r="TIL84" s="0"/>
      <c r="TIM84" s="0"/>
      <c r="TIN84" s="0"/>
      <c r="TIO84" s="0"/>
      <c r="TIP84" s="0"/>
      <c r="TIQ84" s="0"/>
      <c r="TIR84" s="0"/>
      <c r="TIS84" s="0"/>
      <c r="TIT84" s="0"/>
      <c r="TIU84" s="0"/>
      <c r="TIV84" s="0"/>
      <c r="TIW84" s="0"/>
      <c r="TIX84" s="0"/>
      <c r="TIY84" s="0"/>
      <c r="TIZ84" s="0"/>
      <c r="TJA84" s="0"/>
      <c r="TJB84" s="0"/>
      <c r="TJC84" s="0"/>
      <c r="TJD84" s="0"/>
      <c r="TJE84" s="0"/>
      <c r="TJF84" s="0"/>
      <c r="TJG84" s="0"/>
      <c r="TJH84" s="0"/>
      <c r="TJI84" s="0"/>
      <c r="TJJ84" s="0"/>
      <c r="TJK84" s="0"/>
      <c r="TJL84" s="0"/>
      <c r="TJM84" s="0"/>
      <c r="TJN84" s="0"/>
      <c r="TJO84" s="0"/>
      <c r="TJP84" s="0"/>
      <c r="TJQ84" s="0"/>
      <c r="TJR84" s="0"/>
      <c r="TJS84" s="0"/>
      <c r="TJT84" s="0"/>
      <c r="TJU84" s="0"/>
      <c r="TJV84" s="0"/>
      <c r="TJW84" s="0"/>
      <c r="TJX84" s="0"/>
      <c r="TJY84" s="0"/>
      <c r="TJZ84" s="0"/>
      <c r="TKA84" s="0"/>
      <c r="TKB84" s="0"/>
      <c r="TKC84" s="0"/>
      <c r="TKD84" s="0"/>
      <c r="TKE84" s="0"/>
      <c r="TKF84" s="0"/>
      <c r="TKG84" s="0"/>
      <c r="TKH84" s="0"/>
      <c r="TKI84" s="0"/>
      <c r="TKJ84" s="0"/>
      <c r="TKK84" s="0"/>
      <c r="TKL84" s="0"/>
      <c r="TKM84" s="0"/>
      <c r="TKN84" s="0"/>
      <c r="TKO84" s="0"/>
      <c r="TKP84" s="0"/>
      <c r="TKQ84" s="0"/>
      <c r="TKR84" s="0"/>
      <c r="TKS84" s="0"/>
      <c r="TKT84" s="0"/>
      <c r="TKU84" s="0"/>
      <c r="TKV84" s="0"/>
      <c r="TKW84" s="0"/>
      <c r="TKX84" s="0"/>
      <c r="TKY84" s="0"/>
      <c r="TKZ84" s="0"/>
      <c r="TLA84" s="0"/>
      <c r="TLB84" s="0"/>
      <c r="TLC84" s="0"/>
      <c r="TLD84" s="0"/>
      <c r="TLE84" s="0"/>
      <c r="TLF84" s="0"/>
      <c r="TLG84" s="0"/>
      <c r="TLH84" s="0"/>
      <c r="TLI84" s="0"/>
      <c r="TLJ84" s="0"/>
      <c r="TLK84" s="0"/>
      <c r="TLL84" s="0"/>
      <c r="TLM84" s="0"/>
      <c r="TLN84" s="0"/>
      <c r="TLO84" s="0"/>
      <c r="TLP84" s="0"/>
      <c r="TLQ84" s="0"/>
      <c r="TLR84" s="0"/>
      <c r="TLS84" s="0"/>
      <c r="TLT84" s="0"/>
      <c r="TLU84" s="0"/>
      <c r="TLV84" s="0"/>
      <c r="TLW84" s="0"/>
      <c r="TLX84" s="0"/>
      <c r="TLY84" s="0"/>
      <c r="TLZ84" s="0"/>
      <c r="TMA84" s="0"/>
      <c r="TMB84" s="0"/>
      <c r="TMC84" s="0"/>
      <c r="TMD84" s="0"/>
      <c r="TME84" s="0"/>
      <c r="TMF84" s="0"/>
      <c r="TMG84" s="0"/>
      <c r="TMH84" s="0"/>
      <c r="TMI84" s="0"/>
      <c r="TMJ84" s="0"/>
      <c r="TMK84" s="0"/>
      <c r="TML84" s="0"/>
      <c r="TMM84" s="0"/>
      <c r="TMN84" s="0"/>
      <c r="TMO84" s="0"/>
      <c r="TMP84" s="0"/>
      <c r="TMQ84" s="0"/>
      <c r="TMR84" s="0"/>
      <c r="TMS84" s="0"/>
      <c r="TMT84" s="0"/>
      <c r="TMU84" s="0"/>
      <c r="TMV84" s="0"/>
      <c r="TMW84" s="0"/>
      <c r="TMX84" s="0"/>
      <c r="TMY84" s="0"/>
      <c r="TMZ84" s="0"/>
      <c r="TNA84" s="0"/>
      <c r="TNB84" s="0"/>
      <c r="TNC84" s="0"/>
      <c r="TND84" s="0"/>
      <c r="TNE84" s="0"/>
      <c r="TNF84" s="0"/>
      <c r="TNG84" s="0"/>
      <c r="TNH84" s="0"/>
      <c r="TNI84" s="0"/>
      <c r="TNJ84" s="0"/>
      <c r="TNK84" s="0"/>
      <c r="TNL84" s="0"/>
      <c r="TNM84" s="0"/>
      <c r="TNN84" s="0"/>
      <c r="TNO84" s="0"/>
      <c r="TNP84" s="0"/>
      <c r="TNQ84" s="0"/>
      <c r="TNR84" s="0"/>
      <c r="TNS84" s="0"/>
      <c r="TNT84" s="0"/>
      <c r="TNU84" s="0"/>
      <c r="TNV84" s="0"/>
      <c r="TNW84" s="0"/>
      <c r="TNX84" s="0"/>
      <c r="TNY84" s="0"/>
      <c r="TNZ84" s="0"/>
      <c r="TOA84" s="0"/>
      <c r="TOB84" s="0"/>
      <c r="TOC84" s="0"/>
      <c r="TOD84" s="0"/>
      <c r="TOE84" s="0"/>
      <c r="TOF84" s="0"/>
      <c r="TOG84" s="0"/>
      <c r="TOH84" s="0"/>
      <c r="TOI84" s="0"/>
      <c r="TOJ84" s="0"/>
      <c r="TOK84" s="0"/>
      <c r="TOL84" s="0"/>
      <c r="TOM84" s="0"/>
      <c r="TON84" s="0"/>
      <c r="TOO84" s="0"/>
      <c r="TOP84" s="0"/>
      <c r="TOQ84" s="0"/>
      <c r="TOR84" s="0"/>
      <c r="TOS84" s="0"/>
      <c r="TOT84" s="0"/>
      <c r="TOU84" s="0"/>
      <c r="TOV84" s="0"/>
      <c r="TOW84" s="0"/>
      <c r="TOX84" s="0"/>
      <c r="TOY84" s="0"/>
      <c r="TOZ84" s="0"/>
      <c r="TPA84" s="0"/>
      <c r="TPB84" s="0"/>
      <c r="TPC84" s="0"/>
      <c r="TPD84" s="0"/>
      <c r="TPE84" s="0"/>
      <c r="TPF84" s="0"/>
      <c r="TPG84" s="0"/>
      <c r="TPH84" s="0"/>
      <c r="TPI84" s="0"/>
      <c r="TPJ84" s="0"/>
      <c r="TPK84" s="0"/>
      <c r="TPL84" s="0"/>
      <c r="TPM84" s="0"/>
      <c r="TPN84" s="0"/>
      <c r="TPO84" s="0"/>
      <c r="TPP84" s="0"/>
      <c r="TPQ84" s="0"/>
      <c r="TPR84" s="0"/>
      <c r="TPS84" s="0"/>
      <c r="TPT84" s="0"/>
      <c r="TPU84" s="0"/>
      <c r="TPV84" s="0"/>
      <c r="TPW84" s="0"/>
      <c r="TPX84" s="0"/>
      <c r="TPY84" s="0"/>
      <c r="TPZ84" s="0"/>
      <c r="TQA84" s="0"/>
      <c r="TQB84" s="0"/>
      <c r="TQC84" s="0"/>
      <c r="TQD84" s="0"/>
      <c r="TQE84" s="0"/>
      <c r="TQF84" s="0"/>
      <c r="TQG84" s="0"/>
      <c r="TQH84" s="0"/>
      <c r="TQI84" s="0"/>
      <c r="TQJ84" s="0"/>
      <c r="TQK84" s="0"/>
      <c r="TQL84" s="0"/>
      <c r="TQM84" s="0"/>
      <c r="TQN84" s="0"/>
      <c r="TQO84" s="0"/>
      <c r="TQP84" s="0"/>
      <c r="TQQ84" s="0"/>
      <c r="TQR84" s="0"/>
      <c r="TQS84" s="0"/>
      <c r="TQT84" s="0"/>
      <c r="TQU84" s="0"/>
      <c r="TQV84" s="0"/>
      <c r="TQW84" s="0"/>
      <c r="TQX84" s="0"/>
      <c r="TQY84" s="0"/>
      <c r="TQZ84" s="0"/>
      <c r="TRA84" s="0"/>
      <c r="TRB84" s="0"/>
      <c r="TRC84" s="0"/>
      <c r="TRD84" s="0"/>
      <c r="TRE84" s="0"/>
      <c r="TRF84" s="0"/>
      <c r="TRG84" s="0"/>
      <c r="TRH84" s="0"/>
      <c r="TRI84" s="0"/>
      <c r="TRJ84" s="0"/>
      <c r="TRK84" s="0"/>
      <c r="TRL84" s="0"/>
      <c r="TRM84" s="0"/>
      <c r="TRN84" s="0"/>
      <c r="TRO84" s="0"/>
      <c r="TRP84" s="0"/>
      <c r="TRQ84" s="0"/>
      <c r="TRR84" s="0"/>
      <c r="TRS84" s="0"/>
      <c r="TRT84" s="0"/>
      <c r="TRU84" s="0"/>
      <c r="TRV84" s="0"/>
      <c r="TRW84" s="0"/>
      <c r="TRX84" s="0"/>
      <c r="TRY84" s="0"/>
      <c r="TRZ84" s="0"/>
      <c r="TSA84" s="0"/>
      <c r="TSB84" s="0"/>
      <c r="TSC84" s="0"/>
      <c r="TSD84" s="0"/>
      <c r="TSE84" s="0"/>
      <c r="TSF84" s="0"/>
      <c r="TSG84" s="0"/>
      <c r="TSH84" s="0"/>
      <c r="TSI84" s="0"/>
      <c r="TSJ84" s="0"/>
      <c r="TSK84" s="0"/>
      <c r="TSL84" s="0"/>
      <c r="TSM84" s="0"/>
      <c r="TSN84" s="0"/>
      <c r="TSO84" s="0"/>
      <c r="TSP84" s="0"/>
      <c r="TSQ84" s="0"/>
      <c r="TSR84" s="0"/>
      <c r="TSS84" s="0"/>
      <c r="TST84" s="0"/>
      <c r="TSU84" s="0"/>
      <c r="TSV84" s="0"/>
      <c r="TSW84" s="0"/>
      <c r="TSX84" s="0"/>
      <c r="TSY84" s="0"/>
      <c r="TSZ84" s="0"/>
      <c r="TTA84" s="0"/>
      <c r="TTB84" s="0"/>
      <c r="TTC84" s="0"/>
      <c r="TTD84" s="0"/>
      <c r="TTE84" s="0"/>
      <c r="TTF84" s="0"/>
      <c r="TTG84" s="0"/>
      <c r="TTH84" s="0"/>
      <c r="TTI84" s="0"/>
      <c r="TTJ84" s="0"/>
      <c r="TTK84" s="0"/>
      <c r="TTL84" s="0"/>
      <c r="TTM84" s="0"/>
      <c r="TTN84" s="0"/>
      <c r="TTO84" s="0"/>
      <c r="TTP84" s="0"/>
      <c r="TTQ84" s="0"/>
      <c r="TTR84" s="0"/>
      <c r="TTS84" s="0"/>
      <c r="TTT84" s="0"/>
      <c r="TTU84" s="0"/>
      <c r="TTV84" s="0"/>
      <c r="TTW84" s="0"/>
      <c r="TTX84" s="0"/>
      <c r="TTY84" s="0"/>
      <c r="TTZ84" s="0"/>
      <c r="TUA84" s="0"/>
      <c r="TUB84" s="0"/>
      <c r="TUC84" s="0"/>
      <c r="TUD84" s="0"/>
      <c r="TUE84" s="0"/>
      <c r="TUF84" s="0"/>
      <c r="TUG84" s="0"/>
      <c r="TUH84" s="0"/>
      <c r="TUI84" s="0"/>
      <c r="TUJ84" s="0"/>
      <c r="TUK84" s="0"/>
      <c r="TUL84" s="0"/>
      <c r="TUM84" s="0"/>
      <c r="TUN84" s="0"/>
      <c r="TUO84" s="0"/>
      <c r="TUP84" s="0"/>
      <c r="TUQ84" s="0"/>
      <c r="TUR84" s="0"/>
      <c r="TUS84" s="0"/>
      <c r="TUT84" s="0"/>
      <c r="TUU84" s="0"/>
      <c r="TUV84" s="0"/>
      <c r="TUW84" s="0"/>
      <c r="TUX84" s="0"/>
      <c r="TUY84" s="0"/>
      <c r="TUZ84" s="0"/>
      <c r="TVA84" s="0"/>
      <c r="TVB84" s="0"/>
      <c r="TVC84" s="0"/>
      <c r="TVD84" s="0"/>
      <c r="TVE84" s="0"/>
      <c r="TVF84" s="0"/>
      <c r="TVG84" s="0"/>
      <c r="TVH84" s="0"/>
      <c r="TVI84" s="0"/>
      <c r="TVJ84" s="0"/>
      <c r="TVK84" s="0"/>
      <c r="TVL84" s="0"/>
      <c r="TVM84" s="0"/>
      <c r="TVN84" s="0"/>
      <c r="TVO84" s="0"/>
      <c r="TVP84" s="0"/>
      <c r="TVQ84" s="0"/>
      <c r="TVR84" s="0"/>
      <c r="TVS84" s="0"/>
      <c r="TVT84" s="0"/>
      <c r="TVU84" s="0"/>
      <c r="TVV84" s="0"/>
      <c r="TVW84" s="0"/>
      <c r="TVX84" s="0"/>
      <c r="TVY84" s="0"/>
      <c r="TVZ84" s="0"/>
      <c r="TWA84" s="0"/>
      <c r="TWB84" s="0"/>
      <c r="TWC84" s="0"/>
      <c r="TWD84" s="0"/>
      <c r="TWE84" s="0"/>
      <c r="TWF84" s="0"/>
      <c r="TWG84" s="0"/>
      <c r="TWH84" s="0"/>
      <c r="TWI84" s="0"/>
      <c r="TWJ84" s="0"/>
      <c r="TWK84" s="0"/>
      <c r="TWL84" s="0"/>
      <c r="TWM84" s="0"/>
      <c r="TWN84" s="0"/>
      <c r="TWO84" s="0"/>
      <c r="TWP84" s="0"/>
      <c r="TWQ84" s="0"/>
      <c r="TWR84" s="0"/>
      <c r="TWS84" s="0"/>
      <c r="TWT84" s="0"/>
      <c r="TWU84" s="0"/>
      <c r="TWV84" s="0"/>
      <c r="TWW84" s="0"/>
      <c r="TWX84" s="0"/>
      <c r="TWY84" s="0"/>
      <c r="TWZ84" s="0"/>
      <c r="TXA84" s="0"/>
      <c r="TXB84" s="0"/>
      <c r="TXC84" s="0"/>
      <c r="TXD84" s="0"/>
      <c r="TXE84" s="0"/>
      <c r="TXF84" s="0"/>
      <c r="TXG84" s="0"/>
      <c r="TXH84" s="0"/>
      <c r="TXI84" s="0"/>
      <c r="TXJ84" s="0"/>
      <c r="TXK84" s="0"/>
      <c r="TXL84" s="0"/>
      <c r="TXM84" s="0"/>
      <c r="TXN84" s="0"/>
      <c r="TXO84" s="0"/>
      <c r="TXP84" s="0"/>
      <c r="TXQ84" s="0"/>
      <c r="TXR84" s="0"/>
      <c r="TXS84" s="0"/>
      <c r="TXT84" s="0"/>
      <c r="TXU84" s="0"/>
      <c r="TXV84" s="0"/>
      <c r="TXW84" s="0"/>
      <c r="TXX84" s="0"/>
      <c r="TXY84" s="0"/>
      <c r="TXZ84" s="0"/>
      <c r="TYA84" s="0"/>
      <c r="TYB84" s="0"/>
      <c r="TYC84" s="0"/>
      <c r="TYD84" s="0"/>
      <c r="TYE84" s="0"/>
      <c r="TYF84" s="0"/>
      <c r="TYG84" s="0"/>
      <c r="TYH84" s="0"/>
      <c r="TYI84" s="0"/>
      <c r="TYJ84" s="0"/>
      <c r="TYK84" s="0"/>
      <c r="TYL84" s="0"/>
      <c r="TYM84" s="0"/>
      <c r="TYN84" s="0"/>
      <c r="TYO84" s="0"/>
      <c r="TYP84" s="0"/>
      <c r="TYQ84" s="0"/>
      <c r="TYR84" s="0"/>
      <c r="TYS84" s="0"/>
      <c r="TYT84" s="0"/>
      <c r="TYU84" s="0"/>
      <c r="TYV84" s="0"/>
      <c r="TYW84" s="0"/>
      <c r="TYX84" s="0"/>
      <c r="TYY84" s="0"/>
      <c r="TYZ84" s="0"/>
      <c r="TZA84" s="0"/>
      <c r="TZB84" s="0"/>
      <c r="TZC84" s="0"/>
      <c r="TZD84" s="0"/>
      <c r="TZE84" s="0"/>
      <c r="TZF84" s="0"/>
      <c r="TZG84" s="0"/>
      <c r="TZH84" s="0"/>
      <c r="TZI84" s="0"/>
      <c r="TZJ84" s="0"/>
      <c r="TZK84" s="0"/>
      <c r="TZL84" s="0"/>
      <c r="TZM84" s="0"/>
      <c r="TZN84" s="0"/>
      <c r="TZO84" s="0"/>
      <c r="TZP84" s="0"/>
      <c r="TZQ84" s="0"/>
      <c r="TZR84" s="0"/>
      <c r="TZS84" s="0"/>
      <c r="TZT84" s="0"/>
      <c r="TZU84" s="0"/>
      <c r="TZV84" s="0"/>
      <c r="TZW84" s="0"/>
      <c r="TZX84" s="0"/>
      <c r="TZY84" s="0"/>
      <c r="TZZ84" s="0"/>
      <c r="UAA84" s="0"/>
      <c r="UAB84" s="0"/>
      <c r="UAC84" s="0"/>
      <c r="UAD84" s="0"/>
      <c r="UAE84" s="0"/>
      <c r="UAF84" s="0"/>
      <c r="UAG84" s="0"/>
      <c r="UAH84" s="0"/>
      <c r="UAI84" s="0"/>
      <c r="UAJ84" s="0"/>
      <c r="UAK84" s="0"/>
      <c r="UAL84" s="0"/>
      <c r="UAM84" s="0"/>
      <c r="UAN84" s="0"/>
      <c r="UAO84" s="0"/>
      <c r="UAP84" s="0"/>
      <c r="UAQ84" s="0"/>
      <c r="UAR84" s="0"/>
      <c r="UAS84" s="0"/>
      <c r="UAT84" s="0"/>
      <c r="UAU84" s="0"/>
      <c r="UAV84" s="0"/>
      <c r="UAW84" s="0"/>
      <c r="UAX84" s="0"/>
      <c r="UAY84" s="0"/>
      <c r="UAZ84" s="0"/>
      <c r="UBA84" s="0"/>
      <c r="UBB84" s="0"/>
      <c r="UBC84" s="0"/>
      <c r="UBD84" s="0"/>
      <c r="UBE84" s="0"/>
      <c r="UBF84" s="0"/>
      <c r="UBG84" s="0"/>
      <c r="UBH84" s="0"/>
      <c r="UBI84" s="0"/>
      <c r="UBJ84" s="0"/>
      <c r="UBK84" s="0"/>
      <c r="UBL84" s="0"/>
      <c r="UBM84" s="0"/>
      <c r="UBN84" s="0"/>
      <c r="UBO84" s="0"/>
      <c r="UBP84" s="0"/>
      <c r="UBQ84" s="0"/>
      <c r="UBR84" s="0"/>
      <c r="UBS84" s="0"/>
      <c r="UBT84" s="0"/>
      <c r="UBU84" s="0"/>
      <c r="UBV84" s="0"/>
      <c r="UBW84" s="0"/>
      <c r="UBX84" s="0"/>
      <c r="UBY84" s="0"/>
      <c r="UBZ84" s="0"/>
      <c r="UCA84" s="0"/>
      <c r="UCB84" s="0"/>
      <c r="UCC84" s="0"/>
      <c r="UCD84" s="0"/>
      <c r="UCE84" s="0"/>
      <c r="UCF84" s="0"/>
      <c r="UCG84" s="0"/>
      <c r="UCH84" s="0"/>
      <c r="UCI84" s="0"/>
      <c r="UCJ84" s="0"/>
      <c r="UCK84" s="0"/>
      <c r="UCL84" s="0"/>
      <c r="UCM84" s="0"/>
      <c r="UCN84" s="0"/>
      <c r="UCO84" s="0"/>
      <c r="UCP84" s="0"/>
      <c r="UCQ84" s="0"/>
      <c r="UCR84" s="0"/>
      <c r="UCS84" s="0"/>
      <c r="UCT84" s="0"/>
      <c r="UCU84" s="0"/>
      <c r="UCV84" s="0"/>
      <c r="UCW84" s="0"/>
      <c r="UCX84" s="0"/>
      <c r="UCY84" s="0"/>
      <c r="UCZ84" s="0"/>
      <c r="UDA84" s="0"/>
      <c r="UDB84" s="0"/>
      <c r="UDC84" s="0"/>
      <c r="UDD84" s="0"/>
      <c r="UDE84" s="0"/>
      <c r="UDF84" s="0"/>
      <c r="UDG84" s="0"/>
      <c r="UDH84" s="0"/>
      <c r="UDI84" s="0"/>
      <c r="UDJ84" s="0"/>
      <c r="UDK84" s="0"/>
      <c r="UDL84" s="0"/>
      <c r="UDM84" s="0"/>
      <c r="UDN84" s="0"/>
      <c r="UDO84" s="0"/>
      <c r="UDP84" s="0"/>
      <c r="UDQ84" s="0"/>
      <c r="UDR84" s="0"/>
      <c r="UDS84" s="0"/>
      <c r="UDT84" s="0"/>
      <c r="UDU84" s="0"/>
      <c r="UDV84" s="0"/>
      <c r="UDW84" s="0"/>
      <c r="UDX84" s="0"/>
      <c r="UDY84" s="0"/>
      <c r="UDZ84" s="0"/>
      <c r="UEA84" s="0"/>
      <c r="UEB84" s="0"/>
      <c r="UEC84" s="0"/>
      <c r="UED84" s="0"/>
      <c r="UEE84" s="0"/>
      <c r="UEF84" s="0"/>
      <c r="UEG84" s="0"/>
      <c r="UEH84" s="0"/>
      <c r="UEI84" s="0"/>
      <c r="UEJ84" s="0"/>
      <c r="UEK84" s="0"/>
      <c r="UEL84" s="0"/>
      <c r="UEM84" s="0"/>
      <c r="UEN84" s="0"/>
      <c r="UEO84" s="0"/>
      <c r="UEP84" s="0"/>
      <c r="UEQ84" s="0"/>
      <c r="UER84" s="0"/>
      <c r="UES84" s="0"/>
      <c r="UET84" s="0"/>
      <c r="UEU84" s="0"/>
      <c r="UEV84" s="0"/>
      <c r="UEW84" s="0"/>
      <c r="UEX84" s="0"/>
      <c r="UEY84" s="0"/>
      <c r="UEZ84" s="0"/>
      <c r="UFA84" s="0"/>
      <c r="UFB84" s="0"/>
      <c r="UFC84" s="0"/>
      <c r="UFD84" s="0"/>
      <c r="UFE84" s="0"/>
      <c r="UFF84" s="0"/>
      <c r="UFG84" s="0"/>
      <c r="UFH84" s="0"/>
      <c r="UFI84" s="0"/>
      <c r="UFJ84" s="0"/>
      <c r="UFK84" s="0"/>
      <c r="UFL84" s="0"/>
      <c r="UFM84" s="0"/>
      <c r="UFN84" s="0"/>
      <c r="UFO84" s="0"/>
      <c r="UFP84" s="0"/>
      <c r="UFQ84" s="0"/>
      <c r="UFR84" s="0"/>
      <c r="UFS84" s="0"/>
      <c r="UFT84" s="0"/>
      <c r="UFU84" s="0"/>
      <c r="UFV84" s="0"/>
      <c r="UFW84" s="0"/>
      <c r="UFX84" s="0"/>
      <c r="UFY84" s="0"/>
      <c r="UFZ84" s="0"/>
      <c r="UGA84" s="0"/>
      <c r="UGB84" s="0"/>
      <c r="UGC84" s="0"/>
      <c r="UGD84" s="0"/>
      <c r="UGE84" s="0"/>
      <c r="UGF84" s="0"/>
      <c r="UGG84" s="0"/>
      <c r="UGH84" s="0"/>
      <c r="UGI84" s="0"/>
      <c r="UGJ84" s="0"/>
      <c r="UGK84" s="0"/>
      <c r="UGL84" s="0"/>
      <c r="UGM84" s="0"/>
      <c r="UGN84" s="0"/>
      <c r="UGO84" s="0"/>
      <c r="UGP84" s="0"/>
      <c r="UGQ84" s="0"/>
      <c r="UGR84" s="0"/>
      <c r="UGS84" s="0"/>
      <c r="UGT84" s="0"/>
      <c r="UGU84" s="0"/>
      <c r="UGV84" s="0"/>
      <c r="UGW84" s="0"/>
      <c r="UGX84" s="0"/>
      <c r="UGY84" s="0"/>
      <c r="UGZ84" s="0"/>
      <c r="UHA84" s="0"/>
      <c r="UHB84" s="0"/>
      <c r="UHC84" s="0"/>
      <c r="UHD84" s="0"/>
      <c r="UHE84" s="0"/>
      <c r="UHF84" s="0"/>
      <c r="UHG84" s="0"/>
      <c r="UHH84" s="0"/>
      <c r="UHI84" s="0"/>
      <c r="UHJ84" s="0"/>
      <c r="UHK84" s="0"/>
      <c r="UHL84" s="0"/>
      <c r="UHM84" s="0"/>
      <c r="UHN84" s="0"/>
      <c r="UHO84" s="0"/>
      <c r="UHP84" s="0"/>
      <c r="UHQ84" s="0"/>
      <c r="UHR84" s="0"/>
      <c r="UHS84" s="0"/>
      <c r="UHT84" s="0"/>
      <c r="UHU84" s="0"/>
      <c r="UHV84" s="0"/>
      <c r="UHW84" s="0"/>
      <c r="UHX84" s="0"/>
      <c r="UHY84" s="0"/>
      <c r="UHZ84" s="0"/>
      <c r="UIA84" s="0"/>
      <c r="UIB84" s="0"/>
      <c r="UIC84" s="0"/>
      <c r="UID84" s="0"/>
      <c r="UIE84" s="0"/>
      <c r="UIF84" s="0"/>
      <c r="UIG84" s="0"/>
      <c r="UIH84" s="0"/>
      <c r="UII84" s="0"/>
      <c r="UIJ84" s="0"/>
      <c r="UIK84" s="0"/>
      <c r="UIL84" s="0"/>
      <c r="UIM84" s="0"/>
      <c r="UIN84" s="0"/>
      <c r="UIO84" s="0"/>
      <c r="UIP84" s="0"/>
      <c r="UIQ84" s="0"/>
      <c r="UIR84" s="0"/>
      <c r="UIS84" s="0"/>
      <c r="UIT84" s="0"/>
      <c r="UIU84" s="0"/>
      <c r="UIV84" s="0"/>
      <c r="UIW84" s="0"/>
      <c r="UIX84" s="0"/>
      <c r="UIY84" s="0"/>
      <c r="UIZ84" s="0"/>
      <c r="UJA84" s="0"/>
      <c r="UJB84" s="0"/>
      <c r="UJC84" s="0"/>
      <c r="UJD84" s="0"/>
      <c r="UJE84" s="0"/>
      <c r="UJF84" s="0"/>
      <c r="UJG84" s="0"/>
      <c r="UJH84" s="0"/>
      <c r="UJI84" s="0"/>
      <c r="UJJ84" s="0"/>
      <c r="UJK84" s="0"/>
      <c r="UJL84" s="0"/>
      <c r="UJM84" s="0"/>
      <c r="UJN84" s="0"/>
      <c r="UJO84" s="0"/>
      <c r="UJP84" s="0"/>
      <c r="UJQ84" s="0"/>
      <c r="UJR84" s="0"/>
      <c r="UJS84" s="0"/>
      <c r="UJT84" s="0"/>
      <c r="UJU84" s="0"/>
      <c r="UJV84" s="0"/>
      <c r="UJW84" s="0"/>
      <c r="UJX84" s="0"/>
      <c r="UJY84" s="0"/>
      <c r="UJZ84" s="0"/>
      <c r="UKA84" s="0"/>
      <c r="UKB84" s="0"/>
      <c r="UKC84" s="0"/>
      <c r="UKD84" s="0"/>
      <c r="UKE84" s="0"/>
      <c r="UKF84" s="0"/>
      <c r="UKG84" s="0"/>
      <c r="UKH84" s="0"/>
      <c r="UKI84" s="0"/>
      <c r="UKJ84" s="0"/>
      <c r="UKK84" s="0"/>
      <c r="UKL84" s="0"/>
      <c r="UKM84" s="0"/>
      <c r="UKN84" s="0"/>
      <c r="UKO84" s="0"/>
      <c r="UKP84" s="0"/>
      <c r="UKQ84" s="0"/>
      <c r="UKR84" s="0"/>
      <c r="UKS84" s="0"/>
      <c r="UKT84" s="0"/>
      <c r="UKU84" s="0"/>
      <c r="UKV84" s="0"/>
      <c r="UKW84" s="0"/>
      <c r="UKX84" s="0"/>
      <c r="UKY84" s="0"/>
      <c r="UKZ84" s="0"/>
      <c r="ULA84" s="0"/>
      <c r="ULB84" s="0"/>
      <c r="ULC84" s="0"/>
      <c r="ULD84" s="0"/>
      <c r="ULE84" s="0"/>
      <c r="ULF84" s="0"/>
      <c r="ULG84" s="0"/>
      <c r="ULH84" s="0"/>
      <c r="ULI84" s="0"/>
      <c r="ULJ84" s="0"/>
      <c r="ULK84" s="0"/>
      <c r="ULL84" s="0"/>
      <c r="ULM84" s="0"/>
      <c r="ULN84" s="0"/>
      <c r="ULO84" s="0"/>
      <c r="ULP84" s="0"/>
      <c r="ULQ84" s="0"/>
      <c r="ULR84" s="0"/>
      <c r="ULS84" s="0"/>
      <c r="ULT84" s="0"/>
      <c r="ULU84" s="0"/>
      <c r="ULV84" s="0"/>
      <c r="ULW84" s="0"/>
      <c r="ULX84" s="0"/>
      <c r="ULY84" s="0"/>
      <c r="ULZ84" s="0"/>
      <c r="UMA84" s="0"/>
      <c r="UMB84" s="0"/>
      <c r="UMC84" s="0"/>
      <c r="UMD84" s="0"/>
      <c r="UME84" s="0"/>
      <c r="UMF84" s="0"/>
      <c r="UMG84" s="0"/>
      <c r="UMH84" s="0"/>
      <c r="UMI84" s="0"/>
      <c r="UMJ84" s="0"/>
      <c r="UMK84" s="0"/>
      <c r="UML84" s="0"/>
      <c r="UMM84" s="0"/>
      <c r="UMN84" s="0"/>
      <c r="UMO84" s="0"/>
      <c r="UMP84" s="0"/>
      <c r="UMQ84" s="0"/>
      <c r="UMR84" s="0"/>
      <c r="UMS84" s="0"/>
      <c r="UMT84" s="0"/>
      <c r="UMU84" s="0"/>
      <c r="UMV84" s="0"/>
      <c r="UMW84" s="0"/>
      <c r="UMX84" s="0"/>
      <c r="UMY84" s="0"/>
      <c r="UMZ84" s="0"/>
      <c r="UNA84" s="0"/>
      <c r="UNB84" s="0"/>
      <c r="UNC84" s="0"/>
      <c r="UND84" s="0"/>
      <c r="UNE84" s="0"/>
      <c r="UNF84" s="0"/>
      <c r="UNG84" s="0"/>
      <c r="UNH84" s="0"/>
      <c r="UNI84" s="0"/>
      <c r="UNJ84" s="0"/>
      <c r="UNK84" s="0"/>
      <c r="UNL84" s="0"/>
      <c r="UNM84" s="0"/>
      <c r="UNN84" s="0"/>
      <c r="UNO84" s="0"/>
      <c r="UNP84" s="0"/>
      <c r="UNQ84" s="0"/>
      <c r="UNR84" s="0"/>
      <c r="UNS84" s="0"/>
      <c r="UNT84" s="0"/>
      <c r="UNU84" s="0"/>
      <c r="UNV84" s="0"/>
      <c r="UNW84" s="0"/>
      <c r="UNX84" s="0"/>
      <c r="UNY84" s="0"/>
      <c r="UNZ84" s="0"/>
      <c r="UOA84" s="0"/>
      <c r="UOB84" s="0"/>
      <c r="UOC84" s="0"/>
      <c r="UOD84" s="0"/>
      <c r="UOE84" s="0"/>
      <c r="UOF84" s="0"/>
      <c r="UOG84" s="0"/>
      <c r="UOH84" s="0"/>
      <c r="UOI84" s="0"/>
      <c r="UOJ84" s="0"/>
      <c r="UOK84" s="0"/>
      <c r="UOL84" s="0"/>
      <c r="UOM84" s="0"/>
      <c r="UON84" s="0"/>
      <c r="UOO84" s="0"/>
      <c r="UOP84" s="0"/>
      <c r="UOQ84" s="0"/>
      <c r="UOR84" s="0"/>
      <c r="UOS84" s="0"/>
      <c r="UOT84" s="0"/>
      <c r="UOU84" s="0"/>
      <c r="UOV84" s="0"/>
      <c r="UOW84" s="0"/>
      <c r="UOX84" s="0"/>
      <c r="UOY84" s="0"/>
      <c r="UOZ84" s="0"/>
      <c r="UPA84" s="0"/>
      <c r="UPB84" s="0"/>
      <c r="UPC84" s="0"/>
      <c r="UPD84" s="0"/>
      <c r="UPE84" s="0"/>
      <c r="UPF84" s="0"/>
      <c r="UPG84" s="0"/>
      <c r="UPH84" s="0"/>
      <c r="UPI84" s="0"/>
      <c r="UPJ84" s="0"/>
      <c r="UPK84" s="0"/>
      <c r="UPL84" s="0"/>
      <c r="UPM84" s="0"/>
      <c r="UPN84" s="0"/>
      <c r="UPO84" s="0"/>
      <c r="UPP84" s="0"/>
      <c r="UPQ84" s="0"/>
      <c r="UPR84" s="0"/>
      <c r="UPS84" s="0"/>
      <c r="UPT84" s="0"/>
      <c r="UPU84" s="0"/>
      <c r="UPV84" s="0"/>
      <c r="UPW84" s="0"/>
      <c r="UPX84" s="0"/>
      <c r="UPY84" s="0"/>
      <c r="UPZ84" s="0"/>
      <c r="UQA84" s="0"/>
      <c r="UQB84" s="0"/>
      <c r="UQC84" s="0"/>
      <c r="UQD84" s="0"/>
      <c r="UQE84" s="0"/>
      <c r="UQF84" s="0"/>
      <c r="UQG84" s="0"/>
      <c r="UQH84" s="0"/>
      <c r="UQI84" s="0"/>
      <c r="UQJ84" s="0"/>
      <c r="UQK84" s="0"/>
      <c r="UQL84" s="0"/>
      <c r="UQM84" s="0"/>
      <c r="UQN84" s="0"/>
      <c r="UQO84" s="0"/>
      <c r="UQP84" s="0"/>
      <c r="UQQ84" s="0"/>
      <c r="UQR84" s="0"/>
      <c r="UQS84" s="0"/>
      <c r="UQT84" s="0"/>
      <c r="UQU84" s="0"/>
      <c r="UQV84" s="0"/>
      <c r="UQW84" s="0"/>
      <c r="UQX84" s="0"/>
      <c r="UQY84" s="0"/>
      <c r="UQZ84" s="0"/>
      <c r="URA84" s="0"/>
      <c r="URB84" s="0"/>
      <c r="URC84" s="0"/>
      <c r="URD84" s="0"/>
      <c r="URE84" s="0"/>
      <c r="URF84" s="0"/>
      <c r="URG84" s="0"/>
      <c r="URH84" s="0"/>
      <c r="URI84" s="0"/>
      <c r="URJ84" s="0"/>
      <c r="URK84" s="0"/>
      <c r="URL84" s="0"/>
      <c r="URM84" s="0"/>
      <c r="URN84" s="0"/>
      <c r="URO84" s="0"/>
      <c r="URP84" s="0"/>
      <c r="URQ84" s="0"/>
      <c r="URR84" s="0"/>
      <c r="URS84" s="0"/>
      <c r="URT84" s="0"/>
      <c r="URU84" s="0"/>
      <c r="URV84" s="0"/>
      <c r="URW84" s="0"/>
      <c r="URX84" s="0"/>
      <c r="URY84" s="0"/>
      <c r="URZ84" s="0"/>
      <c r="USA84" s="0"/>
      <c r="USB84" s="0"/>
      <c r="USC84" s="0"/>
      <c r="USD84" s="0"/>
      <c r="USE84" s="0"/>
      <c r="USF84" s="0"/>
      <c r="USG84" s="0"/>
      <c r="USH84" s="0"/>
      <c r="USI84" s="0"/>
      <c r="USJ84" s="0"/>
      <c r="USK84" s="0"/>
      <c r="USL84" s="0"/>
      <c r="USM84" s="0"/>
      <c r="USN84" s="0"/>
      <c r="USO84" s="0"/>
      <c r="USP84" s="0"/>
      <c r="USQ84" s="0"/>
      <c r="USR84" s="0"/>
      <c r="USS84" s="0"/>
      <c r="UST84" s="0"/>
      <c r="USU84" s="0"/>
      <c r="USV84" s="0"/>
      <c r="USW84" s="0"/>
      <c r="USX84" s="0"/>
      <c r="USY84" s="0"/>
      <c r="USZ84" s="0"/>
      <c r="UTA84" s="0"/>
      <c r="UTB84" s="0"/>
      <c r="UTC84" s="0"/>
      <c r="UTD84" s="0"/>
      <c r="UTE84" s="0"/>
      <c r="UTF84" s="0"/>
      <c r="UTG84" s="0"/>
      <c r="UTH84" s="0"/>
      <c r="UTI84" s="0"/>
      <c r="UTJ84" s="0"/>
      <c r="UTK84" s="0"/>
      <c r="UTL84" s="0"/>
      <c r="UTM84" s="0"/>
      <c r="UTN84" s="0"/>
      <c r="UTO84" s="0"/>
      <c r="UTP84" s="0"/>
      <c r="UTQ84" s="0"/>
      <c r="UTR84" s="0"/>
      <c r="UTS84" s="0"/>
      <c r="UTT84" s="0"/>
      <c r="UTU84" s="0"/>
      <c r="UTV84" s="0"/>
      <c r="UTW84" s="0"/>
      <c r="UTX84" s="0"/>
      <c r="UTY84" s="0"/>
      <c r="UTZ84" s="0"/>
      <c r="UUA84" s="0"/>
      <c r="UUB84" s="0"/>
      <c r="UUC84" s="0"/>
      <c r="UUD84" s="0"/>
      <c r="UUE84" s="0"/>
      <c r="UUF84" s="0"/>
      <c r="UUG84" s="0"/>
      <c r="UUH84" s="0"/>
      <c r="UUI84" s="0"/>
      <c r="UUJ84" s="0"/>
      <c r="UUK84" s="0"/>
      <c r="UUL84" s="0"/>
      <c r="UUM84" s="0"/>
      <c r="UUN84" s="0"/>
      <c r="UUO84" s="0"/>
      <c r="UUP84" s="0"/>
      <c r="UUQ84" s="0"/>
      <c r="UUR84" s="0"/>
      <c r="UUS84" s="0"/>
      <c r="UUT84" s="0"/>
      <c r="UUU84" s="0"/>
      <c r="UUV84" s="0"/>
      <c r="UUW84" s="0"/>
      <c r="UUX84" s="0"/>
      <c r="UUY84" s="0"/>
      <c r="UUZ84" s="0"/>
      <c r="UVA84" s="0"/>
      <c r="UVB84" s="0"/>
      <c r="UVC84" s="0"/>
      <c r="UVD84" s="0"/>
      <c r="UVE84" s="0"/>
      <c r="UVF84" s="0"/>
      <c r="UVG84" s="0"/>
      <c r="UVH84" s="0"/>
      <c r="UVI84" s="0"/>
      <c r="UVJ84" s="0"/>
      <c r="UVK84" s="0"/>
      <c r="UVL84" s="0"/>
      <c r="UVM84" s="0"/>
      <c r="UVN84" s="0"/>
      <c r="UVO84" s="0"/>
      <c r="UVP84" s="0"/>
      <c r="UVQ84" s="0"/>
      <c r="UVR84" s="0"/>
      <c r="UVS84" s="0"/>
      <c r="UVT84" s="0"/>
      <c r="UVU84" s="0"/>
      <c r="UVV84" s="0"/>
      <c r="UVW84" s="0"/>
      <c r="UVX84" s="0"/>
      <c r="UVY84" s="0"/>
      <c r="UVZ84" s="0"/>
      <c r="UWA84" s="0"/>
      <c r="UWB84" s="0"/>
      <c r="UWC84" s="0"/>
      <c r="UWD84" s="0"/>
      <c r="UWE84" s="0"/>
      <c r="UWF84" s="0"/>
      <c r="UWG84" s="0"/>
      <c r="UWH84" s="0"/>
      <c r="UWI84" s="0"/>
      <c r="UWJ84" s="0"/>
      <c r="UWK84" s="0"/>
      <c r="UWL84" s="0"/>
      <c r="UWM84" s="0"/>
      <c r="UWN84" s="0"/>
      <c r="UWO84" s="0"/>
      <c r="UWP84" s="0"/>
      <c r="UWQ84" s="0"/>
      <c r="UWR84" s="0"/>
      <c r="UWS84" s="0"/>
      <c r="UWT84" s="0"/>
      <c r="UWU84" s="0"/>
      <c r="UWV84" s="0"/>
      <c r="UWW84" s="0"/>
      <c r="UWX84" s="0"/>
      <c r="UWY84" s="0"/>
      <c r="UWZ84" s="0"/>
      <c r="UXA84" s="0"/>
      <c r="UXB84" s="0"/>
      <c r="UXC84" s="0"/>
      <c r="UXD84" s="0"/>
      <c r="UXE84" s="0"/>
      <c r="UXF84" s="0"/>
      <c r="UXG84" s="0"/>
      <c r="UXH84" s="0"/>
      <c r="UXI84" s="0"/>
      <c r="UXJ84" s="0"/>
      <c r="UXK84" s="0"/>
      <c r="UXL84" s="0"/>
      <c r="UXM84" s="0"/>
      <c r="UXN84" s="0"/>
      <c r="UXO84" s="0"/>
      <c r="UXP84" s="0"/>
      <c r="UXQ84" s="0"/>
      <c r="UXR84" s="0"/>
      <c r="UXS84" s="0"/>
      <c r="UXT84" s="0"/>
      <c r="UXU84" s="0"/>
      <c r="UXV84" s="0"/>
      <c r="UXW84" s="0"/>
      <c r="UXX84" s="0"/>
      <c r="UXY84" s="0"/>
      <c r="UXZ84" s="0"/>
      <c r="UYA84" s="0"/>
      <c r="UYB84" s="0"/>
      <c r="UYC84" s="0"/>
      <c r="UYD84" s="0"/>
      <c r="UYE84" s="0"/>
      <c r="UYF84" s="0"/>
      <c r="UYG84" s="0"/>
      <c r="UYH84" s="0"/>
      <c r="UYI84" s="0"/>
      <c r="UYJ84" s="0"/>
      <c r="UYK84" s="0"/>
      <c r="UYL84" s="0"/>
      <c r="UYM84" s="0"/>
      <c r="UYN84" s="0"/>
      <c r="UYO84" s="0"/>
      <c r="UYP84" s="0"/>
      <c r="UYQ84" s="0"/>
      <c r="UYR84" s="0"/>
      <c r="UYS84" s="0"/>
      <c r="UYT84" s="0"/>
      <c r="UYU84" s="0"/>
      <c r="UYV84" s="0"/>
      <c r="UYW84" s="0"/>
      <c r="UYX84" s="0"/>
      <c r="UYY84" s="0"/>
      <c r="UYZ84" s="0"/>
      <c r="UZA84" s="0"/>
      <c r="UZB84" s="0"/>
      <c r="UZC84" s="0"/>
      <c r="UZD84" s="0"/>
      <c r="UZE84" s="0"/>
      <c r="UZF84" s="0"/>
      <c r="UZG84" s="0"/>
      <c r="UZH84" s="0"/>
      <c r="UZI84" s="0"/>
      <c r="UZJ84" s="0"/>
      <c r="UZK84" s="0"/>
      <c r="UZL84" s="0"/>
      <c r="UZM84" s="0"/>
      <c r="UZN84" s="0"/>
      <c r="UZO84" s="0"/>
      <c r="UZP84" s="0"/>
      <c r="UZQ84" s="0"/>
      <c r="UZR84" s="0"/>
      <c r="UZS84" s="0"/>
      <c r="UZT84" s="0"/>
      <c r="UZU84" s="0"/>
      <c r="UZV84" s="0"/>
      <c r="UZW84" s="0"/>
      <c r="UZX84" s="0"/>
      <c r="UZY84" s="0"/>
      <c r="UZZ84" s="0"/>
      <c r="VAA84" s="0"/>
      <c r="VAB84" s="0"/>
      <c r="VAC84" s="0"/>
      <c r="VAD84" s="0"/>
      <c r="VAE84" s="0"/>
      <c r="VAF84" s="0"/>
      <c r="VAG84" s="0"/>
      <c r="VAH84" s="0"/>
      <c r="VAI84" s="0"/>
      <c r="VAJ84" s="0"/>
      <c r="VAK84" s="0"/>
      <c r="VAL84" s="0"/>
      <c r="VAM84" s="0"/>
      <c r="VAN84" s="0"/>
      <c r="VAO84" s="0"/>
      <c r="VAP84" s="0"/>
      <c r="VAQ84" s="0"/>
      <c r="VAR84" s="0"/>
      <c r="VAS84" s="0"/>
      <c r="VAT84" s="0"/>
      <c r="VAU84" s="0"/>
      <c r="VAV84" s="0"/>
      <c r="VAW84" s="0"/>
      <c r="VAX84" s="0"/>
      <c r="VAY84" s="0"/>
      <c r="VAZ84" s="0"/>
      <c r="VBA84" s="0"/>
      <c r="VBB84" s="0"/>
      <c r="VBC84" s="0"/>
      <c r="VBD84" s="0"/>
      <c r="VBE84" s="0"/>
      <c r="VBF84" s="0"/>
      <c r="VBG84" s="0"/>
      <c r="VBH84" s="0"/>
      <c r="VBI84" s="0"/>
      <c r="VBJ84" s="0"/>
      <c r="VBK84" s="0"/>
      <c r="VBL84" s="0"/>
      <c r="VBM84" s="0"/>
      <c r="VBN84" s="0"/>
      <c r="VBO84" s="0"/>
      <c r="VBP84" s="0"/>
      <c r="VBQ84" s="0"/>
      <c r="VBR84" s="0"/>
      <c r="VBS84" s="0"/>
      <c r="VBT84" s="0"/>
      <c r="VBU84" s="0"/>
      <c r="VBV84" s="0"/>
      <c r="VBW84" s="0"/>
      <c r="VBX84" s="0"/>
      <c r="VBY84" s="0"/>
      <c r="VBZ84" s="0"/>
      <c r="VCA84" s="0"/>
      <c r="VCB84" s="0"/>
      <c r="VCC84" s="0"/>
      <c r="VCD84" s="0"/>
      <c r="VCE84" s="0"/>
      <c r="VCF84" s="0"/>
      <c r="VCG84" s="0"/>
      <c r="VCH84" s="0"/>
      <c r="VCI84" s="0"/>
      <c r="VCJ84" s="0"/>
      <c r="VCK84" s="0"/>
      <c r="VCL84" s="0"/>
      <c r="VCM84" s="0"/>
      <c r="VCN84" s="0"/>
      <c r="VCO84" s="0"/>
      <c r="VCP84" s="0"/>
      <c r="VCQ84" s="0"/>
      <c r="VCR84" s="0"/>
      <c r="VCS84" s="0"/>
      <c r="VCT84" s="0"/>
      <c r="VCU84" s="0"/>
      <c r="VCV84" s="0"/>
      <c r="VCW84" s="0"/>
      <c r="VCX84" s="0"/>
      <c r="VCY84" s="0"/>
      <c r="VCZ84" s="0"/>
      <c r="VDA84" s="0"/>
      <c r="VDB84" s="0"/>
      <c r="VDC84" s="0"/>
      <c r="VDD84" s="0"/>
      <c r="VDE84" s="0"/>
      <c r="VDF84" s="0"/>
      <c r="VDG84" s="0"/>
      <c r="VDH84" s="0"/>
      <c r="VDI84" s="0"/>
      <c r="VDJ84" s="0"/>
      <c r="VDK84" s="0"/>
      <c r="VDL84" s="0"/>
      <c r="VDM84" s="0"/>
      <c r="VDN84" s="0"/>
      <c r="VDO84" s="0"/>
      <c r="VDP84" s="0"/>
      <c r="VDQ84" s="0"/>
      <c r="VDR84" s="0"/>
      <c r="VDS84" s="0"/>
      <c r="VDT84" s="0"/>
      <c r="VDU84" s="0"/>
      <c r="VDV84" s="0"/>
      <c r="VDW84" s="0"/>
      <c r="VDX84" s="0"/>
      <c r="VDY84" s="0"/>
      <c r="VDZ84" s="0"/>
      <c r="VEA84" s="0"/>
      <c r="VEB84" s="0"/>
      <c r="VEC84" s="0"/>
      <c r="VED84" s="0"/>
      <c r="VEE84" s="0"/>
      <c r="VEF84" s="0"/>
      <c r="VEG84" s="0"/>
      <c r="VEH84" s="0"/>
      <c r="VEI84" s="0"/>
      <c r="VEJ84" s="0"/>
      <c r="VEK84" s="0"/>
      <c r="VEL84" s="0"/>
      <c r="VEM84" s="0"/>
      <c r="VEN84" s="0"/>
      <c r="VEO84" s="0"/>
      <c r="VEP84" s="0"/>
      <c r="VEQ84" s="0"/>
      <c r="VER84" s="0"/>
      <c r="VES84" s="0"/>
      <c r="VET84" s="0"/>
      <c r="VEU84" s="0"/>
      <c r="VEV84" s="0"/>
      <c r="VEW84" s="0"/>
      <c r="VEX84" s="0"/>
      <c r="VEY84" s="0"/>
      <c r="VEZ84" s="0"/>
      <c r="VFA84" s="0"/>
      <c r="VFB84" s="0"/>
      <c r="VFC84" s="0"/>
      <c r="VFD84" s="0"/>
      <c r="VFE84" s="0"/>
      <c r="VFF84" s="0"/>
      <c r="VFG84" s="0"/>
      <c r="VFH84" s="0"/>
      <c r="VFI84" s="0"/>
      <c r="VFJ84" s="0"/>
      <c r="VFK84" s="0"/>
      <c r="VFL84" s="0"/>
      <c r="VFM84" s="0"/>
      <c r="VFN84" s="0"/>
      <c r="VFO84" s="0"/>
      <c r="VFP84" s="0"/>
      <c r="VFQ84" s="0"/>
      <c r="VFR84" s="0"/>
      <c r="VFS84" s="0"/>
      <c r="VFT84" s="0"/>
      <c r="VFU84" s="0"/>
      <c r="VFV84" s="0"/>
      <c r="VFW84" s="0"/>
      <c r="VFX84" s="0"/>
      <c r="VFY84" s="0"/>
      <c r="VFZ84" s="0"/>
      <c r="VGA84" s="0"/>
      <c r="VGB84" s="0"/>
      <c r="VGC84" s="0"/>
      <c r="VGD84" s="0"/>
      <c r="VGE84" s="0"/>
      <c r="VGF84" s="0"/>
      <c r="VGG84" s="0"/>
      <c r="VGH84" s="0"/>
      <c r="VGI84" s="0"/>
      <c r="VGJ84" s="0"/>
      <c r="VGK84" s="0"/>
      <c r="VGL84" s="0"/>
      <c r="VGM84" s="0"/>
      <c r="VGN84" s="0"/>
      <c r="VGO84" s="0"/>
      <c r="VGP84" s="0"/>
      <c r="VGQ84" s="0"/>
      <c r="VGR84" s="0"/>
      <c r="VGS84" s="0"/>
      <c r="VGT84" s="0"/>
      <c r="VGU84" s="0"/>
      <c r="VGV84" s="0"/>
      <c r="VGW84" s="0"/>
      <c r="VGX84" s="0"/>
      <c r="VGY84" s="0"/>
      <c r="VGZ84" s="0"/>
      <c r="VHA84" s="0"/>
      <c r="VHB84" s="0"/>
      <c r="VHC84" s="0"/>
      <c r="VHD84" s="0"/>
      <c r="VHE84" s="0"/>
      <c r="VHF84" s="0"/>
      <c r="VHG84" s="0"/>
      <c r="VHH84" s="0"/>
      <c r="VHI84" s="0"/>
      <c r="VHJ84" s="0"/>
      <c r="VHK84" s="0"/>
      <c r="VHL84" s="0"/>
      <c r="VHM84" s="0"/>
      <c r="VHN84" s="0"/>
      <c r="VHO84" s="0"/>
      <c r="VHP84" s="0"/>
      <c r="VHQ84" s="0"/>
      <c r="VHR84" s="0"/>
      <c r="VHS84" s="0"/>
      <c r="VHT84" s="0"/>
      <c r="VHU84" s="0"/>
      <c r="VHV84" s="0"/>
      <c r="VHW84" s="0"/>
      <c r="VHX84" s="0"/>
      <c r="VHY84" s="0"/>
      <c r="VHZ84" s="0"/>
      <c r="VIA84" s="0"/>
      <c r="VIB84" s="0"/>
      <c r="VIC84" s="0"/>
      <c r="VID84" s="0"/>
      <c r="VIE84" s="0"/>
      <c r="VIF84" s="0"/>
      <c r="VIG84" s="0"/>
      <c r="VIH84" s="0"/>
      <c r="VII84" s="0"/>
      <c r="VIJ84" s="0"/>
      <c r="VIK84" s="0"/>
      <c r="VIL84" s="0"/>
      <c r="VIM84" s="0"/>
      <c r="VIN84" s="0"/>
      <c r="VIO84" s="0"/>
      <c r="VIP84" s="0"/>
      <c r="VIQ84" s="0"/>
      <c r="VIR84" s="0"/>
      <c r="VIS84" s="0"/>
      <c r="VIT84" s="0"/>
      <c r="VIU84" s="0"/>
      <c r="VIV84" s="0"/>
      <c r="VIW84" s="0"/>
      <c r="VIX84" s="0"/>
      <c r="VIY84" s="0"/>
      <c r="VIZ84" s="0"/>
      <c r="VJA84" s="0"/>
      <c r="VJB84" s="0"/>
      <c r="VJC84" s="0"/>
      <c r="VJD84" s="0"/>
      <c r="VJE84" s="0"/>
      <c r="VJF84" s="0"/>
      <c r="VJG84" s="0"/>
      <c r="VJH84" s="0"/>
      <c r="VJI84" s="0"/>
      <c r="VJJ84" s="0"/>
      <c r="VJK84" s="0"/>
      <c r="VJL84" s="0"/>
      <c r="VJM84" s="0"/>
      <c r="VJN84" s="0"/>
      <c r="VJO84" s="0"/>
      <c r="VJP84" s="0"/>
      <c r="VJQ84" s="0"/>
      <c r="VJR84" s="0"/>
      <c r="VJS84" s="0"/>
      <c r="VJT84" s="0"/>
      <c r="VJU84" s="0"/>
      <c r="VJV84" s="0"/>
      <c r="VJW84" s="0"/>
      <c r="VJX84" s="0"/>
      <c r="VJY84" s="0"/>
      <c r="VJZ84" s="0"/>
      <c r="VKA84" s="0"/>
      <c r="VKB84" s="0"/>
      <c r="VKC84" s="0"/>
      <c r="VKD84" s="0"/>
      <c r="VKE84" s="0"/>
      <c r="VKF84" s="0"/>
      <c r="VKG84" s="0"/>
      <c r="VKH84" s="0"/>
      <c r="VKI84" s="0"/>
      <c r="VKJ84" s="0"/>
      <c r="VKK84" s="0"/>
      <c r="VKL84" s="0"/>
      <c r="VKM84" s="0"/>
      <c r="VKN84" s="0"/>
      <c r="VKO84" s="0"/>
      <c r="VKP84" s="0"/>
      <c r="VKQ84" s="0"/>
      <c r="VKR84" s="0"/>
      <c r="VKS84" s="0"/>
      <c r="VKT84" s="0"/>
      <c r="VKU84" s="0"/>
      <c r="VKV84" s="0"/>
      <c r="VKW84" s="0"/>
      <c r="VKX84" s="0"/>
      <c r="VKY84" s="0"/>
      <c r="VKZ84" s="0"/>
      <c r="VLA84" s="0"/>
      <c r="VLB84" s="0"/>
      <c r="VLC84" s="0"/>
      <c r="VLD84" s="0"/>
      <c r="VLE84" s="0"/>
      <c r="VLF84" s="0"/>
      <c r="VLG84" s="0"/>
      <c r="VLH84" s="0"/>
      <c r="VLI84" s="0"/>
      <c r="VLJ84" s="0"/>
      <c r="VLK84" s="0"/>
      <c r="VLL84" s="0"/>
      <c r="VLM84" s="0"/>
      <c r="VLN84" s="0"/>
      <c r="VLO84" s="0"/>
      <c r="VLP84" s="0"/>
      <c r="VLQ84" s="0"/>
      <c r="VLR84" s="0"/>
      <c r="VLS84" s="0"/>
      <c r="VLT84" s="0"/>
      <c r="VLU84" s="0"/>
      <c r="VLV84" s="0"/>
      <c r="VLW84" s="0"/>
      <c r="VLX84" s="0"/>
      <c r="VLY84" s="0"/>
      <c r="VLZ84" s="0"/>
      <c r="VMA84" s="0"/>
      <c r="VMB84" s="0"/>
      <c r="VMC84" s="0"/>
      <c r="VMD84" s="0"/>
      <c r="VME84" s="0"/>
      <c r="VMF84" s="0"/>
      <c r="VMG84" s="0"/>
      <c r="VMH84" s="0"/>
      <c r="VMI84" s="0"/>
      <c r="VMJ84" s="0"/>
      <c r="VMK84" s="0"/>
      <c r="VML84" s="0"/>
      <c r="VMM84" s="0"/>
      <c r="VMN84" s="0"/>
      <c r="VMO84" s="0"/>
      <c r="VMP84" s="0"/>
      <c r="VMQ84" s="0"/>
      <c r="VMR84" s="0"/>
      <c r="VMS84" s="0"/>
      <c r="VMT84" s="0"/>
      <c r="VMU84" s="0"/>
      <c r="VMV84" s="0"/>
      <c r="VMW84" s="0"/>
      <c r="VMX84" s="0"/>
      <c r="VMY84" s="0"/>
      <c r="VMZ84" s="0"/>
      <c r="VNA84" s="0"/>
      <c r="VNB84" s="0"/>
      <c r="VNC84" s="0"/>
      <c r="VND84" s="0"/>
      <c r="VNE84" s="0"/>
      <c r="VNF84" s="0"/>
      <c r="VNG84" s="0"/>
      <c r="VNH84" s="0"/>
      <c r="VNI84" s="0"/>
      <c r="VNJ84" s="0"/>
      <c r="VNK84" s="0"/>
      <c r="VNL84" s="0"/>
      <c r="VNM84" s="0"/>
      <c r="VNN84" s="0"/>
      <c r="VNO84" s="0"/>
      <c r="VNP84" s="0"/>
      <c r="VNQ84" s="0"/>
      <c r="VNR84" s="0"/>
      <c r="VNS84" s="0"/>
      <c r="VNT84" s="0"/>
      <c r="VNU84" s="0"/>
      <c r="VNV84" s="0"/>
      <c r="VNW84" s="0"/>
      <c r="VNX84" s="0"/>
      <c r="VNY84" s="0"/>
      <c r="VNZ84" s="0"/>
      <c r="VOA84" s="0"/>
      <c r="VOB84" s="0"/>
      <c r="VOC84" s="0"/>
      <c r="VOD84" s="0"/>
      <c r="VOE84" s="0"/>
      <c r="VOF84" s="0"/>
      <c r="VOG84" s="0"/>
      <c r="VOH84" s="0"/>
      <c r="VOI84" s="0"/>
      <c r="VOJ84" s="0"/>
      <c r="VOK84" s="0"/>
      <c r="VOL84" s="0"/>
      <c r="VOM84" s="0"/>
      <c r="VON84" s="0"/>
      <c r="VOO84" s="0"/>
      <c r="VOP84" s="0"/>
      <c r="VOQ84" s="0"/>
      <c r="VOR84" s="0"/>
      <c r="VOS84" s="0"/>
      <c r="VOT84" s="0"/>
      <c r="VOU84" s="0"/>
      <c r="VOV84" s="0"/>
      <c r="VOW84" s="0"/>
      <c r="VOX84" s="0"/>
      <c r="VOY84" s="0"/>
      <c r="VOZ84" s="0"/>
      <c r="VPA84" s="0"/>
      <c r="VPB84" s="0"/>
      <c r="VPC84" s="0"/>
      <c r="VPD84" s="0"/>
      <c r="VPE84" s="0"/>
      <c r="VPF84" s="0"/>
      <c r="VPG84" s="0"/>
      <c r="VPH84" s="0"/>
      <c r="VPI84" s="0"/>
      <c r="VPJ84" s="0"/>
      <c r="VPK84" s="0"/>
      <c r="VPL84" s="0"/>
      <c r="VPM84" s="0"/>
      <c r="VPN84" s="0"/>
      <c r="VPO84" s="0"/>
      <c r="VPP84" s="0"/>
      <c r="VPQ84" s="0"/>
      <c r="VPR84" s="0"/>
      <c r="VPS84" s="0"/>
      <c r="VPT84" s="0"/>
      <c r="VPU84" s="0"/>
      <c r="VPV84" s="0"/>
      <c r="VPW84" s="0"/>
      <c r="VPX84" s="0"/>
      <c r="VPY84" s="0"/>
      <c r="VPZ84" s="0"/>
      <c r="VQA84" s="0"/>
      <c r="VQB84" s="0"/>
      <c r="VQC84" s="0"/>
      <c r="VQD84" s="0"/>
      <c r="VQE84" s="0"/>
      <c r="VQF84" s="0"/>
      <c r="VQG84" s="0"/>
      <c r="VQH84" s="0"/>
      <c r="VQI84" s="0"/>
      <c r="VQJ84" s="0"/>
      <c r="VQK84" s="0"/>
      <c r="VQL84" s="0"/>
      <c r="VQM84" s="0"/>
      <c r="VQN84" s="0"/>
      <c r="VQO84" s="0"/>
      <c r="VQP84" s="0"/>
      <c r="VQQ84" s="0"/>
      <c r="VQR84" s="0"/>
      <c r="VQS84" s="0"/>
      <c r="VQT84" s="0"/>
      <c r="VQU84" s="0"/>
      <c r="VQV84" s="0"/>
      <c r="VQW84" s="0"/>
      <c r="VQX84" s="0"/>
      <c r="VQY84" s="0"/>
      <c r="VQZ84" s="0"/>
      <c r="VRA84" s="0"/>
      <c r="VRB84" s="0"/>
      <c r="VRC84" s="0"/>
      <c r="VRD84" s="0"/>
      <c r="VRE84" s="0"/>
      <c r="VRF84" s="0"/>
      <c r="VRG84" s="0"/>
      <c r="VRH84" s="0"/>
      <c r="VRI84" s="0"/>
      <c r="VRJ84" s="0"/>
      <c r="VRK84" s="0"/>
      <c r="VRL84" s="0"/>
      <c r="VRM84" s="0"/>
      <c r="VRN84" s="0"/>
      <c r="VRO84" s="0"/>
      <c r="VRP84" s="0"/>
      <c r="VRQ84" s="0"/>
      <c r="VRR84" s="0"/>
      <c r="VRS84" s="0"/>
      <c r="VRT84" s="0"/>
      <c r="VRU84" s="0"/>
      <c r="VRV84" s="0"/>
      <c r="VRW84" s="0"/>
      <c r="VRX84" s="0"/>
      <c r="VRY84" s="0"/>
      <c r="VRZ84" s="0"/>
      <c r="VSA84" s="0"/>
      <c r="VSB84" s="0"/>
      <c r="VSC84" s="0"/>
      <c r="VSD84" s="0"/>
      <c r="VSE84" s="0"/>
      <c r="VSF84" s="0"/>
      <c r="VSG84" s="0"/>
      <c r="VSH84" s="0"/>
      <c r="VSI84" s="0"/>
      <c r="VSJ84" s="0"/>
      <c r="VSK84" s="0"/>
      <c r="VSL84" s="0"/>
      <c r="VSM84" s="0"/>
      <c r="VSN84" s="0"/>
      <c r="VSO84" s="0"/>
      <c r="VSP84" s="0"/>
      <c r="VSQ84" s="0"/>
      <c r="VSR84" s="0"/>
      <c r="VSS84" s="0"/>
      <c r="VST84" s="0"/>
      <c r="VSU84" s="0"/>
      <c r="VSV84" s="0"/>
      <c r="VSW84" s="0"/>
      <c r="VSX84" s="0"/>
      <c r="VSY84" s="0"/>
      <c r="VSZ84" s="0"/>
      <c r="VTA84" s="0"/>
      <c r="VTB84" s="0"/>
      <c r="VTC84" s="0"/>
      <c r="VTD84" s="0"/>
      <c r="VTE84" s="0"/>
      <c r="VTF84" s="0"/>
      <c r="VTG84" s="0"/>
      <c r="VTH84" s="0"/>
      <c r="VTI84" s="0"/>
      <c r="VTJ84" s="0"/>
      <c r="VTK84" s="0"/>
      <c r="VTL84" s="0"/>
      <c r="VTM84" s="0"/>
      <c r="VTN84" s="0"/>
      <c r="VTO84" s="0"/>
      <c r="VTP84" s="0"/>
      <c r="VTQ84" s="0"/>
      <c r="VTR84" s="0"/>
      <c r="VTS84" s="0"/>
      <c r="VTT84" s="0"/>
      <c r="VTU84" s="0"/>
      <c r="VTV84" s="0"/>
      <c r="VTW84" s="0"/>
      <c r="VTX84" s="0"/>
      <c r="VTY84" s="0"/>
      <c r="VTZ84" s="0"/>
      <c r="VUA84" s="0"/>
      <c r="VUB84" s="0"/>
      <c r="VUC84" s="0"/>
      <c r="VUD84" s="0"/>
      <c r="VUE84" s="0"/>
      <c r="VUF84" s="0"/>
      <c r="VUG84" s="0"/>
      <c r="VUH84" s="0"/>
      <c r="VUI84" s="0"/>
      <c r="VUJ84" s="0"/>
      <c r="VUK84" s="0"/>
      <c r="VUL84" s="0"/>
      <c r="VUM84" s="0"/>
      <c r="VUN84" s="0"/>
      <c r="VUO84" s="0"/>
      <c r="VUP84" s="0"/>
      <c r="VUQ84" s="0"/>
      <c r="VUR84" s="0"/>
      <c r="VUS84" s="0"/>
      <c r="VUT84" s="0"/>
      <c r="VUU84" s="0"/>
      <c r="VUV84" s="0"/>
      <c r="VUW84" s="0"/>
      <c r="VUX84" s="0"/>
      <c r="VUY84" s="0"/>
      <c r="VUZ84" s="0"/>
      <c r="VVA84" s="0"/>
      <c r="VVB84" s="0"/>
      <c r="VVC84" s="0"/>
      <c r="VVD84" s="0"/>
      <c r="VVE84" s="0"/>
      <c r="VVF84" s="0"/>
      <c r="VVG84" s="0"/>
      <c r="VVH84" s="0"/>
      <c r="VVI84" s="0"/>
      <c r="VVJ84" s="0"/>
      <c r="VVK84" s="0"/>
      <c r="VVL84" s="0"/>
      <c r="VVM84" s="0"/>
      <c r="VVN84" s="0"/>
      <c r="VVO84" s="0"/>
      <c r="VVP84" s="0"/>
      <c r="VVQ84" s="0"/>
      <c r="VVR84" s="0"/>
      <c r="VVS84" s="0"/>
      <c r="VVT84" s="0"/>
      <c r="VVU84" s="0"/>
      <c r="VVV84" s="0"/>
      <c r="VVW84" s="0"/>
      <c r="VVX84" s="0"/>
      <c r="VVY84" s="0"/>
      <c r="VVZ84" s="0"/>
      <c r="VWA84" s="0"/>
      <c r="VWB84" s="0"/>
      <c r="VWC84" s="0"/>
      <c r="VWD84" s="0"/>
      <c r="VWE84" s="0"/>
      <c r="VWF84" s="0"/>
      <c r="VWG84" s="0"/>
      <c r="VWH84" s="0"/>
      <c r="VWI84" s="0"/>
      <c r="VWJ84" s="0"/>
      <c r="VWK84" s="0"/>
      <c r="VWL84" s="0"/>
      <c r="VWM84" s="0"/>
      <c r="VWN84" s="0"/>
      <c r="VWO84" s="0"/>
      <c r="VWP84" s="0"/>
      <c r="VWQ84" s="0"/>
      <c r="VWR84" s="0"/>
      <c r="VWS84" s="0"/>
      <c r="VWT84" s="0"/>
      <c r="VWU84" s="0"/>
      <c r="VWV84" s="0"/>
      <c r="VWW84" s="0"/>
      <c r="VWX84" s="0"/>
      <c r="VWY84" s="0"/>
      <c r="VWZ84" s="0"/>
      <c r="VXA84" s="0"/>
      <c r="VXB84" s="0"/>
      <c r="VXC84" s="0"/>
      <c r="VXD84" s="0"/>
      <c r="VXE84" s="0"/>
      <c r="VXF84" s="0"/>
      <c r="VXG84" s="0"/>
      <c r="VXH84" s="0"/>
      <c r="VXI84" s="0"/>
      <c r="VXJ84" s="0"/>
      <c r="VXK84" s="0"/>
      <c r="VXL84" s="0"/>
      <c r="VXM84" s="0"/>
      <c r="VXN84" s="0"/>
      <c r="VXO84" s="0"/>
      <c r="VXP84" s="0"/>
      <c r="VXQ84" s="0"/>
      <c r="VXR84" s="0"/>
      <c r="VXS84" s="0"/>
      <c r="VXT84" s="0"/>
      <c r="VXU84" s="0"/>
      <c r="VXV84" s="0"/>
      <c r="VXW84" s="0"/>
      <c r="VXX84" s="0"/>
      <c r="VXY84" s="0"/>
      <c r="VXZ84" s="0"/>
      <c r="VYA84" s="0"/>
      <c r="VYB84" s="0"/>
      <c r="VYC84" s="0"/>
      <c r="VYD84" s="0"/>
      <c r="VYE84" s="0"/>
      <c r="VYF84" s="0"/>
      <c r="VYG84" s="0"/>
      <c r="VYH84" s="0"/>
      <c r="VYI84" s="0"/>
      <c r="VYJ84" s="0"/>
      <c r="VYK84" s="0"/>
      <c r="VYL84" s="0"/>
      <c r="VYM84" s="0"/>
      <c r="VYN84" s="0"/>
      <c r="VYO84" s="0"/>
      <c r="VYP84" s="0"/>
      <c r="VYQ84" s="0"/>
      <c r="VYR84" s="0"/>
      <c r="VYS84" s="0"/>
      <c r="VYT84" s="0"/>
      <c r="VYU84" s="0"/>
      <c r="VYV84" s="0"/>
      <c r="VYW84" s="0"/>
      <c r="VYX84" s="0"/>
      <c r="VYY84" s="0"/>
      <c r="VYZ84" s="0"/>
      <c r="VZA84" s="0"/>
      <c r="VZB84" s="0"/>
      <c r="VZC84" s="0"/>
      <c r="VZD84" s="0"/>
      <c r="VZE84" s="0"/>
      <c r="VZF84" s="0"/>
      <c r="VZG84" s="0"/>
      <c r="VZH84" s="0"/>
      <c r="VZI84" s="0"/>
      <c r="VZJ84" s="0"/>
      <c r="VZK84" s="0"/>
      <c r="VZL84" s="0"/>
      <c r="VZM84" s="0"/>
      <c r="VZN84" s="0"/>
      <c r="VZO84" s="0"/>
      <c r="VZP84" s="0"/>
      <c r="VZQ84" s="0"/>
      <c r="VZR84" s="0"/>
      <c r="VZS84" s="0"/>
      <c r="VZT84" s="0"/>
      <c r="VZU84" s="0"/>
      <c r="VZV84" s="0"/>
      <c r="VZW84" s="0"/>
      <c r="VZX84" s="0"/>
      <c r="VZY84" s="0"/>
      <c r="VZZ84" s="0"/>
      <c r="WAA84" s="0"/>
      <c r="WAB84" s="0"/>
      <c r="WAC84" s="0"/>
      <c r="WAD84" s="0"/>
      <c r="WAE84" s="0"/>
      <c r="WAF84" s="0"/>
      <c r="WAG84" s="0"/>
      <c r="WAH84" s="0"/>
      <c r="WAI84" s="0"/>
      <c r="WAJ84" s="0"/>
      <c r="WAK84" s="0"/>
      <c r="WAL84" s="0"/>
      <c r="WAM84" s="0"/>
      <c r="WAN84" s="0"/>
      <c r="WAO84" s="0"/>
      <c r="WAP84" s="0"/>
      <c r="WAQ84" s="0"/>
      <c r="WAR84" s="0"/>
      <c r="WAS84" s="0"/>
      <c r="WAT84" s="0"/>
      <c r="WAU84" s="0"/>
      <c r="WAV84" s="0"/>
      <c r="WAW84" s="0"/>
      <c r="WAX84" s="0"/>
      <c r="WAY84" s="0"/>
      <c r="WAZ84" s="0"/>
      <c r="WBA84" s="0"/>
      <c r="WBB84" s="0"/>
      <c r="WBC84" s="0"/>
      <c r="WBD84" s="0"/>
      <c r="WBE84" s="0"/>
      <c r="WBF84" s="0"/>
      <c r="WBG84" s="0"/>
      <c r="WBH84" s="0"/>
      <c r="WBI84" s="0"/>
      <c r="WBJ84" s="0"/>
      <c r="WBK84" s="0"/>
      <c r="WBL84" s="0"/>
      <c r="WBM84" s="0"/>
      <c r="WBN84" s="0"/>
      <c r="WBO84" s="0"/>
      <c r="WBP84" s="0"/>
      <c r="WBQ84" s="0"/>
      <c r="WBR84" s="0"/>
      <c r="WBS84" s="0"/>
      <c r="WBT84" s="0"/>
      <c r="WBU84" s="0"/>
      <c r="WBV84" s="0"/>
      <c r="WBW84" s="0"/>
      <c r="WBX84" s="0"/>
      <c r="WBY84" s="0"/>
      <c r="WBZ84" s="0"/>
      <c r="WCA84" s="0"/>
      <c r="WCB84" s="0"/>
      <c r="WCC84" s="0"/>
      <c r="WCD84" s="0"/>
      <c r="WCE84" s="0"/>
      <c r="WCF84" s="0"/>
      <c r="WCG84" s="0"/>
      <c r="WCH84" s="0"/>
      <c r="WCI84" s="0"/>
      <c r="WCJ84" s="0"/>
      <c r="WCK84" s="0"/>
      <c r="WCL84" s="0"/>
      <c r="WCM84" s="0"/>
      <c r="WCN84" s="0"/>
      <c r="WCO84" s="0"/>
      <c r="WCP84" s="0"/>
      <c r="WCQ84" s="0"/>
      <c r="WCR84" s="0"/>
      <c r="WCS84" s="0"/>
      <c r="WCT84" s="0"/>
      <c r="WCU84" s="0"/>
      <c r="WCV84" s="0"/>
      <c r="WCW84" s="0"/>
      <c r="WCX84" s="0"/>
      <c r="WCY84" s="0"/>
      <c r="WCZ84" s="0"/>
      <c r="WDA84" s="0"/>
      <c r="WDB84" s="0"/>
      <c r="WDC84" s="0"/>
      <c r="WDD84" s="0"/>
      <c r="WDE84" s="0"/>
      <c r="WDF84" s="0"/>
      <c r="WDG84" s="0"/>
      <c r="WDH84" s="0"/>
      <c r="WDI84" s="0"/>
      <c r="WDJ84" s="0"/>
      <c r="WDK84" s="0"/>
      <c r="WDL84" s="0"/>
      <c r="WDM84" s="0"/>
      <c r="WDN84" s="0"/>
      <c r="WDO84" s="0"/>
      <c r="WDP84" s="0"/>
      <c r="WDQ84" s="0"/>
      <c r="WDR84" s="0"/>
      <c r="WDS84" s="0"/>
      <c r="WDT84" s="0"/>
      <c r="WDU84" s="0"/>
      <c r="WDV84" s="0"/>
      <c r="WDW84" s="0"/>
      <c r="WDX84" s="0"/>
      <c r="WDY84" s="0"/>
      <c r="WDZ84" s="0"/>
      <c r="WEA84" s="0"/>
      <c r="WEB84" s="0"/>
      <c r="WEC84" s="0"/>
      <c r="WED84" s="0"/>
      <c r="WEE84" s="0"/>
      <c r="WEF84" s="0"/>
      <c r="WEG84" s="0"/>
      <c r="WEH84" s="0"/>
      <c r="WEI84" s="0"/>
      <c r="WEJ84" s="0"/>
      <c r="WEK84" s="0"/>
      <c r="WEL84" s="0"/>
      <c r="WEM84" s="0"/>
      <c r="WEN84" s="0"/>
      <c r="WEO84" s="0"/>
      <c r="WEP84" s="0"/>
      <c r="WEQ84" s="0"/>
      <c r="WER84" s="0"/>
      <c r="WES84" s="0"/>
      <c r="WET84" s="0"/>
      <c r="WEU84" s="0"/>
      <c r="WEV84" s="0"/>
      <c r="WEW84" s="0"/>
      <c r="WEX84" s="0"/>
      <c r="WEY84" s="0"/>
      <c r="WEZ84" s="0"/>
      <c r="WFA84" s="0"/>
      <c r="WFB84" s="0"/>
      <c r="WFC84" s="0"/>
      <c r="WFD84" s="0"/>
      <c r="WFE84" s="0"/>
      <c r="WFF84" s="0"/>
      <c r="WFG84" s="0"/>
      <c r="WFH84" s="0"/>
      <c r="WFI84" s="0"/>
      <c r="WFJ84" s="0"/>
      <c r="WFK84" s="0"/>
      <c r="WFL84" s="0"/>
      <c r="WFM84" s="0"/>
      <c r="WFN84" s="0"/>
      <c r="WFO84" s="0"/>
      <c r="WFP84" s="0"/>
      <c r="WFQ84" s="0"/>
      <c r="WFR84" s="0"/>
      <c r="WFS84" s="0"/>
      <c r="WFT84" s="0"/>
      <c r="WFU84" s="0"/>
      <c r="WFV84" s="0"/>
      <c r="WFW84" s="0"/>
      <c r="WFX84" s="0"/>
      <c r="WFY84" s="0"/>
      <c r="WFZ84" s="0"/>
      <c r="WGA84" s="0"/>
      <c r="WGB84" s="0"/>
      <c r="WGC84" s="0"/>
      <c r="WGD84" s="0"/>
      <c r="WGE84" s="0"/>
      <c r="WGF84" s="0"/>
      <c r="WGG84" s="0"/>
      <c r="WGH84" s="0"/>
      <c r="WGI84" s="0"/>
      <c r="WGJ84" s="0"/>
      <c r="WGK84" s="0"/>
      <c r="WGL84" s="0"/>
      <c r="WGM84" s="0"/>
      <c r="WGN84" s="0"/>
      <c r="WGO84" s="0"/>
      <c r="WGP84" s="0"/>
      <c r="WGQ84" s="0"/>
      <c r="WGR84" s="0"/>
      <c r="WGS84" s="0"/>
      <c r="WGT84" s="0"/>
      <c r="WGU84" s="0"/>
      <c r="WGV84" s="0"/>
      <c r="WGW84" s="0"/>
      <c r="WGX84" s="0"/>
      <c r="WGY84" s="0"/>
      <c r="WGZ84" s="0"/>
      <c r="WHA84" s="0"/>
      <c r="WHB84" s="0"/>
      <c r="WHC84" s="0"/>
      <c r="WHD84" s="0"/>
      <c r="WHE84" s="0"/>
      <c r="WHF84" s="0"/>
      <c r="WHG84" s="0"/>
      <c r="WHH84" s="0"/>
      <c r="WHI84" s="0"/>
      <c r="WHJ84" s="0"/>
      <c r="WHK84" s="0"/>
      <c r="WHL84" s="0"/>
      <c r="WHM84" s="0"/>
      <c r="WHN84" s="0"/>
      <c r="WHO84" s="0"/>
      <c r="WHP84" s="0"/>
      <c r="WHQ84" s="0"/>
      <c r="WHR84" s="0"/>
      <c r="WHS84" s="0"/>
      <c r="WHT84" s="0"/>
      <c r="WHU84" s="0"/>
      <c r="WHV84" s="0"/>
      <c r="WHW84" s="0"/>
      <c r="WHX84" s="0"/>
      <c r="WHY84" s="0"/>
      <c r="WHZ84" s="0"/>
      <c r="WIA84" s="0"/>
      <c r="WIB84" s="0"/>
      <c r="WIC84" s="0"/>
      <c r="WID84" s="0"/>
      <c r="WIE84" s="0"/>
      <c r="WIF84" s="0"/>
      <c r="WIG84" s="0"/>
      <c r="WIH84" s="0"/>
      <c r="WII84" s="0"/>
      <c r="WIJ84" s="0"/>
      <c r="WIK84" s="0"/>
      <c r="WIL84" s="0"/>
      <c r="WIM84" s="0"/>
      <c r="WIN84" s="0"/>
      <c r="WIO84" s="0"/>
      <c r="WIP84" s="0"/>
      <c r="WIQ84" s="0"/>
      <c r="WIR84" s="0"/>
      <c r="WIS84" s="0"/>
      <c r="WIT84" s="0"/>
      <c r="WIU84" s="0"/>
      <c r="WIV84" s="0"/>
      <c r="WIW84" s="0"/>
      <c r="WIX84" s="0"/>
      <c r="WIY84" s="0"/>
      <c r="WIZ84" s="0"/>
      <c r="WJA84" s="0"/>
      <c r="WJB84" s="0"/>
      <c r="WJC84" s="0"/>
      <c r="WJD84" s="0"/>
      <c r="WJE84" s="0"/>
      <c r="WJF84" s="0"/>
      <c r="WJG84" s="0"/>
      <c r="WJH84" s="0"/>
      <c r="WJI84" s="0"/>
      <c r="WJJ84" s="0"/>
      <c r="WJK84" s="0"/>
      <c r="WJL84" s="0"/>
      <c r="WJM84" s="0"/>
      <c r="WJN84" s="0"/>
      <c r="WJO84" s="0"/>
      <c r="WJP84" s="0"/>
      <c r="WJQ84" s="0"/>
      <c r="WJR84" s="0"/>
      <c r="WJS84" s="0"/>
      <c r="WJT84" s="0"/>
      <c r="WJU84" s="0"/>
      <c r="WJV84" s="0"/>
      <c r="WJW84" s="0"/>
      <c r="WJX84" s="0"/>
      <c r="WJY84" s="0"/>
      <c r="WJZ84" s="0"/>
      <c r="WKA84" s="0"/>
      <c r="WKB84" s="0"/>
      <c r="WKC84" s="0"/>
      <c r="WKD84" s="0"/>
      <c r="WKE84" s="0"/>
      <c r="WKF84" s="0"/>
      <c r="WKG84" s="0"/>
      <c r="WKH84" s="0"/>
      <c r="WKI84" s="0"/>
      <c r="WKJ84" s="0"/>
      <c r="WKK84" s="0"/>
      <c r="WKL84" s="0"/>
      <c r="WKM84" s="0"/>
      <c r="WKN84" s="0"/>
      <c r="WKO84" s="0"/>
      <c r="WKP84" s="0"/>
      <c r="WKQ84" s="0"/>
      <c r="WKR84" s="0"/>
      <c r="WKS84" s="0"/>
      <c r="WKT84" s="0"/>
      <c r="WKU84" s="0"/>
      <c r="WKV84" s="0"/>
      <c r="WKW84" s="0"/>
      <c r="WKX84" s="0"/>
      <c r="WKY84" s="0"/>
      <c r="WKZ84" s="0"/>
      <c r="WLA84" s="0"/>
      <c r="WLB84" s="0"/>
      <c r="WLC84" s="0"/>
      <c r="WLD84" s="0"/>
      <c r="WLE84" s="0"/>
      <c r="WLF84" s="0"/>
      <c r="WLG84" s="0"/>
      <c r="WLH84" s="0"/>
      <c r="WLI84" s="0"/>
      <c r="WLJ84" s="0"/>
      <c r="WLK84" s="0"/>
      <c r="WLL84" s="0"/>
      <c r="WLM84" s="0"/>
      <c r="WLN84" s="0"/>
      <c r="WLO84" s="0"/>
      <c r="WLP84" s="0"/>
      <c r="WLQ84" s="0"/>
      <c r="WLR84" s="0"/>
      <c r="WLS84" s="0"/>
      <c r="WLT84" s="0"/>
      <c r="WLU84" s="0"/>
      <c r="WLV84" s="0"/>
      <c r="WLW84" s="0"/>
      <c r="WLX84" s="0"/>
      <c r="WLY84" s="0"/>
      <c r="WLZ84" s="0"/>
      <c r="WMA84" s="0"/>
      <c r="WMB84" s="0"/>
      <c r="WMC84" s="0"/>
      <c r="WMD84" s="0"/>
      <c r="WME84" s="0"/>
      <c r="WMF84" s="0"/>
      <c r="WMG84" s="0"/>
      <c r="WMH84" s="0"/>
      <c r="WMI84" s="0"/>
      <c r="WMJ84" s="0"/>
      <c r="WMK84" s="0"/>
      <c r="WML84" s="0"/>
      <c r="WMM84" s="0"/>
      <c r="WMN84" s="0"/>
      <c r="WMO84" s="0"/>
      <c r="WMP84" s="0"/>
      <c r="WMQ84" s="0"/>
      <c r="WMR84" s="0"/>
      <c r="WMS84" s="0"/>
      <c r="WMT84" s="0"/>
      <c r="WMU84" s="0"/>
      <c r="WMV84" s="0"/>
      <c r="WMW84" s="0"/>
      <c r="WMX84" s="0"/>
      <c r="WMY84" s="0"/>
      <c r="WMZ84" s="0"/>
      <c r="WNA84" s="0"/>
      <c r="WNB84" s="0"/>
      <c r="WNC84" s="0"/>
      <c r="WND84" s="0"/>
      <c r="WNE84" s="0"/>
      <c r="WNF84" s="0"/>
      <c r="WNG84" s="0"/>
      <c r="WNH84" s="0"/>
      <c r="WNI84" s="0"/>
      <c r="WNJ84" s="0"/>
      <c r="WNK84" s="0"/>
      <c r="WNL84" s="0"/>
      <c r="WNM84" s="0"/>
      <c r="WNN84" s="0"/>
      <c r="WNO84" s="0"/>
      <c r="WNP84" s="0"/>
      <c r="WNQ84" s="0"/>
      <c r="WNR84" s="0"/>
      <c r="WNS84" s="0"/>
      <c r="WNT84" s="0"/>
      <c r="WNU84" s="0"/>
      <c r="WNV84" s="0"/>
      <c r="WNW84" s="0"/>
      <c r="WNX84" s="0"/>
      <c r="WNY84" s="0"/>
      <c r="WNZ84" s="0"/>
      <c r="WOA84" s="0"/>
      <c r="WOB84" s="0"/>
      <c r="WOC84" s="0"/>
      <c r="WOD84" s="0"/>
      <c r="WOE84" s="0"/>
      <c r="WOF84" s="0"/>
      <c r="WOG84" s="0"/>
      <c r="WOH84" s="0"/>
      <c r="WOI84" s="0"/>
      <c r="WOJ84" s="0"/>
      <c r="WOK84" s="0"/>
      <c r="WOL84" s="0"/>
      <c r="WOM84" s="0"/>
      <c r="WON84" s="0"/>
      <c r="WOO84" s="0"/>
      <c r="WOP84" s="0"/>
      <c r="WOQ84" s="0"/>
      <c r="WOR84" s="0"/>
      <c r="WOS84" s="0"/>
      <c r="WOT84" s="0"/>
      <c r="WOU84" s="0"/>
      <c r="WOV84" s="0"/>
      <c r="WOW84" s="0"/>
      <c r="WOX84" s="0"/>
      <c r="WOY84" s="0"/>
      <c r="WOZ84" s="0"/>
      <c r="WPA84" s="0"/>
      <c r="WPB84" s="0"/>
      <c r="WPC84" s="0"/>
      <c r="WPD84" s="0"/>
      <c r="WPE84" s="0"/>
      <c r="WPF84" s="0"/>
      <c r="WPG84" s="0"/>
      <c r="WPH84" s="0"/>
      <c r="WPI84" s="0"/>
      <c r="WPJ84" s="0"/>
      <c r="WPK84" s="0"/>
      <c r="WPL84" s="0"/>
      <c r="WPM84" s="0"/>
      <c r="WPN84" s="0"/>
      <c r="WPO84" s="0"/>
      <c r="WPP84" s="0"/>
      <c r="WPQ84" s="0"/>
      <c r="WPR84" s="0"/>
      <c r="WPS84" s="0"/>
      <c r="WPT84" s="0"/>
      <c r="WPU84" s="0"/>
      <c r="WPV84" s="0"/>
      <c r="WPW84" s="0"/>
      <c r="WPX84" s="0"/>
      <c r="WPY84" s="0"/>
      <c r="WPZ84" s="0"/>
      <c r="WQA84" s="0"/>
      <c r="WQB84" s="0"/>
      <c r="WQC84" s="0"/>
      <c r="WQD84" s="0"/>
      <c r="WQE84" s="0"/>
      <c r="WQF84" s="0"/>
      <c r="WQG84" s="0"/>
      <c r="WQH84" s="0"/>
      <c r="WQI84" s="0"/>
      <c r="WQJ84" s="0"/>
      <c r="WQK84" s="0"/>
      <c r="WQL84" s="0"/>
      <c r="WQM84" s="0"/>
      <c r="WQN84" s="0"/>
      <c r="WQO84" s="0"/>
      <c r="WQP84" s="0"/>
      <c r="WQQ84" s="0"/>
      <c r="WQR84" s="0"/>
      <c r="WQS84" s="0"/>
      <c r="WQT84" s="0"/>
      <c r="WQU84" s="0"/>
      <c r="WQV84" s="0"/>
      <c r="WQW84" s="0"/>
      <c r="WQX84" s="0"/>
      <c r="WQY84" s="0"/>
      <c r="WQZ84" s="0"/>
      <c r="WRA84" s="0"/>
      <c r="WRB84" s="0"/>
      <c r="WRC84" s="0"/>
      <c r="WRD84" s="0"/>
      <c r="WRE84" s="0"/>
      <c r="WRF84" s="0"/>
      <c r="WRG84" s="0"/>
      <c r="WRH84" s="0"/>
      <c r="WRI84" s="0"/>
      <c r="WRJ84" s="0"/>
      <c r="WRK84" s="0"/>
      <c r="WRL84" s="0"/>
      <c r="WRM84" s="0"/>
      <c r="WRN84" s="0"/>
      <c r="WRO84" s="0"/>
      <c r="WRP84" s="0"/>
      <c r="WRQ84" s="0"/>
      <c r="WRR84" s="0"/>
      <c r="WRS84" s="0"/>
      <c r="WRT84" s="0"/>
      <c r="WRU84" s="0"/>
      <c r="WRV84" s="0"/>
      <c r="WRW84" s="0"/>
      <c r="WRX84" s="0"/>
      <c r="WRY84" s="0"/>
      <c r="WRZ84" s="0"/>
      <c r="WSA84" s="0"/>
      <c r="WSB84" s="0"/>
      <c r="WSC84" s="0"/>
      <c r="WSD84" s="0"/>
      <c r="WSE84" s="0"/>
      <c r="WSF84" s="0"/>
      <c r="WSG84" s="0"/>
      <c r="WSH84" s="0"/>
      <c r="WSI84" s="0"/>
      <c r="WSJ84" s="0"/>
      <c r="WSK84" s="0"/>
      <c r="WSL84" s="0"/>
      <c r="WSM84" s="0"/>
      <c r="WSN84" s="0"/>
      <c r="WSO84" s="0"/>
      <c r="WSP84" s="0"/>
      <c r="WSQ84" s="0"/>
      <c r="WSR84" s="0"/>
      <c r="WSS84" s="0"/>
      <c r="WST84" s="0"/>
      <c r="WSU84" s="0"/>
      <c r="WSV84" s="0"/>
      <c r="WSW84" s="0"/>
      <c r="WSX84" s="0"/>
      <c r="WSY84" s="0"/>
      <c r="WSZ84" s="0"/>
      <c r="WTA84" s="0"/>
      <c r="WTB84" s="0"/>
      <c r="WTC84" s="0"/>
      <c r="WTD84" s="0"/>
      <c r="WTE84" s="0"/>
      <c r="WTF84" s="0"/>
      <c r="WTG84" s="0"/>
      <c r="WTH84" s="0"/>
      <c r="WTI84" s="0"/>
      <c r="WTJ84" s="0"/>
      <c r="WTK84" s="0"/>
      <c r="WTL84" s="0"/>
      <c r="WTM84" s="0"/>
      <c r="WTN84" s="0"/>
      <c r="WTO84" s="0"/>
      <c r="WTP84" s="0"/>
      <c r="WTQ84" s="0"/>
      <c r="WTR84" s="0"/>
      <c r="WTS84" s="0"/>
      <c r="WTT84" s="0"/>
      <c r="WTU84" s="0"/>
      <c r="WTV84" s="0"/>
      <c r="WTW84" s="0"/>
      <c r="WTX84" s="0"/>
      <c r="WTY84" s="0"/>
      <c r="WTZ84" s="0"/>
      <c r="WUA84" s="0"/>
      <c r="WUB84" s="0"/>
      <c r="WUC84" s="0"/>
      <c r="WUD84" s="0"/>
      <c r="WUE84" s="0"/>
      <c r="WUF84" s="0"/>
      <c r="WUG84" s="0"/>
      <c r="WUH84" s="0"/>
      <c r="WUI84" s="0"/>
      <c r="WUJ84" s="0"/>
      <c r="WUK84" s="0"/>
      <c r="WUL84" s="0"/>
      <c r="WUM84" s="0"/>
      <c r="WUN84" s="0"/>
      <c r="WUO84" s="0"/>
      <c r="WUP84" s="0"/>
      <c r="WUQ84" s="0"/>
      <c r="WUR84" s="0"/>
      <c r="WUS84" s="0"/>
      <c r="WUT84" s="0"/>
      <c r="WUU84" s="0"/>
      <c r="WUV84" s="0"/>
      <c r="WUW84" s="0"/>
      <c r="WUX84" s="0"/>
      <c r="WUY84" s="0"/>
      <c r="WUZ84" s="0"/>
      <c r="WVA84" s="0"/>
      <c r="WVB84" s="0"/>
      <c r="WVC84" s="0"/>
      <c r="WVD84" s="0"/>
      <c r="WVE84" s="0"/>
      <c r="WVF84" s="0"/>
      <c r="WVG84" s="0"/>
      <c r="WVH84" s="0"/>
      <c r="WVI84" s="0"/>
      <c r="WVJ84" s="0"/>
      <c r="WVK84" s="0"/>
      <c r="WVL84" s="0"/>
      <c r="WVM84" s="0"/>
      <c r="WVN84" s="0"/>
      <c r="WVO84" s="0"/>
      <c r="WVP84" s="0"/>
      <c r="WVQ84" s="0"/>
      <c r="WVR84" s="0"/>
      <c r="WVS84" s="0"/>
      <c r="WVT84" s="0"/>
      <c r="WVU84" s="0"/>
      <c r="WVV84" s="0"/>
      <c r="WVW84" s="0"/>
      <c r="WVX84" s="0"/>
      <c r="WVY84" s="0"/>
      <c r="WVZ84" s="0"/>
      <c r="WWA84" s="0"/>
      <c r="WWB84" s="0"/>
      <c r="WWC84" s="0"/>
      <c r="WWD84" s="0"/>
      <c r="WWE84" s="0"/>
      <c r="WWF84" s="0"/>
      <c r="WWG84" s="0"/>
      <c r="WWH84" s="0"/>
      <c r="WWI84" s="0"/>
      <c r="WWJ84" s="0"/>
      <c r="WWK84" s="0"/>
      <c r="WWL84" s="0"/>
      <c r="WWM84" s="0"/>
      <c r="WWN84" s="0"/>
      <c r="WWO84" s="0"/>
      <c r="WWP84" s="0"/>
      <c r="WWQ84" s="0"/>
      <c r="WWR84" s="0"/>
      <c r="WWS84" s="0"/>
      <c r="WWT84" s="0"/>
      <c r="WWU84" s="0"/>
      <c r="WWV84" s="0"/>
      <c r="WWW84" s="0"/>
      <c r="WWX84" s="0"/>
      <c r="WWY84" s="0"/>
      <c r="WWZ84" s="0"/>
      <c r="WXA84" s="0"/>
      <c r="WXB84" s="0"/>
      <c r="WXC84" s="0"/>
      <c r="WXD84" s="0"/>
      <c r="WXE84" s="0"/>
      <c r="WXF84" s="0"/>
      <c r="WXG84" s="0"/>
      <c r="WXH84" s="0"/>
      <c r="WXI84" s="0"/>
      <c r="WXJ84" s="0"/>
      <c r="WXK84" s="0"/>
      <c r="WXL84" s="0"/>
      <c r="WXM84" s="0"/>
      <c r="WXN84" s="0"/>
      <c r="WXO84" s="0"/>
      <c r="WXP84" s="0"/>
      <c r="WXQ84" s="0"/>
      <c r="WXR84" s="0"/>
      <c r="WXS84" s="0"/>
      <c r="WXT84" s="0"/>
      <c r="WXU84" s="0"/>
      <c r="WXV84" s="0"/>
      <c r="WXW84" s="0"/>
      <c r="WXX84" s="0"/>
      <c r="WXY84" s="0"/>
      <c r="WXZ84" s="0"/>
      <c r="WYA84" s="0"/>
      <c r="WYB84" s="0"/>
      <c r="WYC84" s="0"/>
      <c r="WYD84" s="0"/>
      <c r="WYE84" s="0"/>
      <c r="WYF84" s="0"/>
      <c r="WYG84" s="0"/>
      <c r="WYH84" s="0"/>
      <c r="WYI84" s="0"/>
      <c r="WYJ84" s="0"/>
      <c r="WYK84" s="0"/>
      <c r="WYL84" s="0"/>
      <c r="WYM84" s="0"/>
      <c r="WYN84" s="0"/>
      <c r="WYO84" s="0"/>
      <c r="WYP84" s="0"/>
      <c r="WYQ84" s="0"/>
      <c r="WYR84" s="0"/>
      <c r="WYS84" s="0"/>
      <c r="WYT84" s="0"/>
      <c r="WYU84" s="0"/>
      <c r="WYV84" s="0"/>
      <c r="WYW84" s="0"/>
      <c r="WYX84" s="0"/>
      <c r="WYY84" s="0"/>
      <c r="WYZ84" s="0"/>
      <c r="WZA84" s="0"/>
      <c r="WZB84" s="0"/>
      <c r="WZC84" s="0"/>
      <c r="WZD84" s="0"/>
      <c r="WZE84" s="0"/>
      <c r="WZF84" s="0"/>
      <c r="WZG84" s="0"/>
      <c r="WZH84" s="0"/>
      <c r="WZI84" s="0"/>
      <c r="WZJ84" s="0"/>
      <c r="WZK84" s="0"/>
      <c r="WZL84" s="0"/>
      <c r="WZM84" s="0"/>
      <c r="WZN84" s="0"/>
      <c r="WZO84" s="0"/>
      <c r="WZP84" s="0"/>
      <c r="WZQ84" s="0"/>
      <c r="WZR84" s="0"/>
      <c r="WZS84" s="0"/>
      <c r="WZT84" s="0"/>
      <c r="WZU84" s="0"/>
      <c r="WZV84" s="0"/>
      <c r="WZW84" s="0"/>
      <c r="WZX84" s="0"/>
      <c r="WZY84" s="0"/>
      <c r="WZZ84" s="0"/>
      <c r="XAA84" s="0"/>
      <c r="XAB84" s="0"/>
      <c r="XAC84" s="0"/>
      <c r="XAD84" s="0"/>
      <c r="XAE84" s="0"/>
      <c r="XAF84" s="0"/>
      <c r="XAG84" s="0"/>
      <c r="XAH84" s="0"/>
      <c r="XAI84" s="0"/>
      <c r="XAJ84" s="0"/>
      <c r="XAK84" s="0"/>
      <c r="XAL84" s="0"/>
      <c r="XAM84" s="0"/>
      <c r="XAN84" s="0"/>
      <c r="XAO84" s="0"/>
      <c r="XAP84" s="0"/>
      <c r="XAQ84" s="0"/>
      <c r="XAR84" s="0"/>
      <c r="XAS84" s="0"/>
      <c r="XAT84" s="0"/>
      <c r="XAU84" s="0"/>
      <c r="XAV84" s="0"/>
      <c r="XAW84" s="0"/>
      <c r="XAX84" s="0"/>
      <c r="XAY84" s="0"/>
      <c r="XAZ84" s="0"/>
      <c r="XBA84" s="0"/>
      <c r="XBB84" s="0"/>
      <c r="XBC84" s="0"/>
      <c r="XBD84" s="0"/>
      <c r="XBE84" s="0"/>
      <c r="XBF84" s="0"/>
      <c r="XBG84" s="0"/>
      <c r="XBH84" s="0"/>
      <c r="XBI84" s="0"/>
      <c r="XBJ84" s="0"/>
      <c r="XBK84" s="0"/>
      <c r="XBL84" s="0"/>
      <c r="XBM84" s="0"/>
      <c r="XBN84" s="0"/>
      <c r="XBO84" s="0"/>
      <c r="XBP84" s="0"/>
      <c r="XBQ84" s="0"/>
      <c r="XBR84" s="0"/>
      <c r="XBS84" s="0"/>
      <c r="XBT84" s="0"/>
      <c r="XBU84" s="0"/>
      <c r="XBV84" s="0"/>
      <c r="XBW84" s="0"/>
      <c r="XBX84" s="0"/>
      <c r="XBY84" s="0"/>
      <c r="XBZ84" s="0"/>
      <c r="XCA84" s="0"/>
      <c r="XCB84" s="0"/>
      <c r="XCC84" s="0"/>
      <c r="XCD84" s="0"/>
      <c r="XCE84" s="0"/>
      <c r="XCF84" s="0"/>
      <c r="XCG84" s="0"/>
      <c r="XCH84" s="0"/>
      <c r="XCI84" s="0"/>
      <c r="XCJ84" s="0"/>
      <c r="XCK84" s="0"/>
      <c r="XCL84" s="0"/>
      <c r="XCM84" s="0"/>
      <c r="XCN84" s="0"/>
      <c r="XCO84" s="0"/>
      <c r="XCP84" s="0"/>
      <c r="XCQ84" s="0"/>
      <c r="XCR84" s="0"/>
      <c r="XCS84" s="0"/>
      <c r="XCT84" s="0"/>
      <c r="XCU84" s="0"/>
      <c r="XCV84" s="0"/>
      <c r="XCW84" s="0"/>
      <c r="XCX84" s="0"/>
      <c r="XCY84" s="0"/>
      <c r="XCZ84" s="0"/>
      <c r="XDA84" s="0"/>
      <c r="XDB84" s="0"/>
      <c r="XDC84" s="0"/>
      <c r="XDD84" s="0"/>
      <c r="XDE84" s="0"/>
      <c r="XDF84" s="0"/>
      <c r="XDG84" s="0"/>
      <c r="XDH84" s="0"/>
      <c r="XDI84" s="0"/>
      <c r="XDJ84" s="0"/>
      <c r="XDK84" s="0"/>
      <c r="XDL84" s="0"/>
      <c r="XDM84" s="0"/>
      <c r="XDN84" s="0"/>
      <c r="XDO84" s="0"/>
      <c r="XDP84" s="0"/>
      <c r="XDQ84" s="0"/>
      <c r="XDR84" s="0"/>
      <c r="XDS84" s="0"/>
      <c r="XDT84" s="0"/>
      <c r="XDU84" s="0"/>
      <c r="XDV84" s="0"/>
      <c r="XDW84" s="0"/>
      <c r="XDX84" s="0"/>
      <c r="XDY84" s="0"/>
      <c r="XDZ84" s="0"/>
      <c r="XEA84" s="0"/>
      <c r="XEB84" s="0"/>
      <c r="XEC84" s="0"/>
      <c r="XED84" s="0"/>
      <c r="XEE84" s="0"/>
      <c r="XEF84" s="0"/>
      <c r="XEG84" s="0"/>
      <c r="XEH84" s="0"/>
      <c r="XEI84" s="0"/>
      <c r="XEJ84" s="0"/>
      <c r="XEK84" s="0"/>
      <c r="XEL84" s="0"/>
      <c r="XEM84" s="0"/>
      <c r="XEN84" s="0"/>
      <c r="XEO84" s="0"/>
      <c r="XEP84" s="0"/>
      <c r="XEQ84" s="0"/>
      <c r="XER84" s="0"/>
      <c r="XES84" s="0"/>
      <c r="XET84" s="0"/>
      <c r="XEU84" s="0"/>
      <c r="XEV84" s="0"/>
      <c r="XEW84" s="0"/>
      <c r="XEX84" s="0"/>
      <c r="XEY84" s="0"/>
      <c r="XEZ84" s="0"/>
      <c r="XFC84" s="4"/>
    </row>
    <row r="85" customFormat="false" ht="13.8" hidden="false" customHeight="false" outlineLevel="0" collapsed="false">
      <c r="A85" s="18" t="s">
        <v>510</v>
      </c>
      <c r="B85" s="18" t="s">
        <v>511</v>
      </c>
      <c r="C85" s="1" t="n">
        <v>86</v>
      </c>
      <c r="E85" s="1" t="n">
        <v>1186</v>
      </c>
      <c r="F85" s="1" t="s">
        <v>89</v>
      </c>
      <c r="G85" s="1" t="s">
        <v>285</v>
      </c>
      <c r="H85" s="1" t="s">
        <v>445</v>
      </c>
      <c r="I85" s="1" t="s">
        <v>153</v>
      </c>
      <c r="J85" s="1" t="n">
        <v>1964</v>
      </c>
      <c r="K85" s="1" t="n">
        <v>1985</v>
      </c>
      <c r="L85" s="1" t="n">
        <v>1990</v>
      </c>
      <c r="M85" s="1" t="n">
        <v>4</v>
      </c>
      <c r="W85" s="1" t="n">
        <v>87</v>
      </c>
      <c r="Y85" s="1" t="n">
        <v>4</v>
      </c>
      <c r="AA85" s="4" t="str">
        <f aca="false">IF(AND(W85&gt;0,Z85&gt;0),(Z85/((W85+X85)*10)),"")</f>
        <v/>
      </c>
      <c r="AB85" s="1" t="n">
        <v>75</v>
      </c>
      <c r="AC85" s="1" t="n">
        <f aca="false">ROUND(AB85*1.6, 0)</f>
        <v>120</v>
      </c>
      <c r="AF85" s="1" t="n">
        <v>16.4</v>
      </c>
      <c r="AG85" s="1" t="n">
        <v>15</v>
      </c>
      <c r="AH85" s="1" t="n">
        <v>2.82</v>
      </c>
      <c r="AI85" s="1" t="n">
        <v>3.79</v>
      </c>
      <c r="AJ85" s="5" t="n">
        <v>18</v>
      </c>
      <c r="AK85" s="19" t="str">
        <f aca="false">CONCATENATE(VLOOKUP(AL85, 'Voxel Sizes'!$A$2:$B$18,2,FALSE()),"x",INT(AH85*15), "x", INT(AI85*15))</f>
        <v>152x42x56</v>
      </c>
      <c r="AL85" s="1" t="n">
        <f aca="false">ROUND(15*((AG85*10)/256),0)</f>
        <v>9</v>
      </c>
      <c r="AN85" s="1" t="str">
        <f aca="false">CONCATENATE(VLOOKUP(AL85,Constants!$A$2:$C$16,IF(AM85&lt;&gt;"", 3, 2), FALSE()),IF(AM85&lt;&gt;"",CONCATENATE(",",VLOOKUP(AM85,$B:$AN,38,FALSE())),""))</f>
        <v>2,5,2</v>
      </c>
      <c r="AP85" s="36" t="s">
        <v>512</v>
      </c>
      <c r="AQ85" s="7" t="s">
        <v>513</v>
      </c>
      <c r="AR85" s="1" t="s">
        <v>514</v>
      </c>
      <c r="AT85" s="1" t="s">
        <v>171</v>
      </c>
      <c r="AU85" s="1" t="s">
        <v>515</v>
      </c>
      <c r="AX85" s="1" t="n">
        <v>30</v>
      </c>
      <c r="AY85" s="6" t="n">
        <f aca="false">IF(L85&lt;&gt;"",MAX(16,(L85-J85)+8),"")</f>
        <v>34</v>
      </c>
      <c r="AZ85" s="1" t="n">
        <v>1000</v>
      </c>
      <c r="BA85" s="1" t="n">
        <v>110</v>
      </c>
      <c r="BB85" s="1" t="n">
        <f aca="false">MIN(AB85/150, 1)*30</f>
        <v>15</v>
      </c>
      <c r="BC85" s="1" t="n">
        <f aca="false">MIN(N85/4000, 1)*20</f>
        <v>0</v>
      </c>
      <c r="BD85" s="1" t="n">
        <f aca="false">MIN(Z85/400,1)*20</f>
        <v>0</v>
      </c>
      <c r="BE85" s="4" t="n">
        <f aca="false">1-(MAX(J85-1900, 0)/750)</f>
        <v>0.914666666666667</v>
      </c>
      <c r="BF85" s="1" t="n">
        <f aca="false">((MAX($M85,1)*MIN($AJ85/300,1)))*IF(G85="Wagon",50,10)</f>
        <v>2.4</v>
      </c>
      <c r="BG85" s="1" t="n">
        <f aca="false">VLOOKUP($H85,Constants!$I:$K, 2, FALSE())</f>
        <v>1</v>
      </c>
      <c r="BH85" s="1" t="n">
        <f aca="false">VLOOKUP($H85,Constants!$I:$K, 3, FALSE())*IF(AND(G85="multiple_unit",AB85&lt;110),0.75,1)</f>
        <v>0.45</v>
      </c>
      <c r="BI85" s="1" t="n">
        <f aca="false">INT(POWER(((Constants!$G$2+$BB85+$BC85+$BD85+$BF85)*$BE85)*$BH85, 1.05))+$BA85</f>
        <v>120</v>
      </c>
      <c r="BJ85" s="1" t="n">
        <f aca="false">INT(POWER((((Constants!$G$1+$BB85+$BC85+$BD85+$BF85)*($BE85))*$BG85),IF($G85="wagon",1,1.2)))+$AZ85</f>
        <v>1058</v>
      </c>
      <c r="BK85" s="20" t="n">
        <f aca="false">BI85*IF($G85="wagon",62.5,781.25)</f>
        <v>93750</v>
      </c>
      <c r="BL85" s="20" t="n">
        <f aca="false">BJ85*IF($G85="wagon",2.73,81.25)</f>
        <v>85962.5</v>
      </c>
      <c r="BT85" s="1" t="n">
        <v>2</v>
      </c>
      <c r="BU85" s="1" t="n">
        <v>278</v>
      </c>
      <c r="BV85" s="1" t="s">
        <v>508</v>
      </c>
      <c r="BX85" s="1" t="s">
        <v>95</v>
      </c>
      <c r="BY85" s="1" t="str">
        <f aca="false">VLOOKUP(J85,Eras!$A$2:$C$10, 2, TRUE())</f>
        <v>dsl</v>
      </c>
      <c r="BZ85" s="18" t="s">
        <v>493</v>
      </c>
      <c r="CA85" s="1" t="str">
        <f aca="false">CONCATENATE(BY85,"_",BZ85)</f>
        <v>dsl_Carriage</v>
      </c>
      <c r="CB85" s="1" t="str">
        <f aca="false">_xlfn.CONCAT(H85, "_",I85)</f>
        <v>wagon_RAIL</v>
      </c>
      <c r="CC85" s="21" t="str">
        <f aca="false">_xlfn.CONCAT("{BLACK}Length: {GOLD}", TEXT(ROUNDUP(IF(AQ85&lt;&gt;"",SUM(VALUE(_xlfn.TEXTSPLIT(AQ85, ","))), SUM(VALUE(_xlfn.TEXTSPLIT(AN85, ",")))*IF(M85, M85, 1))/16, 1), "#,##0.0"), " tiles{}")</f>
        <v>{BLACK}Length: {GOLD}2.4 tiles{}</v>
      </c>
      <c r="CD85" s="1" t="str">
        <f aca="false">VLOOKUP($CB85, Constants!$M:$N, 2, FALSE())</f>
        <v/>
      </c>
      <c r="CE85" s="1" t="str">
        <f aca="false">IF(M85&gt;1,_xlfn.CONCAT("{BLACK}Cars: {GOLD}", M85),"")</f>
        <v>{BLACK}Cars: {GOLD}4</v>
      </c>
      <c r="CF85" s="1" t="s">
        <v>516</v>
      </c>
      <c r="CG85" s="1" t="str">
        <f aca="false">IF(BW85="buffet","{YELLOW}25% long distance bonus for consist{}",IF(BY85="BRAKE","{YELLOW}Speed bonus for slow wagons{}",IF(BU85&gt;190,CONCATENATE("{YELLOW}",INT((BU85-185)/1.85),"% bonus for long distance travel (for passengers){}"),IF(AND(BU85&lt;180,BU85&lt;&gt;0),CONCATENATE("{YELLOW}",INT((185-BU85)/1.85),"% penalty for long distance travel{}"),""))))</f>
        <v>{YELLOW}50% bonus for long distance travel (for passengers){}</v>
      </c>
      <c r="CH85" s="1" t="str">
        <f aca="false">_xlfn.CONCAT(CD85,IF(CD85 &lt;&gt; "", " ", ""),CE85,IF(OR(CE85&lt;&gt;"", CD85&lt;&gt;""), "{}",""), CC85, CG85,"{SILVER}", CF85)</f>
        <v>{BLACK}Cars: {GOLD}4{}{BLACK}Length: {GOLD}2.4 tiles{}{YELLOW}50% bonus for long distance travel (for passengers){}{SILVER}Large and articulated, the cartic 4 sets were built for motorail services and used to move new cars from factories to export.</v>
      </c>
      <c r="CI85" s="0"/>
      <c r="CJ85" s="0"/>
      <c r="CK85" s="0"/>
      <c r="CL85" s="0"/>
      <c r="CM85" s="0"/>
      <c r="CN85" s="0"/>
      <c r="CO85" s="0"/>
      <c r="CP85" s="0"/>
      <c r="CQ85" s="0"/>
      <c r="CR85" s="0"/>
      <c r="CS85" s="0"/>
      <c r="CT85" s="0"/>
      <c r="CU85" s="0"/>
      <c r="CV85" s="0"/>
      <c r="CW85" s="0"/>
      <c r="CX85" s="0"/>
      <c r="CY85" s="0"/>
      <c r="CZ85" s="0"/>
      <c r="DA85" s="0"/>
      <c r="DB85" s="0"/>
      <c r="DC85" s="0"/>
      <c r="DD85" s="0"/>
      <c r="DE85" s="0"/>
      <c r="DF85" s="0"/>
      <c r="DG85" s="0"/>
      <c r="DH85" s="0"/>
      <c r="DI85" s="0"/>
      <c r="DJ85" s="0"/>
      <c r="DK85" s="0"/>
      <c r="DL85" s="0"/>
      <c r="DM85" s="0"/>
      <c r="DN85" s="0"/>
      <c r="DO85" s="0"/>
      <c r="DP85" s="0"/>
      <c r="DQ85" s="0"/>
      <c r="DR85" s="0"/>
      <c r="DS85" s="0"/>
      <c r="DT85" s="0"/>
      <c r="DU85" s="0"/>
      <c r="DV85" s="0"/>
      <c r="DW85" s="0"/>
      <c r="DX85" s="0"/>
      <c r="DY85" s="0"/>
      <c r="DZ85" s="0"/>
      <c r="EA85" s="0"/>
      <c r="EB85" s="0"/>
      <c r="EC85" s="0"/>
      <c r="ED85" s="0"/>
      <c r="EE85" s="0"/>
      <c r="EF85" s="0"/>
      <c r="EG85" s="0"/>
      <c r="EH85" s="0"/>
      <c r="EI85" s="0"/>
      <c r="EJ85" s="0"/>
      <c r="EK85" s="0"/>
      <c r="EL85" s="0"/>
      <c r="EM85" s="0"/>
      <c r="EN85" s="0"/>
      <c r="EO85" s="0"/>
      <c r="EP85" s="0"/>
      <c r="EQ85" s="0"/>
      <c r="ER85" s="0"/>
      <c r="ES85" s="0"/>
      <c r="ET85" s="0"/>
      <c r="EU85" s="0"/>
      <c r="EV85" s="0"/>
      <c r="EW85" s="0"/>
      <c r="EX85" s="0"/>
      <c r="EY85" s="0"/>
      <c r="EZ85" s="0"/>
      <c r="FA85" s="0"/>
      <c r="FB85" s="0"/>
      <c r="FC85" s="0"/>
      <c r="FD85" s="0"/>
      <c r="FE85" s="0"/>
      <c r="FF85" s="0"/>
      <c r="FG85" s="0"/>
      <c r="FH85" s="0"/>
      <c r="FI85" s="0"/>
      <c r="FJ85" s="0"/>
      <c r="FK85" s="0"/>
      <c r="FL85" s="0"/>
      <c r="FM85" s="0"/>
      <c r="FN85" s="0"/>
      <c r="FO85" s="0"/>
      <c r="FP85" s="0"/>
      <c r="FQ85" s="0"/>
      <c r="FR85" s="0"/>
      <c r="FS85" s="0"/>
      <c r="FT85" s="0"/>
      <c r="FU85" s="0"/>
      <c r="FV85" s="0"/>
      <c r="FW85" s="0"/>
      <c r="FX85" s="0"/>
      <c r="FY85" s="0"/>
      <c r="FZ85" s="0"/>
      <c r="GA85" s="0"/>
      <c r="GB85" s="0"/>
      <c r="GC85" s="0"/>
      <c r="GD85" s="0"/>
      <c r="GE85" s="0"/>
      <c r="GF85" s="0"/>
      <c r="GG85" s="0"/>
      <c r="GH85" s="0"/>
      <c r="GI85" s="0"/>
      <c r="GJ85" s="0"/>
      <c r="GK85" s="0"/>
      <c r="GL85" s="0"/>
      <c r="GM85" s="0"/>
      <c r="GN85" s="0"/>
      <c r="GO85" s="0"/>
      <c r="GP85" s="0"/>
      <c r="GQ85" s="0"/>
      <c r="GR85" s="0"/>
      <c r="GS85" s="0"/>
      <c r="GT85" s="0"/>
      <c r="GU85" s="0"/>
      <c r="GV85" s="0"/>
      <c r="GW85" s="0"/>
      <c r="GX85" s="0"/>
      <c r="GY85" s="0"/>
      <c r="GZ85" s="0"/>
      <c r="HA85" s="0"/>
      <c r="HB85" s="0"/>
      <c r="HC85" s="0"/>
      <c r="HD85" s="0"/>
      <c r="HE85" s="0"/>
      <c r="HF85" s="0"/>
      <c r="HG85" s="0"/>
      <c r="HH85" s="0"/>
      <c r="HI85" s="0"/>
      <c r="HJ85" s="0"/>
      <c r="HK85" s="0"/>
      <c r="HL85" s="0"/>
      <c r="HM85" s="0"/>
      <c r="HN85" s="0"/>
      <c r="HO85" s="0"/>
      <c r="HP85" s="0"/>
      <c r="HQ85" s="0"/>
      <c r="HR85" s="0"/>
      <c r="HS85" s="0"/>
      <c r="HT85" s="0"/>
      <c r="HU85" s="0"/>
      <c r="HV85" s="0"/>
      <c r="HW85" s="0"/>
      <c r="HX85" s="0"/>
      <c r="HY85" s="0"/>
      <c r="HZ85" s="0"/>
      <c r="IA85" s="0"/>
      <c r="IB85" s="0"/>
      <c r="IC85" s="0"/>
      <c r="ID85" s="0"/>
      <c r="IE85" s="0"/>
      <c r="IF85" s="0"/>
      <c r="IG85" s="0"/>
      <c r="IH85" s="0"/>
      <c r="II85" s="0"/>
      <c r="IJ85" s="0"/>
      <c r="IK85" s="0"/>
      <c r="IL85" s="0"/>
      <c r="IM85" s="0"/>
      <c r="IN85" s="0"/>
      <c r="IO85" s="0"/>
      <c r="IP85" s="0"/>
      <c r="IQ85" s="0"/>
      <c r="IR85" s="0"/>
      <c r="IS85" s="0"/>
      <c r="IT85" s="0"/>
      <c r="IU85" s="0"/>
      <c r="IV85" s="0"/>
      <c r="IW85" s="0"/>
      <c r="IX85" s="0"/>
      <c r="IY85" s="0"/>
      <c r="IZ85" s="0"/>
      <c r="JA85" s="0"/>
      <c r="JB85" s="0"/>
      <c r="JC85" s="0"/>
      <c r="JD85" s="0"/>
      <c r="JE85" s="0"/>
      <c r="JF85" s="0"/>
      <c r="JG85" s="0"/>
      <c r="JH85" s="0"/>
      <c r="JI85" s="0"/>
      <c r="JJ85" s="0"/>
      <c r="JK85" s="0"/>
      <c r="JL85" s="0"/>
      <c r="JM85" s="0"/>
      <c r="JN85" s="0"/>
      <c r="JO85" s="0"/>
      <c r="JP85" s="0"/>
      <c r="JQ85" s="0"/>
      <c r="JR85" s="0"/>
      <c r="JS85" s="0"/>
      <c r="JT85" s="0"/>
      <c r="JU85" s="0"/>
      <c r="JV85" s="0"/>
      <c r="JW85" s="0"/>
      <c r="JX85" s="0"/>
      <c r="JY85" s="0"/>
      <c r="JZ85" s="0"/>
      <c r="KA85" s="0"/>
      <c r="KB85" s="0"/>
      <c r="KC85" s="0"/>
      <c r="KD85" s="0"/>
      <c r="KE85" s="0"/>
      <c r="KF85" s="0"/>
      <c r="KG85" s="0"/>
      <c r="KH85" s="0"/>
      <c r="KI85" s="0"/>
      <c r="KJ85" s="0"/>
      <c r="KK85" s="0"/>
      <c r="KL85" s="0"/>
      <c r="KM85" s="0"/>
      <c r="KN85" s="0"/>
      <c r="KO85" s="0"/>
      <c r="KP85" s="0"/>
      <c r="KQ85" s="0"/>
      <c r="KR85" s="0"/>
      <c r="KS85" s="0"/>
      <c r="KT85" s="0"/>
      <c r="KU85" s="0"/>
      <c r="KV85" s="0"/>
      <c r="KW85" s="0"/>
      <c r="KX85" s="0"/>
      <c r="KY85" s="0"/>
      <c r="KZ85" s="0"/>
      <c r="LA85" s="0"/>
      <c r="LB85" s="0"/>
      <c r="LC85" s="0"/>
      <c r="LD85" s="0"/>
      <c r="LE85" s="0"/>
      <c r="LF85" s="0"/>
      <c r="LG85" s="0"/>
      <c r="LH85" s="0"/>
      <c r="LI85" s="0"/>
      <c r="LJ85" s="0"/>
      <c r="LK85" s="0"/>
      <c r="LL85" s="0"/>
      <c r="LM85" s="0"/>
      <c r="LN85" s="0"/>
      <c r="LO85" s="0"/>
      <c r="LP85" s="0"/>
      <c r="LQ85" s="0"/>
      <c r="LR85" s="0"/>
      <c r="LS85" s="0"/>
      <c r="LT85" s="0"/>
      <c r="LU85" s="0"/>
      <c r="LV85" s="0"/>
      <c r="LW85" s="0"/>
      <c r="LX85" s="0"/>
      <c r="LY85" s="0"/>
      <c r="LZ85" s="0"/>
      <c r="MA85" s="0"/>
      <c r="MB85" s="0"/>
      <c r="MC85" s="0"/>
      <c r="MD85" s="0"/>
      <c r="ME85" s="0"/>
      <c r="MF85" s="0"/>
      <c r="MG85" s="0"/>
      <c r="MH85" s="0"/>
      <c r="MI85" s="0"/>
      <c r="MJ85" s="0"/>
      <c r="MK85" s="0"/>
      <c r="ML85" s="0"/>
      <c r="MM85" s="0"/>
      <c r="MN85" s="0"/>
      <c r="MO85" s="0"/>
      <c r="MP85" s="0"/>
      <c r="MQ85" s="0"/>
      <c r="MR85" s="0"/>
      <c r="MS85" s="0"/>
      <c r="MT85" s="0"/>
      <c r="MU85" s="0"/>
      <c r="MV85" s="0"/>
      <c r="MW85" s="0"/>
      <c r="MX85" s="0"/>
      <c r="MY85" s="0"/>
      <c r="MZ85" s="0"/>
      <c r="NA85" s="0"/>
      <c r="NB85" s="0"/>
      <c r="NC85" s="0"/>
      <c r="ND85" s="0"/>
      <c r="NE85" s="0"/>
      <c r="NF85" s="0"/>
      <c r="NG85" s="0"/>
      <c r="NH85" s="0"/>
      <c r="NI85" s="0"/>
      <c r="NJ85" s="0"/>
      <c r="NK85" s="0"/>
      <c r="NL85" s="0"/>
      <c r="NM85" s="0"/>
      <c r="NN85" s="0"/>
      <c r="NO85" s="0"/>
      <c r="NP85" s="0"/>
      <c r="NQ85" s="0"/>
      <c r="NR85" s="0"/>
      <c r="NS85" s="0"/>
      <c r="NT85" s="0"/>
      <c r="NU85" s="0"/>
      <c r="NV85" s="0"/>
      <c r="NW85" s="0"/>
      <c r="NX85" s="0"/>
      <c r="NY85" s="0"/>
      <c r="NZ85" s="0"/>
      <c r="OA85" s="0"/>
      <c r="OB85" s="0"/>
      <c r="OC85" s="0"/>
      <c r="OD85" s="0"/>
      <c r="OE85" s="0"/>
      <c r="OF85" s="0"/>
      <c r="OG85" s="0"/>
      <c r="OH85" s="0"/>
      <c r="OI85" s="0"/>
      <c r="OJ85" s="0"/>
      <c r="OK85" s="0"/>
      <c r="OL85" s="0"/>
      <c r="OM85" s="0"/>
      <c r="ON85" s="0"/>
      <c r="OO85" s="0"/>
      <c r="OP85" s="0"/>
      <c r="OQ85" s="0"/>
      <c r="OR85" s="0"/>
      <c r="OS85" s="0"/>
      <c r="OT85" s="0"/>
      <c r="OU85" s="0"/>
      <c r="OV85" s="0"/>
      <c r="OW85" s="0"/>
      <c r="OX85" s="0"/>
      <c r="OY85" s="0"/>
      <c r="OZ85" s="0"/>
      <c r="PA85" s="0"/>
      <c r="PB85" s="0"/>
      <c r="PC85" s="0"/>
      <c r="PD85" s="0"/>
      <c r="PE85" s="0"/>
      <c r="PF85" s="0"/>
      <c r="PG85" s="0"/>
      <c r="PH85" s="0"/>
      <c r="PI85" s="0"/>
      <c r="PJ85" s="0"/>
      <c r="PK85" s="0"/>
      <c r="PL85" s="0"/>
      <c r="PM85" s="0"/>
      <c r="PN85" s="0"/>
      <c r="PO85" s="0"/>
      <c r="PP85" s="0"/>
      <c r="PQ85" s="0"/>
      <c r="PR85" s="0"/>
      <c r="PS85" s="0"/>
      <c r="PT85" s="0"/>
      <c r="PU85" s="0"/>
      <c r="PV85" s="0"/>
      <c r="PW85" s="0"/>
      <c r="PX85" s="0"/>
      <c r="PY85" s="0"/>
      <c r="PZ85" s="0"/>
      <c r="QA85" s="0"/>
      <c r="QB85" s="0"/>
      <c r="QC85" s="0"/>
      <c r="QD85" s="0"/>
      <c r="QE85" s="0"/>
      <c r="QF85" s="0"/>
      <c r="QG85" s="0"/>
      <c r="QH85" s="0"/>
      <c r="QI85" s="0"/>
      <c r="QJ85" s="0"/>
      <c r="QK85" s="0"/>
      <c r="QL85" s="0"/>
      <c r="QM85" s="0"/>
      <c r="QN85" s="0"/>
      <c r="QO85" s="0"/>
      <c r="QP85" s="0"/>
      <c r="QQ85" s="0"/>
      <c r="QR85" s="0"/>
      <c r="QS85" s="0"/>
      <c r="QT85" s="0"/>
      <c r="QU85" s="0"/>
      <c r="QV85" s="0"/>
      <c r="QW85" s="0"/>
      <c r="QX85" s="0"/>
      <c r="QY85" s="0"/>
      <c r="QZ85" s="0"/>
      <c r="RA85" s="0"/>
      <c r="RB85" s="0"/>
      <c r="RC85" s="0"/>
      <c r="RD85" s="0"/>
      <c r="RE85" s="0"/>
      <c r="RF85" s="0"/>
      <c r="RG85" s="0"/>
      <c r="RH85" s="0"/>
      <c r="RI85" s="0"/>
      <c r="RJ85" s="0"/>
      <c r="RK85" s="0"/>
      <c r="RL85" s="0"/>
      <c r="RM85" s="0"/>
      <c r="RN85" s="0"/>
      <c r="RO85" s="0"/>
      <c r="RP85" s="0"/>
      <c r="RQ85" s="0"/>
      <c r="RR85" s="0"/>
      <c r="RS85" s="0"/>
      <c r="RT85" s="0"/>
      <c r="RU85" s="0"/>
      <c r="RV85" s="0"/>
      <c r="RW85" s="0"/>
      <c r="RX85" s="0"/>
      <c r="RY85" s="0"/>
      <c r="RZ85" s="0"/>
      <c r="SA85" s="0"/>
      <c r="SB85" s="0"/>
      <c r="SC85" s="0"/>
      <c r="SD85" s="0"/>
      <c r="SE85" s="0"/>
      <c r="SF85" s="0"/>
      <c r="SG85" s="0"/>
      <c r="SH85" s="0"/>
      <c r="SI85" s="0"/>
      <c r="SJ85" s="0"/>
      <c r="SK85" s="0"/>
      <c r="SL85" s="0"/>
      <c r="SM85" s="0"/>
      <c r="SN85" s="0"/>
      <c r="SO85" s="0"/>
      <c r="SP85" s="0"/>
      <c r="SQ85" s="0"/>
      <c r="SR85" s="0"/>
      <c r="SS85" s="0"/>
      <c r="ST85" s="0"/>
      <c r="SU85" s="0"/>
      <c r="SV85" s="0"/>
      <c r="SW85" s="0"/>
      <c r="SX85" s="0"/>
      <c r="SY85" s="0"/>
      <c r="SZ85" s="0"/>
      <c r="TA85" s="0"/>
      <c r="TB85" s="0"/>
      <c r="TC85" s="0"/>
      <c r="TD85" s="0"/>
      <c r="TE85" s="0"/>
      <c r="TF85" s="0"/>
      <c r="TG85" s="0"/>
      <c r="TH85" s="0"/>
      <c r="TI85" s="0"/>
      <c r="TJ85" s="0"/>
      <c r="TK85" s="0"/>
      <c r="TL85" s="0"/>
      <c r="TM85" s="0"/>
      <c r="TN85" s="0"/>
      <c r="TO85" s="0"/>
      <c r="TP85" s="0"/>
      <c r="TQ85" s="0"/>
      <c r="TR85" s="0"/>
      <c r="TS85" s="0"/>
      <c r="TT85" s="0"/>
      <c r="TU85" s="0"/>
      <c r="TV85" s="0"/>
      <c r="TW85" s="0"/>
      <c r="TX85" s="0"/>
      <c r="TY85" s="0"/>
      <c r="TZ85" s="0"/>
      <c r="UA85" s="0"/>
      <c r="UB85" s="0"/>
      <c r="UC85" s="0"/>
      <c r="UD85" s="0"/>
      <c r="UE85" s="0"/>
      <c r="UF85" s="0"/>
      <c r="UG85" s="0"/>
      <c r="UH85" s="0"/>
      <c r="UI85" s="0"/>
      <c r="UJ85" s="0"/>
      <c r="UK85" s="0"/>
      <c r="UL85" s="0"/>
      <c r="UM85" s="0"/>
      <c r="UN85" s="0"/>
      <c r="UO85" s="0"/>
      <c r="UP85" s="0"/>
      <c r="UQ85" s="0"/>
      <c r="UR85" s="0"/>
      <c r="US85" s="0"/>
      <c r="UT85" s="0"/>
      <c r="UU85" s="0"/>
      <c r="UV85" s="0"/>
      <c r="UW85" s="0"/>
      <c r="UX85" s="0"/>
      <c r="UY85" s="0"/>
      <c r="UZ85" s="0"/>
      <c r="VA85" s="0"/>
      <c r="VB85" s="0"/>
      <c r="VC85" s="0"/>
      <c r="VD85" s="0"/>
      <c r="VE85" s="0"/>
      <c r="VF85" s="0"/>
      <c r="VG85" s="0"/>
      <c r="VH85" s="0"/>
      <c r="VI85" s="0"/>
      <c r="VJ85" s="0"/>
      <c r="VK85" s="0"/>
      <c r="VL85" s="0"/>
      <c r="VM85" s="0"/>
      <c r="VN85" s="0"/>
      <c r="VO85" s="0"/>
      <c r="VP85" s="0"/>
      <c r="VQ85" s="0"/>
      <c r="VR85" s="0"/>
      <c r="VS85" s="0"/>
      <c r="VT85" s="0"/>
      <c r="VU85" s="0"/>
      <c r="VV85" s="0"/>
      <c r="VW85" s="0"/>
      <c r="VX85" s="0"/>
      <c r="VY85" s="0"/>
      <c r="VZ85" s="0"/>
      <c r="WA85" s="0"/>
      <c r="WB85" s="0"/>
      <c r="WC85" s="0"/>
      <c r="WD85" s="0"/>
      <c r="WE85" s="0"/>
      <c r="WF85" s="0"/>
      <c r="WG85" s="0"/>
      <c r="WH85" s="0"/>
      <c r="WI85" s="0"/>
      <c r="WJ85" s="0"/>
      <c r="WK85" s="0"/>
      <c r="WL85" s="0"/>
      <c r="WM85" s="0"/>
      <c r="WN85" s="0"/>
      <c r="WO85" s="0"/>
      <c r="WP85" s="0"/>
      <c r="WQ85" s="0"/>
      <c r="WR85" s="0"/>
      <c r="WS85" s="0"/>
      <c r="WT85" s="0"/>
      <c r="WU85" s="0"/>
      <c r="WV85" s="0"/>
      <c r="WW85" s="0"/>
      <c r="WX85" s="0"/>
      <c r="WY85" s="0"/>
      <c r="WZ85" s="0"/>
      <c r="XA85" s="0"/>
      <c r="XB85" s="0"/>
      <c r="XC85" s="0"/>
      <c r="XD85" s="0"/>
      <c r="XE85" s="0"/>
      <c r="XF85" s="0"/>
      <c r="XG85" s="0"/>
      <c r="XH85" s="0"/>
      <c r="XI85" s="0"/>
      <c r="XJ85" s="0"/>
      <c r="XK85" s="0"/>
      <c r="XL85" s="0"/>
      <c r="XM85" s="0"/>
      <c r="XN85" s="0"/>
      <c r="XO85" s="0"/>
      <c r="XP85" s="0"/>
      <c r="XQ85" s="0"/>
      <c r="XR85" s="0"/>
      <c r="XS85" s="0"/>
      <c r="XT85" s="0"/>
      <c r="XU85" s="0"/>
      <c r="XV85" s="0"/>
      <c r="XW85" s="0"/>
      <c r="XX85" s="0"/>
      <c r="XY85" s="0"/>
      <c r="XZ85" s="0"/>
      <c r="YA85" s="0"/>
      <c r="YB85" s="0"/>
      <c r="YC85" s="0"/>
      <c r="YD85" s="0"/>
      <c r="YE85" s="0"/>
      <c r="YF85" s="0"/>
      <c r="YG85" s="0"/>
      <c r="YH85" s="0"/>
      <c r="YI85" s="0"/>
      <c r="YJ85" s="0"/>
      <c r="YK85" s="0"/>
      <c r="YL85" s="0"/>
      <c r="YM85" s="0"/>
      <c r="YN85" s="0"/>
      <c r="YO85" s="0"/>
      <c r="YP85" s="0"/>
      <c r="YQ85" s="0"/>
      <c r="YR85" s="0"/>
      <c r="YS85" s="0"/>
      <c r="YT85" s="0"/>
      <c r="YU85" s="0"/>
      <c r="YV85" s="0"/>
      <c r="YW85" s="0"/>
      <c r="YX85" s="0"/>
      <c r="YY85" s="0"/>
      <c r="YZ85" s="0"/>
      <c r="ZA85" s="0"/>
      <c r="ZB85" s="0"/>
      <c r="ZC85" s="0"/>
      <c r="ZD85" s="0"/>
      <c r="ZE85" s="0"/>
      <c r="ZF85" s="0"/>
      <c r="ZG85" s="0"/>
      <c r="ZH85" s="0"/>
      <c r="ZI85" s="0"/>
      <c r="ZJ85" s="0"/>
      <c r="ZK85" s="0"/>
      <c r="ZL85" s="0"/>
      <c r="ZM85" s="0"/>
      <c r="ZN85" s="0"/>
      <c r="ZO85" s="0"/>
      <c r="ZP85" s="0"/>
      <c r="ZQ85" s="0"/>
      <c r="ZR85" s="0"/>
      <c r="ZS85" s="0"/>
      <c r="ZT85" s="0"/>
      <c r="ZU85" s="0"/>
      <c r="ZV85" s="0"/>
      <c r="ZW85" s="0"/>
      <c r="ZX85" s="0"/>
      <c r="ZY85" s="0"/>
      <c r="ZZ85" s="0"/>
      <c r="AAA85" s="0"/>
      <c r="AAB85" s="0"/>
      <c r="AAC85" s="0"/>
      <c r="AAD85" s="0"/>
      <c r="AAE85" s="0"/>
      <c r="AAF85" s="0"/>
      <c r="AAG85" s="0"/>
      <c r="AAH85" s="0"/>
      <c r="AAI85" s="0"/>
      <c r="AAJ85" s="0"/>
      <c r="AAK85" s="0"/>
      <c r="AAL85" s="0"/>
      <c r="AAM85" s="0"/>
      <c r="AAN85" s="0"/>
      <c r="AAO85" s="0"/>
      <c r="AAP85" s="0"/>
      <c r="AAQ85" s="0"/>
      <c r="AAR85" s="0"/>
      <c r="AAS85" s="0"/>
      <c r="AAT85" s="0"/>
      <c r="AAU85" s="0"/>
      <c r="AAV85" s="0"/>
      <c r="AAW85" s="0"/>
      <c r="AAX85" s="0"/>
      <c r="AAY85" s="0"/>
      <c r="AAZ85" s="0"/>
      <c r="ABA85" s="0"/>
      <c r="ABB85" s="0"/>
      <c r="ABC85" s="0"/>
      <c r="ABD85" s="0"/>
      <c r="ABE85" s="0"/>
      <c r="ABF85" s="0"/>
      <c r="ABG85" s="0"/>
      <c r="ABH85" s="0"/>
      <c r="ABI85" s="0"/>
      <c r="ABJ85" s="0"/>
      <c r="ABK85" s="0"/>
      <c r="ABL85" s="0"/>
      <c r="ABM85" s="0"/>
      <c r="ABN85" s="0"/>
      <c r="ABO85" s="0"/>
      <c r="ABP85" s="0"/>
      <c r="ABQ85" s="0"/>
      <c r="ABR85" s="0"/>
      <c r="ABS85" s="0"/>
      <c r="ABT85" s="0"/>
      <c r="ABU85" s="0"/>
      <c r="ABV85" s="0"/>
      <c r="ABW85" s="0"/>
      <c r="ABX85" s="0"/>
      <c r="ABY85" s="0"/>
      <c r="ABZ85" s="0"/>
      <c r="ACA85" s="0"/>
      <c r="ACB85" s="0"/>
      <c r="ACC85" s="0"/>
      <c r="ACD85" s="0"/>
      <c r="ACE85" s="0"/>
      <c r="ACF85" s="0"/>
      <c r="ACG85" s="0"/>
      <c r="ACH85" s="0"/>
      <c r="ACI85" s="0"/>
      <c r="ACJ85" s="0"/>
      <c r="ACK85" s="0"/>
      <c r="ACL85" s="0"/>
      <c r="ACM85" s="0"/>
      <c r="ACN85" s="0"/>
      <c r="ACO85" s="0"/>
      <c r="ACP85" s="0"/>
      <c r="ACQ85" s="0"/>
      <c r="ACR85" s="0"/>
      <c r="ACS85" s="0"/>
      <c r="ACT85" s="0"/>
      <c r="ACU85" s="0"/>
      <c r="ACV85" s="0"/>
      <c r="ACW85" s="0"/>
      <c r="ACX85" s="0"/>
      <c r="ACY85" s="0"/>
      <c r="ACZ85" s="0"/>
      <c r="ADA85" s="0"/>
      <c r="ADB85" s="0"/>
      <c r="ADC85" s="0"/>
      <c r="ADD85" s="0"/>
      <c r="ADE85" s="0"/>
      <c r="ADF85" s="0"/>
      <c r="ADG85" s="0"/>
      <c r="ADH85" s="0"/>
      <c r="ADI85" s="0"/>
      <c r="ADJ85" s="0"/>
      <c r="ADK85" s="0"/>
      <c r="ADL85" s="0"/>
      <c r="ADM85" s="0"/>
      <c r="ADN85" s="0"/>
      <c r="ADO85" s="0"/>
      <c r="ADP85" s="0"/>
      <c r="ADQ85" s="0"/>
      <c r="ADR85" s="0"/>
      <c r="ADS85" s="0"/>
      <c r="ADT85" s="0"/>
      <c r="ADU85" s="0"/>
      <c r="ADV85" s="0"/>
      <c r="ADW85" s="0"/>
      <c r="ADX85" s="0"/>
      <c r="ADY85" s="0"/>
      <c r="ADZ85" s="0"/>
      <c r="AEA85" s="0"/>
      <c r="AEB85" s="0"/>
      <c r="AEC85" s="0"/>
      <c r="AED85" s="0"/>
      <c r="AEE85" s="0"/>
      <c r="AEF85" s="0"/>
      <c r="AEG85" s="0"/>
      <c r="AEH85" s="0"/>
      <c r="AEI85" s="0"/>
      <c r="AEJ85" s="0"/>
      <c r="AEK85" s="0"/>
      <c r="AEL85" s="0"/>
      <c r="AEM85" s="0"/>
      <c r="AEN85" s="0"/>
      <c r="AEO85" s="0"/>
      <c r="AEP85" s="0"/>
      <c r="AEQ85" s="0"/>
      <c r="AER85" s="0"/>
      <c r="AES85" s="0"/>
      <c r="AET85" s="0"/>
      <c r="AEU85" s="0"/>
      <c r="AEV85" s="0"/>
      <c r="AEW85" s="0"/>
      <c r="AEX85" s="0"/>
      <c r="AEY85" s="0"/>
      <c r="AEZ85" s="0"/>
      <c r="AFA85" s="0"/>
      <c r="AFB85" s="0"/>
      <c r="AFC85" s="0"/>
      <c r="AFD85" s="0"/>
      <c r="AFE85" s="0"/>
      <c r="AFF85" s="0"/>
      <c r="AFG85" s="0"/>
      <c r="AFH85" s="0"/>
      <c r="AFI85" s="0"/>
      <c r="AFJ85" s="0"/>
      <c r="AFK85" s="0"/>
      <c r="AFL85" s="0"/>
      <c r="AFM85" s="0"/>
      <c r="AFN85" s="0"/>
      <c r="AFO85" s="0"/>
      <c r="AFP85" s="0"/>
      <c r="AFQ85" s="0"/>
      <c r="AFR85" s="0"/>
      <c r="AFS85" s="0"/>
      <c r="AFT85" s="0"/>
      <c r="AFU85" s="0"/>
      <c r="AFV85" s="0"/>
      <c r="AFW85" s="0"/>
      <c r="AFX85" s="0"/>
      <c r="AFY85" s="0"/>
      <c r="AFZ85" s="0"/>
      <c r="AGA85" s="0"/>
      <c r="AGB85" s="0"/>
      <c r="AGC85" s="0"/>
      <c r="AGD85" s="0"/>
      <c r="AGE85" s="0"/>
      <c r="AGF85" s="0"/>
      <c r="AGG85" s="0"/>
      <c r="AGH85" s="0"/>
      <c r="AGI85" s="0"/>
      <c r="AGJ85" s="0"/>
      <c r="AGK85" s="0"/>
      <c r="AGL85" s="0"/>
      <c r="AGM85" s="0"/>
      <c r="AGN85" s="0"/>
      <c r="AGO85" s="0"/>
      <c r="AGP85" s="0"/>
      <c r="AGQ85" s="0"/>
      <c r="AGR85" s="0"/>
      <c r="AGS85" s="0"/>
      <c r="AGT85" s="0"/>
      <c r="AGU85" s="0"/>
      <c r="AGV85" s="0"/>
      <c r="AGW85" s="0"/>
      <c r="AGX85" s="0"/>
      <c r="AGY85" s="0"/>
      <c r="AGZ85" s="0"/>
      <c r="AHA85" s="0"/>
      <c r="AHB85" s="0"/>
      <c r="AHC85" s="0"/>
      <c r="AHD85" s="0"/>
      <c r="AHE85" s="0"/>
      <c r="AHF85" s="0"/>
      <c r="AHG85" s="0"/>
      <c r="AHH85" s="0"/>
      <c r="AHI85" s="0"/>
      <c r="AHJ85" s="0"/>
      <c r="AHK85" s="0"/>
      <c r="AHL85" s="0"/>
      <c r="AHM85" s="0"/>
      <c r="AHN85" s="0"/>
      <c r="AHO85" s="0"/>
      <c r="AHP85" s="0"/>
      <c r="AHQ85" s="0"/>
      <c r="AHR85" s="0"/>
      <c r="AHS85" s="0"/>
      <c r="AHT85" s="0"/>
      <c r="AHU85" s="0"/>
      <c r="AHV85" s="0"/>
      <c r="AHW85" s="0"/>
      <c r="AHX85" s="0"/>
      <c r="AHY85" s="0"/>
      <c r="AHZ85" s="0"/>
      <c r="AIA85" s="0"/>
      <c r="AIB85" s="0"/>
      <c r="AIC85" s="0"/>
      <c r="AID85" s="0"/>
      <c r="AIE85" s="0"/>
      <c r="AIF85" s="0"/>
      <c r="AIG85" s="0"/>
      <c r="AIH85" s="0"/>
      <c r="AII85" s="0"/>
      <c r="AIJ85" s="0"/>
      <c r="AIK85" s="0"/>
      <c r="AIL85" s="0"/>
      <c r="AIM85" s="0"/>
      <c r="AIN85" s="0"/>
      <c r="AIO85" s="0"/>
      <c r="AIP85" s="0"/>
      <c r="AIQ85" s="0"/>
      <c r="AIR85" s="0"/>
      <c r="AIS85" s="0"/>
      <c r="AIT85" s="0"/>
      <c r="AIU85" s="0"/>
      <c r="AIV85" s="0"/>
      <c r="AIW85" s="0"/>
      <c r="AIX85" s="0"/>
      <c r="AIY85" s="0"/>
      <c r="AIZ85" s="0"/>
      <c r="AJA85" s="0"/>
      <c r="AJB85" s="0"/>
      <c r="AJC85" s="0"/>
      <c r="AJD85" s="0"/>
      <c r="AJE85" s="0"/>
      <c r="AJF85" s="0"/>
      <c r="AJG85" s="0"/>
      <c r="AJH85" s="0"/>
      <c r="AJI85" s="0"/>
      <c r="AJJ85" s="0"/>
      <c r="AJK85" s="0"/>
      <c r="AJL85" s="0"/>
      <c r="AJM85" s="0"/>
      <c r="AJN85" s="0"/>
      <c r="AJO85" s="0"/>
      <c r="AJP85" s="0"/>
      <c r="AJQ85" s="0"/>
      <c r="AJR85" s="0"/>
      <c r="AJS85" s="0"/>
      <c r="AJT85" s="0"/>
      <c r="AJU85" s="0"/>
      <c r="AJV85" s="0"/>
      <c r="AJW85" s="0"/>
      <c r="AJX85" s="0"/>
      <c r="AJY85" s="0"/>
      <c r="AJZ85" s="0"/>
      <c r="AKA85" s="0"/>
      <c r="AKB85" s="0"/>
      <c r="AKC85" s="0"/>
      <c r="AKD85" s="0"/>
      <c r="AKE85" s="0"/>
      <c r="AKF85" s="0"/>
      <c r="AKG85" s="0"/>
      <c r="AKH85" s="0"/>
      <c r="AKI85" s="0"/>
      <c r="AKJ85" s="0"/>
      <c r="AKK85" s="0"/>
      <c r="AKL85" s="0"/>
      <c r="AKM85" s="0"/>
      <c r="AKN85" s="0"/>
      <c r="AKO85" s="0"/>
      <c r="AKP85" s="0"/>
      <c r="AKQ85" s="0"/>
      <c r="AKR85" s="0"/>
      <c r="AKS85" s="0"/>
      <c r="AKT85" s="0"/>
      <c r="AKU85" s="0"/>
      <c r="AKV85" s="0"/>
      <c r="AKW85" s="0"/>
      <c r="AKX85" s="0"/>
      <c r="AKY85" s="0"/>
      <c r="AKZ85" s="0"/>
      <c r="ALA85" s="0"/>
      <c r="ALB85" s="0"/>
      <c r="ALC85" s="0"/>
      <c r="ALD85" s="0"/>
      <c r="ALE85" s="0"/>
      <c r="ALF85" s="0"/>
      <c r="ALG85" s="0"/>
      <c r="ALH85" s="0"/>
      <c r="ALI85" s="0"/>
      <c r="ALJ85" s="0"/>
      <c r="ALK85" s="0"/>
      <c r="ALL85" s="0"/>
      <c r="ALM85" s="0"/>
      <c r="ALN85" s="0"/>
      <c r="ALO85" s="0"/>
      <c r="ALP85" s="0"/>
      <c r="ALQ85" s="0"/>
      <c r="ALR85" s="0"/>
      <c r="ALS85" s="0"/>
      <c r="ALT85" s="0"/>
      <c r="ALU85" s="0"/>
      <c r="ALV85" s="0"/>
      <c r="ALW85" s="0"/>
      <c r="ALX85" s="0"/>
      <c r="ALY85" s="0"/>
      <c r="ALZ85" s="0"/>
      <c r="AMA85" s="0"/>
      <c r="AMB85" s="0"/>
      <c r="AMC85" s="0"/>
      <c r="AMD85" s="0"/>
      <c r="AME85" s="0"/>
      <c r="AMF85" s="0"/>
      <c r="AMG85" s="0"/>
      <c r="AMH85" s="0"/>
      <c r="AMI85" s="0"/>
      <c r="AMJ85" s="0"/>
      <c r="AMK85" s="0"/>
      <c r="AML85" s="0"/>
      <c r="AMM85" s="0"/>
      <c r="AMN85" s="0"/>
      <c r="AMO85" s="0"/>
      <c r="AMP85" s="0"/>
      <c r="AMQ85" s="0"/>
      <c r="AMR85" s="0"/>
      <c r="AMS85" s="0"/>
      <c r="AMT85" s="0"/>
      <c r="AMU85" s="0"/>
      <c r="AMV85" s="0"/>
      <c r="AMW85" s="0"/>
      <c r="AMX85" s="0"/>
      <c r="AMY85" s="0"/>
      <c r="AMZ85" s="0"/>
      <c r="ANA85" s="0"/>
      <c r="ANB85" s="0"/>
      <c r="ANC85" s="0"/>
      <c r="AND85" s="0"/>
      <c r="ANE85" s="0"/>
      <c r="ANF85" s="0"/>
      <c r="ANG85" s="0"/>
      <c r="ANH85" s="0"/>
      <c r="ANI85" s="0"/>
      <c r="ANJ85" s="0"/>
      <c r="ANK85" s="0"/>
      <c r="ANL85" s="0"/>
      <c r="ANM85" s="0"/>
      <c r="ANN85" s="0"/>
      <c r="ANO85" s="0"/>
      <c r="ANP85" s="0"/>
      <c r="ANQ85" s="0"/>
      <c r="ANR85" s="0"/>
      <c r="ANS85" s="0"/>
      <c r="ANT85" s="0"/>
      <c r="ANU85" s="0"/>
      <c r="ANV85" s="0"/>
      <c r="ANW85" s="0"/>
      <c r="ANX85" s="0"/>
      <c r="ANY85" s="0"/>
      <c r="ANZ85" s="0"/>
      <c r="AOA85" s="0"/>
      <c r="AOB85" s="0"/>
      <c r="AOC85" s="0"/>
      <c r="AOD85" s="0"/>
      <c r="AOE85" s="0"/>
      <c r="AOF85" s="0"/>
      <c r="AOG85" s="0"/>
      <c r="AOH85" s="0"/>
      <c r="AOI85" s="0"/>
      <c r="AOJ85" s="0"/>
      <c r="AOK85" s="0"/>
      <c r="AOL85" s="0"/>
      <c r="AOM85" s="0"/>
      <c r="AON85" s="0"/>
      <c r="AOO85" s="0"/>
      <c r="AOP85" s="0"/>
      <c r="AOQ85" s="0"/>
      <c r="AOR85" s="0"/>
      <c r="AOS85" s="0"/>
      <c r="AOT85" s="0"/>
      <c r="AOU85" s="0"/>
      <c r="AOV85" s="0"/>
      <c r="AOW85" s="0"/>
      <c r="AOX85" s="0"/>
      <c r="AOY85" s="0"/>
      <c r="AOZ85" s="0"/>
      <c r="APA85" s="0"/>
      <c r="APB85" s="0"/>
      <c r="APC85" s="0"/>
      <c r="APD85" s="0"/>
      <c r="APE85" s="0"/>
      <c r="APF85" s="0"/>
      <c r="APG85" s="0"/>
      <c r="APH85" s="0"/>
      <c r="API85" s="0"/>
      <c r="APJ85" s="0"/>
      <c r="APK85" s="0"/>
      <c r="APL85" s="0"/>
      <c r="APM85" s="0"/>
      <c r="APN85" s="0"/>
      <c r="APO85" s="0"/>
      <c r="APP85" s="0"/>
      <c r="APQ85" s="0"/>
      <c r="APR85" s="0"/>
      <c r="APS85" s="0"/>
      <c r="APT85" s="0"/>
      <c r="APU85" s="0"/>
      <c r="APV85" s="0"/>
      <c r="APW85" s="0"/>
      <c r="APX85" s="0"/>
      <c r="APY85" s="0"/>
      <c r="APZ85" s="0"/>
      <c r="AQA85" s="0"/>
      <c r="AQB85" s="0"/>
      <c r="AQC85" s="0"/>
      <c r="AQD85" s="0"/>
      <c r="AQE85" s="0"/>
      <c r="AQF85" s="0"/>
      <c r="AQG85" s="0"/>
      <c r="AQH85" s="0"/>
      <c r="AQI85" s="0"/>
      <c r="AQJ85" s="0"/>
      <c r="AQK85" s="0"/>
      <c r="AQL85" s="0"/>
      <c r="AQM85" s="0"/>
      <c r="AQN85" s="0"/>
      <c r="AQO85" s="0"/>
      <c r="AQP85" s="0"/>
      <c r="AQQ85" s="0"/>
      <c r="AQR85" s="0"/>
      <c r="AQS85" s="0"/>
      <c r="AQT85" s="0"/>
      <c r="AQU85" s="0"/>
      <c r="AQV85" s="0"/>
      <c r="AQW85" s="0"/>
      <c r="AQX85" s="0"/>
      <c r="AQY85" s="0"/>
      <c r="AQZ85" s="0"/>
      <c r="ARA85" s="0"/>
      <c r="ARB85" s="0"/>
      <c r="ARC85" s="0"/>
      <c r="ARD85" s="0"/>
      <c r="ARE85" s="0"/>
      <c r="ARF85" s="0"/>
      <c r="ARG85" s="0"/>
      <c r="ARH85" s="0"/>
      <c r="ARI85" s="0"/>
      <c r="ARJ85" s="0"/>
      <c r="ARK85" s="0"/>
      <c r="ARL85" s="0"/>
      <c r="ARM85" s="0"/>
      <c r="ARN85" s="0"/>
      <c r="ARO85" s="0"/>
      <c r="ARP85" s="0"/>
      <c r="ARQ85" s="0"/>
      <c r="ARR85" s="0"/>
      <c r="ARS85" s="0"/>
      <c r="ART85" s="0"/>
      <c r="ARU85" s="0"/>
      <c r="ARV85" s="0"/>
      <c r="ARW85" s="0"/>
      <c r="ARX85" s="0"/>
      <c r="ARY85" s="0"/>
      <c r="ARZ85" s="0"/>
      <c r="ASA85" s="0"/>
      <c r="ASB85" s="0"/>
      <c r="ASC85" s="0"/>
      <c r="ASD85" s="0"/>
      <c r="ASE85" s="0"/>
      <c r="ASF85" s="0"/>
      <c r="ASG85" s="0"/>
      <c r="ASH85" s="0"/>
      <c r="ASI85" s="0"/>
      <c r="ASJ85" s="0"/>
      <c r="ASK85" s="0"/>
      <c r="ASL85" s="0"/>
      <c r="ASM85" s="0"/>
      <c r="ASN85" s="0"/>
      <c r="ASO85" s="0"/>
      <c r="ASP85" s="0"/>
      <c r="ASQ85" s="0"/>
      <c r="ASR85" s="0"/>
      <c r="ASS85" s="0"/>
      <c r="AST85" s="0"/>
      <c r="ASU85" s="0"/>
      <c r="ASV85" s="0"/>
      <c r="ASW85" s="0"/>
      <c r="ASX85" s="0"/>
      <c r="ASY85" s="0"/>
      <c r="ASZ85" s="0"/>
      <c r="ATA85" s="0"/>
      <c r="ATB85" s="0"/>
      <c r="ATC85" s="0"/>
      <c r="ATD85" s="0"/>
      <c r="ATE85" s="0"/>
      <c r="ATF85" s="0"/>
      <c r="ATG85" s="0"/>
      <c r="ATH85" s="0"/>
      <c r="ATI85" s="0"/>
      <c r="ATJ85" s="0"/>
      <c r="ATK85" s="0"/>
      <c r="ATL85" s="0"/>
      <c r="ATM85" s="0"/>
      <c r="ATN85" s="0"/>
      <c r="ATO85" s="0"/>
      <c r="ATP85" s="0"/>
      <c r="ATQ85" s="0"/>
      <c r="ATR85" s="0"/>
      <c r="ATS85" s="0"/>
      <c r="ATT85" s="0"/>
      <c r="ATU85" s="0"/>
      <c r="ATV85" s="0"/>
      <c r="ATW85" s="0"/>
      <c r="ATX85" s="0"/>
      <c r="ATY85" s="0"/>
      <c r="ATZ85" s="0"/>
      <c r="AUA85" s="0"/>
      <c r="AUB85" s="0"/>
      <c r="AUC85" s="0"/>
      <c r="AUD85" s="0"/>
      <c r="AUE85" s="0"/>
      <c r="AUF85" s="0"/>
      <c r="AUG85" s="0"/>
      <c r="AUH85" s="0"/>
      <c r="AUI85" s="0"/>
      <c r="AUJ85" s="0"/>
      <c r="AUK85" s="0"/>
      <c r="AUL85" s="0"/>
      <c r="AUM85" s="0"/>
      <c r="AUN85" s="0"/>
      <c r="AUO85" s="0"/>
      <c r="AUP85" s="0"/>
      <c r="AUQ85" s="0"/>
      <c r="AUR85" s="0"/>
      <c r="AUS85" s="0"/>
      <c r="AUT85" s="0"/>
      <c r="AUU85" s="0"/>
      <c r="AUV85" s="0"/>
      <c r="AUW85" s="0"/>
      <c r="AUX85" s="0"/>
      <c r="AUY85" s="0"/>
      <c r="AUZ85" s="0"/>
      <c r="AVA85" s="0"/>
      <c r="AVB85" s="0"/>
      <c r="AVC85" s="0"/>
      <c r="AVD85" s="0"/>
      <c r="AVE85" s="0"/>
      <c r="AVF85" s="0"/>
      <c r="AVG85" s="0"/>
      <c r="AVH85" s="0"/>
      <c r="AVI85" s="0"/>
      <c r="AVJ85" s="0"/>
      <c r="AVK85" s="0"/>
      <c r="AVL85" s="0"/>
      <c r="AVM85" s="0"/>
      <c r="AVN85" s="0"/>
      <c r="AVO85" s="0"/>
      <c r="AVP85" s="0"/>
      <c r="AVQ85" s="0"/>
      <c r="AVR85" s="0"/>
      <c r="AVS85" s="0"/>
      <c r="AVT85" s="0"/>
      <c r="AVU85" s="0"/>
      <c r="AVV85" s="0"/>
      <c r="AVW85" s="0"/>
      <c r="AVX85" s="0"/>
      <c r="AVY85" s="0"/>
      <c r="AVZ85" s="0"/>
      <c r="AWA85" s="0"/>
      <c r="AWB85" s="0"/>
      <c r="AWC85" s="0"/>
      <c r="AWD85" s="0"/>
      <c r="AWE85" s="0"/>
      <c r="AWF85" s="0"/>
      <c r="AWG85" s="0"/>
      <c r="AWH85" s="0"/>
      <c r="AWI85" s="0"/>
      <c r="AWJ85" s="0"/>
      <c r="AWK85" s="0"/>
      <c r="AWL85" s="0"/>
      <c r="AWM85" s="0"/>
      <c r="AWN85" s="0"/>
      <c r="AWO85" s="0"/>
      <c r="AWP85" s="0"/>
      <c r="AWQ85" s="0"/>
      <c r="AWR85" s="0"/>
      <c r="AWS85" s="0"/>
      <c r="AWT85" s="0"/>
      <c r="AWU85" s="0"/>
      <c r="AWV85" s="0"/>
      <c r="AWW85" s="0"/>
      <c r="AWX85" s="0"/>
      <c r="AWY85" s="0"/>
      <c r="AWZ85" s="0"/>
      <c r="AXA85" s="0"/>
      <c r="AXB85" s="0"/>
      <c r="AXC85" s="0"/>
      <c r="AXD85" s="0"/>
      <c r="AXE85" s="0"/>
      <c r="AXF85" s="0"/>
      <c r="AXG85" s="0"/>
      <c r="AXH85" s="0"/>
      <c r="AXI85" s="0"/>
      <c r="AXJ85" s="0"/>
      <c r="AXK85" s="0"/>
      <c r="AXL85" s="0"/>
      <c r="AXM85" s="0"/>
      <c r="AXN85" s="0"/>
      <c r="AXO85" s="0"/>
      <c r="AXP85" s="0"/>
      <c r="AXQ85" s="0"/>
      <c r="AXR85" s="0"/>
      <c r="AXS85" s="0"/>
      <c r="AXT85" s="0"/>
      <c r="AXU85" s="0"/>
      <c r="AXV85" s="0"/>
      <c r="AXW85" s="0"/>
      <c r="AXX85" s="0"/>
      <c r="AXY85" s="0"/>
      <c r="AXZ85" s="0"/>
      <c r="AYA85" s="0"/>
      <c r="AYB85" s="0"/>
      <c r="AYC85" s="0"/>
      <c r="AYD85" s="0"/>
      <c r="AYE85" s="0"/>
      <c r="AYF85" s="0"/>
      <c r="AYG85" s="0"/>
      <c r="AYH85" s="0"/>
      <c r="AYI85" s="0"/>
      <c r="AYJ85" s="0"/>
      <c r="AYK85" s="0"/>
      <c r="AYL85" s="0"/>
      <c r="AYM85" s="0"/>
      <c r="AYN85" s="0"/>
      <c r="AYO85" s="0"/>
      <c r="AYP85" s="0"/>
      <c r="AYQ85" s="0"/>
      <c r="AYR85" s="0"/>
      <c r="AYS85" s="0"/>
      <c r="AYT85" s="0"/>
      <c r="AYU85" s="0"/>
      <c r="AYV85" s="0"/>
      <c r="AYW85" s="0"/>
      <c r="AYX85" s="0"/>
      <c r="AYY85" s="0"/>
      <c r="AYZ85" s="0"/>
      <c r="AZA85" s="0"/>
      <c r="AZB85" s="0"/>
      <c r="AZC85" s="0"/>
      <c r="AZD85" s="0"/>
      <c r="AZE85" s="0"/>
      <c r="AZF85" s="0"/>
      <c r="AZG85" s="0"/>
      <c r="AZH85" s="0"/>
      <c r="AZI85" s="0"/>
      <c r="AZJ85" s="0"/>
      <c r="AZK85" s="0"/>
      <c r="AZL85" s="0"/>
      <c r="AZM85" s="0"/>
      <c r="AZN85" s="0"/>
      <c r="AZO85" s="0"/>
      <c r="AZP85" s="0"/>
      <c r="AZQ85" s="0"/>
      <c r="AZR85" s="0"/>
      <c r="AZS85" s="0"/>
      <c r="AZT85" s="0"/>
      <c r="AZU85" s="0"/>
      <c r="AZV85" s="0"/>
      <c r="AZW85" s="0"/>
      <c r="AZX85" s="0"/>
      <c r="AZY85" s="0"/>
      <c r="AZZ85" s="0"/>
      <c r="BAA85" s="0"/>
      <c r="BAB85" s="0"/>
      <c r="BAC85" s="0"/>
      <c r="BAD85" s="0"/>
      <c r="BAE85" s="0"/>
      <c r="BAF85" s="0"/>
      <c r="BAG85" s="0"/>
      <c r="BAH85" s="0"/>
      <c r="BAI85" s="0"/>
      <c r="BAJ85" s="0"/>
      <c r="BAK85" s="0"/>
      <c r="BAL85" s="0"/>
      <c r="BAM85" s="0"/>
      <c r="BAN85" s="0"/>
      <c r="BAO85" s="0"/>
      <c r="BAP85" s="0"/>
      <c r="BAQ85" s="0"/>
      <c r="BAR85" s="0"/>
      <c r="BAS85" s="0"/>
      <c r="BAT85" s="0"/>
      <c r="BAU85" s="0"/>
      <c r="BAV85" s="0"/>
      <c r="BAW85" s="0"/>
      <c r="BAX85" s="0"/>
      <c r="BAY85" s="0"/>
      <c r="BAZ85" s="0"/>
      <c r="BBA85" s="0"/>
      <c r="BBB85" s="0"/>
      <c r="BBC85" s="0"/>
      <c r="BBD85" s="0"/>
      <c r="BBE85" s="0"/>
      <c r="BBF85" s="0"/>
      <c r="BBG85" s="0"/>
      <c r="BBH85" s="0"/>
      <c r="BBI85" s="0"/>
      <c r="BBJ85" s="0"/>
      <c r="BBK85" s="0"/>
      <c r="BBL85" s="0"/>
      <c r="BBM85" s="0"/>
      <c r="BBN85" s="0"/>
      <c r="BBO85" s="0"/>
      <c r="BBP85" s="0"/>
      <c r="BBQ85" s="0"/>
      <c r="BBR85" s="0"/>
      <c r="BBS85" s="0"/>
      <c r="BBT85" s="0"/>
      <c r="BBU85" s="0"/>
      <c r="BBV85" s="0"/>
      <c r="BBW85" s="0"/>
      <c r="BBX85" s="0"/>
      <c r="BBY85" s="0"/>
      <c r="BBZ85" s="0"/>
      <c r="BCA85" s="0"/>
      <c r="BCB85" s="0"/>
      <c r="BCC85" s="0"/>
      <c r="BCD85" s="0"/>
      <c r="BCE85" s="0"/>
      <c r="BCF85" s="0"/>
      <c r="BCG85" s="0"/>
      <c r="BCH85" s="0"/>
      <c r="BCI85" s="0"/>
      <c r="BCJ85" s="0"/>
      <c r="BCK85" s="0"/>
      <c r="BCL85" s="0"/>
      <c r="BCM85" s="0"/>
      <c r="BCN85" s="0"/>
      <c r="BCO85" s="0"/>
      <c r="BCP85" s="0"/>
      <c r="BCQ85" s="0"/>
      <c r="BCR85" s="0"/>
      <c r="BCS85" s="0"/>
      <c r="BCT85" s="0"/>
      <c r="BCU85" s="0"/>
      <c r="BCV85" s="0"/>
      <c r="BCW85" s="0"/>
      <c r="BCX85" s="0"/>
      <c r="BCY85" s="0"/>
      <c r="BCZ85" s="0"/>
      <c r="BDA85" s="0"/>
      <c r="BDB85" s="0"/>
      <c r="BDC85" s="0"/>
      <c r="BDD85" s="0"/>
      <c r="BDE85" s="0"/>
      <c r="BDF85" s="0"/>
      <c r="BDG85" s="0"/>
      <c r="BDH85" s="0"/>
      <c r="BDI85" s="0"/>
      <c r="BDJ85" s="0"/>
      <c r="BDK85" s="0"/>
      <c r="BDL85" s="0"/>
      <c r="BDM85" s="0"/>
      <c r="BDN85" s="0"/>
      <c r="BDO85" s="0"/>
      <c r="BDP85" s="0"/>
      <c r="BDQ85" s="0"/>
      <c r="BDR85" s="0"/>
      <c r="BDS85" s="0"/>
      <c r="BDT85" s="0"/>
      <c r="BDU85" s="0"/>
      <c r="BDV85" s="0"/>
      <c r="BDW85" s="0"/>
      <c r="BDX85" s="0"/>
      <c r="BDY85" s="0"/>
      <c r="BDZ85" s="0"/>
      <c r="BEA85" s="0"/>
      <c r="BEB85" s="0"/>
      <c r="BEC85" s="0"/>
      <c r="BED85" s="0"/>
      <c r="BEE85" s="0"/>
      <c r="BEF85" s="0"/>
      <c r="BEG85" s="0"/>
      <c r="BEH85" s="0"/>
      <c r="BEI85" s="0"/>
      <c r="BEJ85" s="0"/>
      <c r="BEK85" s="0"/>
      <c r="BEL85" s="0"/>
      <c r="BEM85" s="0"/>
      <c r="BEN85" s="0"/>
      <c r="BEO85" s="0"/>
      <c r="BEP85" s="0"/>
      <c r="BEQ85" s="0"/>
      <c r="BER85" s="0"/>
      <c r="BES85" s="0"/>
      <c r="BET85" s="0"/>
      <c r="BEU85" s="0"/>
      <c r="BEV85" s="0"/>
      <c r="BEW85" s="0"/>
      <c r="BEX85" s="0"/>
      <c r="BEY85" s="0"/>
      <c r="BEZ85" s="0"/>
      <c r="BFA85" s="0"/>
      <c r="BFB85" s="0"/>
      <c r="BFC85" s="0"/>
      <c r="BFD85" s="0"/>
      <c r="BFE85" s="0"/>
      <c r="BFF85" s="0"/>
      <c r="BFG85" s="0"/>
      <c r="BFH85" s="0"/>
      <c r="BFI85" s="0"/>
      <c r="BFJ85" s="0"/>
      <c r="BFK85" s="0"/>
      <c r="BFL85" s="0"/>
      <c r="BFM85" s="0"/>
      <c r="BFN85" s="0"/>
      <c r="BFO85" s="0"/>
      <c r="BFP85" s="0"/>
      <c r="BFQ85" s="0"/>
      <c r="BFR85" s="0"/>
      <c r="BFS85" s="0"/>
      <c r="BFT85" s="0"/>
      <c r="BFU85" s="0"/>
      <c r="BFV85" s="0"/>
      <c r="BFW85" s="0"/>
      <c r="BFX85" s="0"/>
      <c r="BFY85" s="0"/>
      <c r="BFZ85" s="0"/>
      <c r="BGA85" s="0"/>
      <c r="BGB85" s="0"/>
      <c r="BGC85" s="0"/>
      <c r="BGD85" s="0"/>
      <c r="BGE85" s="0"/>
      <c r="BGF85" s="0"/>
      <c r="BGG85" s="0"/>
      <c r="BGH85" s="0"/>
      <c r="BGI85" s="0"/>
      <c r="BGJ85" s="0"/>
      <c r="BGK85" s="0"/>
      <c r="BGL85" s="0"/>
      <c r="BGM85" s="0"/>
      <c r="BGN85" s="0"/>
      <c r="BGO85" s="0"/>
      <c r="BGP85" s="0"/>
      <c r="BGQ85" s="0"/>
      <c r="BGR85" s="0"/>
      <c r="BGS85" s="0"/>
      <c r="BGT85" s="0"/>
      <c r="BGU85" s="0"/>
      <c r="BGV85" s="0"/>
      <c r="BGW85" s="0"/>
      <c r="BGX85" s="0"/>
      <c r="BGY85" s="0"/>
      <c r="BGZ85" s="0"/>
      <c r="BHA85" s="0"/>
      <c r="BHB85" s="0"/>
      <c r="BHC85" s="0"/>
      <c r="BHD85" s="0"/>
      <c r="BHE85" s="0"/>
      <c r="BHF85" s="0"/>
      <c r="BHG85" s="0"/>
      <c r="BHH85" s="0"/>
      <c r="BHI85" s="0"/>
      <c r="BHJ85" s="0"/>
      <c r="BHK85" s="0"/>
      <c r="BHL85" s="0"/>
      <c r="BHM85" s="0"/>
      <c r="BHN85" s="0"/>
      <c r="BHO85" s="0"/>
      <c r="BHP85" s="0"/>
      <c r="BHQ85" s="0"/>
      <c r="BHR85" s="0"/>
      <c r="BHS85" s="0"/>
      <c r="BHT85" s="0"/>
      <c r="BHU85" s="0"/>
      <c r="BHV85" s="0"/>
      <c r="BHW85" s="0"/>
      <c r="BHX85" s="0"/>
      <c r="BHY85" s="0"/>
      <c r="BHZ85" s="0"/>
      <c r="BIA85" s="0"/>
      <c r="BIB85" s="0"/>
      <c r="BIC85" s="0"/>
      <c r="BID85" s="0"/>
      <c r="BIE85" s="0"/>
      <c r="BIF85" s="0"/>
      <c r="BIG85" s="0"/>
      <c r="BIH85" s="0"/>
      <c r="BII85" s="0"/>
      <c r="BIJ85" s="0"/>
      <c r="BIK85" s="0"/>
      <c r="BIL85" s="0"/>
      <c r="BIM85" s="0"/>
      <c r="BIN85" s="0"/>
      <c r="BIO85" s="0"/>
      <c r="BIP85" s="0"/>
      <c r="BIQ85" s="0"/>
      <c r="BIR85" s="0"/>
      <c r="BIS85" s="0"/>
      <c r="BIT85" s="0"/>
      <c r="BIU85" s="0"/>
      <c r="BIV85" s="0"/>
      <c r="BIW85" s="0"/>
      <c r="BIX85" s="0"/>
      <c r="BIY85" s="0"/>
      <c r="BIZ85" s="0"/>
      <c r="BJA85" s="0"/>
      <c r="BJB85" s="0"/>
      <c r="BJC85" s="0"/>
      <c r="BJD85" s="0"/>
      <c r="BJE85" s="0"/>
      <c r="BJF85" s="0"/>
      <c r="BJG85" s="0"/>
      <c r="BJH85" s="0"/>
      <c r="BJI85" s="0"/>
      <c r="BJJ85" s="0"/>
      <c r="BJK85" s="0"/>
      <c r="BJL85" s="0"/>
      <c r="BJM85" s="0"/>
      <c r="BJN85" s="0"/>
      <c r="BJO85" s="0"/>
      <c r="BJP85" s="0"/>
      <c r="BJQ85" s="0"/>
      <c r="BJR85" s="0"/>
      <c r="BJS85" s="0"/>
      <c r="BJT85" s="0"/>
      <c r="BJU85" s="0"/>
      <c r="BJV85" s="0"/>
      <c r="BJW85" s="0"/>
      <c r="BJX85" s="0"/>
      <c r="BJY85" s="0"/>
      <c r="BJZ85" s="0"/>
      <c r="BKA85" s="0"/>
      <c r="BKB85" s="0"/>
      <c r="BKC85" s="0"/>
      <c r="BKD85" s="0"/>
      <c r="BKE85" s="0"/>
      <c r="BKF85" s="0"/>
      <c r="BKG85" s="0"/>
      <c r="BKH85" s="0"/>
      <c r="BKI85" s="0"/>
      <c r="BKJ85" s="0"/>
      <c r="BKK85" s="0"/>
      <c r="BKL85" s="0"/>
      <c r="BKM85" s="0"/>
      <c r="BKN85" s="0"/>
      <c r="BKO85" s="0"/>
      <c r="BKP85" s="0"/>
      <c r="BKQ85" s="0"/>
      <c r="BKR85" s="0"/>
      <c r="BKS85" s="0"/>
      <c r="BKT85" s="0"/>
      <c r="BKU85" s="0"/>
      <c r="BKV85" s="0"/>
      <c r="BKW85" s="0"/>
      <c r="BKX85" s="0"/>
      <c r="BKY85" s="0"/>
      <c r="BKZ85" s="0"/>
      <c r="BLA85" s="0"/>
      <c r="BLB85" s="0"/>
      <c r="BLC85" s="0"/>
      <c r="BLD85" s="0"/>
      <c r="BLE85" s="0"/>
      <c r="BLF85" s="0"/>
      <c r="BLG85" s="0"/>
      <c r="BLH85" s="0"/>
      <c r="BLI85" s="0"/>
      <c r="BLJ85" s="0"/>
      <c r="BLK85" s="0"/>
      <c r="BLL85" s="0"/>
      <c r="BLM85" s="0"/>
      <c r="BLN85" s="0"/>
      <c r="BLO85" s="0"/>
      <c r="BLP85" s="0"/>
      <c r="BLQ85" s="0"/>
      <c r="BLR85" s="0"/>
      <c r="BLS85" s="0"/>
      <c r="BLT85" s="0"/>
      <c r="BLU85" s="0"/>
      <c r="BLV85" s="0"/>
      <c r="BLW85" s="0"/>
      <c r="BLX85" s="0"/>
      <c r="BLY85" s="0"/>
      <c r="BLZ85" s="0"/>
      <c r="BMA85" s="0"/>
      <c r="BMB85" s="0"/>
      <c r="BMC85" s="0"/>
      <c r="BMD85" s="0"/>
      <c r="BME85" s="0"/>
      <c r="BMF85" s="0"/>
      <c r="BMG85" s="0"/>
      <c r="BMH85" s="0"/>
      <c r="BMI85" s="0"/>
      <c r="BMJ85" s="0"/>
      <c r="BMK85" s="0"/>
      <c r="BML85" s="0"/>
      <c r="BMM85" s="0"/>
      <c r="BMN85" s="0"/>
      <c r="BMO85" s="0"/>
      <c r="BMP85" s="0"/>
      <c r="BMQ85" s="0"/>
      <c r="BMR85" s="0"/>
      <c r="BMS85" s="0"/>
      <c r="BMT85" s="0"/>
      <c r="BMU85" s="0"/>
      <c r="BMV85" s="0"/>
      <c r="BMW85" s="0"/>
      <c r="BMX85" s="0"/>
      <c r="BMY85" s="0"/>
      <c r="BMZ85" s="0"/>
      <c r="BNA85" s="0"/>
      <c r="BNB85" s="0"/>
      <c r="BNC85" s="0"/>
      <c r="BND85" s="0"/>
      <c r="BNE85" s="0"/>
      <c r="BNF85" s="0"/>
      <c r="BNG85" s="0"/>
      <c r="BNH85" s="0"/>
      <c r="BNI85" s="0"/>
      <c r="BNJ85" s="0"/>
      <c r="BNK85" s="0"/>
      <c r="BNL85" s="0"/>
      <c r="BNM85" s="0"/>
      <c r="BNN85" s="0"/>
      <c r="BNO85" s="0"/>
      <c r="BNP85" s="0"/>
      <c r="BNQ85" s="0"/>
      <c r="BNR85" s="0"/>
      <c r="BNS85" s="0"/>
      <c r="BNT85" s="0"/>
      <c r="BNU85" s="0"/>
      <c r="BNV85" s="0"/>
      <c r="BNW85" s="0"/>
      <c r="BNX85" s="0"/>
      <c r="BNY85" s="0"/>
      <c r="BNZ85" s="0"/>
      <c r="BOA85" s="0"/>
      <c r="BOB85" s="0"/>
      <c r="BOC85" s="0"/>
      <c r="BOD85" s="0"/>
      <c r="BOE85" s="0"/>
      <c r="BOF85" s="0"/>
      <c r="BOG85" s="0"/>
      <c r="BOH85" s="0"/>
      <c r="BOI85" s="0"/>
      <c r="BOJ85" s="0"/>
      <c r="BOK85" s="0"/>
      <c r="BOL85" s="0"/>
      <c r="BOM85" s="0"/>
      <c r="BON85" s="0"/>
      <c r="BOO85" s="0"/>
      <c r="BOP85" s="0"/>
      <c r="BOQ85" s="0"/>
      <c r="BOR85" s="0"/>
      <c r="BOS85" s="0"/>
      <c r="BOT85" s="0"/>
      <c r="BOU85" s="0"/>
      <c r="BOV85" s="0"/>
      <c r="BOW85" s="0"/>
      <c r="BOX85" s="0"/>
      <c r="BOY85" s="0"/>
      <c r="BOZ85" s="0"/>
      <c r="BPA85" s="0"/>
      <c r="BPB85" s="0"/>
      <c r="BPC85" s="0"/>
      <c r="BPD85" s="0"/>
      <c r="BPE85" s="0"/>
      <c r="BPF85" s="0"/>
      <c r="BPG85" s="0"/>
      <c r="BPH85" s="0"/>
      <c r="BPI85" s="0"/>
      <c r="BPJ85" s="0"/>
      <c r="BPK85" s="0"/>
      <c r="BPL85" s="0"/>
      <c r="BPM85" s="0"/>
      <c r="BPN85" s="0"/>
      <c r="BPO85" s="0"/>
      <c r="BPP85" s="0"/>
      <c r="BPQ85" s="0"/>
      <c r="BPR85" s="0"/>
      <c r="BPS85" s="0"/>
      <c r="BPT85" s="0"/>
      <c r="BPU85" s="0"/>
      <c r="BPV85" s="0"/>
      <c r="BPW85" s="0"/>
      <c r="BPX85" s="0"/>
      <c r="BPY85" s="0"/>
      <c r="BPZ85" s="0"/>
      <c r="BQA85" s="0"/>
      <c r="BQB85" s="0"/>
      <c r="BQC85" s="0"/>
      <c r="BQD85" s="0"/>
      <c r="BQE85" s="0"/>
      <c r="BQF85" s="0"/>
      <c r="BQG85" s="0"/>
      <c r="BQH85" s="0"/>
      <c r="BQI85" s="0"/>
      <c r="BQJ85" s="0"/>
      <c r="BQK85" s="0"/>
      <c r="BQL85" s="0"/>
      <c r="BQM85" s="0"/>
      <c r="BQN85" s="0"/>
      <c r="BQO85" s="0"/>
      <c r="BQP85" s="0"/>
      <c r="BQQ85" s="0"/>
      <c r="BQR85" s="0"/>
      <c r="BQS85" s="0"/>
      <c r="BQT85" s="0"/>
      <c r="BQU85" s="0"/>
      <c r="BQV85" s="0"/>
      <c r="BQW85" s="0"/>
      <c r="BQX85" s="0"/>
      <c r="BQY85" s="0"/>
      <c r="BQZ85" s="0"/>
      <c r="BRA85" s="0"/>
      <c r="BRB85" s="0"/>
      <c r="BRC85" s="0"/>
      <c r="BRD85" s="0"/>
      <c r="BRE85" s="0"/>
      <c r="BRF85" s="0"/>
      <c r="BRG85" s="0"/>
      <c r="BRH85" s="0"/>
      <c r="BRI85" s="0"/>
      <c r="BRJ85" s="0"/>
      <c r="BRK85" s="0"/>
      <c r="BRL85" s="0"/>
      <c r="BRM85" s="0"/>
      <c r="BRN85" s="0"/>
      <c r="BRO85" s="0"/>
      <c r="BRP85" s="0"/>
      <c r="BRQ85" s="0"/>
      <c r="BRR85" s="0"/>
      <c r="BRS85" s="0"/>
      <c r="BRT85" s="0"/>
      <c r="BRU85" s="0"/>
      <c r="BRV85" s="0"/>
      <c r="BRW85" s="0"/>
      <c r="BRX85" s="0"/>
      <c r="BRY85" s="0"/>
      <c r="BRZ85" s="0"/>
      <c r="BSA85" s="0"/>
      <c r="BSB85" s="0"/>
      <c r="BSC85" s="0"/>
      <c r="BSD85" s="0"/>
      <c r="BSE85" s="0"/>
      <c r="BSF85" s="0"/>
      <c r="BSG85" s="0"/>
      <c r="BSH85" s="0"/>
      <c r="BSI85" s="0"/>
      <c r="BSJ85" s="0"/>
      <c r="BSK85" s="0"/>
      <c r="BSL85" s="0"/>
      <c r="BSM85" s="0"/>
      <c r="BSN85" s="0"/>
      <c r="BSO85" s="0"/>
      <c r="BSP85" s="0"/>
      <c r="BSQ85" s="0"/>
      <c r="BSR85" s="0"/>
      <c r="BSS85" s="0"/>
      <c r="BST85" s="0"/>
      <c r="BSU85" s="0"/>
      <c r="BSV85" s="0"/>
      <c r="BSW85" s="0"/>
      <c r="BSX85" s="0"/>
      <c r="BSY85" s="0"/>
      <c r="BSZ85" s="0"/>
      <c r="BTA85" s="0"/>
      <c r="BTB85" s="0"/>
      <c r="BTC85" s="0"/>
      <c r="BTD85" s="0"/>
      <c r="BTE85" s="0"/>
      <c r="BTF85" s="0"/>
      <c r="BTG85" s="0"/>
      <c r="BTH85" s="0"/>
      <c r="BTI85" s="0"/>
      <c r="BTJ85" s="0"/>
      <c r="BTK85" s="0"/>
      <c r="BTL85" s="0"/>
      <c r="BTM85" s="0"/>
      <c r="BTN85" s="0"/>
      <c r="BTO85" s="0"/>
      <c r="BTP85" s="0"/>
      <c r="BTQ85" s="0"/>
      <c r="BTR85" s="0"/>
      <c r="BTS85" s="0"/>
      <c r="BTT85" s="0"/>
      <c r="BTU85" s="0"/>
      <c r="BTV85" s="0"/>
      <c r="BTW85" s="0"/>
      <c r="BTX85" s="0"/>
      <c r="BTY85" s="0"/>
      <c r="BTZ85" s="0"/>
      <c r="BUA85" s="0"/>
      <c r="BUB85" s="0"/>
      <c r="BUC85" s="0"/>
      <c r="BUD85" s="0"/>
      <c r="BUE85" s="0"/>
      <c r="BUF85" s="0"/>
      <c r="BUG85" s="0"/>
      <c r="BUH85" s="0"/>
      <c r="BUI85" s="0"/>
      <c r="BUJ85" s="0"/>
      <c r="BUK85" s="0"/>
      <c r="BUL85" s="0"/>
      <c r="BUM85" s="0"/>
      <c r="BUN85" s="0"/>
      <c r="BUO85" s="0"/>
      <c r="BUP85" s="0"/>
      <c r="BUQ85" s="0"/>
      <c r="BUR85" s="0"/>
      <c r="BUS85" s="0"/>
      <c r="BUT85" s="0"/>
      <c r="BUU85" s="0"/>
      <c r="BUV85" s="0"/>
      <c r="BUW85" s="0"/>
      <c r="BUX85" s="0"/>
      <c r="BUY85" s="0"/>
      <c r="BUZ85" s="0"/>
      <c r="BVA85" s="0"/>
      <c r="BVB85" s="0"/>
      <c r="BVC85" s="0"/>
      <c r="BVD85" s="0"/>
      <c r="BVE85" s="0"/>
      <c r="BVF85" s="0"/>
      <c r="BVG85" s="0"/>
      <c r="BVH85" s="0"/>
      <c r="BVI85" s="0"/>
      <c r="BVJ85" s="0"/>
      <c r="BVK85" s="0"/>
      <c r="BVL85" s="0"/>
      <c r="BVM85" s="0"/>
      <c r="BVN85" s="0"/>
      <c r="BVO85" s="0"/>
      <c r="BVP85" s="0"/>
      <c r="BVQ85" s="0"/>
      <c r="BVR85" s="0"/>
      <c r="BVS85" s="0"/>
      <c r="BVT85" s="0"/>
      <c r="BVU85" s="0"/>
      <c r="BVV85" s="0"/>
      <c r="BVW85" s="0"/>
      <c r="BVX85" s="0"/>
      <c r="BVY85" s="0"/>
      <c r="BVZ85" s="0"/>
      <c r="BWA85" s="0"/>
      <c r="BWB85" s="0"/>
      <c r="BWC85" s="0"/>
      <c r="BWD85" s="0"/>
      <c r="BWE85" s="0"/>
      <c r="BWF85" s="0"/>
      <c r="BWG85" s="0"/>
      <c r="BWH85" s="0"/>
      <c r="BWI85" s="0"/>
      <c r="BWJ85" s="0"/>
      <c r="BWK85" s="0"/>
      <c r="BWL85" s="0"/>
      <c r="BWM85" s="0"/>
      <c r="BWN85" s="0"/>
      <c r="BWO85" s="0"/>
      <c r="BWP85" s="0"/>
      <c r="BWQ85" s="0"/>
      <c r="BWR85" s="0"/>
      <c r="BWS85" s="0"/>
      <c r="BWT85" s="0"/>
      <c r="BWU85" s="0"/>
      <c r="BWV85" s="0"/>
      <c r="BWW85" s="0"/>
      <c r="BWX85" s="0"/>
      <c r="BWY85" s="0"/>
      <c r="BWZ85" s="0"/>
      <c r="BXA85" s="0"/>
      <c r="BXB85" s="0"/>
      <c r="BXC85" s="0"/>
      <c r="BXD85" s="0"/>
      <c r="BXE85" s="0"/>
      <c r="BXF85" s="0"/>
      <c r="BXG85" s="0"/>
      <c r="BXH85" s="0"/>
      <c r="BXI85" s="0"/>
      <c r="BXJ85" s="0"/>
      <c r="BXK85" s="0"/>
      <c r="BXL85" s="0"/>
      <c r="BXM85" s="0"/>
      <c r="BXN85" s="0"/>
      <c r="BXO85" s="0"/>
      <c r="BXP85" s="0"/>
      <c r="BXQ85" s="0"/>
      <c r="BXR85" s="0"/>
      <c r="BXS85" s="0"/>
      <c r="BXT85" s="0"/>
      <c r="BXU85" s="0"/>
      <c r="BXV85" s="0"/>
      <c r="BXW85" s="0"/>
      <c r="BXX85" s="0"/>
      <c r="BXY85" s="0"/>
      <c r="BXZ85" s="0"/>
      <c r="BYA85" s="0"/>
      <c r="BYB85" s="0"/>
      <c r="BYC85" s="0"/>
      <c r="BYD85" s="0"/>
      <c r="BYE85" s="0"/>
      <c r="BYF85" s="0"/>
      <c r="BYG85" s="0"/>
      <c r="BYH85" s="0"/>
      <c r="BYI85" s="0"/>
      <c r="BYJ85" s="0"/>
      <c r="BYK85" s="0"/>
      <c r="BYL85" s="0"/>
      <c r="BYM85" s="0"/>
      <c r="BYN85" s="0"/>
      <c r="BYO85" s="0"/>
      <c r="BYP85" s="0"/>
      <c r="BYQ85" s="0"/>
      <c r="BYR85" s="0"/>
      <c r="BYS85" s="0"/>
      <c r="BYT85" s="0"/>
      <c r="BYU85" s="0"/>
      <c r="BYV85" s="0"/>
      <c r="BYW85" s="0"/>
      <c r="BYX85" s="0"/>
      <c r="BYY85" s="0"/>
      <c r="BYZ85" s="0"/>
      <c r="BZA85" s="0"/>
      <c r="BZB85" s="0"/>
      <c r="BZC85" s="0"/>
      <c r="BZD85" s="0"/>
      <c r="BZE85" s="0"/>
      <c r="BZF85" s="0"/>
      <c r="BZG85" s="0"/>
      <c r="BZH85" s="0"/>
      <c r="BZI85" s="0"/>
      <c r="BZJ85" s="0"/>
      <c r="BZK85" s="0"/>
      <c r="BZL85" s="0"/>
      <c r="BZM85" s="0"/>
      <c r="BZN85" s="0"/>
      <c r="BZO85" s="0"/>
      <c r="BZP85" s="0"/>
      <c r="BZQ85" s="0"/>
      <c r="BZR85" s="0"/>
      <c r="BZS85" s="0"/>
      <c r="BZT85" s="0"/>
      <c r="BZU85" s="0"/>
      <c r="BZV85" s="0"/>
      <c r="BZW85" s="0"/>
      <c r="BZX85" s="0"/>
      <c r="BZY85" s="0"/>
      <c r="BZZ85" s="0"/>
      <c r="CAA85" s="0"/>
      <c r="CAB85" s="0"/>
      <c r="CAC85" s="0"/>
      <c r="CAD85" s="0"/>
      <c r="CAE85" s="0"/>
      <c r="CAF85" s="0"/>
      <c r="CAG85" s="0"/>
      <c r="CAH85" s="0"/>
      <c r="CAI85" s="0"/>
      <c r="CAJ85" s="0"/>
      <c r="CAK85" s="0"/>
      <c r="CAL85" s="0"/>
      <c r="CAM85" s="0"/>
      <c r="CAN85" s="0"/>
      <c r="CAO85" s="0"/>
      <c r="CAP85" s="0"/>
      <c r="CAQ85" s="0"/>
      <c r="CAR85" s="0"/>
      <c r="CAS85" s="0"/>
      <c r="CAT85" s="0"/>
      <c r="CAU85" s="0"/>
      <c r="CAV85" s="0"/>
      <c r="CAW85" s="0"/>
      <c r="CAX85" s="0"/>
      <c r="CAY85" s="0"/>
      <c r="CAZ85" s="0"/>
      <c r="CBA85" s="0"/>
      <c r="CBB85" s="0"/>
      <c r="CBC85" s="0"/>
      <c r="CBD85" s="0"/>
      <c r="CBE85" s="0"/>
      <c r="CBF85" s="0"/>
      <c r="CBG85" s="0"/>
      <c r="CBH85" s="0"/>
      <c r="CBI85" s="0"/>
      <c r="CBJ85" s="0"/>
      <c r="CBK85" s="0"/>
      <c r="CBL85" s="0"/>
      <c r="CBM85" s="0"/>
      <c r="CBN85" s="0"/>
      <c r="CBO85" s="0"/>
      <c r="CBP85" s="0"/>
      <c r="CBQ85" s="0"/>
      <c r="CBR85" s="0"/>
      <c r="CBS85" s="0"/>
      <c r="CBT85" s="0"/>
      <c r="CBU85" s="0"/>
      <c r="CBV85" s="0"/>
      <c r="CBW85" s="0"/>
      <c r="CBX85" s="0"/>
      <c r="CBY85" s="0"/>
      <c r="CBZ85" s="0"/>
      <c r="CCA85" s="0"/>
      <c r="CCB85" s="0"/>
      <c r="CCC85" s="0"/>
      <c r="CCD85" s="0"/>
      <c r="CCE85" s="0"/>
      <c r="CCF85" s="0"/>
      <c r="CCG85" s="0"/>
      <c r="CCH85" s="0"/>
      <c r="CCI85" s="0"/>
      <c r="CCJ85" s="0"/>
      <c r="CCK85" s="0"/>
      <c r="CCL85" s="0"/>
      <c r="CCM85" s="0"/>
      <c r="CCN85" s="0"/>
      <c r="CCO85" s="0"/>
      <c r="CCP85" s="0"/>
      <c r="CCQ85" s="0"/>
      <c r="CCR85" s="0"/>
      <c r="CCS85" s="0"/>
      <c r="CCT85" s="0"/>
      <c r="CCU85" s="0"/>
      <c r="CCV85" s="0"/>
      <c r="CCW85" s="0"/>
      <c r="CCX85" s="0"/>
      <c r="CCY85" s="0"/>
      <c r="CCZ85" s="0"/>
      <c r="CDA85" s="0"/>
      <c r="CDB85" s="0"/>
      <c r="CDC85" s="0"/>
      <c r="CDD85" s="0"/>
      <c r="CDE85" s="0"/>
      <c r="CDF85" s="0"/>
      <c r="CDG85" s="0"/>
      <c r="CDH85" s="0"/>
      <c r="CDI85" s="0"/>
      <c r="CDJ85" s="0"/>
      <c r="CDK85" s="0"/>
      <c r="CDL85" s="0"/>
      <c r="CDM85" s="0"/>
      <c r="CDN85" s="0"/>
      <c r="CDO85" s="0"/>
      <c r="CDP85" s="0"/>
      <c r="CDQ85" s="0"/>
      <c r="CDR85" s="0"/>
      <c r="CDS85" s="0"/>
      <c r="CDT85" s="0"/>
      <c r="CDU85" s="0"/>
      <c r="CDV85" s="0"/>
      <c r="CDW85" s="0"/>
      <c r="CDX85" s="0"/>
      <c r="CDY85" s="0"/>
      <c r="CDZ85" s="0"/>
      <c r="CEA85" s="0"/>
      <c r="CEB85" s="0"/>
      <c r="CEC85" s="0"/>
      <c r="CED85" s="0"/>
      <c r="CEE85" s="0"/>
      <c r="CEF85" s="0"/>
      <c r="CEG85" s="0"/>
      <c r="CEH85" s="0"/>
      <c r="CEI85" s="0"/>
      <c r="CEJ85" s="0"/>
      <c r="CEK85" s="0"/>
      <c r="CEL85" s="0"/>
      <c r="CEM85" s="0"/>
      <c r="CEN85" s="0"/>
      <c r="CEO85" s="0"/>
      <c r="CEP85" s="0"/>
      <c r="CEQ85" s="0"/>
      <c r="CER85" s="0"/>
      <c r="CES85" s="0"/>
      <c r="CET85" s="0"/>
      <c r="CEU85" s="0"/>
      <c r="CEV85" s="0"/>
      <c r="CEW85" s="0"/>
      <c r="CEX85" s="0"/>
      <c r="CEY85" s="0"/>
      <c r="CEZ85" s="0"/>
      <c r="CFA85" s="0"/>
      <c r="CFB85" s="0"/>
      <c r="CFC85" s="0"/>
      <c r="CFD85" s="0"/>
      <c r="CFE85" s="0"/>
      <c r="CFF85" s="0"/>
      <c r="CFG85" s="0"/>
      <c r="CFH85" s="0"/>
      <c r="CFI85" s="0"/>
      <c r="CFJ85" s="0"/>
      <c r="CFK85" s="0"/>
      <c r="CFL85" s="0"/>
      <c r="CFM85" s="0"/>
      <c r="CFN85" s="0"/>
      <c r="CFO85" s="0"/>
      <c r="CFP85" s="0"/>
      <c r="CFQ85" s="0"/>
      <c r="CFR85" s="0"/>
      <c r="CFS85" s="0"/>
      <c r="CFT85" s="0"/>
      <c r="CFU85" s="0"/>
      <c r="CFV85" s="0"/>
      <c r="CFW85" s="0"/>
      <c r="CFX85" s="0"/>
      <c r="CFY85" s="0"/>
      <c r="CFZ85" s="0"/>
      <c r="CGA85" s="0"/>
      <c r="CGB85" s="0"/>
      <c r="CGC85" s="0"/>
      <c r="CGD85" s="0"/>
      <c r="CGE85" s="0"/>
      <c r="CGF85" s="0"/>
      <c r="CGG85" s="0"/>
      <c r="CGH85" s="0"/>
      <c r="CGI85" s="0"/>
      <c r="CGJ85" s="0"/>
      <c r="CGK85" s="0"/>
      <c r="CGL85" s="0"/>
      <c r="CGM85" s="0"/>
      <c r="CGN85" s="0"/>
      <c r="CGO85" s="0"/>
      <c r="CGP85" s="0"/>
      <c r="CGQ85" s="0"/>
      <c r="CGR85" s="0"/>
      <c r="CGS85" s="0"/>
      <c r="CGT85" s="0"/>
      <c r="CGU85" s="0"/>
      <c r="CGV85" s="0"/>
      <c r="CGW85" s="0"/>
      <c r="CGX85" s="0"/>
      <c r="CGY85" s="0"/>
      <c r="CGZ85" s="0"/>
      <c r="CHA85" s="0"/>
      <c r="CHB85" s="0"/>
      <c r="CHC85" s="0"/>
      <c r="CHD85" s="0"/>
      <c r="CHE85" s="0"/>
      <c r="CHF85" s="0"/>
      <c r="CHG85" s="0"/>
      <c r="CHH85" s="0"/>
      <c r="CHI85" s="0"/>
      <c r="CHJ85" s="0"/>
      <c r="CHK85" s="0"/>
      <c r="CHL85" s="0"/>
      <c r="CHM85" s="0"/>
      <c r="CHN85" s="0"/>
      <c r="CHO85" s="0"/>
      <c r="CHP85" s="0"/>
      <c r="CHQ85" s="0"/>
      <c r="CHR85" s="0"/>
      <c r="CHS85" s="0"/>
      <c r="CHT85" s="0"/>
      <c r="CHU85" s="0"/>
      <c r="CHV85" s="0"/>
      <c r="CHW85" s="0"/>
      <c r="CHX85" s="0"/>
      <c r="CHY85" s="0"/>
      <c r="CHZ85" s="0"/>
      <c r="CIA85" s="0"/>
      <c r="CIB85" s="0"/>
      <c r="CIC85" s="0"/>
      <c r="CID85" s="0"/>
      <c r="CIE85" s="0"/>
      <c r="CIF85" s="0"/>
      <c r="CIG85" s="0"/>
      <c r="CIH85" s="0"/>
      <c r="CII85" s="0"/>
      <c r="CIJ85" s="0"/>
      <c r="CIK85" s="0"/>
      <c r="CIL85" s="0"/>
      <c r="CIM85" s="0"/>
      <c r="CIN85" s="0"/>
      <c r="CIO85" s="0"/>
      <c r="CIP85" s="0"/>
      <c r="CIQ85" s="0"/>
      <c r="CIR85" s="0"/>
      <c r="CIS85" s="0"/>
      <c r="CIT85" s="0"/>
      <c r="CIU85" s="0"/>
      <c r="CIV85" s="0"/>
      <c r="CIW85" s="0"/>
      <c r="CIX85" s="0"/>
      <c r="CIY85" s="0"/>
      <c r="CIZ85" s="0"/>
      <c r="CJA85" s="0"/>
      <c r="CJB85" s="0"/>
      <c r="CJC85" s="0"/>
      <c r="CJD85" s="0"/>
      <c r="CJE85" s="0"/>
      <c r="CJF85" s="0"/>
      <c r="CJG85" s="0"/>
      <c r="CJH85" s="0"/>
      <c r="CJI85" s="0"/>
      <c r="CJJ85" s="0"/>
      <c r="CJK85" s="0"/>
      <c r="CJL85" s="0"/>
      <c r="CJM85" s="0"/>
      <c r="CJN85" s="0"/>
      <c r="CJO85" s="0"/>
      <c r="CJP85" s="0"/>
      <c r="CJQ85" s="0"/>
      <c r="CJR85" s="0"/>
      <c r="CJS85" s="0"/>
      <c r="CJT85" s="0"/>
      <c r="CJU85" s="0"/>
      <c r="CJV85" s="0"/>
      <c r="CJW85" s="0"/>
      <c r="CJX85" s="0"/>
      <c r="CJY85" s="0"/>
      <c r="CJZ85" s="0"/>
      <c r="CKA85" s="0"/>
      <c r="CKB85" s="0"/>
      <c r="CKC85" s="0"/>
      <c r="CKD85" s="0"/>
      <c r="CKE85" s="0"/>
      <c r="CKF85" s="0"/>
      <c r="CKG85" s="0"/>
      <c r="CKH85" s="0"/>
      <c r="CKI85" s="0"/>
      <c r="CKJ85" s="0"/>
      <c r="CKK85" s="0"/>
      <c r="CKL85" s="0"/>
      <c r="CKM85" s="0"/>
      <c r="CKN85" s="0"/>
      <c r="CKO85" s="0"/>
      <c r="CKP85" s="0"/>
      <c r="CKQ85" s="0"/>
      <c r="CKR85" s="0"/>
      <c r="CKS85" s="0"/>
      <c r="CKT85" s="0"/>
      <c r="CKU85" s="0"/>
      <c r="CKV85" s="0"/>
      <c r="CKW85" s="0"/>
      <c r="CKX85" s="0"/>
      <c r="CKY85" s="0"/>
      <c r="CKZ85" s="0"/>
      <c r="CLA85" s="0"/>
      <c r="CLB85" s="0"/>
      <c r="CLC85" s="0"/>
      <c r="CLD85" s="0"/>
      <c r="CLE85" s="0"/>
      <c r="CLF85" s="0"/>
      <c r="CLG85" s="0"/>
      <c r="CLH85" s="0"/>
      <c r="CLI85" s="0"/>
      <c r="CLJ85" s="0"/>
      <c r="CLK85" s="0"/>
      <c r="CLL85" s="0"/>
      <c r="CLM85" s="0"/>
      <c r="CLN85" s="0"/>
      <c r="CLO85" s="0"/>
      <c r="CLP85" s="0"/>
      <c r="CLQ85" s="0"/>
      <c r="CLR85" s="0"/>
      <c r="CLS85" s="0"/>
      <c r="CLT85" s="0"/>
      <c r="CLU85" s="0"/>
      <c r="CLV85" s="0"/>
      <c r="CLW85" s="0"/>
      <c r="CLX85" s="0"/>
      <c r="CLY85" s="0"/>
      <c r="CLZ85" s="0"/>
      <c r="CMA85" s="0"/>
      <c r="CMB85" s="0"/>
      <c r="CMC85" s="0"/>
      <c r="CMD85" s="0"/>
      <c r="CME85" s="0"/>
      <c r="CMF85" s="0"/>
      <c r="CMG85" s="0"/>
      <c r="CMH85" s="0"/>
      <c r="CMI85" s="0"/>
      <c r="CMJ85" s="0"/>
      <c r="CMK85" s="0"/>
      <c r="CML85" s="0"/>
      <c r="CMM85" s="0"/>
      <c r="CMN85" s="0"/>
      <c r="CMO85" s="0"/>
      <c r="CMP85" s="0"/>
      <c r="CMQ85" s="0"/>
      <c r="CMR85" s="0"/>
      <c r="CMS85" s="0"/>
      <c r="CMT85" s="0"/>
      <c r="CMU85" s="0"/>
      <c r="CMV85" s="0"/>
      <c r="CMW85" s="0"/>
      <c r="CMX85" s="0"/>
      <c r="CMY85" s="0"/>
      <c r="CMZ85" s="0"/>
      <c r="CNA85" s="0"/>
      <c r="CNB85" s="0"/>
      <c r="CNC85" s="0"/>
      <c r="CND85" s="0"/>
      <c r="CNE85" s="0"/>
      <c r="CNF85" s="0"/>
      <c r="CNG85" s="0"/>
      <c r="CNH85" s="0"/>
      <c r="CNI85" s="0"/>
      <c r="CNJ85" s="0"/>
      <c r="CNK85" s="0"/>
      <c r="CNL85" s="0"/>
      <c r="CNM85" s="0"/>
      <c r="CNN85" s="0"/>
      <c r="CNO85" s="0"/>
      <c r="CNP85" s="0"/>
      <c r="CNQ85" s="0"/>
      <c r="CNR85" s="0"/>
      <c r="CNS85" s="0"/>
      <c r="CNT85" s="0"/>
      <c r="CNU85" s="0"/>
      <c r="CNV85" s="0"/>
      <c r="CNW85" s="0"/>
      <c r="CNX85" s="0"/>
      <c r="CNY85" s="0"/>
      <c r="CNZ85" s="0"/>
      <c r="COA85" s="0"/>
      <c r="COB85" s="0"/>
      <c r="COC85" s="0"/>
      <c r="COD85" s="0"/>
      <c r="COE85" s="0"/>
      <c r="COF85" s="0"/>
      <c r="COG85" s="0"/>
      <c r="COH85" s="0"/>
      <c r="COI85" s="0"/>
      <c r="COJ85" s="0"/>
      <c r="COK85" s="0"/>
      <c r="COL85" s="0"/>
      <c r="COM85" s="0"/>
      <c r="CON85" s="0"/>
      <c r="COO85" s="0"/>
      <c r="COP85" s="0"/>
      <c r="COQ85" s="0"/>
      <c r="COR85" s="0"/>
      <c r="COS85" s="0"/>
      <c r="COT85" s="0"/>
      <c r="COU85" s="0"/>
      <c r="COV85" s="0"/>
      <c r="COW85" s="0"/>
      <c r="COX85" s="0"/>
      <c r="COY85" s="0"/>
      <c r="COZ85" s="0"/>
      <c r="CPA85" s="0"/>
      <c r="CPB85" s="0"/>
      <c r="CPC85" s="0"/>
      <c r="CPD85" s="0"/>
      <c r="CPE85" s="0"/>
      <c r="CPF85" s="0"/>
      <c r="CPG85" s="0"/>
      <c r="CPH85" s="0"/>
      <c r="CPI85" s="0"/>
      <c r="CPJ85" s="0"/>
      <c r="CPK85" s="0"/>
      <c r="CPL85" s="0"/>
      <c r="CPM85" s="0"/>
      <c r="CPN85" s="0"/>
      <c r="CPO85" s="0"/>
      <c r="CPP85" s="0"/>
      <c r="CPQ85" s="0"/>
      <c r="CPR85" s="0"/>
      <c r="CPS85" s="0"/>
      <c r="CPT85" s="0"/>
      <c r="CPU85" s="0"/>
      <c r="CPV85" s="0"/>
      <c r="CPW85" s="0"/>
      <c r="CPX85" s="0"/>
      <c r="CPY85" s="0"/>
      <c r="CPZ85" s="0"/>
      <c r="CQA85" s="0"/>
      <c r="CQB85" s="0"/>
      <c r="CQC85" s="0"/>
      <c r="CQD85" s="0"/>
      <c r="CQE85" s="0"/>
      <c r="CQF85" s="0"/>
      <c r="CQG85" s="0"/>
      <c r="CQH85" s="0"/>
      <c r="CQI85" s="0"/>
      <c r="CQJ85" s="0"/>
      <c r="CQK85" s="0"/>
      <c r="CQL85" s="0"/>
      <c r="CQM85" s="0"/>
      <c r="CQN85" s="0"/>
      <c r="CQO85" s="0"/>
      <c r="CQP85" s="0"/>
      <c r="CQQ85" s="0"/>
      <c r="CQR85" s="0"/>
      <c r="CQS85" s="0"/>
      <c r="CQT85" s="0"/>
      <c r="CQU85" s="0"/>
      <c r="CQV85" s="0"/>
      <c r="CQW85" s="0"/>
      <c r="CQX85" s="0"/>
      <c r="CQY85" s="0"/>
      <c r="CQZ85" s="0"/>
      <c r="CRA85" s="0"/>
      <c r="CRB85" s="0"/>
      <c r="CRC85" s="0"/>
      <c r="CRD85" s="0"/>
      <c r="CRE85" s="0"/>
      <c r="CRF85" s="0"/>
      <c r="CRG85" s="0"/>
      <c r="CRH85" s="0"/>
      <c r="CRI85" s="0"/>
      <c r="CRJ85" s="0"/>
      <c r="CRK85" s="0"/>
      <c r="CRL85" s="0"/>
      <c r="CRM85" s="0"/>
      <c r="CRN85" s="0"/>
      <c r="CRO85" s="0"/>
      <c r="CRP85" s="0"/>
      <c r="CRQ85" s="0"/>
      <c r="CRR85" s="0"/>
      <c r="CRS85" s="0"/>
      <c r="CRT85" s="0"/>
      <c r="CRU85" s="0"/>
      <c r="CRV85" s="0"/>
      <c r="CRW85" s="0"/>
      <c r="CRX85" s="0"/>
      <c r="CRY85" s="0"/>
      <c r="CRZ85" s="0"/>
      <c r="CSA85" s="0"/>
      <c r="CSB85" s="0"/>
      <c r="CSC85" s="0"/>
      <c r="CSD85" s="0"/>
      <c r="CSE85" s="0"/>
      <c r="CSF85" s="0"/>
      <c r="CSG85" s="0"/>
      <c r="CSH85" s="0"/>
      <c r="CSI85" s="0"/>
      <c r="CSJ85" s="0"/>
      <c r="CSK85" s="0"/>
      <c r="CSL85" s="0"/>
      <c r="CSM85" s="0"/>
      <c r="CSN85" s="0"/>
      <c r="CSO85" s="0"/>
      <c r="CSP85" s="0"/>
      <c r="CSQ85" s="0"/>
      <c r="CSR85" s="0"/>
      <c r="CSS85" s="0"/>
      <c r="CST85" s="0"/>
      <c r="CSU85" s="0"/>
      <c r="CSV85" s="0"/>
      <c r="CSW85" s="0"/>
      <c r="CSX85" s="0"/>
      <c r="CSY85" s="0"/>
      <c r="CSZ85" s="0"/>
      <c r="CTA85" s="0"/>
      <c r="CTB85" s="0"/>
      <c r="CTC85" s="0"/>
      <c r="CTD85" s="0"/>
      <c r="CTE85" s="0"/>
      <c r="CTF85" s="0"/>
      <c r="CTG85" s="0"/>
      <c r="CTH85" s="0"/>
      <c r="CTI85" s="0"/>
      <c r="CTJ85" s="0"/>
      <c r="CTK85" s="0"/>
      <c r="CTL85" s="0"/>
      <c r="CTM85" s="0"/>
      <c r="CTN85" s="0"/>
      <c r="CTO85" s="0"/>
      <c r="CTP85" s="0"/>
      <c r="CTQ85" s="0"/>
      <c r="CTR85" s="0"/>
      <c r="CTS85" s="0"/>
      <c r="CTT85" s="0"/>
      <c r="CTU85" s="0"/>
      <c r="CTV85" s="0"/>
      <c r="CTW85" s="0"/>
      <c r="CTX85" s="0"/>
      <c r="CTY85" s="0"/>
      <c r="CTZ85" s="0"/>
      <c r="CUA85" s="0"/>
      <c r="CUB85" s="0"/>
      <c r="CUC85" s="0"/>
      <c r="CUD85" s="0"/>
      <c r="CUE85" s="0"/>
      <c r="CUF85" s="0"/>
      <c r="CUG85" s="0"/>
      <c r="CUH85" s="0"/>
      <c r="CUI85" s="0"/>
      <c r="CUJ85" s="0"/>
      <c r="CUK85" s="0"/>
      <c r="CUL85" s="0"/>
      <c r="CUM85" s="0"/>
      <c r="CUN85" s="0"/>
      <c r="CUO85" s="0"/>
      <c r="CUP85" s="0"/>
      <c r="CUQ85" s="0"/>
      <c r="CUR85" s="0"/>
      <c r="CUS85" s="0"/>
      <c r="CUT85" s="0"/>
      <c r="CUU85" s="0"/>
      <c r="CUV85" s="0"/>
      <c r="CUW85" s="0"/>
      <c r="CUX85" s="0"/>
      <c r="CUY85" s="0"/>
      <c r="CUZ85" s="0"/>
      <c r="CVA85" s="0"/>
      <c r="CVB85" s="0"/>
      <c r="CVC85" s="0"/>
      <c r="CVD85" s="0"/>
      <c r="CVE85" s="0"/>
      <c r="CVF85" s="0"/>
      <c r="CVG85" s="0"/>
      <c r="CVH85" s="0"/>
      <c r="CVI85" s="0"/>
      <c r="CVJ85" s="0"/>
      <c r="CVK85" s="0"/>
      <c r="CVL85" s="0"/>
      <c r="CVM85" s="0"/>
      <c r="CVN85" s="0"/>
      <c r="CVO85" s="0"/>
      <c r="CVP85" s="0"/>
      <c r="CVQ85" s="0"/>
      <c r="CVR85" s="0"/>
      <c r="CVS85" s="0"/>
      <c r="CVT85" s="0"/>
      <c r="CVU85" s="0"/>
      <c r="CVV85" s="0"/>
      <c r="CVW85" s="0"/>
      <c r="CVX85" s="0"/>
      <c r="CVY85" s="0"/>
      <c r="CVZ85" s="0"/>
      <c r="CWA85" s="0"/>
      <c r="CWB85" s="0"/>
      <c r="CWC85" s="0"/>
      <c r="CWD85" s="0"/>
      <c r="CWE85" s="0"/>
      <c r="CWF85" s="0"/>
      <c r="CWG85" s="0"/>
      <c r="CWH85" s="0"/>
      <c r="CWI85" s="0"/>
      <c r="CWJ85" s="0"/>
      <c r="CWK85" s="0"/>
      <c r="CWL85" s="0"/>
      <c r="CWM85" s="0"/>
      <c r="CWN85" s="0"/>
      <c r="CWO85" s="0"/>
      <c r="CWP85" s="0"/>
      <c r="CWQ85" s="0"/>
      <c r="CWR85" s="0"/>
      <c r="CWS85" s="0"/>
      <c r="CWT85" s="0"/>
      <c r="CWU85" s="0"/>
      <c r="CWV85" s="0"/>
      <c r="CWW85" s="0"/>
      <c r="CWX85" s="0"/>
      <c r="CWY85" s="0"/>
      <c r="CWZ85" s="0"/>
      <c r="CXA85" s="0"/>
      <c r="CXB85" s="0"/>
      <c r="CXC85" s="0"/>
      <c r="CXD85" s="0"/>
      <c r="CXE85" s="0"/>
      <c r="CXF85" s="0"/>
      <c r="CXG85" s="0"/>
      <c r="CXH85" s="0"/>
      <c r="CXI85" s="0"/>
      <c r="CXJ85" s="0"/>
      <c r="CXK85" s="0"/>
      <c r="CXL85" s="0"/>
      <c r="CXM85" s="0"/>
      <c r="CXN85" s="0"/>
      <c r="CXO85" s="0"/>
      <c r="CXP85" s="0"/>
      <c r="CXQ85" s="0"/>
      <c r="CXR85" s="0"/>
      <c r="CXS85" s="0"/>
      <c r="CXT85" s="0"/>
      <c r="CXU85" s="0"/>
      <c r="CXV85" s="0"/>
      <c r="CXW85" s="0"/>
      <c r="CXX85" s="0"/>
      <c r="CXY85" s="0"/>
      <c r="CXZ85" s="0"/>
      <c r="CYA85" s="0"/>
      <c r="CYB85" s="0"/>
      <c r="CYC85" s="0"/>
      <c r="CYD85" s="0"/>
      <c r="CYE85" s="0"/>
      <c r="CYF85" s="0"/>
      <c r="CYG85" s="0"/>
      <c r="CYH85" s="0"/>
      <c r="CYI85" s="0"/>
      <c r="CYJ85" s="0"/>
      <c r="CYK85" s="0"/>
      <c r="CYL85" s="0"/>
      <c r="CYM85" s="0"/>
      <c r="CYN85" s="0"/>
      <c r="CYO85" s="0"/>
      <c r="CYP85" s="0"/>
      <c r="CYQ85" s="0"/>
      <c r="CYR85" s="0"/>
      <c r="CYS85" s="0"/>
      <c r="CYT85" s="0"/>
      <c r="CYU85" s="0"/>
      <c r="CYV85" s="0"/>
      <c r="CYW85" s="0"/>
      <c r="CYX85" s="0"/>
      <c r="CYY85" s="0"/>
      <c r="CYZ85" s="0"/>
      <c r="CZA85" s="0"/>
      <c r="CZB85" s="0"/>
      <c r="CZC85" s="0"/>
      <c r="CZD85" s="0"/>
      <c r="CZE85" s="0"/>
      <c r="CZF85" s="0"/>
      <c r="CZG85" s="0"/>
      <c r="CZH85" s="0"/>
      <c r="CZI85" s="0"/>
      <c r="CZJ85" s="0"/>
      <c r="CZK85" s="0"/>
      <c r="CZL85" s="0"/>
      <c r="CZM85" s="0"/>
      <c r="CZN85" s="0"/>
      <c r="CZO85" s="0"/>
      <c r="CZP85" s="0"/>
      <c r="CZQ85" s="0"/>
      <c r="CZR85" s="0"/>
      <c r="CZS85" s="0"/>
      <c r="CZT85" s="0"/>
      <c r="CZU85" s="0"/>
      <c r="CZV85" s="0"/>
      <c r="CZW85" s="0"/>
      <c r="CZX85" s="0"/>
      <c r="CZY85" s="0"/>
      <c r="CZZ85" s="0"/>
      <c r="DAA85" s="0"/>
      <c r="DAB85" s="0"/>
      <c r="DAC85" s="0"/>
      <c r="DAD85" s="0"/>
      <c r="DAE85" s="0"/>
      <c r="DAF85" s="0"/>
      <c r="DAG85" s="0"/>
      <c r="DAH85" s="0"/>
      <c r="DAI85" s="0"/>
      <c r="DAJ85" s="0"/>
      <c r="DAK85" s="0"/>
      <c r="DAL85" s="0"/>
      <c r="DAM85" s="0"/>
      <c r="DAN85" s="0"/>
      <c r="DAO85" s="0"/>
      <c r="DAP85" s="0"/>
      <c r="DAQ85" s="0"/>
      <c r="DAR85" s="0"/>
      <c r="DAS85" s="0"/>
      <c r="DAT85" s="0"/>
      <c r="DAU85" s="0"/>
      <c r="DAV85" s="0"/>
      <c r="DAW85" s="0"/>
      <c r="DAX85" s="0"/>
      <c r="DAY85" s="0"/>
      <c r="DAZ85" s="0"/>
      <c r="DBA85" s="0"/>
      <c r="DBB85" s="0"/>
      <c r="DBC85" s="0"/>
      <c r="DBD85" s="0"/>
      <c r="DBE85" s="0"/>
      <c r="DBF85" s="0"/>
      <c r="DBG85" s="0"/>
      <c r="DBH85" s="0"/>
      <c r="DBI85" s="0"/>
      <c r="DBJ85" s="0"/>
      <c r="DBK85" s="0"/>
      <c r="DBL85" s="0"/>
      <c r="DBM85" s="0"/>
      <c r="DBN85" s="0"/>
      <c r="DBO85" s="0"/>
      <c r="DBP85" s="0"/>
      <c r="DBQ85" s="0"/>
      <c r="DBR85" s="0"/>
      <c r="DBS85" s="0"/>
      <c r="DBT85" s="0"/>
      <c r="DBU85" s="0"/>
      <c r="DBV85" s="0"/>
      <c r="DBW85" s="0"/>
      <c r="DBX85" s="0"/>
      <c r="DBY85" s="0"/>
      <c r="DBZ85" s="0"/>
      <c r="DCA85" s="0"/>
      <c r="DCB85" s="0"/>
      <c r="DCC85" s="0"/>
      <c r="DCD85" s="0"/>
      <c r="DCE85" s="0"/>
      <c r="DCF85" s="0"/>
      <c r="DCG85" s="0"/>
      <c r="DCH85" s="0"/>
      <c r="DCI85" s="0"/>
      <c r="DCJ85" s="0"/>
      <c r="DCK85" s="0"/>
      <c r="DCL85" s="0"/>
      <c r="DCM85" s="0"/>
      <c r="DCN85" s="0"/>
      <c r="DCO85" s="0"/>
      <c r="DCP85" s="0"/>
      <c r="DCQ85" s="0"/>
      <c r="DCR85" s="0"/>
      <c r="DCS85" s="0"/>
      <c r="DCT85" s="0"/>
      <c r="DCU85" s="0"/>
      <c r="DCV85" s="0"/>
      <c r="DCW85" s="0"/>
      <c r="DCX85" s="0"/>
      <c r="DCY85" s="0"/>
      <c r="DCZ85" s="0"/>
      <c r="DDA85" s="0"/>
      <c r="DDB85" s="0"/>
      <c r="DDC85" s="0"/>
      <c r="DDD85" s="0"/>
      <c r="DDE85" s="0"/>
      <c r="DDF85" s="0"/>
      <c r="DDG85" s="0"/>
      <c r="DDH85" s="0"/>
      <c r="DDI85" s="0"/>
      <c r="DDJ85" s="0"/>
      <c r="DDK85" s="0"/>
      <c r="DDL85" s="0"/>
      <c r="DDM85" s="0"/>
      <c r="DDN85" s="0"/>
      <c r="DDO85" s="0"/>
      <c r="DDP85" s="0"/>
      <c r="DDQ85" s="0"/>
      <c r="DDR85" s="0"/>
      <c r="DDS85" s="0"/>
      <c r="DDT85" s="0"/>
      <c r="DDU85" s="0"/>
      <c r="DDV85" s="0"/>
      <c r="DDW85" s="0"/>
      <c r="DDX85" s="0"/>
      <c r="DDY85" s="0"/>
      <c r="DDZ85" s="0"/>
      <c r="DEA85" s="0"/>
      <c r="DEB85" s="0"/>
      <c r="DEC85" s="0"/>
      <c r="DED85" s="0"/>
      <c r="DEE85" s="0"/>
      <c r="DEF85" s="0"/>
      <c r="DEG85" s="0"/>
      <c r="DEH85" s="0"/>
      <c r="DEI85" s="0"/>
      <c r="DEJ85" s="0"/>
      <c r="DEK85" s="0"/>
      <c r="DEL85" s="0"/>
      <c r="DEM85" s="0"/>
      <c r="DEN85" s="0"/>
      <c r="DEO85" s="0"/>
      <c r="DEP85" s="0"/>
      <c r="DEQ85" s="0"/>
      <c r="DER85" s="0"/>
      <c r="DES85" s="0"/>
      <c r="DET85" s="0"/>
      <c r="DEU85" s="0"/>
      <c r="DEV85" s="0"/>
      <c r="DEW85" s="0"/>
      <c r="DEX85" s="0"/>
      <c r="DEY85" s="0"/>
      <c r="DEZ85" s="0"/>
      <c r="DFA85" s="0"/>
      <c r="DFB85" s="0"/>
      <c r="DFC85" s="0"/>
      <c r="DFD85" s="0"/>
      <c r="DFE85" s="0"/>
      <c r="DFF85" s="0"/>
      <c r="DFG85" s="0"/>
      <c r="DFH85" s="0"/>
      <c r="DFI85" s="0"/>
      <c r="DFJ85" s="0"/>
      <c r="DFK85" s="0"/>
      <c r="DFL85" s="0"/>
      <c r="DFM85" s="0"/>
      <c r="DFN85" s="0"/>
      <c r="DFO85" s="0"/>
      <c r="DFP85" s="0"/>
      <c r="DFQ85" s="0"/>
      <c r="DFR85" s="0"/>
      <c r="DFS85" s="0"/>
      <c r="DFT85" s="0"/>
      <c r="DFU85" s="0"/>
      <c r="DFV85" s="0"/>
      <c r="DFW85" s="0"/>
      <c r="DFX85" s="0"/>
      <c r="DFY85" s="0"/>
      <c r="DFZ85" s="0"/>
      <c r="DGA85" s="0"/>
      <c r="DGB85" s="0"/>
      <c r="DGC85" s="0"/>
      <c r="DGD85" s="0"/>
      <c r="DGE85" s="0"/>
      <c r="DGF85" s="0"/>
      <c r="DGG85" s="0"/>
      <c r="DGH85" s="0"/>
      <c r="DGI85" s="0"/>
      <c r="DGJ85" s="0"/>
      <c r="DGK85" s="0"/>
      <c r="DGL85" s="0"/>
      <c r="DGM85" s="0"/>
      <c r="DGN85" s="0"/>
      <c r="DGO85" s="0"/>
      <c r="DGP85" s="0"/>
      <c r="DGQ85" s="0"/>
      <c r="DGR85" s="0"/>
      <c r="DGS85" s="0"/>
      <c r="DGT85" s="0"/>
      <c r="DGU85" s="0"/>
      <c r="DGV85" s="0"/>
      <c r="DGW85" s="0"/>
      <c r="DGX85" s="0"/>
      <c r="DGY85" s="0"/>
      <c r="DGZ85" s="0"/>
      <c r="DHA85" s="0"/>
      <c r="DHB85" s="0"/>
      <c r="DHC85" s="0"/>
      <c r="DHD85" s="0"/>
      <c r="DHE85" s="0"/>
      <c r="DHF85" s="0"/>
      <c r="DHG85" s="0"/>
      <c r="DHH85" s="0"/>
      <c r="DHI85" s="0"/>
      <c r="DHJ85" s="0"/>
      <c r="DHK85" s="0"/>
      <c r="DHL85" s="0"/>
      <c r="DHM85" s="0"/>
      <c r="DHN85" s="0"/>
      <c r="DHO85" s="0"/>
      <c r="DHP85" s="0"/>
      <c r="DHQ85" s="0"/>
      <c r="DHR85" s="0"/>
      <c r="DHS85" s="0"/>
      <c r="DHT85" s="0"/>
      <c r="DHU85" s="0"/>
      <c r="DHV85" s="0"/>
      <c r="DHW85" s="0"/>
      <c r="DHX85" s="0"/>
      <c r="DHY85" s="0"/>
      <c r="DHZ85" s="0"/>
      <c r="DIA85" s="0"/>
      <c r="DIB85" s="0"/>
      <c r="DIC85" s="0"/>
      <c r="DID85" s="0"/>
      <c r="DIE85" s="0"/>
      <c r="DIF85" s="0"/>
      <c r="DIG85" s="0"/>
      <c r="DIH85" s="0"/>
      <c r="DII85" s="0"/>
      <c r="DIJ85" s="0"/>
      <c r="DIK85" s="0"/>
      <c r="DIL85" s="0"/>
      <c r="DIM85" s="0"/>
      <c r="DIN85" s="0"/>
      <c r="DIO85" s="0"/>
      <c r="DIP85" s="0"/>
      <c r="DIQ85" s="0"/>
      <c r="DIR85" s="0"/>
      <c r="DIS85" s="0"/>
      <c r="DIT85" s="0"/>
      <c r="DIU85" s="0"/>
      <c r="DIV85" s="0"/>
      <c r="DIW85" s="0"/>
      <c r="DIX85" s="0"/>
      <c r="DIY85" s="0"/>
      <c r="DIZ85" s="0"/>
      <c r="DJA85" s="0"/>
      <c r="DJB85" s="0"/>
      <c r="DJC85" s="0"/>
      <c r="DJD85" s="0"/>
      <c r="DJE85" s="0"/>
      <c r="DJF85" s="0"/>
      <c r="DJG85" s="0"/>
      <c r="DJH85" s="0"/>
      <c r="DJI85" s="0"/>
      <c r="DJJ85" s="0"/>
      <c r="DJK85" s="0"/>
      <c r="DJL85" s="0"/>
      <c r="DJM85" s="0"/>
      <c r="DJN85" s="0"/>
      <c r="DJO85" s="0"/>
      <c r="DJP85" s="0"/>
      <c r="DJQ85" s="0"/>
      <c r="DJR85" s="0"/>
      <c r="DJS85" s="0"/>
      <c r="DJT85" s="0"/>
      <c r="DJU85" s="0"/>
      <c r="DJV85" s="0"/>
      <c r="DJW85" s="0"/>
      <c r="DJX85" s="0"/>
      <c r="DJY85" s="0"/>
      <c r="DJZ85" s="0"/>
      <c r="DKA85" s="0"/>
      <c r="DKB85" s="0"/>
      <c r="DKC85" s="0"/>
      <c r="DKD85" s="0"/>
      <c r="DKE85" s="0"/>
      <c r="DKF85" s="0"/>
      <c r="DKG85" s="0"/>
      <c r="DKH85" s="0"/>
      <c r="DKI85" s="0"/>
      <c r="DKJ85" s="0"/>
      <c r="DKK85" s="0"/>
      <c r="DKL85" s="0"/>
      <c r="DKM85" s="0"/>
      <c r="DKN85" s="0"/>
      <c r="DKO85" s="0"/>
      <c r="DKP85" s="0"/>
      <c r="DKQ85" s="0"/>
      <c r="DKR85" s="0"/>
      <c r="DKS85" s="0"/>
      <c r="DKT85" s="0"/>
      <c r="DKU85" s="0"/>
      <c r="DKV85" s="0"/>
      <c r="DKW85" s="0"/>
      <c r="DKX85" s="0"/>
      <c r="DKY85" s="0"/>
      <c r="DKZ85" s="0"/>
      <c r="DLA85" s="0"/>
      <c r="DLB85" s="0"/>
      <c r="DLC85" s="0"/>
      <c r="DLD85" s="0"/>
      <c r="DLE85" s="0"/>
      <c r="DLF85" s="0"/>
      <c r="DLG85" s="0"/>
      <c r="DLH85" s="0"/>
      <c r="DLI85" s="0"/>
      <c r="DLJ85" s="0"/>
      <c r="DLK85" s="0"/>
      <c r="DLL85" s="0"/>
      <c r="DLM85" s="0"/>
      <c r="DLN85" s="0"/>
      <c r="DLO85" s="0"/>
      <c r="DLP85" s="0"/>
      <c r="DLQ85" s="0"/>
      <c r="DLR85" s="0"/>
      <c r="DLS85" s="0"/>
      <c r="DLT85" s="0"/>
      <c r="DLU85" s="0"/>
      <c r="DLV85" s="0"/>
      <c r="DLW85" s="0"/>
      <c r="DLX85" s="0"/>
      <c r="DLY85" s="0"/>
      <c r="DLZ85" s="0"/>
      <c r="DMA85" s="0"/>
      <c r="DMB85" s="0"/>
      <c r="DMC85" s="0"/>
      <c r="DMD85" s="0"/>
      <c r="DME85" s="0"/>
      <c r="DMF85" s="0"/>
      <c r="DMG85" s="0"/>
      <c r="DMH85" s="0"/>
      <c r="DMI85" s="0"/>
      <c r="DMJ85" s="0"/>
      <c r="DMK85" s="0"/>
      <c r="DML85" s="0"/>
      <c r="DMM85" s="0"/>
      <c r="DMN85" s="0"/>
      <c r="DMO85" s="0"/>
      <c r="DMP85" s="0"/>
      <c r="DMQ85" s="0"/>
      <c r="DMR85" s="0"/>
      <c r="DMS85" s="0"/>
      <c r="DMT85" s="0"/>
      <c r="DMU85" s="0"/>
      <c r="DMV85" s="0"/>
      <c r="DMW85" s="0"/>
      <c r="DMX85" s="0"/>
      <c r="DMY85" s="0"/>
      <c r="DMZ85" s="0"/>
      <c r="DNA85" s="0"/>
      <c r="DNB85" s="0"/>
      <c r="DNC85" s="0"/>
      <c r="DND85" s="0"/>
      <c r="DNE85" s="0"/>
      <c r="DNF85" s="0"/>
      <c r="DNG85" s="0"/>
      <c r="DNH85" s="0"/>
      <c r="DNI85" s="0"/>
      <c r="DNJ85" s="0"/>
      <c r="DNK85" s="0"/>
      <c r="DNL85" s="0"/>
      <c r="DNM85" s="0"/>
      <c r="DNN85" s="0"/>
      <c r="DNO85" s="0"/>
      <c r="DNP85" s="0"/>
      <c r="DNQ85" s="0"/>
      <c r="DNR85" s="0"/>
      <c r="DNS85" s="0"/>
      <c r="DNT85" s="0"/>
      <c r="DNU85" s="0"/>
      <c r="DNV85" s="0"/>
      <c r="DNW85" s="0"/>
      <c r="DNX85" s="0"/>
      <c r="DNY85" s="0"/>
      <c r="DNZ85" s="0"/>
      <c r="DOA85" s="0"/>
      <c r="DOB85" s="0"/>
      <c r="DOC85" s="0"/>
      <c r="DOD85" s="0"/>
      <c r="DOE85" s="0"/>
      <c r="DOF85" s="0"/>
      <c r="DOG85" s="0"/>
      <c r="DOH85" s="0"/>
      <c r="DOI85" s="0"/>
      <c r="DOJ85" s="0"/>
      <c r="DOK85" s="0"/>
      <c r="DOL85" s="0"/>
      <c r="DOM85" s="0"/>
      <c r="DON85" s="0"/>
      <c r="DOO85" s="0"/>
      <c r="DOP85" s="0"/>
      <c r="DOQ85" s="0"/>
      <c r="DOR85" s="0"/>
      <c r="DOS85" s="0"/>
      <c r="DOT85" s="0"/>
      <c r="DOU85" s="0"/>
      <c r="DOV85" s="0"/>
      <c r="DOW85" s="0"/>
      <c r="DOX85" s="0"/>
      <c r="DOY85" s="0"/>
      <c r="DOZ85" s="0"/>
      <c r="DPA85" s="0"/>
      <c r="DPB85" s="0"/>
      <c r="DPC85" s="0"/>
      <c r="DPD85" s="0"/>
      <c r="DPE85" s="0"/>
      <c r="DPF85" s="0"/>
      <c r="DPG85" s="0"/>
      <c r="DPH85" s="0"/>
      <c r="DPI85" s="0"/>
      <c r="DPJ85" s="0"/>
      <c r="DPK85" s="0"/>
      <c r="DPL85" s="0"/>
      <c r="DPM85" s="0"/>
      <c r="DPN85" s="0"/>
      <c r="DPO85" s="0"/>
      <c r="DPP85" s="0"/>
      <c r="DPQ85" s="0"/>
      <c r="DPR85" s="0"/>
      <c r="DPS85" s="0"/>
      <c r="DPT85" s="0"/>
      <c r="DPU85" s="0"/>
      <c r="DPV85" s="0"/>
      <c r="DPW85" s="0"/>
      <c r="DPX85" s="0"/>
      <c r="DPY85" s="0"/>
      <c r="DPZ85" s="0"/>
      <c r="DQA85" s="0"/>
      <c r="DQB85" s="0"/>
      <c r="DQC85" s="0"/>
      <c r="DQD85" s="0"/>
      <c r="DQE85" s="0"/>
      <c r="DQF85" s="0"/>
      <c r="DQG85" s="0"/>
      <c r="DQH85" s="0"/>
      <c r="DQI85" s="0"/>
      <c r="DQJ85" s="0"/>
      <c r="DQK85" s="0"/>
      <c r="DQL85" s="0"/>
      <c r="DQM85" s="0"/>
      <c r="DQN85" s="0"/>
      <c r="DQO85" s="0"/>
      <c r="DQP85" s="0"/>
      <c r="DQQ85" s="0"/>
      <c r="DQR85" s="0"/>
      <c r="DQS85" s="0"/>
      <c r="DQT85" s="0"/>
      <c r="DQU85" s="0"/>
      <c r="DQV85" s="0"/>
      <c r="DQW85" s="0"/>
      <c r="DQX85" s="0"/>
      <c r="DQY85" s="0"/>
      <c r="DQZ85" s="0"/>
      <c r="DRA85" s="0"/>
      <c r="DRB85" s="0"/>
      <c r="DRC85" s="0"/>
      <c r="DRD85" s="0"/>
      <c r="DRE85" s="0"/>
      <c r="DRF85" s="0"/>
      <c r="DRG85" s="0"/>
      <c r="DRH85" s="0"/>
      <c r="DRI85" s="0"/>
      <c r="DRJ85" s="0"/>
      <c r="DRK85" s="0"/>
      <c r="DRL85" s="0"/>
      <c r="DRM85" s="0"/>
      <c r="DRN85" s="0"/>
      <c r="DRO85" s="0"/>
      <c r="DRP85" s="0"/>
      <c r="DRQ85" s="0"/>
      <c r="DRR85" s="0"/>
      <c r="DRS85" s="0"/>
      <c r="DRT85" s="0"/>
      <c r="DRU85" s="0"/>
      <c r="DRV85" s="0"/>
      <c r="DRW85" s="0"/>
      <c r="DRX85" s="0"/>
      <c r="DRY85" s="0"/>
      <c r="DRZ85" s="0"/>
      <c r="DSA85" s="0"/>
      <c r="DSB85" s="0"/>
      <c r="DSC85" s="0"/>
      <c r="DSD85" s="0"/>
      <c r="DSE85" s="0"/>
      <c r="DSF85" s="0"/>
      <c r="DSG85" s="0"/>
      <c r="DSH85" s="0"/>
      <c r="DSI85" s="0"/>
      <c r="DSJ85" s="0"/>
      <c r="DSK85" s="0"/>
      <c r="DSL85" s="0"/>
      <c r="DSM85" s="0"/>
      <c r="DSN85" s="0"/>
      <c r="DSO85" s="0"/>
      <c r="DSP85" s="0"/>
      <c r="DSQ85" s="0"/>
      <c r="DSR85" s="0"/>
      <c r="DSS85" s="0"/>
      <c r="DST85" s="0"/>
      <c r="DSU85" s="0"/>
      <c r="DSV85" s="0"/>
      <c r="DSW85" s="0"/>
      <c r="DSX85" s="0"/>
      <c r="DSY85" s="0"/>
      <c r="DSZ85" s="0"/>
      <c r="DTA85" s="0"/>
      <c r="DTB85" s="0"/>
      <c r="DTC85" s="0"/>
      <c r="DTD85" s="0"/>
      <c r="DTE85" s="0"/>
      <c r="DTF85" s="0"/>
      <c r="DTG85" s="0"/>
      <c r="DTH85" s="0"/>
      <c r="DTI85" s="0"/>
      <c r="DTJ85" s="0"/>
      <c r="DTK85" s="0"/>
      <c r="DTL85" s="0"/>
      <c r="DTM85" s="0"/>
      <c r="DTN85" s="0"/>
      <c r="DTO85" s="0"/>
      <c r="DTP85" s="0"/>
      <c r="DTQ85" s="0"/>
      <c r="DTR85" s="0"/>
      <c r="DTS85" s="0"/>
      <c r="DTT85" s="0"/>
      <c r="DTU85" s="0"/>
      <c r="DTV85" s="0"/>
      <c r="DTW85" s="0"/>
      <c r="DTX85" s="0"/>
      <c r="DTY85" s="0"/>
      <c r="DTZ85" s="0"/>
      <c r="DUA85" s="0"/>
      <c r="DUB85" s="0"/>
      <c r="DUC85" s="0"/>
      <c r="DUD85" s="0"/>
      <c r="DUE85" s="0"/>
      <c r="DUF85" s="0"/>
      <c r="DUG85" s="0"/>
      <c r="DUH85" s="0"/>
      <c r="DUI85" s="0"/>
      <c r="DUJ85" s="0"/>
      <c r="DUK85" s="0"/>
      <c r="DUL85" s="0"/>
      <c r="DUM85" s="0"/>
      <c r="DUN85" s="0"/>
      <c r="DUO85" s="0"/>
      <c r="DUP85" s="0"/>
      <c r="DUQ85" s="0"/>
      <c r="DUR85" s="0"/>
      <c r="DUS85" s="0"/>
      <c r="DUT85" s="0"/>
      <c r="DUU85" s="0"/>
      <c r="DUV85" s="0"/>
      <c r="DUW85" s="0"/>
      <c r="DUX85" s="0"/>
      <c r="DUY85" s="0"/>
      <c r="DUZ85" s="0"/>
      <c r="DVA85" s="0"/>
      <c r="DVB85" s="0"/>
      <c r="DVC85" s="0"/>
      <c r="DVD85" s="0"/>
      <c r="DVE85" s="0"/>
      <c r="DVF85" s="0"/>
      <c r="DVG85" s="0"/>
      <c r="DVH85" s="0"/>
      <c r="DVI85" s="0"/>
      <c r="DVJ85" s="0"/>
      <c r="DVK85" s="0"/>
      <c r="DVL85" s="0"/>
      <c r="DVM85" s="0"/>
      <c r="DVN85" s="0"/>
      <c r="DVO85" s="0"/>
      <c r="DVP85" s="0"/>
      <c r="DVQ85" s="0"/>
      <c r="DVR85" s="0"/>
      <c r="DVS85" s="0"/>
      <c r="DVT85" s="0"/>
      <c r="DVU85" s="0"/>
      <c r="DVV85" s="0"/>
      <c r="DVW85" s="0"/>
      <c r="DVX85" s="0"/>
      <c r="DVY85" s="0"/>
      <c r="DVZ85" s="0"/>
      <c r="DWA85" s="0"/>
      <c r="DWB85" s="0"/>
      <c r="DWC85" s="0"/>
      <c r="DWD85" s="0"/>
      <c r="DWE85" s="0"/>
      <c r="DWF85" s="0"/>
      <c r="DWG85" s="0"/>
      <c r="DWH85" s="0"/>
      <c r="DWI85" s="0"/>
      <c r="DWJ85" s="0"/>
      <c r="DWK85" s="0"/>
      <c r="DWL85" s="0"/>
      <c r="DWM85" s="0"/>
      <c r="DWN85" s="0"/>
      <c r="DWO85" s="0"/>
      <c r="DWP85" s="0"/>
      <c r="DWQ85" s="0"/>
      <c r="DWR85" s="0"/>
      <c r="DWS85" s="0"/>
      <c r="DWT85" s="0"/>
      <c r="DWU85" s="0"/>
      <c r="DWV85" s="0"/>
      <c r="DWW85" s="0"/>
      <c r="DWX85" s="0"/>
      <c r="DWY85" s="0"/>
      <c r="DWZ85" s="0"/>
      <c r="DXA85" s="0"/>
      <c r="DXB85" s="0"/>
      <c r="DXC85" s="0"/>
      <c r="DXD85" s="0"/>
      <c r="DXE85" s="0"/>
      <c r="DXF85" s="0"/>
      <c r="DXG85" s="0"/>
      <c r="DXH85" s="0"/>
      <c r="DXI85" s="0"/>
      <c r="DXJ85" s="0"/>
      <c r="DXK85" s="0"/>
      <c r="DXL85" s="0"/>
      <c r="DXM85" s="0"/>
      <c r="DXN85" s="0"/>
      <c r="DXO85" s="0"/>
      <c r="DXP85" s="0"/>
      <c r="DXQ85" s="0"/>
      <c r="DXR85" s="0"/>
      <c r="DXS85" s="0"/>
      <c r="DXT85" s="0"/>
      <c r="DXU85" s="0"/>
      <c r="DXV85" s="0"/>
      <c r="DXW85" s="0"/>
      <c r="DXX85" s="0"/>
      <c r="DXY85" s="0"/>
      <c r="DXZ85" s="0"/>
      <c r="DYA85" s="0"/>
      <c r="DYB85" s="0"/>
      <c r="DYC85" s="0"/>
      <c r="DYD85" s="0"/>
      <c r="DYE85" s="0"/>
      <c r="DYF85" s="0"/>
      <c r="DYG85" s="0"/>
      <c r="DYH85" s="0"/>
      <c r="DYI85" s="0"/>
      <c r="DYJ85" s="0"/>
      <c r="DYK85" s="0"/>
      <c r="DYL85" s="0"/>
      <c r="DYM85" s="0"/>
      <c r="DYN85" s="0"/>
      <c r="DYO85" s="0"/>
      <c r="DYP85" s="0"/>
      <c r="DYQ85" s="0"/>
      <c r="DYR85" s="0"/>
      <c r="DYS85" s="0"/>
      <c r="DYT85" s="0"/>
      <c r="DYU85" s="0"/>
      <c r="DYV85" s="0"/>
      <c r="DYW85" s="0"/>
      <c r="DYX85" s="0"/>
      <c r="DYY85" s="0"/>
      <c r="DYZ85" s="0"/>
      <c r="DZA85" s="0"/>
      <c r="DZB85" s="0"/>
      <c r="DZC85" s="0"/>
      <c r="DZD85" s="0"/>
      <c r="DZE85" s="0"/>
      <c r="DZF85" s="0"/>
      <c r="DZG85" s="0"/>
      <c r="DZH85" s="0"/>
      <c r="DZI85" s="0"/>
      <c r="DZJ85" s="0"/>
      <c r="DZK85" s="0"/>
      <c r="DZL85" s="0"/>
      <c r="DZM85" s="0"/>
      <c r="DZN85" s="0"/>
      <c r="DZO85" s="0"/>
      <c r="DZP85" s="0"/>
      <c r="DZQ85" s="0"/>
      <c r="DZR85" s="0"/>
      <c r="DZS85" s="0"/>
      <c r="DZT85" s="0"/>
      <c r="DZU85" s="0"/>
      <c r="DZV85" s="0"/>
      <c r="DZW85" s="0"/>
      <c r="DZX85" s="0"/>
      <c r="DZY85" s="0"/>
      <c r="DZZ85" s="0"/>
      <c r="EAA85" s="0"/>
      <c r="EAB85" s="0"/>
      <c r="EAC85" s="0"/>
      <c r="EAD85" s="0"/>
      <c r="EAE85" s="0"/>
      <c r="EAF85" s="0"/>
      <c r="EAG85" s="0"/>
      <c r="EAH85" s="0"/>
      <c r="EAI85" s="0"/>
      <c r="EAJ85" s="0"/>
      <c r="EAK85" s="0"/>
      <c r="EAL85" s="0"/>
      <c r="EAM85" s="0"/>
      <c r="EAN85" s="0"/>
      <c r="EAO85" s="0"/>
      <c r="EAP85" s="0"/>
      <c r="EAQ85" s="0"/>
      <c r="EAR85" s="0"/>
      <c r="EAS85" s="0"/>
      <c r="EAT85" s="0"/>
      <c r="EAU85" s="0"/>
      <c r="EAV85" s="0"/>
      <c r="EAW85" s="0"/>
      <c r="EAX85" s="0"/>
      <c r="EAY85" s="0"/>
      <c r="EAZ85" s="0"/>
      <c r="EBA85" s="0"/>
      <c r="EBB85" s="0"/>
      <c r="EBC85" s="0"/>
      <c r="EBD85" s="0"/>
      <c r="EBE85" s="0"/>
      <c r="EBF85" s="0"/>
      <c r="EBG85" s="0"/>
      <c r="EBH85" s="0"/>
      <c r="EBI85" s="0"/>
      <c r="EBJ85" s="0"/>
      <c r="EBK85" s="0"/>
      <c r="EBL85" s="0"/>
      <c r="EBM85" s="0"/>
      <c r="EBN85" s="0"/>
      <c r="EBO85" s="0"/>
      <c r="EBP85" s="0"/>
      <c r="EBQ85" s="0"/>
      <c r="EBR85" s="0"/>
      <c r="EBS85" s="0"/>
      <c r="EBT85" s="0"/>
      <c r="EBU85" s="0"/>
      <c r="EBV85" s="0"/>
      <c r="EBW85" s="0"/>
      <c r="EBX85" s="0"/>
      <c r="EBY85" s="0"/>
      <c r="EBZ85" s="0"/>
      <c r="ECA85" s="0"/>
      <c r="ECB85" s="0"/>
      <c r="ECC85" s="0"/>
      <c r="ECD85" s="0"/>
      <c r="ECE85" s="0"/>
      <c r="ECF85" s="0"/>
      <c r="ECG85" s="0"/>
      <c r="ECH85" s="0"/>
      <c r="ECI85" s="0"/>
      <c r="ECJ85" s="0"/>
      <c r="ECK85" s="0"/>
      <c r="ECL85" s="0"/>
      <c r="ECM85" s="0"/>
      <c r="ECN85" s="0"/>
      <c r="ECO85" s="0"/>
      <c r="ECP85" s="0"/>
      <c r="ECQ85" s="0"/>
      <c r="ECR85" s="0"/>
      <c r="ECS85" s="0"/>
      <c r="ECT85" s="0"/>
      <c r="ECU85" s="0"/>
      <c r="ECV85" s="0"/>
      <c r="ECW85" s="0"/>
      <c r="ECX85" s="0"/>
      <c r="ECY85" s="0"/>
      <c r="ECZ85" s="0"/>
      <c r="EDA85" s="0"/>
      <c r="EDB85" s="0"/>
      <c r="EDC85" s="0"/>
      <c r="EDD85" s="0"/>
      <c r="EDE85" s="0"/>
      <c r="EDF85" s="0"/>
      <c r="EDG85" s="0"/>
      <c r="EDH85" s="0"/>
      <c r="EDI85" s="0"/>
      <c r="EDJ85" s="0"/>
      <c r="EDK85" s="0"/>
      <c r="EDL85" s="0"/>
      <c r="EDM85" s="0"/>
      <c r="EDN85" s="0"/>
      <c r="EDO85" s="0"/>
      <c r="EDP85" s="0"/>
      <c r="EDQ85" s="0"/>
      <c r="EDR85" s="0"/>
      <c r="EDS85" s="0"/>
      <c r="EDT85" s="0"/>
      <c r="EDU85" s="0"/>
      <c r="EDV85" s="0"/>
      <c r="EDW85" s="0"/>
      <c r="EDX85" s="0"/>
      <c r="EDY85" s="0"/>
      <c r="EDZ85" s="0"/>
      <c r="EEA85" s="0"/>
      <c r="EEB85" s="0"/>
      <c r="EEC85" s="0"/>
      <c r="EED85" s="0"/>
      <c r="EEE85" s="0"/>
      <c r="EEF85" s="0"/>
      <c r="EEG85" s="0"/>
      <c r="EEH85" s="0"/>
      <c r="EEI85" s="0"/>
      <c r="EEJ85" s="0"/>
      <c r="EEK85" s="0"/>
      <c r="EEL85" s="0"/>
      <c r="EEM85" s="0"/>
      <c r="EEN85" s="0"/>
      <c r="EEO85" s="0"/>
      <c r="EEP85" s="0"/>
      <c r="EEQ85" s="0"/>
      <c r="EER85" s="0"/>
      <c r="EES85" s="0"/>
      <c r="EET85" s="0"/>
      <c r="EEU85" s="0"/>
      <c r="EEV85" s="0"/>
      <c r="EEW85" s="0"/>
      <c r="EEX85" s="0"/>
      <c r="EEY85" s="0"/>
      <c r="EEZ85" s="0"/>
      <c r="EFA85" s="0"/>
      <c r="EFB85" s="0"/>
      <c r="EFC85" s="0"/>
      <c r="EFD85" s="0"/>
      <c r="EFE85" s="0"/>
      <c r="EFF85" s="0"/>
      <c r="EFG85" s="0"/>
      <c r="EFH85" s="0"/>
      <c r="EFI85" s="0"/>
      <c r="EFJ85" s="0"/>
      <c r="EFK85" s="0"/>
      <c r="EFL85" s="0"/>
      <c r="EFM85" s="0"/>
      <c r="EFN85" s="0"/>
      <c r="EFO85" s="0"/>
      <c r="EFP85" s="0"/>
      <c r="EFQ85" s="0"/>
      <c r="EFR85" s="0"/>
      <c r="EFS85" s="0"/>
      <c r="EFT85" s="0"/>
      <c r="EFU85" s="0"/>
      <c r="EFV85" s="0"/>
      <c r="EFW85" s="0"/>
      <c r="EFX85" s="0"/>
      <c r="EFY85" s="0"/>
      <c r="EFZ85" s="0"/>
      <c r="EGA85" s="0"/>
      <c r="EGB85" s="0"/>
      <c r="EGC85" s="0"/>
      <c r="EGD85" s="0"/>
      <c r="EGE85" s="0"/>
      <c r="EGF85" s="0"/>
      <c r="EGG85" s="0"/>
      <c r="EGH85" s="0"/>
      <c r="EGI85" s="0"/>
      <c r="EGJ85" s="0"/>
      <c r="EGK85" s="0"/>
      <c r="EGL85" s="0"/>
      <c r="EGM85" s="0"/>
      <c r="EGN85" s="0"/>
      <c r="EGO85" s="0"/>
      <c r="EGP85" s="0"/>
      <c r="EGQ85" s="0"/>
      <c r="EGR85" s="0"/>
      <c r="EGS85" s="0"/>
      <c r="EGT85" s="0"/>
      <c r="EGU85" s="0"/>
      <c r="EGV85" s="0"/>
      <c r="EGW85" s="0"/>
      <c r="EGX85" s="0"/>
      <c r="EGY85" s="0"/>
      <c r="EGZ85" s="0"/>
      <c r="EHA85" s="0"/>
      <c r="EHB85" s="0"/>
      <c r="EHC85" s="0"/>
      <c r="EHD85" s="0"/>
      <c r="EHE85" s="0"/>
      <c r="EHF85" s="0"/>
      <c r="EHG85" s="0"/>
      <c r="EHH85" s="0"/>
      <c r="EHI85" s="0"/>
      <c r="EHJ85" s="0"/>
      <c r="EHK85" s="0"/>
      <c r="EHL85" s="0"/>
      <c r="EHM85" s="0"/>
      <c r="EHN85" s="0"/>
      <c r="EHO85" s="0"/>
      <c r="EHP85" s="0"/>
      <c r="EHQ85" s="0"/>
      <c r="EHR85" s="0"/>
      <c r="EHS85" s="0"/>
      <c r="EHT85" s="0"/>
      <c r="EHU85" s="0"/>
      <c r="EHV85" s="0"/>
      <c r="EHW85" s="0"/>
      <c r="EHX85" s="0"/>
      <c r="EHY85" s="0"/>
      <c r="EHZ85" s="0"/>
      <c r="EIA85" s="0"/>
      <c r="EIB85" s="0"/>
      <c r="EIC85" s="0"/>
      <c r="EID85" s="0"/>
      <c r="EIE85" s="0"/>
      <c r="EIF85" s="0"/>
      <c r="EIG85" s="0"/>
      <c r="EIH85" s="0"/>
      <c r="EII85" s="0"/>
      <c r="EIJ85" s="0"/>
      <c r="EIK85" s="0"/>
      <c r="EIL85" s="0"/>
      <c r="EIM85" s="0"/>
      <c r="EIN85" s="0"/>
      <c r="EIO85" s="0"/>
      <c r="EIP85" s="0"/>
      <c r="EIQ85" s="0"/>
      <c r="EIR85" s="0"/>
      <c r="EIS85" s="0"/>
      <c r="EIT85" s="0"/>
      <c r="EIU85" s="0"/>
      <c r="EIV85" s="0"/>
      <c r="EIW85" s="0"/>
      <c r="EIX85" s="0"/>
      <c r="EIY85" s="0"/>
      <c r="EIZ85" s="0"/>
      <c r="EJA85" s="0"/>
      <c r="EJB85" s="0"/>
      <c r="EJC85" s="0"/>
      <c r="EJD85" s="0"/>
      <c r="EJE85" s="0"/>
      <c r="EJF85" s="0"/>
      <c r="EJG85" s="0"/>
      <c r="EJH85" s="0"/>
      <c r="EJI85" s="0"/>
      <c r="EJJ85" s="0"/>
      <c r="EJK85" s="0"/>
      <c r="EJL85" s="0"/>
      <c r="EJM85" s="0"/>
      <c r="EJN85" s="0"/>
      <c r="EJO85" s="0"/>
      <c r="EJP85" s="0"/>
      <c r="EJQ85" s="0"/>
      <c r="EJR85" s="0"/>
      <c r="EJS85" s="0"/>
      <c r="EJT85" s="0"/>
      <c r="EJU85" s="0"/>
      <c r="EJV85" s="0"/>
      <c r="EJW85" s="0"/>
      <c r="EJX85" s="0"/>
      <c r="EJY85" s="0"/>
      <c r="EJZ85" s="0"/>
      <c r="EKA85" s="0"/>
      <c r="EKB85" s="0"/>
      <c r="EKC85" s="0"/>
      <c r="EKD85" s="0"/>
      <c r="EKE85" s="0"/>
      <c r="EKF85" s="0"/>
      <c r="EKG85" s="0"/>
      <c r="EKH85" s="0"/>
      <c r="EKI85" s="0"/>
      <c r="EKJ85" s="0"/>
      <c r="EKK85" s="0"/>
      <c r="EKL85" s="0"/>
      <c r="EKM85" s="0"/>
      <c r="EKN85" s="0"/>
      <c r="EKO85" s="0"/>
      <c r="EKP85" s="0"/>
      <c r="EKQ85" s="0"/>
      <c r="EKR85" s="0"/>
      <c r="EKS85" s="0"/>
      <c r="EKT85" s="0"/>
      <c r="EKU85" s="0"/>
      <c r="EKV85" s="0"/>
      <c r="EKW85" s="0"/>
      <c r="EKX85" s="0"/>
      <c r="EKY85" s="0"/>
      <c r="EKZ85" s="0"/>
      <c r="ELA85" s="0"/>
      <c r="ELB85" s="0"/>
      <c r="ELC85" s="0"/>
      <c r="ELD85" s="0"/>
      <c r="ELE85" s="0"/>
      <c r="ELF85" s="0"/>
      <c r="ELG85" s="0"/>
      <c r="ELH85" s="0"/>
      <c r="ELI85" s="0"/>
      <c r="ELJ85" s="0"/>
      <c r="ELK85" s="0"/>
      <c r="ELL85" s="0"/>
      <c r="ELM85" s="0"/>
      <c r="ELN85" s="0"/>
      <c r="ELO85" s="0"/>
      <c r="ELP85" s="0"/>
      <c r="ELQ85" s="0"/>
      <c r="ELR85" s="0"/>
      <c r="ELS85" s="0"/>
      <c r="ELT85" s="0"/>
      <c r="ELU85" s="0"/>
      <c r="ELV85" s="0"/>
      <c r="ELW85" s="0"/>
      <c r="ELX85" s="0"/>
      <c r="ELY85" s="0"/>
      <c r="ELZ85" s="0"/>
      <c r="EMA85" s="0"/>
      <c r="EMB85" s="0"/>
      <c r="EMC85" s="0"/>
      <c r="EMD85" s="0"/>
      <c r="EME85" s="0"/>
      <c r="EMF85" s="0"/>
      <c r="EMG85" s="0"/>
      <c r="EMH85" s="0"/>
      <c r="EMI85" s="0"/>
      <c r="EMJ85" s="0"/>
      <c r="EMK85" s="0"/>
      <c r="EML85" s="0"/>
      <c r="EMM85" s="0"/>
      <c r="EMN85" s="0"/>
      <c r="EMO85" s="0"/>
      <c r="EMP85" s="0"/>
      <c r="EMQ85" s="0"/>
      <c r="EMR85" s="0"/>
      <c r="EMS85" s="0"/>
      <c r="EMT85" s="0"/>
      <c r="EMU85" s="0"/>
      <c r="EMV85" s="0"/>
      <c r="EMW85" s="0"/>
      <c r="EMX85" s="0"/>
      <c r="EMY85" s="0"/>
      <c r="EMZ85" s="0"/>
      <c r="ENA85" s="0"/>
      <c r="ENB85" s="0"/>
      <c r="ENC85" s="0"/>
      <c r="END85" s="0"/>
      <c r="ENE85" s="0"/>
      <c r="ENF85" s="0"/>
      <c r="ENG85" s="0"/>
      <c r="ENH85" s="0"/>
      <c r="ENI85" s="0"/>
      <c r="ENJ85" s="0"/>
      <c r="ENK85" s="0"/>
      <c r="ENL85" s="0"/>
      <c r="ENM85" s="0"/>
      <c r="ENN85" s="0"/>
      <c r="ENO85" s="0"/>
      <c r="ENP85" s="0"/>
      <c r="ENQ85" s="0"/>
      <c r="ENR85" s="0"/>
      <c r="ENS85" s="0"/>
      <c r="ENT85" s="0"/>
      <c r="ENU85" s="0"/>
      <c r="ENV85" s="0"/>
      <c r="ENW85" s="0"/>
      <c r="ENX85" s="0"/>
      <c r="ENY85" s="0"/>
      <c r="ENZ85" s="0"/>
      <c r="EOA85" s="0"/>
      <c r="EOB85" s="0"/>
      <c r="EOC85" s="0"/>
      <c r="EOD85" s="0"/>
      <c r="EOE85" s="0"/>
      <c r="EOF85" s="0"/>
      <c r="EOG85" s="0"/>
      <c r="EOH85" s="0"/>
      <c r="EOI85" s="0"/>
      <c r="EOJ85" s="0"/>
      <c r="EOK85" s="0"/>
      <c r="EOL85" s="0"/>
      <c r="EOM85" s="0"/>
      <c r="EON85" s="0"/>
      <c r="EOO85" s="0"/>
      <c r="EOP85" s="0"/>
      <c r="EOQ85" s="0"/>
      <c r="EOR85" s="0"/>
      <c r="EOS85" s="0"/>
      <c r="EOT85" s="0"/>
      <c r="EOU85" s="0"/>
      <c r="EOV85" s="0"/>
      <c r="EOW85" s="0"/>
      <c r="EOX85" s="0"/>
      <c r="EOY85" s="0"/>
      <c r="EOZ85" s="0"/>
      <c r="EPA85" s="0"/>
      <c r="EPB85" s="0"/>
      <c r="EPC85" s="0"/>
      <c r="EPD85" s="0"/>
      <c r="EPE85" s="0"/>
      <c r="EPF85" s="0"/>
      <c r="EPG85" s="0"/>
      <c r="EPH85" s="0"/>
      <c r="EPI85" s="0"/>
      <c r="EPJ85" s="0"/>
      <c r="EPK85" s="0"/>
      <c r="EPL85" s="0"/>
      <c r="EPM85" s="0"/>
      <c r="EPN85" s="0"/>
      <c r="EPO85" s="0"/>
      <c r="EPP85" s="0"/>
      <c r="EPQ85" s="0"/>
      <c r="EPR85" s="0"/>
      <c r="EPS85" s="0"/>
      <c r="EPT85" s="0"/>
      <c r="EPU85" s="0"/>
      <c r="EPV85" s="0"/>
      <c r="EPW85" s="0"/>
      <c r="EPX85" s="0"/>
      <c r="EPY85" s="0"/>
      <c r="EPZ85" s="0"/>
      <c r="EQA85" s="0"/>
      <c r="EQB85" s="0"/>
      <c r="EQC85" s="0"/>
      <c r="EQD85" s="0"/>
      <c r="EQE85" s="0"/>
      <c r="EQF85" s="0"/>
      <c r="EQG85" s="0"/>
      <c r="EQH85" s="0"/>
      <c r="EQI85" s="0"/>
      <c r="EQJ85" s="0"/>
      <c r="EQK85" s="0"/>
      <c r="EQL85" s="0"/>
      <c r="EQM85" s="0"/>
      <c r="EQN85" s="0"/>
      <c r="EQO85" s="0"/>
      <c r="EQP85" s="0"/>
      <c r="EQQ85" s="0"/>
      <c r="EQR85" s="0"/>
      <c r="EQS85" s="0"/>
      <c r="EQT85" s="0"/>
      <c r="EQU85" s="0"/>
      <c r="EQV85" s="0"/>
      <c r="EQW85" s="0"/>
      <c r="EQX85" s="0"/>
      <c r="EQY85" s="0"/>
      <c r="EQZ85" s="0"/>
      <c r="ERA85" s="0"/>
      <c r="ERB85" s="0"/>
      <c r="ERC85" s="0"/>
      <c r="ERD85" s="0"/>
      <c r="ERE85" s="0"/>
      <c r="ERF85" s="0"/>
      <c r="ERG85" s="0"/>
      <c r="ERH85" s="0"/>
      <c r="ERI85" s="0"/>
      <c r="ERJ85" s="0"/>
      <c r="ERK85" s="0"/>
      <c r="ERL85" s="0"/>
      <c r="ERM85" s="0"/>
      <c r="ERN85" s="0"/>
      <c r="ERO85" s="0"/>
      <c r="ERP85" s="0"/>
      <c r="ERQ85" s="0"/>
      <c r="ERR85" s="0"/>
      <c r="ERS85" s="0"/>
      <c r="ERT85" s="0"/>
      <c r="ERU85" s="0"/>
      <c r="ERV85" s="0"/>
      <c r="ERW85" s="0"/>
      <c r="ERX85" s="0"/>
      <c r="ERY85" s="0"/>
      <c r="ERZ85" s="0"/>
      <c r="ESA85" s="0"/>
      <c r="ESB85" s="0"/>
      <c r="ESC85" s="0"/>
      <c r="ESD85" s="0"/>
      <c r="ESE85" s="0"/>
      <c r="ESF85" s="0"/>
      <c r="ESG85" s="0"/>
      <c r="ESH85" s="0"/>
      <c r="ESI85" s="0"/>
      <c r="ESJ85" s="0"/>
      <c r="ESK85" s="0"/>
      <c r="ESL85" s="0"/>
      <c r="ESM85" s="0"/>
      <c r="ESN85" s="0"/>
      <c r="ESO85" s="0"/>
      <c r="ESP85" s="0"/>
      <c r="ESQ85" s="0"/>
      <c r="ESR85" s="0"/>
      <c r="ESS85" s="0"/>
      <c r="EST85" s="0"/>
      <c r="ESU85" s="0"/>
      <c r="ESV85" s="0"/>
      <c r="ESW85" s="0"/>
      <c r="ESX85" s="0"/>
      <c r="ESY85" s="0"/>
      <c r="ESZ85" s="0"/>
      <c r="ETA85" s="0"/>
      <c r="ETB85" s="0"/>
      <c r="ETC85" s="0"/>
      <c r="ETD85" s="0"/>
      <c r="ETE85" s="0"/>
      <c r="ETF85" s="0"/>
      <c r="ETG85" s="0"/>
      <c r="ETH85" s="0"/>
      <c r="ETI85" s="0"/>
      <c r="ETJ85" s="0"/>
      <c r="ETK85" s="0"/>
      <c r="ETL85" s="0"/>
      <c r="ETM85" s="0"/>
      <c r="ETN85" s="0"/>
      <c r="ETO85" s="0"/>
      <c r="ETP85" s="0"/>
      <c r="ETQ85" s="0"/>
      <c r="ETR85" s="0"/>
      <c r="ETS85" s="0"/>
      <c r="ETT85" s="0"/>
      <c r="ETU85" s="0"/>
      <c r="ETV85" s="0"/>
      <c r="ETW85" s="0"/>
      <c r="ETX85" s="0"/>
      <c r="ETY85" s="0"/>
      <c r="ETZ85" s="0"/>
      <c r="EUA85" s="0"/>
      <c r="EUB85" s="0"/>
      <c r="EUC85" s="0"/>
      <c r="EUD85" s="0"/>
      <c r="EUE85" s="0"/>
      <c r="EUF85" s="0"/>
      <c r="EUG85" s="0"/>
      <c r="EUH85" s="0"/>
      <c r="EUI85" s="0"/>
      <c r="EUJ85" s="0"/>
      <c r="EUK85" s="0"/>
      <c r="EUL85" s="0"/>
      <c r="EUM85" s="0"/>
      <c r="EUN85" s="0"/>
      <c r="EUO85" s="0"/>
      <c r="EUP85" s="0"/>
      <c r="EUQ85" s="0"/>
      <c r="EUR85" s="0"/>
      <c r="EUS85" s="0"/>
      <c r="EUT85" s="0"/>
      <c r="EUU85" s="0"/>
      <c r="EUV85" s="0"/>
      <c r="EUW85" s="0"/>
      <c r="EUX85" s="0"/>
      <c r="EUY85" s="0"/>
      <c r="EUZ85" s="0"/>
      <c r="EVA85" s="0"/>
      <c r="EVB85" s="0"/>
      <c r="EVC85" s="0"/>
      <c r="EVD85" s="0"/>
      <c r="EVE85" s="0"/>
      <c r="EVF85" s="0"/>
      <c r="EVG85" s="0"/>
      <c r="EVH85" s="0"/>
      <c r="EVI85" s="0"/>
      <c r="EVJ85" s="0"/>
      <c r="EVK85" s="0"/>
      <c r="EVL85" s="0"/>
      <c r="EVM85" s="0"/>
      <c r="EVN85" s="0"/>
      <c r="EVO85" s="0"/>
      <c r="EVP85" s="0"/>
      <c r="EVQ85" s="0"/>
      <c r="EVR85" s="0"/>
      <c r="EVS85" s="0"/>
      <c r="EVT85" s="0"/>
      <c r="EVU85" s="0"/>
      <c r="EVV85" s="0"/>
      <c r="EVW85" s="0"/>
      <c r="EVX85" s="0"/>
      <c r="EVY85" s="0"/>
      <c r="EVZ85" s="0"/>
      <c r="EWA85" s="0"/>
      <c r="EWB85" s="0"/>
      <c r="EWC85" s="0"/>
      <c r="EWD85" s="0"/>
      <c r="EWE85" s="0"/>
      <c r="EWF85" s="0"/>
      <c r="EWG85" s="0"/>
      <c r="EWH85" s="0"/>
      <c r="EWI85" s="0"/>
      <c r="EWJ85" s="0"/>
      <c r="EWK85" s="0"/>
      <c r="EWL85" s="0"/>
      <c r="EWM85" s="0"/>
      <c r="EWN85" s="0"/>
      <c r="EWO85" s="0"/>
      <c r="EWP85" s="0"/>
      <c r="EWQ85" s="0"/>
      <c r="EWR85" s="0"/>
      <c r="EWS85" s="0"/>
      <c r="EWT85" s="0"/>
      <c r="EWU85" s="0"/>
      <c r="EWV85" s="0"/>
      <c r="EWW85" s="0"/>
      <c r="EWX85" s="0"/>
      <c r="EWY85" s="0"/>
      <c r="EWZ85" s="0"/>
      <c r="EXA85" s="0"/>
      <c r="EXB85" s="0"/>
      <c r="EXC85" s="0"/>
      <c r="EXD85" s="0"/>
      <c r="EXE85" s="0"/>
      <c r="EXF85" s="0"/>
      <c r="EXG85" s="0"/>
      <c r="EXH85" s="0"/>
      <c r="EXI85" s="0"/>
      <c r="EXJ85" s="0"/>
      <c r="EXK85" s="0"/>
      <c r="EXL85" s="0"/>
      <c r="EXM85" s="0"/>
      <c r="EXN85" s="0"/>
      <c r="EXO85" s="0"/>
      <c r="EXP85" s="0"/>
      <c r="EXQ85" s="0"/>
      <c r="EXR85" s="0"/>
      <c r="EXS85" s="0"/>
      <c r="EXT85" s="0"/>
      <c r="EXU85" s="0"/>
      <c r="EXV85" s="0"/>
      <c r="EXW85" s="0"/>
      <c r="EXX85" s="0"/>
      <c r="EXY85" s="0"/>
      <c r="EXZ85" s="0"/>
      <c r="EYA85" s="0"/>
      <c r="EYB85" s="0"/>
      <c r="EYC85" s="0"/>
      <c r="EYD85" s="0"/>
      <c r="EYE85" s="0"/>
      <c r="EYF85" s="0"/>
      <c r="EYG85" s="0"/>
      <c r="EYH85" s="0"/>
      <c r="EYI85" s="0"/>
      <c r="EYJ85" s="0"/>
      <c r="EYK85" s="0"/>
      <c r="EYL85" s="0"/>
      <c r="EYM85" s="0"/>
      <c r="EYN85" s="0"/>
      <c r="EYO85" s="0"/>
      <c r="EYP85" s="0"/>
      <c r="EYQ85" s="0"/>
      <c r="EYR85" s="0"/>
      <c r="EYS85" s="0"/>
      <c r="EYT85" s="0"/>
      <c r="EYU85" s="0"/>
      <c r="EYV85" s="0"/>
      <c r="EYW85" s="0"/>
      <c r="EYX85" s="0"/>
      <c r="EYY85" s="0"/>
      <c r="EYZ85" s="0"/>
      <c r="EZA85" s="0"/>
      <c r="EZB85" s="0"/>
      <c r="EZC85" s="0"/>
      <c r="EZD85" s="0"/>
      <c r="EZE85" s="0"/>
      <c r="EZF85" s="0"/>
      <c r="EZG85" s="0"/>
      <c r="EZH85" s="0"/>
      <c r="EZI85" s="0"/>
      <c r="EZJ85" s="0"/>
      <c r="EZK85" s="0"/>
      <c r="EZL85" s="0"/>
      <c r="EZM85" s="0"/>
      <c r="EZN85" s="0"/>
      <c r="EZO85" s="0"/>
      <c r="EZP85" s="0"/>
      <c r="EZQ85" s="0"/>
      <c r="EZR85" s="0"/>
      <c r="EZS85" s="0"/>
      <c r="EZT85" s="0"/>
      <c r="EZU85" s="0"/>
      <c r="EZV85" s="0"/>
      <c r="EZW85" s="0"/>
      <c r="EZX85" s="0"/>
      <c r="EZY85" s="0"/>
      <c r="EZZ85" s="0"/>
      <c r="FAA85" s="0"/>
      <c r="FAB85" s="0"/>
      <c r="FAC85" s="0"/>
      <c r="FAD85" s="0"/>
      <c r="FAE85" s="0"/>
      <c r="FAF85" s="0"/>
      <c r="FAG85" s="0"/>
      <c r="FAH85" s="0"/>
      <c r="FAI85" s="0"/>
      <c r="FAJ85" s="0"/>
      <c r="FAK85" s="0"/>
      <c r="FAL85" s="0"/>
      <c r="FAM85" s="0"/>
      <c r="FAN85" s="0"/>
      <c r="FAO85" s="0"/>
      <c r="FAP85" s="0"/>
      <c r="FAQ85" s="0"/>
      <c r="FAR85" s="0"/>
      <c r="FAS85" s="0"/>
      <c r="FAT85" s="0"/>
      <c r="FAU85" s="0"/>
      <c r="FAV85" s="0"/>
      <c r="FAW85" s="0"/>
      <c r="FAX85" s="0"/>
      <c r="FAY85" s="0"/>
      <c r="FAZ85" s="0"/>
      <c r="FBA85" s="0"/>
      <c r="FBB85" s="0"/>
      <c r="FBC85" s="0"/>
      <c r="FBD85" s="0"/>
      <c r="FBE85" s="0"/>
      <c r="FBF85" s="0"/>
      <c r="FBG85" s="0"/>
      <c r="FBH85" s="0"/>
      <c r="FBI85" s="0"/>
      <c r="FBJ85" s="0"/>
      <c r="FBK85" s="0"/>
      <c r="FBL85" s="0"/>
      <c r="FBM85" s="0"/>
      <c r="FBN85" s="0"/>
      <c r="FBO85" s="0"/>
      <c r="FBP85" s="0"/>
      <c r="FBQ85" s="0"/>
      <c r="FBR85" s="0"/>
      <c r="FBS85" s="0"/>
      <c r="FBT85" s="0"/>
      <c r="FBU85" s="0"/>
      <c r="FBV85" s="0"/>
      <c r="FBW85" s="0"/>
      <c r="FBX85" s="0"/>
      <c r="FBY85" s="0"/>
      <c r="FBZ85" s="0"/>
      <c r="FCA85" s="0"/>
      <c r="FCB85" s="0"/>
      <c r="FCC85" s="0"/>
      <c r="FCD85" s="0"/>
      <c r="FCE85" s="0"/>
      <c r="FCF85" s="0"/>
      <c r="FCG85" s="0"/>
      <c r="FCH85" s="0"/>
      <c r="FCI85" s="0"/>
      <c r="FCJ85" s="0"/>
      <c r="FCK85" s="0"/>
      <c r="FCL85" s="0"/>
      <c r="FCM85" s="0"/>
      <c r="FCN85" s="0"/>
      <c r="FCO85" s="0"/>
      <c r="FCP85" s="0"/>
      <c r="FCQ85" s="0"/>
      <c r="FCR85" s="0"/>
      <c r="FCS85" s="0"/>
      <c r="FCT85" s="0"/>
      <c r="FCU85" s="0"/>
      <c r="FCV85" s="0"/>
      <c r="FCW85" s="0"/>
      <c r="FCX85" s="0"/>
      <c r="FCY85" s="0"/>
      <c r="FCZ85" s="0"/>
      <c r="FDA85" s="0"/>
      <c r="FDB85" s="0"/>
      <c r="FDC85" s="0"/>
      <c r="FDD85" s="0"/>
      <c r="FDE85" s="0"/>
      <c r="FDF85" s="0"/>
      <c r="FDG85" s="0"/>
      <c r="FDH85" s="0"/>
      <c r="FDI85" s="0"/>
      <c r="FDJ85" s="0"/>
      <c r="FDK85" s="0"/>
      <c r="FDL85" s="0"/>
      <c r="FDM85" s="0"/>
      <c r="FDN85" s="0"/>
      <c r="FDO85" s="0"/>
      <c r="FDP85" s="0"/>
      <c r="FDQ85" s="0"/>
      <c r="FDR85" s="0"/>
      <c r="FDS85" s="0"/>
      <c r="FDT85" s="0"/>
      <c r="FDU85" s="0"/>
      <c r="FDV85" s="0"/>
      <c r="FDW85" s="0"/>
      <c r="FDX85" s="0"/>
      <c r="FDY85" s="0"/>
      <c r="FDZ85" s="0"/>
      <c r="FEA85" s="0"/>
      <c r="FEB85" s="0"/>
      <c r="FEC85" s="0"/>
      <c r="FED85" s="0"/>
      <c r="FEE85" s="0"/>
      <c r="FEF85" s="0"/>
      <c r="FEG85" s="0"/>
      <c r="FEH85" s="0"/>
      <c r="FEI85" s="0"/>
      <c r="FEJ85" s="0"/>
      <c r="FEK85" s="0"/>
      <c r="FEL85" s="0"/>
      <c r="FEM85" s="0"/>
      <c r="FEN85" s="0"/>
      <c r="FEO85" s="0"/>
      <c r="FEP85" s="0"/>
      <c r="FEQ85" s="0"/>
      <c r="FER85" s="0"/>
      <c r="FES85" s="0"/>
      <c r="FET85" s="0"/>
      <c r="FEU85" s="0"/>
      <c r="FEV85" s="0"/>
      <c r="FEW85" s="0"/>
      <c r="FEX85" s="0"/>
      <c r="FEY85" s="0"/>
      <c r="FEZ85" s="0"/>
      <c r="FFA85" s="0"/>
      <c r="FFB85" s="0"/>
      <c r="FFC85" s="0"/>
      <c r="FFD85" s="0"/>
      <c r="FFE85" s="0"/>
      <c r="FFF85" s="0"/>
      <c r="FFG85" s="0"/>
      <c r="FFH85" s="0"/>
      <c r="FFI85" s="0"/>
      <c r="FFJ85" s="0"/>
      <c r="FFK85" s="0"/>
      <c r="FFL85" s="0"/>
      <c r="FFM85" s="0"/>
      <c r="FFN85" s="0"/>
      <c r="FFO85" s="0"/>
      <c r="FFP85" s="0"/>
      <c r="FFQ85" s="0"/>
      <c r="FFR85" s="0"/>
      <c r="FFS85" s="0"/>
      <c r="FFT85" s="0"/>
      <c r="FFU85" s="0"/>
      <c r="FFV85" s="0"/>
      <c r="FFW85" s="0"/>
      <c r="FFX85" s="0"/>
      <c r="FFY85" s="0"/>
      <c r="FFZ85" s="0"/>
      <c r="FGA85" s="0"/>
      <c r="FGB85" s="0"/>
      <c r="FGC85" s="0"/>
      <c r="FGD85" s="0"/>
      <c r="FGE85" s="0"/>
      <c r="FGF85" s="0"/>
      <c r="FGG85" s="0"/>
      <c r="FGH85" s="0"/>
      <c r="FGI85" s="0"/>
      <c r="FGJ85" s="0"/>
      <c r="FGK85" s="0"/>
      <c r="FGL85" s="0"/>
      <c r="FGM85" s="0"/>
      <c r="FGN85" s="0"/>
      <c r="FGO85" s="0"/>
      <c r="FGP85" s="0"/>
      <c r="FGQ85" s="0"/>
      <c r="FGR85" s="0"/>
      <c r="FGS85" s="0"/>
      <c r="FGT85" s="0"/>
      <c r="FGU85" s="0"/>
      <c r="FGV85" s="0"/>
      <c r="FGW85" s="0"/>
      <c r="FGX85" s="0"/>
      <c r="FGY85" s="0"/>
      <c r="FGZ85" s="0"/>
      <c r="FHA85" s="0"/>
      <c r="FHB85" s="0"/>
      <c r="FHC85" s="0"/>
      <c r="FHD85" s="0"/>
      <c r="FHE85" s="0"/>
      <c r="FHF85" s="0"/>
      <c r="FHG85" s="0"/>
      <c r="FHH85" s="0"/>
      <c r="FHI85" s="0"/>
      <c r="FHJ85" s="0"/>
      <c r="FHK85" s="0"/>
      <c r="FHL85" s="0"/>
      <c r="FHM85" s="0"/>
      <c r="FHN85" s="0"/>
      <c r="FHO85" s="0"/>
      <c r="FHP85" s="0"/>
      <c r="FHQ85" s="0"/>
      <c r="FHR85" s="0"/>
      <c r="FHS85" s="0"/>
      <c r="FHT85" s="0"/>
      <c r="FHU85" s="0"/>
      <c r="FHV85" s="0"/>
      <c r="FHW85" s="0"/>
      <c r="FHX85" s="0"/>
      <c r="FHY85" s="0"/>
      <c r="FHZ85" s="0"/>
      <c r="FIA85" s="0"/>
      <c r="FIB85" s="0"/>
      <c r="FIC85" s="0"/>
      <c r="FID85" s="0"/>
      <c r="FIE85" s="0"/>
      <c r="FIF85" s="0"/>
      <c r="FIG85" s="0"/>
      <c r="FIH85" s="0"/>
      <c r="FII85" s="0"/>
      <c r="FIJ85" s="0"/>
      <c r="FIK85" s="0"/>
      <c r="FIL85" s="0"/>
      <c r="FIM85" s="0"/>
      <c r="FIN85" s="0"/>
      <c r="FIO85" s="0"/>
      <c r="FIP85" s="0"/>
      <c r="FIQ85" s="0"/>
      <c r="FIR85" s="0"/>
      <c r="FIS85" s="0"/>
      <c r="FIT85" s="0"/>
      <c r="FIU85" s="0"/>
      <c r="FIV85" s="0"/>
      <c r="FIW85" s="0"/>
      <c r="FIX85" s="0"/>
      <c r="FIY85" s="0"/>
      <c r="FIZ85" s="0"/>
      <c r="FJA85" s="0"/>
      <c r="FJB85" s="0"/>
      <c r="FJC85" s="0"/>
      <c r="FJD85" s="0"/>
      <c r="FJE85" s="0"/>
      <c r="FJF85" s="0"/>
      <c r="FJG85" s="0"/>
      <c r="FJH85" s="0"/>
      <c r="FJI85" s="0"/>
      <c r="FJJ85" s="0"/>
      <c r="FJK85" s="0"/>
      <c r="FJL85" s="0"/>
      <c r="FJM85" s="0"/>
      <c r="FJN85" s="0"/>
      <c r="FJO85" s="0"/>
      <c r="FJP85" s="0"/>
      <c r="FJQ85" s="0"/>
      <c r="FJR85" s="0"/>
      <c r="FJS85" s="0"/>
      <c r="FJT85" s="0"/>
      <c r="FJU85" s="0"/>
      <c r="FJV85" s="0"/>
      <c r="FJW85" s="0"/>
      <c r="FJX85" s="0"/>
      <c r="FJY85" s="0"/>
      <c r="FJZ85" s="0"/>
      <c r="FKA85" s="0"/>
      <c r="FKB85" s="0"/>
      <c r="FKC85" s="0"/>
      <c r="FKD85" s="0"/>
      <c r="FKE85" s="0"/>
      <c r="FKF85" s="0"/>
      <c r="FKG85" s="0"/>
      <c r="FKH85" s="0"/>
      <c r="FKI85" s="0"/>
      <c r="FKJ85" s="0"/>
      <c r="FKK85" s="0"/>
      <c r="FKL85" s="0"/>
      <c r="FKM85" s="0"/>
      <c r="FKN85" s="0"/>
      <c r="FKO85" s="0"/>
      <c r="FKP85" s="0"/>
      <c r="FKQ85" s="0"/>
      <c r="FKR85" s="0"/>
      <c r="FKS85" s="0"/>
      <c r="FKT85" s="0"/>
      <c r="FKU85" s="0"/>
      <c r="FKV85" s="0"/>
      <c r="FKW85" s="0"/>
      <c r="FKX85" s="0"/>
      <c r="FKY85" s="0"/>
      <c r="FKZ85" s="0"/>
      <c r="FLA85" s="0"/>
      <c r="FLB85" s="0"/>
      <c r="FLC85" s="0"/>
      <c r="FLD85" s="0"/>
      <c r="FLE85" s="0"/>
      <c r="FLF85" s="0"/>
      <c r="FLG85" s="0"/>
      <c r="FLH85" s="0"/>
      <c r="FLI85" s="0"/>
      <c r="FLJ85" s="0"/>
      <c r="FLK85" s="0"/>
      <c r="FLL85" s="0"/>
      <c r="FLM85" s="0"/>
      <c r="FLN85" s="0"/>
      <c r="FLO85" s="0"/>
      <c r="FLP85" s="0"/>
      <c r="FLQ85" s="0"/>
      <c r="FLR85" s="0"/>
      <c r="FLS85" s="0"/>
      <c r="FLT85" s="0"/>
      <c r="FLU85" s="0"/>
      <c r="FLV85" s="0"/>
      <c r="FLW85" s="0"/>
      <c r="FLX85" s="0"/>
      <c r="FLY85" s="0"/>
      <c r="FLZ85" s="0"/>
      <c r="FMA85" s="0"/>
      <c r="FMB85" s="0"/>
      <c r="FMC85" s="0"/>
      <c r="FMD85" s="0"/>
      <c r="FME85" s="0"/>
      <c r="FMF85" s="0"/>
      <c r="FMG85" s="0"/>
      <c r="FMH85" s="0"/>
      <c r="FMI85" s="0"/>
      <c r="FMJ85" s="0"/>
      <c r="FMK85" s="0"/>
      <c r="FML85" s="0"/>
      <c r="FMM85" s="0"/>
      <c r="FMN85" s="0"/>
      <c r="FMO85" s="0"/>
      <c r="FMP85" s="0"/>
      <c r="FMQ85" s="0"/>
      <c r="FMR85" s="0"/>
      <c r="FMS85" s="0"/>
      <c r="FMT85" s="0"/>
      <c r="FMU85" s="0"/>
      <c r="FMV85" s="0"/>
      <c r="FMW85" s="0"/>
      <c r="FMX85" s="0"/>
      <c r="FMY85" s="0"/>
      <c r="FMZ85" s="0"/>
      <c r="FNA85" s="0"/>
      <c r="FNB85" s="0"/>
      <c r="FNC85" s="0"/>
      <c r="FND85" s="0"/>
      <c r="FNE85" s="0"/>
      <c r="FNF85" s="0"/>
      <c r="FNG85" s="0"/>
      <c r="FNH85" s="0"/>
      <c r="FNI85" s="0"/>
      <c r="FNJ85" s="0"/>
      <c r="FNK85" s="0"/>
      <c r="FNL85" s="0"/>
      <c r="FNM85" s="0"/>
      <c r="FNN85" s="0"/>
      <c r="FNO85" s="0"/>
      <c r="FNP85" s="0"/>
      <c r="FNQ85" s="0"/>
      <c r="FNR85" s="0"/>
      <c r="FNS85" s="0"/>
      <c r="FNT85" s="0"/>
      <c r="FNU85" s="0"/>
      <c r="FNV85" s="0"/>
      <c r="FNW85" s="0"/>
      <c r="FNX85" s="0"/>
      <c r="FNY85" s="0"/>
      <c r="FNZ85" s="0"/>
      <c r="FOA85" s="0"/>
      <c r="FOB85" s="0"/>
      <c r="FOC85" s="0"/>
      <c r="FOD85" s="0"/>
      <c r="FOE85" s="0"/>
      <c r="FOF85" s="0"/>
      <c r="FOG85" s="0"/>
      <c r="FOH85" s="0"/>
      <c r="FOI85" s="0"/>
      <c r="FOJ85" s="0"/>
      <c r="FOK85" s="0"/>
      <c r="FOL85" s="0"/>
      <c r="FOM85" s="0"/>
      <c r="FON85" s="0"/>
      <c r="FOO85" s="0"/>
      <c r="FOP85" s="0"/>
      <c r="FOQ85" s="0"/>
      <c r="FOR85" s="0"/>
      <c r="FOS85" s="0"/>
      <c r="FOT85" s="0"/>
      <c r="FOU85" s="0"/>
      <c r="FOV85" s="0"/>
      <c r="FOW85" s="0"/>
      <c r="FOX85" s="0"/>
      <c r="FOY85" s="0"/>
      <c r="FOZ85" s="0"/>
      <c r="FPA85" s="0"/>
      <c r="FPB85" s="0"/>
      <c r="FPC85" s="0"/>
      <c r="FPD85" s="0"/>
      <c r="FPE85" s="0"/>
      <c r="FPF85" s="0"/>
      <c r="FPG85" s="0"/>
      <c r="FPH85" s="0"/>
      <c r="FPI85" s="0"/>
      <c r="FPJ85" s="0"/>
      <c r="FPK85" s="0"/>
      <c r="FPL85" s="0"/>
      <c r="FPM85" s="0"/>
      <c r="FPN85" s="0"/>
      <c r="FPO85" s="0"/>
      <c r="FPP85" s="0"/>
      <c r="FPQ85" s="0"/>
      <c r="FPR85" s="0"/>
      <c r="FPS85" s="0"/>
      <c r="FPT85" s="0"/>
      <c r="FPU85" s="0"/>
      <c r="FPV85" s="0"/>
      <c r="FPW85" s="0"/>
      <c r="FPX85" s="0"/>
      <c r="FPY85" s="0"/>
      <c r="FPZ85" s="0"/>
      <c r="FQA85" s="0"/>
      <c r="FQB85" s="0"/>
      <c r="FQC85" s="0"/>
      <c r="FQD85" s="0"/>
      <c r="FQE85" s="0"/>
      <c r="FQF85" s="0"/>
      <c r="FQG85" s="0"/>
      <c r="FQH85" s="0"/>
      <c r="FQI85" s="0"/>
      <c r="FQJ85" s="0"/>
      <c r="FQK85" s="0"/>
      <c r="FQL85" s="0"/>
      <c r="FQM85" s="0"/>
      <c r="FQN85" s="0"/>
      <c r="FQO85" s="0"/>
      <c r="FQP85" s="0"/>
      <c r="FQQ85" s="0"/>
      <c r="FQR85" s="0"/>
      <c r="FQS85" s="0"/>
      <c r="FQT85" s="0"/>
      <c r="FQU85" s="0"/>
      <c r="FQV85" s="0"/>
      <c r="FQW85" s="0"/>
      <c r="FQX85" s="0"/>
      <c r="FQY85" s="0"/>
      <c r="FQZ85" s="0"/>
      <c r="FRA85" s="0"/>
      <c r="FRB85" s="0"/>
      <c r="FRC85" s="0"/>
      <c r="FRD85" s="0"/>
      <c r="FRE85" s="0"/>
      <c r="FRF85" s="0"/>
      <c r="FRG85" s="0"/>
      <c r="FRH85" s="0"/>
      <c r="FRI85" s="0"/>
      <c r="FRJ85" s="0"/>
      <c r="FRK85" s="0"/>
      <c r="FRL85" s="0"/>
      <c r="FRM85" s="0"/>
      <c r="FRN85" s="0"/>
      <c r="FRO85" s="0"/>
      <c r="FRP85" s="0"/>
      <c r="FRQ85" s="0"/>
      <c r="FRR85" s="0"/>
      <c r="FRS85" s="0"/>
      <c r="FRT85" s="0"/>
      <c r="FRU85" s="0"/>
      <c r="FRV85" s="0"/>
      <c r="FRW85" s="0"/>
      <c r="FRX85" s="0"/>
      <c r="FRY85" s="0"/>
      <c r="FRZ85" s="0"/>
      <c r="FSA85" s="0"/>
      <c r="FSB85" s="0"/>
      <c r="FSC85" s="0"/>
      <c r="FSD85" s="0"/>
      <c r="FSE85" s="0"/>
      <c r="FSF85" s="0"/>
      <c r="FSG85" s="0"/>
      <c r="FSH85" s="0"/>
      <c r="FSI85" s="0"/>
      <c r="FSJ85" s="0"/>
      <c r="FSK85" s="0"/>
      <c r="FSL85" s="0"/>
      <c r="FSM85" s="0"/>
      <c r="FSN85" s="0"/>
      <c r="FSO85" s="0"/>
      <c r="FSP85" s="0"/>
      <c r="FSQ85" s="0"/>
      <c r="FSR85" s="0"/>
      <c r="FSS85" s="0"/>
      <c r="FST85" s="0"/>
      <c r="FSU85" s="0"/>
      <c r="FSV85" s="0"/>
      <c r="FSW85" s="0"/>
      <c r="FSX85" s="0"/>
      <c r="FSY85" s="0"/>
      <c r="FSZ85" s="0"/>
      <c r="FTA85" s="0"/>
      <c r="FTB85" s="0"/>
      <c r="FTC85" s="0"/>
      <c r="FTD85" s="0"/>
      <c r="FTE85" s="0"/>
      <c r="FTF85" s="0"/>
      <c r="FTG85" s="0"/>
      <c r="FTH85" s="0"/>
      <c r="FTI85" s="0"/>
      <c r="FTJ85" s="0"/>
      <c r="FTK85" s="0"/>
      <c r="FTL85" s="0"/>
      <c r="FTM85" s="0"/>
      <c r="FTN85" s="0"/>
      <c r="FTO85" s="0"/>
      <c r="FTP85" s="0"/>
      <c r="FTQ85" s="0"/>
      <c r="FTR85" s="0"/>
      <c r="FTS85" s="0"/>
      <c r="FTT85" s="0"/>
      <c r="FTU85" s="0"/>
      <c r="FTV85" s="0"/>
      <c r="FTW85" s="0"/>
      <c r="FTX85" s="0"/>
      <c r="FTY85" s="0"/>
      <c r="FTZ85" s="0"/>
      <c r="FUA85" s="0"/>
      <c r="FUB85" s="0"/>
      <c r="FUC85" s="0"/>
      <c r="FUD85" s="0"/>
      <c r="FUE85" s="0"/>
      <c r="FUF85" s="0"/>
      <c r="FUG85" s="0"/>
      <c r="FUH85" s="0"/>
      <c r="FUI85" s="0"/>
      <c r="FUJ85" s="0"/>
      <c r="FUK85" s="0"/>
      <c r="FUL85" s="0"/>
      <c r="FUM85" s="0"/>
      <c r="FUN85" s="0"/>
      <c r="FUO85" s="0"/>
      <c r="FUP85" s="0"/>
      <c r="FUQ85" s="0"/>
      <c r="FUR85" s="0"/>
      <c r="FUS85" s="0"/>
      <c r="FUT85" s="0"/>
      <c r="FUU85" s="0"/>
      <c r="FUV85" s="0"/>
      <c r="FUW85" s="0"/>
      <c r="FUX85" s="0"/>
      <c r="FUY85" s="0"/>
      <c r="FUZ85" s="0"/>
      <c r="FVA85" s="0"/>
      <c r="FVB85" s="0"/>
      <c r="FVC85" s="0"/>
      <c r="FVD85" s="0"/>
      <c r="FVE85" s="0"/>
      <c r="FVF85" s="0"/>
      <c r="FVG85" s="0"/>
      <c r="FVH85" s="0"/>
      <c r="FVI85" s="0"/>
      <c r="FVJ85" s="0"/>
      <c r="FVK85" s="0"/>
      <c r="FVL85" s="0"/>
      <c r="FVM85" s="0"/>
      <c r="FVN85" s="0"/>
      <c r="FVO85" s="0"/>
      <c r="FVP85" s="0"/>
      <c r="FVQ85" s="0"/>
      <c r="FVR85" s="0"/>
      <c r="FVS85" s="0"/>
      <c r="FVT85" s="0"/>
      <c r="FVU85" s="0"/>
      <c r="FVV85" s="0"/>
      <c r="FVW85" s="0"/>
      <c r="FVX85" s="0"/>
      <c r="FVY85" s="0"/>
      <c r="FVZ85" s="0"/>
      <c r="FWA85" s="0"/>
      <c r="FWB85" s="0"/>
      <c r="FWC85" s="0"/>
      <c r="FWD85" s="0"/>
      <c r="FWE85" s="0"/>
      <c r="FWF85" s="0"/>
      <c r="FWG85" s="0"/>
      <c r="FWH85" s="0"/>
      <c r="FWI85" s="0"/>
      <c r="FWJ85" s="0"/>
      <c r="FWK85" s="0"/>
      <c r="FWL85" s="0"/>
      <c r="FWM85" s="0"/>
      <c r="FWN85" s="0"/>
      <c r="FWO85" s="0"/>
      <c r="FWP85" s="0"/>
      <c r="FWQ85" s="0"/>
      <c r="FWR85" s="0"/>
      <c r="FWS85" s="0"/>
      <c r="FWT85" s="0"/>
      <c r="FWU85" s="0"/>
      <c r="FWV85" s="0"/>
      <c r="FWW85" s="0"/>
      <c r="FWX85" s="0"/>
      <c r="FWY85" s="0"/>
      <c r="FWZ85" s="0"/>
      <c r="FXA85" s="0"/>
      <c r="FXB85" s="0"/>
      <c r="FXC85" s="0"/>
      <c r="FXD85" s="0"/>
      <c r="FXE85" s="0"/>
      <c r="FXF85" s="0"/>
      <c r="FXG85" s="0"/>
      <c r="FXH85" s="0"/>
      <c r="FXI85" s="0"/>
      <c r="FXJ85" s="0"/>
      <c r="FXK85" s="0"/>
      <c r="FXL85" s="0"/>
      <c r="FXM85" s="0"/>
      <c r="FXN85" s="0"/>
      <c r="FXO85" s="0"/>
      <c r="FXP85" s="0"/>
      <c r="FXQ85" s="0"/>
      <c r="FXR85" s="0"/>
      <c r="FXS85" s="0"/>
      <c r="FXT85" s="0"/>
      <c r="FXU85" s="0"/>
      <c r="FXV85" s="0"/>
      <c r="FXW85" s="0"/>
      <c r="FXX85" s="0"/>
      <c r="FXY85" s="0"/>
      <c r="FXZ85" s="0"/>
      <c r="FYA85" s="0"/>
      <c r="FYB85" s="0"/>
      <c r="FYC85" s="0"/>
      <c r="FYD85" s="0"/>
      <c r="FYE85" s="0"/>
      <c r="FYF85" s="0"/>
      <c r="FYG85" s="0"/>
      <c r="FYH85" s="0"/>
      <c r="FYI85" s="0"/>
      <c r="FYJ85" s="0"/>
      <c r="FYK85" s="0"/>
      <c r="FYL85" s="0"/>
      <c r="FYM85" s="0"/>
      <c r="FYN85" s="0"/>
      <c r="FYO85" s="0"/>
      <c r="FYP85" s="0"/>
      <c r="FYQ85" s="0"/>
      <c r="FYR85" s="0"/>
      <c r="FYS85" s="0"/>
      <c r="FYT85" s="0"/>
      <c r="FYU85" s="0"/>
      <c r="FYV85" s="0"/>
      <c r="FYW85" s="0"/>
      <c r="FYX85" s="0"/>
      <c r="FYY85" s="0"/>
      <c r="FYZ85" s="0"/>
      <c r="FZA85" s="0"/>
      <c r="FZB85" s="0"/>
      <c r="FZC85" s="0"/>
      <c r="FZD85" s="0"/>
      <c r="FZE85" s="0"/>
      <c r="FZF85" s="0"/>
      <c r="FZG85" s="0"/>
      <c r="FZH85" s="0"/>
      <c r="FZI85" s="0"/>
      <c r="FZJ85" s="0"/>
      <c r="FZK85" s="0"/>
      <c r="FZL85" s="0"/>
      <c r="FZM85" s="0"/>
      <c r="FZN85" s="0"/>
      <c r="FZO85" s="0"/>
      <c r="FZP85" s="0"/>
      <c r="FZQ85" s="0"/>
      <c r="FZR85" s="0"/>
      <c r="FZS85" s="0"/>
      <c r="FZT85" s="0"/>
      <c r="FZU85" s="0"/>
      <c r="FZV85" s="0"/>
      <c r="FZW85" s="0"/>
      <c r="FZX85" s="0"/>
      <c r="FZY85" s="0"/>
      <c r="FZZ85" s="0"/>
      <c r="GAA85" s="0"/>
      <c r="GAB85" s="0"/>
      <c r="GAC85" s="0"/>
      <c r="GAD85" s="0"/>
      <c r="GAE85" s="0"/>
      <c r="GAF85" s="0"/>
      <c r="GAG85" s="0"/>
      <c r="GAH85" s="0"/>
      <c r="GAI85" s="0"/>
      <c r="GAJ85" s="0"/>
      <c r="GAK85" s="0"/>
      <c r="GAL85" s="0"/>
      <c r="GAM85" s="0"/>
      <c r="GAN85" s="0"/>
      <c r="GAO85" s="0"/>
      <c r="GAP85" s="0"/>
      <c r="GAQ85" s="0"/>
      <c r="GAR85" s="0"/>
      <c r="GAS85" s="0"/>
      <c r="GAT85" s="0"/>
      <c r="GAU85" s="0"/>
      <c r="GAV85" s="0"/>
      <c r="GAW85" s="0"/>
      <c r="GAX85" s="0"/>
      <c r="GAY85" s="0"/>
      <c r="GAZ85" s="0"/>
      <c r="GBA85" s="0"/>
      <c r="GBB85" s="0"/>
      <c r="GBC85" s="0"/>
      <c r="GBD85" s="0"/>
      <c r="GBE85" s="0"/>
      <c r="GBF85" s="0"/>
      <c r="GBG85" s="0"/>
      <c r="GBH85" s="0"/>
      <c r="GBI85" s="0"/>
      <c r="GBJ85" s="0"/>
      <c r="GBK85" s="0"/>
      <c r="GBL85" s="0"/>
      <c r="GBM85" s="0"/>
      <c r="GBN85" s="0"/>
      <c r="GBO85" s="0"/>
      <c r="GBP85" s="0"/>
      <c r="GBQ85" s="0"/>
      <c r="GBR85" s="0"/>
      <c r="GBS85" s="0"/>
      <c r="GBT85" s="0"/>
      <c r="GBU85" s="0"/>
      <c r="GBV85" s="0"/>
      <c r="GBW85" s="0"/>
      <c r="GBX85" s="0"/>
      <c r="GBY85" s="0"/>
      <c r="GBZ85" s="0"/>
      <c r="GCA85" s="0"/>
      <c r="GCB85" s="0"/>
      <c r="GCC85" s="0"/>
      <c r="GCD85" s="0"/>
      <c r="GCE85" s="0"/>
      <c r="GCF85" s="0"/>
      <c r="GCG85" s="0"/>
      <c r="GCH85" s="0"/>
      <c r="GCI85" s="0"/>
      <c r="GCJ85" s="0"/>
      <c r="GCK85" s="0"/>
      <c r="GCL85" s="0"/>
      <c r="GCM85" s="0"/>
      <c r="GCN85" s="0"/>
      <c r="GCO85" s="0"/>
      <c r="GCP85" s="0"/>
      <c r="GCQ85" s="0"/>
      <c r="GCR85" s="0"/>
      <c r="GCS85" s="0"/>
      <c r="GCT85" s="0"/>
      <c r="GCU85" s="0"/>
      <c r="GCV85" s="0"/>
      <c r="GCW85" s="0"/>
      <c r="GCX85" s="0"/>
      <c r="GCY85" s="0"/>
      <c r="GCZ85" s="0"/>
      <c r="GDA85" s="0"/>
      <c r="GDB85" s="0"/>
      <c r="GDC85" s="0"/>
      <c r="GDD85" s="0"/>
      <c r="GDE85" s="0"/>
      <c r="GDF85" s="0"/>
      <c r="GDG85" s="0"/>
      <c r="GDH85" s="0"/>
      <c r="GDI85" s="0"/>
      <c r="GDJ85" s="0"/>
      <c r="GDK85" s="0"/>
      <c r="GDL85" s="0"/>
      <c r="GDM85" s="0"/>
      <c r="GDN85" s="0"/>
      <c r="GDO85" s="0"/>
      <c r="GDP85" s="0"/>
      <c r="GDQ85" s="0"/>
      <c r="GDR85" s="0"/>
      <c r="GDS85" s="0"/>
      <c r="GDT85" s="0"/>
      <c r="GDU85" s="0"/>
      <c r="GDV85" s="0"/>
      <c r="GDW85" s="0"/>
      <c r="GDX85" s="0"/>
      <c r="GDY85" s="0"/>
      <c r="GDZ85" s="0"/>
      <c r="GEA85" s="0"/>
      <c r="GEB85" s="0"/>
      <c r="GEC85" s="0"/>
      <c r="GED85" s="0"/>
      <c r="GEE85" s="0"/>
      <c r="GEF85" s="0"/>
      <c r="GEG85" s="0"/>
      <c r="GEH85" s="0"/>
      <c r="GEI85" s="0"/>
      <c r="GEJ85" s="0"/>
      <c r="GEK85" s="0"/>
      <c r="GEL85" s="0"/>
      <c r="GEM85" s="0"/>
      <c r="GEN85" s="0"/>
      <c r="GEO85" s="0"/>
      <c r="GEP85" s="0"/>
      <c r="GEQ85" s="0"/>
      <c r="GER85" s="0"/>
      <c r="GES85" s="0"/>
      <c r="GET85" s="0"/>
      <c r="GEU85" s="0"/>
      <c r="GEV85" s="0"/>
      <c r="GEW85" s="0"/>
      <c r="GEX85" s="0"/>
      <c r="GEY85" s="0"/>
      <c r="GEZ85" s="0"/>
      <c r="GFA85" s="0"/>
      <c r="GFB85" s="0"/>
      <c r="GFC85" s="0"/>
      <c r="GFD85" s="0"/>
      <c r="GFE85" s="0"/>
      <c r="GFF85" s="0"/>
      <c r="GFG85" s="0"/>
      <c r="GFH85" s="0"/>
      <c r="GFI85" s="0"/>
      <c r="GFJ85" s="0"/>
      <c r="GFK85" s="0"/>
      <c r="GFL85" s="0"/>
      <c r="GFM85" s="0"/>
      <c r="GFN85" s="0"/>
      <c r="GFO85" s="0"/>
      <c r="GFP85" s="0"/>
      <c r="GFQ85" s="0"/>
      <c r="GFR85" s="0"/>
      <c r="GFS85" s="0"/>
      <c r="GFT85" s="0"/>
      <c r="GFU85" s="0"/>
      <c r="GFV85" s="0"/>
      <c r="GFW85" s="0"/>
      <c r="GFX85" s="0"/>
      <c r="GFY85" s="0"/>
      <c r="GFZ85" s="0"/>
      <c r="GGA85" s="0"/>
      <c r="GGB85" s="0"/>
      <c r="GGC85" s="0"/>
      <c r="GGD85" s="0"/>
      <c r="GGE85" s="0"/>
      <c r="GGF85" s="0"/>
      <c r="GGG85" s="0"/>
      <c r="GGH85" s="0"/>
      <c r="GGI85" s="0"/>
      <c r="GGJ85" s="0"/>
      <c r="GGK85" s="0"/>
      <c r="GGL85" s="0"/>
      <c r="GGM85" s="0"/>
      <c r="GGN85" s="0"/>
      <c r="GGO85" s="0"/>
      <c r="GGP85" s="0"/>
      <c r="GGQ85" s="0"/>
      <c r="GGR85" s="0"/>
      <c r="GGS85" s="0"/>
      <c r="GGT85" s="0"/>
      <c r="GGU85" s="0"/>
      <c r="GGV85" s="0"/>
      <c r="GGW85" s="0"/>
      <c r="GGX85" s="0"/>
      <c r="GGY85" s="0"/>
      <c r="GGZ85" s="0"/>
      <c r="GHA85" s="0"/>
      <c r="GHB85" s="0"/>
      <c r="GHC85" s="0"/>
      <c r="GHD85" s="0"/>
      <c r="GHE85" s="0"/>
      <c r="GHF85" s="0"/>
      <c r="GHG85" s="0"/>
      <c r="GHH85" s="0"/>
      <c r="GHI85" s="0"/>
      <c r="GHJ85" s="0"/>
      <c r="GHK85" s="0"/>
      <c r="GHL85" s="0"/>
      <c r="GHM85" s="0"/>
      <c r="GHN85" s="0"/>
      <c r="GHO85" s="0"/>
      <c r="GHP85" s="0"/>
      <c r="GHQ85" s="0"/>
      <c r="GHR85" s="0"/>
      <c r="GHS85" s="0"/>
      <c r="GHT85" s="0"/>
      <c r="GHU85" s="0"/>
      <c r="GHV85" s="0"/>
      <c r="GHW85" s="0"/>
      <c r="GHX85" s="0"/>
      <c r="GHY85" s="0"/>
      <c r="GHZ85" s="0"/>
      <c r="GIA85" s="0"/>
      <c r="GIB85" s="0"/>
      <c r="GIC85" s="0"/>
      <c r="GID85" s="0"/>
      <c r="GIE85" s="0"/>
      <c r="GIF85" s="0"/>
      <c r="GIG85" s="0"/>
      <c r="GIH85" s="0"/>
      <c r="GII85" s="0"/>
      <c r="GIJ85" s="0"/>
      <c r="GIK85" s="0"/>
      <c r="GIL85" s="0"/>
      <c r="GIM85" s="0"/>
      <c r="GIN85" s="0"/>
      <c r="GIO85" s="0"/>
      <c r="GIP85" s="0"/>
      <c r="GIQ85" s="0"/>
      <c r="GIR85" s="0"/>
      <c r="GIS85" s="0"/>
      <c r="GIT85" s="0"/>
      <c r="GIU85" s="0"/>
      <c r="GIV85" s="0"/>
      <c r="GIW85" s="0"/>
      <c r="GIX85" s="0"/>
      <c r="GIY85" s="0"/>
      <c r="GIZ85" s="0"/>
      <c r="GJA85" s="0"/>
      <c r="GJB85" s="0"/>
      <c r="GJC85" s="0"/>
      <c r="GJD85" s="0"/>
      <c r="GJE85" s="0"/>
      <c r="GJF85" s="0"/>
      <c r="GJG85" s="0"/>
      <c r="GJH85" s="0"/>
      <c r="GJI85" s="0"/>
      <c r="GJJ85" s="0"/>
      <c r="GJK85" s="0"/>
      <c r="GJL85" s="0"/>
      <c r="GJM85" s="0"/>
      <c r="GJN85" s="0"/>
      <c r="GJO85" s="0"/>
      <c r="GJP85" s="0"/>
      <c r="GJQ85" s="0"/>
      <c r="GJR85" s="0"/>
      <c r="GJS85" s="0"/>
      <c r="GJT85" s="0"/>
      <c r="GJU85" s="0"/>
      <c r="GJV85" s="0"/>
      <c r="GJW85" s="0"/>
      <c r="GJX85" s="0"/>
      <c r="GJY85" s="0"/>
      <c r="GJZ85" s="0"/>
      <c r="GKA85" s="0"/>
      <c r="GKB85" s="0"/>
      <c r="GKC85" s="0"/>
      <c r="GKD85" s="0"/>
      <c r="GKE85" s="0"/>
      <c r="GKF85" s="0"/>
      <c r="GKG85" s="0"/>
      <c r="GKH85" s="0"/>
      <c r="GKI85" s="0"/>
      <c r="GKJ85" s="0"/>
      <c r="GKK85" s="0"/>
      <c r="GKL85" s="0"/>
      <c r="GKM85" s="0"/>
      <c r="GKN85" s="0"/>
      <c r="GKO85" s="0"/>
      <c r="GKP85" s="0"/>
      <c r="GKQ85" s="0"/>
      <c r="GKR85" s="0"/>
      <c r="GKS85" s="0"/>
      <c r="GKT85" s="0"/>
      <c r="GKU85" s="0"/>
      <c r="GKV85" s="0"/>
      <c r="GKW85" s="0"/>
      <c r="GKX85" s="0"/>
      <c r="GKY85" s="0"/>
      <c r="GKZ85" s="0"/>
      <c r="GLA85" s="0"/>
      <c r="GLB85" s="0"/>
      <c r="GLC85" s="0"/>
      <c r="GLD85" s="0"/>
      <c r="GLE85" s="0"/>
      <c r="GLF85" s="0"/>
      <c r="GLG85" s="0"/>
      <c r="GLH85" s="0"/>
      <c r="GLI85" s="0"/>
      <c r="GLJ85" s="0"/>
      <c r="GLK85" s="0"/>
      <c r="GLL85" s="0"/>
      <c r="GLM85" s="0"/>
      <c r="GLN85" s="0"/>
      <c r="GLO85" s="0"/>
      <c r="GLP85" s="0"/>
      <c r="GLQ85" s="0"/>
      <c r="GLR85" s="0"/>
      <c r="GLS85" s="0"/>
      <c r="GLT85" s="0"/>
      <c r="GLU85" s="0"/>
      <c r="GLV85" s="0"/>
      <c r="GLW85" s="0"/>
      <c r="GLX85" s="0"/>
      <c r="GLY85" s="0"/>
      <c r="GLZ85" s="0"/>
      <c r="GMA85" s="0"/>
      <c r="GMB85" s="0"/>
      <c r="GMC85" s="0"/>
      <c r="GMD85" s="0"/>
      <c r="GME85" s="0"/>
      <c r="GMF85" s="0"/>
      <c r="GMG85" s="0"/>
      <c r="GMH85" s="0"/>
      <c r="GMI85" s="0"/>
      <c r="GMJ85" s="0"/>
      <c r="GMK85" s="0"/>
      <c r="GML85" s="0"/>
      <c r="GMM85" s="0"/>
      <c r="GMN85" s="0"/>
      <c r="GMO85" s="0"/>
      <c r="GMP85" s="0"/>
      <c r="GMQ85" s="0"/>
      <c r="GMR85" s="0"/>
      <c r="GMS85" s="0"/>
      <c r="GMT85" s="0"/>
      <c r="GMU85" s="0"/>
      <c r="GMV85" s="0"/>
      <c r="GMW85" s="0"/>
      <c r="GMX85" s="0"/>
      <c r="GMY85" s="0"/>
      <c r="GMZ85" s="0"/>
      <c r="GNA85" s="0"/>
      <c r="GNB85" s="0"/>
      <c r="GNC85" s="0"/>
      <c r="GND85" s="0"/>
      <c r="GNE85" s="0"/>
      <c r="GNF85" s="0"/>
      <c r="GNG85" s="0"/>
      <c r="GNH85" s="0"/>
      <c r="GNI85" s="0"/>
      <c r="GNJ85" s="0"/>
      <c r="GNK85" s="0"/>
      <c r="GNL85" s="0"/>
      <c r="GNM85" s="0"/>
      <c r="GNN85" s="0"/>
      <c r="GNO85" s="0"/>
      <c r="GNP85" s="0"/>
      <c r="GNQ85" s="0"/>
      <c r="GNR85" s="0"/>
      <c r="GNS85" s="0"/>
      <c r="GNT85" s="0"/>
      <c r="GNU85" s="0"/>
      <c r="GNV85" s="0"/>
      <c r="GNW85" s="0"/>
      <c r="GNX85" s="0"/>
      <c r="GNY85" s="0"/>
      <c r="GNZ85" s="0"/>
      <c r="GOA85" s="0"/>
      <c r="GOB85" s="0"/>
      <c r="GOC85" s="0"/>
      <c r="GOD85" s="0"/>
      <c r="GOE85" s="0"/>
      <c r="GOF85" s="0"/>
      <c r="GOG85" s="0"/>
      <c r="GOH85" s="0"/>
      <c r="GOI85" s="0"/>
      <c r="GOJ85" s="0"/>
      <c r="GOK85" s="0"/>
      <c r="GOL85" s="0"/>
      <c r="GOM85" s="0"/>
      <c r="GON85" s="0"/>
      <c r="GOO85" s="0"/>
      <c r="GOP85" s="0"/>
      <c r="GOQ85" s="0"/>
      <c r="GOR85" s="0"/>
      <c r="GOS85" s="0"/>
      <c r="GOT85" s="0"/>
      <c r="GOU85" s="0"/>
      <c r="GOV85" s="0"/>
      <c r="GOW85" s="0"/>
      <c r="GOX85" s="0"/>
      <c r="GOY85" s="0"/>
      <c r="GOZ85" s="0"/>
      <c r="GPA85" s="0"/>
      <c r="GPB85" s="0"/>
      <c r="GPC85" s="0"/>
      <c r="GPD85" s="0"/>
      <c r="GPE85" s="0"/>
      <c r="GPF85" s="0"/>
      <c r="GPG85" s="0"/>
      <c r="GPH85" s="0"/>
      <c r="GPI85" s="0"/>
      <c r="GPJ85" s="0"/>
      <c r="GPK85" s="0"/>
      <c r="GPL85" s="0"/>
      <c r="GPM85" s="0"/>
      <c r="GPN85" s="0"/>
      <c r="GPO85" s="0"/>
      <c r="GPP85" s="0"/>
      <c r="GPQ85" s="0"/>
      <c r="GPR85" s="0"/>
      <c r="GPS85" s="0"/>
      <c r="GPT85" s="0"/>
      <c r="GPU85" s="0"/>
      <c r="GPV85" s="0"/>
      <c r="GPW85" s="0"/>
      <c r="GPX85" s="0"/>
      <c r="GPY85" s="0"/>
      <c r="GPZ85" s="0"/>
      <c r="GQA85" s="0"/>
      <c r="GQB85" s="0"/>
      <c r="GQC85" s="0"/>
      <c r="GQD85" s="0"/>
      <c r="GQE85" s="0"/>
      <c r="GQF85" s="0"/>
      <c r="GQG85" s="0"/>
      <c r="GQH85" s="0"/>
      <c r="GQI85" s="0"/>
      <c r="GQJ85" s="0"/>
      <c r="GQK85" s="0"/>
      <c r="GQL85" s="0"/>
      <c r="GQM85" s="0"/>
      <c r="GQN85" s="0"/>
      <c r="GQO85" s="0"/>
      <c r="GQP85" s="0"/>
      <c r="GQQ85" s="0"/>
      <c r="GQR85" s="0"/>
      <c r="GQS85" s="0"/>
      <c r="GQT85" s="0"/>
      <c r="GQU85" s="0"/>
      <c r="GQV85" s="0"/>
      <c r="GQW85" s="0"/>
      <c r="GQX85" s="0"/>
      <c r="GQY85" s="0"/>
      <c r="GQZ85" s="0"/>
      <c r="GRA85" s="0"/>
      <c r="GRB85" s="0"/>
      <c r="GRC85" s="0"/>
      <c r="GRD85" s="0"/>
      <c r="GRE85" s="0"/>
      <c r="GRF85" s="0"/>
      <c r="GRG85" s="0"/>
      <c r="GRH85" s="0"/>
      <c r="GRI85" s="0"/>
      <c r="GRJ85" s="0"/>
      <c r="GRK85" s="0"/>
      <c r="GRL85" s="0"/>
      <c r="GRM85" s="0"/>
      <c r="GRN85" s="0"/>
      <c r="GRO85" s="0"/>
      <c r="GRP85" s="0"/>
      <c r="GRQ85" s="0"/>
      <c r="GRR85" s="0"/>
      <c r="GRS85" s="0"/>
      <c r="GRT85" s="0"/>
      <c r="GRU85" s="0"/>
      <c r="GRV85" s="0"/>
      <c r="GRW85" s="0"/>
      <c r="GRX85" s="0"/>
      <c r="GRY85" s="0"/>
      <c r="GRZ85" s="0"/>
      <c r="GSA85" s="0"/>
      <c r="GSB85" s="0"/>
      <c r="GSC85" s="0"/>
      <c r="GSD85" s="0"/>
      <c r="GSE85" s="0"/>
      <c r="GSF85" s="0"/>
      <c r="GSG85" s="0"/>
      <c r="GSH85" s="0"/>
      <c r="GSI85" s="0"/>
      <c r="GSJ85" s="0"/>
      <c r="GSK85" s="0"/>
      <c r="GSL85" s="0"/>
      <c r="GSM85" s="0"/>
      <c r="GSN85" s="0"/>
      <c r="GSO85" s="0"/>
      <c r="GSP85" s="0"/>
      <c r="GSQ85" s="0"/>
      <c r="GSR85" s="0"/>
      <c r="GSS85" s="0"/>
      <c r="GST85" s="0"/>
      <c r="GSU85" s="0"/>
      <c r="GSV85" s="0"/>
      <c r="GSW85" s="0"/>
      <c r="GSX85" s="0"/>
      <c r="GSY85" s="0"/>
      <c r="GSZ85" s="0"/>
      <c r="GTA85" s="0"/>
      <c r="GTB85" s="0"/>
      <c r="GTC85" s="0"/>
      <c r="GTD85" s="0"/>
      <c r="GTE85" s="0"/>
      <c r="GTF85" s="0"/>
      <c r="GTG85" s="0"/>
      <c r="GTH85" s="0"/>
      <c r="GTI85" s="0"/>
      <c r="GTJ85" s="0"/>
      <c r="GTK85" s="0"/>
      <c r="GTL85" s="0"/>
      <c r="GTM85" s="0"/>
      <c r="GTN85" s="0"/>
      <c r="GTO85" s="0"/>
      <c r="GTP85" s="0"/>
      <c r="GTQ85" s="0"/>
      <c r="GTR85" s="0"/>
      <c r="GTS85" s="0"/>
      <c r="GTT85" s="0"/>
      <c r="GTU85" s="0"/>
      <c r="GTV85" s="0"/>
      <c r="GTW85" s="0"/>
      <c r="GTX85" s="0"/>
      <c r="GTY85" s="0"/>
      <c r="GTZ85" s="0"/>
      <c r="GUA85" s="0"/>
      <c r="GUB85" s="0"/>
      <c r="GUC85" s="0"/>
      <c r="GUD85" s="0"/>
      <c r="GUE85" s="0"/>
      <c r="GUF85" s="0"/>
      <c r="GUG85" s="0"/>
      <c r="GUH85" s="0"/>
      <c r="GUI85" s="0"/>
      <c r="GUJ85" s="0"/>
      <c r="GUK85" s="0"/>
      <c r="GUL85" s="0"/>
      <c r="GUM85" s="0"/>
      <c r="GUN85" s="0"/>
      <c r="GUO85" s="0"/>
      <c r="GUP85" s="0"/>
      <c r="GUQ85" s="0"/>
      <c r="GUR85" s="0"/>
      <c r="GUS85" s="0"/>
      <c r="GUT85" s="0"/>
      <c r="GUU85" s="0"/>
      <c r="GUV85" s="0"/>
      <c r="GUW85" s="0"/>
      <c r="GUX85" s="0"/>
      <c r="GUY85" s="0"/>
      <c r="GUZ85" s="0"/>
      <c r="GVA85" s="0"/>
      <c r="GVB85" s="0"/>
      <c r="GVC85" s="0"/>
      <c r="GVD85" s="0"/>
      <c r="GVE85" s="0"/>
      <c r="GVF85" s="0"/>
      <c r="GVG85" s="0"/>
      <c r="GVH85" s="0"/>
      <c r="GVI85" s="0"/>
      <c r="GVJ85" s="0"/>
      <c r="GVK85" s="0"/>
      <c r="GVL85" s="0"/>
      <c r="GVM85" s="0"/>
      <c r="GVN85" s="0"/>
      <c r="GVO85" s="0"/>
      <c r="GVP85" s="0"/>
      <c r="GVQ85" s="0"/>
      <c r="GVR85" s="0"/>
      <c r="GVS85" s="0"/>
      <c r="GVT85" s="0"/>
      <c r="GVU85" s="0"/>
      <c r="GVV85" s="0"/>
      <c r="GVW85" s="0"/>
      <c r="GVX85" s="0"/>
      <c r="GVY85" s="0"/>
      <c r="GVZ85" s="0"/>
      <c r="GWA85" s="0"/>
      <c r="GWB85" s="0"/>
      <c r="GWC85" s="0"/>
      <c r="GWD85" s="0"/>
      <c r="GWE85" s="0"/>
      <c r="GWF85" s="0"/>
      <c r="GWG85" s="0"/>
      <c r="GWH85" s="0"/>
      <c r="GWI85" s="0"/>
      <c r="GWJ85" s="0"/>
      <c r="GWK85" s="0"/>
      <c r="GWL85" s="0"/>
      <c r="GWM85" s="0"/>
      <c r="GWN85" s="0"/>
      <c r="GWO85" s="0"/>
      <c r="GWP85" s="0"/>
      <c r="GWQ85" s="0"/>
      <c r="GWR85" s="0"/>
      <c r="GWS85" s="0"/>
      <c r="GWT85" s="0"/>
      <c r="GWU85" s="0"/>
      <c r="GWV85" s="0"/>
      <c r="GWW85" s="0"/>
      <c r="GWX85" s="0"/>
      <c r="GWY85" s="0"/>
      <c r="GWZ85" s="0"/>
      <c r="GXA85" s="0"/>
      <c r="GXB85" s="0"/>
      <c r="GXC85" s="0"/>
      <c r="GXD85" s="0"/>
      <c r="GXE85" s="0"/>
      <c r="GXF85" s="0"/>
      <c r="GXG85" s="0"/>
      <c r="GXH85" s="0"/>
      <c r="GXI85" s="0"/>
      <c r="GXJ85" s="0"/>
      <c r="GXK85" s="0"/>
      <c r="GXL85" s="0"/>
      <c r="GXM85" s="0"/>
      <c r="GXN85" s="0"/>
      <c r="GXO85" s="0"/>
      <c r="GXP85" s="0"/>
      <c r="GXQ85" s="0"/>
      <c r="GXR85" s="0"/>
      <c r="GXS85" s="0"/>
      <c r="GXT85" s="0"/>
      <c r="GXU85" s="0"/>
      <c r="GXV85" s="0"/>
      <c r="GXW85" s="0"/>
      <c r="GXX85" s="0"/>
      <c r="GXY85" s="0"/>
      <c r="GXZ85" s="0"/>
      <c r="GYA85" s="0"/>
      <c r="GYB85" s="0"/>
      <c r="GYC85" s="0"/>
      <c r="GYD85" s="0"/>
      <c r="GYE85" s="0"/>
      <c r="GYF85" s="0"/>
      <c r="GYG85" s="0"/>
      <c r="GYH85" s="0"/>
      <c r="GYI85" s="0"/>
      <c r="GYJ85" s="0"/>
      <c r="GYK85" s="0"/>
      <c r="GYL85" s="0"/>
      <c r="GYM85" s="0"/>
      <c r="GYN85" s="0"/>
      <c r="GYO85" s="0"/>
      <c r="GYP85" s="0"/>
      <c r="GYQ85" s="0"/>
      <c r="GYR85" s="0"/>
      <c r="GYS85" s="0"/>
      <c r="GYT85" s="0"/>
      <c r="GYU85" s="0"/>
      <c r="GYV85" s="0"/>
      <c r="GYW85" s="0"/>
      <c r="GYX85" s="0"/>
      <c r="GYY85" s="0"/>
      <c r="GYZ85" s="0"/>
      <c r="GZA85" s="0"/>
      <c r="GZB85" s="0"/>
      <c r="GZC85" s="0"/>
      <c r="GZD85" s="0"/>
      <c r="GZE85" s="0"/>
      <c r="GZF85" s="0"/>
      <c r="GZG85" s="0"/>
      <c r="GZH85" s="0"/>
      <c r="GZI85" s="0"/>
      <c r="GZJ85" s="0"/>
      <c r="GZK85" s="0"/>
      <c r="GZL85" s="0"/>
      <c r="GZM85" s="0"/>
      <c r="GZN85" s="0"/>
      <c r="GZO85" s="0"/>
      <c r="GZP85" s="0"/>
      <c r="GZQ85" s="0"/>
      <c r="GZR85" s="0"/>
      <c r="GZS85" s="0"/>
      <c r="GZT85" s="0"/>
      <c r="GZU85" s="0"/>
      <c r="GZV85" s="0"/>
      <c r="GZW85" s="0"/>
      <c r="GZX85" s="0"/>
      <c r="GZY85" s="0"/>
      <c r="GZZ85" s="0"/>
      <c r="HAA85" s="0"/>
      <c r="HAB85" s="0"/>
      <c r="HAC85" s="0"/>
      <c r="HAD85" s="0"/>
      <c r="HAE85" s="0"/>
      <c r="HAF85" s="0"/>
      <c r="HAG85" s="0"/>
      <c r="HAH85" s="0"/>
      <c r="HAI85" s="0"/>
      <c r="HAJ85" s="0"/>
      <c r="HAK85" s="0"/>
      <c r="HAL85" s="0"/>
      <c r="HAM85" s="0"/>
      <c r="HAN85" s="0"/>
      <c r="HAO85" s="0"/>
      <c r="HAP85" s="0"/>
      <c r="HAQ85" s="0"/>
      <c r="HAR85" s="0"/>
      <c r="HAS85" s="0"/>
      <c r="HAT85" s="0"/>
      <c r="HAU85" s="0"/>
      <c r="HAV85" s="0"/>
      <c r="HAW85" s="0"/>
      <c r="HAX85" s="0"/>
      <c r="HAY85" s="0"/>
      <c r="HAZ85" s="0"/>
      <c r="HBA85" s="0"/>
      <c r="HBB85" s="0"/>
      <c r="HBC85" s="0"/>
      <c r="HBD85" s="0"/>
      <c r="HBE85" s="0"/>
      <c r="HBF85" s="0"/>
      <c r="HBG85" s="0"/>
      <c r="HBH85" s="0"/>
      <c r="HBI85" s="0"/>
      <c r="HBJ85" s="0"/>
      <c r="HBK85" s="0"/>
      <c r="HBL85" s="0"/>
      <c r="HBM85" s="0"/>
      <c r="HBN85" s="0"/>
      <c r="HBO85" s="0"/>
      <c r="HBP85" s="0"/>
      <c r="HBQ85" s="0"/>
      <c r="HBR85" s="0"/>
      <c r="HBS85" s="0"/>
      <c r="HBT85" s="0"/>
      <c r="HBU85" s="0"/>
      <c r="HBV85" s="0"/>
      <c r="HBW85" s="0"/>
      <c r="HBX85" s="0"/>
      <c r="HBY85" s="0"/>
      <c r="HBZ85" s="0"/>
      <c r="HCA85" s="0"/>
      <c r="HCB85" s="0"/>
      <c r="HCC85" s="0"/>
      <c r="HCD85" s="0"/>
      <c r="HCE85" s="0"/>
      <c r="HCF85" s="0"/>
      <c r="HCG85" s="0"/>
      <c r="HCH85" s="0"/>
      <c r="HCI85" s="0"/>
      <c r="HCJ85" s="0"/>
      <c r="HCK85" s="0"/>
      <c r="HCL85" s="0"/>
      <c r="HCM85" s="0"/>
      <c r="HCN85" s="0"/>
      <c r="HCO85" s="0"/>
      <c r="HCP85" s="0"/>
      <c r="HCQ85" s="0"/>
      <c r="HCR85" s="0"/>
      <c r="HCS85" s="0"/>
      <c r="HCT85" s="0"/>
      <c r="HCU85" s="0"/>
      <c r="HCV85" s="0"/>
      <c r="HCW85" s="0"/>
      <c r="HCX85" s="0"/>
      <c r="HCY85" s="0"/>
      <c r="HCZ85" s="0"/>
      <c r="HDA85" s="0"/>
      <c r="HDB85" s="0"/>
      <c r="HDC85" s="0"/>
      <c r="HDD85" s="0"/>
      <c r="HDE85" s="0"/>
      <c r="HDF85" s="0"/>
      <c r="HDG85" s="0"/>
      <c r="HDH85" s="0"/>
      <c r="HDI85" s="0"/>
      <c r="HDJ85" s="0"/>
      <c r="HDK85" s="0"/>
      <c r="HDL85" s="0"/>
      <c r="HDM85" s="0"/>
      <c r="HDN85" s="0"/>
      <c r="HDO85" s="0"/>
      <c r="HDP85" s="0"/>
      <c r="HDQ85" s="0"/>
      <c r="HDR85" s="0"/>
      <c r="HDS85" s="0"/>
      <c r="HDT85" s="0"/>
      <c r="HDU85" s="0"/>
      <c r="HDV85" s="0"/>
      <c r="HDW85" s="0"/>
      <c r="HDX85" s="0"/>
      <c r="HDY85" s="0"/>
      <c r="HDZ85" s="0"/>
      <c r="HEA85" s="0"/>
      <c r="HEB85" s="0"/>
      <c r="HEC85" s="0"/>
      <c r="HED85" s="0"/>
      <c r="HEE85" s="0"/>
      <c r="HEF85" s="0"/>
      <c r="HEG85" s="0"/>
      <c r="HEH85" s="0"/>
      <c r="HEI85" s="0"/>
      <c r="HEJ85" s="0"/>
      <c r="HEK85" s="0"/>
      <c r="HEL85" s="0"/>
      <c r="HEM85" s="0"/>
      <c r="HEN85" s="0"/>
      <c r="HEO85" s="0"/>
      <c r="HEP85" s="0"/>
      <c r="HEQ85" s="0"/>
      <c r="HER85" s="0"/>
      <c r="HES85" s="0"/>
      <c r="HET85" s="0"/>
      <c r="HEU85" s="0"/>
      <c r="HEV85" s="0"/>
      <c r="HEW85" s="0"/>
      <c r="HEX85" s="0"/>
      <c r="HEY85" s="0"/>
      <c r="HEZ85" s="0"/>
      <c r="HFA85" s="0"/>
      <c r="HFB85" s="0"/>
      <c r="HFC85" s="0"/>
      <c r="HFD85" s="0"/>
      <c r="HFE85" s="0"/>
      <c r="HFF85" s="0"/>
      <c r="HFG85" s="0"/>
      <c r="HFH85" s="0"/>
      <c r="HFI85" s="0"/>
      <c r="HFJ85" s="0"/>
      <c r="HFK85" s="0"/>
      <c r="HFL85" s="0"/>
      <c r="HFM85" s="0"/>
      <c r="HFN85" s="0"/>
      <c r="HFO85" s="0"/>
      <c r="HFP85" s="0"/>
      <c r="HFQ85" s="0"/>
      <c r="HFR85" s="0"/>
      <c r="HFS85" s="0"/>
      <c r="HFT85" s="0"/>
      <c r="HFU85" s="0"/>
      <c r="HFV85" s="0"/>
      <c r="HFW85" s="0"/>
      <c r="HFX85" s="0"/>
      <c r="HFY85" s="0"/>
      <c r="HFZ85" s="0"/>
      <c r="HGA85" s="0"/>
      <c r="HGB85" s="0"/>
      <c r="HGC85" s="0"/>
      <c r="HGD85" s="0"/>
      <c r="HGE85" s="0"/>
      <c r="HGF85" s="0"/>
      <c r="HGG85" s="0"/>
      <c r="HGH85" s="0"/>
      <c r="HGI85" s="0"/>
      <c r="HGJ85" s="0"/>
      <c r="HGK85" s="0"/>
      <c r="HGL85" s="0"/>
      <c r="HGM85" s="0"/>
      <c r="HGN85" s="0"/>
      <c r="HGO85" s="0"/>
      <c r="HGP85" s="0"/>
      <c r="HGQ85" s="0"/>
      <c r="HGR85" s="0"/>
      <c r="HGS85" s="0"/>
      <c r="HGT85" s="0"/>
      <c r="HGU85" s="0"/>
      <c r="HGV85" s="0"/>
      <c r="HGW85" s="0"/>
      <c r="HGX85" s="0"/>
      <c r="HGY85" s="0"/>
      <c r="HGZ85" s="0"/>
      <c r="HHA85" s="0"/>
      <c r="HHB85" s="0"/>
      <c r="HHC85" s="0"/>
      <c r="HHD85" s="0"/>
      <c r="HHE85" s="0"/>
      <c r="HHF85" s="0"/>
      <c r="HHG85" s="0"/>
      <c r="HHH85" s="0"/>
      <c r="HHI85" s="0"/>
      <c r="HHJ85" s="0"/>
      <c r="HHK85" s="0"/>
      <c r="HHL85" s="0"/>
      <c r="HHM85" s="0"/>
      <c r="HHN85" s="0"/>
      <c r="HHO85" s="0"/>
      <c r="HHP85" s="0"/>
      <c r="HHQ85" s="0"/>
      <c r="HHR85" s="0"/>
      <c r="HHS85" s="0"/>
      <c r="HHT85" s="0"/>
      <c r="HHU85" s="0"/>
      <c r="HHV85" s="0"/>
      <c r="HHW85" s="0"/>
      <c r="HHX85" s="0"/>
      <c r="HHY85" s="0"/>
      <c r="HHZ85" s="0"/>
      <c r="HIA85" s="0"/>
      <c r="HIB85" s="0"/>
      <c r="HIC85" s="0"/>
      <c r="HID85" s="0"/>
      <c r="HIE85" s="0"/>
      <c r="HIF85" s="0"/>
      <c r="HIG85" s="0"/>
      <c r="HIH85" s="0"/>
      <c r="HII85" s="0"/>
      <c r="HIJ85" s="0"/>
      <c r="HIK85" s="0"/>
      <c r="HIL85" s="0"/>
      <c r="HIM85" s="0"/>
      <c r="HIN85" s="0"/>
      <c r="HIO85" s="0"/>
      <c r="HIP85" s="0"/>
      <c r="HIQ85" s="0"/>
      <c r="HIR85" s="0"/>
      <c r="HIS85" s="0"/>
      <c r="HIT85" s="0"/>
      <c r="HIU85" s="0"/>
      <c r="HIV85" s="0"/>
      <c r="HIW85" s="0"/>
      <c r="HIX85" s="0"/>
      <c r="HIY85" s="0"/>
      <c r="HIZ85" s="0"/>
      <c r="HJA85" s="0"/>
      <c r="HJB85" s="0"/>
      <c r="HJC85" s="0"/>
      <c r="HJD85" s="0"/>
      <c r="HJE85" s="0"/>
      <c r="HJF85" s="0"/>
      <c r="HJG85" s="0"/>
      <c r="HJH85" s="0"/>
      <c r="HJI85" s="0"/>
      <c r="HJJ85" s="0"/>
      <c r="HJK85" s="0"/>
      <c r="HJL85" s="0"/>
      <c r="HJM85" s="0"/>
      <c r="HJN85" s="0"/>
      <c r="HJO85" s="0"/>
      <c r="HJP85" s="0"/>
      <c r="HJQ85" s="0"/>
      <c r="HJR85" s="0"/>
      <c r="HJS85" s="0"/>
      <c r="HJT85" s="0"/>
      <c r="HJU85" s="0"/>
      <c r="HJV85" s="0"/>
      <c r="HJW85" s="0"/>
      <c r="HJX85" s="0"/>
      <c r="HJY85" s="0"/>
      <c r="HJZ85" s="0"/>
      <c r="HKA85" s="0"/>
      <c r="HKB85" s="0"/>
      <c r="HKC85" s="0"/>
      <c r="HKD85" s="0"/>
      <c r="HKE85" s="0"/>
      <c r="HKF85" s="0"/>
      <c r="HKG85" s="0"/>
      <c r="HKH85" s="0"/>
      <c r="HKI85" s="0"/>
      <c r="HKJ85" s="0"/>
      <c r="HKK85" s="0"/>
      <c r="HKL85" s="0"/>
      <c r="HKM85" s="0"/>
      <c r="HKN85" s="0"/>
      <c r="HKO85" s="0"/>
      <c r="HKP85" s="0"/>
      <c r="HKQ85" s="0"/>
      <c r="HKR85" s="0"/>
      <c r="HKS85" s="0"/>
      <c r="HKT85" s="0"/>
      <c r="HKU85" s="0"/>
      <c r="HKV85" s="0"/>
      <c r="HKW85" s="0"/>
      <c r="HKX85" s="0"/>
      <c r="HKY85" s="0"/>
      <c r="HKZ85" s="0"/>
      <c r="HLA85" s="0"/>
      <c r="HLB85" s="0"/>
      <c r="HLC85" s="0"/>
      <c r="HLD85" s="0"/>
      <c r="HLE85" s="0"/>
      <c r="HLF85" s="0"/>
      <c r="HLG85" s="0"/>
      <c r="HLH85" s="0"/>
      <c r="HLI85" s="0"/>
      <c r="HLJ85" s="0"/>
      <c r="HLK85" s="0"/>
      <c r="HLL85" s="0"/>
      <c r="HLM85" s="0"/>
      <c r="HLN85" s="0"/>
      <c r="HLO85" s="0"/>
      <c r="HLP85" s="0"/>
      <c r="HLQ85" s="0"/>
      <c r="HLR85" s="0"/>
      <c r="HLS85" s="0"/>
      <c r="HLT85" s="0"/>
      <c r="HLU85" s="0"/>
      <c r="HLV85" s="0"/>
      <c r="HLW85" s="0"/>
      <c r="HLX85" s="0"/>
      <c r="HLY85" s="0"/>
      <c r="HLZ85" s="0"/>
      <c r="HMA85" s="0"/>
      <c r="HMB85" s="0"/>
      <c r="HMC85" s="0"/>
      <c r="HMD85" s="0"/>
      <c r="HME85" s="0"/>
      <c r="HMF85" s="0"/>
      <c r="HMG85" s="0"/>
      <c r="HMH85" s="0"/>
      <c r="HMI85" s="0"/>
      <c r="HMJ85" s="0"/>
      <c r="HMK85" s="0"/>
      <c r="HML85" s="0"/>
      <c r="HMM85" s="0"/>
      <c r="HMN85" s="0"/>
      <c r="HMO85" s="0"/>
      <c r="HMP85" s="0"/>
      <c r="HMQ85" s="0"/>
      <c r="HMR85" s="0"/>
      <c r="HMS85" s="0"/>
      <c r="HMT85" s="0"/>
      <c r="HMU85" s="0"/>
      <c r="HMV85" s="0"/>
      <c r="HMW85" s="0"/>
      <c r="HMX85" s="0"/>
      <c r="HMY85" s="0"/>
      <c r="HMZ85" s="0"/>
      <c r="HNA85" s="0"/>
      <c r="HNB85" s="0"/>
      <c r="HNC85" s="0"/>
      <c r="HND85" s="0"/>
      <c r="HNE85" s="0"/>
      <c r="HNF85" s="0"/>
      <c r="HNG85" s="0"/>
      <c r="HNH85" s="0"/>
      <c r="HNI85" s="0"/>
      <c r="HNJ85" s="0"/>
      <c r="HNK85" s="0"/>
      <c r="HNL85" s="0"/>
      <c r="HNM85" s="0"/>
      <c r="HNN85" s="0"/>
      <c r="HNO85" s="0"/>
      <c r="HNP85" s="0"/>
      <c r="HNQ85" s="0"/>
      <c r="HNR85" s="0"/>
      <c r="HNS85" s="0"/>
      <c r="HNT85" s="0"/>
      <c r="HNU85" s="0"/>
      <c r="HNV85" s="0"/>
      <c r="HNW85" s="0"/>
      <c r="HNX85" s="0"/>
      <c r="HNY85" s="0"/>
      <c r="HNZ85" s="0"/>
      <c r="HOA85" s="0"/>
      <c r="HOB85" s="0"/>
      <c r="HOC85" s="0"/>
      <c r="HOD85" s="0"/>
      <c r="HOE85" s="0"/>
      <c r="HOF85" s="0"/>
      <c r="HOG85" s="0"/>
      <c r="HOH85" s="0"/>
      <c r="HOI85" s="0"/>
      <c r="HOJ85" s="0"/>
      <c r="HOK85" s="0"/>
      <c r="HOL85" s="0"/>
      <c r="HOM85" s="0"/>
      <c r="HON85" s="0"/>
      <c r="HOO85" s="0"/>
      <c r="HOP85" s="0"/>
      <c r="HOQ85" s="0"/>
      <c r="HOR85" s="0"/>
      <c r="HOS85" s="0"/>
      <c r="HOT85" s="0"/>
      <c r="HOU85" s="0"/>
      <c r="HOV85" s="0"/>
      <c r="HOW85" s="0"/>
      <c r="HOX85" s="0"/>
      <c r="HOY85" s="0"/>
      <c r="HOZ85" s="0"/>
      <c r="HPA85" s="0"/>
      <c r="HPB85" s="0"/>
      <c r="HPC85" s="0"/>
      <c r="HPD85" s="0"/>
      <c r="HPE85" s="0"/>
      <c r="HPF85" s="0"/>
      <c r="HPG85" s="0"/>
      <c r="HPH85" s="0"/>
      <c r="HPI85" s="0"/>
      <c r="HPJ85" s="0"/>
      <c r="HPK85" s="0"/>
      <c r="HPL85" s="0"/>
      <c r="HPM85" s="0"/>
      <c r="HPN85" s="0"/>
      <c r="HPO85" s="0"/>
      <c r="HPP85" s="0"/>
      <c r="HPQ85" s="0"/>
      <c r="HPR85" s="0"/>
      <c r="HPS85" s="0"/>
      <c r="HPT85" s="0"/>
      <c r="HPU85" s="0"/>
      <c r="HPV85" s="0"/>
      <c r="HPW85" s="0"/>
      <c r="HPX85" s="0"/>
      <c r="HPY85" s="0"/>
      <c r="HPZ85" s="0"/>
      <c r="HQA85" s="0"/>
      <c r="HQB85" s="0"/>
      <c r="HQC85" s="0"/>
      <c r="HQD85" s="0"/>
      <c r="HQE85" s="0"/>
      <c r="HQF85" s="0"/>
      <c r="HQG85" s="0"/>
      <c r="HQH85" s="0"/>
      <c r="HQI85" s="0"/>
      <c r="HQJ85" s="0"/>
      <c r="HQK85" s="0"/>
      <c r="HQL85" s="0"/>
      <c r="HQM85" s="0"/>
      <c r="HQN85" s="0"/>
      <c r="HQO85" s="0"/>
      <c r="HQP85" s="0"/>
      <c r="HQQ85" s="0"/>
      <c r="HQR85" s="0"/>
      <c r="HQS85" s="0"/>
      <c r="HQT85" s="0"/>
      <c r="HQU85" s="0"/>
      <c r="HQV85" s="0"/>
      <c r="HQW85" s="0"/>
      <c r="HQX85" s="0"/>
      <c r="HQY85" s="0"/>
      <c r="HQZ85" s="0"/>
      <c r="HRA85" s="0"/>
      <c r="HRB85" s="0"/>
      <c r="HRC85" s="0"/>
      <c r="HRD85" s="0"/>
      <c r="HRE85" s="0"/>
      <c r="HRF85" s="0"/>
      <c r="HRG85" s="0"/>
      <c r="HRH85" s="0"/>
      <c r="HRI85" s="0"/>
      <c r="HRJ85" s="0"/>
      <c r="HRK85" s="0"/>
      <c r="HRL85" s="0"/>
      <c r="HRM85" s="0"/>
      <c r="HRN85" s="0"/>
      <c r="HRO85" s="0"/>
      <c r="HRP85" s="0"/>
      <c r="HRQ85" s="0"/>
      <c r="HRR85" s="0"/>
      <c r="HRS85" s="0"/>
      <c r="HRT85" s="0"/>
      <c r="HRU85" s="0"/>
      <c r="HRV85" s="0"/>
      <c r="HRW85" s="0"/>
      <c r="HRX85" s="0"/>
      <c r="HRY85" s="0"/>
      <c r="HRZ85" s="0"/>
      <c r="HSA85" s="0"/>
      <c r="HSB85" s="0"/>
      <c r="HSC85" s="0"/>
      <c r="HSD85" s="0"/>
      <c r="HSE85" s="0"/>
      <c r="HSF85" s="0"/>
      <c r="HSG85" s="0"/>
      <c r="HSH85" s="0"/>
      <c r="HSI85" s="0"/>
      <c r="HSJ85" s="0"/>
      <c r="HSK85" s="0"/>
      <c r="HSL85" s="0"/>
      <c r="HSM85" s="0"/>
      <c r="HSN85" s="0"/>
      <c r="HSO85" s="0"/>
      <c r="HSP85" s="0"/>
      <c r="HSQ85" s="0"/>
      <c r="HSR85" s="0"/>
      <c r="HSS85" s="0"/>
      <c r="HST85" s="0"/>
      <c r="HSU85" s="0"/>
      <c r="HSV85" s="0"/>
      <c r="HSW85" s="0"/>
      <c r="HSX85" s="0"/>
      <c r="HSY85" s="0"/>
      <c r="HSZ85" s="0"/>
      <c r="HTA85" s="0"/>
      <c r="HTB85" s="0"/>
      <c r="HTC85" s="0"/>
      <c r="HTD85" s="0"/>
      <c r="HTE85" s="0"/>
      <c r="HTF85" s="0"/>
      <c r="HTG85" s="0"/>
      <c r="HTH85" s="0"/>
      <c r="HTI85" s="0"/>
      <c r="HTJ85" s="0"/>
      <c r="HTK85" s="0"/>
      <c r="HTL85" s="0"/>
      <c r="HTM85" s="0"/>
      <c r="HTN85" s="0"/>
      <c r="HTO85" s="0"/>
      <c r="HTP85" s="0"/>
      <c r="HTQ85" s="0"/>
      <c r="HTR85" s="0"/>
      <c r="HTS85" s="0"/>
      <c r="HTT85" s="0"/>
      <c r="HTU85" s="0"/>
      <c r="HTV85" s="0"/>
      <c r="HTW85" s="0"/>
      <c r="HTX85" s="0"/>
      <c r="HTY85" s="0"/>
      <c r="HTZ85" s="0"/>
      <c r="HUA85" s="0"/>
      <c r="HUB85" s="0"/>
      <c r="HUC85" s="0"/>
      <c r="HUD85" s="0"/>
      <c r="HUE85" s="0"/>
      <c r="HUF85" s="0"/>
      <c r="HUG85" s="0"/>
      <c r="HUH85" s="0"/>
      <c r="HUI85" s="0"/>
      <c r="HUJ85" s="0"/>
      <c r="HUK85" s="0"/>
      <c r="HUL85" s="0"/>
      <c r="HUM85" s="0"/>
      <c r="HUN85" s="0"/>
      <c r="HUO85" s="0"/>
      <c r="HUP85" s="0"/>
      <c r="HUQ85" s="0"/>
      <c r="HUR85" s="0"/>
      <c r="HUS85" s="0"/>
      <c r="HUT85" s="0"/>
      <c r="HUU85" s="0"/>
      <c r="HUV85" s="0"/>
      <c r="HUW85" s="0"/>
      <c r="HUX85" s="0"/>
      <c r="HUY85" s="0"/>
      <c r="HUZ85" s="0"/>
      <c r="HVA85" s="0"/>
      <c r="HVB85" s="0"/>
      <c r="HVC85" s="0"/>
      <c r="HVD85" s="0"/>
      <c r="HVE85" s="0"/>
      <c r="HVF85" s="0"/>
      <c r="HVG85" s="0"/>
      <c r="HVH85" s="0"/>
      <c r="HVI85" s="0"/>
      <c r="HVJ85" s="0"/>
      <c r="HVK85" s="0"/>
      <c r="HVL85" s="0"/>
      <c r="HVM85" s="0"/>
      <c r="HVN85" s="0"/>
      <c r="HVO85" s="0"/>
      <c r="HVP85" s="0"/>
      <c r="HVQ85" s="0"/>
      <c r="HVR85" s="0"/>
      <c r="HVS85" s="0"/>
      <c r="HVT85" s="0"/>
      <c r="HVU85" s="0"/>
      <c r="HVV85" s="0"/>
      <c r="HVW85" s="0"/>
      <c r="HVX85" s="0"/>
      <c r="HVY85" s="0"/>
      <c r="HVZ85" s="0"/>
      <c r="HWA85" s="0"/>
      <c r="HWB85" s="0"/>
      <c r="HWC85" s="0"/>
      <c r="HWD85" s="0"/>
      <c r="HWE85" s="0"/>
      <c r="HWF85" s="0"/>
      <c r="HWG85" s="0"/>
      <c r="HWH85" s="0"/>
      <c r="HWI85" s="0"/>
      <c r="HWJ85" s="0"/>
      <c r="HWK85" s="0"/>
      <c r="HWL85" s="0"/>
      <c r="HWM85" s="0"/>
      <c r="HWN85" s="0"/>
      <c r="HWO85" s="0"/>
      <c r="HWP85" s="0"/>
      <c r="HWQ85" s="0"/>
      <c r="HWR85" s="0"/>
      <c r="HWS85" s="0"/>
      <c r="HWT85" s="0"/>
      <c r="HWU85" s="0"/>
      <c r="HWV85" s="0"/>
      <c r="HWW85" s="0"/>
      <c r="HWX85" s="0"/>
      <c r="HWY85" s="0"/>
      <c r="HWZ85" s="0"/>
      <c r="HXA85" s="0"/>
      <c r="HXB85" s="0"/>
      <c r="HXC85" s="0"/>
      <c r="HXD85" s="0"/>
      <c r="HXE85" s="0"/>
      <c r="HXF85" s="0"/>
      <c r="HXG85" s="0"/>
      <c r="HXH85" s="0"/>
      <c r="HXI85" s="0"/>
      <c r="HXJ85" s="0"/>
      <c r="HXK85" s="0"/>
      <c r="HXL85" s="0"/>
      <c r="HXM85" s="0"/>
      <c r="HXN85" s="0"/>
      <c r="HXO85" s="0"/>
      <c r="HXP85" s="0"/>
      <c r="HXQ85" s="0"/>
      <c r="HXR85" s="0"/>
      <c r="HXS85" s="0"/>
      <c r="HXT85" s="0"/>
      <c r="HXU85" s="0"/>
      <c r="HXV85" s="0"/>
      <c r="HXW85" s="0"/>
      <c r="HXX85" s="0"/>
      <c r="HXY85" s="0"/>
      <c r="HXZ85" s="0"/>
      <c r="HYA85" s="0"/>
      <c r="HYB85" s="0"/>
      <c r="HYC85" s="0"/>
      <c r="HYD85" s="0"/>
      <c r="HYE85" s="0"/>
      <c r="HYF85" s="0"/>
      <c r="HYG85" s="0"/>
      <c r="HYH85" s="0"/>
      <c r="HYI85" s="0"/>
      <c r="HYJ85" s="0"/>
      <c r="HYK85" s="0"/>
      <c r="HYL85" s="0"/>
      <c r="HYM85" s="0"/>
      <c r="HYN85" s="0"/>
      <c r="HYO85" s="0"/>
      <c r="HYP85" s="0"/>
      <c r="HYQ85" s="0"/>
      <c r="HYR85" s="0"/>
      <c r="HYS85" s="0"/>
      <c r="HYT85" s="0"/>
      <c r="HYU85" s="0"/>
      <c r="HYV85" s="0"/>
      <c r="HYW85" s="0"/>
      <c r="HYX85" s="0"/>
      <c r="HYY85" s="0"/>
      <c r="HYZ85" s="0"/>
      <c r="HZA85" s="0"/>
      <c r="HZB85" s="0"/>
      <c r="HZC85" s="0"/>
      <c r="HZD85" s="0"/>
      <c r="HZE85" s="0"/>
      <c r="HZF85" s="0"/>
      <c r="HZG85" s="0"/>
      <c r="HZH85" s="0"/>
      <c r="HZI85" s="0"/>
      <c r="HZJ85" s="0"/>
      <c r="HZK85" s="0"/>
      <c r="HZL85" s="0"/>
      <c r="HZM85" s="0"/>
      <c r="HZN85" s="0"/>
      <c r="HZO85" s="0"/>
      <c r="HZP85" s="0"/>
      <c r="HZQ85" s="0"/>
      <c r="HZR85" s="0"/>
      <c r="HZS85" s="0"/>
      <c r="HZT85" s="0"/>
      <c r="HZU85" s="0"/>
      <c r="HZV85" s="0"/>
      <c r="HZW85" s="0"/>
      <c r="HZX85" s="0"/>
      <c r="HZY85" s="0"/>
      <c r="HZZ85" s="0"/>
      <c r="IAA85" s="0"/>
      <c r="IAB85" s="0"/>
      <c r="IAC85" s="0"/>
      <c r="IAD85" s="0"/>
      <c r="IAE85" s="0"/>
      <c r="IAF85" s="0"/>
      <c r="IAG85" s="0"/>
      <c r="IAH85" s="0"/>
      <c r="IAI85" s="0"/>
      <c r="IAJ85" s="0"/>
      <c r="IAK85" s="0"/>
      <c r="IAL85" s="0"/>
      <c r="IAM85" s="0"/>
      <c r="IAN85" s="0"/>
      <c r="IAO85" s="0"/>
      <c r="IAP85" s="0"/>
      <c r="IAQ85" s="0"/>
      <c r="IAR85" s="0"/>
      <c r="IAS85" s="0"/>
      <c r="IAT85" s="0"/>
      <c r="IAU85" s="0"/>
      <c r="IAV85" s="0"/>
      <c r="IAW85" s="0"/>
      <c r="IAX85" s="0"/>
      <c r="IAY85" s="0"/>
      <c r="IAZ85" s="0"/>
      <c r="IBA85" s="0"/>
      <c r="IBB85" s="0"/>
      <c r="IBC85" s="0"/>
      <c r="IBD85" s="0"/>
      <c r="IBE85" s="0"/>
      <c r="IBF85" s="0"/>
      <c r="IBG85" s="0"/>
      <c r="IBH85" s="0"/>
      <c r="IBI85" s="0"/>
      <c r="IBJ85" s="0"/>
      <c r="IBK85" s="0"/>
      <c r="IBL85" s="0"/>
      <c r="IBM85" s="0"/>
      <c r="IBN85" s="0"/>
      <c r="IBO85" s="0"/>
      <c r="IBP85" s="0"/>
      <c r="IBQ85" s="0"/>
      <c r="IBR85" s="0"/>
      <c r="IBS85" s="0"/>
      <c r="IBT85" s="0"/>
      <c r="IBU85" s="0"/>
      <c r="IBV85" s="0"/>
      <c r="IBW85" s="0"/>
      <c r="IBX85" s="0"/>
      <c r="IBY85" s="0"/>
      <c r="IBZ85" s="0"/>
      <c r="ICA85" s="0"/>
      <c r="ICB85" s="0"/>
      <c r="ICC85" s="0"/>
      <c r="ICD85" s="0"/>
      <c r="ICE85" s="0"/>
      <c r="ICF85" s="0"/>
      <c r="ICG85" s="0"/>
      <c r="ICH85" s="0"/>
      <c r="ICI85" s="0"/>
      <c r="ICJ85" s="0"/>
      <c r="ICK85" s="0"/>
      <c r="ICL85" s="0"/>
      <c r="ICM85" s="0"/>
      <c r="ICN85" s="0"/>
      <c r="ICO85" s="0"/>
      <c r="ICP85" s="0"/>
      <c r="ICQ85" s="0"/>
      <c r="ICR85" s="0"/>
      <c r="ICS85" s="0"/>
      <c r="ICT85" s="0"/>
      <c r="ICU85" s="0"/>
      <c r="ICV85" s="0"/>
      <c r="ICW85" s="0"/>
      <c r="ICX85" s="0"/>
      <c r="ICY85" s="0"/>
      <c r="ICZ85" s="0"/>
      <c r="IDA85" s="0"/>
      <c r="IDB85" s="0"/>
      <c r="IDC85" s="0"/>
      <c r="IDD85" s="0"/>
      <c r="IDE85" s="0"/>
      <c r="IDF85" s="0"/>
      <c r="IDG85" s="0"/>
      <c r="IDH85" s="0"/>
      <c r="IDI85" s="0"/>
      <c r="IDJ85" s="0"/>
      <c r="IDK85" s="0"/>
      <c r="IDL85" s="0"/>
      <c r="IDM85" s="0"/>
      <c r="IDN85" s="0"/>
      <c r="IDO85" s="0"/>
      <c r="IDP85" s="0"/>
      <c r="IDQ85" s="0"/>
      <c r="IDR85" s="0"/>
      <c r="IDS85" s="0"/>
      <c r="IDT85" s="0"/>
      <c r="IDU85" s="0"/>
      <c r="IDV85" s="0"/>
      <c r="IDW85" s="0"/>
      <c r="IDX85" s="0"/>
      <c r="IDY85" s="0"/>
      <c r="IDZ85" s="0"/>
      <c r="IEA85" s="0"/>
      <c r="IEB85" s="0"/>
      <c r="IEC85" s="0"/>
      <c r="IED85" s="0"/>
      <c r="IEE85" s="0"/>
      <c r="IEF85" s="0"/>
      <c r="IEG85" s="0"/>
      <c r="IEH85" s="0"/>
      <c r="IEI85" s="0"/>
      <c r="IEJ85" s="0"/>
      <c r="IEK85" s="0"/>
      <c r="IEL85" s="0"/>
      <c r="IEM85" s="0"/>
      <c r="IEN85" s="0"/>
      <c r="IEO85" s="0"/>
      <c r="IEP85" s="0"/>
      <c r="IEQ85" s="0"/>
      <c r="IER85" s="0"/>
      <c r="IES85" s="0"/>
      <c r="IET85" s="0"/>
      <c r="IEU85" s="0"/>
      <c r="IEV85" s="0"/>
      <c r="IEW85" s="0"/>
      <c r="IEX85" s="0"/>
      <c r="IEY85" s="0"/>
      <c r="IEZ85" s="0"/>
      <c r="IFA85" s="0"/>
      <c r="IFB85" s="0"/>
      <c r="IFC85" s="0"/>
      <c r="IFD85" s="0"/>
      <c r="IFE85" s="0"/>
      <c r="IFF85" s="0"/>
      <c r="IFG85" s="0"/>
      <c r="IFH85" s="0"/>
      <c r="IFI85" s="0"/>
      <c r="IFJ85" s="0"/>
      <c r="IFK85" s="0"/>
      <c r="IFL85" s="0"/>
      <c r="IFM85" s="0"/>
      <c r="IFN85" s="0"/>
      <c r="IFO85" s="0"/>
      <c r="IFP85" s="0"/>
      <c r="IFQ85" s="0"/>
      <c r="IFR85" s="0"/>
      <c r="IFS85" s="0"/>
      <c r="IFT85" s="0"/>
      <c r="IFU85" s="0"/>
      <c r="IFV85" s="0"/>
      <c r="IFW85" s="0"/>
      <c r="IFX85" s="0"/>
      <c r="IFY85" s="0"/>
      <c r="IFZ85" s="0"/>
      <c r="IGA85" s="0"/>
      <c r="IGB85" s="0"/>
      <c r="IGC85" s="0"/>
      <c r="IGD85" s="0"/>
      <c r="IGE85" s="0"/>
      <c r="IGF85" s="0"/>
      <c r="IGG85" s="0"/>
      <c r="IGH85" s="0"/>
      <c r="IGI85" s="0"/>
      <c r="IGJ85" s="0"/>
      <c r="IGK85" s="0"/>
      <c r="IGL85" s="0"/>
      <c r="IGM85" s="0"/>
      <c r="IGN85" s="0"/>
      <c r="IGO85" s="0"/>
      <c r="IGP85" s="0"/>
      <c r="IGQ85" s="0"/>
      <c r="IGR85" s="0"/>
      <c r="IGS85" s="0"/>
      <c r="IGT85" s="0"/>
      <c r="IGU85" s="0"/>
      <c r="IGV85" s="0"/>
      <c r="IGW85" s="0"/>
      <c r="IGX85" s="0"/>
      <c r="IGY85" s="0"/>
      <c r="IGZ85" s="0"/>
      <c r="IHA85" s="0"/>
      <c r="IHB85" s="0"/>
      <c r="IHC85" s="0"/>
      <c r="IHD85" s="0"/>
      <c r="IHE85" s="0"/>
      <c r="IHF85" s="0"/>
      <c r="IHG85" s="0"/>
      <c r="IHH85" s="0"/>
      <c r="IHI85" s="0"/>
      <c r="IHJ85" s="0"/>
      <c r="IHK85" s="0"/>
      <c r="IHL85" s="0"/>
      <c r="IHM85" s="0"/>
      <c r="IHN85" s="0"/>
      <c r="IHO85" s="0"/>
      <c r="IHP85" s="0"/>
      <c r="IHQ85" s="0"/>
      <c r="IHR85" s="0"/>
      <c r="IHS85" s="0"/>
      <c r="IHT85" s="0"/>
      <c r="IHU85" s="0"/>
      <c r="IHV85" s="0"/>
      <c r="IHW85" s="0"/>
      <c r="IHX85" s="0"/>
      <c r="IHY85" s="0"/>
      <c r="IHZ85" s="0"/>
      <c r="IIA85" s="0"/>
      <c r="IIB85" s="0"/>
      <c r="IIC85" s="0"/>
      <c r="IID85" s="0"/>
      <c r="IIE85" s="0"/>
      <c r="IIF85" s="0"/>
      <c r="IIG85" s="0"/>
      <c r="IIH85" s="0"/>
      <c r="III85" s="0"/>
      <c r="IIJ85" s="0"/>
      <c r="IIK85" s="0"/>
      <c r="IIL85" s="0"/>
      <c r="IIM85" s="0"/>
      <c r="IIN85" s="0"/>
      <c r="IIO85" s="0"/>
      <c r="IIP85" s="0"/>
      <c r="IIQ85" s="0"/>
      <c r="IIR85" s="0"/>
      <c r="IIS85" s="0"/>
      <c r="IIT85" s="0"/>
      <c r="IIU85" s="0"/>
      <c r="IIV85" s="0"/>
      <c r="IIW85" s="0"/>
      <c r="IIX85" s="0"/>
      <c r="IIY85" s="0"/>
      <c r="IIZ85" s="0"/>
      <c r="IJA85" s="0"/>
      <c r="IJB85" s="0"/>
      <c r="IJC85" s="0"/>
      <c r="IJD85" s="0"/>
      <c r="IJE85" s="0"/>
      <c r="IJF85" s="0"/>
      <c r="IJG85" s="0"/>
      <c r="IJH85" s="0"/>
      <c r="IJI85" s="0"/>
      <c r="IJJ85" s="0"/>
      <c r="IJK85" s="0"/>
      <c r="IJL85" s="0"/>
      <c r="IJM85" s="0"/>
      <c r="IJN85" s="0"/>
      <c r="IJO85" s="0"/>
      <c r="IJP85" s="0"/>
      <c r="IJQ85" s="0"/>
      <c r="IJR85" s="0"/>
      <c r="IJS85" s="0"/>
      <c r="IJT85" s="0"/>
      <c r="IJU85" s="0"/>
      <c r="IJV85" s="0"/>
      <c r="IJW85" s="0"/>
      <c r="IJX85" s="0"/>
      <c r="IJY85" s="0"/>
      <c r="IJZ85" s="0"/>
      <c r="IKA85" s="0"/>
      <c r="IKB85" s="0"/>
      <c r="IKC85" s="0"/>
      <c r="IKD85" s="0"/>
      <c r="IKE85" s="0"/>
      <c r="IKF85" s="0"/>
      <c r="IKG85" s="0"/>
      <c r="IKH85" s="0"/>
      <c r="IKI85" s="0"/>
      <c r="IKJ85" s="0"/>
      <c r="IKK85" s="0"/>
      <c r="IKL85" s="0"/>
      <c r="IKM85" s="0"/>
      <c r="IKN85" s="0"/>
      <c r="IKO85" s="0"/>
      <c r="IKP85" s="0"/>
      <c r="IKQ85" s="0"/>
      <c r="IKR85" s="0"/>
      <c r="IKS85" s="0"/>
      <c r="IKT85" s="0"/>
      <c r="IKU85" s="0"/>
      <c r="IKV85" s="0"/>
      <c r="IKW85" s="0"/>
      <c r="IKX85" s="0"/>
      <c r="IKY85" s="0"/>
      <c r="IKZ85" s="0"/>
      <c r="ILA85" s="0"/>
      <c r="ILB85" s="0"/>
      <c r="ILC85" s="0"/>
      <c r="ILD85" s="0"/>
      <c r="ILE85" s="0"/>
      <c r="ILF85" s="0"/>
      <c r="ILG85" s="0"/>
      <c r="ILH85" s="0"/>
      <c r="ILI85" s="0"/>
      <c r="ILJ85" s="0"/>
      <c r="ILK85" s="0"/>
      <c r="ILL85" s="0"/>
      <c r="ILM85" s="0"/>
      <c r="ILN85" s="0"/>
      <c r="ILO85" s="0"/>
      <c r="ILP85" s="0"/>
      <c r="ILQ85" s="0"/>
      <c r="ILR85" s="0"/>
      <c r="ILS85" s="0"/>
      <c r="ILT85" s="0"/>
      <c r="ILU85" s="0"/>
      <c r="ILV85" s="0"/>
      <c r="ILW85" s="0"/>
      <c r="ILX85" s="0"/>
      <c r="ILY85" s="0"/>
      <c r="ILZ85" s="0"/>
      <c r="IMA85" s="0"/>
      <c r="IMB85" s="0"/>
      <c r="IMC85" s="0"/>
      <c r="IMD85" s="0"/>
      <c r="IME85" s="0"/>
      <c r="IMF85" s="0"/>
      <c r="IMG85" s="0"/>
      <c r="IMH85" s="0"/>
      <c r="IMI85" s="0"/>
      <c r="IMJ85" s="0"/>
      <c r="IMK85" s="0"/>
      <c r="IML85" s="0"/>
      <c r="IMM85" s="0"/>
      <c r="IMN85" s="0"/>
      <c r="IMO85" s="0"/>
      <c r="IMP85" s="0"/>
      <c r="IMQ85" s="0"/>
      <c r="IMR85" s="0"/>
      <c r="IMS85" s="0"/>
      <c r="IMT85" s="0"/>
      <c r="IMU85" s="0"/>
      <c r="IMV85" s="0"/>
      <c r="IMW85" s="0"/>
      <c r="IMX85" s="0"/>
      <c r="IMY85" s="0"/>
      <c r="IMZ85" s="0"/>
      <c r="INA85" s="0"/>
      <c r="INB85" s="0"/>
      <c r="INC85" s="0"/>
      <c r="IND85" s="0"/>
      <c r="INE85" s="0"/>
      <c r="INF85" s="0"/>
      <c r="ING85" s="0"/>
      <c r="INH85" s="0"/>
      <c r="INI85" s="0"/>
      <c r="INJ85" s="0"/>
      <c r="INK85" s="0"/>
      <c r="INL85" s="0"/>
      <c r="INM85" s="0"/>
      <c r="INN85" s="0"/>
      <c r="INO85" s="0"/>
      <c r="INP85" s="0"/>
      <c r="INQ85" s="0"/>
      <c r="INR85" s="0"/>
      <c r="INS85" s="0"/>
      <c r="INT85" s="0"/>
      <c r="INU85" s="0"/>
      <c r="INV85" s="0"/>
      <c r="INW85" s="0"/>
      <c r="INX85" s="0"/>
      <c r="INY85" s="0"/>
      <c r="INZ85" s="0"/>
      <c r="IOA85" s="0"/>
      <c r="IOB85" s="0"/>
      <c r="IOC85" s="0"/>
      <c r="IOD85" s="0"/>
      <c r="IOE85" s="0"/>
      <c r="IOF85" s="0"/>
      <c r="IOG85" s="0"/>
      <c r="IOH85" s="0"/>
      <c r="IOI85" s="0"/>
      <c r="IOJ85" s="0"/>
      <c r="IOK85" s="0"/>
      <c r="IOL85" s="0"/>
      <c r="IOM85" s="0"/>
      <c r="ION85" s="0"/>
      <c r="IOO85" s="0"/>
      <c r="IOP85" s="0"/>
      <c r="IOQ85" s="0"/>
      <c r="IOR85" s="0"/>
      <c r="IOS85" s="0"/>
      <c r="IOT85" s="0"/>
      <c r="IOU85" s="0"/>
      <c r="IOV85" s="0"/>
      <c r="IOW85" s="0"/>
      <c r="IOX85" s="0"/>
      <c r="IOY85" s="0"/>
      <c r="IOZ85" s="0"/>
      <c r="IPA85" s="0"/>
      <c r="IPB85" s="0"/>
      <c r="IPC85" s="0"/>
      <c r="IPD85" s="0"/>
      <c r="IPE85" s="0"/>
      <c r="IPF85" s="0"/>
      <c r="IPG85" s="0"/>
      <c r="IPH85" s="0"/>
      <c r="IPI85" s="0"/>
      <c r="IPJ85" s="0"/>
      <c r="IPK85" s="0"/>
      <c r="IPL85" s="0"/>
      <c r="IPM85" s="0"/>
      <c r="IPN85" s="0"/>
      <c r="IPO85" s="0"/>
      <c r="IPP85" s="0"/>
      <c r="IPQ85" s="0"/>
      <c r="IPR85" s="0"/>
      <c r="IPS85" s="0"/>
      <c r="IPT85" s="0"/>
      <c r="IPU85" s="0"/>
      <c r="IPV85" s="0"/>
      <c r="IPW85" s="0"/>
      <c r="IPX85" s="0"/>
      <c r="IPY85" s="0"/>
      <c r="IPZ85" s="0"/>
      <c r="IQA85" s="0"/>
      <c r="IQB85" s="0"/>
      <c r="IQC85" s="0"/>
      <c r="IQD85" s="0"/>
      <c r="IQE85" s="0"/>
      <c r="IQF85" s="0"/>
      <c r="IQG85" s="0"/>
      <c r="IQH85" s="0"/>
      <c r="IQI85" s="0"/>
      <c r="IQJ85" s="0"/>
      <c r="IQK85" s="0"/>
      <c r="IQL85" s="0"/>
      <c r="IQM85" s="0"/>
      <c r="IQN85" s="0"/>
      <c r="IQO85" s="0"/>
      <c r="IQP85" s="0"/>
      <c r="IQQ85" s="0"/>
      <c r="IQR85" s="0"/>
      <c r="IQS85" s="0"/>
      <c r="IQT85" s="0"/>
      <c r="IQU85" s="0"/>
      <c r="IQV85" s="0"/>
      <c r="IQW85" s="0"/>
      <c r="IQX85" s="0"/>
      <c r="IQY85" s="0"/>
      <c r="IQZ85" s="0"/>
      <c r="IRA85" s="0"/>
      <c r="IRB85" s="0"/>
      <c r="IRC85" s="0"/>
      <c r="IRD85" s="0"/>
      <c r="IRE85" s="0"/>
      <c r="IRF85" s="0"/>
      <c r="IRG85" s="0"/>
      <c r="IRH85" s="0"/>
      <c r="IRI85" s="0"/>
      <c r="IRJ85" s="0"/>
      <c r="IRK85" s="0"/>
      <c r="IRL85" s="0"/>
      <c r="IRM85" s="0"/>
      <c r="IRN85" s="0"/>
      <c r="IRO85" s="0"/>
      <c r="IRP85" s="0"/>
      <c r="IRQ85" s="0"/>
      <c r="IRR85" s="0"/>
      <c r="IRS85" s="0"/>
      <c r="IRT85" s="0"/>
      <c r="IRU85" s="0"/>
      <c r="IRV85" s="0"/>
      <c r="IRW85" s="0"/>
      <c r="IRX85" s="0"/>
      <c r="IRY85" s="0"/>
      <c r="IRZ85" s="0"/>
      <c r="ISA85" s="0"/>
      <c r="ISB85" s="0"/>
      <c r="ISC85" s="0"/>
      <c r="ISD85" s="0"/>
      <c r="ISE85" s="0"/>
      <c r="ISF85" s="0"/>
      <c r="ISG85" s="0"/>
      <c r="ISH85" s="0"/>
      <c r="ISI85" s="0"/>
      <c r="ISJ85" s="0"/>
      <c r="ISK85" s="0"/>
      <c r="ISL85" s="0"/>
      <c r="ISM85" s="0"/>
      <c r="ISN85" s="0"/>
      <c r="ISO85" s="0"/>
      <c r="ISP85" s="0"/>
      <c r="ISQ85" s="0"/>
      <c r="ISR85" s="0"/>
      <c r="ISS85" s="0"/>
      <c r="IST85" s="0"/>
      <c r="ISU85" s="0"/>
      <c r="ISV85" s="0"/>
      <c r="ISW85" s="0"/>
      <c r="ISX85" s="0"/>
      <c r="ISY85" s="0"/>
      <c r="ISZ85" s="0"/>
      <c r="ITA85" s="0"/>
      <c r="ITB85" s="0"/>
      <c r="ITC85" s="0"/>
      <c r="ITD85" s="0"/>
      <c r="ITE85" s="0"/>
      <c r="ITF85" s="0"/>
      <c r="ITG85" s="0"/>
      <c r="ITH85" s="0"/>
      <c r="ITI85" s="0"/>
      <c r="ITJ85" s="0"/>
      <c r="ITK85" s="0"/>
      <c r="ITL85" s="0"/>
      <c r="ITM85" s="0"/>
      <c r="ITN85" s="0"/>
      <c r="ITO85" s="0"/>
      <c r="ITP85" s="0"/>
      <c r="ITQ85" s="0"/>
      <c r="ITR85" s="0"/>
      <c r="ITS85" s="0"/>
      <c r="ITT85" s="0"/>
      <c r="ITU85" s="0"/>
      <c r="ITV85" s="0"/>
      <c r="ITW85" s="0"/>
      <c r="ITX85" s="0"/>
      <c r="ITY85" s="0"/>
      <c r="ITZ85" s="0"/>
      <c r="IUA85" s="0"/>
      <c r="IUB85" s="0"/>
      <c r="IUC85" s="0"/>
      <c r="IUD85" s="0"/>
      <c r="IUE85" s="0"/>
      <c r="IUF85" s="0"/>
      <c r="IUG85" s="0"/>
      <c r="IUH85" s="0"/>
      <c r="IUI85" s="0"/>
      <c r="IUJ85" s="0"/>
      <c r="IUK85" s="0"/>
      <c r="IUL85" s="0"/>
      <c r="IUM85" s="0"/>
      <c r="IUN85" s="0"/>
      <c r="IUO85" s="0"/>
      <c r="IUP85" s="0"/>
      <c r="IUQ85" s="0"/>
      <c r="IUR85" s="0"/>
      <c r="IUS85" s="0"/>
      <c r="IUT85" s="0"/>
      <c r="IUU85" s="0"/>
      <c r="IUV85" s="0"/>
      <c r="IUW85" s="0"/>
      <c r="IUX85" s="0"/>
      <c r="IUY85" s="0"/>
      <c r="IUZ85" s="0"/>
      <c r="IVA85" s="0"/>
      <c r="IVB85" s="0"/>
      <c r="IVC85" s="0"/>
      <c r="IVD85" s="0"/>
      <c r="IVE85" s="0"/>
      <c r="IVF85" s="0"/>
      <c r="IVG85" s="0"/>
      <c r="IVH85" s="0"/>
      <c r="IVI85" s="0"/>
      <c r="IVJ85" s="0"/>
      <c r="IVK85" s="0"/>
      <c r="IVL85" s="0"/>
      <c r="IVM85" s="0"/>
      <c r="IVN85" s="0"/>
      <c r="IVO85" s="0"/>
      <c r="IVP85" s="0"/>
      <c r="IVQ85" s="0"/>
      <c r="IVR85" s="0"/>
      <c r="IVS85" s="0"/>
      <c r="IVT85" s="0"/>
      <c r="IVU85" s="0"/>
      <c r="IVV85" s="0"/>
      <c r="IVW85" s="0"/>
      <c r="IVX85" s="0"/>
      <c r="IVY85" s="0"/>
      <c r="IVZ85" s="0"/>
      <c r="IWA85" s="0"/>
      <c r="IWB85" s="0"/>
      <c r="IWC85" s="0"/>
      <c r="IWD85" s="0"/>
      <c r="IWE85" s="0"/>
      <c r="IWF85" s="0"/>
      <c r="IWG85" s="0"/>
      <c r="IWH85" s="0"/>
      <c r="IWI85" s="0"/>
      <c r="IWJ85" s="0"/>
      <c r="IWK85" s="0"/>
      <c r="IWL85" s="0"/>
      <c r="IWM85" s="0"/>
      <c r="IWN85" s="0"/>
      <c r="IWO85" s="0"/>
      <c r="IWP85" s="0"/>
      <c r="IWQ85" s="0"/>
      <c r="IWR85" s="0"/>
      <c r="IWS85" s="0"/>
      <c r="IWT85" s="0"/>
      <c r="IWU85" s="0"/>
      <c r="IWV85" s="0"/>
      <c r="IWW85" s="0"/>
      <c r="IWX85" s="0"/>
      <c r="IWY85" s="0"/>
      <c r="IWZ85" s="0"/>
      <c r="IXA85" s="0"/>
      <c r="IXB85" s="0"/>
      <c r="IXC85" s="0"/>
      <c r="IXD85" s="0"/>
      <c r="IXE85" s="0"/>
      <c r="IXF85" s="0"/>
      <c r="IXG85" s="0"/>
      <c r="IXH85" s="0"/>
      <c r="IXI85" s="0"/>
      <c r="IXJ85" s="0"/>
      <c r="IXK85" s="0"/>
      <c r="IXL85" s="0"/>
      <c r="IXM85" s="0"/>
      <c r="IXN85" s="0"/>
      <c r="IXO85" s="0"/>
      <c r="IXP85" s="0"/>
      <c r="IXQ85" s="0"/>
      <c r="IXR85" s="0"/>
      <c r="IXS85" s="0"/>
      <c r="IXT85" s="0"/>
      <c r="IXU85" s="0"/>
      <c r="IXV85" s="0"/>
      <c r="IXW85" s="0"/>
      <c r="IXX85" s="0"/>
      <c r="IXY85" s="0"/>
      <c r="IXZ85" s="0"/>
      <c r="IYA85" s="0"/>
      <c r="IYB85" s="0"/>
      <c r="IYC85" s="0"/>
      <c r="IYD85" s="0"/>
      <c r="IYE85" s="0"/>
      <c r="IYF85" s="0"/>
      <c r="IYG85" s="0"/>
      <c r="IYH85" s="0"/>
      <c r="IYI85" s="0"/>
      <c r="IYJ85" s="0"/>
      <c r="IYK85" s="0"/>
      <c r="IYL85" s="0"/>
      <c r="IYM85" s="0"/>
      <c r="IYN85" s="0"/>
      <c r="IYO85" s="0"/>
      <c r="IYP85" s="0"/>
      <c r="IYQ85" s="0"/>
      <c r="IYR85" s="0"/>
      <c r="IYS85" s="0"/>
      <c r="IYT85" s="0"/>
      <c r="IYU85" s="0"/>
      <c r="IYV85" s="0"/>
      <c r="IYW85" s="0"/>
      <c r="IYX85" s="0"/>
      <c r="IYY85" s="0"/>
      <c r="IYZ85" s="0"/>
      <c r="IZA85" s="0"/>
      <c r="IZB85" s="0"/>
      <c r="IZC85" s="0"/>
      <c r="IZD85" s="0"/>
      <c r="IZE85" s="0"/>
      <c r="IZF85" s="0"/>
      <c r="IZG85" s="0"/>
      <c r="IZH85" s="0"/>
      <c r="IZI85" s="0"/>
      <c r="IZJ85" s="0"/>
      <c r="IZK85" s="0"/>
      <c r="IZL85" s="0"/>
      <c r="IZM85" s="0"/>
      <c r="IZN85" s="0"/>
      <c r="IZO85" s="0"/>
      <c r="IZP85" s="0"/>
      <c r="IZQ85" s="0"/>
      <c r="IZR85" s="0"/>
      <c r="IZS85" s="0"/>
      <c r="IZT85" s="0"/>
      <c r="IZU85" s="0"/>
      <c r="IZV85" s="0"/>
      <c r="IZW85" s="0"/>
      <c r="IZX85" s="0"/>
      <c r="IZY85" s="0"/>
      <c r="IZZ85" s="0"/>
      <c r="JAA85" s="0"/>
      <c r="JAB85" s="0"/>
      <c r="JAC85" s="0"/>
      <c r="JAD85" s="0"/>
      <c r="JAE85" s="0"/>
      <c r="JAF85" s="0"/>
      <c r="JAG85" s="0"/>
      <c r="JAH85" s="0"/>
      <c r="JAI85" s="0"/>
      <c r="JAJ85" s="0"/>
      <c r="JAK85" s="0"/>
      <c r="JAL85" s="0"/>
      <c r="JAM85" s="0"/>
      <c r="JAN85" s="0"/>
      <c r="JAO85" s="0"/>
      <c r="JAP85" s="0"/>
      <c r="JAQ85" s="0"/>
      <c r="JAR85" s="0"/>
      <c r="JAS85" s="0"/>
      <c r="JAT85" s="0"/>
      <c r="JAU85" s="0"/>
      <c r="JAV85" s="0"/>
      <c r="JAW85" s="0"/>
      <c r="JAX85" s="0"/>
      <c r="JAY85" s="0"/>
      <c r="JAZ85" s="0"/>
      <c r="JBA85" s="0"/>
      <c r="JBB85" s="0"/>
      <c r="JBC85" s="0"/>
      <c r="JBD85" s="0"/>
      <c r="JBE85" s="0"/>
      <c r="JBF85" s="0"/>
      <c r="JBG85" s="0"/>
      <c r="JBH85" s="0"/>
      <c r="JBI85" s="0"/>
      <c r="JBJ85" s="0"/>
      <c r="JBK85" s="0"/>
      <c r="JBL85" s="0"/>
      <c r="JBM85" s="0"/>
      <c r="JBN85" s="0"/>
      <c r="JBO85" s="0"/>
      <c r="JBP85" s="0"/>
      <c r="JBQ85" s="0"/>
      <c r="JBR85" s="0"/>
      <c r="JBS85" s="0"/>
      <c r="JBT85" s="0"/>
      <c r="JBU85" s="0"/>
      <c r="JBV85" s="0"/>
      <c r="JBW85" s="0"/>
      <c r="JBX85" s="0"/>
      <c r="JBY85" s="0"/>
      <c r="JBZ85" s="0"/>
      <c r="JCA85" s="0"/>
      <c r="JCB85" s="0"/>
      <c r="JCC85" s="0"/>
      <c r="JCD85" s="0"/>
      <c r="JCE85" s="0"/>
      <c r="JCF85" s="0"/>
      <c r="JCG85" s="0"/>
      <c r="JCH85" s="0"/>
      <c r="JCI85" s="0"/>
      <c r="JCJ85" s="0"/>
      <c r="JCK85" s="0"/>
      <c r="JCL85" s="0"/>
      <c r="JCM85" s="0"/>
      <c r="JCN85" s="0"/>
      <c r="JCO85" s="0"/>
      <c r="JCP85" s="0"/>
      <c r="JCQ85" s="0"/>
      <c r="JCR85" s="0"/>
      <c r="JCS85" s="0"/>
      <c r="JCT85" s="0"/>
      <c r="JCU85" s="0"/>
      <c r="JCV85" s="0"/>
      <c r="JCW85" s="0"/>
      <c r="JCX85" s="0"/>
      <c r="JCY85" s="0"/>
      <c r="JCZ85" s="0"/>
      <c r="JDA85" s="0"/>
      <c r="JDB85" s="0"/>
      <c r="JDC85" s="0"/>
      <c r="JDD85" s="0"/>
      <c r="JDE85" s="0"/>
      <c r="JDF85" s="0"/>
      <c r="JDG85" s="0"/>
      <c r="JDH85" s="0"/>
      <c r="JDI85" s="0"/>
      <c r="JDJ85" s="0"/>
      <c r="JDK85" s="0"/>
      <c r="JDL85" s="0"/>
      <c r="JDM85" s="0"/>
      <c r="JDN85" s="0"/>
      <c r="JDO85" s="0"/>
      <c r="JDP85" s="0"/>
      <c r="JDQ85" s="0"/>
      <c r="JDR85" s="0"/>
      <c r="JDS85" s="0"/>
      <c r="JDT85" s="0"/>
      <c r="JDU85" s="0"/>
      <c r="JDV85" s="0"/>
      <c r="JDW85" s="0"/>
      <c r="JDX85" s="0"/>
      <c r="JDY85" s="0"/>
      <c r="JDZ85" s="0"/>
      <c r="JEA85" s="0"/>
      <c r="JEB85" s="0"/>
      <c r="JEC85" s="0"/>
      <c r="JED85" s="0"/>
      <c r="JEE85" s="0"/>
      <c r="JEF85" s="0"/>
      <c r="JEG85" s="0"/>
      <c r="JEH85" s="0"/>
      <c r="JEI85" s="0"/>
      <c r="JEJ85" s="0"/>
      <c r="JEK85" s="0"/>
      <c r="JEL85" s="0"/>
      <c r="JEM85" s="0"/>
      <c r="JEN85" s="0"/>
      <c r="JEO85" s="0"/>
      <c r="JEP85" s="0"/>
      <c r="JEQ85" s="0"/>
      <c r="JER85" s="0"/>
      <c r="JES85" s="0"/>
      <c r="JET85" s="0"/>
      <c r="JEU85" s="0"/>
      <c r="JEV85" s="0"/>
      <c r="JEW85" s="0"/>
      <c r="JEX85" s="0"/>
      <c r="JEY85" s="0"/>
      <c r="JEZ85" s="0"/>
      <c r="JFA85" s="0"/>
      <c r="JFB85" s="0"/>
      <c r="JFC85" s="0"/>
      <c r="JFD85" s="0"/>
      <c r="JFE85" s="0"/>
      <c r="JFF85" s="0"/>
      <c r="JFG85" s="0"/>
      <c r="JFH85" s="0"/>
      <c r="JFI85" s="0"/>
      <c r="JFJ85" s="0"/>
      <c r="JFK85" s="0"/>
      <c r="JFL85" s="0"/>
      <c r="JFM85" s="0"/>
      <c r="JFN85" s="0"/>
      <c r="JFO85" s="0"/>
      <c r="JFP85" s="0"/>
      <c r="JFQ85" s="0"/>
      <c r="JFR85" s="0"/>
      <c r="JFS85" s="0"/>
      <c r="JFT85" s="0"/>
      <c r="JFU85" s="0"/>
      <c r="JFV85" s="0"/>
      <c r="JFW85" s="0"/>
      <c r="JFX85" s="0"/>
      <c r="JFY85" s="0"/>
      <c r="JFZ85" s="0"/>
      <c r="JGA85" s="0"/>
      <c r="JGB85" s="0"/>
      <c r="JGC85" s="0"/>
      <c r="JGD85" s="0"/>
      <c r="JGE85" s="0"/>
      <c r="JGF85" s="0"/>
      <c r="JGG85" s="0"/>
      <c r="JGH85" s="0"/>
      <c r="JGI85" s="0"/>
      <c r="JGJ85" s="0"/>
      <c r="JGK85" s="0"/>
      <c r="JGL85" s="0"/>
      <c r="JGM85" s="0"/>
      <c r="JGN85" s="0"/>
      <c r="JGO85" s="0"/>
      <c r="JGP85" s="0"/>
      <c r="JGQ85" s="0"/>
      <c r="JGR85" s="0"/>
      <c r="JGS85" s="0"/>
      <c r="JGT85" s="0"/>
      <c r="JGU85" s="0"/>
      <c r="JGV85" s="0"/>
      <c r="JGW85" s="0"/>
      <c r="JGX85" s="0"/>
      <c r="JGY85" s="0"/>
      <c r="JGZ85" s="0"/>
      <c r="JHA85" s="0"/>
      <c r="JHB85" s="0"/>
      <c r="JHC85" s="0"/>
      <c r="JHD85" s="0"/>
      <c r="JHE85" s="0"/>
      <c r="JHF85" s="0"/>
      <c r="JHG85" s="0"/>
      <c r="JHH85" s="0"/>
      <c r="JHI85" s="0"/>
      <c r="JHJ85" s="0"/>
      <c r="JHK85" s="0"/>
      <c r="JHL85" s="0"/>
      <c r="JHM85" s="0"/>
      <c r="JHN85" s="0"/>
      <c r="JHO85" s="0"/>
      <c r="JHP85" s="0"/>
      <c r="JHQ85" s="0"/>
      <c r="JHR85" s="0"/>
      <c r="JHS85" s="0"/>
      <c r="JHT85" s="0"/>
      <c r="JHU85" s="0"/>
      <c r="JHV85" s="0"/>
      <c r="JHW85" s="0"/>
      <c r="JHX85" s="0"/>
      <c r="JHY85" s="0"/>
      <c r="JHZ85" s="0"/>
      <c r="JIA85" s="0"/>
      <c r="JIB85" s="0"/>
      <c r="JIC85" s="0"/>
      <c r="JID85" s="0"/>
      <c r="JIE85" s="0"/>
      <c r="JIF85" s="0"/>
      <c r="JIG85" s="0"/>
      <c r="JIH85" s="0"/>
      <c r="JII85" s="0"/>
      <c r="JIJ85" s="0"/>
      <c r="JIK85" s="0"/>
      <c r="JIL85" s="0"/>
      <c r="JIM85" s="0"/>
      <c r="JIN85" s="0"/>
      <c r="JIO85" s="0"/>
      <c r="JIP85" s="0"/>
      <c r="JIQ85" s="0"/>
      <c r="JIR85" s="0"/>
      <c r="JIS85" s="0"/>
      <c r="JIT85" s="0"/>
      <c r="JIU85" s="0"/>
      <c r="JIV85" s="0"/>
      <c r="JIW85" s="0"/>
      <c r="JIX85" s="0"/>
      <c r="JIY85" s="0"/>
      <c r="JIZ85" s="0"/>
      <c r="JJA85" s="0"/>
      <c r="JJB85" s="0"/>
      <c r="JJC85" s="0"/>
      <c r="JJD85" s="0"/>
      <c r="JJE85" s="0"/>
      <c r="JJF85" s="0"/>
      <c r="JJG85" s="0"/>
      <c r="JJH85" s="0"/>
      <c r="JJI85" s="0"/>
      <c r="JJJ85" s="0"/>
      <c r="JJK85" s="0"/>
      <c r="JJL85" s="0"/>
      <c r="JJM85" s="0"/>
      <c r="JJN85" s="0"/>
      <c r="JJO85" s="0"/>
      <c r="JJP85" s="0"/>
      <c r="JJQ85" s="0"/>
      <c r="JJR85" s="0"/>
      <c r="JJS85" s="0"/>
      <c r="JJT85" s="0"/>
      <c r="JJU85" s="0"/>
      <c r="JJV85" s="0"/>
      <c r="JJW85" s="0"/>
      <c r="JJX85" s="0"/>
      <c r="JJY85" s="0"/>
      <c r="JJZ85" s="0"/>
      <c r="JKA85" s="0"/>
      <c r="JKB85" s="0"/>
      <c r="JKC85" s="0"/>
      <c r="JKD85" s="0"/>
      <c r="JKE85" s="0"/>
      <c r="JKF85" s="0"/>
      <c r="JKG85" s="0"/>
      <c r="JKH85" s="0"/>
      <c r="JKI85" s="0"/>
      <c r="JKJ85" s="0"/>
      <c r="JKK85" s="0"/>
      <c r="JKL85" s="0"/>
      <c r="JKM85" s="0"/>
      <c r="JKN85" s="0"/>
      <c r="JKO85" s="0"/>
      <c r="JKP85" s="0"/>
      <c r="JKQ85" s="0"/>
      <c r="JKR85" s="0"/>
      <c r="JKS85" s="0"/>
      <c r="JKT85" s="0"/>
      <c r="JKU85" s="0"/>
      <c r="JKV85" s="0"/>
      <c r="JKW85" s="0"/>
      <c r="JKX85" s="0"/>
      <c r="JKY85" s="0"/>
      <c r="JKZ85" s="0"/>
      <c r="JLA85" s="0"/>
      <c r="JLB85" s="0"/>
      <c r="JLC85" s="0"/>
      <c r="JLD85" s="0"/>
      <c r="JLE85" s="0"/>
      <c r="JLF85" s="0"/>
      <c r="JLG85" s="0"/>
      <c r="JLH85" s="0"/>
      <c r="JLI85" s="0"/>
      <c r="JLJ85" s="0"/>
      <c r="JLK85" s="0"/>
      <c r="JLL85" s="0"/>
      <c r="JLM85" s="0"/>
      <c r="JLN85" s="0"/>
      <c r="JLO85" s="0"/>
      <c r="JLP85" s="0"/>
      <c r="JLQ85" s="0"/>
      <c r="JLR85" s="0"/>
      <c r="JLS85" s="0"/>
      <c r="JLT85" s="0"/>
      <c r="JLU85" s="0"/>
      <c r="JLV85" s="0"/>
      <c r="JLW85" s="0"/>
      <c r="JLX85" s="0"/>
      <c r="JLY85" s="0"/>
      <c r="JLZ85" s="0"/>
      <c r="JMA85" s="0"/>
      <c r="JMB85" s="0"/>
      <c r="JMC85" s="0"/>
      <c r="JMD85" s="0"/>
      <c r="JME85" s="0"/>
      <c r="JMF85" s="0"/>
      <c r="JMG85" s="0"/>
      <c r="JMH85" s="0"/>
      <c r="JMI85" s="0"/>
      <c r="JMJ85" s="0"/>
      <c r="JMK85" s="0"/>
      <c r="JML85" s="0"/>
      <c r="JMM85" s="0"/>
      <c r="JMN85" s="0"/>
      <c r="JMO85" s="0"/>
      <c r="JMP85" s="0"/>
      <c r="JMQ85" s="0"/>
      <c r="JMR85" s="0"/>
      <c r="JMS85" s="0"/>
      <c r="JMT85" s="0"/>
      <c r="JMU85" s="0"/>
      <c r="JMV85" s="0"/>
      <c r="JMW85" s="0"/>
      <c r="JMX85" s="0"/>
      <c r="JMY85" s="0"/>
      <c r="JMZ85" s="0"/>
      <c r="JNA85" s="0"/>
      <c r="JNB85" s="0"/>
      <c r="JNC85" s="0"/>
      <c r="JND85" s="0"/>
      <c r="JNE85" s="0"/>
      <c r="JNF85" s="0"/>
      <c r="JNG85" s="0"/>
      <c r="JNH85" s="0"/>
      <c r="JNI85" s="0"/>
      <c r="JNJ85" s="0"/>
      <c r="JNK85" s="0"/>
      <c r="JNL85" s="0"/>
      <c r="JNM85" s="0"/>
      <c r="JNN85" s="0"/>
      <c r="JNO85" s="0"/>
      <c r="JNP85" s="0"/>
      <c r="JNQ85" s="0"/>
      <c r="JNR85" s="0"/>
      <c r="JNS85" s="0"/>
      <c r="JNT85" s="0"/>
      <c r="JNU85" s="0"/>
      <c r="JNV85" s="0"/>
      <c r="JNW85" s="0"/>
      <c r="JNX85" s="0"/>
      <c r="JNY85" s="0"/>
      <c r="JNZ85" s="0"/>
      <c r="JOA85" s="0"/>
      <c r="JOB85" s="0"/>
      <c r="JOC85" s="0"/>
      <c r="JOD85" s="0"/>
      <c r="JOE85" s="0"/>
      <c r="JOF85" s="0"/>
      <c r="JOG85" s="0"/>
      <c r="JOH85" s="0"/>
      <c r="JOI85" s="0"/>
      <c r="JOJ85" s="0"/>
      <c r="JOK85" s="0"/>
      <c r="JOL85" s="0"/>
      <c r="JOM85" s="0"/>
      <c r="JON85" s="0"/>
      <c r="JOO85" s="0"/>
      <c r="JOP85" s="0"/>
      <c r="JOQ85" s="0"/>
      <c r="JOR85" s="0"/>
      <c r="JOS85" s="0"/>
      <c r="JOT85" s="0"/>
      <c r="JOU85" s="0"/>
      <c r="JOV85" s="0"/>
      <c r="JOW85" s="0"/>
      <c r="JOX85" s="0"/>
      <c r="JOY85" s="0"/>
      <c r="JOZ85" s="0"/>
      <c r="JPA85" s="0"/>
      <c r="JPB85" s="0"/>
      <c r="JPC85" s="0"/>
      <c r="JPD85" s="0"/>
      <c r="JPE85" s="0"/>
      <c r="JPF85" s="0"/>
      <c r="JPG85" s="0"/>
      <c r="JPH85" s="0"/>
      <c r="JPI85" s="0"/>
      <c r="JPJ85" s="0"/>
      <c r="JPK85" s="0"/>
      <c r="JPL85" s="0"/>
      <c r="JPM85" s="0"/>
      <c r="JPN85" s="0"/>
      <c r="JPO85" s="0"/>
      <c r="JPP85" s="0"/>
      <c r="JPQ85" s="0"/>
      <c r="JPR85" s="0"/>
      <c r="JPS85" s="0"/>
      <c r="JPT85" s="0"/>
      <c r="JPU85" s="0"/>
      <c r="JPV85" s="0"/>
      <c r="JPW85" s="0"/>
      <c r="JPX85" s="0"/>
      <c r="JPY85" s="0"/>
      <c r="JPZ85" s="0"/>
      <c r="JQA85" s="0"/>
      <c r="JQB85" s="0"/>
      <c r="JQC85" s="0"/>
      <c r="JQD85" s="0"/>
      <c r="JQE85" s="0"/>
      <c r="JQF85" s="0"/>
      <c r="JQG85" s="0"/>
      <c r="JQH85" s="0"/>
      <c r="JQI85" s="0"/>
      <c r="JQJ85" s="0"/>
      <c r="JQK85" s="0"/>
      <c r="JQL85" s="0"/>
      <c r="JQM85" s="0"/>
      <c r="JQN85" s="0"/>
      <c r="JQO85" s="0"/>
      <c r="JQP85" s="0"/>
      <c r="JQQ85" s="0"/>
      <c r="JQR85" s="0"/>
      <c r="JQS85" s="0"/>
      <c r="JQT85" s="0"/>
      <c r="JQU85" s="0"/>
      <c r="JQV85" s="0"/>
      <c r="JQW85" s="0"/>
      <c r="JQX85" s="0"/>
      <c r="JQY85" s="0"/>
      <c r="JQZ85" s="0"/>
      <c r="JRA85" s="0"/>
      <c r="JRB85" s="0"/>
      <c r="JRC85" s="0"/>
      <c r="JRD85" s="0"/>
      <c r="JRE85" s="0"/>
      <c r="JRF85" s="0"/>
      <c r="JRG85" s="0"/>
      <c r="JRH85" s="0"/>
      <c r="JRI85" s="0"/>
      <c r="JRJ85" s="0"/>
      <c r="JRK85" s="0"/>
      <c r="JRL85" s="0"/>
      <c r="JRM85" s="0"/>
      <c r="JRN85" s="0"/>
      <c r="JRO85" s="0"/>
      <c r="JRP85" s="0"/>
      <c r="JRQ85" s="0"/>
      <c r="JRR85" s="0"/>
      <c r="JRS85" s="0"/>
      <c r="JRT85" s="0"/>
      <c r="JRU85" s="0"/>
      <c r="JRV85" s="0"/>
      <c r="JRW85" s="0"/>
      <c r="JRX85" s="0"/>
      <c r="JRY85" s="0"/>
      <c r="JRZ85" s="0"/>
      <c r="JSA85" s="0"/>
      <c r="JSB85" s="0"/>
      <c r="JSC85" s="0"/>
      <c r="JSD85" s="0"/>
      <c r="JSE85" s="0"/>
      <c r="JSF85" s="0"/>
      <c r="JSG85" s="0"/>
      <c r="JSH85" s="0"/>
      <c r="JSI85" s="0"/>
      <c r="JSJ85" s="0"/>
      <c r="JSK85" s="0"/>
      <c r="JSL85" s="0"/>
      <c r="JSM85" s="0"/>
      <c r="JSN85" s="0"/>
      <c r="JSO85" s="0"/>
      <c r="JSP85" s="0"/>
      <c r="JSQ85" s="0"/>
      <c r="JSR85" s="0"/>
      <c r="JSS85" s="0"/>
      <c r="JST85" s="0"/>
      <c r="JSU85" s="0"/>
      <c r="JSV85" s="0"/>
      <c r="JSW85" s="0"/>
      <c r="JSX85" s="0"/>
      <c r="JSY85" s="0"/>
      <c r="JSZ85" s="0"/>
      <c r="JTA85" s="0"/>
      <c r="JTB85" s="0"/>
      <c r="JTC85" s="0"/>
      <c r="JTD85" s="0"/>
      <c r="JTE85" s="0"/>
      <c r="JTF85" s="0"/>
      <c r="JTG85" s="0"/>
      <c r="JTH85" s="0"/>
      <c r="JTI85" s="0"/>
      <c r="JTJ85" s="0"/>
      <c r="JTK85" s="0"/>
      <c r="JTL85" s="0"/>
      <c r="JTM85" s="0"/>
      <c r="JTN85" s="0"/>
      <c r="JTO85" s="0"/>
      <c r="JTP85" s="0"/>
      <c r="JTQ85" s="0"/>
      <c r="JTR85" s="0"/>
      <c r="JTS85" s="0"/>
      <c r="JTT85" s="0"/>
      <c r="JTU85" s="0"/>
      <c r="JTV85" s="0"/>
      <c r="JTW85" s="0"/>
      <c r="JTX85" s="0"/>
      <c r="JTY85" s="0"/>
      <c r="JTZ85" s="0"/>
      <c r="JUA85" s="0"/>
      <c r="JUB85" s="0"/>
      <c r="JUC85" s="0"/>
      <c r="JUD85" s="0"/>
      <c r="JUE85" s="0"/>
      <c r="JUF85" s="0"/>
      <c r="JUG85" s="0"/>
      <c r="JUH85" s="0"/>
      <c r="JUI85" s="0"/>
      <c r="JUJ85" s="0"/>
      <c r="JUK85" s="0"/>
      <c r="JUL85" s="0"/>
      <c r="JUM85" s="0"/>
      <c r="JUN85" s="0"/>
      <c r="JUO85" s="0"/>
      <c r="JUP85" s="0"/>
      <c r="JUQ85" s="0"/>
      <c r="JUR85" s="0"/>
      <c r="JUS85" s="0"/>
      <c r="JUT85" s="0"/>
      <c r="JUU85" s="0"/>
      <c r="JUV85" s="0"/>
      <c r="JUW85" s="0"/>
      <c r="JUX85" s="0"/>
      <c r="JUY85" s="0"/>
      <c r="JUZ85" s="0"/>
      <c r="JVA85" s="0"/>
      <c r="JVB85" s="0"/>
      <c r="JVC85" s="0"/>
      <c r="JVD85" s="0"/>
      <c r="JVE85" s="0"/>
      <c r="JVF85" s="0"/>
      <c r="JVG85" s="0"/>
      <c r="JVH85" s="0"/>
      <c r="JVI85" s="0"/>
      <c r="JVJ85" s="0"/>
      <c r="JVK85" s="0"/>
      <c r="JVL85" s="0"/>
      <c r="JVM85" s="0"/>
      <c r="JVN85" s="0"/>
      <c r="JVO85" s="0"/>
      <c r="JVP85" s="0"/>
      <c r="JVQ85" s="0"/>
      <c r="JVR85" s="0"/>
      <c r="JVS85" s="0"/>
      <c r="JVT85" s="0"/>
      <c r="JVU85" s="0"/>
      <c r="JVV85" s="0"/>
      <c r="JVW85" s="0"/>
      <c r="JVX85" s="0"/>
      <c r="JVY85" s="0"/>
      <c r="JVZ85" s="0"/>
      <c r="JWA85" s="0"/>
      <c r="JWB85" s="0"/>
      <c r="JWC85" s="0"/>
      <c r="JWD85" s="0"/>
      <c r="JWE85" s="0"/>
      <c r="JWF85" s="0"/>
      <c r="JWG85" s="0"/>
      <c r="JWH85" s="0"/>
      <c r="JWI85" s="0"/>
      <c r="JWJ85" s="0"/>
      <c r="JWK85" s="0"/>
      <c r="JWL85" s="0"/>
      <c r="JWM85" s="0"/>
      <c r="JWN85" s="0"/>
      <c r="JWO85" s="0"/>
      <c r="JWP85" s="0"/>
      <c r="JWQ85" s="0"/>
      <c r="JWR85" s="0"/>
      <c r="JWS85" s="0"/>
      <c r="JWT85" s="0"/>
      <c r="JWU85" s="0"/>
      <c r="JWV85" s="0"/>
      <c r="JWW85" s="0"/>
      <c r="JWX85" s="0"/>
      <c r="JWY85" s="0"/>
      <c r="JWZ85" s="0"/>
      <c r="JXA85" s="0"/>
      <c r="JXB85" s="0"/>
      <c r="JXC85" s="0"/>
      <c r="JXD85" s="0"/>
      <c r="JXE85" s="0"/>
      <c r="JXF85" s="0"/>
      <c r="JXG85" s="0"/>
      <c r="JXH85" s="0"/>
      <c r="JXI85" s="0"/>
      <c r="JXJ85" s="0"/>
      <c r="JXK85" s="0"/>
      <c r="JXL85" s="0"/>
      <c r="JXM85" s="0"/>
      <c r="JXN85" s="0"/>
      <c r="JXO85" s="0"/>
      <c r="JXP85" s="0"/>
      <c r="JXQ85" s="0"/>
      <c r="JXR85" s="0"/>
      <c r="JXS85" s="0"/>
      <c r="JXT85" s="0"/>
      <c r="JXU85" s="0"/>
      <c r="JXV85" s="0"/>
      <c r="JXW85" s="0"/>
      <c r="JXX85" s="0"/>
      <c r="JXY85" s="0"/>
      <c r="JXZ85" s="0"/>
      <c r="JYA85" s="0"/>
      <c r="JYB85" s="0"/>
      <c r="JYC85" s="0"/>
      <c r="JYD85" s="0"/>
      <c r="JYE85" s="0"/>
      <c r="JYF85" s="0"/>
      <c r="JYG85" s="0"/>
      <c r="JYH85" s="0"/>
      <c r="JYI85" s="0"/>
      <c r="JYJ85" s="0"/>
      <c r="JYK85" s="0"/>
      <c r="JYL85" s="0"/>
      <c r="JYM85" s="0"/>
      <c r="JYN85" s="0"/>
      <c r="JYO85" s="0"/>
      <c r="JYP85" s="0"/>
      <c r="JYQ85" s="0"/>
      <c r="JYR85" s="0"/>
      <c r="JYS85" s="0"/>
      <c r="JYT85" s="0"/>
      <c r="JYU85" s="0"/>
      <c r="JYV85" s="0"/>
      <c r="JYW85" s="0"/>
      <c r="JYX85" s="0"/>
      <c r="JYY85" s="0"/>
      <c r="JYZ85" s="0"/>
      <c r="JZA85" s="0"/>
      <c r="JZB85" s="0"/>
      <c r="JZC85" s="0"/>
      <c r="JZD85" s="0"/>
      <c r="JZE85" s="0"/>
      <c r="JZF85" s="0"/>
      <c r="JZG85" s="0"/>
      <c r="JZH85" s="0"/>
      <c r="JZI85" s="0"/>
      <c r="JZJ85" s="0"/>
      <c r="JZK85" s="0"/>
      <c r="JZL85" s="0"/>
      <c r="JZM85" s="0"/>
      <c r="JZN85" s="0"/>
      <c r="JZO85" s="0"/>
      <c r="JZP85" s="0"/>
      <c r="JZQ85" s="0"/>
      <c r="JZR85" s="0"/>
      <c r="JZS85" s="0"/>
      <c r="JZT85" s="0"/>
      <c r="JZU85" s="0"/>
      <c r="JZV85" s="0"/>
      <c r="JZW85" s="0"/>
      <c r="JZX85" s="0"/>
      <c r="JZY85" s="0"/>
      <c r="JZZ85" s="0"/>
      <c r="KAA85" s="0"/>
      <c r="KAB85" s="0"/>
      <c r="KAC85" s="0"/>
      <c r="KAD85" s="0"/>
      <c r="KAE85" s="0"/>
      <c r="KAF85" s="0"/>
      <c r="KAG85" s="0"/>
      <c r="KAH85" s="0"/>
      <c r="KAI85" s="0"/>
      <c r="KAJ85" s="0"/>
      <c r="KAK85" s="0"/>
      <c r="KAL85" s="0"/>
      <c r="KAM85" s="0"/>
      <c r="KAN85" s="0"/>
      <c r="KAO85" s="0"/>
      <c r="KAP85" s="0"/>
      <c r="KAQ85" s="0"/>
      <c r="KAR85" s="0"/>
      <c r="KAS85" s="0"/>
      <c r="KAT85" s="0"/>
      <c r="KAU85" s="0"/>
      <c r="KAV85" s="0"/>
      <c r="KAW85" s="0"/>
      <c r="KAX85" s="0"/>
      <c r="KAY85" s="0"/>
      <c r="KAZ85" s="0"/>
      <c r="KBA85" s="0"/>
      <c r="KBB85" s="0"/>
      <c r="KBC85" s="0"/>
      <c r="KBD85" s="0"/>
      <c r="KBE85" s="0"/>
      <c r="KBF85" s="0"/>
      <c r="KBG85" s="0"/>
      <c r="KBH85" s="0"/>
      <c r="KBI85" s="0"/>
      <c r="KBJ85" s="0"/>
      <c r="KBK85" s="0"/>
      <c r="KBL85" s="0"/>
      <c r="KBM85" s="0"/>
      <c r="KBN85" s="0"/>
      <c r="KBO85" s="0"/>
      <c r="KBP85" s="0"/>
      <c r="KBQ85" s="0"/>
      <c r="KBR85" s="0"/>
      <c r="KBS85" s="0"/>
      <c r="KBT85" s="0"/>
      <c r="KBU85" s="0"/>
      <c r="KBV85" s="0"/>
      <c r="KBW85" s="0"/>
      <c r="KBX85" s="0"/>
      <c r="KBY85" s="0"/>
      <c r="KBZ85" s="0"/>
      <c r="KCA85" s="0"/>
      <c r="KCB85" s="0"/>
      <c r="KCC85" s="0"/>
      <c r="KCD85" s="0"/>
      <c r="KCE85" s="0"/>
      <c r="KCF85" s="0"/>
      <c r="KCG85" s="0"/>
      <c r="KCH85" s="0"/>
      <c r="KCI85" s="0"/>
      <c r="KCJ85" s="0"/>
      <c r="KCK85" s="0"/>
      <c r="KCL85" s="0"/>
      <c r="KCM85" s="0"/>
      <c r="KCN85" s="0"/>
      <c r="KCO85" s="0"/>
      <c r="KCP85" s="0"/>
      <c r="KCQ85" s="0"/>
      <c r="KCR85" s="0"/>
      <c r="KCS85" s="0"/>
      <c r="KCT85" s="0"/>
      <c r="KCU85" s="0"/>
      <c r="KCV85" s="0"/>
      <c r="KCW85" s="0"/>
      <c r="KCX85" s="0"/>
      <c r="KCY85" s="0"/>
      <c r="KCZ85" s="0"/>
      <c r="KDA85" s="0"/>
      <c r="KDB85" s="0"/>
      <c r="KDC85" s="0"/>
      <c r="KDD85" s="0"/>
      <c r="KDE85" s="0"/>
      <c r="KDF85" s="0"/>
      <c r="KDG85" s="0"/>
      <c r="KDH85" s="0"/>
      <c r="KDI85" s="0"/>
      <c r="KDJ85" s="0"/>
      <c r="KDK85" s="0"/>
      <c r="KDL85" s="0"/>
      <c r="KDM85" s="0"/>
      <c r="KDN85" s="0"/>
      <c r="KDO85" s="0"/>
      <c r="KDP85" s="0"/>
      <c r="KDQ85" s="0"/>
      <c r="KDR85" s="0"/>
      <c r="KDS85" s="0"/>
      <c r="KDT85" s="0"/>
      <c r="KDU85" s="0"/>
      <c r="KDV85" s="0"/>
      <c r="KDW85" s="0"/>
      <c r="KDX85" s="0"/>
      <c r="KDY85" s="0"/>
      <c r="KDZ85" s="0"/>
      <c r="KEA85" s="0"/>
      <c r="KEB85" s="0"/>
      <c r="KEC85" s="0"/>
      <c r="KED85" s="0"/>
      <c r="KEE85" s="0"/>
      <c r="KEF85" s="0"/>
      <c r="KEG85" s="0"/>
      <c r="KEH85" s="0"/>
      <c r="KEI85" s="0"/>
      <c r="KEJ85" s="0"/>
      <c r="KEK85" s="0"/>
      <c r="KEL85" s="0"/>
      <c r="KEM85" s="0"/>
      <c r="KEN85" s="0"/>
      <c r="KEO85" s="0"/>
      <c r="KEP85" s="0"/>
      <c r="KEQ85" s="0"/>
      <c r="KER85" s="0"/>
      <c r="KES85" s="0"/>
      <c r="KET85" s="0"/>
      <c r="KEU85" s="0"/>
      <c r="KEV85" s="0"/>
      <c r="KEW85" s="0"/>
      <c r="KEX85" s="0"/>
      <c r="KEY85" s="0"/>
      <c r="KEZ85" s="0"/>
      <c r="KFA85" s="0"/>
      <c r="KFB85" s="0"/>
      <c r="KFC85" s="0"/>
      <c r="KFD85" s="0"/>
      <c r="KFE85" s="0"/>
      <c r="KFF85" s="0"/>
      <c r="KFG85" s="0"/>
      <c r="KFH85" s="0"/>
      <c r="KFI85" s="0"/>
      <c r="KFJ85" s="0"/>
      <c r="KFK85" s="0"/>
      <c r="KFL85" s="0"/>
      <c r="KFM85" s="0"/>
      <c r="KFN85" s="0"/>
      <c r="KFO85" s="0"/>
      <c r="KFP85" s="0"/>
      <c r="KFQ85" s="0"/>
      <c r="KFR85" s="0"/>
      <c r="KFS85" s="0"/>
      <c r="KFT85" s="0"/>
      <c r="KFU85" s="0"/>
      <c r="KFV85" s="0"/>
      <c r="KFW85" s="0"/>
      <c r="KFX85" s="0"/>
      <c r="KFY85" s="0"/>
      <c r="KFZ85" s="0"/>
      <c r="KGA85" s="0"/>
      <c r="KGB85" s="0"/>
      <c r="KGC85" s="0"/>
      <c r="KGD85" s="0"/>
      <c r="KGE85" s="0"/>
      <c r="KGF85" s="0"/>
      <c r="KGG85" s="0"/>
      <c r="KGH85" s="0"/>
      <c r="KGI85" s="0"/>
      <c r="KGJ85" s="0"/>
      <c r="KGK85" s="0"/>
      <c r="KGL85" s="0"/>
      <c r="KGM85" s="0"/>
      <c r="KGN85" s="0"/>
      <c r="KGO85" s="0"/>
      <c r="KGP85" s="0"/>
      <c r="KGQ85" s="0"/>
      <c r="KGR85" s="0"/>
      <c r="KGS85" s="0"/>
      <c r="KGT85" s="0"/>
      <c r="KGU85" s="0"/>
      <c r="KGV85" s="0"/>
      <c r="KGW85" s="0"/>
      <c r="KGX85" s="0"/>
      <c r="KGY85" s="0"/>
      <c r="KGZ85" s="0"/>
      <c r="KHA85" s="0"/>
      <c r="KHB85" s="0"/>
      <c r="KHC85" s="0"/>
      <c r="KHD85" s="0"/>
      <c r="KHE85" s="0"/>
      <c r="KHF85" s="0"/>
      <c r="KHG85" s="0"/>
      <c r="KHH85" s="0"/>
      <c r="KHI85" s="0"/>
      <c r="KHJ85" s="0"/>
      <c r="KHK85" s="0"/>
      <c r="KHL85" s="0"/>
      <c r="KHM85" s="0"/>
      <c r="KHN85" s="0"/>
      <c r="KHO85" s="0"/>
      <c r="KHP85" s="0"/>
      <c r="KHQ85" s="0"/>
      <c r="KHR85" s="0"/>
      <c r="KHS85" s="0"/>
      <c r="KHT85" s="0"/>
      <c r="KHU85" s="0"/>
      <c r="KHV85" s="0"/>
      <c r="KHW85" s="0"/>
      <c r="KHX85" s="0"/>
      <c r="KHY85" s="0"/>
      <c r="KHZ85" s="0"/>
      <c r="KIA85" s="0"/>
      <c r="KIB85" s="0"/>
      <c r="KIC85" s="0"/>
      <c r="KID85" s="0"/>
      <c r="KIE85" s="0"/>
      <c r="KIF85" s="0"/>
      <c r="KIG85" s="0"/>
      <c r="KIH85" s="0"/>
      <c r="KII85" s="0"/>
      <c r="KIJ85" s="0"/>
      <c r="KIK85" s="0"/>
      <c r="KIL85" s="0"/>
      <c r="KIM85" s="0"/>
      <c r="KIN85" s="0"/>
      <c r="KIO85" s="0"/>
      <c r="KIP85" s="0"/>
      <c r="KIQ85" s="0"/>
      <c r="KIR85" s="0"/>
      <c r="KIS85" s="0"/>
      <c r="KIT85" s="0"/>
      <c r="KIU85" s="0"/>
      <c r="KIV85" s="0"/>
      <c r="KIW85" s="0"/>
      <c r="KIX85" s="0"/>
      <c r="KIY85" s="0"/>
      <c r="KIZ85" s="0"/>
      <c r="KJA85" s="0"/>
      <c r="KJB85" s="0"/>
      <c r="KJC85" s="0"/>
      <c r="KJD85" s="0"/>
      <c r="KJE85" s="0"/>
      <c r="KJF85" s="0"/>
      <c r="KJG85" s="0"/>
      <c r="KJH85" s="0"/>
      <c r="KJI85" s="0"/>
      <c r="KJJ85" s="0"/>
      <c r="KJK85" s="0"/>
      <c r="KJL85" s="0"/>
      <c r="KJM85" s="0"/>
      <c r="KJN85" s="0"/>
      <c r="KJO85" s="0"/>
      <c r="KJP85" s="0"/>
      <c r="KJQ85" s="0"/>
      <c r="KJR85" s="0"/>
      <c r="KJS85" s="0"/>
      <c r="KJT85" s="0"/>
      <c r="KJU85" s="0"/>
      <c r="KJV85" s="0"/>
      <c r="KJW85" s="0"/>
      <c r="KJX85" s="0"/>
      <c r="KJY85" s="0"/>
      <c r="KJZ85" s="0"/>
      <c r="KKA85" s="0"/>
      <c r="KKB85" s="0"/>
      <c r="KKC85" s="0"/>
      <c r="KKD85" s="0"/>
      <c r="KKE85" s="0"/>
      <c r="KKF85" s="0"/>
      <c r="KKG85" s="0"/>
      <c r="KKH85" s="0"/>
      <c r="KKI85" s="0"/>
      <c r="KKJ85" s="0"/>
      <c r="KKK85" s="0"/>
      <c r="KKL85" s="0"/>
      <c r="KKM85" s="0"/>
      <c r="KKN85" s="0"/>
      <c r="KKO85" s="0"/>
      <c r="KKP85" s="0"/>
      <c r="KKQ85" s="0"/>
      <c r="KKR85" s="0"/>
      <c r="KKS85" s="0"/>
      <c r="KKT85" s="0"/>
      <c r="KKU85" s="0"/>
      <c r="KKV85" s="0"/>
      <c r="KKW85" s="0"/>
      <c r="KKX85" s="0"/>
      <c r="KKY85" s="0"/>
      <c r="KKZ85" s="0"/>
      <c r="KLA85" s="0"/>
      <c r="KLB85" s="0"/>
      <c r="KLC85" s="0"/>
      <c r="KLD85" s="0"/>
      <c r="KLE85" s="0"/>
      <c r="KLF85" s="0"/>
      <c r="KLG85" s="0"/>
      <c r="KLH85" s="0"/>
      <c r="KLI85" s="0"/>
      <c r="KLJ85" s="0"/>
      <c r="KLK85" s="0"/>
      <c r="KLL85" s="0"/>
      <c r="KLM85" s="0"/>
      <c r="KLN85" s="0"/>
      <c r="KLO85" s="0"/>
      <c r="KLP85" s="0"/>
      <c r="KLQ85" s="0"/>
      <c r="KLR85" s="0"/>
      <c r="KLS85" s="0"/>
      <c r="KLT85" s="0"/>
      <c r="KLU85" s="0"/>
      <c r="KLV85" s="0"/>
      <c r="KLW85" s="0"/>
      <c r="KLX85" s="0"/>
      <c r="KLY85" s="0"/>
      <c r="KLZ85" s="0"/>
      <c r="KMA85" s="0"/>
      <c r="KMB85" s="0"/>
      <c r="KMC85" s="0"/>
      <c r="KMD85" s="0"/>
      <c r="KME85" s="0"/>
      <c r="KMF85" s="0"/>
      <c r="KMG85" s="0"/>
      <c r="KMH85" s="0"/>
      <c r="KMI85" s="0"/>
      <c r="KMJ85" s="0"/>
      <c r="KMK85" s="0"/>
      <c r="KML85" s="0"/>
      <c r="KMM85" s="0"/>
      <c r="KMN85" s="0"/>
      <c r="KMO85" s="0"/>
      <c r="KMP85" s="0"/>
      <c r="KMQ85" s="0"/>
      <c r="KMR85" s="0"/>
      <c r="KMS85" s="0"/>
      <c r="KMT85" s="0"/>
      <c r="KMU85" s="0"/>
      <c r="KMV85" s="0"/>
      <c r="KMW85" s="0"/>
      <c r="KMX85" s="0"/>
      <c r="KMY85" s="0"/>
      <c r="KMZ85" s="0"/>
      <c r="KNA85" s="0"/>
      <c r="KNB85" s="0"/>
      <c r="KNC85" s="0"/>
      <c r="KND85" s="0"/>
      <c r="KNE85" s="0"/>
      <c r="KNF85" s="0"/>
      <c r="KNG85" s="0"/>
      <c r="KNH85" s="0"/>
      <c r="KNI85" s="0"/>
      <c r="KNJ85" s="0"/>
      <c r="KNK85" s="0"/>
      <c r="KNL85" s="0"/>
      <c r="KNM85" s="0"/>
      <c r="KNN85" s="0"/>
      <c r="KNO85" s="0"/>
      <c r="KNP85" s="0"/>
      <c r="KNQ85" s="0"/>
      <c r="KNR85" s="0"/>
      <c r="KNS85" s="0"/>
      <c r="KNT85" s="0"/>
      <c r="KNU85" s="0"/>
      <c r="KNV85" s="0"/>
      <c r="KNW85" s="0"/>
      <c r="KNX85" s="0"/>
      <c r="KNY85" s="0"/>
      <c r="KNZ85" s="0"/>
      <c r="KOA85" s="0"/>
      <c r="KOB85" s="0"/>
      <c r="KOC85" s="0"/>
      <c r="KOD85" s="0"/>
      <c r="KOE85" s="0"/>
      <c r="KOF85" s="0"/>
      <c r="KOG85" s="0"/>
      <c r="KOH85" s="0"/>
      <c r="KOI85" s="0"/>
      <c r="KOJ85" s="0"/>
      <c r="KOK85" s="0"/>
      <c r="KOL85" s="0"/>
      <c r="KOM85" s="0"/>
      <c r="KON85" s="0"/>
      <c r="KOO85" s="0"/>
      <c r="KOP85" s="0"/>
      <c r="KOQ85" s="0"/>
      <c r="KOR85" s="0"/>
      <c r="KOS85" s="0"/>
      <c r="KOT85" s="0"/>
      <c r="KOU85" s="0"/>
      <c r="KOV85" s="0"/>
      <c r="KOW85" s="0"/>
      <c r="KOX85" s="0"/>
      <c r="KOY85" s="0"/>
      <c r="KOZ85" s="0"/>
      <c r="KPA85" s="0"/>
      <c r="KPB85" s="0"/>
      <c r="KPC85" s="0"/>
      <c r="KPD85" s="0"/>
      <c r="KPE85" s="0"/>
      <c r="KPF85" s="0"/>
      <c r="KPG85" s="0"/>
      <c r="KPH85" s="0"/>
      <c r="KPI85" s="0"/>
      <c r="KPJ85" s="0"/>
      <c r="KPK85" s="0"/>
      <c r="KPL85" s="0"/>
      <c r="KPM85" s="0"/>
      <c r="KPN85" s="0"/>
      <c r="KPO85" s="0"/>
      <c r="KPP85" s="0"/>
      <c r="KPQ85" s="0"/>
      <c r="KPR85" s="0"/>
      <c r="KPS85" s="0"/>
      <c r="KPT85" s="0"/>
      <c r="KPU85" s="0"/>
      <c r="KPV85" s="0"/>
      <c r="KPW85" s="0"/>
      <c r="KPX85" s="0"/>
      <c r="KPY85" s="0"/>
      <c r="KPZ85" s="0"/>
      <c r="KQA85" s="0"/>
      <c r="KQB85" s="0"/>
      <c r="KQC85" s="0"/>
      <c r="KQD85" s="0"/>
      <c r="KQE85" s="0"/>
      <c r="KQF85" s="0"/>
      <c r="KQG85" s="0"/>
      <c r="KQH85" s="0"/>
      <c r="KQI85" s="0"/>
      <c r="KQJ85" s="0"/>
      <c r="KQK85" s="0"/>
      <c r="KQL85" s="0"/>
      <c r="KQM85" s="0"/>
      <c r="KQN85" s="0"/>
      <c r="KQO85" s="0"/>
      <c r="KQP85" s="0"/>
      <c r="KQQ85" s="0"/>
      <c r="KQR85" s="0"/>
      <c r="KQS85" s="0"/>
      <c r="KQT85" s="0"/>
      <c r="KQU85" s="0"/>
      <c r="KQV85" s="0"/>
      <c r="KQW85" s="0"/>
      <c r="KQX85" s="0"/>
      <c r="KQY85" s="0"/>
      <c r="KQZ85" s="0"/>
      <c r="KRA85" s="0"/>
      <c r="KRB85" s="0"/>
      <c r="KRC85" s="0"/>
      <c r="KRD85" s="0"/>
      <c r="KRE85" s="0"/>
      <c r="KRF85" s="0"/>
      <c r="KRG85" s="0"/>
      <c r="KRH85" s="0"/>
      <c r="KRI85" s="0"/>
      <c r="KRJ85" s="0"/>
      <c r="KRK85" s="0"/>
      <c r="KRL85" s="0"/>
      <c r="KRM85" s="0"/>
      <c r="KRN85" s="0"/>
      <c r="KRO85" s="0"/>
      <c r="KRP85" s="0"/>
      <c r="KRQ85" s="0"/>
      <c r="KRR85" s="0"/>
      <c r="KRS85" s="0"/>
      <c r="KRT85" s="0"/>
      <c r="KRU85" s="0"/>
      <c r="KRV85" s="0"/>
      <c r="KRW85" s="0"/>
      <c r="KRX85" s="0"/>
      <c r="KRY85" s="0"/>
      <c r="KRZ85" s="0"/>
      <c r="KSA85" s="0"/>
      <c r="KSB85" s="0"/>
      <c r="KSC85" s="0"/>
      <c r="KSD85" s="0"/>
      <c r="KSE85" s="0"/>
      <c r="KSF85" s="0"/>
      <c r="KSG85" s="0"/>
      <c r="KSH85" s="0"/>
      <c r="KSI85" s="0"/>
      <c r="KSJ85" s="0"/>
      <c r="KSK85" s="0"/>
      <c r="KSL85" s="0"/>
      <c r="KSM85" s="0"/>
      <c r="KSN85" s="0"/>
      <c r="KSO85" s="0"/>
      <c r="KSP85" s="0"/>
      <c r="KSQ85" s="0"/>
      <c r="KSR85" s="0"/>
      <c r="KSS85" s="0"/>
      <c r="KST85" s="0"/>
      <c r="KSU85" s="0"/>
      <c r="KSV85" s="0"/>
      <c r="KSW85" s="0"/>
      <c r="KSX85" s="0"/>
      <c r="KSY85" s="0"/>
      <c r="KSZ85" s="0"/>
      <c r="KTA85" s="0"/>
      <c r="KTB85" s="0"/>
      <c r="KTC85" s="0"/>
      <c r="KTD85" s="0"/>
      <c r="KTE85" s="0"/>
      <c r="KTF85" s="0"/>
      <c r="KTG85" s="0"/>
      <c r="KTH85" s="0"/>
      <c r="KTI85" s="0"/>
      <c r="KTJ85" s="0"/>
      <c r="KTK85" s="0"/>
      <c r="KTL85" s="0"/>
      <c r="KTM85" s="0"/>
      <c r="KTN85" s="0"/>
      <c r="KTO85" s="0"/>
      <c r="KTP85" s="0"/>
      <c r="KTQ85" s="0"/>
      <c r="KTR85" s="0"/>
      <c r="KTS85" s="0"/>
      <c r="KTT85" s="0"/>
      <c r="KTU85" s="0"/>
      <c r="KTV85" s="0"/>
      <c r="KTW85" s="0"/>
      <c r="KTX85" s="0"/>
      <c r="KTY85" s="0"/>
      <c r="KTZ85" s="0"/>
      <c r="KUA85" s="0"/>
      <c r="KUB85" s="0"/>
      <c r="KUC85" s="0"/>
      <c r="KUD85" s="0"/>
      <c r="KUE85" s="0"/>
      <c r="KUF85" s="0"/>
      <c r="KUG85" s="0"/>
      <c r="KUH85" s="0"/>
      <c r="KUI85" s="0"/>
      <c r="KUJ85" s="0"/>
      <c r="KUK85" s="0"/>
      <c r="KUL85" s="0"/>
      <c r="KUM85" s="0"/>
      <c r="KUN85" s="0"/>
      <c r="KUO85" s="0"/>
      <c r="KUP85" s="0"/>
      <c r="KUQ85" s="0"/>
      <c r="KUR85" s="0"/>
      <c r="KUS85" s="0"/>
      <c r="KUT85" s="0"/>
      <c r="KUU85" s="0"/>
      <c r="KUV85" s="0"/>
      <c r="KUW85" s="0"/>
      <c r="KUX85" s="0"/>
      <c r="KUY85" s="0"/>
      <c r="KUZ85" s="0"/>
      <c r="KVA85" s="0"/>
      <c r="KVB85" s="0"/>
      <c r="KVC85" s="0"/>
      <c r="KVD85" s="0"/>
      <c r="KVE85" s="0"/>
      <c r="KVF85" s="0"/>
      <c r="KVG85" s="0"/>
      <c r="KVH85" s="0"/>
      <c r="KVI85" s="0"/>
      <c r="KVJ85" s="0"/>
      <c r="KVK85" s="0"/>
      <c r="KVL85" s="0"/>
      <c r="KVM85" s="0"/>
      <c r="KVN85" s="0"/>
      <c r="KVO85" s="0"/>
      <c r="KVP85" s="0"/>
      <c r="KVQ85" s="0"/>
      <c r="KVR85" s="0"/>
      <c r="KVS85" s="0"/>
      <c r="KVT85" s="0"/>
      <c r="KVU85" s="0"/>
      <c r="KVV85" s="0"/>
      <c r="KVW85" s="0"/>
      <c r="KVX85" s="0"/>
      <c r="KVY85" s="0"/>
      <c r="KVZ85" s="0"/>
      <c r="KWA85" s="0"/>
      <c r="KWB85" s="0"/>
      <c r="KWC85" s="0"/>
      <c r="KWD85" s="0"/>
      <c r="KWE85" s="0"/>
      <c r="KWF85" s="0"/>
      <c r="KWG85" s="0"/>
      <c r="KWH85" s="0"/>
      <c r="KWI85" s="0"/>
      <c r="KWJ85" s="0"/>
      <c r="KWK85" s="0"/>
      <c r="KWL85" s="0"/>
      <c r="KWM85" s="0"/>
      <c r="KWN85" s="0"/>
      <c r="KWO85" s="0"/>
      <c r="KWP85" s="0"/>
      <c r="KWQ85" s="0"/>
      <c r="KWR85" s="0"/>
      <c r="KWS85" s="0"/>
      <c r="KWT85" s="0"/>
      <c r="KWU85" s="0"/>
      <c r="KWV85" s="0"/>
      <c r="KWW85" s="0"/>
      <c r="KWX85" s="0"/>
      <c r="KWY85" s="0"/>
      <c r="KWZ85" s="0"/>
      <c r="KXA85" s="0"/>
      <c r="KXB85" s="0"/>
      <c r="KXC85" s="0"/>
      <c r="KXD85" s="0"/>
      <c r="KXE85" s="0"/>
      <c r="KXF85" s="0"/>
      <c r="KXG85" s="0"/>
      <c r="KXH85" s="0"/>
      <c r="KXI85" s="0"/>
      <c r="KXJ85" s="0"/>
      <c r="KXK85" s="0"/>
      <c r="KXL85" s="0"/>
      <c r="KXM85" s="0"/>
      <c r="KXN85" s="0"/>
      <c r="KXO85" s="0"/>
      <c r="KXP85" s="0"/>
      <c r="KXQ85" s="0"/>
      <c r="KXR85" s="0"/>
      <c r="KXS85" s="0"/>
      <c r="KXT85" s="0"/>
      <c r="KXU85" s="0"/>
      <c r="KXV85" s="0"/>
      <c r="KXW85" s="0"/>
      <c r="KXX85" s="0"/>
      <c r="KXY85" s="0"/>
      <c r="KXZ85" s="0"/>
      <c r="KYA85" s="0"/>
      <c r="KYB85" s="0"/>
      <c r="KYC85" s="0"/>
      <c r="KYD85" s="0"/>
      <c r="KYE85" s="0"/>
      <c r="KYF85" s="0"/>
      <c r="KYG85" s="0"/>
      <c r="KYH85" s="0"/>
      <c r="KYI85" s="0"/>
      <c r="KYJ85" s="0"/>
      <c r="KYK85" s="0"/>
      <c r="KYL85" s="0"/>
      <c r="KYM85" s="0"/>
      <c r="KYN85" s="0"/>
      <c r="KYO85" s="0"/>
      <c r="KYP85" s="0"/>
      <c r="KYQ85" s="0"/>
      <c r="KYR85" s="0"/>
      <c r="KYS85" s="0"/>
      <c r="KYT85" s="0"/>
      <c r="KYU85" s="0"/>
      <c r="KYV85" s="0"/>
      <c r="KYW85" s="0"/>
      <c r="KYX85" s="0"/>
      <c r="KYY85" s="0"/>
      <c r="KYZ85" s="0"/>
      <c r="KZA85" s="0"/>
      <c r="KZB85" s="0"/>
      <c r="KZC85" s="0"/>
      <c r="KZD85" s="0"/>
      <c r="KZE85" s="0"/>
      <c r="KZF85" s="0"/>
      <c r="KZG85" s="0"/>
      <c r="KZH85" s="0"/>
      <c r="KZI85" s="0"/>
      <c r="KZJ85" s="0"/>
      <c r="KZK85" s="0"/>
      <c r="KZL85" s="0"/>
      <c r="KZM85" s="0"/>
      <c r="KZN85" s="0"/>
      <c r="KZO85" s="0"/>
      <c r="KZP85" s="0"/>
      <c r="KZQ85" s="0"/>
      <c r="KZR85" s="0"/>
      <c r="KZS85" s="0"/>
      <c r="KZT85" s="0"/>
      <c r="KZU85" s="0"/>
      <c r="KZV85" s="0"/>
      <c r="KZW85" s="0"/>
      <c r="KZX85" s="0"/>
      <c r="KZY85" s="0"/>
      <c r="KZZ85" s="0"/>
      <c r="LAA85" s="0"/>
      <c r="LAB85" s="0"/>
      <c r="LAC85" s="0"/>
      <c r="LAD85" s="0"/>
      <c r="LAE85" s="0"/>
      <c r="LAF85" s="0"/>
      <c r="LAG85" s="0"/>
      <c r="LAH85" s="0"/>
      <c r="LAI85" s="0"/>
      <c r="LAJ85" s="0"/>
      <c r="LAK85" s="0"/>
      <c r="LAL85" s="0"/>
      <c r="LAM85" s="0"/>
      <c r="LAN85" s="0"/>
      <c r="LAO85" s="0"/>
      <c r="LAP85" s="0"/>
      <c r="LAQ85" s="0"/>
      <c r="LAR85" s="0"/>
      <c r="LAS85" s="0"/>
      <c r="LAT85" s="0"/>
      <c r="LAU85" s="0"/>
      <c r="LAV85" s="0"/>
      <c r="LAW85" s="0"/>
      <c r="LAX85" s="0"/>
      <c r="LAY85" s="0"/>
      <c r="LAZ85" s="0"/>
      <c r="LBA85" s="0"/>
      <c r="LBB85" s="0"/>
      <c r="LBC85" s="0"/>
      <c r="LBD85" s="0"/>
      <c r="LBE85" s="0"/>
      <c r="LBF85" s="0"/>
      <c r="LBG85" s="0"/>
      <c r="LBH85" s="0"/>
      <c r="LBI85" s="0"/>
      <c r="LBJ85" s="0"/>
      <c r="LBK85" s="0"/>
      <c r="LBL85" s="0"/>
      <c r="LBM85" s="0"/>
      <c r="LBN85" s="0"/>
      <c r="LBO85" s="0"/>
      <c r="LBP85" s="0"/>
      <c r="LBQ85" s="0"/>
      <c r="LBR85" s="0"/>
      <c r="LBS85" s="0"/>
      <c r="LBT85" s="0"/>
      <c r="LBU85" s="0"/>
      <c r="LBV85" s="0"/>
      <c r="LBW85" s="0"/>
      <c r="LBX85" s="0"/>
      <c r="LBY85" s="0"/>
      <c r="LBZ85" s="0"/>
      <c r="LCA85" s="0"/>
      <c r="LCB85" s="0"/>
      <c r="LCC85" s="0"/>
      <c r="LCD85" s="0"/>
      <c r="LCE85" s="0"/>
      <c r="LCF85" s="0"/>
      <c r="LCG85" s="0"/>
      <c r="LCH85" s="0"/>
      <c r="LCI85" s="0"/>
      <c r="LCJ85" s="0"/>
      <c r="LCK85" s="0"/>
      <c r="LCL85" s="0"/>
      <c r="LCM85" s="0"/>
      <c r="LCN85" s="0"/>
      <c r="LCO85" s="0"/>
      <c r="LCP85" s="0"/>
      <c r="LCQ85" s="0"/>
      <c r="LCR85" s="0"/>
      <c r="LCS85" s="0"/>
      <c r="LCT85" s="0"/>
      <c r="LCU85" s="0"/>
      <c r="LCV85" s="0"/>
      <c r="LCW85" s="0"/>
      <c r="LCX85" s="0"/>
      <c r="LCY85" s="0"/>
      <c r="LCZ85" s="0"/>
      <c r="LDA85" s="0"/>
      <c r="LDB85" s="0"/>
      <c r="LDC85" s="0"/>
      <c r="LDD85" s="0"/>
      <c r="LDE85" s="0"/>
      <c r="LDF85" s="0"/>
      <c r="LDG85" s="0"/>
      <c r="LDH85" s="0"/>
      <c r="LDI85" s="0"/>
      <c r="LDJ85" s="0"/>
      <c r="LDK85" s="0"/>
      <c r="LDL85" s="0"/>
      <c r="LDM85" s="0"/>
      <c r="LDN85" s="0"/>
      <c r="LDO85" s="0"/>
      <c r="LDP85" s="0"/>
      <c r="LDQ85" s="0"/>
      <c r="LDR85" s="0"/>
      <c r="LDS85" s="0"/>
      <c r="LDT85" s="0"/>
      <c r="LDU85" s="0"/>
      <c r="LDV85" s="0"/>
      <c r="LDW85" s="0"/>
      <c r="LDX85" s="0"/>
      <c r="LDY85" s="0"/>
      <c r="LDZ85" s="0"/>
      <c r="LEA85" s="0"/>
      <c r="LEB85" s="0"/>
      <c r="LEC85" s="0"/>
      <c r="LED85" s="0"/>
      <c r="LEE85" s="0"/>
      <c r="LEF85" s="0"/>
      <c r="LEG85" s="0"/>
      <c r="LEH85" s="0"/>
      <c r="LEI85" s="0"/>
      <c r="LEJ85" s="0"/>
      <c r="LEK85" s="0"/>
      <c r="LEL85" s="0"/>
      <c r="LEM85" s="0"/>
      <c r="LEN85" s="0"/>
      <c r="LEO85" s="0"/>
      <c r="LEP85" s="0"/>
      <c r="LEQ85" s="0"/>
      <c r="LER85" s="0"/>
      <c r="LES85" s="0"/>
      <c r="LET85" s="0"/>
      <c r="LEU85" s="0"/>
      <c r="LEV85" s="0"/>
      <c r="LEW85" s="0"/>
      <c r="LEX85" s="0"/>
      <c r="LEY85" s="0"/>
      <c r="LEZ85" s="0"/>
      <c r="LFA85" s="0"/>
      <c r="LFB85" s="0"/>
      <c r="LFC85" s="0"/>
      <c r="LFD85" s="0"/>
      <c r="LFE85" s="0"/>
      <c r="LFF85" s="0"/>
      <c r="LFG85" s="0"/>
      <c r="LFH85" s="0"/>
      <c r="LFI85" s="0"/>
      <c r="LFJ85" s="0"/>
      <c r="LFK85" s="0"/>
      <c r="LFL85" s="0"/>
      <c r="LFM85" s="0"/>
      <c r="LFN85" s="0"/>
      <c r="LFO85" s="0"/>
      <c r="LFP85" s="0"/>
      <c r="LFQ85" s="0"/>
      <c r="LFR85" s="0"/>
      <c r="LFS85" s="0"/>
      <c r="LFT85" s="0"/>
      <c r="LFU85" s="0"/>
      <c r="LFV85" s="0"/>
      <c r="LFW85" s="0"/>
      <c r="LFX85" s="0"/>
      <c r="LFY85" s="0"/>
      <c r="LFZ85" s="0"/>
      <c r="LGA85" s="0"/>
      <c r="LGB85" s="0"/>
      <c r="LGC85" s="0"/>
      <c r="LGD85" s="0"/>
      <c r="LGE85" s="0"/>
      <c r="LGF85" s="0"/>
      <c r="LGG85" s="0"/>
      <c r="LGH85" s="0"/>
      <c r="LGI85" s="0"/>
      <c r="LGJ85" s="0"/>
      <c r="LGK85" s="0"/>
      <c r="LGL85" s="0"/>
      <c r="LGM85" s="0"/>
      <c r="LGN85" s="0"/>
      <c r="LGO85" s="0"/>
      <c r="LGP85" s="0"/>
      <c r="LGQ85" s="0"/>
      <c r="LGR85" s="0"/>
      <c r="LGS85" s="0"/>
      <c r="LGT85" s="0"/>
      <c r="LGU85" s="0"/>
      <c r="LGV85" s="0"/>
      <c r="LGW85" s="0"/>
      <c r="LGX85" s="0"/>
      <c r="LGY85" s="0"/>
      <c r="LGZ85" s="0"/>
      <c r="LHA85" s="0"/>
      <c r="LHB85" s="0"/>
      <c r="LHC85" s="0"/>
      <c r="LHD85" s="0"/>
      <c r="LHE85" s="0"/>
      <c r="LHF85" s="0"/>
      <c r="LHG85" s="0"/>
      <c r="LHH85" s="0"/>
      <c r="LHI85" s="0"/>
      <c r="LHJ85" s="0"/>
      <c r="LHK85" s="0"/>
      <c r="LHL85" s="0"/>
      <c r="LHM85" s="0"/>
      <c r="LHN85" s="0"/>
      <c r="LHO85" s="0"/>
      <c r="LHP85" s="0"/>
      <c r="LHQ85" s="0"/>
      <c r="LHR85" s="0"/>
      <c r="LHS85" s="0"/>
      <c r="LHT85" s="0"/>
      <c r="LHU85" s="0"/>
      <c r="LHV85" s="0"/>
      <c r="LHW85" s="0"/>
      <c r="LHX85" s="0"/>
      <c r="LHY85" s="0"/>
      <c r="LHZ85" s="0"/>
      <c r="LIA85" s="0"/>
      <c r="LIB85" s="0"/>
      <c r="LIC85" s="0"/>
      <c r="LID85" s="0"/>
      <c r="LIE85" s="0"/>
      <c r="LIF85" s="0"/>
      <c r="LIG85" s="0"/>
      <c r="LIH85" s="0"/>
      <c r="LII85" s="0"/>
      <c r="LIJ85" s="0"/>
      <c r="LIK85" s="0"/>
      <c r="LIL85" s="0"/>
      <c r="LIM85" s="0"/>
      <c r="LIN85" s="0"/>
      <c r="LIO85" s="0"/>
      <c r="LIP85" s="0"/>
      <c r="LIQ85" s="0"/>
      <c r="LIR85" s="0"/>
      <c r="LIS85" s="0"/>
      <c r="LIT85" s="0"/>
      <c r="LIU85" s="0"/>
      <c r="LIV85" s="0"/>
      <c r="LIW85" s="0"/>
      <c r="LIX85" s="0"/>
      <c r="LIY85" s="0"/>
      <c r="LIZ85" s="0"/>
      <c r="LJA85" s="0"/>
      <c r="LJB85" s="0"/>
      <c r="LJC85" s="0"/>
      <c r="LJD85" s="0"/>
      <c r="LJE85" s="0"/>
      <c r="LJF85" s="0"/>
      <c r="LJG85" s="0"/>
      <c r="LJH85" s="0"/>
      <c r="LJI85" s="0"/>
      <c r="LJJ85" s="0"/>
      <c r="LJK85" s="0"/>
      <c r="LJL85" s="0"/>
      <c r="LJM85" s="0"/>
      <c r="LJN85" s="0"/>
      <c r="LJO85" s="0"/>
      <c r="LJP85" s="0"/>
      <c r="LJQ85" s="0"/>
      <c r="LJR85" s="0"/>
      <c r="LJS85" s="0"/>
      <c r="LJT85" s="0"/>
      <c r="LJU85" s="0"/>
      <c r="LJV85" s="0"/>
      <c r="LJW85" s="0"/>
      <c r="LJX85" s="0"/>
      <c r="LJY85" s="0"/>
      <c r="LJZ85" s="0"/>
      <c r="LKA85" s="0"/>
      <c r="LKB85" s="0"/>
      <c r="LKC85" s="0"/>
      <c r="LKD85" s="0"/>
      <c r="LKE85" s="0"/>
      <c r="LKF85" s="0"/>
      <c r="LKG85" s="0"/>
      <c r="LKH85" s="0"/>
      <c r="LKI85" s="0"/>
      <c r="LKJ85" s="0"/>
      <c r="LKK85" s="0"/>
      <c r="LKL85" s="0"/>
      <c r="LKM85" s="0"/>
      <c r="LKN85" s="0"/>
      <c r="LKO85" s="0"/>
      <c r="LKP85" s="0"/>
      <c r="LKQ85" s="0"/>
      <c r="LKR85" s="0"/>
      <c r="LKS85" s="0"/>
      <c r="LKT85" s="0"/>
      <c r="LKU85" s="0"/>
      <c r="LKV85" s="0"/>
      <c r="LKW85" s="0"/>
      <c r="LKX85" s="0"/>
      <c r="LKY85" s="0"/>
      <c r="LKZ85" s="0"/>
      <c r="LLA85" s="0"/>
      <c r="LLB85" s="0"/>
      <c r="LLC85" s="0"/>
      <c r="LLD85" s="0"/>
      <c r="LLE85" s="0"/>
      <c r="LLF85" s="0"/>
      <c r="LLG85" s="0"/>
      <c r="LLH85" s="0"/>
      <c r="LLI85" s="0"/>
      <c r="LLJ85" s="0"/>
      <c r="LLK85" s="0"/>
      <c r="LLL85" s="0"/>
      <c r="LLM85" s="0"/>
      <c r="LLN85" s="0"/>
      <c r="LLO85" s="0"/>
      <c r="LLP85" s="0"/>
      <c r="LLQ85" s="0"/>
      <c r="LLR85" s="0"/>
      <c r="LLS85" s="0"/>
      <c r="LLT85" s="0"/>
      <c r="LLU85" s="0"/>
      <c r="LLV85" s="0"/>
      <c r="LLW85" s="0"/>
      <c r="LLX85" s="0"/>
      <c r="LLY85" s="0"/>
      <c r="LLZ85" s="0"/>
      <c r="LMA85" s="0"/>
      <c r="LMB85" s="0"/>
      <c r="LMC85" s="0"/>
      <c r="LMD85" s="0"/>
      <c r="LME85" s="0"/>
      <c r="LMF85" s="0"/>
      <c r="LMG85" s="0"/>
      <c r="LMH85" s="0"/>
      <c r="LMI85" s="0"/>
      <c r="LMJ85" s="0"/>
      <c r="LMK85" s="0"/>
      <c r="LML85" s="0"/>
      <c r="LMM85" s="0"/>
      <c r="LMN85" s="0"/>
      <c r="LMO85" s="0"/>
      <c r="LMP85" s="0"/>
      <c r="LMQ85" s="0"/>
      <c r="LMR85" s="0"/>
      <c r="LMS85" s="0"/>
      <c r="LMT85" s="0"/>
      <c r="LMU85" s="0"/>
      <c r="LMV85" s="0"/>
      <c r="LMW85" s="0"/>
      <c r="LMX85" s="0"/>
      <c r="LMY85" s="0"/>
      <c r="LMZ85" s="0"/>
      <c r="LNA85" s="0"/>
      <c r="LNB85" s="0"/>
      <c r="LNC85" s="0"/>
      <c r="LND85" s="0"/>
      <c r="LNE85" s="0"/>
      <c r="LNF85" s="0"/>
      <c r="LNG85" s="0"/>
      <c r="LNH85" s="0"/>
      <c r="LNI85" s="0"/>
      <c r="LNJ85" s="0"/>
      <c r="LNK85" s="0"/>
      <c r="LNL85" s="0"/>
      <c r="LNM85" s="0"/>
      <c r="LNN85" s="0"/>
      <c r="LNO85" s="0"/>
      <c r="LNP85" s="0"/>
      <c r="LNQ85" s="0"/>
      <c r="LNR85" s="0"/>
      <c r="LNS85" s="0"/>
      <c r="LNT85" s="0"/>
      <c r="LNU85" s="0"/>
      <c r="LNV85" s="0"/>
      <c r="LNW85" s="0"/>
      <c r="LNX85" s="0"/>
      <c r="LNY85" s="0"/>
      <c r="LNZ85" s="0"/>
      <c r="LOA85" s="0"/>
      <c r="LOB85" s="0"/>
      <c r="LOC85" s="0"/>
      <c r="LOD85" s="0"/>
      <c r="LOE85" s="0"/>
      <c r="LOF85" s="0"/>
      <c r="LOG85" s="0"/>
      <c r="LOH85" s="0"/>
      <c r="LOI85" s="0"/>
      <c r="LOJ85" s="0"/>
      <c r="LOK85" s="0"/>
      <c r="LOL85" s="0"/>
      <c r="LOM85" s="0"/>
      <c r="LON85" s="0"/>
      <c r="LOO85" s="0"/>
      <c r="LOP85" s="0"/>
      <c r="LOQ85" s="0"/>
      <c r="LOR85" s="0"/>
      <c r="LOS85" s="0"/>
      <c r="LOT85" s="0"/>
      <c r="LOU85" s="0"/>
      <c r="LOV85" s="0"/>
      <c r="LOW85" s="0"/>
      <c r="LOX85" s="0"/>
      <c r="LOY85" s="0"/>
      <c r="LOZ85" s="0"/>
      <c r="LPA85" s="0"/>
      <c r="LPB85" s="0"/>
      <c r="LPC85" s="0"/>
      <c r="LPD85" s="0"/>
      <c r="LPE85" s="0"/>
      <c r="LPF85" s="0"/>
      <c r="LPG85" s="0"/>
      <c r="LPH85" s="0"/>
      <c r="LPI85" s="0"/>
      <c r="LPJ85" s="0"/>
      <c r="LPK85" s="0"/>
      <c r="LPL85" s="0"/>
      <c r="LPM85" s="0"/>
      <c r="LPN85" s="0"/>
      <c r="LPO85" s="0"/>
      <c r="LPP85" s="0"/>
      <c r="LPQ85" s="0"/>
      <c r="LPR85" s="0"/>
      <c r="LPS85" s="0"/>
      <c r="LPT85" s="0"/>
      <c r="LPU85" s="0"/>
      <c r="LPV85" s="0"/>
      <c r="LPW85" s="0"/>
      <c r="LPX85" s="0"/>
      <c r="LPY85" s="0"/>
      <c r="LPZ85" s="0"/>
      <c r="LQA85" s="0"/>
      <c r="LQB85" s="0"/>
      <c r="LQC85" s="0"/>
      <c r="LQD85" s="0"/>
      <c r="LQE85" s="0"/>
      <c r="LQF85" s="0"/>
      <c r="LQG85" s="0"/>
      <c r="LQH85" s="0"/>
      <c r="LQI85" s="0"/>
      <c r="LQJ85" s="0"/>
      <c r="LQK85" s="0"/>
      <c r="LQL85" s="0"/>
      <c r="LQM85" s="0"/>
      <c r="LQN85" s="0"/>
      <c r="LQO85" s="0"/>
      <c r="LQP85" s="0"/>
      <c r="LQQ85" s="0"/>
      <c r="LQR85" s="0"/>
      <c r="LQS85" s="0"/>
      <c r="LQT85" s="0"/>
      <c r="LQU85" s="0"/>
      <c r="LQV85" s="0"/>
      <c r="LQW85" s="0"/>
      <c r="LQX85" s="0"/>
      <c r="LQY85" s="0"/>
      <c r="LQZ85" s="0"/>
      <c r="LRA85" s="0"/>
      <c r="LRB85" s="0"/>
      <c r="LRC85" s="0"/>
      <c r="LRD85" s="0"/>
      <c r="LRE85" s="0"/>
      <c r="LRF85" s="0"/>
      <c r="LRG85" s="0"/>
      <c r="LRH85" s="0"/>
      <c r="LRI85" s="0"/>
      <c r="LRJ85" s="0"/>
      <c r="LRK85" s="0"/>
      <c r="LRL85" s="0"/>
      <c r="LRM85" s="0"/>
      <c r="LRN85" s="0"/>
      <c r="LRO85" s="0"/>
      <c r="LRP85" s="0"/>
      <c r="LRQ85" s="0"/>
      <c r="LRR85" s="0"/>
      <c r="LRS85" s="0"/>
      <c r="LRT85" s="0"/>
      <c r="LRU85" s="0"/>
      <c r="LRV85" s="0"/>
      <c r="LRW85" s="0"/>
      <c r="LRX85" s="0"/>
      <c r="LRY85" s="0"/>
      <c r="LRZ85" s="0"/>
      <c r="LSA85" s="0"/>
      <c r="LSB85" s="0"/>
      <c r="LSC85" s="0"/>
      <c r="LSD85" s="0"/>
      <c r="LSE85" s="0"/>
      <c r="LSF85" s="0"/>
      <c r="LSG85" s="0"/>
      <c r="LSH85" s="0"/>
      <c r="LSI85" s="0"/>
      <c r="LSJ85" s="0"/>
      <c r="LSK85" s="0"/>
      <c r="LSL85" s="0"/>
      <c r="LSM85" s="0"/>
      <c r="LSN85" s="0"/>
      <c r="LSO85" s="0"/>
      <c r="LSP85" s="0"/>
      <c r="LSQ85" s="0"/>
      <c r="LSR85" s="0"/>
      <c r="LSS85" s="0"/>
      <c r="LST85" s="0"/>
      <c r="LSU85" s="0"/>
      <c r="LSV85" s="0"/>
      <c r="LSW85" s="0"/>
      <c r="LSX85" s="0"/>
      <c r="LSY85" s="0"/>
      <c r="LSZ85" s="0"/>
      <c r="LTA85" s="0"/>
      <c r="LTB85" s="0"/>
      <c r="LTC85" s="0"/>
      <c r="LTD85" s="0"/>
      <c r="LTE85" s="0"/>
      <c r="LTF85" s="0"/>
      <c r="LTG85" s="0"/>
      <c r="LTH85" s="0"/>
      <c r="LTI85" s="0"/>
      <c r="LTJ85" s="0"/>
      <c r="LTK85" s="0"/>
      <c r="LTL85" s="0"/>
      <c r="LTM85" s="0"/>
      <c r="LTN85" s="0"/>
      <c r="LTO85" s="0"/>
      <c r="LTP85" s="0"/>
      <c r="LTQ85" s="0"/>
      <c r="LTR85" s="0"/>
      <c r="LTS85" s="0"/>
      <c r="LTT85" s="0"/>
      <c r="LTU85" s="0"/>
      <c r="LTV85" s="0"/>
      <c r="LTW85" s="0"/>
      <c r="LTX85" s="0"/>
      <c r="LTY85" s="0"/>
      <c r="LTZ85" s="0"/>
      <c r="LUA85" s="0"/>
      <c r="LUB85" s="0"/>
      <c r="LUC85" s="0"/>
      <c r="LUD85" s="0"/>
      <c r="LUE85" s="0"/>
      <c r="LUF85" s="0"/>
      <c r="LUG85" s="0"/>
      <c r="LUH85" s="0"/>
      <c r="LUI85" s="0"/>
      <c r="LUJ85" s="0"/>
      <c r="LUK85" s="0"/>
      <c r="LUL85" s="0"/>
      <c r="LUM85" s="0"/>
      <c r="LUN85" s="0"/>
      <c r="LUO85" s="0"/>
      <c r="LUP85" s="0"/>
      <c r="LUQ85" s="0"/>
      <c r="LUR85" s="0"/>
      <c r="LUS85" s="0"/>
      <c r="LUT85" s="0"/>
      <c r="LUU85" s="0"/>
      <c r="LUV85" s="0"/>
      <c r="LUW85" s="0"/>
      <c r="LUX85" s="0"/>
      <c r="LUY85" s="0"/>
      <c r="LUZ85" s="0"/>
      <c r="LVA85" s="0"/>
      <c r="LVB85" s="0"/>
      <c r="LVC85" s="0"/>
      <c r="LVD85" s="0"/>
      <c r="LVE85" s="0"/>
      <c r="LVF85" s="0"/>
      <c r="LVG85" s="0"/>
      <c r="LVH85" s="0"/>
      <c r="LVI85" s="0"/>
      <c r="LVJ85" s="0"/>
      <c r="LVK85" s="0"/>
      <c r="LVL85" s="0"/>
      <c r="LVM85" s="0"/>
      <c r="LVN85" s="0"/>
      <c r="LVO85" s="0"/>
      <c r="LVP85" s="0"/>
      <c r="LVQ85" s="0"/>
      <c r="LVR85" s="0"/>
      <c r="LVS85" s="0"/>
      <c r="LVT85" s="0"/>
      <c r="LVU85" s="0"/>
      <c r="LVV85" s="0"/>
      <c r="LVW85" s="0"/>
      <c r="LVX85" s="0"/>
      <c r="LVY85" s="0"/>
      <c r="LVZ85" s="0"/>
      <c r="LWA85" s="0"/>
      <c r="LWB85" s="0"/>
      <c r="LWC85" s="0"/>
      <c r="LWD85" s="0"/>
      <c r="LWE85" s="0"/>
      <c r="LWF85" s="0"/>
      <c r="LWG85" s="0"/>
      <c r="LWH85" s="0"/>
      <c r="LWI85" s="0"/>
      <c r="LWJ85" s="0"/>
      <c r="LWK85" s="0"/>
      <c r="LWL85" s="0"/>
      <c r="LWM85" s="0"/>
      <c r="LWN85" s="0"/>
      <c r="LWO85" s="0"/>
      <c r="LWP85" s="0"/>
      <c r="LWQ85" s="0"/>
      <c r="LWR85" s="0"/>
      <c r="LWS85" s="0"/>
      <c r="LWT85" s="0"/>
      <c r="LWU85" s="0"/>
      <c r="LWV85" s="0"/>
      <c r="LWW85" s="0"/>
      <c r="LWX85" s="0"/>
      <c r="LWY85" s="0"/>
      <c r="LWZ85" s="0"/>
      <c r="LXA85" s="0"/>
      <c r="LXB85" s="0"/>
      <c r="LXC85" s="0"/>
      <c r="LXD85" s="0"/>
      <c r="LXE85" s="0"/>
      <c r="LXF85" s="0"/>
      <c r="LXG85" s="0"/>
      <c r="LXH85" s="0"/>
      <c r="LXI85" s="0"/>
      <c r="LXJ85" s="0"/>
      <c r="LXK85" s="0"/>
      <c r="LXL85" s="0"/>
      <c r="LXM85" s="0"/>
      <c r="LXN85" s="0"/>
      <c r="LXO85" s="0"/>
      <c r="LXP85" s="0"/>
      <c r="LXQ85" s="0"/>
      <c r="LXR85" s="0"/>
      <c r="LXS85" s="0"/>
      <c r="LXT85" s="0"/>
      <c r="LXU85" s="0"/>
      <c r="LXV85" s="0"/>
      <c r="LXW85" s="0"/>
      <c r="LXX85" s="0"/>
      <c r="LXY85" s="0"/>
      <c r="LXZ85" s="0"/>
      <c r="LYA85" s="0"/>
      <c r="LYB85" s="0"/>
      <c r="LYC85" s="0"/>
      <c r="LYD85" s="0"/>
      <c r="LYE85" s="0"/>
      <c r="LYF85" s="0"/>
      <c r="LYG85" s="0"/>
      <c r="LYH85" s="0"/>
      <c r="LYI85" s="0"/>
      <c r="LYJ85" s="0"/>
      <c r="LYK85" s="0"/>
      <c r="LYL85" s="0"/>
      <c r="LYM85" s="0"/>
      <c r="LYN85" s="0"/>
      <c r="LYO85" s="0"/>
      <c r="LYP85" s="0"/>
      <c r="LYQ85" s="0"/>
      <c r="LYR85" s="0"/>
      <c r="LYS85" s="0"/>
      <c r="LYT85" s="0"/>
      <c r="LYU85" s="0"/>
      <c r="LYV85" s="0"/>
      <c r="LYW85" s="0"/>
      <c r="LYX85" s="0"/>
      <c r="LYY85" s="0"/>
      <c r="LYZ85" s="0"/>
      <c r="LZA85" s="0"/>
      <c r="LZB85" s="0"/>
      <c r="LZC85" s="0"/>
      <c r="LZD85" s="0"/>
      <c r="LZE85" s="0"/>
      <c r="LZF85" s="0"/>
      <c r="LZG85" s="0"/>
      <c r="LZH85" s="0"/>
      <c r="LZI85" s="0"/>
      <c r="LZJ85" s="0"/>
      <c r="LZK85" s="0"/>
      <c r="LZL85" s="0"/>
      <c r="LZM85" s="0"/>
      <c r="LZN85" s="0"/>
      <c r="LZO85" s="0"/>
      <c r="LZP85" s="0"/>
      <c r="LZQ85" s="0"/>
      <c r="LZR85" s="0"/>
      <c r="LZS85" s="0"/>
      <c r="LZT85" s="0"/>
      <c r="LZU85" s="0"/>
      <c r="LZV85" s="0"/>
      <c r="LZW85" s="0"/>
      <c r="LZX85" s="0"/>
      <c r="LZY85" s="0"/>
      <c r="LZZ85" s="0"/>
      <c r="MAA85" s="0"/>
      <c r="MAB85" s="0"/>
      <c r="MAC85" s="0"/>
      <c r="MAD85" s="0"/>
      <c r="MAE85" s="0"/>
      <c r="MAF85" s="0"/>
      <c r="MAG85" s="0"/>
      <c r="MAH85" s="0"/>
      <c r="MAI85" s="0"/>
      <c r="MAJ85" s="0"/>
      <c r="MAK85" s="0"/>
      <c r="MAL85" s="0"/>
      <c r="MAM85" s="0"/>
      <c r="MAN85" s="0"/>
      <c r="MAO85" s="0"/>
      <c r="MAP85" s="0"/>
      <c r="MAQ85" s="0"/>
      <c r="MAR85" s="0"/>
      <c r="MAS85" s="0"/>
      <c r="MAT85" s="0"/>
      <c r="MAU85" s="0"/>
      <c r="MAV85" s="0"/>
      <c r="MAW85" s="0"/>
      <c r="MAX85" s="0"/>
      <c r="MAY85" s="0"/>
      <c r="MAZ85" s="0"/>
      <c r="MBA85" s="0"/>
      <c r="MBB85" s="0"/>
      <c r="MBC85" s="0"/>
      <c r="MBD85" s="0"/>
      <c r="MBE85" s="0"/>
      <c r="MBF85" s="0"/>
      <c r="MBG85" s="0"/>
      <c r="MBH85" s="0"/>
      <c r="MBI85" s="0"/>
      <c r="MBJ85" s="0"/>
      <c r="MBK85" s="0"/>
      <c r="MBL85" s="0"/>
      <c r="MBM85" s="0"/>
      <c r="MBN85" s="0"/>
      <c r="MBO85" s="0"/>
      <c r="MBP85" s="0"/>
      <c r="MBQ85" s="0"/>
      <c r="MBR85" s="0"/>
      <c r="MBS85" s="0"/>
      <c r="MBT85" s="0"/>
      <c r="MBU85" s="0"/>
      <c r="MBV85" s="0"/>
      <c r="MBW85" s="0"/>
      <c r="MBX85" s="0"/>
      <c r="MBY85" s="0"/>
      <c r="MBZ85" s="0"/>
      <c r="MCA85" s="0"/>
      <c r="MCB85" s="0"/>
      <c r="MCC85" s="0"/>
      <c r="MCD85" s="0"/>
      <c r="MCE85" s="0"/>
      <c r="MCF85" s="0"/>
      <c r="MCG85" s="0"/>
      <c r="MCH85" s="0"/>
      <c r="MCI85" s="0"/>
      <c r="MCJ85" s="0"/>
      <c r="MCK85" s="0"/>
      <c r="MCL85" s="0"/>
      <c r="MCM85" s="0"/>
      <c r="MCN85" s="0"/>
      <c r="MCO85" s="0"/>
      <c r="MCP85" s="0"/>
      <c r="MCQ85" s="0"/>
      <c r="MCR85" s="0"/>
      <c r="MCS85" s="0"/>
      <c r="MCT85" s="0"/>
      <c r="MCU85" s="0"/>
      <c r="MCV85" s="0"/>
      <c r="MCW85" s="0"/>
      <c r="MCX85" s="0"/>
      <c r="MCY85" s="0"/>
      <c r="MCZ85" s="0"/>
      <c r="MDA85" s="0"/>
      <c r="MDB85" s="0"/>
      <c r="MDC85" s="0"/>
      <c r="MDD85" s="0"/>
      <c r="MDE85" s="0"/>
      <c r="MDF85" s="0"/>
      <c r="MDG85" s="0"/>
      <c r="MDH85" s="0"/>
      <c r="MDI85" s="0"/>
      <c r="MDJ85" s="0"/>
      <c r="MDK85" s="0"/>
      <c r="MDL85" s="0"/>
      <c r="MDM85" s="0"/>
      <c r="MDN85" s="0"/>
      <c r="MDO85" s="0"/>
      <c r="MDP85" s="0"/>
      <c r="MDQ85" s="0"/>
      <c r="MDR85" s="0"/>
      <c r="MDS85" s="0"/>
      <c r="MDT85" s="0"/>
      <c r="MDU85" s="0"/>
      <c r="MDV85" s="0"/>
      <c r="MDW85" s="0"/>
      <c r="MDX85" s="0"/>
      <c r="MDY85" s="0"/>
      <c r="MDZ85" s="0"/>
      <c r="MEA85" s="0"/>
      <c r="MEB85" s="0"/>
      <c r="MEC85" s="0"/>
      <c r="MED85" s="0"/>
      <c r="MEE85" s="0"/>
      <c r="MEF85" s="0"/>
      <c r="MEG85" s="0"/>
      <c r="MEH85" s="0"/>
      <c r="MEI85" s="0"/>
      <c r="MEJ85" s="0"/>
      <c r="MEK85" s="0"/>
      <c r="MEL85" s="0"/>
      <c r="MEM85" s="0"/>
      <c r="MEN85" s="0"/>
      <c r="MEO85" s="0"/>
      <c r="MEP85" s="0"/>
      <c r="MEQ85" s="0"/>
      <c r="MER85" s="0"/>
      <c r="MES85" s="0"/>
      <c r="MET85" s="0"/>
      <c r="MEU85" s="0"/>
      <c r="MEV85" s="0"/>
      <c r="MEW85" s="0"/>
      <c r="MEX85" s="0"/>
      <c r="MEY85" s="0"/>
      <c r="MEZ85" s="0"/>
      <c r="MFA85" s="0"/>
      <c r="MFB85" s="0"/>
      <c r="MFC85" s="0"/>
      <c r="MFD85" s="0"/>
      <c r="MFE85" s="0"/>
      <c r="MFF85" s="0"/>
      <c r="MFG85" s="0"/>
      <c r="MFH85" s="0"/>
      <c r="MFI85" s="0"/>
      <c r="MFJ85" s="0"/>
      <c r="MFK85" s="0"/>
      <c r="MFL85" s="0"/>
      <c r="MFM85" s="0"/>
      <c r="MFN85" s="0"/>
      <c r="MFO85" s="0"/>
      <c r="MFP85" s="0"/>
      <c r="MFQ85" s="0"/>
      <c r="MFR85" s="0"/>
      <c r="MFS85" s="0"/>
      <c r="MFT85" s="0"/>
      <c r="MFU85" s="0"/>
      <c r="MFV85" s="0"/>
      <c r="MFW85" s="0"/>
      <c r="MFX85" s="0"/>
      <c r="MFY85" s="0"/>
      <c r="MFZ85" s="0"/>
      <c r="MGA85" s="0"/>
      <c r="MGB85" s="0"/>
      <c r="MGC85" s="0"/>
      <c r="MGD85" s="0"/>
      <c r="MGE85" s="0"/>
      <c r="MGF85" s="0"/>
      <c r="MGG85" s="0"/>
      <c r="MGH85" s="0"/>
      <c r="MGI85" s="0"/>
      <c r="MGJ85" s="0"/>
      <c r="MGK85" s="0"/>
      <c r="MGL85" s="0"/>
      <c r="MGM85" s="0"/>
      <c r="MGN85" s="0"/>
      <c r="MGO85" s="0"/>
      <c r="MGP85" s="0"/>
      <c r="MGQ85" s="0"/>
      <c r="MGR85" s="0"/>
      <c r="MGS85" s="0"/>
      <c r="MGT85" s="0"/>
      <c r="MGU85" s="0"/>
      <c r="MGV85" s="0"/>
      <c r="MGW85" s="0"/>
      <c r="MGX85" s="0"/>
      <c r="MGY85" s="0"/>
      <c r="MGZ85" s="0"/>
      <c r="MHA85" s="0"/>
      <c r="MHB85" s="0"/>
      <c r="MHC85" s="0"/>
      <c r="MHD85" s="0"/>
      <c r="MHE85" s="0"/>
      <c r="MHF85" s="0"/>
      <c r="MHG85" s="0"/>
      <c r="MHH85" s="0"/>
      <c r="MHI85" s="0"/>
      <c r="MHJ85" s="0"/>
      <c r="MHK85" s="0"/>
      <c r="MHL85" s="0"/>
      <c r="MHM85" s="0"/>
      <c r="MHN85" s="0"/>
      <c r="MHO85" s="0"/>
      <c r="MHP85" s="0"/>
      <c r="MHQ85" s="0"/>
      <c r="MHR85" s="0"/>
      <c r="MHS85" s="0"/>
      <c r="MHT85" s="0"/>
      <c r="MHU85" s="0"/>
      <c r="MHV85" s="0"/>
      <c r="MHW85" s="0"/>
      <c r="MHX85" s="0"/>
      <c r="MHY85" s="0"/>
      <c r="MHZ85" s="0"/>
      <c r="MIA85" s="0"/>
      <c r="MIB85" s="0"/>
      <c r="MIC85" s="0"/>
      <c r="MID85" s="0"/>
      <c r="MIE85" s="0"/>
      <c r="MIF85" s="0"/>
      <c r="MIG85" s="0"/>
      <c r="MIH85" s="0"/>
      <c r="MII85" s="0"/>
      <c r="MIJ85" s="0"/>
      <c r="MIK85" s="0"/>
      <c r="MIL85" s="0"/>
      <c r="MIM85" s="0"/>
      <c r="MIN85" s="0"/>
      <c r="MIO85" s="0"/>
      <c r="MIP85" s="0"/>
      <c r="MIQ85" s="0"/>
      <c r="MIR85" s="0"/>
      <c r="MIS85" s="0"/>
      <c r="MIT85" s="0"/>
      <c r="MIU85" s="0"/>
      <c r="MIV85" s="0"/>
      <c r="MIW85" s="0"/>
      <c r="MIX85" s="0"/>
      <c r="MIY85" s="0"/>
      <c r="MIZ85" s="0"/>
      <c r="MJA85" s="0"/>
      <c r="MJB85" s="0"/>
      <c r="MJC85" s="0"/>
      <c r="MJD85" s="0"/>
      <c r="MJE85" s="0"/>
      <c r="MJF85" s="0"/>
      <c r="MJG85" s="0"/>
      <c r="MJH85" s="0"/>
      <c r="MJI85" s="0"/>
      <c r="MJJ85" s="0"/>
      <c r="MJK85" s="0"/>
      <c r="MJL85" s="0"/>
      <c r="MJM85" s="0"/>
      <c r="MJN85" s="0"/>
      <c r="MJO85" s="0"/>
      <c r="MJP85" s="0"/>
      <c r="MJQ85" s="0"/>
      <c r="MJR85" s="0"/>
      <c r="MJS85" s="0"/>
      <c r="MJT85" s="0"/>
      <c r="MJU85" s="0"/>
      <c r="MJV85" s="0"/>
      <c r="MJW85" s="0"/>
      <c r="MJX85" s="0"/>
      <c r="MJY85" s="0"/>
      <c r="MJZ85" s="0"/>
      <c r="MKA85" s="0"/>
      <c r="MKB85" s="0"/>
      <c r="MKC85" s="0"/>
      <c r="MKD85" s="0"/>
      <c r="MKE85" s="0"/>
      <c r="MKF85" s="0"/>
      <c r="MKG85" s="0"/>
      <c r="MKH85" s="0"/>
      <c r="MKI85" s="0"/>
      <c r="MKJ85" s="0"/>
      <c r="MKK85" s="0"/>
      <c r="MKL85" s="0"/>
      <c r="MKM85" s="0"/>
      <c r="MKN85" s="0"/>
      <c r="MKO85" s="0"/>
      <c r="MKP85" s="0"/>
      <c r="MKQ85" s="0"/>
      <c r="MKR85" s="0"/>
      <c r="MKS85" s="0"/>
      <c r="MKT85" s="0"/>
      <c r="MKU85" s="0"/>
      <c r="MKV85" s="0"/>
      <c r="MKW85" s="0"/>
      <c r="MKX85" s="0"/>
      <c r="MKY85" s="0"/>
      <c r="MKZ85" s="0"/>
      <c r="MLA85" s="0"/>
      <c r="MLB85" s="0"/>
      <c r="MLC85" s="0"/>
      <c r="MLD85" s="0"/>
      <c r="MLE85" s="0"/>
      <c r="MLF85" s="0"/>
      <c r="MLG85" s="0"/>
      <c r="MLH85" s="0"/>
      <c r="MLI85" s="0"/>
      <c r="MLJ85" s="0"/>
      <c r="MLK85" s="0"/>
      <c r="MLL85" s="0"/>
      <c r="MLM85" s="0"/>
      <c r="MLN85" s="0"/>
      <c r="MLO85" s="0"/>
      <c r="MLP85" s="0"/>
      <c r="MLQ85" s="0"/>
      <c r="MLR85" s="0"/>
      <c r="MLS85" s="0"/>
      <c r="MLT85" s="0"/>
      <c r="MLU85" s="0"/>
      <c r="MLV85" s="0"/>
      <c r="MLW85" s="0"/>
      <c r="MLX85" s="0"/>
      <c r="MLY85" s="0"/>
      <c r="MLZ85" s="0"/>
      <c r="MMA85" s="0"/>
      <c r="MMB85" s="0"/>
      <c r="MMC85" s="0"/>
      <c r="MMD85" s="0"/>
      <c r="MME85" s="0"/>
      <c r="MMF85" s="0"/>
      <c r="MMG85" s="0"/>
      <c r="MMH85" s="0"/>
      <c r="MMI85" s="0"/>
      <c r="MMJ85" s="0"/>
      <c r="MMK85" s="0"/>
      <c r="MML85" s="0"/>
      <c r="MMM85" s="0"/>
      <c r="MMN85" s="0"/>
      <c r="MMO85" s="0"/>
      <c r="MMP85" s="0"/>
      <c r="MMQ85" s="0"/>
      <c r="MMR85" s="0"/>
      <c r="MMS85" s="0"/>
      <c r="MMT85" s="0"/>
      <c r="MMU85" s="0"/>
      <c r="MMV85" s="0"/>
      <c r="MMW85" s="0"/>
      <c r="MMX85" s="0"/>
      <c r="MMY85" s="0"/>
      <c r="MMZ85" s="0"/>
      <c r="MNA85" s="0"/>
      <c r="MNB85" s="0"/>
      <c r="MNC85" s="0"/>
      <c r="MND85" s="0"/>
      <c r="MNE85" s="0"/>
      <c r="MNF85" s="0"/>
      <c r="MNG85" s="0"/>
      <c r="MNH85" s="0"/>
      <c r="MNI85" s="0"/>
      <c r="MNJ85" s="0"/>
      <c r="MNK85" s="0"/>
      <c r="MNL85" s="0"/>
      <c r="MNM85" s="0"/>
      <c r="MNN85" s="0"/>
      <c r="MNO85" s="0"/>
      <c r="MNP85" s="0"/>
      <c r="MNQ85" s="0"/>
      <c r="MNR85" s="0"/>
      <c r="MNS85" s="0"/>
      <c r="MNT85" s="0"/>
      <c r="MNU85" s="0"/>
      <c r="MNV85" s="0"/>
      <c r="MNW85" s="0"/>
      <c r="MNX85" s="0"/>
      <c r="MNY85" s="0"/>
      <c r="MNZ85" s="0"/>
      <c r="MOA85" s="0"/>
      <c r="MOB85" s="0"/>
      <c r="MOC85" s="0"/>
      <c r="MOD85" s="0"/>
      <c r="MOE85" s="0"/>
      <c r="MOF85" s="0"/>
      <c r="MOG85" s="0"/>
      <c r="MOH85" s="0"/>
      <c r="MOI85" s="0"/>
      <c r="MOJ85" s="0"/>
      <c r="MOK85" s="0"/>
      <c r="MOL85" s="0"/>
      <c r="MOM85" s="0"/>
      <c r="MON85" s="0"/>
      <c r="MOO85" s="0"/>
      <c r="MOP85" s="0"/>
      <c r="MOQ85" s="0"/>
      <c r="MOR85" s="0"/>
      <c r="MOS85" s="0"/>
      <c r="MOT85" s="0"/>
      <c r="MOU85" s="0"/>
      <c r="MOV85" s="0"/>
      <c r="MOW85" s="0"/>
      <c r="MOX85" s="0"/>
      <c r="MOY85" s="0"/>
      <c r="MOZ85" s="0"/>
      <c r="MPA85" s="0"/>
      <c r="MPB85" s="0"/>
      <c r="MPC85" s="0"/>
      <c r="MPD85" s="0"/>
      <c r="MPE85" s="0"/>
      <c r="MPF85" s="0"/>
      <c r="MPG85" s="0"/>
      <c r="MPH85" s="0"/>
      <c r="MPI85" s="0"/>
      <c r="MPJ85" s="0"/>
      <c r="MPK85" s="0"/>
      <c r="MPL85" s="0"/>
      <c r="MPM85" s="0"/>
      <c r="MPN85" s="0"/>
      <c r="MPO85" s="0"/>
      <c r="MPP85" s="0"/>
      <c r="MPQ85" s="0"/>
      <c r="MPR85" s="0"/>
      <c r="MPS85" s="0"/>
      <c r="MPT85" s="0"/>
      <c r="MPU85" s="0"/>
      <c r="MPV85" s="0"/>
      <c r="MPW85" s="0"/>
      <c r="MPX85" s="0"/>
      <c r="MPY85" s="0"/>
      <c r="MPZ85" s="0"/>
      <c r="MQA85" s="0"/>
      <c r="MQB85" s="0"/>
      <c r="MQC85" s="0"/>
      <c r="MQD85" s="0"/>
      <c r="MQE85" s="0"/>
      <c r="MQF85" s="0"/>
      <c r="MQG85" s="0"/>
      <c r="MQH85" s="0"/>
      <c r="MQI85" s="0"/>
      <c r="MQJ85" s="0"/>
      <c r="MQK85" s="0"/>
      <c r="MQL85" s="0"/>
      <c r="MQM85" s="0"/>
      <c r="MQN85" s="0"/>
      <c r="MQO85" s="0"/>
      <c r="MQP85" s="0"/>
      <c r="MQQ85" s="0"/>
      <c r="MQR85" s="0"/>
      <c r="MQS85" s="0"/>
      <c r="MQT85" s="0"/>
      <c r="MQU85" s="0"/>
      <c r="MQV85" s="0"/>
      <c r="MQW85" s="0"/>
      <c r="MQX85" s="0"/>
      <c r="MQY85" s="0"/>
      <c r="MQZ85" s="0"/>
      <c r="MRA85" s="0"/>
      <c r="MRB85" s="0"/>
      <c r="MRC85" s="0"/>
      <c r="MRD85" s="0"/>
      <c r="MRE85" s="0"/>
      <c r="MRF85" s="0"/>
      <c r="MRG85" s="0"/>
      <c r="MRH85" s="0"/>
      <c r="MRI85" s="0"/>
      <c r="MRJ85" s="0"/>
      <c r="MRK85" s="0"/>
      <c r="MRL85" s="0"/>
      <c r="MRM85" s="0"/>
      <c r="MRN85" s="0"/>
      <c r="MRO85" s="0"/>
      <c r="MRP85" s="0"/>
      <c r="MRQ85" s="0"/>
      <c r="MRR85" s="0"/>
      <c r="MRS85" s="0"/>
      <c r="MRT85" s="0"/>
      <c r="MRU85" s="0"/>
      <c r="MRV85" s="0"/>
      <c r="MRW85" s="0"/>
      <c r="MRX85" s="0"/>
      <c r="MRY85" s="0"/>
      <c r="MRZ85" s="0"/>
      <c r="MSA85" s="0"/>
      <c r="MSB85" s="0"/>
      <c r="MSC85" s="0"/>
      <c r="MSD85" s="0"/>
      <c r="MSE85" s="0"/>
      <c r="MSF85" s="0"/>
      <c r="MSG85" s="0"/>
      <c r="MSH85" s="0"/>
      <c r="MSI85" s="0"/>
      <c r="MSJ85" s="0"/>
      <c r="MSK85" s="0"/>
      <c r="MSL85" s="0"/>
      <c r="MSM85" s="0"/>
      <c r="MSN85" s="0"/>
      <c r="MSO85" s="0"/>
      <c r="MSP85" s="0"/>
      <c r="MSQ85" s="0"/>
      <c r="MSR85" s="0"/>
      <c r="MSS85" s="0"/>
      <c r="MST85" s="0"/>
      <c r="MSU85" s="0"/>
      <c r="MSV85" s="0"/>
      <c r="MSW85" s="0"/>
      <c r="MSX85" s="0"/>
      <c r="MSY85" s="0"/>
      <c r="MSZ85" s="0"/>
      <c r="MTA85" s="0"/>
      <c r="MTB85" s="0"/>
      <c r="MTC85" s="0"/>
      <c r="MTD85" s="0"/>
      <c r="MTE85" s="0"/>
      <c r="MTF85" s="0"/>
      <c r="MTG85" s="0"/>
      <c r="MTH85" s="0"/>
      <c r="MTI85" s="0"/>
      <c r="MTJ85" s="0"/>
      <c r="MTK85" s="0"/>
      <c r="MTL85" s="0"/>
      <c r="MTM85" s="0"/>
      <c r="MTN85" s="0"/>
      <c r="MTO85" s="0"/>
      <c r="MTP85" s="0"/>
      <c r="MTQ85" s="0"/>
      <c r="MTR85" s="0"/>
      <c r="MTS85" s="0"/>
      <c r="MTT85" s="0"/>
      <c r="MTU85" s="0"/>
      <c r="MTV85" s="0"/>
      <c r="MTW85" s="0"/>
      <c r="MTX85" s="0"/>
      <c r="MTY85" s="0"/>
      <c r="MTZ85" s="0"/>
      <c r="MUA85" s="0"/>
      <c r="MUB85" s="0"/>
      <c r="MUC85" s="0"/>
      <c r="MUD85" s="0"/>
      <c r="MUE85" s="0"/>
      <c r="MUF85" s="0"/>
      <c r="MUG85" s="0"/>
      <c r="MUH85" s="0"/>
      <c r="MUI85" s="0"/>
      <c r="MUJ85" s="0"/>
      <c r="MUK85" s="0"/>
      <c r="MUL85" s="0"/>
      <c r="MUM85" s="0"/>
      <c r="MUN85" s="0"/>
      <c r="MUO85" s="0"/>
      <c r="MUP85" s="0"/>
      <c r="MUQ85" s="0"/>
      <c r="MUR85" s="0"/>
      <c r="MUS85" s="0"/>
      <c r="MUT85" s="0"/>
      <c r="MUU85" s="0"/>
      <c r="MUV85" s="0"/>
      <c r="MUW85" s="0"/>
      <c r="MUX85" s="0"/>
      <c r="MUY85" s="0"/>
      <c r="MUZ85" s="0"/>
      <c r="MVA85" s="0"/>
      <c r="MVB85" s="0"/>
      <c r="MVC85" s="0"/>
      <c r="MVD85" s="0"/>
      <c r="MVE85" s="0"/>
      <c r="MVF85" s="0"/>
      <c r="MVG85" s="0"/>
      <c r="MVH85" s="0"/>
      <c r="MVI85" s="0"/>
      <c r="MVJ85" s="0"/>
      <c r="MVK85" s="0"/>
      <c r="MVL85" s="0"/>
      <c r="MVM85" s="0"/>
      <c r="MVN85" s="0"/>
      <c r="MVO85" s="0"/>
      <c r="MVP85" s="0"/>
      <c r="MVQ85" s="0"/>
      <c r="MVR85" s="0"/>
      <c r="MVS85" s="0"/>
      <c r="MVT85" s="0"/>
      <c r="MVU85" s="0"/>
      <c r="MVV85" s="0"/>
      <c r="MVW85" s="0"/>
      <c r="MVX85" s="0"/>
      <c r="MVY85" s="0"/>
      <c r="MVZ85" s="0"/>
      <c r="MWA85" s="0"/>
      <c r="MWB85" s="0"/>
      <c r="MWC85" s="0"/>
      <c r="MWD85" s="0"/>
      <c r="MWE85" s="0"/>
      <c r="MWF85" s="0"/>
      <c r="MWG85" s="0"/>
      <c r="MWH85" s="0"/>
      <c r="MWI85" s="0"/>
      <c r="MWJ85" s="0"/>
      <c r="MWK85" s="0"/>
      <c r="MWL85" s="0"/>
      <c r="MWM85" s="0"/>
      <c r="MWN85" s="0"/>
      <c r="MWO85" s="0"/>
      <c r="MWP85" s="0"/>
      <c r="MWQ85" s="0"/>
      <c r="MWR85" s="0"/>
      <c r="MWS85" s="0"/>
      <c r="MWT85" s="0"/>
      <c r="MWU85" s="0"/>
      <c r="MWV85" s="0"/>
      <c r="MWW85" s="0"/>
      <c r="MWX85" s="0"/>
      <c r="MWY85" s="0"/>
      <c r="MWZ85" s="0"/>
      <c r="MXA85" s="0"/>
      <c r="MXB85" s="0"/>
      <c r="MXC85" s="0"/>
      <c r="MXD85" s="0"/>
      <c r="MXE85" s="0"/>
      <c r="MXF85" s="0"/>
      <c r="MXG85" s="0"/>
      <c r="MXH85" s="0"/>
      <c r="MXI85" s="0"/>
      <c r="MXJ85" s="0"/>
      <c r="MXK85" s="0"/>
      <c r="MXL85" s="0"/>
      <c r="MXM85" s="0"/>
      <c r="MXN85" s="0"/>
      <c r="MXO85" s="0"/>
      <c r="MXP85" s="0"/>
      <c r="MXQ85" s="0"/>
      <c r="MXR85" s="0"/>
      <c r="MXS85" s="0"/>
      <c r="MXT85" s="0"/>
      <c r="MXU85" s="0"/>
      <c r="MXV85" s="0"/>
      <c r="MXW85" s="0"/>
      <c r="MXX85" s="0"/>
      <c r="MXY85" s="0"/>
      <c r="MXZ85" s="0"/>
      <c r="MYA85" s="0"/>
      <c r="MYB85" s="0"/>
      <c r="MYC85" s="0"/>
      <c r="MYD85" s="0"/>
      <c r="MYE85" s="0"/>
      <c r="MYF85" s="0"/>
      <c r="MYG85" s="0"/>
      <c r="MYH85" s="0"/>
      <c r="MYI85" s="0"/>
      <c r="MYJ85" s="0"/>
      <c r="MYK85" s="0"/>
      <c r="MYL85" s="0"/>
      <c r="MYM85" s="0"/>
      <c r="MYN85" s="0"/>
      <c r="MYO85" s="0"/>
      <c r="MYP85" s="0"/>
      <c r="MYQ85" s="0"/>
      <c r="MYR85" s="0"/>
      <c r="MYS85" s="0"/>
      <c r="MYT85" s="0"/>
      <c r="MYU85" s="0"/>
      <c r="MYV85" s="0"/>
      <c r="MYW85" s="0"/>
      <c r="MYX85" s="0"/>
      <c r="MYY85" s="0"/>
      <c r="MYZ85" s="0"/>
      <c r="MZA85" s="0"/>
      <c r="MZB85" s="0"/>
      <c r="MZC85" s="0"/>
      <c r="MZD85" s="0"/>
      <c r="MZE85" s="0"/>
      <c r="MZF85" s="0"/>
      <c r="MZG85" s="0"/>
      <c r="MZH85" s="0"/>
      <c r="MZI85" s="0"/>
      <c r="MZJ85" s="0"/>
      <c r="MZK85" s="0"/>
      <c r="MZL85" s="0"/>
      <c r="MZM85" s="0"/>
      <c r="MZN85" s="0"/>
      <c r="MZO85" s="0"/>
      <c r="MZP85" s="0"/>
      <c r="MZQ85" s="0"/>
      <c r="MZR85" s="0"/>
      <c r="MZS85" s="0"/>
      <c r="MZT85" s="0"/>
      <c r="MZU85" s="0"/>
      <c r="MZV85" s="0"/>
      <c r="MZW85" s="0"/>
      <c r="MZX85" s="0"/>
      <c r="MZY85" s="0"/>
      <c r="MZZ85" s="0"/>
      <c r="NAA85" s="0"/>
      <c r="NAB85" s="0"/>
      <c r="NAC85" s="0"/>
      <c r="NAD85" s="0"/>
      <c r="NAE85" s="0"/>
      <c r="NAF85" s="0"/>
      <c r="NAG85" s="0"/>
      <c r="NAH85" s="0"/>
      <c r="NAI85" s="0"/>
      <c r="NAJ85" s="0"/>
      <c r="NAK85" s="0"/>
      <c r="NAL85" s="0"/>
      <c r="NAM85" s="0"/>
      <c r="NAN85" s="0"/>
      <c r="NAO85" s="0"/>
      <c r="NAP85" s="0"/>
      <c r="NAQ85" s="0"/>
      <c r="NAR85" s="0"/>
      <c r="NAS85" s="0"/>
      <c r="NAT85" s="0"/>
      <c r="NAU85" s="0"/>
      <c r="NAV85" s="0"/>
      <c r="NAW85" s="0"/>
      <c r="NAX85" s="0"/>
      <c r="NAY85" s="0"/>
      <c r="NAZ85" s="0"/>
      <c r="NBA85" s="0"/>
      <c r="NBB85" s="0"/>
      <c r="NBC85" s="0"/>
      <c r="NBD85" s="0"/>
      <c r="NBE85" s="0"/>
      <c r="NBF85" s="0"/>
      <c r="NBG85" s="0"/>
      <c r="NBH85" s="0"/>
      <c r="NBI85" s="0"/>
      <c r="NBJ85" s="0"/>
      <c r="NBK85" s="0"/>
      <c r="NBL85" s="0"/>
      <c r="NBM85" s="0"/>
      <c r="NBN85" s="0"/>
      <c r="NBO85" s="0"/>
      <c r="NBP85" s="0"/>
      <c r="NBQ85" s="0"/>
      <c r="NBR85" s="0"/>
      <c r="NBS85" s="0"/>
      <c r="NBT85" s="0"/>
      <c r="NBU85" s="0"/>
      <c r="NBV85" s="0"/>
      <c r="NBW85" s="0"/>
      <c r="NBX85" s="0"/>
      <c r="NBY85" s="0"/>
      <c r="NBZ85" s="0"/>
      <c r="NCA85" s="0"/>
      <c r="NCB85" s="0"/>
      <c r="NCC85" s="0"/>
      <c r="NCD85" s="0"/>
      <c r="NCE85" s="0"/>
      <c r="NCF85" s="0"/>
      <c r="NCG85" s="0"/>
      <c r="NCH85" s="0"/>
      <c r="NCI85" s="0"/>
      <c r="NCJ85" s="0"/>
      <c r="NCK85" s="0"/>
      <c r="NCL85" s="0"/>
      <c r="NCM85" s="0"/>
      <c r="NCN85" s="0"/>
      <c r="NCO85" s="0"/>
      <c r="NCP85" s="0"/>
      <c r="NCQ85" s="0"/>
      <c r="NCR85" s="0"/>
      <c r="NCS85" s="0"/>
      <c r="NCT85" s="0"/>
      <c r="NCU85" s="0"/>
      <c r="NCV85" s="0"/>
      <c r="NCW85" s="0"/>
      <c r="NCX85" s="0"/>
      <c r="NCY85" s="0"/>
      <c r="NCZ85" s="0"/>
      <c r="NDA85" s="0"/>
      <c r="NDB85" s="0"/>
      <c r="NDC85" s="0"/>
      <c r="NDD85" s="0"/>
      <c r="NDE85" s="0"/>
      <c r="NDF85" s="0"/>
      <c r="NDG85" s="0"/>
      <c r="NDH85" s="0"/>
      <c r="NDI85" s="0"/>
      <c r="NDJ85" s="0"/>
      <c r="NDK85" s="0"/>
      <c r="NDL85" s="0"/>
      <c r="NDM85" s="0"/>
      <c r="NDN85" s="0"/>
      <c r="NDO85" s="0"/>
      <c r="NDP85" s="0"/>
      <c r="NDQ85" s="0"/>
      <c r="NDR85" s="0"/>
      <c r="NDS85" s="0"/>
      <c r="NDT85" s="0"/>
      <c r="NDU85" s="0"/>
      <c r="NDV85" s="0"/>
      <c r="NDW85" s="0"/>
      <c r="NDX85" s="0"/>
      <c r="NDY85" s="0"/>
      <c r="NDZ85" s="0"/>
      <c r="NEA85" s="0"/>
      <c r="NEB85" s="0"/>
      <c r="NEC85" s="0"/>
      <c r="NED85" s="0"/>
      <c r="NEE85" s="0"/>
      <c r="NEF85" s="0"/>
      <c r="NEG85" s="0"/>
      <c r="NEH85" s="0"/>
      <c r="NEI85" s="0"/>
      <c r="NEJ85" s="0"/>
      <c r="NEK85" s="0"/>
      <c r="NEL85" s="0"/>
      <c r="NEM85" s="0"/>
      <c r="NEN85" s="0"/>
      <c r="NEO85" s="0"/>
      <c r="NEP85" s="0"/>
      <c r="NEQ85" s="0"/>
      <c r="NER85" s="0"/>
      <c r="NES85" s="0"/>
      <c r="NET85" s="0"/>
      <c r="NEU85" s="0"/>
      <c r="NEV85" s="0"/>
      <c r="NEW85" s="0"/>
      <c r="NEX85" s="0"/>
      <c r="NEY85" s="0"/>
      <c r="NEZ85" s="0"/>
      <c r="NFA85" s="0"/>
      <c r="NFB85" s="0"/>
      <c r="NFC85" s="0"/>
      <c r="NFD85" s="0"/>
      <c r="NFE85" s="0"/>
      <c r="NFF85" s="0"/>
      <c r="NFG85" s="0"/>
      <c r="NFH85" s="0"/>
      <c r="NFI85" s="0"/>
      <c r="NFJ85" s="0"/>
      <c r="NFK85" s="0"/>
      <c r="NFL85" s="0"/>
      <c r="NFM85" s="0"/>
      <c r="NFN85" s="0"/>
      <c r="NFO85" s="0"/>
      <c r="NFP85" s="0"/>
      <c r="NFQ85" s="0"/>
      <c r="NFR85" s="0"/>
      <c r="NFS85" s="0"/>
      <c r="NFT85" s="0"/>
      <c r="NFU85" s="0"/>
      <c r="NFV85" s="0"/>
      <c r="NFW85" s="0"/>
      <c r="NFX85" s="0"/>
      <c r="NFY85" s="0"/>
      <c r="NFZ85" s="0"/>
      <c r="NGA85" s="0"/>
      <c r="NGB85" s="0"/>
      <c r="NGC85" s="0"/>
      <c r="NGD85" s="0"/>
      <c r="NGE85" s="0"/>
      <c r="NGF85" s="0"/>
      <c r="NGG85" s="0"/>
      <c r="NGH85" s="0"/>
      <c r="NGI85" s="0"/>
      <c r="NGJ85" s="0"/>
      <c r="NGK85" s="0"/>
      <c r="NGL85" s="0"/>
      <c r="NGM85" s="0"/>
      <c r="NGN85" s="0"/>
      <c r="NGO85" s="0"/>
      <c r="NGP85" s="0"/>
      <c r="NGQ85" s="0"/>
      <c r="NGR85" s="0"/>
      <c r="NGS85" s="0"/>
      <c r="NGT85" s="0"/>
      <c r="NGU85" s="0"/>
      <c r="NGV85" s="0"/>
      <c r="NGW85" s="0"/>
      <c r="NGX85" s="0"/>
      <c r="NGY85" s="0"/>
      <c r="NGZ85" s="0"/>
      <c r="NHA85" s="0"/>
      <c r="NHB85" s="0"/>
      <c r="NHC85" s="0"/>
      <c r="NHD85" s="0"/>
      <c r="NHE85" s="0"/>
      <c r="NHF85" s="0"/>
      <c r="NHG85" s="0"/>
      <c r="NHH85" s="0"/>
      <c r="NHI85" s="0"/>
      <c r="NHJ85" s="0"/>
      <c r="NHK85" s="0"/>
      <c r="NHL85" s="0"/>
      <c r="NHM85" s="0"/>
      <c r="NHN85" s="0"/>
      <c r="NHO85" s="0"/>
      <c r="NHP85" s="0"/>
      <c r="NHQ85" s="0"/>
      <c r="NHR85" s="0"/>
      <c r="NHS85" s="0"/>
      <c r="NHT85" s="0"/>
      <c r="NHU85" s="0"/>
      <c r="NHV85" s="0"/>
      <c r="NHW85" s="0"/>
      <c r="NHX85" s="0"/>
      <c r="NHY85" s="0"/>
      <c r="NHZ85" s="0"/>
      <c r="NIA85" s="0"/>
      <c r="NIB85" s="0"/>
      <c r="NIC85" s="0"/>
      <c r="NID85" s="0"/>
      <c r="NIE85" s="0"/>
      <c r="NIF85" s="0"/>
      <c r="NIG85" s="0"/>
      <c r="NIH85" s="0"/>
      <c r="NII85" s="0"/>
      <c r="NIJ85" s="0"/>
      <c r="NIK85" s="0"/>
      <c r="NIL85" s="0"/>
      <c r="NIM85" s="0"/>
      <c r="NIN85" s="0"/>
      <c r="NIO85" s="0"/>
      <c r="NIP85" s="0"/>
      <c r="NIQ85" s="0"/>
      <c r="NIR85" s="0"/>
      <c r="NIS85" s="0"/>
      <c r="NIT85" s="0"/>
      <c r="NIU85" s="0"/>
      <c r="NIV85" s="0"/>
      <c r="NIW85" s="0"/>
      <c r="NIX85" s="0"/>
      <c r="NIY85" s="0"/>
      <c r="NIZ85" s="0"/>
      <c r="NJA85" s="0"/>
      <c r="NJB85" s="0"/>
      <c r="NJC85" s="0"/>
      <c r="NJD85" s="0"/>
      <c r="NJE85" s="0"/>
      <c r="NJF85" s="0"/>
      <c r="NJG85" s="0"/>
      <c r="NJH85" s="0"/>
      <c r="NJI85" s="0"/>
      <c r="NJJ85" s="0"/>
      <c r="NJK85" s="0"/>
      <c r="NJL85" s="0"/>
      <c r="NJM85" s="0"/>
      <c r="NJN85" s="0"/>
      <c r="NJO85" s="0"/>
      <c r="NJP85" s="0"/>
      <c r="NJQ85" s="0"/>
      <c r="NJR85" s="0"/>
      <c r="NJS85" s="0"/>
      <c r="NJT85" s="0"/>
      <c r="NJU85" s="0"/>
      <c r="NJV85" s="0"/>
      <c r="NJW85" s="0"/>
      <c r="NJX85" s="0"/>
      <c r="NJY85" s="0"/>
      <c r="NJZ85" s="0"/>
      <c r="NKA85" s="0"/>
      <c r="NKB85" s="0"/>
      <c r="NKC85" s="0"/>
      <c r="NKD85" s="0"/>
      <c r="NKE85" s="0"/>
      <c r="NKF85" s="0"/>
      <c r="NKG85" s="0"/>
      <c r="NKH85" s="0"/>
      <c r="NKI85" s="0"/>
      <c r="NKJ85" s="0"/>
      <c r="NKK85" s="0"/>
      <c r="NKL85" s="0"/>
      <c r="NKM85" s="0"/>
      <c r="NKN85" s="0"/>
      <c r="NKO85" s="0"/>
      <c r="NKP85" s="0"/>
      <c r="NKQ85" s="0"/>
      <c r="NKR85" s="0"/>
      <c r="NKS85" s="0"/>
      <c r="NKT85" s="0"/>
      <c r="NKU85" s="0"/>
      <c r="NKV85" s="0"/>
      <c r="NKW85" s="0"/>
      <c r="NKX85" s="0"/>
      <c r="NKY85" s="0"/>
      <c r="NKZ85" s="0"/>
      <c r="NLA85" s="0"/>
      <c r="NLB85" s="0"/>
      <c r="NLC85" s="0"/>
      <c r="NLD85" s="0"/>
      <c r="NLE85" s="0"/>
      <c r="NLF85" s="0"/>
      <c r="NLG85" s="0"/>
      <c r="NLH85" s="0"/>
      <c r="NLI85" s="0"/>
      <c r="NLJ85" s="0"/>
      <c r="NLK85" s="0"/>
      <c r="NLL85" s="0"/>
      <c r="NLM85" s="0"/>
      <c r="NLN85" s="0"/>
      <c r="NLO85" s="0"/>
      <c r="NLP85" s="0"/>
      <c r="NLQ85" s="0"/>
      <c r="NLR85" s="0"/>
      <c r="NLS85" s="0"/>
      <c r="NLT85" s="0"/>
      <c r="NLU85" s="0"/>
      <c r="NLV85" s="0"/>
      <c r="NLW85" s="0"/>
      <c r="NLX85" s="0"/>
      <c r="NLY85" s="0"/>
      <c r="NLZ85" s="0"/>
      <c r="NMA85" s="0"/>
      <c r="NMB85" s="0"/>
      <c r="NMC85" s="0"/>
      <c r="NMD85" s="0"/>
      <c r="NME85" s="0"/>
      <c r="NMF85" s="0"/>
      <c r="NMG85" s="0"/>
      <c r="NMH85" s="0"/>
      <c r="NMI85" s="0"/>
      <c r="NMJ85" s="0"/>
      <c r="NMK85" s="0"/>
      <c r="NML85" s="0"/>
      <c r="NMM85" s="0"/>
      <c r="NMN85" s="0"/>
      <c r="NMO85" s="0"/>
      <c r="NMP85" s="0"/>
      <c r="NMQ85" s="0"/>
      <c r="NMR85" s="0"/>
      <c r="NMS85" s="0"/>
      <c r="NMT85" s="0"/>
      <c r="NMU85" s="0"/>
      <c r="NMV85" s="0"/>
      <c r="NMW85" s="0"/>
      <c r="NMX85" s="0"/>
      <c r="NMY85" s="0"/>
      <c r="NMZ85" s="0"/>
      <c r="NNA85" s="0"/>
      <c r="NNB85" s="0"/>
      <c r="NNC85" s="0"/>
      <c r="NND85" s="0"/>
      <c r="NNE85" s="0"/>
      <c r="NNF85" s="0"/>
      <c r="NNG85" s="0"/>
      <c r="NNH85" s="0"/>
      <c r="NNI85" s="0"/>
      <c r="NNJ85" s="0"/>
      <c r="NNK85" s="0"/>
      <c r="NNL85" s="0"/>
      <c r="NNM85" s="0"/>
      <c r="NNN85" s="0"/>
      <c r="NNO85" s="0"/>
      <c r="NNP85" s="0"/>
      <c r="NNQ85" s="0"/>
      <c r="NNR85" s="0"/>
      <c r="NNS85" s="0"/>
      <c r="NNT85" s="0"/>
      <c r="NNU85" s="0"/>
      <c r="NNV85" s="0"/>
      <c r="NNW85" s="0"/>
      <c r="NNX85" s="0"/>
      <c r="NNY85" s="0"/>
      <c r="NNZ85" s="0"/>
      <c r="NOA85" s="0"/>
      <c r="NOB85" s="0"/>
      <c r="NOC85" s="0"/>
      <c r="NOD85" s="0"/>
      <c r="NOE85" s="0"/>
      <c r="NOF85" s="0"/>
      <c r="NOG85" s="0"/>
      <c r="NOH85" s="0"/>
      <c r="NOI85" s="0"/>
      <c r="NOJ85" s="0"/>
      <c r="NOK85" s="0"/>
      <c r="NOL85" s="0"/>
      <c r="NOM85" s="0"/>
      <c r="NON85" s="0"/>
      <c r="NOO85" s="0"/>
      <c r="NOP85" s="0"/>
      <c r="NOQ85" s="0"/>
      <c r="NOR85" s="0"/>
      <c r="NOS85" s="0"/>
      <c r="NOT85" s="0"/>
      <c r="NOU85" s="0"/>
      <c r="NOV85" s="0"/>
      <c r="NOW85" s="0"/>
      <c r="NOX85" s="0"/>
      <c r="NOY85" s="0"/>
      <c r="NOZ85" s="0"/>
      <c r="NPA85" s="0"/>
      <c r="NPB85" s="0"/>
      <c r="NPC85" s="0"/>
      <c r="NPD85" s="0"/>
      <c r="NPE85" s="0"/>
      <c r="NPF85" s="0"/>
      <c r="NPG85" s="0"/>
      <c r="NPH85" s="0"/>
      <c r="NPI85" s="0"/>
      <c r="NPJ85" s="0"/>
      <c r="NPK85" s="0"/>
      <c r="NPL85" s="0"/>
      <c r="NPM85" s="0"/>
      <c r="NPN85" s="0"/>
      <c r="NPO85" s="0"/>
      <c r="NPP85" s="0"/>
      <c r="NPQ85" s="0"/>
      <c r="NPR85" s="0"/>
      <c r="NPS85" s="0"/>
      <c r="NPT85" s="0"/>
      <c r="NPU85" s="0"/>
      <c r="NPV85" s="0"/>
      <c r="NPW85" s="0"/>
      <c r="NPX85" s="0"/>
      <c r="NPY85" s="0"/>
      <c r="NPZ85" s="0"/>
      <c r="NQA85" s="0"/>
      <c r="NQB85" s="0"/>
      <c r="NQC85" s="0"/>
      <c r="NQD85" s="0"/>
      <c r="NQE85" s="0"/>
      <c r="NQF85" s="0"/>
      <c r="NQG85" s="0"/>
      <c r="NQH85" s="0"/>
      <c r="NQI85" s="0"/>
      <c r="NQJ85" s="0"/>
      <c r="NQK85" s="0"/>
      <c r="NQL85" s="0"/>
      <c r="NQM85" s="0"/>
      <c r="NQN85" s="0"/>
      <c r="NQO85" s="0"/>
      <c r="NQP85" s="0"/>
      <c r="NQQ85" s="0"/>
      <c r="NQR85" s="0"/>
      <c r="NQS85" s="0"/>
      <c r="NQT85" s="0"/>
      <c r="NQU85" s="0"/>
      <c r="NQV85" s="0"/>
      <c r="NQW85" s="0"/>
      <c r="NQX85" s="0"/>
      <c r="NQY85" s="0"/>
      <c r="NQZ85" s="0"/>
      <c r="NRA85" s="0"/>
      <c r="NRB85" s="0"/>
      <c r="NRC85" s="0"/>
      <c r="NRD85" s="0"/>
      <c r="NRE85" s="0"/>
      <c r="NRF85" s="0"/>
      <c r="NRG85" s="0"/>
      <c r="NRH85" s="0"/>
      <c r="NRI85" s="0"/>
      <c r="NRJ85" s="0"/>
      <c r="NRK85" s="0"/>
      <c r="NRL85" s="0"/>
      <c r="NRM85" s="0"/>
      <c r="NRN85" s="0"/>
      <c r="NRO85" s="0"/>
      <c r="NRP85" s="0"/>
      <c r="NRQ85" s="0"/>
      <c r="NRR85" s="0"/>
      <c r="NRS85" s="0"/>
      <c r="NRT85" s="0"/>
      <c r="NRU85" s="0"/>
      <c r="NRV85" s="0"/>
      <c r="NRW85" s="0"/>
      <c r="NRX85" s="0"/>
      <c r="NRY85" s="0"/>
      <c r="NRZ85" s="0"/>
      <c r="NSA85" s="0"/>
      <c r="NSB85" s="0"/>
      <c r="NSC85" s="0"/>
      <c r="NSD85" s="0"/>
      <c r="NSE85" s="0"/>
      <c r="NSF85" s="0"/>
      <c r="NSG85" s="0"/>
      <c r="NSH85" s="0"/>
      <c r="NSI85" s="0"/>
      <c r="NSJ85" s="0"/>
      <c r="NSK85" s="0"/>
      <c r="NSL85" s="0"/>
      <c r="NSM85" s="0"/>
      <c r="NSN85" s="0"/>
      <c r="NSO85" s="0"/>
      <c r="NSP85" s="0"/>
      <c r="NSQ85" s="0"/>
      <c r="NSR85" s="0"/>
      <c r="NSS85" s="0"/>
      <c r="NST85" s="0"/>
      <c r="NSU85" s="0"/>
      <c r="NSV85" s="0"/>
      <c r="NSW85" s="0"/>
      <c r="NSX85" s="0"/>
      <c r="NSY85" s="0"/>
      <c r="NSZ85" s="0"/>
      <c r="NTA85" s="0"/>
      <c r="NTB85" s="0"/>
      <c r="NTC85" s="0"/>
      <c r="NTD85" s="0"/>
      <c r="NTE85" s="0"/>
      <c r="NTF85" s="0"/>
      <c r="NTG85" s="0"/>
      <c r="NTH85" s="0"/>
      <c r="NTI85" s="0"/>
      <c r="NTJ85" s="0"/>
      <c r="NTK85" s="0"/>
      <c r="NTL85" s="0"/>
      <c r="NTM85" s="0"/>
      <c r="NTN85" s="0"/>
      <c r="NTO85" s="0"/>
      <c r="NTP85" s="0"/>
      <c r="NTQ85" s="0"/>
      <c r="NTR85" s="0"/>
      <c r="NTS85" s="0"/>
      <c r="NTT85" s="0"/>
      <c r="NTU85" s="0"/>
      <c r="NTV85" s="0"/>
      <c r="NTW85" s="0"/>
      <c r="NTX85" s="0"/>
      <c r="NTY85" s="0"/>
      <c r="NTZ85" s="0"/>
      <c r="NUA85" s="0"/>
      <c r="NUB85" s="0"/>
      <c r="NUC85" s="0"/>
      <c r="NUD85" s="0"/>
      <c r="NUE85" s="0"/>
      <c r="NUF85" s="0"/>
      <c r="NUG85" s="0"/>
      <c r="NUH85" s="0"/>
      <c r="NUI85" s="0"/>
      <c r="NUJ85" s="0"/>
      <c r="NUK85" s="0"/>
      <c r="NUL85" s="0"/>
      <c r="NUM85" s="0"/>
      <c r="NUN85" s="0"/>
      <c r="NUO85" s="0"/>
      <c r="NUP85" s="0"/>
      <c r="NUQ85" s="0"/>
      <c r="NUR85" s="0"/>
      <c r="NUS85" s="0"/>
      <c r="NUT85" s="0"/>
      <c r="NUU85" s="0"/>
      <c r="NUV85" s="0"/>
      <c r="NUW85" s="0"/>
      <c r="NUX85" s="0"/>
      <c r="NUY85" s="0"/>
      <c r="NUZ85" s="0"/>
      <c r="NVA85" s="0"/>
      <c r="NVB85" s="0"/>
      <c r="NVC85" s="0"/>
      <c r="NVD85" s="0"/>
      <c r="NVE85" s="0"/>
      <c r="NVF85" s="0"/>
      <c r="NVG85" s="0"/>
      <c r="NVH85" s="0"/>
      <c r="NVI85" s="0"/>
      <c r="NVJ85" s="0"/>
      <c r="NVK85" s="0"/>
      <c r="NVL85" s="0"/>
      <c r="NVM85" s="0"/>
      <c r="NVN85" s="0"/>
      <c r="NVO85" s="0"/>
      <c r="NVP85" s="0"/>
      <c r="NVQ85" s="0"/>
      <c r="NVR85" s="0"/>
      <c r="NVS85" s="0"/>
      <c r="NVT85" s="0"/>
      <c r="NVU85" s="0"/>
      <c r="NVV85" s="0"/>
      <c r="NVW85" s="0"/>
      <c r="NVX85" s="0"/>
      <c r="NVY85" s="0"/>
      <c r="NVZ85" s="0"/>
      <c r="NWA85" s="0"/>
      <c r="NWB85" s="0"/>
      <c r="NWC85" s="0"/>
      <c r="NWD85" s="0"/>
      <c r="NWE85" s="0"/>
      <c r="NWF85" s="0"/>
      <c r="NWG85" s="0"/>
      <c r="NWH85" s="0"/>
      <c r="NWI85" s="0"/>
      <c r="NWJ85" s="0"/>
      <c r="NWK85" s="0"/>
      <c r="NWL85" s="0"/>
      <c r="NWM85" s="0"/>
      <c r="NWN85" s="0"/>
      <c r="NWO85" s="0"/>
      <c r="NWP85" s="0"/>
      <c r="NWQ85" s="0"/>
      <c r="NWR85" s="0"/>
      <c r="NWS85" s="0"/>
      <c r="NWT85" s="0"/>
      <c r="NWU85" s="0"/>
      <c r="NWV85" s="0"/>
      <c r="NWW85" s="0"/>
      <c r="NWX85" s="0"/>
      <c r="NWY85" s="0"/>
      <c r="NWZ85" s="0"/>
      <c r="NXA85" s="0"/>
      <c r="NXB85" s="0"/>
      <c r="NXC85" s="0"/>
      <c r="NXD85" s="0"/>
      <c r="NXE85" s="0"/>
      <c r="NXF85" s="0"/>
      <c r="NXG85" s="0"/>
      <c r="NXH85" s="0"/>
      <c r="NXI85" s="0"/>
      <c r="NXJ85" s="0"/>
      <c r="NXK85" s="0"/>
      <c r="NXL85" s="0"/>
      <c r="NXM85" s="0"/>
      <c r="NXN85" s="0"/>
      <c r="NXO85" s="0"/>
      <c r="NXP85" s="0"/>
      <c r="NXQ85" s="0"/>
      <c r="NXR85" s="0"/>
      <c r="NXS85" s="0"/>
      <c r="NXT85" s="0"/>
      <c r="NXU85" s="0"/>
      <c r="NXV85" s="0"/>
      <c r="NXW85" s="0"/>
      <c r="NXX85" s="0"/>
      <c r="NXY85" s="0"/>
      <c r="NXZ85" s="0"/>
      <c r="NYA85" s="0"/>
      <c r="NYB85" s="0"/>
      <c r="NYC85" s="0"/>
      <c r="NYD85" s="0"/>
      <c r="NYE85" s="0"/>
      <c r="NYF85" s="0"/>
      <c r="NYG85" s="0"/>
      <c r="NYH85" s="0"/>
      <c r="NYI85" s="0"/>
      <c r="NYJ85" s="0"/>
      <c r="NYK85" s="0"/>
      <c r="NYL85" s="0"/>
      <c r="NYM85" s="0"/>
      <c r="NYN85" s="0"/>
      <c r="NYO85" s="0"/>
      <c r="NYP85" s="0"/>
      <c r="NYQ85" s="0"/>
      <c r="NYR85" s="0"/>
      <c r="NYS85" s="0"/>
      <c r="NYT85" s="0"/>
      <c r="NYU85" s="0"/>
      <c r="NYV85" s="0"/>
      <c r="NYW85" s="0"/>
      <c r="NYX85" s="0"/>
      <c r="NYY85" s="0"/>
      <c r="NYZ85" s="0"/>
      <c r="NZA85" s="0"/>
      <c r="NZB85" s="0"/>
      <c r="NZC85" s="0"/>
      <c r="NZD85" s="0"/>
      <c r="NZE85" s="0"/>
      <c r="NZF85" s="0"/>
      <c r="NZG85" s="0"/>
      <c r="NZH85" s="0"/>
      <c r="NZI85" s="0"/>
      <c r="NZJ85" s="0"/>
      <c r="NZK85" s="0"/>
      <c r="NZL85" s="0"/>
      <c r="NZM85" s="0"/>
      <c r="NZN85" s="0"/>
      <c r="NZO85" s="0"/>
      <c r="NZP85" s="0"/>
      <c r="NZQ85" s="0"/>
      <c r="NZR85" s="0"/>
      <c r="NZS85" s="0"/>
      <c r="NZT85" s="0"/>
      <c r="NZU85" s="0"/>
      <c r="NZV85" s="0"/>
      <c r="NZW85" s="0"/>
      <c r="NZX85" s="0"/>
      <c r="NZY85" s="0"/>
      <c r="NZZ85" s="0"/>
      <c r="OAA85" s="0"/>
      <c r="OAB85" s="0"/>
      <c r="OAC85" s="0"/>
      <c r="OAD85" s="0"/>
      <c r="OAE85" s="0"/>
      <c r="OAF85" s="0"/>
      <c r="OAG85" s="0"/>
      <c r="OAH85" s="0"/>
      <c r="OAI85" s="0"/>
      <c r="OAJ85" s="0"/>
      <c r="OAK85" s="0"/>
      <c r="OAL85" s="0"/>
      <c r="OAM85" s="0"/>
      <c r="OAN85" s="0"/>
      <c r="OAO85" s="0"/>
      <c r="OAP85" s="0"/>
      <c r="OAQ85" s="0"/>
      <c r="OAR85" s="0"/>
      <c r="OAS85" s="0"/>
      <c r="OAT85" s="0"/>
      <c r="OAU85" s="0"/>
      <c r="OAV85" s="0"/>
      <c r="OAW85" s="0"/>
      <c r="OAX85" s="0"/>
      <c r="OAY85" s="0"/>
      <c r="OAZ85" s="0"/>
      <c r="OBA85" s="0"/>
      <c r="OBB85" s="0"/>
      <c r="OBC85" s="0"/>
      <c r="OBD85" s="0"/>
      <c r="OBE85" s="0"/>
      <c r="OBF85" s="0"/>
      <c r="OBG85" s="0"/>
      <c r="OBH85" s="0"/>
      <c r="OBI85" s="0"/>
      <c r="OBJ85" s="0"/>
      <c r="OBK85" s="0"/>
      <c r="OBL85" s="0"/>
      <c r="OBM85" s="0"/>
      <c r="OBN85" s="0"/>
      <c r="OBO85" s="0"/>
      <c r="OBP85" s="0"/>
      <c r="OBQ85" s="0"/>
      <c r="OBR85" s="0"/>
      <c r="OBS85" s="0"/>
      <c r="OBT85" s="0"/>
      <c r="OBU85" s="0"/>
      <c r="OBV85" s="0"/>
      <c r="OBW85" s="0"/>
      <c r="OBX85" s="0"/>
      <c r="OBY85" s="0"/>
      <c r="OBZ85" s="0"/>
      <c r="OCA85" s="0"/>
      <c r="OCB85" s="0"/>
      <c r="OCC85" s="0"/>
      <c r="OCD85" s="0"/>
      <c r="OCE85" s="0"/>
      <c r="OCF85" s="0"/>
      <c r="OCG85" s="0"/>
      <c r="OCH85" s="0"/>
      <c r="OCI85" s="0"/>
      <c r="OCJ85" s="0"/>
      <c r="OCK85" s="0"/>
      <c r="OCL85" s="0"/>
      <c r="OCM85" s="0"/>
      <c r="OCN85" s="0"/>
      <c r="OCO85" s="0"/>
      <c r="OCP85" s="0"/>
      <c r="OCQ85" s="0"/>
      <c r="OCR85" s="0"/>
      <c r="OCS85" s="0"/>
      <c r="OCT85" s="0"/>
      <c r="OCU85" s="0"/>
      <c r="OCV85" s="0"/>
      <c r="OCW85" s="0"/>
      <c r="OCX85" s="0"/>
      <c r="OCY85" s="0"/>
      <c r="OCZ85" s="0"/>
      <c r="ODA85" s="0"/>
      <c r="ODB85" s="0"/>
      <c r="ODC85" s="0"/>
      <c r="ODD85" s="0"/>
      <c r="ODE85" s="0"/>
      <c r="ODF85" s="0"/>
      <c r="ODG85" s="0"/>
      <c r="ODH85" s="0"/>
      <c r="ODI85" s="0"/>
      <c r="ODJ85" s="0"/>
      <c r="ODK85" s="0"/>
      <c r="ODL85" s="0"/>
      <c r="ODM85" s="0"/>
      <c r="ODN85" s="0"/>
      <c r="ODO85" s="0"/>
      <c r="ODP85" s="0"/>
      <c r="ODQ85" s="0"/>
      <c r="ODR85" s="0"/>
      <c r="ODS85" s="0"/>
      <c r="ODT85" s="0"/>
      <c r="ODU85" s="0"/>
      <c r="ODV85" s="0"/>
      <c r="ODW85" s="0"/>
      <c r="ODX85" s="0"/>
      <c r="ODY85" s="0"/>
      <c r="ODZ85" s="0"/>
      <c r="OEA85" s="0"/>
      <c r="OEB85" s="0"/>
      <c r="OEC85" s="0"/>
      <c r="OED85" s="0"/>
      <c r="OEE85" s="0"/>
      <c r="OEF85" s="0"/>
      <c r="OEG85" s="0"/>
      <c r="OEH85" s="0"/>
      <c r="OEI85" s="0"/>
      <c r="OEJ85" s="0"/>
      <c r="OEK85" s="0"/>
      <c r="OEL85" s="0"/>
      <c r="OEM85" s="0"/>
      <c r="OEN85" s="0"/>
      <c r="OEO85" s="0"/>
      <c r="OEP85" s="0"/>
      <c r="OEQ85" s="0"/>
      <c r="OER85" s="0"/>
      <c r="OES85" s="0"/>
      <c r="OET85" s="0"/>
      <c r="OEU85" s="0"/>
      <c r="OEV85" s="0"/>
      <c r="OEW85" s="0"/>
      <c r="OEX85" s="0"/>
      <c r="OEY85" s="0"/>
      <c r="OEZ85" s="0"/>
      <c r="OFA85" s="0"/>
      <c r="OFB85" s="0"/>
      <c r="OFC85" s="0"/>
      <c r="OFD85" s="0"/>
      <c r="OFE85" s="0"/>
      <c r="OFF85" s="0"/>
      <c r="OFG85" s="0"/>
      <c r="OFH85" s="0"/>
      <c r="OFI85" s="0"/>
      <c r="OFJ85" s="0"/>
      <c r="OFK85" s="0"/>
      <c r="OFL85" s="0"/>
      <c r="OFM85" s="0"/>
      <c r="OFN85" s="0"/>
      <c r="OFO85" s="0"/>
      <c r="OFP85" s="0"/>
      <c r="OFQ85" s="0"/>
      <c r="OFR85" s="0"/>
      <c r="OFS85" s="0"/>
      <c r="OFT85" s="0"/>
      <c r="OFU85" s="0"/>
      <c r="OFV85" s="0"/>
      <c r="OFW85" s="0"/>
      <c r="OFX85" s="0"/>
      <c r="OFY85" s="0"/>
      <c r="OFZ85" s="0"/>
      <c r="OGA85" s="0"/>
      <c r="OGB85" s="0"/>
      <c r="OGC85" s="0"/>
      <c r="OGD85" s="0"/>
      <c r="OGE85" s="0"/>
      <c r="OGF85" s="0"/>
      <c r="OGG85" s="0"/>
      <c r="OGH85" s="0"/>
      <c r="OGI85" s="0"/>
      <c r="OGJ85" s="0"/>
      <c r="OGK85" s="0"/>
      <c r="OGL85" s="0"/>
      <c r="OGM85" s="0"/>
      <c r="OGN85" s="0"/>
      <c r="OGO85" s="0"/>
      <c r="OGP85" s="0"/>
      <c r="OGQ85" s="0"/>
      <c r="OGR85" s="0"/>
      <c r="OGS85" s="0"/>
      <c r="OGT85" s="0"/>
      <c r="OGU85" s="0"/>
      <c r="OGV85" s="0"/>
      <c r="OGW85" s="0"/>
      <c r="OGX85" s="0"/>
      <c r="OGY85" s="0"/>
      <c r="OGZ85" s="0"/>
      <c r="OHA85" s="0"/>
      <c r="OHB85" s="0"/>
      <c r="OHC85" s="0"/>
      <c r="OHD85" s="0"/>
      <c r="OHE85" s="0"/>
      <c r="OHF85" s="0"/>
      <c r="OHG85" s="0"/>
      <c r="OHH85" s="0"/>
      <c r="OHI85" s="0"/>
      <c r="OHJ85" s="0"/>
      <c r="OHK85" s="0"/>
      <c r="OHL85" s="0"/>
      <c r="OHM85" s="0"/>
      <c r="OHN85" s="0"/>
      <c r="OHO85" s="0"/>
      <c r="OHP85" s="0"/>
      <c r="OHQ85" s="0"/>
      <c r="OHR85" s="0"/>
      <c r="OHS85" s="0"/>
      <c r="OHT85" s="0"/>
      <c r="OHU85" s="0"/>
      <c r="OHV85" s="0"/>
      <c r="OHW85" s="0"/>
      <c r="OHX85" s="0"/>
      <c r="OHY85" s="0"/>
      <c r="OHZ85" s="0"/>
      <c r="OIA85" s="0"/>
      <c r="OIB85" s="0"/>
      <c r="OIC85" s="0"/>
      <c r="OID85" s="0"/>
      <c r="OIE85" s="0"/>
      <c r="OIF85" s="0"/>
      <c r="OIG85" s="0"/>
      <c r="OIH85" s="0"/>
      <c r="OII85" s="0"/>
      <c r="OIJ85" s="0"/>
      <c r="OIK85" s="0"/>
      <c r="OIL85" s="0"/>
      <c r="OIM85" s="0"/>
      <c r="OIN85" s="0"/>
      <c r="OIO85" s="0"/>
      <c r="OIP85" s="0"/>
      <c r="OIQ85" s="0"/>
      <c r="OIR85" s="0"/>
      <c r="OIS85" s="0"/>
      <c r="OIT85" s="0"/>
      <c r="OIU85" s="0"/>
      <c r="OIV85" s="0"/>
      <c r="OIW85" s="0"/>
      <c r="OIX85" s="0"/>
      <c r="OIY85" s="0"/>
      <c r="OIZ85" s="0"/>
      <c r="OJA85" s="0"/>
      <c r="OJB85" s="0"/>
      <c r="OJC85" s="0"/>
      <c r="OJD85" s="0"/>
      <c r="OJE85" s="0"/>
      <c r="OJF85" s="0"/>
      <c r="OJG85" s="0"/>
      <c r="OJH85" s="0"/>
      <c r="OJI85" s="0"/>
      <c r="OJJ85" s="0"/>
      <c r="OJK85" s="0"/>
      <c r="OJL85" s="0"/>
      <c r="OJM85" s="0"/>
      <c r="OJN85" s="0"/>
      <c r="OJO85" s="0"/>
      <c r="OJP85" s="0"/>
      <c r="OJQ85" s="0"/>
      <c r="OJR85" s="0"/>
      <c r="OJS85" s="0"/>
      <c r="OJT85" s="0"/>
      <c r="OJU85" s="0"/>
      <c r="OJV85" s="0"/>
      <c r="OJW85" s="0"/>
      <c r="OJX85" s="0"/>
      <c r="OJY85" s="0"/>
      <c r="OJZ85" s="0"/>
      <c r="OKA85" s="0"/>
      <c r="OKB85" s="0"/>
      <c r="OKC85" s="0"/>
      <c r="OKD85" s="0"/>
      <c r="OKE85" s="0"/>
      <c r="OKF85" s="0"/>
      <c r="OKG85" s="0"/>
      <c r="OKH85" s="0"/>
      <c r="OKI85" s="0"/>
      <c r="OKJ85" s="0"/>
      <c r="OKK85" s="0"/>
      <c r="OKL85" s="0"/>
      <c r="OKM85" s="0"/>
      <c r="OKN85" s="0"/>
      <c r="OKO85" s="0"/>
      <c r="OKP85" s="0"/>
      <c r="OKQ85" s="0"/>
      <c r="OKR85" s="0"/>
      <c r="OKS85" s="0"/>
      <c r="OKT85" s="0"/>
      <c r="OKU85" s="0"/>
      <c r="OKV85" s="0"/>
      <c r="OKW85" s="0"/>
      <c r="OKX85" s="0"/>
      <c r="OKY85" s="0"/>
      <c r="OKZ85" s="0"/>
      <c r="OLA85" s="0"/>
      <c r="OLB85" s="0"/>
      <c r="OLC85" s="0"/>
      <c r="OLD85" s="0"/>
      <c r="OLE85" s="0"/>
      <c r="OLF85" s="0"/>
      <c r="OLG85" s="0"/>
      <c r="OLH85" s="0"/>
      <c r="OLI85" s="0"/>
      <c r="OLJ85" s="0"/>
      <c r="OLK85" s="0"/>
      <c r="OLL85" s="0"/>
      <c r="OLM85" s="0"/>
      <c r="OLN85" s="0"/>
      <c r="OLO85" s="0"/>
      <c r="OLP85" s="0"/>
      <c r="OLQ85" s="0"/>
      <c r="OLR85" s="0"/>
      <c r="OLS85" s="0"/>
      <c r="OLT85" s="0"/>
      <c r="OLU85" s="0"/>
      <c r="OLV85" s="0"/>
      <c r="OLW85" s="0"/>
      <c r="OLX85" s="0"/>
      <c r="OLY85" s="0"/>
      <c r="OLZ85" s="0"/>
      <c r="OMA85" s="0"/>
      <c r="OMB85" s="0"/>
      <c r="OMC85" s="0"/>
      <c r="OMD85" s="0"/>
      <c r="OME85" s="0"/>
      <c r="OMF85" s="0"/>
      <c r="OMG85" s="0"/>
      <c r="OMH85" s="0"/>
      <c r="OMI85" s="0"/>
      <c r="OMJ85" s="0"/>
      <c r="OMK85" s="0"/>
      <c r="OML85" s="0"/>
      <c r="OMM85" s="0"/>
      <c r="OMN85" s="0"/>
      <c r="OMO85" s="0"/>
      <c r="OMP85" s="0"/>
      <c r="OMQ85" s="0"/>
      <c r="OMR85" s="0"/>
      <c r="OMS85" s="0"/>
      <c r="OMT85" s="0"/>
      <c r="OMU85" s="0"/>
      <c r="OMV85" s="0"/>
      <c r="OMW85" s="0"/>
      <c r="OMX85" s="0"/>
      <c r="OMY85" s="0"/>
      <c r="OMZ85" s="0"/>
      <c r="ONA85" s="0"/>
      <c r="ONB85" s="0"/>
      <c r="ONC85" s="0"/>
      <c r="OND85" s="0"/>
      <c r="ONE85" s="0"/>
      <c r="ONF85" s="0"/>
      <c r="ONG85" s="0"/>
      <c r="ONH85" s="0"/>
      <c r="ONI85" s="0"/>
      <c r="ONJ85" s="0"/>
      <c r="ONK85" s="0"/>
      <c r="ONL85" s="0"/>
      <c r="ONM85" s="0"/>
      <c r="ONN85" s="0"/>
      <c r="ONO85" s="0"/>
      <c r="ONP85" s="0"/>
      <c r="ONQ85" s="0"/>
      <c r="ONR85" s="0"/>
      <c r="ONS85" s="0"/>
      <c r="ONT85" s="0"/>
      <c r="ONU85" s="0"/>
      <c r="ONV85" s="0"/>
      <c r="ONW85" s="0"/>
      <c r="ONX85" s="0"/>
      <c r="ONY85" s="0"/>
      <c r="ONZ85" s="0"/>
      <c r="OOA85" s="0"/>
      <c r="OOB85" s="0"/>
      <c r="OOC85" s="0"/>
      <c r="OOD85" s="0"/>
      <c r="OOE85" s="0"/>
      <c r="OOF85" s="0"/>
      <c r="OOG85" s="0"/>
      <c r="OOH85" s="0"/>
      <c r="OOI85" s="0"/>
      <c r="OOJ85" s="0"/>
      <c r="OOK85" s="0"/>
      <c r="OOL85" s="0"/>
      <c r="OOM85" s="0"/>
      <c r="OON85" s="0"/>
      <c r="OOO85" s="0"/>
      <c r="OOP85" s="0"/>
      <c r="OOQ85" s="0"/>
      <c r="OOR85" s="0"/>
      <c r="OOS85" s="0"/>
      <c r="OOT85" s="0"/>
      <c r="OOU85" s="0"/>
      <c r="OOV85" s="0"/>
      <c r="OOW85" s="0"/>
      <c r="OOX85" s="0"/>
      <c r="OOY85" s="0"/>
      <c r="OOZ85" s="0"/>
      <c r="OPA85" s="0"/>
      <c r="OPB85" s="0"/>
      <c r="OPC85" s="0"/>
      <c r="OPD85" s="0"/>
      <c r="OPE85" s="0"/>
      <c r="OPF85" s="0"/>
      <c r="OPG85" s="0"/>
      <c r="OPH85" s="0"/>
      <c r="OPI85" s="0"/>
      <c r="OPJ85" s="0"/>
      <c r="OPK85" s="0"/>
      <c r="OPL85" s="0"/>
      <c r="OPM85" s="0"/>
      <c r="OPN85" s="0"/>
      <c r="OPO85" s="0"/>
      <c r="OPP85" s="0"/>
      <c r="OPQ85" s="0"/>
      <c r="OPR85" s="0"/>
      <c r="OPS85" s="0"/>
      <c r="OPT85" s="0"/>
      <c r="OPU85" s="0"/>
      <c r="OPV85" s="0"/>
      <c r="OPW85" s="0"/>
      <c r="OPX85" s="0"/>
      <c r="OPY85" s="0"/>
      <c r="OPZ85" s="0"/>
      <c r="OQA85" s="0"/>
      <c r="OQB85" s="0"/>
      <c r="OQC85" s="0"/>
      <c r="OQD85" s="0"/>
      <c r="OQE85" s="0"/>
      <c r="OQF85" s="0"/>
      <c r="OQG85" s="0"/>
      <c r="OQH85" s="0"/>
      <c r="OQI85" s="0"/>
      <c r="OQJ85" s="0"/>
      <c r="OQK85" s="0"/>
      <c r="OQL85" s="0"/>
      <c r="OQM85" s="0"/>
      <c r="OQN85" s="0"/>
      <c r="OQO85" s="0"/>
      <c r="OQP85" s="0"/>
      <c r="OQQ85" s="0"/>
      <c r="OQR85" s="0"/>
      <c r="OQS85" s="0"/>
      <c r="OQT85" s="0"/>
      <c r="OQU85" s="0"/>
      <c r="OQV85" s="0"/>
      <c r="OQW85" s="0"/>
      <c r="OQX85" s="0"/>
      <c r="OQY85" s="0"/>
      <c r="OQZ85" s="0"/>
      <c r="ORA85" s="0"/>
      <c r="ORB85" s="0"/>
      <c r="ORC85" s="0"/>
      <c r="ORD85" s="0"/>
      <c r="ORE85" s="0"/>
      <c r="ORF85" s="0"/>
      <c r="ORG85" s="0"/>
      <c r="ORH85" s="0"/>
      <c r="ORI85" s="0"/>
      <c r="ORJ85" s="0"/>
      <c r="ORK85" s="0"/>
      <c r="ORL85" s="0"/>
      <c r="ORM85" s="0"/>
      <c r="ORN85" s="0"/>
      <c r="ORO85" s="0"/>
      <c r="ORP85" s="0"/>
      <c r="ORQ85" s="0"/>
      <c r="ORR85" s="0"/>
      <c r="ORS85" s="0"/>
      <c r="ORT85" s="0"/>
      <c r="ORU85" s="0"/>
      <c r="ORV85" s="0"/>
      <c r="ORW85" s="0"/>
      <c r="ORX85" s="0"/>
      <c r="ORY85" s="0"/>
      <c r="ORZ85" s="0"/>
      <c r="OSA85" s="0"/>
      <c r="OSB85" s="0"/>
      <c r="OSC85" s="0"/>
      <c r="OSD85" s="0"/>
      <c r="OSE85" s="0"/>
      <c r="OSF85" s="0"/>
      <c r="OSG85" s="0"/>
      <c r="OSH85" s="0"/>
      <c r="OSI85" s="0"/>
      <c r="OSJ85" s="0"/>
      <c r="OSK85" s="0"/>
      <c r="OSL85" s="0"/>
      <c r="OSM85" s="0"/>
      <c r="OSN85" s="0"/>
      <c r="OSO85" s="0"/>
      <c r="OSP85" s="0"/>
      <c r="OSQ85" s="0"/>
      <c r="OSR85" s="0"/>
      <c r="OSS85" s="0"/>
      <c r="OST85" s="0"/>
      <c r="OSU85" s="0"/>
      <c r="OSV85" s="0"/>
      <c r="OSW85" s="0"/>
      <c r="OSX85" s="0"/>
      <c r="OSY85" s="0"/>
      <c r="OSZ85" s="0"/>
      <c r="OTA85" s="0"/>
      <c r="OTB85" s="0"/>
      <c r="OTC85" s="0"/>
      <c r="OTD85" s="0"/>
      <c r="OTE85" s="0"/>
      <c r="OTF85" s="0"/>
      <c r="OTG85" s="0"/>
      <c r="OTH85" s="0"/>
      <c r="OTI85" s="0"/>
      <c r="OTJ85" s="0"/>
      <c r="OTK85" s="0"/>
      <c r="OTL85" s="0"/>
      <c r="OTM85" s="0"/>
      <c r="OTN85" s="0"/>
      <c r="OTO85" s="0"/>
      <c r="OTP85" s="0"/>
      <c r="OTQ85" s="0"/>
      <c r="OTR85" s="0"/>
      <c r="OTS85" s="0"/>
      <c r="OTT85" s="0"/>
      <c r="OTU85" s="0"/>
      <c r="OTV85" s="0"/>
      <c r="OTW85" s="0"/>
      <c r="OTX85" s="0"/>
      <c r="OTY85" s="0"/>
      <c r="OTZ85" s="0"/>
      <c r="OUA85" s="0"/>
      <c r="OUB85" s="0"/>
      <c r="OUC85" s="0"/>
      <c r="OUD85" s="0"/>
      <c r="OUE85" s="0"/>
      <c r="OUF85" s="0"/>
      <c r="OUG85" s="0"/>
      <c r="OUH85" s="0"/>
      <c r="OUI85" s="0"/>
      <c r="OUJ85" s="0"/>
      <c r="OUK85" s="0"/>
      <c r="OUL85" s="0"/>
      <c r="OUM85" s="0"/>
      <c r="OUN85" s="0"/>
      <c r="OUO85" s="0"/>
      <c r="OUP85" s="0"/>
      <c r="OUQ85" s="0"/>
      <c r="OUR85" s="0"/>
      <c r="OUS85" s="0"/>
      <c r="OUT85" s="0"/>
      <c r="OUU85" s="0"/>
      <c r="OUV85" s="0"/>
      <c r="OUW85" s="0"/>
      <c r="OUX85" s="0"/>
      <c r="OUY85" s="0"/>
      <c r="OUZ85" s="0"/>
      <c r="OVA85" s="0"/>
      <c r="OVB85" s="0"/>
      <c r="OVC85" s="0"/>
      <c r="OVD85" s="0"/>
      <c r="OVE85" s="0"/>
      <c r="OVF85" s="0"/>
      <c r="OVG85" s="0"/>
      <c r="OVH85" s="0"/>
      <c r="OVI85" s="0"/>
      <c r="OVJ85" s="0"/>
      <c r="OVK85" s="0"/>
      <c r="OVL85" s="0"/>
      <c r="OVM85" s="0"/>
      <c r="OVN85" s="0"/>
      <c r="OVO85" s="0"/>
      <c r="OVP85" s="0"/>
      <c r="OVQ85" s="0"/>
      <c r="OVR85" s="0"/>
      <c r="OVS85" s="0"/>
      <c r="OVT85" s="0"/>
      <c r="OVU85" s="0"/>
      <c r="OVV85" s="0"/>
      <c r="OVW85" s="0"/>
      <c r="OVX85" s="0"/>
      <c r="OVY85" s="0"/>
      <c r="OVZ85" s="0"/>
      <c r="OWA85" s="0"/>
      <c r="OWB85" s="0"/>
      <c r="OWC85" s="0"/>
      <c r="OWD85" s="0"/>
      <c r="OWE85" s="0"/>
      <c r="OWF85" s="0"/>
      <c r="OWG85" s="0"/>
      <c r="OWH85" s="0"/>
      <c r="OWI85" s="0"/>
      <c r="OWJ85" s="0"/>
      <c r="OWK85" s="0"/>
      <c r="OWL85" s="0"/>
      <c r="OWM85" s="0"/>
      <c r="OWN85" s="0"/>
      <c r="OWO85" s="0"/>
      <c r="OWP85" s="0"/>
      <c r="OWQ85" s="0"/>
      <c r="OWR85" s="0"/>
      <c r="OWS85" s="0"/>
      <c r="OWT85" s="0"/>
      <c r="OWU85" s="0"/>
      <c r="OWV85" s="0"/>
      <c r="OWW85" s="0"/>
      <c r="OWX85" s="0"/>
      <c r="OWY85" s="0"/>
      <c r="OWZ85" s="0"/>
      <c r="OXA85" s="0"/>
      <c r="OXB85" s="0"/>
      <c r="OXC85" s="0"/>
      <c r="OXD85" s="0"/>
      <c r="OXE85" s="0"/>
      <c r="OXF85" s="0"/>
      <c r="OXG85" s="0"/>
      <c r="OXH85" s="0"/>
      <c r="OXI85" s="0"/>
      <c r="OXJ85" s="0"/>
      <c r="OXK85" s="0"/>
      <c r="OXL85" s="0"/>
      <c r="OXM85" s="0"/>
      <c r="OXN85" s="0"/>
      <c r="OXO85" s="0"/>
      <c r="OXP85" s="0"/>
      <c r="OXQ85" s="0"/>
      <c r="OXR85" s="0"/>
      <c r="OXS85" s="0"/>
      <c r="OXT85" s="0"/>
      <c r="OXU85" s="0"/>
      <c r="OXV85" s="0"/>
      <c r="OXW85" s="0"/>
      <c r="OXX85" s="0"/>
      <c r="OXY85" s="0"/>
      <c r="OXZ85" s="0"/>
      <c r="OYA85" s="0"/>
      <c r="OYB85" s="0"/>
      <c r="OYC85" s="0"/>
      <c r="OYD85" s="0"/>
      <c r="OYE85" s="0"/>
      <c r="OYF85" s="0"/>
      <c r="OYG85" s="0"/>
      <c r="OYH85" s="0"/>
      <c r="OYI85" s="0"/>
      <c r="OYJ85" s="0"/>
      <c r="OYK85" s="0"/>
      <c r="OYL85" s="0"/>
      <c r="OYM85" s="0"/>
      <c r="OYN85" s="0"/>
      <c r="OYO85" s="0"/>
      <c r="OYP85" s="0"/>
      <c r="OYQ85" s="0"/>
      <c r="OYR85" s="0"/>
      <c r="OYS85" s="0"/>
      <c r="OYT85" s="0"/>
      <c r="OYU85" s="0"/>
      <c r="OYV85" s="0"/>
      <c r="OYW85" s="0"/>
      <c r="OYX85" s="0"/>
      <c r="OYY85" s="0"/>
      <c r="OYZ85" s="0"/>
      <c r="OZA85" s="0"/>
      <c r="OZB85" s="0"/>
      <c r="OZC85" s="0"/>
      <c r="OZD85" s="0"/>
      <c r="OZE85" s="0"/>
      <c r="OZF85" s="0"/>
      <c r="OZG85" s="0"/>
      <c r="OZH85" s="0"/>
      <c r="OZI85" s="0"/>
      <c r="OZJ85" s="0"/>
      <c r="OZK85" s="0"/>
      <c r="OZL85" s="0"/>
      <c r="OZM85" s="0"/>
      <c r="OZN85" s="0"/>
      <c r="OZO85" s="0"/>
      <c r="OZP85" s="0"/>
      <c r="OZQ85" s="0"/>
      <c r="OZR85" s="0"/>
      <c r="OZS85" s="0"/>
      <c r="OZT85" s="0"/>
      <c r="OZU85" s="0"/>
      <c r="OZV85" s="0"/>
      <c r="OZW85" s="0"/>
      <c r="OZX85" s="0"/>
      <c r="OZY85" s="0"/>
      <c r="OZZ85" s="0"/>
      <c r="PAA85" s="0"/>
      <c r="PAB85" s="0"/>
      <c r="PAC85" s="0"/>
      <c r="PAD85" s="0"/>
      <c r="PAE85" s="0"/>
      <c r="PAF85" s="0"/>
      <c r="PAG85" s="0"/>
      <c r="PAH85" s="0"/>
      <c r="PAI85" s="0"/>
      <c r="PAJ85" s="0"/>
      <c r="PAK85" s="0"/>
      <c r="PAL85" s="0"/>
      <c r="PAM85" s="0"/>
      <c r="PAN85" s="0"/>
      <c r="PAO85" s="0"/>
      <c r="PAP85" s="0"/>
      <c r="PAQ85" s="0"/>
      <c r="PAR85" s="0"/>
      <c r="PAS85" s="0"/>
      <c r="PAT85" s="0"/>
      <c r="PAU85" s="0"/>
      <c r="PAV85" s="0"/>
      <c r="PAW85" s="0"/>
      <c r="PAX85" s="0"/>
      <c r="PAY85" s="0"/>
      <c r="PAZ85" s="0"/>
      <c r="PBA85" s="0"/>
      <c r="PBB85" s="0"/>
      <c r="PBC85" s="0"/>
      <c r="PBD85" s="0"/>
      <c r="PBE85" s="0"/>
      <c r="PBF85" s="0"/>
      <c r="PBG85" s="0"/>
      <c r="PBH85" s="0"/>
      <c r="PBI85" s="0"/>
      <c r="PBJ85" s="0"/>
      <c r="PBK85" s="0"/>
      <c r="PBL85" s="0"/>
      <c r="PBM85" s="0"/>
      <c r="PBN85" s="0"/>
      <c r="PBO85" s="0"/>
      <c r="PBP85" s="0"/>
      <c r="PBQ85" s="0"/>
      <c r="PBR85" s="0"/>
      <c r="PBS85" s="0"/>
      <c r="PBT85" s="0"/>
      <c r="PBU85" s="0"/>
      <c r="PBV85" s="0"/>
      <c r="PBW85" s="0"/>
      <c r="PBX85" s="0"/>
      <c r="PBY85" s="0"/>
      <c r="PBZ85" s="0"/>
      <c r="PCA85" s="0"/>
      <c r="PCB85" s="0"/>
      <c r="PCC85" s="0"/>
      <c r="PCD85" s="0"/>
      <c r="PCE85" s="0"/>
      <c r="PCF85" s="0"/>
      <c r="PCG85" s="0"/>
      <c r="PCH85" s="0"/>
      <c r="PCI85" s="0"/>
      <c r="PCJ85" s="0"/>
      <c r="PCK85" s="0"/>
      <c r="PCL85" s="0"/>
      <c r="PCM85" s="0"/>
      <c r="PCN85" s="0"/>
      <c r="PCO85" s="0"/>
      <c r="PCP85" s="0"/>
      <c r="PCQ85" s="0"/>
      <c r="PCR85" s="0"/>
      <c r="PCS85" s="0"/>
      <c r="PCT85" s="0"/>
      <c r="PCU85" s="0"/>
      <c r="PCV85" s="0"/>
      <c r="PCW85" s="0"/>
      <c r="PCX85" s="0"/>
      <c r="PCY85" s="0"/>
      <c r="PCZ85" s="0"/>
      <c r="PDA85" s="0"/>
      <c r="PDB85" s="0"/>
      <c r="PDC85" s="0"/>
      <c r="PDD85" s="0"/>
      <c r="PDE85" s="0"/>
      <c r="PDF85" s="0"/>
      <c r="PDG85" s="0"/>
      <c r="PDH85" s="0"/>
      <c r="PDI85" s="0"/>
      <c r="PDJ85" s="0"/>
      <c r="PDK85" s="0"/>
      <c r="PDL85" s="0"/>
      <c r="PDM85" s="0"/>
      <c r="PDN85" s="0"/>
      <c r="PDO85" s="0"/>
      <c r="PDP85" s="0"/>
      <c r="PDQ85" s="0"/>
      <c r="PDR85" s="0"/>
      <c r="PDS85" s="0"/>
      <c r="PDT85" s="0"/>
      <c r="PDU85" s="0"/>
      <c r="PDV85" s="0"/>
      <c r="PDW85" s="0"/>
      <c r="PDX85" s="0"/>
      <c r="PDY85" s="0"/>
      <c r="PDZ85" s="0"/>
      <c r="PEA85" s="0"/>
      <c r="PEB85" s="0"/>
      <c r="PEC85" s="0"/>
      <c r="PED85" s="0"/>
      <c r="PEE85" s="0"/>
      <c r="PEF85" s="0"/>
      <c r="PEG85" s="0"/>
      <c r="PEH85" s="0"/>
      <c r="PEI85" s="0"/>
      <c r="PEJ85" s="0"/>
      <c r="PEK85" s="0"/>
      <c r="PEL85" s="0"/>
      <c r="PEM85" s="0"/>
      <c r="PEN85" s="0"/>
      <c r="PEO85" s="0"/>
      <c r="PEP85" s="0"/>
      <c r="PEQ85" s="0"/>
      <c r="PER85" s="0"/>
      <c r="PES85" s="0"/>
      <c r="PET85" s="0"/>
      <c r="PEU85" s="0"/>
      <c r="PEV85" s="0"/>
      <c r="PEW85" s="0"/>
      <c r="PEX85" s="0"/>
      <c r="PEY85" s="0"/>
      <c r="PEZ85" s="0"/>
      <c r="PFA85" s="0"/>
      <c r="PFB85" s="0"/>
      <c r="PFC85" s="0"/>
      <c r="PFD85" s="0"/>
      <c r="PFE85" s="0"/>
      <c r="PFF85" s="0"/>
      <c r="PFG85" s="0"/>
      <c r="PFH85" s="0"/>
      <c r="PFI85" s="0"/>
      <c r="PFJ85" s="0"/>
      <c r="PFK85" s="0"/>
      <c r="PFL85" s="0"/>
      <c r="PFM85" s="0"/>
      <c r="PFN85" s="0"/>
      <c r="PFO85" s="0"/>
      <c r="PFP85" s="0"/>
      <c r="PFQ85" s="0"/>
      <c r="PFR85" s="0"/>
      <c r="PFS85" s="0"/>
      <c r="PFT85" s="0"/>
      <c r="PFU85" s="0"/>
      <c r="PFV85" s="0"/>
      <c r="PFW85" s="0"/>
      <c r="PFX85" s="0"/>
      <c r="PFY85" s="0"/>
      <c r="PFZ85" s="0"/>
      <c r="PGA85" s="0"/>
      <c r="PGB85" s="0"/>
      <c r="PGC85" s="0"/>
      <c r="PGD85" s="0"/>
      <c r="PGE85" s="0"/>
      <c r="PGF85" s="0"/>
      <c r="PGG85" s="0"/>
      <c r="PGH85" s="0"/>
      <c r="PGI85" s="0"/>
      <c r="PGJ85" s="0"/>
      <c r="PGK85" s="0"/>
      <c r="PGL85" s="0"/>
      <c r="PGM85" s="0"/>
      <c r="PGN85" s="0"/>
      <c r="PGO85" s="0"/>
      <c r="PGP85" s="0"/>
      <c r="PGQ85" s="0"/>
      <c r="PGR85" s="0"/>
      <c r="PGS85" s="0"/>
      <c r="PGT85" s="0"/>
      <c r="PGU85" s="0"/>
      <c r="PGV85" s="0"/>
      <c r="PGW85" s="0"/>
      <c r="PGX85" s="0"/>
      <c r="PGY85" s="0"/>
      <c r="PGZ85" s="0"/>
      <c r="PHA85" s="0"/>
      <c r="PHB85" s="0"/>
      <c r="PHC85" s="0"/>
      <c r="PHD85" s="0"/>
      <c r="PHE85" s="0"/>
      <c r="PHF85" s="0"/>
      <c r="PHG85" s="0"/>
      <c r="PHH85" s="0"/>
      <c r="PHI85" s="0"/>
      <c r="PHJ85" s="0"/>
      <c r="PHK85" s="0"/>
      <c r="PHL85" s="0"/>
      <c r="PHM85" s="0"/>
      <c r="PHN85" s="0"/>
      <c r="PHO85" s="0"/>
      <c r="PHP85" s="0"/>
      <c r="PHQ85" s="0"/>
      <c r="PHR85" s="0"/>
      <c r="PHS85" s="0"/>
      <c r="PHT85" s="0"/>
      <c r="PHU85" s="0"/>
      <c r="PHV85" s="0"/>
      <c r="PHW85" s="0"/>
      <c r="PHX85" s="0"/>
      <c r="PHY85" s="0"/>
      <c r="PHZ85" s="0"/>
      <c r="PIA85" s="0"/>
      <c r="PIB85" s="0"/>
      <c r="PIC85" s="0"/>
      <c r="PID85" s="0"/>
      <c r="PIE85" s="0"/>
      <c r="PIF85" s="0"/>
      <c r="PIG85" s="0"/>
      <c r="PIH85" s="0"/>
      <c r="PII85" s="0"/>
      <c r="PIJ85" s="0"/>
      <c r="PIK85" s="0"/>
      <c r="PIL85" s="0"/>
      <c r="PIM85" s="0"/>
      <c r="PIN85" s="0"/>
      <c r="PIO85" s="0"/>
      <c r="PIP85" s="0"/>
      <c r="PIQ85" s="0"/>
      <c r="PIR85" s="0"/>
      <c r="PIS85" s="0"/>
      <c r="PIT85" s="0"/>
      <c r="PIU85" s="0"/>
      <c r="PIV85" s="0"/>
      <c r="PIW85" s="0"/>
      <c r="PIX85" s="0"/>
      <c r="PIY85" s="0"/>
      <c r="PIZ85" s="0"/>
      <c r="PJA85" s="0"/>
      <c r="PJB85" s="0"/>
      <c r="PJC85" s="0"/>
      <c r="PJD85" s="0"/>
      <c r="PJE85" s="0"/>
      <c r="PJF85" s="0"/>
      <c r="PJG85" s="0"/>
      <c r="PJH85" s="0"/>
      <c r="PJI85" s="0"/>
      <c r="PJJ85" s="0"/>
      <c r="PJK85" s="0"/>
      <c r="PJL85" s="0"/>
      <c r="PJM85" s="0"/>
      <c r="PJN85" s="0"/>
      <c r="PJO85" s="0"/>
      <c r="PJP85" s="0"/>
      <c r="PJQ85" s="0"/>
      <c r="PJR85" s="0"/>
      <c r="PJS85" s="0"/>
      <c r="PJT85" s="0"/>
      <c r="PJU85" s="0"/>
      <c r="PJV85" s="0"/>
      <c r="PJW85" s="0"/>
      <c r="PJX85" s="0"/>
      <c r="PJY85" s="0"/>
      <c r="PJZ85" s="0"/>
      <c r="PKA85" s="0"/>
      <c r="PKB85" s="0"/>
      <c r="PKC85" s="0"/>
      <c r="PKD85" s="0"/>
      <c r="PKE85" s="0"/>
      <c r="PKF85" s="0"/>
      <c r="PKG85" s="0"/>
      <c r="PKH85" s="0"/>
      <c r="PKI85" s="0"/>
      <c r="PKJ85" s="0"/>
      <c r="PKK85" s="0"/>
      <c r="PKL85" s="0"/>
      <c r="PKM85" s="0"/>
      <c r="PKN85" s="0"/>
      <c r="PKO85" s="0"/>
      <c r="PKP85" s="0"/>
      <c r="PKQ85" s="0"/>
      <c r="PKR85" s="0"/>
      <c r="PKS85" s="0"/>
      <c r="PKT85" s="0"/>
      <c r="PKU85" s="0"/>
      <c r="PKV85" s="0"/>
      <c r="PKW85" s="0"/>
      <c r="PKX85" s="0"/>
      <c r="PKY85" s="0"/>
      <c r="PKZ85" s="0"/>
      <c r="PLA85" s="0"/>
      <c r="PLB85" s="0"/>
      <c r="PLC85" s="0"/>
      <c r="PLD85" s="0"/>
      <c r="PLE85" s="0"/>
      <c r="PLF85" s="0"/>
      <c r="PLG85" s="0"/>
      <c r="PLH85" s="0"/>
      <c r="PLI85" s="0"/>
      <c r="PLJ85" s="0"/>
      <c r="PLK85" s="0"/>
      <c r="PLL85" s="0"/>
      <c r="PLM85" s="0"/>
      <c r="PLN85" s="0"/>
      <c r="PLO85" s="0"/>
      <c r="PLP85" s="0"/>
      <c r="PLQ85" s="0"/>
      <c r="PLR85" s="0"/>
      <c r="PLS85" s="0"/>
      <c r="PLT85" s="0"/>
      <c r="PLU85" s="0"/>
      <c r="PLV85" s="0"/>
      <c r="PLW85" s="0"/>
      <c r="PLX85" s="0"/>
      <c r="PLY85" s="0"/>
      <c r="PLZ85" s="0"/>
      <c r="PMA85" s="0"/>
      <c r="PMB85" s="0"/>
      <c r="PMC85" s="0"/>
      <c r="PMD85" s="0"/>
      <c r="PME85" s="0"/>
      <c r="PMF85" s="0"/>
      <c r="PMG85" s="0"/>
      <c r="PMH85" s="0"/>
      <c r="PMI85" s="0"/>
      <c r="PMJ85" s="0"/>
      <c r="PMK85" s="0"/>
      <c r="PML85" s="0"/>
      <c r="PMM85" s="0"/>
      <c r="PMN85" s="0"/>
      <c r="PMO85" s="0"/>
      <c r="PMP85" s="0"/>
      <c r="PMQ85" s="0"/>
      <c r="PMR85" s="0"/>
      <c r="PMS85" s="0"/>
      <c r="PMT85" s="0"/>
      <c r="PMU85" s="0"/>
      <c r="PMV85" s="0"/>
      <c r="PMW85" s="0"/>
      <c r="PMX85" s="0"/>
      <c r="PMY85" s="0"/>
      <c r="PMZ85" s="0"/>
      <c r="PNA85" s="0"/>
      <c r="PNB85" s="0"/>
      <c r="PNC85" s="0"/>
      <c r="PND85" s="0"/>
      <c r="PNE85" s="0"/>
      <c r="PNF85" s="0"/>
      <c r="PNG85" s="0"/>
      <c r="PNH85" s="0"/>
      <c r="PNI85" s="0"/>
      <c r="PNJ85" s="0"/>
      <c r="PNK85" s="0"/>
      <c r="PNL85" s="0"/>
      <c r="PNM85" s="0"/>
      <c r="PNN85" s="0"/>
      <c r="PNO85" s="0"/>
      <c r="PNP85" s="0"/>
      <c r="PNQ85" s="0"/>
      <c r="PNR85" s="0"/>
      <c r="PNS85" s="0"/>
      <c r="PNT85" s="0"/>
      <c r="PNU85" s="0"/>
      <c r="PNV85" s="0"/>
      <c r="PNW85" s="0"/>
      <c r="PNX85" s="0"/>
      <c r="PNY85" s="0"/>
      <c r="PNZ85" s="0"/>
      <c r="POA85" s="0"/>
      <c r="POB85" s="0"/>
      <c r="POC85" s="0"/>
      <c r="POD85" s="0"/>
      <c r="POE85" s="0"/>
      <c r="POF85" s="0"/>
      <c r="POG85" s="0"/>
      <c r="POH85" s="0"/>
      <c r="POI85" s="0"/>
      <c r="POJ85" s="0"/>
      <c r="POK85" s="0"/>
      <c r="POL85" s="0"/>
      <c r="POM85" s="0"/>
      <c r="PON85" s="0"/>
      <c r="POO85" s="0"/>
      <c r="POP85" s="0"/>
      <c r="POQ85" s="0"/>
      <c r="POR85" s="0"/>
      <c r="POS85" s="0"/>
      <c r="POT85" s="0"/>
      <c r="POU85" s="0"/>
      <c r="POV85" s="0"/>
      <c r="POW85" s="0"/>
      <c r="POX85" s="0"/>
      <c r="POY85" s="0"/>
      <c r="POZ85" s="0"/>
      <c r="PPA85" s="0"/>
      <c r="PPB85" s="0"/>
      <c r="PPC85" s="0"/>
      <c r="PPD85" s="0"/>
      <c r="PPE85" s="0"/>
      <c r="PPF85" s="0"/>
      <c r="PPG85" s="0"/>
      <c r="PPH85" s="0"/>
      <c r="PPI85" s="0"/>
      <c r="PPJ85" s="0"/>
      <c r="PPK85" s="0"/>
      <c r="PPL85" s="0"/>
      <c r="PPM85" s="0"/>
      <c r="PPN85" s="0"/>
      <c r="PPO85" s="0"/>
      <c r="PPP85" s="0"/>
      <c r="PPQ85" s="0"/>
      <c r="PPR85" s="0"/>
      <c r="PPS85" s="0"/>
      <c r="PPT85" s="0"/>
      <c r="PPU85" s="0"/>
      <c r="PPV85" s="0"/>
      <c r="PPW85" s="0"/>
      <c r="PPX85" s="0"/>
      <c r="PPY85" s="0"/>
      <c r="PPZ85" s="0"/>
      <c r="PQA85" s="0"/>
      <c r="PQB85" s="0"/>
      <c r="PQC85" s="0"/>
      <c r="PQD85" s="0"/>
      <c r="PQE85" s="0"/>
      <c r="PQF85" s="0"/>
      <c r="PQG85" s="0"/>
      <c r="PQH85" s="0"/>
      <c r="PQI85" s="0"/>
      <c r="PQJ85" s="0"/>
      <c r="PQK85" s="0"/>
      <c r="PQL85" s="0"/>
      <c r="PQM85" s="0"/>
      <c r="PQN85" s="0"/>
      <c r="PQO85" s="0"/>
      <c r="PQP85" s="0"/>
      <c r="PQQ85" s="0"/>
      <c r="PQR85" s="0"/>
      <c r="PQS85" s="0"/>
      <c r="PQT85" s="0"/>
      <c r="PQU85" s="0"/>
      <c r="PQV85" s="0"/>
      <c r="PQW85" s="0"/>
      <c r="PQX85" s="0"/>
      <c r="PQY85" s="0"/>
      <c r="PQZ85" s="0"/>
      <c r="PRA85" s="0"/>
      <c r="PRB85" s="0"/>
      <c r="PRC85" s="0"/>
      <c r="PRD85" s="0"/>
      <c r="PRE85" s="0"/>
      <c r="PRF85" s="0"/>
      <c r="PRG85" s="0"/>
      <c r="PRH85" s="0"/>
      <c r="PRI85" s="0"/>
      <c r="PRJ85" s="0"/>
      <c r="PRK85" s="0"/>
      <c r="PRL85" s="0"/>
      <c r="PRM85" s="0"/>
      <c r="PRN85" s="0"/>
      <c r="PRO85" s="0"/>
      <c r="PRP85" s="0"/>
      <c r="PRQ85" s="0"/>
      <c r="PRR85" s="0"/>
      <c r="PRS85" s="0"/>
      <c r="PRT85" s="0"/>
      <c r="PRU85" s="0"/>
      <c r="PRV85" s="0"/>
      <c r="PRW85" s="0"/>
      <c r="PRX85" s="0"/>
      <c r="PRY85" s="0"/>
      <c r="PRZ85" s="0"/>
      <c r="PSA85" s="0"/>
      <c r="PSB85" s="0"/>
      <c r="PSC85" s="0"/>
      <c r="PSD85" s="0"/>
      <c r="PSE85" s="0"/>
      <c r="PSF85" s="0"/>
      <c r="PSG85" s="0"/>
      <c r="PSH85" s="0"/>
      <c r="PSI85" s="0"/>
      <c r="PSJ85" s="0"/>
      <c r="PSK85" s="0"/>
      <c r="PSL85" s="0"/>
      <c r="PSM85" s="0"/>
      <c r="PSN85" s="0"/>
      <c r="PSO85" s="0"/>
      <c r="PSP85" s="0"/>
      <c r="PSQ85" s="0"/>
      <c r="PSR85" s="0"/>
      <c r="PSS85" s="0"/>
      <c r="PST85" s="0"/>
      <c r="PSU85" s="0"/>
      <c r="PSV85" s="0"/>
      <c r="PSW85" s="0"/>
      <c r="PSX85" s="0"/>
      <c r="PSY85" s="0"/>
      <c r="PSZ85" s="0"/>
      <c r="PTA85" s="0"/>
      <c r="PTB85" s="0"/>
      <c r="PTC85" s="0"/>
      <c r="PTD85" s="0"/>
      <c r="PTE85" s="0"/>
      <c r="PTF85" s="0"/>
      <c r="PTG85" s="0"/>
      <c r="PTH85" s="0"/>
      <c r="PTI85" s="0"/>
      <c r="PTJ85" s="0"/>
      <c r="PTK85" s="0"/>
      <c r="PTL85" s="0"/>
      <c r="PTM85" s="0"/>
      <c r="PTN85" s="0"/>
      <c r="PTO85" s="0"/>
      <c r="PTP85" s="0"/>
      <c r="PTQ85" s="0"/>
      <c r="PTR85" s="0"/>
      <c r="PTS85" s="0"/>
      <c r="PTT85" s="0"/>
      <c r="PTU85" s="0"/>
      <c r="PTV85" s="0"/>
      <c r="PTW85" s="0"/>
      <c r="PTX85" s="0"/>
      <c r="PTY85" s="0"/>
      <c r="PTZ85" s="0"/>
      <c r="PUA85" s="0"/>
      <c r="PUB85" s="0"/>
      <c r="PUC85" s="0"/>
      <c r="PUD85" s="0"/>
      <c r="PUE85" s="0"/>
      <c r="PUF85" s="0"/>
      <c r="PUG85" s="0"/>
      <c r="PUH85" s="0"/>
      <c r="PUI85" s="0"/>
      <c r="PUJ85" s="0"/>
      <c r="PUK85" s="0"/>
      <c r="PUL85" s="0"/>
      <c r="PUM85" s="0"/>
      <c r="PUN85" s="0"/>
      <c r="PUO85" s="0"/>
      <c r="PUP85" s="0"/>
      <c r="PUQ85" s="0"/>
      <c r="PUR85" s="0"/>
      <c r="PUS85" s="0"/>
      <c r="PUT85" s="0"/>
      <c r="PUU85" s="0"/>
      <c r="PUV85" s="0"/>
      <c r="PUW85" s="0"/>
      <c r="PUX85" s="0"/>
      <c r="PUY85" s="0"/>
      <c r="PUZ85" s="0"/>
      <c r="PVA85" s="0"/>
      <c r="PVB85" s="0"/>
      <c r="PVC85" s="0"/>
      <c r="PVD85" s="0"/>
      <c r="PVE85" s="0"/>
      <c r="PVF85" s="0"/>
      <c r="PVG85" s="0"/>
      <c r="PVH85" s="0"/>
      <c r="PVI85" s="0"/>
      <c r="PVJ85" s="0"/>
      <c r="PVK85" s="0"/>
      <c r="PVL85" s="0"/>
      <c r="PVM85" s="0"/>
      <c r="PVN85" s="0"/>
      <c r="PVO85" s="0"/>
      <c r="PVP85" s="0"/>
      <c r="PVQ85" s="0"/>
      <c r="PVR85" s="0"/>
      <c r="PVS85" s="0"/>
      <c r="PVT85" s="0"/>
      <c r="PVU85" s="0"/>
      <c r="PVV85" s="0"/>
      <c r="PVW85" s="0"/>
      <c r="PVX85" s="0"/>
      <c r="PVY85" s="0"/>
      <c r="PVZ85" s="0"/>
      <c r="PWA85" s="0"/>
      <c r="PWB85" s="0"/>
      <c r="PWC85" s="0"/>
      <c r="PWD85" s="0"/>
      <c r="PWE85" s="0"/>
      <c r="PWF85" s="0"/>
      <c r="PWG85" s="0"/>
      <c r="PWH85" s="0"/>
      <c r="PWI85" s="0"/>
      <c r="PWJ85" s="0"/>
      <c r="PWK85" s="0"/>
      <c r="PWL85" s="0"/>
      <c r="PWM85" s="0"/>
      <c r="PWN85" s="0"/>
      <c r="PWO85" s="0"/>
      <c r="PWP85" s="0"/>
      <c r="PWQ85" s="0"/>
      <c r="PWR85" s="0"/>
      <c r="PWS85" s="0"/>
      <c r="PWT85" s="0"/>
      <c r="PWU85" s="0"/>
      <c r="PWV85" s="0"/>
      <c r="PWW85" s="0"/>
      <c r="PWX85" s="0"/>
      <c r="PWY85" s="0"/>
      <c r="PWZ85" s="0"/>
      <c r="PXA85" s="0"/>
      <c r="PXB85" s="0"/>
      <c r="PXC85" s="0"/>
      <c r="PXD85" s="0"/>
      <c r="PXE85" s="0"/>
      <c r="PXF85" s="0"/>
      <c r="PXG85" s="0"/>
      <c r="PXH85" s="0"/>
      <c r="PXI85" s="0"/>
      <c r="PXJ85" s="0"/>
      <c r="PXK85" s="0"/>
      <c r="PXL85" s="0"/>
      <c r="PXM85" s="0"/>
      <c r="PXN85" s="0"/>
      <c r="PXO85" s="0"/>
      <c r="PXP85" s="0"/>
      <c r="PXQ85" s="0"/>
      <c r="PXR85" s="0"/>
      <c r="PXS85" s="0"/>
      <c r="PXT85" s="0"/>
      <c r="PXU85" s="0"/>
      <c r="PXV85" s="0"/>
      <c r="PXW85" s="0"/>
      <c r="PXX85" s="0"/>
      <c r="PXY85" s="0"/>
      <c r="PXZ85" s="0"/>
      <c r="PYA85" s="0"/>
      <c r="PYB85" s="0"/>
      <c r="PYC85" s="0"/>
      <c r="PYD85" s="0"/>
      <c r="PYE85" s="0"/>
      <c r="PYF85" s="0"/>
      <c r="PYG85" s="0"/>
      <c r="PYH85" s="0"/>
      <c r="PYI85" s="0"/>
      <c r="PYJ85" s="0"/>
      <c r="PYK85" s="0"/>
      <c r="PYL85" s="0"/>
      <c r="PYM85" s="0"/>
      <c r="PYN85" s="0"/>
      <c r="PYO85" s="0"/>
      <c r="PYP85" s="0"/>
      <c r="PYQ85" s="0"/>
      <c r="PYR85" s="0"/>
      <c r="PYS85" s="0"/>
      <c r="PYT85" s="0"/>
      <c r="PYU85" s="0"/>
      <c r="PYV85" s="0"/>
      <c r="PYW85" s="0"/>
      <c r="PYX85" s="0"/>
      <c r="PYY85" s="0"/>
      <c r="PYZ85" s="0"/>
      <c r="PZA85" s="0"/>
      <c r="PZB85" s="0"/>
      <c r="PZC85" s="0"/>
      <c r="PZD85" s="0"/>
      <c r="PZE85" s="0"/>
      <c r="PZF85" s="0"/>
      <c r="PZG85" s="0"/>
      <c r="PZH85" s="0"/>
      <c r="PZI85" s="0"/>
      <c r="PZJ85" s="0"/>
      <c r="PZK85" s="0"/>
      <c r="PZL85" s="0"/>
      <c r="PZM85" s="0"/>
      <c r="PZN85" s="0"/>
      <c r="PZO85" s="0"/>
      <c r="PZP85" s="0"/>
      <c r="PZQ85" s="0"/>
      <c r="PZR85" s="0"/>
      <c r="PZS85" s="0"/>
      <c r="PZT85" s="0"/>
      <c r="PZU85" s="0"/>
      <c r="PZV85" s="0"/>
      <c r="PZW85" s="0"/>
      <c r="PZX85" s="0"/>
      <c r="PZY85" s="0"/>
      <c r="PZZ85" s="0"/>
      <c r="QAA85" s="0"/>
      <c r="QAB85" s="0"/>
      <c r="QAC85" s="0"/>
      <c r="QAD85" s="0"/>
      <c r="QAE85" s="0"/>
      <c r="QAF85" s="0"/>
      <c r="QAG85" s="0"/>
      <c r="QAH85" s="0"/>
      <c r="QAI85" s="0"/>
      <c r="QAJ85" s="0"/>
      <c r="QAK85" s="0"/>
      <c r="QAL85" s="0"/>
      <c r="QAM85" s="0"/>
      <c r="QAN85" s="0"/>
      <c r="QAO85" s="0"/>
      <c r="QAP85" s="0"/>
      <c r="QAQ85" s="0"/>
      <c r="QAR85" s="0"/>
      <c r="QAS85" s="0"/>
      <c r="QAT85" s="0"/>
      <c r="QAU85" s="0"/>
      <c r="QAV85" s="0"/>
      <c r="QAW85" s="0"/>
      <c r="QAX85" s="0"/>
      <c r="QAY85" s="0"/>
      <c r="QAZ85" s="0"/>
      <c r="QBA85" s="0"/>
      <c r="QBB85" s="0"/>
      <c r="QBC85" s="0"/>
      <c r="QBD85" s="0"/>
      <c r="QBE85" s="0"/>
      <c r="QBF85" s="0"/>
      <c r="QBG85" s="0"/>
      <c r="QBH85" s="0"/>
      <c r="QBI85" s="0"/>
      <c r="QBJ85" s="0"/>
      <c r="QBK85" s="0"/>
      <c r="QBL85" s="0"/>
      <c r="QBM85" s="0"/>
      <c r="QBN85" s="0"/>
      <c r="QBO85" s="0"/>
      <c r="QBP85" s="0"/>
      <c r="QBQ85" s="0"/>
      <c r="QBR85" s="0"/>
      <c r="QBS85" s="0"/>
      <c r="QBT85" s="0"/>
      <c r="QBU85" s="0"/>
      <c r="QBV85" s="0"/>
      <c r="QBW85" s="0"/>
      <c r="QBX85" s="0"/>
      <c r="QBY85" s="0"/>
      <c r="QBZ85" s="0"/>
      <c r="QCA85" s="0"/>
      <c r="QCB85" s="0"/>
      <c r="QCC85" s="0"/>
      <c r="QCD85" s="0"/>
      <c r="QCE85" s="0"/>
      <c r="QCF85" s="0"/>
      <c r="QCG85" s="0"/>
      <c r="QCH85" s="0"/>
      <c r="QCI85" s="0"/>
      <c r="QCJ85" s="0"/>
      <c r="QCK85" s="0"/>
      <c r="QCL85" s="0"/>
      <c r="QCM85" s="0"/>
      <c r="QCN85" s="0"/>
      <c r="QCO85" s="0"/>
      <c r="QCP85" s="0"/>
      <c r="QCQ85" s="0"/>
      <c r="QCR85" s="0"/>
      <c r="QCS85" s="0"/>
      <c r="QCT85" s="0"/>
      <c r="QCU85" s="0"/>
      <c r="QCV85" s="0"/>
      <c r="QCW85" s="0"/>
      <c r="QCX85" s="0"/>
      <c r="QCY85" s="0"/>
      <c r="QCZ85" s="0"/>
      <c r="QDA85" s="0"/>
      <c r="QDB85" s="0"/>
      <c r="QDC85" s="0"/>
      <c r="QDD85" s="0"/>
      <c r="QDE85" s="0"/>
      <c r="QDF85" s="0"/>
      <c r="QDG85" s="0"/>
      <c r="QDH85" s="0"/>
      <c r="QDI85" s="0"/>
      <c r="QDJ85" s="0"/>
      <c r="QDK85" s="0"/>
      <c r="QDL85" s="0"/>
      <c r="QDM85" s="0"/>
      <c r="QDN85" s="0"/>
      <c r="QDO85" s="0"/>
      <c r="QDP85" s="0"/>
      <c r="QDQ85" s="0"/>
      <c r="QDR85" s="0"/>
      <c r="QDS85" s="0"/>
      <c r="QDT85" s="0"/>
      <c r="QDU85" s="0"/>
      <c r="QDV85" s="0"/>
      <c r="QDW85" s="0"/>
      <c r="QDX85" s="0"/>
      <c r="QDY85" s="0"/>
      <c r="QDZ85" s="0"/>
      <c r="QEA85" s="0"/>
      <c r="QEB85" s="0"/>
      <c r="QEC85" s="0"/>
      <c r="QED85" s="0"/>
      <c r="QEE85" s="0"/>
      <c r="QEF85" s="0"/>
      <c r="QEG85" s="0"/>
      <c r="QEH85" s="0"/>
      <c r="QEI85" s="0"/>
      <c r="QEJ85" s="0"/>
      <c r="QEK85" s="0"/>
      <c r="QEL85" s="0"/>
      <c r="QEM85" s="0"/>
      <c r="QEN85" s="0"/>
      <c r="QEO85" s="0"/>
      <c r="QEP85" s="0"/>
      <c r="QEQ85" s="0"/>
      <c r="QER85" s="0"/>
      <c r="QES85" s="0"/>
      <c r="QET85" s="0"/>
      <c r="QEU85" s="0"/>
      <c r="QEV85" s="0"/>
      <c r="QEW85" s="0"/>
      <c r="QEX85" s="0"/>
      <c r="QEY85" s="0"/>
      <c r="QEZ85" s="0"/>
      <c r="QFA85" s="0"/>
      <c r="QFB85" s="0"/>
      <c r="QFC85" s="0"/>
      <c r="QFD85" s="0"/>
      <c r="QFE85" s="0"/>
      <c r="QFF85" s="0"/>
      <c r="QFG85" s="0"/>
      <c r="QFH85" s="0"/>
      <c r="QFI85" s="0"/>
      <c r="QFJ85" s="0"/>
      <c r="QFK85" s="0"/>
      <c r="QFL85" s="0"/>
      <c r="QFM85" s="0"/>
      <c r="QFN85" s="0"/>
      <c r="QFO85" s="0"/>
      <c r="QFP85" s="0"/>
      <c r="QFQ85" s="0"/>
      <c r="QFR85" s="0"/>
      <c r="QFS85" s="0"/>
      <c r="QFT85" s="0"/>
      <c r="QFU85" s="0"/>
      <c r="QFV85" s="0"/>
      <c r="QFW85" s="0"/>
      <c r="QFX85" s="0"/>
      <c r="QFY85" s="0"/>
      <c r="QFZ85" s="0"/>
      <c r="QGA85" s="0"/>
      <c r="QGB85" s="0"/>
      <c r="QGC85" s="0"/>
      <c r="QGD85" s="0"/>
      <c r="QGE85" s="0"/>
      <c r="QGF85" s="0"/>
      <c r="QGG85" s="0"/>
      <c r="QGH85" s="0"/>
      <c r="QGI85" s="0"/>
      <c r="QGJ85" s="0"/>
      <c r="QGK85" s="0"/>
      <c r="QGL85" s="0"/>
      <c r="QGM85" s="0"/>
      <c r="QGN85" s="0"/>
      <c r="QGO85" s="0"/>
      <c r="QGP85" s="0"/>
      <c r="QGQ85" s="0"/>
      <c r="QGR85" s="0"/>
      <c r="QGS85" s="0"/>
      <c r="QGT85" s="0"/>
      <c r="QGU85" s="0"/>
      <c r="QGV85" s="0"/>
      <c r="QGW85" s="0"/>
      <c r="QGX85" s="0"/>
      <c r="QGY85" s="0"/>
      <c r="QGZ85" s="0"/>
      <c r="QHA85" s="0"/>
      <c r="QHB85" s="0"/>
      <c r="QHC85" s="0"/>
      <c r="QHD85" s="0"/>
      <c r="QHE85" s="0"/>
      <c r="QHF85" s="0"/>
      <c r="QHG85" s="0"/>
      <c r="QHH85" s="0"/>
      <c r="QHI85" s="0"/>
      <c r="QHJ85" s="0"/>
      <c r="QHK85" s="0"/>
      <c r="QHL85" s="0"/>
      <c r="QHM85" s="0"/>
      <c r="QHN85" s="0"/>
      <c r="QHO85" s="0"/>
      <c r="QHP85" s="0"/>
      <c r="QHQ85" s="0"/>
      <c r="QHR85" s="0"/>
      <c r="QHS85" s="0"/>
      <c r="QHT85" s="0"/>
      <c r="QHU85" s="0"/>
      <c r="QHV85" s="0"/>
      <c r="QHW85" s="0"/>
      <c r="QHX85" s="0"/>
      <c r="QHY85" s="0"/>
      <c r="QHZ85" s="0"/>
      <c r="QIA85" s="0"/>
      <c r="QIB85" s="0"/>
      <c r="QIC85" s="0"/>
      <c r="QID85" s="0"/>
      <c r="QIE85" s="0"/>
      <c r="QIF85" s="0"/>
      <c r="QIG85" s="0"/>
      <c r="QIH85" s="0"/>
      <c r="QII85" s="0"/>
      <c r="QIJ85" s="0"/>
      <c r="QIK85" s="0"/>
      <c r="QIL85" s="0"/>
      <c r="QIM85" s="0"/>
      <c r="QIN85" s="0"/>
      <c r="QIO85" s="0"/>
      <c r="QIP85" s="0"/>
      <c r="QIQ85" s="0"/>
      <c r="QIR85" s="0"/>
      <c r="QIS85" s="0"/>
      <c r="QIT85" s="0"/>
      <c r="QIU85" s="0"/>
      <c r="QIV85" s="0"/>
      <c r="QIW85" s="0"/>
      <c r="QIX85" s="0"/>
      <c r="QIY85" s="0"/>
      <c r="QIZ85" s="0"/>
      <c r="QJA85" s="0"/>
      <c r="QJB85" s="0"/>
      <c r="QJC85" s="0"/>
      <c r="QJD85" s="0"/>
      <c r="QJE85" s="0"/>
      <c r="QJF85" s="0"/>
      <c r="QJG85" s="0"/>
      <c r="QJH85" s="0"/>
      <c r="QJI85" s="0"/>
      <c r="QJJ85" s="0"/>
      <c r="QJK85" s="0"/>
      <c r="QJL85" s="0"/>
      <c r="QJM85" s="0"/>
      <c r="QJN85" s="0"/>
      <c r="QJO85" s="0"/>
      <c r="QJP85" s="0"/>
      <c r="QJQ85" s="0"/>
      <c r="QJR85" s="0"/>
      <c r="QJS85" s="0"/>
      <c r="QJT85" s="0"/>
      <c r="QJU85" s="0"/>
      <c r="QJV85" s="0"/>
      <c r="QJW85" s="0"/>
      <c r="QJX85" s="0"/>
      <c r="QJY85" s="0"/>
      <c r="QJZ85" s="0"/>
      <c r="QKA85" s="0"/>
      <c r="QKB85" s="0"/>
      <c r="QKC85" s="0"/>
      <c r="QKD85" s="0"/>
      <c r="QKE85" s="0"/>
      <c r="QKF85" s="0"/>
      <c r="QKG85" s="0"/>
      <c r="QKH85" s="0"/>
      <c r="QKI85" s="0"/>
      <c r="QKJ85" s="0"/>
      <c r="QKK85" s="0"/>
      <c r="QKL85" s="0"/>
      <c r="QKM85" s="0"/>
      <c r="QKN85" s="0"/>
      <c r="QKO85" s="0"/>
      <c r="QKP85" s="0"/>
      <c r="QKQ85" s="0"/>
      <c r="QKR85" s="0"/>
      <c r="QKS85" s="0"/>
      <c r="QKT85" s="0"/>
      <c r="QKU85" s="0"/>
      <c r="QKV85" s="0"/>
      <c r="QKW85" s="0"/>
      <c r="QKX85" s="0"/>
      <c r="QKY85" s="0"/>
      <c r="QKZ85" s="0"/>
      <c r="QLA85" s="0"/>
      <c r="QLB85" s="0"/>
      <c r="QLC85" s="0"/>
      <c r="QLD85" s="0"/>
      <c r="QLE85" s="0"/>
      <c r="QLF85" s="0"/>
      <c r="QLG85" s="0"/>
      <c r="QLH85" s="0"/>
      <c r="QLI85" s="0"/>
      <c r="QLJ85" s="0"/>
      <c r="QLK85" s="0"/>
      <c r="QLL85" s="0"/>
      <c r="QLM85" s="0"/>
      <c r="QLN85" s="0"/>
      <c r="QLO85" s="0"/>
      <c r="QLP85" s="0"/>
      <c r="QLQ85" s="0"/>
      <c r="QLR85" s="0"/>
      <c r="QLS85" s="0"/>
      <c r="QLT85" s="0"/>
      <c r="QLU85" s="0"/>
      <c r="QLV85" s="0"/>
      <c r="QLW85" s="0"/>
      <c r="QLX85" s="0"/>
      <c r="QLY85" s="0"/>
      <c r="QLZ85" s="0"/>
      <c r="QMA85" s="0"/>
      <c r="QMB85" s="0"/>
      <c r="QMC85" s="0"/>
      <c r="QMD85" s="0"/>
      <c r="QME85" s="0"/>
      <c r="QMF85" s="0"/>
      <c r="QMG85" s="0"/>
      <c r="QMH85" s="0"/>
      <c r="QMI85" s="0"/>
      <c r="QMJ85" s="0"/>
      <c r="QMK85" s="0"/>
      <c r="QML85" s="0"/>
      <c r="QMM85" s="0"/>
      <c r="QMN85" s="0"/>
      <c r="QMO85" s="0"/>
      <c r="QMP85" s="0"/>
      <c r="QMQ85" s="0"/>
      <c r="QMR85" s="0"/>
      <c r="QMS85" s="0"/>
      <c r="QMT85" s="0"/>
      <c r="QMU85" s="0"/>
      <c r="QMV85" s="0"/>
      <c r="QMW85" s="0"/>
      <c r="QMX85" s="0"/>
      <c r="QMY85" s="0"/>
      <c r="QMZ85" s="0"/>
      <c r="QNA85" s="0"/>
      <c r="QNB85" s="0"/>
      <c r="QNC85" s="0"/>
      <c r="QND85" s="0"/>
      <c r="QNE85" s="0"/>
      <c r="QNF85" s="0"/>
      <c r="QNG85" s="0"/>
      <c r="QNH85" s="0"/>
      <c r="QNI85" s="0"/>
      <c r="QNJ85" s="0"/>
      <c r="QNK85" s="0"/>
      <c r="QNL85" s="0"/>
      <c r="QNM85" s="0"/>
      <c r="QNN85" s="0"/>
      <c r="QNO85" s="0"/>
      <c r="QNP85" s="0"/>
      <c r="QNQ85" s="0"/>
      <c r="QNR85" s="0"/>
      <c r="QNS85" s="0"/>
      <c r="QNT85" s="0"/>
      <c r="QNU85" s="0"/>
      <c r="QNV85" s="0"/>
      <c r="QNW85" s="0"/>
      <c r="QNX85" s="0"/>
      <c r="QNY85" s="0"/>
      <c r="QNZ85" s="0"/>
      <c r="QOA85" s="0"/>
      <c r="QOB85" s="0"/>
      <c r="QOC85" s="0"/>
      <c r="QOD85" s="0"/>
      <c r="QOE85" s="0"/>
      <c r="QOF85" s="0"/>
      <c r="QOG85" s="0"/>
      <c r="QOH85" s="0"/>
      <c r="QOI85" s="0"/>
      <c r="QOJ85" s="0"/>
      <c r="QOK85" s="0"/>
      <c r="QOL85" s="0"/>
      <c r="QOM85" s="0"/>
      <c r="QON85" s="0"/>
      <c r="QOO85" s="0"/>
      <c r="QOP85" s="0"/>
      <c r="QOQ85" s="0"/>
      <c r="QOR85" s="0"/>
      <c r="QOS85" s="0"/>
      <c r="QOT85" s="0"/>
      <c r="QOU85" s="0"/>
      <c r="QOV85" s="0"/>
      <c r="QOW85" s="0"/>
      <c r="QOX85" s="0"/>
      <c r="QOY85" s="0"/>
      <c r="QOZ85" s="0"/>
      <c r="QPA85" s="0"/>
      <c r="QPB85" s="0"/>
      <c r="QPC85" s="0"/>
      <c r="QPD85" s="0"/>
      <c r="QPE85" s="0"/>
      <c r="QPF85" s="0"/>
      <c r="QPG85" s="0"/>
      <c r="QPH85" s="0"/>
      <c r="QPI85" s="0"/>
      <c r="QPJ85" s="0"/>
      <c r="QPK85" s="0"/>
      <c r="QPL85" s="0"/>
      <c r="QPM85" s="0"/>
      <c r="QPN85" s="0"/>
      <c r="QPO85" s="0"/>
      <c r="QPP85" s="0"/>
      <c r="QPQ85" s="0"/>
      <c r="QPR85" s="0"/>
      <c r="QPS85" s="0"/>
      <c r="QPT85" s="0"/>
      <c r="QPU85" s="0"/>
      <c r="QPV85" s="0"/>
      <c r="QPW85" s="0"/>
      <c r="QPX85" s="0"/>
      <c r="QPY85" s="0"/>
      <c r="QPZ85" s="0"/>
      <c r="QQA85" s="0"/>
      <c r="QQB85" s="0"/>
      <c r="QQC85" s="0"/>
      <c r="QQD85" s="0"/>
      <c r="QQE85" s="0"/>
      <c r="QQF85" s="0"/>
      <c r="QQG85" s="0"/>
      <c r="QQH85" s="0"/>
      <c r="QQI85" s="0"/>
      <c r="QQJ85" s="0"/>
      <c r="QQK85" s="0"/>
      <c r="QQL85" s="0"/>
      <c r="QQM85" s="0"/>
      <c r="QQN85" s="0"/>
      <c r="QQO85" s="0"/>
      <c r="QQP85" s="0"/>
      <c r="QQQ85" s="0"/>
      <c r="QQR85" s="0"/>
      <c r="QQS85" s="0"/>
      <c r="QQT85" s="0"/>
      <c r="QQU85" s="0"/>
      <c r="QQV85" s="0"/>
      <c r="QQW85" s="0"/>
      <c r="QQX85" s="0"/>
      <c r="QQY85" s="0"/>
      <c r="QQZ85" s="0"/>
      <c r="QRA85" s="0"/>
      <c r="QRB85" s="0"/>
      <c r="QRC85" s="0"/>
      <c r="QRD85" s="0"/>
      <c r="QRE85" s="0"/>
      <c r="QRF85" s="0"/>
      <c r="QRG85" s="0"/>
      <c r="QRH85" s="0"/>
      <c r="QRI85" s="0"/>
      <c r="QRJ85" s="0"/>
      <c r="QRK85" s="0"/>
      <c r="QRL85" s="0"/>
      <c r="QRM85" s="0"/>
      <c r="QRN85" s="0"/>
      <c r="QRO85" s="0"/>
      <c r="QRP85" s="0"/>
      <c r="QRQ85" s="0"/>
      <c r="QRR85" s="0"/>
      <c r="QRS85" s="0"/>
      <c r="QRT85" s="0"/>
      <c r="QRU85" s="0"/>
      <c r="QRV85" s="0"/>
      <c r="QRW85" s="0"/>
      <c r="QRX85" s="0"/>
      <c r="QRY85" s="0"/>
      <c r="QRZ85" s="0"/>
      <c r="QSA85" s="0"/>
      <c r="QSB85" s="0"/>
      <c r="QSC85" s="0"/>
      <c r="QSD85" s="0"/>
      <c r="QSE85" s="0"/>
      <c r="QSF85" s="0"/>
      <c r="QSG85" s="0"/>
      <c r="QSH85" s="0"/>
      <c r="QSI85" s="0"/>
      <c r="QSJ85" s="0"/>
      <c r="QSK85" s="0"/>
      <c r="QSL85" s="0"/>
      <c r="QSM85" s="0"/>
      <c r="QSN85" s="0"/>
      <c r="QSO85" s="0"/>
      <c r="QSP85" s="0"/>
      <c r="QSQ85" s="0"/>
      <c r="QSR85" s="0"/>
      <c r="QSS85" s="0"/>
      <c r="QST85" s="0"/>
      <c r="QSU85" s="0"/>
      <c r="QSV85" s="0"/>
      <c r="QSW85" s="0"/>
      <c r="QSX85" s="0"/>
      <c r="QSY85" s="0"/>
      <c r="QSZ85" s="0"/>
      <c r="QTA85" s="0"/>
      <c r="QTB85" s="0"/>
      <c r="QTC85" s="0"/>
      <c r="QTD85" s="0"/>
      <c r="QTE85" s="0"/>
      <c r="QTF85" s="0"/>
      <c r="QTG85" s="0"/>
      <c r="QTH85" s="0"/>
      <c r="QTI85" s="0"/>
      <c r="QTJ85" s="0"/>
      <c r="QTK85" s="0"/>
      <c r="QTL85" s="0"/>
      <c r="QTM85" s="0"/>
      <c r="QTN85" s="0"/>
      <c r="QTO85" s="0"/>
      <c r="QTP85" s="0"/>
      <c r="QTQ85" s="0"/>
      <c r="QTR85" s="0"/>
      <c r="QTS85" s="0"/>
      <c r="QTT85" s="0"/>
      <c r="QTU85" s="0"/>
      <c r="QTV85" s="0"/>
      <c r="QTW85" s="0"/>
      <c r="QTX85" s="0"/>
      <c r="QTY85" s="0"/>
      <c r="QTZ85" s="0"/>
      <c r="QUA85" s="0"/>
      <c r="QUB85" s="0"/>
      <c r="QUC85" s="0"/>
      <c r="QUD85" s="0"/>
      <c r="QUE85" s="0"/>
      <c r="QUF85" s="0"/>
      <c r="QUG85" s="0"/>
      <c r="QUH85" s="0"/>
      <c r="QUI85" s="0"/>
      <c r="QUJ85" s="0"/>
      <c r="QUK85" s="0"/>
      <c r="QUL85" s="0"/>
      <c r="QUM85" s="0"/>
      <c r="QUN85" s="0"/>
      <c r="QUO85" s="0"/>
      <c r="QUP85" s="0"/>
      <c r="QUQ85" s="0"/>
      <c r="QUR85" s="0"/>
      <c r="QUS85" s="0"/>
      <c r="QUT85" s="0"/>
      <c r="QUU85" s="0"/>
      <c r="QUV85" s="0"/>
      <c r="QUW85" s="0"/>
      <c r="QUX85" s="0"/>
      <c r="QUY85" s="0"/>
      <c r="QUZ85" s="0"/>
      <c r="QVA85" s="0"/>
      <c r="QVB85" s="0"/>
      <c r="QVC85" s="0"/>
      <c r="QVD85" s="0"/>
      <c r="QVE85" s="0"/>
      <c r="QVF85" s="0"/>
      <c r="QVG85" s="0"/>
      <c r="QVH85" s="0"/>
      <c r="QVI85" s="0"/>
      <c r="QVJ85" s="0"/>
      <c r="QVK85" s="0"/>
      <c r="QVL85" s="0"/>
      <c r="QVM85" s="0"/>
      <c r="QVN85" s="0"/>
      <c r="QVO85" s="0"/>
      <c r="QVP85" s="0"/>
      <c r="QVQ85" s="0"/>
      <c r="QVR85" s="0"/>
      <c r="QVS85" s="0"/>
      <c r="QVT85" s="0"/>
      <c r="QVU85" s="0"/>
      <c r="QVV85" s="0"/>
      <c r="QVW85" s="0"/>
      <c r="QVX85" s="0"/>
      <c r="QVY85" s="0"/>
      <c r="QVZ85" s="0"/>
      <c r="QWA85" s="0"/>
      <c r="QWB85" s="0"/>
      <c r="QWC85" s="0"/>
      <c r="QWD85" s="0"/>
      <c r="QWE85" s="0"/>
      <c r="QWF85" s="0"/>
      <c r="QWG85" s="0"/>
      <c r="QWH85" s="0"/>
      <c r="QWI85" s="0"/>
      <c r="QWJ85" s="0"/>
      <c r="QWK85" s="0"/>
      <c r="QWL85" s="0"/>
      <c r="QWM85" s="0"/>
      <c r="QWN85" s="0"/>
      <c r="QWO85" s="0"/>
      <c r="QWP85" s="0"/>
      <c r="QWQ85" s="0"/>
      <c r="QWR85" s="0"/>
      <c r="QWS85" s="0"/>
      <c r="QWT85" s="0"/>
      <c r="QWU85" s="0"/>
      <c r="QWV85" s="0"/>
      <c r="QWW85" s="0"/>
      <c r="QWX85" s="0"/>
      <c r="QWY85" s="0"/>
      <c r="QWZ85" s="0"/>
      <c r="QXA85" s="0"/>
      <c r="QXB85" s="0"/>
      <c r="QXC85" s="0"/>
      <c r="QXD85" s="0"/>
      <c r="QXE85" s="0"/>
      <c r="QXF85" s="0"/>
      <c r="QXG85" s="0"/>
      <c r="QXH85" s="0"/>
      <c r="QXI85" s="0"/>
      <c r="QXJ85" s="0"/>
      <c r="QXK85" s="0"/>
      <c r="QXL85" s="0"/>
      <c r="QXM85" s="0"/>
      <c r="QXN85" s="0"/>
      <c r="QXO85" s="0"/>
      <c r="QXP85" s="0"/>
      <c r="QXQ85" s="0"/>
      <c r="QXR85" s="0"/>
      <c r="QXS85" s="0"/>
      <c r="QXT85" s="0"/>
      <c r="QXU85" s="0"/>
      <c r="QXV85" s="0"/>
      <c r="QXW85" s="0"/>
      <c r="QXX85" s="0"/>
      <c r="QXY85" s="0"/>
      <c r="QXZ85" s="0"/>
      <c r="QYA85" s="0"/>
      <c r="QYB85" s="0"/>
      <c r="QYC85" s="0"/>
      <c r="QYD85" s="0"/>
      <c r="QYE85" s="0"/>
      <c r="QYF85" s="0"/>
      <c r="QYG85" s="0"/>
      <c r="QYH85" s="0"/>
      <c r="QYI85" s="0"/>
      <c r="QYJ85" s="0"/>
      <c r="QYK85" s="0"/>
      <c r="QYL85" s="0"/>
      <c r="QYM85" s="0"/>
      <c r="QYN85" s="0"/>
      <c r="QYO85" s="0"/>
      <c r="QYP85" s="0"/>
      <c r="QYQ85" s="0"/>
      <c r="QYR85" s="0"/>
      <c r="QYS85" s="0"/>
      <c r="QYT85" s="0"/>
      <c r="QYU85" s="0"/>
      <c r="QYV85" s="0"/>
      <c r="QYW85" s="0"/>
      <c r="QYX85" s="0"/>
      <c r="QYY85" s="0"/>
      <c r="QYZ85" s="0"/>
      <c r="QZA85" s="0"/>
      <c r="QZB85" s="0"/>
      <c r="QZC85" s="0"/>
      <c r="QZD85" s="0"/>
      <c r="QZE85" s="0"/>
      <c r="QZF85" s="0"/>
      <c r="QZG85" s="0"/>
      <c r="QZH85" s="0"/>
      <c r="QZI85" s="0"/>
      <c r="QZJ85" s="0"/>
      <c r="QZK85" s="0"/>
      <c r="QZL85" s="0"/>
      <c r="QZM85" s="0"/>
      <c r="QZN85" s="0"/>
      <c r="QZO85" s="0"/>
      <c r="QZP85" s="0"/>
      <c r="QZQ85" s="0"/>
      <c r="QZR85" s="0"/>
      <c r="QZS85" s="0"/>
      <c r="QZT85" s="0"/>
      <c r="QZU85" s="0"/>
      <c r="QZV85" s="0"/>
      <c r="QZW85" s="0"/>
      <c r="QZX85" s="0"/>
      <c r="QZY85" s="0"/>
      <c r="QZZ85" s="0"/>
      <c r="RAA85" s="0"/>
      <c r="RAB85" s="0"/>
      <c r="RAC85" s="0"/>
      <c r="RAD85" s="0"/>
      <c r="RAE85" s="0"/>
      <c r="RAF85" s="0"/>
      <c r="RAG85" s="0"/>
      <c r="RAH85" s="0"/>
      <c r="RAI85" s="0"/>
      <c r="RAJ85" s="0"/>
      <c r="RAK85" s="0"/>
      <c r="RAL85" s="0"/>
      <c r="RAM85" s="0"/>
      <c r="RAN85" s="0"/>
      <c r="RAO85" s="0"/>
      <c r="RAP85" s="0"/>
      <c r="RAQ85" s="0"/>
      <c r="RAR85" s="0"/>
      <c r="RAS85" s="0"/>
      <c r="RAT85" s="0"/>
      <c r="RAU85" s="0"/>
      <c r="RAV85" s="0"/>
      <c r="RAW85" s="0"/>
      <c r="RAX85" s="0"/>
      <c r="RAY85" s="0"/>
      <c r="RAZ85" s="0"/>
      <c r="RBA85" s="0"/>
      <c r="RBB85" s="0"/>
      <c r="RBC85" s="0"/>
      <c r="RBD85" s="0"/>
      <c r="RBE85" s="0"/>
      <c r="RBF85" s="0"/>
      <c r="RBG85" s="0"/>
      <c r="RBH85" s="0"/>
      <c r="RBI85" s="0"/>
      <c r="RBJ85" s="0"/>
      <c r="RBK85" s="0"/>
      <c r="RBL85" s="0"/>
      <c r="RBM85" s="0"/>
      <c r="RBN85" s="0"/>
      <c r="RBO85" s="0"/>
      <c r="RBP85" s="0"/>
      <c r="RBQ85" s="0"/>
      <c r="RBR85" s="0"/>
      <c r="RBS85" s="0"/>
      <c r="RBT85" s="0"/>
      <c r="RBU85" s="0"/>
      <c r="RBV85" s="0"/>
      <c r="RBW85" s="0"/>
      <c r="RBX85" s="0"/>
      <c r="RBY85" s="0"/>
      <c r="RBZ85" s="0"/>
      <c r="RCA85" s="0"/>
      <c r="RCB85" s="0"/>
      <c r="RCC85" s="0"/>
      <c r="RCD85" s="0"/>
      <c r="RCE85" s="0"/>
      <c r="RCF85" s="0"/>
      <c r="RCG85" s="0"/>
      <c r="RCH85" s="0"/>
      <c r="RCI85" s="0"/>
      <c r="RCJ85" s="0"/>
      <c r="RCK85" s="0"/>
      <c r="RCL85" s="0"/>
      <c r="RCM85" s="0"/>
      <c r="RCN85" s="0"/>
      <c r="RCO85" s="0"/>
      <c r="RCP85" s="0"/>
      <c r="RCQ85" s="0"/>
      <c r="RCR85" s="0"/>
      <c r="RCS85" s="0"/>
      <c r="RCT85" s="0"/>
      <c r="RCU85" s="0"/>
      <c r="RCV85" s="0"/>
      <c r="RCW85" s="0"/>
      <c r="RCX85" s="0"/>
      <c r="RCY85" s="0"/>
      <c r="RCZ85" s="0"/>
      <c r="RDA85" s="0"/>
      <c r="RDB85" s="0"/>
      <c r="RDC85" s="0"/>
      <c r="RDD85" s="0"/>
      <c r="RDE85" s="0"/>
      <c r="RDF85" s="0"/>
      <c r="RDG85" s="0"/>
      <c r="RDH85" s="0"/>
      <c r="RDI85" s="0"/>
      <c r="RDJ85" s="0"/>
      <c r="RDK85" s="0"/>
      <c r="RDL85" s="0"/>
      <c r="RDM85" s="0"/>
      <c r="RDN85" s="0"/>
      <c r="RDO85" s="0"/>
      <c r="RDP85" s="0"/>
      <c r="RDQ85" s="0"/>
      <c r="RDR85" s="0"/>
      <c r="RDS85" s="0"/>
      <c r="RDT85" s="0"/>
      <c r="RDU85" s="0"/>
      <c r="RDV85" s="0"/>
      <c r="RDW85" s="0"/>
      <c r="RDX85" s="0"/>
      <c r="RDY85" s="0"/>
      <c r="RDZ85" s="0"/>
      <c r="REA85" s="0"/>
      <c r="REB85" s="0"/>
      <c r="REC85" s="0"/>
      <c r="RED85" s="0"/>
      <c r="REE85" s="0"/>
      <c r="REF85" s="0"/>
      <c r="REG85" s="0"/>
      <c r="REH85" s="0"/>
      <c r="REI85" s="0"/>
      <c r="REJ85" s="0"/>
      <c r="REK85" s="0"/>
      <c r="REL85" s="0"/>
      <c r="REM85" s="0"/>
      <c r="REN85" s="0"/>
      <c r="REO85" s="0"/>
      <c r="REP85" s="0"/>
      <c r="REQ85" s="0"/>
      <c r="RER85" s="0"/>
      <c r="RES85" s="0"/>
      <c r="RET85" s="0"/>
      <c r="REU85" s="0"/>
      <c r="REV85" s="0"/>
      <c r="REW85" s="0"/>
      <c r="REX85" s="0"/>
      <c r="REY85" s="0"/>
      <c r="REZ85" s="0"/>
      <c r="RFA85" s="0"/>
      <c r="RFB85" s="0"/>
      <c r="RFC85" s="0"/>
      <c r="RFD85" s="0"/>
      <c r="RFE85" s="0"/>
      <c r="RFF85" s="0"/>
      <c r="RFG85" s="0"/>
      <c r="RFH85" s="0"/>
      <c r="RFI85" s="0"/>
      <c r="RFJ85" s="0"/>
      <c r="RFK85" s="0"/>
      <c r="RFL85" s="0"/>
      <c r="RFM85" s="0"/>
      <c r="RFN85" s="0"/>
      <c r="RFO85" s="0"/>
      <c r="RFP85" s="0"/>
      <c r="RFQ85" s="0"/>
      <c r="RFR85" s="0"/>
      <c r="RFS85" s="0"/>
      <c r="RFT85" s="0"/>
      <c r="RFU85" s="0"/>
      <c r="RFV85" s="0"/>
      <c r="RFW85" s="0"/>
      <c r="RFX85" s="0"/>
      <c r="RFY85" s="0"/>
      <c r="RFZ85" s="0"/>
      <c r="RGA85" s="0"/>
      <c r="RGB85" s="0"/>
      <c r="RGC85" s="0"/>
      <c r="RGD85" s="0"/>
      <c r="RGE85" s="0"/>
      <c r="RGF85" s="0"/>
      <c r="RGG85" s="0"/>
      <c r="RGH85" s="0"/>
      <c r="RGI85" s="0"/>
      <c r="RGJ85" s="0"/>
      <c r="RGK85" s="0"/>
      <c r="RGL85" s="0"/>
      <c r="RGM85" s="0"/>
      <c r="RGN85" s="0"/>
      <c r="RGO85" s="0"/>
      <c r="RGP85" s="0"/>
      <c r="RGQ85" s="0"/>
      <c r="RGR85" s="0"/>
      <c r="RGS85" s="0"/>
      <c r="RGT85" s="0"/>
      <c r="RGU85" s="0"/>
      <c r="RGV85" s="0"/>
      <c r="RGW85" s="0"/>
      <c r="RGX85" s="0"/>
      <c r="RGY85" s="0"/>
      <c r="RGZ85" s="0"/>
      <c r="RHA85" s="0"/>
      <c r="RHB85" s="0"/>
      <c r="RHC85" s="0"/>
      <c r="RHD85" s="0"/>
      <c r="RHE85" s="0"/>
      <c r="RHF85" s="0"/>
      <c r="RHG85" s="0"/>
      <c r="RHH85" s="0"/>
      <c r="RHI85" s="0"/>
      <c r="RHJ85" s="0"/>
      <c r="RHK85" s="0"/>
      <c r="RHL85" s="0"/>
      <c r="RHM85" s="0"/>
      <c r="RHN85" s="0"/>
      <c r="RHO85" s="0"/>
      <c r="RHP85" s="0"/>
      <c r="RHQ85" s="0"/>
      <c r="RHR85" s="0"/>
      <c r="RHS85" s="0"/>
      <c r="RHT85" s="0"/>
      <c r="RHU85" s="0"/>
      <c r="RHV85" s="0"/>
      <c r="RHW85" s="0"/>
      <c r="RHX85" s="0"/>
      <c r="RHY85" s="0"/>
      <c r="RHZ85" s="0"/>
      <c r="RIA85" s="0"/>
      <c r="RIB85" s="0"/>
      <c r="RIC85" s="0"/>
      <c r="RID85" s="0"/>
      <c r="RIE85" s="0"/>
      <c r="RIF85" s="0"/>
      <c r="RIG85" s="0"/>
      <c r="RIH85" s="0"/>
      <c r="RII85" s="0"/>
      <c r="RIJ85" s="0"/>
      <c r="RIK85" s="0"/>
      <c r="RIL85" s="0"/>
      <c r="RIM85" s="0"/>
      <c r="RIN85" s="0"/>
      <c r="RIO85" s="0"/>
      <c r="RIP85" s="0"/>
      <c r="RIQ85" s="0"/>
      <c r="RIR85" s="0"/>
      <c r="RIS85" s="0"/>
      <c r="RIT85" s="0"/>
      <c r="RIU85" s="0"/>
      <c r="RIV85" s="0"/>
      <c r="RIW85" s="0"/>
      <c r="RIX85" s="0"/>
      <c r="RIY85" s="0"/>
      <c r="RIZ85" s="0"/>
      <c r="RJA85" s="0"/>
      <c r="RJB85" s="0"/>
      <c r="RJC85" s="0"/>
      <c r="RJD85" s="0"/>
      <c r="RJE85" s="0"/>
      <c r="RJF85" s="0"/>
      <c r="RJG85" s="0"/>
      <c r="RJH85" s="0"/>
      <c r="RJI85" s="0"/>
      <c r="RJJ85" s="0"/>
      <c r="RJK85" s="0"/>
      <c r="RJL85" s="0"/>
      <c r="RJM85" s="0"/>
      <c r="RJN85" s="0"/>
      <c r="RJO85" s="0"/>
      <c r="RJP85" s="0"/>
      <c r="RJQ85" s="0"/>
      <c r="RJR85" s="0"/>
      <c r="RJS85" s="0"/>
      <c r="RJT85" s="0"/>
      <c r="RJU85" s="0"/>
      <c r="RJV85" s="0"/>
      <c r="RJW85" s="0"/>
      <c r="RJX85" s="0"/>
      <c r="RJY85" s="0"/>
      <c r="RJZ85" s="0"/>
      <c r="RKA85" s="0"/>
      <c r="RKB85" s="0"/>
      <c r="RKC85" s="0"/>
      <c r="RKD85" s="0"/>
      <c r="RKE85" s="0"/>
      <c r="RKF85" s="0"/>
      <c r="RKG85" s="0"/>
      <c r="RKH85" s="0"/>
      <c r="RKI85" s="0"/>
      <c r="RKJ85" s="0"/>
      <c r="RKK85" s="0"/>
      <c r="RKL85" s="0"/>
      <c r="RKM85" s="0"/>
      <c r="RKN85" s="0"/>
      <c r="RKO85" s="0"/>
      <c r="RKP85" s="0"/>
      <c r="RKQ85" s="0"/>
      <c r="RKR85" s="0"/>
      <c r="RKS85" s="0"/>
      <c r="RKT85" s="0"/>
      <c r="RKU85" s="0"/>
      <c r="RKV85" s="0"/>
      <c r="RKW85" s="0"/>
      <c r="RKX85" s="0"/>
      <c r="RKY85" s="0"/>
      <c r="RKZ85" s="0"/>
      <c r="RLA85" s="0"/>
      <c r="RLB85" s="0"/>
      <c r="RLC85" s="0"/>
      <c r="RLD85" s="0"/>
      <c r="RLE85" s="0"/>
      <c r="RLF85" s="0"/>
      <c r="RLG85" s="0"/>
      <c r="RLH85" s="0"/>
      <c r="RLI85" s="0"/>
      <c r="RLJ85" s="0"/>
      <c r="RLK85" s="0"/>
      <c r="RLL85" s="0"/>
      <c r="RLM85" s="0"/>
      <c r="RLN85" s="0"/>
      <c r="RLO85" s="0"/>
      <c r="RLP85" s="0"/>
      <c r="RLQ85" s="0"/>
      <c r="RLR85" s="0"/>
      <c r="RLS85" s="0"/>
      <c r="RLT85" s="0"/>
      <c r="RLU85" s="0"/>
      <c r="RLV85" s="0"/>
      <c r="RLW85" s="0"/>
      <c r="RLX85" s="0"/>
      <c r="RLY85" s="0"/>
      <c r="RLZ85" s="0"/>
      <c r="RMA85" s="0"/>
      <c r="RMB85" s="0"/>
      <c r="RMC85" s="0"/>
      <c r="RMD85" s="0"/>
      <c r="RME85" s="0"/>
      <c r="RMF85" s="0"/>
      <c r="RMG85" s="0"/>
      <c r="RMH85" s="0"/>
      <c r="RMI85" s="0"/>
      <c r="RMJ85" s="0"/>
      <c r="RMK85" s="0"/>
      <c r="RML85" s="0"/>
      <c r="RMM85" s="0"/>
      <c r="RMN85" s="0"/>
      <c r="RMO85" s="0"/>
      <c r="RMP85" s="0"/>
      <c r="RMQ85" s="0"/>
      <c r="RMR85" s="0"/>
      <c r="RMS85" s="0"/>
      <c r="RMT85" s="0"/>
      <c r="RMU85" s="0"/>
      <c r="RMV85" s="0"/>
      <c r="RMW85" s="0"/>
      <c r="RMX85" s="0"/>
      <c r="RMY85" s="0"/>
      <c r="RMZ85" s="0"/>
      <c r="RNA85" s="0"/>
      <c r="RNB85" s="0"/>
      <c r="RNC85" s="0"/>
      <c r="RND85" s="0"/>
      <c r="RNE85" s="0"/>
      <c r="RNF85" s="0"/>
      <c r="RNG85" s="0"/>
      <c r="RNH85" s="0"/>
      <c r="RNI85" s="0"/>
      <c r="RNJ85" s="0"/>
      <c r="RNK85" s="0"/>
      <c r="RNL85" s="0"/>
      <c r="RNM85" s="0"/>
      <c r="RNN85" s="0"/>
      <c r="RNO85" s="0"/>
      <c r="RNP85" s="0"/>
      <c r="RNQ85" s="0"/>
      <c r="RNR85" s="0"/>
      <c r="RNS85" s="0"/>
      <c r="RNT85" s="0"/>
      <c r="RNU85" s="0"/>
      <c r="RNV85" s="0"/>
      <c r="RNW85" s="0"/>
      <c r="RNX85" s="0"/>
      <c r="RNY85" s="0"/>
      <c r="RNZ85" s="0"/>
      <c r="ROA85" s="0"/>
      <c r="ROB85" s="0"/>
      <c r="ROC85" s="0"/>
      <c r="ROD85" s="0"/>
      <c r="ROE85" s="0"/>
      <c r="ROF85" s="0"/>
      <c r="ROG85" s="0"/>
      <c r="ROH85" s="0"/>
      <c r="ROI85" s="0"/>
      <c r="ROJ85" s="0"/>
      <c r="ROK85" s="0"/>
      <c r="ROL85" s="0"/>
      <c r="ROM85" s="0"/>
      <c r="RON85" s="0"/>
      <c r="ROO85" s="0"/>
      <c r="ROP85" s="0"/>
      <c r="ROQ85" s="0"/>
      <c r="ROR85" s="0"/>
      <c r="ROS85" s="0"/>
      <c r="ROT85" s="0"/>
      <c r="ROU85" s="0"/>
      <c r="ROV85" s="0"/>
      <c r="ROW85" s="0"/>
      <c r="ROX85" s="0"/>
      <c r="ROY85" s="0"/>
      <c r="ROZ85" s="0"/>
      <c r="RPA85" s="0"/>
      <c r="RPB85" s="0"/>
      <c r="RPC85" s="0"/>
      <c r="RPD85" s="0"/>
      <c r="RPE85" s="0"/>
      <c r="RPF85" s="0"/>
      <c r="RPG85" s="0"/>
      <c r="RPH85" s="0"/>
      <c r="RPI85" s="0"/>
      <c r="RPJ85" s="0"/>
      <c r="RPK85" s="0"/>
      <c r="RPL85" s="0"/>
      <c r="RPM85" s="0"/>
      <c r="RPN85" s="0"/>
      <c r="RPO85" s="0"/>
      <c r="RPP85" s="0"/>
      <c r="RPQ85" s="0"/>
      <c r="RPR85" s="0"/>
      <c r="RPS85" s="0"/>
      <c r="RPT85" s="0"/>
      <c r="RPU85" s="0"/>
      <c r="RPV85" s="0"/>
      <c r="RPW85" s="0"/>
      <c r="RPX85" s="0"/>
      <c r="RPY85" s="0"/>
      <c r="RPZ85" s="0"/>
      <c r="RQA85" s="0"/>
      <c r="RQB85" s="0"/>
      <c r="RQC85" s="0"/>
      <c r="RQD85" s="0"/>
      <c r="RQE85" s="0"/>
      <c r="RQF85" s="0"/>
      <c r="RQG85" s="0"/>
      <c r="RQH85" s="0"/>
      <c r="RQI85" s="0"/>
      <c r="RQJ85" s="0"/>
      <c r="RQK85" s="0"/>
      <c r="RQL85" s="0"/>
      <c r="RQM85" s="0"/>
      <c r="RQN85" s="0"/>
      <c r="RQO85" s="0"/>
      <c r="RQP85" s="0"/>
      <c r="RQQ85" s="0"/>
      <c r="RQR85" s="0"/>
      <c r="RQS85" s="0"/>
      <c r="RQT85" s="0"/>
      <c r="RQU85" s="0"/>
      <c r="RQV85" s="0"/>
      <c r="RQW85" s="0"/>
      <c r="RQX85" s="0"/>
      <c r="RQY85" s="0"/>
      <c r="RQZ85" s="0"/>
      <c r="RRA85" s="0"/>
      <c r="RRB85" s="0"/>
      <c r="RRC85" s="0"/>
      <c r="RRD85" s="0"/>
      <c r="RRE85" s="0"/>
      <c r="RRF85" s="0"/>
      <c r="RRG85" s="0"/>
      <c r="RRH85" s="0"/>
      <c r="RRI85" s="0"/>
      <c r="RRJ85" s="0"/>
      <c r="RRK85" s="0"/>
      <c r="RRL85" s="0"/>
      <c r="RRM85" s="0"/>
      <c r="RRN85" s="0"/>
      <c r="RRO85" s="0"/>
      <c r="RRP85" s="0"/>
      <c r="RRQ85" s="0"/>
      <c r="RRR85" s="0"/>
      <c r="RRS85" s="0"/>
      <c r="RRT85" s="0"/>
      <c r="RRU85" s="0"/>
      <c r="RRV85" s="0"/>
      <c r="RRW85" s="0"/>
      <c r="RRX85" s="0"/>
      <c r="RRY85" s="0"/>
      <c r="RRZ85" s="0"/>
      <c r="RSA85" s="0"/>
      <c r="RSB85" s="0"/>
      <c r="RSC85" s="0"/>
      <c r="RSD85" s="0"/>
      <c r="RSE85" s="0"/>
      <c r="RSF85" s="0"/>
      <c r="RSG85" s="0"/>
      <c r="RSH85" s="0"/>
      <c r="RSI85" s="0"/>
      <c r="RSJ85" s="0"/>
      <c r="RSK85" s="0"/>
      <c r="RSL85" s="0"/>
      <c r="RSM85" s="0"/>
      <c r="RSN85" s="0"/>
      <c r="RSO85" s="0"/>
      <c r="RSP85" s="0"/>
      <c r="RSQ85" s="0"/>
      <c r="RSR85" s="0"/>
      <c r="RSS85" s="0"/>
      <c r="RST85" s="0"/>
      <c r="RSU85" s="0"/>
      <c r="RSV85" s="0"/>
      <c r="RSW85" s="0"/>
      <c r="RSX85" s="0"/>
      <c r="RSY85" s="0"/>
      <c r="RSZ85" s="0"/>
      <c r="RTA85" s="0"/>
      <c r="RTB85" s="0"/>
      <c r="RTC85" s="0"/>
      <c r="RTD85" s="0"/>
      <c r="RTE85" s="0"/>
      <c r="RTF85" s="0"/>
      <c r="RTG85" s="0"/>
      <c r="RTH85" s="0"/>
      <c r="RTI85" s="0"/>
      <c r="RTJ85" s="0"/>
      <c r="RTK85" s="0"/>
      <c r="RTL85" s="0"/>
      <c r="RTM85" s="0"/>
      <c r="RTN85" s="0"/>
      <c r="RTO85" s="0"/>
      <c r="RTP85" s="0"/>
      <c r="RTQ85" s="0"/>
      <c r="RTR85" s="0"/>
      <c r="RTS85" s="0"/>
      <c r="RTT85" s="0"/>
      <c r="RTU85" s="0"/>
      <c r="RTV85" s="0"/>
      <c r="RTW85" s="0"/>
      <c r="RTX85" s="0"/>
      <c r="RTY85" s="0"/>
      <c r="RTZ85" s="0"/>
      <c r="RUA85" s="0"/>
      <c r="RUB85" s="0"/>
      <c r="RUC85" s="0"/>
      <c r="RUD85" s="0"/>
      <c r="RUE85" s="0"/>
      <c r="RUF85" s="0"/>
      <c r="RUG85" s="0"/>
      <c r="RUH85" s="0"/>
      <c r="RUI85" s="0"/>
      <c r="RUJ85" s="0"/>
      <c r="RUK85" s="0"/>
      <c r="RUL85" s="0"/>
      <c r="RUM85" s="0"/>
      <c r="RUN85" s="0"/>
      <c r="RUO85" s="0"/>
      <c r="RUP85" s="0"/>
      <c r="RUQ85" s="0"/>
      <c r="RUR85" s="0"/>
      <c r="RUS85" s="0"/>
      <c r="RUT85" s="0"/>
      <c r="RUU85" s="0"/>
      <c r="RUV85" s="0"/>
      <c r="RUW85" s="0"/>
      <c r="RUX85" s="0"/>
      <c r="RUY85" s="0"/>
      <c r="RUZ85" s="0"/>
      <c r="RVA85" s="0"/>
      <c r="RVB85" s="0"/>
      <c r="RVC85" s="0"/>
      <c r="RVD85" s="0"/>
      <c r="RVE85" s="0"/>
      <c r="RVF85" s="0"/>
      <c r="RVG85" s="0"/>
      <c r="RVH85" s="0"/>
      <c r="RVI85" s="0"/>
      <c r="RVJ85" s="0"/>
      <c r="RVK85" s="0"/>
      <c r="RVL85" s="0"/>
      <c r="RVM85" s="0"/>
      <c r="RVN85" s="0"/>
      <c r="RVO85" s="0"/>
      <c r="RVP85" s="0"/>
      <c r="RVQ85" s="0"/>
      <c r="RVR85" s="0"/>
      <c r="RVS85" s="0"/>
      <c r="RVT85" s="0"/>
      <c r="RVU85" s="0"/>
      <c r="RVV85" s="0"/>
      <c r="RVW85" s="0"/>
      <c r="RVX85" s="0"/>
      <c r="RVY85" s="0"/>
      <c r="RVZ85" s="0"/>
      <c r="RWA85" s="0"/>
      <c r="RWB85" s="0"/>
      <c r="RWC85" s="0"/>
      <c r="RWD85" s="0"/>
      <c r="RWE85" s="0"/>
      <c r="RWF85" s="0"/>
      <c r="RWG85" s="0"/>
      <c r="RWH85" s="0"/>
      <c r="RWI85" s="0"/>
      <c r="RWJ85" s="0"/>
      <c r="RWK85" s="0"/>
      <c r="RWL85" s="0"/>
      <c r="RWM85" s="0"/>
      <c r="RWN85" s="0"/>
      <c r="RWO85" s="0"/>
      <c r="RWP85" s="0"/>
      <c r="RWQ85" s="0"/>
      <c r="RWR85" s="0"/>
      <c r="RWS85" s="0"/>
      <c r="RWT85" s="0"/>
      <c r="RWU85" s="0"/>
      <c r="RWV85" s="0"/>
      <c r="RWW85" s="0"/>
      <c r="RWX85" s="0"/>
      <c r="RWY85" s="0"/>
      <c r="RWZ85" s="0"/>
      <c r="RXA85" s="0"/>
      <c r="RXB85" s="0"/>
      <c r="RXC85" s="0"/>
      <c r="RXD85" s="0"/>
      <c r="RXE85" s="0"/>
      <c r="RXF85" s="0"/>
      <c r="RXG85" s="0"/>
      <c r="RXH85" s="0"/>
      <c r="RXI85" s="0"/>
      <c r="RXJ85" s="0"/>
      <c r="RXK85" s="0"/>
      <c r="RXL85" s="0"/>
      <c r="RXM85" s="0"/>
      <c r="RXN85" s="0"/>
      <c r="RXO85" s="0"/>
      <c r="RXP85" s="0"/>
      <c r="RXQ85" s="0"/>
      <c r="RXR85" s="0"/>
      <c r="RXS85" s="0"/>
      <c r="RXT85" s="0"/>
      <c r="RXU85" s="0"/>
      <c r="RXV85" s="0"/>
      <c r="RXW85" s="0"/>
      <c r="RXX85" s="0"/>
      <c r="RXY85" s="0"/>
      <c r="RXZ85" s="0"/>
      <c r="RYA85" s="0"/>
      <c r="RYB85" s="0"/>
      <c r="RYC85" s="0"/>
      <c r="RYD85" s="0"/>
      <c r="RYE85" s="0"/>
      <c r="RYF85" s="0"/>
      <c r="RYG85" s="0"/>
      <c r="RYH85" s="0"/>
      <c r="RYI85" s="0"/>
      <c r="RYJ85" s="0"/>
      <c r="RYK85" s="0"/>
      <c r="RYL85" s="0"/>
      <c r="RYM85" s="0"/>
      <c r="RYN85" s="0"/>
      <c r="RYO85" s="0"/>
      <c r="RYP85" s="0"/>
      <c r="RYQ85" s="0"/>
      <c r="RYR85" s="0"/>
      <c r="RYS85" s="0"/>
      <c r="RYT85" s="0"/>
      <c r="RYU85" s="0"/>
      <c r="RYV85" s="0"/>
      <c r="RYW85" s="0"/>
      <c r="RYX85" s="0"/>
      <c r="RYY85" s="0"/>
      <c r="RYZ85" s="0"/>
      <c r="RZA85" s="0"/>
      <c r="RZB85" s="0"/>
      <c r="RZC85" s="0"/>
      <c r="RZD85" s="0"/>
      <c r="RZE85" s="0"/>
      <c r="RZF85" s="0"/>
      <c r="RZG85" s="0"/>
      <c r="RZH85" s="0"/>
      <c r="RZI85" s="0"/>
      <c r="RZJ85" s="0"/>
      <c r="RZK85" s="0"/>
      <c r="RZL85" s="0"/>
      <c r="RZM85" s="0"/>
      <c r="RZN85" s="0"/>
      <c r="RZO85" s="0"/>
      <c r="RZP85" s="0"/>
      <c r="RZQ85" s="0"/>
      <c r="RZR85" s="0"/>
      <c r="RZS85" s="0"/>
      <c r="RZT85" s="0"/>
      <c r="RZU85" s="0"/>
      <c r="RZV85" s="0"/>
      <c r="RZW85" s="0"/>
      <c r="RZX85" s="0"/>
      <c r="RZY85" s="0"/>
      <c r="RZZ85" s="0"/>
      <c r="SAA85" s="0"/>
      <c r="SAB85" s="0"/>
      <c r="SAC85" s="0"/>
      <c r="SAD85" s="0"/>
      <c r="SAE85" s="0"/>
      <c r="SAF85" s="0"/>
      <c r="SAG85" s="0"/>
      <c r="SAH85" s="0"/>
      <c r="SAI85" s="0"/>
      <c r="SAJ85" s="0"/>
      <c r="SAK85" s="0"/>
      <c r="SAL85" s="0"/>
      <c r="SAM85" s="0"/>
      <c r="SAN85" s="0"/>
      <c r="SAO85" s="0"/>
      <c r="SAP85" s="0"/>
      <c r="SAQ85" s="0"/>
      <c r="SAR85" s="0"/>
      <c r="SAS85" s="0"/>
      <c r="SAT85" s="0"/>
      <c r="SAU85" s="0"/>
      <c r="SAV85" s="0"/>
      <c r="SAW85" s="0"/>
      <c r="SAX85" s="0"/>
      <c r="SAY85" s="0"/>
      <c r="SAZ85" s="0"/>
      <c r="SBA85" s="0"/>
      <c r="SBB85" s="0"/>
      <c r="SBC85" s="0"/>
      <c r="SBD85" s="0"/>
      <c r="SBE85" s="0"/>
      <c r="SBF85" s="0"/>
      <c r="SBG85" s="0"/>
      <c r="SBH85" s="0"/>
      <c r="SBI85" s="0"/>
      <c r="SBJ85" s="0"/>
      <c r="SBK85" s="0"/>
      <c r="SBL85" s="0"/>
      <c r="SBM85" s="0"/>
      <c r="SBN85" s="0"/>
      <c r="SBO85" s="0"/>
      <c r="SBP85" s="0"/>
      <c r="SBQ85" s="0"/>
      <c r="SBR85" s="0"/>
      <c r="SBS85" s="0"/>
      <c r="SBT85" s="0"/>
      <c r="SBU85" s="0"/>
      <c r="SBV85" s="0"/>
      <c r="SBW85" s="0"/>
      <c r="SBX85" s="0"/>
      <c r="SBY85" s="0"/>
      <c r="SBZ85" s="0"/>
      <c r="SCA85" s="0"/>
      <c r="SCB85" s="0"/>
      <c r="SCC85" s="0"/>
      <c r="SCD85" s="0"/>
      <c r="SCE85" s="0"/>
      <c r="SCF85" s="0"/>
      <c r="SCG85" s="0"/>
      <c r="SCH85" s="0"/>
      <c r="SCI85" s="0"/>
      <c r="SCJ85" s="0"/>
      <c r="SCK85" s="0"/>
      <c r="SCL85" s="0"/>
      <c r="SCM85" s="0"/>
      <c r="SCN85" s="0"/>
      <c r="SCO85" s="0"/>
      <c r="SCP85" s="0"/>
      <c r="SCQ85" s="0"/>
      <c r="SCR85" s="0"/>
      <c r="SCS85" s="0"/>
      <c r="SCT85" s="0"/>
      <c r="SCU85" s="0"/>
      <c r="SCV85" s="0"/>
      <c r="SCW85" s="0"/>
      <c r="SCX85" s="0"/>
      <c r="SCY85" s="0"/>
      <c r="SCZ85" s="0"/>
      <c r="SDA85" s="0"/>
      <c r="SDB85" s="0"/>
      <c r="SDC85" s="0"/>
      <c r="SDD85" s="0"/>
      <c r="SDE85" s="0"/>
      <c r="SDF85" s="0"/>
      <c r="SDG85" s="0"/>
      <c r="SDH85" s="0"/>
      <c r="SDI85" s="0"/>
      <c r="SDJ85" s="0"/>
      <c r="SDK85" s="0"/>
      <c r="SDL85" s="0"/>
      <c r="SDM85" s="0"/>
      <c r="SDN85" s="0"/>
      <c r="SDO85" s="0"/>
      <c r="SDP85" s="0"/>
      <c r="SDQ85" s="0"/>
      <c r="SDR85" s="0"/>
      <c r="SDS85" s="0"/>
      <c r="SDT85" s="0"/>
      <c r="SDU85" s="0"/>
      <c r="SDV85" s="0"/>
      <c r="SDW85" s="0"/>
      <c r="SDX85" s="0"/>
      <c r="SDY85" s="0"/>
      <c r="SDZ85" s="0"/>
      <c r="SEA85" s="0"/>
      <c r="SEB85" s="0"/>
      <c r="SEC85" s="0"/>
      <c r="SED85" s="0"/>
      <c r="SEE85" s="0"/>
      <c r="SEF85" s="0"/>
      <c r="SEG85" s="0"/>
      <c r="SEH85" s="0"/>
      <c r="SEI85" s="0"/>
      <c r="SEJ85" s="0"/>
      <c r="SEK85" s="0"/>
      <c r="SEL85" s="0"/>
      <c r="SEM85" s="0"/>
      <c r="SEN85" s="0"/>
      <c r="SEO85" s="0"/>
      <c r="SEP85" s="0"/>
      <c r="SEQ85" s="0"/>
      <c r="SER85" s="0"/>
      <c r="SES85" s="0"/>
      <c r="SET85" s="0"/>
      <c r="SEU85" s="0"/>
      <c r="SEV85" s="0"/>
      <c r="SEW85" s="0"/>
      <c r="SEX85" s="0"/>
      <c r="SEY85" s="0"/>
      <c r="SEZ85" s="0"/>
      <c r="SFA85" s="0"/>
      <c r="SFB85" s="0"/>
      <c r="SFC85" s="0"/>
      <c r="SFD85" s="0"/>
      <c r="SFE85" s="0"/>
      <c r="SFF85" s="0"/>
      <c r="SFG85" s="0"/>
      <c r="SFH85" s="0"/>
      <c r="SFI85" s="0"/>
      <c r="SFJ85" s="0"/>
      <c r="SFK85" s="0"/>
      <c r="SFL85" s="0"/>
      <c r="SFM85" s="0"/>
      <c r="SFN85" s="0"/>
      <c r="SFO85" s="0"/>
      <c r="SFP85" s="0"/>
      <c r="SFQ85" s="0"/>
      <c r="SFR85" s="0"/>
      <c r="SFS85" s="0"/>
      <c r="SFT85" s="0"/>
      <c r="SFU85" s="0"/>
      <c r="SFV85" s="0"/>
      <c r="SFW85" s="0"/>
      <c r="SFX85" s="0"/>
      <c r="SFY85" s="0"/>
      <c r="SFZ85" s="0"/>
      <c r="SGA85" s="0"/>
      <c r="SGB85" s="0"/>
      <c r="SGC85" s="0"/>
      <c r="SGD85" s="0"/>
      <c r="SGE85" s="0"/>
      <c r="SGF85" s="0"/>
      <c r="SGG85" s="0"/>
      <c r="SGH85" s="0"/>
      <c r="SGI85" s="0"/>
      <c r="SGJ85" s="0"/>
      <c r="SGK85" s="0"/>
      <c r="SGL85" s="0"/>
      <c r="SGM85" s="0"/>
      <c r="SGN85" s="0"/>
      <c r="SGO85" s="0"/>
      <c r="SGP85" s="0"/>
      <c r="SGQ85" s="0"/>
      <c r="SGR85" s="0"/>
      <c r="SGS85" s="0"/>
      <c r="SGT85" s="0"/>
      <c r="SGU85" s="0"/>
      <c r="SGV85" s="0"/>
      <c r="SGW85" s="0"/>
      <c r="SGX85" s="0"/>
      <c r="SGY85" s="0"/>
      <c r="SGZ85" s="0"/>
      <c r="SHA85" s="0"/>
      <c r="SHB85" s="0"/>
      <c r="SHC85" s="0"/>
      <c r="SHD85" s="0"/>
      <c r="SHE85" s="0"/>
      <c r="SHF85" s="0"/>
      <c r="SHG85" s="0"/>
      <c r="SHH85" s="0"/>
      <c r="SHI85" s="0"/>
      <c r="SHJ85" s="0"/>
      <c r="SHK85" s="0"/>
      <c r="SHL85" s="0"/>
      <c r="SHM85" s="0"/>
      <c r="SHN85" s="0"/>
      <c r="SHO85" s="0"/>
      <c r="SHP85" s="0"/>
      <c r="SHQ85" s="0"/>
      <c r="SHR85" s="0"/>
      <c r="SHS85" s="0"/>
      <c r="SHT85" s="0"/>
      <c r="SHU85" s="0"/>
      <c r="SHV85" s="0"/>
      <c r="SHW85" s="0"/>
      <c r="SHX85" s="0"/>
      <c r="SHY85" s="0"/>
      <c r="SHZ85" s="0"/>
      <c r="SIA85" s="0"/>
      <c r="SIB85" s="0"/>
      <c r="SIC85" s="0"/>
      <c r="SID85" s="0"/>
      <c r="SIE85" s="0"/>
      <c r="SIF85" s="0"/>
      <c r="SIG85" s="0"/>
      <c r="SIH85" s="0"/>
      <c r="SII85" s="0"/>
      <c r="SIJ85" s="0"/>
      <c r="SIK85" s="0"/>
      <c r="SIL85" s="0"/>
      <c r="SIM85" s="0"/>
      <c r="SIN85" s="0"/>
      <c r="SIO85" s="0"/>
      <c r="SIP85" s="0"/>
      <c r="SIQ85" s="0"/>
      <c r="SIR85" s="0"/>
      <c r="SIS85" s="0"/>
      <c r="SIT85" s="0"/>
      <c r="SIU85" s="0"/>
      <c r="SIV85" s="0"/>
      <c r="SIW85" s="0"/>
      <c r="SIX85" s="0"/>
      <c r="SIY85" s="0"/>
      <c r="SIZ85" s="0"/>
      <c r="SJA85" s="0"/>
      <c r="SJB85" s="0"/>
      <c r="SJC85" s="0"/>
      <c r="SJD85" s="0"/>
      <c r="SJE85" s="0"/>
      <c r="SJF85" s="0"/>
      <c r="SJG85" s="0"/>
      <c r="SJH85" s="0"/>
      <c r="SJI85" s="0"/>
      <c r="SJJ85" s="0"/>
      <c r="SJK85" s="0"/>
      <c r="SJL85" s="0"/>
      <c r="SJM85" s="0"/>
      <c r="SJN85" s="0"/>
      <c r="SJO85" s="0"/>
      <c r="SJP85" s="0"/>
      <c r="SJQ85" s="0"/>
      <c r="SJR85" s="0"/>
      <c r="SJS85" s="0"/>
      <c r="SJT85" s="0"/>
      <c r="SJU85" s="0"/>
      <c r="SJV85" s="0"/>
      <c r="SJW85" s="0"/>
      <c r="SJX85" s="0"/>
      <c r="SJY85" s="0"/>
      <c r="SJZ85" s="0"/>
      <c r="SKA85" s="0"/>
      <c r="SKB85" s="0"/>
      <c r="SKC85" s="0"/>
      <c r="SKD85" s="0"/>
      <c r="SKE85" s="0"/>
      <c r="SKF85" s="0"/>
      <c r="SKG85" s="0"/>
      <c r="SKH85" s="0"/>
      <c r="SKI85" s="0"/>
      <c r="SKJ85" s="0"/>
      <c r="SKK85" s="0"/>
      <c r="SKL85" s="0"/>
      <c r="SKM85" s="0"/>
      <c r="SKN85" s="0"/>
      <c r="SKO85" s="0"/>
      <c r="SKP85" s="0"/>
      <c r="SKQ85" s="0"/>
      <c r="SKR85" s="0"/>
      <c r="SKS85" s="0"/>
      <c r="SKT85" s="0"/>
      <c r="SKU85" s="0"/>
      <c r="SKV85" s="0"/>
      <c r="SKW85" s="0"/>
      <c r="SKX85" s="0"/>
      <c r="SKY85" s="0"/>
      <c r="SKZ85" s="0"/>
      <c r="SLA85" s="0"/>
      <c r="SLB85" s="0"/>
      <c r="SLC85" s="0"/>
      <c r="SLD85" s="0"/>
      <c r="SLE85" s="0"/>
      <c r="SLF85" s="0"/>
      <c r="SLG85" s="0"/>
      <c r="SLH85" s="0"/>
      <c r="SLI85" s="0"/>
      <c r="SLJ85" s="0"/>
      <c r="SLK85" s="0"/>
      <c r="SLL85" s="0"/>
      <c r="SLM85" s="0"/>
      <c r="SLN85" s="0"/>
      <c r="SLO85" s="0"/>
      <c r="SLP85" s="0"/>
      <c r="SLQ85" s="0"/>
      <c r="SLR85" s="0"/>
      <c r="SLS85" s="0"/>
      <c r="SLT85" s="0"/>
      <c r="SLU85" s="0"/>
      <c r="SLV85" s="0"/>
      <c r="SLW85" s="0"/>
      <c r="SLX85" s="0"/>
      <c r="SLY85" s="0"/>
      <c r="SLZ85" s="0"/>
      <c r="SMA85" s="0"/>
      <c r="SMB85" s="0"/>
      <c r="SMC85" s="0"/>
      <c r="SMD85" s="0"/>
      <c r="SME85" s="0"/>
      <c r="SMF85" s="0"/>
      <c r="SMG85" s="0"/>
      <c r="SMH85" s="0"/>
      <c r="SMI85" s="0"/>
      <c r="SMJ85" s="0"/>
      <c r="SMK85" s="0"/>
      <c r="SML85" s="0"/>
      <c r="SMM85" s="0"/>
      <c r="SMN85" s="0"/>
      <c r="SMO85" s="0"/>
      <c r="SMP85" s="0"/>
      <c r="SMQ85" s="0"/>
      <c r="SMR85" s="0"/>
      <c r="SMS85" s="0"/>
      <c r="SMT85" s="0"/>
      <c r="SMU85" s="0"/>
      <c r="SMV85" s="0"/>
      <c r="SMW85" s="0"/>
      <c r="SMX85" s="0"/>
      <c r="SMY85" s="0"/>
      <c r="SMZ85" s="0"/>
      <c r="SNA85" s="0"/>
      <c r="SNB85" s="0"/>
      <c r="SNC85" s="0"/>
      <c r="SND85" s="0"/>
      <c r="SNE85" s="0"/>
      <c r="SNF85" s="0"/>
      <c r="SNG85" s="0"/>
      <c r="SNH85" s="0"/>
      <c r="SNI85" s="0"/>
      <c r="SNJ85" s="0"/>
      <c r="SNK85" s="0"/>
      <c r="SNL85" s="0"/>
      <c r="SNM85" s="0"/>
      <c r="SNN85" s="0"/>
      <c r="SNO85" s="0"/>
      <c r="SNP85" s="0"/>
      <c r="SNQ85" s="0"/>
      <c r="SNR85" s="0"/>
      <c r="SNS85" s="0"/>
      <c r="SNT85" s="0"/>
      <c r="SNU85" s="0"/>
      <c r="SNV85" s="0"/>
      <c r="SNW85" s="0"/>
      <c r="SNX85" s="0"/>
      <c r="SNY85" s="0"/>
      <c r="SNZ85" s="0"/>
      <c r="SOA85" s="0"/>
      <c r="SOB85" s="0"/>
      <c r="SOC85" s="0"/>
      <c r="SOD85" s="0"/>
      <c r="SOE85" s="0"/>
      <c r="SOF85" s="0"/>
      <c r="SOG85" s="0"/>
      <c r="SOH85" s="0"/>
      <c r="SOI85" s="0"/>
      <c r="SOJ85" s="0"/>
      <c r="SOK85" s="0"/>
      <c r="SOL85" s="0"/>
      <c r="SOM85" s="0"/>
      <c r="SON85" s="0"/>
      <c r="SOO85" s="0"/>
      <c r="SOP85" s="0"/>
      <c r="SOQ85" s="0"/>
      <c r="SOR85" s="0"/>
      <c r="SOS85" s="0"/>
      <c r="SOT85" s="0"/>
      <c r="SOU85" s="0"/>
      <c r="SOV85" s="0"/>
      <c r="SOW85" s="0"/>
      <c r="SOX85" s="0"/>
      <c r="SOY85" s="0"/>
      <c r="SOZ85" s="0"/>
      <c r="SPA85" s="0"/>
      <c r="SPB85" s="0"/>
      <c r="SPC85" s="0"/>
      <c r="SPD85" s="0"/>
      <c r="SPE85" s="0"/>
      <c r="SPF85" s="0"/>
      <c r="SPG85" s="0"/>
      <c r="SPH85" s="0"/>
      <c r="SPI85" s="0"/>
      <c r="SPJ85" s="0"/>
      <c r="SPK85" s="0"/>
      <c r="SPL85" s="0"/>
      <c r="SPM85" s="0"/>
      <c r="SPN85" s="0"/>
      <c r="SPO85" s="0"/>
      <c r="SPP85" s="0"/>
      <c r="SPQ85" s="0"/>
      <c r="SPR85" s="0"/>
      <c r="SPS85" s="0"/>
      <c r="SPT85" s="0"/>
      <c r="SPU85" s="0"/>
      <c r="SPV85" s="0"/>
      <c r="SPW85" s="0"/>
      <c r="SPX85" s="0"/>
      <c r="SPY85" s="0"/>
      <c r="SPZ85" s="0"/>
      <c r="SQA85" s="0"/>
      <c r="SQB85" s="0"/>
      <c r="SQC85" s="0"/>
      <c r="SQD85" s="0"/>
      <c r="SQE85" s="0"/>
      <c r="SQF85" s="0"/>
      <c r="SQG85" s="0"/>
      <c r="SQH85" s="0"/>
      <c r="SQI85" s="0"/>
      <c r="SQJ85" s="0"/>
      <c r="SQK85" s="0"/>
      <c r="SQL85" s="0"/>
      <c r="SQM85" s="0"/>
      <c r="SQN85" s="0"/>
      <c r="SQO85" s="0"/>
      <c r="SQP85" s="0"/>
      <c r="SQQ85" s="0"/>
      <c r="SQR85" s="0"/>
      <c r="SQS85" s="0"/>
      <c r="SQT85" s="0"/>
      <c r="SQU85" s="0"/>
      <c r="SQV85" s="0"/>
      <c r="SQW85" s="0"/>
      <c r="SQX85" s="0"/>
      <c r="SQY85" s="0"/>
      <c r="SQZ85" s="0"/>
      <c r="SRA85" s="0"/>
      <c r="SRB85" s="0"/>
      <c r="SRC85" s="0"/>
      <c r="SRD85" s="0"/>
      <c r="SRE85" s="0"/>
      <c r="SRF85" s="0"/>
      <c r="SRG85" s="0"/>
      <c r="SRH85" s="0"/>
      <c r="SRI85" s="0"/>
      <c r="SRJ85" s="0"/>
      <c r="SRK85" s="0"/>
      <c r="SRL85" s="0"/>
      <c r="SRM85" s="0"/>
      <c r="SRN85" s="0"/>
      <c r="SRO85" s="0"/>
      <c r="SRP85" s="0"/>
      <c r="SRQ85" s="0"/>
      <c r="SRR85" s="0"/>
      <c r="SRS85" s="0"/>
      <c r="SRT85" s="0"/>
      <c r="SRU85" s="0"/>
      <c r="SRV85" s="0"/>
      <c r="SRW85" s="0"/>
      <c r="SRX85" s="0"/>
      <c r="SRY85" s="0"/>
      <c r="SRZ85" s="0"/>
      <c r="SSA85" s="0"/>
      <c r="SSB85" s="0"/>
      <c r="SSC85" s="0"/>
      <c r="SSD85" s="0"/>
      <c r="SSE85" s="0"/>
      <c r="SSF85" s="0"/>
      <c r="SSG85" s="0"/>
      <c r="SSH85" s="0"/>
      <c r="SSI85" s="0"/>
      <c r="SSJ85" s="0"/>
      <c r="SSK85" s="0"/>
      <c r="SSL85" s="0"/>
      <c r="SSM85" s="0"/>
      <c r="SSN85" s="0"/>
      <c r="SSO85" s="0"/>
      <c r="SSP85" s="0"/>
      <c r="SSQ85" s="0"/>
      <c r="SSR85" s="0"/>
      <c r="SSS85" s="0"/>
      <c r="SST85" s="0"/>
      <c r="SSU85" s="0"/>
      <c r="SSV85" s="0"/>
      <c r="SSW85" s="0"/>
      <c r="SSX85" s="0"/>
      <c r="SSY85" s="0"/>
      <c r="SSZ85" s="0"/>
      <c r="STA85" s="0"/>
      <c r="STB85" s="0"/>
      <c r="STC85" s="0"/>
      <c r="STD85" s="0"/>
      <c r="STE85" s="0"/>
      <c r="STF85" s="0"/>
      <c r="STG85" s="0"/>
      <c r="STH85" s="0"/>
      <c r="STI85" s="0"/>
      <c r="STJ85" s="0"/>
      <c r="STK85" s="0"/>
      <c r="STL85" s="0"/>
      <c r="STM85" s="0"/>
      <c r="STN85" s="0"/>
      <c r="STO85" s="0"/>
      <c r="STP85" s="0"/>
      <c r="STQ85" s="0"/>
      <c r="STR85" s="0"/>
      <c r="STS85" s="0"/>
      <c r="STT85" s="0"/>
      <c r="STU85" s="0"/>
      <c r="STV85" s="0"/>
      <c r="STW85" s="0"/>
      <c r="STX85" s="0"/>
      <c r="STY85" s="0"/>
      <c r="STZ85" s="0"/>
      <c r="SUA85" s="0"/>
      <c r="SUB85" s="0"/>
      <c r="SUC85" s="0"/>
      <c r="SUD85" s="0"/>
      <c r="SUE85" s="0"/>
      <c r="SUF85" s="0"/>
      <c r="SUG85" s="0"/>
      <c r="SUH85" s="0"/>
      <c r="SUI85" s="0"/>
      <c r="SUJ85" s="0"/>
      <c r="SUK85" s="0"/>
      <c r="SUL85" s="0"/>
      <c r="SUM85" s="0"/>
      <c r="SUN85" s="0"/>
      <c r="SUO85" s="0"/>
      <c r="SUP85" s="0"/>
      <c r="SUQ85" s="0"/>
      <c r="SUR85" s="0"/>
      <c r="SUS85" s="0"/>
      <c r="SUT85" s="0"/>
      <c r="SUU85" s="0"/>
      <c r="SUV85" s="0"/>
      <c r="SUW85" s="0"/>
      <c r="SUX85" s="0"/>
      <c r="SUY85" s="0"/>
      <c r="SUZ85" s="0"/>
      <c r="SVA85" s="0"/>
      <c r="SVB85" s="0"/>
      <c r="SVC85" s="0"/>
      <c r="SVD85" s="0"/>
      <c r="SVE85" s="0"/>
      <c r="SVF85" s="0"/>
      <c r="SVG85" s="0"/>
      <c r="SVH85" s="0"/>
      <c r="SVI85" s="0"/>
      <c r="SVJ85" s="0"/>
      <c r="SVK85" s="0"/>
      <c r="SVL85" s="0"/>
      <c r="SVM85" s="0"/>
      <c r="SVN85" s="0"/>
      <c r="SVO85" s="0"/>
      <c r="SVP85" s="0"/>
      <c r="SVQ85" s="0"/>
      <c r="SVR85" s="0"/>
      <c r="SVS85" s="0"/>
      <c r="SVT85" s="0"/>
      <c r="SVU85" s="0"/>
      <c r="SVV85" s="0"/>
      <c r="SVW85" s="0"/>
      <c r="SVX85" s="0"/>
      <c r="SVY85" s="0"/>
      <c r="SVZ85" s="0"/>
      <c r="SWA85" s="0"/>
      <c r="SWB85" s="0"/>
      <c r="SWC85" s="0"/>
      <c r="SWD85" s="0"/>
      <c r="SWE85" s="0"/>
      <c r="SWF85" s="0"/>
      <c r="SWG85" s="0"/>
      <c r="SWH85" s="0"/>
      <c r="SWI85" s="0"/>
      <c r="SWJ85" s="0"/>
      <c r="SWK85" s="0"/>
      <c r="SWL85" s="0"/>
      <c r="SWM85" s="0"/>
      <c r="SWN85" s="0"/>
      <c r="SWO85" s="0"/>
      <c r="SWP85" s="0"/>
      <c r="SWQ85" s="0"/>
      <c r="SWR85" s="0"/>
      <c r="SWS85" s="0"/>
      <c r="SWT85" s="0"/>
      <c r="SWU85" s="0"/>
      <c r="SWV85" s="0"/>
      <c r="SWW85" s="0"/>
      <c r="SWX85" s="0"/>
      <c r="SWY85" s="0"/>
      <c r="SWZ85" s="0"/>
      <c r="SXA85" s="0"/>
      <c r="SXB85" s="0"/>
      <c r="SXC85" s="0"/>
      <c r="SXD85" s="0"/>
      <c r="SXE85" s="0"/>
      <c r="SXF85" s="0"/>
      <c r="SXG85" s="0"/>
      <c r="SXH85" s="0"/>
      <c r="SXI85" s="0"/>
      <c r="SXJ85" s="0"/>
      <c r="SXK85" s="0"/>
      <c r="SXL85" s="0"/>
      <c r="SXM85" s="0"/>
      <c r="SXN85" s="0"/>
      <c r="SXO85" s="0"/>
      <c r="SXP85" s="0"/>
      <c r="SXQ85" s="0"/>
      <c r="SXR85" s="0"/>
      <c r="SXS85" s="0"/>
      <c r="SXT85" s="0"/>
      <c r="SXU85" s="0"/>
      <c r="SXV85" s="0"/>
      <c r="SXW85" s="0"/>
      <c r="SXX85" s="0"/>
      <c r="SXY85" s="0"/>
      <c r="SXZ85" s="0"/>
      <c r="SYA85" s="0"/>
      <c r="SYB85" s="0"/>
      <c r="SYC85" s="0"/>
      <c r="SYD85" s="0"/>
      <c r="SYE85" s="0"/>
      <c r="SYF85" s="0"/>
      <c r="SYG85" s="0"/>
      <c r="SYH85" s="0"/>
      <c r="SYI85" s="0"/>
      <c r="SYJ85" s="0"/>
      <c r="SYK85" s="0"/>
      <c r="SYL85" s="0"/>
      <c r="SYM85" s="0"/>
      <c r="SYN85" s="0"/>
      <c r="SYO85" s="0"/>
      <c r="SYP85" s="0"/>
      <c r="SYQ85" s="0"/>
      <c r="SYR85" s="0"/>
      <c r="SYS85" s="0"/>
      <c r="SYT85" s="0"/>
      <c r="SYU85" s="0"/>
      <c r="SYV85" s="0"/>
      <c r="SYW85" s="0"/>
      <c r="SYX85" s="0"/>
      <c r="SYY85" s="0"/>
      <c r="SYZ85" s="0"/>
      <c r="SZA85" s="0"/>
      <c r="SZB85" s="0"/>
      <c r="SZC85" s="0"/>
      <c r="SZD85" s="0"/>
      <c r="SZE85" s="0"/>
      <c r="SZF85" s="0"/>
      <c r="SZG85" s="0"/>
      <c r="SZH85" s="0"/>
      <c r="SZI85" s="0"/>
      <c r="SZJ85" s="0"/>
      <c r="SZK85" s="0"/>
      <c r="SZL85" s="0"/>
      <c r="SZM85" s="0"/>
      <c r="SZN85" s="0"/>
      <c r="SZO85" s="0"/>
      <c r="SZP85" s="0"/>
      <c r="SZQ85" s="0"/>
      <c r="SZR85" s="0"/>
      <c r="SZS85" s="0"/>
      <c r="SZT85" s="0"/>
      <c r="SZU85" s="0"/>
      <c r="SZV85" s="0"/>
      <c r="SZW85" s="0"/>
      <c r="SZX85" s="0"/>
      <c r="SZY85" s="0"/>
      <c r="SZZ85" s="0"/>
      <c r="TAA85" s="0"/>
      <c r="TAB85" s="0"/>
      <c r="TAC85" s="0"/>
      <c r="TAD85" s="0"/>
      <c r="TAE85" s="0"/>
      <c r="TAF85" s="0"/>
      <c r="TAG85" s="0"/>
      <c r="TAH85" s="0"/>
      <c r="TAI85" s="0"/>
      <c r="TAJ85" s="0"/>
      <c r="TAK85" s="0"/>
      <c r="TAL85" s="0"/>
      <c r="TAM85" s="0"/>
      <c r="TAN85" s="0"/>
      <c r="TAO85" s="0"/>
      <c r="TAP85" s="0"/>
      <c r="TAQ85" s="0"/>
      <c r="TAR85" s="0"/>
      <c r="TAS85" s="0"/>
      <c r="TAT85" s="0"/>
      <c r="TAU85" s="0"/>
      <c r="TAV85" s="0"/>
      <c r="TAW85" s="0"/>
      <c r="TAX85" s="0"/>
      <c r="TAY85" s="0"/>
      <c r="TAZ85" s="0"/>
      <c r="TBA85" s="0"/>
      <c r="TBB85" s="0"/>
      <c r="TBC85" s="0"/>
      <c r="TBD85" s="0"/>
      <c r="TBE85" s="0"/>
      <c r="TBF85" s="0"/>
      <c r="TBG85" s="0"/>
      <c r="TBH85" s="0"/>
      <c r="TBI85" s="0"/>
      <c r="TBJ85" s="0"/>
      <c r="TBK85" s="0"/>
      <c r="TBL85" s="0"/>
      <c r="TBM85" s="0"/>
      <c r="TBN85" s="0"/>
      <c r="TBO85" s="0"/>
      <c r="TBP85" s="0"/>
      <c r="TBQ85" s="0"/>
      <c r="TBR85" s="0"/>
      <c r="TBS85" s="0"/>
      <c r="TBT85" s="0"/>
      <c r="TBU85" s="0"/>
      <c r="TBV85" s="0"/>
      <c r="TBW85" s="0"/>
      <c r="TBX85" s="0"/>
      <c r="TBY85" s="0"/>
      <c r="TBZ85" s="0"/>
      <c r="TCA85" s="0"/>
      <c r="TCB85" s="0"/>
      <c r="TCC85" s="0"/>
      <c r="TCD85" s="0"/>
      <c r="TCE85" s="0"/>
      <c r="TCF85" s="0"/>
      <c r="TCG85" s="0"/>
      <c r="TCH85" s="0"/>
      <c r="TCI85" s="0"/>
      <c r="TCJ85" s="0"/>
      <c r="TCK85" s="0"/>
      <c r="TCL85" s="0"/>
      <c r="TCM85" s="0"/>
      <c r="TCN85" s="0"/>
      <c r="TCO85" s="0"/>
      <c r="TCP85" s="0"/>
      <c r="TCQ85" s="0"/>
      <c r="TCR85" s="0"/>
      <c r="TCS85" s="0"/>
      <c r="TCT85" s="0"/>
      <c r="TCU85" s="0"/>
      <c r="TCV85" s="0"/>
      <c r="TCW85" s="0"/>
      <c r="TCX85" s="0"/>
      <c r="TCY85" s="0"/>
      <c r="TCZ85" s="0"/>
      <c r="TDA85" s="0"/>
      <c r="TDB85" s="0"/>
      <c r="TDC85" s="0"/>
      <c r="TDD85" s="0"/>
      <c r="TDE85" s="0"/>
      <c r="TDF85" s="0"/>
      <c r="TDG85" s="0"/>
      <c r="TDH85" s="0"/>
      <c r="TDI85" s="0"/>
      <c r="TDJ85" s="0"/>
      <c r="TDK85" s="0"/>
      <c r="TDL85" s="0"/>
      <c r="TDM85" s="0"/>
      <c r="TDN85" s="0"/>
      <c r="TDO85" s="0"/>
      <c r="TDP85" s="0"/>
      <c r="TDQ85" s="0"/>
      <c r="TDR85" s="0"/>
      <c r="TDS85" s="0"/>
      <c r="TDT85" s="0"/>
      <c r="TDU85" s="0"/>
      <c r="TDV85" s="0"/>
      <c r="TDW85" s="0"/>
      <c r="TDX85" s="0"/>
      <c r="TDY85" s="0"/>
      <c r="TDZ85" s="0"/>
      <c r="TEA85" s="0"/>
      <c r="TEB85" s="0"/>
      <c r="TEC85" s="0"/>
      <c r="TED85" s="0"/>
      <c r="TEE85" s="0"/>
      <c r="TEF85" s="0"/>
      <c r="TEG85" s="0"/>
      <c r="TEH85" s="0"/>
      <c r="TEI85" s="0"/>
      <c r="TEJ85" s="0"/>
      <c r="TEK85" s="0"/>
      <c r="TEL85" s="0"/>
      <c r="TEM85" s="0"/>
      <c r="TEN85" s="0"/>
      <c r="TEO85" s="0"/>
      <c r="TEP85" s="0"/>
      <c r="TEQ85" s="0"/>
      <c r="TER85" s="0"/>
      <c r="TES85" s="0"/>
      <c r="TET85" s="0"/>
      <c r="TEU85" s="0"/>
      <c r="TEV85" s="0"/>
      <c r="TEW85" s="0"/>
      <c r="TEX85" s="0"/>
      <c r="TEY85" s="0"/>
      <c r="TEZ85" s="0"/>
      <c r="TFA85" s="0"/>
      <c r="TFB85" s="0"/>
      <c r="TFC85" s="0"/>
      <c r="TFD85" s="0"/>
      <c r="TFE85" s="0"/>
      <c r="TFF85" s="0"/>
      <c r="TFG85" s="0"/>
      <c r="TFH85" s="0"/>
      <c r="TFI85" s="0"/>
      <c r="TFJ85" s="0"/>
      <c r="TFK85" s="0"/>
      <c r="TFL85" s="0"/>
      <c r="TFM85" s="0"/>
      <c r="TFN85" s="0"/>
      <c r="TFO85" s="0"/>
      <c r="TFP85" s="0"/>
      <c r="TFQ85" s="0"/>
      <c r="TFR85" s="0"/>
      <c r="TFS85" s="0"/>
      <c r="TFT85" s="0"/>
      <c r="TFU85" s="0"/>
      <c r="TFV85" s="0"/>
      <c r="TFW85" s="0"/>
      <c r="TFX85" s="0"/>
      <c r="TFY85" s="0"/>
      <c r="TFZ85" s="0"/>
      <c r="TGA85" s="0"/>
      <c r="TGB85" s="0"/>
      <c r="TGC85" s="0"/>
      <c r="TGD85" s="0"/>
      <c r="TGE85" s="0"/>
      <c r="TGF85" s="0"/>
      <c r="TGG85" s="0"/>
      <c r="TGH85" s="0"/>
      <c r="TGI85" s="0"/>
      <c r="TGJ85" s="0"/>
      <c r="TGK85" s="0"/>
      <c r="TGL85" s="0"/>
      <c r="TGM85" s="0"/>
      <c r="TGN85" s="0"/>
      <c r="TGO85" s="0"/>
      <c r="TGP85" s="0"/>
      <c r="TGQ85" s="0"/>
      <c r="TGR85" s="0"/>
      <c r="TGS85" s="0"/>
      <c r="TGT85" s="0"/>
      <c r="TGU85" s="0"/>
      <c r="TGV85" s="0"/>
      <c r="TGW85" s="0"/>
      <c r="TGX85" s="0"/>
      <c r="TGY85" s="0"/>
      <c r="TGZ85" s="0"/>
      <c r="THA85" s="0"/>
      <c r="THB85" s="0"/>
      <c r="THC85" s="0"/>
      <c r="THD85" s="0"/>
      <c r="THE85" s="0"/>
      <c r="THF85" s="0"/>
      <c r="THG85" s="0"/>
      <c r="THH85" s="0"/>
      <c r="THI85" s="0"/>
      <c r="THJ85" s="0"/>
      <c r="THK85" s="0"/>
      <c r="THL85" s="0"/>
      <c r="THM85" s="0"/>
      <c r="THN85" s="0"/>
      <c r="THO85" s="0"/>
      <c r="THP85" s="0"/>
      <c r="THQ85" s="0"/>
      <c r="THR85" s="0"/>
      <c r="THS85" s="0"/>
      <c r="THT85" s="0"/>
      <c r="THU85" s="0"/>
      <c r="THV85" s="0"/>
      <c r="THW85" s="0"/>
      <c r="THX85" s="0"/>
      <c r="THY85" s="0"/>
      <c r="THZ85" s="0"/>
      <c r="TIA85" s="0"/>
      <c r="TIB85" s="0"/>
      <c r="TIC85" s="0"/>
      <c r="TID85" s="0"/>
      <c r="TIE85" s="0"/>
      <c r="TIF85" s="0"/>
      <c r="TIG85" s="0"/>
      <c r="TIH85" s="0"/>
      <c r="TII85" s="0"/>
      <c r="TIJ85" s="0"/>
      <c r="TIK85" s="0"/>
      <c r="TIL85" s="0"/>
      <c r="TIM85" s="0"/>
      <c r="TIN85" s="0"/>
      <c r="TIO85" s="0"/>
      <c r="TIP85" s="0"/>
      <c r="TIQ85" s="0"/>
      <c r="TIR85" s="0"/>
      <c r="TIS85" s="0"/>
      <c r="TIT85" s="0"/>
      <c r="TIU85" s="0"/>
      <c r="TIV85" s="0"/>
      <c r="TIW85" s="0"/>
      <c r="TIX85" s="0"/>
      <c r="TIY85" s="0"/>
      <c r="TIZ85" s="0"/>
      <c r="TJA85" s="0"/>
      <c r="TJB85" s="0"/>
      <c r="TJC85" s="0"/>
      <c r="TJD85" s="0"/>
      <c r="TJE85" s="0"/>
      <c r="TJF85" s="0"/>
      <c r="TJG85" s="0"/>
      <c r="TJH85" s="0"/>
      <c r="TJI85" s="0"/>
      <c r="TJJ85" s="0"/>
      <c r="TJK85" s="0"/>
      <c r="TJL85" s="0"/>
      <c r="TJM85" s="0"/>
      <c r="TJN85" s="0"/>
      <c r="TJO85" s="0"/>
      <c r="TJP85" s="0"/>
      <c r="TJQ85" s="0"/>
      <c r="TJR85" s="0"/>
      <c r="TJS85" s="0"/>
      <c r="TJT85" s="0"/>
      <c r="TJU85" s="0"/>
      <c r="TJV85" s="0"/>
      <c r="TJW85" s="0"/>
      <c r="TJX85" s="0"/>
      <c r="TJY85" s="0"/>
      <c r="TJZ85" s="0"/>
      <c r="TKA85" s="0"/>
      <c r="TKB85" s="0"/>
      <c r="TKC85" s="0"/>
      <c r="TKD85" s="0"/>
      <c r="TKE85" s="0"/>
      <c r="TKF85" s="0"/>
      <c r="TKG85" s="0"/>
      <c r="TKH85" s="0"/>
      <c r="TKI85" s="0"/>
      <c r="TKJ85" s="0"/>
      <c r="TKK85" s="0"/>
      <c r="TKL85" s="0"/>
      <c r="TKM85" s="0"/>
      <c r="TKN85" s="0"/>
      <c r="TKO85" s="0"/>
      <c r="TKP85" s="0"/>
      <c r="TKQ85" s="0"/>
      <c r="TKR85" s="0"/>
      <c r="TKS85" s="0"/>
      <c r="TKT85" s="0"/>
      <c r="TKU85" s="0"/>
      <c r="TKV85" s="0"/>
      <c r="TKW85" s="0"/>
      <c r="TKX85" s="0"/>
      <c r="TKY85" s="0"/>
      <c r="TKZ85" s="0"/>
      <c r="TLA85" s="0"/>
      <c r="TLB85" s="0"/>
      <c r="TLC85" s="0"/>
      <c r="TLD85" s="0"/>
      <c r="TLE85" s="0"/>
      <c r="TLF85" s="0"/>
      <c r="TLG85" s="0"/>
      <c r="TLH85" s="0"/>
      <c r="TLI85" s="0"/>
      <c r="TLJ85" s="0"/>
      <c r="TLK85" s="0"/>
      <c r="TLL85" s="0"/>
      <c r="TLM85" s="0"/>
      <c r="TLN85" s="0"/>
      <c r="TLO85" s="0"/>
      <c r="TLP85" s="0"/>
      <c r="TLQ85" s="0"/>
      <c r="TLR85" s="0"/>
      <c r="TLS85" s="0"/>
      <c r="TLT85" s="0"/>
      <c r="TLU85" s="0"/>
      <c r="TLV85" s="0"/>
      <c r="TLW85" s="0"/>
      <c r="TLX85" s="0"/>
      <c r="TLY85" s="0"/>
      <c r="TLZ85" s="0"/>
      <c r="TMA85" s="0"/>
      <c r="TMB85" s="0"/>
      <c r="TMC85" s="0"/>
      <c r="TMD85" s="0"/>
      <c r="TME85" s="0"/>
      <c r="TMF85" s="0"/>
      <c r="TMG85" s="0"/>
      <c r="TMH85" s="0"/>
      <c r="TMI85" s="0"/>
      <c r="TMJ85" s="0"/>
      <c r="TMK85" s="0"/>
      <c r="TML85" s="0"/>
      <c r="TMM85" s="0"/>
      <c r="TMN85" s="0"/>
      <c r="TMO85" s="0"/>
      <c r="TMP85" s="0"/>
      <c r="TMQ85" s="0"/>
      <c r="TMR85" s="0"/>
      <c r="TMS85" s="0"/>
      <c r="TMT85" s="0"/>
      <c r="TMU85" s="0"/>
      <c r="TMV85" s="0"/>
      <c r="TMW85" s="0"/>
      <c r="TMX85" s="0"/>
      <c r="TMY85" s="0"/>
      <c r="TMZ85" s="0"/>
      <c r="TNA85" s="0"/>
      <c r="TNB85" s="0"/>
      <c r="TNC85" s="0"/>
      <c r="TND85" s="0"/>
      <c r="TNE85" s="0"/>
      <c r="TNF85" s="0"/>
      <c r="TNG85" s="0"/>
      <c r="TNH85" s="0"/>
      <c r="TNI85" s="0"/>
      <c r="TNJ85" s="0"/>
      <c r="TNK85" s="0"/>
      <c r="TNL85" s="0"/>
      <c r="TNM85" s="0"/>
      <c r="TNN85" s="0"/>
      <c r="TNO85" s="0"/>
      <c r="TNP85" s="0"/>
      <c r="TNQ85" s="0"/>
      <c r="TNR85" s="0"/>
      <c r="TNS85" s="0"/>
      <c r="TNT85" s="0"/>
      <c r="TNU85" s="0"/>
      <c r="TNV85" s="0"/>
      <c r="TNW85" s="0"/>
      <c r="TNX85" s="0"/>
      <c r="TNY85" s="0"/>
      <c r="TNZ85" s="0"/>
      <c r="TOA85" s="0"/>
      <c r="TOB85" s="0"/>
      <c r="TOC85" s="0"/>
      <c r="TOD85" s="0"/>
      <c r="TOE85" s="0"/>
      <c r="TOF85" s="0"/>
      <c r="TOG85" s="0"/>
      <c r="TOH85" s="0"/>
      <c r="TOI85" s="0"/>
      <c r="TOJ85" s="0"/>
      <c r="TOK85" s="0"/>
      <c r="TOL85" s="0"/>
      <c r="TOM85" s="0"/>
      <c r="TON85" s="0"/>
      <c r="TOO85" s="0"/>
      <c r="TOP85" s="0"/>
      <c r="TOQ85" s="0"/>
      <c r="TOR85" s="0"/>
      <c r="TOS85" s="0"/>
      <c r="TOT85" s="0"/>
      <c r="TOU85" s="0"/>
      <c r="TOV85" s="0"/>
      <c r="TOW85" s="0"/>
      <c r="TOX85" s="0"/>
      <c r="TOY85" s="0"/>
      <c r="TOZ85" s="0"/>
      <c r="TPA85" s="0"/>
      <c r="TPB85" s="0"/>
      <c r="TPC85" s="0"/>
      <c r="TPD85" s="0"/>
      <c r="TPE85" s="0"/>
      <c r="TPF85" s="0"/>
      <c r="TPG85" s="0"/>
      <c r="TPH85" s="0"/>
      <c r="TPI85" s="0"/>
      <c r="TPJ85" s="0"/>
      <c r="TPK85" s="0"/>
      <c r="TPL85" s="0"/>
      <c r="TPM85" s="0"/>
      <c r="TPN85" s="0"/>
      <c r="TPO85" s="0"/>
      <c r="TPP85" s="0"/>
      <c r="TPQ85" s="0"/>
      <c r="TPR85" s="0"/>
      <c r="TPS85" s="0"/>
      <c r="TPT85" s="0"/>
      <c r="TPU85" s="0"/>
      <c r="TPV85" s="0"/>
      <c r="TPW85" s="0"/>
      <c r="TPX85" s="0"/>
      <c r="TPY85" s="0"/>
      <c r="TPZ85" s="0"/>
      <c r="TQA85" s="0"/>
      <c r="TQB85" s="0"/>
      <c r="TQC85" s="0"/>
      <c r="TQD85" s="0"/>
      <c r="TQE85" s="0"/>
      <c r="TQF85" s="0"/>
      <c r="TQG85" s="0"/>
      <c r="TQH85" s="0"/>
      <c r="TQI85" s="0"/>
      <c r="TQJ85" s="0"/>
      <c r="TQK85" s="0"/>
      <c r="TQL85" s="0"/>
      <c r="TQM85" s="0"/>
      <c r="TQN85" s="0"/>
      <c r="TQO85" s="0"/>
      <c r="TQP85" s="0"/>
      <c r="TQQ85" s="0"/>
      <c r="TQR85" s="0"/>
      <c r="TQS85" s="0"/>
      <c r="TQT85" s="0"/>
      <c r="TQU85" s="0"/>
      <c r="TQV85" s="0"/>
      <c r="TQW85" s="0"/>
      <c r="TQX85" s="0"/>
      <c r="TQY85" s="0"/>
      <c r="TQZ85" s="0"/>
      <c r="TRA85" s="0"/>
      <c r="TRB85" s="0"/>
      <c r="TRC85" s="0"/>
      <c r="TRD85" s="0"/>
      <c r="TRE85" s="0"/>
      <c r="TRF85" s="0"/>
      <c r="TRG85" s="0"/>
      <c r="TRH85" s="0"/>
      <c r="TRI85" s="0"/>
      <c r="TRJ85" s="0"/>
      <c r="TRK85" s="0"/>
      <c r="TRL85" s="0"/>
      <c r="TRM85" s="0"/>
      <c r="TRN85" s="0"/>
      <c r="TRO85" s="0"/>
      <c r="TRP85" s="0"/>
      <c r="TRQ85" s="0"/>
      <c r="TRR85" s="0"/>
      <c r="TRS85" s="0"/>
      <c r="TRT85" s="0"/>
      <c r="TRU85" s="0"/>
      <c r="TRV85" s="0"/>
      <c r="TRW85" s="0"/>
      <c r="TRX85" s="0"/>
      <c r="TRY85" s="0"/>
      <c r="TRZ85" s="0"/>
      <c r="TSA85" s="0"/>
      <c r="TSB85" s="0"/>
      <c r="TSC85" s="0"/>
      <c r="TSD85" s="0"/>
      <c r="TSE85" s="0"/>
      <c r="TSF85" s="0"/>
      <c r="TSG85" s="0"/>
      <c r="TSH85" s="0"/>
      <c r="TSI85" s="0"/>
      <c r="TSJ85" s="0"/>
      <c r="TSK85" s="0"/>
      <c r="TSL85" s="0"/>
      <c r="TSM85" s="0"/>
      <c r="TSN85" s="0"/>
      <c r="TSO85" s="0"/>
      <c r="TSP85" s="0"/>
      <c r="TSQ85" s="0"/>
      <c r="TSR85" s="0"/>
      <c r="TSS85" s="0"/>
      <c r="TST85" s="0"/>
      <c r="TSU85" s="0"/>
      <c r="TSV85" s="0"/>
      <c r="TSW85" s="0"/>
      <c r="TSX85" s="0"/>
      <c r="TSY85" s="0"/>
      <c r="TSZ85" s="0"/>
      <c r="TTA85" s="0"/>
      <c r="TTB85" s="0"/>
      <c r="TTC85" s="0"/>
      <c r="TTD85" s="0"/>
      <c r="TTE85" s="0"/>
      <c r="TTF85" s="0"/>
      <c r="TTG85" s="0"/>
      <c r="TTH85" s="0"/>
      <c r="TTI85" s="0"/>
      <c r="TTJ85" s="0"/>
      <c r="TTK85" s="0"/>
      <c r="TTL85" s="0"/>
      <c r="TTM85" s="0"/>
      <c r="TTN85" s="0"/>
      <c r="TTO85" s="0"/>
      <c r="TTP85" s="0"/>
      <c r="TTQ85" s="0"/>
      <c r="TTR85" s="0"/>
      <c r="TTS85" s="0"/>
      <c r="TTT85" s="0"/>
      <c r="TTU85" s="0"/>
      <c r="TTV85" s="0"/>
      <c r="TTW85" s="0"/>
      <c r="TTX85" s="0"/>
      <c r="TTY85" s="0"/>
      <c r="TTZ85" s="0"/>
      <c r="TUA85" s="0"/>
      <c r="TUB85" s="0"/>
      <c r="TUC85" s="0"/>
      <c r="TUD85" s="0"/>
      <c r="TUE85" s="0"/>
      <c r="TUF85" s="0"/>
      <c r="TUG85" s="0"/>
      <c r="TUH85" s="0"/>
      <c r="TUI85" s="0"/>
      <c r="TUJ85" s="0"/>
      <c r="TUK85" s="0"/>
      <c r="TUL85" s="0"/>
      <c r="TUM85" s="0"/>
      <c r="TUN85" s="0"/>
      <c r="TUO85" s="0"/>
      <c r="TUP85" s="0"/>
      <c r="TUQ85" s="0"/>
      <c r="TUR85" s="0"/>
      <c r="TUS85" s="0"/>
      <c r="TUT85" s="0"/>
      <c r="TUU85" s="0"/>
      <c r="TUV85" s="0"/>
      <c r="TUW85" s="0"/>
      <c r="TUX85" s="0"/>
      <c r="TUY85" s="0"/>
      <c r="TUZ85" s="0"/>
      <c r="TVA85" s="0"/>
      <c r="TVB85" s="0"/>
      <c r="TVC85" s="0"/>
      <c r="TVD85" s="0"/>
      <c r="TVE85" s="0"/>
      <c r="TVF85" s="0"/>
      <c r="TVG85" s="0"/>
      <c r="TVH85" s="0"/>
      <c r="TVI85" s="0"/>
      <c r="TVJ85" s="0"/>
      <c r="TVK85" s="0"/>
      <c r="TVL85" s="0"/>
      <c r="TVM85" s="0"/>
      <c r="TVN85" s="0"/>
      <c r="TVO85" s="0"/>
      <c r="TVP85" s="0"/>
      <c r="TVQ85" s="0"/>
      <c r="TVR85" s="0"/>
      <c r="TVS85" s="0"/>
      <c r="TVT85" s="0"/>
      <c r="TVU85" s="0"/>
      <c r="TVV85" s="0"/>
      <c r="TVW85" s="0"/>
      <c r="TVX85" s="0"/>
      <c r="TVY85" s="0"/>
      <c r="TVZ85" s="0"/>
      <c r="TWA85" s="0"/>
      <c r="TWB85" s="0"/>
      <c r="TWC85" s="0"/>
      <c r="TWD85" s="0"/>
      <c r="TWE85" s="0"/>
      <c r="TWF85" s="0"/>
      <c r="TWG85" s="0"/>
      <c r="TWH85" s="0"/>
      <c r="TWI85" s="0"/>
      <c r="TWJ85" s="0"/>
      <c r="TWK85" s="0"/>
      <c r="TWL85" s="0"/>
      <c r="TWM85" s="0"/>
      <c r="TWN85" s="0"/>
      <c r="TWO85" s="0"/>
      <c r="TWP85" s="0"/>
      <c r="TWQ85" s="0"/>
      <c r="TWR85" s="0"/>
      <c r="TWS85" s="0"/>
      <c r="TWT85" s="0"/>
      <c r="TWU85" s="0"/>
      <c r="TWV85" s="0"/>
      <c r="TWW85" s="0"/>
      <c r="TWX85" s="0"/>
      <c r="TWY85" s="0"/>
      <c r="TWZ85" s="0"/>
      <c r="TXA85" s="0"/>
      <c r="TXB85" s="0"/>
      <c r="TXC85" s="0"/>
      <c r="TXD85" s="0"/>
      <c r="TXE85" s="0"/>
      <c r="TXF85" s="0"/>
      <c r="TXG85" s="0"/>
      <c r="TXH85" s="0"/>
      <c r="TXI85" s="0"/>
      <c r="TXJ85" s="0"/>
      <c r="TXK85" s="0"/>
      <c r="TXL85" s="0"/>
      <c r="TXM85" s="0"/>
      <c r="TXN85" s="0"/>
      <c r="TXO85" s="0"/>
      <c r="TXP85" s="0"/>
      <c r="TXQ85" s="0"/>
      <c r="TXR85" s="0"/>
      <c r="TXS85" s="0"/>
      <c r="TXT85" s="0"/>
      <c r="TXU85" s="0"/>
      <c r="TXV85" s="0"/>
      <c r="TXW85" s="0"/>
      <c r="TXX85" s="0"/>
      <c r="TXY85" s="0"/>
      <c r="TXZ85" s="0"/>
      <c r="TYA85" s="0"/>
      <c r="TYB85" s="0"/>
      <c r="TYC85" s="0"/>
      <c r="TYD85" s="0"/>
      <c r="TYE85" s="0"/>
      <c r="TYF85" s="0"/>
      <c r="TYG85" s="0"/>
      <c r="TYH85" s="0"/>
      <c r="TYI85" s="0"/>
      <c r="TYJ85" s="0"/>
      <c r="TYK85" s="0"/>
      <c r="TYL85" s="0"/>
      <c r="TYM85" s="0"/>
      <c r="TYN85" s="0"/>
      <c r="TYO85" s="0"/>
      <c r="TYP85" s="0"/>
      <c r="TYQ85" s="0"/>
      <c r="TYR85" s="0"/>
      <c r="TYS85" s="0"/>
      <c r="TYT85" s="0"/>
      <c r="TYU85" s="0"/>
      <c r="TYV85" s="0"/>
      <c r="TYW85" s="0"/>
      <c r="TYX85" s="0"/>
      <c r="TYY85" s="0"/>
      <c r="TYZ85" s="0"/>
      <c r="TZA85" s="0"/>
      <c r="TZB85" s="0"/>
      <c r="TZC85" s="0"/>
      <c r="TZD85" s="0"/>
      <c r="TZE85" s="0"/>
      <c r="TZF85" s="0"/>
      <c r="TZG85" s="0"/>
      <c r="TZH85" s="0"/>
      <c r="TZI85" s="0"/>
      <c r="TZJ85" s="0"/>
      <c r="TZK85" s="0"/>
      <c r="TZL85" s="0"/>
      <c r="TZM85" s="0"/>
      <c r="TZN85" s="0"/>
      <c r="TZO85" s="0"/>
      <c r="TZP85" s="0"/>
      <c r="TZQ85" s="0"/>
      <c r="TZR85" s="0"/>
      <c r="TZS85" s="0"/>
      <c r="TZT85" s="0"/>
      <c r="TZU85" s="0"/>
      <c r="TZV85" s="0"/>
      <c r="TZW85" s="0"/>
      <c r="TZX85" s="0"/>
      <c r="TZY85" s="0"/>
      <c r="TZZ85" s="0"/>
      <c r="UAA85" s="0"/>
      <c r="UAB85" s="0"/>
      <c r="UAC85" s="0"/>
      <c r="UAD85" s="0"/>
      <c r="UAE85" s="0"/>
      <c r="UAF85" s="0"/>
      <c r="UAG85" s="0"/>
      <c r="UAH85" s="0"/>
      <c r="UAI85" s="0"/>
      <c r="UAJ85" s="0"/>
      <c r="UAK85" s="0"/>
      <c r="UAL85" s="0"/>
      <c r="UAM85" s="0"/>
      <c r="UAN85" s="0"/>
      <c r="UAO85" s="0"/>
      <c r="UAP85" s="0"/>
      <c r="UAQ85" s="0"/>
      <c r="UAR85" s="0"/>
      <c r="UAS85" s="0"/>
      <c r="UAT85" s="0"/>
      <c r="UAU85" s="0"/>
      <c r="UAV85" s="0"/>
      <c r="UAW85" s="0"/>
      <c r="UAX85" s="0"/>
      <c r="UAY85" s="0"/>
      <c r="UAZ85" s="0"/>
      <c r="UBA85" s="0"/>
      <c r="UBB85" s="0"/>
      <c r="UBC85" s="0"/>
      <c r="UBD85" s="0"/>
      <c r="UBE85" s="0"/>
      <c r="UBF85" s="0"/>
      <c r="UBG85" s="0"/>
      <c r="UBH85" s="0"/>
      <c r="UBI85" s="0"/>
      <c r="UBJ85" s="0"/>
      <c r="UBK85" s="0"/>
      <c r="UBL85" s="0"/>
      <c r="UBM85" s="0"/>
      <c r="UBN85" s="0"/>
      <c r="UBO85" s="0"/>
      <c r="UBP85" s="0"/>
      <c r="UBQ85" s="0"/>
      <c r="UBR85" s="0"/>
      <c r="UBS85" s="0"/>
      <c r="UBT85" s="0"/>
      <c r="UBU85" s="0"/>
      <c r="UBV85" s="0"/>
      <c r="UBW85" s="0"/>
      <c r="UBX85" s="0"/>
      <c r="UBY85" s="0"/>
      <c r="UBZ85" s="0"/>
      <c r="UCA85" s="0"/>
      <c r="UCB85" s="0"/>
      <c r="UCC85" s="0"/>
      <c r="UCD85" s="0"/>
      <c r="UCE85" s="0"/>
      <c r="UCF85" s="0"/>
      <c r="UCG85" s="0"/>
      <c r="UCH85" s="0"/>
      <c r="UCI85" s="0"/>
      <c r="UCJ85" s="0"/>
      <c r="UCK85" s="0"/>
      <c r="UCL85" s="0"/>
      <c r="UCM85" s="0"/>
      <c r="UCN85" s="0"/>
      <c r="UCO85" s="0"/>
      <c r="UCP85" s="0"/>
      <c r="UCQ85" s="0"/>
      <c r="UCR85" s="0"/>
      <c r="UCS85" s="0"/>
      <c r="UCT85" s="0"/>
      <c r="UCU85" s="0"/>
      <c r="UCV85" s="0"/>
      <c r="UCW85" s="0"/>
      <c r="UCX85" s="0"/>
      <c r="UCY85" s="0"/>
      <c r="UCZ85" s="0"/>
      <c r="UDA85" s="0"/>
      <c r="UDB85" s="0"/>
      <c r="UDC85" s="0"/>
      <c r="UDD85" s="0"/>
      <c r="UDE85" s="0"/>
      <c r="UDF85" s="0"/>
      <c r="UDG85" s="0"/>
      <c r="UDH85" s="0"/>
      <c r="UDI85" s="0"/>
      <c r="UDJ85" s="0"/>
      <c r="UDK85" s="0"/>
      <c r="UDL85" s="0"/>
      <c r="UDM85" s="0"/>
      <c r="UDN85" s="0"/>
      <c r="UDO85" s="0"/>
      <c r="UDP85" s="0"/>
      <c r="UDQ85" s="0"/>
      <c r="UDR85" s="0"/>
      <c r="UDS85" s="0"/>
      <c r="UDT85" s="0"/>
      <c r="UDU85" s="0"/>
      <c r="UDV85" s="0"/>
      <c r="UDW85" s="0"/>
      <c r="UDX85" s="0"/>
      <c r="UDY85" s="0"/>
      <c r="UDZ85" s="0"/>
      <c r="UEA85" s="0"/>
      <c r="UEB85" s="0"/>
      <c r="UEC85" s="0"/>
      <c r="UED85" s="0"/>
      <c r="UEE85" s="0"/>
      <c r="UEF85" s="0"/>
      <c r="UEG85" s="0"/>
      <c r="UEH85" s="0"/>
      <c r="UEI85" s="0"/>
      <c r="UEJ85" s="0"/>
      <c r="UEK85" s="0"/>
      <c r="UEL85" s="0"/>
      <c r="UEM85" s="0"/>
      <c r="UEN85" s="0"/>
      <c r="UEO85" s="0"/>
      <c r="UEP85" s="0"/>
      <c r="UEQ85" s="0"/>
      <c r="UER85" s="0"/>
      <c r="UES85" s="0"/>
      <c r="UET85" s="0"/>
      <c r="UEU85" s="0"/>
      <c r="UEV85" s="0"/>
      <c r="UEW85" s="0"/>
      <c r="UEX85" s="0"/>
      <c r="UEY85" s="0"/>
      <c r="UEZ85" s="0"/>
      <c r="UFA85" s="0"/>
      <c r="UFB85" s="0"/>
      <c r="UFC85" s="0"/>
      <c r="UFD85" s="0"/>
      <c r="UFE85" s="0"/>
      <c r="UFF85" s="0"/>
      <c r="UFG85" s="0"/>
      <c r="UFH85" s="0"/>
      <c r="UFI85" s="0"/>
      <c r="UFJ85" s="0"/>
      <c r="UFK85" s="0"/>
      <c r="UFL85" s="0"/>
      <c r="UFM85" s="0"/>
      <c r="UFN85" s="0"/>
      <c r="UFO85" s="0"/>
      <c r="UFP85" s="0"/>
      <c r="UFQ85" s="0"/>
      <c r="UFR85" s="0"/>
      <c r="UFS85" s="0"/>
      <c r="UFT85" s="0"/>
      <c r="UFU85" s="0"/>
      <c r="UFV85" s="0"/>
      <c r="UFW85" s="0"/>
      <c r="UFX85" s="0"/>
      <c r="UFY85" s="0"/>
      <c r="UFZ85" s="0"/>
      <c r="UGA85" s="0"/>
      <c r="UGB85" s="0"/>
      <c r="UGC85" s="0"/>
      <c r="UGD85" s="0"/>
      <c r="UGE85" s="0"/>
      <c r="UGF85" s="0"/>
      <c r="UGG85" s="0"/>
      <c r="UGH85" s="0"/>
      <c r="UGI85" s="0"/>
      <c r="UGJ85" s="0"/>
      <c r="UGK85" s="0"/>
      <c r="UGL85" s="0"/>
      <c r="UGM85" s="0"/>
      <c r="UGN85" s="0"/>
      <c r="UGO85" s="0"/>
      <c r="UGP85" s="0"/>
      <c r="UGQ85" s="0"/>
      <c r="UGR85" s="0"/>
      <c r="UGS85" s="0"/>
      <c r="UGT85" s="0"/>
      <c r="UGU85" s="0"/>
      <c r="UGV85" s="0"/>
      <c r="UGW85" s="0"/>
      <c r="UGX85" s="0"/>
      <c r="UGY85" s="0"/>
      <c r="UGZ85" s="0"/>
      <c r="UHA85" s="0"/>
      <c r="UHB85" s="0"/>
      <c r="UHC85" s="0"/>
      <c r="UHD85" s="0"/>
      <c r="UHE85" s="0"/>
      <c r="UHF85" s="0"/>
      <c r="UHG85" s="0"/>
      <c r="UHH85" s="0"/>
      <c r="UHI85" s="0"/>
      <c r="UHJ85" s="0"/>
      <c r="UHK85" s="0"/>
      <c r="UHL85" s="0"/>
      <c r="UHM85" s="0"/>
      <c r="UHN85" s="0"/>
      <c r="UHO85" s="0"/>
      <c r="UHP85" s="0"/>
      <c r="UHQ85" s="0"/>
      <c r="UHR85" s="0"/>
      <c r="UHS85" s="0"/>
      <c r="UHT85" s="0"/>
      <c r="UHU85" s="0"/>
      <c r="UHV85" s="0"/>
      <c r="UHW85" s="0"/>
      <c r="UHX85" s="0"/>
      <c r="UHY85" s="0"/>
      <c r="UHZ85" s="0"/>
      <c r="UIA85" s="0"/>
      <c r="UIB85" s="0"/>
      <c r="UIC85" s="0"/>
      <c r="UID85" s="0"/>
      <c r="UIE85" s="0"/>
      <c r="UIF85" s="0"/>
      <c r="UIG85" s="0"/>
      <c r="UIH85" s="0"/>
      <c r="UII85" s="0"/>
      <c r="UIJ85" s="0"/>
      <c r="UIK85" s="0"/>
      <c r="UIL85" s="0"/>
      <c r="UIM85" s="0"/>
      <c r="UIN85" s="0"/>
      <c r="UIO85" s="0"/>
      <c r="UIP85" s="0"/>
      <c r="UIQ85" s="0"/>
      <c r="UIR85" s="0"/>
      <c r="UIS85" s="0"/>
      <c r="UIT85" s="0"/>
      <c r="UIU85" s="0"/>
      <c r="UIV85" s="0"/>
      <c r="UIW85" s="0"/>
      <c r="UIX85" s="0"/>
      <c r="UIY85" s="0"/>
      <c r="UIZ85" s="0"/>
      <c r="UJA85" s="0"/>
      <c r="UJB85" s="0"/>
      <c r="UJC85" s="0"/>
      <c r="UJD85" s="0"/>
      <c r="UJE85" s="0"/>
      <c r="UJF85" s="0"/>
      <c r="UJG85" s="0"/>
      <c r="UJH85" s="0"/>
      <c r="UJI85" s="0"/>
      <c r="UJJ85" s="0"/>
      <c r="UJK85" s="0"/>
      <c r="UJL85" s="0"/>
      <c r="UJM85" s="0"/>
      <c r="UJN85" s="0"/>
      <c r="UJO85" s="0"/>
      <c r="UJP85" s="0"/>
      <c r="UJQ85" s="0"/>
      <c r="UJR85" s="0"/>
      <c r="UJS85" s="0"/>
      <c r="UJT85" s="0"/>
      <c r="UJU85" s="0"/>
      <c r="UJV85" s="0"/>
      <c r="UJW85" s="0"/>
      <c r="UJX85" s="0"/>
      <c r="UJY85" s="0"/>
      <c r="UJZ85" s="0"/>
      <c r="UKA85" s="0"/>
      <c r="UKB85" s="0"/>
      <c r="UKC85" s="0"/>
      <c r="UKD85" s="0"/>
      <c r="UKE85" s="0"/>
      <c r="UKF85" s="0"/>
      <c r="UKG85" s="0"/>
      <c r="UKH85" s="0"/>
      <c r="UKI85" s="0"/>
      <c r="UKJ85" s="0"/>
      <c r="UKK85" s="0"/>
      <c r="UKL85" s="0"/>
      <c r="UKM85" s="0"/>
      <c r="UKN85" s="0"/>
      <c r="UKO85" s="0"/>
      <c r="UKP85" s="0"/>
      <c r="UKQ85" s="0"/>
      <c r="UKR85" s="0"/>
      <c r="UKS85" s="0"/>
      <c r="UKT85" s="0"/>
      <c r="UKU85" s="0"/>
      <c r="UKV85" s="0"/>
      <c r="UKW85" s="0"/>
      <c r="UKX85" s="0"/>
      <c r="UKY85" s="0"/>
      <c r="UKZ85" s="0"/>
      <c r="ULA85" s="0"/>
      <c r="ULB85" s="0"/>
      <c r="ULC85" s="0"/>
      <c r="ULD85" s="0"/>
      <c r="ULE85" s="0"/>
      <c r="ULF85" s="0"/>
      <c r="ULG85" s="0"/>
      <c r="ULH85" s="0"/>
      <c r="ULI85" s="0"/>
      <c r="ULJ85" s="0"/>
      <c r="ULK85" s="0"/>
      <c r="ULL85" s="0"/>
      <c r="ULM85" s="0"/>
      <c r="ULN85" s="0"/>
      <c r="ULO85" s="0"/>
      <c r="ULP85" s="0"/>
      <c r="ULQ85" s="0"/>
      <c r="ULR85" s="0"/>
      <c r="ULS85" s="0"/>
      <c r="ULT85" s="0"/>
      <c r="ULU85" s="0"/>
      <c r="ULV85" s="0"/>
      <c r="ULW85" s="0"/>
      <c r="ULX85" s="0"/>
      <c r="ULY85" s="0"/>
      <c r="ULZ85" s="0"/>
      <c r="UMA85" s="0"/>
      <c r="UMB85" s="0"/>
      <c r="UMC85" s="0"/>
      <c r="UMD85" s="0"/>
      <c r="UME85" s="0"/>
      <c r="UMF85" s="0"/>
      <c r="UMG85" s="0"/>
      <c r="UMH85" s="0"/>
      <c r="UMI85" s="0"/>
      <c r="UMJ85" s="0"/>
      <c r="UMK85" s="0"/>
      <c r="UML85" s="0"/>
      <c r="UMM85" s="0"/>
      <c r="UMN85" s="0"/>
      <c r="UMO85" s="0"/>
      <c r="UMP85" s="0"/>
      <c r="UMQ85" s="0"/>
      <c r="UMR85" s="0"/>
      <c r="UMS85" s="0"/>
      <c r="UMT85" s="0"/>
      <c r="UMU85" s="0"/>
      <c r="UMV85" s="0"/>
      <c r="UMW85" s="0"/>
      <c r="UMX85" s="0"/>
      <c r="UMY85" s="0"/>
      <c r="UMZ85" s="0"/>
      <c r="UNA85" s="0"/>
      <c r="UNB85" s="0"/>
      <c r="UNC85" s="0"/>
      <c r="UND85" s="0"/>
      <c r="UNE85" s="0"/>
      <c r="UNF85" s="0"/>
      <c r="UNG85" s="0"/>
      <c r="UNH85" s="0"/>
      <c r="UNI85" s="0"/>
      <c r="UNJ85" s="0"/>
      <c r="UNK85" s="0"/>
      <c r="UNL85" s="0"/>
      <c r="UNM85" s="0"/>
      <c r="UNN85" s="0"/>
      <c r="UNO85" s="0"/>
      <c r="UNP85" s="0"/>
      <c r="UNQ85" s="0"/>
      <c r="UNR85" s="0"/>
      <c r="UNS85" s="0"/>
      <c r="UNT85" s="0"/>
      <c r="UNU85" s="0"/>
      <c r="UNV85" s="0"/>
      <c r="UNW85" s="0"/>
      <c r="UNX85" s="0"/>
      <c r="UNY85" s="0"/>
      <c r="UNZ85" s="0"/>
      <c r="UOA85" s="0"/>
      <c r="UOB85" s="0"/>
      <c r="UOC85" s="0"/>
      <c r="UOD85" s="0"/>
      <c r="UOE85" s="0"/>
      <c r="UOF85" s="0"/>
      <c r="UOG85" s="0"/>
      <c r="UOH85" s="0"/>
      <c r="UOI85" s="0"/>
      <c r="UOJ85" s="0"/>
      <c r="UOK85" s="0"/>
      <c r="UOL85" s="0"/>
      <c r="UOM85" s="0"/>
      <c r="UON85" s="0"/>
      <c r="UOO85" s="0"/>
      <c r="UOP85" s="0"/>
      <c r="UOQ85" s="0"/>
      <c r="UOR85" s="0"/>
      <c r="UOS85" s="0"/>
      <c r="UOT85" s="0"/>
      <c r="UOU85" s="0"/>
      <c r="UOV85" s="0"/>
      <c r="UOW85" s="0"/>
      <c r="UOX85" s="0"/>
      <c r="UOY85" s="0"/>
      <c r="UOZ85" s="0"/>
      <c r="UPA85" s="0"/>
      <c r="UPB85" s="0"/>
      <c r="UPC85" s="0"/>
      <c r="UPD85" s="0"/>
      <c r="UPE85" s="0"/>
      <c r="UPF85" s="0"/>
      <c r="UPG85" s="0"/>
      <c r="UPH85" s="0"/>
      <c r="UPI85" s="0"/>
      <c r="UPJ85" s="0"/>
      <c r="UPK85" s="0"/>
      <c r="UPL85" s="0"/>
      <c r="UPM85" s="0"/>
      <c r="UPN85" s="0"/>
      <c r="UPO85" s="0"/>
      <c r="UPP85" s="0"/>
      <c r="UPQ85" s="0"/>
      <c r="UPR85" s="0"/>
      <c r="UPS85" s="0"/>
      <c r="UPT85" s="0"/>
      <c r="UPU85" s="0"/>
      <c r="UPV85" s="0"/>
      <c r="UPW85" s="0"/>
      <c r="UPX85" s="0"/>
      <c r="UPY85" s="0"/>
      <c r="UPZ85" s="0"/>
      <c r="UQA85" s="0"/>
      <c r="UQB85" s="0"/>
      <c r="UQC85" s="0"/>
      <c r="UQD85" s="0"/>
      <c r="UQE85" s="0"/>
      <c r="UQF85" s="0"/>
      <c r="UQG85" s="0"/>
      <c r="UQH85" s="0"/>
      <c r="UQI85" s="0"/>
      <c r="UQJ85" s="0"/>
      <c r="UQK85" s="0"/>
      <c r="UQL85" s="0"/>
      <c r="UQM85" s="0"/>
      <c r="UQN85" s="0"/>
      <c r="UQO85" s="0"/>
      <c r="UQP85" s="0"/>
      <c r="UQQ85" s="0"/>
      <c r="UQR85" s="0"/>
      <c r="UQS85" s="0"/>
      <c r="UQT85" s="0"/>
      <c r="UQU85" s="0"/>
      <c r="UQV85" s="0"/>
      <c r="UQW85" s="0"/>
      <c r="UQX85" s="0"/>
      <c r="UQY85" s="0"/>
      <c r="UQZ85" s="0"/>
      <c r="URA85" s="0"/>
      <c r="URB85" s="0"/>
      <c r="URC85" s="0"/>
      <c r="URD85" s="0"/>
      <c r="URE85" s="0"/>
      <c r="URF85" s="0"/>
      <c r="URG85" s="0"/>
      <c r="URH85" s="0"/>
      <c r="URI85" s="0"/>
      <c r="URJ85" s="0"/>
      <c r="URK85" s="0"/>
      <c r="URL85" s="0"/>
      <c r="URM85" s="0"/>
      <c r="URN85" s="0"/>
      <c r="URO85" s="0"/>
      <c r="URP85" s="0"/>
      <c r="URQ85" s="0"/>
      <c r="URR85" s="0"/>
      <c r="URS85" s="0"/>
      <c r="URT85" s="0"/>
      <c r="URU85" s="0"/>
      <c r="URV85" s="0"/>
      <c r="URW85" s="0"/>
      <c r="URX85" s="0"/>
      <c r="URY85" s="0"/>
      <c r="URZ85" s="0"/>
      <c r="USA85" s="0"/>
      <c r="USB85" s="0"/>
      <c r="USC85" s="0"/>
      <c r="USD85" s="0"/>
      <c r="USE85" s="0"/>
      <c r="USF85" s="0"/>
      <c r="USG85" s="0"/>
      <c r="USH85" s="0"/>
      <c r="USI85" s="0"/>
      <c r="USJ85" s="0"/>
      <c r="USK85" s="0"/>
      <c r="USL85" s="0"/>
      <c r="USM85" s="0"/>
      <c r="USN85" s="0"/>
      <c r="USO85" s="0"/>
      <c r="USP85" s="0"/>
      <c r="USQ85" s="0"/>
      <c r="USR85" s="0"/>
      <c r="USS85" s="0"/>
      <c r="UST85" s="0"/>
      <c r="USU85" s="0"/>
      <c r="USV85" s="0"/>
      <c r="USW85" s="0"/>
      <c r="USX85" s="0"/>
      <c r="USY85" s="0"/>
      <c r="USZ85" s="0"/>
      <c r="UTA85" s="0"/>
      <c r="UTB85" s="0"/>
      <c r="UTC85" s="0"/>
      <c r="UTD85" s="0"/>
      <c r="UTE85" s="0"/>
      <c r="UTF85" s="0"/>
      <c r="UTG85" s="0"/>
      <c r="UTH85" s="0"/>
      <c r="UTI85" s="0"/>
      <c r="UTJ85" s="0"/>
      <c r="UTK85" s="0"/>
      <c r="UTL85" s="0"/>
      <c r="UTM85" s="0"/>
      <c r="UTN85" s="0"/>
      <c r="UTO85" s="0"/>
      <c r="UTP85" s="0"/>
      <c r="UTQ85" s="0"/>
      <c r="UTR85" s="0"/>
      <c r="UTS85" s="0"/>
      <c r="UTT85" s="0"/>
      <c r="UTU85" s="0"/>
      <c r="UTV85" s="0"/>
      <c r="UTW85" s="0"/>
      <c r="UTX85" s="0"/>
      <c r="UTY85" s="0"/>
      <c r="UTZ85" s="0"/>
      <c r="UUA85" s="0"/>
      <c r="UUB85" s="0"/>
      <c r="UUC85" s="0"/>
      <c r="UUD85" s="0"/>
      <c r="UUE85" s="0"/>
      <c r="UUF85" s="0"/>
      <c r="UUG85" s="0"/>
      <c r="UUH85" s="0"/>
      <c r="UUI85" s="0"/>
      <c r="UUJ85" s="0"/>
      <c r="UUK85" s="0"/>
      <c r="UUL85" s="0"/>
      <c r="UUM85" s="0"/>
      <c r="UUN85" s="0"/>
      <c r="UUO85" s="0"/>
      <c r="UUP85" s="0"/>
      <c r="UUQ85" s="0"/>
      <c r="UUR85" s="0"/>
      <c r="UUS85" s="0"/>
      <c r="UUT85" s="0"/>
      <c r="UUU85" s="0"/>
      <c r="UUV85" s="0"/>
      <c r="UUW85" s="0"/>
      <c r="UUX85" s="0"/>
      <c r="UUY85" s="0"/>
      <c r="UUZ85" s="0"/>
      <c r="UVA85" s="0"/>
      <c r="UVB85" s="0"/>
      <c r="UVC85" s="0"/>
      <c r="UVD85" s="0"/>
      <c r="UVE85" s="0"/>
      <c r="UVF85" s="0"/>
      <c r="UVG85" s="0"/>
      <c r="UVH85" s="0"/>
      <c r="UVI85" s="0"/>
      <c r="UVJ85" s="0"/>
      <c r="UVK85" s="0"/>
      <c r="UVL85" s="0"/>
      <c r="UVM85" s="0"/>
      <c r="UVN85" s="0"/>
      <c r="UVO85" s="0"/>
      <c r="UVP85" s="0"/>
      <c r="UVQ85" s="0"/>
      <c r="UVR85" s="0"/>
      <c r="UVS85" s="0"/>
      <c r="UVT85" s="0"/>
      <c r="UVU85" s="0"/>
      <c r="UVV85" s="0"/>
      <c r="UVW85" s="0"/>
      <c r="UVX85" s="0"/>
      <c r="UVY85" s="0"/>
      <c r="UVZ85" s="0"/>
      <c r="UWA85" s="0"/>
      <c r="UWB85" s="0"/>
      <c r="UWC85" s="0"/>
      <c r="UWD85" s="0"/>
      <c r="UWE85" s="0"/>
      <c r="UWF85" s="0"/>
      <c r="UWG85" s="0"/>
      <c r="UWH85" s="0"/>
      <c r="UWI85" s="0"/>
      <c r="UWJ85" s="0"/>
      <c r="UWK85" s="0"/>
      <c r="UWL85" s="0"/>
      <c r="UWM85" s="0"/>
      <c r="UWN85" s="0"/>
      <c r="UWO85" s="0"/>
      <c r="UWP85" s="0"/>
      <c r="UWQ85" s="0"/>
      <c r="UWR85" s="0"/>
      <c r="UWS85" s="0"/>
      <c r="UWT85" s="0"/>
      <c r="UWU85" s="0"/>
      <c r="UWV85" s="0"/>
      <c r="UWW85" s="0"/>
      <c r="UWX85" s="0"/>
      <c r="UWY85" s="0"/>
      <c r="UWZ85" s="0"/>
      <c r="UXA85" s="0"/>
      <c r="UXB85" s="0"/>
      <c r="UXC85" s="0"/>
      <c r="UXD85" s="0"/>
      <c r="UXE85" s="0"/>
      <c r="UXF85" s="0"/>
      <c r="UXG85" s="0"/>
      <c r="UXH85" s="0"/>
      <c r="UXI85" s="0"/>
      <c r="UXJ85" s="0"/>
      <c r="UXK85" s="0"/>
      <c r="UXL85" s="0"/>
      <c r="UXM85" s="0"/>
      <c r="UXN85" s="0"/>
      <c r="UXO85" s="0"/>
      <c r="UXP85" s="0"/>
      <c r="UXQ85" s="0"/>
      <c r="UXR85" s="0"/>
      <c r="UXS85" s="0"/>
      <c r="UXT85" s="0"/>
      <c r="UXU85" s="0"/>
      <c r="UXV85" s="0"/>
      <c r="UXW85" s="0"/>
      <c r="UXX85" s="0"/>
      <c r="UXY85" s="0"/>
      <c r="UXZ85" s="0"/>
      <c r="UYA85" s="0"/>
      <c r="UYB85" s="0"/>
      <c r="UYC85" s="0"/>
      <c r="UYD85" s="0"/>
      <c r="UYE85" s="0"/>
      <c r="UYF85" s="0"/>
      <c r="UYG85" s="0"/>
      <c r="UYH85" s="0"/>
      <c r="UYI85" s="0"/>
      <c r="UYJ85" s="0"/>
      <c r="UYK85" s="0"/>
      <c r="UYL85" s="0"/>
      <c r="UYM85" s="0"/>
      <c r="UYN85" s="0"/>
      <c r="UYO85" s="0"/>
      <c r="UYP85" s="0"/>
      <c r="UYQ85" s="0"/>
      <c r="UYR85" s="0"/>
      <c r="UYS85" s="0"/>
      <c r="UYT85" s="0"/>
      <c r="UYU85" s="0"/>
      <c r="UYV85" s="0"/>
      <c r="UYW85" s="0"/>
      <c r="UYX85" s="0"/>
      <c r="UYY85" s="0"/>
      <c r="UYZ85" s="0"/>
      <c r="UZA85" s="0"/>
      <c r="UZB85" s="0"/>
      <c r="UZC85" s="0"/>
      <c r="UZD85" s="0"/>
      <c r="UZE85" s="0"/>
      <c r="UZF85" s="0"/>
      <c r="UZG85" s="0"/>
      <c r="UZH85" s="0"/>
      <c r="UZI85" s="0"/>
      <c r="UZJ85" s="0"/>
      <c r="UZK85" s="0"/>
      <c r="UZL85" s="0"/>
      <c r="UZM85" s="0"/>
      <c r="UZN85" s="0"/>
      <c r="UZO85" s="0"/>
      <c r="UZP85" s="0"/>
      <c r="UZQ85" s="0"/>
      <c r="UZR85" s="0"/>
      <c r="UZS85" s="0"/>
      <c r="UZT85" s="0"/>
      <c r="UZU85" s="0"/>
      <c r="UZV85" s="0"/>
      <c r="UZW85" s="0"/>
      <c r="UZX85" s="0"/>
      <c r="UZY85" s="0"/>
      <c r="UZZ85" s="0"/>
      <c r="VAA85" s="0"/>
      <c r="VAB85" s="0"/>
      <c r="VAC85" s="0"/>
      <c r="VAD85" s="0"/>
      <c r="VAE85" s="0"/>
      <c r="VAF85" s="0"/>
      <c r="VAG85" s="0"/>
      <c r="VAH85" s="0"/>
      <c r="VAI85" s="0"/>
      <c r="VAJ85" s="0"/>
      <c r="VAK85" s="0"/>
      <c r="VAL85" s="0"/>
      <c r="VAM85" s="0"/>
      <c r="VAN85" s="0"/>
      <c r="VAO85" s="0"/>
      <c r="VAP85" s="0"/>
      <c r="VAQ85" s="0"/>
      <c r="VAR85" s="0"/>
      <c r="VAS85" s="0"/>
      <c r="VAT85" s="0"/>
      <c r="VAU85" s="0"/>
      <c r="VAV85" s="0"/>
      <c r="VAW85" s="0"/>
      <c r="VAX85" s="0"/>
      <c r="VAY85" s="0"/>
      <c r="VAZ85" s="0"/>
      <c r="VBA85" s="0"/>
      <c r="VBB85" s="0"/>
      <c r="VBC85" s="0"/>
      <c r="VBD85" s="0"/>
      <c r="VBE85" s="0"/>
      <c r="VBF85" s="0"/>
      <c r="VBG85" s="0"/>
      <c r="VBH85" s="0"/>
      <c r="VBI85" s="0"/>
      <c r="VBJ85" s="0"/>
      <c r="VBK85" s="0"/>
      <c r="VBL85" s="0"/>
      <c r="VBM85" s="0"/>
      <c r="VBN85" s="0"/>
      <c r="VBO85" s="0"/>
      <c r="VBP85" s="0"/>
      <c r="VBQ85" s="0"/>
      <c r="VBR85" s="0"/>
      <c r="VBS85" s="0"/>
      <c r="VBT85" s="0"/>
      <c r="VBU85" s="0"/>
      <c r="VBV85" s="0"/>
      <c r="VBW85" s="0"/>
      <c r="VBX85" s="0"/>
      <c r="VBY85" s="0"/>
      <c r="VBZ85" s="0"/>
      <c r="VCA85" s="0"/>
      <c r="VCB85" s="0"/>
      <c r="VCC85" s="0"/>
      <c r="VCD85" s="0"/>
      <c r="VCE85" s="0"/>
      <c r="VCF85" s="0"/>
      <c r="VCG85" s="0"/>
      <c r="VCH85" s="0"/>
      <c r="VCI85" s="0"/>
      <c r="VCJ85" s="0"/>
      <c r="VCK85" s="0"/>
      <c r="VCL85" s="0"/>
      <c r="VCM85" s="0"/>
      <c r="VCN85" s="0"/>
      <c r="VCO85" s="0"/>
      <c r="VCP85" s="0"/>
      <c r="VCQ85" s="0"/>
      <c r="VCR85" s="0"/>
      <c r="VCS85" s="0"/>
      <c r="VCT85" s="0"/>
      <c r="VCU85" s="0"/>
      <c r="VCV85" s="0"/>
      <c r="VCW85" s="0"/>
      <c r="VCX85" s="0"/>
      <c r="VCY85" s="0"/>
      <c r="VCZ85" s="0"/>
      <c r="VDA85" s="0"/>
      <c r="VDB85" s="0"/>
      <c r="VDC85" s="0"/>
      <c r="VDD85" s="0"/>
      <c r="VDE85" s="0"/>
      <c r="VDF85" s="0"/>
      <c r="VDG85" s="0"/>
      <c r="VDH85" s="0"/>
      <c r="VDI85" s="0"/>
      <c r="VDJ85" s="0"/>
      <c r="VDK85" s="0"/>
      <c r="VDL85" s="0"/>
      <c r="VDM85" s="0"/>
      <c r="VDN85" s="0"/>
      <c r="VDO85" s="0"/>
      <c r="VDP85" s="0"/>
      <c r="VDQ85" s="0"/>
      <c r="VDR85" s="0"/>
      <c r="VDS85" s="0"/>
      <c r="VDT85" s="0"/>
      <c r="VDU85" s="0"/>
      <c r="VDV85" s="0"/>
      <c r="VDW85" s="0"/>
      <c r="VDX85" s="0"/>
      <c r="VDY85" s="0"/>
      <c r="VDZ85" s="0"/>
      <c r="VEA85" s="0"/>
      <c r="VEB85" s="0"/>
      <c r="VEC85" s="0"/>
      <c r="VED85" s="0"/>
      <c r="VEE85" s="0"/>
      <c r="VEF85" s="0"/>
      <c r="VEG85" s="0"/>
      <c r="VEH85" s="0"/>
      <c r="VEI85" s="0"/>
      <c r="VEJ85" s="0"/>
      <c r="VEK85" s="0"/>
      <c r="VEL85" s="0"/>
      <c r="VEM85" s="0"/>
      <c r="VEN85" s="0"/>
      <c r="VEO85" s="0"/>
      <c r="VEP85" s="0"/>
      <c r="VEQ85" s="0"/>
      <c r="VER85" s="0"/>
      <c r="VES85" s="0"/>
      <c r="VET85" s="0"/>
      <c r="VEU85" s="0"/>
      <c r="VEV85" s="0"/>
      <c r="VEW85" s="0"/>
      <c r="VEX85" s="0"/>
      <c r="VEY85" s="0"/>
      <c r="VEZ85" s="0"/>
      <c r="VFA85" s="0"/>
      <c r="VFB85" s="0"/>
      <c r="VFC85" s="0"/>
      <c r="VFD85" s="0"/>
      <c r="VFE85" s="0"/>
      <c r="VFF85" s="0"/>
      <c r="VFG85" s="0"/>
      <c r="VFH85" s="0"/>
      <c r="VFI85" s="0"/>
      <c r="VFJ85" s="0"/>
      <c r="VFK85" s="0"/>
      <c r="VFL85" s="0"/>
      <c r="VFM85" s="0"/>
      <c r="VFN85" s="0"/>
      <c r="VFO85" s="0"/>
      <c r="VFP85" s="0"/>
      <c r="VFQ85" s="0"/>
      <c r="VFR85" s="0"/>
      <c r="VFS85" s="0"/>
      <c r="VFT85" s="0"/>
      <c r="VFU85" s="0"/>
      <c r="VFV85" s="0"/>
      <c r="VFW85" s="0"/>
      <c r="VFX85" s="0"/>
      <c r="VFY85" s="0"/>
      <c r="VFZ85" s="0"/>
      <c r="VGA85" s="0"/>
      <c r="VGB85" s="0"/>
      <c r="VGC85" s="0"/>
      <c r="VGD85" s="0"/>
      <c r="VGE85" s="0"/>
      <c r="VGF85" s="0"/>
      <c r="VGG85" s="0"/>
      <c r="VGH85" s="0"/>
      <c r="VGI85" s="0"/>
      <c r="VGJ85" s="0"/>
      <c r="VGK85" s="0"/>
      <c r="VGL85" s="0"/>
      <c r="VGM85" s="0"/>
      <c r="VGN85" s="0"/>
      <c r="VGO85" s="0"/>
      <c r="VGP85" s="0"/>
      <c r="VGQ85" s="0"/>
      <c r="VGR85" s="0"/>
      <c r="VGS85" s="0"/>
      <c r="VGT85" s="0"/>
      <c r="VGU85" s="0"/>
      <c r="VGV85" s="0"/>
      <c r="VGW85" s="0"/>
      <c r="VGX85" s="0"/>
      <c r="VGY85" s="0"/>
      <c r="VGZ85" s="0"/>
      <c r="VHA85" s="0"/>
      <c r="VHB85" s="0"/>
      <c r="VHC85" s="0"/>
      <c r="VHD85" s="0"/>
      <c r="VHE85" s="0"/>
      <c r="VHF85" s="0"/>
      <c r="VHG85" s="0"/>
      <c r="VHH85" s="0"/>
      <c r="VHI85" s="0"/>
      <c r="VHJ85" s="0"/>
      <c r="VHK85" s="0"/>
      <c r="VHL85" s="0"/>
      <c r="VHM85" s="0"/>
      <c r="VHN85" s="0"/>
      <c r="VHO85" s="0"/>
      <c r="VHP85" s="0"/>
      <c r="VHQ85" s="0"/>
      <c r="VHR85" s="0"/>
      <c r="VHS85" s="0"/>
      <c r="VHT85" s="0"/>
      <c r="VHU85" s="0"/>
      <c r="VHV85" s="0"/>
      <c r="VHW85" s="0"/>
      <c r="VHX85" s="0"/>
      <c r="VHY85" s="0"/>
      <c r="VHZ85" s="0"/>
      <c r="VIA85" s="0"/>
      <c r="VIB85" s="0"/>
      <c r="VIC85" s="0"/>
      <c r="VID85" s="0"/>
      <c r="VIE85" s="0"/>
      <c r="VIF85" s="0"/>
      <c r="VIG85" s="0"/>
      <c r="VIH85" s="0"/>
      <c r="VII85" s="0"/>
      <c r="VIJ85" s="0"/>
      <c r="VIK85" s="0"/>
      <c r="VIL85" s="0"/>
      <c r="VIM85" s="0"/>
      <c r="VIN85" s="0"/>
      <c r="VIO85" s="0"/>
      <c r="VIP85" s="0"/>
      <c r="VIQ85" s="0"/>
      <c r="VIR85" s="0"/>
      <c r="VIS85" s="0"/>
      <c r="VIT85" s="0"/>
      <c r="VIU85" s="0"/>
      <c r="VIV85" s="0"/>
      <c r="VIW85" s="0"/>
      <c r="VIX85" s="0"/>
      <c r="VIY85" s="0"/>
      <c r="VIZ85" s="0"/>
      <c r="VJA85" s="0"/>
      <c r="VJB85" s="0"/>
      <c r="VJC85" s="0"/>
      <c r="VJD85" s="0"/>
      <c r="VJE85" s="0"/>
      <c r="VJF85" s="0"/>
      <c r="VJG85" s="0"/>
      <c r="VJH85" s="0"/>
      <c r="VJI85" s="0"/>
      <c r="VJJ85" s="0"/>
      <c r="VJK85" s="0"/>
      <c r="VJL85" s="0"/>
      <c r="VJM85" s="0"/>
      <c r="VJN85" s="0"/>
      <c r="VJO85" s="0"/>
      <c r="VJP85" s="0"/>
      <c r="VJQ85" s="0"/>
      <c r="VJR85" s="0"/>
      <c r="VJS85" s="0"/>
      <c r="VJT85" s="0"/>
      <c r="VJU85" s="0"/>
      <c r="VJV85" s="0"/>
      <c r="VJW85" s="0"/>
      <c r="VJX85" s="0"/>
      <c r="VJY85" s="0"/>
      <c r="VJZ85" s="0"/>
      <c r="VKA85" s="0"/>
      <c r="VKB85" s="0"/>
      <c r="VKC85" s="0"/>
      <c r="VKD85" s="0"/>
      <c r="VKE85" s="0"/>
      <c r="VKF85" s="0"/>
      <c r="VKG85" s="0"/>
      <c r="VKH85" s="0"/>
      <c r="VKI85" s="0"/>
      <c r="VKJ85" s="0"/>
      <c r="VKK85" s="0"/>
      <c r="VKL85" s="0"/>
      <c r="VKM85" s="0"/>
      <c r="VKN85" s="0"/>
      <c r="VKO85" s="0"/>
      <c r="VKP85" s="0"/>
      <c r="VKQ85" s="0"/>
      <c r="VKR85" s="0"/>
      <c r="VKS85" s="0"/>
      <c r="VKT85" s="0"/>
      <c r="VKU85" s="0"/>
      <c r="VKV85" s="0"/>
      <c r="VKW85" s="0"/>
      <c r="VKX85" s="0"/>
      <c r="VKY85" s="0"/>
      <c r="VKZ85" s="0"/>
      <c r="VLA85" s="0"/>
      <c r="VLB85" s="0"/>
      <c r="VLC85" s="0"/>
      <c r="VLD85" s="0"/>
      <c r="VLE85" s="0"/>
      <c r="VLF85" s="0"/>
      <c r="VLG85" s="0"/>
      <c r="VLH85" s="0"/>
      <c r="VLI85" s="0"/>
      <c r="VLJ85" s="0"/>
      <c r="VLK85" s="0"/>
      <c r="VLL85" s="0"/>
      <c r="VLM85" s="0"/>
      <c r="VLN85" s="0"/>
      <c r="VLO85" s="0"/>
      <c r="VLP85" s="0"/>
      <c r="VLQ85" s="0"/>
      <c r="VLR85" s="0"/>
      <c r="VLS85" s="0"/>
      <c r="VLT85" s="0"/>
      <c r="VLU85" s="0"/>
      <c r="VLV85" s="0"/>
      <c r="VLW85" s="0"/>
      <c r="VLX85" s="0"/>
      <c r="VLY85" s="0"/>
      <c r="VLZ85" s="0"/>
      <c r="VMA85" s="0"/>
      <c r="VMB85" s="0"/>
      <c r="VMC85" s="0"/>
      <c r="VMD85" s="0"/>
      <c r="VME85" s="0"/>
      <c r="VMF85" s="0"/>
      <c r="VMG85" s="0"/>
      <c r="VMH85" s="0"/>
      <c r="VMI85" s="0"/>
      <c r="VMJ85" s="0"/>
      <c r="VMK85" s="0"/>
      <c r="VML85" s="0"/>
      <c r="VMM85" s="0"/>
      <c r="VMN85" s="0"/>
      <c r="VMO85" s="0"/>
      <c r="VMP85" s="0"/>
      <c r="VMQ85" s="0"/>
      <c r="VMR85" s="0"/>
      <c r="VMS85" s="0"/>
      <c r="VMT85" s="0"/>
      <c r="VMU85" s="0"/>
      <c r="VMV85" s="0"/>
      <c r="VMW85" s="0"/>
      <c r="VMX85" s="0"/>
      <c r="VMY85" s="0"/>
      <c r="VMZ85" s="0"/>
      <c r="VNA85" s="0"/>
      <c r="VNB85" s="0"/>
      <c r="VNC85" s="0"/>
      <c r="VND85" s="0"/>
      <c r="VNE85" s="0"/>
      <c r="VNF85" s="0"/>
      <c r="VNG85" s="0"/>
      <c r="VNH85" s="0"/>
      <c r="VNI85" s="0"/>
      <c r="VNJ85" s="0"/>
      <c r="VNK85" s="0"/>
      <c r="VNL85" s="0"/>
      <c r="VNM85" s="0"/>
      <c r="VNN85" s="0"/>
      <c r="VNO85" s="0"/>
      <c r="VNP85" s="0"/>
      <c r="VNQ85" s="0"/>
      <c r="VNR85" s="0"/>
      <c r="VNS85" s="0"/>
      <c r="VNT85" s="0"/>
      <c r="VNU85" s="0"/>
      <c r="VNV85" s="0"/>
      <c r="VNW85" s="0"/>
      <c r="VNX85" s="0"/>
      <c r="VNY85" s="0"/>
      <c r="VNZ85" s="0"/>
      <c r="VOA85" s="0"/>
      <c r="VOB85" s="0"/>
      <c r="VOC85" s="0"/>
      <c r="VOD85" s="0"/>
      <c r="VOE85" s="0"/>
      <c r="VOF85" s="0"/>
      <c r="VOG85" s="0"/>
      <c r="VOH85" s="0"/>
      <c r="VOI85" s="0"/>
      <c r="VOJ85" s="0"/>
      <c r="VOK85" s="0"/>
      <c r="VOL85" s="0"/>
      <c r="VOM85" s="0"/>
      <c r="VON85" s="0"/>
      <c r="VOO85" s="0"/>
      <c r="VOP85" s="0"/>
      <c r="VOQ85" s="0"/>
      <c r="VOR85" s="0"/>
      <c r="VOS85" s="0"/>
      <c r="VOT85" s="0"/>
      <c r="VOU85" s="0"/>
      <c r="VOV85" s="0"/>
      <c r="VOW85" s="0"/>
      <c r="VOX85" s="0"/>
      <c r="VOY85" s="0"/>
      <c r="VOZ85" s="0"/>
      <c r="VPA85" s="0"/>
      <c r="VPB85" s="0"/>
      <c r="VPC85" s="0"/>
      <c r="VPD85" s="0"/>
      <c r="VPE85" s="0"/>
      <c r="VPF85" s="0"/>
      <c r="VPG85" s="0"/>
      <c r="VPH85" s="0"/>
      <c r="VPI85" s="0"/>
      <c r="VPJ85" s="0"/>
      <c r="VPK85" s="0"/>
      <c r="VPL85" s="0"/>
      <c r="VPM85" s="0"/>
      <c r="VPN85" s="0"/>
      <c r="VPO85" s="0"/>
      <c r="VPP85" s="0"/>
      <c r="VPQ85" s="0"/>
      <c r="VPR85" s="0"/>
      <c r="VPS85" s="0"/>
      <c r="VPT85" s="0"/>
      <c r="VPU85" s="0"/>
      <c r="VPV85" s="0"/>
      <c r="VPW85" s="0"/>
      <c r="VPX85" s="0"/>
      <c r="VPY85" s="0"/>
      <c r="VPZ85" s="0"/>
      <c r="VQA85" s="0"/>
      <c r="VQB85" s="0"/>
      <c r="VQC85" s="0"/>
      <c r="VQD85" s="0"/>
      <c r="VQE85" s="0"/>
      <c r="VQF85" s="0"/>
      <c r="VQG85" s="0"/>
      <c r="VQH85" s="0"/>
      <c r="VQI85" s="0"/>
      <c r="VQJ85" s="0"/>
      <c r="VQK85" s="0"/>
      <c r="VQL85" s="0"/>
      <c r="VQM85" s="0"/>
      <c r="VQN85" s="0"/>
      <c r="VQO85" s="0"/>
      <c r="VQP85" s="0"/>
      <c r="VQQ85" s="0"/>
      <c r="VQR85" s="0"/>
      <c r="VQS85" s="0"/>
      <c r="VQT85" s="0"/>
      <c r="VQU85" s="0"/>
      <c r="VQV85" s="0"/>
      <c r="VQW85" s="0"/>
      <c r="VQX85" s="0"/>
      <c r="VQY85" s="0"/>
      <c r="VQZ85" s="0"/>
      <c r="VRA85" s="0"/>
      <c r="VRB85" s="0"/>
      <c r="VRC85" s="0"/>
      <c r="VRD85" s="0"/>
      <c r="VRE85" s="0"/>
      <c r="VRF85" s="0"/>
      <c r="VRG85" s="0"/>
      <c r="VRH85" s="0"/>
      <c r="VRI85" s="0"/>
      <c r="VRJ85" s="0"/>
      <c r="VRK85" s="0"/>
      <c r="VRL85" s="0"/>
      <c r="VRM85" s="0"/>
      <c r="VRN85" s="0"/>
      <c r="VRO85" s="0"/>
      <c r="VRP85" s="0"/>
      <c r="VRQ85" s="0"/>
      <c r="VRR85" s="0"/>
      <c r="VRS85" s="0"/>
      <c r="VRT85" s="0"/>
      <c r="VRU85" s="0"/>
      <c r="VRV85" s="0"/>
      <c r="VRW85" s="0"/>
      <c r="VRX85" s="0"/>
      <c r="VRY85" s="0"/>
      <c r="VRZ85" s="0"/>
      <c r="VSA85" s="0"/>
      <c r="VSB85" s="0"/>
      <c r="VSC85" s="0"/>
      <c r="VSD85" s="0"/>
      <c r="VSE85" s="0"/>
      <c r="VSF85" s="0"/>
      <c r="VSG85" s="0"/>
      <c r="VSH85" s="0"/>
      <c r="VSI85" s="0"/>
      <c r="VSJ85" s="0"/>
      <c r="VSK85" s="0"/>
      <c r="VSL85" s="0"/>
      <c r="VSM85" s="0"/>
      <c r="VSN85" s="0"/>
      <c r="VSO85" s="0"/>
      <c r="VSP85" s="0"/>
      <c r="VSQ85" s="0"/>
      <c r="VSR85" s="0"/>
      <c r="VSS85" s="0"/>
      <c r="VST85" s="0"/>
      <c r="VSU85" s="0"/>
      <c r="VSV85" s="0"/>
      <c r="VSW85" s="0"/>
      <c r="VSX85" s="0"/>
      <c r="VSY85" s="0"/>
      <c r="VSZ85" s="0"/>
      <c r="VTA85" s="0"/>
      <c r="VTB85" s="0"/>
      <c r="VTC85" s="0"/>
      <c r="VTD85" s="0"/>
      <c r="VTE85" s="0"/>
      <c r="VTF85" s="0"/>
      <c r="VTG85" s="0"/>
      <c r="VTH85" s="0"/>
      <c r="VTI85" s="0"/>
      <c r="VTJ85" s="0"/>
      <c r="VTK85" s="0"/>
      <c r="VTL85" s="0"/>
      <c r="VTM85" s="0"/>
      <c r="VTN85" s="0"/>
      <c r="VTO85" s="0"/>
      <c r="VTP85" s="0"/>
      <c r="VTQ85" s="0"/>
      <c r="VTR85" s="0"/>
      <c r="VTS85" s="0"/>
      <c r="VTT85" s="0"/>
      <c r="VTU85" s="0"/>
      <c r="VTV85" s="0"/>
      <c r="VTW85" s="0"/>
      <c r="VTX85" s="0"/>
      <c r="VTY85" s="0"/>
      <c r="VTZ85" s="0"/>
      <c r="VUA85" s="0"/>
      <c r="VUB85" s="0"/>
      <c r="VUC85" s="0"/>
      <c r="VUD85" s="0"/>
      <c r="VUE85" s="0"/>
      <c r="VUF85" s="0"/>
      <c r="VUG85" s="0"/>
      <c r="VUH85" s="0"/>
      <c r="VUI85" s="0"/>
      <c r="VUJ85" s="0"/>
      <c r="VUK85" s="0"/>
      <c r="VUL85" s="0"/>
      <c r="VUM85" s="0"/>
      <c r="VUN85" s="0"/>
      <c r="VUO85" s="0"/>
      <c r="VUP85" s="0"/>
      <c r="VUQ85" s="0"/>
      <c r="VUR85" s="0"/>
      <c r="VUS85" s="0"/>
      <c r="VUT85" s="0"/>
      <c r="VUU85" s="0"/>
      <c r="VUV85" s="0"/>
      <c r="VUW85" s="0"/>
      <c r="VUX85" s="0"/>
      <c r="VUY85" s="0"/>
      <c r="VUZ85" s="0"/>
      <c r="VVA85" s="0"/>
      <c r="VVB85" s="0"/>
      <c r="VVC85" s="0"/>
      <c r="VVD85" s="0"/>
      <c r="VVE85" s="0"/>
      <c r="VVF85" s="0"/>
      <c r="VVG85" s="0"/>
      <c r="VVH85" s="0"/>
      <c r="VVI85" s="0"/>
      <c r="VVJ85" s="0"/>
      <c r="VVK85" s="0"/>
      <c r="VVL85" s="0"/>
      <c r="VVM85" s="0"/>
      <c r="VVN85" s="0"/>
      <c r="VVO85" s="0"/>
      <c r="VVP85" s="0"/>
      <c r="VVQ85" s="0"/>
      <c r="VVR85" s="0"/>
      <c r="VVS85" s="0"/>
      <c r="VVT85" s="0"/>
      <c r="VVU85" s="0"/>
      <c r="VVV85" s="0"/>
      <c r="VVW85" s="0"/>
      <c r="VVX85" s="0"/>
      <c r="VVY85" s="0"/>
      <c r="VVZ85" s="0"/>
      <c r="VWA85" s="0"/>
      <c r="VWB85" s="0"/>
      <c r="VWC85" s="0"/>
      <c r="VWD85" s="0"/>
      <c r="VWE85" s="0"/>
      <c r="VWF85" s="0"/>
      <c r="VWG85" s="0"/>
      <c r="VWH85" s="0"/>
      <c r="VWI85" s="0"/>
      <c r="VWJ85" s="0"/>
      <c r="VWK85" s="0"/>
      <c r="VWL85" s="0"/>
      <c r="VWM85" s="0"/>
      <c r="VWN85" s="0"/>
      <c r="VWO85" s="0"/>
      <c r="VWP85" s="0"/>
      <c r="VWQ85" s="0"/>
      <c r="VWR85" s="0"/>
      <c r="VWS85" s="0"/>
      <c r="VWT85" s="0"/>
      <c r="VWU85" s="0"/>
      <c r="VWV85" s="0"/>
      <c r="VWW85" s="0"/>
      <c r="VWX85" s="0"/>
      <c r="VWY85" s="0"/>
      <c r="VWZ85" s="0"/>
      <c r="VXA85" s="0"/>
      <c r="VXB85" s="0"/>
      <c r="VXC85" s="0"/>
      <c r="VXD85" s="0"/>
      <c r="VXE85" s="0"/>
      <c r="VXF85" s="0"/>
      <c r="VXG85" s="0"/>
      <c r="VXH85" s="0"/>
      <c r="VXI85" s="0"/>
      <c r="VXJ85" s="0"/>
      <c r="VXK85" s="0"/>
      <c r="VXL85" s="0"/>
      <c r="VXM85" s="0"/>
      <c r="VXN85" s="0"/>
      <c r="VXO85" s="0"/>
      <c r="VXP85" s="0"/>
      <c r="VXQ85" s="0"/>
      <c r="VXR85" s="0"/>
      <c r="VXS85" s="0"/>
      <c r="VXT85" s="0"/>
      <c r="VXU85" s="0"/>
      <c r="VXV85" s="0"/>
      <c r="VXW85" s="0"/>
      <c r="VXX85" s="0"/>
      <c r="VXY85" s="0"/>
      <c r="VXZ85" s="0"/>
      <c r="VYA85" s="0"/>
      <c r="VYB85" s="0"/>
      <c r="VYC85" s="0"/>
      <c r="VYD85" s="0"/>
      <c r="VYE85" s="0"/>
      <c r="VYF85" s="0"/>
      <c r="VYG85" s="0"/>
      <c r="VYH85" s="0"/>
      <c r="VYI85" s="0"/>
      <c r="VYJ85" s="0"/>
      <c r="VYK85" s="0"/>
      <c r="VYL85" s="0"/>
      <c r="VYM85" s="0"/>
      <c r="VYN85" s="0"/>
      <c r="VYO85" s="0"/>
      <c r="VYP85" s="0"/>
      <c r="VYQ85" s="0"/>
      <c r="VYR85" s="0"/>
      <c r="VYS85" s="0"/>
      <c r="VYT85" s="0"/>
      <c r="VYU85" s="0"/>
      <c r="VYV85" s="0"/>
      <c r="VYW85" s="0"/>
      <c r="VYX85" s="0"/>
      <c r="VYY85" s="0"/>
      <c r="VYZ85" s="0"/>
      <c r="VZA85" s="0"/>
      <c r="VZB85" s="0"/>
      <c r="VZC85" s="0"/>
      <c r="VZD85" s="0"/>
      <c r="VZE85" s="0"/>
      <c r="VZF85" s="0"/>
      <c r="VZG85" s="0"/>
      <c r="VZH85" s="0"/>
      <c r="VZI85" s="0"/>
      <c r="VZJ85" s="0"/>
      <c r="VZK85" s="0"/>
      <c r="VZL85" s="0"/>
      <c r="VZM85" s="0"/>
      <c r="VZN85" s="0"/>
      <c r="VZO85" s="0"/>
      <c r="VZP85" s="0"/>
      <c r="VZQ85" s="0"/>
      <c r="VZR85" s="0"/>
      <c r="VZS85" s="0"/>
      <c r="VZT85" s="0"/>
      <c r="VZU85" s="0"/>
      <c r="VZV85" s="0"/>
      <c r="VZW85" s="0"/>
      <c r="VZX85" s="0"/>
      <c r="VZY85" s="0"/>
      <c r="VZZ85" s="0"/>
      <c r="WAA85" s="0"/>
      <c r="WAB85" s="0"/>
      <c r="WAC85" s="0"/>
      <c r="WAD85" s="0"/>
      <c r="WAE85" s="0"/>
      <c r="WAF85" s="0"/>
      <c r="WAG85" s="0"/>
      <c r="WAH85" s="0"/>
      <c r="WAI85" s="0"/>
      <c r="WAJ85" s="0"/>
      <c r="WAK85" s="0"/>
      <c r="WAL85" s="0"/>
      <c r="WAM85" s="0"/>
      <c r="WAN85" s="0"/>
      <c r="WAO85" s="0"/>
      <c r="WAP85" s="0"/>
      <c r="WAQ85" s="0"/>
      <c r="WAR85" s="0"/>
      <c r="WAS85" s="0"/>
      <c r="WAT85" s="0"/>
      <c r="WAU85" s="0"/>
      <c r="WAV85" s="0"/>
      <c r="WAW85" s="0"/>
      <c r="WAX85" s="0"/>
      <c r="WAY85" s="0"/>
      <c r="WAZ85" s="0"/>
      <c r="WBA85" s="0"/>
      <c r="WBB85" s="0"/>
      <c r="WBC85" s="0"/>
      <c r="WBD85" s="0"/>
      <c r="WBE85" s="0"/>
      <c r="WBF85" s="0"/>
      <c r="WBG85" s="0"/>
      <c r="WBH85" s="0"/>
      <c r="WBI85" s="0"/>
      <c r="WBJ85" s="0"/>
      <c r="WBK85" s="0"/>
      <c r="WBL85" s="0"/>
      <c r="WBM85" s="0"/>
      <c r="WBN85" s="0"/>
      <c r="WBO85" s="0"/>
      <c r="WBP85" s="0"/>
      <c r="WBQ85" s="0"/>
      <c r="WBR85" s="0"/>
      <c r="WBS85" s="0"/>
      <c r="WBT85" s="0"/>
      <c r="WBU85" s="0"/>
      <c r="WBV85" s="0"/>
      <c r="WBW85" s="0"/>
      <c r="WBX85" s="0"/>
      <c r="WBY85" s="0"/>
      <c r="WBZ85" s="0"/>
      <c r="WCA85" s="0"/>
      <c r="WCB85" s="0"/>
      <c r="WCC85" s="0"/>
      <c r="WCD85" s="0"/>
      <c r="WCE85" s="0"/>
      <c r="WCF85" s="0"/>
      <c r="WCG85" s="0"/>
      <c r="WCH85" s="0"/>
      <c r="WCI85" s="0"/>
      <c r="WCJ85" s="0"/>
      <c r="WCK85" s="0"/>
      <c r="WCL85" s="0"/>
      <c r="WCM85" s="0"/>
      <c r="WCN85" s="0"/>
      <c r="WCO85" s="0"/>
      <c r="WCP85" s="0"/>
      <c r="WCQ85" s="0"/>
      <c r="WCR85" s="0"/>
      <c r="WCS85" s="0"/>
      <c r="WCT85" s="0"/>
      <c r="WCU85" s="0"/>
      <c r="WCV85" s="0"/>
      <c r="WCW85" s="0"/>
      <c r="WCX85" s="0"/>
      <c r="WCY85" s="0"/>
      <c r="WCZ85" s="0"/>
      <c r="WDA85" s="0"/>
      <c r="WDB85" s="0"/>
      <c r="WDC85" s="0"/>
      <c r="WDD85" s="0"/>
      <c r="WDE85" s="0"/>
      <c r="WDF85" s="0"/>
      <c r="WDG85" s="0"/>
      <c r="WDH85" s="0"/>
      <c r="WDI85" s="0"/>
      <c r="WDJ85" s="0"/>
      <c r="WDK85" s="0"/>
      <c r="WDL85" s="0"/>
      <c r="WDM85" s="0"/>
      <c r="WDN85" s="0"/>
      <c r="WDO85" s="0"/>
      <c r="WDP85" s="0"/>
      <c r="WDQ85" s="0"/>
      <c r="WDR85" s="0"/>
      <c r="WDS85" s="0"/>
      <c r="WDT85" s="0"/>
      <c r="WDU85" s="0"/>
      <c r="WDV85" s="0"/>
      <c r="WDW85" s="0"/>
      <c r="WDX85" s="0"/>
      <c r="WDY85" s="0"/>
      <c r="WDZ85" s="0"/>
      <c r="WEA85" s="0"/>
      <c r="WEB85" s="0"/>
      <c r="WEC85" s="0"/>
      <c r="WED85" s="0"/>
      <c r="WEE85" s="0"/>
      <c r="WEF85" s="0"/>
      <c r="WEG85" s="0"/>
      <c r="WEH85" s="0"/>
      <c r="WEI85" s="0"/>
      <c r="WEJ85" s="0"/>
      <c r="WEK85" s="0"/>
      <c r="WEL85" s="0"/>
      <c r="WEM85" s="0"/>
      <c r="WEN85" s="0"/>
      <c r="WEO85" s="0"/>
      <c r="WEP85" s="0"/>
      <c r="WEQ85" s="0"/>
      <c r="WER85" s="0"/>
      <c r="WES85" s="0"/>
      <c r="WET85" s="0"/>
      <c r="WEU85" s="0"/>
      <c r="WEV85" s="0"/>
      <c r="WEW85" s="0"/>
      <c r="WEX85" s="0"/>
      <c r="WEY85" s="0"/>
      <c r="WEZ85" s="0"/>
      <c r="WFA85" s="0"/>
      <c r="WFB85" s="0"/>
      <c r="WFC85" s="0"/>
      <c r="WFD85" s="0"/>
      <c r="WFE85" s="0"/>
      <c r="WFF85" s="0"/>
      <c r="WFG85" s="0"/>
      <c r="WFH85" s="0"/>
      <c r="WFI85" s="0"/>
      <c r="WFJ85" s="0"/>
      <c r="WFK85" s="0"/>
      <c r="WFL85" s="0"/>
      <c r="WFM85" s="0"/>
      <c r="WFN85" s="0"/>
      <c r="WFO85" s="0"/>
      <c r="WFP85" s="0"/>
      <c r="WFQ85" s="0"/>
      <c r="WFR85" s="0"/>
      <c r="WFS85" s="0"/>
      <c r="WFT85" s="0"/>
      <c r="WFU85" s="0"/>
      <c r="WFV85" s="0"/>
      <c r="WFW85" s="0"/>
      <c r="WFX85" s="0"/>
      <c r="WFY85" s="0"/>
      <c r="WFZ85" s="0"/>
      <c r="WGA85" s="0"/>
      <c r="WGB85" s="0"/>
      <c r="WGC85" s="0"/>
      <c r="WGD85" s="0"/>
      <c r="WGE85" s="0"/>
      <c r="WGF85" s="0"/>
      <c r="WGG85" s="0"/>
      <c r="WGH85" s="0"/>
      <c r="WGI85" s="0"/>
      <c r="WGJ85" s="0"/>
      <c r="WGK85" s="0"/>
      <c r="WGL85" s="0"/>
      <c r="WGM85" s="0"/>
      <c r="WGN85" s="0"/>
      <c r="WGO85" s="0"/>
      <c r="WGP85" s="0"/>
      <c r="WGQ85" s="0"/>
      <c r="WGR85" s="0"/>
      <c r="WGS85" s="0"/>
      <c r="WGT85" s="0"/>
      <c r="WGU85" s="0"/>
      <c r="WGV85" s="0"/>
      <c r="WGW85" s="0"/>
      <c r="WGX85" s="0"/>
      <c r="WGY85" s="0"/>
      <c r="WGZ85" s="0"/>
      <c r="WHA85" s="0"/>
      <c r="WHB85" s="0"/>
      <c r="WHC85" s="0"/>
      <c r="WHD85" s="0"/>
      <c r="WHE85" s="0"/>
      <c r="WHF85" s="0"/>
      <c r="WHG85" s="0"/>
      <c r="WHH85" s="0"/>
      <c r="WHI85" s="0"/>
      <c r="WHJ85" s="0"/>
      <c r="WHK85" s="0"/>
      <c r="WHL85" s="0"/>
      <c r="WHM85" s="0"/>
      <c r="WHN85" s="0"/>
      <c r="WHO85" s="0"/>
      <c r="WHP85" s="0"/>
      <c r="WHQ85" s="0"/>
      <c r="WHR85" s="0"/>
      <c r="WHS85" s="0"/>
      <c r="WHT85" s="0"/>
      <c r="WHU85" s="0"/>
      <c r="WHV85" s="0"/>
      <c r="WHW85" s="0"/>
      <c r="WHX85" s="0"/>
      <c r="WHY85" s="0"/>
      <c r="WHZ85" s="0"/>
      <c r="WIA85" s="0"/>
      <c r="WIB85" s="0"/>
      <c r="WIC85" s="0"/>
      <c r="WID85" s="0"/>
      <c r="WIE85" s="0"/>
      <c r="WIF85" s="0"/>
      <c r="WIG85" s="0"/>
      <c r="WIH85" s="0"/>
      <c r="WII85" s="0"/>
      <c r="WIJ85" s="0"/>
      <c r="WIK85" s="0"/>
      <c r="WIL85" s="0"/>
      <c r="WIM85" s="0"/>
      <c r="WIN85" s="0"/>
      <c r="WIO85" s="0"/>
      <c r="WIP85" s="0"/>
      <c r="WIQ85" s="0"/>
      <c r="WIR85" s="0"/>
      <c r="WIS85" s="0"/>
      <c r="WIT85" s="0"/>
      <c r="WIU85" s="0"/>
      <c r="WIV85" s="0"/>
      <c r="WIW85" s="0"/>
      <c r="WIX85" s="0"/>
      <c r="WIY85" s="0"/>
      <c r="WIZ85" s="0"/>
      <c r="WJA85" s="0"/>
      <c r="WJB85" s="0"/>
      <c r="WJC85" s="0"/>
      <c r="WJD85" s="0"/>
      <c r="WJE85" s="0"/>
      <c r="WJF85" s="0"/>
      <c r="WJG85" s="0"/>
      <c r="WJH85" s="0"/>
      <c r="WJI85" s="0"/>
      <c r="WJJ85" s="0"/>
      <c r="WJK85" s="0"/>
      <c r="WJL85" s="0"/>
      <c r="WJM85" s="0"/>
      <c r="WJN85" s="0"/>
      <c r="WJO85" s="0"/>
      <c r="WJP85" s="0"/>
      <c r="WJQ85" s="0"/>
      <c r="WJR85" s="0"/>
      <c r="WJS85" s="0"/>
      <c r="WJT85" s="0"/>
      <c r="WJU85" s="0"/>
      <c r="WJV85" s="0"/>
      <c r="WJW85" s="0"/>
      <c r="WJX85" s="0"/>
      <c r="WJY85" s="0"/>
      <c r="WJZ85" s="0"/>
      <c r="WKA85" s="0"/>
      <c r="WKB85" s="0"/>
      <c r="WKC85" s="0"/>
      <c r="WKD85" s="0"/>
      <c r="WKE85" s="0"/>
      <c r="WKF85" s="0"/>
      <c r="WKG85" s="0"/>
      <c r="WKH85" s="0"/>
      <c r="WKI85" s="0"/>
      <c r="WKJ85" s="0"/>
      <c r="WKK85" s="0"/>
      <c r="WKL85" s="0"/>
      <c r="WKM85" s="0"/>
      <c r="WKN85" s="0"/>
      <c r="WKO85" s="0"/>
      <c r="WKP85" s="0"/>
      <c r="WKQ85" s="0"/>
      <c r="WKR85" s="0"/>
      <c r="WKS85" s="0"/>
      <c r="WKT85" s="0"/>
      <c r="WKU85" s="0"/>
      <c r="WKV85" s="0"/>
      <c r="WKW85" s="0"/>
      <c r="WKX85" s="0"/>
      <c r="WKY85" s="0"/>
      <c r="WKZ85" s="0"/>
      <c r="WLA85" s="0"/>
      <c r="WLB85" s="0"/>
      <c r="WLC85" s="0"/>
      <c r="WLD85" s="0"/>
      <c r="WLE85" s="0"/>
      <c r="WLF85" s="0"/>
      <c r="WLG85" s="0"/>
      <c r="WLH85" s="0"/>
      <c r="WLI85" s="0"/>
      <c r="WLJ85" s="0"/>
      <c r="WLK85" s="0"/>
      <c r="WLL85" s="0"/>
      <c r="WLM85" s="0"/>
      <c r="WLN85" s="0"/>
      <c r="WLO85" s="0"/>
      <c r="WLP85" s="0"/>
      <c r="WLQ85" s="0"/>
      <c r="WLR85" s="0"/>
      <c r="WLS85" s="0"/>
      <c r="WLT85" s="0"/>
      <c r="WLU85" s="0"/>
      <c r="WLV85" s="0"/>
      <c r="WLW85" s="0"/>
      <c r="WLX85" s="0"/>
      <c r="WLY85" s="0"/>
      <c r="WLZ85" s="0"/>
      <c r="WMA85" s="0"/>
      <c r="WMB85" s="0"/>
      <c r="WMC85" s="0"/>
      <c r="WMD85" s="0"/>
      <c r="WME85" s="0"/>
      <c r="WMF85" s="0"/>
      <c r="WMG85" s="0"/>
      <c r="WMH85" s="0"/>
      <c r="WMI85" s="0"/>
      <c r="WMJ85" s="0"/>
      <c r="WMK85" s="0"/>
      <c r="WML85" s="0"/>
      <c r="WMM85" s="0"/>
      <c r="WMN85" s="0"/>
      <c r="WMO85" s="0"/>
      <c r="WMP85" s="0"/>
      <c r="WMQ85" s="0"/>
      <c r="WMR85" s="0"/>
      <c r="WMS85" s="0"/>
      <c r="WMT85" s="0"/>
      <c r="WMU85" s="0"/>
      <c r="WMV85" s="0"/>
      <c r="WMW85" s="0"/>
      <c r="WMX85" s="0"/>
      <c r="WMY85" s="0"/>
      <c r="WMZ85" s="0"/>
      <c r="WNA85" s="0"/>
      <c r="WNB85" s="0"/>
      <c r="WNC85" s="0"/>
      <c r="WND85" s="0"/>
      <c r="WNE85" s="0"/>
      <c r="WNF85" s="0"/>
      <c r="WNG85" s="0"/>
      <c r="WNH85" s="0"/>
      <c r="WNI85" s="0"/>
      <c r="WNJ85" s="0"/>
      <c r="WNK85" s="0"/>
      <c r="WNL85" s="0"/>
      <c r="WNM85" s="0"/>
      <c r="WNN85" s="0"/>
      <c r="WNO85" s="0"/>
      <c r="WNP85" s="0"/>
      <c r="WNQ85" s="0"/>
      <c r="WNR85" s="0"/>
      <c r="WNS85" s="0"/>
      <c r="WNT85" s="0"/>
      <c r="WNU85" s="0"/>
      <c r="WNV85" s="0"/>
      <c r="WNW85" s="0"/>
      <c r="WNX85" s="0"/>
      <c r="WNY85" s="0"/>
      <c r="WNZ85" s="0"/>
      <c r="WOA85" s="0"/>
      <c r="WOB85" s="0"/>
      <c r="WOC85" s="0"/>
      <c r="WOD85" s="0"/>
      <c r="WOE85" s="0"/>
      <c r="WOF85" s="0"/>
      <c r="WOG85" s="0"/>
      <c r="WOH85" s="0"/>
      <c r="WOI85" s="0"/>
      <c r="WOJ85" s="0"/>
      <c r="WOK85" s="0"/>
      <c r="WOL85" s="0"/>
      <c r="WOM85" s="0"/>
      <c r="WON85" s="0"/>
      <c r="WOO85" s="0"/>
      <c r="WOP85" s="0"/>
      <c r="WOQ85" s="0"/>
      <c r="WOR85" s="0"/>
      <c r="WOS85" s="0"/>
      <c r="WOT85" s="0"/>
      <c r="WOU85" s="0"/>
      <c r="WOV85" s="0"/>
      <c r="WOW85" s="0"/>
      <c r="WOX85" s="0"/>
      <c r="WOY85" s="0"/>
      <c r="WOZ85" s="0"/>
      <c r="WPA85" s="0"/>
      <c r="WPB85" s="0"/>
      <c r="WPC85" s="0"/>
      <c r="WPD85" s="0"/>
      <c r="WPE85" s="0"/>
      <c r="WPF85" s="0"/>
      <c r="WPG85" s="0"/>
      <c r="WPH85" s="0"/>
      <c r="WPI85" s="0"/>
      <c r="WPJ85" s="0"/>
      <c r="WPK85" s="0"/>
      <c r="WPL85" s="0"/>
      <c r="WPM85" s="0"/>
      <c r="WPN85" s="0"/>
      <c r="WPO85" s="0"/>
      <c r="WPP85" s="0"/>
      <c r="WPQ85" s="0"/>
      <c r="WPR85" s="0"/>
      <c r="WPS85" s="0"/>
      <c r="WPT85" s="0"/>
      <c r="WPU85" s="0"/>
      <c r="WPV85" s="0"/>
      <c r="WPW85" s="0"/>
      <c r="WPX85" s="0"/>
      <c r="WPY85" s="0"/>
      <c r="WPZ85" s="0"/>
      <c r="WQA85" s="0"/>
      <c r="WQB85" s="0"/>
      <c r="WQC85" s="0"/>
      <c r="WQD85" s="0"/>
      <c r="WQE85" s="0"/>
      <c r="WQF85" s="0"/>
      <c r="WQG85" s="0"/>
      <c r="WQH85" s="0"/>
      <c r="WQI85" s="0"/>
      <c r="WQJ85" s="0"/>
      <c r="WQK85" s="0"/>
      <c r="WQL85" s="0"/>
      <c r="WQM85" s="0"/>
      <c r="WQN85" s="0"/>
      <c r="WQO85" s="0"/>
      <c r="WQP85" s="0"/>
      <c r="WQQ85" s="0"/>
      <c r="WQR85" s="0"/>
      <c r="WQS85" s="0"/>
      <c r="WQT85" s="0"/>
      <c r="WQU85" s="0"/>
      <c r="WQV85" s="0"/>
      <c r="WQW85" s="0"/>
      <c r="WQX85" s="0"/>
      <c r="WQY85" s="0"/>
      <c r="WQZ85" s="0"/>
      <c r="WRA85" s="0"/>
      <c r="WRB85" s="0"/>
      <c r="WRC85" s="0"/>
      <c r="WRD85" s="0"/>
      <c r="WRE85" s="0"/>
      <c r="WRF85" s="0"/>
      <c r="WRG85" s="0"/>
      <c r="WRH85" s="0"/>
      <c r="WRI85" s="0"/>
      <c r="WRJ85" s="0"/>
      <c r="WRK85" s="0"/>
      <c r="WRL85" s="0"/>
      <c r="WRM85" s="0"/>
      <c r="WRN85" s="0"/>
      <c r="WRO85" s="0"/>
      <c r="WRP85" s="0"/>
      <c r="WRQ85" s="0"/>
      <c r="WRR85" s="0"/>
      <c r="WRS85" s="0"/>
      <c r="WRT85" s="0"/>
      <c r="WRU85" s="0"/>
      <c r="WRV85" s="0"/>
      <c r="WRW85" s="0"/>
      <c r="WRX85" s="0"/>
      <c r="WRY85" s="0"/>
      <c r="WRZ85" s="0"/>
      <c r="WSA85" s="0"/>
      <c r="WSB85" s="0"/>
      <c r="WSC85" s="0"/>
      <c r="WSD85" s="0"/>
      <c r="WSE85" s="0"/>
      <c r="WSF85" s="0"/>
      <c r="WSG85" s="0"/>
      <c r="WSH85" s="0"/>
      <c r="WSI85" s="0"/>
      <c r="WSJ85" s="0"/>
      <c r="WSK85" s="0"/>
      <c r="WSL85" s="0"/>
      <c r="WSM85" s="0"/>
      <c r="WSN85" s="0"/>
      <c r="WSO85" s="0"/>
      <c r="WSP85" s="0"/>
      <c r="WSQ85" s="0"/>
      <c r="WSR85" s="0"/>
      <c r="WSS85" s="0"/>
      <c r="WST85" s="0"/>
      <c r="WSU85" s="0"/>
      <c r="WSV85" s="0"/>
      <c r="WSW85" s="0"/>
      <c r="WSX85" s="0"/>
      <c r="WSY85" s="0"/>
      <c r="WSZ85" s="0"/>
      <c r="WTA85" s="0"/>
      <c r="WTB85" s="0"/>
      <c r="WTC85" s="0"/>
      <c r="WTD85" s="0"/>
      <c r="WTE85" s="0"/>
      <c r="WTF85" s="0"/>
      <c r="WTG85" s="0"/>
      <c r="WTH85" s="0"/>
      <c r="WTI85" s="0"/>
      <c r="WTJ85" s="0"/>
      <c r="WTK85" s="0"/>
      <c r="WTL85" s="0"/>
      <c r="WTM85" s="0"/>
      <c r="WTN85" s="0"/>
      <c r="WTO85" s="0"/>
      <c r="WTP85" s="0"/>
      <c r="WTQ85" s="0"/>
      <c r="WTR85" s="0"/>
      <c r="WTS85" s="0"/>
      <c r="WTT85" s="0"/>
      <c r="WTU85" s="0"/>
      <c r="WTV85" s="0"/>
      <c r="WTW85" s="0"/>
      <c r="WTX85" s="0"/>
      <c r="WTY85" s="0"/>
      <c r="WTZ85" s="0"/>
      <c r="WUA85" s="0"/>
      <c r="WUB85" s="0"/>
      <c r="WUC85" s="0"/>
      <c r="WUD85" s="0"/>
      <c r="WUE85" s="0"/>
      <c r="WUF85" s="0"/>
      <c r="WUG85" s="0"/>
      <c r="WUH85" s="0"/>
      <c r="WUI85" s="0"/>
      <c r="WUJ85" s="0"/>
      <c r="WUK85" s="0"/>
      <c r="WUL85" s="0"/>
      <c r="WUM85" s="0"/>
      <c r="WUN85" s="0"/>
      <c r="WUO85" s="0"/>
      <c r="WUP85" s="0"/>
      <c r="WUQ85" s="0"/>
      <c r="WUR85" s="0"/>
      <c r="WUS85" s="0"/>
      <c r="WUT85" s="0"/>
      <c r="WUU85" s="0"/>
      <c r="WUV85" s="0"/>
      <c r="WUW85" s="0"/>
      <c r="WUX85" s="0"/>
      <c r="WUY85" s="0"/>
      <c r="WUZ85" s="0"/>
      <c r="WVA85" s="0"/>
      <c r="WVB85" s="0"/>
      <c r="WVC85" s="0"/>
      <c r="WVD85" s="0"/>
      <c r="WVE85" s="0"/>
      <c r="WVF85" s="0"/>
      <c r="WVG85" s="0"/>
      <c r="WVH85" s="0"/>
      <c r="WVI85" s="0"/>
      <c r="WVJ85" s="0"/>
      <c r="WVK85" s="0"/>
      <c r="WVL85" s="0"/>
      <c r="WVM85" s="0"/>
      <c r="WVN85" s="0"/>
      <c r="WVO85" s="0"/>
      <c r="WVP85" s="0"/>
      <c r="WVQ85" s="0"/>
      <c r="WVR85" s="0"/>
      <c r="WVS85" s="0"/>
      <c r="WVT85" s="0"/>
      <c r="WVU85" s="0"/>
      <c r="WVV85" s="0"/>
      <c r="WVW85" s="0"/>
      <c r="WVX85" s="0"/>
      <c r="WVY85" s="0"/>
      <c r="WVZ85" s="0"/>
      <c r="WWA85" s="0"/>
      <c r="WWB85" s="0"/>
      <c r="WWC85" s="0"/>
      <c r="WWD85" s="0"/>
      <c r="WWE85" s="0"/>
      <c r="WWF85" s="0"/>
      <c r="WWG85" s="0"/>
      <c r="WWH85" s="0"/>
      <c r="WWI85" s="0"/>
      <c r="WWJ85" s="0"/>
      <c r="WWK85" s="0"/>
      <c r="WWL85" s="0"/>
      <c r="WWM85" s="0"/>
      <c r="WWN85" s="0"/>
      <c r="WWO85" s="0"/>
      <c r="WWP85" s="0"/>
      <c r="WWQ85" s="0"/>
      <c r="WWR85" s="0"/>
      <c r="WWS85" s="0"/>
      <c r="WWT85" s="0"/>
      <c r="WWU85" s="0"/>
      <c r="WWV85" s="0"/>
      <c r="WWW85" s="0"/>
      <c r="WWX85" s="0"/>
      <c r="WWY85" s="0"/>
      <c r="WWZ85" s="0"/>
      <c r="WXA85" s="0"/>
      <c r="WXB85" s="0"/>
      <c r="WXC85" s="0"/>
      <c r="WXD85" s="0"/>
      <c r="WXE85" s="0"/>
      <c r="WXF85" s="0"/>
      <c r="WXG85" s="0"/>
      <c r="WXH85" s="0"/>
      <c r="WXI85" s="0"/>
      <c r="WXJ85" s="0"/>
      <c r="WXK85" s="0"/>
      <c r="WXL85" s="0"/>
      <c r="WXM85" s="0"/>
      <c r="WXN85" s="0"/>
      <c r="WXO85" s="0"/>
      <c r="WXP85" s="0"/>
      <c r="WXQ85" s="0"/>
      <c r="WXR85" s="0"/>
      <c r="WXS85" s="0"/>
      <c r="WXT85" s="0"/>
      <c r="WXU85" s="0"/>
      <c r="WXV85" s="0"/>
      <c r="WXW85" s="0"/>
      <c r="WXX85" s="0"/>
      <c r="WXY85" s="0"/>
      <c r="WXZ85" s="0"/>
      <c r="WYA85" s="0"/>
      <c r="WYB85" s="0"/>
      <c r="WYC85" s="0"/>
      <c r="WYD85" s="0"/>
      <c r="WYE85" s="0"/>
      <c r="WYF85" s="0"/>
      <c r="WYG85" s="0"/>
      <c r="WYH85" s="0"/>
      <c r="WYI85" s="0"/>
      <c r="WYJ85" s="0"/>
      <c r="WYK85" s="0"/>
      <c r="WYL85" s="0"/>
      <c r="WYM85" s="0"/>
      <c r="WYN85" s="0"/>
      <c r="WYO85" s="0"/>
      <c r="WYP85" s="0"/>
      <c r="WYQ85" s="0"/>
      <c r="WYR85" s="0"/>
      <c r="WYS85" s="0"/>
      <c r="WYT85" s="0"/>
      <c r="WYU85" s="0"/>
      <c r="WYV85" s="0"/>
      <c r="WYW85" s="0"/>
      <c r="WYX85" s="0"/>
      <c r="WYY85" s="0"/>
      <c r="WYZ85" s="0"/>
      <c r="WZA85" s="0"/>
      <c r="WZB85" s="0"/>
      <c r="WZC85" s="0"/>
      <c r="WZD85" s="0"/>
      <c r="WZE85" s="0"/>
      <c r="WZF85" s="0"/>
      <c r="WZG85" s="0"/>
      <c r="WZH85" s="0"/>
      <c r="WZI85" s="0"/>
      <c r="WZJ85" s="0"/>
      <c r="WZK85" s="0"/>
      <c r="WZL85" s="0"/>
      <c r="WZM85" s="0"/>
      <c r="WZN85" s="0"/>
      <c r="WZO85" s="0"/>
      <c r="WZP85" s="0"/>
      <c r="WZQ85" s="0"/>
      <c r="WZR85" s="0"/>
      <c r="WZS85" s="0"/>
      <c r="WZT85" s="0"/>
      <c r="WZU85" s="0"/>
      <c r="WZV85" s="0"/>
      <c r="WZW85" s="0"/>
      <c r="WZX85" s="0"/>
      <c r="WZY85" s="0"/>
      <c r="WZZ85" s="0"/>
      <c r="XAA85" s="0"/>
      <c r="XAB85" s="0"/>
      <c r="XAC85" s="0"/>
      <c r="XAD85" s="0"/>
      <c r="XAE85" s="0"/>
      <c r="XAF85" s="0"/>
      <c r="XAG85" s="0"/>
      <c r="XAH85" s="0"/>
      <c r="XAI85" s="0"/>
      <c r="XAJ85" s="0"/>
      <c r="XAK85" s="0"/>
      <c r="XAL85" s="0"/>
      <c r="XAM85" s="0"/>
      <c r="XAN85" s="0"/>
      <c r="XAO85" s="0"/>
      <c r="XAP85" s="0"/>
      <c r="XAQ85" s="0"/>
      <c r="XAR85" s="0"/>
      <c r="XAS85" s="0"/>
      <c r="XAT85" s="0"/>
      <c r="XAU85" s="0"/>
      <c r="XAV85" s="0"/>
      <c r="XAW85" s="0"/>
      <c r="XAX85" s="0"/>
      <c r="XAY85" s="0"/>
      <c r="XAZ85" s="0"/>
      <c r="XBA85" s="0"/>
      <c r="XBB85" s="0"/>
      <c r="XBC85" s="0"/>
      <c r="XBD85" s="0"/>
      <c r="XBE85" s="0"/>
      <c r="XBF85" s="0"/>
      <c r="XBG85" s="0"/>
      <c r="XBH85" s="0"/>
      <c r="XBI85" s="0"/>
      <c r="XBJ85" s="0"/>
      <c r="XBK85" s="0"/>
      <c r="XBL85" s="0"/>
      <c r="XBM85" s="0"/>
      <c r="XBN85" s="0"/>
      <c r="XBO85" s="0"/>
      <c r="XBP85" s="0"/>
      <c r="XBQ85" s="0"/>
      <c r="XBR85" s="0"/>
      <c r="XBS85" s="0"/>
      <c r="XBT85" s="0"/>
      <c r="XBU85" s="0"/>
      <c r="XBV85" s="0"/>
      <c r="XBW85" s="0"/>
      <c r="XBX85" s="0"/>
      <c r="XBY85" s="0"/>
      <c r="XBZ85" s="0"/>
      <c r="XCA85" s="0"/>
      <c r="XCB85" s="0"/>
      <c r="XCC85" s="0"/>
      <c r="XCD85" s="0"/>
      <c r="XCE85" s="0"/>
      <c r="XCF85" s="0"/>
      <c r="XCG85" s="0"/>
      <c r="XCH85" s="0"/>
      <c r="XCI85" s="0"/>
      <c r="XCJ85" s="0"/>
      <c r="XCK85" s="0"/>
      <c r="XCL85" s="0"/>
      <c r="XCM85" s="0"/>
      <c r="XCN85" s="0"/>
      <c r="XCO85" s="0"/>
      <c r="XCP85" s="0"/>
      <c r="XCQ85" s="0"/>
      <c r="XCR85" s="0"/>
      <c r="XCS85" s="0"/>
      <c r="XCT85" s="0"/>
      <c r="XCU85" s="0"/>
      <c r="XCV85" s="0"/>
      <c r="XCW85" s="0"/>
      <c r="XCX85" s="0"/>
      <c r="XCY85" s="0"/>
      <c r="XCZ85" s="0"/>
      <c r="XDA85" s="0"/>
      <c r="XDB85" s="0"/>
      <c r="XDC85" s="0"/>
      <c r="XDD85" s="0"/>
      <c r="XDE85" s="0"/>
      <c r="XDF85" s="0"/>
      <c r="XDG85" s="0"/>
      <c r="XDH85" s="0"/>
      <c r="XDI85" s="0"/>
      <c r="XDJ85" s="0"/>
      <c r="XDK85" s="0"/>
      <c r="XDL85" s="0"/>
      <c r="XDM85" s="0"/>
      <c r="XDN85" s="0"/>
      <c r="XDO85" s="0"/>
      <c r="XDP85" s="0"/>
      <c r="XDQ85" s="0"/>
      <c r="XDR85" s="0"/>
      <c r="XDS85" s="0"/>
      <c r="XDT85" s="0"/>
      <c r="XDU85" s="0"/>
      <c r="XDV85" s="0"/>
      <c r="XDW85" s="0"/>
      <c r="XDX85" s="0"/>
      <c r="XDY85" s="0"/>
      <c r="XDZ85" s="0"/>
      <c r="XEA85" s="0"/>
      <c r="XEB85" s="0"/>
      <c r="XEC85" s="0"/>
      <c r="XED85" s="0"/>
      <c r="XEE85" s="0"/>
      <c r="XEF85" s="0"/>
      <c r="XEG85" s="0"/>
      <c r="XEH85" s="0"/>
      <c r="XEI85" s="0"/>
      <c r="XEJ85" s="0"/>
      <c r="XEK85" s="0"/>
      <c r="XEL85" s="0"/>
      <c r="XEM85" s="0"/>
      <c r="XEN85" s="0"/>
      <c r="XEO85" s="0"/>
      <c r="XEP85" s="0"/>
      <c r="XEQ85" s="0"/>
      <c r="XER85" s="0"/>
      <c r="XES85" s="0"/>
      <c r="XET85" s="0"/>
      <c r="XEU85" s="0"/>
      <c r="XEV85" s="0"/>
      <c r="XEW85" s="0"/>
      <c r="XEX85" s="0"/>
      <c r="XEY85" s="0"/>
      <c r="XEZ85" s="0"/>
      <c r="XFC85" s="4"/>
    </row>
    <row r="86" customFormat="false" ht="13.8" hidden="false" customHeight="false" outlineLevel="0" collapsed="false">
      <c r="A86" s="18" t="s">
        <v>517</v>
      </c>
      <c r="B86" s="18" t="s">
        <v>518</v>
      </c>
      <c r="C86" s="1" t="n">
        <v>102</v>
      </c>
      <c r="E86" s="1" t="n">
        <v>1103</v>
      </c>
      <c r="F86" s="1" t="s">
        <v>89</v>
      </c>
      <c r="G86" s="1" t="s">
        <v>445</v>
      </c>
      <c r="H86" s="1" t="s">
        <v>497</v>
      </c>
      <c r="I86" s="1" t="s">
        <v>153</v>
      </c>
      <c r="J86" s="1" t="n">
        <v>1955</v>
      </c>
      <c r="K86" s="1" t="n">
        <v>1981</v>
      </c>
      <c r="L86" s="1" t="n">
        <v>1987</v>
      </c>
      <c r="W86" s="1" t="n">
        <v>33</v>
      </c>
      <c r="Y86" s="1" t="n">
        <v>4</v>
      </c>
      <c r="AA86" s="4" t="str">
        <f aca="false">IF(AND(W86&gt;0,Z86&gt;0),(Z86/((W86+X86)*10)),"")</f>
        <v/>
      </c>
      <c r="AB86" s="1" t="n">
        <v>100</v>
      </c>
      <c r="AC86" s="1" t="n">
        <f aca="false">ROUND(AB86*1.6, 0)</f>
        <v>160</v>
      </c>
      <c r="AF86" s="1" t="n">
        <v>13.8</v>
      </c>
      <c r="AG86" s="1" t="n">
        <v>14</v>
      </c>
      <c r="AH86" s="1" t="n">
        <v>2.82</v>
      </c>
      <c r="AI86" s="1" t="n">
        <v>3.79</v>
      </c>
      <c r="AJ86" s="5" t="n">
        <v>22</v>
      </c>
      <c r="AK86" s="19" t="str">
        <f aca="false">CONCATENATE(VLOOKUP(AL86, 'Voxel Sizes'!$A$2:$B$18,2,FALSE()),"x",INT(AH86*15), "x", INT(AI86*15))</f>
        <v>136x42x56</v>
      </c>
      <c r="AL86" s="1" t="n">
        <f aca="false">ROUND(15*((AG86*10)/256),0)</f>
        <v>8</v>
      </c>
      <c r="AN86" s="1" t="str">
        <f aca="false">CONCATENATE(VLOOKUP(AL86,Constants!$A$2:$C$16,IF(AM86&lt;&gt;"", 3, 2), FALSE()),IF(AM86&lt;&gt;"",CONCATENATE(",",VLOOKUP(AM86,$B:$AN,38,FALSE())),""))</f>
        <v>2,4,2</v>
      </c>
      <c r="AW86" s="1" t="s">
        <v>519</v>
      </c>
      <c r="AX86" s="1" t="n">
        <v>30</v>
      </c>
      <c r="AY86" s="6" t="n">
        <f aca="false">IF(L86&lt;&gt;"",MAX(16,(L86-J86)+8),"")</f>
        <v>40</v>
      </c>
      <c r="AZ86" s="1" t="n">
        <v>1000</v>
      </c>
      <c r="BA86" s="1" t="n">
        <v>110</v>
      </c>
      <c r="BB86" s="1" t="n">
        <f aca="false">MIN(AB86/150, 1)*30</f>
        <v>20</v>
      </c>
      <c r="BC86" s="1" t="n">
        <f aca="false">MIN(N86/4000, 1)*20</f>
        <v>0</v>
      </c>
      <c r="BD86" s="1" t="n">
        <f aca="false">MIN(Z86/400,1)*20</f>
        <v>0</v>
      </c>
      <c r="BE86" s="4" t="n">
        <f aca="false">1-(MAX(J86-1900, 0)/750)</f>
        <v>0.926666666666667</v>
      </c>
      <c r="BF86" s="1" t="n">
        <f aca="false">((MAX($M86,1)*MIN($AJ86/300,1)))*IF(G86="Wagon",50,10)</f>
        <v>3.66666666666667</v>
      </c>
      <c r="BG86" s="1" t="n">
        <f aca="false">VLOOKUP($H86,Constants!$I:$K, 2, FALSE())</f>
        <v>1.2</v>
      </c>
      <c r="BH86" s="1" t="n">
        <f aca="false">VLOOKUP($H86,Constants!$I:$K, 3, FALSE())*IF(AND(G86="multiple_unit",AB86&lt;110),0.75,1)</f>
        <v>0.6</v>
      </c>
      <c r="BI86" s="1" t="n">
        <f aca="false">INT(POWER(((Constants!$G$2+$BB86+$BC86+$BD86+$BF86)*$BE86)*$BH86, 1.05))+$BA86</f>
        <v>128</v>
      </c>
      <c r="BJ86" s="1" t="n">
        <f aca="false">INT(POWER((((Constants!$G$1+$BB86+$BC86+$BD86+$BF86)*($BE86))*$BG86),IF($G86="wagon",1,1.2)))+$AZ86</f>
        <v>1042</v>
      </c>
      <c r="BK86" s="20" t="n">
        <f aca="false">BI86*IF($G86="wagon",62.5,781.25)</f>
        <v>8000</v>
      </c>
      <c r="BL86" s="20" t="n">
        <f aca="false">BJ86*IF($G86="wagon",2.73,81.25)</f>
        <v>2844.66</v>
      </c>
      <c r="BT86" s="1" t="n">
        <v>2</v>
      </c>
      <c r="BU86" s="1" t="n">
        <v>278</v>
      </c>
      <c r="BV86" s="1" t="s">
        <v>227</v>
      </c>
      <c r="BX86" s="1" t="s">
        <v>95</v>
      </c>
      <c r="BY86" s="1" t="str">
        <f aca="false">VLOOKUP(J86,Eras!$A$2:$C$10, 2, TRUE())</f>
        <v>dsl</v>
      </c>
      <c r="BZ86" s="18" t="s">
        <v>493</v>
      </c>
      <c r="CA86" s="1" t="str">
        <f aca="false">CONCATENATE(BY86,"_",BZ86)</f>
        <v>dsl_Carriage</v>
      </c>
      <c r="CB86" s="1" t="str">
        <f aca="false">_xlfn.CONCAT(H86, "_",I86)</f>
        <v>carriage_RAIL</v>
      </c>
      <c r="CC86" s="21" t="str">
        <f aca="false">_xlfn.CONCAT("{BLACK}Length: {GOLD}", TEXT(ROUNDUP(IF(AQ86&lt;&gt;"",SUM(VALUE(_xlfn.TEXTSPLIT(AQ86, ","))), SUM(VALUE(_xlfn.TEXTSPLIT(AN86, ",")))*IF(M86, M86, 1))/16, 1), "#,##0.0"), " tiles{}")</f>
        <v>{BLACK}Length: {GOLD}0.5 tiles{}</v>
      </c>
      <c r="CD86" s="1" t="str">
        <f aca="false">VLOOKUP($CB86, Constants!$M:$N, 2, FALSE())</f>
        <v/>
      </c>
      <c r="CE86" s="1" t="str">
        <f aca="false">IF(M86&gt;1,_xlfn.CONCAT("{BLACK}Cars: {GOLD}", M86),"")</f>
        <v/>
      </c>
      <c r="CF86" s="1" t="s">
        <v>520</v>
      </c>
      <c r="CG86" s="1" t="str">
        <f aca="false">IF(BW86="buffet","{YELLOW}25% long distance bonus for consist{}",IF(BY86="BRAKE","{YELLOW}Speed bonus for slow wagons{}",IF(BU86&gt;190,CONCATENATE("{YELLOW}",INT((BU86-185)/1.85),"% bonus for long distance travel{}"),IF(AND(BU86&lt;180,BU86&lt;&gt;0),CONCATENATE("{YELLOW}",INT((185-BU86)/1.85),"% penalty for long distance travel{}"),""))))</f>
        <v>{YELLOW}50% bonus for long distance travel{}</v>
      </c>
      <c r="CH86" s="1" t="str">
        <f aca="false">_xlfn.CONCAT(CD86,IF(CD86 &lt;&gt; "", " ", ""),CE86,IF(OR(CE86&lt;&gt;"", CD86&lt;&gt;""), "{}",""), CC86, CG86,"{SILVER}", CF86)</f>
        <v>{BLACK}Length: {GOLD}0.5 tiles{}{YELLOW}50% bonus for long distance travel{}{SILVER}The Mk1 Sleeper was built in relatively large numbers. The type was not especially popular with passengers, but the service was still an improvement on sleeping in ordinary compartment stock of the time.</v>
      </c>
      <c r="CI86" s="1"/>
      <c r="CJ86" s="1"/>
    </row>
    <row r="87" customFormat="false" ht="13.8" hidden="false" customHeight="false" outlineLevel="0" collapsed="false">
      <c r="A87" s="1" t="s">
        <v>521</v>
      </c>
      <c r="B87" s="1" t="s">
        <v>522</v>
      </c>
      <c r="C87" s="1" t="n">
        <v>103</v>
      </c>
      <c r="E87" s="1" t="n">
        <v>1104</v>
      </c>
      <c r="F87" s="1" t="s">
        <v>89</v>
      </c>
      <c r="G87" s="1" t="s">
        <v>445</v>
      </c>
      <c r="H87" s="1" t="s">
        <v>497</v>
      </c>
      <c r="I87" s="1" t="s">
        <v>153</v>
      </c>
      <c r="J87" s="1" t="n">
        <v>1975</v>
      </c>
      <c r="W87" s="1" t="n">
        <v>34</v>
      </c>
      <c r="Y87" s="1" t="n">
        <v>3</v>
      </c>
      <c r="AA87" s="4" t="str">
        <f aca="false">IF(AND(W87&gt;0,Z87&gt;0),(Z87/((W87+X87)*10)),"")</f>
        <v/>
      </c>
      <c r="AB87" s="1" t="n">
        <v>125</v>
      </c>
      <c r="AC87" s="1" t="n">
        <f aca="false">ROUND(AB87*1.6, 0)</f>
        <v>200</v>
      </c>
      <c r="AF87" s="1" t="n">
        <v>23</v>
      </c>
      <c r="AG87" s="1" t="n">
        <v>23</v>
      </c>
      <c r="AH87" s="1" t="n">
        <v>2.82</v>
      </c>
      <c r="AI87" s="1" t="n">
        <v>3.79</v>
      </c>
      <c r="AJ87" s="5" t="n">
        <v>24</v>
      </c>
      <c r="AK87" s="19" t="str">
        <f aca="false">CONCATENATE(VLOOKUP(AL87, 'Voxel Sizes'!$A$2:$B$18,2,FALSE()),"x",INT(AH87*15), "x", INT(AI87*15))</f>
        <v>214x42x56</v>
      </c>
      <c r="AL87" s="1" t="n">
        <f aca="false">ROUND(15*((AG87*10)/256),0)</f>
        <v>13</v>
      </c>
      <c r="AN87" s="1" t="str">
        <f aca="false">CONCATENATE(VLOOKUP(AL87,Constants!$A$2:$C$16,IF(AM87&lt;&gt;"", 3, 2), FALSE()),IF(AM87&lt;&gt;"",CONCATENATE(",",VLOOKUP(AM87,$B:$AN,38,FALSE())),""))</f>
        <v>4,5,4</v>
      </c>
      <c r="AW87" s="1" t="s">
        <v>523</v>
      </c>
      <c r="AX87" s="1" t="n">
        <v>30</v>
      </c>
      <c r="AY87" s="6" t="str">
        <f aca="false">IF(L87&lt;&gt;"",MAX(16,(L87-J87)+8),"")</f>
        <v/>
      </c>
      <c r="AZ87" s="1" t="n">
        <v>1150</v>
      </c>
      <c r="BA87" s="1" t="n">
        <v>150</v>
      </c>
      <c r="BB87" s="1" t="n">
        <f aca="false">MIN(AB87/150, 1)*30</f>
        <v>25</v>
      </c>
      <c r="BC87" s="1" t="n">
        <f aca="false">MIN(N87/4000, 1)*20</f>
        <v>0</v>
      </c>
      <c r="BD87" s="1" t="n">
        <f aca="false">MIN(Z87/400,1)*20</f>
        <v>0</v>
      </c>
      <c r="BE87" s="4" t="n">
        <f aca="false">1-(MAX(J87-1900, 0)/750)</f>
        <v>0.9</v>
      </c>
      <c r="BF87" s="1" t="n">
        <f aca="false">((MAX($M87,1)*MIN($AJ87/300,1)))*IF(G87="Wagon",50,10)</f>
        <v>4</v>
      </c>
      <c r="BG87" s="1" t="n">
        <f aca="false">VLOOKUP($H87,Constants!$I:$K, 2, FALSE())</f>
        <v>1.2</v>
      </c>
      <c r="BH87" s="1" t="n">
        <f aca="false">VLOOKUP($H87,Constants!$I:$K, 3, FALSE())*IF(AND(G87="multiple_unit",AB87&lt;110),0.75,1)</f>
        <v>0.6</v>
      </c>
      <c r="BI87" s="1" t="n">
        <f aca="false">INT(POWER(((Constants!$G$2+$BB87+$BC87+$BD87+$BF87)*$BE87)*$BH87, 1.05))+$BA87</f>
        <v>171</v>
      </c>
      <c r="BJ87" s="1" t="n">
        <f aca="false">INT(POWER((((Constants!$G$1+$BB87+$BC87+$BD87+$BF87)*($BE87))*$BG87),IF($G87="wagon",1,1.2)))+$AZ87</f>
        <v>1197</v>
      </c>
      <c r="BK87" s="20" t="n">
        <f aca="false">BI87*IF($G87="wagon",62.5,781.25)</f>
        <v>10687.5</v>
      </c>
      <c r="BL87" s="20" t="n">
        <f aca="false">BJ87*IF($G87="wagon",2.73,81.25)</f>
        <v>3267.81</v>
      </c>
      <c r="BT87" s="1" t="n">
        <v>2</v>
      </c>
      <c r="BU87" s="1" t="n">
        <v>278</v>
      </c>
      <c r="BV87" s="1" t="s">
        <v>227</v>
      </c>
      <c r="BX87" s="1" t="s">
        <v>95</v>
      </c>
      <c r="BY87" s="1" t="str">
        <f aca="false">VLOOKUP(J87,Eras!$A$2:$C$10, 2, TRUE())</f>
        <v>lbr</v>
      </c>
      <c r="BZ87" s="18" t="s">
        <v>493</v>
      </c>
      <c r="CA87" s="1" t="str">
        <f aca="false">CONCATENATE(BY87,"_",BZ87)</f>
        <v>lbr_Carriage</v>
      </c>
      <c r="CB87" s="1" t="str">
        <f aca="false">_xlfn.CONCAT(H87, "_",I87)</f>
        <v>carriage_RAIL</v>
      </c>
      <c r="CC87" s="21" t="str">
        <f aca="false">_xlfn.CONCAT("{BLACK}Length: {GOLD}", TEXT(ROUNDUP(IF(AQ87&lt;&gt;"",SUM(VALUE(_xlfn.TEXTSPLIT(AQ87, ","))), SUM(VALUE(_xlfn.TEXTSPLIT(AN87, ",")))*IF(M87, M87, 1))/16, 1), "#,##0.0"), " tiles{}")</f>
        <v>{BLACK}Length: {GOLD}0.9 tiles{}</v>
      </c>
      <c r="CD87" s="1" t="str">
        <f aca="false">VLOOKUP($CB87, Constants!$M:$N, 2, FALSE())</f>
        <v/>
      </c>
      <c r="CE87" s="1" t="str">
        <f aca="false">IF(M87&gt;1,_xlfn.CONCAT("{BLACK}Cars: {GOLD}", M87),"")</f>
        <v/>
      </c>
      <c r="CF87" s="1" t="s">
        <v>524</v>
      </c>
      <c r="CG87" s="1" t="str">
        <f aca="false">IF(BW87="buffet","{YELLOW}25% long distance bonus for consist{}",IF(BY87="BRAKE","{YELLOW}Speed bonus for slow wagons{}",IF(BU87&gt;190,CONCATENATE("{YELLOW}",INT((BU87-185)/1.85),"% bonus for long distance travel{}"),IF(AND(BU87&lt;180,BU87&lt;&gt;0),CONCATENATE("{YELLOW}",INT((185-BU87)/1.85),"% penalty for long distance travel{}"),""))))</f>
        <v>{YELLOW}50% bonus for long distance travel{}</v>
      </c>
      <c r="CH87" s="1" t="str">
        <f aca="false">_xlfn.CONCAT(CD87,IF(CD87 &lt;&gt; "", " ", ""),CE87,IF(OR(CE87&lt;&gt;"", CD87&lt;&gt;""), "{}",""), CC87, CG87,"{SILVER}", CF87)</f>
        <v>{BLACK}Length: {GOLD}0.9 tiles{}{YELLOW}50% bonus for long distance travel{}{SILVER}The Mk3 Sleeper was a significant upgrade over the previous stock – being air conditioned and air sprung. Two berths per cabin unfortunately give these vehicles a low capacity. This represents a typical Sleeper, Either Class, Pantry (SLEP) vehicle.</v>
      </c>
      <c r="CI87" s="1"/>
      <c r="CJ87" s="1"/>
    </row>
    <row r="88" customFormat="false" ht="13.8" hidden="false" customHeight="false" outlineLevel="0" collapsed="false">
      <c r="A88" s="1" t="s">
        <v>525</v>
      </c>
      <c r="B88" s="1" t="s">
        <v>526</v>
      </c>
      <c r="C88" s="1" t="n">
        <v>120</v>
      </c>
      <c r="D88" s="1" t="n">
        <v>121</v>
      </c>
      <c r="E88" s="1" t="n">
        <v>1108</v>
      </c>
      <c r="F88" s="1" t="s">
        <v>89</v>
      </c>
      <c r="G88" s="1" t="s">
        <v>285</v>
      </c>
      <c r="H88" s="1" t="s">
        <v>492</v>
      </c>
      <c r="I88" s="1" t="s">
        <v>153</v>
      </c>
      <c r="J88" s="1" t="n">
        <v>1997</v>
      </c>
      <c r="M88" s="1" t="n">
        <v>7</v>
      </c>
      <c r="W88" s="1" t="n">
        <v>363.4</v>
      </c>
      <c r="Y88" s="1" t="n">
        <v>3</v>
      </c>
      <c r="AA88" s="4" t="str">
        <f aca="false">IF(AND(W88&gt;0,Z88&gt;0),(Z88/((W88+X88)*10)),"")</f>
        <v/>
      </c>
      <c r="AB88" s="1" t="n">
        <v>125</v>
      </c>
      <c r="AC88" s="1" t="n">
        <f aca="false">ROUND(AB88*1.6, 0)</f>
        <v>200</v>
      </c>
      <c r="AF88" s="1" t="n">
        <v>23</v>
      </c>
      <c r="AG88" s="1" t="n">
        <v>23</v>
      </c>
      <c r="AH88" s="1" t="n">
        <v>2.82</v>
      </c>
      <c r="AI88" s="1" t="n">
        <v>3.79</v>
      </c>
      <c r="AJ88" s="5" t="n">
        <v>25</v>
      </c>
      <c r="AK88" s="19" t="str">
        <f aca="false">CONCATENATE(VLOOKUP(AL88, 'Voxel Sizes'!$A$2:$B$18,2,FALSE()),"x",INT(AH88*15), "x", INT(AI88*15))</f>
        <v>214x42x56</v>
      </c>
      <c r="AL88" s="1" t="n">
        <f aca="false">ROUND(15*((AG88*10)/256),0)</f>
        <v>13</v>
      </c>
      <c r="AN88" s="1" t="str">
        <f aca="false">CONCATENATE(VLOOKUP(AL88,Constants!$A$2:$C$16,IF(AM88&lt;&gt;"", 3, 2), FALSE()),IF(AM88&lt;&gt;"",CONCATENATE(",",VLOOKUP(AM88,$B:$AN,38,FALSE())),""))</f>
        <v>4,5,4</v>
      </c>
      <c r="AR88" s="1" t="s">
        <v>527</v>
      </c>
      <c r="AT88" s="1" t="s">
        <v>528</v>
      </c>
      <c r="AU88" s="1" t="s">
        <v>529</v>
      </c>
      <c r="AX88" s="1" t="n">
        <v>30</v>
      </c>
      <c r="AY88" s="6" t="str">
        <f aca="false">IF(L88&lt;&gt;"",MAX(16,(L88-J88)+8),"")</f>
        <v/>
      </c>
      <c r="AZ88" s="1" t="n">
        <v>170</v>
      </c>
      <c r="BA88" s="1" t="n">
        <v>80</v>
      </c>
      <c r="BB88" s="1" t="n">
        <f aca="false">MIN(AB88/150, 1)*30</f>
        <v>25</v>
      </c>
      <c r="BC88" s="1" t="n">
        <f aca="false">MIN(N88/4000, 1)*20</f>
        <v>0</v>
      </c>
      <c r="BD88" s="1" t="n">
        <f aca="false">MIN(Z88/400,1)*20</f>
        <v>0</v>
      </c>
      <c r="BE88" s="4" t="n">
        <f aca="false">1-(MAX(J88-1900, 0)/750)</f>
        <v>0.870666666666667</v>
      </c>
      <c r="BF88" s="1" t="n">
        <f aca="false">((MAX($M88,1)*MIN($AJ88/300,1)))*IF(G88="Wagon",50,10)</f>
        <v>5.83333333333333</v>
      </c>
      <c r="BG88" s="1" t="n">
        <f aca="false">VLOOKUP($H88,Constants!$I:$K, 2, FALSE())</f>
        <v>1.5</v>
      </c>
      <c r="BH88" s="1" t="n">
        <f aca="false">VLOOKUP($H88,Constants!$I:$K, 3, FALSE())*IF(AND(G88="multiple_unit",AB88&lt;110),0.75,1)</f>
        <v>0.7</v>
      </c>
      <c r="BI88" s="1" t="n">
        <f aca="false">INT(POWER(((Constants!$G$2+$BB88+$BC88+$BD88+$BF88)*$BE88)*$BH88, 1.05))+$BA88</f>
        <v>105</v>
      </c>
      <c r="BJ88" s="1" t="n">
        <f aca="false">INT(POWER((((Constants!$G$1+$BB88+$BC88+$BD88+$BF88)*($BE88))*$BG88),IF($G88="wagon",1,1.2)))+$AZ88</f>
        <v>305</v>
      </c>
      <c r="BK88" s="20" t="n">
        <f aca="false">BI88*IF($G88="wagon",62.5,781.25)</f>
        <v>82031.25</v>
      </c>
      <c r="BL88" s="20" t="n">
        <f aca="false">BJ88*IF($G88="wagon",2.73,81.25)</f>
        <v>24781.25</v>
      </c>
      <c r="BT88" s="1" t="n">
        <v>2</v>
      </c>
      <c r="BU88" s="1" t="n">
        <v>185</v>
      </c>
      <c r="BV88" s="1" t="s">
        <v>227</v>
      </c>
      <c r="BW88" s="1" t="s">
        <v>530</v>
      </c>
      <c r="BX88" s="1" t="s">
        <v>95</v>
      </c>
      <c r="BY88" s="1" t="str">
        <f aca="false">VLOOKUP(J88,Eras!$A$2:$C$10, 2, TRUE())</f>
        <v>prv</v>
      </c>
      <c r="BZ88" s="18" t="s">
        <v>493</v>
      </c>
      <c r="CA88" s="1" t="str">
        <f aca="false">CONCATENATE(BY88,"_",BZ88)</f>
        <v>prv_Carriage</v>
      </c>
      <c r="CB88" s="1" t="str">
        <f aca="false">_xlfn.CONCAT(H88, "_",I88)</f>
        <v>luxury_carriage_RAIL</v>
      </c>
      <c r="CC88" s="21" t="str">
        <f aca="false">_xlfn.CONCAT("{BLACK}Length: {GOLD}", TEXT(ROUNDUP(IF(AQ88&lt;&gt;"",SUM(VALUE(_xlfn.TEXTSPLIT(AQ88, ","))), SUM(VALUE(_xlfn.TEXTSPLIT(AN88, ",")))*IF(M88, M88, 1))/16, 1), "#,##0.0"), " tiles{}")</f>
        <v>{BLACK}Length: {GOLD}5.7 tiles{}</v>
      </c>
      <c r="CD88" s="1" t="str">
        <f aca="false">VLOOKUP($CB88, Constants!$M:$N, 2, FALSE())</f>
        <v/>
      </c>
      <c r="CE88" s="1" t="str">
        <f aca="false">IF(M88&gt;1,_xlfn.CONCAT("{BLACK}Cars: {GOLD}", M88),"")</f>
        <v>{BLACK}Cars: {GOLD}7</v>
      </c>
      <c r="CF88" s="1" t="s">
        <v>531</v>
      </c>
      <c r="CG88" s="18" t="s">
        <v>532</v>
      </c>
      <c r="CH88" s="1" t="str">
        <f aca="false">_xlfn.CONCAT(CD88,IF(CD88 &lt;&gt; "", " ", ""),CE88,IF(OR(CE88&lt;&gt;"", CD88&lt;&gt;""), "{}",""), CC88, CG88,"{SILVER}", CF88)</f>
        <v>{BLACK}Cars: {GOLD}7{}{BLACK}Length: {GOLD}5.7 tiles{}{YELLOW}50% long distance bonus, if combined with generator car or 5000hp+ locomotive{}{SILVER}The European ‘Nightstar’ service never got off the ground and the Mark 4 derived coaches were eventually exported to Canada. The 7-car sets were intended for service to the West Country, Wales and Scotland.</v>
      </c>
      <c r="CI88" s="1"/>
      <c r="CJ88" s="1"/>
    </row>
    <row r="89" customFormat="false" ht="13.8" hidden="false" customHeight="false" outlineLevel="0" collapsed="false">
      <c r="A89" s="1" t="s">
        <v>533</v>
      </c>
      <c r="B89" s="1" t="s">
        <v>534</v>
      </c>
      <c r="C89" s="1" t="n">
        <v>121</v>
      </c>
      <c r="E89" s="1" t="n">
        <v>1109</v>
      </c>
      <c r="F89" s="1" t="s">
        <v>89</v>
      </c>
      <c r="G89" s="1" t="s">
        <v>285</v>
      </c>
      <c r="H89" s="1" t="s">
        <v>492</v>
      </c>
      <c r="I89" s="1" t="s">
        <v>153</v>
      </c>
      <c r="J89" s="1" t="n">
        <v>1997</v>
      </c>
      <c r="M89" s="1" t="n">
        <v>8</v>
      </c>
      <c r="W89" s="1" t="n">
        <v>419.8</v>
      </c>
      <c r="Y89" s="1" t="n">
        <v>3</v>
      </c>
      <c r="AA89" s="4" t="str">
        <f aca="false">IF(AND(W89&gt;0,Z89&gt;0),(Z89/((W89+X89)*10)),"")</f>
        <v/>
      </c>
      <c r="AB89" s="1" t="n">
        <v>125</v>
      </c>
      <c r="AC89" s="1" t="n">
        <f aca="false">ROUND(AB89*1.6, 0)</f>
        <v>200</v>
      </c>
      <c r="AF89" s="1" t="n">
        <v>23</v>
      </c>
      <c r="AG89" s="1" t="n">
        <v>23</v>
      </c>
      <c r="AH89" s="1" t="n">
        <v>2.82</v>
      </c>
      <c r="AI89" s="1" t="n">
        <v>3.79</v>
      </c>
      <c r="AJ89" s="5" t="n">
        <v>25</v>
      </c>
      <c r="AK89" s="19" t="str">
        <f aca="false">CONCATENATE(VLOOKUP(AL89, 'Voxel Sizes'!$A$2:$B$18,2,FALSE()),"x",INT(AH89*15), "x", INT(AI89*15))</f>
        <v>214x42x56</v>
      </c>
      <c r="AL89" s="1" t="n">
        <f aca="false">ROUND(15*((AG89*10)/256),0)</f>
        <v>13</v>
      </c>
      <c r="AN89" s="1" t="str">
        <f aca="false">CONCATENATE(VLOOKUP(AL89,Constants!$A$2:$C$16,IF(AM89&lt;&gt;"", 3, 2), FALSE()),IF(AM89&lt;&gt;"",CONCATENATE(",",VLOOKUP(AM89,$B:$AN,38,FALSE())),""))</f>
        <v>4,5,4</v>
      </c>
      <c r="AR89" s="18" t="s">
        <v>535</v>
      </c>
      <c r="AT89" s="1" t="s">
        <v>536</v>
      </c>
      <c r="AU89" s="1" t="s">
        <v>529</v>
      </c>
      <c r="AX89" s="1" t="n">
        <v>30</v>
      </c>
      <c r="AY89" s="6" t="str">
        <f aca="false">IF(L89&lt;&gt;"",MAX(16,(L89-J89)+8),"")</f>
        <v/>
      </c>
      <c r="AZ89" s="1" t="n">
        <v>180</v>
      </c>
      <c r="BA89" s="1" t="n">
        <v>90</v>
      </c>
      <c r="BB89" s="1" t="n">
        <f aca="false">MIN(AB89/150, 1)*30</f>
        <v>25</v>
      </c>
      <c r="BC89" s="1" t="n">
        <f aca="false">MIN(N89/4000, 1)*20</f>
        <v>0</v>
      </c>
      <c r="BD89" s="1" t="n">
        <f aca="false">MIN(Z89/400,1)*20</f>
        <v>0</v>
      </c>
      <c r="BE89" s="4" t="n">
        <f aca="false">1-(MAX(J89-1900, 0)/750)</f>
        <v>0.870666666666667</v>
      </c>
      <c r="BF89" s="1" t="n">
        <f aca="false">((MAX($M89,1)*MIN($AJ89/300,1)))*IF(G89="Wagon",50,10)</f>
        <v>6.66666666666667</v>
      </c>
      <c r="BG89" s="1" t="n">
        <f aca="false">VLOOKUP($H89,Constants!$I:$K, 2, FALSE())</f>
        <v>1.5</v>
      </c>
      <c r="BH89" s="1" t="n">
        <f aca="false">VLOOKUP($H89,Constants!$I:$K, 3, FALSE())*IF(AND(G89="multiple_unit",AB89&lt;110),0.75,1)</f>
        <v>0.7</v>
      </c>
      <c r="BI89" s="1" t="n">
        <f aca="false">INT(POWER(((Constants!$G$2+$BB89+$BC89+$BD89+$BF89)*$BE89)*$BH89, 1.05))+$BA89</f>
        <v>116</v>
      </c>
      <c r="BJ89" s="1" t="n">
        <f aca="false">INT(POWER((((Constants!$G$1+$BB89+$BC89+$BD89+$BF89)*($BE89))*$BG89),IF($G89="wagon",1,1.2)))+$AZ89</f>
        <v>318</v>
      </c>
      <c r="BK89" s="20" t="n">
        <f aca="false">BI89*IF($G89="wagon",62.5,781.25)</f>
        <v>90625</v>
      </c>
      <c r="BL89" s="20" t="n">
        <f aca="false">BJ89*IF($G89="wagon",2.73,81.25)</f>
        <v>25837.5</v>
      </c>
      <c r="BT89" s="1" t="n">
        <v>2</v>
      </c>
      <c r="BU89" s="1" t="n">
        <v>185</v>
      </c>
      <c r="BV89" s="1" t="s">
        <v>227</v>
      </c>
      <c r="BW89" s="1" t="s">
        <v>530</v>
      </c>
      <c r="BX89" s="1" t="s">
        <v>95</v>
      </c>
      <c r="BY89" s="1" t="str">
        <f aca="false">VLOOKUP(J89,Eras!$A$2:$C$10, 2, TRUE())</f>
        <v>prv</v>
      </c>
      <c r="BZ89" s="18" t="s">
        <v>493</v>
      </c>
      <c r="CA89" s="1" t="str">
        <f aca="false">CONCATENATE(BY89,"_",BZ89)</f>
        <v>prv_Carriage</v>
      </c>
      <c r="CB89" s="1" t="str">
        <f aca="false">_xlfn.CONCAT(H89, "_",I89)</f>
        <v>luxury_carriage_RAIL</v>
      </c>
      <c r="CC89" s="21" t="str">
        <f aca="false">_xlfn.CONCAT("{BLACK}Length: {GOLD}", TEXT(ROUNDUP(IF(AQ89&lt;&gt;"",SUM(VALUE(_xlfn.TEXTSPLIT(AQ89, ","))), SUM(VALUE(_xlfn.TEXTSPLIT(AN89, ",")))*IF(M89, M89, 1))/16, 1), "#,##0.0"), " tiles{}")</f>
        <v>{BLACK}Length: {GOLD}6.5 tiles{}</v>
      </c>
      <c r="CD89" s="1" t="str">
        <f aca="false">VLOOKUP($CB89, Constants!$M:$N, 2, FALSE())</f>
        <v/>
      </c>
      <c r="CE89" s="1" t="str">
        <f aca="false">IF(M89&gt;1,_xlfn.CONCAT("{BLACK}Cars: {GOLD}", M89),"")</f>
        <v>{BLACK}Cars: {GOLD}8</v>
      </c>
      <c r="CF89" s="1" t="s">
        <v>537</v>
      </c>
      <c r="CG89" s="18" t="s">
        <v>532</v>
      </c>
      <c r="CH89" s="1" t="str">
        <f aca="false">_xlfn.CONCAT(CD89,IF(CD89 &lt;&gt; "", " ", ""),CE89,IF(OR(CE89&lt;&gt;"", CD89&lt;&gt;""), "{}",""), CC89, CG89,"{SILVER}", CF89)</f>
        <v>{BLACK}Cars: {GOLD}8{}{BLACK}Length: {GOLD}6.5 tiles{}{YELLOW}50% long distance bonus, if combined with generator car or 5000hp+ locomotive{}{SILVER}The European ‘Nightstar’ service never got off the ground and the Mark 4 derived coaches were eventually exported to Canada. 8-car sets were intended for flagship service between London and major European cities.</v>
      </c>
      <c r="CI89" s="1"/>
      <c r="CJ89" s="1"/>
    </row>
    <row r="90" customFormat="false" ht="13.8" hidden="false" customHeight="false" outlineLevel="0" collapsed="false">
      <c r="A90" s="1" t="s">
        <v>538</v>
      </c>
      <c r="B90" s="1" t="s">
        <v>539</v>
      </c>
      <c r="C90" s="1" t="n">
        <v>122</v>
      </c>
      <c r="D90" s="1" t="n">
        <v>121</v>
      </c>
      <c r="E90" s="1" t="n">
        <v>1110</v>
      </c>
      <c r="F90" s="1" t="s">
        <v>89</v>
      </c>
      <c r="G90" s="1" t="s">
        <v>445</v>
      </c>
      <c r="H90" s="1" t="s">
        <v>540</v>
      </c>
      <c r="I90" s="1" t="s">
        <v>153</v>
      </c>
      <c r="J90" s="1" t="n">
        <v>1997</v>
      </c>
      <c r="W90" s="1" t="n">
        <v>46.1</v>
      </c>
      <c r="Y90" s="1" t="n">
        <v>3</v>
      </c>
      <c r="AA90" s="4" t="str">
        <f aca="false">IF(AND(W90&gt;0,Z90&gt;0),(Z90/((W90+X90)*10)),"")</f>
        <v/>
      </c>
      <c r="AB90" s="1" t="n">
        <v>125</v>
      </c>
      <c r="AC90" s="1" t="n">
        <f aca="false">ROUND(AB90*1.6, 0)</f>
        <v>200</v>
      </c>
      <c r="AF90" s="1" t="n">
        <v>23</v>
      </c>
      <c r="AG90" s="1" t="n">
        <v>23</v>
      </c>
      <c r="AH90" s="1" t="n">
        <v>2.82</v>
      </c>
      <c r="AI90" s="1" t="n">
        <v>3.79</v>
      </c>
      <c r="AJ90" s="5" t="n">
        <v>0</v>
      </c>
      <c r="AK90" s="19" t="str">
        <f aca="false">CONCATENATE(VLOOKUP(AL90, 'Voxel Sizes'!$A$2:$B$18,2,FALSE()),"x",INT(AH90*15), "x", INT(AI90*15))</f>
        <v>214x42x56</v>
      </c>
      <c r="AL90" s="1" t="n">
        <f aca="false">ROUND(15*((AG90*10)/256),0)</f>
        <v>13</v>
      </c>
      <c r="AN90" s="1" t="str">
        <f aca="false">CONCATENATE(VLOOKUP(AL90,Constants!$A$2:$C$16,IF(AM90&lt;&gt;"", 3, 2), FALSE()),IF(AM90&lt;&gt;"",CONCATENATE(",",VLOOKUP(AM90,$B:$AN,38,FALSE())),""))</f>
        <v>4,5,4</v>
      </c>
      <c r="AX90" s="1" t="n">
        <v>30</v>
      </c>
      <c r="AY90" s="6" t="str">
        <f aca="false">IF(L90&lt;&gt;"",MAX(16,(L90-J90)+8),"")</f>
        <v/>
      </c>
      <c r="AZ90" s="1" t="n">
        <v>1250</v>
      </c>
      <c r="BA90" s="1" t="n">
        <v>150</v>
      </c>
      <c r="BB90" s="1" t="n">
        <f aca="false">MIN(AB90/150, 1)*30</f>
        <v>25</v>
      </c>
      <c r="BC90" s="1" t="n">
        <f aca="false">MIN(N90/4000, 1)*20</f>
        <v>0</v>
      </c>
      <c r="BD90" s="1" t="n">
        <f aca="false">MIN(Z90/400,1)*20</f>
        <v>0</v>
      </c>
      <c r="BE90" s="4" t="n">
        <f aca="false">1-(MAX(J90-1900, 0)/750)</f>
        <v>0.870666666666667</v>
      </c>
      <c r="BF90" s="1" t="n">
        <f aca="false">((MAX($M90,1)*MIN($AJ90/300,1)))*IF(G90="Wagon",50,10)</f>
        <v>0</v>
      </c>
      <c r="BG90" s="1" t="n">
        <f aca="false">VLOOKUP($H90,Constants!$I:$K, 2, FALSE())</f>
        <v>1</v>
      </c>
      <c r="BH90" s="1" t="n">
        <f aca="false">VLOOKUP($H90,Constants!$I:$K, 3, FALSE())*IF(AND(G90="multiple_unit",AB90&lt;110),0.75,1)</f>
        <v>2</v>
      </c>
      <c r="BI90" s="1" t="n">
        <f aca="false">INT(POWER(((Constants!$G$2+$BB90+$BC90+$BD90+$BF90)*$BE90)*$BH90, 1.05))+$BA90</f>
        <v>213</v>
      </c>
      <c r="BJ90" s="1" t="n">
        <f aca="false">INT(POWER((((Constants!$G$1+$BB90+$BC90+$BD90+$BF90)*($BE90))*$BG90),IF($G90="wagon",1,1.2)))+$AZ90</f>
        <v>1284</v>
      </c>
      <c r="BK90" s="20" t="n">
        <f aca="false">BI90*IF($G90="wagon",62.5,781.25)</f>
        <v>13312.5</v>
      </c>
      <c r="BL90" s="20" t="n">
        <f aca="false">BJ90*IF($G90="wagon",2.73,81.25)</f>
        <v>3505.32</v>
      </c>
      <c r="BT90" s="1" t="n">
        <v>2</v>
      </c>
      <c r="BU90" s="1" t="n">
        <v>185</v>
      </c>
      <c r="BV90" s="1" t="s">
        <v>227</v>
      </c>
      <c r="BW90" s="1" t="s">
        <v>540</v>
      </c>
      <c r="BX90" s="1" t="s">
        <v>95</v>
      </c>
      <c r="BY90" s="1" t="str">
        <f aca="false">VLOOKUP(J90,Eras!$A$2:$C$10, 2, TRUE())</f>
        <v>prv</v>
      </c>
      <c r="BZ90" s="18" t="s">
        <v>493</v>
      </c>
      <c r="CA90" s="1" t="str">
        <f aca="false">CONCATENATE(BY90,"_",BZ90)</f>
        <v>prv_Carriage</v>
      </c>
      <c r="CB90" s="1" t="str">
        <f aca="false">_xlfn.CONCAT(H90, "_",I90)</f>
        <v>generator_car_RAIL</v>
      </c>
      <c r="CC90" s="21" t="str">
        <f aca="false">_xlfn.CONCAT("{BLACK}Length: {GOLD}", TEXT(ROUNDUP(IF(AQ90&lt;&gt;"",SUM(VALUE(_xlfn.TEXTSPLIT(AQ90, ","))), SUM(VALUE(_xlfn.TEXTSPLIT(AN90, ",")))*IF(M90, M90, 1))/16, 1), "#,##0.0"), " tiles{}")</f>
        <v>{BLACK}Length: {GOLD}0.9 tiles{}</v>
      </c>
      <c r="CD90" s="1" t="str">
        <f aca="false">VLOOKUP($CB90, Constants!$M:$N, 2, FALSE())</f>
        <v>{BLACK}Powered by: {GOLD}Diesel</v>
      </c>
      <c r="CE90" s="1" t="str">
        <f aca="false">IF(M90&gt;1,_xlfn.CONCAT("{BLACK}Cars: {GOLD}", M90),"")</f>
        <v/>
      </c>
      <c r="CF90" s="1" t="s">
        <v>541</v>
      </c>
      <c r="CG90" s="1" t="str">
        <f aca="false">IF(BW90="buffet","{YELLOW}25% long distance bonus for consist{}",IF(BY90="BRAKE","{YELLOW}Speed bonus for slow wagons{}",IF(BU90&gt;190,CONCATENATE("{YELLOW}",INT((BU90-185)/1.85),"% bonus for long distance travel{}"),IF(AND(BU90&lt;180,BU90&lt;&gt;0),CONCATENATE("{YELLOW}",INT((185-BU90)/1.85),"% penalty for long distance travel{}"),""))))</f>
        <v/>
      </c>
      <c r="CH90" s="1" t="str">
        <f aca="false">_xlfn.CONCAT(CD90,IF(CD90 &lt;&gt; "", " ", ""),CE90,IF(OR(CE90&lt;&gt;"", CD90&lt;&gt;""), "{}",""), CC90, CG90,"{SILVER}", CF90)</f>
        <v>{BLACK}Powered by: {GOLD}Diesel {}{BLACK}Length: {GOLD}0.9 tiles{}{SILVER}The Nightstar rolling stock was so power-hungry that a number of Mk3 Sleepers were converted with 450 kVA generator sets for use when away from electrified areas.</v>
      </c>
      <c r="CI90" s="1"/>
      <c r="CJ90" s="1"/>
    </row>
    <row r="91" customFormat="false" ht="13.8" hidden="false" customHeight="false" outlineLevel="0" collapsed="false">
      <c r="A91" s="1" t="s">
        <v>542</v>
      </c>
      <c r="B91" s="1" t="s">
        <v>543</v>
      </c>
      <c r="C91" s="1" t="n">
        <v>123</v>
      </c>
      <c r="D91" s="1" t="n">
        <v>121</v>
      </c>
      <c r="E91" s="1" t="n">
        <v>1111</v>
      </c>
      <c r="F91" s="1" t="s">
        <v>89</v>
      </c>
      <c r="G91" s="1" t="s">
        <v>445</v>
      </c>
      <c r="H91" s="1" t="s">
        <v>540</v>
      </c>
      <c r="I91" s="1" t="s">
        <v>153</v>
      </c>
      <c r="J91" s="1" t="n">
        <v>1997</v>
      </c>
      <c r="W91" s="1" t="n">
        <v>46.1</v>
      </c>
      <c r="Y91" s="1" t="n">
        <v>3</v>
      </c>
      <c r="AA91" s="4" t="str">
        <f aca="false">IF(AND(W91&gt;0,Z91&gt;0),(Z91/((W91+X91)*10)),"")</f>
        <v/>
      </c>
      <c r="AB91" s="1" t="n">
        <v>125</v>
      </c>
      <c r="AC91" s="1" t="n">
        <f aca="false">ROUND(AB91*1.6, 0)</f>
        <v>200</v>
      </c>
      <c r="AF91" s="1" t="n">
        <v>23</v>
      </c>
      <c r="AG91" s="1" t="n">
        <v>23</v>
      </c>
      <c r="AH91" s="1" t="n">
        <v>2.82</v>
      </c>
      <c r="AI91" s="1" t="n">
        <v>3.79</v>
      </c>
      <c r="AJ91" s="5" t="n">
        <v>0</v>
      </c>
      <c r="AK91" s="19" t="str">
        <f aca="false">CONCATENATE(VLOOKUP(AL91, 'Voxel Sizes'!$A$2:$B$18,2,FALSE()),"x",INT(AH91*15), "x", INT(AI91*15))</f>
        <v>214x42x56</v>
      </c>
      <c r="AL91" s="1" t="n">
        <f aca="false">ROUND(15*((AG91*10)/256),0)</f>
        <v>13</v>
      </c>
      <c r="AN91" s="1" t="str">
        <f aca="false">CONCATENATE(VLOOKUP(AL91,Constants!$A$2:$C$16,IF(AM91&lt;&gt;"", 3, 2), FALSE()),IF(AM91&lt;&gt;"",CONCATENATE(",",VLOOKUP(AM91,$B:$AN,38,FALSE())),""))</f>
        <v>4,5,4</v>
      </c>
      <c r="AX91" s="1" t="n">
        <v>30</v>
      </c>
      <c r="AY91" s="6" t="str">
        <f aca="false">IF(L91&lt;&gt;"",MAX(16,(L91-J91)+8),"")</f>
        <v/>
      </c>
      <c r="AZ91" s="1" t="n">
        <v>1250</v>
      </c>
      <c r="BA91" s="1" t="n">
        <v>150</v>
      </c>
      <c r="BB91" s="1" t="n">
        <f aca="false">MIN(AB91/150, 1)*30</f>
        <v>25</v>
      </c>
      <c r="BC91" s="1" t="n">
        <f aca="false">MIN(N91/4000, 1)*20</f>
        <v>0</v>
      </c>
      <c r="BD91" s="1" t="n">
        <f aca="false">MIN(Z91/400,1)*20</f>
        <v>0</v>
      </c>
      <c r="BE91" s="4" t="n">
        <f aca="false">1-(MAX(J91-1900, 0)/750)</f>
        <v>0.870666666666667</v>
      </c>
      <c r="BF91" s="1" t="n">
        <f aca="false">((MAX($M91,1)*MIN($AJ91/300,1)))*IF(G91="Wagon",50,10)</f>
        <v>0</v>
      </c>
      <c r="BG91" s="1" t="n">
        <f aca="false">VLOOKUP($H91,Constants!$I:$K, 2, FALSE())</f>
        <v>1</v>
      </c>
      <c r="BH91" s="1" t="n">
        <f aca="false">VLOOKUP($H91,Constants!$I:$K, 3, FALSE())*IF(AND(G91="multiple_unit",AB91&lt;110),0.75,1)</f>
        <v>2</v>
      </c>
      <c r="BI91" s="1" t="n">
        <f aca="false">INT(POWER(((Constants!$G$2+$BB91+$BC91+$BD91+$BF91)*$BE91)*$BH91, 1.05))+$BA91</f>
        <v>213</v>
      </c>
      <c r="BJ91" s="1" t="n">
        <f aca="false">INT(POWER((((Constants!$G$1+$BB91+$BC91+$BD91+$BF91)*($BE91))*$BG91),IF($G91="wagon",1,1.2)))+$AZ91</f>
        <v>1284</v>
      </c>
      <c r="BK91" s="20" t="n">
        <f aca="false">BI91*IF($G91="wagon",62.5,781.25)</f>
        <v>13312.5</v>
      </c>
      <c r="BL91" s="20" t="n">
        <f aca="false">BJ91*IF($G91="wagon",2.73,81.25)</f>
        <v>3505.32</v>
      </c>
      <c r="BT91" s="1" t="n">
        <v>2</v>
      </c>
      <c r="BU91" s="1" t="n">
        <v>185</v>
      </c>
      <c r="BV91" s="1" t="s">
        <v>227</v>
      </c>
      <c r="BW91" s="1" t="s">
        <v>540</v>
      </c>
      <c r="BX91" s="1" t="s">
        <v>95</v>
      </c>
      <c r="BY91" s="1" t="str">
        <f aca="false">VLOOKUP(J91,Eras!$A$2:$C$10, 2, TRUE())</f>
        <v>prv</v>
      </c>
      <c r="BZ91" s="18" t="s">
        <v>493</v>
      </c>
      <c r="CA91" s="1" t="str">
        <f aca="false">CONCATENATE(BY91,"_",BZ91)</f>
        <v>prv_Carriage</v>
      </c>
      <c r="CB91" s="1" t="str">
        <f aca="false">_xlfn.CONCAT(H91, "_",I91)</f>
        <v>generator_car_RAIL</v>
      </c>
      <c r="CC91" s="21" t="str">
        <f aca="false">_xlfn.CONCAT("{BLACK}Length: {GOLD}", TEXT(ROUNDUP(IF(AQ91&lt;&gt;"",SUM(VALUE(_xlfn.TEXTSPLIT(AQ91, ","))), SUM(VALUE(_xlfn.TEXTSPLIT(AN91, ",")))*IF(M91, M91, 1))/16, 1), "#,##0.0"), " tiles{}")</f>
        <v>{BLACK}Length: {GOLD}0.9 tiles{}</v>
      </c>
      <c r="CD91" s="1" t="str">
        <f aca="false">VLOOKUP($CB91, Constants!$M:$N, 2, FALSE())</f>
        <v>{BLACK}Powered by: {GOLD}Diesel</v>
      </c>
      <c r="CE91" s="1" t="str">
        <f aca="false">IF(M91&gt;1,_xlfn.CONCAT("{BLACK}Cars: {GOLD}", M91),"")</f>
        <v/>
      </c>
      <c r="CF91" s="1" t="s">
        <v>541</v>
      </c>
      <c r="CG91" s="1" t="str">
        <f aca="false">IF(BW91="buffet","{YELLOW}25% long distance bonus for consist{}",IF(BY91="BRAKE","{YELLOW}Speed bonus for slow wagons{}",IF(BU91&gt;190,CONCATENATE("{YELLOW}",INT((BU91-185)/1.85),"% bonus for long distance travel{}"),IF(AND(BU91&lt;180,BU91&lt;&gt;0),CONCATENATE("{YELLOW}",INT((185-BU91)/1.85),"% penalty for long distance travel{}"),""))))</f>
        <v/>
      </c>
      <c r="CH91" s="1" t="str">
        <f aca="false">_xlfn.CONCAT(CD91,IF(CD91 &lt;&gt; "", " ", ""),CE91,IF(OR(CE91&lt;&gt;"", CD91&lt;&gt;""), "{}",""), CC91, CG91,"{SILVER}", CF91)</f>
        <v>{BLACK}Powered by: {GOLD}Diesel {}{BLACK}Length: {GOLD}0.9 tiles{}{SILVER}The Nightstar rolling stock was so power-hungry that a number of Mk3 Sleepers were converted with 450 kVA generator sets for use when away from electrified areas.</v>
      </c>
      <c r="CI91" s="1"/>
      <c r="CJ91" s="1"/>
    </row>
    <row r="92" customFormat="false" ht="13.8" hidden="false" customHeight="false" outlineLevel="0" collapsed="false">
      <c r="A92" s="1" t="s">
        <v>544</v>
      </c>
      <c r="B92" s="1" t="s">
        <v>545</v>
      </c>
      <c r="C92" s="1" t="n">
        <v>105</v>
      </c>
      <c r="E92" s="1" t="n">
        <v>1112</v>
      </c>
      <c r="F92" s="1" t="s">
        <v>89</v>
      </c>
      <c r="G92" s="1" t="s">
        <v>445</v>
      </c>
      <c r="H92" s="1" t="s">
        <v>497</v>
      </c>
      <c r="I92" s="1" t="s">
        <v>153</v>
      </c>
      <c r="J92" s="1" t="n">
        <v>2018</v>
      </c>
      <c r="W92" s="1" t="n">
        <v>43</v>
      </c>
      <c r="Y92" s="1" t="n">
        <v>3</v>
      </c>
      <c r="AA92" s="4" t="str">
        <f aca="false">IF(AND(W92&gt;0,Z92&gt;0),(Z92/((W92+X92)*10)),"")</f>
        <v/>
      </c>
      <c r="AB92" s="1" t="n">
        <v>125</v>
      </c>
      <c r="AC92" s="1" t="n">
        <f aca="false">ROUND(AB92*1.6, 0)</f>
        <v>200</v>
      </c>
      <c r="AF92" s="1" t="n">
        <v>22.2</v>
      </c>
      <c r="AG92" s="1" t="n">
        <v>22</v>
      </c>
      <c r="AH92" s="1" t="n">
        <v>2.75</v>
      </c>
      <c r="AI92" s="1" t="n">
        <v>3.79</v>
      </c>
      <c r="AJ92" s="5" t="n">
        <v>10</v>
      </c>
      <c r="AK92" s="19" t="str">
        <f aca="false">CONCATENATE(VLOOKUP(AL92, 'Voxel Sizes'!$A$2:$B$18,2,FALSE()),"x",INT(AH92*15), "x", INT(AI92*15))</f>
        <v>214x41x56</v>
      </c>
      <c r="AL92" s="1" t="n">
        <f aca="false">ROUND(15*((AG92*10)/256),0)</f>
        <v>13</v>
      </c>
      <c r="AN92" s="1" t="str">
        <f aca="false">CONCATENATE(VLOOKUP(AL92,Constants!$A$2:$C$16,IF(AM92&lt;&gt;"", 3, 2), FALSE()),IF(AM92&lt;&gt;"",CONCATENATE(",",VLOOKUP(AM92,$B:$AN,38,FALSE())),""))</f>
        <v>4,5,4</v>
      </c>
      <c r="AW92" s="1" t="s">
        <v>546</v>
      </c>
      <c r="AX92" s="1" t="n">
        <v>30</v>
      </c>
      <c r="AY92" s="6" t="str">
        <f aca="false">IF(L92&lt;&gt;"",MAX(16,(L92-J92)+8),"")</f>
        <v/>
      </c>
      <c r="AZ92" s="1" t="n">
        <v>1150</v>
      </c>
      <c r="BA92" s="1" t="n">
        <v>150</v>
      </c>
      <c r="BB92" s="1" t="n">
        <f aca="false">MIN(AB92/150, 1)*30</f>
        <v>25</v>
      </c>
      <c r="BC92" s="1" t="n">
        <f aca="false">MIN(N92/4000, 1)*20</f>
        <v>0</v>
      </c>
      <c r="BD92" s="1" t="n">
        <f aca="false">MIN(Z92/400,1)*20</f>
        <v>0</v>
      </c>
      <c r="BE92" s="4" t="n">
        <f aca="false">1-(MAX(J92-1900, 0)/750)</f>
        <v>0.842666666666667</v>
      </c>
      <c r="BF92" s="1" t="n">
        <f aca="false">((MAX($M92,1)*MIN($AJ92/300,1)))*IF(G92="Wagon",50,10)</f>
        <v>1.66666666666667</v>
      </c>
      <c r="BG92" s="1" t="n">
        <f aca="false">VLOOKUP($H92,Constants!$I:$K, 2, FALSE())</f>
        <v>1.2</v>
      </c>
      <c r="BH92" s="1" t="n">
        <f aca="false">VLOOKUP($H92,Constants!$I:$K, 3, FALSE())*IF(AND(G92="multiple_unit",AB92&lt;110),0.75,1)</f>
        <v>0.6</v>
      </c>
      <c r="BI92" s="1" t="n">
        <f aca="false">INT(POWER(((Constants!$G$2+$BB92+$BC92+$BD92+$BF92)*$BE92)*$BH92, 1.05))+$BA92</f>
        <v>168</v>
      </c>
      <c r="BJ92" s="1" t="n">
        <f aca="false">INT(POWER((((Constants!$G$1+$BB92+$BC92+$BD92+$BF92)*($BE92))*$BG92),IF($G92="wagon",1,1.2)))+$AZ92</f>
        <v>1192</v>
      </c>
      <c r="BK92" s="20" t="n">
        <f aca="false">BI92*IF($G92="wagon",62.5,781.25)</f>
        <v>10500</v>
      </c>
      <c r="BL92" s="20" t="n">
        <f aca="false">BJ92*IF($G92="wagon",2.73,81.25)</f>
        <v>3254.16</v>
      </c>
      <c r="BT92" s="1" t="n">
        <v>2</v>
      </c>
      <c r="BU92" s="1" t="n">
        <v>278</v>
      </c>
      <c r="BV92" s="1" t="s">
        <v>227</v>
      </c>
      <c r="BX92" s="1" t="s">
        <v>95</v>
      </c>
      <c r="BY92" s="1" t="str">
        <f aca="false">VLOOKUP(J92,Eras!$A$2:$C$10, 2, TRUE())</f>
        <v>mod</v>
      </c>
      <c r="BZ92" s="18" t="s">
        <v>493</v>
      </c>
      <c r="CA92" s="1" t="str">
        <f aca="false">CONCATENATE(BY92,"_",BZ92)</f>
        <v>mod_Carriage</v>
      </c>
      <c r="CB92" s="1" t="str">
        <f aca="false">_xlfn.CONCAT(H92, "_",I92)</f>
        <v>carriage_RAIL</v>
      </c>
      <c r="CC92" s="21" t="str">
        <f aca="false">_xlfn.CONCAT("{BLACK}Length: {GOLD}", TEXT(ROUNDUP(IF(AQ92&lt;&gt;"",SUM(VALUE(_xlfn.TEXTSPLIT(AQ92, ","))), SUM(VALUE(_xlfn.TEXTSPLIT(AN92, ",")))*IF(M92, M92, 1))/16, 1), "#,##0.0"), " tiles{}")</f>
        <v>{BLACK}Length: {GOLD}0.9 tiles{}</v>
      </c>
      <c r="CD92" s="1" t="str">
        <f aca="false">VLOOKUP($CB92, Constants!$M:$N, 2, FALSE())</f>
        <v/>
      </c>
      <c r="CE92" s="1" t="str">
        <f aca="false">IF(M92&gt;1,_xlfn.CONCAT("{BLACK}Cars: {GOLD}", M92),"")</f>
        <v/>
      </c>
      <c r="CF92" s="1" t="s">
        <v>547</v>
      </c>
      <c r="CG92" s="1" t="str">
        <f aca="false">IF(BW92="buffet","{YELLOW}25% long distance bonus for consist{}",IF(BY92="BRAKE","{YELLOW}Speed bonus for slow wagons{}",IF(BU92&gt;190,CONCATENATE("{YELLOW}",INT((BU92-185)/1.85),"% bonus for long distance travel{}"),IF(AND(BU92&lt;180,BU92&lt;&gt;0),CONCATENATE("{YELLOW}",INT((185-BU92)/1.85),"% penalty for long distance travel{}"),""))))</f>
        <v>{YELLOW}50% bonus for long distance travel{}</v>
      </c>
      <c r="CH92" s="1" t="str">
        <f aca="false">_xlfn.CONCAT(CD92,IF(CD92 &lt;&gt; "", " ", ""),CE92,IF(OR(CE92&lt;&gt;"", CD92&lt;&gt;""), "{}",""), CC92, CG92,"{SILVER}", CF92)</f>
        <v>{BLACK}Length: {GOLD}0.9 tiles{}{YELLOW}50% bonus for long distance travel{}{SILVER}The Mk5 sleeper trains were procured to replace Mk3 sleepers. With the end of double berths, these trains have an even lower capacity than what they replaced!</v>
      </c>
      <c r="CI92" s="1"/>
      <c r="CJ92" s="1"/>
    </row>
    <row r="93" customFormat="false" ht="13.8" hidden="false" customHeight="false" outlineLevel="0" collapsed="false">
      <c r="A93" s="1" t="s">
        <v>548</v>
      </c>
      <c r="B93" s="1" t="s">
        <v>549</v>
      </c>
      <c r="C93" s="1" t="n">
        <v>106</v>
      </c>
      <c r="D93" s="1" t="n">
        <v>105</v>
      </c>
      <c r="E93" s="1" t="n">
        <v>1113</v>
      </c>
      <c r="F93" s="1" t="s">
        <v>89</v>
      </c>
      <c r="G93" s="1" t="s">
        <v>445</v>
      </c>
      <c r="H93" s="1" t="s">
        <v>497</v>
      </c>
      <c r="I93" s="1" t="s">
        <v>153</v>
      </c>
      <c r="J93" s="1" t="n">
        <v>2018</v>
      </c>
      <c r="W93" s="1" t="n">
        <v>43</v>
      </c>
      <c r="Y93" s="1" t="n">
        <v>3</v>
      </c>
      <c r="AA93" s="4" t="str">
        <f aca="false">IF(AND(W93&gt;0,Z93&gt;0),(Z93/((W93+X93)*10)),"")</f>
        <v/>
      </c>
      <c r="AB93" s="1" t="n">
        <v>125</v>
      </c>
      <c r="AC93" s="1" t="n">
        <f aca="false">ROUND(AB93*1.6, 0)</f>
        <v>200</v>
      </c>
      <c r="AF93" s="1" t="n">
        <v>22.2</v>
      </c>
      <c r="AG93" s="1" t="n">
        <v>22</v>
      </c>
      <c r="AH93" s="1" t="n">
        <v>2.75</v>
      </c>
      <c r="AI93" s="1" t="n">
        <v>3.79</v>
      </c>
      <c r="AJ93" s="5" t="n">
        <v>30</v>
      </c>
      <c r="AK93" s="19" t="str">
        <f aca="false">CONCATENATE(VLOOKUP(AL93, 'Voxel Sizes'!$A$2:$B$18,2,FALSE()),"x",INT(AH93*15), "x", INT(AI93*15))</f>
        <v>214x41x56</v>
      </c>
      <c r="AL93" s="1" t="n">
        <f aca="false">ROUND(15*((AG93*10)/256),0)</f>
        <v>13</v>
      </c>
      <c r="AN93" s="1" t="str">
        <f aca="false">CONCATENATE(VLOOKUP(AL93,Constants!$A$2:$C$16,IF(AM93&lt;&gt;"", 3, 2), FALSE()),IF(AM93&lt;&gt;"",CONCATENATE(",",VLOOKUP(AM93,$B:$AN,38,FALSE())),""))</f>
        <v>4,5,4</v>
      </c>
      <c r="AW93" s="1" t="s">
        <v>550</v>
      </c>
      <c r="AX93" s="1" t="n">
        <v>30</v>
      </c>
      <c r="AY93" s="6" t="str">
        <f aca="false">IF(L93&lt;&gt;"",MAX(16,(L93-J93)+8),"")</f>
        <v/>
      </c>
      <c r="AZ93" s="1" t="n">
        <v>1150</v>
      </c>
      <c r="BA93" s="1" t="n">
        <v>150</v>
      </c>
      <c r="BB93" s="1" t="n">
        <f aca="false">MIN(AB93/150, 1)*30</f>
        <v>25</v>
      </c>
      <c r="BC93" s="1" t="n">
        <f aca="false">MIN(N93/4000, 1)*20</f>
        <v>0</v>
      </c>
      <c r="BD93" s="1" t="n">
        <f aca="false">MIN(Z93/400,1)*20</f>
        <v>0</v>
      </c>
      <c r="BE93" s="4" t="n">
        <f aca="false">1-(MAX(J93-1900, 0)/750)</f>
        <v>0.842666666666667</v>
      </c>
      <c r="BF93" s="1" t="n">
        <f aca="false">((MAX($M93,1)*MIN($AJ93/300,1)))*IF(G93="Wagon",50,10)</f>
        <v>5</v>
      </c>
      <c r="BG93" s="1" t="n">
        <f aca="false">VLOOKUP($H93,Constants!$I:$K, 2, FALSE())</f>
        <v>1.2</v>
      </c>
      <c r="BH93" s="1" t="n">
        <f aca="false">VLOOKUP($H93,Constants!$I:$K, 3, FALSE())*IF(AND(G93="multiple_unit",AB93&lt;110),0.75,1)</f>
        <v>0.6</v>
      </c>
      <c r="BI93" s="1" t="n">
        <f aca="false">INT(POWER(((Constants!$G$2+$BB93+$BC93+$BD93+$BF93)*$BE93)*$BH93, 1.05))+$BA93</f>
        <v>170</v>
      </c>
      <c r="BJ93" s="1" t="n">
        <f aca="false">INT(POWER((((Constants!$G$1+$BB93+$BC93+$BD93+$BF93)*($BE93))*$BG93),IF($G93="wagon",1,1.2)))+$AZ93</f>
        <v>1195</v>
      </c>
      <c r="BK93" s="20" t="n">
        <f aca="false">BI93*IF($G93="wagon",62.5,781.25)</f>
        <v>10625</v>
      </c>
      <c r="BL93" s="20" t="n">
        <f aca="false">BJ93*IF($G93="wagon",2.73,81.25)</f>
        <v>3262.35</v>
      </c>
      <c r="BT93" s="1" t="n">
        <v>2</v>
      </c>
      <c r="BU93" s="1" t="n">
        <v>222</v>
      </c>
      <c r="BV93" s="1" t="s">
        <v>227</v>
      </c>
      <c r="BX93" s="1" t="s">
        <v>95</v>
      </c>
      <c r="BY93" s="1" t="str">
        <f aca="false">VLOOKUP(J93,Eras!$A$2:$C$10, 2, TRUE())</f>
        <v>mod</v>
      </c>
      <c r="BZ93" s="18" t="s">
        <v>493</v>
      </c>
      <c r="CA93" s="1" t="str">
        <f aca="false">CONCATENATE(BY93,"_",BZ93)</f>
        <v>mod_Carriage</v>
      </c>
      <c r="CB93" s="1" t="str">
        <f aca="false">_xlfn.CONCAT(H93, "_",I93)</f>
        <v>carriage_RAIL</v>
      </c>
      <c r="CC93" s="21" t="str">
        <f aca="false">_xlfn.CONCAT("{BLACK}Length: {GOLD}", TEXT(ROUNDUP(IF(AQ93&lt;&gt;"",SUM(VALUE(_xlfn.TEXTSPLIT(AQ93, ","))), SUM(VALUE(_xlfn.TEXTSPLIT(AN93, ",")))*IF(M93, M93, 1))/16, 1), "#,##0.0"), " tiles{}")</f>
        <v>{BLACK}Length: {GOLD}0.9 tiles{}</v>
      </c>
      <c r="CD93" s="1" t="str">
        <f aca="false">VLOOKUP($CB93, Constants!$M:$N, 2, FALSE())</f>
        <v/>
      </c>
      <c r="CE93" s="1" t="str">
        <f aca="false">IF(M93&gt;1,_xlfn.CONCAT("{BLACK}Cars: {GOLD}", M93),"")</f>
        <v/>
      </c>
      <c r="CF93" s="1" t="s">
        <v>551</v>
      </c>
      <c r="CG93" s="1" t="str">
        <f aca="false">IF(BW93="buffet","{YELLOW}25% long distance bonus for consist{}",IF(BY93="BRAKE","{YELLOW}Speed bonus for slow wagons{}",IF(BU93&gt;190,CONCATENATE("{YELLOW}",INT((BU93-185)/1.85),"% bonus for long distance travel{}"),IF(AND(BU93&lt;180,BU93&lt;&gt;0),CONCATENATE("{YELLOW}",INT((185-BU93)/1.85),"% penalty for long distance travel{}"),""))))</f>
        <v>{YELLOW}20% bonus for long distance travel{}</v>
      </c>
      <c r="CH93" s="1" t="str">
        <f aca="false">_xlfn.CONCAT(CD93,IF(CD93 &lt;&gt; "", " ", ""),CE93,IF(OR(CE93&lt;&gt;"", CD93&lt;&gt;""), "{}",""), CC93, CG93,"{SILVER}", CF93)</f>
        <v>{BLACK}Length: {GOLD}0.9 tiles{}{YELLOW}20% bonus for long distance travel{}{SILVER}Mk5 sleeper services make up for their pathetic berth count with conventional seated stock, featuring a 2+1 airline style seating and not enough recline in the seats.</v>
      </c>
      <c r="CI93" s="1"/>
      <c r="CJ93" s="1"/>
    </row>
    <row r="94" customFormat="false" ht="13.8" hidden="false" customHeight="false" outlineLevel="0" collapsed="false">
      <c r="A94" s="1" t="s">
        <v>552</v>
      </c>
      <c r="B94" s="1" t="s">
        <v>553</v>
      </c>
      <c r="C94" s="1" t="n">
        <v>107</v>
      </c>
      <c r="D94" s="1" t="n">
        <v>105</v>
      </c>
      <c r="E94" s="1" t="n">
        <v>1114</v>
      </c>
      <c r="F94" s="1" t="s">
        <v>89</v>
      </c>
      <c r="G94" s="1" t="s">
        <v>445</v>
      </c>
      <c r="H94" s="1" t="s">
        <v>497</v>
      </c>
      <c r="I94" s="1" t="s">
        <v>153</v>
      </c>
      <c r="J94" s="1" t="n">
        <v>2018</v>
      </c>
      <c r="W94" s="1" t="n">
        <v>43</v>
      </c>
      <c r="Y94" s="1" t="n">
        <v>3</v>
      </c>
      <c r="AA94" s="4" t="str">
        <f aca="false">IF(AND(W94&gt;0,Z94&gt;0),(Z94/((W94+X94)*10)),"")</f>
        <v/>
      </c>
      <c r="AB94" s="1" t="n">
        <v>125</v>
      </c>
      <c r="AC94" s="1" t="n">
        <f aca="false">ROUND(AB94*1.6, 0)</f>
        <v>200</v>
      </c>
      <c r="AF94" s="1" t="n">
        <v>22.2</v>
      </c>
      <c r="AG94" s="1" t="n">
        <v>22</v>
      </c>
      <c r="AH94" s="1" t="n">
        <v>2.75</v>
      </c>
      <c r="AI94" s="1" t="n">
        <v>3.79</v>
      </c>
      <c r="AJ94" s="5" t="n">
        <v>0</v>
      </c>
      <c r="AK94" s="19" t="str">
        <f aca="false">CONCATENATE(VLOOKUP(AL94, 'Voxel Sizes'!$A$2:$B$18,2,FALSE()),"x",INT(AH94*15), "x", INT(AI94*15))</f>
        <v>214x41x56</v>
      </c>
      <c r="AL94" s="1" t="n">
        <f aca="false">ROUND(15*((AG94*10)/256),0)</f>
        <v>13</v>
      </c>
      <c r="AN94" s="1" t="str">
        <f aca="false">CONCATENATE(VLOOKUP(AL94,Constants!$A$2:$C$16,IF(AM94&lt;&gt;"", 3, 2), FALSE()),IF(AM94&lt;&gt;"",CONCATENATE(",",VLOOKUP(AM94,$B:$AN,38,FALSE())),""))</f>
        <v>4,5,4</v>
      </c>
      <c r="AW94" s="1" t="s">
        <v>554</v>
      </c>
      <c r="AX94" s="1" t="n">
        <v>30</v>
      </c>
      <c r="AY94" s="6" t="str">
        <f aca="false">IF(L94&lt;&gt;"",MAX(16,(L94-J94)+8),"")</f>
        <v/>
      </c>
      <c r="AZ94" s="1" t="n">
        <v>1150</v>
      </c>
      <c r="BA94" s="1" t="n">
        <v>150</v>
      </c>
      <c r="BB94" s="1" t="n">
        <f aca="false">MIN(AB94/150, 1)*30</f>
        <v>25</v>
      </c>
      <c r="BC94" s="1" t="n">
        <f aca="false">MIN(N94/4000, 1)*20</f>
        <v>0</v>
      </c>
      <c r="BD94" s="1" t="n">
        <f aca="false">MIN(Z94/400,1)*20</f>
        <v>0</v>
      </c>
      <c r="BE94" s="4" t="n">
        <f aca="false">1-(MAX(J94-1900, 0)/750)</f>
        <v>0.842666666666667</v>
      </c>
      <c r="BF94" s="1" t="n">
        <f aca="false">((MAX($M94,1)*MIN($AJ94/300,1)))*IF(G94="Wagon",50,10)</f>
        <v>0</v>
      </c>
      <c r="BG94" s="1" t="n">
        <f aca="false">VLOOKUP($H94,Constants!$I:$K, 2, FALSE())</f>
        <v>1.2</v>
      </c>
      <c r="BH94" s="1" t="n">
        <f aca="false">VLOOKUP($H94,Constants!$I:$K, 3, FALSE())*IF(AND(G94="multiple_unit",AB94&lt;110),0.75,1)</f>
        <v>0.6</v>
      </c>
      <c r="BI94" s="1" t="n">
        <f aca="false">INT(POWER(((Constants!$G$2+$BB94+$BC94+$BD94+$BF94)*$BE94)*$BH94, 1.05))+$BA94</f>
        <v>167</v>
      </c>
      <c r="BJ94" s="1" t="n">
        <f aca="false">INT(POWER((((Constants!$G$1+$BB94+$BC94+$BD94+$BF94)*($BE94))*$BG94),IF($G94="wagon",1,1.2)))+$AZ94</f>
        <v>1190</v>
      </c>
      <c r="BK94" s="20" t="n">
        <f aca="false">BI94*IF($G94="wagon",62.5,781.25)</f>
        <v>10437.5</v>
      </c>
      <c r="BL94" s="20" t="n">
        <f aca="false">BJ94*IF($G94="wagon",2.73,81.25)</f>
        <v>3248.7</v>
      </c>
      <c r="BT94" s="1" t="n">
        <v>2</v>
      </c>
      <c r="BU94" s="1" t="n">
        <v>278</v>
      </c>
      <c r="BV94" s="1" t="s">
        <v>227</v>
      </c>
      <c r="BW94" s="18" t="s">
        <v>235</v>
      </c>
      <c r="BX94" s="1" t="s">
        <v>95</v>
      </c>
      <c r="BY94" s="1" t="str">
        <f aca="false">VLOOKUP(J94,Eras!$A$2:$C$10, 2, TRUE())</f>
        <v>mod</v>
      </c>
      <c r="BZ94" s="18" t="s">
        <v>493</v>
      </c>
      <c r="CA94" s="1" t="str">
        <f aca="false">CONCATENATE(BY94,"_",BZ94)</f>
        <v>mod_Carriage</v>
      </c>
      <c r="CB94" s="1" t="str">
        <f aca="false">_xlfn.CONCAT(H94, "_",I94)</f>
        <v>carriage_RAIL</v>
      </c>
      <c r="CC94" s="21" t="str">
        <f aca="false">_xlfn.CONCAT("{BLACK}Length: {GOLD}", TEXT(ROUNDUP(IF(AQ94&lt;&gt;"",SUM(VALUE(_xlfn.TEXTSPLIT(AQ94, ","))), SUM(VALUE(_xlfn.TEXTSPLIT(AN94, ",")))*IF(M94, M94, 1))/16, 1), "#,##0.0"), " tiles{}")</f>
        <v>{BLACK}Length: {GOLD}0.9 tiles{}</v>
      </c>
      <c r="CD94" s="1" t="str">
        <f aca="false">VLOOKUP($CB94, Constants!$M:$N, 2, FALSE())</f>
        <v/>
      </c>
      <c r="CE94" s="1" t="str">
        <f aca="false">IF(M94&gt;1,_xlfn.CONCAT("{BLACK}Cars: {GOLD}", M94),"")</f>
        <v/>
      </c>
      <c r="CF94" s="1" t="s">
        <v>555</v>
      </c>
      <c r="CG94" s="1" t="str">
        <f aca="false">IF(BW94="buffet","{YELLOW}25% long distance bonus for consist{}",IF(BY94="BRAKE","{YELLOW}Speed bonus for slow wagons{}",IF(BU94&gt;190,CONCATENATE("{YELLOW}",INT((BU94-185)/1.85),"% bonus for long distance travel{}"),IF(AND(BU94&lt;180,BU94&lt;&gt;0),CONCATENATE("{YELLOW}",INT((185-BU94)/1.85),"% penalty for long distance travel{}"),""))))</f>
        <v>{YELLOW}25% long distance bonus for consist{}</v>
      </c>
      <c r="CH94" s="1" t="str">
        <f aca="false">_xlfn.CONCAT(CD94,IF(CD94 &lt;&gt; "", " ", ""),CE94,IF(OR(CE94&lt;&gt;"", CD94&lt;&gt;""), "{}",""), CC94, CG94,"{SILVER}", CF94)</f>
        <v>{BLACK}Length: {GOLD}0.9 tiles{}{YELLOW}25% long distance bonus for consist{}{SILVER}The Mk5 ‘Club Car’ is the dining facility for sleeper services, but the 30 seats within are not bookable for travel.</v>
      </c>
      <c r="CI94" s="1"/>
      <c r="CJ94" s="1"/>
    </row>
    <row r="95" s="1" customFormat="true" ht="13.8" hidden="false" customHeight="false" outlineLevel="0" collapsed="false"/>
    <row r="96" s="1" customFormat="true" ht="13.8" hidden="false" customHeight="false" outlineLevel="0" collapsed="false"/>
    <row r="97" s="1" customFormat="true" ht="13.8" hidden="false" customHeight="false" outlineLevel="0" collapsed="false">
      <c r="O97" s="37"/>
      <c r="P97" s="37"/>
      <c r="Q97" s="37"/>
      <c r="R97" s="37"/>
      <c r="S97" s="37"/>
      <c r="T97" s="38"/>
      <c r="U97" s="37"/>
      <c r="V97" s="37"/>
      <c r="X97" s="37"/>
      <c r="AA97" s="4"/>
      <c r="AJ97" s="37"/>
      <c r="AP97" s="37"/>
      <c r="AQ97" s="37"/>
      <c r="BE97" s="4"/>
      <c r="BK97" s="20"/>
      <c r="BL97" s="20"/>
    </row>
    <row r="98" s="1" customFormat="true" ht="13.8" hidden="false" customHeight="false" outlineLevel="0" collapsed="false"/>
    <row r="99" s="1" customFormat="true" ht="13.8" hidden="false" customHeight="false" outlineLevel="0" collapsed="false"/>
    <row r="100" s="1" customFormat="true" ht="13.8" hidden="false" customHeight="false" outlineLevel="0" collapsed="false">
      <c r="O100" s="37"/>
      <c r="P100" s="37"/>
      <c r="Q100" s="37"/>
      <c r="R100" s="37"/>
      <c r="S100" s="37"/>
      <c r="T100" s="38"/>
      <c r="U100" s="37"/>
      <c r="V100" s="37"/>
      <c r="X100" s="37"/>
      <c r="AA100" s="4"/>
      <c r="AJ100" s="37"/>
      <c r="AP100" s="37"/>
      <c r="AQ100" s="37"/>
      <c r="BE100" s="4"/>
      <c r="BK100" s="20"/>
      <c r="BL100" s="20"/>
    </row>
    <row r="101" s="1" customFormat="true" ht="13.8" hidden="false" customHeight="false" outlineLevel="0" collapsed="false">
      <c r="O101" s="37"/>
      <c r="P101" s="37"/>
      <c r="Q101" s="37"/>
      <c r="R101" s="37"/>
      <c r="S101" s="37"/>
      <c r="T101" s="38"/>
      <c r="U101" s="37"/>
      <c r="V101" s="37"/>
      <c r="X101" s="37"/>
      <c r="AA101" s="4"/>
      <c r="AJ101" s="37"/>
      <c r="AP101" s="37"/>
      <c r="AQ101" s="37"/>
      <c r="BE101" s="4"/>
      <c r="BK101" s="20"/>
      <c r="BL101" s="20"/>
    </row>
    <row r="102" s="1" customFormat="true" ht="13.8" hidden="false" customHeight="false" outlineLevel="0" collapsed="false">
      <c r="O102" s="37"/>
      <c r="P102" s="37"/>
      <c r="Q102" s="37"/>
      <c r="R102" s="37"/>
      <c r="S102" s="37"/>
      <c r="T102" s="38"/>
      <c r="U102" s="37"/>
      <c r="V102" s="37"/>
      <c r="X102" s="37"/>
      <c r="AA102" s="4"/>
      <c r="AJ102" s="37"/>
      <c r="AP102" s="37"/>
      <c r="AQ102" s="37"/>
      <c r="BE102" s="4"/>
      <c r="BK102" s="20"/>
      <c r="BL102" s="20"/>
    </row>
    <row r="103" s="1" customFormat="true" ht="13.8" hidden="false" customHeight="false" outlineLevel="0" collapsed="false">
      <c r="O103" s="37"/>
      <c r="P103" s="37"/>
      <c r="Q103" s="37"/>
      <c r="R103" s="37"/>
      <c r="S103" s="37"/>
      <c r="T103" s="38"/>
      <c r="U103" s="37"/>
      <c r="V103" s="37"/>
      <c r="X103" s="37"/>
      <c r="AA103" s="4"/>
      <c r="AJ103" s="37"/>
      <c r="AP103" s="37"/>
      <c r="AQ103" s="37"/>
      <c r="BE103" s="4"/>
      <c r="BK103" s="20"/>
      <c r="BL103" s="20"/>
    </row>
    <row r="104" s="1" customFormat="true" ht="13.8" hidden="false" customHeight="false" outlineLevel="0" collapsed="false">
      <c r="O104" s="37"/>
      <c r="P104" s="37"/>
      <c r="Q104" s="37"/>
      <c r="R104" s="37"/>
      <c r="S104" s="37"/>
      <c r="T104" s="38"/>
      <c r="U104" s="37"/>
      <c r="V104" s="37"/>
      <c r="X104" s="37"/>
      <c r="AA104" s="4"/>
      <c r="AJ104" s="37"/>
      <c r="AP104" s="37"/>
      <c r="AQ104" s="37"/>
      <c r="BE104" s="4"/>
      <c r="BK104" s="20"/>
      <c r="BL104" s="20"/>
    </row>
    <row r="105" s="1" customFormat="true" ht="13.8" hidden="false" customHeight="false" outlineLevel="0" collapsed="false">
      <c r="O105" s="37"/>
      <c r="P105" s="37"/>
      <c r="Q105" s="37"/>
      <c r="R105" s="37"/>
      <c r="S105" s="37"/>
      <c r="T105" s="38"/>
      <c r="U105" s="37"/>
      <c r="V105" s="37"/>
      <c r="X105" s="37"/>
      <c r="AA105" s="4"/>
      <c r="AJ105" s="37"/>
      <c r="AP105" s="37"/>
      <c r="AQ105" s="37"/>
      <c r="BE105" s="4"/>
      <c r="BK105" s="20"/>
      <c r="BL105" s="20"/>
    </row>
    <row r="106" s="1" customFormat="true" ht="13.8" hidden="false" customHeight="false" outlineLevel="0" collapsed="false">
      <c r="O106" s="37"/>
      <c r="P106" s="37"/>
      <c r="Q106" s="37"/>
      <c r="R106" s="37"/>
      <c r="S106" s="37"/>
      <c r="T106" s="38"/>
      <c r="U106" s="37"/>
      <c r="V106" s="37"/>
      <c r="X106" s="37"/>
      <c r="AA106" s="4"/>
      <c r="AJ106" s="37"/>
      <c r="AP106" s="37"/>
      <c r="AQ106" s="37"/>
      <c r="BE106" s="4"/>
      <c r="BK106" s="20"/>
      <c r="BL106" s="20"/>
    </row>
    <row r="107" s="1" customFormat="true" ht="13.8" hidden="false" customHeight="false" outlineLevel="0" collapsed="false">
      <c r="O107" s="37"/>
      <c r="P107" s="37"/>
      <c r="Q107" s="37"/>
      <c r="R107" s="37"/>
      <c r="S107" s="37"/>
      <c r="T107" s="38"/>
      <c r="U107" s="37"/>
      <c r="V107" s="37"/>
      <c r="X107" s="37"/>
      <c r="AA107" s="4"/>
      <c r="AJ107" s="37"/>
      <c r="AP107" s="37"/>
      <c r="AQ107" s="37"/>
      <c r="BE107" s="4"/>
      <c r="BK107" s="20"/>
      <c r="BL107" s="20"/>
    </row>
    <row r="108" s="1" customFormat="true" ht="13.8" hidden="false" customHeight="false" outlineLevel="0" collapsed="false">
      <c r="O108" s="37"/>
      <c r="P108" s="37"/>
      <c r="Q108" s="37"/>
      <c r="R108" s="37"/>
      <c r="S108" s="37"/>
      <c r="T108" s="37"/>
      <c r="U108" s="37"/>
      <c r="V108" s="37"/>
      <c r="X108" s="37"/>
      <c r="AA108" s="4"/>
      <c r="AJ108" s="37"/>
      <c r="AP108" s="37"/>
      <c r="AQ108" s="37"/>
      <c r="BE108" s="4"/>
      <c r="BK108" s="20"/>
      <c r="BL108" s="20"/>
    </row>
    <row r="109" s="1" customFormat="true" ht="13.8" hidden="false" customHeight="false" outlineLevel="0" collapsed="false">
      <c r="O109" s="37"/>
      <c r="P109" s="37"/>
      <c r="Q109" s="37"/>
      <c r="R109" s="37"/>
      <c r="S109" s="37"/>
      <c r="T109" s="38"/>
      <c r="U109" s="37"/>
      <c r="V109" s="37"/>
      <c r="X109" s="37"/>
      <c r="AA109" s="4"/>
      <c r="AJ109" s="37"/>
      <c r="AP109" s="37"/>
      <c r="AQ109" s="37"/>
      <c r="BE109" s="4"/>
      <c r="BK109" s="20"/>
      <c r="BL109" s="20"/>
    </row>
    <row r="110" s="1" customFormat="true" ht="13.8" hidden="false" customHeight="false" outlineLevel="0" collapsed="false">
      <c r="O110" s="37"/>
      <c r="P110" s="37"/>
      <c r="Q110" s="37"/>
      <c r="R110" s="37"/>
      <c r="S110" s="37"/>
      <c r="T110" s="37"/>
      <c r="U110" s="37"/>
      <c r="V110" s="37"/>
      <c r="X110" s="37"/>
      <c r="AA110" s="4"/>
      <c r="AJ110" s="37"/>
      <c r="AP110" s="37"/>
      <c r="AQ110" s="37"/>
      <c r="BE110" s="4"/>
      <c r="BK110" s="20"/>
      <c r="BL110" s="20"/>
    </row>
    <row r="111" s="1" customFormat="true" ht="13.8" hidden="false" customHeight="false" outlineLevel="0" collapsed="false">
      <c r="O111" s="37"/>
      <c r="P111" s="37"/>
      <c r="Q111" s="37"/>
      <c r="R111" s="37"/>
      <c r="S111" s="37"/>
      <c r="T111" s="37"/>
      <c r="U111" s="37"/>
      <c r="V111" s="37"/>
      <c r="X111" s="37"/>
      <c r="AA111" s="4"/>
      <c r="AJ111" s="37"/>
      <c r="AP111" s="37"/>
      <c r="AQ111" s="37"/>
      <c r="BE111" s="4"/>
      <c r="BK111" s="20"/>
      <c r="BL111" s="20"/>
    </row>
    <row r="112" s="1" customFormat="true" ht="13.8" hidden="false" customHeight="false" outlineLevel="0" collapsed="false">
      <c r="O112" s="37"/>
      <c r="P112" s="37"/>
      <c r="Q112" s="37"/>
      <c r="R112" s="37"/>
      <c r="S112" s="37"/>
      <c r="T112" s="37"/>
      <c r="U112" s="37"/>
      <c r="V112" s="37"/>
      <c r="X112" s="37"/>
      <c r="AA112" s="4"/>
      <c r="AJ112" s="37"/>
      <c r="AP112" s="37"/>
      <c r="AQ112" s="37"/>
      <c r="BE112" s="4"/>
      <c r="BK112" s="20"/>
      <c r="BL112" s="20"/>
    </row>
    <row r="113" s="1" customFormat="true" ht="13.8" hidden="false" customHeight="false" outlineLevel="0" collapsed="false">
      <c r="O113" s="37"/>
      <c r="P113" s="37"/>
      <c r="Q113" s="37"/>
      <c r="R113" s="37"/>
      <c r="S113" s="37"/>
      <c r="T113" s="37"/>
      <c r="U113" s="37"/>
      <c r="V113" s="37"/>
      <c r="X113" s="37"/>
      <c r="AA113" s="4"/>
      <c r="AJ113" s="37"/>
      <c r="AP113" s="37"/>
      <c r="AQ113" s="37"/>
      <c r="BE113" s="4"/>
      <c r="BK113" s="20"/>
      <c r="BL113" s="20"/>
    </row>
    <row r="114" s="1" customFormat="true" ht="13.8" hidden="false" customHeight="false" outlineLevel="0" collapsed="false">
      <c r="O114" s="37"/>
      <c r="P114" s="37"/>
      <c r="Q114" s="37"/>
      <c r="R114" s="37"/>
      <c r="S114" s="37"/>
      <c r="T114" s="37"/>
      <c r="U114" s="37"/>
      <c r="V114" s="37"/>
      <c r="X114" s="37"/>
      <c r="AA114" s="4"/>
      <c r="AJ114" s="37"/>
      <c r="AP114" s="37"/>
      <c r="AQ114" s="37"/>
      <c r="BE114" s="4"/>
      <c r="BK114" s="20"/>
      <c r="BL114" s="20"/>
    </row>
    <row r="115" s="1" customFormat="true" ht="13.8" hidden="false" customHeight="false" outlineLevel="0" collapsed="false">
      <c r="O115" s="37"/>
      <c r="P115" s="37"/>
      <c r="Q115" s="37"/>
      <c r="R115" s="37"/>
      <c r="S115" s="37"/>
      <c r="T115" s="37"/>
      <c r="U115" s="37"/>
      <c r="V115" s="37"/>
      <c r="X115" s="37"/>
      <c r="AA115" s="4"/>
      <c r="AJ115" s="37"/>
      <c r="AP115" s="37"/>
      <c r="AQ115" s="37"/>
      <c r="BE115" s="4"/>
      <c r="BK115" s="20"/>
      <c r="BL115" s="20"/>
    </row>
    <row r="116" s="1" customFormat="true" ht="13.8" hidden="false" customHeight="false" outlineLevel="0" collapsed="false">
      <c r="O116" s="37"/>
      <c r="P116" s="37"/>
      <c r="Q116" s="37"/>
      <c r="R116" s="37"/>
      <c r="S116" s="37"/>
      <c r="T116" s="37"/>
      <c r="U116" s="37"/>
      <c r="V116" s="37"/>
      <c r="X116" s="37"/>
      <c r="AA116" s="4"/>
      <c r="AJ116" s="37"/>
      <c r="AP116" s="37"/>
      <c r="AQ116" s="37"/>
      <c r="BE116" s="4"/>
      <c r="BK116" s="20"/>
      <c r="BL116" s="20"/>
    </row>
    <row r="117" s="1" customFormat="true" ht="13.8" hidden="false" customHeight="false" outlineLevel="0" collapsed="false">
      <c r="O117" s="37"/>
      <c r="P117" s="37"/>
      <c r="Q117" s="37"/>
      <c r="R117" s="37"/>
      <c r="S117" s="37"/>
      <c r="T117" s="37"/>
      <c r="U117" s="37"/>
      <c r="V117" s="37"/>
      <c r="X117" s="37"/>
      <c r="AA117" s="4"/>
      <c r="AJ117" s="37"/>
      <c r="AP117" s="37"/>
      <c r="AQ117" s="37"/>
      <c r="BE117" s="4"/>
      <c r="BK117" s="20"/>
      <c r="BL117" s="20"/>
    </row>
    <row r="118" s="1" customFormat="true" ht="13.8" hidden="false" customHeight="false" outlineLevel="0" collapsed="false">
      <c r="O118" s="37"/>
      <c r="P118" s="37"/>
      <c r="Q118" s="37"/>
      <c r="R118" s="37"/>
      <c r="S118" s="37"/>
      <c r="T118" s="37"/>
      <c r="U118" s="37"/>
      <c r="V118" s="37"/>
      <c r="X118" s="37"/>
      <c r="AA118" s="4"/>
      <c r="AJ118" s="37"/>
      <c r="AP118" s="37"/>
      <c r="AQ118" s="37"/>
      <c r="BE118" s="4"/>
      <c r="BK118" s="20"/>
      <c r="BL118" s="20"/>
    </row>
    <row r="119" s="1" customFormat="true" ht="12.75" hidden="false" customHeight="true" outlineLevel="0" collapsed="false">
      <c r="O119" s="37"/>
      <c r="P119" s="37"/>
      <c r="Q119" s="37"/>
      <c r="R119" s="37"/>
      <c r="S119" s="37"/>
      <c r="T119" s="37"/>
      <c r="U119" s="37"/>
      <c r="V119" s="37"/>
      <c r="X119" s="37"/>
      <c r="AA119" s="4"/>
      <c r="AJ119" s="37"/>
      <c r="AP119" s="37"/>
      <c r="AQ119" s="37"/>
      <c r="BE119" s="4"/>
      <c r="BK119" s="20"/>
      <c r="BL119" s="20"/>
    </row>
    <row r="120" s="1" customFormat="true" ht="13.8" hidden="false" customHeight="false" outlineLevel="0" collapsed="false">
      <c r="O120" s="37"/>
      <c r="P120" s="37"/>
      <c r="Q120" s="37"/>
      <c r="R120" s="37"/>
      <c r="S120" s="37"/>
      <c r="T120" s="37"/>
      <c r="U120" s="37"/>
      <c r="V120" s="37"/>
      <c r="X120" s="37"/>
      <c r="AA120" s="4"/>
      <c r="AJ120" s="37"/>
      <c r="AP120" s="37"/>
      <c r="AQ120" s="37"/>
      <c r="BE120" s="4"/>
      <c r="BK120" s="20"/>
      <c r="BL120" s="20"/>
    </row>
    <row r="121" s="1" customFormat="true" ht="13.8" hidden="false" customHeight="false" outlineLevel="0" collapsed="false">
      <c r="O121" s="37"/>
      <c r="P121" s="37"/>
      <c r="Q121" s="37"/>
      <c r="R121" s="37"/>
      <c r="S121" s="37"/>
      <c r="T121" s="37"/>
      <c r="U121" s="37"/>
      <c r="V121" s="37"/>
      <c r="X121" s="37"/>
      <c r="AA121" s="4"/>
      <c r="AJ121" s="37"/>
      <c r="AP121" s="37"/>
      <c r="AQ121" s="37"/>
      <c r="BE121" s="4"/>
      <c r="BK121" s="20"/>
      <c r="BL121" s="20"/>
    </row>
    <row r="122" s="1" customFormat="true" ht="13.8" hidden="false" customHeight="false" outlineLevel="0" collapsed="false">
      <c r="O122" s="37"/>
      <c r="P122" s="37"/>
      <c r="Q122" s="37"/>
      <c r="R122" s="37"/>
      <c r="S122" s="37"/>
      <c r="T122" s="37"/>
      <c r="U122" s="37"/>
      <c r="V122" s="37"/>
      <c r="X122" s="37"/>
      <c r="AA122" s="4"/>
      <c r="AJ122" s="37"/>
      <c r="AP122" s="37"/>
      <c r="AQ122" s="37"/>
      <c r="BE122" s="4"/>
      <c r="BK122" s="20"/>
      <c r="BL122" s="20"/>
    </row>
    <row r="123" s="1" customFormat="true" ht="13.8" hidden="false" customHeight="false" outlineLevel="0" collapsed="false">
      <c r="O123" s="37"/>
      <c r="P123" s="37"/>
      <c r="Q123" s="37"/>
      <c r="R123" s="37"/>
      <c r="S123" s="37"/>
      <c r="T123" s="37"/>
      <c r="U123" s="37"/>
      <c r="V123" s="37"/>
      <c r="X123" s="37"/>
      <c r="AA123" s="4"/>
      <c r="AJ123" s="37"/>
      <c r="AP123" s="37"/>
      <c r="AQ123" s="37"/>
      <c r="BE123" s="4"/>
      <c r="BK123" s="20"/>
      <c r="BL123" s="20"/>
    </row>
    <row r="124" s="1" customFormat="true" ht="13.8" hidden="false" customHeight="false" outlineLevel="0" collapsed="false">
      <c r="O124" s="37"/>
      <c r="P124" s="37"/>
      <c r="Q124" s="37"/>
      <c r="R124" s="37"/>
      <c r="S124" s="37"/>
      <c r="T124" s="37"/>
      <c r="U124" s="37"/>
      <c r="V124" s="37"/>
      <c r="X124" s="37"/>
      <c r="AA124" s="4"/>
      <c r="AJ124" s="37"/>
      <c r="AP124" s="37"/>
      <c r="AQ124" s="37"/>
      <c r="BE124" s="4"/>
      <c r="BK124" s="20"/>
      <c r="BL124" s="20"/>
    </row>
    <row r="125" s="1" customFormat="true" ht="13.8" hidden="false" customHeight="false" outlineLevel="0" collapsed="false">
      <c r="O125" s="37"/>
      <c r="P125" s="37"/>
      <c r="Q125" s="37"/>
      <c r="R125" s="37"/>
      <c r="S125" s="37"/>
      <c r="T125" s="37"/>
      <c r="U125" s="37"/>
      <c r="V125" s="37"/>
      <c r="X125" s="37"/>
      <c r="AA125" s="4"/>
      <c r="AJ125" s="37"/>
      <c r="AP125" s="37"/>
      <c r="AQ125" s="37"/>
      <c r="BE125" s="4"/>
      <c r="BK125" s="20"/>
      <c r="BL125" s="20"/>
    </row>
    <row r="126" s="1" customFormat="true" ht="13.8" hidden="false" customHeight="false" outlineLevel="0" collapsed="false">
      <c r="O126" s="37"/>
      <c r="P126" s="37"/>
      <c r="Q126" s="37"/>
      <c r="R126" s="37"/>
      <c r="S126" s="37"/>
      <c r="T126" s="37"/>
      <c r="U126" s="37"/>
      <c r="V126" s="37"/>
      <c r="X126" s="37"/>
      <c r="AA126" s="4"/>
      <c r="AJ126" s="37"/>
      <c r="AP126" s="37"/>
      <c r="AQ126" s="37"/>
      <c r="BE126" s="4"/>
      <c r="BK126" s="20"/>
      <c r="BL126" s="20"/>
    </row>
    <row r="127" s="1" customFormat="true" ht="13.8" hidden="false" customHeight="false" outlineLevel="0" collapsed="false">
      <c r="O127" s="37"/>
      <c r="P127" s="37"/>
      <c r="Q127" s="37"/>
      <c r="R127" s="37"/>
      <c r="S127" s="37"/>
      <c r="T127" s="37"/>
      <c r="U127" s="37"/>
      <c r="V127" s="37"/>
      <c r="X127" s="37"/>
      <c r="AA127" s="4"/>
      <c r="AJ127" s="37"/>
      <c r="AP127" s="37"/>
      <c r="AQ127" s="37"/>
      <c r="BE127" s="4"/>
      <c r="BK127" s="20"/>
      <c r="BL127" s="20"/>
    </row>
    <row r="128" s="1" customFormat="true" ht="13.8" hidden="false" customHeight="false" outlineLevel="0" collapsed="false">
      <c r="O128" s="37"/>
      <c r="P128" s="37"/>
      <c r="Q128" s="37"/>
      <c r="R128" s="37"/>
      <c r="S128" s="37"/>
      <c r="T128" s="38"/>
      <c r="U128" s="37"/>
      <c r="V128" s="37"/>
      <c r="X128" s="37"/>
      <c r="AA128" s="4"/>
      <c r="AJ128" s="37"/>
      <c r="AP128" s="37"/>
      <c r="AQ128" s="37"/>
      <c r="BE128" s="4"/>
      <c r="BK128" s="20"/>
      <c r="BL128" s="20"/>
    </row>
    <row r="129" s="1" customFormat="true" ht="13.8" hidden="false" customHeight="false" outlineLevel="0" collapsed="false">
      <c r="O129" s="37"/>
      <c r="P129" s="37"/>
      <c r="Q129" s="37"/>
      <c r="R129" s="37"/>
      <c r="S129" s="37"/>
      <c r="T129" s="38"/>
      <c r="U129" s="37"/>
      <c r="V129" s="37"/>
      <c r="X129" s="37"/>
      <c r="AA129" s="4"/>
      <c r="AJ129" s="37"/>
      <c r="AP129" s="37"/>
      <c r="AQ129" s="37"/>
      <c r="BE129" s="4"/>
      <c r="BK129" s="20"/>
      <c r="BL129" s="20"/>
    </row>
    <row r="130" s="1" customFormat="true" ht="13.8" hidden="false" customHeight="false" outlineLevel="0" collapsed="false">
      <c r="O130" s="37"/>
      <c r="P130" s="37"/>
      <c r="Q130" s="37"/>
      <c r="R130" s="37"/>
      <c r="S130" s="37"/>
      <c r="T130" s="38"/>
      <c r="U130" s="37"/>
      <c r="V130" s="37"/>
      <c r="X130" s="37"/>
      <c r="AA130" s="4"/>
      <c r="AJ130" s="37"/>
      <c r="AP130" s="37"/>
      <c r="AQ130" s="37"/>
      <c r="BE130" s="4"/>
      <c r="BK130" s="20"/>
      <c r="BL130" s="20"/>
    </row>
    <row r="131" s="1" customFormat="true" ht="13.8" hidden="false" customHeight="false" outlineLevel="0" collapsed="false">
      <c r="O131" s="37"/>
      <c r="P131" s="37"/>
      <c r="Q131" s="37"/>
      <c r="R131" s="37"/>
      <c r="S131" s="37"/>
      <c r="T131" s="38"/>
      <c r="U131" s="37"/>
      <c r="V131" s="37"/>
      <c r="X131" s="37"/>
      <c r="AA131" s="4"/>
      <c r="AJ131" s="37"/>
      <c r="AP131" s="37"/>
      <c r="AQ131" s="37"/>
      <c r="BE131" s="4"/>
      <c r="BK131" s="20"/>
      <c r="BL131" s="20"/>
    </row>
    <row r="132" s="1" customFormat="true" ht="13.8" hidden="false" customHeight="false" outlineLevel="0" collapsed="false">
      <c r="O132" s="37"/>
      <c r="P132" s="37"/>
      <c r="Q132" s="37"/>
      <c r="R132" s="37"/>
      <c r="S132" s="37"/>
      <c r="T132" s="38"/>
      <c r="U132" s="37"/>
      <c r="V132" s="37"/>
      <c r="X132" s="37"/>
      <c r="AA132" s="4"/>
      <c r="AJ132" s="37"/>
      <c r="AP132" s="37"/>
      <c r="AQ132" s="37"/>
      <c r="BE132" s="4"/>
      <c r="BK132" s="20"/>
      <c r="BL132" s="20"/>
    </row>
    <row r="133" s="1" customFormat="true" ht="13.8" hidden="false" customHeight="false" outlineLevel="0" collapsed="false">
      <c r="O133" s="37"/>
      <c r="P133" s="37"/>
      <c r="Q133" s="37"/>
      <c r="R133" s="37"/>
      <c r="S133" s="37"/>
      <c r="T133" s="38"/>
      <c r="U133" s="37"/>
      <c r="V133" s="37"/>
      <c r="X133" s="37"/>
      <c r="AA133" s="4"/>
      <c r="AJ133" s="37"/>
      <c r="AP133" s="37"/>
      <c r="AQ133" s="37"/>
      <c r="BE133" s="4"/>
      <c r="BK133" s="20"/>
      <c r="BL133" s="20"/>
    </row>
    <row r="134" s="1" customFormat="true" ht="13.8" hidden="false" customHeight="false" outlineLevel="0" collapsed="false">
      <c r="O134" s="37"/>
      <c r="P134" s="37"/>
      <c r="Q134" s="37"/>
      <c r="R134" s="37"/>
      <c r="S134" s="37"/>
      <c r="T134" s="38"/>
      <c r="U134" s="37"/>
      <c r="V134" s="37"/>
      <c r="X134" s="37"/>
      <c r="AA134" s="4"/>
      <c r="AJ134" s="37"/>
      <c r="AP134" s="37"/>
      <c r="AQ134" s="37"/>
      <c r="BE134" s="4"/>
      <c r="BK134" s="20"/>
      <c r="BL134" s="20"/>
    </row>
    <row r="135" s="1" customFormat="true" ht="13.8" hidden="false" customHeight="false" outlineLevel="0" collapsed="false">
      <c r="O135" s="37"/>
      <c r="P135" s="37"/>
      <c r="Q135" s="37"/>
      <c r="R135" s="37"/>
      <c r="S135" s="37"/>
      <c r="T135" s="38"/>
      <c r="U135" s="37"/>
      <c r="V135" s="37"/>
      <c r="X135" s="37"/>
      <c r="AA135" s="4"/>
      <c r="AJ135" s="37"/>
      <c r="AP135" s="37"/>
      <c r="AQ135" s="37"/>
      <c r="BE135" s="4"/>
      <c r="BK135" s="20"/>
      <c r="BL135" s="20"/>
    </row>
    <row r="136" s="1" customFormat="true" ht="13.8" hidden="false" customHeight="false" outlineLevel="0" collapsed="false">
      <c r="O136" s="37"/>
      <c r="P136" s="37"/>
      <c r="Q136" s="37"/>
      <c r="R136" s="37"/>
      <c r="S136" s="37"/>
      <c r="T136" s="38"/>
      <c r="U136" s="37"/>
      <c r="V136" s="37"/>
      <c r="X136" s="37"/>
      <c r="AA136" s="4"/>
      <c r="AJ136" s="37"/>
      <c r="AP136" s="37"/>
      <c r="AQ136" s="37"/>
      <c r="BE136" s="4"/>
      <c r="BK136" s="20"/>
      <c r="BL136" s="20"/>
    </row>
    <row r="137" s="1" customFormat="true" ht="13.8" hidden="false" customHeight="false" outlineLevel="0" collapsed="false">
      <c r="O137" s="37"/>
      <c r="P137" s="37"/>
      <c r="Q137" s="37"/>
      <c r="R137" s="37"/>
      <c r="S137" s="37"/>
      <c r="T137" s="38"/>
      <c r="U137" s="37"/>
      <c r="V137" s="37"/>
      <c r="X137" s="37"/>
      <c r="AA137" s="4"/>
      <c r="AJ137" s="37"/>
      <c r="AP137" s="37"/>
      <c r="AQ137" s="37"/>
      <c r="BE137" s="4"/>
      <c r="BK137" s="20"/>
      <c r="BL137" s="20"/>
    </row>
    <row r="138" s="1" customFormat="true" ht="13.8" hidden="false" customHeight="false" outlineLevel="0" collapsed="false">
      <c r="O138" s="37"/>
      <c r="P138" s="37"/>
      <c r="Q138" s="37"/>
      <c r="R138" s="37"/>
      <c r="S138" s="37"/>
      <c r="T138" s="38"/>
      <c r="U138" s="37"/>
      <c r="V138" s="37"/>
      <c r="X138" s="37"/>
      <c r="AA138" s="4"/>
      <c r="AJ138" s="37"/>
      <c r="AP138" s="37"/>
      <c r="AQ138" s="37"/>
      <c r="BE138" s="4"/>
      <c r="BK138" s="20"/>
      <c r="BL138" s="20"/>
    </row>
    <row r="139" s="1" customFormat="true" ht="13.8" hidden="false" customHeight="false" outlineLevel="0" collapsed="false">
      <c r="O139" s="37"/>
      <c r="P139" s="37"/>
      <c r="Q139" s="37"/>
      <c r="R139" s="37"/>
      <c r="S139" s="37"/>
      <c r="T139" s="38"/>
      <c r="U139" s="37"/>
      <c r="V139" s="37"/>
      <c r="X139" s="37"/>
      <c r="AA139" s="4"/>
      <c r="AJ139" s="37"/>
      <c r="AP139" s="37"/>
      <c r="AQ139" s="37"/>
      <c r="BE139" s="4"/>
      <c r="BK139" s="20"/>
      <c r="BL139" s="20"/>
    </row>
    <row r="140" s="1" customFormat="true" ht="13.8" hidden="false" customHeight="false" outlineLevel="0" collapsed="false">
      <c r="O140" s="37"/>
      <c r="P140" s="37"/>
      <c r="Q140" s="37"/>
      <c r="R140" s="37"/>
      <c r="S140" s="37"/>
      <c r="T140" s="38"/>
      <c r="U140" s="37"/>
      <c r="V140" s="37"/>
      <c r="X140" s="37"/>
      <c r="AA140" s="4"/>
      <c r="AJ140" s="37"/>
      <c r="AP140" s="37"/>
      <c r="AQ140" s="37"/>
      <c r="BE140" s="4"/>
      <c r="BK140" s="20"/>
      <c r="BL140" s="20"/>
    </row>
    <row r="141" s="1" customFormat="true" ht="13.8" hidden="false" customHeight="false" outlineLevel="0" collapsed="false">
      <c r="O141" s="37"/>
      <c r="P141" s="37"/>
      <c r="Q141" s="37"/>
      <c r="R141" s="37"/>
      <c r="S141" s="37"/>
      <c r="T141" s="38"/>
      <c r="U141" s="37"/>
      <c r="V141" s="37"/>
      <c r="X141" s="37"/>
      <c r="AA141" s="4"/>
      <c r="AJ141" s="37"/>
      <c r="AP141" s="37"/>
      <c r="AQ141" s="37"/>
      <c r="BE141" s="4"/>
      <c r="BK141" s="20"/>
      <c r="BL141" s="20"/>
    </row>
    <row r="142" s="1" customFormat="true" ht="13.8" hidden="false" customHeight="false" outlineLevel="0" collapsed="false">
      <c r="O142" s="37"/>
      <c r="P142" s="37"/>
      <c r="Q142" s="37"/>
      <c r="R142" s="37"/>
      <c r="S142" s="37"/>
      <c r="T142" s="38"/>
      <c r="U142" s="37"/>
      <c r="V142" s="37"/>
      <c r="X142" s="37"/>
      <c r="AA142" s="4"/>
      <c r="AJ142" s="37"/>
      <c r="AP142" s="37"/>
      <c r="AQ142" s="37"/>
      <c r="BE142" s="4"/>
      <c r="BK142" s="20"/>
      <c r="BL142" s="20"/>
    </row>
    <row r="143" s="1" customFormat="true" ht="13.8" hidden="false" customHeight="false" outlineLevel="0" collapsed="false">
      <c r="O143" s="37"/>
      <c r="P143" s="37"/>
      <c r="Q143" s="37"/>
      <c r="R143" s="37"/>
      <c r="S143" s="37"/>
      <c r="T143" s="37"/>
      <c r="U143" s="37"/>
      <c r="V143" s="37"/>
      <c r="X143" s="37"/>
      <c r="AA143" s="4"/>
      <c r="AJ143" s="37"/>
      <c r="AP143" s="37"/>
      <c r="AQ143" s="37"/>
      <c r="BE143" s="4"/>
      <c r="BK143" s="20"/>
      <c r="BL143" s="20"/>
    </row>
    <row r="144" s="1" customFormat="true" ht="13.8" hidden="false" customHeight="false" outlineLevel="0" collapsed="false">
      <c r="O144" s="37"/>
      <c r="P144" s="37"/>
      <c r="Q144" s="37"/>
      <c r="R144" s="37"/>
      <c r="S144" s="37"/>
      <c r="T144" s="37"/>
      <c r="U144" s="37"/>
      <c r="V144" s="37"/>
      <c r="X144" s="37"/>
      <c r="AA144" s="4"/>
      <c r="AJ144" s="37"/>
      <c r="AP144" s="37"/>
      <c r="AQ144" s="37"/>
      <c r="BE144" s="4"/>
      <c r="BK144" s="20"/>
      <c r="BL144" s="20"/>
    </row>
    <row r="145" s="1" customFormat="true" ht="13.8" hidden="false" customHeight="false" outlineLevel="0" collapsed="false">
      <c r="O145" s="37"/>
      <c r="P145" s="37"/>
      <c r="Q145" s="37"/>
      <c r="R145" s="37"/>
      <c r="S145" s="37"/>
      <c r="T145" s="37"/>
      <c r="U145" s="37"/>
      <c r="V145" s="37"/>
      <c r="X145" s="37"/>
      <c r="AA145" s="4"/>
      <c r="AJ145" s="37"/>
      <c r="AP145" s="37"/>
      <c r="AQ145" s="37"/>
      <c r="BE145" s="4"/>
      <c r="BK145" s="20"/>
      <c r="BL145" s="20"/>
    </row>
    <row r="146" s="1" customFormat="true" ht="13.8" hidden="false" customHeight="false" outlineLevel="0" collapsed="false">
      <c r="O146" s="37"/>
      <c r="P146" s="37"/>
      <c r="Q146" s="37"/>
      <c r="R146" s="37"/>
      <c r="S146" s="37"/>
      <c r="T146" s="37"/>
      <c r="U146" s="37"/>
      <c r="V146" s="37"/>
      <c r="X146" s="37"/>
      <c r="AA146" s="4"/>
      <c r="AJ146" s="37"/>
      <c r="AP146" s="37"/>
      <c r="AQ146" s="37"/>
      <c r="BE146" s="4"/>
      <c r="BK146" s="20"/>
      <c r="BL146" s="20"/>
    </row>
    <row r="147" s="1" customFormat="true" ht="13.8" hidden="false" customHeight="false" outlineLevel="0" collapsed="false">
      <c r="O147" s="37"/>
      <c r="P147" s="37"/>
      <c r="Q147" s="37"/>
      <c r="R147" s="37"/>
      <c r="S147" s="37"/>
      <c r="T147" s="37"/>
      <c r="U147" s="37"/>
      <c r="V147" s="37"/>
      <c r="X147" s="37"/>
      <c r="AA147" s="4"/>
      <c r="AJ147" s="37"/>
      <c r="AP147" s="37"/>
      <c r="AQ147" s="37"/>
      <c r="BE147" s="4"/>
      <c r="BK147" s="20"/>
      <c r="BL147" s="20"/>
    </row>
    <row r="148" s="1" customFormat="true" ht="13.8" hidden="false" customHeight="false" outlineLevel="0" collapsed="false">
      <c r="O148" s="37"/>
      <c r="P148" s="37"/>
      <c r="Q148" s="37"/>
      <c r="R148" s="37"/>
      <c r="S148" s="37"/>
      <c r="T148" s="37"/>
      <c r="U148" s="37"/>
      <c r="V148" s="37"/>
      <c r="X148" s="37"/>
      <c r="AA148" s="4"/>
      <c r="AJ148" s="37"/>
      <c r="AP148" s="37"/>
      <c r="AQ148" s="37"/>
      <c r="BE148" s="4"/>
      <c r="BK148" s="20"/>
      <c r="BL148" s="20"/>
      <c r="CC148" s="10"/>
    </row>
    <row r="149" s="1" customFormat="true" ht="13.8" hidden="false" customHeight="false" outlineLevel="0" collapsed="false">
      <c r="O149" s="37"/>
      <c r="P149" s="37"/>
      <c r="Q149" s="37"/>
      <c r="R149" s="37"/>
      <c r="S149" s="37"/>
      <c r="T149" s="37"/>
      <c r="U149" s="37"/>
      <c r="V149" s="37"/>
      <c r="X149" s="37"/>
      <c r="AA149" s="4"/>
      <c r="AJ149" s="37"/>
      <c r="AP149" s="37"/>
      <c r="AQ149" s="37"/>
      <c r="BE149" s="4"/>
      <c r="BK149" s="20"/>
      <c r="BL149" s="20"/>
      <c r="CC149" s="10"/>
    </row>
    <row r="150" s="1" customFormat="true" ht="13.8" hidden="false" customHeight="false" outlineLevel="0" collapsed="false">
      <c r="O150" s="37"/>
      <c r="P150" s="37"/>
      <c r="Q150" s="37"/>
      <c r="R150" s="37"/>
      <c r="S150" s="37"/>
      <c r="T150" s="37"/>
      <c r="U150" s="37"/>
      <c r="V150" s="37"/>
      <c r="X150" s="37"/>
      <c r="AA150" s="4"/>
      <c r="AJ150" s="37"/>
      <c r="AP150" s="37"/>
      <c r="AQ150" s="37"/>
      <c r="BE150" s="4"/>
      <c r="BK150" s="20"/>
      <c r="BL150" s="20"/>
      <c r="CC150" s="10"/>
    </row>
    <row r="151" s="1" customFormat="true" ht="13.8" hidden="false" customHeight="false" outlineLevel="0" collapsed="false">
      <c r="O151" s="37"/>
      <c r="P151" s="37"/>
      <c r="Q151" s="37"/>
      <c r="R151" s="37"/>
      <c r="S151" s="37"/>
      <c r="T151" s="37"/>
      <c r="U151" s="37"/>
      <c r="V151" s="37"/>
      <c r="X151" s="37"/>
      <c r="AA151" s="4"/>
      <c r="AJ151" s="37"/>
      <c r="AP151" s="37"/>
      <c r="AQ151" s="37"/>
      <c r="BE151" s="4"/>
      <c r="BK151" s="20"/>
      <c r="BL151" s="20"/>
      <c r="CC151" s="10"/>
    </row>
    <row r="152" s="1" customFormat="true" ht="13.8" hidden="false" customHeight="false" outlineLevel="0" collapsed="false">
      <c r="O152" s="37"/>
      <c r="P152" s="37"/>
      <c r="Q152" s="37"/>
      <c r="R152" s="37"/>
      <c r="S152" s="37"/>
      <c r="T152" s="37"/>
      <c r="U152" s="37"/>
      <c r="V152" s="37"/>
      <c r="X152" s="37"/>
      <c r="AA152" s="4"/>
      <c r="AJ152" s="37"/>
      <c r="AP152" s="37"/>
      <c r="AQ152" s="37"/>
      <c r="BE152" s="4"/>
      <c r="BK152" s="20"/>
      <c r="BL152" s="20"/>
      <c r="CC152" s="10"/>
    </row>
    <row r="153" s="1" customFormat="true" ht="13.8" hidden="false" customHeight="false" outlineLevel="0" collapsed="false">
      <c r="O153" s="37"/>
      <c r="P153" s="37"/>
      <c r="Q153" s="37"/>
      <c r="R153" s="37"/>
      <c r="S153" s="37"/>
      <c r="T153" s="37"/>
      <c r="U153" s="37"/>
      <c r="V153" s="37"/>
      <c r="X153" s="37"/>
      <c r="AA153" s="4"/>
      <c r="AJ153" s="37"/>
      <c r="AP153" s="37"/>
      <c r="AQ153" s="37"/>
      <c r="BE153" s="4"/>
      <c r="BK153" s="20"/>
      <c r="BL153" s="20"/>
      <c r="CC153" s="10"/>
    </row>
    <row r="154" s="1" customFormat="true" ht="13.8" hidden="false" customHeight="false" outlineLevel="0" collapsed="false">
      <c r="O154" s="37"/>
      <c r="P154" s="37"/>
      <c r="Q154" s="37"/>
      <c r="R154" s="37"/>
      <c r="S154" s="37"/>
      <c r="T154" s="37"/>
      <c r="U154" s="37"/>
      <c r="V154" s="37"/>
      <c r="X154" s="37"/>
      <c r="AA154" s="4"/>
      <c r="AJ154" s="37"/>
      <c r="AP154" s="37"/>
      <c r="AQ154" s="37"/>
      <c r="BE154" s="4"/>
      <c r="BK154" s="20"/>
      <c r="BL154" s="20"/>
      <c r="CC154" s="10"/>
    </row>
    <row r="155" s="1" customFormat="true" ht="13.8" hidden="false" customHeight="false" outlineLevel="0" collapsed="false">
      <c r="O155" s="37"/>
      <c r="P155" s="37"/>
      <c r="Q155" s="37"/>
      <c r="R155" s="37"/>
      <c r="S155" s="37"/>
      <c r="T155" s="37"/>
      <c r="U155" s="37"/>
      <c r="V155" s="37"/>
      <c r="X155" s="37"/>
      <c r="AA155" s="4"/>
      <c r="AJ155" s="37"/>
      <c r="AP155" s="37"/>
      <c r="AQ155" s="37"/>
      <c r="BE155" s="4"/>
      <c r="BK155" s="20"/>
      <c r="BL155" s="20"/>
      <c r="CC155" s="10"/>
    </row>
    <row r="156" s="1" customFormat="true" ht="13.8" hidden="false" customHeight="false" outlineLevel="0" collapsed="false">
      <c r="O156" s="37"/>
      <c r="P156" s="37"/>
      <c r="Q156" s="37"/>
      <c r="R156" s="37"/>
      <c r="S156" s="37"/>
      <c r="T156" s="37"/>
      <c r="U156" s="37"/>
      <c r="V156" s="37"/>
      <c r="X156" s="37"/>
      <c r="AA156" s="4"/>
      <c r="AJ156" s="37"/>
      <c r="AP156" s="37"/>
      <c r="AQ156" s="37"/>
      <c r="BE156" s="4"/>
      <c r="BK156" s="20"/>
      <c r="BL156" s="20"/>
      <c r="CC156" s="10"/>
    </row>
    <row r="157" s="1" customFormat="true" ht="13.8" hidden="false" customHeight="false" outlineLevel="0" collapsed="false">
      <c r="O157" s="37"/>
      <c r="P157" s="37"/>
      <c r="Q157" s="37"/>
      <c r="R157" s="37"/>
      <c r="S157" s="37"/>
      <c r="T157" s="37"/>
      <c r="U157" s="37"/>
      <c r="V157" s="37"/>
      <c r="X157" s="37"/>
      <c r="AA157" s="4"/>
      <c r="AJ157" s="37"/>
      <c r="AP157" s="37"/>
      <c r="AQ157" s="37"/>
      <c r="BE157" s="4"/>
      <c r="BK157" s="20"/>
      <c r="BL157" s="20"/>
      <c r="CC157" s="10"/>
    </row>
    <row r="158" s="1" customFormat="true" ht="13.8" hidden="false" customHeight="false" outlineLevel="0" collapsed="false">
      <c r="O158" s="37"/>
      <c r="P158" s="37"/>
      <c r="Q158" s="37"/>
      <c r="R158" s="37"/>
      <c r="S158" s="37"/>
      <c r="T158" s="37"/>
      <c r="U158" s="37"/>
      <c r="V158" s="37"/>
      <c r="X158" s="37"/>
      <c r="AA158" s="4"/>
      <c r="AJ158" s="37"/>
      <c r="AP158" s="37"/>
      <c r="AQ158" s="37"/>
      <c r="BE158" s="4"/>
      <c r="BK158" s="20"/>
      <c r="BL158" s="20"/>
      <c r="CC158" s="10"/>
    </row>
  </sheetData>
  <autoFilter ref="A1:CH69"/>
  <conditionalFormatting sqref="C12:C14 C62">
    <cfRule type="duplicateValues" priority="2" aboveAverage="0" equalAverage="0" bottom="0" percent="0" rank="0" text="" dxfId="11"/>
  </conditionalFormatting>
  <conditionalFormatting sqref="C46:C47">
    <cfRule type="duplicateValues" priority="3" aboveAverage="0" equalAverage="0" bottom="0" percent="0" rank="0" text="" dxfId="12"/>
  </conditionalFormatting>
  <conditionalFormatting sqref="C61">
    <cfRule type="duplicateValues" priority="4" aboveAverage="0" equalAverage="0" bottom="0" percent="0" rank="0" text="" dxfId="11"/>
  </conditionalFormatting>
  <conditionalFormatting sqref="C67 C45 C42">
    <cfRule type="duplicateValues" priority="5" aboveAverage="0" equalAverage="0" bottom="0" percent="0" rank="0" text="" dxfId="13"/>
  </conditionalFormatting>
  <conditionalFormatting sqref="C51 C48">
    <cfRule type="duplicateValues" priority="6" aboveAverage="0" equalAverage="0" bottom="0" percent="0" rank="0" text="" dxfId="14"/>
  </conditionalFormatting>
  <conditionalFormatting sqref="C49">
    <cfRule type="duplicateValues" priority="7" aboveAverage="0" equalAverage="0" bottom="0" percent="0" rank="0" text="" dxfId="14"/>
  </conditionalFormatting>
  <conditionalFormatting sqref="C2:C11">
    <cfRule type="duplicateValues" priority="8" aboveAverage="0" equalAverage="0" bottom="0" percent="0" rank="0" text="" dxfId="15"/>
  </conditionalFormatting>
  <conditionalFormatting sqref="C21">
    <cfRule type="duplicateValues" priority="9" aboveAverage="0" equalAverage="0" bottom="0" percent="0" rank="0" text="" dxfId="16"/>
  </conditionalFormatting>
  <conditionalFormatting sqref="C57:C60 C65:C66">
    <cfRule type="duplicateValues" priority="10" aboveAverage="0" equalAverage="0" bottom="0" percent="0" rank="0" text="" dxfId="17"/>
  </conditionalFormatting>
  <dataValidations count="16">
    <dataValidation allowBlank="true" errorStyle="stop" operator="equal" showDropDown="false" showErrorMessage="true" showInputMessage="true" sqref="BZ1 BZ31:BZ32" type="list">
      <formula1>'Gameplay Planning'!$1:$1</formula1>
      <formula2>0</formula2>
    </dataValidation>
    <dataValidation allowBlank="true" errorStyle="stop" operator="equal" showDropDown="false" showErrorMessage="true" showInputMessage="true" sqref="BZ2:BZ11" type="list">
      <formula1>'Gameplay Planning'!$1:$1</formula1>
      <formula2>0</formula2>
    </dataValidation>
    <dataValidation allowBlank="true" errorStyle="stop" operator="equal" showDropDown="false" showErrorMessage="true" showInputMessage="true" sqref="BZ14 BZ22:BZ27 BZ50 BZ52:BZ56 BZ62:BZ64" type="list">
      <formula1>'Gameplay Planning'!$1:$1</formula1>
      <formula2>0</formula2>
    </dataValidation>
    <dataValidation allowBlank="true" errorStyle="stop" operator="equal" showDropDown="false" showErrorMessage="true" showInputMessage="true" sqref="BZ15:BZ20 BZ28:BZ30" type="list">
      <formula1>'Gameplay Planning'!$1:$1</formula1>
      <formula2>0</formula2>
    </dataValidation>
    <dataValidation allowBlank="true" errorStyle="stop" operator="equal" showDropDown="false" showErrorMessage="true" showInputMessage="true" sqref="BZ21" type="list">
      <formula1>'Gameplay Planning'!$1:$1</formula1>
      <formula2>0</formula2>
    </dataValidation>
    <dataValidation allowBlank="true" errorStyle="stop" operator="equal" showDropDown="false" showErrorMessage="true" showInputMessage="true" sqref="BZ33:BZ37 BZ40:BZ41" type="list">
      <formula1>'Gameplay Planning'!$1:$1</formula1>
      <formula2>0</formula2>
    </dataValidation>
    <dataValidation allowBlank="true" errorStyle="stop" operator="equal" showDropDown="false" showErrorMessage="true" showInputMessage="true" sqref="BZ38:BZ39" type="list">
      <formula1>'Gameplay Planning'!$1:$1</formula1>
      <formula2>0</formula2>
    </dataValidation>
    <dataValidation allowBlank="true" errorStyle="stop" operator="equal" showDropDown="false" showErrorMessage="true" showInputMessage="true" sqref="BZ42:BZ45 BZ67" type="list">
      <formula1>'Gameplay Planning'!$1:$1</formula1>
      <formula2>0</formula2>
    </dataValidation>
    <dataValidation allowBlank="true" errorStyle="stop" operator="equal" showDropDown="false" showErrorMessage="true" showInputMessage="true" sqref="BZ46:BZ47" type="list">
      <formula1>'Gameplay Planning'!$1:$1</formula1>
      <formula2>0</formula2>
    </dataValidation>
    <dataValidation allowBlank="true" errorStyle="stop" operator="equal" showDropDown="false" showErrorMessage="true" showInputMessage="true" sqref="BZ48:BZ49 BZ51" type="list">
      <formula1>'Gameplay Planning'!$1:$1</formula1>
      <formula2>0</formula2>
    </dataValidation>
    <dataValidation allowBlank="true" errorStyle="stop" operator="equal" showDropDown="false" showErrorMessage="true" showInputMessage="true" sqref="BZ61" type="list">
      <formula1>'Gameplay Planning'!$1:$1</formula1>
      <formula2>0</formula2>
    </dataValidation>
    <dataValidation allowBlank="true" errorStyle="stop" operator="equal" showDropDown="false" showErrorMessage="true" showInputMessage="true" sqref="BZ68:BZ70 BZ72:BZ77" type="list">
      <formula1>'Gameplay Planning'!$1:$1</formula1>
      <formula2>0</formula2>
    </dataValidation>
    <dataValidation allowBlank="true" errorStyle="stop" operator="equal" showDropDown="false" showErrorMessage="true" showInputMessage="true" sqref="BZ71 BZ78:BZ79" type="list">
      <formula1>'Gameplay Planning'!$1:$1</formula1>
      <formula2>0</formula2>
    </dataValidation>
    <dataValidation allowBlank="true" errorStyle="stop" operator="equal" showDropDown="false" showErrorMessage="true" showInputMessage="true" sqref="BZ80:BZ94" type="list">
      <formula1>'Gameplay Planning'!$1:$1</formula1>
      <formula2>0</formula2>
    </dataValidation>
    <dataValidation allowBlank="true" errorStyle="stop" operator="equal" showDropDown="false" showErrorMessage="true" showInputMessage="true" sqref="CB115 CB159:CB1073" type="list">
      <formula1>'Gameplay Planning'!$1:$1</formula1>
      <formula2>0</formula2>
    </dataValidation>
    <dataValidation allowBlank="true" errorStyle="stop" operator="between" showDropDown="false" showErrorMessage="true" showInputMessage="true" sqref="BZ57:BZ60 BZ65:BZ66" type="list">
      <formula1>'Gameplay Planning'!$1:$1</formula1>
      <formula2>0</formula2>
    </dataValidation>
  </dataValidations>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W1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F9" activeCellId="0" sqref="F9"/>
    </sheetView>
  </sheetViews>
  <sheetFormatPr defaultColWidth="8.60546875" defaultRowHeight="15" customHeight="true" zeroHeight="false" outlineLevelRow="0" outlineLevelCol="0"/>
  <cols>
    <col collapsed="false" customWidth="true" hidden="false" outlineLevel="0" max="2" min="2" style="34" width="28.99"/>
    <col collapsed="false" customWidth="true" hidden="false" outlineLevel="0" max="4" min="3" style="34" width="17.3"/>
    <col collapsed="false" customWidth="true" hidden="false" outlineLevel="0" max="5" min="5" style="34" width="6.57"/>
    <col collapsed="false" customWidth="true" hidden="false" outlineLevel="0" max="8" min="8" style="34" width="11.99"/>
    <col collapsed="false" customWidth="true" hidden="false" outlineLevel="0" max="10" min="9" style="34" width="16.14"/>
    <col collapsed="false" customWidth="true" hidden="false" outlineLevel="0" max="11" min="11" style="34" width="13.3"/>
    <col collapsed="false" customWidth="true" hidden="false" outlineLevel="0" max="13" min="13" style="34" width="14.01"/>
    <col collapsed="false" customWidth="true" hidden="false" outlineLevel="0" max="15" min="15" style="34" width="13.7"/>
    <col collapsed="false" customWidth="true" hidden="false" outlineLevel="0" max="16" min="16" style="34" width="3.15"/>
    <col collapsed="false" customWidth="true" hidden="false" outlineLevel="0" max="18" min="18" style="34" width="12.57"/>
    <col collapsed="false" customWidth="true" hidden="false" outlineLevel="0" max="19" min="19" style="34" width="12.43"/>
    <col collapsed="false" customWidth="true" hidden="false" outlineLevel="0" max="20" min="20" style="34" width="10.85"/>
    <col collapsed="false" customWidth="true" hidden="false" outlineLevel="0" max="21" min="21" style="34" width="4.43"/>
    <col collapsed="false" customWidth="true" hidden="false" outlineLevel="0" max="22" min="22" style="34" width="7"/>
  </cols>
  <sheetData>
    <row r="1" customFormat="false" ht="15" hidden="false" customHeight="false" outlineLevel="0" collapsed="false">
      <c r="C1" s="39" t="s">
        <v>556</v>
      </c>
      <c r="D1" s="39" t="s">
        <v>557</v>
      </c>
      <c r="E1" s="39" t="s">
        <v>154</v>
      </c>
      <c r="F1" s="39" t="s">
        <v>322</v>
      </c>
      <c r="G1" s="39" t="s">
        <v>337</v>
      </c>
      <c r="H1" s="39" t="s">
        <v>410</v>
      </c>
      <c r="I1" s="39" t="s">
        <v>303</v>
      </c>
      <c r="J1" s="39" t="s">
        <v>558</v>
      </c>
      <c r="K1" s="39" t="s">
        <v>559</v>
      </c>
      <c r="L1" s="39" t="s">
        <v>165</v>
      </c>
      <c r="M1" s="39" t="s">
        <v>211</v>
      </c>
      <c r="N1" s="39" t="s">
        <v>97</v>
      </c>
      <c r="O1" s="39" t="s">
        <v>228</v>
      </c>
      <c r="P1" s="39" t="s">
        <v>560</v>
      </c>
      <c r="Q1" s="39" t="s">
        <v>493</v>
      </c>
      <c r="R1" s="39" t="s">
        <v>498</v>
      </c>
      <c r="S1" s="39" t="s">
        <v>561</v>
      </c>
      <c r="T1" s="39" t="s">
        <v>562</v>
      </c>
      <c r="U1" s="39" t="s">
        <v>563</v>
      </c>
      <c r="V1" s="39" t="s">
        <v>448</v>
      </c>
      <c r="W1" s="39" t="s">
        <v>466</v>
      </c>
    </row>
    <row r="2" customFormat="false" ht="15" hidden="false" customHeight="false" outlineLevel="0" collapsed="false">
      <c r="A2" s="39" t="s">
        <v>564</v>
      </c>
      <c r="B2" s="39" t="s">
        <v>565</v>
      </c>
    </row>
    <row r="3" customFormat="false" ht="15" hidden="false" customHeight="false" outlineLevel="0" collapsed="false">
      <c r="A3" s="34" t="s">
        <v>566</v>
      </c>
      <c r="B3" s="34" t="str">
        <f aca="false">VLOOKUP(A3, Eras!$B$2:$C$10, 2, FALSE())</f>
        <v>Early (1800-1850)</v>
      </c>
      <c r="C3" s="19" t="n">
        <f aca="false">COUNTIF(Table!$CA:$CA,CONCATENATE($A3,"_",C$1))</f>
        <v>0</v>
      </c>
      <c r="D3" s="19" t="n">
        <f aca="false">COUNTIF(Table!$CA:$CA,CONCATENATE($A3,"_",D$1))</f>
        <v>0</v>
      </c>
      <c r="E3" s="19" t="n">
        <f aca="false">COUNTIF(Table!$CA:$CA,CONCATENATE($A3,"_",E$1))</f>
        <v>0</v>
      </c>
      <c r="F3" s="19" t="n">
        <f aca="false">COUNTIF(Table!$CA:$CA,CONCATENATE($A3,"_",F$1))</f>
        <v>0</v>
      </c>
      <c r="G3" s="19" t="n">
        <f aca="false">COUNTIF(Table!$CA:$CA,CONCATENATE($A3,"_",G$1))</f>
        <v>0</v>
      </c>
      <c r="H3" s="19" t="n">
        <f aca="false">COUNTIF(Table!$CA:$CA,CONCATENATE($A3,"_",H$1))</f>
        <v>0</v>
      </c>
      <c r="I3" s="19" t="n">
        <f aca="false">COUNTIF(Table!$CA:$CA,CONCATENATE($A3,"_",I$1))</f>
        <v>0</v>
      </c>
      <c r="J3" s="19" t="n">
        <f aca="false">COUNTIF(Table!$CA:$CA,CONCATENATE($A3,"_",J$1))</f>
        <v>0</v>
      </c>
      <c r="K3" s="19" t="n">
        <f aca="false">COUNTIF(Table!$CA:$CA,CONCATENATE($A3,"_",K$1))</f>
        <v>0</v>
      </c>
      <c r="L3" s="19" t="n">
        <f aca="false">COUNTIF(Table!$CA:$CA,CONCATENATE($A3,"_",L$1))</f>
        <v>0</v>
      </c>
      <c r="M3" s="19" t="n">
        <f aca="false">COUNTIF(Table!$CA:$CA,CONCATENATE($A3,"_",M$1))</f>
        <v>0</v>
      </c>
      <c r="N3" s="19" t="n">
        <f aca="false">COUNTIF(Table!$CA:$CA,CONCATENATE($A3,"_",N$1))</f>
        <v>0</v>
      </c>
      <c r="O3" s="19" t="n">
        <f aca="false">COUNTIF(Table!$CA:$CA,CONCATENATE($A3,"_",O$1))</f>
        <v>0</v>
      </c>
      <c r="P3" s="19" t="n">
        <f aca="false">COUNTIF(Table!$CA:$CA,CONCATENATE($A3,"_",P$1))</f>
        <v>0</v>
      </c>
      <c r="Q3" s="19" t="n">
        <f aca="false">COUNTIF(Table!$CA:$CA,CONCATENATE($A3,"_",Q$1))</f>
        <v>0</v>
      </c>
      <c r="R3" s="19" t="n">
        <f aca="false">COUNTIF(Table!$CA:$CA,CONCATENATE($A3,"_",R$1))</f>
        <v>0</v>
      </c>
      <c r="S3" s="19" t="n">
        <f aca="false">COUNTIF(Table!$CA:$CA,CONCATENATE($A3,"_",S$1))</f>
        <v>0</v>
      </c>
      <c r="T3" s="19" t="n">
        <f aca="false">COUNTIF(Table!$CA:$CA,CONCATENATE($A3,"_",T$1))</f>
        <v>0</v>
      </c>
      <c r="U3" s="19" t="n">
        <f aca="false">COUNTIF(Table!$CA:$CA,CONCATENATE($A3,"_",U$1))</f>
        <v>0</v>
      </c>
      <c r="V3" s="19" t="n">
        <f aca="false">COUNTIF(Table!$CA:$CA,CONCATENATE($A3,"_",V$1))</f>
        <v>0</v>
      </c>
      <c r="W3" s="19" t="n">
        <f aca="false">COUNTIF(Table!$CA:$CA,CONCATENATE($A3,"_",W$1))</f>
        <v>0</v>
      </c>
    </row>
    <row r="4" customFormat="false" ht="15" hidden="false" customHeight="false" outlineLevel="0" collapsed="false">
      <c r="A4" s="34" t="s">
        <v>567</v>
      </c>
      <c r="B4" s="34" t="str">
        <f aca="false">VLOOKUP(A4, Eras!$B$2:$C$10, 2, FALSE())</f>
        <v>Victorian (1850-1900)</v>
      </c>
      <c r="C4" s="19" t="n">
        <f aca="false">COUNTIF(Table!$CA:$CA,CONCATENATE($A4,"_",C$1))</f>
        <v>0</v>
      </c>
      <c r="D4" s="19" t="n">
        <f aca="false">COUNTIF(Table!$CA:$CA,CONCATENATE($A4,"_",D$1))</f>
        <v>0</v>
      </c>
      <c r="E4" s="19" t="n">
        <f aca="false">COUNTIF(Table!$CA:$CA,CONCATENATE($A4,"_",E$1))</f>
        <v>0</v>
      </c>
      <c r="F4" s="19" t="n">
        <f aca="false">COUNTIF(Table!$CA:$CA,CONCATENATE($A4,"_",F$1))</f>
        <v>0</v>
      </c>
      <c r="G4" s="19" t="n">
        <f aca="false">COUNTIF(Table!$CA:$CA,CONCATENATE($A4,"_",G$1))</f>
        <v>0</v>
      </c>
      <c r="H4" s="19" t="n">
        <f aca="false">COUNTIF(Table!$CA:$CA,CONCATENATE($A4,"_",H$1))</f>
        <v>0</v>
      </c>
      <c r="I4" s="19" t="n">
        <f aca="false">COUNTIF(Table!$CA:$CA,CONCATENATE($A4,"_",I$1))</f>
        <v>0</v>
      </c>
      <c r="J4" s="19" t="n">
        <f aca="false">COUNTIF(Table!$CA:$CA,CONCATENATE($A4,"_",J$1))</f>
        <v>0</v>
      </c>
      <c r="K4" s="19" t="n">
        <f aca="false">COUNTIF(Table!$CA:$CA,CONCATENATE($A4,"_",K$1))</f>
        <v>0</v>
      </c>
      <c r="L4" s="19" t="n">
        <f aca="false">COUNTIF(Table!$CA:$CA,CONCATENATE($A4,"_",L$1))</f>
        <v>0</v>
      </c>
      <c r="M4" s="19" t="n">
        <f aca="false">COUNTIF(Table!$CA:$CA,CONCATENATE($A4,"_",M$1))</f>
        <v>0</v>
      </c>
      <c r="N4" s="19" t="n">
        <f aca="false">COUNTIF(Table!$CA:$CA,CONCATENATE($A4,"_",N$1))</f>
        <v>0</v>
      </c>
      <c r="O4" s="19" t="n">
        <f aca="false">COUNTIF(Table!$CA:$CA,CONCATENATE($A4,"_",O$1))</f>
        <v>0</v>
      </c>
      <c r="P4" s="19" t="n">
        <f aca="false">COUNTIF(Table!$CC:$CC,CONCATENATE($A4,"_",P$1))</f>
        <v>0</v>
      </c>
      <c r="Q4" s="19" t="n">
        <f aca="false">COUNTIF(Table!$CA:$CA,CONCATENATE($A4,"_",Q$1))</f>
        <v>0</v>
      </c>
      <c r="R4" s="19" t="n">
        <f aca="false">COUNTIF(Table!$CA:$CA,CONCATENATE($A4,"_",R$1))</f>
        <v>0</v>
      </c>
      <c r="S4" s="19" t="n">
        <f aca="false">COUNTIF(Table!$CA:$CA,CONCATENATE($A4,"_",S$1))</f>
        <v>0</v>
      </c>
      <c r="T4" s="19" t="n">
        <f aca="false">COUNTIF(Table!$CA:$CA,CONCATENATE($A4,"_",T$1))</f>
        <v>0</v>
      </c>
      <c r="U4" s="19" t="n">
        <f aca="false">COUNTIF(Table!$CA:$CA,CONCATENATE($A4,"_",U$1))</f>
        <v>0</v>
      </c>
      <c r="V4" s="19" t="n">
        <f aca="false">COUNTIF(Table!$CA:$CA,CONCATENATE($A4,"_",V$1))</f>
        <v>0</v>
      </c>
      <c r="W4" s="19" t="n">
        <f aca="false">COUNTIF(Table!$CA:$CA,CONCATENATE($A4,"_",W$1))</f>
        <v>0</v>
      </c>
    </row>
    <row r="5" customFormat="false" ht="15" hidden="false" customHeight="false" outlineLevel="0" collapsed="false">
      <c r="A5" s="34" t="s">
        <v>96</v>
      </c>
      <c r="B5" s="34" t="str">
        <f aca="false">VLOOKUP(A5, Eras!$B$2:$C$10, 2, FALSE())</f>
        <v>Edwardian (1900-1920)</v>
      </c>
      <c r="C5" s="19" t="n">
        <f aca="false">COUNTIF(Table!$CA:$CA,CONCATENATE($A5,"_",C$1))</f>
        <v>0</v>
      </c>
      <c r="D5" s="19" t="n">
        <f aca="false">COUNTIF(Table!$CA:$CA,CONCATENATE($A5,"_",D$1))</f>
        <v>0</v>
      </c>
      <c r="E5" s="19" t="n">
        <f aca="false">COUNTIF(Table!$CA:$CA,CONCATENATE($A5,"_",E$1))</f>
        <v>0</v>
      </c>
      <c r="F5" s="19" t="n">
        <f aca="false">COUNTIF(Table!$CA:$CA,CONCATENATE($A5,"_",F$1))</f>
        <v>0</v>
      </c>
      <c r="G5" s="19" t="n">
        <f aca="false">COUNTIF(Table!$CA:$CA,CONCATENATE($A5,"_",G$1))</f>
        <v>0</v>
      </c>
      <c r="H5" s="19" t="n">
        <f aca="false">COUNTIF(Table!$CA:$CA,CONCATENATE($A5,"_",H$1))</f>
        <v>0</v>
      </c>
      <c r="I5" s="19" t="n">
        <f aca="false">COUNTIF(Table!$CA:$CA,CONCATENATE($A5,"_",I$1))</f>
        <v>0</v>
      </c>
      <c r="J5" s="19" t="n">
        <f aca="false">COUNTIF(Table!$CA:$CA,CONCATENATE($A5,"_",J$1))</f>
        <v>0</v>
      </c>
      <c r="K5" s="19" t="n">
        <f aca="false">COUNTIF(Table!$CA:$CA,CONCATENATE($A5,"_",K$1))</f>
        <v>0</v>
      </c>
      <c r="L5" s="19" t="n">
        <f aca="false">COUNTIF(Table!$CA:$CA,CONCATENATE($A5,"_",L$1))</f>
        <v>0</v>
      </c>
      <c r="M5" s="19" t="n">
        <f aca="false">COUNTIF(Table!$CA:$CA,CONCATENATE($A5,"_",M$1))</f>
        <v>0</v>
      </c>
      <c r="N5" s="19" t="n">
        <f aca="false">COUNTIF(Table!$CA:$CA,CONCATENATE($A5,"_",N$1))</f>
        <v>8</v>
      </c>
      <c r="O5" s="19" t="n">
        <f aca="false">COUNTIF(Table!$CA:$CA,CONCATENATE($A5,"_",O$1))</f>
        <v>0</v>
      </c>
      <c r="P5" s="19" t="n">
        <f aca="false">COUNTIF(Table!$CC:$CC,CONCATENATE($A5,"_",P$1))</f>
        <v>0</v>
      </c>
      <c r="Q5" s="19" t="n">
        <f aca="false">COUNTIF(Table!$CA:$CA,CONCATENATE($A5,"_",Q$1))</f>
        <v>1</v>
      </c>
      <c r="R5" s="19" t="n">
        <f aca="false">COUNTIF(Table!$CA:$CA,CONCATENATE($A5,"_",R$1))</f>
        <v>0</v>
      </c>
      <c r="S5" s="19" t="n">
        <f aca="false">COUNTIF(Table!$CA:$CA,CONCATENATE($A5,"_",S$1))</f>
        <v>0</v>
      </c>
      <c r="T5" s="19" t="n">
        <f aca="false">COUNTIF(Table!$CA:$CA,CONCATENATE($A5,"_",T$1))</f>
        <v>0</v>
      </c>
      <c r="U5" s="19" t="n">
        <f aca="false">COUNTIF(Table!$CA:$CA,CONCATENATE($A5,"_",U$1))</f>
        <v>0</v>
      </c>
      <c r="V5" s="19" t="n">
        <f aca="false">COUNTIF(Table!$CA:$CA,CONCATENATE($A5,"_",V$1))</f>
        <v>1</v>
      </c>
      <c r="W5" s="19" t="n">
        <f aca="false">COUNTIF(Table!$CA:$CA,CONCATENATE($A5,"_",W$1))</f>
        <v>0</v>
      </c>
    </row>
    <row r="6" customFormat="false" ht="15" hidden="false" customHeight="false" outlineLevel="0" collapsed="false">
      <c r="A6" s="34" t="s">
        <v>143</v>
      </c>
      <c r="B6" s="34" t="str">
        <f aca="false">VLOOKUP(A6, Eras!$B$2:$C$10, 2, FALSE())</f>
        <v>Big Four (1923-1948)</v>
      </c>
      <c r="C6" s="19" t="n">
        <f aca="false">COUNTIF(Table!$CA:$CA,CONCATENATE($A6,"_",C$1))</f>
        <v>0</v>
      </c>
      <c r="D6" s="19" t="n">
        <f aca="false">COUNTIF(Table!$CA:$CA,CONCATENATE($A6,"_",D$1))</f>
        <v>0</v>
      </c>
      <c r="E6" s="19" t="n">
        <f aca="false">COUNTIF(Table!$CA:$CA,CONCATENATE($A6,"_",E$1))</f>
        <v>2</v>
      </c>
      <c r="F6" s="19" t="n">
        <f aca="false">COUNTIF(Table!$CA:$CA,CONCATENATE($A6,"_",F$1))</f>
        <v>0</v>
      </c>
      <c r="G6" s="19" t="n">
        <f aca="false">COUNTIF(Table!$CA:$CA,CONCATENATE($A6,"_",G$1))</f>
        <v>0</v>
      </c>
      <c r="H6" s="19" t="n">
        <f aca="false">COUNTIF(Table!$CA:$CA,CONCATENATE($A6,"_",H$1))</f>
        <v>0</v>
      </c>
      <c r="I6" s="19" t="n">
        <f aca="false">COUNTIF(Table!$CA:$CA,CONCATENATE($A6,"_",I$1))</f>
        <v>0</v>
      </c>
      <c r="J6" s="19" t="n">
        <f aca="false">COUNTIF(Table!$CA:$CA,CONCATENATE($A6,"_",J$1))</f>
        <v>0</v>
      </c>
      <c r="K6" s="19" t="n">
        <f aca="false">COUNTIF(Table!$CA:$CA,CONCATENATE($A6,"_",K$1))</f>
        <v>0</v>
      </c>
      <c r="L6" s="19" t="n">
        <f aca="false">COUNTIF(Table!$CA:$CA,CONCATENATE($A6,"_",L$1))</f>
        <v>0</v>
      </c>
      <c r="M6" s="19" t="n">
        <f aca="false">COUNTIF(Table!$CA:$CA,CONCATENATE($A6,"_",M$1))</f>
        <v>0</v>
      </c>
      <c r="N6" s="19" t="n">
        <f aca="false">COUNTIF(Table!$CA:$CA,CONCATENATE($A6,"_",N$1))</f>
        <v>2</v>
      </c>
      <c r="O6" s="19" t="n">
        <f aca="false">COUNTIF(Table!$CA:$CA,CONCATENATE($A6,"_",O$1))</f>
        <v>0</v>
      </c>
      <c r="P6" s="19" t="n">
        <f aca="false">COUNTIF(Table!$CC:$CC,CONCATENATE($A6,"_",P$1))</f>
        <v>0</v>
      </c>
      <c r="Q6" s="19" t="n">
        <f aca="false">COUNTIF(Table!$CA:$CA,CONCATENATE($A6,"_",Q$1))</f>
        <v>0</v>
      </c>
      <c r="R6" s="19" t="n">
        <f aca="false">COUNTIF(Table!$CA:$CA,CONCATENATE($A6,"_",R$1))</f>
        <v>0</v>
      </c>
      <c r="S6" s="19" t="n">
        <f aca="false">COUNTIF(Table!$CA:$CA,CONCATENATE($A6,"_",S$1))</f>
        <v>0</v>
      </c>
      <c r="T6" s="19" t="n">
        <f aca="false">COUNTIF(Table!$CA:$CA,CONCATENATE($A6,"_",T$1))</f>
        <v>0</v>
      </c>
      <c r="U6" s="19" t="n">
        <f aca="false">COUNTIF(Table!$CA:$CA,CONCATENATE($A6,"_",U$1))</f>
        <v>0</v>
      </c>
      <c r="V6" s="19" t="n">
        <f aca="false">COUNTIF(Table!$CA:$CA,CONCATENATE($A6,"_",V$1))</f>
        <v>1</v>
      </c>
      <c r="W6" s="19" t="n">
        <f aca="false">COUNTIF(Table!$CA:$CA,CONCATENATE($A6,"_",W$1))</f>
        <v>4</v>
      </c>
    </row>
    <row r="7" customFormat="false" ht="15" hidden="false" customHeight="false" outlineLevel="0" collapsed="false">
      <c r="A7" s="34" t="s">
        <v>568</v>
      </c>
      <c r="B7" s="34" t="str">
        <f aca="false">VLOOKUP(A7, Eras!$B$2:$C$10, 2, FALSE())</f>
        <v>Early BR (1948-1955)</v>
      </c>
      <c r="C7" s="19" t="n">
        <f aca="false">COUNTIF(Table!$CA:$CA,CONCATENATE($A7,"_",C$1))</f>
        <v>0</v>
      </c>
      <c r="D7" s="19" t="n">
        <f aca="false">COUNTIF(Table!$CA:$CA,CONCATENATE($A7,"_",D$1))</f>
        <v>0</v>
      </c>
      <c r="E7" s="19" t="n">
        <f aca="false">COUNTIF(Table!$CA:$CA,CONCATENATE($A7,"_",E$1))</f>
        <v>0</v>
      </c>
      <c r="F7" s="19" t="n">
        <f aca="false">COUNTIF(Table!$CA:$CA,CONCATENATE($A7,"_",F$1))</f>
        <v>0</v>
      </c>
      <c r="G7" s="19" t="n">
        <f aca="false">COUNTIF(Table!$CA:$CA,CONCATENATE($A7,"_",G$1))</f>
        <v>0</v>
      </c>
      <c r="H7" s="19" t="n">
        <f aca="false">COUNTIF(Table!$CA:$CA,CONCATENATE($A7,"_",H$1))</f>
        <v>0</v>
      </c>
      <c r="I7" s="19" t="n">
        <f aca="false">COUNTIF(Table!$CA:$CA,CONCATENATE($A7,"_",I$1))</f>
        <v>0</v>
      </c>
      <c r="J7" s="19" t="n">
        <f aca="false">COUNTIF(Table!$CA:$CA,CONCATENATE($A7,"_",J$1))</f>
        <v>0</v>
      </c>
      <c r="K7" s="19" t="n">
        <f aca="false">COUNTIF(Table!$CA:$CA,CONCATENATE($A7,"_",K$1))</f>
        <v>0</v>
      </c>
      <c r="L7" s="19" t="n">
        <f aca="false">COUNTIF(Table!$CA:$CA,CONCATENATE($A7,"_",L$1))</f>
        <v>0</v>
      </c>
      <c r="M7" s="19" t="n">
        <f aca="false">COUNTIF(Table!$CA:$CA,CONCATENATE($A7,"_",M$1))</f>
        <v>0</v>
      </c>
      <c r="N7" s="19" t="n">
        <f aca="false">COUNTIF(Table!$CA:$CA,CONCATENATE($A7,"_",N$1))</f>
        <v>0</v>
      </c>
      <c r="O7" s="19" t="n">
        <f aca="false">COUNTIF(Table!$CA:$CA,CONCATENATE($A7,"_",O$1))</f>
        <v>0</v>
      </c>
      <c r="P7" s="19" t="n">
        <f aca="false">COUNTIF(Table!$CC:$CC,CONCATENATE($A7,"_",P$1))</f>
        <v>0</v>
      </c>
      <c r="Q7" s="19" t="n">
        <f aca="false">COUNTIF(Table!$CA:$CA,CONCATENATE($A7,"_",Q$1))</f>
        <v>0</v>
      </c>
      <c r="R7" s="19" t="n">
        <f aca="false">COUNTIF(Table!$CA:$CA,CONCATENATE($A7,"_",R$1))</f>
        <v>0</v>
      </c>
      <c r="S7" s="19" t="n">
        <f aca="false">COUNTIF(Table!$CA:$CA,CONCATENATE($A7,"_",S$1))</f>
        <v>0</v>
      </c>
      <c r="T7" s="19" t="n">
        <f aca="false">COUNTIF(Table!$CA:$CA,CONCATENATE($A7,"_",T$1))</f>
        <v>0</v>
      </c>
      <c r="U7" s="19" t="n">
        <f aca="false">COUNTIF(Table!$CA:$CA,CONCATENATE($A7,"_",U$1))</f>
        <v>0</v>
      </c>
      <c r="V7" s="19" t="n">
        <f aca="false">COUNTIF(Table!$CA:$CA,CONCATENATE($A7,"_",V$1))</f>
        <v>0</v>
      </c>
      <c r="W7" s="19" t="n">
        <f aca="false">COUNTIF(Table!$CA:$CA,CONCATENATE($A7,"_",W$1))</f>
        <v>0</v>
      </c>
    </row>
    <row r="8" customFormat="false" ht="15" hidden="false" customHeight="false" outlineLevel="0" collapsed="false">
      <c r="A8" s="34" t="s">
        <v>210</v>
      </c>
      <c r="B8" s="34" t="str">
        <f aca="false">VLOOKUP(A8, Eras!$B$2:$C$10, 2, FALSE())</f>
        <v>Dieselisation (1955-1970)</v>
      </c>
      <c r="C8" s="19" t="n">
        <f aca="false">COUNTIF(Table!$CA:$CA,CONCATENATE($A8,"_",C$1))</f>
        <v>0</v>
      </c>
      <c r="D8" s="19" t="n">
        <f aca="false">COUNTIF(Table!$CA:$CA,CONCATENATE($A8,"_",D$1))</f>
        <v>0</v>
      </c>
      <c r="E8" s="19" t="n">
        <f aca="false">COUNTIF(Table!$CA:$CA,CONCATENATE($A8,"_",E$1))</f>
        <v>0</v>
      </c>
      <c r="F8" s="19" t="n">
        <f aca="false">COUNTIF(Table!$CA:$CA,CONCATENATE($A8,"_",F$1))</f>
        <v>0</v>
      </c>
      <c r="G8" s="19" t="n">
        <f aca="false">COUNTIF(Table!$CA:$CA,CONCATENATE($A8,"_",G$1))</f>
        <v>0</v>
      </c>
      <c r="H8" s="19" t="n">
        <f aca="false">COUNTIF(Table!$CA:$CA,CONCATENATE($A8,"_",H$1))</f>
        <v>0</v>
      </c>
      <c r="I8" s="19" t="n">
        <f aca="false">COUNTIF(Table!$CA:$CA,CONCATENATE($A8,"_",I$1))</f>
        <v>0</v>
      </c>
      <c r="J8" s="19" t="n">
        <f aca="false">COUNTIF(Table!$CA:$CA,CONCATENATE($A8,"_",J$1))</f>
        <v>0</v>
      </c>
      <c r="K8" s="19" t="n">
        <f aca="false">COUNTIF(Table!$CA:$CA,CONCATENATE($A8,"_",K$1))</f>
        <v>0</v>
      </c>
      <c r="L8" s="19" t="n">
        <f aca="false">COUNTIF(Table!$CA:$CA,CONCATENATE($A8,"_",L$1))</f>
        <v>4</v>
      </c>
      <c r="M8" s="19" t="n">
        <f aca="false">COUNTIF(Table!$CA:$CA,CONCATENATE($A8,"_",M$1))</f>
        <v>1</v>
      </c>
      <c r="N8" s="19" t="n">
        <f aca="false">COUNTIF(Table!$CA:$CA,CONCATENATE($A8,"_",N$1))</f>
        <v>5</v>
      </c>
      <c r="O8" s="19" t="n">
        <f aca="false">COUNTIF(Table!$CA:$CA,CONCATENATE($A8,"_",O$1))</f>
        <v>3</v>
      </c>
      <c r="P8" s="19" t="n">
        <f aca="false">COUNTIF(Table!$CC:$CC,CONCATENATE($A8,"_",P$1))</f>
        <v>0</v>
      </c>
      <c r="Q8" s="19" t="n">
        <f aca="false">COUNTIF(Table!$CA:$CA,CONCATENATE($A8,"_",Q$1))</f>
        <v>3</v>
      </c>
      <c r="R8" s="19" t="n">
        <f aca="false">COUNTIF(Table!$CA:$CA,CONCATENATE($A8,"_",R$1))</f>
        <v>1</v>
      </c>
      <c r="S8" s="19" t="n">
        <f aca="false">COUNTIF(Table!$CA:$CA,CONCATENATE($A8,"_",S$1))</f>
        <v>0</v>
      </c>
      <c r="T8" s="19" t="n">
        <f aca="false">COUNTIF(Table!$CA:$CA,CONCATENATE($A8,"_",T$1))</f>
        <v>0</v>
      </c>
      <c r="U8" s="19" t="n">
        <f aca="false">COUNTIF(Table!$CA:$CA,CONCATENATE($A8,"_",U$1))</f>
        <v>0</v>
      </c>
      <c r="V8" s="19" t="n">
        <f aca="false">COUNTIF(Table!$CA:$CA,CONCATENATE($A8,"_",V$1))</f>
        <v>4</v>
      </c>
      <c r="W8" s="19" t="n">
        <f aca="false">COUNTIF(Table!$CA:$CA,CONCATENATE($A8,"_",W$1))</f>
        <v>0</v>
      </c>
    </row>
    <row r="9" customFormat="false" ht="15" hidden="false" customHeight="false" outlineLevel="0" collapsed="false">
      <c r="A9" s="34" t="s">
        <v>164</v>
      </c>
      <c r="B9" s="34" t="str">
        <f aca="false">VLOOKUP(A9, Eras!$B$2:$C$10, 2, FALSE())</f>
        <v>Late BR (1970-1995)</v>
      </c>
      <c r="C9" s="19" t="n">
        <f aca="false">COUNTIF(Table!$CA:$CA,CONCATENATE($A9,"_",C$1))</f>
        <v>0</v>
      </c>
      <c r="D9" s="19" t="n">
        <f aca="false">COUNTIF(Table!$CA:$CA,CONCATENATE($A9,"_",D$1))</f>
        <v>0</v>
      </c>
      <c r="E9" s="19" t="n">
        <f aca="false">COUNTIF(Table!$CA:$CA,CONCATENATE($A9,"_",E$1))</f>
        <v>0</v>
      </c>
      <c r="F9" s="19" t="n">
        <f aca="false">COUNTIF(Table!$CA:$CA,CONCATENATE($A9,"_",F$1))</f>
        <v>3</v>
      </c>
      <c r="G9" s="19" t="n">
        <f aca="false">COUNTIF(Table!$CA:$CA,CONCATENATE($A9,"_",G$1))</f>
        <v>3</v>
      </c>
      <c r="H9" s="19" t="n">
        <f aca="false">COUNTIF(Table!$CA:$CA,CONCATENATE($A9,"_",H$1))</f>
        <v>0</v>
      </c>
      <c r="I9" s="19" t="n">
        <f aca="false">COUNTIF(Table!$CA:$CA,CONCATENATE($A9,"_",I$1))</f>
        <v>3</v>
      </c>
      <c r="J9" s="19" t="n">
        <f aca="false">COUNTIF(Table!$CA:$CA,CONCATENATE($A9,"_",J$1))</f>
        <v>0</v>
      </c>
      <c r="K9" s="19" t="n">
        <f aca="false">COUNTIF(Table!$CA:$CA,CONCATENATE($A9,"_",K$1))</f>
        <v>0</v>
      </c>
      <c r="L9" s="19" t="n">
        <f aca="false">COUNTIF(Table!$CA:$CA,CONCATENATE($A9,"_",L$1))</f>
        <v>5</v>
      </c>
      <c r="M9" s="19" t="n">
        <f aca="false">COUNTIF(Table!$CA:$CA,CONCATENATE($A9,"_",M$1))</f>
        <v>0</v>
      </c>
      <c r="N9" s="19" t="n">
        <f aca="false">COUNTIF(Table!$CA:$CA,CONCATENATE($A9,"_",N$1))</f>
        <v>2</v>
      </c>
      <c r="O9" s="19" t="n">
        <f aca="false">COUNTIF(Table!$CA:$CA,CONCATENATE($A9,"_",O$1))</f>
        <v>9</v>
      </c>
      <c r="P9" s="19" t="n">
        <f aca="false">COUNTIF(Table!$CC:$CC,CONCATENATE($A9,"_",P$1))</f>
        <v>0</v>
      </c>
      <c r="Q9" s="19" t="n">
        <f aca="false">COUNTIF(Table!$CA:$CA,CONCATENATE($A9,"_",Q$1))</f>
        <v>1</v>
      </c>
      <c r="R9" s="19" t="n">
        <f aca="false">COUNTIF(Table!$CA:$CA,CONCATENATE($A9,"_",R$1))</f>
        <v>2</v>
      </c>
      <c r="S9" s="19" t="n">
        <f aca="false">COUNTIF(Table!$CA:$CA,CONCATENATE($A9,"_",S$1))</f>
        <v>0</v>
      </c>
      <c r="T9" s="19" t="n">
        <f aca="false">COUNTIF(Table!$CA:$CA,CONCATENATE($A9,"_",T$1))</f>
        <v>0</v>
      </c>
      <c r="U9" s="19" t="n">
        <f aca="false">COUNTIF(Table!$CA:$CA,CONCATENATE($A9,"_",U$1))</f>
        <v>0</v>
      </c>
      <c r="V9" s="19" t="n">
        <f aca="false">COUNTIF(Table!$CA:$CA,CONCATENATE($A9,"_",V$1))</f>
        <v>1</v>
      </c>
      <c r="W9" s="19" t="n">
        <f aca="false">COUNTIF(Table!$CA:$CA,CONCATENATE($A9,"_",W$1))</f>
        <v>0</v>
      </c>
    </row>
    <row r="10" customFormat="false" ht="15" hidden="false" customHeight="false" outlineLevel="0" collapsed="false">
      <c r="A10" s="34" t="s">
        <v>373</v>
      </c>
      <c r="B10" s="34" t="str">
        <f aca="false">VLOOKUP(A10, Eras!$B$2:$C$10, 2, FALSE())</f>
        <v>Privatisation (1995-2005)</v>
      </c>
      <c r="C10" s="19" t="n">
        <f aca="false">COUNTIF(Table!$CA:$CA,CONCATENATE($A10,"_",C$1))</f>
        <v>0</v>
      </c>
      <c r="D10" s="19" t="n">
        <f aca="false">COUNTIF(Table!$CA:$CA,CONCATENATE($A10,"_",D$1))</f>
        <v>0</v>
      </c>
      <c r="E10" s="19" t="n">
        <f aca="false">COUNTIF(Table!$CA:$CA,CONCATENATE($A10,"_",E$1))</f>
        <v>0</v>
      </c>
      <c r="F10" s="19" t="n">
        <f aca="false">COUNTIF(Table!$CA:$CA,CONCATENATE($A10,"_",F$1))</f>
        <v>0</v>
      </c>
      <c r="G10" s="19" t="n">
        <f aca="false">COUNTIF(Table!$CA:$CA,CONCATENATE($A10,"_",G$1))</f>
        <v>5</v>
      </c>
      <c r="H10" s="19" t="n">
        <f aca="false">COUNTIF(Table!$CA:$CA,CONCATENATE($A10,"_",H$1))</f>
        <v>0</v>
      </c>
      <c r="I10" s="19" t="n">
        <f aca="false">COUNTIF(Table!$CA:$CA,CONCATENATE($A10,"_",I$1))</f>
        <v>0</v>
      </c>
      <c r="J10" s="19" t="n">
        <f aca="false">COUNTIF(Table!$CA:$CA,CONCATENATE($A10,"_",J$1))</f>
        <v>0</v>
      </c>
      <c r="K10" s="19" t="n">
        <f aca="false">COUNTIF(Table!$CA:$CA,CONCATENATE($A10,"_",K$1))</f>
        <v>0</v>
      </c>
      <c r="L10" s="19" t="n">
        <f aca="false">COUNTIF(Table!$CA:$CA,CONCATENATE($A10,"_",L$1))</f>
        <v>0</v>
      </c>
      <c r="M10" s="19" t="n">
        <f aca="false">COUNTIF(Table!$CA:$CA,CONCATENATE($A10,"_",M$1))</f>
        <v>4</v>
      </c>
      <c r="N10" s="19" t="n">
        <f aca="false">COUNTIF(Table!$CA:$CA,CONCATENATE($A10,"_",N$1))</f>
        <v>0</v>
      </c>
      <c r="O10" s="19" t="n">
        <f aca="false">COUNTIF(Table!$CA:$CA,CONCATENATE($A10,"_",O$1))</f>
        <v>0</v>
      </c>
      <c r="P10" s="19" t="n">
        <f aca="false">COUNTIF(Table!$CC:$CC,CONCATENATE($A10,"_",P$1))</f>
        <v>0</v>
      </c>
      <c r="Q10" s="19" t="n">
        <f aca="false">COUNTIF(Table!$CA:$CA,CONCATENATE($A10,"_",Q$1))</f>
        <v>4</v>
      </c>
      <c r="R10" s="19" t="n">
        <f aca="false">COUNTIF(Table!$CA:$CA,CONCATENATE($A10,"_",R$1))</f>
        <v>0</v>
      </c>
      <c r="S10" s="19" t="n">
        <f aca="false">COUNTIF(Table!$CA:$CA,CONCATENATE($A10,"_",S$1))</f>
        <v>0</v>
      </c>
      <c r="T10" s="19" t="n">
        <f aca="false">COUNTIF(Table!$CA:$CA,CONCATENATE($A10,"_",T$1))</f>
        <v>0</v>
      </c>
      <c r="U10" s="19" t="n">
        <f aca="false">COUNTIF(Table!$CA:$CA,CONCATENATE($A10,"_",U$1))</f>
        <v>0</v>
      </c>
      <c r="V10" s="19" t="n">
        <f aca="false">COUNTIF(Table!$CA:$CA,CONCATENATE($A10,"_",V$1))</f>
        <v>0</v>
      </c>
      <c r="W10" s="19" t="n">
        <f aca="false">COUNTIF(Table!$CA:$CA,CONCATENATE($A10,"_",W$1))</f>
        <v>0</v>
      </c>
    </row>
    <row r="11" customFormat="false" ht="15" hidden="false" customHeight="false" outlineLevel="0" collapsed="false">
      <c r="A11" s="34" t="s">
        <v>417</v>
      </c>
      <c r="B11" s="34" t="str">
        <f aca="false">VLOOKUP(A11, Eras!$B$2:$C$10, 2, FALSE())</f>
        <v>Modern (2005-)</v>
      </c>
      <c r="C11" s="19" t="n">
        <f aca="false">COUNTIF(Table!$CA:$CA,CONCATENATE($A11,"_",C$1))</f>
        <v>0</v>
      </c>
      <c r="D11" s="19" t="n">
        <f aca="false">COUNTIF(Table!$CA:$CA,CONCATENATE($A11,"_",D$1))</f>
        <v>0</v>
      </c>
      <c r="E11" s="19" t="n">
        <f aca="false">COUNTIF(Table!$CA:$CA,CONCATENATE($A11,"_",E$1))</f>
        <v>0</v>
      </c>
      <c r="F11" s="19" t="n">
        <f aca="false">COUNTIF(Table!$CA:$CA,CONCATENATE($A11,"_",F$1))</f>
        <v>0</v>
      </c>
      <c r="G11" s="19" t="n">
        <f aca="false">COUNTIF(Table!$CA:$CA,CONCATENATE($A11,"_",G$1))</f>
        <v>0</v>
      </c>
      <c r="H11" s="19" t="n">
        <f aca="false">COUNTIF(Table!$CA:$CA,CONCATENATE($A11,"_",H$1))</f>
        <v>1</v>
      </c>
      <c r="I11" s="19" t="n">
        <f aca="false">COUNTIF(Table!$CA:$CA,CONCATENATE($A11,"_",I$1))</f>
        <v>0</v>
      </c>
      <c r="J11" s="19" t="n">
        <f aca="false">COUNTIF(Table!$CA:$CA,CONCATENATE($A11,"_",J$1))</f>
        <v>0</v>
      </c>
      <c r="K11" s="19" t="n">
        <f aca="false">COUNTIF(Table!$CA:$CA,CONCATENATE($A11,"_",K$1))</f>
        <v>0</v>
      </c>
      <c r="L11" s="19" t="n">
        <f aca="false">COUNTIF(Table!$CA:$CA,CONCATENATE($A11,"_",L$1))</f>
        <v>0</v>
      </c>
      <c r="M11" s="19" t="n">
        <f aca="false">COUNTIF(Table!$CA:$CA,CONCATENATE($A11,"_",M$1))</f>
        <v>0</v>
      </c>
      <c r="N11" s="19" t="n">
        <f aca="false">COUNTIF(Table!$CA:$CA,CONCATENATE($A11,"_",N$1))</f>
        <v>2</v>
      </c>
      <c r="O11" s="19" t="n">
        <f aca="false">COUNTIF(Table!$CA:$CA,CONCATENATE($A11,"_",O$1))</f>
        <v>4</v>
      </c>
      <c r="P11" s="19" t="n">
        <f aca="false">COUNTIF(Table!$CC:$CC,CONCATENATE($A11,"_",P$1))</f>
        <v>0</v>
      </c>
      <c r="Q11" s="19" t="n">
        <f aca="false">COUNTIF(Table!$CA:$CA,CONCATENATE($A11,"_",Q$1))</f>
        <v>3</v>
      </c>
      <c r="R11" s="19" t="n">
        <f aca="false">COUNTIF(Table!$CA:$CA,CONCATENATE($A11,"_",R$1))</f>
        <v>0</v>
      </c>
      <c r="S11" s="19" t="n">
        <f aca="false">COUNTIF(Table!$CA:$CA,CONCATENATE($A11,"_",S$1))</f>
        <v>0</v>
      </c>
      <c r="T11" s="19" t="n">
        <f aca="false">COUNTIF(Table!$CA:$CA,CONCATENATE($A11,"_",T$1))</f>
        <v>0</v>
      </c>
      <c r="U11" s="19" t="n">
        <f aca="false">COUNTIF(Table!$CA:$CA,CONCATENATE($A11,"_",U$1))</f>
        <v>0</v>
      </c>
      <c r="V11" s="19" t="n">
        <f aca="false">COUNTIF(Table!$CA:$CA,CONCATENATE($A11,"_",V$1))</f>
        <v>1</v>
      </c>
      <c r="W11" s="19" t="n">
        <f aca="false">COUNTIF(Table!$CA:$CA,CONCATENATE($A11,"_",W$1))</f>
        <v>0</v>
      </c>
    </row>
    <row r="12" customFormat="false" ht="15" hidden="false" customHeight="true" outlineLevel="0" collapsed="false">
      <c r="H12" s="19"/>
    </row>
  </sheetData>
  <conditionalFormatting sqref="C4:G11 W3:W11 C3:I3 L3:V3 H4:H12 I4:V11">
    <cfRule type="colorScale" priority="2">
      <colorScale>
        <cfvo type="min" val="0"/>
        <cfvo type="num" val="1"/>
        <cfvo type="max" val="0"/>
        <color rgb="FFC55A11"/>
        <color rgb="FFFFEB84"/>
        <color rgb="FFA9D18E"/>
      </colorScale>
    </cfRule>
    <cfRule type="cellIs" priority="3" operator="lessThan" aboveAverage="0" equalAverage="0" bottom="0" percent="0" rank="0" text="" dxfId="18">
      <formula>1</formula>
    </cfRule>
  </conditionalFormatting>
  <conditionalFormatting sqref="K3:K11 J4:J11">
    <cfRule type="colorScale" priority="4">
      <colorScale>
        <cfvo type="min" val="0"/>
        <cfvo type="num" val="1"/>
        <cfvo type="max" val="0"/>
        <color rgb="FFC55A11"/>
        <color rgb="FFFFEB84"/>
        <color rgb="FFA9D18E"/>
      </colorScale>
    </cfRule>
    <cfRule type="cellIs" priority="5" operator="lessThan" aboveAverage="0" equalAverage="0" bottom="0" percent="0" rank="0" text="" dxfId="18">
      <formula>1</formula>
    </cfRule>
  </conditionalFormatting>
  <conditionalFormatting sqref="J3:J11">
    <cfRule type="colorScale" priority="6">
      <colorScale>
        <cfvo type="min" val="0"/>
        <cfvo type="num" val="1"/>
        <cfvo type="max" val="0"/>
        <color rgb="FFC55A11"/>
        <color rgb="FFFFEB84"/>
        <color rgb="FFA9D18E"/>
      </colorScale>
    </cfRule>
    <cfRule type="cellIs" priority="7" operator="lessThan" aboveAverage="0" equalAverage="0" bottom="0" percent="0" rank="0" text="" dxfId="18">
      <formula>1</formula>
    </cfRule>
  </conditionalFormatting>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C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 activeCellId="0" sqref="A1"/>
    </sheetView>
  </sheetViews>
  <sheetFormatPr defaultColWidth="8.60546875" defaultRowHeight="15" customHeight="true" zeroHeight="false" outlineLevelRow="0" outlineLevelCol="0"/>
  <cols>
    <col collapsed="false" customWidth="true" hidden="false" outlineLevel="0" max="1" min="1" style="34" width="9.58"/>
    <col collapsed="false" customWidth="true" hidden="false" outlineLevel="0" max="2" min="2" style="34" width="5.43"/>
    <col collapsed="false" customWidth="true" hidden="false" outlineLevel="0" max="3" min="3" style="34" width="28.99"/>
  </cols>
  <sheetData>
    <row r="1" customFormat="false" ht="15" hidden="false" customHeight="false" outlineLevel="0" collapsed="false">
      <c r="A1" s="39" t="s">
        <v>569</v>
      </c>
      <c r="B1" s="39" t="s">
        <v>570</v>
      </c>
      <c r="C1" s="39" t="s">
        <v>571</v>
      </c>
    </row>
    <row r="2" customFormat="false" ht="15" hidden="false" customHeight="false" outlineLevel="0" collapsed="false">
      <c r="A2" s="34" t="n">
        <v>1700</v>
      </c>
      <c r="B2" s="34" t="s">
        <v>566</v>
      </c>
      <c r="C2" s="34" t="s">
        <v>572</v>
      </c>
    </row>
    <row r="3" customFormat="false" ht="15" hidden="false" customHeight="false" outlineLevel="0" collapsed="false">
      <c r="A3" s="34" t="n">
        <v>1850</v>
      </c>
      <c r="B3" s="34" t="s">
        <v>567</v>
      </c>
      <c r="C3" s="34" t="s">
        <v>573</v>
      </c>
    </row>
    <row r="4" customFormat="false" ht="15" hidden="false" customHeight="false" outlineLevel="0" collapsed="false">
      <c r="A4" s="34" t="n">
        <v>1900</v>
      </c>
      <c r="B4" s="34" t="s">
        <v>96</v>
      </c>
      <c r="C4" s="34" t="s">
        <v>574</v>
      </c>
    </row>
    <row r="5" customFormat="false" ht="15" hidden="false" customHeight="false" outlineLevel="0" collapsed="false">
      <c r="A5" s="34" t="n">
        <v>1923</v>
      </c>
      <c r="B5" s="34" t="s">
        <v>143</v>
      </c>
      <c r="C5" s="34" t="s">
        <v>575</v>
      </c>
    </row>
    <row r="6" customFormat="false" ht="15" hidden="false" customHeight="false" outlineLevel="0" collapsed="false">
      <c r="A6" s="34" t="n">
        <v>1948</v>
      </c>
      <c r="B6" s="34" t="s">
        <v>568</v>
      </c>
      <c r="C6" s="34" t="s">
        <v>576</v>
      </c>
    </row>
    <row r="7" customFormat="false" ht="15" hidden="false" customHeight="false" outlineLevel="0" collapsed="false">
      <c r="A7" s="34" t="n">
        <v>1955</v>
      </c>
      <c r="B7" s="34" t="s">
        <v>210</v>
      </c>
      <c r="C7" s="34" t="s">
        <v>577</v>
      </c>
    </row>
    <row r="8" customFormat="false" ht="15" hidden="false" customHeight="false" outlineLevel="0" collapsed="false">
      <c r="A8" s="34" t="n">
        <v>1970</v>
      </c>
      <c r="B8" s="34" t="s">
        <v>164</v>
      </c>
      <c r="C8" s="34" t="s">
        <v>578</v>
      </c>
    </row>
    <row r="9" customFormat="false" ht="15" hidden="false" customHeight="false" outlineLevel="0" collapsed="false">
      <c r="A9" s="34" t="n">
        <v>1995</v>
      </c>
      <c r="B9" s="34" t="s">
        <v>373</v>
      </c>
      <c r="C9" s="34" t="s">
        <v>579</v>
      </c>
    </row>
    <row r="10" customFormat="false" ht="15" hidden="false" customHeight="false" outlineLevel="0" collapsed="false">
      <c r="A10" s="34" t="n">
        <v>2005</v>
      </c>
      <c r="B10" s="34" t="s">
        <v>417</v>
      </c>
      <c r="C10" s="34" t="s">
        <v>580</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O35"/>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6" activeCellId="0" sqref="A6"/>
    </sheetView>
  </sheetViews>
  <sheetFormatPr defaultColWidth="8.60546875" defaultRowHeight="15" customHeight="true" zeroHeight="false" outlineLevelRow="0" outlineLevelCol="0"/>
  <cols>
    <col collapsed="false" customWidth="true" hidden="false" outlineLevel="0" max="1" min="1" style="34" width="7"/>
    <col collapsed="false" customWidth="true" hidden="false" outlineLevel="0" max="2" min="2" style="34" width="13.3"/>
    <col collapsed="false" customWidth="true" hidden="false" outlineLevel="0" max="3" min="3" style="34" width="20.14"/>
    <col collapsed="false" customWidth="true" hidden="false" outlineLevel="0" max="6" min="6" style="34" width="27.43"/>
    <col collapsed="false" customWidth="true" hidden="false" outlineLevel="0" max="9" min="9" style="34" width="14.69"/>
    <col collapsed="false" customWidth="true" hidden="false" outlineLevel="0" max="10" min="10" style="34" width="18.13"/>
    <col collapsed="false" customWidth="true" hidden="false" outlineLevel="0" max="11" min="11" style="34" width="18.86"/>
    <col collapsed="false" customWidth="true" hidden="false" outlineLevel="0" max="13" min="13" style="34" width="19.72"/>
    <col collapsed="false" customWidth="true" hidden="false" outlineLevel="0" max="14" min="14" style="34" width="27.28"/>
    <col collapsed="false" customWidth="true" hidden="false" outlineLevel="0" max="15" min="15" style="34" width="6.7"/>
  </cols>
  <sheetData>
    <row r="1" customFormat="false" ht="15" hidden="false" customHeight="false" outlineLevel="0" collapsed="false">
      <c r="A1" s="39" t="s">
        <v>581</v>
      </c>
      <c r="B1" s="39" t="s">
        <v>582</v>
      </c>
      <c r="C1" s="39" t="s">
        <v>583</v>
      </c>
      <c r="F1" s="39" t="s">
        <v>584</v>
      </c>
      <c r="G1" s="34" t="n">
        <v>15</v>
      </c>
      <c r="I1" s="39" t="s">
        <v>585</v>
      </c>
      <c r="J1" s="39" t="s">
        <v>586</v>
      </c>
      <c r="K1" s="39" t="s">
        <v>587</v>
      </c>
      <c r="M1" s="39" t="s">
        <v>588</v>
      </c>
      <c r="N1" s="39" t="s">
        <v>589</v>
      </c>
      <c r="O1" s="39" t="s">
        <v>13</v>
      </c>
    </row>
    <row r="2" customFormat="false" ht="15" hidden="false" customHeight="false" outlineLevel="0" collapsed="false">
      <c r="A2" s="34" t="n">
        <v>0</v>
      </c>
      <c r="B2" s="34" t="s">
        <v>590</v>
      </c>
      <c r="F2" s="39" t="s">
        <v>591</v>
      </c>
      <c r="G2" s="34" t="n">
        <v>5</v>
      </c>
      <c r="I2" s="34" t="s">
        <v>152</v>
      </c>
      <c r="J2" s="34" t="n">
        <v>1</v>
      </c>
      <c r="K2" s="34" t="n">
        <v>2</v>
      </c>
      <c r="M2" s="34" t="s">
        <v>268</v>
      </c>
      <c r="N2" s="34" t="str">
        <f aca="false">IF(O2&lt;&gt;"", _xlfn.CONCAT("{BLACK}Powered by: {GOLD}",O2), "")</f>
        <v>{BLACK}Powered by: {GOLD}Diesel</v>
      </c>
      <c r="O2" s="34" t="s">
        <v>592</v>
      </c>
    </row>
    <row r="3" customFormat="false" ht="15" hidden="false" customHeight="false" outlineLevel="0" collapsed="false">
      <c r="A3" s="34" t="n">
        <v>3</v>
      </c>
      <c r="B3" s="34" t="s">
        <v>162</v>
      </c>
      <c r="C3" s="34" t="s">
        <v>162</v>
      </c>
      <c r="I3" s="34" t="s">
        <v>91</v>
      </c>
      <c r="J3" s="34" t="n">
        <v>0.85</v>
      </c>
      <c r="K3" s="34" t="n">
        <v>2.3</v>
      </c>
      <c r="M3" s="34" t="s">
        <v>593</v>
      </c>
      <c r="N3" s="34" t="str">
        <f aca="false">IF(O3&lt;&gt;"", _xlfn.CONCAT("{BLACK}Powered by: {GOLD}",O3), "")</f>
        <v>{BLACK}Powered by: {GOLD}Steam</v>
      </c>
      <c r="O3" s="34" t="s">
        <v>594</v>
      </c>
    </row>
    <row r="4" customFormat="false" ht="15" hidden="false" customHeight="false" outlineLevel="0" collapsed="false">
      <c r="A4" s="34" t="n">
        <v>4</v>
      </c>
      <c r="B4" s="34" t="s">
        <v>595</v>
      </c>
      <c r="C4" s="34" t="s">
        <v>595</v>
      </c>
      <c r="I4" s="34" t="s">
        <v>596</v>
      </c>
      <c r="J4" s="34" t="n">
        <v>1.15</v>
      </c>
      <c r="K4" s="34" t="n">
        <v>1.7</v>
      </c>
      <c r="M4" s="34" t="s">
        <v>597</v>
      </c>
      <c r="N4" s="34" t="str">
        <f aca="false">IF(O4&lt;&gt;"", _xlfn.CONCAT("{BLACK}Powered by: {GOLD}",O4), "")</f>
        <v>{BLACK}Powered by: {GOLD}25kV AC</v>
      </c>
      <c r="O4" s="34" t="s">
        <v>598</v>
      </c>
    </row>
    <row r="5" customFormat="false" ht="15" hidden="false" customHeight="false" outlineLevel="0" collapsed="false">
      <c r="A5" s="34" t="n">
        <v>5</v>
      </c>
      <c r="B5" s="34" t="s">
        <v>599</v>
      </c>
      <c r="C5" s="34" t="s">
        <v>599</v>
      </c>
      <c r="I5" s="34" t="s">
        <v>256</v>
      </c>
      <c r="J5" s="34" t="n">
        <v>0.9</v>
      </c>
      <c r="K5" s="34" t="n">
        <v>2.5</v>
      </c>
      <c r="M5" s="34" t="s">
        <v>600</v>
      </c>
      <c r="N5" s="34" t="str">
        <f aca="false">IF(O5&lt;&gt;"", _xlfn.CONCAT("{BLACK}Powered by: {GOLD}",O5), "")</f>
        <v>{BLACK}Powered by: {GOLD}750V DC</v>
      </c>
      <c r="O5" s="34" t="s">
        <v>601</v>
      </c>
    </row>
    <row r="6" customFormat="false" ht="15" hidden="false" customHeight="false" outlineLevel="0" collapsed="false">
      <c r="A6" s="34" t="n">
        <v>6</v>
      </c>
      <c r="B6" s="34" t="s">
        <v>602</v>
      </c>
      <c r="C6" s="34" t="s">
        <v>602</v>
      </c>
      <c r="I6" s="34" t="s">
        <v>333</v>
      </c>
      <c r="J6" s="34" t="n">
        <v>0.85</v>
      </c>
      <c r="K6" s="34" t="n">
        <v>2.4</v>
      </c>
      <c r="M6" s="34" t="s">
        <v>603</v>
      </c>
      <c r="N6" s="34" t="str">
        <f aca="false">IF(O6&lt;&gt;"", _xlfn.CONCAT("{BLACK}Powered by: {GOLD}",O6), "")</f>
        <v/>
      </c>
    </row>
    <row r="7" customFormat="false" ht="15" hidden="false" customHeight="false" outlineLevel="0" collapsed="false">
      <c r="A7" s="34" t="n">
        <v>7</v>
      </c>
      <c r="B7" s="34" t="s">
        <v>604</v>
      </c>
      <c r="C7" s="34" t="s">
        <v>604</v>
      </c>
      <c r="I7" s="34" t="s">
        <v>497</v>
      </c>
      <c r="J7" s="34" t="n">
        <v>1.2</v>
      </c>
      <c r="K7" s="34" t="n">
        <v>0.6</v>
      </c>
      <c r="M7" s="34" t="s">
        <v>605</v>
      </c>
      <c r="N7" s="34" t="str">
        <f aca="false">IF(O7&lt;&gt;"", _xlfn.CONCAT("{BLACK}Powered by: {GOLD}",O7), "")</f>
        <v/>
      </c>
    </row>
    <row r="8" customFormat="false" ht="15" hidden="false" customHeight="false" outlineLevel="0" collapsed="false">
      <c r="A8" s="34" t="n">
        <v>8</v>
      </c>
      <c r="B8" s="34" t="s">
        <v>606</v>
      </c>
      <c r="C8" s="34" t="s">
        <v>606</v>
      </c>
      <c r="I8" s="34" t="s">
        <v>492</v>
      </c>
      <c r="J8" s="34" t="n">
        <v>1.5</v>
      </c>
      <c r="K8" s="34" t="n">
        <v>0.7</v>
      </c>
      <c r="M8" s="34" t="s">
        <v>607</v>
      </c>
      <c r="N8" s="34" t="str">
        <f aca="false">IF(O8&lt;&gt;"", _xlfn.CONCAT("{BLACK}Powered by: {GOLD}",O8), "")</f>
        <v/>
      </c>
    </row>
    <row r="9" customFormat="false" ht="15" hidden="false" customHeight="false" outlineLevel="0" collapsed="false">
      <c r="A9" s="34" t="n">
        <v>9</v>
      </c>
      <c r="B9" s="34" t="s">
        <v>608</v>
      </c>
      <c r="C9" s="34" t="s">
        <v>608</v>
      </c>
      <c r="I9" s="34" t="s">
        <v>445</v>
      </c>
      <c r="J9" s="34" t="n">
        <v>1</v>
      </c>
      <c r="K9" s="34" t="n">
        <v>0.45</v>
      </c>
      <c r="M9" s="34" t="s">
        <v>609</v>
      </c>
      <c r="N9" s="34" t="str">
        <f aca="false">IF(O9&lt;&gt;"", _xlfn.CONCAT("{BLACK}Powered by: {GOLD}",O9), "")</f>
        <v/>
      </c>
    </row>
    <row r="10" customFormat="false" ht="15" hidden="false" customHeight="false" outlineLevel="0" collapsed="false">
      <c r="A10" s="34" t="n">
        <v>10</v>
      </c>
      <c r="B10" s="34" t="s">
        <v>610</v>
      </c>
      <c r="C10" s="34" t="s">
        <v>610</v>
      </c>
      <c r="I10" s="34" t="s">
        <v>463</v>
      </c>
      <c r="J10" s="34" t="n">
        <v>1</v>
      </c>
      <c r="K10" s="34" t="n">
        <v>0.4</v>
      </c>
      <c r="M10" s="34" t="s">
        <v>611</v>
      </c>
      <c r="N10" s="34" t="str">
        <f aca="false">IF(O10&lt;&gt;"", _xlfn.CONCAT("{BLACK}Powered by: {GOLD}",O10), "")</f>
        <v>{BLACK}Powered by: {GOLD}Steam</v>
      </c>
      <c r="O10" s="34" t="s">
        <v>594</v>
      </c>
    </row>
    <row r="11" customFormat="false" ht="15" hidden="false" customHeight="false" outlineLevel="0" collapsed="false">
      <c r="A11" s="34" t="n">
        <v>11</v>
      </c>
      <c r="B11" s="34" t="s">
        <v>612</v>
      </c>
      <c r="C11" s="34" t="s">
        <v>612</v>
      </c>
      <c r="I11" s="34" t="s">
        <v>613</v>
      </c>
      <c r="J11" s="34" t="n">
        <v>0.9</v>
      </c>
      <c r="K11" s="34" t="n">
        <v>1.6</v>
      </c>
      <c r="M11" s="34" t="s">
        <v>614</v>
      </c>
      <c r="N11" s="34" t="str">
        <f aca="false">IF(O11&lt;&gt;"", _xlfn.CONCAT("{BLACK}Powered by: {GOLD}",O11), "")</f>
        <v>{BLACK}Powered by: {GOLD}750V DC / Diesel</v>
      </c>
      <c r="O11" s="34" t="s">
        <v>615</v>
      </c>
    </row>
    <row r="12" customFormat="false" ht="15" hidden="false" customHeight="false" outlineLevel="0" collapsed="false">
      <c r="A12" s="34" t="n">
        <v>12</v>
      </c>
      <c r="B12" s="34" t="s">
        <v>616</v>
      </c>
      <c r="C12" s="34" t="s">
        <v>616</v>
      </c>
      <c r="I12" s="34" t="s">
        <v>38</v>
      </c>
      <c r="J12" s="34" t="n">
        <v>0</v>
      </c>
      <c r="K12" s="34" t="n">
        <v>0</v>
      </c>
      <c r="M12" s="34" t="s">
        <v>617</v>
      </c>
      <c r="N12" s="34" t="str">
        <f aca="false">IF(O12&lt;&gt;"", _xlfn.CONCAT("{BLACK}Powered by: {GOLD}",O12), "")</f>
        <v>{BLACK}Powered by: {GOLD}25kV AC / 750V DC</v>
      </c>
      <c r="O12" s="34" t="s">
        <v>618</v>
      </c>
    </row>
    <row r="13" customFormat="false" ht="15" hidden="false" customHeight="false" outlineLevel="0" collapsed="false">
      <c r="A13" s="34" t="n">
        <v>13</v>
      </c>
      <c r="B13" s="34" t="s">
        <v>619</v>
      </c>
      <c r="C13" s="34" t="s">
        <v>619</v>
      </c>
      <c r="I13" s="34" t="s">
        <v>620</v>
      </c>
      <c r="J13" s="34" t="n">
        <v>1.05</v>
      </c>
      <c r="K13" s="34" t="n">
        <v>1.9</v>
      </c>
      <c r="M13" s="34" t="s">
        <v>621</v>
      </c>
      <c r="N13" s="34" t="str">
        <f aca="false">IF(O13&lt;&gt;"", _xlfn.CONCAT("{BLACK}Powered by: {GOLD}",O13), "")</f>
        <v/>
      </c>
    </row>
    <row r="14" customFormat="false" ht="15" hidden="false" customHeight="false" outlineLevel="0" collapsed="false">
      <c r="A14" s="34" t="n">
        <v>14</v>
      </c>
      <c r="B14" s="34" t="s">
        <v>622</v>
      </c>
      <c r="C14" s="34" t="s">
        <v>622</v>
      </c>
      <c r="I14" s="34" t="s">
        <v>623</v>
      </c>
      <c r="J14" s="34" t="n">
        <v>0.98</v>
      </c>
      <c r="K14" s="34" t="n">
        <v>1.88</v>
      </c>
      <c r="M14" s="34" t="s">
        <v>624</v>
      </c>
      <c r="N14" s="34" t="str">
        <f aca="false">IF(O14&lt;&gt;"", _xlfn.CONCAT("{BLACK}Powered by: {GOLD}",O14), "")</f>
        <v/>
      </c>
    </row>
    <row r="15" customFormat="false" ht="15" hidden="false" customHeight="false" outlineLevel="0" collapsed="false">
      <c r="A15" s="34" t="n">
        <v>15</v>
      </c>
      <c r="B15" s="34" t="s">
        <v>625</v>
      </c>
      <c r="C15" s="34" t="s">
        <v>625</v>
      </c>
      <c r="I15" s="34" t="s">
        <v>626</v>
      </c>
      <c r="J15" s="34" t="n">
        <v>0.5</v>
      </c>
      <c r="K15" s="34" t="n">
        <v>0.5</v>
      </c>
      <c r="M15" s="34" t="s">
        <v>627</v>
      </c>
      <c r="N15" s="34" t="str">
        <f aca="false">IF(O15&lt;&gt;"", _xlfn.CONCAT("{BLACK}Powered by: {GOLD}",O15), "")</f>
        <v/>
      </c>
    </row>
    <row r="16" customFormat="false" ht="15" hidden="false" customHeight="false" outlineLevel="0" collapsed="false">
      <c r="A16" s="34" t="n">
        <v>16</v>
      </c>
      <c r="B16" s="34" t="s">
        <v>628</v>
      </c>
      <c r="C16" s="34" t="s">
        <v>628</v>
      </c>
      <c r="I16" s="34" t="s">
        <v>277</v>
      </c>
      <c r="J16" s="34" t="n">
        <v>0.85</v>
      </c>
      <c r="K16" s="34" t="n">
        <v>2.3</v>
      </c>
      <c r="M16" s="34" t="s">
        <v>629</v>
      </c>
      <c r="N16" s="34" t="str">
        <f aca="false">IF(O16&lt;&gt;"", _xlfn.CONCAT("{BLACK}Powered by: {GOLD}",O16), "")</f>
        <v>{BLACK}Powered by: {GOLD}Petrol</v>
      </c>
      <c r="O16" s="34" t="s">
        <v>630</v>
      </c>
    </row>
    <row r="17" customFormat="false" ht="15" hidden="false" customHeight="false" outlineLevel="0" collapsed="false">
      <c r="I17" s="34" t="s">
        <v>631</v>
      </c>
      <c r="J17" s="34" t="n">
        <v>1</v>
      </c>
      <c r="K17" s="34" t="n">
        <v>2</v>
      </c>
      <c r="M17" s="34" t="s">
        <v>632</v>
      </c>
      <c r="N17" s="34" t="str">
        <f aca="false">IF(O17&lt;&gt;"", _xlfn.CONCAT("{BLACK}Powered by: {GOLD}",O17), "")</f>
        <v>{BLACK}Powered by: {GOLD}25kV AC / Diesel</v>
      </c>
      <c r="O17" s="34" t="s">
        <v>633</v>
      </c>
    </row>
    <row r="18" customFormat="false" ht="15" hidden="false" customHeight="false" outlineLevel="0" collapsed="false">
      <c r="I18" s="34" t="s">
        <v>634</v>
      </c>
      <c r="J18" s="34" t="n">
        <v>0.8</v>
      </c>
      <c r="K18" s="34" t="n">
        <v>2.3</v>
      </c>
      <c r="M18" s="34" t="s">
        <v>635</v>
      </c>
      <c r="N18" s="34" t="str">
        <f aca="false">IF(O18&lt;&gt;"", _xlfn.CONCAT("{BLACK}Powered by: {GOLD}",O18), "")</f>
        <v>{BLACK}Powered by: {GOLD}LPG / Flywheel</v>
      </c>
      <c r="O18" s="34" t="s">
        <v>636</v>
      </c>
    </row>
    <row r="19" customFormat="false" ht="15" hidden="false" customHeight="false" outlineLevel="0" collapsed="false">
      <c r="I19" s="34" t="s">
        <v>540</v>
      </c>
      <c r="J19" s="34" t="n">
        <v>1</v>
      </c>
      <c r="K19" s="34" t="n">
        <v>2</v>
      </c>
      <c r="M19" s="34" t="s">
        <v>637</v>
      </c>
      <c r="N19" s="34" t="str">
        <f aca="false">IF(O19&lt;&gt;"", _xlfn.CONCAT("{BLACK}Powered by: {GOLD}",O19), "")</f>
        <v/>
      </c>
    </row>
    <row r="20" customFormat="false" ht="15" hidden="false" customHeight="false" outlineLevel="0" collapsed="false">
      <c r="M20" s="34" t="s">
        <v>638</v>
      </c>
      <c r="N20" s="34" t="str">
        <f aca="false">IF(O20&lt;&gt;"", _xlfn.CONCAT("{BLACK}Powered by: {GOLD}",O20), "")</f>
        <v>{BLACK}Powered by: {GOLD}Steam</v>
      </c>
      <c r="O20" s="34" t="s">
        <v>594</v>
      </c>
    </row>
    <row r="21" customFormat="false" ht="15" hidden="false" customHeight="false" outlineLevel="0" collapsed="false">
      <c r="M21" s="34" t="s">
        <v>639</v>
      </c>
      <c r="N21" s="34" t="str">
        <f aca="false">IF(O21&lt;&gt;"", _xlfn.CONCAT("{BLACK}Powered by: {GOLD}",O21), "")</f>
        <v/>
      </c>
    </row>
    <row r="22" customFormat="false" ht="15" hidden="false" customHeight="false" outlineLevel="0" collapsed="false">
      <c r="M22" s="34" t="s">
        <v>640</v>
      </c>
      <c r="N22" s="34" t="str">
        <f aca="false">IF(O22&lt;&gt;"", _xlfn.CONCAT("{BLACK}Powered by: {GOLD}",O22), "")</f>
        <v>{BLACK}Powered by: {GOLD}Grass and hay</v>
      </c>
      <c r="O22" s="34" t="s">
        <v>641</v>
      </c>
    </row>
    <row r="23" customFormat="false" ht="15" hidden="false" customHeight="false" outlineLevel="0" collapsed="false">
      <c r="M23" s="34" t="s">
        <v>642</v>
      </c>
      <c r="N23" s="34" t="str">
        <f aca="false">IF(O23&lt;&gt;"", _xlfn.CONCAT("{BLACK}Powered by: {GOLD}",O23), "")</f>
        <v>{BLACK}Powered by: {GOLD}630V DC</v>
      </c>
      <c r="O23" s="34" t="s">
        <v>643</v>
      </c>
    </row>
    <row r="24" customFormat="false" ht="15" hidden="false" customHeight="false" outlineLevel="0" collapsed="false">
      <c r="M24" s="34" t="s">
        <v>644</v>
      </c>
      <c r="N24" s="34" t="str">
        <f aca="false">IF(O24&lt;&gt;"", _xlfn.CONCAT("{BLACK}Powered by: {GOLD}",O24), "")</f>
        <v/>
      </c>
    </row>
    <row r="25" customFormat="false" ht="15" hidden="false" customHeight="false" outlineLevel="0" collapsed="false">
      <c r="M25" s="34" t="s">
        <v>645</v>
      </c>
      <c r="N25" s="34" t="str">
        <f aca="false">IF(O25&lt;&gt;"", _xlfn.CONCAT("{BLACK}Powered by: {GOLD}",O25), "")</f>
        <v/>
      </c>
    </row>
    <row r="26" customFormat="false" ht="15" hidden="false" customHeight="false" outlineLevel="0" collapsed="false">
      <c r="M26" s="34" t="s">
        <v>646</v>
      </c>
      <c r="N26" s="34" t="str">
        <f aca="false">IF(O26&lt;&gt;"", _xlfn.CONCAT("{BLACK}Powered by: {GOLD}",O26), "")</f>
        <v>{BLACK}Powered by: {GOLD}Grass and hay</v>
      </c>
      <c r="O26" s="34" t="s">
        <v>641</v>
      </c>
    </row>
    <row r="27" customFormat="false" ht="15" hidden="false" customHeight="false" outlineLevel="0" collapsed="false">
      <c r="M27" s="34" t="s">
        <v>647</v>
      </c>
      <c r="N27" s="34" t="str">
        <f aca="false">IF(O27&lt;&gt;"", _xlfn.CONCAT("{BLACK}Powered by: {GOLD}",O27), "")</f>
        <v/>
      </c>
    </row>
    <row r="28" customFormat="false" ht="15" hidden="false" customHeight="false" outlineLevel="0" collapsed="false">
      <c r="M28" s="34" t="s">
        <v>648</v>
      </c>
      <c r="N28" s="34" t="str">
        <f aca="false">IF(O28&lt;&gt;"", _xlfn.CONCAT("{BLACK}Powered by: {GOLD}",O28), "")</f>
        <v>{BLACK}Powered by: {GOLD}Diesel</v>
      </c>
      <c r="O28" s="34" t="s">
        <v>592</v>
      </c>
    </row>
    <row r="29" customFormat="false" ht="15" hidden="false" customHeight="false" outlineLevel="0" collapsed="false">
      <c r="M29" s="34" t="s">
        <v>649</v>
      </c>
      <c r="N29" s="34" t="str">
        <f aca="false">IF(O29&lt;&gt;"", _xlfn.CONCAT("{BLACK}Powered by: {GOLD}",O29), "")</f>
        <v/>
      </c>
      <c r="O29" s="34" t="str">
        <f aca="false">IF(P29&lt;&gt;"", _xlfn.CONCAT("{BLACK}Powered by: {GOLD}",P29), "")</f>
        <v/>
      </c>
    </row>
    <row r="30" customFormat="false" ht="15" hidden="false" customHeight="false" outlineLevel="0" collapsed="false">
      <c r="M30" s="34" t="s">
        <v>650</v>
      </c>
      <c r="N30" s="34" t="str">
        <f aca="false">IF(O30&lt;&gt;"", _xlfn.CONCAT("{BLACK}Powered by: {GOLD}",O30), "")</f>
        <v>{BLACK}Powered by: {GOLD}Gas Turbine</v>
      </c>
      <c r="O30" s="34" t="s">
        <v>651</v>
      </c>
    </row>
    <row r="31" customFormat="false" ht="15" hidden="false" customHeight="false" outlineLevel="0" collapsed="false">
      <c r="M31" s="34" t="s">
        <v>652</v>
      </c>
      <c r="N31" s="34" t="str">
        <f aca="false">IF(O31&lt;&gt;"", _xlfn.CONCAT("{BLACK}Powered by: {GOLD}",O31), "")</f>
        <v>{BLACK}Powered by: {GOLD}Petrol</v>
      </c>
      <c r="O31" s="34" t="s">
        <v>630</v>
      </c>
    </row>
    <row r="32" customFormat="false" ht="15" hidden="false" customHeight="false" outlineLevel="0" collapsed="false">
      <c r="M32" s="34" t="s">
        <v>653</v>
      </c>
      <c r="N32" s="34" t="str">
        <f aca="false">IF(O32&lt;&gt;"", _xlfn.CONCAT("{BLACK}Powered by: {GOLD}",O32), "")</f>
        <v/>
      </c>
    </row>
    <row r="33" customFormat="false" ht="15" hidden="false" customHeight="false" outlineLevel="0" collapsed="false">
      <c r="M33" s="34" t="s">
        <v>654</v>
      </c>
      <c r="N33" s="34" t="str">
        <f aca="false">IF(O33&lt;&gt;"", _xlfn.CONCAT("{BLACK}Powered by: {GOLD}",O33), "")</f>
        <v>{BLACK}Powered by: {GOLD}750V DC / Battery</v>
      </c>
      <c r="O33" s="34" t="s">
        <v>655</v>
      </c>
    </row>
    <row r="34" customFormat="false" ht="15" hidden="false" customHeight="true" outlineLevel="0" collapsed="false">
      <c r="M34" s="34" t="s">
        <v>656</v>
      </c>
      <c r="N34" s="34" t="str">
        <f aca="false">IF(O34&lt;&gt;"", _xlfn.CONCAT("{BLACK}Powered by: {GOLD}",O34), "")</f>
        <v>{BLACK}Powered by: {GOLD}25kV AC</v>
      </c>
      <c r="O34" s="34" t="s">
        <v>598</v>
      </c>
    </row>
    <row r="35" customFormat="false" ht="15" hidden="false" customHeight="true" outlineLevel="0" collapsed="false">
      <c r="M35" s="34" t="s">
        <v>657</v>
      </c>
      <c r="N35" s="34" t="str">
        <f aca="false">IF(O35&lt;&gt;"", _xlfn.CONCAT("{BLACK}Powered by: {GOLD}",O35), "")</f>
        <v>{BLACK}Powered by: {GOLD}Diesel</v>
      </c>
      <c r="O35" s="34" t="s">
        <v>592</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D18"/>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B7" activeCellId="0" sqref="B7"/>
    </sheetView>
  </sheetViews>
  <sheetFormatPr defaultColWidth="8.60546875" defaultRowHeight="15" customHeight="true" zeroHeight="false" outlineLevelRow="0" outlineLevelCol="0"/>
  <cols>
    <col collapsed="false" customWidth="true" hidden="false" outlineLevel="0" max="2" min="1" style="34" width="10.71"/>
    <col collapsed="false" customWidth="true" hidden="false" outlineLevel="0" max="4" min="3" style="34" width="21.43"/>
  </cols>
  <sheetData>
    <row r="1" customFormat="false" ht="15" hidden="false" customHeight="false" outlineLevel="0" collapsed="false">
      <c r="A1" s="39" t="s">
        <v>658</v>
      </c>
      <c r="B1" s="39" t="s">
        <v>659</v>
      </c>
      <c r="C1" s="39" t="s">
        <v>660</v>
      </c>
      <c r="D1" s="39" t="s">
        <v>661</v>
      </c>
    </row>
    <row r="2" customFormat="false" ht="15" hidden="false" customHeight="false" outlineLevel="0" collapsed="false">
      <c r="A2" s="34" t="n">
        <v>0</v>
      </c>
      <c r="B2" s="34" t="n">
        <f aca="false">IF(D2,D2,C2)</f>
        <v>0</v>
      </c>
      <c r="C2" s="34" t="n">
        <f aca="false">INT(A2*(256/15))</f>
        <v>0</v>
      </c>
      <c r="D2" s="39"/>
    </row>
    <row r="3" customFormat="false" ht="15" hidden="false" customHeight="false" outlineLevel="0" collapsed="false">
      <c r="A3" s="34" t="n">
        <v>1</v>
      </c>
      <c r="B3" s="34" t="n">
        <f aca="false">IF(D3,D3,C3)</f>
        <v>17</v>
      </c>
      <c r="C3" s="34" t="n">
        <f aca="false">INT(A3*(256/15))</f>
        <v>17</v>
      </c>
    </row>
    <row r="4" customFormat="false" ht="15" hidden="false" customHeight="false" outlineLevel="0" collapsed="false">
      <c r="A4" s="34" t="n">
        <v>2</v>
      </c>
      <c r="B4" s="34" t="n">
        <f aca="false">IF(D4,D4,C4)</f>
        <v>34</v>
      </c>
      <c r="C4" s="34" t="n">
        <f aca="false">INT(A4*(256/15))</f>
        <v>34</v>
      </c>
    </row>
    <row r="5" customFormat="false" ht="15" hidden="false" customHeight="false" outlineLevel="0" collapsed="false">
      <c r="A5" s="34" t="n">
        <v>3</v>
      </c>
      <c r="B5" s="34" t="n">
        <f aca="false">IF(D5,D5,C5)</f>
        <v>51</v>
      </c>
      <c r="C5" s="34" t="n">
        <f aca="false">INT(A5*(256/15))</f>
        <v>51</v>
      </c>
    </row>
    <row r="6" customFormat="false" ht="15" hidden="false" customHeight="false" outlineLevel="0" collapsed="false">
      <c r="A6" s="34" t="n">
        <v>4</v>
      </c>
      <c r="B6" s="34" t="n">
        <f aca="false">IF(D6,D6,C6)</f>
        <v>66</v>
      </c>
      <c r="C6" s="34" t="n">
        <f aca="false">INT(A6*(256/15))</f>
        <v>68</v>
      </c>
      <c r="D6" s="34" t="n">
        <v>66</v>
      </c>
    </row>
    <row r="7" customFormat="false" ht="15" hidden="false" customHeight="false" outlineLevel="0" collapsed="false">
      <c r="A7" s="34" t="n">
        <v>5</v>
      </c>
      <c r="B7" s="34" t="n">
        <f aca="false">IF(D7,D7,C7)</f>
        <v>82</v>
      </c>
      <c r="C7" s="34" t="n">
        <f aca="false">INT(A7*(256/15))</f>
        <v>85</v>
      </c>
      <c r="D7" s="34" t="n">
        <v>82</v>
      </c>
    </row>
    <row r="8" customFormat="false" ht="15" hidden="false" customHeight="false" outlineLevel="0" collapsed="false">
      <c r="A8" s="34" t="n">
        <v>6</v>
      </c>
      <c r="B8" s="34" t="n">
        <f aca="false">IF(D8,D8,C8)</f>
        <v>102</v>
      </c>
      <c r="C8" s="34" t="n">
        <f aca="false">INT(A8*(256/15))</f>
        <v>102</v>
      </c>
      <c r="D8" s="34" t="n">
        <v>102</v>
      </c>
    </row>
    <row r="9" customFormat="false" ht="15" hidden="false" customHeight="false" outlineLevel="0" collapsed="false">
      <c r="A9" s="34" t="n">
        <v>7</v>
      </c>
      <c r="B9" s="34" t="n">
        <f aca="false">IF(D9,D9,C9)</f>
        <v>120</v>
      </c>
      <c r="C9" s="34" t="n">
        <f aca="false">INT(A9*(256/15))</f>
        <v>119</v>
      </c>
      <c r="D9" s="34" t="n">
        <v>120</v>
      </c>
    </row>
    <row r="10" customFormat="false" ht="15" hidden="false" customHeight="false" outlineLevel="0" collapsed="false">
      <c r="A10" s="34" t="n">
        <v>8</v>
      </c>
      <c r="B10" s="34" t="n">
        <f aca="false">IF(D10,D10,C10)</f>
        <v>136</v>
      </c>
      <c r="C10" s="34" t="n">
        <f aca="false">INT(A10*(256/15))</f>
        <v>136</v>
      </c>
      <c r="D10" s="34" t="n">
        <v>136</v>
      </c>
    </row>
    <row r="11" customFormat="false" ht="15" hidden="false" customHeight="false" outlineLevel="0" collapsed="false">
      <c r="A11" s="34" t="n">
        <v>9</v>
      </c>
      <c r="B11" s="34" t="n">
        <f aca="false">IF(D11,D11,C11)</f>
        <v>152</v>
      </c>
      <c r="C11" s="34" t="n">
        <f aca="false">INT(A11*(256/15))</f>
        <v>153</v>
      </c>
      <c r="D11" s="34" t="n">
        <v>152</v>
      </c>
    </row>
    <row r="12" customFormat="false" ht="15" hidden="false" customHeight="false" outlineLevel="0" collapsed="false">
      <c r="A12" s="34" t="n">
        <v>10</v>
      </c>
      <c r="B12" s="34" t="n">
        <f aca="false">IF(D12,D12,C12)</f>
        <v>164</v>
      </c>
      <c r="C12" s="34" t="n">
        <f aca="false">INT(A12*(256/15))</f>
        <v>170</v>
      </c>
      <c r="D12" s="34" t="n">
        <v>164</v>
      </c>
    </row>
    <row r="13" customFormat="false" ht="15" hidden="false" customHeight="false" outlineLevel="0" collapsed="false">
      <c r="A13" s="34" t="n">
        <v>11</v>
      </c>
      <c r="B13" s="34" t="n">
        <f aca="false">IF(D13,D13,C13)</f>
        <v>186</v>
      </c>
      <c r="C13" s="34" t="n">
        <f aca="false">INT(A13*(256/15))</f>
        <v>187</v>
      </c>
      <c r="D13" s="34" t="n">
        <v>186</v>
      </c>
    </row>
    <row r="14" customFormat="false" ht="15" hidden="false" customHeight="false" outlineLevel="0" collapsed="false">
      <c r="A14" s="34" t="n">
        <v>12</v>
      </c>
      <c r="B14" s="34" t="n">
        <f aca="false">IF(D14,D14,C14)</f>
        <v>198</v>
      </c>
      <c r="C14" s="34" t="n">
        <f aca="false">INT(A14*(256/15))</f>
        <v>204</v>
      </c>
      <c r="D14" s="34" t="n">
        <v>198</v>
      </c>
    </row>
    <row r="15" customFormat="false" ht="15" hidden="false" customHeight="false" outlineLevel="0" collapsed="false">
      <c r="A15" s="34" t="n">
        <v>13</v>
      </c>
      <c r="B15" s="34" t="n">
        <v>214</v>
      </c>
      <c r="C15" s="34" t="n">
        <f aca="false">INT(A15*(256/15))</f>
        <v>221</v>
      </c>
    </row>
    <row r="16" customFormat="false" ht="15" hidden="false" customHeight="false" outlineLevel="0" collapsed="false">
      <c r="A16" s="34" t="n">
        <v>14</v>
      </c>
      <c r="B16" s="34" t="n">
        <f aca="false">IF(D16,D16,C16)</f>
        <v>238</v>
      </c>
      <c r="C16" s="34" t="n">
        <f aca="false">INT(A16*(256/15))</f>
        <v>238</v>
      </c>
    </row>
    <row r="17" customFormat="false" ht="15" hidden="false" customHeight="false" outlineLevel="0" collapsed="false">
      <c r="A17" s="34" t="n">
        <v>15</v>
      </c>
      <c r="B17" s="34" t="n">
        <f aca="false">IF(D17,D17,C17)</f>
        <v>256</v>
      </c>
      <c r="C17" s="34" t="n">
        <f aca="false">INT(A17*(256/15))</f>
        <v>256</v>
      </c>
    </row>
    <row r="18" customFormat="false" ht="15" hidden="false" customHeight="false" outlineLevel="0" collapsed="false">
      <c r="A18" s="34" t="n">
        <v>16</v>
      </c>
      <c r="B18" s="34" t="n">
        <f aca="false">IF(D18,D18,C18)</f>
        <v>273</v>
      </c>
      <c r="C18" s="34" t="n">
        <f aca="false">INT(A18*(256/15))</f>
        <v>273</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U110"/>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pane xSplit="0" ySplit="1" topLeftCell="A50" activePane="bottomLeft" state="frozen"/>
      <selection pane="topLeft" activeCell="A1" activeCellId="0" sqref="A1"/>
      <selection pane="bottomLeft" activeCell="E99" activeCellId="0" sqref="E99"/>
    </sheetView>
  </sheetViews>
  <sheetFormatPr defaultColWidth="8.60546875" defaultRowHeight="15" customHeight="true" zeroHeight="false" outlineLevelRow="0" outlineLevelCol="0"/>
  <cols>
    <col collapsed="false" customWidth="true" hidden="false" outlineLevel="0" max="1" min="1" style="34" width="11.43"/>
    <col collapsed="false" customWidth="true" hidden="false" outlineLevel="0" max="2" min="2" style="34" width="29.86"/>
    <col collapsed="false" customWidth="true" hidden="false" outlineLevel="0" max="7" min="3" style="34" width="25.85"/>
    <col collapsed="false" customWidth="true" hidden="false" outlineLevel="0" max="9" min="8" style="34" width="26.81"/>
    <col collapsed="false" customWidth="true" hidden="false" outlineLevel="0" max="10" min="10" style="34" width="16.33"/>
    <col collapsed="false" customWidth="true" hidden="false" outlineLevel="0" max="11" min="11" style="34" width="16.18"/>
    <col collapsed="false" customWidth="true" hidden="false" outlineLevel="0" max="12" min="12" style="34" width="19.79"/>
    <col collapsed="false" customWidth="true" hidden="false" outlineLevel="0" max="14" min="13" style="34" width="16.65"/>
    <col collapsed="false" customWidth="true" hidden="false" outlineLevel="0" max="15" min="15" style="34" width="16.33"/>
    <col collapsed="false" customWidth="true" hidden="false" outlineLevel="0" max="16" min="16" style="34" width="18.37"/>
    <col collapsed="false" customWidth="true" hidden="false" outlineLevel="0" max="17" min="17" style="34" width="18.21"/>
  </cols>
  <sheetData>
    <row r="1" customFormat="false" ht="15" hidden="false" customHeight="false" outlineLevel="0" collapsed="false">
      <c r="B1" s="34" t="n">
        <v>1</v>
      </c>
      <c r="C1" s="34" t="n">
        <v>2</v>
      </c>
      <c r="D1" s="34" t="n">
        <v>3</v>
      </c>
      <c r="E1" s="34" t="n">
        <v>4</v>
      </c>
      <c r="F1" s="34" t="n">
        <v>5</v>
      </c>
      <c r="G1" s="34" t="n">
        <v>6</v>
      </c>
      <c r="H1" s="34" t="n">
        <v>7</v>
      </c>
      <c r="I1" s="34" t="n">
        <v>8</v>
      </c>
      <c r="J1" s="34" t="n">
        <v>9</v>
      </c>
      <c r="K1" s="34" t="n">
        <v>10</v>
      </c>
      <c r="L1" s="34" t="n">
        <v>11</v>
      </c>
      <c r="M1" s="34" t="n">
        <v>12</v>
      </c>
      <c r="N1" s="34" t="n">
        <v>13</v>
      </c>
      <c r="O1" s="34" t="n">
        <v>14</v>
      </c>
      <c r="P1" s="34" t="n">
        <v>15</v>
      </c>
      <c r="Q1" s="34" t="n">
        <v>16</v>
      </c>
      <c r="R1" s="34" t="n">
        <v>17</v>
      </c>
      <c r="S1" s="34" t="n">
        <v>18</v>
      </c>
      <c r="T1" s="34" t="n">
        <v>19</v>
      </c>
      <c r="U1" s="34" t="n">
        <v>20</v>
      </c>
    </row>
    <row r="2" customFormat="false" ht="15" hidden="false" customHeight="false" outlineLevel="0" collapsed="false">
      <c r="B2" s="34" t="s">
        <v>662</v>
      </c>
    </row>
    <row r="3" customFormat="false" ht="15" hidden="false" customHeight="false" outlineLevel="0" collapsed="false">
      <c r="A3" s="34" t="s">
        <v>663</v>
      </c>
      <c r="B3" s="34" t="s">
        <v>280</v>
      </c>
      <c r="C3" s="34" t="s">
        <v>664</v>
      </c>
      <c r="D3" s="34" t="s">
        <v>664</v>
      </c>
      <c r="E3" s="34" t="s">
        <v>664</v>
      </c>
      <c r="F3" s="34" t="s">
        <v>664</v>
      </c>
      <c r="G3" s="34" t="s">
        <v>665</v>
      </c>
      <c r="H3" s="34" t="s">
        <v>666</v>
      </c>
      <c r="I3" s="34" t="s">
        <v>666</v>
      </c>
      <c r="J3" s="34" t="s">
        <v>313</v>
      </c>
      <c r="K3" s="34" t="s">
        <v>664</v>
      </c>
      <c r="L3" s="34" t="s">
        <v>664</v>
      </c>
      <c r="M3" s="34" t="s">
        <v>664</v>
      </c>
      <c r="N3" s="34" t="s">
        <v>664</v>
      </c>
      <c r="O3" s="34" t="s">
        <v>667</v>
      </c>
    </row>
    <row r="4" customFormat="false" ht="15" hidden="false" customHeight="false" outlineLevel="0" collapsed="false">
      <c r="A4" s="34" t="s">
        <v>668</v>
      </c>
      <c r="B4" s="34" t="n">
        <v>1</v>
      </c>
      <c r="C4" s="34" t="n">
        <v>1</v>
      </c>
      <c r="D4" s="34" t="n">
        <v>0</v>
      </c>
      <c r="E4" s="34" t="n">
        <v>0</v>
      </c>
      <c r="F4" s="34" t="n">
        <v>0</v>
      </c>
      <c r="G4" s="34" t="n">
        <v>1</v>
      </c>
      <c r="H4" s="34" t="n">
        <v>1</v>
      </c>
      <c r="I4" s="34" t="n">
        <v>0</v>
      </c>
      <c r="J4" s="34" t="n">
        <v>1</v>
      </c>
      <c r="K4" s="34" t="n">
        <v>0</v>
      </c>
      <c r="L4" s="34" t="n">
        <v>0</v>
      </c>
      <c r="M4" s="34" t="n">
        <v>0</v>
      </c>
      <c r="N4" s="34" t="n">
        <v>0</v>
      </c>
      <c r="O4" s="34" t="n">
        <v>1</v>
      </c>
    </row>
    <row r="6" customFormat="false" ht="14.25" hidden="false" customHeight="true" outlineLevel="0" collapsed="false">
      <c r="B6" s="34" t="s">
        <v>669</v>
      </c>
    </row>
    <row r="7" customFormat="false" ht="15" hidden="false" customHeight="false" outlineLevel="0" collapsed="false">
      <c r="A7" s="34" t="s">
        <v>663</v>
      </c>
      <c r="B7" s="34" t="s">
        <v>344</v>
      </c>
      <c r="C7" s="34" t="s">
        <v>670</v>
      </c>
      <c r="D7" s="34" t="s">
        <v>671</v>
      </c>
      <c r="E7" s="34" t="s">
        <v>671</v>
      </c>
      <c r="F7" s="34" t="s">
        <v>671</v>
      </c>
      <c r="G7" s="34" t="s">
        <v>671</v>
      </c>
      <c r="H7" s="34" t="s">
        <v>672</v>
      </c>
      <c r="I7" s="34" t="s">
        <v>671</v>
      </c>
      <c r="J7" s="34" t="s">
        <v>671</v>
      </c>
      <c r="K7" s="34" t="s">
        <v>673</v>
      </c>
      <c r="L7" s="34" t="s">
        <v>674</v>
      </c>
      <c r="M7" s="34" t="s">
        <v>675</v>
      </c>
      <c r="N7" s="34" t="s">
        <v>675</v>
      </c>
      <c r="O7" s="34" t="s">
        <v>676</v>
      </c>
      <c r="P7" s="34" t="s">
        <v>675</v>
      </c>
      <c r="Q7" s="34" t="s">
        <v>675</v>
      </c>
      <c r="R7" s="34" t="s">
        <v>675</v>
      </c>
      <c r="S7" s="34" t="s">
        <v>675</v>
      </c>
      <c r="T7" s="34" t="s">
        <v>677</v>
      </c>
      <c r="U7" s="34" t="s">
        <v>349</v>
      </c>
    </row>
    <row r="8" customFormat="false" ht="15" hidden="false" customHeight="false" outlineLevel="0" collapsed="false">
      <c r="A8" s="34" t="s">
        <v>668</v>
      </c>
      <c r="B8" s="34" t="n">
        <v>1</v>
      </c>
      <c r="C8" s="34" t="n">
        <v>1</v>
      </c>
      <c r="D8" s="34" t="n">
        <v>1</v>
      </c>
      <c r="E8" s="34" t="n">
        <v>0</v>
      </c>
      <c r="F8" s="34" t="n">
        <v>0</v>
      </c>
      <c r="G8" s="34" t="n">
        <v>0</v>
      </c>
      <c r="H8" s="34" t="n">
        <v>1</v>
      </c>
      <c r="I8" s="34" t="n">
        <v>0</v>
      </c>
      <c r="J8" s="34" t="n">
        <v>0</v>
      </c>
      <c r="K8" s="34" t="n">
        <v>1</v>
      </c>
      <c r="L8" s="34" t="n">
        <v>1</v>
      </c>
      <c r="M8" s="34" t="n">
        <v>1</v>
      </c>
      <c r="N8" s="34" t="n">
        <v>0</v>
      </c>
      <c r="O8" s="34" t="n">
        <v>1</v>
      </c>
      <c r="P8" s="34" t="n">
        <v>0</v>
      </c>
      <c r="Q8" s="34" t="n">
        <v>0</v>
      </c>
      <c r="R8" s="34" t="n">
        <v>0</v>
      </c>
      <c r="S8" s="34" t="n">
        <v>0</v>
      </c>
      <c r="T8" s="34" t="n">
        <v>1</v>
      </c>
      <c r="U8" s="34" t="n">
        <v>1</v>
      </c>
    </row>
    <row r="9" customFormat="false" ht="15" hidden="false" customHeight="false" outlineLevel="0" collapsed="false">
      <c r="A9" s="34" t="s">
        <v>581</v>
      </c>
      <c r="B9" s="34" t="n">
        <v>22.15</v>
      </c>
      <c r="C9" s="34" t="n">
        <v>21.84</v>
      </c>
      <c r="D9" s="34" t="n">
        <v>18.7</v>
      </c>
      <c r="E9" s="34" t="n">
        <v>18.7</v>
      </c>
      <c r="F9" s="34" t="n">
        <v>18.7</v>
      </c>
      <c r="G9" s="34" t="n">
        <v>18.7</v>
      </c>
      <c r="H9" s="34" t="n">
        <v>18.7</v>
      </c>
      <c r="I9" s="34" t="n">
        <v>18.7</v>
      </c>
      <c r="J9" s="34" t="n">
        <v>18.7</v>
      </c>
      <c r="K9" s="34" t="n">
        <v>21.84</v>
      </c>
      <c r="L9" s="34" t="n">
        <v>21.84</v>
      </c>
      <c r="M9" s="34" t="n">
        <v>18.7</v>
      </c>
      <c r="N9" s="34" t="n">
        <v>18.7</v>
      </c>
      <c r="O9" s="34" t="n">
        <v>18.7</v>
      </c>
      <c r="P9" s="34" t="n">
        <v>18.7</v>
      </c>
      <c r="Q9" s="34" t="n">
        <v>18.7</v>
      </c>
      <c r="R9" s="34" t="n">
        <v>18.7</v>
      </c>
      <c r="S9" s="34" t="n">
        <v>18.7</v>
      </c>
      <c r="T9" s="34" t="n">
        <v>21.84</v>
      </c>
      <c r="U9" s="34" t="n">
        <v>22.15</v>
      </c>
    </row>
    <row r="10" customFormat="false" ht="15" hidden="false" customHeight="false" outlineLevel="0" collapsed="false">
      <c r="A10" s="34" t="s">
        <v>678</v>
      </c>
      <c r="B10" s="34" t="n">
        <f aca="false">ROUND(15*((B9*10)/256),0)</f>
        <v>13</v>
      </c>
      <c r="C10" s="34" t="n">
        <f aca="false">ROUND(15*((C9*10)/256),0)</f>
        <v>13</v>
      </c>
      <c r="D10" s="34" t="n">
        <f aca="false">ROUND(15*((D9*10)/256),0)</f>
        <v>11</v>
      </c>
      <c r="E10" s="34" t="n">
        <f aca="false">ROUND(15*((E9*10)/256),0)</f>
        <v>11</v>
      </c>
      <c r="F10" s="34" t="n">
        <f aca="false">ROUND(15*((F9*10)/256),0)</f>
        <v>11</v>
      </c>
      <c r="G10" s="34" t="n">
        <f aca="false">ROUND(15*((G9*10)/256),0)</f>
        <v>11</v>
      </c>
      <c r="H10" s="34" t="n">
        <f aca="false">ROUND(15*((H9*10)/256),0)</f>
        <v>11</v>
      </c>
      <c r="I10" s="34" t="n">
        <f aca="false">ROUND(15*((I9*10)/256),0)</f>
        <v>11</v>
      </c>
      <c r="J10" s="34" t="n">
        <f aca="false">ROUND(15*((J9*10)/256),0)</f>
        <v>11</v>
      </c>
      <c r="K10" s="34" t="n">
        <f aca="false">ROUND(15*((K9*10)/256),0)</f>
        <v>13</v>
      </c>
      <c r="L10" s="34" t="n">
        <f aca="false">ROUND(15*((L9*10)/256),0)</f>
        <v>13</v>
      </c>
      <c r="M10" s="34" t="n">
        <f aca="false">ROUND(15*((M9*10)/256),0)</f>
        <v>11</v>
      </c>
      <c r="N10" s="34" t="n">
        <f aca="false">ROUND(15*((N9*10)/256),0)</f>
        <v>11</v>
      </c>
      <c r="O10" s="34" t="n">
        <f aca="false">ROUND(15*((O9*10)/256),0)</f>
        <v>11</v>
      </c>
      <c r="P10" s="34" t="n">
        <f aca="false">ROUND(15*((P9*10)/256),0)</f>
        <v>11</v>
      </c>
      <c r="Q10" s="34" t="n">
        <f aca="false">ROUND(15*((Q9*10)/256),0)</f>
        <v>11</v>
      </c>
      <c r="R10" s="34" t="n">
        <f aca="false">ROUND(15*((R9*10)/256),0)</f>
        <v>11</v>
      </c>
      <c r="S10" s="34" t="n">
        <f aca="false">ROUND(15*((S9*10)/256),0)</f>
        <v>11</v>
      </c>
      <c r="T10" s="34" t="n">
        <f aca="false">ROUND(15*((T9*10)/256),0)</f>
        <v>13</v>
      </c>
      <c r="U10" s="34" t="n">
        <f aca="false">ROUND(15*((U9*10)/256),0)</f>
        <v>13</v>
      </c>
    </row>
    <row r="11" customFormat="false" ht="15" hidden="false" customHeight="false" outlineLevel="0" collapsed="false">
      <c r="A11" s="34" t="s">
        <v>679</v>
      </c>
      <c r="B11" s="34" t="str">
        <f aca="false">VLOOKUP(B10,Constants!$A$1:$B$16,2,FALSE())</f>
        <v>4,5,4</v>
      </c>
      <c r="C11" s="34" t="str">
        <f aca="false">VLOOKUP(C10,Constants!$A$1:$B$16,2,FALSE())</f>
        <v>4,5,4</v>
      </c>
      <c r="D11" s="34" t="str">
        <f aca="false">VLOOKUP(D10,Constants!$A$1:$B$16,2,FALSE())</f>
        <v>4,3,4</v>
      </c>
      <c r="E11" s="34" t="str">
        <f aca="false">VLOOKUP(E10,Constants!$A$1:$B$16,2,FALSE())</f>
        <v>4,3,4</v>
      </c>
      <c r="F11" s="34" t="str">
        <f aca="false">VLOOKUP(F10,Constants!$A$1:$B$16,2,FALSE())</f>
        <v>4,3,4</v>
      </c>
      <c r="G11" s="34" t="str">
        <f aca="false">VLOOKUP(G10,Constants!$A$1:$B$16,2,FALSE())</f>
        <v>4,3,4</v>
      </c>
      <c r="H11" s="34" t="str">
        <f aca="false">VLOOKUP(H10,Constants!$A$1:$B$16,2,FALSE())</f>
        <v>4,3,4</v>
      </c>
      <c r="I11" s="34" t="str">
        <f aca="false">VLOOKUP(I10,Constants!$A$1:$B$16,2,FALSE())</f>
        <v>4,3,4</v>
      </c>
      <c r="J11" s="34" t="str">
        <f aca="false">VLOOKUP(J10,Constants!$A$1:$B$16,2,FALSE())</f>
        <v>4,3,4</v>
      </c>
      <c r="K11" s="34" t="str">
        <f aca="false">VLOOKUP(K10,Constants!$A$1:$B$16,2,FALSE())</f>
        <v>4,5,4</v>
      </c>
      <c r="L11" s="34" t="str">
        <f aca="false">VLOOKUP(L10,Constants!$A$1:$B$16,2,FALSE())</f>
        <v>4,5,4</v>
      </c>
      <c r="M11" s="34" t="str">
        <f aca="false">VLOOKUP(M10,Constants!$A$1:$B$16,2,FALSE())</f>
        <v>4,3,4</v>
      </c>
      <c r="N11" s="34" t="str">
        <f aca="false">VLOOKUP(N10,Constants!$A$1:$B$16,2,FALSE())</f>
        <v>4,3,4</v>
      </c>
      <c r="O11" s="34" t="str">
        <f aca="false">VLOOKUP(O10,Constants!$A$1:$B$16,2,FALSE())</f>
        <v>4,3,4</v>
      </c>
      <c r="P11" s="34" t="str">
        <f aca="false">VLOOKUP(P10,Constants!$A$1:$B$16,2,FALSE())</f>
        <v>4,3,4</v>
      </c>
      <c r="Q11" s="34" t="str">
        <f aca="false">VLOOKUP(Q10,Constants!$A$1:$B$16,2,FALSE())</f>
        <v>4,3,4</v>
      </c>
      <c r="R11" s="34" t="str">
        <f aca="false">VLOOKUP(R10,Constants!$A$1:$B$16,2,FALSE())</f>
        <v>4,3,4</v>
      </c>
      <c r="S11" s="34" t="str">
        <f aca="false">VLOOKUP(S10,Constants!$A$1:$B$16,2,FALSE())</f>
        <v>4,3,4</v>
      </c>
      <c r="T11" s="34" t="str">
        <f aca="false">VLOOKUP(T10,Constants!$A$1:$B$16,2,FALSE())</f>
        <v>4,5,4</v>
      </c>
      <c r="U11" s="34" t="str">
        <f aca="false">VLOOKUP(U10,Constants!$A$1:$B$16,2,FALSE())</f>
        <v>4,5,4</v>
      </c>
    </row>
    <row r="13" customFormat="false" ht="15" hidden="false" customHeight="false" outlineLevel="0" collapsed="false">
      <c r="B13" s="34" t="str">
        <f aca="false">_xlfn.TEXTJOIN(",",TRUE(),  B7:Z7)</f>
        <v>eurostar_3cap,eurostar_motor,eurostar_mid_rev,eurostar_mid_rev,eurostar_mid_rev,eurostar_mid_rev,eurostar_tbk_rev,eurostar_mid_rev,eurostar_mid_rev,eurostar_mid_div_rev,eurostar_mid_div,eurostar_mid,eurostar_mid,eurostar_tbk,eurostar_mid,eurostar_mid,eurostar_mid,eurostar_mid,eurostar_motor_rev,eurostar_3cap_rear</v>
      </c>
    </row>
    <row r="14" customFormat="false" ht="15" hidden="false" customHeight="false" outlineLevel="0" collapsed="false">
      <c r="B14" s="34" t="str">
        <f aca="false">_xlfn.TEXTJOIN(",",TRUE(),  B8:Z8)</f>
        <v>1,1,1,0,0,0,1,0,0,1,1,1,0,1,0,0,0,0,1,1</v>
      </c>
    </row>
    <row r="15" customFormat="false" ht="15" hidden="false" customHeight="false" outlineLevel="0" collapsed="false">
      <c r="B15" s="34" t="str">
        <f aca="false">_xlfn.TEXTJOIN(",",TRUE(),  B9:Z9)</f>
        <v>22.15,21.84,18.7,18.7,18.7,18.7,18.7,18.7,18.7,21.84,21.84,18.7,18.7,18.7,18.7,18.7,18.7,18.7,21.84,22.15</v>
      </c>
    </row>
    <row r="16" customFormat="false" ht="15" hidden="false" customHeight="false" outlineLevel="0" collapsed="false">
      <c r="B16" s="34" t="str">
        <f aca="false">_xlfn.TEXTJOIN(",",TRUE(),  B10:Z10)</f>
        <v>13,13,11,11,11,11,11,11,11,13,13,11,11,11,11,11,11,11,13,13</v>
      </c>
    </row>
    <row r="17" customFormat="false" ht="15" hidden="false" customHeight="false" outlineLevel="0" collapsed="false">
      <c r="B17" s="34" t="str">
        <f aca="false">_xlfn.TEXTJOIN(",",TRUE(),  B11:Z11)</f>
        <v>4,5,4,4,5,4,4,3,4,4,3,4,4,3,4,4,3,4,4,3,4,4,3,4,4,3,4,4,5,4,4,5,4,4,3,4,4,3,4,4,3,4,4,3,4,4,3,4,4,3,4,4,3,4,4,5,4,4,5,4</v>
      </c>
    </row>
    <row r="19" customFormat="false" ht="15" hidden="false" customHeight="false" outlineLevel="0" collapsed="false">
      <c r="B19" s="34" t="s">
        <v>680</v>
      </c>
    </row>
    <row r="20" customFormat="false" ht="15" hidden="false" customHeight="false" outlineLevel="0" collapsed="false">
      <c r="A20" s="34" t="s">
        <v>663</v>
      </c>
      <c r="B20" s="34" t="s">
        <v>353</v>
      </c>
      <c r="C20" s="34" t="s">
        <v>670</v>
      </c>
      <c r="D20" s="34" t="s">
        <v>671</v>
      </c>
      <c r="E20" s="34" t="s">
        <v>671</v>
      </c>
      <c r="F20" s="34" t="s">
        <v>671</v>
      </c>
      <c r="G20" s="34" t="s">
        <v>672</v>
      </c>
      <c r="H20" s="34" t="s">
        <v>671</v>
      </c>
      <c r="I20" s="34" t="s">
        <v>673</v>
      </c>
      <c r="J20" s="34" t="s">
        <v>674</v>
      </c>
      <c r="K20" s="34" t="s">
        <v>675</v>
      </c>
      <c r="L20" s="34" t="s">
        <v>676</v>
      </c>
      <c r="M20" s="34" t="s">
        <v>675</v>
      </c>
      <c r="N20" s="34" t="s">
        <v>675</v>
      </c>
      <c r="O20" s="34" t="s">
        <v>675</v>
      </c>
      <c r="P20" s="34" t="s">
        <v>677</v>
      </c>
      <c r="Q20" s="34" t="s">
        <v>357</v>
      </c>
      <c r="R20" s="34"/>
      <c r="S20" s="34"/>
      <c r="T20" s="34"/>
      <c r="U20" s="34"/>
    </row>
    <row r="21" customFormat="false" ht="15" hidden="false" customHeight="false" outlineLevel="0" collapsed="false">
      <c r="A21" s="34" t="s">
        <v>668</v>
      </c>
      <c r="B21" s="34" t="n">
        <v>0</v>
      </c>
      <c r="C21" s="34" t="n">
        <v>0</v>
      </c>
      <c r="D21" s="34" t="n">
        <v>0</v>
      </c>
      <c r="E21" s="34" t="n">
        <v>0</v>
      </c>
      <c r="F21" s="34" t="n">
        <v>0</v>
      </c>
      <c r="G21" s="34" t="n">
        <v>0</v>
      </c>
      <c r="H21" s="34" t="n">
        <v>0</v>
      </c>
      <c r="I21" s="34" t="n">
        <v>0</v>
      </c>
      <c r="J21" s="34" t="n">
        <v>0</v>
      </c>
      <c r="K21" s="34" t="n">
        <v>0</v>
      </c>
      <c r="L21" s="34" t="n">
        <v>0</v>
      </c>
      <c r="M21" s="34" t="n">
        <v>0</v>
      </c>
      <c r="N21" s="34" t="n">
        <v>0</v>
      </c>
      <c r="O21" s="34" t="n">
        <v>0</v>
      </c>
      <c r="P21" s="34" t="n">
        <v>0</v>
      </c>
      <c r="Q21" s="34" t="n">
        <v>0</v>
      </c>
      <c r="R21" s="34"/>
      <c r="S21" s="34"/>
      <c r="T21" s="34"/>
      <c r="U21" s="34"/>
    </row>
    <row r="22" customFormat="false" ht="15" hidden="false" customHeight="false" outlineLevel="0" collapsed="false">
      <c r="A22" s="34" t="s">
        <v>581</v>
      </c>
      <c r="B22" s="34" t="n">
        <v>22.15</v>
      </c>
      <c r="C22" s="34" t="n">
        <v>21.84</v>
      </c>
      <c r="D22" s="34" t="n">
        <v>18.7</v>
      </c>
      <c r="E22" s="34" t="n">
        <v>18.7</v>
      </c>
      <c r="F22" s="34" t="n">
        <v>18.7</v>
      </c>
      <c r="G22" s="34" t="n">
        <v>18.7</v>
      </c>
      <c r="H22" s="34" t="n">
        <v>18.7</v>
      </c>
      <c r="I22" s="34" t="n">
        <v>21.84</v>
      </c>
      <c r="J22" s="34" t="n">
        <v>21.84</v>
      </c>
      <c r="K22" s="34" t="n">
        <v>18.7</v>
      </c>
      <c r="L22" s="34" t="n">
        <v>18.7</v>
      </c>
      <c r="M22" s="34" t="n">
        <v>18.7</v>
      </c>
      <c r="N22" s="34" t="n">
        <v>18.7</v>
      </c>
      <c r="O22" s="34" t="n">
        <v>18.7</v>
      </c>
      <c r="P22" s="34" t="n">
        <v>21.84</v>
      </c>
      <c r="Q22" s="34" t="n">
        <v>22.15</v>
      </c>
      <c r="R22" s="34"/>
      <c r="S22" s="34"/>
      <c r="T22" s="34"/>
      <c r="U22" s="34"/>
    </row>
    <row r="23" customFormat="false" ht="15" hidden="false" customHeight="false" outlineLevel="0" collapsed="false">
      <c r="A23" s="34" t="s">
        <v>678</v>
      </c>
      <c r="B23" s="34" t="n">
        <f aca="false">ROUND(15*((B22*10)/256),0)</f>
        <v>13</v>
      </c>
      <c r="C23" s="34" t="n">
        <f aca="false">ROUND(15*((C22*10)/256),0)</f>
        <v>13</v>
      </c>
      <c r="D23" s="34" t="n">
        <f aca="false">ROUND(15*((D22*10)/256),0)</f>
        <v>11</v>
      </c>
      <c r="E23" s="34" t="n">
        <f aca="false">ROUND(15*((E22*10)/256),0)</f>
        <v>11</v>
      </c>
      <c r="F23" s="34" t="n">
        <f aca="false">ROUND(15*((F22*10)/256),0)</f>
        <v>11</v>
      </c>
      <c r="G23" s="34" t="n">
        <f aca="false">ROUND(15*((G22*10)/256),0)</f>
        <v>11</v>
      </c>
      <c r="H23" s="34" t="n">
        <f aca="false">ROUND(15*((H22*10)/256),0)</f>
        <v>11</v>
      </c>
      <c r="I23" s="34" t="n">
        <f aca="false">ROUND(15*((I22*10)/256),0)</f>
        <v>13</v>
      </c>
      <c r="J23" s="34" t="n">
        <f aca="false">ROUND(15*((J22*10)/256),0)</f>
        <v>13</v>
      </c>
      <c r="K23" s="34" t="n">
        <f aca="false">ROUND(15*((K22*10)/256),0)</f>
        <v>11</v>
      </c>
      <c r="L23" s="34" t="n">
        <f aca="false">ROUND(15*((L22*10)/256),0)</f>
        <v>11</v>
      </c>
      <c r="M23" s="34" t="n">
        <f aca="false">ROUND(15*((M22*10)/256),0)</f>
        <v>11</v>
      </c>
      <c r="N23" s="34" t="n">
        <f aca="false">ROUND(15*((N22*10)/256),0)</f>
        <v>11</v>
      </c>
      <c r="O23" s="34" t="n">
        <f aca="false">ROUND(15*((O22*10)/256),0)</f>
        <v>11</v>
      </c>
      <c r="P23" s="34" t="n">
        <f aca="false">ROUND(15*((P22*10)/256),0)</f>
        <v>13</v>
      </c>
      <c r="Q23" s="34" t="n">
        <f aca="false">ROUND(15*((Q22*10)/256),0)</f>
        <v>13</v>
      </c>
      <c r="R23" s="34"/>
      <c r="S23" s="34"/>
      <c r="T23" s="34"/>
      <c r="U23" s="34"/>
    </row>
    <row r="24" customFormat="false" ht="15" hidden="false" customHeight="false" outlineLevel="0" collapsed="false">
      <c r="A24" s="34" t="s">
        <v>679</v>
      </c>
      <c r="B24" s="34" t="str">
        <f aca="false">VLOOKUP(B23,Constants!$A$1:$B$16,2,FALSE())</f>
        <v>4,5,4</v>
      </c>
      <c r="C24" s="34" t="str">
        <f aca="false">VLOOKUP(C23,Constants!$A$1:$B$16,2,FALSE())</f>
        <v>4,5,4</v>
      </c>
      <c r="D24" s="34" t="str">
        <f aca="false">VLOOKUP(D23,Constants!$A$1:$B$16,2,FALSE())</f>
        <v>4,3,4</v>
      </c>
      <c r="E24" s="34" t="str">
        <f aca="false">VLOOKUP(E23,Constants!$A$1:$B$16,2,FALSE())</f>
        <v>4,3,4</v>
      </c>
      <c r="F24" s="34" t="str">
        <f aca="false">VLOOKUP(F23,Constants!$A$1:$B$16,2,FALSE())</f>
        <v>4,3,4</v>
      </c>
      <c r="G24" s="34" t="str">
        <f aca="false">VLOOKUP(G23,Constants!$A$1:$B$16,2,FALSE())</f>
        <v>4,3,4</v>
      </c>
      <c r="H24" s="34" t="str">
        <f aca="false">VLOOKUP(H23,Constants!$A$1:$B$16,2,FALSE())</f>
        <v>4,3,4</v>
      </c>
      <c r="I24" s="34" t="str">
        <f aca="false">VLOOKUP(I23,Constants!$A$1:$B$16,2,FALSE())</f>
        <v>4,5,4</v>
      </c>
      <c r="J24" s="34" t="str">
        <f aca="false">VLOOKUP(J23,Constants!$A$1:$B$16,2,FALSE())</f>
        <v>4,5,4</v>
      </c>
      <c r="K24" s="34" t="str">
        <f aca="false">VLOOKUP(K23,Constants!$A$1:$B$16,2,FALSE())</f>
        <v>4,3,4</v>
      </c>
      <c r="L24" s="34" t="str">
        <f aca="false">VLOOKUP(L23,Constants!$A$1:$B$16,2,FALSE())</f>
        <v>4,3,4</v>
      </c>
      <c r="M24" s="34" t="str">
        <f aca="false">VLOOKUP(M23,Constants!$A$1:$B$16,2,FALSE())</f>
        <v>4,3,4</v>
      </c>
      <c r="N24" s="34" t="str">
        <f aca="false">VLOOKUP(N23,Constants!$A$1:$B$16,2,FALSE())</f>
        <v>4,3,4</v>
      </c>
      <c r="O24" s="34" t="str">
        <f aca="false">VLOOKUP(O23,Constants!$A$1:$B$16,2,FALSE())</f>
        <v>4,3,4</v>
      </c>
      <c r="P24" s="34" t="str">
        <f aca="false">VLOOKUP(P23,Constants!$A$1:$B$16,2,FALSE())</f>
        <v>4,5,4</v>
      </c>
      <c r="Q24" s="34" t="str">
        <f aca="false">VLOOKUP(Q23,Constants!$A$1:$B$16,2,FALSE())</f>
        <v>4,5,4</v>
      </c>
      <c r="R24" s="34"/>
      <c r="S24" s="34"/>
      <c r="T24" s="34"/>
      <c r="U24" s="34"/>
    </row>
    <row r="26" customFormat="false" ht="15" hidden="false" customHeight="false" outlineLevel="0" collapsed="false">
      <c r="B26" s="34" t="str">
        <f aca="false">_xlfn.TEXTJOIN(",",TRUE(),  B20:Z20)</f>
        <v>eurostar_nol,eurostar_motor,eurostar_mid_rev,eurostar_mid_rev,eurostar_mid_rev,eurostar_tbk_rev,eurostar_mid_rev,eurostar_mid_div_rev,eurostar_mid_div,eurostar_mid,eurostar_tbk,eurostar_mid,eurostar_mid,eurostar_mid,eurostar_motor_rev,eurostar_nol_rear</v>
      </c>
    </row>
    <row r="27" customFormat="false" ht="15" hidden="false" customHeight="false" outlineLevel="0" collapsed="false">
      <c r="B27" s="34" t="str">
        <f aca="false">_xlfn.TEXTJOIN(",",TRUE(),  B21:Z21)</f>
        <v>0,0,0,0,0,0,0,0,0,0,0,0,0,0,0,0</v>
      </c>
    </row>
    <row r="28" customFormat="false" ht="15" hidden="false" customHeight="false" outlineLevel="0" collapsed="false">
      <c r="B28" s="34" t="str">
        <f aca="false">_xlfn.TEXTJOIN(",",TRUE(),  B22:Z22)</f>
        <v>22.15,21.84,18.7,18.7,18.7,18.7,18.7,21.84,21.84,18.7,18.7,18.7,18.7,18.7,21.84,22.15</v>
      </c>
    </row>
    <row r="29" customFormat="false" ht="15" hidden="false" customHeight="false" outlineLevel="0" collapsed="false">
      <c r="B29" s="34" t="str">
        <f aca="false">_xlfn.TEXTJOIN(",",TRUE(),  B23:Z23)</f>
        <v>13,13,11,11,11,11,11,13,13,11,11,11,11,11,13,13</v>
      </c>
    </row>
    <row r="30" customFormat="false" ht="15" hidden="false" customHeight="true" outlineLevel="0" collapsed="false">
      <c r="B30" s="34" t="str">
        <f aca="false">_xlfn.TEXTJOIN(",",TRUE(),  B24:Z24)</f>
        <v>4,5,4,4,5,4,4,3,4,4,3,4,4,3,4,4,3,4,4,3,4,4,5,4,4,5,4,4,3,4,4,3,4,4,3,4,4,3,4,4,3,4,4,5,4,4,5,4</v>
      </c>
    </row>
    <row r="31" customFormat="false" ht="15" hidden="false" customHeight="false" outlineLevel="0" collapsed="false"/>
    <row r="32" customFormat="false" ht="15" hidden="false" customHeight="false" outlineLevel="0" collapsed="false">
      <c r="B32" s="34" t="s">
        <v>681</v>
      </c>
    </row>
    <row r="33" customFormat="false" ht="15" hidden="false" customHeight="false" outlineLevel="0" collapsed="false">
      <c r="A33" s="34" t="s">
        <v>663</v>
      </c>
      <c r="B33" s="34" t="s">
        <v>114</v>
      </c>
      <c r="C33" s="34" t="s">
        <v>682</v>
      </c>
      <c r="D33" s="34" t="s">
        <v>146</v>
      </c>
      <c r="E33" s="34" t="s">
        <v>114</v>
      </c>
      <c r="F33" s="34" t="s">
        <v>682</v>
      </c>
    </row>
    <row r="34" customFormat="false" ht="15" hidden="false" customHeight="false" outlineLevel="0" collapsed="false">
      <c r="A34" s="34" t="s">
        <v>668</v>
      </c>
      <c r="B34" s="34" t="n">
        <v>1</v>
      </c>
      <c r="C34" s="34" t="n">
        <v>1</v>
      </c>
      <c r="D34" s="34" t="n">
        <v>1</v>
      </c>
      <c r="E34" s="34" t="n">
        <v>0</v>
      </c>
      <c r="F34" s="34" t="n">
        <v>0</v>
      </c>
    </row>
    <row r="35" customFormat="false" ht="15" hidden="false" customHeight="false" outlineLevel="0" collapsed="false">
      <c r="A35" s="34" t="s">
        <v>581</v>
      </c>
      <c r="B35" s="34" t="n">
        <v>17.5</v>
      </c>
      <c r="C35" s="34" t="n">
        <v>17.5</v>
      </c>
      <c r="D35" s="34" t="n">
        <v>12.8</v>
      </c>
      <c r="E35" s="34" t="n">
        <v>17.5</v>
      </c>
      <c r="F35" s="34" t="n">
        <v>17.5</v>
      </c>
    </row>
    <row r="36" customFormat="false" ht="15" hidden="false" customHeight="false" outlineLevel="0" collapsed="false">
      <c r="A36" s="34" t="s">
        <v>678</v>
      </c>
      <c r="B36" s="34" t="n">
        <f aca="false">ROUND(15*((B35*10)/256),0)</f>
        <v>10</v>
      </c>
      <c r="C36" s="34" t="n">
        <f aca="false">ROUND(15*((C35*10)/256),0)</f>
        <v>10</v>
      </c>
      <c r="D36" s="34" t="n">
        <f aca="false">ROUND(15*((D35*10)/256),0)</f>
        <v>8</v>
      </c>
      <c r="E36" s="34" t="n">
        <f aca="false">ROUND(15*((E35*10)/256),0)</f>
        <v>10</v>
      </c>
      <c r="F36" s="34" t="n">
        <f aca="false">ROUND(15*((F35*10)/256),0)</f>
        <v>10</v>
      </c>
    </row>
    <row r="37" customFormat="false" ht="15" hidden="false" customHeight="false" outlineLevel="0" collapsed="false">
      <c r="A37" s="34" t="s">
        <v>679</v>
      </c>
      <c r="B37" s="34" t="str">
        <f aca="false">VLOOKUP(B36,Constants!$A$1:$B$16,2,FALSE())</f>
        <v>4,2,4</v>
      </c>
      <c r="C37" s="34" t="str">
        <f aca="false">VLOOKUP(C36,Constants!$A$1:$B$16,2,FALSE())</f>
        <v>4,2,4</v>
      </c>
      <c r="D37" s="34" t="str">
        <f aca="false">VLOOKUP(D36,Constants!$A$1:$B$16,2,FALSE())</f>
        <v>2,4,2</v>
      </c>
      <c r="E37" s="34" t="str">
        <f aca="false">VLOOKUP(E36,Constants!$A$1:$B$16,2,FALSE())</f>
        <v>4,2,4</v>
      </c>
      <c r="F37" s="34" t="str">
        <f aca="false">VLOOKUP(F36,Constants!$A$1:$B$16,2,FALSE())</f>
        <v>4,2,4</v>
      </c>
    </row>
    <row r="38" customFormat="false" ht="15" hidden="false" customHeight="false" outlineLevel="0" collapsed="false">
      <c r="A38" s="34" t="s">
        <v>683</v>
      </c>
      <c r="B38" s="34" t="n">
        <v>0</v>
      </c>
      <c r="C38" s="34" t="n">
        <v>0</v>
      </c>
      <c r="D38" s="34" t="n">
        <v>0</v>
      </c>
      <c r="E38" s="34" t="n">
        <v>0</v>
      </c>
      <c r="F38" s="34" t="n">
        <v>0</v>
      </c>
    </row>
    <row r="39" customFormat="false" ht="15" hidden="false" customHeight="true" outlineLevel="0" collapsed="false">
      <c r="B39" s="34" t="str">
        <f aca="false">_xlfn.TEXTJOIN(",",TRUE(),  B33:P33)</f>
        <v>lbscr_emu_dt,lbscr_emu_dt_rev,lbscr_emu_mlv,lbscr_emu_dt,lbscr_emu_dt_rev</v>
      </c>
    </row>
    <row r="40" customFormat="false" ht="15" hidden="false" customHeight="false" outlineLevel="0" collapsed="false">
      <c r="B40" s="34" t="str">
        <f aca="false">_xlfn.TEXTJOIN(",",TRUE(),  B34:P34)</f>
        <v>1,1,1,0,0</v>
      </c>
    </row>
    <row r="41" customFormat="false" ht="15" hidden="false" customHeight="false" outlineLevel="0" collapsed="false">
      <c r="B41" s="34" t="str">
        <f aca="false">_xlfn.TEXTJOIN(",",TRUE(),  B37:P37)</f>
        <v>4,2,4,4,2,4,2,4,2,4,2,4,4,2,4</v>
      </c>
    </row>
    <row r="42" customFormat="false" ht="15" hidden="false" customHeight="false" outlineLevel="0" collapsed="false">
      <c r="B42" s="34" t="str">
        <f aca="false">_xlfn.TEXTJOIN(",",TRUE(),  B36:U36)</f>
        <v>10,10,8,10,10</v>
      </c>
    </row>
    <row r="43" customFormat="false" ht="15" hidden="false" customHeight="false" outlineLevel="0" collapsed="false">
      <c r="B43" s="34" t="n">
        <f aca="false">SUM(B38:Y38)</f>
        <v>0</v>
      </c>
    </row>
    <row r="45" customFormat="false" ht="15" hidden="false" customHeight="false" outlineLevel="0" collapsed="false">
      <c r="B45" s="34" t="s">
        <v>684</v>
      </c>
    </row>
    <row r="46" customFormat="false" ht="15" hidden="false" customHeight="false" outlineLevel="0" collapsed="false">
      <c r="A46" s="34" t="s">
        <v>663</v>
      </c>
      <c r="B46" s="34" t="s">
        <v>529</v>
      </c>
      <c r="C46" s="34" t="s">
        <v>685</v>
      </c>
      <c r="D46" s="34" t="s">
        <v>686</v>
      </c>
      <c r="E46" s="34" t="s">
        <v>687</v>
      </c>
      <c r="F46" s="34" t="s">
        <v>687</v>
      </c>
      <c r="G46" s="34" t="s">
        <v>687</v>
      </c>
      <c r="H46" s="34" t="s">
        <v>687</v>
      </c>
      <c r="I46" s="34" t="s">
        <v>688</v>
      </c>
    </row>
    <row r="47" customFormat="false" ht="15" hidden="false" customHeight="false" outlineLevel="0" collapsed="false">
      <c r="A47" s="34" t="s">
        <v>668</v>
      </c>
      <c r="B47" s="34" t="n">
        <v>1</v>
      </c>
      <c r="C47" s="34" t="n">
        <v>1</v>
      </c>
      <c r="D47" s="34" t="n">
        <v>1</v>
      </c>
      <c r="E47" s="34" t="n">
        <v>1</v>
      </c>
      <c r="F47" s="34" t="n">
        <v>0</v>
      </c>
      <c r="G47" s="34" t="n">
        <v>0</v>
      </c>
      <c r="H47" s="34" t="n">
        <v>0</v>
      </c>
      <c r="I47" s="34" t="n">
        <v>1</v>
      </c>
    </row>
    <row r="48" customFormat="false" ht="15" hidden="false" customHeight="false" outlineLevel="0" collapsed="false">
      <c r="A48" s="34" t="s">
        <v>581</v>
      </c>
      <c r="B48" s="34" t="n">
        <v>23</v>
      </c>
      <c r="C48" s="34" t="n">
        <v>23</v>
      </c>
      <c r="D48" s="34" t="n">
        <v>23</v>
      </c>
      <c r="E48" s="34" t="n">
        <v>23</v>
      </c>
      <c r="F48" s="34" t="n">
        <v>23</v>
      </c>
      <c r="G48" s="34" t="n">
        <v>23</v>
      </c>
      <c r="H48" s="34" t="n">
        <v>23</v>
      </c>
      <c r="I48" s="34" t="n">
        <v>23</v>
      </c>
    </row>
    <row r="49" customFormat="false" ht="15" hidden="false" customHeight="false" outlineLevel="0" collapsed="false">
      <c r="A49" s="34" t="s">
        <v>678</v>
      </c>
      <c r="B49" s="34" t="n">
        <f aca="false">ROUND(15*((B48*10)/256),0)</f>
        <v>13</v>
      </c>
      <c r="C49" s="34" t="n">
        <f aca="false">ROUND(15*((C48*10)/256),0)</f>
        <v>13</v>
      </c>
      <c r="D49" s="34" t="n">
        <f aca="false">ROUND(15*((D48*10)/256),0)</f>
        <v>13</v>
      </c>
      <c r="E49" s="34" t="n">
        <f aca="false">ROUND(15*((E48*10)/256),0)</f>
        <v>13</v>
      </c>
      <c r="F49" s="34" t="n">
        <f aca="false">ROUND(15*((F48*10)/256),0)</f>
        <v>13</v>
      </c>
      <c r="G49" s="34" t="n">
        <f aca="false">ROUND(15*((G48*10)/256),0)</f>
        <v>13</v>
      </c>
      <c r="H49" s="34" t="n">
        <f aca="false">ROUND(15*((H48*10)/256),0)</f>
        <v>13</v>
      </c>
      <c r="I49" s="34" t="n">
        <f aca="false">ROUND(15*((I48*10)/256),0)</f>
        <v>13</v>
      </c>
    </row>
    <row r="50" customFormat="false" ht="15" hidden="false" customHeight="false" outlineLevel="0" collapsed="false">
      <c r="A50" s="34" t="s">
        <v>679</v>
      </c>
      <c r="B50" s="34" t="str">
        <f aca="false">VLOOKUP(B49,Constants!$A$1:$B$16,2,FALSE())</f>
        <v>4,5,4</v>
      </c>
      <c r="C50" s="34" t="str">
        <f aca="false">VLOOKUP(C49,Constants!$A$1:$B$16,2,FALSE())</f>
        <v>4,5,4</v>
      </c>
      <c r="D50" s="34" t="str">
        <f aca="false">VLOOKUP(D49,Constants!$A$1:$B$16,2,FALSE())</f>
        <v>4,5,4</v>
      </c>
      <c r="E50" s="34" t="str">
        <f aca="false">VLOOKUP(E49,Constants!$A$1:$B$16,2,FALSE())</f>
        <v>4,5,4</v>
      </c>
      <c r="F50" s="34" t="str">
        <f aca="false">VLOOKUP(F49,Constants!$A$1:$B$16,2,FALSE())</f>
        <v>4,5,4</v>
      </c>
      <c r="G50" s="34" t="str">
        <f aca="false">VLOOKUP(G49,Constants!$A$1:$B$16,2,FALSE())</f>
        <v>4,5,4</v>
      </c>
      <c r="H50" s="34" t="str">
        <f aca="false">VLOOKUP(H49,Constants!$A$1:$B$16,2,FALSE())</f>
        <v>4,5,4</v>
      </c>
      <c r="I50" s="34" t="str">
        <f aca="false">VLOOKUP(I49,Constants!$A$1:$B$16,2,FALSE())</f>
        <v>4,5,4</v>
      </c>
    </row>
    <row r="51" customFormat="false" ht="15" hidden="false" customHeight="true" outlineLevel="0" collapsed="false">
      <c r="A51" s="34" t="s">
        <v>683</v>
      </c>
      <c r="B51" s="34" t="n">
        <v>50.2</v>
      </c>
      <c r="C51" s="34" t="n">
        <v>50.2</v>
      </c>
      <c r="D51" s="34" t="n">
        <v>52.9</v>
      </c>
      <c r="E51" s="34" t="n">
        <v>53.3</v>
      </c>
      <c r="F51" s="34" t="n">
        <v>53.3</v>
      </c>
      <c r="G51" s="34" t="n">
        <v>53.3</v>
      </c>
      <c r="H51" s="34" t="n">
        <v>53.3</v>
      </c>
      <c r="I51" s="34" t="n">
        <v>53.3</v>
      </c>
    </row>
    <row r="52" customFormat="false" ht="15" hidden="false" customHeight="false" outlineLevel="0" collapsed="false">
      <c r="B52" s="34" t="str">
        <f aca="false">_xlfn.TEXTJOIN(",",TRUE(),  B46:P46)</f>
        <v>passenger_coach_nightstar_1e,passenger_coach_nightstar_1,passenger_coach_nightstar_2,passenger_coach_nightstar_3,passenger_coach_nightstar_3,passenger_coach_nightstar_3,passenger_coach_nightstar_3,passenger_coach_nightstar_3e</v>
      </c>
    </row>
    <row r="53" customFormat="false" ht="15" hidden="false" customHeight="false" outlineLevel="0" collapsed="false">
      <c r="B53" s="34" t="str">
        <f aca="false">_xlfn.TEXTJOIN(",",TRUE(),  B47:P47)</f>
        <v>1,1,1,1,0,0,0,1</v>
      </c>
    </row>
    <row r="54" customFormat="false" ht="15" hidden="false" customHeight="false" outlineLevel="0" collapsed="false">
      <c r="B54" s="34" t="str">
        <f aca="false">_xlfn.TEXTJOIN(",",TRUE(),  B50:P50)</f>
        <v>4,5,4,4,5,4,4,5,4,4,5,4,4,5,4,4,5,4,4,5,4,4,5,4</v>
      </c>
    </row>
    <row r="55" customFormat="false" ht="15" hidden="false" customHeight="false" outlineLevel="0" collapsed="false">
      <c r="B55" s="34" t="str">
        <f aca="false">_xlfn.TEXTJOIN(",",TRUE(),  B49:U49)</f>
        <v>13,13,13,13,13,13,13,13</v>
      </c>
    </row>
    <row r="56" customFormat="false" ht="15" hidden="false" customHeight="true" outlineLevel="0" collapsed="false">
      <c r="B56" s="34" t="n">
        <f aca="false">SUM(B51:Y51)</f>
        <v>419.8</v>
      </c>
    </row>
    <row r="57" customFormat="false" ht="15" hidden="false" customHeight="true" outlineLevel="0" collapsed="false">
      <c r="B57" s="34" t="s">
        <v>689</v>
      </c>
    </row>
    <row r="58" customFormat="false" ht="15" hidden="false" customHeight="true" outlineLevel="0" collapsed="false">
      <c r="A58" s="34" t="s">
        <v>663</v>
      </c>
      <c r="B58" s="34" t="s">
        <v>529</v>
      </c>
      <c r="C58" s="34" t="s">
        <v>685</v>
      </c>
      <c r="D58" s="34" t="s">
        <v>685</v>
      </c>
      <c r="E58" s="34" t="s">
        <v>686</v>
      </c>
      <c r="F58" s="34" t="s">
        <v>687</v>
      </c>
      <c r="G58" s="34" t="s">
        <v>687</v>
      </c>
      <c r="H58" s="34" t="s">
        <v>688</v>
      </c>
    </row>
    <row r="59" customFormat="false" ht="15" hidden="false" customHeight="true" outlineLevel="0" collapsed="false">
      <c r="A59" s="34" t="s">
        <v>668</v>
      </c>
      <c r="B59" s="34" t="n">
        <v>0</v>
      </c>
      <c r="C59" s="34" t="n">
        <v>0</v>
      </c>
      <c r="D59" s="34" t="n">
        <v>0</v>
      </c>
      <c r="E59" s="34" t="n">
        <v>0</v>
      </c>
      <c r="F59" s="34" t="n">
        <v>0</v>
      </c>
      <c r="G59" s="34" t="n">
        <v>0</v>
      </c>
      <c r="H59" s="34" t="n">
        <v>0</v>
      </c>
    </row>
    <row r="60" customFormat="false" ht="15" hidden="false" customHeight="true" outlineLevel="0" collapsed="false">
      <c r="A60" s="34" t="s">
        <v>581</v>
      </c>
      <c r="B60" s="34" t="n">
        <v>23</v>
      </c>
      <c r="C60" s="34" t="n">
        <v>23</v>
      </c>
      <c r="D60" s="34" t="n">
        <v>23</v>
      </c>
      <c r="E60" s="34" t="n">
        <v>23</v>
      </c>
      <c r="F60" s="34" t="n">
        <v>23</v>
      </c>
      <c r="G60" s="34" t="n">
        <v>23</v>
      </c>
      <c r="H60" s="34" t="n">
        <v>23</v>
      </c>
    </row>
    <row r="61" customFormat="false" ht="15" hidden="false" customHeight="true" outlineLevel="0" collapsed="false">
      <c r="A61" s="34" t="s">
        <v>678</v>
      </c>
      <c r="B61" s="34" t="n">
        <f aca="false">ROUND(15*((B60*10)/256),0)</f>
        <v>13</v>
      </c>
      <c r="C61" s="34" t="n">
        <f aca="false">ROUND(15*((C60*10)/256),0)</f>
        <v>13</v>
      </c>
      <c r="D61" s="34" t="n">
        <f aca="false">ROUND(15*((D60*10)/256),0)</f>
        <v>13</v>
      </c>
      <c r="E61" s="34" t="n">
        <f aca="false">ROUND(15*((E60*10)/256),0)</f>
        <v>13</v>
      </c>
      <c r="F61" s="34" t="n">
        <f aca="false">ROUND(15*((F60*10)/256),0)</f>
        <v>13</v>
      </c>
      <c r="G61" s="34" t="n">
        <f aca="false">ROUND(15*((G60*10)/256),0)</f>
        <v>13</v>
      </c>
      <c r="H61" s="34" t="n">
        <f aca="false">ROUND(15*((H60*10)/256),0)</f>
        <v>13</v>
      </c>
    </row>
    <row r="62" customFormat="false" ht="15" hidden="false" customHeight="true" outlineLevel="0" collapsed="false">
      <c r="A62" s="34" t="s">
        <v>679</v>
      </c>
      <c r="B62" s="34" t="str">
        <f aca="false">VLOOKUP(B61,Constants!$A$1:$B$16,2,FALSE())</f>
        <v>4,5,4</v>
      </c>
      <c r="C62" s="34" t="str">
        <f aca="false">VLOOKUP(C61,Constants!$A$1:$B$16,2,FALSE())</f>
        <v>4,5,4</v>
      </c>
      <c r="D62" s="34" t="str">
        <f aca="false">VLOOKUP(D61,Constants!$A$1:$B$16,2,FALSE())</f>
        <v>4,5,4</v>
      </c>
      <c r="E62" s="34" t="str">
        <f aca="false">VLOOKUP(E61,Constants!$A$1:$B$16,2,FALSE())</f>
        <v>4,5,4</v>
      </c>
      <c r="F62" s="34" t="str">
        <f aca="false">VLOOKUP(F61,Constants!$A$1:$B$16,2,FALSE())</f>
        <v>4,5,4</v>
      </c>
      <c r="G62" s="34" t="str">
        <f aca="false">VLOOKUP(G61,Constants!$A$1:$B$16,2,FALSE())</f>
        <v>4,5,4</v>
      </c>
      <c r="H62" s="34" t="str">
        <f aca="false">VLOOKUP(H61,Constants!$A$1:$B$16,2,FALSE())</f>
        <v>4,5,4</v>
      </c>
    </row>
    <row r="63" customFormat="false" ht="15" hidden="false" customHeight="true" outlineLevel="0" collapsed="false">
      <c r="A63" s="34" t="s">
        <v>683</v>
      </c>
      <c r="B63" s="34" t="n">
        <v>50.2</v>
      </c>
      <c r="C63" s="34" t="n">
        <v>50.2</v>
      </c>
      <c r="D63" s="34" t="n">
        <v>50.2</v>
      </c>
      <c r="E63" s="34" t="n">
        <v>52.9</v>
      </c>
      <c r="F63" s="34" t="n">
        <v>53.3</v>
      </c>
      <c r="G63" s="34" t="n">
        <v>53.3</v>
      </c>
      <c r="H63" s="34" t="n">
        <v>53.3</v>
      </c>
    </row>
    <row r="64" customFormat="false" ht="15" hidden="false" customHeight="true" outlineLevel="0" collapsed="false">
      <c r="B64" s="34" t="str">
        <f aca="false">_xlfn.TEXTJOIN(",",TRUE(),  B58:P58)</f>
        <v>passenger_coach_nightstar_1e,passenger_coach_nightstar_1,passenger_coach_nightstar_1,passenger_coach_nightstar_2,passenger_coach_nightstar_3,passenger_coach_nightstar_3,passenger_coach_nightstar_3e</v>
      </c>
    </row>
    <row r="65" customFormat="false" ht="15" hidden="false" customHeight="true" outlineLevel="0" collapsed="false">
      <c r="B65" s="34" t="str">
        <f aca="false">_xlfn.TEXTJOIN(",",TRUE(),  B59:P59)</f>
        <v>0,0,0,0,0,0,0</v>
      </c>
    </row>
    <row r="66" customFormat="false" ht="15" hidden="false" customHeight="true" outlineLevel="0" collapsed="false">
      <c r="B66" s="34" t="str">
        <f aca="false">_xlfn.TEXTJOIN(",",TRUE(),  B62:P62)</f>
        <v>4,5,4,4,5,4,4,5,4,4,5,4,4,5,4,4,5,4,4,5,4</v>
      </c>
    </row>
    <row r="67" customFormat="false" ht="15" hidden="false" customHeight="true" outlineLevel="0" collapsed="false">
      <c r="B67" s="34" t="str">
        <f aca="false">_xlfn.TEXTJOIN(",",TRUE(),  B61:U61)</f>
        <v>13,13,13,13,13,13,13</v>
      </c>
    </row>
    <row r="68" customFormat="false" ht="15" hidden="false" customHeight="true" outlineLevel="0" collapsed="false">
      <c r="B68" s="34" t="n">
        <f aca="false">SUM(B63:Y63)</f>
        <v>363.4</v>
      </c>
    </row>
    <row r="73" customFormat="false" ht="15" hidden="false" customHeight="true" outlineLevel="0" collapsed="false">
      <c r="B73" s="34" t="s">
        <v>690</v>
      </c>
    </row>
    <row r="74" customFormat="false" ht="15" hidden="false" customHeight="true" outlineLevel="0" collapsed="false">
      <c r="A74" s="34" t="s">
        <v>663</v>
      </c>
      <c r="B74" s="34" t="s">
        <v>422</v>
      </c>
      <c r="C74" s="34" t="s">
        <v>691</v>
      </c>
      <c r="D74" s="34" t="s">
        <v>692</v>
      </c>
      <c r="E74" s="34" t="s">
        <v>693</v>
      </c>
      <c r="F74" s="34" t="s">
        <v>693</v>
      </c>
      <c r="G74" s="34" t="s">
        <v>692</v>
      </c>
      <c r="H74" s="34" t="s">
        <v>693</v>
      </c>
      <c r="I74" s="34" t="s">
        <v>694</v>
      </c>
      <c r="J74" s="34" t="s">
        <v>694</v>
      </c>
      <c r="K74" s="34" t="s">
        <v>695</v>
      </c>
      <c r="L74" s="34" t="s">
        <v>696</v>
      </c>
      <c r="M74" s="34" t="s">
        <v>695</v>
      </c>
      <c r="N74" s="34" t="s">
        <v>695</v>
      </c>
      <c r="O74" s="34" t="s">
        <v>696</v>
      </c>
      <c r="P74" s="34" t="s">
        <v>697</v>
      </c>
      <c r="Q74" s="34" t="s">
        <v>698</v>
      </c>
      <c r="R74" s="34"/>
      <c r="S74" s="34"/>
      <c r="T74" s="34"/>
      <c r="U74" s="34"/>
    </row>
    <row r="75" customFormat="false" ht="15" hidden="false" customHeight="true" outlineLevel="0" collapsed="false">
      <c r="A75" s="34" t="s">
        <v>668</v>
      </c>
      <c r="B75" s="34" t="n">
        <v>1</v>
      </c>
      <c r="C75" s="34" t="n">
        <v>1</v>
      </c>
      <c r="D75" s="34" t="n">
        <v>1</v>
      </c>
      <c r="E75" s="34" t="n">
        <v>1</v>
      </c>
      <c r="F75" s="34" t="n">
        <v>0</v>
      </c>
      <c r="G75" s="34" t="n">
        <v>0</v>
      </c>
      <c r="H75" s="34" t="n">
        <v>0</v>
      </c>
      <c r="I75" s="34" t="n">
        <v>1</v>
      </c>
      <c r="J75" s="34" t="n">
        <v>0</v>
      </c>
      <c r="K75" s="34" t="n">
        <v>1</v>
      </c>
      <c r="L75" s="34" t="n">
        <v>1</v>
      </c>
      <c r="M75" s="34" t="n">
        <v>0</v>
      </c>
      <c r="N75" s="34" t="n">
        <v>0</v>
      </c>
      <c r="O75" s="34" t="n">
        <v>0</v>
      </c>
      <c r="P75" s="34" t="n">
        <v>1</v>
      </c>
      <c r="Q75" s="34" t="n">
        <v>1</v>
      </c>
      <c r="R75" s="34"/>
      <c r="S75" s="34"/>
      <c r="T75" s="34"/>
      <c r="U75" s="34"/>
    </row>
    <row r="76" customFormat="false" ht="15" hidden="false" customHeight="true" outlineLevel="0" collapsed="false">
      <c r="A76" s="34" t="s">
        <v>581</v>
      </c>
      <c r="B76" s="34" t="n">
        <v>25.7</v>
      </c>
      <c r="C76" s="34" t="n">
        <v>24.2</v>
      </c>
      <c r="D76" s="34" t="n">
        <v>24.2</v>
      </c>
      <c r="E76" s="34" t="n">
        <v>24.2</v>
      </c>
      <c r="F76" s="34" t="n">
        <v>24.2</v>
      </c>
      <c r="G76" s="34" t="n">
        <v>24.2</v>
      </c>
      <c r="H76" s="34" t="n">
        <v>24.2</v>
      </c>
      <c r="I76" s="34" t="n">
        <v>24.2</v>
      </c>
      <c r="J76" s="34" t="n">
        <v>24.2</v>
      </c>
      <c r="K76" s="34" t="n">
        <v>24.2</v>
      </c>
      <c r="L76" s="34" t="n">
        <v>24.2</v>
      </c>
      <c r="M76" s="34" t="n">
        <v>24.2</v>
      </c>
      <c r="N76" s="34" t="n">
        <v>24.2</v>
      </c>
      <c r="O76" s="34" t="n">
        <v>24.2</v>
      </c>
      <c r="P76" s="34" t="n">
        <v>24.2</v>
      </c>
      <c r="Q76" s="34" t="n">
        <v>25.7</v>
      </c>
      <c r="R76" s="34"/>
      <c r="S76" s="34"/>
      <c r="T76" s="34"/>
      <c r="U76" s="34"/>
    </row>
    <row r="77" customFormat="false" ht="15" hidden="false" customHeight="true" outlineLevel="0" collapsed="false">
      <c r="A77" s="34" t="s">
        <v>678</v>
      </c>
      <c r="B77" s="34" t="n">
        <f aca="false">ROUND(15*((B76*10)/256),0)</f>
        <v>15</v>
      </c>
      <c r="C77" s="34" t="n">
        <f aca="false">ROUND(15*((C76*10)/256),0)</f>
        <v>14</v>
      </c>
      <c r="D77" s="34" t="n">
        <f aca="false">ROUND(15*((D76*10)/256),0)</f>
        <v>14</v>
      </c>
      <c r="E77" s="34" t="n">
        <f aca="false">ROUND(15*((E76*10)/256),0)</f>
        <v>14</v>
      </c>
      <c r="F77" s="34" t="n">
        <f aca="false">ROUND(15*((F76*10)/256),0)</f>
        <v>14</v>
      </c>
      <c r="G77" s="34" t="n">
        <f aca="false">ROUND(15*((G76*10)/256),0)</f>
        <v>14</v>
      </c>
      <c r="H77" s="34" t="n">
        <f aca="false">ROUND(15*((H76*10)/256),0)</f>
        <v>14</v>
      </c>
      <c r="I77" s="34" t="n">
        <f aca="false">ROUND(15*((I76*10)/256),0)</f>
        <v>14</v>
      </c>
      <c r="J77" s="34" t="n">
        <f aca="false">ROUND(15*((J76*10)/256),0)</f>
        <v>14</v>
      </c>
      <c r="K77" s="34" t="n">
        <f aca="false">ROUND(15*((K76*10)/256),0)</f>
        <v>14</v>
      </c>
      <c r="L77" s="34" t="n">
        <f aca="false">ROUND(15*((L76*10)/256),0)</f>
        <v>14</v>
      </c>
      <c r="M77" s="34" t="n">
        <f aca="false">ROUND(15*((M76*10)/256),0)</f>
        <v>14</v>
      </c>
      <c r="N77" s="34" t="n">
        <f aca="false">ROUND(15*((N76*10)/256),0)</f>
        <v>14</v>
      </c>
      <c r="O77" s="34" t="n">
        <f aca="false">ROUND(15*((O76*10)/256),0)</f>
        <v>14</v>
      </c>
      <c r="P77" s="34" t="n">
        <f aca="false">ROUND(15*((P76*10)/256),0)</f>
        <v>14</v>
      </c>
      <c r="Q77" s="34" t="n">
        <f aca="false">ROUND(15*((Q76*10)/256),0)</f>
        <v>15</v>
      </c>
      <c r="R77" s="34"/>
      <c r="S77" s="34"/>
      <c r="T77" s="34"/>
      <c r="U77" s="34"/>
    </row>
    <row r="78" customFormat="false" ht="15" hidden="false" customHeight="true" outlineLevel="0" collapsed="false">
      <c r="A78" s="34" t="s">
        <v>679</v>
      </c>
      <c r="B78" s="34" t="str">
        <f aca="false">VLOOKUP(B77,Constants!$A$1:$B$16,2,FALSE())</f>
        <v>4,7,4</v>
      </c>
      <c r="C78" s="34" t="str">
        <f aca="false">VLOOKUP(C77,Constants!$A$1:$B$16,2,FALSE())</f>
        <v>4,6,4</v>
      </c>
      <c r="D78" s="34" t="str">
        <f aca="false">VLOOKUP(D77,Constants!$A$1:$B$16,2,FALSE())</f>
        <v>4,6,4</v>
      </c>
      <c r="E78" s="34" t="str">
        <f aca="false">VLOOKUP(E77,Constants!$A$1:$B$16,2,FALSE())</f>
        <v>4,6,4</v>
      </c>
      <c r="F78" s="34" t="str">
        <f aca="false">VLOOKUP(F77,Constants!$A$1:$B$16,2,FALSE())</f>
        <v>4,6,4</v>
      </c>
      <c r="G78" s="34" t="str">
        <f aca="false">VLOOKUP(G77,Constants!$A$1:$B$16,2,FALSE())</f>
        <v>4,6,4</v>
      </c>
      <c r="H78" s="34" t="str">
        <f aca="false">VLOOKUP(H77,Constants!$A$1:$B$16,2,FALSE())</f>
        <v>4,6,4</v>
      </c>
      <c r="I78" s="34" t="str">
        <f aca="false">VLOOKUP(I77,Constants!$A$1:$B$16,2,FALSE())</f>
        <v>4,6,4</v>
      </c>
      <c r="J78" s="34" t="str">
        <f aca="false">VLOOKUP(J77,Constants!$A$1:$B$16,2,FALSE())</f>
        <v>4,6,4</v>
      </c>
      <c r="K78" s="34" t="str">
        <f aca="false">VLOOKUP(K77,Constants!$A$1:$B$16,2,FALSE())</f>
        <v>4,6,4</v>
      </c>
      <c r="L78" s="34" t="str">
        <f aca="false">VLOOKUP(L77,Constants!$A$1:$B$16,2,FALSE())</f>
        <v>4,6,4</v>
      </c>
      <c r="M78" s="34" t="str">
        <f aca="false">VLOOKUP(M77,Constants!$A$1:$B$16,2,FALSE())</f>
        <v>4,6,4</v>
      </c>
      <c r="N78" s="34" t="str">
        <f aca="false">VLOOKUP(N77,Constants!$A$1:$B$16,2,FALSE())</f>
        <v>4,6,4</v>
      </c>
      <c r="O78" s="34" t="str">
        <f aca="false">VLOOKUP(O77,Constants!$A$1:$B$16,2,FALSE())</f>
        <v>4,6,4</v>
      </c>
      <c r="P78" s="34" t="str">
        <f aca="false">VLOOKUP(P77,Constants!$A$1:$B$16,2,FALSE())</f>
        <v>4,6,4</v>
      </c>
      <c r="Q78" s="34" t="str">
        <f aca="false">VLOOKUP(Q77,Constants!$A$1:$B$16,2,FALSE())</f>
        <v>4,7,4</v>
      </c>
      <c r="R78" s="34"/>
      <c r="S78" s="34"/>
      <c r="T78" s="34"/>
      <c r="U78" s="34"/>
    </row>
    <row r="80" customFormat="false" ht="15" hidden="false" customHeight="true" outlineLevel="0" collapsed="false">
      <c r="B80" s="34" t="str">
        <f aca="false">_xlfn.TEXTJOIN(",",TRUE(),  B74:Z74)</f>
        <v>eurostar_e320_front,eurostar_e320_p,eurostar_e320_m,eurostar_e320_pd,eurostar_e320_pd,eurostar_e320_m,eurostar_e320_pd,eurostar_e320_mc,eurostar_e320_mc,eurostar_e320_pdr,eurostar_e320_mr,eurostar_e320_pdr,eurostar_e320_pdr,eurostar_e320_mr,eurostar_e320_pr,eurostar_e320_rear</v>
      </c>
    </row>
    <row r="81" customFormat="false" ht="15" hidden="false" customHeight="true" outlineLevel="0" collapsed="false">
      <c r="B81" s="34" t="str">
        <f aca="false">_xlfn.TEXTJOIN(",",TRUE(),  B75:Z75)</f>
        <v>1,1,1,1,0,0,0,1,0,1,1,0,0,0,1,1</v>
      </c>
    </row>
    <row r="82" customFormat="false" ht="15" hidden="false" customHeight="true" outlineLevel="0" collapsed="false">
      <c r="B82" s="34" t="str">
        <f aca="false">_xlfn.TEXTJOIN(",",TRUE(),  B76:Z76)</f>
        <v>25.7,24.2,24.2,24.2,24.2,24.2,24.2,24.2,24.2,24.2,24.2,24.2,24.2,24.2,24.2,25.7</v>
      </c>
    </row>
    <row r="83" customFormat="false" ht="15" hidden="false" customHeight="true" outlineLevel="0" collapsed="false">
      <c r="B83" s="34" t="str">
        <f aca="false">_xlfn.TEXTJOIN(",",TRUE(),  B77:Z77)</f>
        <v>15,14,14,14,14,14,14,14,14,14,14,14,14,14,14,15</v>
      </c>
    </row>
    <row r="84" customFormat="false" ht="15" hidden="false" customHeight="true" outlineLevel="0" collapsed="false">
      <c r="B84" s="34" t="str">
        <f aca="false">_xlfn.TEXTJOIN(",",TRUE(),  B78:Z78)</f>
        <v>4,7,4,4,6,4,4,6,4,4,6,4,4,6,4,4,6,4,4,6,4,4,6,4,4,6,4,4,6,4,4,6,4,4,6,4,4,6,4,4,6,4,4,6,4,4,7,4</v>
      </c>
    </row>
    <row r="86" customFormat="false" ht="15" hidden="false" customHeight="true" outlineLevel="0" collapsed="false">
      <c r="B86" s="34" t="s">
        <v>699</v>
      </c>
    </row>
    <row r="87" customFormat="false" ht="15" hidden="false" customHeight="true" outlineLevel="0" collapsed="false">
      <c r="A87" s="34" t="s">
        <v>663</v>
      </c>
      <c r="B87" s="34" t="s">
        <v>422</v>
      </c>
      <c r="C87" s="34" t="s">
        <v>691</v>
      </c>
      <c r="D87" s="34" t="s">
        <v>693</v>
      </c>
      <c r="E87" s="34" t="s">
        <v>692</v>
      </c>
      <c r="F87" s="34" t="s">
        <v>693</v>
      </c>
      <c r="G87" s="34" t="s">
        <v>694</v>
      </c>
      <c r="H87" s="34" t="s">
        <v>694</v>
      </c>
      <c r="I87" s="34" t="s">
        <v>695</v>
      </c>
      <c r="J87" s="34" t="s">
        <v>696</v>
      </c>
      <c r="K87" s="34" t="s">
        <v>695</v>
      </c>
      <c r="L87" s="34" t="s">
        <v>697</v>
      </c>
      <c r="M87" s="34" t="s">
        <v>698</v>
      </c>
      <c r="P87" s="19"/>
      <c r="Q87" s="19"/>
      <c r="R87" s="34"/>
      <c r="S87" s="34"/>
      <c r="T87" s="34"/>
      <c r="U87" s="34"/>
    </row>
    <row r="88" customFormat="false" ht="15" hidden="false" customHeight="true" outlineLevel="0" collapsed="false">
      <c r="A88" s="34" t="s">
        <v>668</v>
      </c>
      <c r="B88" s="34" t="n">
        <v>0</v>
      </c>
      <c r="C88" s="34" t="n">
        <v>0</v>
      </c>
      <c r="D88" s="34" t="n">
        <v>0</v>
      </c>
      <c r="E88" s="34" t="n">
        <v>0</v>
      </c>
      <c r="F88" s="34" t="n">
        <v>0</v>
      </c>
      <c r="G88" s="34" t="n">
        <v>0</v>
      </c>
      <c r="H88" s="34" t="n">
        <v>0</v>
      </c>
      <c r="I88" s="34" t="n">
        <v>0</v>
      </c>
      <c r="J88" s="34" t="n">
        <v>0</v>
      </c>
      <c r="K88" s="34" t="n">
        <v>0</v>
      </c>
      <c r="L88" s="34" t="n">
        <v>0</v>
      </c>
      <c r="M88" s="34" t="n">
        <v>0</v>
      </c>
      <c r="P88" s="19"/>
      <c r="Q88" s="19"/>
      <c r="R88" s="34"/>
      <c r="S88" s="34"/>
      <c r="T88" s="34"/>
      <c r="U88" s="34"/>
    </row>
    <row r="89" customFormat="false" ht="15" hidden="false" customHeight="true" outlineLevel="0" collapsed="false">
      <c r="A89" s="34" t="s">
        <v>581</v>
      </c>
      <c r="B89" s="34" t="n">
        <v>25.7</v>
      </c>
      <c r="C89" s="34" t="n">
        <v>24.2</v>
      </c>
      <c r="D89" s="34" t="n">
        <v>24.2</v>
      </c>
      <c r="E89" s="34" t="n">
        <v>24.2</v>
      </c>
      <c r="F89" s="34" t="n">
        <v>24.2</v>
      </c>
      <c r="G89" s="34" t="n">
        <v>24.2</v>
      </c>
      <c r="H89" s="34" t="n">
        <v>24.2</v>
      </c>
      <c r="I89" s="34" t="n">
        <v>24.2</v>
      </c>
      <c r="J89" s="34" t="n">
        <v>24.2</v>
      </c>
      <c r="K89" s="34" t="n">
        <v>24.2</v>
      </c>
      <c r="L89" s="34" t="n">
        <v>24.2</v>
      </c>
      <c r="M89" s="34" t="n">
        <v>25.7</v>
      </c>
      <c r="P89" s="19"/>
      <c r="Q89" s="19"/>
      <c r="R89" s="34"/>
      <c r="S89" s="34"/>
      <c r="T89" s="34"/>
      <c r="U89" s="34"/>
    </row>
    <row r="90" customFormat="false" ht="15" hidden="false" customHeight="true" outlineLevel="0" collapsed="false">
      <c r="A90" s="34" t="s">
        <v>678</v>
      </c>
      <c r="B90" s="34" t="n">
        <f aca="false">ROUND(15*((B89*10)/256),0)</f>
        <v>15</v>
      </c>
      <c r="C90" s="34" t="n">
        <f aca="false">ROUND(15*((C89*10)/256),0)</f>
        <v>14</v>
      </c>
      <c r="D90" s="34" t="n">
        <f aca="false">ROUND(15*((D89*10)/256),0)</f>
        <v>14</v>
      </c>
      <c r="E90" s="34" t="n">
        <f aca="false">ROUND(15*((E89*10)/256),0)</f>
        <v>14</v>
      </c>
      <c r="F90" s="34" t="n">
        <f aca="false">ROUND(15*((F89*10)/256),0)</f>
        <v>14</v>
      </c>
      <c r="G90" s="34" t="n">
        <f aca="false">ROUND(15*((G89*10)/256),0)</f>
        <v>14</v>
      </c>
      <c r="H90" s="34" t="n">
        <f aca="false">ROUND(15*((H89*10)/256),0)</f>
        <v>14</v>
      </c>
      <c r="I90" s="34" t="n">
        <f aca="false">ROUND(15*((I89*10)/256),0)</f>
        <v>14</v>
      </c>
      <c r="J90" s="34" t="n">
        <f aca="false">ROUND(15*((J89*10)/256),0)</f>
        <v>14</v>
      </c>
      <c r="K90" s="34" t="n">
        <f aca="false">ROUND(15*((K89*10)/256),0)</f>
        <v>14</v>
      </c>
      <c r="L90" s="34" t="n">
        <f aca="false">ROUND(15*((L89*10)/256),0)</f>
        <v>14</v>
      </c>
      <c r="M90" s="34" t="n">
        <f aca="false">ROUND(15*((M89*10)/256),0)</f>
        <v>15</v>
      </c>
      <c r="P90" s="19"/>
      <c r="Q90" s="19"/>
      <c r="R90" s="34"/>
      <c r="S90" s="34"/>
      <c r="T90" s="34"/>
      <c r="U90" s="34"/>
    </row>
    <row r="91" customFormat="false" ht="15" hidden="false" customHeight="true" outlineLevel="0" collapsed="false">
      <c r="A91" s="34" t="s">
        <v>679</v>
      </c>
      <c r="B91" s="34" t="str">
        <f aca="false">VLOOKUP(B90,Constants!$A$1:$B$16,2,FALSE())</f>
        <v>4,7,4</v>
      </c>
      <c r="C91" s="34" t="str">
        <f aca="false">VLOOKUP(C90,Constants!$A$1:$B$16,2,FALSE())</f>
        <v>4,6,4</v>
      </c>
      <c r="D91" s="34" t="str">
        <f aca="false">VLOOKUP(D90,Constants!$A$1:$B$16,2,FALSE())</f>
        <v>4,6,4</v>
      </c>
      <c r="E91" s="34" t="str">
        <f aca="false">VLOOKUP(E90,Constants!$A$1:$B$16,2,FALSE())</f>
        <v>4,6,4</v>
      </c>
      <c r="F91" s="34" t="str">
        <f aca="false">VLOOKUP(F90,Constants!$A$1:$B$16,2,FALSE())</f>
        <v>4,6,4</v>
      </c>
      <c r="G91" s="34" t="str">
        <f aca="false">VLOOKUP(G90,Constants!$A$1:$B$16,2,FALSE())</f>
        <v>4,6,4</v>
      </c>
      <c r="H91" s="34" t="str">
        <f aca="false">VLOOKUP(H90,Constants!$A$1:$B$16,2,FALSE())</f>
        <v>4,6,4</v>
      </c>
      <c r="I91" s="34" t="str">
        <f aca="false">VLOOKUP(I90,Constants!$A$1:$B$16,2,FALSE())</f>
        <v>4,6,4</v>
      </c>
      <c r="J91" s="34" t="str">
        <f aca="false">VLOOKUP(J90,Constants!$A$1:$B$16,2,FALSE())</f>
        <v>4,6,4</v>
      </c>
      <c r="K91" s="34" t="str">
        <f aca="false">VLOOKUP(K90,Constants!$A$1:$B$16,2,FALSE())</f>
        <v>4,6,4</v>
      </c>
      <c r="L91" s="34" t="str">
        <f aca="false">VLOOKUP(L90,Constants!$A$1:$B$16,2,FALSE())</f>
        <v>4,6,4</v>
      </c>
      <c r="M91" s="34" t="str">
        <f aca="false">VLOOKUP(M90,Constants!$A$1:$B$16,2,FALSE())</f>
        <v>4,7,4</v>
      </c>
      <c r="P91" s="19"/>
      <c r="Q91" s="19"/>
      <c r="R91" s="34"/>
      <c r="S91" s="34"/>
      <c r="T91" s="34"/>
      <c r="U91" s="34"/>
    </row>
    <row r="92" customFormat="false" ht="15" hidden="false" customHeight="true" outlineLevel="0" collapsed="false">
      <c r="P92" s="19"/>
      <c r="Q92" s="19"/>
    </row>
    <row r="93" customFormat="false" ht="15" hidden="false" customHeight="true" outlineLevel="0" collapsed="false">
      <c r="B93" s="34" t="str">
        <f aca="false">_xlfn.TEXTJOIN(",",TRUE(),  B87:Z87)</f>
        <v>eurostar_e320_front,eurostar_e320_p,eurostar_e320_pd,eurostar_e320_m,eurostar_e320_pd,eurostar_e320_mc,eurostar_e320_mc,eurostar_e320_pdr,eurostar_e320_mr,eurostar_e320_pdr,eurostar_e320_pr,eurostar_e320_rear</v>
      </c>
    </row>
    <row r="94" customFormat="false" ht="15" hidden="false" customHeight="true" outlineLevel="0" collapsed="false">
      <c r="B94" s="34" t="str">
        <f aca="false">_xlfn.TEXTJOIN(",",TRUE(),  B88:Z88)</f>
        <v>0,0,0,0,0,0,0,0,0,0,0,0</v>
      </c>
    </row>
    <row r="95" customFormat="false" ht="15" hidden="false" customHeight="true" outlineLevel="0" collapsed="false">
      <c r="B95" s="34" t="str">
        <f aca="false">_xlfn.TEXTJOIN(",",TRUE(),  B89:Z89)</f>
        <v>25.7,24.2,24.2,24.2,24.2,24.2,24.2,24.2,24.2,24.2,24.2,25.7</v>
      </c>
    </row>
    <row r="96" customFormat="false" ht="15" hidden="false" customHeight="true" outlineLevel="0" collapsed="false">
      <c r="B96" s="34" t="str">
        <f aca="false">_xlfn.TEXTJOIN(",",TRUE(),  B90:Z90)</f>
        <v>15,14,14,14,14,14,14,14,14,14,14,15</v>
      </c>
    </row>
    <row r="97" customFormat="false" ht="15" hidden="false" customHeight="true" outlineLevel="0" collapsed="false">
      <c r="B97" s="34" t="str">
        <f aca="false">_xlfn.TEXTJOIN(",",TRUE(),  B91:Z91)</f>
        <v>4,7,4,4,6,4,4,6,4,4,6,4,4,6,4,4,6,4,4,6,4,4,6,4,4,6,4,4,6,4,4,6,4,4,7,4</v>
      </c>
    </row>
    <row r="99" customFormat="false" ht="15" hidden="false" customHeight="true" outlineLevel="0" collapsed="false">
      <c r="B99" s="34" t="s">
        <v>700</v>
      </c>
    </row>
    <row r="100" customFormat="false" ht="15" hidden="false" customHeight="true" outlineLevel="0" collapsed="false">
      <c r="A100" s="34" t="s">
        <v>663</v>
      </c>
      <c r="B100" s="34" t="s">
        <v>436</v>
      </c>
      <c r="C100" s="34" t="s">
        <v>701</v>
      </c>
      <c r="D100" s="34" t="s">
        <v>702</v>
      </c>
      <c r="E100" s="34" t="s">
        <v>703</v>
      </c>
      <c r="F100" s="34" t="s">
        <v>702</v>
      </c>
      <c r="G100" s="34" t="s">
        <v>703</v>
      </c>
      <c r="H100" s="34" t="s">
        <v>702</v>
      </c>
      <c r="I100" s="34" t="s">
        <v>703</v>
      </c>
      <c r="J100" s="34" t="s">
        <v>702</v>
      </c>
      <c r="K100" s="34" t="s">
        <v>703</v>
      </c>
      <c r="L100" s="34" t="s">
        <v>704</v>
      </c>
      <c r="M100" s="34" t="s">
        <v>705</v>
      </c>
    </row>
    <row r="101" customFormat="false" ht="15" hidden="false" customHeight="true" outlineLevel="0" collapsed="false">
      <c r="A101" s="34" t="s">
        <v>668</v>
      </c>
      <c r="B101" s="34" t="n">
        <v>1</v>
      </c>
      <c r="C101" s="34" t="n">
        <v>1</v>
      </c>
      <c r="D101" s="34" t="n">
        <v>1</v>
      </c>
      <c r="E101" s="34" t="n">
        <v>1</v>
      </c>
      <c r="F101" s="34" t="n">
        <v>0</v>
      </c>
      <c r="G101" s="34" t="n">
        <v>0</v>
      </c>
      <c r="H101" s="34" t="n">
        <v>0</v>
      </c>
      <c r="I101" s="34" t="n">
        <v>0</v>
      </c>
      <c r="J101" s="34" t="n">
        <v>0</v>
      </c>
      <c r="K101" s="34" t="n">
        <v>0</v>
      </c>
      <c r="L101" s="34" t="n">
        <v>1</v>
      </c>
      <c r="M101" s="34" t="n">
        <v>1</v>
      </c>
    </row>
    <row r="102" customFormat="false" ht="15" hidden="false" customHeight="true" outlineLevel="0" collapsed="false">
      <c r="A102" s="34" t="s">
        <v>581</v>
      </c>
      <c r="B102" s="34" t="n">
        <v>20</v>
      </c>
      <c r="C102" s="34" t="n">
        <v>20</v>
      </c>
      <c r="D102" s="34" t="n">
        <v>20</v>
      </c>
      <c r="E102" s="34" t="n">
        <v>20</v>
      </c>
      <c r="F102" s="34" t="n">
        <v>20</v>
      </c>
      <c r="G102" s="34" t="n">
        <v>20</v>
      </c>
      <c r="H102" s="34" t="n">
        <v>20</v>
      </c>
      <c r="I102" s="34" t="n">
        <v>20</v>
      </c>
      <c r="J102" s="34" t="n">
        <v>20</v>
      </c>
      <c r="K102" s="34" t="n">
        <v>20</v>
      </c>
      <c r="L102" s="34" t="n">
        <v>20</v>
      </c>
      <c r="M102" s="34" t="n">
        <v>20</v>
      </c>
    </row>
    <row r="103" customFormat="false" ht="15" hidden="false" customHeight="true" outlineLevel="0" collapsed="false">
      <c r="A103" s="34" t="s">
        <v>678</v>
      </c>
      <c r="B103" s="34" t="n">
        <f aca="false">ROUND(15*((B102*10)/256),0)</f>
        <v>12</v>
      </c>
      <c r="C103" s="34" t="n">
        <f aca="false">ROUND(15*((C102*10)/256),0)</f>
        <v>12</v>
      </c>
      <c r="D103" s="34" t="n">
        <f aca="false">ROUND(15*((D102*10)/256),0)</f>
        <v>12</v>
      </c>
      <c r="E103" s="34" t="n">
        <f aca="false">ROUND(15*((E102*10)/256),0)</f>
        <v>12</v>
      </c>
      <c r="F103" s="34" t="n">
        <f aca="false">ROUND(15*((F102*10)/256),0)</f>
        <v>12</v>
      </c>
      <c r="G103" s="34" t="n">
        <f aca="false">ROUND(15*((G102*10)/256),0)</f>
        <v>12</v>
      </c>
      <c r="H103" s="34" t="n">
        <f aca="false">ROUND(15*((H102*10)/256),0)</f>
        <v>12</v>
      </c>
      <c r="I103" s="34" t="n">
        <f aca="false">ROUND(15*((I102*10)/256),0)</f>
        <v>12</v>
      </c>
      <c r="J103" s="34" t="n">
        <f aca="false">ROUND(15*((J102*10)/256),0)</f>
        <v>12</v>
      </c>
      <c r="K103" s="34" t="n">
        <f aca="false">ROUND(15*((K102*10)/256),0)</f>
        <v>12</v>
      </c>
      <c r="L103" s="34" t="n">
        <f aca="false">ROUND(15*((L102*10)/256),0)</f>
        <v>12</v>
      </c>
      <c r="M103" s="34" t="n">
        <f aca="false">ROUND(15*((M102*10)/256),0)</f>
        <v>12</v>
      </c>
    </row>
    <row r="104" customFormat="false" ht="15" hidden="false" customHeight="true" outlineLevel="0" collapsed="false">
      <c r="A104" s="34" t="s">
        <v>679</v>
      </c>
      <c r="B104" s="34" t="str">
        <f aca="false">VLOOKUP(B103,Constants!$A$1:$B$16,2,FALSE())</f>
        <v>4,4,4</v>
      </c>
      <c r="C104" s="34" t="str">
        <f aca="false">VLOOKUP(C103,Constants!$A$1:$B$16,2,FALSE())</f>
        <v>4,4,4</v>
      </c>
      <c r="D104" s="34" t="str">
        <f aca="false">VLOOKUP(D103,Constants!$A$1:$B$16,2,FALSE())</f>
        <v>4,4,4</v>
      </c>
      <c r="E104" s="34" t="str">
        <f aca="false">VLOOKUP(E103,Constants!$A$1:$B$16,2,FALSE())</f>
        <v>4,4,4</v>
      </c>
      <c r="F104" s="34" t="str">
        <f aca="false">VLOOKUP(F103,Constants!$A$1:$B$16,2,FALSE())</f>
        <v>4,4,4</v>
      </c>
      <c r="G104" s="34" t="str">
        <f aca="false">VLOOKUP(G103,Constants!$A$1:$B$16,2,FALSE())</f>
        <v>4,4,4</v>
      </c>
      <c r="H104" s="34" t="str">
        <f aca="false">VLOOKUP(H103,Constants!$A$1:$B$16,2,FALSE())</f>
        <v>4,4,4</v>
      </c>
      <c r="I104" s="34" t="str">
        <f aca="false">VLOOKUP(I103,Constants!$A$1:$B$16,2,FALSE())</f>
        <v>4,4,4</v>
      </c>
      <c r="J104" s="34" t="str">
        <f aca="false">VLOOKUP(J103,Constants!$A$1:$B$16,2,FALSE())</f>
        <v>4,4,4</v>
      </c>
      <c r="K104" s="34" t="str">
        <f aca="false">VLOOKUP(K103,Constants!$A$1:$B$16,2,FALSE())</f>
        <v>4,4,4</v>
      </c>
      <c r="L104" s="34" t="str">
        <f aca="false">VLOOKUP(L103,Constants!$A$1:$B$16,2,FALSE())</f>
        <v>4,4,4</v>
      </c>
      <c r="M104" s="34" t="str">
        <f aca="false">VLOOKUP(M103,Constants!$A$1:$B$16,2,FALSE())</f>
        <v>4,4,4</v>
      </c>
    </row>
    <row r="106" customFormat="false" ht="15" hidden="false" customHeight="true" outlineLevel="0" collapsed="false">
      <c r="B106" s="34" t="str">
        <f aca="false">_xlfn.TEXTJOIN(",",TRUE(),  B100:Z100)</f>
        <v>stadler_class_755,stadler_class_745_power,stadler_class_745_mid_rev,stadler_class_745_mid,stadler_class_745_mid_rev,stadler_class_745_mid,stadler_class_745_mid_rev,stadler_class_745_mid,stadler_class_745_mid_rev,stadler_class_745_mid,stadler_class_745_power_rev,stadler_class_755_rear</v>
      </c>
    </row>
    <row r="107" customFormat="false" ht="15" hidden="false" customHeight="true" outlineLevel="0" collapsed="false">
      <c r="B107" s="34" t="str">
        <f aca="false">_xlfn.TEXTJOIN(",",TRUE(),  B101:Z101)</f>
        <v>1,1,1,1,0,0,0,0,0,0,1,1</v>
      </c>
    </row>
    <row r="108" customFormat="false" ht="15" hidden="false" customHeight="true" outlineLevel="0" collapsed="false">
      <c r="B108" s="34" t="str">
        <f aca="false">_xlfn.TEXTJOIN(",",TRUE(),  B102:Z102)</f>
        <v>20,20,20,20,20,20,20,20,20,20,20,20</v>
      </c>
    </row>
    <row r="109" customFormat="false" ht="15" hidden="false" customHeight="true" outlineLevel="0" collapsed="false">
      <c r="B109" s="34" t="str">
        <f aca="false">_xlfn.TEXTJOIN(",",TRUE(),  B103:Z103)</f>
        <v>12,12,12,12,12,12,12,12,12,12,12,12</v>
      </c>
    </row>
    <row r="110" customFormat="false" ht="15" hidden="false" customHeight="true" outlineLevel="0" collapsed="false">
      <c r="B110" s="34" t="str">
        <f aca="false">_xlfn.TEXTJOIN(",",TRUE(),  B104:Z104)</f>
        <v>4,4,4,4,4,4,4,4,4,4,4,4,4,4,4,4,4,4,4,4,4,4,4,4,4,4,4,4,4,4,4,4,4,4,4,4</v>
      </c>
    </row>
  </sheetData>
  <printOptions headings="false" gridLines="false" gridLinesSet="true" horizontalCentered="false" verticalCentered="false"/>
  <pageMargins left="0.7" right="0.7" top="0.75" bottom="0.75" header="0.511811023622047" footer="0.511811023622047"/>
  <pageSetup paperSize="9" scale="100" fitToWidth="1" fitToHeight="1" pageOrder="downThenOver" orientation="portrait" blackAndWhite="false" draft="false" cellComments="none" horizontalDpi="300" verticalDpi="300" copies="1"/>
  <headerFooter differentFirst="false" differentOddEven="false">
    <oddHeader/>
    <oddFooter/>
  </headerFooter>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22"/>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A16" activeCellId="0" sqref="A16"/>
    </sheetView>
  </sheetViews>
  <sheetFormatPr defaultColWidth="10.19921875" defaultRowHeight="12.8" customHeight="true" zeroHeight="false" outlineLevelRow="0" outlineLevelCol="0"/>
  <cols>
    <col collapsed="false" customWidth="true" hidden="false" outlineLevel="0" max="1" min="1" style="34" width="14.37"/>
  </cols>
  <sheetData>
    <row r="1" customFormat="false" ht="13.8" hidden="false" customHeight="false" outlineLevel="0" collapsed="false">
      <c r="A1" s="34" t="s">
        <v>706</v>
      </c>
      <c r="B1" s="34" t="s">
        <v>707</v>
      </c>
      <c r="C1" s="34" t="s">
        <v>708</v>
      </c>
      <c r="D1" s="34" t="s">
        <v>12</v>
      </c>
      <c r="E1" s="34" t="s">
        <v>709</v>
      </c>
    </row>
    <row r="2" customFormat="false" ht="13.8" hidden="false" customHeight="false" outlineLevel="0" collapsed="false">
      <c r="A2" s="34" t="s">
        <v>710</v>
      </c>
      <c r="B2" s="34" t="n">
        <f aca="false">(33.7+24+26.75+24.15+24.3+31.9)</f>
        <v>164.8</v>
      </c>
      <c r="C2" s="34" t="n">
        <f aca="false">52+72+28+43+47+25</f>
        <v>267</v>
      </c>
      <c r="D2" s="34" t="n">
        <v>6</v>
      </c>
      <c r="E2" s="34" t="n">
        <f aca="false">C2/D2</f>
        <v>44.5</v>
      </c>
    </row>
    <row r="3" customFormat="false" ht="13.8" hidden="false" customHeight="false" outlineLevel="0" collapsed="false">
      <c r="A3" s="34" t="s">
        <v>711</v>
      </c>
      <c r="B3" s="34" t="n">
        <f aca="false">B2+24</f>
        <v>188.8</v>
      </c>
      <c r="C3" s="34" t="n">
        <f aca="false">C2+72+72-42</f>
        <v>369</v>
      </c>
      <c r="D3" s="34" t="n">
        <v>7</v>
      </c>
      <c r="E3" s="34" t="n">
        <f aca="false">C3/D3</f>
        <v>52.7142857142857</v>
      </c>
    </row>
    <row r="4" customFormat="false" ht="13.8" hidden="false" customHeight="false" outlineLevel="0" collapsed="false">
      <c r="A4" s="34" t="s">
        <v>712</v>
      </c>
      <c r="B4" s="34" t="n">
        <f aca="false">(33.7+31.9)</f>
        <v>65.6</v>
      </c>
      <c r="C4" s="34" t="n">
        <f aca="false">52+25</f>
        <v>77</v>
      </c>
      <c r="D4" s="34" t="n">
        <v>2</v>
      </c>
      <c r="E4" s="34" t="n">
        <f aca="false">C4/D4</f>
        <v>38.5</v>
      </c>
    </row>
    <row r="5" customFormat="false" ht="13.8" hidden="false" customHeight="false" outlineLevel="0" collapsed="false">
      <c r="A5" s="34" t="s">
        <v>713</v>
      </c>
      <c r="B5" s="34" t="n">
        <f aca="false">(31.9 * 2) + (24.3 * 8)</f>
        <v>258.2</v>
      </c>
      <c r="C5" s="34" t="n">
        <f aca="false">60+72+72+72+72+18+47+47+36</f>
        <v>496</v>
      </c>
      <c r="D5" s="34" t="n">
        <v>10</v>
      </c>
      <c r="E5" s="34" t="n">
        <f aca="false">C5/D5</f>
        <v>49.6</v>
      </c>
    </row>
    <row r="6" customFormat="false" ht="13.8" hidden="false" customHeight="false" outlineLevel="0" collapsed="false">
      <c r="A6" s="34" t="s">
        <v>714</v>
      </c>
      <c r="B6" s="34" t="n">
        <f aca="false">(31.9 * 2) + (24.3 * 6)</f>
        <v>209.6</v>
      </c>
      <c r="C6" s="34" t="n">
        <f aca="false">60+72+72+18+47+36</f>
        <v>305</v>
      </c>
      <c r="D6" s="34" t="n">
        <v>6</v>
      </c>
      <c r="E6" s="34" t="n">
        <f aca="false">C6/D6</f>
        <v>50.8333333333333</v>
      </c>
    </row>
    <row r="7" customFormat="false" ht="13.8" hidden="false" customHeight="false" outlineLevel="0" collapsed="false">
      <c r="A7" s="34" t="s">
        <v>715</v>
      </c>
      <c r="B7" s="34" t="str">
        <f aca="false">_xlfn.TEXTJOIN(",",1,A13:A22)</f>
        <v>apt_half_6,apt_half_6_rev,apt_powercar,apt_half_2,apt_half_2_rev,apt_q_dvt,apt_s_dm,apt_s_10,apt_s_6</v>
      </c>
    </row>
    <row r="8" customFormat="false" ht="13.8" hidden="false" customHeight="false" outlineLevel="0" collapsed="false">
      <c r="B8" s="34" t="str">
        <f aca="false">APTMUVehicles</f>
        <v>apt_half_6,apt_half_6_rev,apt_powercar,apt_half_2,apt_half_2_rev,apt_q_dvt,apt_s_dm,apt_s_10,apt_s_6</v>
      </c>
    </row>
    <row r="9" customFormat="false" ht="13.8" hidden="false" customHeight="false" outlineLevel="0" collapsed="false"/>
    <row r="10" customFormat="false" ht="13.8" hidden="false" customHeight="false" outlineLevel="0" collapsed="false">
      <c r="A10" s="34" t="s">
        <v>716</v>
      </c>
      <c r="B10" s="34" t="str">
        <f aca="false">_xlfn.TEXTJOIN(",",1,B13:B20)</f>
        <v>class_302_4car,class_302_parcels,class_309_2car,class_309_2_4car_buf,class_309_3_4car</v>
      </c>
    </row>
    <row r="11" customFormat="false" ht="13.8" hidden="false" customHeight="false" outlineLevel="0" collapsed="false"/>
    <row r="12" customFormat="false" ht="13.8" hidden="false" customHeight="false" outlineLevel="0" collapsed="false">
      <c r="A12" s="34" t="s">
        <v>717</v>
      </c>
      <c r="B12" s="34" t="s">
        <v>718</v>
      </c>
    </row>
    <row r="13" customFormat="false" ht="13.8" hidden="false" customHeight="false" outlineLevel="0" collapsed="false">
      <c r="A13" s="34" t="s">
        <v>276</v>
      </c>
      <c r="B13" s="18" t="s">
        <v>214</v>
      </c>
    </row>
    <row r="14" customFormat="false" ht="13.8" hidden="false" customHeight="false" outlineLevel="0" collapsed="false">
      <c r="A14" s="34" t="s">
        <v>284</v>
      </c>
      <c r="B14" s="18" t="s">
        <v>219</v>
      </c>
    </row>
    <row r="15" customFormat="false" ht="13.8" hidden="false" customHeight="false" outlineLevel="0" collapsed="false">
      <c r="A15" s="34" t="s">
        <v>299</v>
      </c>
      <c r="B15" s="18" t="s">
        <v>224</v>
      </c>
    </row>
    <row r="16" customFormat="false" ht="13.8" hidden="false" customHeight="false" outlineLevel="0" collapsed="false">
      <c r="A16" s="34" t="s">
        <v>291</v>
      </c>
      <c r="B16" s="18" t="s">
        <v>231</v>
      </c>
    </row>
    <row r="17" customFormat="false" ht="13.8" hidden="false" customHeight="false" outlineLevel="0" collapsed="false">
      <c r="A17" s="34" t="s">
        <v>295</v>
      </c>
      <c r="B17" s="18" t="s">
        <v>238</v>
      </c>
    </row>
    <row r="18" customFormat="false" ht="13.8" hidden="false" customHeight="false" outlineLevel="0" collapsed="false">
      <c r="A18" s="34" t="s">
        <v>307</v>
      </c>
    </row>
    <row r="19" customFormat="false" ht="13.8" hidden="false" customHeight="false" outlineLevel="0" collapsed="false">
      <c r="A19" s="34" t="s">
        <v>302</v>
      </c>
    </row>
    <row r="20" customFormat="false" ht="13.8" hidden="false" customHeight="false" outlineLevel="0" collapsed="false">
      <c r="A20" s="34" t="s">
        <v>310</v>
      </c>
    </row>
    <row r="21" customFormat="false" ht="13.8" hidden="false" customHeight="false" outlineLevel="0" collapsed="false">
      <c r="A21" s="34" t="s">
        <v>317</v>
      </c>
    </row>
    <row r="22" customFormat="false" ht="13.8" hidden="false" customHeight="false" outlineLevel="0" collapsed="false"/>
  </sheetData>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E16"/>
  <sheetViews>
    <sheetView showFormulas="false" showGridLines="true" showRowColHeaders="true" showZeros="true" rightToLeft="false" tabSelected="false" showOutlineSymbols="true" defaultGridColor="true" view="normal" topLeftCell="A1" colorId="64" zoomScale="89" zoomScaleNormal="89" zoomScalePageLayoutView="100" workbookViewId="0">
      <selection pane="topLeft" activeCell="D10" activeCellId="0" sqref="D10"/>
    </sheetView>
  </sheetViews>
  <sheetFormatPr defaultColWidth="11.55078125" defaultRowHeight="12.8" customHeight="true" zeroHeight="false" outlineLevelRow="0" outlineLevelCol="0"/>
  <cols>
    <col collapsed="false" customWidth="true" hidden="false" outlineLevel="0" max="2" min="2" style="34" width="47.71"/>
  </cols>
  <sheetData>
    <row r="1" customFormat="false" ht="13.8" hidden="false" customHeight="false" outlineLevel="0" collapsed="false">
      <c r="A1" s="40" t="s">
        <v>719</v>
      </c>
      <c r="B1" s="40" t="s">
        <v>720</v>
      </c>
      <c r="C1" s="40" t="s">
        <v>721</v>
      </c>
      <c r="D1" s="40" t="n">
        <v>0</v>
      </c>
      <c r="E1" s="34" t="s">
        <v>722</v>
      </c>
    </row>
    <row r="2" customFormat="false" ht="13.8" hidden="false" customHeight="false" outlineLevel="0" collapsed="false">
      <c r="A2" s="40" t="s">
        <v>723</v>
      </c>
      <c r="B2" s="40" t="s">
        <v>724</v>
      </c>
      <c r="C2" s="40" t="s">
        <v>721</v>
      </c>
      <c r="D2" s="40" t="n">
        <v>1</v>
      </c>
      <c r="E2" s="34" t="s">
        <v>722</v>
      </c>
    </row>
    <row r="3" customFormat="false" ht="13.8" hidden="false" customHeight="false" outlineLevel="0" collapsed="false">
      <c r="A3" s="40" t="s">
        <v>725</v>
      </c>
      <c r="B3" s="40" t="s">
        <v>726</v>
      </c>
      <c r="C3" s="40" t="s">
        <v>721</v>
      </c>
      <c r="D3" s="40" t="n">
        <v>2</v>
      </c>
      <c r="E3" s="34" t="s">
        <v>722</v>
      </c>
    </row>
    <row r="4" customFormat="false" ht="13.8" hidden="false" customHeight="false" outlineLevel="0" collapsed="false">
      <c r="A4" s="40" t="s">
        <v>727</v>
      </c>
      <c r="B4" s="40" t="s">
        <v>728</v>
      </c>
      <c r="C4" s="40" t="s">
        <v>721</v>
      </c>
      <c r="D4" s="40" t="n">
        <v>3</v>
      </c>
      <c r="E4" s="34" t="s">
        <v>722</v>
      </c>
    </row>
    <row r="5" customFormat="false" ht="13.8" hidden="false" customHeight="false" outlineLevel="0" collapsed="false">
      <c r="A5" s="40" t="s">
        <v>729</v>
      </c>
      <c r="B5" s="40" t="s">
        <v>730</v>
      </c>
      <c r="C5" s="40" t="s">
        <v>721</v>
      </c>
      <c r="D5" s="40" t="n">
        <v>4</v>
      </c>
      <c r="E5" s="34" t="s">
        <v>722</v>
      </c>
    </row>
    <row r="6" customFormat="false" ht="13.8" hidden="false" customHeight="false" outlineLevel="0" collapsed="false">
      <c r="A6" s="40" t="s">
        <v>731</v>
      </c>
      <c r="B6" s="40" t="s">
        <v>732</v>
      </c>
      <c r="C6" s="40" t="s">
        <v>721</v>
      </c>
      <c r="D6" s="40" t="n">
        <v>5</v>
      </c>
      <c r="E6" s="34" t="s">
        <v>722</v>
      </c>
    </row>
    <row r="7" customFormat="false" ht="13.8" hidden="false" customHeight="false" outlineLevel="0" collapsed="false">
      <c r="A7" s="40" t="s">
        <v>733</v>
      </c>
      <c r="B7" s="40" t="s">
        <v>734</v>
      </c>
      <c r="C7" s="40" t="s">
        <v>721</v>
      </c>
      <c r="D7" s="40" t="n">
        <v>6</v>
      </c>
      <c r="E7" s="34" t="s">
        <v>722</v>
      </c>
    </row>
    <row r="8" customFormat="false" ht="13.8" hidden="false" customHeight="false" outlineLevel="0" collapsed="false">
      <c r="A8" s="40" t="s">
        <v>735</v>
      </c>
      <c r="B8" s="40" t="s">
        <v>736</v>
      </c>
      <c r="C8" s="40" t="s">
        <v>721</v>
      </c>
      <c r="D8" s="40" t="n">
        <v>7</v>
      </c>
      <c r="E8" s="34" t="s">
        <v>722</v>
      </c>
    </row>
    <row r="9" customFormat="false" ht="13.8" hidden="false" customHeight="false" outlineLevel="0" collapsed="false">
      <c r="A9" s="40" t="s">
        <v>737</v>
      </c>
      <c r="B9" s="40" t="s">
        <v>738</v>
      </c>
      <c r="C9" s="40" t="s">
        <v>721</v>
      </c>
      <c r="D9" s="40" t="n">
        <v>8</v>
      </c>
      <c r="E9" s="34" t="s">
        <v>722</v>
      </c>
    </row>
    <row r="10" customFormat="false" ht="13.8" hidden="false" customHeight="false" outlineLevel="0" collapsed="false">
      <c r="A10" s="40" t="s">
        <v>739</v>
      </c>
      <c r="B10" s="40" t="s">
        <v>740</v>
      </c>
      <c r="C10" s="40" t="s">
        <v>721</v>
      </c>
      <c r="D10" s="40" t="n">
        <v>9</v>
      </c>
      <c r="E10" s="34" t="s">
        <v>722</v>
      </c>
    </row>
    <row r="11" customFormat="false" ht="13.8" hidden="false" customHeight="false" outlineLevel="0" collapsed="false">
      <c r="A11" s="40" t="s">
        <v>741</v>
      </c>
      <c r="B11" s="40" t="s">
        <v>742</v>
      </c>
      <c r="C11" s="40" t="s">
        <v>721</v>
      </c>
      <c r="D11" s="40" t="n">
        <v>10</v>
      </c>
      <c r="E11" s="34" t="s">
        <v>722</v>
      </c>
    </row>
    <row r="12" customFormat="false" ht="13.8" hidden="false" customHeight="false" outlineLevel="0" collapsed="false">
      <c r="A12" s="40" t="s">
        <v>743</v>
      </c>
      <c r="B12" s="40" t="s">
        <v>744</v>
      </c>
      <c r="C12" s="40" t="s">
        <v>721</v>
      </c>
      <c r="D12" s="40" t="n">
        <v>11</v>
      </c>
      <c r="E12" s="34" t="s">
        <v>722</v>
      </c>
    </row>
    <row r="13" customFormat="false" ht="13.8" hidden="false" customHeight="false" outlineLevel="0" collapsed="false">
      <c r="A13" s="40" t="s">
        <v>745</v>
      </c>
      <c r="B13" s="40" t="s">
        <v>746</v>
      </c>
      <c r="C13" s="40" t="s">
        <v>721</v>
      </c>
      <c r="D13" s="40" t="n">
        <v>12</v>
      </c>
      <c r="E13" s="34" t="s">
        <v>722</v>
      </c>
    </row>
    <row r="14" customFormat="false" ht="13.8" hidden="false" customHeight="false" outlineLevel="0" collapsed="false">
      <c r="A14" s="40" t="s">
        <v>747</v>
      </c>
      <c r="B14" s="40" t="s">
        <v>748</v>
      </c>
      <c r="C14" s="40" t="s">
        <v>721</v>
      </c>
      <c r="D14" s="40" t="n">
        <v>13</v>
      </c>
      <c r="E14" s="34" t="s">
        <v>722</v>
      </c>
    </row>
    <row r="15" customFormat="false" ht="13.8" hidden="false" customHeight="false" outlineLevel="0" collapsed="false">
      <c r="A15" s="40" t="s">
        <v>749</v>
      </c>
      <c r="B15" s="40" t="s">
        <v>750</v>
      </c>
      <c r="C15" s="40" t="s">
        <v>721</v>
      </c>
      <c r="D15" s="40" t="n">
        <v>14</v>
      </c>
      <c r="E15" s="34" t="s">
        <v>722</v>
      </c>
    </row>
    <row r="16" customFormat="false" ht="13.8" hidden="false" customHeight="false" outlineLevel="0" collapsed="false">
      <c r="A16" s="40" t="s">
        <v>751</v>
      </c>
      <c r="B16" s="40" t="s">
        <v>752</v>
      </c>
      <c r="C16" s="40" t="s">
        <v>721</v>
      </c>
      <c r="D16" s="40" t="n">
        <v>15</v>
      </c>
      <c r="E16" s="34" t="s">
        <v>722</v>
      </c>
    </row>
  </sheetData>
  <hyperlinks>
    <hyperlink ref="A1" r:id="rId1" location="CC_PASSENGERS" display="Passengers  "/>
    <hyperlink ref="B1" r:id="rId2" location="CC_PASSENGERS" display="CC_PASSENGERS"/>
    <hyperlink ref="A2" r:id="rId3" location="CC_MAIL" display="Mail  "/>
    <hyperlink ref="B2" r:id="rId4" location="CC_MAIL" display="CC_MAIL"/>
    <hyperlink ref="A3" r:id="rId5" location="CC_EXPRESS" display="Express  "/>
    <hyperlink ref="B3" r:id="rId6" location="CC_EXPRESS" display="CC_EXPRESS"/>
    <hyperlink ref="A4" r:id="rId7" location="CC_ARMOURED" display="Armoured  "/>
    <hyperlink ref="B4" r:id="rId8" location="CC_ARMOURED" display="CC_ARMOURED"/>
    <hyperlink ref="A5" r:id="rId9" location="CC_OPEN_BULK" display="Open Bulk  "/>
    <hyperlink ref="B5" r:id="rId10" location="CC_OPEN_BULK" display="CC_OPEN_BULK"/>
    <hyperlink ref="A6" r:id="rId11" location="CC_PIECE_GOODS" display="Piece Goods  "/>
    <hyperlink ref="B6" r:id="rId12" location="CC_PIECE_GOODS" display="CC_PIECE_GOODS"/>
    <hyperlink ref="A7" r:id="rId13" location="CC_LIQUID_BULK" display="Liquid Bulk  "/>
    <hyperlink ref="B7" r:id="rId14" location="CC_LIQUID_BULK" display="CC_LIQUID_BULK"/>
    <hyperlink ref="A8" r:id="rId15" location="CC_REFRIGERATED" display="Refrigerated  "/>
    <hyperlink ref="B8" r:id="rId16" location="CC_REFRIGERATED" display="CC_REFRIGERATED"/>
    <hyperlink ref="A9" r:id="rId17" location="CC_GAS_BULK" display="Gas Bulk  "/>
    <hyperlink ref="B9" r:id="rId18" location="CC_GAS_BULK" display="CC_GAS_BULK"/>
    <hyperlink ref="A10" r:id="rId19" location="CC_COVERED_BULK" display="Covered Bulk  "/>
    <hyperlink ref="B10" r:id="rId20" location="CC_COVERED_BULK" display="CC_COVERED_BULK"/>
    <hyperlink ref="A11" r:id="rId21" location="CC_FLATBED" display="Flatbed  "/>
    <hyperlink ref="B11" r:id="rId22" location="CC_FLATBED" display="CC_FLATBED"/>
    <hyperlink ref="A12" r:id="rId23" location="CC_POWDER_BULK" display="Powder Bulk  "/>
    <hyperlink ref="B12" r:id="rId24" location="CC_POWDER_BULK" display="CC_POWDER_BULK"/>
    <hyperlink ref="A13" r:id="rId25" location="CC_WEIRD" display="Weird  "/>
    <hyperlink ref="B13" r:id="rId26" location="CC_WEIRD" display="CC_WEIRD"/>
    <hyperlink ref="A14" r:id="rId27" location="CC_POTABLE" display="Potable  "/>
    <hyperlink ref="B14" r:id="rId28" location="CC_POTABLE" display="CC_POTABLE"/>
    <hyperlink ref="A15" r:id="rId29" location="CC_NON_POTABLE" display="Non-Potable  "/>
    <hyperlink ref="B15" r:id="rId30" location="CC_NON_POTABLE" display="CC_NON_POTABLE"/>
    <hyperlink ref="A16" r:id="rId31" location="CC_SPECIAL" display="Special (do not use) "/>
    <hyperlink ref="B16" r:id="rId32" location="CC_SPECIAL" display="CC_SPECIAL"/>
  </hyperlinks>
  <printOptions headings="false" gridLines="false" gridLinesSet="true" horizontalCentered="false" verticalCentered="false"/>
  <pageMargins left="0.7875" right="0.7875" top="1.05277777777778" bottom="1.05277777777778"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&amp;C&amp;"Times New Roman,Regular"&amp;12&amp;Kffffff&amp;A</oddHeader>
    <oddFooter>&amp;C&amp;"Times New Roman,Regular"&amp;12&amp;KffffffPage &amp;P</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xr2="http://schemas.microsoft.com/office/spreadsheetml/2015/revision2" xmlns:mc="http://schemas.openxmlformats.org/markup-compatibility/2006">
  <sheetPr filterMode="false">
    <pageSetUpPr fitToPage="false"/>
  </sheetPr>
  <dimension ref="A1:G93"/>
  <sheetViews>
    <sheetView showFormulas="false" showGridLines="true" showRowColHeaders="true" showZeros="true" rightToLeft="false" tabSelected="false" showOutlineSymbols="true" defaultGridColor="true" view="normal" topLeftCell="A10" colorId="64" zoomScale="100" zoomScaleNormal="100" zoomScalePageLayoutView="100" workbookViewId="0">
      <selection pane="topLeft" activeCell="D56" activeCellId="0" sqref="D56"/>
    </sheetView>
  </sheetViews>
  <sheetFormatPr defaultColWidth="11.53515625" defaultRowHeight="13.8" customHeight="false" zeroHeight="false" outlineLevelRow="0" outlineLevelCol="0"/>
  <cols>
    <col collapsed="false" customWidth="true" hidden="false" outlineLevel="0" max="1" min="1" style="19" width="37.15"/>
    <col collapsed="false" customWidth="true" hidden="false" outlineLevel="0" max="2" min="2" style="19" width="36.63"/>
    <col collapsed="false" customWidth="true" hidden="false" outlineLevel="0" max="4" min="3" style="19" width="8.61"/>
    <col collapsed="false" customWidth="true" hidden="false" outlineLevel="0" max="6" min="6" style="19" width="260.85"/>
    <col collapsed="false" customWidth="true" hidden="false" outlineLevel="0" max="7" min="7" style="19" width="147.75"/>
  </cols>
  <sheetData>
    <row r="1" customFormat="false" ht="13.8" hidden="false" customHeight="false" outlineLevel="0" collapsed="false">
      <c r="A1" s="41" t="s">
        <v>0</v>
      </c>
      <c r="B1" s="42" t="s">
        <v>1</v>
      </c>
      <c r="C1" s="42" t="s">
        <v>7</v>
      </c>
      <c r="D1" s="42" t="s">
        <v>9</v>
      </c>
      <c r="E1" s="42" t="s">
        <v>12</v>
      </c>
      <c r="F1" s="42" t="s">
        <v>83</v>
      </c>
      <c r="G1" s="43" t="s">
        <v>753</v>
      </c>
    </row>
    <row r="2" customFormat="false" ht="13.8" hidden="false" customHeight="false" outlineLevel="0" collapsed="false">
      <c r="A2" s="44" t="s">
        <v>484</v>
      </c>
      <c r="B2" s="45" t="s">
        <v>485</v>
      </c>
      <c r="C2" s="45" t="s">
        <v>445</v>
      </c>
      <c r="D2" s="45" t="n">
        <v>1966</v>
      </c>
      <c r="E2" s="45" t="s">
        <v>753</v>
      </c>
      <c r="F2" s="45" t="s">
        <v>486</v>
      </c>
      <c r="G2" s="46"/>
    </row>
    <row r="3" customFormat="false" ht="13.8" hidden="false" customHeight="false" outlineLevel="0" collapsed="false">
      <c r="A3" s="44" t="s">
        <v>487</v>
      </c>
      <c r="B3" s="45" t="s">
        <v>488</v>
      </c>
      <c r="C3" s="45" t="s">
        <v>445</v>
      </c>
      <c r="D3" s="45" t="n">
        <v>1973</v>
      </c>
      <c r="E3" s="45" t="s">
        <v>753</v>
      </c>
      <c r="F3" s="45" t="s">
        <v>489</v>
      </c>
      <c r="G3" s="46"/>
    </row>
    <row r="4" customFormat="false" ht="13.8" hidden="false" customHeight="false" outlineLevel="0" collapsed="false">
      <c r="A4" s="44" t="s">
        <v>450</v>
      </c>
      <c r="B4" s="45" t="s">
        <v>451</v>
      </c>
      <c r="C4" s="45" t="s">
        <v>445</v>
      </c>
      <c r="D4" s="45" t="n">
        <v>1955</v>
      </c>
      <c r="E4" s="45" t="s">
        <v>753</v>
      </c>
      <c r="F4" s="45" t="s">
        <v>453</v>
      </c>
      <c r="G4" s="46"/>
    </row>
    <row r="5" customFormat="false" ht="13.8" hidden="false" customHeight="false" outlineLevel="0" collapsed="false">
      <c r="A5" s="44" t="s">
        <v>412</v>
      </c>
      <c r="B5" s="45" t="s">
        <v>413</v>
      </c>
      <c r="C5" s="45" t="s">
        <v>91</v>
      </c>
      <c r="D5" s="45" t="n">
        <v>2012</v>
      </c>
      <c r="E5" s="45" t="n">
        <v>5</v>
      </c>
      <c r="F5" s="45" t="s">
        <v>418</v>
      </c>
      <c r="G5" s="46"/>
    </row>
    <row r="6" customFormat="false" ht="13.8" hidden="false" customHeight="false" outlineLevel="0" collapsed="false">
      <c r="A6" s="44" t="s">
        <v>167</v>
      </c>
      <c r="B6" s="45" t="s">
        <v>168</v>
      </c>
      <c r="C6" s="45" t="s">
        <v>152</v>
      </c>
      <c r="D6" s="45" t="n">
        <v>1956</v>
      </c>
      <c r="E6" s="45" t="n">
        <v>4</v>
      </c>
      <c r="F6" s="45" t="s">
        <v>174</v>
      </c>
      <c r="G6" s="46"/>
    </row>
    <row r="7" customFormat="false" ht="13.8" hidden="false" customHeight="false" outlineLevel="0" collapsed="false">
      <c r="A7" s="44" t="s">
        <v>175</v>
      </c>
      <c r="B7" s="45" t="s">
        <v>176</v>
      </c>
      <c r="C7" s="45" t="s">
        <v>152</v>
      </c>
      <c r="D7" s="45" t="n">
        <v>1956</v>
      </c>
      <c r="E7" s="45" t="n">
        <v>6</v>
      </c>
      <c r="F7" s="45" t="s">
        <v>174</v>
      </c>
      <c r="G7" s="46"/>
    </row>
    <row r="8" customFormat="false" ht="13.8" hidden="false" customHeight="false" outlineLevel="0" collapsed="false">
      <c r="A8" s="44" t="s">
        <v>186</v>
      </c>
      <c r="B8" s="45" t="s">
        <v>187</v>
      </c>
      <c r="C8" s="45" t="s">
        <v>152</v>
      </c>
      <c r="D8" s="45" t="n">
        <v>1957</v>
      </c>
      <c r="E8" s="45" t="n">
        <v>2</v>
      </c>
      <c r="F8" s="45" t="s">
        <v>185</v>
      </c>
      <c r="G8" s="46"/>
    </row>
    <row r="9" customFormat="false" ht="13.8" hidden="false" customHeight="false" outlineLevel="0" collapsed="false">
      <c r="A9" s="44" t="s">
        <v>180</v>
      </c>
      <c r="B9" s="45" t="s">
        <v>181</v>
      </c>
      <c r="C9" s="45" t="s">
        <v>152</v>
      </c>
      <c r="D9" s="45" t="n">
        <v>1957</v>
      </c>
      <c r="E9" s="45" t="n">
        <v>3</v>
      </c>
      <c r="F9" s="45" t="s">
        <v>185</v>
      </c>
      <c r="G9" s="46"/>
    </row>
    <row r="10" customFormat="false" ht="13.8" hidden="false" customHeight="false" outlineLevel="0" collapsed="false">
      <c r="A10" s="44" t="s">
        <v>213</v>
      </c>
      <c r="B10" s="45" t="s">
        <v>214</v>
      </c>
      <c r="C10" s="45" t="s">
        <v>91</v>
      </c>
      <c r="D10" s="45" t="n">
        <v>1959</v>
      </c>
      <c r="E10" s="45" t="n">
        <v>4</v>
      </c>
      <c r="F10" s="45" t="s">
        <v>217</v>
      </c>
      <c r="G10" s="46"/>
    </row>
    <row r="11" customFormat="false" ht="13.8" hidden="false" customHeight="false" outlineLevel="0" collapsed="false">
      <c r="A11" s="44" t="s">
        <v>218</v>
      </c>
      <c r="B11" s="45" t="s">
        <v>219</v>
      </c>
      <c r="C11" s="45" t="s">
        <v>91</v>
      </c>
      <c r="D11" s="45" t="n">
        <v>1959</v>
      </c>
      <c r="E11" s="45" t="n">
        <v>3</v>
      </c>
      <c r="F11" s="45" t="s">
        <v>222</v>
      </c>
      <c r="G11" s="46"/>
    </row>
    <row r="12" customFormat="false" ht="13.8" hidden="false" customHeight="false" outlineLevel="0" collapsed="false">
      <c r="A12" s="44" t="s">
        <v>223</v>
      </c>
      <c r="B12" s="45" t="s">
        <v>224</v>
      </c>
      <c r="C12" s="45" t="s">
        <v>91</v>
      </c>
      <c r="D12" s="45" t="n">
        <v>1962</v>
      </c>
      <c r="E12" s="45" t="n">
        <v>2</v>
      </c>
      <c r="F12" s="45" t="s">
        <v>229</v>
      </c>
      <c r="G12" s="46"/>
    </row>
    <row r="13" customFormat="false" ht="13.8" hidden="false" customHeight="false" outlineLevel="0" collapsed="false">
      <c r="A13" s="44" t="s">
        <v>230</v>
      </c>
      <c r="B13" s="45" t="s">
        <v>231</v>
      </c>
      <c r="C13" s="45" t="s">
        <v>91</v>
      </c>
      <c r="D13" s="45" t="n">
        <v>1962</v>
      </c>
      <c r="E13" s="45" t="n">
        <v>4</v>
      </c>
      <c r="F13" s="45" t="s">
        <v>236</v>
      </c>
      <c r="G13" s="46"/>
    </row>
    <row r="14" customFormat="false" ht="13.8" hidden="false" customHeight="false" outlineLevel="0" collapsed="false">
      <c r="A14" s="44" t="s">
        <v>237</v>
      </c>
      <c r="B14" s="45" t="s">
        <v>238</v>
      </c>
      <c r="C14" s="45" t="s">
        <v>91</v>
      </c>
      <c r="D14" s="45" t="n">
        <v>1962</v>
      </c>
      <c r="E14" s="45" t="n">
        <v>4</v>
      </c>
      <c r="F14" s="45" t="s">
        <v>241</v>
      </c>
      <c r="G14" s="46"/>
    </row>
    <row r="15" customFormat="false" ht="13.8" hidden="false" customHeight="false" outlineLevel="0" collapsed="false">
      <c r="A15" s="44" t="s">
        <v>247</v>
      </c>
      <c r="B15" s="45" t="s">
        <v>248</v>
      </c>
      <c r="C15" s="45" t="s">
        <v>91</v>
      </c>
      <c r="D15" s="45" t="n">
        <v>1956</v>
      </c>
      <c r="E15" s="45" t="n">
        <v>4</v>
      </c>
      <c r="F15" s="45" t="s">
        <v>253</v>
      </c>
      <c r="G15" s="46"/>
    </row>
    <row r="16" customFormat="false" ht="13.8" hidden="false" customHeight="false" outlineLevel="0" collapsed="false">
      <c r="A16" s="44" t="s">
        <v>254</v>
      </c>
      <c r="B16" s="45" t="s">
        <v>255</v>
      </c>
      <c r="C16" s="45" t="s">
        <v>256</v>
      </c>
      <c r="D16" s="45" t="n">
        <v>1959</v>
      </c>
      <c r="E16" s="45" t="n">
        <v>1</v>
      </c>
      <c r="F16" s="45" t="s">
        <v>259</v>
      </c>
      <c r="G16" s="46"/>
    </row>
    <row r="17" customFormat="false" ht="13.8" hidden="false" customHeight="false" outlineLevel="0" collapsed="false">
      <c r="A17" s="44" t="s">
        <v>260</v>
      </c>
      <c r="B17" s="45" t="s">
        <v>261</v>
      </c>
      <c r="C17" s="45" t="s">
        <v>91</v>
      </c>
      <c r="D17" s="45" t="n">
        <v>1959</v>
      </c>
      <c r="E17" s="45" t="n">
        <v>1</v>
      </c>
      <c r="F17" s="45" t="s">
        <v>263</v>
      </c>
      <c r="G17" s="46"/>
    </row>
    <row r="18" customFormat="false" ht="13.8" hidden="false" customHeight="false" outlineLevel="0" collapsed="false">
      <c r="A18" s="44" t="s">
        <v>408</v>
      </c>
      <c r="B18" s="45" t="s">
        <v>409</v>
      </c>
      <c r="C18" s="45" t="s">
        <v>256</v>
      </c>
      <c r="D18" s="45" t="n">
        <v>2014</v>
      </c>
      <c r="E18" s="45" t="s">
        <v>753</v>
      </c>
      <c r="F18" s="45" t="s">
        <v>411</v>
      </c>
      <c r="G18" s="46"/>
    </row>
    <row r="19" customFormat="false" ht="13.8" hidden="false" customHeight="false" outlineLevel="0" collapsed="false">
      <c r="A19" s="44" t="s">
        <v>481</v>
      </c>
      <c r="B19" s="45" t="s">
        <v>482</v>
      </c>
      <c r="C19" s="45" t="s">
        <v>445</v>
      </c>
      <c r="D19" s="45" t="n">
        <v>1955</v>
      </c>
      <c r="E19" s="45" t="s">
        <v>753</v>
      </c>
      <c r="F19" s="45" t="s">
        <v>483</v>
      </c>
      <c r="G19" s="46"/>
    </row>
    <row r="20" customFormat="false" ht="13.8" hidden="false" customHeight="false" outlineLevel="0" collapsed="false">
      <c r="A20" s="44" t="s">
        <v>324</v>
      </c>
      <c r="B20" s="45" t="s">
        <v>325</v>
      </c>
      <c r="C20" s="45" t="s">
        <v>277</v>
      </c>
      <c r="D20" s="45" t="n">
        <v>1986</v>
      </c>
      <c r="E20" s="45" t="s">
        <v>753</v>
      </c>
      <c r="F20" s="45" t="s">
        <v>326</v>
      </c>
      <c r="G20" s="46"/>
    </row>
    <row r="21" customFormat="false" ht="13.8" hidden="false" customHeight="false" outlineLevel="0" collapsed="false">
      <c r="A21" s="44" t="s">
        <v>500</v>
      </c>
      <c r="B21" s="45" t="s">
        <v>501</v>
      </c>
      <c r="C21" s="45" t="s">
        <v>497</v>
      </c>
      <c r="D21" s="45" t="n">
        <v>1975</v>
      </c>
      <c r="E21" s="45" t="s">
        <v>753</v>
      </c>
      <c r="F21" s="45" t="s">
        <v>502</v>
      </c>
      <c r="G21" s="46"/>
    </row>
    <row r="22" customFormat="false" ht="13.8" hidden="false" customHeight="false" outlineLevel="0" collapsed="false">
      <c r="A22" s="44" t="s">
        <v>495</v>
      </c>
      <c r="B22" s="45" t="s">
        <v>496</v>
      </c>
      <c r="C22" s="45" t="s">
        <v>497</v>
      </c>
      <c r="D22" s="45" t="n">
        <v>1957</v>
      </c>
      <c r="E22" s="45" t="s">
        <v>753</v>
      </c>
      <c r="F22" s="45" t="s">
        <v>499</v>
      </c>
      <c r="G22" s="46"/>
    </row>
    <row r="23" customFormat="false" ht="13.8" hidden="false" customHeight="false" outlineLevel="0" collapsed="false">
      <c r="A23" s="44" t="s">
        <v>517</v>
      </c>
      <c r="B23" s="45" t="s">
        <v>518</v>
      </c>
      <c r="C23" s="45" t="s">
        <v>497</v>
      </c>
      <c r="D23" s="45" t="n">
        <v>1994</v>
      </c>
      <c r="E23" s="45" t="s">
        <v>753</v>
      </c>
      <c r="F23" s="45" t="s">
        <v>520</v>
      </c>
      <c r="G23" s="46"/>
    </row>
    <row r="24" customFormat="false" ht="13.8" hidden="false" customHeight="false" outlineLevel="0" collapsed="false">
      <c r="A24" s="44" t="s">
        <v>503</v>
      </c>
      <c r="B24" s="45" t="s">
        <v>504</v>
      </c>
      <c r="C24" s="45" t="s">
        <v>497</v>
      </c>
      <c r="D24" s="45" t="n">
        <v>1989</v>
      </c>
      <c r="E24" s="45" t="s">
        <v>753</v>
      </c>
      <c r="F24" s="45" t="s">
        <v>505</v>
      </c>
      <c r="G24" s="46"/>
    </row>
    <row r="25" customFormat="false" ht="13.8" hidden="false" customHeight="false" outlineLevel="0" collapsed="false">
      <c r="A25" s="44" t="s">
        <v>521</v>
      </c>
      <c r="B25" s="45" t="s">
        <v>522</v>
      </c>
      <c r="C25" s="45" t="s">
        <v>497</v>
      </c>
      <c r="D25" s="45" t="n">
        <v>1975</v>
      </c>
      <c r="E25" s="45" t="s">
        <v>753</v>
      </c>
      <c r="F25" s="45" t="s">
        <v>524</v>
      </c>
      <c r="G25" s="46"/>
    </row>
    <row r="26" customFormat="false" ht="13.8" hidden="false" customHeight="false" outlineLevel="0" collapsed="false">
      <c r="A26" s="44" t="s">
        <v>309</v>
      </c>
      <c r="B26" s="45" t="s">
        <v>310</v>
      </c>
      <c r="C26" s="45" t="s">
        <v>277</v>
      </c>
      <c r="D26" s="45" t="n">
        <v>1986</v>
      </c>
      <c r="E26" s="45" t="n">
        <v>10</v>
      </c>
      <c r="F26" s="45" t="s">
        <v>315</v>
      </c>
      <c r="G26" s="46"/>
    </row>
    <row r="27" customFormat="false" ht="13.8" hidden="false" customHeight="false" outlineLevel="0" collapsed="false">
      <c r="A27" s="44" t="s">
        <v>316</v>
      </c>
      <c r="B27" s="45" t="s">
        <v>317</v>
      </c>
      <c r="C27" s="45" t="s">
        <v>277</v>
      </c>
      <c r="D27" s="45" t="n">
        <v>1986</v>
      </c>
      <c r="E27" s="45" t="n">
        <v>6</v>
      </c>
      <c r="F27" s="45" t="s">
        <v>315</v>
      </c>
      <c r="G27" s="46"/>
    </row>
    <row r="28" customFormat="false" ht="13.8" hidden="false" customHeight="false" outlineLevel="0" collapsed="false">
      <c r="A28" s="44" t="s">
        <v>301</v>
      </c>
      <c r="B28" s="45" t="s">
        <v>302</v>
      </c>
      <c r="C28" s="45" t="s">
        <v>91</v>
      </c>
      <c r="D28" s="45" t="n">
        <v>1986</v>
      </c>
      <c r="E28" s="45" t="s">
        <v>753</v>
      </c>
      <c r="F28" s="45" t="s">
        <v>305</v>
      </c>
      <c r="G28" s="46"/>
    </row>
    <row r="29" customFormat="false" ht="13.8" hidden="false" customHeight="false" outlineLevel="0" collapsed="false">
      <c r="A29" s="44" t="s">
        <v>306</v>
      </c>
      <c r="B29" s="45" t="s">
        <v>307</v>
      </c>
      <c r="C29" s="45" t="s">
        <v>277</v>
      </c>
      <c r="D29" s="45" t="n">
        <v>1986</v>
      </c>
      <c r="E29" s="45" t="s">
        <v>753</v>
      </c>
      <c r="F29" s="45" t="s">
        <v>308</v>
      </c>
      <c r="G29" s="46"/>
    </row>
    <row r="30" customFormat="false" ht="13.8" hidden="false" customHeight="false" outlineLevel="0" collapsed="false">
      <c r="A30" s="44" t="s">
        <v>198</v>
      </c>
      <c r="B30" s="45" t="s">
        <v>196</v>
      </c>
      <c r="C30" s="45" t="s">
        <v>152</v>
      </c>
      <c r="D30" s="45" t="n">
        <v>1982</v>
      </c>
      <c r="E30" s="45" t="n">
        <v>3</v>
      </c>
      <c r="F30" s="45" t="s">
        <v>202</v>
      </c>
      <c r="G30" s="46"/>
    </row>
    <row r="31" customFormat="false" ht="13.8" hidden="false" customHeight="false" outlineLevel="0" collapsed="false">
      <c r="A31" s="44" t="s">
        <v>191</v>
      </c>
      <c r="B31" s="45" t="s">
        <v>192</v>
      </c>
      <c r="C31" s="45" t="s">
        <v>152</v>
      </c>
      <c r="D31" s="45" t="n">
        <v>1982</v>
      </c>
      <c r="E31" s="45" t="n">
        <v>4</v>
      </c>
      <c r="F31" s="45" t="s">
        <v>197</v>
      </c>
      <c r="G31" s="46"/>
    </row>
    <row r="32" customFormat="false" ht="13.8" hidden="false" customHeight="false" outlineLevel="0" collapsed="false">
      <c r="A32" s="44" t="s">
        <v>290</v>
      </c>
      <c r="B32" s="45" t="s">
        <v>291</v>
      </c>
      <c r="C32" s="45" t="s">
        <v>277</v>
      </c>
      <c r="D32" s="45" t="n">
        <v>1979</v>
      </c>
      <c r="E32" s="45" t="n">
        <v>2</v>
      </c>
      <c r="F32" s="45" t="s">
        <v>293</v>
      </c>
      <c r="G32" s="46"/>
    </row>
    <row r="33" customFormat="false" ht="13.8" hidden="false" customHeight="false" outlineLevel="0" collapsed="false">
      <c r="A33" s="44" t="s">
        <v>294</v>
      </c>
      <c r="B33" s="45" t="s">
        <v>295</v>
      </c>
      <c r="C33" s="45" t="s">
        <v>277</v>
      </c>
      <c r="D33" s="45" t="n">
        <v>1979</v>
      </c>
      <c r="E33" s="45" t="n">
        <v>2</v>
      </c>
      <c r="F33" s="45" t="s">
        <v>297</v>
      </c>
      <c r="G33" s="46"/>
    </row>
    <row r="34" customFormat="false" ht="13.8" hidden="false" customHeight="false" outlineLevel="0" collapsed="false">
      <c r="A34" s="44" t="s">
        <v>275</v>
      </c>
      <c r="B34" s="45" t="s">
        <v>276</v>
      </c>
      <c r="C34" s="45" t="s">
        <v>277</v>
      </c>
      <c r="D34" s="45" t="n">
        <v>1979</v>
      </c>
      <c r="E34" s="45" t="n">
        <v>6</v>
      </c>
      <c r="F34" s="45" t="s">
        <v>282</v>
      </c>
      <c r="G34" s="46"/>
    </row>
    <row r="35" customFormat="false" ht="13.8" hidden="false" customHeight="false" outlineLevel="0" collapsed="false">
      <c r="A35" s="44" t="s">
        <v>283</v>
      </c>
      <c r="B35" s="45" t="s">
        <v>284</v>
      </c>
      <c r="C35" s="45" t="s">
        <v>277</v>
      </c>
      <c r="D35" s="45" t="n">
        <v>1979</v>
      </c>
      <c r="E35" s="45" t="n">
        <v>6</v>
      </c>
      <c r="F35" s="45" t="s">
        <v>289</v>
      </c>
      <c r="G35" s="46"/>
    </row>
    <row r="36" customFormat="false" ht="13.8" hidden="false" customHeight="false" outlineLevel="0" collapsed="false">
      <c r="A36" s="44" t="s">
        <v>298</v>
      </c>
      <c r="B36" s="45" t="s">
        <v>299</v>
      </c>
      <c r="C36" s="45" t="s">
        <v>91</v>
      </c>
      <c r="D36" s="45" t="n">
        <v>1979</v>
      </c>
      <c r="E36" s="45" t="s">
        <v>753</v>
      </c>
      <c r="F36" s="45" t="s">
        <v>300</v>
      </c>
      <c r="G36" s="46"/>
    </row>
    <row r="37" customFormat="false" ht="13.8" hidden="false" customHeight="false" outlineLevel="0" collapsed="false">
      <c r="A37" s="44" t="s">
        <v>340</v>
      </c>
      <c r="B37" s="45" t="s">
        <v>341</v>
      </c>
      <c r="C37" s="45" t="s">
        <v>152</v>
      </c>
      <c r="D37" s="45" t="n">
        <v>1985</v>
      </c>
      <c r="E37" s="45" t="s">
        <v>753</v>
      </c>
      <c r="F37" s="45" t="s">
        <v>342</v>
      </c>
      <c r="G37" s="46"/>
    </row>
    <row r="38" customFormat="false" ht="13.8" hidden="false" customHeight="false" outlineLevel="0" collapsed="false">
      <c r="A38" s="44" t="s">
        <v>320</v>
      </c>
      <c r="B38" s="45" t="s">
        <v>321</v>
      </c>
      <c r="C38" s="45" t="s">
        <v>152</v>
      </c>
      <c r="D38" s="45" t="n">
        <v>1986</v>
      </c>
      <c r="E38" s="45" t="s">
        <v>753</v>
      </c>
      <c r="F38" s="45" t="s">
        <v>323</v>
      </c>
      <c r="G38" s="46"/>
    </row>
    <row r="39" customFormat="false" ht="13.8" hidden="false" customHeight="false" outlineLevel="0" collapsed="false">
      <c r="A39" s="44" t="s">
        <v>327</v>
      </c>
      <c r="B39" s="45" t="s">
        <v>328</v>
      </c>
      <c r="C39" s="45" t="s">
        <v>277</v>
      </c>
      <c r="D39" s="45" t="n">
        <v>1986</v>
      </c>
      <c r="E39" s="45" t="s">
        <v>753</v>
      </c>
      <c r="F39" s="45" t="s">
        <v>330</v>
      </c>
      <c r="G39" s="46"/>
    </row>
    <row r="40" customFormat="false" ht="13.8" hidden="false" customHeight="false" outlineLevel="0" collapsed="false">
      <c r="A40" s="44" t="s">
        <v>360</v>
      </c>
      <c r="B40" s="45" t="s">
        <v>361</v>
      </c>
      <c r="C40" s="45" t="s">
        <v>91</v>
      </c>
      <c r="D40" s="45" t="n">
        <v>1993</v>
      </c>
      <c r="E40" s="45" t="n">
        <v>2</v>
      </c>
      <c r="F40" s="45" t="s">
        <v>217</v>
      </c>
      <c r="G40" s="46"/>
    </row>
    <row r="41" customFormat="false" ht="13.8" hidden="false" customHeight="false" outlineLevel="0" collapsed="false">
      <c r="A41" s="44" t="s">
        <v>335</v>
      </c>
      <c r="B41" s="45" t="s">
        <v>336</v>
      </c>
      <c r="C41" s="45" t="s">
        <v>91</v>
      </c>
      <c r="D41" s="45" t="n">
        <v>1985</v>
      </c>
      <c r="E41" s="45" t="s">
        <v>753</v>
      </c>
      <c r="F41" s="45" t="s">
        <v>339</v>
      </c>
      <c r="G41" s="46"/>
    </row>
    <row r="42" customFormat="false" ht="13.8" hidden="false" customHeight="false" outlineLevel="0" collapsed="false">
      <c r="A42" s="44" t="s">
        <v>331</v>
      </c>
      <c r="B42" s="45" t="s">
        <v>332</v>
      </c>
      <c r="C42" s="45" t="s">
        <v>333</v>
      </c>
      <c r="D42" s="45" t="n">
        <v>1986</v>
      </c>
      <c r="E42" s="45" t="s">
        <v>753</v>
      </c>
      <c r="F42" s="45" t="s">
        <v>334</v>
      </c>
      <c r="G42" s="46"/>
    </row>
    <row r="43" customFormat="false" ht="13.8" hidden="false" customHeight="false" outlineLevel="0" collapsed="false">
      <c r="A43" s="44" t="s">
        <v>544</v>
      </c>
      <c r="B43" s="45" t="s">
        <v>545</v>
      </c>
      <c r="C43" s="45" t="s">
        <v>497</v>
      </c>
      <c r="D43" s="45" t="n">
        <v>2018</v>
      </c>
      <c r="E43" s="45" t="s">
        <v>753</v>
      </c>
      <c r="F43" s="45" t="s">
        <v>547</v>
      </c>
      <c r="G43" s="46"/>
    </row>
    <row r="44" customFormat="false" ht="13.8" hidden="false" customHeight="false" outlineLevel="0" collapsed="false">
      <c r="A44" s="44" t="s">
        <v>552</v>
      </c>
      <c r="B44" s="45" t="s">
        <v>553</v>
      </c>
      <c r="C44" s="45" t="s">
        <v>497</v>
      </c>
      <c r="D44" s="45" t="n">
        <v>2018</v>
      </c>
      <c r="E44" s="45" t="s">
        <v>753</v>
      </c>
      <c r="F44" s="45" t="s">
        <v>555</v>
      </c>
      <c r="G44" s="46"/>
    </row>
    <row r="45" customFormat="false" ht="13.8" hidden="false" customHeight="false" outlineLevel="0" collapsed="false">
      <c r="A45" s="44" t="s">
        <v>548</v>
      </c>
      <c r="B45" s="45" t="s">
        <v>549</v>
      </c>
      <c r="C45" s="45" t="s">
        <v>497</v>
      </c>
      <c r="D45" s="45" t="n">
        <v>2018</v>
      </c>
      <c r="E45" s="45" t="s">
        <v>753</v>
      </c>
      <c r="F45" s="45" t="s">
        <v>551</v>
      </c>
      <c r="G45" s="46"/>
    </row>
    <row r="46" customFormat="false" ht="13.8" hidden="false" customHeight="false" outlineLevel="0" collapsed="false">
      <c r="A46" s="44" t="s">
        <v>364</v>
      </c>
      <c r="B46" s="45" t="s">
        <v>365</v>
      </c>
      <c r="C46" s="45" t="s">
        <v>152</v>
      </c>
      <c r="D46" s="45" t="n">
        <v>1994</v>
      </c>
      <c r="E46" s="45" t="s">
        <v>753</v>
      </c>
      <c r="F46" s="45" t="s">
        <v>366</v>
      </c>
      <c r="G46" s="46"/>
    </row>
    <row r="47" customFormat="false" ht="13.8" hidden="false" customHeight="false" outlineLevel="0" collapsed="false">
      <c r="A47" s="44" t="s">
        <v>538</v>
      </c>
      <c r="B47" s="45" t="s">
        <v>539</v>
      </c>
      <c r="C47" s="45" t="s">
        <v>540</v>
      </c>
      <c r="D47" s="45" t="n">
        <v>1997</v>
      </c>
      <c r="E47" s="45" t="s">
        <v>753</v>
      </c>
      <c r="F47" s="45" t="s">
        <v>541</v>
      </c>
      <c r="G47" s="46"/>
    </row>
    <row r="48" customFormat="false" ht="13.8" hidden="false" customHeight="false" outlineLevel="0" collapsed="false">
      <c r="A48" s="44" t="s">
        <v>542</v>
      </c>
      <c r="B48" s="45" t="s">
        <v>543</v>
      </c>
      <c r="C48" s="45" t="s">
        <v>540</v>
      </c>
      <c r="D48" s="45" t="n">
        <v>1997</v>
      </c>
      <c r="E48" s="45" t="s">
        <v>753</v>
      </c>
      <c r="F48" s="45" t="s">
        <v>541</v>
      </c>
      <c r="G48" s="46"/>
    </row>
    <row r="49" customFormat="false" ht="13.8" hidden="false" customHeight="false" outlineLevel="0" collapsed="false">
      <c r="A49" s="44" t="s">
        <v>525</v>
      </c>
      <c r="B49" s="45" t="s">
        <v>526</v>
      </c>
      <c r="C49" s="45" t="s">
        <v>492</v>
      </c>
      <c r="D49" s="45" t="n">
        <v>1997</v>
      </c>
      <c r="E49" s="45" t="n">
        <v>7</v>
      </c>
      <c r="F49" s="45" t="s">
        <v>531</v>
      </c>
      <c r="G49" s="46"/>
    </row>
    <row r="50" customFormat="false" ht="13.8" hidden="false" customHeight="false" outlineLevel="0" collapsed="false">
      <c r="A50" s="44" t="s">
        <v>533</v>
      </c>
      <c r="B50" s="45" t="s">
        <v>534</v>
      </c>
      <c r="C50" s="45" t="s">
        <v>492</v>
      </c>
      <c r="D50" s="45" t="n">
        <v>1997</v>
      </c>
      <c r="E50" s="45" t="n">
        <v>8</v>
      </c>
      <c r="F50" s="45" t="s">
        <v>537</v>
      </c>
      <c r="G50" s="46"/>
    </row>
    <row r="51" customFormat="false" ht="13.8" hidden="false" customHeight="false" outlineLevel="0" collapsed="false">
      <c r="A51" s="44" t="s">
        <v>343</v>
      </c>
      <c r="B51" s="45" t="s">
        <v>344</v>
      </c>
      <c r="C51" s="45" t="s">
        <v>333</v>
      </c>
      <c r="D51" s="45" t="n">
        <v>1992</v>
      </c>
      <c r="E51" s="45" t="n">
        <v>20</v>
      </c>
      <c r="F51" s="45" t="s">
        <v>351</v>
      </c>
      <c r="G51" s="46"/>
    </row>
    <row r="52" customFormat="false" ht="13.8" hidden="false" customHeight="false" outlineLevel="0" collapsed="false">
      <c r="A52" s="44" t="s">
        <v>352</v>
      </c>
      <c r="B52" s="45" t="s">
        <v>353</v>
      </c>
      <c r="C52" s="45" t="s">
        <v>333</v>
      </c>
      <c r="D52" s="45" t="n">
        <v>1992</v>
      </c>
      <c r="E52" s="45" t="n">
        <v>16</v>
      </c>
      <c r="F52" s="45" t="s">
        <v>359</v>
      </c>
      <c r="G52" s="46"/>
    </row>
    <row r="53" customFormat="false" ht="13.8" hidden="false" customHeight="false" outlineLevel="0" collapsed="false">
      <c r="A53" s="44" t="s">
        <v>438</v>
      </c>
      <c r="B53" s="45" t="s">
        <v>439</v>
      </c>
      <c r="C53" s="45" t="s">
        <v>256</v>
      </c>
      <c r="D53" s="45" t="n">
        <v>2022</v>
      </c>
      <c r="E53" s="45" t="n">
        <v>5</v>
      </c>
      <c r="F53" s="45" t="s">
        <v>442</v>
      </c>
      <c r="G53" s="46"/>
    </row>
    <row r="54" customFormat="false" ht="13.8" hidden="false" customHeight="false" outlineLevel="0" collapsed="false">
      <c r="A54" s="44" t="s">
        <v>457</v>
      </c>
      <c r="B54" s="45" t="s">
        <v>458</v>
      </c>
      <c r="C54" s="45" t="s">
        <v>445</v>
      </c>
      <c r="D54" s="45" t="n">
        <v>2007</v>
      </c>
      <c r="E54" s="45" t="s">
        <v>753</v>
      </c>
      <c r="F54" s="45" t="s">
        <v>460</v>
      </c>
      <c r="G54" s="46"/>
    </row>
    <row r="55" customFormat="false" ht="13.8" hidden="false" customHeight="false" outlineLevel="0" collapsed="false">
      <c r="A55" s="44" t="s">
        <v>110</v>
      </c>
      <c r="B55" s="45" t="s">
        <v>111</v>
      </c>
      <c r="C55" s="45" t="s">
        <v>91</v>
      </c>
      <c r="D55" s="45" t="n">
        <v>1911</v>
      </c>
      <c r="E55" s="45" t="n">
        <v>2</v>
      </c>
      <c r="F55" s="45" t="s">
        <v>116</v>
      </c>
      <c r="G55" s="46"/>
    </row>
    <row r="56" customFormat="false" ht="13.8" hidden="false" customHeight="false" outlineLevel="0" collapsed="false">
      <c r="A56" s="44" t="s">
        <v>117</v>
      </c>
      <c r="B56" s="45" t="s">
        <v>118</v>
      </c>
      <c r="C56" s="45" t="s">
        <v>91</v>
      </c>
      <c r="D56" s="45" t="n">
        <v>1911</v>
      </c>
      <c r="E56" s="45" t="n">
        <v>3</v>
      </c>
      <c r="F56" s="45" t="s">
        <v>116</v>
      </c>
      <c r="G56" s="46"/>
    </row>
    <row r="57" customFormat="false" ht="13.8" hidden="false" customHeight="false" outlineLevel="0" collapsed="false">
      <c r="A57" s="44" t="s">
        <v>122</v>
      </c>
      <c r="B57" s="45" t="s">
        <v>123</v>
      </c>
      <c r="C57" s="45" t="s">
        <v>91</v>
      </c>
      <c r="D57" s="45" t="n">
        <v>1911</v>
      </c>
      <c r="E57" s="45" t="n">
        <v>4</v>
      </c>
      <c r="F57" s="45" t="s">
        <v>116</v>
      </c>
      <c r="G57" s="46"/>
    </row>
    <row r="58" customFormat="false" ht="13.8" hidden="false" customHeight="false" outlineLevel="0" collapsed="false">
      <c r="A58" s="44" t="s">
        <v>127</v>
      </c>
      <c r="B58" s="45" t="s">
        <v>128</v>
      </c>
      <c r="C58" s="45" t="s">
        <v>91</v>
      </c>
      <c r="D58" s="45" t="n">
        <v>1911</v>
      </c>
      <c r="E58" s="45" t="n">
        <v>5</v>
      </c>
      <c r="F58" s="45" t="s">
        <v>116</v>
      </c>
      <c r="G58" s="46"/>
    </row>
    <row r="59" customFormat="false" ht="13.8" hidden="false" customHeight="false" outlineLevel="0" collapsed="false">
      <c r="A59" s="44" t="s">
        <v>132</v>
      </c>
      <c r="B59" s="45" t="s">
        <v>133</v>
      </c>
      <c r="C59" s="45" t="s">
        <v>91</v>
      </c>
      <c r="D59" s="45" t="n">
        <v>1911</v>
      </c>
      <c r="E59" s="45" t="n">
        <v>6</v>
      </c>
      <c r="F59" s="45" t="s">
        <v>116</v>
      </c>
      <c r="G59" s="46"/>
    </row>
    <row r="60" customFormat="false" ht="13.8" hidden="false" customHeight="false" outlineLevel="0" collapsed="false">
      <c r="A60" s="44" t="s">
        <v>137</v>
      </c>
      <c r="B60" s="45" t="s">
        <v>138</v>
      </c>
      <c r="C60" s="45" t="s">
        <v>91</v>
      </c>
      <c r="D60" s="45" t="n">
        <v>1925</v>
      </c>
      <c r="E60" s="45" t="n">
        <v>5</v>
      </c>
      <c r="F60" s="45" t="s">
        <v>144</v>
      </c>
      <c r="G60" s="46"/>
    </row>
    <row r="61" customFormat="false" ht="13.8" hidden="false" customHeight="false" outlineLevel="0" collapsed="false">
      <c r="A61" s="44" t="s">
        <v>145</v>
      </c>
      <c r="B61" s="45" t="s">
        <v>146</v>
      </c>
      <c r="C61" s="45" t="s">
        <v>91</v>
      </c>
      <c r="D61" s="45" t="n">
        <v>1925</v>
      </c>
      <c r="E61" s="45" t="s">
        <v>753</v>
      </c>
      <c r="F61" s="45" t="s">
        <v>149</v>
      </c>
      <c r="G61" s="46"/>
    </row>
    <row r="62" customFormat="false" ht="13.8" hidden="false" customHeight="false" outlineLevel="0" collapsed="false">
      <c r="A62" s="44" t="s">
        <v>264</v>
      </c>
      <c r="B62" s="45" t="s">
        <v>265</v>
      </c>
      <c r="C62" s="45" t="s">
        <v>152</v>
      </c>
      <c r="D62" s="45" t="n">
        <v>1991</v>
      </c>
      <c r="E62" s="45" t="n">
        <v>1</v>
      </c>
      <c r="F62" s="45" t="s">
        <v>269</v>
      </c>
      <c r="G62" s="46"/>
    </row>
    <row r="63" customFormat="false" ht="13.8" hidden="false" customHeight="false" outlineLevel="0" collapsed="false">
      <c r="A63" s="44" t="s">
        <v>468</v>
      </c>
      <c r="B63" s="45" t="s">
        <v>469</v>
      </c>
      <c r="C63" s="45" t="s">
        <v>463</v>
      </c>
      <c r="D63" s="45" t="n">
        <v>1938</v>
      </c>
      <c r="E63" s="45" t="s">
        <v>753</v>
      </c>
      <c r="F63" s="45" t="s">
        <v>470</v>
      </c>
      <c r="G63" s="46"/>
    </row>
    <row r="64" customFormat="false" ht="13.8" hidden="false" customHeight="false" outlineLevel="0" collapsed="false">
      <c r="A64" s="44" t="s">
        <v>471</v>
      </c>
      <c r="B64" s="45" t="s">
        <v>472</v>
      </c>
      <c r="C64" s="45" t="s">
        <v>445</v>
      </c>
      <c r="D64" s="45" t="n">
        <v>1936</v>
      </c>
      <c r="E64" s="45" t="s">
        <v>753</v>
      </c>
      <c r="F64" s="45" t="s">
        <v>474</v>
      </c>
      <c r="G64" s="46"/>
    </row>
    <row r="65" customFormat="false" ht="13.8" hidden="false" customHeight="false" outlineLevel="0" collapsed="false">
      <c r="A65" s="44" t="s">
        <v>490</v>
      </c>
      <c r="B65" s="45" t="s">
        <v>491</v>
      </c>
      <c r="C65" s="45" t="s">
        <v>492</v>
      </c>
      <c r="D65" s="45" t="n">
        <v>1905</v>
      </c>
      <c r="E65" s="45" t="s">
        <v>753</v>
      </c>
      <c r="F65" s="45" t="s">
        <v>494</v>
      </c>
      <c r="G65" s="46"/>
    </row>
    <row r="66" customFormat="false" ht="13.8" hidden="false" customHeight="false" outlineLevel="0" collapsed="false">
      <c r="A66" s="44" t="s">
        <v>203</v>
      </c>
      <c r="B66" s="45" t="s">
        <v>204</v>
      </c>
      <c r="C66" s="45" t="s">
        <v>152</v>
      </c>
      <c r="D66" s="45" t="n">
        <v>1960</v>
      </c>
      <c r="E66" s="45" t="n">
        <v>8</v>
      </c>
      <c r="F66" s="45" t="s">
        <v>212</v>
      </c>
      <c r="G66" s="46"/>
    </row>
    <row r="67" customFormat="false" ht="13.8" hidden="false" customHeight="false" outlineLevel="0" collapsed="false">
      <c r="A67" s="44" t="s">
        <v>159</v>
      </c>
      <c r="B67" s="45" t="s">
        <v>160</v>
      </c>
      <c r="C67" s="45" t="s">
        <v>152</v>
      </c>
      <c r="D67" s="45" t="n">
        <v>1985</v>
      </c>
      <c r="E67" s="45" t="n">
        <v>3</v>
      </c>
      <c r="F67" s="45" t="s">
        <v>166</v>
      </c>
      <c r="G67" s="46"/>
    </row>
    <row r="68" customFormat="false" ht="13.8" hidden="false" customHeight="false" outlineLevel="0" collapsed="false">
      <c r="A68" s="44" t="s">
        <v>461</v>
      </c>
      <c r="B68" s="45" t="s">
        <v>462</v>
      </c>
      <c r="C68" s="45" t="s">
        <v>463</v>
      </c>
      <c r="D68" s="45" t="n">
        <v>1924</v>
      </c>
      <c r="E68" s="45" t="s">
        <v>753</v>
      </c>
      <c r="F68" s="45" t="s">
        <v>467</v>
      </c>
      <c r="G68" s="46"/>
    </row>
    <row r="69" customFormat="false" ht="13.8" hidden="false" customHeight="false" outlineLevel="0" collapsed="false">
      <c r="A69" s="44" t="s">
        <v>87</v>
      </c>
      <c r="B69" s="45" t="s">
        <v>88</v>
      </c>
      <c r="C69" s="45" t="s">
        <v>91</v>
      </c>
      <c r="D69" s="45" t="n">
        <v>1907</v>
      </c>
      <c r="E69" s="45" t="n">
        <v>1</v>
      </c>
      <c r="F69" s="45" t="s">
        <v>98</v>
      </c>
      <c r="G69" s="46"/>
    </row>
    <row r="70" customFormat="false" ht="13.8" hidden="false" customHeight="false" outlineLevel="0" collapsed="false">
      <c r="A70" s="44" t="s">
        <v>99</v>
      </c>
      <c r="B70" s="45" t="s">
        <v>100</v>
      </c>
      <c r="C70" s="45" t="s">
        <v>91</v>
      </c>
      <c r="D70" s="45" t="n">
        <v>1907</v>
      </c>
      <c r="E70" s="45" t="n">
        <v>2</v>
      </c>
      <c r="F70" s="45" t="s">
        <v>98</v>
      </c>
      <c r="G70" s="46"/>
    </row>
    <row r="71" customFormat="false" ht="13.8" hidden="false" customHeight="false" outlineLevel="0" collapsed="false">
      <c r="A71" s="44" t="s">
        <v>105</v>
      </c>
      <c r="B71" s="45" t="s">
        <v>106</v>
      </c>
      <c r="C71" s="45" t="s">
        <v>91</v>
      </c>
      <c r="D71" s="45" t="n">
        <v>1907</v>
      </c>
      <c r="E71" s="45" t="n">
        <v>3</v>
      </c>
      <c r="F71" s="45" t="s">
        <v>98</v>
      </c>
      <c r="G71" s="46"/>
    </row>
    <row r="72" customFormat="false" ht="13.8" hidden="false" customHeight="false" outlineLevel="0" collapsed="false">
      <c r="A72" s="44" t="s">
        <v>454</v>
      </c>
      <c r="B72" s="45" t="s">
        <v>455</v>
      </c>
      <c r="C72" s="45" t="s">
        <v>445</v>
      </c>
      <c r="D72" s="45" t="n">
        <v>1968</v>
      </c>
      <c r="E72" s="45" t="s">
        <v>753</v>
      </c>
      <c r="F72" s="45" t="s">
        <v>456</v>
      </c>
      <c r="G72" s="46"/>
    </row>
    <row r="73" customFormat="false" ht="13.8" hidden="false" customHeight="false" outlineLevel="0" collapsed="false">
      <c r="A73" s="44" t="s">
        <v>443</v>
      </c>
      <c r="B73" s="45" t="s">
        <v>444</v>
      </c>
      <c r="C73" s="45" t="s">
        <v>445</v>
      </c>
      <c r="D73" s="45" t="n">
        <v>1907</v>
      </c>
      <c r="E73" s="45" t="s">
        <v>753</v>
      </c>
      <c r="F73" s="45" t="s">
        <v>449</v>
      </c>
      <c r="G73" s="46"/>
    </row>
    <row r="74" customFormat="false" ht="13.8" hidden="false" customHeight="false" outlineLevel="0" collapsed="false">
      <c r="A74" s="44" t="s">
        <v>150</v>
      </c>
      <c r="B74" s="45" t="s">
        <v>151</v>
      </c>
      <c r="C74" s="45" t="s">
        <v>152</v>
      </c>
      <c r="D74" s="45" t="n">
        <v>1936</v>
      </c>
      <c r="E74" s="45" t="s">
        <v>753</v>
      </c>
      <c r="F74" s="45" t="s">
        <v>155</v>
      </c>
      <c r="G74" s="46"/>
    </row>
    <row r="75" customFormat="false" ht="13.8" hidden="false" customHeight="false" outlineLevel="0" collapsed="false">
      <c r="A75" s="44" t="s">
        <v>156</v>
      </c>
      <c r="B75" s="45" t="s">
        <v>157</v>
      </c>
      <c r="C75" s="45" t="s">
        <v>152</v>
      </c>
      <c r="D75" s="45" t="n">
        <v>1938</v>
      </c>
      <c r="E75" s="45" t="s">
        <v>753</v>
      </c>
      <c r="F75" s="45" t="s">
        <v>158</v>
      </c>
      <c r="G75" s="46"/>
    </row>
    <row r="76" customFormat="false" ht="13.8" hidden="false" customHeight="false" outlineLevel="0" collapsed="false">
      <c r="A76" s="47" t="s">
        <v>419</v>
      </c>
      <c r="B76" s="45" t="s">
        <v>424</v>
      </c>
      <c r="C76" s="45" t="s">
        <v>91</v>
      </c>
      <c r="D76" s="45" t="n">
        <v>2014</v>
      </c>
      <c r="E76" s="45" t="n">
        <v>12</v>
      </c>
      <c r="F76" s="45" t="s">
        <v>426</v>
      </c>
      <c r="G76" s="46"/>
    </row>
    <row r="77" customFormat="false" ht="13.8" hidden="false" customHeight="false" outlineLevel="0" collapsed="false">
      <c r="A77" s="48"/>
      <c r="B77" s="45" t="s">
        <v>420</v>
      </c>
      <c r="C77" s="45" t="s">
        <v>91</v>
      </c>
      <c r="D77" s="45" t="n">
        <v>2014</v>
      </c>
      <c r="E77" s="45" t="n">
        <v>16</v>
      </c>
      <c r="F77" s="45" t="s">
        <v>423</v>
      </c>
      <c r="G77" s="46"/>
    </row>
    <row r="78" customFormat="false" ht="13.8" hidden="false" customHeight="false" outlineLevel="0" collapsed="false">
      <c r="A78" s="44" t="s">
        <v>475</v>
      </c>
      <c r="B78" s="45" t="s">
        <v>476</v>
      </c>
      <c r="C78" s="45" t="s">
        <v>463</v>
      </c>
      <c r="D78" s="45" t="n">
        <v>1936</v>
      </c>
      <c r="E78" s="45" t="s">
        <v>753</v>
      </c>
      <c r="F78" s="45" t="s">
        <v>477</v>
      </c>
      <c r="G78" s="46"/>
    </row>
    <row r="79" customFormat="false" ht="13.8" hidden="false" customHeight="false" outlineLevel="0" collapsed="false">
      <c r="A79" s="44" t="s">
        <v>478</v>
      </c>
      <c r="B79" s="45" t="s">
        <v>479</v>
      </c>
      <c r="C79" s="45" t="s">
        <v>463</v>
      </c>
      <c r="D79" s="45" t="n">
        <v>1936</v>
      </c>
      <c r="E79" s="45" t="s">
        <v>753</v>
      </c>
      <c r="F79" s="45" t="s">
        <v>480</v>
      </c>
      <c r="G79" s="46"/>
    </row>
    <row r="80" customFormat="false" ht="13.8" hidden="false" customHeight="false" outlineLevel="0" collapsed="false">
      <c r="A80" s="44" t="s">
        <v>242</v>
      </c>
      <c r="B80" s="45" t="s">
        <v>243</v>
      </c>
      <c r="C80" s="45" t="s">
        <v>91</v>
      </c>
      <c r="D80" s="45" t="n">
        <v>1975</v>
      </c>
      <c r="E80" s="45" t="n">
        <v>2</v>
      </c>
      <c r="F80" s="45" t="s">
        <v>246</v>
      </c>
      <c r="G80" s="46"/>
    </row>
    <row r="81" customFormat="false" ht="13.8" hidden="false" customHeight="false" outlineLevel="0" collapsed="false">
      <c r="A81" s="44" t="s">
        <v>375</v>
      </c>
      <c r="B81" s="45" t="s">
        <v>376</v>
      </c>
      <c r="C81" s="45" t="s">
        <v>152</v>
      </c>
      <c r="D81" s="45" t="n">
        <v>1999</v>
      </c>
      <c r="E81" s="45" t="n">
        <v>2</v>
      </c>
      <c r="F81" s="45" t="s">
        <v>374</v>
      </c>
      <c r="G81" s="46"/>
    </row>
    <row r="82" customFormat="false" ht="13.8" hidden="false" customHeight="false" outlineLevel="0" collapsed="false">
      <c r="A82" s="44" t="s">
        <v>379</v>
      </c>
      <c r="B82" s="45" t="s">
        <v>380</v>
      </c>
      <c r="C82" s="45" t="s">
        <v>152</v>
      </c>
      <c r="D82" s="45" t="n">
        <v>1999</v>
      </c>
      <c r="E82" s="45" t="n">
        <v>3</v>
      </c>
      <c r="F82" s="45" t="s">
        <v>374</v>
      </c>
      <c r="G82" s="46"/>
    </row>
    <row r="83" customFormat="false" ht="13.8" hidden="false" customHeight="false" outlineLevel="0" collapsed="false">
      <c r="A83" s="44" t="s">
        <v>383</v>
      </c>
      <c r="B83" s="45" t="s">
        <v>384</v>
      </c>
      <c r="C83" s="45" t="s">
        <v>152</v>
      </c>
      <c r="D83" s="45" t="n">
        <v>1999</v>
      </c>
      <c r="E83" s="45" t="n">
        <v>4</v>
      </c>
      <c r="F83" s="45" t="s">
        <v>374</v>
      </c>
      <c r="G83" s="46"/>
    </row>
    <row r="84" customFormat="false" ht="13.8" hidden="false" customHeight="false" outlineLevel="0" collapsed="false">
      <c r="A84" s="44" t="s">
        <v>386</v>
      </c>
      <c r="B84" s="45" t="s">
        <v>387</v>
      </c>
      <c r="C84" s="45" t="s">
        <v>152</v>
      </c>
      <c r="D84" s="45" t="n">
        <v>1999</v>
      </c>
      <c r="E84" s="45" t="n">
        <v>5</v>
      </c>
      <c r="F84" s="45" t="s">
        <v>374</v>
      </c>
      <c r="G84" s="46"/>
    </row>
    <row r="85" customFormat="false" ht="13.8" hidden="false" customHeight="false" outlineLevel="0" collapsed="false">
      <c r="A85" s="44" t="s">
        <v>367</v>
      </c>
      <c r="B85" s="45" t="s">
        <v>368</v>
      </c>
      <c r="C85" s="45" t="s">
        <v>152</v>
      </c>
      <c r="D85" s="45" t="n">
        <v>1999</v>
      </c>
      <c r="E85" s="45" t="n">
        <v>1</v>
      </c>
      <c r="F85" s="45" t="s">
        <v>374</v>
      </c>
      <c r="G85" s="46"/>
    </row>
    <row r="86" customFormat="false" ht="13.8" hidden="false" customHeight="false" outlineLevel="0" collapsed="false">
      <c r="A86" s="47" t="s">
        <v>389</v>
      </c>
      <c r="B86" s="45" t="s">
        <v>390</v>
      </c>
      <c r="C86" s="45" t="s">
        <v>152</v>
      </c>
      <c r="D86" s="45" t="n">
        <v>2003</v>
      </c>
      <c r="E86" s="45" t="n">
        <v>4</v>
      </c>
      <c r="F86" s="45" t="s">
        <v>394</v>
      </c>
      <c r="G86" s="46"/>
    </row>
    <row r="87" customFormat="false" ht="13.8" hidden="false" customHeight="false" outlineLevel="0" collapsed="false">
      <c r="A87" s="49"/>
      <c r="B87" s="45" t="s">
        <v>395</v>
      </c>
      <c r="C87" s="45" t="s">
        <v>152</v>
      </c>
      <c r="D87" s="45" t="n">
        <v>2003</v>
      </c>
      <c r="E87" s="45" t="n">
        <v>5</v>
      </c>
      <c r="F87" s="45" t="s">
        <v>394</v>
      </c>
      <c r="G87" s="46"/>
    </row>
    <row r="88" customFormat="false" ht="13.8" hidden="false" customHeight="false" outlineLevel="0" collapsed="false">
      <c r="A88" s="49"/>
      <c r="B88" s="45" t="s">
        <v>399</v>
      </c>
      <c r="C88" s="45" t="s">
        <v>152</v>
      </c>
      <c r="D88" s="45" t="n">
        <v>2003</v>
      </c>
      <c r="E88" s="45" t="n">
        <v>7</v>
      </c>
      <c r="F88" s="45" t="s">
        <v>394</v>
      </c>
      <c r="G88" s="46"/>
    </row>
    <row r="89" customFormat="false" ht="13.8" hidden="false" customHeight="false" outlineLevel="0" collapsed="false">
      <c r="A89" s="48"/>
      <c r="B89" s="45" t="s">
        <v>404</v>
      </c>
      <c r="C89" s="45" t="s">
        <v>152</v>
      </c>
      <c r="D89" s="45" t="n">
        <v>2003</v>
      </c>
      <c r="E89" s="45" t="n">
        <v>9</v>
      </c>
      <c r="F89" s="45" t="s">
        <v>394</v>
      </c>
      <c r="G89" s="46"/>
    </row>
    <row r="90" customFormat="false" ht="13.8" hidden="false" customHeight="false" outlineLevel="0" collapsed="false">
      <c r="A90" s="44" t="s">
        <v>270</v>
      </c>
      <c r="B90" s="45" t="s">
        <v>271</v>
      </c>
      <c r="C90" s="45" t="s">
        <v>152</v>
      </c>
      <c r="D90" s="45" t="n">
        <v>1991</v>
      </c>
      <c r="E90" s="45" t="n">
        <v>1</v>
      </c>
      <c r="F90" s="45" t="s">
        <v>274</v>
      </c>
      <c r="G90" s="46"/>
    </row>
    <row r="91" customFormat="false" ht="13.8" hidden="false" customHeight="false" outlineLevel="0" collapsed="false">
      <c r="A91" s="44" t="s">
        <v>427</v>
      </c>
      <c r="B91" s="45" t="s">
        <v>428</v>
      </c>
      <c r="C91" s="45" t="s">
        <v>333</v>
      </c>
      <c r="D91" s="45" t="n">
        <v>2018</v>
      </c>
      <c r="E91" s="45" t="n">
        <v>6</v>
      </c>
      <c r="F91" s="45" t="s">
        <v>432</v>
      </c>
      <c r="G91" s="46"/>
    </row>
    <row r="92" customFormat="false" ht="13.8" hidden="false" customHeight="false" outlineLevel="0" collapsed="false">
      <c r="A92" s="44" t="s">
        <v>433</v>
      </c>
      <c r="B92" s="45" t="s">
        <v>434</v>
      </c>
      <c r="C92" s="45" t="s">
        <v>91</v>
      </c>
      <c r="D92" s="45" t="n">
        <v>2020</v>
      </c>
      <c r="E92" s="45" t="n">
        <v>12</v>
      </c>
      <c r="F92" s="45" t="s">
        <v>437</v>
      </c>
      <c r="G92" s="46"/>
    </row>
    <row r="93" customFormat="false" ht="13.8" hidden="false" customHeight="false" outlineLevel="0" collapsed="false">
      <c r="A93" s="50" t="s">
        <v>754</v>
      </c>
      <c r="B93" s="51"/>
      <c r="C93" s="51"/>
      <c r="D93" s="51"/>
      <c r="E93" s="51"/>
      <c r="F93" s="52"/>
      <c r="G93" s="53"/>
    </row>
  </sheetData>
  <printOptions headings="false" gridLines="false" gridLinesSet="true" horizontalCentered="false" verticalCentered="false"/>
  <pageMargins left="0.7875" right="0.7875" top="1.025" bottom="1.025" header="0.7875" footer="0.7875"/>
  <pageSetup paperSize="9" scale="100" fitToWidth="1" fitToHeight="1" pageOrder="downThenOver" orientation="portrait" blackAndWhite="false" draft="false" cellComments="none" horizontalDpi="300" verticalDpi="300" copies="1"/>
  <headerFooter differentFirst="false" differentOddEven="false">
    <oddHeader>&amp;C&amp;"Arial,Regular"&amp;10&amp;Kffffff&amp;A</oddHeader>
    <oddFooter>&amp;C&amp;"Arial,Regular"&amp;10&amp;KffffffPage &amp;P</oddFooter>
  </headerFooter>
</worksheet>
</file>

<file path=docProps/app.xml><?xml version="1.0" encoding="utf-8"?>
<Properties xmlns="http://schemas.openxmlformats.org/officeDocument/2006/extended-properties" xmlns:vt="http://schemas.openxmlformats.org/officeDocument/2006/docPropsVTypes">
  <Template/>
  <TotalTime>8295</TotalTime>
  <Application>LibreOffice/26.2.0.3$Windows_X86_64 LibreOffice_project/620$Build-3</Application>
  <AppVersion>15.0000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erms:created xsi:type="dcterms:W3CDTF">2018-09-29T15:27:54Z</dcterms:created>
  <dc:creator>Matt Kimber</dc:creator>
  <dc:description/>
  <dc:language>en-GB</dc:language>
  <cp:lastModifiedBy/>
  <dcterms:modified xsi:type="dcterms:W3CDTF">2026-04-03T01:47:58Z</dcterms:modified>
  <cp:revision>426</cp:revision>
  <dc:subject/>
  <dc:title/>
</cp:coreProperties>
</file>

<file path=docProps/custom.xml><?xml version="1.0" encoding="utf-8"?>
<Properties xmlns="http://schemas.openxmlformats.org/officeDocument/2006/custom-properties" xmlns:vt="http://schemas.openxmlformats.org/officeDocument/2006/docPropsVTypes"/>
</file>