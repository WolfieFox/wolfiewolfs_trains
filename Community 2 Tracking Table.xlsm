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1.xml" ContentType="application/vnd.openxmlformats-officedocument.drawing+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sharedStrings.xml" ContentType="application/vnd.openxmlformats-officedocument.spreadsheetml.sharedStrings+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externalReferences>
    <externalReference r:id="rId12"/>
  </externalReferences>
  <definedNames>
    <definedName function="false" hidden="true" localSheetId="0" name="_xlnm._FilterDatabase" vbProcedure="false">Table!$A$1:$CH$122</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IETMUVEHICLES" vbProcedure="false">'MU Tables'!$B$42</definedName>
    <definedName function="false" hidden="false" name="SPRINTERMUVEHICLES" vbProcedure="false">'MU Tables'!$B$29</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4"/>
  </pivotCaches>
  <extLst>
    <ext xmlns:loext="http://schemas.libreoffice.org/" uri="{7626C862-2A13-11E5-B345-FEFF819CDC9F}">
      <loext:extCalcPr stringRefSyntax="ExcelA1"/>
    </ext>
  </extLst>
</workbook>
</file>

<file path=xl/sharedStrings.xml><?xml version="1.0" encoding="utf-8"?>
<sst xmlns="http://schemas.openxmlformats.org/spreadsheetml/2006/main" count="2525" uniqueCount="864">
  <si>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</si>
  <si>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</si>
  <si>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</si>
  <si>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</si>
  <si>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</si>
  <si>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</si>
  <si>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</si>
  <si>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</si>
  <si>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</si>
  <si>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</si>
  <si>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</si>
  <si>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</si>
  <si>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</si>
  <si>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</si>
  <si>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</si>
  <si>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</si>
  <si>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</si>
  <si>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</si>
  <si>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</si>
  <si>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</si>
  <si>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</si>
  <si>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</si>
  <si>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</si>
  <si>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</si>
  <si>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</si>
  <si>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</si>
  <si>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</si>
  <si>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</si>
  <si>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</si>
  <si>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</si>
  <si>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</si>
  <si>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</si>
  <si>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</si>
  <si>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</si>
  <si>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</si>
  <si>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</si>
  <si>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</si>
  <si>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</si>
  <si>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</si>
  <si>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</si>
  <si>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</si>
  <si>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</si>
  <si>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</si>
  <si>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</si>
  <si>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</si>
  <si>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</si>
  <si>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</si>
  <si>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</si>
  <si>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</si>
  <si>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</si>
  <si>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</si>
  <si>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</si>
  <si>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</si>
  <si>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</si>
  <si>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</si>
  <si>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</si>
  <si>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</si>
  <si>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</si>
  <si>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</si>
  <si>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</si>
  <si>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</si>
  <si>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</si>
  <si>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</si>
  <si>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</si>
  <si>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</si>
  <si>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</si>
  <si>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</si>
  <si>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</si>
  <si>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</si>
  <si>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</si>
  <si>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</si>
  <si>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</si>
  <si>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</si>
  <si>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</si>
  <si>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</si>
  <si>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</si>
  <si>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</si>
  <si>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</si>
  <si>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</si>
  <si>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</si>
  <si>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</si>
  <si>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</si>
  <si>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</si>
  <si>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</si>
  <si>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</si>
  <si>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</si>
  <si>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</si>
  <si>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</si>
  <si>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</si>
  <si>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</si>
  <si>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</si>
  <si>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</si>
  <si>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</si>
  <si>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</si>
  <si>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</si>
  <si>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</si>
  <si>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</si>
  <si>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</si>
  <si>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</si>
  <si>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</si>
  <si>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</si>
  <si>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</si>
  <si>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</si>
  <si>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</si>
  <si>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</si>
  <si>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</si>
  <si>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</si>
  <si>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</si>
  <si>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</si>
  <si>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</si>
  <si>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</si>
  <si>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</si>
  <si>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</si>
  <si>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</si>
  <si>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</si>
  <si>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</si>
  <si>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</si>
  <si>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</si>
  <si>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</si>
  <si>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</si>
  <si>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</si>
  <si>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</si>
  <si>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</si>
  <si>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</si>
  <si>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</si>
  <si>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</si>
  <si>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</si>
  <si>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</si>
  <si>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</si>
  <si>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</si>
  <si>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</si>
  <si>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</si>
  <si>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</si>
  <si>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</si>
  <si>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</si>
  <si>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</si>
  <si>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</si>
  <si>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</si>
  <si>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</si>
  <si>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</si>
  <si>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</si>
  <si>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</si>
  <si>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</si>
  <si>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</si>
  <si>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</si>
  <si>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</si>
  <si>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</si>
  <si>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</si>
  <si>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</si>
  <si>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</si>
  <si>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</si>
  <si>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</si>
  <si>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</si>
  <si>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</si>
  <si>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</si>
  <si>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</si>
  <si>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</si>
  <si>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</si>
  <si>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</si>
  <si>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</si>
  <si>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</si>
  <si>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</si>
  <si>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</si>
  <si>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</si>
  <si>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</si>
  <si>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</si>
  <si>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DMU</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</si>
  <si>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</si>
  <si>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</si>
  <si>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</si>
  <si>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</si>
  <si>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</si>
  <si>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</si>
  <si>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</si>
  <si>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</si>
  <si>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</si>
  <si>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1,1,1</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</si>
  <si>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</si>
  <si>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</si>
  <si>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</si>
  <si>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</si>
  <si>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</si>
  <si>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</si>
  <si>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</si>
  <si>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</si>
  <si>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</si>
  <si>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</si>
  <si>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</si>
  <si>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</si>
  <si>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</si>
  <si>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</si>
  <si>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</si>
  <si>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</si>
  <si>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</si>
  <si>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</si>
  <si>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</si>
  <si>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</si>
  <si>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</si>
  <si>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</si>
  <si>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</si>
  <si>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</si>
  <si>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</si>
  <si>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</si>
  <si>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</si>
  <si>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</si>
  <si>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</si>
  <si>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</si>
  <si>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</si>
  <si>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</si>
  <si>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</si>
  <si>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</si>
  <si>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</si>
  <si>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</si>
  <si>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</si>
  <si>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</si>
  <si>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</si>
  <si>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</si>
  <si>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</si>
  <si>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</si>
  <si>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</si>
  <si>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</si>
  <si>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</si>
  <si>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</si>
  <si>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</si>
  <si>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</si>
  <si>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</si>
  <si>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</si>
  <si>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</si>
  <si>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</si>
  <si>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</si>
  <si>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</si>
  <si>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</si>
  <si>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</si>
  <si>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</si>
  <si>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</si>
  <si>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</si>
  <si>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</si>
  <si>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</si>
  <si>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</si>
  <si>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</si>
  <si>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</si>
  <si>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</si>
  <si>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</si>
  <si>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</si>
  <si>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lbr</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</si>
  <si>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</si>
  <si>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</si>
  <si>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</si>
  <si>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</si>
  <si>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</si>
  <si>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</si>
  <si>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</si>
  <si>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</si>
  <si>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</si>
  <si>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</si>
  <si>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</si>
  <si>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</si>
  <si>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</si>
  <si>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</si>
  <si>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</si>
  <si>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</si>
  <si>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</si>
  <si>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</si>
  <si>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 LEV1</t>
  </si>
  <si>
    <t xml:space="preserve">lev1</t>
  </si>
  <si>
    <t xml:space="preserve">1,</t>
  </si>
  <si>
    <t xml:space="preserve">DMU (Cheap)</t>
  </si>
  <si>
    <t xml:space="preserve">One of a number of prototype vehicles built for the project that eventually delivered the Pacer family, Leyland’s attempt to reuse as many bus components as possible is on full display in the LEV1.</t>
  </si>
  <si>
    <t xml:space="preserve">Leyland Class 141 "Pacer"</t>
  </si>
  <si>
    <t xml:space="preserve">class_141</t>
  </si>
  <si>
    <t xml:space="preserve">pacer,pacer_rear</t>
  </si>
  <si>
    <t xml:space="preserve">pacer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</si>
  <si>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</si>
  <si>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</si>
  <si>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</si>
  <si>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</si>
  <si>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</si>
  <si>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</si>
  <si>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</si>
  <si>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</si>
  <si>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</si>
  <si>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A class of 2 prototype DMUs built to compete for the contract that became the Class 150 fleet purchase. These units suffered with gearbox issues and the BREL type won the contest instead.</t>
  </si>
  <si>
    <t xml:space="preserve">Leyland/Hunslet Class 153 "Super Sprinter" </t>
  </si>
  <si>
    <t xml:space="preserve">class_153</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</si>
  <si>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</si>
  <si>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</si>
  <si>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</si>
  <si>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</si>
  <si>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</si>
  <si>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concept_trains</t>
  </si>
  <si>
    <t xml:space="preserve">What if the class 153s were converted for parcels service rather than passenger use? This preceds the later use of the 153 as supplementary bike carriages or ‘active travel’ vehicles.</t>
  </si>
  <si>
    <t xml:space="preserve">Metro-Cammell Class 156 "Super Sprinter"</t>
  </si>
  <si>
    <t xml:space="preserve">super_sprinter</t>
  </si>
  <si>
    <t xml:space="preserve">super_sprinter,super_sprinter_rear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</si>
  <si>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</si>
  <si>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</si>
  <si>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</si>
  <si>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</si>
  <si>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</si>
  <si>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</si>
  <si>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</si>
  <si>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</si>
  <si>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0,1,0</t>
  </si>
  <si>
    <t xml:space="preserve">BREL Class 158/156 "Sprinter"</t>
  </si>
  <si>
    <t xml:space="preserve">sprinter_hybrid</t>
  </si>
  <si>
    <t xml:space="preserve">express_sprinter,super_sprinter_rear</t>
  </si>
  <si>
    <t xml:space="preserve">When both Class 158 and Class 156 vehicles are unavailable, it’s possible to run hybrid units of the type, and these have been documented in passenger service on many occasions.</t>
  </si>
  <si>
    <t xml:space="preserve">Bombardier Class 170 "Turbostar"</t>
  </si>
  <si>
    <t xml:space="preserve">class_170</t>
  </si>
  <si>
    <t xml:space="preserve">turbostar,turbostar_rear</t>
  </si>
  <si>
    <t xml:space="preserve">turbostar</t>
  </si>
  <si>
    <t xml:space="preserve">The Turbostar is a further development of the BR "Networker" units. It is used for regional and long distance services.</t>
  </si>
  <si>
    <t xml:space="preserve">class_170_3car</t>
  </si>
  <si>
    <t xml:space="preserve">turbostar,turbostar_mid,turbostar_rear</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</si>
  <si>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</si>
  <si>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</si>
  <si>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</si>
  <si>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</si>
  <si>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</si>
  <si>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</si>
  <si>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</si>
  <si>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</si>
  <si>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</si>
  <si>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</si>
  <si>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</si>
  <si>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</si>
  <si>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</si>
  <si>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</si>
  <si>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</si>
  <si>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</si>
  <si>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</si>
  <si>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</si>
  <si>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</si>
  <si>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</si>
  <si>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</si>
  <si>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</si>
  <si>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</si>
  <si>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</si>
  <si>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</si>
  <si>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</si>
  <si>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</si>
  <si>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</si>
  <si>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</si>
  <si>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</si>
  <si>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</si>
  <si>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</si>
  <si>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</si>
  <si>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</si>
  <si>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</si>
  <si>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</si>
  <si>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</si>
  <si>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</si>
  <si>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</si>
  <si>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</si>
  <si>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</si>
  <si>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</si>
  <si>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</si>
  <si>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</si>
  <si>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</si>
  <si>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</si>
  <si>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</si>
  <si>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</si>
  <si>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</si>
  <si>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</si>
  <si>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</si>
  <si>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</si>
  <si>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</si>
  <si>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</si>
  <si>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</si>
  <si>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</si>
  <si>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</si>
  <si>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</si>
  <si>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</si>
  <si>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</si>
  <si>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</si>
  <si>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</si>
  <si>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</si>
  <si>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</si>
  <si>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</si>
  <si>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</si>
  <si>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</si>
  <si>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</si>
  <si>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</si>
  <si>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</si>
  <si>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</si>
  <si>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</si>
  <si>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</si>
  <si>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</si>
  <si>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</si>
  <si>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DUAL_POWER</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</si>
  <si>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</si>
  <si>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</si>
  <si>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</si>
  <si>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</si>
  <si>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</si>
  <si>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</si>
  <si>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</si>
  <si>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</si>
  <si>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</si>
  <si>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</si>
  <si>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</si>
  <si>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</si>
  <si>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</si>
  <si>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</si>
  <si>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</si>
  <si>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</si>
  <si>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</si>
  <si>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</si>
  <si>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</si>
  <si>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</si>
  <si>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</si>
  <si>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</si>
  <si>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</si>
  <si>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</si>
  <si>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</si>
  <si>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</si>
  <si>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</si>
  <si>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</si>
  <si>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</si>
  <si>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</si>
  <si>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</si>
  <si>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</si>
  <si>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</si>
  <si>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</si>
  <si>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</si>
  <si>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</si>
  <si>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</si>
  <si>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</si>
  <si>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</si>
  <si>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</si>
  <si>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</si>
  <si>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</si>
  <si>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</si>
  <si>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</si>
  <si>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</si>
  <si>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</si>
  <si>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</si>
  <si>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</si>
  <si>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</si>
  <si>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</si>
  <si>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</si>
  <si>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</si>
  <si>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</si>
  <si>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</si>
  <si>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</si>
  <si>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</si>
  <si>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</si>
  <si>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</si>
  <si>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</si>
  <si>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</si>
  <si>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</si>
  <si>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</si>
  <si>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</si>
  <si>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</si>
  <si>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</si>
  <si>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</si>
  <si>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</si>
  <si>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</si>
  <si>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</si>
  <si>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</si>
  <si>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</si>
  <si>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</si>
  <si>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</si>
  <si>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</si>
  <si>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</si>
  <si>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</si>
  <si>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</si>
  <si>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</si>
  <si>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</si>
  <si>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</si>
  <si>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</si>
  <si>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</si>
  <si>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</si>
  <si>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</si>
  <si>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</si>
  <si>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</si>
  <si>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</si>
  <si>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</si>
  <si>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</si>
  <si>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</si>
  <si>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</si>
  <si>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</si>
  <si>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</si>
  <si>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</si>
  <si>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</si>
  <si>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</si>
  <si>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</si>
  <si>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</si>
  <si>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</si>
  <si>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</si>
  <si>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</si>
  <si>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</si>
  <si>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</si>
  <si>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</si>
  <si>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</si>
  <si>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</si>
  <si>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</si>
  <si>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</si>
  <si>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</si>
  <si>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</si>
  <si>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Hitachi Class 801/1 "Azuma"</t>
  </si>
  <si>
    <t xml:space="preserve">class_801_5</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</si>
  <si>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</si>
  <si>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</si>
  <si>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</si>
  <si>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Hitachi Class 802/0 "IET"</t>
  </si>
  <si>
    <t xml:space="preserve">class_802_5</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</si>
  <si>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</si>
  <si>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</si>
  <si>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</si>
  <si>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</si>
  <si>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</si>
  <si>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</si>
  <si>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</si>
  <si>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</si>
  <si>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</si>
  <si>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</si>
  <si>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</si>
  <si>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</si>
  <si>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</si>
  <si>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</si>
  <si>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</si>
  <si>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</si>
  <si>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</si>
  <si>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</si>
  <si>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</si>
  <si>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</si>
  <si>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</si>
  <si>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</si>
  <si>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</si>
  <si>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</si>
  <si>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</si>
  <si>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</si>
  <si>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</si>
  <si>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</si>
  <si>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</si>
  <si>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</si>
  <si>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</si>
  <si>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</si>
  <si>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</si>
  <si>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</si>
  <si>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</si>
  <si>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</si>
  <si>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</si>
  <si>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</si>
  <si>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</si>
  <si>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</si>
  <si>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</si>
  <si>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</si>
  <si>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</si>
  <si>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</si>
  <si>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</si>
  <si>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</si>
  <si>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</si>
  <si>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</si>
  <si>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</si>
  <si>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</si>
  <si>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</si>
  <si>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</si>
  <si>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</si>
  <si>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</si>
  <si>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</si>
  <si>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</si>
  <si>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</si>
  <si>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</si>
  <si>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</si>
  <si>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</si>
  <si>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</si>
  <si>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</si>
  <si>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</si>
  <si>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</si>
  <si>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</si>
  <si>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</si>
  <si>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</si>
  <si>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</si>
  <si>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</si>
  <si>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Van</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</si>
  <si>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</si>
  <si>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</si>
  <si>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</si>
  <si>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</si>
  <si>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</si>
  <si>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</si>
  <si>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</si>
  <si>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</si>
  <si>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</si>
  <si>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</si>
  <si>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</si>
  <si>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Bolster</t>
  </si>
  <si>
    <t xml:space="preserve">WOOD</t>
  </si>
  <si>
    <t xml:space="preserve">Flat Wagon</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</si>
  <si>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</si>
  <si>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</si>
  <si>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</si>
  <si>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</si>
  <si>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</si>
  <si>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</si>
  <si>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</si>
  <si>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</si>
  <si>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</si>
  <si>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</si>
  <si>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</si>
  <si>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</si>
  <si>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</si>
  <si>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</si>
  <si>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These two-axle baggage cars were a fixture of the night ferry service, running with the sleeping cars on the 11 hour schedule from London to Paris.</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</si>
  <si>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</si>
  <si>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</si>
  <si>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</si>
  <si>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</si>
  <si>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</si>
  <si>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</si>
  <si>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</si>
  <si>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</si>
  <si>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</si>
  <si>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</si>
  <si>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</si>
  <si>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</si>
  <si>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</si>
  <si>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</si>
  <si>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</si>
  <si>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</si>
  <si>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</si>
  <si>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</si>
  <si>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</si>
  <si>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</si>
  <si>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</si>
  <si>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</si>
  <si>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</si>
  <si>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</si>
  <si>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</si>
  <si>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</si>
  <si>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</si>
  <si>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</si>
  <si>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</si>
  <si>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</si>
  <si>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</si>
  <si>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</si>
  <si>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</si>
  <si>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</si>
  <si>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</si>
  <si>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</si>
  <si>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</si>
  <si>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</si>
  <si>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</si>
  <si>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</si>
  <si>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</si>
  <si>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</si>
  <si>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</si>
  <si>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</si>
  <si>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</si>
  <si>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</si>
  <si>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</si>
  <si>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</si>
  <si>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</si>
  <si>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</si>
  <si>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</si>
  <si>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</si>
  <si>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</si>
  <si>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</si>
  <si>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</si>
  <si>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</si>
  <si>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</si>
  <si>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</si>
  <si>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</si>
  <si>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</si>
  <si>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</si>
  <si>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</si>
  <si>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LU</t>
  </si>
  <si>
    <t xml:space="preserve">Open Wagon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</si>
  <si>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</si>
  <si>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</si>
  <si>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</si>
  <si>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</si>
  <si>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</si>
  <si>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</si>
  <si>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</si>
  <si>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</si>
  <si>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</si>
  <si>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</si>
  <si>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</si>
  <si>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</si>
  <si>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</si>
  <si>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</si>
  <si>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</si>
  <si>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</si>
  <si>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</si>
  <si>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</si>
  <si>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</si>
  <si>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</si>
  <si>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</si>
  <si>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</si>
  <si>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</si>
  <si>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</si>
  <si>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</si>
  <si>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</si>
  <si>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</si>
  <si>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</si>
  <si>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</si>
  <si>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</si>
  <si>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</si>
  <si>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</si>
  <si>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</si>
  <si>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</si>
  <si>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</si>
  <si>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</si>
  <si>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</si>
  <si>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</si>
  <si>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</si>
  <si>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</si>
  <si>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</si>
  <si>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</si>
  <si>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</si>
  <si>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</si>
  <si>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</si>
  <si>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</si>
  <si>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</si>
  <si>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</si>
  <si>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</si>
  <si>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</si>
  <si>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</si>
  <si>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</si>
  <si>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</si>
  <si>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</si>
  <si>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</si>
  <si>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</si>
  <si>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</si>
  <si>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</si>
  <si>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</si>
  <si>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</si>
  <si>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</si>
  <si>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</si>
  <si>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</si>
  <si>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</si>
  <si>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</si>
  <si>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</si>
  <si>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</si>
  <si>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</si>
  <si>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</si>
  <si>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</si>
  <si>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</si>
  <si>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</si>
  <si>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</si>
  <si>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</si>
  <si>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</si>
  <si>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</si>
  <si>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</si>
  <si>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</si>
  <si>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</si>
  <si>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</si>
  <si>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</si>
  <si>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</si>
  <si>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</si>
  <si>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</si>
  <si>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</si>
  <si>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</si>
  <si>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</si>
  <si>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</si>
  <si>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</si>
  <si>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</si>
  <si>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</si>
  <si>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</si>
  <si>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</si>
  <si>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</si>
  <si>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</si>
  <si>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</si>
  <si>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</si>
  <si>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</si>
  <si>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</si>
  <si>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</si>
  <si>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</si>
  <si>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</si>
  <si>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</si>
  <si>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</si>
  <si>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</si>
  <si>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</si>
  <si>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</si>
  <si>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</si>
  <si>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</si>
  <si>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</si>
  <si>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</si>
  <si>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</si>
  <si>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</si>
  <si>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</si>
  <si>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</si>
  <si>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</si>
  <si>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</si>
  <si>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</si>
  <si>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</si>
  <si>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</si>
  <si>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</si>
  <si>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</si>
  <si>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</si>
  <si>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</si>
  <si>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</si>
  <si>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</si>
  <si>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</si>
  <si>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</si>
  <si>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</si>
  <si>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</si>
  <si>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</si>
  <si>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</si>
  <si>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</si>
  <si>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</si>
  <si>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</si>
  <si>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</si>
  <si>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</si>
  <si>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</si>
  <si>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</si>
  <si>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</si>
  <si>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</si>
  <si>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</si>
  <si>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</si>
  <si>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</si>
  <si>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</si>
  <si>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</si>
  <si>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</si>
  <si>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</si>
  <si>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</si>
  <si>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</si>
  <si>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</si>
  <si>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</si>
  <si>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</si>
  <si>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</si>
  <si>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</si>
  <si>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Sprinters</t>
  </si>
  <si>
    <t xml:space="preserve">IETs</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</si>
  <si>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</si>
  <si>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</si>
  <si>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</si>
  <si>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</si>
  <si>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</si>
  <si>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</si>
  <si>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</si>
  <si>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</si>
  <si>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</si>
  <si>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</si>
  <si>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</si>
  <si>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</si>
  <si>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</si>
  <si>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</si>
  <si>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</si>
  <si>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</si>
  <si>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</si>
  <si>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</si>
  <si>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</si>
  <si>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</si>
  <si>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</si>
  <si>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</si>
  <si>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</si>
  <si>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</si>
  <si>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</si>
  <si>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</si>
  <si>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</si>
  <si>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</si>
  <si>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</si>
  <si>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</si>
  <si>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</si>
  <si>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</si>
  <si>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</si>
  <si>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</si>
  <si>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</si>
  <si>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What if the Class 442 had a dual-voltage conversion to allow through-running expresses and an end to 3rd rail power supply?</t>
  </si>
  <si>
    <t xml:space="preserve">Total Result</t>
  </si>
</sst>
</file>

<file path=xl/styles.xml><?xml version="1.0" encoding="utf-8"?>
<styleSheet xmlns="http://schemas.openxmlformats.org/spreadsheetml/2006/main">
  <numFmts count="5">
    <numFmt numFmtId="164" formatCode="General"/>
    <numFmt numFmtId="165" formatCode="0.00"/>
    <numFmt numFmtId="166" formatCode="\£#,##0"/>
    <numFmt numFmtId="167" formatCode="0"/>
    <numFmt numFmtId="168"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vertAlign val="superscript"/>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62">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22">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Relationship Id="rId14"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1">
          <cell r="I1" t="str">
            <v>Type</v>
          </cell>
        </row>
        <row r="1">
          <cell r="M1" t="str">
            <v>power_type</v>
          </cell>
        </row>
        <row r="2">
          <cell r="A2">
            <v>0</v>
          </cell>
          <cell r="B2" t="str">
            <v>na</v>
          </cell>
        </row>
        <row r="2">
          <cell r="G2">
            <v>5</v>
          </cell>
        </row>
        <row r="2">
          <cell r="I2" t="str">
            <v>diesel</v>
          </cell>
        </row>
        <row r="2">
          <cell r="M2" t="str">
            <v>diesel_RAIL</v>
          </cell>
        </row>
        <row r="3">
          <cell r="A3">
            <v>3</v>
          </cell>
          <cell r="B3" t="str">
            <v>1,1,1</v>
          </cell>
          <cell r="C3" t="str">
            <v>1,1,1</v>
          </cell>
        </row>
        <row r="3">
          <cell r="I3" t="str">
            <v>electric</v>
          </cell>
        </row>
        <row r="3">
          <cell r="M3" t="str">
            <v>steam_RAIL</v>
          </cell>
        </row>
        <row r="4">
          <cell r="A4">
            <v>4</v>
          </cell>
          <cell r="B4" t="str">
            <v>1,2,1</v>
          </cell>
          <cell r="C4" t="str">
            <v>1,2,1</v>
          </cell>
        </row>
        <row r="4">
          <cell r="I4" t="str">
            <v>steam</v>
          </cell>
        </row>
        <row r="4">
          <cell r="M4" t="str">
            <v>electric_ELRL</v>
          </cell>
        </row>
        <row r="5">
          <cell r="A5">
            <v>5</v>
          </cell>
          <cell r="B5" t="str">
            <v>2,1,2</v>
          </cell>
          <cell r="C5" t="str">
            <v>2,1,2</v>
          </cell>
        </row>
        <row r="5">
          <cell r="I5" t="str">
            <v>dual_power</v>
          </cell>
        </row>
        <row r="5">
          <cell r="M5" t="str">
            <v>electric_THIRD_RAIL</v>
          </cell>
        </row>
        <row r="6">
          <cell r="A6">
            <v>6</v>
          </cell>
          <cell r="B6" t="str">
            <v>2,2,2</v>
          </cell>
          <cell r="C6" t="str">
            <v>2,2,2</v>
          </cell>
        </row>
        <row r="6">
          <cell r="I6" t="str">
            <v>dual_electric</v>
          </cell>
        </row>
        <row r="6">
          <cell r="M6" t="str">
            <v>tender_RAIL</v>
          </cell>
        </row>
        <row r="7">
          <cell r="A7">
            <v>7</v>
          </cell>
          <cell r="B7" t="str">
            <v>2,3,2</v>
          </cell>
          <cell r="C7" t="str">
            <v>2,3,2</v>
          </cell>
        </row>
        <row r="7">
          <cell r="I7" t="str">
            <v>carriage</v>
          </cell>
        </row>
        <row r="7">
          <cell r="M7" t="str">
            <v>carriage_RAIL</v>
          </cell>
        </row>
        <row r="8">
          <cell r="A8">
            <v>8</v>
          </cell>
          <cell r="B8" t="str">
            <v>2,4,2</v>
          </cell>
          <cell r="C8" t="str">
            <v>2,4,2</v>
          </cell>
        </row>
        <row r="8">
          <cell r="I8" t="str">
            <v>luxury_carriage</v>
          </cell>
        </row>
        <row r="8">
          <cell r="M8" t="str">
            <v>luxury_carriage_RAIL</v>
          </cell>
        </row>
        <row r="9">
          <cell r="A9">
            <v>9</v>
          </cell>
          <cell r="B9" t="str">
            <v>2,5,2</v>
          </cell>
          <cell r="C9" t="str">
            <v>2,5,2</v>
          </cell>
        </row>
        <row r="9">
          <cell r="I9" t="str">
            <v>wagon</v>
          </cell>
        </row>
        <row r="9">
          <cell r="M9" t="str">
            <v>wagon_RAIL</v>
          </cell>
        </row>
        <row r="10">
          <cell r="A10">
            <v>10</v>
          </cell>
          <cell r="B10" t="str">
            <v>4,2,4</v>
          </cell>
          <cell r="C10" t="str">
            <v>4,2,4</v>
          </cell>
        </row>
        <row r="10">
          <cell r="I10" t="str">
            <v>brake</v>
          </cell>
        </row>
        <row r="10">
          <cell r="M10" t="str">
            <v>steam_NGRL</v>
          </cell>
        </row>
        <row r="11">
          <cell r="A11">
            <v>11</v>
          </cell>
          <cell r="B11" t="str">
            <v>4,3,4</v>
          </cell>
          <cell r="C11" t="str">
            <v>4,3,4</v>
          </cell>
        </row>
        <row r="11">
          <cell r="I11" t="str">
            <v>tube</v>
          </cell>
        </row>
        <row r="11">
          <cell r="M11" t="str">
            <v>dual_power_RAIL</v>
          </cell>
        </row>
        <row r="12">
          <cell r="A12">
            <v>12</v>
          </cell>
          <cell r="B12" t="str">
            <v>4,4,4</v>
          </cell>
          <cell r="C12" t="str">
            <v>4,4,4</v>
          </cell>
        </row>
        <row r="12">
          <cell r="I12" t="str">
            <v>tender</v>
          </cell>
        </row>
        <row r="12">
          <cell r="M12" t="str">
            <v>dual_electric_DUAL_POWER</v>
          </cell>
        </row>
        <row r="13">
          <cell r="A13">
            <v>13</v>
          </cell>
          <cell r="B13" t="str">
            <v>4,5,4</v>
          </cell>
          <cell r="C13" t="str">
            <v>4,5,4</v>
          </cell>
        </row>
        <row r="13">
          <cell r="I13" t="str">
            <v>petrol</v>
          </cell>
        </row>
        <row r="13">
          <cell r="M13" t="str">
            <v>brake_RAIL</v>
          </cell>
        </row>
        <row r="14">
          <cell r="A14">
            <v>14</v>
          </cell>
          <cell r="B14" t="str">
            <v>4,6,4</v>
          </cell>
          <cell r="C14" t="str">
            <v>4,6,4</v>
          </cell>
        </row>
        <row r="14">
          <cell r="I14" t="str">
            <v>lpgflywheel</v>
          </cell>
        </row>
        <row r="14">
          <cell r="M14" t="str">
            <v>tube_RAIL</v>
          </cell>
        </row>
        <row r="15">
          <cell r="A15">
            <v>15</v>
          </cell>
          <cell r="B15" t="str">
            <v>4,7,4</v>
          </cell>
          <cell r="C15" t="str">
            <v>4,7,4</v>
          </cell>
        </row>
        <row r="15">
          <cell r="I15" t="str">
            <v>horses</v>
          </cell>
        </row>
        <row r="15">
          <cell r="M15" t="str">
            <v>_</v>
          </cell>
        </row>
        <row r="16">
          <cell r="A16">
            <v>16</v>
          </cell>
          <cell r="B16" t="str">
            <v>4,8,4</v>
          </cell>
          <cell r="C16" t="str">
            <v>4,8,4</v>
          </cell>
        </row>
        <row r="16">
          <cell r="I16" t="str">
            <v>none</v>
          </cell>
        </row>
        <row r="16">
          <cell r="M16" t="str">
            <v>petrol_RAIL</v>
          </cell>
        </row>
        <row r="17">
          <cell r="I17" t="str">
            <v>gas_turbine</v>
          </cell>
        </row>
        <row r="17">
          <cell r="M17" t="str">
            <v>dual_power_ELRL</v>
          </cell>
        </row>
        <row r="18">
          <cell r="I18" t="str">
            <v>Running cost factor</v>
          </cell>
        </row>
        <row r="18">
          <cell r="M18" t="str">
            <v>lpgflywheel_RAIL</v>
          </cell>
        </row>
        <row r="19">
          <cell r="I19">
            <v>1</v>
          </cell>
        </row>
        <row r="19">
          <cell r="M19" t="str">
            <v>wagon_PLATEWAY</v>
          </cell>
        </row>
        <row r="20">
          <cell r="I20">
            <v>0.85</v>
          </cell>
        </row>
        <row r="20">
          <cell r="M20" t="str">
            <v>steam_PLATEWAY</v>
          </cell>
        </row>
        <row r="21">
          <cell r="I21">
            <v>1.15</v>
          </cell>
        </row>
        <row r="21">
          <cell r="M21" t="str">
            <v>carriage_PLATEWAY</v>
          </cell>
        </row>
        <row r="22">
          <cell r="I22">
            <v>0.9</v>
          </cell>
        </row>
        <row r="22">
          <cell r="M22" t="str">
            <v>horses_PLATEWAY</v>
          </cell>
        </row>
        <row r="23">
          <cell r="I23">
            <v>0.85</v>
          </cell>
        </row>
        <row r="23">
          <cell r="M23" t="str">
            <v>tube_FOURTH_RAIL</v>
          </cell>
        </row>
        <row r="24">
          <cell r="I24">
            <v>1.2</v>
          </cell>
        </row>
        <row r="24">
          <cell r="M24" t="str">
            <v>brake_PLATEWAY</v>
          </cell>
        </row>
        <row r="25">
          <cell r="I25">
            <v>1.5</v>
          </cell>
        </row>
        <row r="25">
          <cell r="M25" t="str">
            <v>carriage_FOURTH_RAIL</v>
          </cell>
        </row>
        <row r="26">
          <cell r="I26">
            <v>1</v>
          </cell>
        </row>
        <row r="26">
          <cell r="M26" t="str">
            <v>none_RAIL</v>
          </cell>
        </row>
        <row r="27">
          <cell r="I27">
            <v>1</v>
          </cell>
        </row>
        <row r="27">
          <cell r="M27" t="str">
            <v>gas_turbine_RAIL</v>
          </cell>
        </row>
        <row r="28">
          <cell r="I28">
            <v>0.9</v>
          </cell>
        </row>
        <row r="28">
          <cell r="M28" t="str">
            <v>dual_power_BATTERY</v>
          </cell>
        </row>
        <row r="29">
          <cell r="I29">
            <v>0</v>
          </cell>
        </row>
        <row r="29">
          <cell r="M29" t="str">
            <v>power_desc</v>
          </cell>
        </row>
        <row r="30">
          <cell r="I30">
            <v>1.05</v>
          </cell>
        </row>
        <row r="30">
          <cell r="M30" t="str">
            <v>{BLACK}Powered by: {GOLD}Diesel</v>
          </cell>
        </row>
        <row r="31">
          <cell r="I31">
            <v>0.98</v>
          </cell>
        </row>
        <row r="31">
          <cell r="M31" t="str">
            <v>{BLACK}Powered by: {GOLD}Steam</v>
          </cell>
        </row>
        <row r="32">
          <cell r="I32">
            <v>0.5</v>
          </cell>
        </row>
        <row r="32">
          <cell r="M32" t="str">
            <v>{BLACK}Powered by: {GOLD}25kV AC</v>
          </cell>
        </row>
        <row r="33">
          <cell r="I33">
            <v>0.85</v>
          </cell>
        </row>
        <row r="33">
          <cell r="M33" t="str">
            <v>{BLACK}Powered by: {GOLD}750V DC</v>
          </cell>
        </row>
        <row r="34">
          <cell r="I34">
            <v>1</v>
          </cell>
        </row>
        <row r="35">
          <cell r="I35" t="str">
            <v>Purchase cost factor</v>
          </cell>
        </row>
        <row r="36">
          <cell r="I36">
            <v>2</v>
          </cell>
        </row>
        <row r="37">
          <cell r="I37">
            <v>2.3</v>
          </cell>
        </row>
        <row r="38">
          <cell r="I38">
            <v>1.7</v>
          </cell>
        </row>
        <row r="39">
          <cell r="I39">
            <v>2.5</v>
          </cell>
        </row>
        <row r="39">
          <cell r="M39" t="str">
            <v>{BLACK}Powered by: {GOLD}750V DC / Diesel</v>
          </cell>
        </row>
        <row r="40">
          <cell r="I40">
            <v>2.4</v>
          </cell>
        </row>
        <row r="40">
          <cell r="M40" t="str">
            <v>{BLACK}Powered by: {GOLD}25kV AC / 750V DC</v>
          </cell>
        </row>
        <row r="41">
          <cell r="I41">
            <v>0.6</v>
          </cell>
        </row>
        <row r="42">
          <cell r="I42">
            <v>0.7</v>
          </cell>
        </row>
        <row r="43">
          <cell r="I43">
            <v>0.45</v>
          </cell>
        </row>
        <row r="44">
          <cell r="I44">
            <v>0.4</v>
          </cell>
        </row>
        <row r="44">
          <cell r="M44" t="str">
            <v>{BLACK}Powered by: {GOLD}Petrol</v>
          </cell>
        </row>
        <row r="45">
          <cell r="I45">
            <v>1.6</v>
          </cell>
        </row>
        <row r="45">
          <cell r="M45" t="str">
            <v>{BLACK}Powered by: {GOLD}25kV AC / Diesel</v>
          </cell>
        </row>
        <row r="46">
          <cell r="I46">
            <v>0</v>
          </cell>
        </row>
        <row r="46">
          <cell r="M46" t="str">
            <v>{BLACK}Powered by: {GOLD}LPG / Flywheel</v>
          </cell>
        </row>
        <row r="47">
          <cell r="I47">
            <v>1.9</v>
          </cell>
        </row>
        <row r="48">
          <cell r="I48">
            <v>1.88</v>
          </cell>
        </row>
        <row r="48">
          <cell r="M48" t="str">
            <v>{BLACK}Powered by: {GOLD}Steam</v>
          </cell>
        </row>
        <row r="49">
          <cell r="I49">
            <v>0.5</v>
          </cell>
        </row>
        <row r="50">
          <cell r="I50">
            <v>2.3</v>
          </cell>
        </row>
        <row r="50">
          <cell r="M50" t="str">
            <v>{BLACK}Powered by: {GOLD}Grass and hay</v>
          </cell>
        </row>
        <row r="51">
          <cell r="I51">
            <v>2</v>
          </cell>
        </row>
        <row r="51">
          <cell r="M51" t="str">
            <v>{BLACK}Powered by: {GOLD}630V DC</v>
          </cell>
        </row>
        <row r="55">
          <cell r="M55" t="str">
            <v>{BLACK}Powered by: {GOLD}Gas Turbine</v>
          </cell>
        </row>
        <row r="56">
          <cell r="M56" t="str">
            <v>{BLACK}Powered by: {GOLD}750V DC / Battery</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Set>
  </externalBook>
</externalLink>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115" createdVersion="3">
  <cacheSource type="worksheet">
    <worksheetSource ref="A1:CI122" sheet="Table"/>
  </cacheSource>
  <cacheFields count="87">
    <cacheField name="name" numFmtId="0">
      <sharedItems count="107">
        <s v="“Grainflow” Covered Hopper"/>
        <s v="“Polybulk” Covered Hopper"/>
        <s v="“Presflo” Powder Hopper"/>
        <s v="Alstom Class 458/5 &quot;5JUP&quot;"/>
        <s v="Bombardier Class 170 &quot;Turbostar&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VIX Ferry Van"/>
        <s v="BR XMA Cartic-4"/>
        <s v="BREL &quot;APT-S&quot; Trailer Rake (10 cars)"/>
        <s v="BREL &quot;APT-S&quot; Trailer Rake (6 cars)"/>
        <s v="BREL APT-S Driving Motor"/>
        <s v="BREL APT-S/Q Driving Van Trailer"/>
        <s v="BREL Class 150 &quot;Sprinter&quot;"/>
        <s v="BREL Class 158 &quot;Express Sprinter&quot;"/>
        <s v="BREL Class 158/156 &quot;Sprinter&quot;"/>
        <s v="BREL Class 210 (3 car)"/>
        <s v="BREL Class 210 (4 car)"/>
        <s v="BREL Class 365 &quot;Networker Express&quot;"/>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42 &quot;Wessex Electric&quot;"/>
        <s v="BREL Class 442/8 &quot;Wessex Electric&quot;"/>
        <s v="BREL Class 465 &quot;Networker&quot;"/>
        <s v="BREL Class 466 “Networker”"/>
        <s v="BREL Class 88"/>
        <s v="BREL E-HST"/>
        <s v="CAF Mk5 Sleeper (Berths)"/>
        <s v="CAF Mk5 Sleeper (Club Car)"/>
        <s v="CAF Mk5 Sleeper (Seated)"/>
        <s v="Cargowaggon IGA Flat Wagon"/>
        <s v="Cargowaggon IWB Van"/>
        <s v="Cargowaggon IZA Twin Van"/>
        <s v="CIWL Fourgon Baggage Car"/>
        <s v="CIWL Type F Sleeping Car"/>
        <s v="EE Class 37/6 &quot;Tractor&quot;"/>
        <s v="EPS “Nightstar” Generator Car"/>
        <s v="EPS “Nightstar” Generator Car (Alternate Livery)"/>
        <s v="EPS “Nightstar” Sleeper (7 Car)"/>
        <s v="EPS “Nightstar” Sleeper (8 Car)"/>
        <s v="GEC-Alsthom Class 373 &quot;Eurostar&quot;"/>
        <s v="GEC-Alsthom Class 373 &quot;Eurostar&quot; (e300 Livery)"/>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 Class 141 &quot;Pacer&quot;"/>
        <s v="Leyland LEV1"/>
        <s v="Leyland/Hunslet Class 153 &quot;Mail Sprinter&quot; "/>
        <s v="Leyland/Hunslet Class 153 &quot;Super Sprinter&quot; "/>
        <s v="LMS Brake Van"/>
        <s v="LMS Grain Hopper"/>
        <s v="LNWR Sleeping Car"/>
        <s v="MC Class 251 &quot;Blue Pullman&quot; "/>
        <s v="Metro-Cammell Class 151"/>
        <s v="Metro-Cammell Class 156 &quot;Super Sprinter&quot;"/>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115">
        <s v="apt_half_2"/>
        <s v="apt_half_2_rev"/>
        <s v="apt_half_6"/>
        <s v="apt_half_6_rev"/>
        <s v="apt_powercar"/>
        <s v="apt_q_dvt"/>
        <s v="apt_s_10"/>
        <s v="apt_s_6"/>
        <s v="apt_s_dm"/>
        <s v="blue_pullman_midland"/>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gowaggon_iga"/>
        <s v="cargowaggon_iwb"/>
        <s v="cargowaggon_iza"/>
        <s v="cartic4"/>
        <s v="class_141"/>
        <s v="class_150"/>
        <s v="class_151"/>
        <s v="class_153"/>
        <s v="class_153_mail"/>
        <s v="class_170"/>
        <s v="class_170_3car"/>
        <s v="class_201_4car"/>
        <s v="class_201_6car"/>
        <s v="class_205_2car"/>
        <s v="class_205_3car"/>
        <s v="class_210_3car"/>
        <s v="class_210_4car"/>
        <s v="class_302_4car"/>
        <s v="class_302_parcels"/>
        <s v="class_309_2_4car_buf"/>
        <s v="class_309_2car"/>
        <s v="class_309_3_4car"/>
        <s v="class_365"/>
        <s v="class_374_12car"/>
        <s v="class_374_16car"/>
        <s v="class_458_5"/>
        <s v="class_465"/>
        <s v="class_466"/>
        <s v="class_717_city"/>
        <s v="class_745"/>
        <s v="class_810_aurora"/>
        <s v="eps_class_37_6"/>
        <s v="eurostar"/>
        <s v="eurostar_3cap"/>
        <s v="eurostar_nol"/>
        <s v="eurostar_nol_new"/>
        <s v="express_sprinter_2car"/>
        <s v="express_sprinter_3car"/>
        <s v="grainflow"/>
        <s v="jpa_tanker"/>
        <s v="lbscr_cp_emu_2"/>
        <s v="lbscr_cp_emu_3"/>
        <s v="lbscr_cp_emu_4"/>
        <s v="lbscr_cp_emu_5"/>
        <s v="lbscr_cp_emu_6"/>
        <s v="lbscr_cw_emu"/>
        <s v="lbscr_emu_mlv"/>
        <s v="lev1"/>
        <s v="lms_grain_hopper"/>
        <s v="mail_coach_ciwl"/>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ciwl_sleepe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 v="sprinter_hybrid"/>
        <s v="super_sprinter"/>
        <s v="vix_van"/>
        <s v="wessex_electric"/>
        <s v="wessex_electric_dc"/>
      </sharedItems>
    </cacheField>
    <cacheField name="numeric_id" numFmtId="0">
      <sharedItems containsSemiMixedTypes="0" containsString="0" containsNumber="1" containsInteger="1" minValue="10" maxValue="11375" count="115">
        <n v="10"/>
        <n v="11"/>
        <n v="12"/>
        <n v="13"/>
        <n v="14"/>
        <n v="15"/>
        <n v="16"/>
        <n v="17"/>
        <n v="18"/>
        <n v="19"/>
        <n v="20"/>
        <n v="21"/>
        <n v="22"/>
        <n v="23"/>
        <n v="25"/>
        <n v="26"/>
        <n v="27"/>
        <n v="32"/>
        <n v="33"/>
        <n v="35"/>
        <n v="36"/>
        <n v="37"/>
        <n v="40"/>
        <n v="41"/>
        <n v="85"/>
        <n v="86"/>
        <n v="96"/>
        <n v="97"/>
        <n v="98"/>
        <n v="99"/>
        <n v="101"/>
        <n v="102"/>
        <n v="103"/>
        <n v="105"/>
        <n v="106"/>
        <n v="107"/>
        <n v="108"/>
        <n v="109"/>
        <n v="110"/>
        <n v="120"/>
        <n v="121"/>
        <n v="122"/>
        <n v="123"/>
        <n v="149"/>
        <n v="150"/>
        <n v="151"/>
        <n v="152"/>
        <n v="153"/>
        <n v="154"/>
        <n v="156"/>
        <n v="157"/>
        <n v="158"/>
        <n v="159"/>
        <n v="160"/>
        <n v="161"/>
        <n v="201"/>
        <n v="202"/>
        <n v="205"/>
        <n v="206"/>
        <n v="210"/>
        <n v="211"/>
        <n v="251"/>
        <n v="252"/>
        <n v="302"/>
        <n v="303"/>
        <n v="309"/>
        <n v="310"/>
        <n v="311"/>
        <n v="312"/>
        <n v="370"/>
        <n v="371"/>
        <n v="372"/>
        <n v="373"/>
        <n v="374"/>
        <n v="380"/>
        <n v="382"/>
        <n v="384"/>
        <n v="386"/>
        <n v="388"/>
        <n v="390"/>
        <n v="396"/>
        <n v="400"/>
        <n v="401"/>
        <n v="402"/>
        <n v="403"/>
        <n v="408"/>
        <n v="409"/>
        <n v="410"/>
        <n v="411"/>
        <n v="419"/>
        <n v="420"/>
        <n v="422"/>
        <n v="424"/>
        <n v="440"/>
        <n v="441"/>
        <n v="442"/>
        <n v="443"/>
        <n v="464"/>
        <n v="465"/>
        <n v="471"/>
        <n v="473"/>
        <n v="484"/>
        <n v="487"/>
        <n v="488"/>
        <n v="489"/>
        <n v="490"/>
        <n v="579"/>
        <n v="580"/>
        <n v="581"/>
        <n v="582"/>
        <n v="583"/>
        <n v="1111"/>
        <n v="1112"/>
        <n v="11374"/>
        <n v="11375"/>
      </sharedItems>
    </cacheField>
    <cacheField name="variant_group" numFmtId="0">
      <sharedItems containsString="0" containsBlank="1" containsNumber="1" containsInteger="1" minValue="10" maxValue="11374" count="26">
        <n v="10"/>
        <n v="14"/>
        <n v="98"/>
        <n v="105"/>
        <n v="108"/>
        <n v="121"/>
        <n v="153"/>
        <n v="157"/>
        <n v="160"/>
        <n v="201"/>
        <n v="205"/>
        <n v="210"/>
        <n v="252"/>
        <n v="302"/>
        <n v="310"/>
        <n v="372"/>
        <n v="382"/>
        <n v="386"/>
        <n v="400"/>
        <n v="409"/>
        <n v="420"/>
        <n v="440"/>
        <n v="464"/>
        <n v="580"/>
        <n v="11374"/>
        <m/>
      </sharedItems>
    </cacheField>
    <cacheField name="sort_order" numFmtId="0">
      <sharedItems containsSemiMixedTypes="0" containsString="0" containsNumber="1" containsInteger="1" minValue="10" maxValue="1186" count="100">
        <n v="10"/>
        <n v="11"/>
        <n v="12"/>
        <n v="14"/>
        <n v="19"/>
        <n v="20"/>
        <n v="22"/>
        <n v="24"/>
        <n v="26"/>
        <n v="27"/>
        <n v="28"/>
        <n v="29"/>
        <n v="30"/>
        <n v="32"/>
        <n v="40"/>
        <n v="41"/>
        <n v="42"/>
        <n v="43"/>
        <n v="44"/>
        <n v="45"/>
        <n v="144"/>
        <n v="145"/>
        <n v="147"/>
        <n v="148"/>
        <n v="155"/>
        <n v="156"/>
        <n v="157"/>
        <n v="158"/>
        <n v="159"/>
        <n v="160"/>
        <n v="161"/>
        <n v="162"/>
        <n v="372"/>
        <n v="373"/>
        <n v="374"/>
        <n v="375"/>
        <n v="376"/>
        <n v="382"/>
        <n v="384"/>
        <n v="386"/>
        <n v="388"/>
        <n v="390"/>
        <n v="392"/>
        <n v="394"/>
        <n v="396"/>
        <n v="398"/>
        <n v="400"/>
        <n v="405"/>
        <n v="406"/>
        <n v="410"/>
        <n v="411"/>
        <n v="412"/>
        <n v="413"/>
        <n v="420"/>
        <n v="421"/>
        <n v="470"/>
        <n v="472"/>
        <n v="473"/>
        <n v="474"/>
        <n v="475"/>
        <n v="476"/>
        <n v="480"/>
        <n v="481"/>
        <n v="482"/>
        <n v="483"/>
        <n v="490"/>
        <n v="491"/>
        <n v="500"/>
        <n v="510"/>
        <n v="515"/>
        <n v="520"/>
        <n v="1020"/>
        <n v="1021"/>
        <n v="1025"/>
        <n v="1026"/>
        <n v="1027"/>
        <n v="1029"/>
        <n v="1031"/>
        <n v="1033"/>
        <n v="1035"/>
        <n v="1036"/>
        <n v="1037"/>
        <n v="1090"/>
        <n v="1091"/>
        <n v="1092"/>
        <n v="1093"/>
        <n v="1101"/>
        <n v="1102"/>
        <n v="1103"/>
        <n v="1104"/>
        <n v="1105"/>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42">
        <n v="1905"/>
        <n v="1907"/>
        <n v="1911"/>
        <n v="1924"/>
        <n v="1925"/>
        <n v="1936"/>
        <n v="1938"/>
        <n v="1955"/>
        <n v="1956"/>
        <n v="1957"/>
        <n v="1958"/>
        <n v="1959"/>
        <n v="1960"/>
        <n v="1962"/>
        <n v="1964"/>
        <n v="1966"/>
        <n v="1968"/>
        <n v="1973"/>
        <n v="1975"/>
        <n v="1977"/>
        <n v="1979"/>
        <n v="1982"/>
        <n v="1984"/>
        <n v="1985"/>
        <n v="1986"/>
        <n v="1987"/>
        <n v="1988"/>
        <n v="1989"/>
        <n v="1991"/>
        <n v="1992"/>
        <n v="1993"/>
        <n v="1994"/>
        <n v="1997"/>
        <n v="1998"/>
        <n v="1999"/>
        <n v="2003"/>
        <n v="2007"/>
        <n v="2012"/>
        <n v="2014"/>
        <n v="2018"/>
        <n v="2020"/>
        <n v="2022"/>
      </sharedItems>
    </cacheField>
    <cacheField name="end_year" numFmtId="0">
      <sharedItems containsString="0" containsBlank="1" containsNumber="1" containsInteger="1" minValue="1950" maxValue="2026" count="33">
        <n v="1950"/>
        <n v="1955"/>
        <n v="1960"/>
        <n v="1962"/>
        <n v="1965"/>
        <n v="1966"/>
        <n v="1969"/>
        <n v="1974"/>
        <n v="1975"/>
        <n v="1980"/>
        <n v="1981"/>
        <n v="1982"/>
        <n v="1983"/>
        <n v="1985"/>
        <n v="1986"/>
        <n v="1987"/>
        <n v="1988"/>
        <n v="1989"/>
        <n v="1990"/>
        <n v="1991"/>
        <n v="1992"/>
        <n v="1994"/>
        <n v="1996"/>
        <n v="1998"/>
        <n v="1999"/>
        <n v="2002"/>
        <n v="2005"/>
        <n v="2010"/>
        <n v="2012"/>
        <n v="2015"/>
        <n v="2025"/>
        <n v="2026"/>
        <m/>
      </sharedItems>
    </cacheField>
    <cacheField name="service" numFmtId="0">
      <sharedItems containsString="0" containsBlank="1" containsNumber="1" containsInteger="1" minValue="1955" maxValue="2031" count="26">
        <n v="1955"/>
        <n v="1960"/>
        <n v="1961"/>
        <n v="1966"/>
        <n v="1973"/>
        <n v="1980"/>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44">
        <n v="10"/>
        <n v="45"/>
        <n v="84"/>
        <n v="100"/>
        <n v="150"/>
        <n v="205"/>
        <n v="248"/>
        <n v="285"/>
        <n v="360"/>
        <n v="500"/>
        <n v="570"/>
        <n v="572"/>
        <n v="600"/>
        <n v="635"/>
        <n v="700"/>
        <n v="710"/>
        <n v="768"/>
        <n v="855"/>
        <n v="1000"/>
        <n v="1050"/>
        <n v="1128"/>
        <n v="1266"/>
        <n v="1500"/>
        <n v="1600"/>
        <n v="1608"/>
        <n v="1610"/>
        <n v="1684"/>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1610" maxValue="4600" count="5">
        <n v="1610"/>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88">
        <n v="6.4"/>
        <n v="7"/>
        <n v="9.7"/>
        <n v="10.1"/>
        <n v="12.4"/>
        <n v="12.9"/>
        <n v="13.4"/>
        <n v="14.8"/>
        <n v="17"/>
        <n v="19.9"/>
        <n v="20"/>
        <n v="21"/>
        <n v="22.7"/>
        <n v="24.3"/>
        <n v="25"/>
        <n v="26"/>
        <n v="27.3"/>
        <n v="33"/>
        <n v="34"/>
        <n v="35"/>
        <n v="37.5"/>
        <n v="38"/>
        <n v="38.4"/>
        <n v="39"/>
        <n v="40"/>
        <n v="40.5"/>
        <n v="41.2"/>
        <n v="43"/>
        <n v="46.1"/>
        <n v="46.2"/>
        <n v="52.5"/>
        <n v="57.5"/>
        <n v="61"/>
        <n v="62"/>
        <n v="65.6"/>
        <n v="67.5"/>
        <n v="68.5"/>
        <n v="71.5"/>
        <n v="71.6"/>
        <n v="72"/>
        <n v="74"/>
        <n v="74.6"/>
        <n v="76.8"/>
        <n v="77"/>
        <n v="78"/>
        <n v="80"/>
        <n v="87"/>
        <n v="97"/>
        <n v="99"/>
        <n v="99.5"/>
        <n v="101"/>
        <n v="102"/>
        <n v="105"/>
        <n v="109"/>
        <n v="115.5"/>
        <n v="118"/>
        <n v="120"/>
        <n v="124"/>
        <n v="127"/>
        <n v="135"/>
        <n v="136"/>
        <n v="144"/>
        <n v="152"/>
        <n v="157"/>
        <n v="160"/>
        <n v="164.8"/>
        <n v="170"/>
        <n v="171"/>
        <n v="177"/>
        <n v="180"/>
        <n v="186.5"/>
        <n v="200"/>
        <n v="202.8"/>
        <n v="204"/>
        <n v="208.8"/>
        <n v="209.6"/>
        <n v="223.8"/>
        <n v="235"/>
        <n v="238"/>
        <n v="258.2"/>
        <n v="298.4"/>
        <n v="30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8">
        <n v="5"/>
        <n v="15"/>
        <n v="40"/>
        <n v="48"/>
        <n v="55"/>
        <n v="60"/>
        <n v="70"/>
        <n v="83"/>
        <n v="85"/>
        <n v="92"/>
        <n v="95"/>
        <n v="106"/>
        <n v="110"/>
        <n v="120"/>
        <n v="130"/>
        <n v="145"/>
        <n v="155"/>
        <n v="165"/>
        <n v="180"/>
        <n v="186"/>
        <n v="190"/>
        <n v="192"/>
        <n v="195"/>
        <n v="205"/>
        <n v="210"/>
        <n v="216"/>
        <n v="220"/>
        <n v="225"/>
        <n v="240"/>
        <n v="247"/>
        <n v="267"/>
        <n v="270"/>
        <n v="360"/>
        <n v="378"/>
        <n v="400"/>
        <n v="480"/>
        <n v="486"/>
        <m/>
      </sharedItems>
    </cacheField>
    <cacheField name="te_coeff" numFmtId="0">
      <sharedItems containsMixedTypes="1" containsNumber="1" minValue="0.00193648334624322" maxValue="0.352941176470588" count="71">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509868421052632"/>
        <n v="0.0623376623376623"/>
        <n v="0.0638888888888889"/>
        <n v="0.0700729927007299"/>
        <n v="0.0774193548387097"/>
        <n v="0.0779661016949153"/>
        <n v="0.0828025477707006"/>
        <n v="0.0829787234042553"/>
        <n v="0.0898305084745763"/>
        <n v="0.0909961685823755"/>
        <n v="0.0936883629191322"/>
        <n v="0.1"/>
        <n v="0.103896103896104"/>
        <n v="0.104838709677419"/>
        <n v="0.107070707070707"/>
        <n v="0.110294117647059"/>
        <n v="0.115277777777778"/>
        <n v="0.115817694369973"/>
        <n v="0.119883040935673"/>
        <n v="0.12"/>
        <n v="0.120588235294118"/>
        <n v="0.120643431635389"/>
        <n v="0.121323529411765"/>
        <n v="0.126675603217158"/>
        <n v="0.128"/>
        <n v="0.13029490616622"/>
        <n v="0.1325"/>
        <n v="0.133333333333333"/>
        <n v="0.147826086956522"/>
        <n v="0.149484536082474"/>
        <n v="0.153631284916201"/>
        <n v="0.155844155844156"/>
        <n v="0.16"/>
        <n v="0.160857908847185"/>
        <n v="0.173770491803279"/>
        <n v="0.196078431372549"/>
        <n v="0.202970297029703"/>
        <n v="0.205384615384615"/>
        <n v="0.205627705627706"/>
        <n v="0.211764705882353"/>
        <n v="0.214285714285714"/>
        <n v="0.234567901234568"/>
        <n v="0.235238095238095"/>
        <n v="0.238461538461538"/>
        <n v="0.243243243243243"/>
        <n v="0.251748251748252"/>
        <n v="0.2734375"/>
        <n v="0.280701754385965"/>
        <n v="0.288065843621399"/>
        <n v="0.311111111111111"/>
        <n v="0.311764705882353"/>
        <n v="0.352941176470588"/>
        <s v=""/>
      </sharedItems>
    </cacheField>
    <cacheField name="speed" numFmtId="0">
      <sharedItems containsSemiMixedTypes="0" containsString="0" containsNumber="1" containsInteger="1" minValue="12" maxValue="200" count="17">
        <n v="12"/>
        <n v="18"/>
        <n v="45"/>
        <n v="50"/>
        <n v="60"/>
        <n v="75"/>
        <n v="80"/>
        <n v="85"/>
        <n v="90"/>
        <n v="100"/>
        <n v="108"/>
        <n v="110"/>
        <n v="125"/>
        <n v="140"/>
        <n v="155"/>
        <n v="186"/>
        <n v="200"/>
      </sharedItems>
    </cacheField>
    <cacheField name="kmhish_speed" numFmtId="0">
      <sharedItems containsSemiMixedTypes="0" containsString="0" containsNumber="1" containsInteger="1" minValue="19" maxValue="320" count="17">
        <n v="19"/>
        <n v="29"/>
        <n v="72"/>
        <n v="80"/>
        <n v="96"/>
        <n v="120"/>
        <n v="128"/>
        <n v="136"/>
        <n v="144"/>
        <n v="160"/>
        <n v="173"/>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49">
        <n v="5.5"/>
        <n v="6"/>
        <n v="6.1"/>
        <n v="6.2"/>
        <n v="7.6"/>
        <n v="8"/>
        <n v="8.8"/>
        <n v="9"/>
        <n v="10"/>
        <n v="12.1"/>
        <n v="12.8"/>
        <n v="13.5"/>
        <n v="13.8"/>
        <n v="13.9"/>
        <n v="14"/>
        <n v="15.45"/>
        <n v="16.2"/>
        <n v="16.36"/>
        <n v="16.4"/>
        <n v="17.37"/>
        <n v="17.79"/>
        <n v="18"/>
        <n v="18.3"/>
        <n v="18.4"/>
        <n v="18.75"/>
        <n v="19.13"/>
        <n v="19.2"/>
        <n v="19.5"/>
        <n v="19.64"/>
        <n v="19.7"/>
        <n v="19.8"/>
        <n v="19.9"/>
        <n v="20"/>
        <n v="20.2"/>
        <n v="20.26"/>
        <n v="20.3"/>
        <n v="20.89"/>
        <n v="20.9"/>
        <n v="21.7"/>
        <n v="22"/>
        <n v="22.15"/>
        <n v="22.2"/>
        <n v="23"/>
        <n v="23.2"/>
        <n v="23.62"/>
        <n v="23.8"/>
        <n v="24"/>
        <n v="25.7"/>
        <m/>
      </sharedItems>
    </cacheField>
    <cacheField name="scale_len" numFmtId="0">
      <sharedItems containsSemiMixedTypes="0" containsString="0" containsNumber="1" minValue="6" maxValue="25.7" count="31">
        <n v="6"/>
        <n v="8"/>
        <n v="9"/>
        <n v="10"/>
        <n v="12"/>
        <n v="12.8"/>
        <n v="13.5"/>
        <n v="13.9"/>
        <n v="14"/>
        <n v="15"/>
        <n v="15.45"/>
        <n v="16.36"/>
        <n v="17"/>
        <n v="17.5"/>
        <n v="17.79"/>
        <n v="18"/>
        <n v="18.3"/>
        <n v="18.75"/>
        <n v="19.13"/>
        <n v="20"/>
        <n v="20.2"/>
        <n v="20.89"/>
        <n v="20.9"/>
        <n v="21"/>
        <n v="21.7"/>
        <n v="22"/>
        <n v="22.15"/>
        <n v="23"/>
        <n v="23.2"/>
        <n v="23.8"/>
        <n v="25.7"/>
      </sharedItems>
    </cacheField>
    <cacheField name="width" numFmtId="0">
      <sharedItems containsString="0" containsBlank="1" containsNumber="1" minValue="2.4" maxValue="2.92" count="16">
        <n v="2.4"/>
        <n v="2.5"/>
        <n v="2.6"/>
        <n v="2.65"/>
        <n v="2.69"/>
        <n v="2.7"/>
        <n v="2.71"/>
        <n v="2.73"/>
        <n v="2.74"/>
        <n v="2.75"/>
        <n v="2.8"/>
        <n v="2.81"/>
        <n v="2.82"/>
        <n v="2.9"/>
        <n v="2.92"/>
        <m/>
      </sharedItems>
    </cacheField>
    <cacheField name="height" numFmtId="0">
      <sharedItems containsString="0" containsBlank="1" containsNumber="1" minValue="3.16" maxValue="4.3" count="16">
        <n v="3.16"/>
        <n v="3.32"/>
        <n v="3.35"/>
        <n v="3.5"/>
        <n v="3.7"/>
        <n v="3.77"/>
        <n v="3.79"/>
        <n v="3.8"/>
        <n v="3.81"/>
        <n v="3.84"/>
        <n v="3.89"/>
        <n v="3.9"/>
        <n v="3.91"/>
        <n v="3.97"/>
        <n v="4.3"/>
        <m/>
      </sharedItems>
    </cacheField>
    <cacheField name="capacity" numFmtId="0">
      <sharedItems containsSemiMixedTypes="0" containsString="0" containsNumber="1" containsInteger="1" minValue="0" maxValue="84" count="45">
        <n v="0"/>
        <n v="10"/>
        <n v="12"/>
        <n v="13"/>
        <n v="18"/>
        <n v="20"/>
        <n v="22"/>
        <n v="24"/>
        <n v="25"/>
        <n v="30"/>
        <n v="33"/>
        <n v="34"/>
        <n v="35"/>
        <n v="36"/>
        <n v="37"/>
        <n v="38"/>
        <n v="39"/>
        <n v="40"/>
        <n v="41"/>
        <n v="42"/>
        <n v="44"/>
        <n v="45"/>
        <n v="46"/>
        <n v="47"/>
        <n v="48"/>
        <n v="49"/>
        <n v="50"/>
        <n v="51"/>
        <n v="53"/>
        <n v="54"/>
        <n v="56"/>
        <n v="57"/>
        <n v="58"/>
        <n v="60"/>
        <n v="63"/>
        <n v="64"/>
        <n v="65"/>
        <n v="66"/>
        <n v="67"/>
        <n v="69"/>
        <n v="72"/>
        <n v="77"/>
        <n v="80"/>
        <n v="81"/>
        <n v="84"/>
      </sharedItems>
    </cacheField>
    <cacheField name="voxel_size" numFmtId="0">
      <sharedItems count="45">
        <s v="102x37x50"/>
        <s v="102x40x57"/>
        <s v="120x42x56"/>
        <s v="136x0x0"/>
        <s v="136x0x57"/>
        <s v="136x37x50"/>
        <s v="136x39x47"/>
        <s v="136x40x57"/>
        <s v="136x42x56"/>
        <s v="152x37x58"/>
        <s v="152x42x56"/>
        <s v="164x0x0"/>
        <s v="164x0x58"/>
        <s v="164x40x57"/>
        <s v="186x0x58"/>
        <s v="186x37x56"/>
        <s v="186x40x57"/>
        <s v="186x40x58"/>
        <s v="186x42x56"/>
        <s v="198x0x0"/>
        <s v="198x0x56"/>
        <s v="198x37x56"/>
        <s v="198x40x52"/>
        <s v="198x40x56"/>
        <s v="198x42x55"/>
        <s v="198x42x56"/>
        <s v="198x42x57"/>
        <s v="198x42x59"/>
        <s v="198x43x56"/>
        <s v="214x0x0"/>
        <s v="214x0x57"/>
        <s v="214x40x0"/>
        <s v="214x40x52"/>
        <s v="214x41x56"/>
        <s v="214x41x57"/>
        <s v="214x42x0"/>
        <s v="214x42x55"/>
        <s v="214x42x56"/>
        <s v="238x40x0"/>
        <s v="238x40x55"/>
        <s v="256x43x64"/>
        <s v="66x36x49"/>
        <s v="82x36x49"/>
        <s v="82x37x50"/>
        <s v="82x39x58"/>
      </sharedItems>
    </cacheField>
    <cacheField name="ttd_len" numFmtId="0">
      <sharedItems containsSemiMixedTypes="0" containsString="0" containsNumber="1" containsInteger="1" minValue="4" maxValue="15" count="12">
        <n v="4"/>
        <n v="5"/>
        <n v="6"/>
        <n v="7"/>
        <n v="8"/>
        <n v="9"/>
        <n v="10"/>
        <n v="11"/>
        <n v="12"/>
        <n v="13"/>
        <n v="14"/>
        <n v="15"/>
      </sharedItems>
    </cacheField>
    <cacheField name="tender" numFmtId="0">
      <sharedItems containsString="0" containsBlank="1" count="1">
        <m/>
      </sharedItems>
    </cacheField>
    <cacheField name="articulated_lengths" numFmtId="0">
      <sharedItems count="12">
        <s v="1,2,1"/>
        <s v="2,1,2"/>
        <s v="2,2,2"/>
        <s v="2,3,2"/>
        <s v="2,4,2"/>
        <s v="2,5,2"/>
        <s v="4,2,4"/>
        <s v="4,3,4"/>
        <s v="4,4,4"/>
        <s v="4,5,4"/>
        <s v="4,6,4"/>
        <s v="4,7,4"/>
      </sharedItems>
    </cacheField>
    <cacheField name="effect_unit" numFmtId="0">
      <sharedItems containsBlank="1" containsMixedTypes="1" containsNumber="1" containsInteger="1" minValue="0" maxValue="12" count="17">
        <n v="0"/>
        <n v="1"/>
        <n v="2"/>
        <n v="3"/>
        <n v="4"/>
        <n v="6"/>
        <n v="7"/>
        <n v="8"/>
        <n v="12"/>
        <s v="0,11"/>
        <s v="0,17"/>
        <s v="0,18"/>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72"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mid,brel_networker_mid,brel_networker_rear"/>
        <s v="brel_networker,brel_networker_rear"/>
        <s v="cargowaggon_iza_front,cargowaggon_iza_rear"/>
        <s v="cartic_4_front,cartic_4_mid,cartic_4_mid,cartic_4_rear"/>
        <s v="class_151,class_151_mid,class_151_rear"/>
        <s v="class_153"/>
        <s v="class_153_mail"/>
        <s v="class_365,class_365_mid,class_365_pan,class_365_rear"/>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
        <s v="eurostar,eurostar_motor,eurostar_mid_rev,eurostar_mid_rev,eurostar_mid_rev,eurostar_tbk_rev,eurostar_mid_rev,eurostar_mid_div_rev,eurostar_mid_div,eurostar_mid,eurostar_tbk,eurostar_mid,eurostar_mid,eurostar_mid,eurostar_motor_rev,eurostar_rear"/>
        <s v="express_sprinter,express_sprinter_mid,express_sprinter_rear"/>
        <s v="express_sprinter,express_sprinter_rear"/>
        <s v="express_sprinter,super_sprinter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lev1"/>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cer,pacer_rear"/>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printer,sprinter_rear"/>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super_sprinter,super_sprinter_rear"/>
        <s v="turbostar,turbostar_mid,turbostar_rear"/>
        <s v="turbostar,turbostar_rear"/>
        <s v="wessex_electric,wessex_electric_mid,wessex_electric_mid_guard,wessex_electric_mid,wessex_electric_rear"/>
        <s v="wessex_electric,wessex_electric_mid,wessex_electric_mid_pan,wessex_electric_mid,wessex_electric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9">
        <s v="brel_ehst"/>
        <s v="class_365_pan"/>
        <s v="class_717_city_power"/>
        <s v="class_810_aurora_rear"/>
        <s v="eurostar"/>
        <s v="eurostar_3cap_rear"/>
        <s v="eurostar_nol_rear"/>
        <s v="wessex_electric_mid_pan"/>
        <m/>
      </sharedItems>
    </cacheField>
    <cacheField name="new_sprites" numFmtId="0">
      <sharedItems containsBlank="1" containsMixedTypes="1" containsNumber="1" containsInteger="1" minValue="1" maxValue="1" count="37">
        <n v="1"/>
        <s v="0,0"/>
        <s v="0,0,0,0"/>
        <s v="0,0,0,0,0"/>
        <s v="0,0,0,0,0,0"/>
        <s v="0,0,0,0,0,0,0"/>
        <s v="0,0,0,0,0,0,0,0"/>
        <s v="0,0,0,0,0,0,0,0,0"/>
        <s v="0,0,0,0,0,0,0,0,0,0,0,0"/>
        <s v="0,0,0,0,0,0,0,0,0,0,0,0,0,0,0,0"/>
        <s v="0,0,1"/>
        <s v="0,0,1,0,0"/>
        <s v="0,1,0"/>
        <s v="0,1,0,0"/>
        <s v="1,"/>
        <s v="1,0"/>
        <s v="1,0,0"/>
        <s v="1,0,0,0,0,0,0,0,0,0,0,0,0,0,0,0,0,0,0,1"/>
        <s v="1,0,0,0,0,0,0,0,0,0,0,0,0,0,0,1"/>
        <s v="1,0,0,0,0,0,0,0,0,1"/>
        <s v="1,0,0,0,0,1"/>
        <s v="1,0,1"/>
        <s v="1,1"/>
        <s v="1,1,0,0,0,0,0,1"/>
        <s v="1,1,0,0,0,1"/>
        <s v="1,1,0,0,1"/>
        <s v="1,1,0,0,1,1"/>
        <s v="1,1,0,1"/>
        <s v="1,1,0,1,1,0,1"/>
        <s v="1,1,1"/>
        <s v="1,1,1,0"/>
        <s v="1,1,1,0,0,0,1,0,0,1,1,1,0,1,0,0,0,0,1,1"/>
        <s v="1,1,1,0,1"/>
        <s v="1,1,1,1"/>
        <s v="1,1,1,1,0,0,0,0,0,0,1,1"/>
        <s v="1,1,1,1,0,0,0,1,0,1,1,0,0,0,1,1"/>
        <m/>
      </sharedItems>
    </cacheField>
    <cacheField name="reuse_sprites" numFmtId="0">
      <sharedItems containsBlank="1" count="36">
        <s v="apt"/>
        <s v="apt_tbf_rev"/>
        <s v="apt_tbf2_rev"/>
        <s v="blue_pullman"/>
        <s v="br_4cep"/>
        <s v="br_am2"/>
        <s v="br_am2_9"/>
        <s v="br_am9_1"/>
        <s v="br_am9_2"/>
        <s v="br_class_201"/>
        <s v="br_class_205"/>
        <s v="brel_class_210_dmbs"/>
        <s v="brel_class_210_dtso"/>
        <s v="brel_networker"/>
        <s v="cargowaggon_iza_front"/>
        <s v="cartic_4_front"/>
        <s v="class_151"/>
        <s v="class_458"/>
        <s v="eurostar"/>
        <s v="eurostar_e320_front"/>
        <s v="express_sprinter"/>
        <s v="lbscr_emu_dt"/>
        <s v="lbscr_emu_mlv"/>
        <s v="meridian"/>
        <s v="metrocar_front"/>
        <s v="mr_emu_dm"/>
        <s v="mr_emu_dt_rev"/>
        <s v="pacer"/>
        <s v="passenger_coach_nightstar_1e"/>
        <s v="sprinter"/>
        <s v="stadler_class_755"/>
        <s v="turbostar"/>
        <s v="wessex_electric"/>
        <s v="windhoff_mpv_front"/>
        <s v="windhoff_mpv_single"/>
        <m/>
      </sharedItems>
    </cacheField>
    <cacheField name="animated" numFmtId="0">
      <sharedItems containsString="0" containsBlank="1" count="1">
        <m/>
      </sharedItems>
    </cacheField>
    <cacheField name="wagon_formation_modifier" numFmtId="0">
      <sharedItems containsBlank="1" count="9">
        <s v="random_vehicle,passenger_coach_ciwl_sleeper_rev"/>
        <s v="random_vehicle,passenger_coach_mk1_sleeper_rev"/>
        <s v="random_vehicle,passenger_coach_mk3_sleeper_rev"/>
        <s v="random_vehicle,passenger_coach_mk5_sleeper_club_rev"/>
        <s v="random_vehicle,passenger_coach_mk5_sleeper_rev"/>
        <s v="random_vehicle,passenger_coach_mk5_sleeper_seated_rev"/>
        <s v="random_vehicle,vix_van_alt"/>
        <s v="replace_last,mail_coach_ciwl_rear"/>
        <m/>
      </sharedItems>
    </cacheField>
    <cacheField name="vehicle_life" numFmtId="0">
      <sharedItems containsSemiMixedTypes="0" containsString="0" containsNumber="1" containsInteger="1" minValue="12" maxValue="60" count="16">
        <n v="12"/>
        <n v="18"/>
        <n v="20"/>
        <n v="22"/>
        <n v="25"/>
        <n v="27"/>
        <n v="28"/>
        <n v="29"/>
        <n v="30"/>
        <n v="32"/>
        <n v="33"/>
        <n v="35"/>
        <n v="40"/>
        <n v="45"/>
        <n v="50"/>
        <n v="60"/>
      </sharedItems>
    </cacheField>
    <cacheField name="lifespan" numFmtId="0">
      <sharedItems containsBlank="1" containsMixedTypes="1" containsNumber="1" containsInteger="1" minValue="16" maxValue="120" count="30">
        <n v="16"/>
        <n v="17"/>
        <n v="21"/>
        <n v="29"/>
        <n v="32"/>
        <n v="34"/>
        <n v="35"/>
        <n v="36"/>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5">
        <n v="2.4"/>
        <n v="3.6"/>
        <n v="9"/>
        <n v="10"/>
        <n v="12"/>
        <n v="15"/>
        <n v="16"/>
        <n v="17"/>
        <n v="18"/>
        <n v="20"/>
        <n v="21.6"/>
        <n v="22"/>
        <n v="25"/>
        <n v="28"/>
        <n v="30"/>
      </sharedItems>
    </cacheField>
    <cacheField name="power_cost_factor" numFmtId="0">
      <sharedItems containsSemiMixedTypes="0" containsString="0" containsNumber="1" minValue="0" maxValue="20" count="37">
        <n v="0"/>
        <n v="0.05"/>
        <n v="0.225"/>
        <n v="0.42"/>
        <n v="0.5"/>
        <n v="0.75"/>
        <n v="1.025"/>
        <n v="1.24"/>
        <n v="1.425"/>
        <n v="1.8"/>
        <n v="2.5"/>
        <n v="2.85"/>
        <n v="2.86"/>
        <n v="3"/>
        <n v="3.175"/>
        <n v="3.5"/>
        <n v="3.55"/>
        <n v="3.84"/>
        <n v="4.275"/>
        <n v="5"/>
        <n v="5.25"/>
        <n v="5.64"/>
        <n v="6.33"/>
        <n v="7.5"/>
        <n v="8"/>
        <n v="8.04"/>
        <n v="8.05"/>
        <n v="8.42"/>
        <n v="8.75"/>
        <n v="10.5"/>
        <n v="11.25"/>
        <n v="13.75"/>
        <n v="15"/>
        <n v="16.5"/>
        <n v="18.1"/>
        <n v="18.75"/>
        <n v="20"/>
      </sharedItems>
    </cacheField>
    <cacheField name="te_cost_factor" numFmtId="0">
      <sharedItems containsSemiMixedTypes="0" containsString="0" containsNumber="1" minValue="0" maxValue="20" count="36">
        <n v="0"/>
        <n v="0.25"/>
        <n v="0.75"/>
        <n v="2"/>
        <n v="2.4"/>
        <n v="2.75"/>
        <n v="3"/>
        <n v="3.5"/>
        <n v="4.15"/>
        <n v="4.25"/>
        <n v="4.6"/>
        <n v="4.75"/>
        <n v="5.3"/>
        <n v="5.5"/>
        <n v="6"/>
        <n v="6.5"/>
        <n v="7.25"/>
        <n v="7.75"/>
        <n v="8.25"/>
        <n v="9"/>
        <n v="9.3"/>
        <n v="9.5"/>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43">
        <n v="0.837333333333333"/>
        <n v="0.84"/>
        <n v="0.842666666666667"/>
        <n v="0.848"/>
        <n v="0.850666666666667"/>
        <n v="0.857333333333333"/>
        <n v="0.862666666666667"/>
        <n v="0.868"/>
        <n v="0.869333333333333"/>
        <n v="0.870666666666667"/>
        <n v="0.874666666666667"/>
        <n v="0.876"/>
        <n v="0.877333333333333"/>
        <n v="0.878666666666667"/>
        <n v="0.881333333333333"/>
        <n v="0.882666666666667"/>
        <n v="0.884"/>
        <n v="0.885333333333333"/>
        <n v="0.886666666666667"/>
        <n v="0.888"/>
        <n v="0.889333333333333"/>
        <n v="0.890666666666667"/>
        <n v="0.894666666666667"/>
        <n v="0.897333333333333"/>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71">
        <n v="0"/>
        <n v="1.2"/>
        <n v="1.26666666666667"/>
        <n v="1.33333333333333"/>
        <n v="1.4"/>
        <n v="1.5"/>
        <n v="1.66666666666667"/>
        <n v="2"/>
        <n v="2.16666666666667"/>
        <n v="2.26666666666667"/>
        <n v="2.4"/>
        <n v="2.6"/>
        <n v="2.66666666666667"/>
        <n v="3"/>
        <n v="3.06666666666667"/>
        <n v="3.13333333333333"/>
        <n v="3.2"/>
        <n v="3.33333333333333"/>
        <n v="3.4"/>
        <n v="3.6"/>
        <n v="3.66666666666667"/>
        <n v="4"/>
        <n v="4.2"/>
        <n v="4.6"/>
        <n v="4.8"/>
        <n v="4.93333333333333"/>
        <n v="5"/>
        <n v="5.1"/>
        <n v="5.33333333333333"/>
        <n v="5.46666666666667"/>
        <n v="5.5"/>
        <n v="5.6"/>
        <n v="5.66666666666667"/>
        <n v="5.7"/>
        <n v="5.83333333333333"/>
        <n v="6"/>
        <n v="6.3"/>
        <n v="6.4"/>
        <n v="6.66666666666667"/>
        <n v="6.7"/>
        <n v="6.8"/>
        <n v="6.9"/>
        <n v="7.06666666666667"/>
        <n v="7.2"/>
        <n v="7.46666666666667"/>
        <n v="7.6"/>
        <n v="7.7"/>
        <n v="8"/>
        <n v="8.4"/>
        <n v="8.5"/>
        <n v="8.53333333333333"/>
        <n v="8.8"/>
        <n v="9"/>
        <n v="9.33333333333333"/>
        <n v="9.6"/>
        <n v="9.66666666666667"/>
        <n v="10"/>
        <n v="10.1333333333333"/>
        <n v="10.8"/>
        <n v="10.8333333333333"/>
        <n v="11"/>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79">
        <n v="4"/>
        <n v="8"/>
        <n v="9"/>
        <n v="10"/>
        <n v="12"/>
        <n v="13"/>
        <n v="14"/>
        <n v="16"/>
        <n v="20"/>
        <n v="21"/>
        <n v="24"/>
        <n v="25"/>
        <n v="26"/>
        <n v="27"/>
        <n v="28"/>
        <n v="30"/>
        <n v="31"/>
        <n v="34"/>
        <n v="36"/>
        <n v="37"/>
        <n v="38"/>
        <n v="39"/>
        <n v="41"/>
        <n v="42"/>
        <n v="44"/>
        <n v="45"/>
        <n v="46"/>
        <n v="48"/>
        <n v="49"/>
        <n v="50"/>
        <n v="51"/>
        <n v="54"/>
        <n v="58"/>
        <n v="61"/>
        <n v="62"/>
        <n v="63"/>
        <n v="64"/>
        <n v="65"/>
        <n v="66"/>
        <n v="67"/>
        <n v="68"/>
        <n v="69"/>
        <n v="72"/>
        <n v="73"/>
        <n v="75"/>
        <n v="76"/>
        <n v="78"/>
        <n v="79"/>
        <n v="82"/>
        <n v="88"/>
        <n v="91"/>
        <n v="93"/>
        <n v="94"/>
        <n v="98"/>
        <n v="101"/>
        <n v="104"/>
        <n v="105"/>
        <n v="111"/>
        <n v="116"/>
        <n v="120"/>
        <n v="121"/>
        <n v="126"/>
        <n v="128"/>
        <n v="129"/>
        <n v="130"/>
        <n v="134"/>
        <n v="141"/>
        <n v="143"/>
        <n v="153"/>
        <n v="157"/>
        <n v="167"/>
        <n v="168"/>
        <n v="170"/>
        <n v="171"/>
        <n v="208"/>
        <n v="213"/>
        <n v="231"/>
        <n v="244"/>
        <n v="251"/>
      </sharedItems>
    </cacheField>
    <cacheField name="running_cost" numFmtId="0">
      <sharedItems containsSemiMixedTypes="0" containsString="0" containsNumber="1" containsInteger="1" minValue="14" maxValue="1284" count="78">
        <n v="14"/>
        <n v="20"/>
        <n v="27"/>
        <n v="28"/>
        <n v="29"/>
        <n v="30"/>
        <n v="31"/>
        <n v="32"/>
        <n v="33"/>
        <n v="35"/>
        <n v="37"/>
        <n v="38"/>
        <n v="43"/>
        <n v="46"/>
        <n v="47"/>
        <n v="48"/>
        <n v="49"/>
        <n v="51"/>
        <n v="53"/>
        <n v="54"/>
        <n v="55"/>
        <n v="58"/>
        <n v="61"/>
        <n v="64"/>
        <n v="65"/>
        <n v="66"/>
        <n v="67"/>
        <n v="68"/>
        <n v="69"/>
        <n v="70"/>
        <n v="71"/>
        <n v="73"/>
        <n v="74"/>
        <n v="75"/>
        <n v="76"/>
        <n v="77"/>
        <n v="79"/>
        <n v="80"/>
        <n v="82"/>
        <n v="84"/>
        <n v="86"/>
        <n v="87"/>
        <n v="88"/>
        <n v="92"/>
        <n v="96"/>
        <n v="101"/>
        <n v="102"/>
        <n v="103"/>
        <n v="104"/>
        <n v="105"/>
        <n v="107"/>
        <n v="109"/>
        <n v="113"/>
        <n v="114"/>
        <n v="118"/>
        <n v="121"/>
        <n v="126"/>
        <n v="128"/>
        <n v="147"/>
        <n v="150"/>
        <n v="154"/>
        <n v="165"/>
        <n v="168"/>
        <n v="172"/>
        <n v="175"/>
        <n v="183"/>
        <n v="225"/>
        <n v="305"/>
        <n v="318"/>
        <n v="1041"/>
        <n v="1042"/>
        <n v="1051"/>
        <n v="1053"/>
        <n v="1190"/>
        <n v="1192"/>
        <n v="1195"/>
        <n v="1197"/>
        <n v="1284"/>
      </sharedItems>
    </cacheField>
    <cacheField name="cost_gbp" numFmtId="0">
      <sharedItems containsSemiMixedTypes="0" containsString="0" containsNumber="1" minValue="500" maxValue="196093.75" count="84">
        <n v="500"/>
        <n v="562.5"/>
        <n v="625"/>
        <n v="750"/>
        <n v="812.5"/>
        <n v="875"/>
        <n v="3000"/>
        <n v="3125"/>
        <n v="3625"/>
        <n v="4187.5"/>
        <n v="6250"/>
        <n v="7812.5"/>
        <n v="7875"/>
        <n v="8000"/>
        <n v="8062.5"/>
        <n v="8125"/>
        <n v="9375"/>
        <n v="10437.5"/>
        <n v="10500"/>
        <n v="10625"/>
        <n v="10687.5"/>
        <n v="12500"/>
        <n v="13312.5"/>
        <n v="15625"/>
        <n v="16406.25"/>
        <n v="18750"/>
        <n v="19531.25"/>
        <n v="20312.5"/>
        <n v="21093.75"/>
        <n v="21875"/>
        <n v="23437.5"/>
        <n v="24218.75"/>
        <n v="26562.5"/>
        <n v="28125"/>
        <n v="28906.25"/>
        <n v="29687.5"/>
        <n v="30468.75"/>
        <n v="32031.25"/>
        <n v="32812.5"/>
        <n v="34375"/>
        <n v="35156.25"/>
        <n v="35937.5"/>
        <n v="37500"/>
        <n v="38281.25"/>
        <n v="39062.5"/>
        <n v="39843.75"/>
        <n v="42187.5"/>
        <n v="47656.25"/>
        <n v="48437.5"/>
        <n v="49218.75"/>
        <n v="50000"/>
        <n v="50781.25"/>
        <n v="51562.5"/>
        <n v="52343.75"/>
        <n v="53125"/>
        <n v="53906.25"/>
        <n v="56250"/>
        <n v="57031.25"/>
        <n v="58593.75"/>
        <n v="59375"/>
        <n v="60937.5"/>
        <n v="61718.75"/>
        <n v="64062.5"/>
        <n v="68750"/>
        <n v="71093.75"/>
        <n v="72656.25"/>
        <n v="73437.5"/>
        <n v="76562.5"/>
        <n v="78906.25"/>
        <n v="81250"/>
        <n v="82031.25"/>
        <n v="86718.75"/>
        <n v="90625"/>
        <n v="93750"/>
        <n v="94531.25"/>
        <n v="104687.5"/>
        <n v="110156.25"/>
        <n v="111718.75"/>
        <n v="119531.25"/>
        <n v="122656.25"/>
        <n v="162500"/>
        <n v="180468.75"/>
        <n v="190625"/>
        <n v="196093.75"/>
      </sharedItems>
    </cacheField>
    <cacheField name="run_cost_gbp" numFmtId="0">
      <sharedItems containsSemiMixedTypes="0" containsString="0" containsNumber="1" minValue="76.44" maxValue="25837.5" count="83">
        <n v="76.44"/>
        <n v="79.17"/>
        <n v="81.9"/>
        <n v="84.63"/>
        <n v="87.36"/>
        <n v="90.09"/>
        <n v="95.55"/>
        <n v="101.01"/>
        <n v="103.74"/>
        <n v="286.65"/>
        <n v="311.22"/>
        <n v="343.98"/>
        <n v="1137.5"/>
        <n v="1625"/>
        <n v="2193.75"/>
        <n v="2275"/>
        <n v="2356.25"/>
        <n v="2600"/>
        <n v="2681.25"/>
        <n v="2841.93"/>
        <n v="2844.66"/>
        <n v="2869.23"/>
        <n v="2874.69"/>
        <n v="3087.5"/>
        <n v="3248.7"/>
        <n v="3254.16"/>
        <n v="3262.35"/>
        <n v="3267.81"/>
        <n v="3493.75"/>
        <n v="3505.32"/>
        <n v="3737.5"/>
        <n v="3818.75"/>
        <n v="3900"/>
        <n v="3981.25"/>
        <n v="4143.75"/>
        <n v="4306.25"/>
        <n v="4387.5"/>
        <n v="4468.75"/>
        <n v="4712.5"/>
        <n v="4956.25"/>
        <n v="5200"/>
        <n v="5281.25"/>
        <n v="5362.5"/>
        <n v="5443.75"/>
        <n v="5525"/>
        <n v="5606.25"/>
        <n v="5687.5"/>
        <n v="5768.75"/>
        <n v="5931.25"/>
        <n v="6012.5"/>
        <n v="6093.75"/>
        <n v="6175"/>
        <n v="6256.25"/>
        <n v="6418.75"/>
        <n v="6500"/>
        <n v="6662.5"/>
        <n v="6825"/>
        <n v="6987.5"/>
        <n v="7068.75"/>
        <n v="7150"/>
        <n v="7475"/>
        <n v="7800"/>
        <n v="8206.25"/>
        <n v="8287.5"/>
        <n v="8368.75"/>
        <n v="8450"/>
        <n v="8693.75"/>
        <n v="8856.25"/>
        <n v="9181.25"/>
        <n v="9587.5"/>
        <n v="9831.25"/>
        <n v="10400"/>
        <n v="11943.7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9">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41,class_150,class_151,class_153_mail,super_sprinter,express_sprinter_2car,express_sprinter_3car,sprinter_hybrid,class_170,class_170_3car"/>
        <s v="class_141,class_150,class_151,class_153,class_153_mail,express_sprinter_2car,express_sprinter_3car,sprinter_hybrid,class_170,class_170_3car"/>
        <s v="class_141,class_150,class_151,class_153,class_153_mail,super_sprinter,express_sprinter_2car,express_sprinter_3car,class_170,class_170_3car"/>
        <s v="class_141,class_150,class_151,class_153,class_153_mail,super_sprinter,express_sprinter_2car,express_sprinter_3car,sprinter_hybrid,class_170"/>
        <s v="class_141,class_150,class_151,class_153,class_153_mail,super_sprinter,express_sprinter_2car,express_sprinter_3car,sprinter_hybrid,class_170_3car"/>
        <s v="class_141,class_150,class_151,class_153,class_153_mail,super_sprinter,express_sprinter_2car,sprinter_hybrid,class_170,class_170_3car"/>
        <s v="class_141,class_150,class_151,class_153,class_153_mail,super_sprinter,express_sprinter_3car,sprinter_hybrid,class_170,class_170_3car"/>
        <s v="class_141,class_150,class_151,class_153,super_sprinter,express_sprinter_2car,express_sprinter_3car,sprinter_hybrid,class_170,class_170_3car"/>
        <s v="class_141,class_150,class_153,class_153_mail,super_sprinter,express_sprinter_2car,express_sprinter_3car,sprinter_hybrid,class_170,class_170_3car"/>
        <s v="class_141,class_151,class_153,class_153_mail,super_sprinter,express_sprinter_2car,express_sprinter_3car,sprinter_hybrid,class_170,class_170_3car"/>
        <s v="class_150,class_151,class_153,class_153_mail,super_sprinter,express_sprinter_2car,express_sprinter_3car,sprinter_hybrid,class_170,class_170_3car"/>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3_4car"/>
        <s v="class_302_4car,class_309_2car,class_309_2_4car_buf,class_309_3_4car"/>
        <s v="class_302_parcels,class_309_2car,class_309_2_4car_buf,class_309_3_4car"/>
        <s v="class_465"/>
        <s v="class_466"/>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10">
        <s v="Bolster"/>
        <s v="Brakevan"/>
        <s v="Container"/>
        <s v="Covered"/>
        <s v="Motorail"/>
        <s v="Parcel"/>
        <s v="Passengers"/>
        <s v="Powder"/>
        <s v="Van"/>
        <m/>
      </sharedItems>
    </cacheField>
    <cacheField name="pax_special" numFmtId="0">
      <sharedItems containsBlank="1" count="4">
        <s v="buffet"/>
        <s v="generator_car"/>
        <s v="nightstar"/>
        <m/>
      </sharedItems>
    </cacheField>
    <cacheField name="default_cargo" numFmtId="0">
      <sharedItems containsBlank="1" count="9">
        <s v="BDMT"/>
        <s v="BRAKE"/>
        <s v="GOOD"/>
        <s v="GRAI"/>
        <s v="MAIL"/>
        <s v="PASS"/>
        <s v="SALT"/>
        <s v="WOOD"/>
        <m/>
      </sharedItems>
    </cacheField>
    <cacheField name="era_id" numFmtId="0">
      <sharedItems count="6">
        <s v="big4"/>
        <s v="dsl"/>
        <s v="edw"/>
        <s v="lbr"/>
        <s v="mod"/>
        <s v="prv"/>
      </sharedItems>
    </cacheField>
    <cacheField name="category" numFmtId="0">
      <sharedItems count="16">
        <s v="Carriage"/>
        <s v="Cheap"/>
        <s v="DMU"/>
        <s v="DMU (Cheap)"/>
        <s v="DMU (Express)"/>
        <s v="EMU"/>
        <s v="EMU (Express)"/>
        <s v="Express"/>
        <s v="Express (Electric)"/>
        <s v="Extra"/>
        <s v="Flat Wagon"/>
        <s v="Freight"/>
        <s v="Mail Carriage"/>
        <s v="MT (Electric)"/>
        <s v="Tanker"/>
        <s v="Van"/>
      </sharedItems>
    </cacheField>
    <cacheField name="era_cat" numFmtId="0">
      <sharedItems count="38">
        <s v="big4_Carriage"/>
        <s v="big4_Cheap"/>
        <s v="big4_EMU"/>
        <s v="big4_Extra"/>
        <s v="big4_Tanker"/>
        <s v="dsl_Carriage"/>
        <s v="dsl_DMU"/>
        <s v="dsl_DMU (Express)"/>
        <s v="dsl_EMU"/>
        <s v="dsl_EMU (Express)"/>
        <s v="dsl_Mail Carriage"/>
        <s v="dsl_Tanker"/>
        <s v="dsl_Van"/>
        <s v="edw_Carriage"/>
        <s v="edw_EMU"/>
        <s v="edw_Tanker"/>
        <s v="lbr_Carriage"/>
        <s v="lbr_DMU"/>
        <s v="lbr_DMU (Cheap)"/>
        <s v="lbr_DMU (Express)"/>
        <s v="lbr_EMU"/>
        <s v="lbr_EMU (Express)"/>
        <s v="lbr_Express"/>
        <s v="lbr_Express (Electric)"/>
        <s v="lbr_Flat Wagon"/>
        <s v="lbr_Freight"/>
        <s v="lbr_Mail Carriage"/>
        <s v="lbr_Tanker"/>
        <s v="lbr_Van"/>
        <s v="mod_Carriage"/>
        <s v="mod_EMU"/>
        <s v="mod_EMU (Express)"/>
        <s v="mod_MT (Electric)"/>
        <s v="mod_Tanker"/>
        <s v="prv_Carriage"/>
        <s v="prv_DMU"/>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5">
        <s v="{BLACK}Length: {GOLD}0.3 tiles{}"/>
        <s v="{BLACK}Length: {GOLD}0.4 tiles{}"/>
        <s v="{BLACK}Length: {GOLD}0.5 tiles{}"/>
        <s v="{BLACK}Length: {GOLD}0.6 tiles{}"/>
        <s v="{BLACK}Length: {GOLD}0.7 tiles{}"/>
        <s v="{BLACK}Length: {GOLD}0.8 tiles{}"/>
        <s v="{BLACK}Length: {GOLD}0.9 tiles{}"/>
        <s v="{BLACK}Length: {GOLD}1.0 tiles{}"/>
        <s v="{BLACK}Length: {GOLD}1.2 tiles{}"/>
        <s v="{BLACK}Length: {GOLD}1.3 tiles{}"/>
        <s v="{BLACK}Length: {GOLD}1.5 tiles{}"/>
        <s v="{BLACK}Length: {GOLD}1.7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94"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mongst the last passenger vehicles built at the former BREL Holgate Road works, the Class 365s began to be delivered at the very end of British Rail operations."/>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R’s two-axle Ferry Vans were built for interoperation with european service via cross-channel ferry services, allowing British companies to send goods directly to continental customers."/>
        <s v="Built as permanently-coupled pairs of two-axle wagons, supposedly to capture an EU subsidy, these smaller cargowaggon sets continue to see service within the UK."/>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ne of a number of prototype vehicles built for the project that eventually delivered the Pacer family, Leyland’s attempt to reuse as many bus components as possible is on full display in the LEV1."/>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asic chassis of the Cargowaggon van adapted naturally to a sturdy, high-capacity flat wagon, used for steel, wood and other cargo, then later adapted for departmental work carrying welded rail and as match wagons."/>
        <s v="The Blue Pullman is an express diesel multiple unit, designed to tempt motorists from their cars with a luxurious inter-city service. This is the 6-car “Midland Region” layout."/>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BREL Networker was built by three different companies (ABB, Metro-Cammell and BREL) with minor detail differences between each manufacturer's output."/>
        <s v="The Class 141 is a multiple unit built from Leyland National bus parts. While cheap and light, it is criticised for its poor ride quality."/>
        <s v="The Class 153 was a conversion of earlier Class 155 units, 35 of which were split in two with small cabs added at the inner ends."/>
        <s v="The Class 156 is a member of the Sprinter family designed for longer journeys, with single doors at each end rather than the metro-style doors of the Class 150s."/>
        <s v="The Class 158 has many improvements over earlier generation Sprinters, including air conditioning and a more comfortable ride."/>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442 holds the speed record for a third rail EMU at 108mph. Unlike most of its generation of Mk3-based multiple units, it uses the full-length carriage bodyshell."/>
        <s v="The Class 466 was a shorter Class 465, used for small branch line service and to strengthen peak services up to 10 cars as needed."/>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Franco-Belgian Compagnie Internationale des Wagons-Lits ran a private sleeper service from London, via the Southern Railway and a cross-channel ferry, to connect to the Orient Express in Paris. A fleet of 25 all-steel sleeping cars was built for the servic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prominent CARGOWAGGON-lettered vans began arriving in international traffic during the late 1970s and 1980s. These large goods wagons were reliable and high-capacity. The whole hood lifts and slides to permit forklift access to the wagon."/>
        <s v="The Sprinter replaced first-generation DMUs. Like other second-generation units it was based on the Mark 3 bodyshell. The name refers to its faster acceleration compared to the units it replaced."/>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Turbostar is a further development of the BR &quot;Networker&quot; units. It is used for regional and long distance services."/>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ese two-axle baggage cars were a fixture of the night ferry service, running with the sleeping cars on the 11 hour schedule from London to Paris."/>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 v="What if the Class 442 had a dual-voltage conversion to allow through-running expresses and an end to 3rd rail power supply?"/>
        <s v="When both Class 158 and Class 156 vehicles are unavailable, it’s possible to run hybrid units of the type, and these have been documented in passenger service on many occasions."/>
      </sharedItems>
    </cacheField>
    <cacheField name="brake_text" numFmtId="0">
      <sharedItems containsBlank="1" count="10">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m/>
      </sharedItems>
    </cacheField>
    <cacheField name="additional_text" numFmtId="0">
      <sharedItems count="112" longText="1">
        <s v="{BLACK}Cars: {GOLD}10{}{BLACK}Length: {GOLD}0.8 tiles{}{YELLOW}20% bonus for long distance travel{}{SILVER}An articulated trailer rake of APT-S Vehicles, intended to run with a Driving Motor and a DVT but also usable in other weird combinations."/>
        <s v="{BLACK}Cars: {GOLD}2{}{BLACK}Length: {GOLD}1.0 tiles{}{SILVER}Built as permanently-coupled pairs of two-axle wagons, supposedly to capture an EU subsidy, these smaller cargowaggon sets continue to see service within the UK."/>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BR’s two-axle Ferry Vans were built for interoperation with european service via cross-channel ferry services, allowing British companies to send goods directly to continental customer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5 tiles{}{YELLOW}50% bonus for long distance travel{}{SILVER}These two-axle baggage cars were a fixture of the night ferry service, running with the sleeping cars on the 11 hour schedule from London to Paris."/>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9 tiles{}{SILVER}The basic chassis of the Cargowaggon van adapted naturally to a sturdy, high-capacity flat wagon, used for steel, wood and other cargo, then later adapted for departmental work carrying welded rail and as match wagons."/>
        <s v="{BLACK}Length: {GOLD}0.9 tiles{}{SILVER}The prominent CARGOWAGGON-lettered vans began arriving in international traffic during the late 1970s and 1980s. These large goods wagons were reliable and high-capacity. The whole hood lifts and slides to permit forklift access to the wagon."/>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Powered by: {GOLD}25kV AC / 750V DC {BLACK}Cars: {GOLD}4{}{BLACK}Length: {GOLD}3.0 tiles{}{SILVER}Amongst the last passenger vehicles built at the former BREL Holgate Road works, the Class 365s began to be delivered at the very end of British Rail operations."/>
        <s v="{BLACK}Powered by: {GOLD}25kV AC / 750V DC {BLACK}Cars: {GOLD}5{}{BLACK}Length: {GOLD}4.1 tiles{}{YELLOW}10% bonus for long distance travel{}{SILVER}What if the Class 442 had a dual-voltage conversion to allow through-running expresses and an end to 3rd rail power supply?"/>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The Class 466 was a shorter Class 465, used for small branch line service and to strengthen peak services up to 10 cars as needed."/>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4{}{BLACK}Length: {GOLD}3.0 tiles{}{YELLOW}10% bonus for long distance travel{}{SILVER}The BREL Networker was built by three different companies (ABB, Metro-Cammell and BREL) with minor detail differences between each manufacturer's output."/>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2 tiles{}{YELLOW}20% penalty for long distance travel{}{SILVER}The Class 141 is a multiple unit built from Leyland National bus parts. While cheap and light, it is criticised for its poor ride quality."/>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Turbostar is a further development of the BR &quot;Networker&quot; units. It is used for regional and long distance services."/>
        <s v="{BLACK}Powered by: {GOLD}Diesel {BLACK}Cars: {GOLD}2{}{BLACK}Length: {GOLD}1.5 tiles{}{SILVER}The Windhoff MPV units were mainly used for Departmental service, notably in the iconic Rail Head Treatment trains, but trials were made in freight service."/>
        <s v="{BLACK}Powered by: {GOLD}Diesel {BLACK}Cars: {GOLD}2{}{BLACK}Length: {GOLD}1.7 tiles{}{SILVER}The Class 156 is a member of the Sprinter family designed for longer journeys, with single doors at each end rather than the metro-style doors of the Class 150s."/>
        <s v="{BLACK}Powered by: {GOLD}Diesel {BLACK}Cars: {GOLD}2{}{BLACK}Length: {GOLD}1.7 tiles{}{SILVER}When both Class 158 and Class 156 vehicles are unavailable, it’s possible to run hybrid units of the type, and these have been documented in passenger service on many occasions."/>
        <s v="{BLACK}Powered by: {GOLD}Diesel {BLACK}Cars: {GOLD}2{}{BLACK}Length: {GOLD}1.7 tiles{}{YELLOW}10% bonus for long distance travel{}{SILVER}The Class 158 has many improvements over earlier generation Sprinters, including air conditioning and a more comfortable ride."/>
        <s v="{BLACK}Powered by: {GOLD}Diesel {BLACK}Cars: {GOLD}2{}diesel_RAILThe Sprinter replaced first-generation DMUs. Like other second-generation units it was based on the Mark 3 bodyshell. The name refers to its faster acceleration compared to the units it replaced.{SILVER}{BLACK}Cars: {GOLD}2"/>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Turbostar is a further development of the BR &quot;Networker&quot; units. It is used for regional and long distance services."/>
        <s v="{BLACK}Powered by: {GOLD}Diesel {BLACK}Cars: {GOLD}3{}{BLACK}Length: {GOLD}2.3 tiles{}{SILVER}The Windhoff MPV units were mainly used for Departmental service, notably in the iconic Rail Head Treatment trains, but trials were made in freight service."/>
        <s v="{BLACK}Powered by: {GOLD}Diesel {BLACK}Cars: {GOLD}3{}{BLACK}Length: {GOLD}2.5 tiles{}{YELLOW}10% bonus for long distance travel{}{SILVER}The Class 158 has many improvements over earlier generation Sprinters, including air conditioning and a more comfortable rid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115">
  <r>
    <x v="89"/>
    <x v="90"/>
    <x v="0"/>
    <x v="25"/>
    <x v="0"/>
    <x v="0"/>
    <x v="3"/>
    <x v="5"/>
    <x v="2"/>
    <x v="1"/>
    <x v="32"/>
    <x v="0"/>
    <x v="0"/>
    <x v="8"/>
    <x v="4"/>
    <x v="0"/>
    <x v="0"/>
    <x v="0"/>
    <x v="0"/>
    <x v="0"/>
    <x v="0"/>
    <x v="0"/>
    <x v="20"/>
    <x v="0"/>
    <x v="2"/>
    <x v="3"/>
    <x v="42"/>
    <x v="4"/>
    <x v="4"/>
    <x v="0"/>
    <x v="0"/>
    <x v="48"/>
    <x v="12"/>
    <x v="15"/>
    <x v="15"/>
    <x v="19"/>
    <x v="11"/>
    <x v="6"/>
    <x v="0"/>
    <x v="6"/>
    <x v="16"/>
    <x v="6"/>
    <x v="6"/>
    <x v="53"/>
    <x v="8"/>
    <x v="0"/>
    <x v="25"/>
    <x v="0"/>
    <x v="8"/>
    <x v="4"/>
    <x v="20"/>
    <x v="6"/>
    <x v="8"/>
    <x v="4"/>
    <x v="9"/>
    <x v="4"/>
    <x v="41"/>
    <x v="4"/>
    <x v="0"/>
    <x v="5"/>
    <x v="9"/>
    <x v="12"/>
    <x v="24"/>
    <x v="28"/>
    <x v="2"/>
    <x v="1"/>
    <x v="1"/>
    <x v="1"/>
    <x v="47"/>
    <x v="0"/>
    <x v="6"/>
    <x v="5"/>
    <x v="1"/>
    <x v="9"/>
    <x v="3"/>
    <x v="5"/>
    <x v="2"/>
    <x v="5"/>
    <x v="14"/>
    <x v="8"/>
    <x v="4"/>
    <x v="1"/>
    <x v="0"/>
    <x v="90"/>
    <x v="0"/>
    <x v="41"/>
    <x v="1"/>
  </r>
  <r>
    <x v="90"/>
    <x v="91"/>
    <x v="1"/>
    <x v="0"/>
    <x v="1"/>
    <x v="0"/>
    <x v="3"/>
    <x v="5"/>
    <x v="2"/>
    <x v="1"/>
    <x v="32"/>
    <x v="0"/>
    <x v="1"/>
    <x v="8"/>
    <x v="4"/>
    <x v="0"/>
    <x v="0"/>
    <x v="0"/>
    <x v="0"/>
    <x v="0"/>
    <x v="0"/>
    <x v="0"/>
    <x v="36"/>
    <x v="0"/>
    <x v="2"/>
    <x v="3"/>
    <x v="21"/>
    <x v="4"/>
    <x v="4"/>
    <x v="0"/>
    <x v="0"/>
    <x v="48"/>
    <x v="12"/>
    <x v="15"/>
    <x v="15"/>
    <x v="23"/>
    <x v="11"/>
    <x v="6"/>
    <x v="0"/>
    <x v="6"/>
    <x v="16"/>
    <x v="6"/>
    <x v="6"/>
    <x v="54"/>
    <x v="8"/>
    <x v="15"/>
    <x v="26"/>
    <x v="0"/>
    <x v="8"/>
    <x v="4"/>
    <x v="20"/>
    <x v="6"/>
    <x v="8"/>
    <x v="4"/>
    <x v="9"/>
    <x v="4"/>
    <x v="41"/>
    <x v="15"/>
    <x v="0"/>
    <x v="5"/>
    <x v="11"/>
    <x v="13"/>
    <x v="26"/>
    <x v="30"/>
    <x v="2"/>
    <x v="1"/>
    <x v="1"/>
    <x v="1"/>
    <x v="46"/>
    <x v="0"/>
    <x v="6"/>
    <x v="5"/>
    <x v="1"/>
    <x v="9"/>
    <x v="3"/>
    <x v="5"/>
    <x v="2"/>
    <x v="5"/>
    <x v="14"/>
    <x v="8"/>
    <x v="9"/>
    <x v="1"/>
    <x v="4"/>
    <x v="90"/>
    <x v="0"/>
    <x v="51"/>
    <x v="1"/>
  </r>
  <r>
    <x v="91"/>
    <x v="92"/>
    <x v="2"/>
    <x v="0"/>
    <x v="2"/>
    <x v="0"/>
    <x v="3"/>
    <x v="5"/>
    <x v="2"/>
    <x v="1"/>
    <x v="32"/>
    <x v="0"/>
    <x v="2"/>
    <x v="8"/>
    <x v="4"/>
    <x v="0"/>
    <x v="0"/>
    <x v="0"/>
    <x v="0"/>
    <x v="0"/>
    <x v="0"/>
    <x v="0"/>
    <x v="49"/>
    <x v="0"/>
    <x v="2"/>
    <x v="3"/>
    <x v="17"/>
    <x v="4"/>
    <x v="4"/>
    <x v="0"/>
    <x v="0"/>
    <x v="48"/>
    <x v="12"/>
    <x v="15"/>
    <x v="15"/>
    <x v="24"/>
    <x v="11"/>
    <x v="6"/>
    <x v="0"/>
    <x v="6"/>
    <x v="16"/>
    <x v="6"/>
    <x v="6"/>
    <x v="55"/>
    <x v="8"/>
    <x v="10"/>
    <x v="26"/>
    <x v="0"/>
    <x v="8"/>
    <x v="4"/>
    <x v="20"/>
    <x v="6"/>
    <x v="8"/>
    <x v="4"/>
    <x v="9"/>
    <x v="4"/>
    <x v="41"/>
    <x v="24"/>
    <x v="0"/>
    <x v="5"/>
    <x v="14"/>
    <x v="16"/>
    <x v="29"/>
    <x v="33"/>
    <x v="2"/>
    <x v="1"/>
    <x v="1"/>
    <x v="1"/>
    <x v="45"/>
    <x v="0"/>
    <x v="6"/>
    <x v="5"/>
    <x v="1"/>
    <x v="9"/>
    <x v="3"/>
    <x v="5"/>
    <x v="2"/>
    <x v="5"/>
    <x v="14"/>
    <x v="8"/>
    <x v="12"/>
    <x v="1"/>
    <x v="6"/>
    <x v="90"/>
    <x v="0"/>
    <x v="54"/>
    <x v="1"/>
  </r>
  <r>
    <x v="71"/>
    <x v="67"/>
    <x v="4"/>
    <x v="25"/>
    <x v="3"/>
    <x v="0"/>
    <x v="3"/>
    <x v="5"/>
    <x v="2"/>
    <x v="2"/>
    <x v="32"/>
    <x v="0"/>
    <x v="1"/>
    <x v="12"/>
    <x v="4"/>
    <x v="0"/>
    <x v="0"/>
    <x v="0"/>
    <x v="0"/>
    <x v="0"/>
    <x v="0"/>
    <x v="0"/>
    <x v="43"/>
    <x v="0"/>
    <x v="2"/>
    <x v="3"/>
    <x v="19"/>
    <x v="4"/>
    <x v="4"/>
    <x v="0"/>
    <x v="0"/>
    <x v="48"/>
    <x v="13"/>
    <x v="15"/>
    <x v="15"/>
    <x v="24"/>
    <x v="11"/>
    <x v="6"/>
    <x v="0"/>
    <x v="6"/>
    <x v="16"/>
    <x v="6"/>
    <x v="6"/>
    <x v="41"/>
    <x v="8"/>
    <x v="22"/>
    <x v="21"/>
    <x v="0"/>
    <x v="8"/>
    <x v="4"/>
    <x v="16"/>
    <x v="6"/>
    <x v="8"/>
    <x v="4"/>
    <x v="13"/>
    <x v="4"/>
    <x v="40"/>
    <x v="16"/>
    <x v="0"/>
    <x v="5"/>
    <x v="13"/>
    <x v="15"/>
    <x v="28"/>
    <x v="32"/>
    <x v="2"/>
    <x v="1"/>
    <x v="1"/>
    <x v="1"/>
    <x v="40"/>
    <x v="0"/>
    <x v="6"/>
    <x v="5"/>
    <x v="1"/>
    <x v="9"/>
    <x v="3"/>
    <x v="5"/>
    <x v="2"/>
    <x v="5"/>
    <x v="14"/>
    <x v="8"/>
    <x v="9"/>
    <x v="1"/>
    <x v="4"/>
    <x v="66"/>
    <x v="0"/>
    <x v="50"/>
    <x v="1"/>
  </r>
  <r>
    <x v="72"/>
    <x v="68"/>
    <x v="5"/>
    <x v="1"/>
    <x v="3"/>
    <x v="0"/>
    <x v="3"/>
    <x v="5"/>
    <x v="2"/>
    <x v="2"/>
    <x v="32"/>
    <x v="0"/>
    <x v="2"/>
    <x v="12"/>
    <x v="4"/>
    <x v="0"/>
    <x v="0"/>
    <x v="0"/>
    <x v="0"/>
    <x v="0"/>
    <x v="0"/>
    <x v="0"/>
    <x v="51"/>
    <x v="0"/>
    <x v="2"/>
    <x v="3"/>
    <x v="15"/>
    <x v="4"/>
    <x v="4"/>
    <x v="0"/>
    <x v="0"/>
    <x v="48"/>
    <x v="13"/>
    <x v="15"/>
    <x v="15"/>
    <x v="24"/>
    <x v="11"/>
    <x v="6"/>
    <x v="0"/>
    <x v="6"/>
    <x v="16"/>
    <x v="6"/>
    <x v="6"/>
    <x v="42"/>
    <x v="8"/>
    <x v="16"/>
    <x v="21"/>
    <x v="0"/>
    <x v="8"/>
    <x v="4"/>
    <x v="16"/>
    <x v="6"/>
    <x v="8"/>
    <x v="4"/>
    <x v="13"/>
    <x v="4"/>
    <x v="40"/>
    <x v="24"/>
    <x v="0"/>
    <x v="5"/>
    <x v="16"/>
    <x v="17"/>
    <x v="31"/>
    <x v="34"/>
    <x v="2"/>
    <x v="1"/>
    <x v="1"/>
    <x v="1"/>
    <x v="39"/>
    <x v="0"/>
    <x v="6"/>
    <x v="5"/>
    <x v="1"/>
    <x v="9"/>
    <x v="3"/>
    <x v="5"/>
    <x v="2"/>
    <x v="5"/>
    <x v="14"/>
    <x v="8"/>
    <x v="12"/>
    <x v="1"/>
    <x v="6"/>
    <x v="66"/>
    <x v="0"/>
    <x v="53"/>
    <x v="1"/>
  </r>
  <r>
    <x v="73"/>
    <x v="69"/>
    <x v="6"/>
    <x v="1"/>
    <x v="3"/>
    <x v="0"/>
    <x v="3"/>
    <x v="5"/>
    <x v="2"/>
    <x v="2"/>
    <x v="32"/>
    <x v="0"/>
    <x v="3"/>
    <x v="12"/>
    <x v="4"/>
    <x v="0"/>
    <x v="0"/>
    <x v="0"/>
    <x v="0"/>
    <x v="0"/>
    <x v="0"/>
    <x v="0"/>
    <x v="58"/>
    <x v="0"/>
    <x v="2"/>
    <x v="3"/>
    <x v="13"/>
    <x v="4"/>
    <x v="4"/>
    <x v="0"/>
    <x v="0"/>
    <x v="48"/>
    <x v="13"/>
    <x v="15"/>
    <x v="15"/>
    <x v="24"/>
    <x v="11"/>
    <x v="6"/>
    <x v="0"/>
    <x v="6"/>
    <x v="16"/>
    <x v="6"/>
    <x v="6"/>
    <x v="43"/>
    <x v="8"/>
    <x v="2"/>
    <x v="21"/>
    <x v="0"/>
    <x v="8"/>
    <x v="4"/>
    <x v="16"/>
    <x v="6"/>
    <x v="8"/>
    <x v="4"/>
    <x v="13"/>
    <x v="4"/>
    <x v="40"/>
    <x v="37"/>
    <x v="0"/>
    <x v="5"/>
    <x v="17"/>
    <x v="20"/>
    <x v="32"/>
    <x v="37"/>
    <x v="2"/>
    <x v="1"/>
    <x v="1"/>
    <x v="1"/>
    <x v="38"/>
    <x v="0"/>
    <x v="6"/>
    <x v="5"/>
    <x v="1"/>
    <x v="9"/>
    <x v="3"/>
    <x v="5"/>
    <x v="2"/>
    <x v="5"/>
    <x v="14"/>
    <x v="8"/>
    <x v="19"/>
    <x v="1"/>
    <x v="7"/>
    <x v="66"/>
    <x v="0"/>
    <x v="56"/>
    <x v="1"/>
  </r>
  <r>
    <x v="74"/>
    <x v="70"/>
    <x v="7"/>
    <x v="1"/>
    <x v="3"/>
    <x v="0"/>
    <x v="3"/>
    <x v="5"/>
    <x v="2"/>
    <x v="2"/>
    <x v="32"/>
    <x v="0"/>
    <x v="4"/>
    <x v="12"/>
    <x v="4"/>
    <x v="0"/>
    <x v="0"/>
    <x v="0"/>
    <x v="0"/>
    <x v="0"/>
    <x v="0"/>
    <x v="0"/>
    <x v="62"/>
    <x v="0"/>
    <x v="2"/>
    <x v="3"/>
    <x v="10"/>
    <x v="4"/>
    <x v="4"/>
    <x v="0"/>
    <x v="0"/>
    <x v="48"/>
    <x v="13"/>
    <x v="15"/>
    <x v="15"/>
    <x v="24"/>
    <x v="11"/>
    <x v="6"/>
    <x v="0"/>
    <x v="6"/>
    <x v="16"/>
    <x v="6"/>
    <x v="6"/>
    <x v="44"/>
    <x v="8"/>
    <x v="3"/>
    <x v="21"/>
    <x v="0"/>
    <x v="8"/>
    <x v="4"/>
    <x v="16"/>
    <x v="6"/>
    <x v="8"/>
    <x v="4"/>
    <x v="13"/>
    <x v="4"/>
    <x v="40"/>
    <x v="47"/>
    <x v="0"/>
    <x v="5"/>
    <x v="19"/>
    <x v="21"/>
    <x v="34"/>
    <x v="38"/>
    <x v="2"/>
    <x v="1"/>
    <x v="1"/>
    <x v="1"/>
    <x v="37"/>
    <x v="0"/>
    <x v="6"/>
    <x v="5"/>
    <x v="1"/>
    <x v="9"/>
    <x v="3"/>
    <x v="5"/>
    <x v="2"/>
    <x v="5"/>
    <x v="14"/>
    <x v="8"/>
    <x v="22"/>
    <x v="1"/>
    <x v="8"/>
    <x v="66"/>
    <x v="0"/>
    <x v="61"/>
    <x v="1"/>
  </r>
  <r>
    <x v="75"/>
    <x v="71"/>
    <x v="8"/>
    <x v="1"/>
    <x v="3"/>
    <x v="0"/>
    <x v="3"/>
    <x v="5"/>
    <x v="2"/>
    <x v="2"/>
    <x v="32"/>
    <x v="0"/>
    <x v="5"/>
    <x v="12"/>
    <x v="4"/>
    <x v="0"/>
    <x v="0"/>
    <x v="0"/>
    <x v="0"/>
    <x v="0"/>
    <x v="0"/>
    <x v="0"/>
    <x v="68"/>
    <x v="0"/>
    <x v="2"/>
    <x v="3"/>
    <x v="7"/>
    <x v="4"/>
    <x v="4"/>
    <x v="0"/>
    <x v="0"/>
    <x v="48"/>
    <x v="13"/>
    <x v="15"/>
    <x v="15"/>
    <x v="24"/>
    <x v="11"/>
    <x v="6"/>
    <x v="0"/>
    <x v="6"/>
    <x v="16"/>
    <x v="6"/>
    <x v="6"/>
    <x v="45"/>
    <x v="8"/>
    <x v="4"/>
    <x v="21"/>
    <x v="0"/>
    <x v="8"/>
    <x v="4"/>
    <x v="16"/>
    <x v="6"/>
    <x v="8"/>
    <x v="4"/>
    <x v="13"/>
    <x v="4"/>
    <x v="40"/>
    <x v="54"/>
    <x v="0"/>
    <x v="5"/>
    <x v="22"/>
    <x v="22"/>
    <x v="37"/>
    <x v="39"/>
    <x v="2"/>
    <x v="1"/>
    <x v="1"/>
    <x v="1"/>
    <x v="36"/>
    <x v="0"/>
    <x v="6"/>
    <x v="5"/>
    <x v="1"/>
    <x v="9"/>
    <x v="3"/>
    <x v="5"/>
    <x v="2"/>
    <x v="5"/>
    <x v="14"/>
    <x v="8"/>
    <x v="24"/>
    <x v="1"/>
    <x v="9"/>
    <x v="66"/>
    <x v="0"/>
    <x v="62"/>
    <x v="1"/>
  </r>
  <r>
    <x v="76"/>
    <x v="72"/>
    <x v="9"/>
    <x v="25"/>
    <x v="4"/>
    <x v="0"/>
    <x v="3"/>
    <x v="5"/>
    <x v="2"/>
    <x v="4"/>
    <x v="32"/>
    <x v="0"/>
    <x v="4"/>
    <x v="18"/>
    <x v="4"/>
    <x v="0"/>
    <x v="0"/>
    <x v="0"/>
    <x v="0"/>
    <x v="0"/>
    <x v="0"/>
    <x v="0"/>
    <x v="64"/>
    <x v="0"/>
    <x v="2"/>
    <x v="3"/>
    <x v="9"/>
    <x v="4"/>
    <x v="4"/>
    <x v="0"/>
    <x v="0"/>
    <x v="48"/>
    <x v="5"/>
    <x v="15"/>
    <x v="15"/>
    <x v="33"/>
    <x v="3"/>
    <x v="4"/>
    <x v="0"/>
    <x v="4"/>
    <x v="16"/>
    <x v="1"/>
    <x v="0"/>
    <x v="46"/>
    <x v="8"/>
    <x v="11"/>
    <x v="21"/>
    <x v="0"/>
    <x v="8"/>
    <x v="4"/>
    <x v="8"/>
    <x v="6"/>
    <x v="8"/>
    <x v="4"/>
    <x v="19"/>
    <x v="4"/>
    <x v="38"/>
    <x v="56"/>
    <x v="0"/>
    <x v="5"/>
    <x v="25"/>
    <x v="23"/>
    <x v="40"/>
    <x v="40"/>
    <x v="2"/>
    <x v="1"/>
    <x v="1"/>
    <x v="1"/>
    <x v="48"/>
    <x v="0"/>
    <x v="6"/>
    <x v="5"/>
    <x v="1"/>
    <x v="9"/>
    <x v="3"/>
    <x v="5"/>
    <x v="0"/>
    <x v="5"/>
    <x v="2"/>
    <x v="8"/>
    <x v="21"/>
    <x v="1"/>
    <x v="8"/>
    <x v="65"/>
    <x v="0"/>
    <x v="60"/>
    <x v="1"/>
  </r>
  <r>
    <x v="77"/>
    <x v="73"/>
    <x v="3"/>
    <x v="25"/>
    <x v="5"/>
    <x v="0"/>
    <x v="1"/>
    <x v="5"/>
    <x v="2"/>
    <x v="4"/>
    <x v="32"/>
    <x v="0"/>
    <x v="13"/>
    <x v="18"/>
    <x v="4"/>
    <x v="0"/>
    <x v="0"/>
    <x v="0"/>
    <x v="0"/>
    <x v="0"/>
    <x v="0"/>
    <x v="0"/>
    <x v="33"/>
    <x v="0"/>
    <x v="2"/>
    <x v="3"/>
    <x v="22"/>
    <x v="4"/>
    <x v="4"/>
    <x v="0"/>
    <x v="0"/>
    <x v="48"/>
    <x v="5"/>
    <x v="15"/>
    <x v="15"/>
    <x v="33"/>
    <x v="3"/>
    <x v="4"/>
    <x v="0"/>
    <x v="4"/>
    <x v="16"/>
    <x v="6"/>
    <x v="6"/>
    <x v="71"/>
    <x v="8"/>
    <x v="36"/>
    <x v="22"/>
    <x v="0"/>
    <x v="8"/>
    <x v="4"/>
    <x v="8"/>
    <x v="6"/>
    <x v="8"/>
    <x v="4"/>
    <x v="19"/>
    <x v="4"/>
    <x v="38"/>
    <x v="7"/>
    <x v="0"/>
    <x v="8"/>
    <x v="26"/>
    <x v="16"/>
    <x v="41"/>
    <x v="33"/>
    <x v="2"/>
    <x v="1"/>
    <x v="1"/>
    <x v="1"/>
    <x v="48"/>
    <x v="0"/>
    <x v="6"/>
    <x v="5"/>
    <x v="1"/>
    <x v="9"/>
    <x v="3"/>
    <x v="4"/>
    <x v="0"/>
    <x v="5"/>
    <x v="2"/>
    <x v="8"/>
    <x v="2"/>
    <x v="1"/>
    <x v="0"/>
    <x v="72"/>
    <x v="0"/>
    <x v="40"/>
    <x v="1"/>
  </r>
  <r>
    <x v="94"/>
    <x v="107"/>
    <x v="22"/>
    <x v="25"/>
    <x v="14"/>
    <x v="0"/>
    <x v="1"/>
    <x v="2"/>
    <x v="3"/>
    <x v="5"/>
    <x v="2"/>
    <x v="7"/>
    <x v="13"/>
    <x v="1"/>
    <x v="4"/>
    <x v="0"/>
    <x v="0"/>
    <x v="0"/>
    <x v="0"/>
    <x v="0"/>
    <x v="0"/>
    <x v="0"/>
    <x v="1"/>
    <x v="0"/>
    <x v="2"/>
    <x v="1"/>
    <x v="58"/>
    <x v="0"/>
    <x v="0"/>
    <x v="0"/>
    <x v="0"/>
    <x v="0"/>
    <x v="0"/>
    <x v="0"/>
    <x v="1"/>
    <x v="0"/>
    <x v="41"/>
    <x v="0"/>
    <x v="0"/>
    <x v="0"/>
    <x v="16"/>
    <x v="6"/>
    <x v="6"/>
    <x v="71"/>
    <x v="8"/>
    <x v="36"/>
    <x v="35"/>
    <x v="0"/>
    <x v="8"/>
    <x v="15"/>
    <x v="21"/>
    <x v="5"/>
    <x v="11"/>
    <x v="0"/>
    <x v="2"/>
    <x v="2"/>
    <x v="37"/>
    <x v="0"/>
    <x v="2"/>
    <x v="7"/>
    <x v="0"/>
    <x v="1"/>
    <x v="7"/>
    <x v="13"/>
    <x v="2"/>
    <x v="1"/>
    <x v="1"/>
    <x v="1"/>
    <x v="48"/>
    <x v="0"/>
    <x v="6"/>
    <x v="4"/>
    <x v="6"/>
    <x v="9"/>
    <x v="3"/>
    <x v="8"/>
    <x v="0"/>
    <x v="1"/>
    <x v="1"/>
    <x v="2"/>
    <x v="0"/>
    <x v="7"/>
    <x v="0"/>
    <x v="0"/>
    <x v="0"/>
    <x v="77"/>
    <x v="1"/>
  </r>
  <r>
    <x v="95"/>
    <x v="108"/>
    <x v="23"/>
    <x v="25"/>
    <x v="15"/>
    <x v="0"/>
    <x v="1"/>
    <x v="2"/>
    <x v="3"/>
    <x v="6"/>
    <x v="5"/>
    <x v="11"/>
    <x v="13"/>
    <x v="2"/>
    <x v="4"/>
    <x v="0"/>
    <x v="0"/>
    <x v="0"/>
    <x v="0"/>
    <x v="0"/>
    <x v="0"/>
    <x v="0"/>
    <x v="8"/>
    <x v="0"/>
    <x v="2"/>
    <x v="5"/>
    <x v="69"/>
    <x v="1"/>
    <x v="1"/>
    <x v="0"/>
    <x v="0"/>
    <x v="3"/>
    <x v="1"/>
    <x v="0"/>
    <x v="1"/>
    <x v="0"/>
    <x v="42"/>
    <x v="1"/>
    <x v="0"/>
    <x v="1"/>
    <x v="16"/>
    <x v="6"/>
    <x v="6"/>
    <x v="71"/>
    <x v="8"/>
    <x v="36"/>
    <x v="35"/>
    <x v="0"/>
    <x v="8"/>
    <x v="15"/>
    <x v="23"/>
    <x v="5"/>
    <x v="11"/>
    <x v="1"/>
    <x v="3"/>
    <x v="6"/>
    <x v="36"/>
    <x v="0"/>
    <x v="2"/>
    <x v="7"/>
    <x v="4"/>
    <x v="2"/>
    <x v="16"/>
    <x v="14"/>
    <x v="2"/>
    <x v="1"/>
    <x v="1"/>
    <x v="1"/>
    <x v="48"/>
    <x v="0"/>
    <x v="6"/>
    <x v="4"/>
    <x v="6"/>
    <x v="9"/>
    <x v="3"/>
    <x v="8"/>
    <x v="0"/>
    <x v="1"/>
    <x v="1"/>
    <x v="2"/>
    <x v="1"/>
    <x v="7"/>
    <x v="0"/>
    <x v="9"/>
    <x v="0"/>
    <x v="78"/>
    <x v="1"/>
  </r>
  <r>
    <x v="6"/>
    <x v="38"/>
    <x v="55"/>
    <x v="25"/>
    <x v="5"/>
    <x v="0"/>
    <x v="3"/>
    <x v="2"/>
    <x v="3"/>
    <x v="8"/>
    <x v="17"/>
    <x v="17"/>
    <x v="3"/>
    <x v="18"/>
    <x v="4"/>
    <x v="0"/>
    <x v="0"/>
    <x v="0"/>
    <x v="0"/>
    <x v="0"/>
    <x v="0"/>
    <x v="0"/>
    <x v="69"/>
    <x v="0"/>
    <x v="2"/>
    <x v="8"/>
    <x v="16"/>
    <x v="5"/>
    <x v="5"/>
    <x v="0"/>
    <x v="0"/>
    <x v="19"/>
    <x v="15"/>
    <x v="1"/>
    <x v="5"/>
    <x v="14"/>
    <x v="15"/>
    <x v="7"/>
    <x v="0"/>
    <x v="7"/>
    <x v="9"/>
    <x v="6"/>
    <x v="6"/>
    <x v="14"/>
    <x v="8"/>
    <x v="27"/>
    <x v="9"/>
    <x v="0"/>
    <x v="8"/>
    <x v="13"/>
    <x v="20"/>
    <x v="6"/>
    <x v="10"/>
    <x v="5"/>
    <x v="19"/>
    <x v="9"/>
    <x v="34"/>
    <x v="25"/>
    <x v="2"/>
    <x v="4"/>
    <x v="23"/>
    <x v="33"/>
    <x v="38"/>
    <x v="50"/>
    <x v="2"/>
    <x v="1"/>
    <x v="1"/>
    <x v="1"/>
    <x v="24"/>
    <x v="0"/>
    <x v="6"/>
    <x v="1"/>
    <x v="6"/>
    <x v="9"/>
    <x v="3"/>
    <x v="5"/>
    <x v="1"/>
    <x v="2"/>
    <x v="6"/>
    <x v="2"/>
    <x v="20"/>
    <x v="7"/>
    <x v="7"/>
    <x v="22"/>
    <x v="0"/>
    <x v="101"/>
    <x v="1"/>
  </r>
  <r>
    <x v="7"/>
    <x v="39"/>
    <x v="56"/>
    <x v="9"/>
    <x v="6"/>
    <x v="0"/>
    <x v="3"/>
    <x v="2"/>
    <x v="3"/>
    <x v="8"/>
    <x v="17"/>
    <x v="17"/>
    <x v="5"/>
    <x v="18"/>
    <x v="4"/>
    <x v="0"/>
    <x v="0"/>
    <x v="0"/>
    <x v="0"/>
    <x v="0"/>
    <x v="0"/>
    <x v="0"/>
    <x v="78"/>
    <x v="0"/>
    <x v="2"/>
    <x v="8"/>
    <x v="12"/>
    <x v="5"/>
    <x v="5"/>
    <x v="0"/>
    <x v="0"/>
    <x v="19"/>
    <x v="15"/>
    <x v="1"/>
    <x v="5"/>
    <x v="19"/>
    <x v="15"/>
    <x v="7"/>
    <x v="0"/>
    <x v="7"/>
    <x v="10"/>
    <x v="6"/>
    <x v="6"/>
    <x v="13"/>
    <x v="8"/>
    <x v="4"/>
    <x v="9"/>
    <x v="0"/>
    <x v="8"/>
    <x v="13"/>
    <x v="20"/>
    <x v="6"/>
    <x v="10"/>
    <x v="5"/>
    <x v="19"/>
    <x v="9"/>
    <x v="34"/>
    <x v="48"/>
    <x v="2"/>
    <x v="4"/>
    <x v="27"/>
    <x v="39"/>
    <x v="42"/>
    <x v="56"/>
    <x v="2"/>
    <x v="1"/>
    <x v="1"/>
    <x v="1"/>
    <x v="23"/>
    <x v="0"/>
    <x v="6"/>
    <x v="1"/>
    <x v="6"/>
    <x v="9"/>
    <x v="3"/>
    <x v="5"/>
    <x v="1"/>
    <x v="2"/>
    <x v="6"/>
    <x v="2"/>
    <x v="26"/>
    <x v="7"/>
    <x v="9"/>
    <x v="22"/>
    <x v="0"/>
    <x v="107"/>
    <x v="1"/>
  </r>
  <r>
    <x v="9"/>
    <x v="41"/>
    <x v="57"/>
    <x v="25"/>
    <x v="7"/>
    <x v="0"/>
    <x v="3"/>
    <x v="2"/>
    <x v="3"/>
    <x v="9"/>
    <x v="17"/>
    <x v="17"/>
    <x v="2"/>
    <x v="12"/>
    <x v="4"/>
    <x v="0"/>
    <x v="0"/>
    <x v="0"/>
    <x v="0"/>
    <x v="0"/>
    <x v="0"/>
    <x v="0"/>
    <x v="31"/>
    <x v="0"/>
    <x v="2"/>
    <x v="8"/>
    <x v="46"/>
    <x v="5"/>
    <x v="5"/>
    <x v="0"/>
    <x v="0"/>
    <x v="27"/>
    <x v="19"/>
    <x v="5"/>
    <x v="5"/>
    <x v="27"/>
    <x v="23"/>
    <x v="8"/>
    <x v="0"/>
    <x v="8"/>
    <x v="16"/>
    <x v="6"/>
    <x v="6"/>
    <x v="15"/>
    <x v="8"/>
    <x v="29"/>
    <x v="10"/>
    <x v="0"/>
    <x v="8"/>
    <x v="13"/>
    <x v="19"/>
    <x v="6"/>
    <x v="10"/>
    <x v="5"/>
    <x v="13"/>
    <x v="9"/>
    <x v="33"/>
    <x v="27"/>
    <x v="2"/>
    <x v="4"/>
    <x v="21"/>
    <x v="30"/>
    <x v="36"/>
    <x v="47"/>
    <x v="2"/>
    <x v="1"/>
    <x v="1"/>
    <x v="1"/>
    <x v="25"/>
    <x v="0"/>
    <x v="6"/>
    <x v="1"/>
    <x v="6"/>
    <x v="9"/>
    <x v="3"/>
    <x v="5"/>
    <x v="1"/>
    <x v="2"/>
    <x v="6"/>
    <x v="2"/>
    <x v="17"/>
    <x v="7"/>
    <x v="6"/>
    <x v="23"/>
    <x v="0"/>
    <x v="96"/>
    <x v="1"/>
  </r>
  <r>
    <x v="8"/>
    <x v="40"/>
    <x v="58"/>
    <x v="10"/>
    <x v="8"/>
    <x v="0"/>
    <x v="3"/>
    <x v="2"/>
    <x v="3"/>
    <x v="9"/>
    <x v="17"/>
    <x v="17"/>
    <x v="1"/>
    <x v="12"/>
    <x v="4"/>
    <x v="0"/>
    <x v="0"/>
    <x v="0"/>
    <x v="0"/>
    <x v="0"/>
    <x v="0"/>
    <x v="0"/>
    <x v="31"/>
    <x v="0"/>
    <x v="2"/>
    <x v="8"/>
    <x v="46"/>
    <x v="5"/>
    <x v="5"/>
    <x v="0"/>
    <x v="0"/>
    <x v="27"/>
    <x v="19"/>
    <x v="5"/>
    <x v="5"/>
    <x v="27"/>
    <x v="23"/>
    <x v="8"/>
    <x v="0"/>
    <x v="8"/>
    <x v="16"/>
    <x v="6"/>
    <x v="6"/>
    <x v="16"/>
    <x v="8"/>
    <x v="1"/>
    <x v="10"/>
    <x v="0"/>
    <x v="8"/>
    <x v="13"/>
    <x v="19"/>
    <x v="6"/>
    <x v="10"/>
    <x v="5"/>
    <x v="13"/>
    <x v="9"/>
    <x v="33"/>
    <x v="18"/>
    <x v="2"/>
    <x v="4"/>
    <x v="18"/>
    <x v="26"/>
    <x v="33"/>
    <x v="43"/>
    <x v="2"/>
    <x v="1"/>
    <x v="1"/>
    <x v="1"/>
    <x v="26"/>
    <x v="0"/>
    <x v="6"/>
    <x v="1"/>
    <x v="6"/>
    <x v="9"/>
    <x v="3"/>
    <x v="5"/>
    <x v="1"/>
    <x v="2"/>
    <x v="6"/>
    <x v="2"/>
    <x v="10"/>
    <x v="7"/>
    <x v="4"/>
    <x v="23"/>
    <x v="0"/>
    <x v="88"/>
    <x v="1"/>
  </r>
  <r>
    <x v="37"/>
    <x v="43"/>
    <x v="59"/>
    <x v="25"/>
    <x v="10"/>
    <x v="0"/>
    <x v="3"/>
    <x v="2"/>
    <x v="3"/>
    <x v="21"/>
    <x v="25"/>
    <x v="19"/>
    <x v="3"/>
    <x v="18"/>
    <x v="4"/>
    <x v="0"/>
    <x v="0"/>
    <x v="0"/>
    <x v="0"/>
    <x v="0"/>
    <x v="0"/>
    <x v="0"/>
    <x v="61"/>
    <x v="0"/>
    <x v="2"/>
    <x v="9"/>
    <x v="20"/>
    <x v="8"/>
    <x v="8"/>
    <x v="0"/>
    <x v="0"/>
    <x v="30"/>
    <x v="19"/>
    <x v="1"/>
    <x v="5"/>
    <x v="35"/>
    <x v="21"/>
    <x v="8"/>
    <x v="0"/>
    <x v="8"/>
    <x v="1"/>
    <x v="6"/>
    <x v="6"/>
    <x v="19"/>
    <x v="8"/>
    <x v="33"/>
    <x v="11"/>
    <x v="0"/>
    <x v="8"/>
    <x v="13"/>
    <x v="4"/>
    <x v="8"/>
    <x v="22"/>
    <x v="8"/>
    <x v="19"/>
    <x v="10"/>
    <x v="21"/>
    <x v="50"/>
    <x v="2"/>
    <x v="4"/>
    <x v="39"/>
    <x v="50"/>
    <x v="53"/>
    <x v="66"/>
    <x v="2"/>
    <x v="1"/>
    <x v="1"/>
    <x v="1"/>
    <x v="27"/>
    <x v="0"/>
    <x v="6"/>
    <x v="1"/>
    <x v="6"/>
    <x v="9"/>
    <x v="3"/>
    <x v="5"/>
    <x v="3"/>
    <x v="2"/>
    <x v="17"/>
    <x v="2"/>
    <x v="21"/>
    <x v="7"/>
    <x v="7"/>
    <x v="49"/>
    <x v="0"/>
    <x v="102"/>
    <x v="1"/>
  </r>
  <r>
    <x v="36"/>
    <x v="42"/>
    <x v="60"/>
    <x v="11"/>
    <x v="11"/>
    <x v="0"/>
    <x v="3"/>
    <x v="2"/>
    <x v="3"/>
    <x v="21"/>
    <x v="25"/>
    <x v="19"/>
    <x v="2"/>
    <x v="18"/>
    <x v="4"/>
    <x v="0"/>
    <x v="0"/>
    <x v="0"/>
    <x v="0"/>
    <x v="0"/>
    <x v="0"/>
    <x v="0"/>
    <x v="55"/>
    <x v="0"/>
    <x v="2"/>
    <x v="9"/>
    <x v="23"/>
    <x v="8"/>
    <x v="8"/>
    <x v="0"/>
    <x v="0"/>
    <x v="30"/>
    <x v="19"/>
    <x v="1"/>
    <x v="5"/>
    <x v="38"/>
    <x v="21"/>
    <x v="8"/>
    <x v="0"/>
    <x v="8"/>
    <x v="7"/>
    <x v="6"/>
    <x v="6"/>
    <x v="20"/>
    <x v="8"/>
    <x v="21"/>
    <x v="12"/>
    <x v="0"/>
    <x v="8"/>
    <x v="13"/>
    <x v="4"/>
    <x v="8"/>
    <x v="22"/>
    <x v="8"/>
    <x v="19"/>
    <x v="10"/>
    <x v="21"/>
    <x v="39"/>
    <x v="2"/>
    <x v="4"/>
    <x v="36"/>
    <x v="47"/>
    <x v="50"/>
    <x v="64"/>
    <x v="2"/>
    <x v="1"/>
    <x v="1"/>
    <x v="1"/>
    <x v="28"/>
    <x v="0"/>
    <x v="6"/>
    <x v="1"/>
    <x v="6"/>
    <x v="9"/>
    <x v="3"/>
    <x v="5"/>
    <x v="3"/>
    <x v="2"/>
    <x v="17"/>
    <x v="2"/>
    <x v="17"/>
    <x v="7"/>
    <x v="6"/>
    <x v="50"/>
    <x v="0"/>
    <x v="97"/>
    <x v="1"/>
  </r>
  <r>
    <x v="85"/>
    <x v="9"/>
    <x v="62"/>
    <x v="25"/>
    <x v="9"/>
    <x v="0"/>
    <x v="3"/>
    <x v="2"/>
    <x v="3"/>
    <x v="12"/>
    <x v="32"/>
    <x v="4"/>
    <x v="5"/>
    <x v="18"/>
    <x v="4"/>
    <x v="0"/>
    <x v="0"/>
    <x v="0"/>
    <x v="0"/>
    <x v="0"/>
    <x v="0"/>
    <x v="0"/>
    <x v="81"/>
    <x v="0"/>
    <x v="0"/>
    <x v="16"/>
    <x v="18"/>
    <x v="8"/>
    <x v="8"/>
    <x v="0"/>
    <x v="0"/>
    <x v="34"/>
    <x v="19"/>
    <x v="13"/>
    <x v="5"/>
    <x v="13"/>
    <x v="28"/>
    <x v="8"/>
    <x v="0"/>
    <x v="8"/>
    <x v="11"/>
    <x v="6"/>
    <x v="6"/>
    <x v="6"/>
    <x v="8"/>
    <x v="23"/>
    <x v="3"/>
    <x v="0"/>
    <x v="8"/>
    <x v="3"/>
    <x v="2"/>
    <x v="6"/>
    <x v="10"/>
    <x v="8"/>
    <x v="19"/>
    <x v="17"/>
    <x v="30"/>
    <x v="43"/>
    <x v="2"/>
    <x v="4"/>
    <x v="33"/>
    <x v="45"/>
    <x v="47"/>
    <x v="62"/>
    <x v="2"/>
    <x v="1"/>
    <x v="1"/>
    <x v="1"/>
    <x v="48"/>
    <x v="0"/>
    <x v="4"/>
    <x v="1"/>
    <x v="3"/>
    <x v="9"/>
    <x v="3"/>
    <x v="5"/>
    <x v="1"/>
    <x v="4"/>
    <x v="7"/>
    <x v="2"/>
    <x v="28"/>
    <x v="7"/>
    <x v="9"/>
    <x v="41"/>
    <x v="2"/>
    <x v="108"/>
    <x v="1"/>
  </r>
  <r>
    <x v="85"/>
    <x v="10"/>
    <x v="61"/>
    <x v="12"/>
    <x v="9"/>
    <x v="0"/>
    <x v="3"/>
    <x v="2"/>
    <x v="3"/>
    <x v="12"/>
    <x v="32"/>
    <x v="4"/>
    <x v="7"/>
    <x v="18"/>
    <x v="4"/>
    <x v="0"/>
    <x v="0"/>
    <x v="0"/>
    <x v="0"/>
    <x v="0"/>
    <x v="0"/>
    <x v="0"/>
    <x v="82"/>
    <x v="0"/>
    <x v="0"/>
    <x v="16"/>
    <x v="14"/>
    <x v="8"/>
    <x v="8"/>
    <x v="0"/>
    <x v="0"/>
    <x v="34"/>
    <x v="19"/>
    <x v="13"/>
    <x v="5"/>
    <x v="15"/>
    <x v="28"/>
    <x v="8"/>
    <x v="0"/>
    <x v="8"/>
    <x v="12"/>
    <x v="6"/>
    <x v="6"/>
    <x v="6"/>
    <x v="8"/>
    <x v="6"/>
    <x v="3"/>
    <x v="0"/>
    <x v="8"/>
    <x v="3"/>
    <x v="2"/>
    <x v="6"/>
    <x v="10"/>
    <x v="8"/>
    <x v="19"/>
    <x v="17"/>
    <x v="30"/>
    <x v="57"/>
    <x v="2"/>
    <x v="4"/>
    <x v="33"/>
    <x v="45"/>
    <x v="47"/>
    <x v="62"/>
    <x v="2"/>
    <x v="1"/>
    <x v="1"/>
    <x v="1"/>
    <x v="48"/>
    <x v="0"/>
    <x v="4"/>
    <x v="1"/>
    <x v="3"/>
    <x v="9"/>
    <x v="3"/>
    <x v="5"/>
    <x v="1"/>
    <x v="4"/>
    <x v="7"/>
    <x v="2"/>
    <x v="30"/>
    <x v="7"/>
    <x v="11"/>
    <x v="42"/>
    <x v="2"/>
    <x v="110"/>
    <x v="1"/>
  </r>
  <r>
    <x v="10"/>
    <x v="44"/>
    <x v="63"/>
    <x v="25"/>
    <x v="12"/>
    <x v="0"/>
    <x v="3"/>
    <x v="5"/>
    <x v="2"/>
    <x v="11"/>
    <x v="11"/>
    <x v="12"/>
    <x v="3"/>
    <x v="16"/>
    <x v="4"/>
    <x v="0"/>
    <x v="0"/>
    <x v="0"/>
    <x v="0"/>
    <x v="0"/>
    <x v="0"/>
    <x v="0"/>
    <x v="63"/>
    <x v="0"/>
    <x v="2"/>
    <x v="14"/>
    <x v="24"/>
    <x v="5"/>
    <x v="5"/>
    <x v="0"/>
    <x v="0"/>
    <x v="35"/>
    <x v="19"/>
    <x v="12"/>
    <x v="13"/>
    <x v="31"/>
    <x v="27"/>
    <x v="8"/>
    <x v="0"/>
    <x v="8"/>
    <x v="5"/>
    <x v="6"/>
    <x v="6"/>
    <x v="9"/>
    <x v="8"/>
    <x v="33"/>
    <x v="5"/>
    <x v="0"/>
    <x v="8"/>
    <x v="9"/>
    <x v="10"/>
    <x v="6"/>
    <x v="9"/>
    <x v="5"/>
    <x v="17"/>
    <x v="15"/>
    <x v="31"/>
    <x v="45"/>
    <x v="0"/>
    <x v="5"/>
    <x v="31"/>
    <x v="26"/>
    <x v="46"/>
    <x v="43"/>
    <x v="2"/>
    <x v="1"/>
    <x v="1"/>
    <x v="1"/>
    <x v="33"/>
    <x v="0"/>
    <x v="6"/>
    <x v="5"/>
    <x v="1"/>
    <x v="9"/>
    <x v="3"/>
    <x v="5"/>
    <x v="1"/>
    <x v="5"/>
    <x v="8"/>
    <x v="8"/>
    <x v="21"/>
    <x v="1"/>
    <x v="7"/>
    <x v="13"/>
    <x v="0"/>
    <x v="57"/>
    <x v="1"/>
  </r>
  <r>
    <x v="11"/>
    <x v="45"/>
    <x v="64"/>
    <x v="13"/>
    <x v="13"/>
    <x v="0"/>
    <x v="3"/>
    <x v="5"/>
    <x v="2"/>
    <x v="11"/>
    <x v="11"/>
    <x v="12"/>
    <x v="2"/>
    <x v="16"/>
    <x v="4"/>
    <x v="0"/>
    <x v="0"/>
    <x v="0"/>
    <x v="0"/>
    <x v="0"/>
    <x v="0"/>
    <x v="0"/>
    <x v="57"/>
    <x v="0"/>
    <x v="2"/>
    <x v="14"/>
    <x v="31"/>
    <x v="5"/>
    <x v="5"/>
    <x v="0"/>
    <x v="0"/>
    <x v="35"/>
    <x v="19"/>
    <x v="12"/>
    <x v="13"/>
    <x v="31"/>
    <x v="27"/>
    <x v="8"/>
    <x v="0"/>
    <x v="8"/>
    <x v="3"/>
    <x v="6"/>
    <x v="6"/>
    <x v="8"/>
    <x v="8"/>
    <x v="29"/>
    <x v="6"/>
    <x v="0"/>
    <x v="8"/>
    <x v="9"/>
    <x v="10"/>
    <x v="4"/>
    <x v="9"/>
    <x v="5"/>
    <x v="17"/>
    <x v="15"/>
    <x v="31"/>
    <x v="33"/>
    <x v="0"/>
    <x v="5"/>
    <x v="29"/>
    <x v="21"/>
    <x v="44"/>
    <x v="38"/>
    <x v="2"/>
    <x v="1"/>
    <x v="1"/>
    <x v="1"/>
    <x v="32"/>
    <x v="0"/>
    <x v="6"/>
    <x v="5"/>
    <x v="1"/>
    <x v="9"/>
    <x v="3"/>
    <x v="4"/>
    <x v="1"/>
    <x v="5"/>
    <x v="8"/>
    <x v="8"/>
    <x v="17"/>
    <x v="1"/>
    <x v="6"/>
    <x v="8"/>
    <x v="0"/>
    <x v="55"/>
    <x v="1"/>
  </r>
  <r>
    <x v="12"/>
    <x v="47"/>
    <x v="65"/>
    <x v="14"/>
    <x v="16"/>
    <x v="0"/>
    <x v="3"/>
    <x v="5"/>
    <x v="2"/>
    <x v="13"/>
    <x v="18"/>
    <x v="15"/>
    <x v="1"/>
    <x v="20"/>
    <x v="4"/>
    <x v="0"/>
    <x v="0"/>
    <x v="0"/>
    <x v="0"/>
    <x v="0"/>
    <x v="0"/>
    <x v="0"/>
    <x v="50"/>
    <x v="0"/>
    <x v="2"/>
    <x v="23"/>
    <x v="54"/>
    <x v="9"/>
    <x v="9"/>
    <x v="0"/>
    <x v="0"/>
    <x v="35"/>
    <x v="19"/>
    <x v="12"/>
    <x v="13"/>
    <x v="29"/>
    <x v="27"/>
    <x v="8"/>
    <x v="0"/>
    <x v="8"/>
    <x v="5"/>
    <x v="6"/>
    <x v="6"/>
    <x v="10"/>
    <x v="8"/>
    <x v="22"/>
    <x v="7"/>
    <x v="0"/>
    <x v="8"/>
    <x v="11"/>
    <x v="14"/>
    <x v="4"/>
    <x v="4"/>
    <x v="9"/>
    <x v="21"/>
    <x v="24"/>
    <x v="29"/>
    <x v="19"/>
    <x v="0"/>
    <x v="5"/>
    <x v="19"/>
    <x v="32"/>
    <x v="34"/>
    <x v="49"/>
    <x v="2"/>
    <x v="1"/>
    <x v="1"/>
    <x v="1"/>
    <x v="29"/>
    <x v="0"/>
    <x v="6"/>
    <x v="5"/>
    <x v="1"/>
    <x v="6"/>
    <x v="3"/>
    <x v="5"/>
    <x v="1"/>
    <x v="6"/>
    <x v="9"/>
    <x v="8"/>
    <x v="10"/>
    <x v="1"/>
    <x v="4"/>
    <x v="34"/>
    <x v="0"/>
    <x v="52"/>
    <x v="1"/>
  </r>
  <r>
    <x v="13"/>
    <x v="46"/>
    <x v="66"/>
    <x v="25"/>
    <x v="17"/>
    <x v="0"/>
    <x v="3"/>
    <x v="5"/>
    <x v="2"/>
    <x v="13"/>
    <x v="18"/>
    <x v="15"/>
    <x v="3"/>
    <x v="20"/>
    <x v="4"/>
    <x v="0"/>
    <x v="0"/>
    <x v="0"/>
    <x v="0"/>
    <x v="0"/>
    <x v="0"/>
    <x v="0"/>
    <x v="67"/>
    <x v="0"/>
    <x v="2"/>
    <x v="23"/>
    <x v="36"/>
    <x v="9"/>
    <x v="9"/>
    <x v="0"/>
    <x v="0"/>
    <x v="35"/>
    <x v="19"/>
    <x v="12"/>
    <x v="13"/>
    <x v="18"/>
    <x v="27"/>
    <x v="8"/>
    <x v="0"/>
    <x v="8"/>
    <x v="5"/>
    <x v="6"/>
    <x v="6"/>
    <x v="11"/>
    <x v="8"/>
    <x v="30"/>
    <x v="8"/>
    <x v="0"/>
    <x v="8"/>
    <x v="11"/>
    <x v="14"/>
    <x v="11"/>
    <x v="10"/>
    <x v="9"/>
    <x v="21"/>
    <x v="24"/>
    <x v="29"/>
    <x v="29"/>
    <x v="0"/>
    <x v="5"/>
    <x v="44"/>
    <x v="54"/>
    <x v="58"/>
    <x v="69"/>
    <x v="2"/>
    <x v="1"/>
    <x v="1"/>
    <x v="1"/>
    <x v="31"/>
    <x v="0"/>
    <x v="6"/>
    <x v="5"/>
    <x v="1"/>
    <x v="6"/>
    <x v="0"/>
    <x v="5"/>
    <x v="1"/>
    <x v="6"/>
    <x v="9"/>
    <x v="8"/>
    <x v="21"/>
    <x v="1"/>
    <x v="7"/>
    <x v="35"/>
    <x v="5"/>
    <x v="59"/>
    <x v="1"/>
  </r>
  <r>
    <x v="14"/>
    <x v="48"/>
    <x v="67"/>
    <x v="14"/>
    <x v="18"/>
    <x v="0"/>
    <x v="3"/>
    <x v="5"/>
    <x v="2"/>
    <x v="13"/>
    <x v="18"/>
    <x v="15"/>
    <x v="3"/>
    <x v="20"/>
    <x v="4"/>
    <x v="0"/>
    <x v="0"/>
    <x v="0"/>
    <x v="0"/>
    <x v="0"/>
    <x v="0"/>
    <x v="0"/>
    <x v="66"/>
    <x v="0"/>
    <x v="2"/>
    <x v="23"/>
    <x v="38"/>
    <x v="9"/>
    <x v="9"/>
    <x v="0"/>
    <x v="0"/>
    <x v="35"/>
    <x v="19"/>
    <x v="12"/>
    <x v="13"/>
    <x v="28"/>
    <x v="27"/>
    <x v="8"/>
    <x v="0"/>
    <x v="8"/>
    <x v="5"/>
    <x v="6"/>
    <x v="6"/>
    <x v="12"/>
    <x v="8"/>
    <x v="13"/>
    <x v="8"/>
    <x v="0"/>
    <x v="8"/>
    <x v="11"/>
    <x v="14"/>
    <x v="6"/>
    <x v="7"/>
    <x v="9"/>
    <x v="21"/>
    <x v="24"/>
    <x v="29"/>
    <x v="42"/>
    <x v="0"/>
    <x v="5"/>
    <x v="36"/>
    <x v="40"/>
    <x v="50"/>
    <x v="57"/>
    <x v="2"/>
    <x v="1"/>
    <x v="1"/>
    <x v="1"/>
    <x v="30"/>
    <x v="0"/>
    <x v="6"/>
    <x v="5"/>
    <x v="1"/>
    <x v="6"/>
    <x v="3"/>
    <x v="5"/>
    <x v="1"/>
    <x v="6"/>
    <x v="9"/>
    <x v="8"/>
    <x v="21"/>
    <x v="1"/>
    <x v="7"/>
    <x v="36"/>
    <x v="0"/>
    <x v="58"/>
    <x v="1"/>
  </r>
  <r>
    <x v="101"/>
    <x v="84"/>
    <x v="68"/>
    <x v="25"/>
    <x v="19"/>
    <x v="0"/>
    <x v="3"/>
    <x v="5"/>
    <x v="2"/>
    <x v="18"/>
    <x v="27"/>
    <x v="20"/>
    <x v="1"/>
    <x v="6"/>
    <x v="4"/>
    <x v="0"/>
    <x v="0"/>
    <x v="0"/>
    <x v="0"/>
    <x v="0"/>
    <x v="0"/>
    <x v="0"/>
    <x v="24"/>
    <x v="0"/>
    <x v="2"/>
    <x v="2"/>
    <x v="29"/>
    <x v="3"/>
    <x v="3"/>
    <x v="0"/>
    <x v="0"/>
    <x v="13"/>
    <x v="7"/>
    <x v="3"/>
    <x v="0"/>
    <x v="29"/>
    <x v="6"/>
    <x v="4"/>
    <x v="0"/>
    <x v="4"/>
    <x v="2"/>
    <x v="6"/>
    <x v="6"/>
    <x v="52"/>
    <x v="8"/>
    <x v="22"/>
    <x v="24"/>
    <x v="0"/>
    <x v="8"/>
    <x v="13"/>
    <x v="27"/>
    <x v="20"/>
    <x v="12"/>
    <x v="3"/>
    <x v="7"/>
    <x v="3"/>
    <x v="24"/>
    <x v="19"/>
    <x v="0"/>
    <x v="5"/>
    <x v="15"/>
    <x v="13"/>
    <x v="30"/>
    <x v="30"/>
    <x v="2"/>
    <x v="1"/>
    <x v="1"/>
    <x v="1"/>
    <x v="48"/>
    <x v="0"/>
    <x v="6"/>
    <x v="8"/>
    <x v="0"/>
    <x v="6"/>
    <x v="3"/>
    <x v="5"/>
    <x v="3"/>
    <x v="5"/>
    <x v="20"/>
    <x v="8"/>
    <x v="7"/>
    <x v="1"/>
    <x v="4"/>
    <x v="89"/>
    <x v="3"/>
    <x v="49"/>
    <x v="1"/>
  </r>
  <r>
    <x v="15"/>
    <x v="11"/>
    <x v="88"/>
    <x v="25"/>
    <x v="52"/>
    <x v="0"/>
    <x v="3"/>
    <x v="5"/>
    <x v="4"/>
    <x v="8"/>
    <x v="17"/>
    <x v="17"/>
    <x v="3"/>
    <x v="9"/>
    <x v="4"/>
    <x v="0"/>
    <x v="0"/>
    <x v="0"/>
    <x v="0"/>
    <x v="0"/>
    <x v="0"/>
    <x v="0"/>
    <x v="29"/>
    <x v="0"/>
    <x v="2"/>
    <x v="10"/>
    <x v="56"/>
    <x v="8"/>
    <x v="8"/>
    <x v="0"/>
    <x v="0"/>
    <x v="28"/>
    <x v="19"/>
    <x v="5"/>
    <x v="5"/>
    <x v="30"/>
    <x v="23"/>
    <x v="8"/>
    <x v="0"/>
    <x v="8"/>
    <x v="16"/>
    <x v="6"/>
    <x v="6"/>
    <x v="7"/>
    <x v="8"/>
    <x v="33"/>
    <x v="4"/>
    <x v="0"/>
    <x v="8"/>
    <x v="13"/>
    <x v="20"/>
    <x v="6"/>
    <x v="22"/>
    <x v="8"/>
    <x v="10"/>
    <x v="11"/>
    <x v="34"/>
    <x v="44"/>
    <x v="0"/>
    <x v="5"/>
    <x v="43"/>
    <x v="26"/>
    <x v="57"/>
    <x v="43"/>
    <x v="2"/>
    <x v="1"/>
    <x v="1"/>
    <x v="1"/>
    <x v="11"/>
    <x v="0"/>
    <x v="6"/>
    <x v="1"/>
    <x v="6"/>
    <x v="9"/>
    <x v="3"/>
    <x v="5"/>
    <x v="1"/>
    <x v="5"/>
    <x v="8"/>
    <x v="9"/>
    <x v="21"/>
    <x v="4"/>
    <x v="7"/>
    <x v="39"/>
    <x v="0"/>
    <x v="71"/>
    <x v="1"/>
  </r>
  <r>
    <x v="16"/>
    <x v="12"/>
    <x v="89"/>
    <x v="25"/>
    <x v="54"/>
    <x v="0"/>
    <x v="1"/>
    <x v="4"/>
    <x v="0"/>
    <x v="11"/>
    <x v="17"/>
    <x v="17"/>
    <x v="0"/>
    <x v="9"/>
    <x v="4"/>
    <x v="0"/>
    <x v="0"/>
    <x v="0"/>
    <x v="0"/>
    <x v="0"/>
    <x v="0"/>
    <x v="0"/>
    <x v="29"/>
    <x v="0"/>
    <x v="2"/>
    <x v="10"/>
    <x v="56"/>
    <x v="8"/>
    <x v="8"/>
    <x v="0"/>
    <x v="0"/>
    <x v="28"/>
    <x v="19"/>
    <x v="5"/>
    <x v="5"/>
    <x v="15"/>
    <x v="23"/>
    <x v="8"/>
    <x v="0"/>
    <x v="8"/>
    <x v="16"/>
    <x v="6"/>
    <x v="6"/>
    <x v="17"/>
    <x v="8"/>
    <x v="0"/>
    <x v="35"/>
    <x v="0"/>
    <x v="8"/>
    <x v="13"/>
    <x v="17"/>
    <x v="20"/>
    <x v="5"/>
    <x v="8"/>
    <x v="10"/>
    <x v="11"/>
    <x v="31"/>
    <x v="2"/>
    <x v="1"/>
    <x v="10"/>
    <x v="24"/>
    <x v="28"/>
    <x v="39"/>
    <x v="45"/>
    <x v="2"/>
    <x v="1"/>
    <x v="1"/>
    <x v="1"/>
    <x v="10"/>
    <x v="0"/>
    <x v="6"/>
    <x v="1"/>
    <x v="6"/>
    <x v="9"/>
    <x v="3"/>
    <x v="4"/>
    <x v="1"/>
    <x v="5"/>
    <x v="8"/>
    <x v="5"/>
    <x v="5"/>
    <x v="5"/>
    <x v="0"/>
    <x v="53"/>
    <x v="0"/>
    <x v="75"/>
    <x v="1"/>
  </r>
  <r>
    <x v="17"/>
    <x v="15"/>
    <x v="104"/>
    <x v="25"/>
    <x v="66"/>
    <x v="0"/>
    <x v="1"/>
    <x v="5"/>
    <x v="4"/>
    <x v="11"/>
    <x v="17"/>
    <x v="18"/>
    <x v="0"/>
    <x v="9"/>
    <x v="4"/>
    <x v="0"/>
    <x v="0"/>
    <x v="0"/>
    <x v="0"/>
    <x v="0"/>
    <x v="0"/>
    <x v="0"/>
    <x v="25"/>
    <x v="0"/>
    <x v="2"/>
    <x v="10"/>
    <x v="59"/>
    <x v="8"/>
    <x v="8"/>
    <x v="0"/>
    <x v="0"/>
    <x v="28"/>
    <x v="19"/>
    <x v="5"/>
    <x v="5"/>
    <x v="15"/>
    <x v="23"/>
    <x v="8"/>
    <x v="0"/>
    <x v="8"/>
    <x v="16"/>
    <x v="6"/>
    <x v="6"/>
    <x v="18"/>
    <x v="8"/>
    <x v="0"/>
    <x v="35"/>
    <x v="0"/>
    <x v="8"/>
    <x v="13"/>
    <x v="18"/>
    <x v="20"/>
    <x v="5"/>
    <x v="8"/>
    <x v="10"/>
    <x v="11"/>
    <x v="31"/>
    <x v="2"/>
    <x v="0"/>
    <x v="8"/>
    <x v="19"/>
    <x v="24"/>
    <x v="34"/>
    <x v="41"/>
    <x v="0"/>
    <x v="0"/>
    <x v="1"/>
    <x v="1"/>
    <x v="9"/>
    <x v="0"/>
    <x v="6"/>
    <x v="1"/>
    <x v="6"/>
    <x v="9"/>
    <x v="3"/>
    <x v="4"/>
    <x v="1"/>
    <x v="5"/>
    <x v="8"/>
    <x v="9"/>
    <x v="5"/>
    <x v="4"/>
    <x v="0"/>
    <x v="7"/>
    <x v="0"/>
    <x v="69"/>
    <x v="1"/>
  </r>
  <r>
    <x v="79"/>
    <x v="74"/>
    <x v="43"/>
    <x v="25"/>
    <x v="20"/>
    <x v="0"/>
    <x v="3"/>
    <x v="2"/>
    <x v="3"/>
    <x v="20"/>
    <x v="12"/>
    <x v="8"/>
    <x v="0"/>
    <x v="4"/>
    <x v="4"/>
    <x v="0"/>
    <x v="0"/>
    <x v="0"/>
    <x v="0"/>
    <x v="0"/>
    <x v="0"/>
    <x v="0"/>
    <x v="13"/>
    <x v="0"/>
    <x v="2"/>
    <x v="6"/>
    <x v="66"/>
    <x v="5"/>
    <x v="5"/>
    <x v="0"/>
    <x v="0"/>
    <x v="15"/>
    <x v="10"/>
    <x v="1"/>
    <x v="11"/>
    <x v="19"/>
    <x v="9"/>
    <x v="5"/>
    <x v="0"/>
    <x v="5"/>
    <x v="16"/>
    <x v="6"/>
    <x v="6"/>
    <x v="47"/>
    <x v="8"/>
    <x v="14"/>
    <x v="35"/>
    <x v="0"/>
    <x v="8"/>
    <x v="1"/>
    <x v="0"/>
    <x v="2"/>
    <x v="8"/>
    <x v="5"/>
    <x v="5"/>
    <x v="7"/>
    <x v="22"/>
    <x v="4"/>
    <x v="2"/>
    <x v="4"/>
    <x v="7"/>
    <x v="3"/>
    <x v="21"/>
    <x v="15"/>
    <x v="2"/>
    <x v="1"/>
    <x v="1"/>
    <x v="1"/>
    <x v="48"/>
    <x v="0"/>
    <x v="6"/>
    <x v="1"/>
    <x v="0"/>
    <x v="9"/>
    <x v="3"/>
    <x v="5"/>
    <x v="3"/>
    <x v="3"/>
    <x v="18"/>
    <x v="2"/>
    <x v="3"/>
    <x v="7"/>
    <x v="0"/>
    <x v="30"/>
    <x v="3"/>
    <x v="79"/>
    <x v="1"/>
  </r>
  <r>
    <x v="78"/>
    <x v="31"/>
    <x v="44"/>
    <x v="25"/>
    <x v="21"/>
    <x v="0"/>
    <x v="3"/>
    <x v="2"/>
    <x v="3"/>
    <x v="22"/>
    <x v="16"/>
    <x v="18"/>
    <x v="1"/>
    <x v="5"/>
    <x v="4"/>
    <x v="0"/>
    <x v="0"/>
    <x v="0"/>
    <x v="0"/>
    <x v="0"/>
    <x v="0"/>
    <x v="0"/>
    <x v="30"/>
    <x v="0"/>
    <x v="2"/>
    <x v="6"/>
    <x v="45"/>
    <x v="5"/>
    <x v="5"/>
    <x v="0"/>
    <x v="0"/>
    <x v="15"/>
    <x v="10"/>
    <x v="1"/>
    <x v="11"/>
    <x v="22"/>
    <x v="9"/>
    <x v="5"/>
    <x v="0"/>
    <x v="5"/>
    <x v="16"/>
    <x v="6"/>
    <x v="6"/>
    <x v="56"/>
    <x v="8"/>
    <x v="22"/>
    <x v="27"/>
    <x v="0"/>
    <x v="8"/>
    <x v="1"/>
    <x v="3"/>
    <x v="2"/>
    <x v="9"/>
    <x v="5"/>
    <x v="6"/>
    <x v="7"/>
    <x v="19"/>
    <x v="14"/>
    <x v="2"/>
    <x v="4"/>
    <x v="10"/>
    <x v="7"/>
    <x v="25"/>
    <x v="17"/>
    <x v="2"/>
    <x v="1"/>
    <x v="1"/>
    <x v="1"/>
    <x v="22"/>
    <x v="0"/>
    <x v="6"/>
    <x v="1"/>
    <x v="0"/>
    <x v="9"/>
    <x v="3"/>
    <x v="5"/>
    <x v="3"/>
    <x v="3"/>
    <x v="18"/>
    <x v="2"/>
    <x v="8"/>
    <x v="7"/>
    <x v="4"/>
    <x v="45"/>
    <x v="3"/>
    <x v="87"/>
    <x v="1"/>
  </r>
  <r>
    <x v="33"/>
    <x v="32"/>
    <x v="46"/>
    <x v="25"/>
    <x v="22"/>
    <x v="0"/>
    <x v="3"/>
    <x v="2"/>
    <x v="3"/>
    <x v="22"/>
    <x v="15"/>
    <x v="25"/>
    <x v="1"/>
    <x v="11"/>
    <x v="4"/>
    <x v="0"/>
    <x v="0"/>
    <x v="0"/>
    <x v="0"/>
    <x v="0"/>
    <x v="0"/>
    <x v="0"/>
    <x v="38"/>
    <x v="0"/>
    <x v="2"/>
    <x v="12"/>
    <x v="48"/>
    <x v="5"/>
    <x v="5"/>
    <x v="0"/>
    <x v="0"/>
    <x v="32"/>
    <x v="19"/>
    <x v="11"/>
    <x v="4"/>
    <x v="34"/>
    <x v="24"/>
    <x v="8"/>
    <x v="0"/>
    <x v="8"/>
    <x v="16"/>
    <x v="6"/>
    <x v="6"/>
    <x v="59"/>
    <x v="8"/>
    <x v="22"/>
    <x v="29"/>
    <x v="0"/>
    <x v="8"/>
    <x v="6"/>
    <x v="28"/>
    <x v="6"/>
    <x v="10"/>
    <x v="5"/>
    <x v="12"/>
    <x v="13"/>
    <x v="19"/>
    <x v="22"/>
    <x v="2"/>
    <x v="4"/>
    <x v="19"/>
    <x v="27"/>
    <x v="34"/>
    <x v="44"/>
    <x v="2"/>
    <x v="1"/>
    <x v="1"/>
    <x v="1"/>
    <x v="21"/>
    <x v="0"/>
    <x v="6"/>
    <x v="0"/>
    <x v="1"/>
    <x v="9"/>
    <x v="3"/>
    <x v="5"/>
    <x v="3"/>
    <x v="2"/>
    <x v="17"/>
    <x v="2"/>
    <x v="10"/>
    <x v="7"/>
    <x v="4"/>
    <x v="78"/>
    <x v="9"/>
    <x v="94"/>
    <x v="1"/>
  </r>
  <r>
    <x v="86"/>
    <x v="33"/>
    <x v="45"/>
    <x v="25"/>
    <x v="23"/>
    <x v="0"/>
    <x v="3"/>
    <x v="2"/>
    <x v="3"/>
    <x v="23"/>
    <x v="29"/>
    <x v="22"/>
    <x v="2"/>
    <x v="17"/>
    <x v="4"/>
    <x v="0"/>
    <x v="0"/>
    <x v="0"/>
    <x v="0"/>
    <x v="0"/>
    <x v="0"/>
    <x v="0"/>
    <x v="47"/>
    <x v="0"/>
    <x v="2"/>
    <x v="15"/>
    <x v="47"/>
    <x v="5"/>
    <x v="5"/>
    <x v="0"/>
    <x v="0"/>
    <x v="31"/>
    <x v="19"/>
    <x v="10"/>
    <x v="9"/>
    <x v="41"/>
    <x v="26"/>
    <x v="8"/>
    <x v="0"/>
    <x v="8"/>
    <x v="4"/>
    <x v="6"/>
    <x v="6"/>
    <x v="25"/>
    <x v="8"/>
    <x v="29"/>
    <x v="16"/>
    <x v="0"/>
    <x v="8"/>
    <x v="5"/>
    <x v="15"/>
    <x v="4"/>
    <x v="8"/>
    <x v="5"/>
    <x v="18"/>
    <x v="16"/>
    <x v="18"/>
    <x v="46"/>
    <x v="2"/>
    <x v="4"/>
    <x v="20"/>
    <x v="35"/>
    <x v="35"/>
    <x v="52"/>
    <x v="2"/>
    <x v="1"/>
    <x v="1"/>
    <x v="1"/>
    <x v="20"/>
    <x v="0"/>
    <x v="6"/>
    <x v="3"/>
    <x v="1"/>
    <x v="9"/>
    <x v="3"/>
    <x v="5"/>
    <x v="3"/>
    <x v="2"/>
    <x v="17"/>
    <x v="2"/>
    <x v="17"/>
    <x v="7"/>
    <x v="6"/>
    <x v="3"/>
    <x v="0"/>
    <x v="95"/>
    <x v="1"/>
  </r>
  <r>
    <x v="81"/>
    <x v="34"/>
    <x v="47"/>
    <x v="25"/>
    <x v="24"/>
    <x v="0"/>
    <x v="3"/>
    <x v="2"/>
    <x v="3"/>
    <x v="28"/>
    <x v="32"/>
    <x v="25"/>
    <x v="0"/>
    <x v="7"/>
    <x v="4"/>
    <x v="0"/>
    <x v="0"/>
    <x v="0"/>
    <x v="0"/>
    <x v="0"/>
    <x v="0"/>
    <x v="0"/>
    <x v="26"/>
    <x v="0"/>
    <x v="2"/>
    <x v="4"/>
    <x v="48"/>
    <x v="5"/>
    <x v="5"/>
    <x v="0"/>
    <x v="0"/>
    <x v="43"/>
    <x v="28"/>
    <x v="5"/>
    <x v="4"/>
    <x v="40"/>
    <x v="39"/>
    <x v="10"/>
    <x v="0"/>
    <x v="10"/>
    <x v="16"/>
    <x v="6"/>
    <x v="6"/>
    <x v="26"/>
    <x v="8"/>
    <x v="0"/>
    <x v="35"/>
    <x v="0"/>
    <x v="8"/>
    <x v="10"/>
    <x v="29"/>
    <x v="6"/>
    <x v="10"/>
    <x v="5"/>
    <x v="8"/>
    <x v="5"/>
    <x v="13"/>
    <x v="10"/>
    <x v="2"/>
    <x v="4"/>
    <x v="12"/>
    <x v="19"/>
    <x v="27"/>
    <x v="36"/>
    <x v="2"/>
    <x v="1"/>
    <x v="1"/>
    <x v="1"/>
    <x v="12"/>
    <x v="0"/>
    <x v="6"/>
    <x v="3"/>
    <x v="1"/>
    <x v="9"/>
    <x v="3"/>
    <x v="5"/>
    <x v="3"/>
    <x v="2"/>
    <x v="17"/>
    <x v="2"/>
    <x v="6"/>
    <x v="7"/>
    <x v="0"/>
    <x v="46"/>
    <x v="0"/>
    <x v="84"/>
    <x v="1"/>
  </r>
  <r>
    <x v="80"/>
    <x v="35"/>
    <x v="48"/>
    <x v="6"/>
    <x v="25"/>
    <x v="0"/>
    <x v="3"/>
    <x v="2"/>
    <x v="3"/>
    <x v="28"/>
    <x v="32"/>
    <x v="25"/>
    <x v="0"/>
    <x v="7"/>
    <x v="4"/>
    <x v="0"/>
    <x v="0"/>
    <x v="0"/>
    <x v="0"/>
    <x v="0"/>
    <x v="0"/>
    <x v="0"/>
    <x v="26"/>
    <x v="0"/>
    <x v="2"/>
    <x v="4"/>
    <x v="48"/>
    <x v="5"/>
    <x v="5"/>
    <x v="0"/>
    <x v="0"/>
    <x v="43"/>
    <x v="28"/>
    <x v="5"/>
    <x v="4"/>
    <x v="33"/>
    <x v="39"/>
    <x v="10"/>
    <x v="0"/>
    <x v="10"/>
    <x v="16"/>
    <x v="6"/>
    <x v="6"/>
    <x v="27"/>
    <x v="8"/>
    <x v="0"/>
    <x v="35"/>
    <x v="0"/>
    <x v="8"/>
    <x v="10"/>
    <x v="29"/>
    <x v="6"/>
    <x v="10"/>
    <x v="5"/>
    <x v="8"/>
    <x v="5"/>
    <x v="13"/>
    <x v="7"/>
    <x v="2"/>
    <x v="4"/>
    <x v="12"/>
    <x v="18"/>
    <x v="27"/>
    <x v="35"/>
    <x v="2"/>
    <x v="1"/>
    <x v="1"/>
    <x v="1"/>
    <x v="19"/>
    <x v="0"/>
    <x v="0"/>
    <x v="3"/>
    <x v="1"/>
    <x v="9"/>
    <x v="3"/>
    <x v="4"/>
    <x v="3"/>
    <x v="2"/>
    <x v="17"/>
    <x v="2"/>
    <x v="6"/>
    <x v="7"/>
    <x v="0"/>
    <x v="91"/>
    <x v="0"/>
    <x v="86"/>
    <x v="1"/>
  </r>
  <r>
    <x v="87"/>
    <x v="111"/>
    <x v="49"/>
    <x v="25"/>
    <x v="26"/>
    <x v="0"/>
    <x v="3"/>
    <x v="2"/>
    <x v="3"/>
    <x v="26"/>
    <x v="32"/>
    <x v="25"/>
    <x v="1"/>
    <x v="10"/>
    <x v="4"/>
    <x v="0"/>
    <x v="0"/>
    <x v="0"/>
    <x v="0"/>
    <x v="0"/>
    <x v="0"/>
    <x v="0"/>
    <x v="38"/>
    <x v="0"/>
    <x v="2"/>
    <x v="12"/>
    <x v="48"/>
    <x v="5"/>
    <x v="5"/>
    <x v="0"/>
    <x v="0"/>
    <x v="42"/>
    <x v="27"/>
    <x v="10"/>
    <x v="4"/>
    <x v="39"/>
    <x v="36"/>
    <x v="9"/>
    <x v="0"/>
    <x v="9"/>
    <x v="16"/>
    <x v="6"/>
    <x v="6"/>
    <x v="61"/>
    <x v="8"/>
    <x v="22"/>
    <x v="35"/>
    <x v="0"/>
    <x v="8"/>
    <x v="10"/>
    <x v="28"/>
    <x v="6"/>
    <x v="10"/>
    <x v="5"/>
    <x v="11"/>
    <x v="13"/>
    <x v="15"/>
    <x v="23"/>
    <x v="2"/>
    <x v="4"/>
    <x v="19"/>
    <x v="27"/>
    <x v="34"/>
    <x v="44"/>
    <x v="2"/>
    <x v="1"/>
    <x v="1"/>
    <x v="1"/>
    <x v="13"/>
    <x v="0"/>
    <x v="6"/>
    <x v="3"/>
    <x v="1"/>
    <x v="9"/>
    <x v="3"/>
    <x v="5"/>
    <x v="3"/>
    <x v="2"/>
    <x v="17"/>
    <x v="2"/>
    <x v="11"/>
    <x v="7"/>
    <x v="4"/>
    <x v="47"/>
    <x v="0"/>
    <x v="91"/>
    <x v="1"/>
  </r>
  <r>
    <x v="34"/>
    <x v="63"/>
    <x v="50"/>
    <x v="25"/>
    <x v="27"/>
    <x v="0"/>
    <x v="3"/>
    <x v="2"/>
    <x v="3"/>
    <x v="27"/>
    <x v="20"/>
    <x v="25"/>
    <x v="1"/>
    <x v="14"/>
    <x v="4"/>
    <x v="0"/>
    <x v="0"/>
    <x v="0"/>
    <x v="0"/>
    <x v="0"/>
    <x v="0"/>
    <x v="0"/>
    <x v="43"/>
    <x v="0"/>
    <x v="2"/>
    <x v="13"/>
    <x v="49"/>
    <x v="8"/>
    <x v="8"/>
    <x v="0"/>
    <x v="0"/>
    <x v="43"/>
    <x v="27"/>
    <x v="5"/>
    <x v="15"/>
    <x v="39"/>
    <x v="31"/>
    <x v="9"/>
    <x v="0"/>
    <x v="9"/>
    <x v="16"/>
    <x v="6"/>
    <x v="6"/>
    <x v="39"/>
    <x v="8"/>
    <x v="22"/>
    <x v="20"/>
    <x v="0"/>
    <x v="8"/>
    <x v="10"/>
    <x v="28"/>
    <x v="6"/>
    <x v="10"/>
    <x v="8"/>
    <x v="15"/>
    <x v="14"/>
    <x v="14"/>
    <x v="23"/>
    <x v="2"/>
    <x v="4"/>
    <x v="24"/>
    <x v="35"/>
    <x v="39"/>
    <x v="52"/>
    <x v="2"/>
    <x v="1"/>
    <x v="1"/>
    <x v="1"/>
    <x v="18"/>
    <x v="0"/>
    <x v="6"/>
    <x v="6"/>
    <x v="2"/>
    <x v="9"/>
    <x v="3"/>
    <x v="5"/>
    <x v="3"/>
    <x v="4"/>
    <x v="19"/>
    <x v="2"/>
    <x v="11"/>
    <x v="7"/>
    <x v="4"/>
    <x v="48"/>
    <x v="1"/>
    <x v="93"/>
    <x v="1"/>
  </r>
  <r>
    <x v="34"/>
    <x v="64"/>
    <x v="51"/>
    <x v="7"/>
    <x v="28"/>
    <x v="0"/>
    <x v="3"/>
    <x v="2"/>
    <x v="3"/>
    <x v="27"/>
    <x v="20"/>
    <x v="25"/>
    <x v="2"/>
    <x v="19"/>
    <x v="4"/>
    <x v="0"/>
    <x v="0"/>
    <x v="0"/>
    <x v="0"/>
    <x v="0"/>
    <x v="0"/>
    <x v="0"/>
    <x v="54"/>
    <x v="0"/>
    <x v="2"/>
    <x v="13"/>
    <x v="30"/>
    <x v="8"/>
    <x v="8"/>
    <x v="0"/>
    <x v="0"/>
    <x v="43"/>
    <x v="27"/>
    <x v="5"/>
    <x v="15"/>
    <x v="39"/>
    <x v="31"/>
    <x v="9"/>
    <x v="0"/>
    <x v="9"/>
    <x v="16"/>
    <x v="6"/>
    <x v="6"/>
    <x v="38"/>
    <x v="8"/>
    <x v="12"/>
    <x v="20"/>
    <x v="0"/>
    <x v="8"/>
    <x v="10"/>
    <x v="28"/>
    <x v="6"/>
    <x v="10"/>
    <x v="8"/>
    <x v="20"/>
    <x v="14"/>
    <x v="14"/>
    <x v="41"/>
    <x v="2"/>
    <x v="4"/>
    <x v="30"/>
    <x v="40"/>
    <x v="45"/>
    <x v="57"/>
    <x v="2"/>
    <x v="1"/>
    <x v="1"/>
    <x v="1"/>
    <x v="17"/>
    <x v="0"/>
    <x v="6"/>
    <x v="6"/>
    <x v="2"/>
    <x v="9"/>
    <x v="3"/>
    <x v="5"/>
    <x v="3"/>
    <x v="4"/>
    <x v="19"/>
    <x v="2"/>
    <x v="19"/>
    <x v="7"/>
    <x v="6"/>
    <x v="48"/>
    <x v="1"/>
    <x v="100"/>
    <x v="1"/>
  </r>
  <r>
    <x v="35"/>
    <x v="110"/>
    <x v="52"/>
    <x v="7"/>
    <x v="29"/>
    <x v="0"/>
    <x v="3"/>
    <x v="2"/>
    <x v="3"/>
    <x v="27"/>
    <x v="20"/>
    <x v="25"/>
    <x v="1"/>
    <x v="13"/>
    <x v="4"/>
    <x v="0"/>
    <x v="0"/>
    <x v="0"/>
    <x v="0"/>
    <x v="0"/>
    <x v="0"/>
    <x v="0"/>
    <x v="41"/>
    <x v="0"/>
    <x v="2"/>
    <x v="13"/>
    <x v="51"/>
    <x v="5"/>
    <x v="5"/>
    <x v="0"/>
    <x v="0"/>
    <x v="43"/>
    <x v="27"/>
    <x v="5"/>
    <x v="15"/>
    <x v="39"/>
    <x v="31"/>
    <x v="9"/>
    <x v="0"/>
    <x v="9"/>
    <x v="16"/>
    <x v="6"/>
    <x v="6"/>
    <x v="40"/>
    <x v="8"/>
    <x v="1"/>
    <x v="20"/>
    <x v="0"/>
    <x v="8"/>
    <x v="10"/>
    <x v="28"/>
    <x v="6"/>
    <x v="10"/>
    <x v="5"/>
    <x v="14"/>
    <x v="14"/>
    <x v="14"/>
    <x v="23"/>
    <x v="2"/>
    <x v="4"/>
    <x v="20"/>
    <x v="29"/>
    <x v="35"/>
    <x v="46"/>
    <x v="2"/>
    <x v="1"/>
    <x v="1"/>
    <x v="1"/>
    <x v="14"/>
    <x v="0"/>
    <x v="6"/>
    <x v="8"/>
    <x v="1"/>
    <x v="9"/>
    <x v="3"/>
    <x v="5"/>
    <x v="3"/>
    <x v="2"/>
    <x v="17"/>
    <x v="2"/>
    <x v="11"/>
    <x v="7"/>
    <x v="4"/>
    <x v="93"/>
    <x v="0"/>
    <x v="92"/>
    <x v="1"/>
  </r>
  <r>
    <x v="4"/>
    <x v="36"/>
    <x v="53"/>
    <x v="25"/>
    <x v="30"/>
    <x v="0"/>
    <x v="3"/>
    <x v="2"/>
    <x v="3"/>
    <x v="33"/>
    <x v="26"/>
    <x v="25"/>
    <x v="1"/>
    <x v="21"/>
    <x v="4"/>
    <x v="0"/>
    <x v="0"/>
    <x v="0"/>
    <x v="0"/>
    <x v="0"/>
    <x v="0"/>
    <x v="0"/>
    <x v="59"/>
    <x v="0"/>
    <x v="2"/>
    <x v="18"/>
    <x v="45"/>
    <x v="9"/>
    <x v="9"/>
    <x v="0"/>
    <x v="0"/>
    <x v="44"/>
    <x v="23"/>
    <x v="4"/>
    <x v="5"/>
    <x v="34"/>
    <x v="23"/>
    <x v="8"/>
    <x v="0"/>
    <x v="8"/>
    <x v="16"/>
    <x v="6"/>
    <x v="6"/>
    <x v="63"/>
    <x v="8"/>
    <x v="22"/>
    <x v="31"/>
    <x v="0"/>
    <x v="8"/>
    <x v="7"/>
    <x v="28"/>
    <x v="4"/>
    <x v="8"/>
    <x v="9"/>
    <x v="22"/>
    <x v="19"/>
    <x v="8"/>
    <x v="22"/>
    <x v="2"/>
    <x v="4"/>
    <x v="26"/>
    <x v="41"/>
    <x v="41"/>
    <x v="58"/>
    <x v="2"/>
    <x v="1"/>
    <x v="1"/>
    <x v="1"/>
    <x v="16"/>
    <x v="0"/>
    <x v="6"/>
    <x v="2"/>
    <x v="1"/>
    <x v="9"/>
    <x v="3"/>
    <x v="5"/>
    <x v="5"/>
    <x v="2"/>
    <x v="35"/>
    <x v="2"/>
    <x v="10"/>
    <x v="7"/>
    <x v="4"/>
    <x v="82"/>
    <x v="0"/>
    <x v="89"/>
    <x v="1"/>
  </r>
  <r>
    <x v="4"/>
    <x v="37"/>
    <x v="54"/>
    <x v="8"/>
    <x v="31"/>
    <x v="0"/>
    <x v="3"/>
    <x v="2"/>
    <x v="3"/>
    <x v="33"/>
    <x v="26"/>
    <x v="25"/>
    <x v="2"/>
    <x v="21"/>
    <x v="4"/>
    <x v="0"/>
    <x v="0"/>
    <x v="0"/>
    <x v="0"/>
    <x v="0"/>
    <x v="0"/>
    <x v="0"/>
    <x v="59"/>
    <x v="0"/>
    <x v="2"/>
    <x v="18"/>
    <x v="45"/>
    <x v="9"/>
    <x v="9"/>
    <x v="0"/>
    <x v="0"/>
    <x v="44"/>
    <x v="23"/>
    <x v="4"/>
    <x v="5"/>
    <x v="34"/>
    <x v="23"/>
    <x v="8"/>
    <x v="0"/>
    <x v="8"/>
    <x v="16"/>
    <x v="6"/>
    <x v="6"/>
    <x v="62"/>
    <x v="8"/>
    <x v="12"/>
    <x v="31"/>
    <x v="0"/>
    <x v="8"/>
    <x v="7"/>
    <x v="28"/>
    <x v="4"/>
    <x v="8"/>
    <x v="9"/>
    <x v="22"/>
    <x v="19"/>
    <x v="8"/>
    <x v="36"/>
    <x v="2"/>
    <x v="4"/>
    <x v="28"/>
    <x v="43"/>
    <x v="43"/>
    <x v="60"/>
    <x v="2"/>
    <x v="1"/>
    <x v="1"/>
    <x v="1"/>
    <x v="15"/>
    <x v="0"/>
    <x v="6"/>
    <x v="2"/>
    <x v="1"/>
    <x v="9"/>
    <x v="3"/>
    <x v="5"/>
    <x v="5"/>
    <x v="2"/>
    <x v="35"/>
    <x v="2"/>
    <x v="17"/>
    <x v="7"/>
    <x v="6"/>
    <x v="82"/>
    <x v="0"/>
    <x v="98"/>
    <x v="1"/>
  </r>
  <r>
    <x v="41"/>
    <x v="2"/>
    <x v="69"/>
    <x v="15"/>
    <x v="32"/>
    <x v="0"/>
    <x v="3"/>
    <x v="8"/>
    <x v="3"/>
    <x v="20"/>
    <x v="14"/>
    <x v="9"/>
    <x v="5"/>
    <x v="0"/>
    <x v="4"/>
    <x v="0"/>
    <x v="0"/>
    <x v="0"/>
    <x v="0"/>
    <x v="0"/>
    <x v="0"/>
    <x v="0"/>
    <x v="65"/>
    <x v="0"/>
    <x v="1"/>
    <x v="0"/>
    <x v="2"/>
    <x v="14"/>
    <x v="14"/>
    <x v="0"/>
    <x v="0"/>
    <x v="37"/>
    <x v="22"/>
    <x v="5"/>
    <x v="3"/>
    <x v="20"/>
    <x v="22"/>
    <x v="8"/>
    <x v="0"/>
    <x v="8"/>
    <x v="16"/>
    <x v="6"/>
    <x v="6"/>
    <x v="4"/>
    <x v="8"/>
    <x v="24"/>
    <x v="0"/>
    <x v="0"/>
    <x v="8"/>
    <x v="0"/>
    <x v="1"/>
    <x v="20"/>
    <x v="9"/>
    <x v="14"/>
    <x v="1"/>
    <x v="1"/>
    <x v="22"/>
    <x v="51"/>
    <x v="0"/>
    <x v="8"/>
    <x v="51"/>
    <x v="40"/>
    <x v="65"/>
    <x v="57"/>
    <x v="2"/>
    <x v="1"/>
    <x v="1"/>
    <x v="0"/>
    <x v="0"/>
    <x v="0"/>
    <x v="4"/>
    <x v="7"/>
    <x v="3"/>
    <x v="9"/>
    <x v="3"/>
    <x v="5"/>
    <x v="3"/>
    <x v="6"/>
    <x v="21"/>
    <x v="12"/>
    <x v="6"/>
    <x v="0"/>
    <x v="9"/>
    <x v="2"/>
    <x v="2"/>
    <x v="7"/>
    <x v="1"/>
  </r>
  <r>
    <x v="42"/>
    <x v="3"/>
    <x v="70"/>
    <x v="15"/>
    <x v="33"/>
    <x v="0"/>
    <x v="0"/>
    <x v="8"/>
    <x v="3"/>
    <x v="20"/>
    <x v="14"/>
    <x v="9"/>
    <x v="5"/>
    <x v="0"/>
    <x v="4"/>
    <x v="0"/>
    <x v="0"/>
    <x v="0"/>
    <x v="0"/>
    <x v="0"/>
    <x v="0"/>
    <x v="0"/>
    <x v="65"/>
    <x v="0"/>
    <x v="1"/>
    <x v="0"/>
    <x v="2"/>
    <x v="14"/>
    <x v="14"/>
    <x v="0"/>
    <x v="0"/>
    <x v="37"/>
    <x v="22"/>
    <x v="5"/>
    <x v="3"/>
    <x v="20"/>
    <x v="22"/>
    <x v="8"/>
    <x v="0"/>
    <x v="8"/>
    <x v="16"/>
    <x v="6"/>
    <x v="6"/>
    <x v="2"/>
    <x v="8"/>
    <x v="20"/>
    <x v="2"/>
    <x v="0"/>
    <x v="8"/>
    <x v="0"/>
    <x v="1"/>
    <x v="3"/>
    <x v="9"/>
    <x v="14"/>
    <x v="1"/>
    <x v="1"/>
    <x v="22"/>
    <x v="51"/>
    <x v="0"/>
    <x v="8"/>
    <x v="51"/>
    <x v="25"/>
    <x v="65"/>
    <x v="42"/>
    <x v="2"/>
    <x v="1"/>
    <x v="0"/>
    <x v="0"/>
    <x v="8"/>
    <x v="0"/>
    <x v="4"/>
    <x v="7"/>
    <x v="3"/>
    <x v="9"/>
    <x v="3"/>
    <x v="5"/>
    <x v="3"/>
    <x v="6"/>
    <x v="21"/>
    <x v="12"/>
    <x v="6"/>
    <x v="0"/>
    <x v="9"/>
    <x v="1"/>
    <x v="2"/>
    <x v="6"/>
    <x v="1"/>
  </r>
  <r>
    <x v="39"/>
    <x v="0"/>
    <x v="71"/>
    <x v="25"/>
    <x v="34"/>
    <x v="0"/>
    <x v="3"/>
    <x v="8"/>
    <x v="3"/>
    <x v="20"/>
    <x v="14"/>
    <x v="9"/>
    <x v="1"/>
    <x v="0"/>
    <x v="4"/>
    <x v="0"/>
    <x v="0"/>
    <x v="0"/>
    <x v="0"/>
    <x v="0"/>
    <x v="0"/>
    <x v="0"/>
    <x v="34"/>
    <x v="0"/>
    <x v="1"/>
    <x v="0"/>
    <x v="3"/>
    <x v="14"/>
    <x v="14"/>
    <x v="0"/>
    <x v="0"/>
    <x v="37"/>
    <x v="22"/>
    <x v="5"/>
    <x v="3"/>
    <x v="16"/>
    <x v="22"/>
    <x v="8"/>
    <x v="0"/>
    <x v="8"/>
    <x v="16"/>
    <x v="6"/>
    <x v="6"/>
    <x v="5"/>
    <x v="8"/>
    <x v="1"/>
    <x v="0"/>
    <x v="0"/>
    <x v="8"/>
    <x v="0"/>
    <x v="1"/>
    <x v="1"/>
    <x v="1"/>
    <x v="14"/>
    <x v="1"/>
    <x v="1"/>
    <x v="22"/>
    <x v="11"/>
    <x v="0"/>
    <x v="8"/>
    <x v="16"/>
    <x v="4"/>
    <x v="31"/>
    <x v="16"/>
    <x v="2"/>
    <x v="1"/>
    <x v="1"/>
    <x v="0"/>
    <x v="2"/>
    <x v="0"/>
    <x v="6"/>
    <x v="7"/>
    <x v="1"/>
    <x v="9"/>
    <x v="3"/>
    <x v="5"/>
    <x v="3"/>
    <x v="6"/>
    <x v="21"/>
    <x v="12"/>
    <x v="10"/>
    <x v="0"/>
    <x v="4"/>
    <x v="10"/>
    <x v="0"/>
    <x v="2"/>
    <x v="1"/>
  </r>
  <r>
    <x v="40"/>
    <x v="1"/>
    <x v="72"/>
    <x v="15"/>
    <x v="35"/>
    <x v="0"/>
    <x v="0"/>
    <x v="8"/>
    <x v="3"/>
    <x v="20"/>
    <x v="14"/>
    <x v="9"/>
    <x v="1"/>
    <x v="0"/>
    <x v="4"/>
    <x v="0"/>
    <x v="0"/>
    <x v="0"/>
    <x v="0"/>
    <x v="0"/>
    <x v="0"/>
    <x v="0"/>
    <x v="34"/>
    <x v="0"/>
    <x v="1"/>
    <x v="0"/>
    <x v="3"/>
    <x v="14"/>
    <x v="14"/>
    <x v="0"/>
    <x v="0"/>
    <x v="37"/>
    <x v="22"/>
    <x v="5"/>
    <x v="3"/>
    <x v="16"/>
    <x v="22"/>
    <x v="8"/>
    <x v="0"/>
    <x v="8"/>
    <x v="16"/>
    <x v="6"/>
    <x v="6"/>
    <x v="3"/>
    <x v="8"/>
    <x v="1"/>
    <x v="2"/>
    <x v="0"/>
    <x v="8"/>
    <x v="0"/>
    <x v="1"/>
    <x v="0"/>
    <x v="1"/>
    <x v="14"/>
    <x v="1"/>
    <x v="1"/>
    <x v="22"/>
    <x v="11"/>
    <x v="0"/>
    <x v="8"/>
    <x v="16"/>
    <x v="0"/>
    <x v="31"/>
    <x v="12"/>
    <x v="2"/>
    <x v="1"/>
    <x v="0"/>
    <x v="0"/>
    <x v="7"/>
    <x v="0"/>
    <x v="6"/>
    <x v="7"/>
    <x v="1"/>
    <x v="9"/>
    <x v="3"/>
    <x v="5"/>
    <x v="3"/>
    <x v="6"/>
    <x v="21"/>
    <x v="12"/>
    <x v="10"/>
    <x v="0"/>
    <x v="4"/>
    <x v="11"/>
    <x v="0"/>
    <x v="3"/>
    <x v="1"/>
  </r>
  <r>
    <x v="43"/>
    <x v="4"/>
    <x v="73"/>
    <x v="15"/>
    <x v="36"/>
    <x v="0"/>
    <x v="1"/>
    <x v="5"/>
    <x v="2"/>
    <x v="20"/>
    <x v="14"/>
    <x v="9"/>
    <x v="13"/>
    <x v="34"/>
    <x v="4"/>
    <x v="0"/>
    <x v="0"/>
    <x v="0"/>
    <x v="0"/>
    <x v="0"/>
    <x v="0"/>
    <x v="0"/>
    <x v="35"/>
    <x v="0"/>
    <x v="1"/>
    <x v="24"/>
    <x v="67"/>
    <x v="14"/>
    <x v="14"/>
    <x v="0"/>
    <x v="0"/>
    <x v="37"/>
    <x v="22"/>
    <x v="5"/>
    <x v="3"/>
    <x v="0"/>
    <x v="22"/>
    <x v="8"/>
    <x v="0"/>
    <x v="8"/>
    <x v="16"/>
    <x v="6"/>
    <x v="6"/>
    <x v="71"/>
    <x v="8"/>
    <x v="36"/>
    <x v="35"/>
    <x v="0"/>
    <x v="8"/>
    <x v="0"/>
    <x v="1"/>
    <x v="11"/>
    <x v="0"/>
    <x v="14"/>
    <x v="36"/>
    <x v="25"/>
    <x v="22"/>
    <x v="0"/>
    <x v="0"/>
    <x v="8"/>
    <x v="48"/>
    <x v="60"/>
    <x v="62"/>
    <x v="74"/>
    <x v="1"/>
    <x v="1"/>
    <x v="0"/>
    <x v="0"/>
    <x v="1"/>
    <x v="0"/>
    <x v="6"/>
    <x v="7"/>
    <x v="6"/>
    <x v="9"/>
    <x v="3"/>
    <x v="8"/>
    <x v="3"/>
    <x v="6"/>
    <x v="21"/>
    <x v="8"/>
    <x v="5"/>
    <x v="1"/>
    <x v="0"/>
    <x v="16"/>
    <x v="0"/>
    <x v="43"/>
    <x v="1"/>
  </r>
  <r>
    <x v="31"/>
    <x v="8"/>
    <x v="74"/>
    <x v="16"/>
    <x v="37"/>
    <x v="0"/>
    <x v="1"/>
    <x v="5"/>
    <x v="2"/>
    <x v="24"/>
    <x v="19"/>
    <x v="13"/>
    <x v="13"/>
    <x v="34"/>
    <x v="4"/>
    <x v="0"/>
    <x v="0"/>
    <x v="0"/>
    <x v="0"/>
    <x v="0"/>
    <x v="0"/>
    <x v="0"/>
    <x v="42"/>
    <x v="0"/>
    <x v="1"/>
    <x v="24"/>
    <x v="64"/>
    <x v="13"/>
    <x v="13"/>
    <x v="0"/>
    <x v="0"/>
    <x v="39"/>
    <x v="25"/>
    <x v="5"/>
    <x v="3"/>
    <x v="0"/>
    <x v="32"/>
    <x v="9"/>
    <x v="0"/>
    <x v="9"/>
    <x v="16"/>
    <x v="6"/>
    <x v="6"/>
    <x v="71"/>
    <x v="8"/>
    <x v="36"/>
    <x v="35"/>
    <x v="0"/>
    <x v="8"/>
    <x v="2"/>
    <x v="0"/>
    <x v="2"/>
    <x v="2"/>
    <x v="13"/>
    <x v="36"/>
    <x v="25"/>
    <x v="17"/>
    <x v="0"/>
    <x v="0"/>
    <x v="8"/>
    <x v="55"/>
    <x v="42"/>
    <x v="69"/>
    <x v="59"/>
    <x v="0"/>
    <x v="0"/>
    <x v="1"/>
    <x v="0"/>
    <x v="3"/>
    <x v="0"/>
    <x v="0"/>
    <x v="6"/>
    <x v="6"/>
    <x v="9"/>
    <x v="3"/>
    <x v="8"/>
    <x v="3"/>
    <x v="8"/>
    <x v="23"/>
    <x v="8"/>
    <x v="5"/>
    <x v="1"/>
    <x v="0"/>
    <x v="38"/>
    <x v="0"/>
    <x v="44"/>
    <x v="1"/>
  </r>
  <r>
    <x v="32"/>
    <x v="5"/>
    <x v="75"/>
    <x v="25"/>
    <x v="38"/>
    <x v="0"/>
    <x v="1"/>
    <x v="8"/>
    <x v="3"/>
    <x v="24"/>
    <x v="19"/>
    <x v="13"/>
    <x v="13"/>
    <x v="3"/>
    <x v="4"/>
    <x v="0"/>
    <x v="0"/>
    <x v="0"/>
    <x v="0"/>
    <x v="0"/>
    <x v="0"/>
    <x v="0"/>
    <x v="22"/>
    <x v="0"/>
    <x v="1"/>
    <x v="0"/>
    <x v="5"/>
    <x v="13"/>
    <x v="13"/>
    <x v="0"/>
    <x v="0"/>
    <x v="39"/>
    <x v="25"/>
    <x v="5"/>
    <x v="3"/>
    <x v="13"/>
    <x v="32"/>
    <x v="9"/>
    <x v="0"/>
    <x v="9"/>
    <x v="16"/>
    <x v="6"/>
    <x v="6"/>
    <x v="71"/>
    <x v="8"/>
    <x v="36"/>
    <x v="35"/>
    <x v="0"/>
    <x v="8"/>
    <x v="2"/>
    <x v="0"/>
    <x v="2"/>
    <x v="2"/>
    <x v="13"/>
    <x v="4"/>
    <x v="1"/>
    <x v="17"/>
    <x v="1"/>
    <x v="0"/>
    <x v="8"/>
    <x v="14"/>
    <x v="8"/>
    <x v="29"/>
    <x v="18"/>
    <x v="0"/>
    <x v="0"/>
    <x v="1"/>
    <x v="0"/>
    <x v="6"/>
    <x v="0"/>
    <x v="0"/>
    <x v="6"/>
    <x v="1"/>
    <x v="9"/>
    <x v="3"/>
    <x v="4"/>
    <x v="3"/>
    <x v="8"/>
    <x v="23"/>
    <x v="12"/>
    <x v="5"/>
    <x v="0"/>
    <x v="0"/>
    <x v="37"/>
    <x v="0"/>
    <x v="29"/>
    <x v="1"/>
  </r>
  <r>
    <x v="29"/>
    <x v="6"/>
    <x v="76"/>
    <x v="17"/>
    <x v="39"/>
    <x v="0"/>
    <x v="0"/>
    <x v="8"/>
    <x v="3"/>
    <x v="24"/>
    <x v="19"/>
    <x v="13"/>
    <x v="9"/>
    <x v="0"/>
    <x v="4"/>
    <x v="0"/>
    <x v="0"/>
    <x v="0"/>
    <x v="0"/>
    <x v="0"/>
    <x v="0"/>
    <x v="0"/>
    <x v="79"/>
    <x v="0"/>
    <x v="1"/>
    <x v="0"/>
    <x v="0"/>
    <x v="13"/>
    <x v="13"/>
    <x v="0"/>
    <x v="0"/>
    <x v="37"/>
    <x v="22"/>
    <x v="5"/>
    <x v="3"/>
    <x v="25"/>
    <x v="22"/>
    <x v="8"/>
    <x v="0"/>
    <x v="8"/>
    <x v="16"/>
    <x v="6"/>
    <x v="6"/>
    <x v="0"/>
    <x v="8"/>
    <x v="19"/>
    <x v="1"/>
    <x v="0"/>
    <x v="8"/>
    <x v="2"/>
    <x v="0"/>
    <x v="1"/>
    <x v="1"/>
    <x v="13"/>
    <x v="1"/>
    <x v="1"/>
    <x v="17"/>
    <x v="65"/>
    <x v="0"/>
    <x v="8"/>
    <x v="34"/>
    <x v="17"/>
    <x v="48"/>
    <x v="34"/>
    <x v="2"/>
    <x v="1"/>
    <x v="0"/>
    <x v="0"/>
    <x v="5"/>
    <x v="0"/>
    <x v="5"/>
    <x v="6"/>
    <x v="3"/>
    <x v="9"/>
    <x v="3"/>
    <x v="5"/>
    <x v="3"/>
    <x v="6"/>
    <x v="21"/>
    <x v="12"/>
    <x v="5"/>
    <x v="0"/>
    <x v="1"/>
    <x v="17"/>
    <x v="2"/>
    <x v="0"/>
    <x v="1"/>
  </r>
  <r>
    <x v="30"/>
    <x v="7"/>
    <x v="77"/>
    <x v="25"/>
    <x v="40"/>
    <x v="0"/>
    <x v="0"/>
    <x v="8"/>
    <x v="3"/>
    <x v="24"/>
    <x v="19"/>
    <x v="13"/>
    <x v="5"/>
    <x v="0"/>
    <x v="4"/>
    <x v="0"/>
    <x v="0"/>
    <x v="0"/>
    <x v="0"/>
    <x v="0"/>
    <x v="0"/>
    <x v="0"/>
    <x v="75"/>
    <x v="0"/>
    <x v="1"/>
    <x v="0"/>
    <x v="1"/>
    <x v="13"/>
    <x v="13"/>
    <x v="0"/>
    <x v="0"/>
    <x v="37"/>
    <x v="22"/>
    <x v="5"/>
    <x v="3"/>
    <x v="26"/>
    <x v="22"/>
    <x v="8"/>
    <x v="0"/>
    <x v="8"/>
    <x v="16"/>
    <x v="6"/>
    <x v="6"/>
    <x v="1"/>
    <x v="8"/>
    <x v="4"/>
    <x v="1"/>
    <x v="0"/>
    <x v="8"/>
    <x v="2"/>
    <x v="0"/>
    <x v="1"/>
    <x v="1"/>
    <x v="13"/>
    <x v="1"/>
    <x v="1"/>
    <x v="17"/>
    <x v="56"/>
    <x v="0"/>
    <x v="8"/>
    <x v="25"/>
    <x v="11"/>
    <x v="40"/>
    <x v="23"/>
    <x v="2"/>
    <x v="1"/>
    <x v="0"/>
    <x v="0"/>
    <x v="4"/>
    <x v="0"/>
    <x v="3"/>
    <x v="6"/>
    <x v="3"/>
    <x v="9"/>
    <x v="3"/>
    <x v="5"/>
    <x v="3"/>
    <x v="6"/>
    <x v="21"/>
    <x v="12"/>
    <x v="5"/>
    <x v="0"/>
    <x v="9"/>
    <x v="17"/>
    <x v="2"/>
    <x v="5"/>
    <x v="1"/>
  </r>
  <r>
    <x v="45"/>
    <x v="13"/>
    <x v="90"/>
    <x v="25"/>
    <x v="42"/>
    <x v="0"/>
    <x v="1"/>
    <x v="2"/>
    <x v="3"/>
    <x v="24"/>
    <x v="31"/>
    <x v="24"/>
    <x v="13"/>
    <x v="29"/>
    <x v="4"/>
    <x v="0"/>
    <x v="0"/>
    <x v="0"/>
    <x v="0"/>
    <x v="0"/>
    <x v="0"/>
    <x v="0"/>
    <x v="37"/>
    <x v="0"/>
    <x v="4"/>
    <x v="18"/>
    <x v="63"/>
    <x v="12"/>
    <x v="12"/>
    <x v="0"/>
    <x v="0"/>
    <x v="20"/>
    <x v="14"/>
    <x v="15"/>
    <x v="15"/>
    <x v="0"/>
    <x v="11"/>
    <x v="6"/>
    <x v="0"/>
    <x v="6"/>
    <x v="16"/>
    <x v="6"/>
    <x v="6"/>
    <x v="71"/>
    <x v="8"/>
    <x v="36"/>
    <x v="35"/>
    <x v="0"/>
    <x v="8"/>
    <x v="11"/>
    <x v="17"/>
    <x v="20"/>
    <x v="22"/>
    <x v="12"/>
    <x v="30"/>
    <x v="19"/>
    <x v="17"/>
    <x v="0"/>
    <x v="2"/>
    <x v="7"/>
    <x v="57"/>
    <x v="54"/>
    <x v="71"/>
    <x v="69"/>
    <x v="0"/>
    <x v="0"/>
    <x v="1"/>
    <x v="1"/>
    <x v="48"/>
    <x v="0"/>
    <x v="6"/>
    <x v="1"/>
    <x v="6"/>
    <x v="9"/>
    <x v="3"/>
    <x v="8"/>
    <x v="3"/>
    <x v="7"/>
    <x v="22"/>
    <x v="2"/>
    <x v="5"/>
    <x v="7"/>
    <x v="0"/>
    <x v="88"/>
    <x v="0"/>
    <x v="83"/>
    <x v="1"/>
  </r>
  <r>
    <x v="21"/>
    <x v="18"/>
    <x v="91"/>
    <x v="25"/>
    <x v="43"/>
    <x v="0"/>
    <x v="1"/>
    <x v="8"/>
    <x v="3"/>
    <x v="24"/>
    <x v="19"/>
    <x v="25"/>
    <x v="13"/>
    <x v="3"/>
    <x v="4"/>
    <x v="0"/>
    <x v="0"/>
    <x v="0"/>
    <x v="0"/>
    <x v="0"/>
    <x v="0"/>
    <x v="0"/>
    <x v="19"/>
    <x v="0"/>
    <x v="1"/>
    <x v="0"/>
    <x v="6"/>
    <x v="12"/>
    <x v="12"/>
    <x v="0"/>
    <x v="0"/>
    <x v="42"/>
    <x v="27"/>
    <x v="15"/>
    <x v="15"/>
    <x v="21"/>
    <x v="29"/>
    <x v="9"/>
    <x v="0"/>
    <x v="9"/>
    <x v="16"/>
    <x v="6"/>
    <x v="6"/>
    <x v="71"/>
    <x v="8"/>
    <x v="36"/>
    <x v="35"/>
    <x v="0"/>
    <x v="8"/>
    <x v="5"/>
    <x v="28"/>
    <x v="4"/>
    <x v="2"/>
    <x v="12"/>
    <x v="4"/>
    <x v="1"/>
    <x v="17"/>
    <x v="5"/>
    <x v="0"/>
    <x v="8"/>
    <x v="8"/>
    <x v="15"/>
    <x v="23"/>
    <x v="32"/>
    <x v="0"/>
    <x v="0"/>
    <x v="1"/>
    <x v="1"/>
    <x v="48"/>
    <x v="0"/>
    <x v="0"/>
    <x v="6"/>
    <x v="2"/>
    <x v="6"/>
    <x v="3"/>
    <x v="5"/>
    <x v="3"/>
    <x v="7"/>
    <x v="22"/>
    <x v="12"/>
    <x v="5"/>
    <x v="8"/>
    <x v="0"/>
    <x v="4"/>
    <x v="1"/>
    <x v="30"/>
    <x v="1"/>
  </r>
  <r>
    <x v="46"/>
    <x v="14"/>
    <x v="92"/>
    <x v="20"/>
    <x v="44"/>
    <x v="0"/>
    <x v="1"/>
    <x v="8"/>
    <x v="3"/>
    <x v="24"/>
    <x v="19"/>
    <x v="25"/>
    <x v="13"/>
    <x v="3"/>
    <x v="4"/>
    <x v="0"/>
    <x v="0"/>
    <x v="0"/>
    <x v="0"/>
    <x v="0"/>
    <x v="0"/>
    <x v="0"/>
    <x v="24"/>
    <x v="0"/>
    <x v="4"/>
    <x v="0"/>
    <x v="4"/>
    <x v="12"/>
    <x v="12"/>
    <x v="0"/>
    <x v="0"/>
    <x v="20"/>
    <x v="14"/>
    <x v="15"/>
    <x v="15"/>
    <x v="13"/>
    <x v="11"/>
    <x v="6"/>
    <x v="0"/>
    <x v="6"/>
    <x v="16"/>
    <x v="6"/>
    <x v="6"/>
    <x v="71"/>
    <x v="8"/>
    <x v="36"/>
    <x v="35"/>
    <x v="0"/>
    <x v="8"/>
    <x v="5"/>
    <x v="28"/>
    <x v="4"/>
    <x v="3"/>
    <x v="12"/>
    <x v="4"/>
    <x v="1"/>
    <x v="17"/>
    <x v="1"/>
    <x v="0"/>
    <x v="8"/>
    <x v="11"/>
    <x v="14"/>
    <x v="26"/>
    <x v="31"/>
    <x v="0"/>
    <x v="0"/>
    <x v="1"/>
    <x v="1"/>
    <x v="48"/>
    <x v="0"/>
    <x v="0"/>
    <x v="6"/>
    <x v="6"/>
    <x v="5"/>
    <x v="3"/>
    <x v="4"/>
    <x v="3"/>
    <x v="7"/>
    <x v="22"/>
    <x v="12"/>
    <x v="5"/>
    <x v="8"/>
    <x v="0"/>
    <x v="5"/>
    <x v="0"/>
    <x v="28"/>
    <x v="1"/>
  </r>
  <r>
    <x v="52"/>
    <x v="25"/>
    <x v="80"/>
    <x v="25"/>
    <x v="45"/>
    <x v="0"/>
    <x v="1"/>
    <x v="3"/>
    <x v="2"/>
    <x v="24"/>
    <x v="31"/>
    <x v="24"/>
    <x v="13"/>
    <x v="30"/>
    <x v="4"/>
    <x v="0"/>
    <x v="0"/>
    <x v="0"/>
    <x v="0"/>
    <x v="0"/>
    <x v="0"/>
    <x v="0"/>
    <x v="40"/>
    <x v="0"/>
    <x v="4"/>
    <x v="18"/>
    <x v="62"/>
    <x v="12"/>
    <x v="12"/>
    <x v="0"/>
    <x v="0"/>
    <x v="20"/>
    <x v="14"/>
    <x v="15"/>
    <x v="15"/>
    <x v="0"/>
    <x v="11"/>
    <x v="6"/>
    <x v="0"/>
    <x v="6"/>
    <x v="16"/>
    <x v="6"/>
    <x v="6"/>
    <x v="71"/>
    <x v="0"/>
    <x v="36"/>
    <x v="35"/>
    <x v="0"/>
    <x v="8"/>
    <x v="11"/>
    <x v="17"/>
    <x v="20"/>
    <x v="22"/>
    <x v="12"/>
    <x v="31"/>
    <x v="19"/>
    <x v="17"/>
    <x v="0"/>
    <x v="0"/>
    <x v="9"/>
    <x v="66"/>
    <x v="46"/>
    <x v="76"/>
    <x v="63"/>
    <x v="0"/>
    <x v="0"/>
    <x v="1"/>
    <x v="1"/>
    <x v="48"/>
    <x v="0"/>
    <x v="0"/>
    <x v="1"/>
    <x v="6"/>
    <x v="9"/>
    <x v="3"/>
    <x v="8"/>
    <x v="3"/>
    <x v="8"/>
    <x v="23"/>
    <x v="4"/>
    <x v="5"/>
    <x v="1"/>
    <x v="0"/>
    <x v="12"/>
    <x v="0"/>
    <x v="42"/>
    <x v="1"/>
  </r>
  <r>
    <x v="51"/>
    <x v="24"/>
    <x v="78"/>
    <x v="25"/>
    <x v="41"/>
    <x v="0"/>
    <x v="1"/>
    <x v="5"/>
    <x v="2"/>
    <x v="23"/>
    <x v="24"/>
    <x v="25"/>
    <x v="13"/>
    <x v="37"/>
    <x v="4"/>
    <x v="0"/>
    <x v="0"/>
    <x v="0"/>
    <x v="0"/>
    <x v="0"/>
    <x v="0"/>
    <x v="0"/>
    <x v="53"/>
    <x v="0"/>
    <x v="4"/>
    <x v="30"/>
    <x v="55"/>
    <x v="5"/>
    <x v="6"/>
    <x v="0"/>
    <x v="0"/>
    <x v="25"/>
    <x v="18"/>
    <x v="15"/>
    <x v="12"/>
    <x v="0"/>
    <x v="14"/>
    <x v="7"/>
    <x v="0"/>
    <x v="7"/>
    <x v="16"/>
    <x v="6"/>
    <x v="6"/>
    <x v="71"/>
    <x v="8"/>
    <x v="36"/>
    <x v="35"/>
    <x v="0"/>
    <x v="8"/>
    <x v="8"/>
    <x v="29"/>
    <x v="10"/>
    <x v="12"/>
    <x v="6"/>
    <x v="33"/>
    <x v="31"/>
    <x v="20"/>
    <x v="0"/>
    <x v="0"/>
    <x v="8"/>
    <x v="60"/>
    <x v="52"/>
    <x v="74"/>
    <x v="68"/>
    <x v="2"/>
    <x v="1"/>
    <x v="1"/>
    <x v="1"/>
    <x v="48"/>
    <x v="0"/>
    <x v="0"/>
    <x v="3"/>
    <x v="6"/>
    <x v="9"/>
    <x v="3"/>
    <x v="8"/>
    <x v="3"/>
    <x v="11"/>
    <x v="25"/>
    <x v="8"/>
    <x v="5"/>
    <x v="1"/>
    <x v="0"/>
    <x v="58"/>
    <x v="0"/>
    <x v="45"/>
    <x v="1"/>
  </r>
  <r>
    <x v="44"/>
    <x v="23"/>
    <x v="79"/>
    <x v="25"/>
    <x v="46"/>
    <x v="0"/>
    <x v="1"/>
    <x v="2"/>
    <x v="3"/>
    <x v="23"/>
    <x v="21"/>
    <x v="25"/>
    <x v="13"/>
    <x v="28"/>
    <x v="4"/>
    <x v="0"/>
    <x v="0"/>
    <x v="0"/>
    <x v="0"/>
    <x v="0"/>
    <x v="0"/>
    <x v="0"/>
    <x v="56"/>
    <x v="0"/>
    <x v="4"/>
    <x v="21"/>
    <x v="50"/>
    <x v="5"/>
    <x v="5"/>
    <x v="0"/>
    <x v="0"/>
    <x v="21"/>
    <x v="12"/>
    <x v="15"/>
    <x v="12"/>
    <x v="0"/>
    <x v="12"/>
    <x v="6"/>
    <x v="0"/>
    <x v="6"/>
    <x v="16"/>
    <x v="6"/>
    <x v="6"/>
    <x v="71"/>
    <x v="8"/>
    <x v="36"/>
    <x v="35"/>
    <x v="0"/>
    <x v="8"/>
    <x v="8"/>
    <x v="28"/>
    <x v="10"/>
    <x v="12"/>
    <x v="5"/>
    <x v="29"/>
    <x v="22"/>
    <x v="18"/>
    <x v="0"/>
    <x v="2"/>
    <x v="7"/>
    <x v="46"/>
    <x v="51"/>
    <x v="60"/>
    <x v="67"/>
    <x v="2"/>
    <x v="1"/>
    <x v="1"/>
    <x v="1"/>
    <x v="48"/>
    <x v="0"/>
    <x v="0"/>
    <x v="5"/>
    <x v="6"/>
    <x v="9"/>
    <x v="3"/>
    <x v="8"/>
    <x v="3"/>
    <x v="11"/>
    <x v="25"/>
    <x v="2"/>
    <x v="5"/>
    <x v="7"/>
    <x v="0"/>
    <x v="52"/>
    <x v="0"/>
    <x v="81"/>
    <x v="1"/>
  </r>
  <r>
    <x v="47"/>
    <x v="114"/>
    <x v="97"/>
    <x v="25"/>
    <x v="47"/>
    <x v="0"/>
    <x v="3"/>
    <x v="5"/>
    <x v="4"/>
    <x v="26"/>
    <x v="32"/>
    <x v="25"/>
    <x v="4"/>
    <x v="25"/>
    <x v="4"/>
    <x v="0"/>
    <x v="0"/>
    <x v="0"/>
    <x v="0"/>
    <x v="0"/>
    <x v="0"/>
    <x v="0"/>
    <x v="72"/>
    <x v="0"/>
    <x v="2"/>
    <x v="20"/>
    <x v="28"/>
    <x v="10"/>
    <x v="10"/>
    <x v="0"/>
    <x v="0"/>
    <x v="42"/>
    <x v="27"/>
    <x v="8"/>
    <x v="8"/>
    <x v="37"/>
    <x v="34"/>
    <x v="9"/>
    <x v="0"/>
    <x v="9"/>
    <x v="16"/>
    <x v="6"/>
    <x v="6"/>
    <x v="64"/>
    <x v="8"/>
    <x v="32"/>
    <x v="32"/>
    <x v="0"/>
    <x v="8"/>
    <x v="11"/>
    <x v="28"/>
    <x v="6"/>
    <x v="8"/>
    <x v="10"/>
    <x v="26"/>
    <x v="21"/>
    <x v="15"/>
    <x v="60"/>
    <x v="0"/>
    <x v="5"/>
    <x v="47"/>
    <x v="44"/>
    <x v="61"/>
    <x v="61"/>
    <x v="2"/>
    <x v="1"/>
    <x v="1"/>
    <x v="1"/>
    <x v="48"/>
    <x v="0"/>
    <x v="6"/>
    <x v="4"/>
    <x v="2"/>
    <x v="9"/>
    <x v="3"/>
    <x v="5"/>
    <x v="3"/>
    <x v="6"/>
    <x v="21"/>
    <x v="9"/>
    <x v="25"/>
    <x v="4"/>
    <x v="8"/>
    <x v="54"/>
    <x v="1"/>
    <x v="74"/>
    <x v="1"/>
  </r>
  <r>
    <x v="48"/>
    <x v="113"/>
    <x v="98"/>
    <x v="22"/>
    <x v="48"/>
    <x v="0"/>
    <x v="3"/>
    <x v="3"/>
    <x v="1"/>
    <x v="26"/>
    <x v="32"/>
    <x v="25"/>
    <x v="4"/>
    <x v="29"/>
    <x v="0"/>
    <x v="0"/>
    <x v="0"/>
    <x v="0"/>
    <x v="0"/>
    <x v="0"/>
    <x v="0"/>
    <x v="0"/>
    <x v="74"/>
    <x v="0"/>
    <x v="2"/>
    <x v="20"/>
    <x v="27"/>
    <x v="10"/>
    <x v="10"/>
    <x v="0"/>
    <x v="0"/>
    <x v="42"/>
    <x v="27"/>
    <x v="8"/>
    <x v="8"/>
    <x v="37"/>
    <x v="34"/>
    <x v="9"/>
    <x v="0"/>
    <x v="9"/>
    <x v="16"/>
    <x v="6"/>
    <x v="6"/>
    <x v="65"/>
    <x v="7"/>
    <x v="11"/>
    <x v="35"/>
    <x v="0"/>
    <x v="8"/>
    <x v="11"/>
    <x v="28"/>
    <x v="6"/>
    <x v="8"/>
    <x v="10"/>
    <x v="30"/>
    <x v="21"/>
    <x v="15"/>
    <x v="60"/>
    <x v="0"/>
    <x v="6"/>
    <x v="50"/>
    <x v="46"/>
    <x v="64"/>
    <x v="63"/>
    <x v="2"/>
    <x v="1"/>
    <x v="1"/>
    <x v="1"/>
    <x v="48"/>
    <x v="0"/>
    <x v="0"/>
    <x v="4"/>
    <x v="2"/>
    <x v="9"/>
    <x v="3"/>
    <x v="5"/>
    <x v="3"/>
    <x v="6"/>
    <x v="21"/>
    <x v="3"/>
    <x v="25"/>
    <x v="2"/>
    <x v="8"/>
    <x v="92"/>
    <x v="1"/>
    <x v="66"/>
    <x v="1"/>
  </r>
  <r>
    <x v="66"/>
    <x v="60"/>
    <x v="81"/>
    <x v="25"/>
    <x v="49"/>
    <x v="0"/>
    <x v="3"/>
    <x v="3"/>
    <x v="1"/>
    <x v="29"/>
    <x v="32"/>
    <x v="25"/>
    <x v="12"/>
    <x v="41"/>
    <x v="3"/>
    <x v="0"/>
    <x v="0"/>
    <x v="0"/>
    <x v="0"/>
    <x v="0"/>
    <x v="0"/>
    <x v="0"/>
    <x v="87"/>
    <x v="0"/>
    <x v="1"/>
    <x v="26"/>
    <x v="8"/>
    <x v="15"/>
    <x v="15"/>
    <x v="0"/>
    <x v="0"/>
    <x v="40"/>
    <x v="26"/>
    <x v="11"/>
    <x v="15"/>
    <x v="12"/>
    <x v="35"/>
    <x v="9"/>
    <x v="0"/>
    <x v="9"/>
    <x v="16"/>
    <x v="2"/>
    <x v="2"/>
    <x v="32"/>
    <x v="5"/>
    <x v="31"/>
    <x v="35"/>
    <x v="0"/>
    <x v="8"/>
    <x v="4"/>
    <x v="28"/>
    <x v="20"/>
    <x v="22"/>
    <x v="14"/>
    <x v="36"/>
    <x v="27"/>
    <x v="12"/>
    <x v="68"/>
    <x v="0"/>
    <x v="9"/>
    <x v="77"/>
    <x v="64"/>
    <x v="82"/>
    <x v="78"/>
    <x v="2"/>
    <x v="1"/>
    <x v="1"/>
    <x v="1"/>
    <x v="48"/>
    <x v="0"/>
    <x v="4"/>
    <x v="10"/>
    <x v="4"/>
    <x v="9"/>
    <x v="3"/>
    <x v="5"/>
    <x v="3"/>
    <x v="6"/>
    <x v="21"/>
    <x v="3"/>
    <x v="16"/>
    <x v="2"/>
    <x v="5"/>
    <x v="15"/>
    <x v="4"/>
    <x v="64"/>
    <x v="1"/>
  </r>
  <r>
    <x v="68"/>
    <x v="61"/>
    <x v="82"/>
    <x v="18"/>
    <x v="50"/>
    <x v="0"/>
    <x v="3"/>
    <x v="3"/>
    <x v="1"/>
    <x v="29"/>
    <x v="32"/>
    <x v="25"/>
    <x v="11"/>
    <x v="41"/>
    <x v="3"/>
    <x v="0"/>
    <x v="0"/>
    <x v="0"/>
    <x v="0"/>
    <x v="0"/>
    <x v="0"/>
    <x v="0"/>
    <x v="86"/>
    <x v="0"/>
    <x v="1"/>
    <x v="26"/>
    <x v="11"/>
    <x v="15"/>
    <x v="15"/>
    <x v="0"/>
    <x v="0"/>
    <x v="40"/>
    <x v="26"/>
    <x v="11"/>
    <x v="15"/>
    <x v="12"/>
    <x v="35"/>
    <x v="9"/>
    <x v="0"/>
    <x v="9"/>
    <x v="16"/>
    <x v="3"/>
    <x v="3"/>
    <x v="35"/>
    <x v="6"/>
    <x v="18"/>
    <x v="35"/>
    <x v="0"/>
    <x v="8"/>
    <x v="4"/>
    <x v="28"/>
    <x v="20"/>
    <x v="22"/>
    <x v="14"/>
    <x v="36"/>
    <x v="27"/>
    <x v="12"/>
    <x v="66"/>
    <x v="0"/>
    <x v="9"/>
    <x v="76"/>
    <x v="61"/>
    <x v="81"/>
    <x v="75"/>
    <x v="2"/>
    <x v="1"/>
    <x v="1"/>
    <x v="1"/>
    <x v="48"/>
    <x v="0"/>
    <x v="4"/>
    <x v="10"/>
    <x v="4"/>
    <x v="9"/>
    <x v="3"/>
    <x v="5"/>
    <x v="3"/>
    <x v="6"/>
    <x v="21"/>
    <x v="3"/>
    <x v="14"/>
    <x v="2"/>
    <x v="3"/>
    <x v="61"/>
    <x v="4"/>
    <x v="63"/>
    <x v="1"/>
  </r>
  <r>
    <x v="67"/>
    <x v="59"/>
    <x v="83"/>
    <x v="18"/>
    <x v="51"/>
    <x v="0"/>
    <x v="3"/>
    <x v="3"/>
    <x v="1"/>
    <x v="29"/>
    <x v="32"/>
    <x v="25"/>
    <x v="12"/>
    <x v="41"/>
    <x v="3"/>
    <x v="0"/>
    <x v="0"/>
    <x v="0"/>
    <x v="0"/>
    <x v="0"/>
    <x v="0"/>
    <x v="0"/>
    <x v="87"/>
    <x v="0"/>
    <x v="1"/>
    <x v="26"/>
    <x v="8"/>
    <x v="15"/>
    <x v="15"/>
    <x v="0"/>
    <x v="0"/>
    <x v="40"/>
    <x v="26"/>
    <x v="11"/>
    <x v="15"/>
    <x v="12"/>
    <x v="35"/>
    <x v="9"/>
    <x v="0"/>
    <x v="9"/>
    <x v="16"/>
    <x v="2"/>
    <x v="2"/>
    <x v="36"/>
    <x v="4"/>
    <x v="17"/>
    <x v="35"/>
    <x v="0"/>
    <x v="8"/>
    <x v="4"/>
    <x v="28"/>
    <x v="20"/>
    <x v="22"/>
    <x v="14"/>
    <x v="36"/>
    <x v="27"/>
    <x v="12"/>
    <x v="68"/>
    <x v="0"/>
    <x v="9"/>
    <x v="77"/>
    <x v="64"/>
    <x v="82"/>
    <x v="78"/>
    <x v="2"/>
    <x v="1"/>
    <x v="1"/>
    <x v="1"/>
    <x v="48"/>
    <x v="0"/>
    <x v="4"/>
    <x v="10"/>
    <x v="4"/>
    <x v="9"/>
    <x v="3"/>
    <x v="5"/>
    <x v="3"/>
    <x v="6"/>
    <x v="21"/>
    <x v="3"/>
    <x v="16"/>
    <x v="2"/>
    <x v="5"/>
    <x v="15"/>
    <x v="4"/>
    <x v="64"/>
    <x v="1"/>
  </r>
  <r>
    <x v="67"/>
    <x v="62"/>
    <x v="84"/>
    <x v="18"/>
    <x v="52"/>
    <x v="0"/>
    <x v="3"/>
    <x v="3"/>
    <x v="1"/>
    <x v="29"/>
    <x v="32"/>
    <x v="25"/>
    <x v="11"/>
    <x v="41"/>
    <x v="3"/>
    <x v="0"/>
    <x v="0"/>
    <x v="0"/>
    <x v="0"/>
    <x v="0"/>
    <x v="0"/>
    <x v="0"/>
    <x v="86"/>
    <x v="0"/>
    <x v="1"/>
    <x v="26"/>
    <x v="11"/>
    <x v="15"/>
    <x v="15"/>
    <x v="0"/>
    <x v="0"/>
    <x v="40"/>
    <x v="26"/>
    <x v="11"/>
    <x v="15"/>
    <x v="12"/>
    <x v="35"/>
    <x v="9"/>
    <x v="0"/>
    <x v="9"/>
    <x v="16"/>
    <x v="3"/>
    <x v="3"/>
    <x v="37"/>
    <x v="4"/>
    <x v="9"/>
    <x v="18"/>
    <x v="0"/>
    <x v="8"/>
    <x v="4"/>
    <x v="28"/>
    <x v="20"/>
    <x v="22"/>
    <x v="14"/>
    <x v="36"/>
    <x v="27"/>
    <x v="12"/>
    <x v="66"/>
    <x v="0"/>
    <x v="9"/>
    <x v="76"/>
    <x v="61"/>
    <x v="81"/>
    <x v="75"/>
    <x v="2"/>
    <x v="1"/>
    <x v="1"/>
    <x v="1"/>
    <x v="48"/>
    <x v="0"/>
    <x v="4"/>
    <x v="10"/>
    <x v="4"/>
    <x v="9"/>
    <x v="3"/>
    <x v="5"/>
    <x v="3"/>
    <x v="6"/>
    <x v="21"/>
    <x v="3"/>
    <x v="14"/>
    <x v="2"/>
    <x v="3"/>
    <x v="61"/>
    <x v="4"/>
    <x v="63"/>
    <x v="1"/>
  </r>
  <r>
    <x v="38"/>
    <x v="49"/>
    <x v="85"/>
    <x v="25"/>
    <x v="53"/>
    <x v="0"/>
    <x v="3"/>
    <x v="3"/>
    <x v="1"/>
    <x v="31"/>
    <x v="32"/>
    <x v="21"/>
    <x v="3"/>
    <x v="26"/>
    <x v="4"/>
    <x v="0"/>
    <x v="0"/>
    <x v="0"/>
    <x v="0"/>
    <x v="0"/>
    <x v="0"/>
    <x v="0"/>
    <x v="60"/>
    <x v="0"/>
    <x v="2"/>
    <x v="17"/>
    <x v="40"/>
    <x v="9"/>
    <x v="9"/>
    <x v="0"/>
    <x v="0"/>
    <x v="36"/>
    <x v="21"/>
    <x v="15"/>
    <x v="5"/>
    <x v="37"/>
    <x v="20"/>
    <x v="8"/>
    <x v="0"/>
    <x v="8"/>
    <x v="6"/>
    <x v="6"/>
    <x v="6"/>
    <x v="28"/>
    <x v="1"/>
    <x v="33"/>
    <x v="35"/>
    <x v="0"/>
    <x v="8"/>
    <x v="9"/>
    <x v="7"/>
    <x v="20"/>
    <x v="22"/>
    <x v="9"/>
    <x v="27"/>
    <x v="18"/>
    <x v="10"/>
    <x v="51"/>
    <x v="0"/>
    <x v="6"/>
    <x v="53"/>
    <x v="44"/>
    <x v="67"/>
    <x v="61"/>
    <x v="2"/>
    <x v="1"/>
    <x v="1"/>
    <x v="1"/>
    <x v="48"/>
    <x v="0"/>
    <x v="6"/>
    <x v="3"/>
    <x v="1"/>
    <x v="9"/>
    <x v="3"/>
    <x v="5"/>
    <x v="3"/>
    <x v="5"/>
    <x v="20"/>
    <x v="3"/>
    <x v="21"/>
    <x v="2"/>
    <x v="7"/>
    <x v="14"/>
    <x v="0"/>
    <x v="65"/>
    <x v="1"/>
  </r>
  <r>
    <x v="49"/>
    <x v="53"/>
    <x v="86"/>
    <x v="25"/>
    <x v="53"/>
    <x v="0"/>
    <x v="3"/>
    <x v="5"/>
    <x v="4"/>
    <x v="29"/>
    <x v="21"/>
    <x v="25"/>
    <x v="3"/>
    <x v="24"/>
    <x v="4"/>
    <x v="0"/>
    <x v="0"/>
    <x v="0"/>
    <x v="0"/>
    <x v="0"/>
    <x v="0"/>
    <x v="0"/>
    <x v="60"/>
    <x v="0"/>
    <x v="2"/>
    <x v="17"/>
    <x v="40"/>
    <x v="5"/>
    <x v="5"/>
    <x v="0"/>
    <x v="0"/>
    <x v="36"/>
    <x v="21"/>
    <x v="15"/>
    <x v="5"/>
    <x v="43"/>
    <x v="20"/>
    <x v="8"/>
    <x v="0"/>
    <x v="8"/>
    <x v="0"/>
    <x v="6"/>
    <x v="6"/>
    <x v="21"/>
    <x v="8"/>
    <x v="27"/>
    <x v="13"/>
    <x v="0"/>
    <x v="8"/>
    <x v="9"/>
    <x v="28"/>
    <x v="6"/>
    <x v="9"/>
    <x v="5"/>
    <x v="25"/>
    <x v="18"/>
    <x v="12"/>
    <x v="58"/>
    <x v="0"/>
    <x v="5"/>
    <x v="40"/>
    <x v="37"/>
    <x v="54"/>
    <x v="54"/>
    <x v="2"/>
    <x v="1"/>
    <x v="1"/>
    <x v="1"/>
    <x v="35"/>
    <x v="0"/>
    <x v="6"/>
    <x v="9"/>
    <x v="2"/>
    <x v="9"/>
    <x v="3"/>
    <x v="5"/>
    <x v="3"/>
    <x v="5"/>
    <x v="20"/>
    <x v="9"/>
    <x v="21"/>
    <x v="4"/>
    <x v="7"/>
    <x v="44"/>
    <x v="1"/>
    <x v="72"/>
    <x v="1"/>
  </r>
  <r>
    <x v="50"/>
    <x v="54"/>
    <x v="87"/>
    <x v="19"/>
    <x v="54"/>
    <x v="0"/>
    <x v="3"/>
    <x v="5"/>
    <x v="4"/>
    <x v="30"/>
    <x v="30"/>
    <x v="23"/>
    <x v="1"/>
    <x v="22"/>
    <x v="4"/>
    <x v="0"/>
    <x v="0"/>
    <x v="0"/>
    <x v="0"/>
    <x v="0"/>
    <x v="0"/>
    <x v="0"/>
    <x v="39"/>
    <x v="0"/>
    <x v="2"/>
    <x v="7"/>
    <x v="34"/>
    <x v="5"/>
    <x v="5"/>
    <x v="0"/>
    <x v="0"/>
    <x v="36"/>
    <x v="21"/>
    <x v="15"/>
    <x v="5"/>
    <x v="44"/>
    <x v="20"/>
    <x v="8"/>
    <x v="0"/>
    <x v="8"/>
    <x v="0"/>
    <x v="6"/>
    <x v="6"/>
    <x v="22"/>
    <x v="8"/>
    <x v="1"/>
    <x v="13"/>
    <x v="0"/>
    <x v="8"/>
    <x v="9"/>
    <x v="11"/>
    <x v="6"/>
    <x v="9"/>
    <x v="5"/>
    <x v="23"/>
    <x v="8"/>
    <x v="11"/>
    <x v="31"/>
    <x v="0"/>
    <x v="5"/>
    <x v="27"/>
    <x v="22"/>
    <x v="42"/>
    <x v="39"/>
    <x v="2"/>
    <x v="1"/>
    <x v="1"/>
    <x v="1"/>
    <x v="34"/>
    <x v="0"/>
    <x v="6"/>
    <x v="5"/>
    <x v="1"/>
    <x v="9"/>
    <x v="3"/>
    <x v="5"/>
    <x v="3"/>
    <x v="6"/>
    <x v="21"/>
    <x v="9"/>
    <x v="10"/>
    <x v="4"/>
    <x v="4"/>
    <x v="55"/>
    <x v="0"/>
    <x v="70"/>
    <x v="1"/>
  </r>
  <r>
    <x v="61"/>
    <x v="58"/>
    <x v="99"/>
    <x v="25"/>
    <x v="55"/>
    <x v="0"/>
    <x v="1"/>
    <x v="2"/>
    <x v="3"/>
    <x v="31"/>
    <x v="4"/>
    <x v="25"/>
    <x v="13"/>
    <x v="27"/>
    <x v="4"/>
    <x v="0"/>
    <x v="0"/>
    <x v="0"/>
    <x v="0"/>
    <x v="0"/>
    <x v="0"/>
    <x v="0"/>
    <x v="52"/>
    <x v="0"/>
    <x v="4"/>
    <x v="29"/>
    <x v="60"/>
    <x v="8"/>
    <x v="8"/>
    <x v="0"/>
    <x v="0"/>
    <x v="24"/>
    <x v="17"/>
    <x v="6"/>
    <x v="10"/>
    <x v="0"/>
    <x v="17"/>
    <x v="7"/>
    <x v="0"/>
    <x v="7"/>
    <x v="16"/>
    <x v="6"/>
    <x v="6"/>
    <x v="71"/>
    <x v="8"/>
    <x v="36"/>
    <x v="35"/>
    <x v="0"/>
    <x v="8"/>
    <x v="12"/>
    <x v="28"/>
    <x v="20"/>
    <x v="7"/>
    <x v="8"/>
    <x v="28"/>
    <x v="30"/>
    <x v="10"/>
    <x v="0"/>
    <x v="2"/>
    <x v="7"/>
    <x v="37"/>
    <x v="46"/>
    <x v="51"/>
    <x v="63"/>
    <x v="2"/>
    <x v="1"/>
    <x v="1"/>
    <x v="1"/>
    <x v="48"/>
    <x v="0"/>
    <x v="6"/>
    <x v="0"/>
    <x v="6"/>
    <x v="9"/>
    <x v="3"/>
    <x v="8"/>
    <x v="3"/>
    <x v="11"/>
    <x v="25"/>
    <x v="2"/>
    <x v="4"/>
    <x v="7"/>
    <x v="0"/>
    <x v="31"/>
    <x v="0"/>
    <x v="80"/>
    <x v="1"/>
  </r>
  <r>
    <x v="106"/>
    <x v="85"/>
    <x v="106"/>
    <x v="23"/>
    <x v="60"/>
    <x v="0"/>
    <x v="2"/>
    <x v="2"/>
    <x v="3"/>
    <x v="34"/>
    <x v="32"/>
    <x v="25"/>
    <x v="0"/>
    <x v="15"/>
    <x v="4"/>
    <x v="0"/>
    <x v="0"/>
    <x v="0"/>
    <x v="0"/>
    <x v="0"/>
    <x v="0"/>
    <x v="0"/>
    <x v="18"/>
    <x v="0"/>
    <x v="1"/>
    <x v="11"/>
    <x v="68"/>
    <x v="5"/>
    <x v="5"/>
    <x v="0"/>
    <x v="0"/>
    <x v="33"/>
    <x v="19"/>
    <x v="12"/>
    <x v="13"/>
    <x v="17"/>
    <x v="27"/>
    <x v="8"/>
    <x v="0"/>
    <x v="8"/>
    <x v="0"/>
    <x v="6"/>
    <x v="6"/>
    <x v="70"/>
    <x v="8"/>
    <x v="22"/>
    <x v="34"/>
    <x v="0"/>
    <x v="8"/>
    <x v="11"/>
    <x v="28"/>
    <x v="20"/>
    <x v="22"/>
    <x v="5"/>
    <x v="16"/>
    <x v="12"/>
    <x v="7"/>
    <x v="3"/>
    <x v="2"/>
    <x v="7"/>
    <x v="35"/>
    <x v="29"/>
    <x v="49"/>
    <x v="46"/>
    <x v="2"/>
    <x v="1"/>
    <x v="1"/>
    <x v="1"/>
    <x v="48"/>
    <x v="0"/>
    <x v="6"/>
    <x v="5"/>
    <x v="1"/>
    <x v="2"/>
    <x v="3"/>
    <x v="2"/>
    <x v="5"/>
    <x v="11"/>
    <x v="37"/>
    <x v="2"/>
    <x v="5"/>
    <x v="7"/>
    <x v="0"/>
    <x v="83"/>
    <x v="0"/>
    <x v="82"/>
    <x v="1"/>
  </r>
  <r>
    <x v="102"/>
    <x v="86"/>
    <x v="107"/>
    <x v="25"/>
    <x v="56"/>
    <x v="0"/>
    <x v="2"/>
    <x v="2"/>
    <x v="3"/>
    <x v="34"/>
    <x v="32"/>
    <x v="25"/>
    <x v="1"/>
    <x v="15"/>
    <x v="4"/>
    <x v="0"/>
    <x v="0"/>
    <x v="0"/>
    <x v="0"/>
    <x v="0"/>
    <x v="0"/>
    <x v="0"/>
    <x v="32"/>
    <x v="0"/>
    <x v="1"/>
    <x v="11"/>
    <x v="52"/>
    <x v="5"/>
    <x v="5"/>
    <x v="0"/>
    <x v="0"/>
    <x v="33"/>
    <x v="19"/>
    <x v="12"/>
    <x v="13"/>
    <x v="17"/>
    <x v="27"/>
    <x v="8"/>
    <x v="0"/>
    <x v="8"/>
    <x v="0"/>
    <x v="6"/>
    <x v="6"/>
    <x v="69"/>
    <x v="8"/>
    <x v="22"/>
    <x v="33"/>
    <x v="0"/>
    <x v="8"/>
    <x v="11"/>
    <x v="28"/>
    <x v="20"/>
    <x v="22"/>
    <x v="5"/>
    <x v="16"/>
    <x v="12"/>
    <x v="7"/>
    <x v="12"/>
    <x v="2"/>
    <x v="7"/>
    <x v="38"/>
    <x v="31"/>
    <x v="52"/>
    <x v="48"/>
    <x v="2"/>
    <x v="1"/>
    <x v="1"/>
    <x v="1"/>
    <x v="48"/>
    <x v="0"/>
    <x v="6"/>
    <x v="5"/>
    <x v="1"/>
    <x v="2"/>
    <x v="3"/>
    <x v="2"/>
    <x v="5"/>
    <x v="11"/>
    <x v="37"/>
    <x v="2"/>
    <x v="10"/>
    <x v="7"/>
    <x v="4"/>
    <x v="83"/>
    <x v="0"/>
    <x v="90"/>
    <x v="1"/>
  </r>
  <r>
    <x v="103"/>
    <x v="87"/>
    <x v="108"/>
    <x v="23"/>
    <x v="57"/>
    <x v="0"/>
    <x v="2"/>
    <x v="2"/>
    <x v="3"/>
    <x v="34"/>
    <x v="32"/>
    <x v="25"/>
    <x v="2"/>
    <x v="15"/>
    <x v="4"/>
    <x v="0"/>
    <x v="0"/>
    <x v="0"/>
    <x v="0"/>
    <x v="0"/>
    <x v="0"/>
    <x v="0"/>
    <x v="45"/>
    <x v="0"/>
    <x v="1"/>
    <x v="11"/>
    <x v="44"/>
    <x v="5"/>
    <x v="5"/>
    <x v="0"/>
    <x v="0"/>
    <x v="33"/>
    <x v="19"/>
    <x v="12"/>
    <x v="13"/>
    <x v="17"/>
    <x v="27"/>
    <x v="8"/>
    <x v="0"/>
    <x v="8"/>
    <x v="0"/>
    <x v="6"/>
    <x v="6"/>
    <x v="68"/>
    <x v="8"/>
    <x v="12"/>
    <x v="33"/>
    <x v="0"/>
    <x v="8"/>
    <x v="11"/>
    <x v="28"/>
    <x v="20"/>
    <x v="22"/>
    <x v="5"/>
    <x v="16"/>
    <x v="12"/>
    <x v="7"/>
    <x v="21"/>
    <x v="2"/>
    <x v="7"/>
    <x v="41"/>
    <x v="34"/>
    <x v="55"/>
    <x v="51"/>
    <x v="2"/>
    <x v="1"/>
    <x v="1"/>
    <x v="1"/>
    <x v="48"/>
    <x v="0"/>
    <x v="6"/>
    <x v="5"/>
    <x v="1"/>
    <x v="2"/>
    <x v="3"/>
    <x v="2"/>
    <x v="5"/>
    <x v="11"/>
    <x v="37"/>
    <x v="2"/>
    <x v="17"/>
    <x v="7"/>
    <x v="6"/>
    <x v="83"/>
    <x v="0"/>
    <x v="99"/>
    <x v="1"/>
  </r>
  <r>
    <x v="104"/>
    <x v="88"/>
    <x v="109"/>
    <x v="23"/>
    <x v="58"/>
    <x v="0"/>
    <x v="2"/>
    <x v="2"/>
    <x v="3"/>
    <x v="34"/>
    <x v="32"/>
    <x v="25"/>
    <x v="3"/>
    <x v="15"/>
    <x v="4"/>
    <x v="0"/>
    <x v="0"/>
    <x v="0"/>
    <x v="0"/>
    <x v="0"/>
    <x v="0"/>
    <x v="0"/>
    <x v="48"/>
    <x v="0"/>
    <x v="1"/>
    <x v="11"/>
    <x v="32"/>
    <x v="5"/>
    <x v="5"/>
    <x v="0"/>
    <x v="0"/>
    <x v="33"/>
    <x v="19"/>
    <x v="12"/>
    <x v="13"/>
    <x v="17"/>
    <x v="27"/>
    <x v="8"/>
    <x v="0"/>
    <x v="8"/>
    <x v="0"/>
    <x v="6"/>
    <x v="6"/>
    <x v="67"/>
    <x v="8"/>
    <x v="2"/>
    <x v="33"/>
    <x v="0"/>
    <x v="8"/>
    <x v="11"/>
    <x v="28"/>
    <x v="20"/>
    <x v="22"/>
    <x v="5"/>
    <x v="16"/>
    <x v="12"/>
    <x v="7"/>
    <x v="28"/>
    <x v="2"/>
    <x v="7"/>
    <x v="42"/>
    <x v="36"/>
    <x v="56"/>
    <x v="53"/>
    <x v="2"/>
    <x v="1"/>
    <x v="1"/>
    <x v="1"/>
    <x v="48"/>
    <x v="0"/>
    <x v="6"/>
    <x v="5"/>
    <x v="1"/>
    <x v="2"/>
    <x v="3"/>
    <x v="2"/>
    <x v="5"/>
    <x v="11"/>
    <x v="37"/>
    <x v="2"/>
    <x v="21"/>
    <x v="7"/>
    <x v="7"/>
    <x v="83"/>
    <x v="0"/>
    <x v="103"/>
    <x v="1"/>
  </r>
  <r>
    <x v="105"/>
    <x v="89"/>
    <x v="110"/>
    <x v="23"/>
    <x v="59"/>
    <x v="0"/>
    <x v="2"/>
    <x v="2"/>
    <x v="3"/>
    <x v="34"/>
    <x v="32"/>
    <x v="25"/>
    <x v="4"/>
    <x v="15"/>
    <x v="4"/>
    <x v="0"/>
    <x v="0"/>
    <x v="0"/>
    <x v="0"/>
    <x v="0"/>
    <x v="0"/>
    <x v="0"/>
    <x v="55"/>
    <x v="0"/>
    <x v="1"/>
    <x v="11"/>
    <x v="26"/>
    <x v="5"/>
    <x v="5"/>
    <x v="0"/>
    <x v="0"/>
    <x v="33"/>
    <x v="19"/>
    <x v="12"/>
    <x v="13"/>
    <x v="17"/>
    <x v="27"/>
    <x v="8"/>
    <x v="0"/>
    <x v="8"/>
    <x v="0"/>
    <x v="6"/>
    <x v="6"/>
    <x v="66"/>
    <x v="8"/>
    <x v="3"/>
    <x v="33"/>
    <x v="0"/>
    <x v="8"/>
    <x v="11"/>
    <x v="28"/>
    <x v="20"/>
    <x v="22"/>
    <x v="5"/>
    <x v="16"/>
    <x v="12"/>
    <x v="7"/>
    <x v="38"/>
    <x v="2"/>
    <x v="7"/>
    <x v="44"/>
    <x v="38"/>
    <x v="58"/>
    <x v="55"/>
    <x v="2"/>
    <x v="1"/>
    <x v="1"/>
    <x v="1"/>
    <x v="48"/>
    <x v="0"/>
    <x v="6"/>
    <x v="5"/>
    <x v="1"/>
    <x v="2"/>
    <x v="3"/>
    <x v="2"/>
    <x v="5"/>
    <x v="11"/>
    <x v="37"/>
    <x v="2"/>
    <x v="24"/>
    <x v="7"/>
    <x v="8"/>
    <x v="83"/>
    <x v="0"/>
    <x v="105"/>
    <x v="1"/>
  </r>
  <r>
    <x v="5"/>
    <x v="80"/>
    <x v="93"/>
    <x v="25"/>
    <x v="61"/>
    <x v="0"/>
    <x v="3"/>
    <x v="2"/>
    <x v="3"/>
    <x v="35"/>
    <x v="32"/>
    <x v="25"/>
    <x v="3"/>
    <x v="31"/>
    <x v="4"/>
    <x v="0"/>
    <x v="0"/>
    <x v="0"/>
    <x v="0"/>
    <x v="0"/>
    <x v="0"/>
    <x v="0"/>
    <x v="70"/>
    <x v="0"/>
    <x v="2"/>
    <x v="25"/>
    <x v="35"/>
    <x v="12"/>
    <x v="12"/>
    <x v="0"/>
    <x v="0"/>
    <x v="45"/>
    <x v="29"/>
    <x v="7"/>
    <x v="15"/>
    <x v="27"/>
    <x v="38"/>
    <x v="10"/>
    <x v="0"/>
    <x v="10"/>
    <x v="16"/>
    <x v="6"/>
    <x v="6"/>
    <x v="51"/>
    <x v="8"/>
    <x v="27"/>
    <x v="23"/>
    <x v="0"/>
    <x v="8"/>
    <x v="7"/>
    <x v="28"/>
    <x v="4"/>
    <x v="6"/>
    <x v="12"/>
    <x v="32"/>
    <x v="26"/>
    <x v="6"/>
    <x v="40"/>
    <x v="2"/>
    <x v="7"/>
    <x v="54"/>
    <x v="57"/>
    <x v="68"/>
    <x v="71"/>
    <x v="2"/>
    <x v="1"/>
    <x v="1"/>
    <x v="1"/>
    <x v="44"/>
    <x v="0"/>
    <x v="6"/>
    <x v="9"/>
    <x v="2"/>
    <x v="9"/>
    <x v="3"/>
    <x v="5"/>
    <x v="5"/>
    <x v="4"/>
    <x v="36"/>
    <x v="2"/>
    <x v="23"/>
    <x v="7"/>
    <x v="7"/>
    <x v="51"/>
    <x v="1"/>
    <x v="104"/>
    <x v="1"/>
  </r>
  <r>
    <x v="5"/>
    <x v="81"/>
    <x v="94"/>
    <x v="21"/>
    <x v="62"/>
    <x v="0"/>
    <x v="3"/>
    <x v="2"/>
    <x v="3"/>
    <x v="35"/>
    <x v="32"/>
    <x v="25"/>
    <x v="4"/>
    <x v="33"/>
    <x v="4"/>
    <x v="0"/>
    <x v="0"/>
    <x v="0"/>
    <x v="0"/>
    <x v="0"/>
    <x v="0"/>
    <x v="0"/>
    <x v="76"/>
    <x v="0"/>
    <x v="2"/>
    <x v="31"/>
    <x v="39"/>
    <x v="12"/>
    <x v="12"/>
    <x v="0"/>
    <x v="0"/>
    <x v="45"/>
    <x v="29"/>
    <x v="7"/>
    <x v="15"/>
    <x v="27"/>
    <x v="38"/>
    <x v="10"/>
    <x v="0"/>
    <x v="10"/>
    <x v="16"/>
    <x v="6"/>
    <x v="6"/>
    <x v="50"/>
    <x v="8"/>
    <x v="3"/>
    <x v="23"/>
    <x v="0"/>
    <x v="8"/>
    <x v="7"/>
    <x v="28"/>
    <x v="4"/>
    <x v="6"/>
    <x v="12"/>
    <x v="35"/>
    <x v="32"/>
    <x v="6"/>
    <x v="49"/>
    <x v="2"/>
    <x v="7"/>
    <x v="59"/>
    <x v="58"/>
    <x v="73"/>
    <x v="72"/>
    <x v="2"/>
    <x v="1"/>
    <x v="1"/>
    <x v="1"/>
    <x v="43"/>
    <x v="0"/>
    <x v="2"/>
    <x v="9"/>
    <x v="2"/>
    <x v="9"/>
    <x v="3"/>
    <x v="5"/>
    <x v="5"/>
    <x v="4"/>
    <x v="36"/>
    <x v="2"/>
    <x v="27"/>
    <x v="7"/>
    <x v="8"/>
    <x v="51"/>
    <x v="1"/>
    <x v="106"/>
    <x v="1"/>
  </r>
  <r>
    <x v="5"/>
    <x v="82"/>
    <x v="95"/>
    <x v="21"/>
    <x v="63"/>
    <x v="0"/>
    <x v="3"/>
    <x v="2"/>
    <x v="3"/>
    <x v="35"/>
    <x v="32"/>
    <x v="25"/>
    <x v="6"/>
    <x v="36"/>
    <x v="4"/>
    <x v="0"/>
    <x v="0"/>
    <x v="0"/>
    <x v="0"/>
    <x v="0"/>
    <x v="0"/>
    <x v="0"/>
    <x v="80"/>
    <x v="0"/>
    <x v="2"/>
    <x v="33"/>
    <x v="41"/>
    <x v="12"/>
    <x v="12"/>
    <x v="0"/>
    <x v="0"/>
    <x v="45"/>
    <x v="29"/>
    <x v="7"/>
    <x v="15"/>
    <x v="27"/>
    <x v="38"/>
    <x v="10"/>
    <x v="0"/>
    <x v="10"/>
    <x v="16"/>
    <x v="6"/>
    <x v="6"/>
    <x v="49"/>
    <x v="8"/>
    <x v="5"/>
    <x v="23"/>
    <x v="0"/>
    <x v="8"/>
    <x v="7"/>
    <x v="28"/>
    <x v="4"/>
    <x v="6"/>
    <x v="12"/>
    <x v="36"/>
    <x v="34"/>
    <x v="6"/>
    <x v="61"/>
    <x v="2"/>
    <x v="7"/>
    <x v="67"/>
    <x v="63"/>
    <x v="77"/>
    <x v="77"/>
    <x v="2"/>
    <x v="1"/>
    <x v="1"/>
    <x v="1"/>
    <x v="42"/>
    <x v="0"/>
    <x v="1"/>
    <x v="9"/>
    <x v="2"/>
    <x v="9"/>
    <x v="3"/>
    <x v="5"/>
    <x v="5"/>
    <x v="4"/>
    <x v="36"/>
    <x v="2"/>
    <x v="31"/>
    <x v="7"/>
    <x v="10"/>
    <x v="51"/>
    <x v="1"/>
    <x v="109"/>
    <x v="1"/>
  </r>
  <r>
    <x v="5"/>
    <x v="83"/>
    <x v="96"/>
    <x v="21"/>
    <x v="64"/>
    <x v="0"/>
    <x v="3"/>
    <x v="2"/>
    <x v="3"/>
    <x v="35"/>
    <x v="32"/>
    <x v="25"/>
    <x v="8"/>
    <x v="38"/>
    <x v="4"/>
    <x v="0"/>
    <x v="0"/>
    <x v="0"/>
    <x v="0"/>
    <x v="0"/>
    <x v="0"/>
    <x v="0"/>
    <x v="84"/>
    <x v="0"/>
    <x v="2"/>
    <x v="36"/>
    <x v="43"/>
    <x v="12"/>
    <x v="12"/>
    <x v="0"/>
    <x v="0"/>
    <x v="45"/>
    <x v="29"/>
    <x v="7"/>
    <x v="15"/>
    <x v="27"/>
    <x v="38"/>
    <x v="10"/>
    <x v="0"/>
    <x v="10"/>
    <x v="16"/>
    <x v="6"/>
    <x v="6"/>
    <x v="48"/>
    <x v="8"/>
    <x v="7"/>
    <x v="23"/>
    <x v="0"/>
    <x v="8"/>
    <x v="7"/>
    <x v="28"/>
    <x v="4"/>
    <x v="6"/>
    <x v="12"/>
    <x v="36"/>
    <x v="35"/>
    <x v="6"/>
    <x v="64"/>
    <x v="2"/>
    <x v="7"/>
    <x v="68"/>
    <x v="65"/>
    <x v="78"/>
    <x v="79"/>
    <x v="2"/>
    <x v="1"/>
    <x v="1"/>
    <x v="1"/>
    <x v="41"/>
    <x v="0"/>
    <x v="1"/>
    <x v="9"/>
    <x v="2"/>
    <x v="9"/>
    <x v="3"/>
    <x v="5"/>
    <x v="5"/>
    <x v="4"/>
    <x v="36"/>
    <x v="2"/>
    <x v="33"/>
    <x v="7"/>
    <x v="12"/>
    <x v="51"/>
    <x v="1"/>
    <x v="111"/>
    <x v="1"/>
  </r>
  <r>
    <x v="18"/>
    <x v="16"/>
    <x v="100"/>
    <x v="25"/>
    <x v="65"/>
    <x v="0"/>
    <x v="1"/>
    <x v="4"/>
    <x v="3"/>
    <x v="38"/>
    <x v="32"/>
    <x v="25"/>
    <x v="13"/>
    <x v="23"/>
    <x v="4"/>
    <x v="0"/>
    <x v="0"/>
    <x v="0"/>
    <x v="0"/>
    <x v="0"/>
    <x v="0"/>
    <x v="0"/>
    <x v="44"/>
    <x v="0"/>
    <x v="4"/>
    <x v="19"/>
    <x v="61"/>
    <x v="8"/>
    <x v="8"/>
    <x v="0"/>
    <x v="0"/>
    <x v="17"/>
    <x v="11"/>
    <x v="15"/>
    <x v="15"/>
    <x v="0"/>
    <x v="11"/>
    <x v="6"/>
    <x v="0"/>
    <x v="6"/>
    <x v="16"/>
    <x v="6"/>
    <x v="6"/>
    <x v="71"/>
    <x v="8"/>
    <x v="36"/>
    <x v="35"/>
    <x v="0"/>
    <x v="8"/>
    <x v="10"/>
    <x v="28"/>
    <x v="20"/>
    <x v="7"/>
    <x v="8"/>
    <x v="24"/>
    <x v="20"/>
    <x v="3"/>
    <x v="0"/>
    <x v="1"/>
    <x v="10"/>
    <x v="45"/>
    <x v="36"/>
    <x v="59"/>
    <x v="53"/>
    <x v="2"/>
    <x v="1"/>
    <x v="1"/>
    <x v="1"/>
    <x v="48"/>
    <x v="0"/>
    <x v="6"/>
    <x v="9"/>
    <x v="6"/>
    <x v="9"/>
    <x v="3"/>
    <x v="8"/>
    <x v="4"/>
    <x v="13"/>
    <x v="32"/>
    <x v="7"/>
    <x v="4"/>
    <x v="6"/>
    <x v="0"/>
    <x v="84"/>
    <x v="0"/>
    <x v="76"/>
    <x v="1"/>
  </r>
  <r>
    <x v="3"/>
    <x v="52"/>
    <x v="101"/>
    <x v="25"/>
    <x v="67"/>
    <x v="0"/>
    <x v="3"/>
    <x v="5"/>
    <x v="4"/>
    <x v="37"/>
    <x v="32"/>
    <x v="25"/>
    <x v="4"/>
    <x v="32"/>
    <x v="4"/>
    <x v="0"/>
    <x v="0"/>
    <x v="0"/>
    <x v="0"/>
    <x v="0"/>
    <x v="0"/>
    <x v="0"/>
    <x v="71"/>
    <x v="0"/>
    <x v="2"/>
    <x v="28"/>
    <x v="37"/>
    <x v="9"/>
    <x v="9"/>
    <x v="0"/>
    <x v="0"/>
    <x v="48"/>
    <x v="23"/>
    <x v="15"/>
    <x v="15"/>
    <x v="29"/>
    <x v="19"/>
    <x v="8"/>
    <x v="0"/>
    <x v="8"/>
    <x v="16"/>
    <x v="6"/>
    <x v="6"/>
    <x v="29"/>
    <x v="8"/>
    <x v="25"/>
    <x v="17"/>
    <x v="0"/>
    <x v="8"/>
    <x v="5"/>
    <x v="28"/>
    <x v="4"/>
    <x v="7"/>
    <x v="9"/>
    <x v="34"/>
    <x v="29"/>
    <x v="4"/>
    <x v="52"/>
    <x v="0"/>
    <x v="5"/>
    <x v="49"/>
    <x v="47"/>
    <x v="63"/>
    <x v="64"/>
    <x v="2"/>
    <x v="1"/>
    <x v="1"/>
    <x v="1"/>
    <x v="48"/>
    <x v="0"/>
    <x v="6"/>
    <x v="3"/>
    <x v="2"/>
    <x v="9"/>
    <x v="3"/>
    <x v="5"/>
    <x v="4"/>
    <x v="6"/>
    <x v="31"/>
    <x v="9"/>
    <x v="24"/>
    <x v="4"/>
    <x v="8"/>
    <x v="81"/>
    <x v="1"/>
    <x v="73"/>
    <x v="1"/>
  </r>
  <r>
    <x v="96"/>
    <x v="51"/>
    <x v="113"/>
    <x v="25"/>
    <x v="68"/>
    <x v="0"/>
    <x v="3"/>
    <x v="5"/>
    <x v="2"/>
    <x v="38"/>
    <x v="32"/>
    <x v="25"/>
    <x v="11"/>
    <x v="42"/>
    <x v="4"/>
    <x v="0"/>
    <x v="0"/>
    <x v="0"/>
    <x v="0"/>
    <x v="0"/>
    <x v="0"/>
    <x v="0"/>
    <x v="67"/>
    <x v="0"/>
    <x v="2"/>
    <x v="35"/>
    <x v="65"/>
    <x v="16"/>
    <x v="16"/>
    <x v="0"/>
    <x v="0"/>
    <x v="47"/>
    <x v="30"/>
    <x v="14"/>
    <x v="14"/>
    <x v="30"/>
    <x v="40"/>
    <x v="11"/>
    <x v="0"/>
    <x v="11"/>
    <x v="15"/>
    <x v="4"/>
    <x v="4"/>
    <x v="33"/>
    <x v="8"/>
    <x v="35"/>
    <x v="19"/>
    <x v="0"/>
    <x v="8"/>
    <x v="11"/>
    <x v="28"/>
    <x v="11"/>
    <x v="10"/>
    <x v="14"/>
    <x v="36"/>
    <x v="35"/>
    <x v="3"/>
    <x v="70"/>
    <x v="0"/>
    <x v="8"/>
    <x v="78"/>
    <x v="66"/>
    <x v="83"/>
    <x v="80"/>
    <x v="2"/>
    <x v="1"/>
    <x v="1"/>
    <x v="1"/>
    <x v="48"/>
    <x v="0"/>
    <x v="6"/>
    <x v="5"/>
    <x v="1"/>
    <x v="6"/>
    <x v="0"/>
    <x v="5"/>
    <x v="4"/>
    <x v="6"/>
    <x v="31"/>
    <x v="8"/>
    <x v="15"/>
    <x v="1"/>
    <x v="3"/>
    <x v="25"/>
    <x v="5"/>
    <x v="48"/>
    <x v="1"/>
  </r>
  <r>
    <x v="96"/>
    <x v="50"/>
    <x v="114"/>
    <x v="24"/>
    <x v="68"/>
    <x v="0"/>
    <x v="3"/>
    <x v="5"/>
    <x v="2"/>
    <x v="38"/>
    <x v="32"/>
    <x v="25"/>
    <x v="10"/>
    <x v="40"/>
    <x v="4"/>
    <x v="0"/>
    <x v="0"/>
    <x v="0"/>
    <x v="0"/>
    <x v="0"/>
    <x v="0"/>
    <x v="0"/>
    <x v="66"/>
    <x v="0"/>
    <x v="2"/>
    <x v="32"/>
    <x v="57"/>
    <x v="16"/>
    <x v="16"/>
    <x v="0"/>
    <x v="0"/>
    <x v="47"/>
    <x v="30"/>
    <x v="14"/>
    <x v="14"/>
    <x v="28"/>
    <x v="40"/>
    <x v="11"/>
    <x v="0"/>
    <x v="11"/>
    <x v="14"/>
    <x v="5"/>
    <x v="5"/>
    <x v="34"/>
    <x v="8"/>
    <x v="8"/>
    <x v="19"/>
    <x v="0"/>
    <x v="8"/>
    <x v="11"/>
    <x v="28"/>
    <x v="6"/>
    <x v="7"/>
    <x v="14"/>
    <x v="36"/>
    <x v="33"/>
    <x v="3"/>
    <x v="67"/>
    <x v="0"/>
    <x v="8"/>
    <x v="74"/>
    <x v="62"/>
    <x v="80"/>
    <x v="76"/>
    <x v="2"/>
    <x v="1"/>
    <x v="1"/>
    <x v="1"/>
    <x v="48"/>
    <x v="0"/>
    <x v="6"/>
    <x v="5"/>
    <x v="1"/>
    <x v="6"/>
    <x v="3"/>
    <x v="5"/>
    <x v="4"/>
    <x v="6"/>
    <x v="31"/>
    <x v="8"/>
    <x v="13"/>
    <x v="1"/>
    <x v="2"/>
    <x v="6"/>
    <x v="0"/>
    <x v="46"/>
    <x v="1"/>
  </r>
  <r>
    <x v="97"/>
    <x v="55"/>
    <x v="102"/>
    <x v="25"/>
    <x v="69"/>
    <x v="0"/>
    <x v="3"/>
    <x v="3"/>
    <x v="1"/>
    <x v="39"/>
    <x v="32"/>
    <x v="25"/>
    <x v="5"/>
    <x v="35"/>
    <x v="1"/>
    <x v="0"/>
    <x v="0"/>
    <x v="0"/>
    <x v="0"/>
    <x v="0"/>
    <x v="0"/>
    <x v="0"/>
    <x v="73"/>
    <x v="0"/>
    <x v="3"/>
    <x v="27"/>
    <x v="33"/>
    <x v="7"/>
    <x v="7"/>
    <x v="0"/>
    <x v="0"/>
    <x v="33"/>
    <x v="20"/>
    <x v="15"/>
    <x v="15"/>
    <x v="33"/>
    <x v="19"/>
    <x v="8"/>
    <x v="0"/>
    <x v="8"/>
    <x v="16"/>
    <x v="6"/>
    <x v="6"/>
    <x v="30"/>
    <x v="2"/>
    <x v="26"/>
    <x v="35"/>
    <x v="0"/>
    <x v="8"/>
    <x v="8"/>
    <x v="28"/>
    <x v="4"/>
    <x v="7"/>
    <x v="7"/>
    <x v="36"/>
    <x v="28"/>
    <x v="2"/>
    <x v="62"/>
    <x v="0"/>
    <x v="6"/>
    <x v="52"/>
    <x v="48"/>
    <x v="66"/>
    <x v="65"/>
    <x v="2"/>
    <x v="1"/>
    <x v="1"/>
    <x v="1"/>
    <x v="48"/>
    <x v="0"/>
    <x v="2"/>
    <x v="2"/>
    <x v="6"/>
    <x v="9"/>
    <x v="3"/>
    <x v="5"/>
    <x v="4"/>
    <x v="5"/>
    <x v="30"/>
    <x v="3"/>
    <x v="28"/>
    <x v="2"/>
    <x v="9"/>
    <x v="56"/>
    <x v="0"/>
    <x v="67"/>
    <x v="1"/>
  </r>
  <r>
    <x v="100"/>
    <x v="56"/>
    <x v="103"/>
    <x v="25"/>
    <x v="69"/>
    <x v="0"/>
    <x v="3"/>
    <x v="5"/>
    <x v="2"/>
    <x v="40"/>
    <x v="32"/>
    <x v="25"/>
    <x v="10"/>
    <x v="39"/>
    <x v="1"/>
    <x v="0"/>
    <x v="0"/>
    <x v="0"/>
    <x v="0"/>
    <x v="0"/>
    <x v="0"/>
    <x v="0"/>
    <x v="73"/>
    <x v="0"/>
    <x v="2"/>
    <x v="34"/>
    <x v="53"/>
    <x v="9"/>
    <x v="9"/>
    <x v="0"/>
    <x v="0"/>
    <x v="29"/>
    <x v="19"/>
    <x v="15"/>
    <x v="15"/>
    <x v="33"/>
    <x v="19"/>
    <x v="8"/>
    <x v="0"/>
    <x v="8"/>
    <x v="13"/>
    <x v="6"/>
    <x v="6"/>
    <x v="60"/>
    <x v="8"/>
    <x v="34"/>
    <x v="30"/>
    <x v="0"/>
    <x v="8"/>
    <x v="8"/>
    <x v="28"/>
    <x v="4"/>
    <x v="7"/>
    <x v="9"/>
    <x v="36"/>
    <x v="35"/>
    <x v="1"/>
    <x v="69"/>
    <x v="0"/>
    <x v="5"/>
    <x v="65"/>
    <x v="59"/>
    <x v="75"/>
    <x v="73"/>
    <x v="2"/>
    <x v="1"/>
    <x v="1"/>
    <x v="1"/>
    <x v="48"/>
    <x v="0"/>
    <x v="4"/>
    <x v="1"/>
    <x v="6"/>
    <x v="9"/>
    <x v="3"/>
    <x v="5"/>
    <x v="4"/>
    <x v="5"/>
    <x v="30"/>
    <x v="8"/>
    <x v="34"/>
    <x v="1"/>
    <x v="2"/>
    <x v="32"/>
    <x v="0"/>
    <x v="47"/>
    <x v="1"/>
  </r>
  <r>
    <x v="69"/>
    <x v="57"/>
    <x v="105"/>
    <x v="25"/>
    <x v="70"/>
    <x v="0"/>
    <x v="3"/>
    <x v="4"/>
    <x v="2"/>
    <x v="41"/>
    <x v="32"/>
    <x v="25"/>
    <x v="4"/>
    <x v="35"/>
    <x v="2"/>
    <x v="0"/>
    <x v="0"/>
    <x v="0"/>
    <x v="0"/>
    <x v="0"/>
    <x v="0"/>
    <x v="0"/>
    <x v="77"/>
    <x v="0"/>
    <x v="2"/>
    <x v="22"/>
    <x v="25"/>
    <x v="12"/>
    <x v="12"/>
    <x v="0"/>
    <x v="0"/>
    <x v="46"/>
    <x v="25"/>
    <x v="15"/>
    <x v="15"/>
    <x v="33"/>
    <x v="29"/>
    <x v="9"/>
    <x v="0"/>
    <x v="9"/>
    <x v="8"/>
    <x v="6"/>
    <x v="6"/>
    <x v="31"/>
    <x v="3"/>
    <x v="25"/>
    <x v="35"/>
    <x v="0"/>
    <x v="8"/>
    <x v="8"/>
    <x v="28"/>
    <x v="4"/>
    <x v="7"/>
    <x v="12"/>
    <x v="36"/>
    <x v="23"/>
    <x v="0"/>
    <x v="56"/>
    <x v="1"/>
    <x v="10"/>
    <x v="69"/>
    <x v="55"/>
    <x v="79"/>
    <x v="70"/>
    <x v="2"/>
    <x v="1"/>
    <x v="1"/>
    <x v="1"/>
    <x v="48"/>
    <x v="0"/>
    <x v="2"/>
    <x v="9"/>
    <x v="3"/>
    <x v="9"/>
    <x v="3"/>
    <x v="5"/>
    <x v="4"/>
    <x v="6"/>
    <x v="31"/>
    <x v="6"/>
    <x v="25"/>
    <x v="3"/>
    <x v="8"/>
    <x v="57"/>
    <x v="2"/>
    <x v="68"/>
    <x v="1"/>
  </r>
  <r>
    <x v="93"/>
    <x v="109"/>
    <x v="10"/>
    <x v="25"/>
    <x v="71"/>
    <x v="0"/>
    <x v="4"/>
    <x v="9"/>
    <x v="3"/>
    <x v="1"/>
    <x v="0"/>
    <x v="2"/>
    <x v="13"/>
    <x v="43"/>
    <x v="4"/>
    <x v="0"/>
    <x v="0"/>
    <x v="0"/>
    <x v="0"/>
    <x v="0"/>
    <x v="0"/>
    <x v="0"/>
    <x v="0"/>
    <x v="0"/>
    <x v="0"/>
    <x v="37"/>
    <x v="70"/>
    <x v="3"/>
    <x v="3"/>
    <x v="0"/>
    <x v="0"/>
    <x v="1"/>
    <x v="1"/>
    <x v="1"/>
    <x v="2"/>
    <x v="3"/>
    <x v="43"/>
    <x v="1"/>
    <x v="0"/>
    <x v="1"/>
    <x v="16"/>
    <x v="6"/>
    <x v="6"/>
    <x v="71"/>
    <x v="8"/>
    <x v="36"/>
    <x v="35"/>
    <x v="0"/>
    <x v="8"/>
    <x v="8"/>
    <x v="24"/>
    <x v="7"/>
    <x v="13"/>
    <x v="3"/>
    <x v="0"/>
    <x v="0"/>
    <x v="41"/>
    <x v="8"/>
    <x v="2"/>
    <x v="1"/>
    <x v="1"/>
    <x v="6"/>
    <x v="0"/>
    <x v="3"/>
    <x v="2"/>
    <x v="1"/>
    <x v="1"/>
    <x v="1"/>
    <x v="48"/>
    <x v="0"/>
    <x v="6"/>
    <x v="0"/>
    <x v="1"/>
    <x v="7"/>
    <x v="3"/>
    <x v="6"/>
    <x v="2"/>
    <x v="14"/>
    <x v="15"/>
    <x v="13"/>
    <x v="1"/>
    <x v="0"/>
    <x v="0"/>
    <x v="80"/>
    <x v="0"/>
    <x v="15"/>
    <x v="1"/>
  </r>
  <r>
    <x v="2"/>
    <x v="106"/>
    <x v="14"/>
    <x v="25"/>
    <x v="73"/>
    <x v="0"/>
    <x v="4"/>
    <x v="9"/>
    <x v="3"/>
    <x v="7"/>
    <x v="9"/>
    <x v="8"/>
    <x v="13"/>
    <x v="43"/>
    <x v="4"/>
    <x v="0"/>
    <x v="0"/>
    <x v="0"/>
    <x v="0"/>
    <x v="0"/>
    <x v="0"/>
    <x v="0"/>
    <x v="6"/>
    <x v="0"/>
    <x v="2"/>
    <x v="37"/>
    <x v="70"/>
    <x v="3"/>
    <x v="3"/>
    <x v="0"/>
    <x v="0"/>
    <x v="1"/>
    <x v="1"/>
    <x v="1"/>
    <x v="2"/>
    <x v="5"/>
    <x v="43"/>
    <x v="1"/>
    <x v="0"/>
    <x v="1"/>
    <x v="16"/>
    <x v="6"/>
    <x v="6"/>
    <x v="71"/>
    <x v="8"/>
    <x v="36"/>
    <x v="35"/>
    <x v="0"/>
    <x v="8"/>
    <x v="8"/>
    <x v="9"/>
    <x v="7"/>
    <x v="22"/>
    <x v="3"/>
    <x v="0"/>
    <x v="0"/>
    <x v="35"/>
    <x v="17"/>
    <x v="2"/>
    <x v="1"/>
    <x v="1"/>
    <x v="6"/>
    <x v="0"/>
    <x v="3"/>
    <x v="2"/>
    <x v="1"/>
    <x v="1"/>
    <x v="1"/>
    <x v="48"/>
    <x v="0"/>
    <x v="6"/>
    <x v="0"/>
    <x v="1"/>
    <x v="7"/>
    <x v="3"/>
    <x v="0"/>
    <x v="1"/>
    <x v="14"/>
    <x v="11"/>
    <x v="13"/>
    <x v="1"/>
    <x v="0"/>
    <x v="0"/>
    <x v="76"/>
    <x v="0"/>
    <x v="14"/>
    <x v="0"/>
  </r>
  <r>
    <x v="92"/>
    <x v="104"/>
    <x v="15"/>
    <x v="25"/>
    <x v="74"/>
    <x v="0"/>
    <x v="4"/>
    <x v="9"/>
    <x v="3"/>
    <x v="16"/>
    <x v="28"/>
    <x v="21"/>
    <x v="13"/>
    <x v="43"/>
    <x v="4"/>
    <x v="0"/>
    <x v="0"/>
    <x v="0"/>
    <x v="0"/>
    <x v="0"/>
    <x v="0"/>
    <x v="0"/>
    <x v="4"/>
    <x v="0"/>
    <x v="1"/>
    <x v="37"/>
    <x v="70"/>
    <x v="3"/>
    <x v="3"/>
    <x v="0"/>
    <x v="0"/>
    <x v="5"/>
    <x v="1"/>
    <x v="2"/>
    <x v="11"/>
    <x v="10"/>
    <x v="44"/>
    <x v="1"/>
    <x v="0"/>
    <x v="1"/>
    <x v="16"/>
    <x v="6"/>
    <x v="6"/>
    <x v="71"/>
    <x v="8"/>
    <x v="36"/>
    <x v="35"/>
    <x v="0"/>
    <x v="8"/>
    <x v="8"/>
    <x v="24"/>
    <x v="7"/>
    <x v="22"/>
    <x v="3"/>
    <x v="0"/>
    <x v="0"/>
    <x v="26"/>
    <x v="30"/>
    <x v="2"/>
    <x v="1"/>
    <x v="2"/>
    <x v="7"/>
    <x v="1"/>
    <x v="4"/>
    <x v="2"/>
    <x v="1"/>
    <x v="1"/>
    <x v="1"/>
    <x v="48"/>
    <x v="0"/>
    <x v="6"/>
    <x v="0"/>
    <x v="1"/>
    <x v="7"/>
    <x v="3"/>
    <x v="0"/>
    <x v="1"/>
    <x v="14"/>
    <x v="11"/>
    <x v="13"/>
    <x v="1"/>
    <x v="0"/>
    <x v="0"/>
    <x v="75"/>
    <x v="0"/>
    <x v="13"/>
    <x v="0"/>
  </r>
  <r>
    <x v="70"/>
    <x v="66"/>
    <x v="16"/>
    <x v="25"/>
    <x v="75"/>
    <x v="0"/>
    <x v="4"/>
    <x v="9"/>
    <x v="3"/>
    <x v="36"/>
    <x v="32"/>
    <x v="25"/>
    <x v="13"/>
    <x v="43"/>
    <x v="4"/>
    <x v="0"/>
    <x v="0"/>
    <x v="0"/>
    <x v="0"/>
    <x v="0"/>
    <x v="0"/>
    <x v="0"/>
    <x v="9"/>
    <x v="0"/>
    <x v="2"/>
    <x v="37"/>
    <x v="70"/>
    <x v="5"/>
    <x v="5"/>
    <x v="0"/>
    <x v="0"/>
    <x v="16"/>
    <x v="12"/>
    <x v="5"/>
    <x v="7"/>
    <x v="42"/>
    <x v="13"/>
    <x v="6"/>
    <x v="0"/>
    <x v="6"/>
    <x v="16"/>
    <x v="6"/>
    <x v="6"/>
    <x v="71"/>
    <x v="8"/>
    <x v="36"/>
    <x v="35"/>
    <x v="0"/>
    <x v="8"/>
    <x v="8"/>
    <x v="28"/>
    <x v="20"/>
    <x v="22"/>
    <x v="5"/>
    <x v="0"/>
    <x v="0"/>
    <x v="5"/>
    <x v="63"/>
    <x v="2"/>
    <x v="1"/>
    <x v="6"/>
    <x v="10"/>
    <x v="5"/>
    <x v="7"/>
    <x v="2"/>
    <x v="1"/>
    <x v="1"/>
    <x v="1"/>
    <x v="48"/>
    <x v="0"/>
    <x v="6"/>
    <x v="0"/>
    <x v="1"/>
    <x v="3"/>
    <x v="3"/>
    <x v="0"/>
    <x v="4"/>
    <x v="14"/>
    <x v="33"/>
    <x v="13"/>
    <x v="4"/>
    <x v="0"/>
    <x v="0"/>
    <x v="20"/>
    <x v="0"/>
    <x v="23"/>
    <x v="1"/>
  </r>
  <r>
    <x v="88"/>
    <x v="20"/>
    <x v="26"/>
    <x v="25"/>
    <x v="82"/>
    <x v="0"/>
    <x v="4"/>
    <x v="0"/>
    <x v="3"/>
    <x v="3"/>
    <x v="1"/>
    <x v="2"/>
    <x v="13"/>
    <x v="43"/>
    <x v="4"/>
    <x v="0"/>
    <x v="0"/>
    <x v="0"/>
    <x v="0"/>
    <x v="0"/>
    <x v="0"/>
    <x v="0"/>
    <x v="10"/>
    <x v="0"/>
    <x v="1"/>
    <x v="37"/>
    <x v="70"/>
    <x v="4"/>
    <x v="4"/>
    <x v="0"/>
    <x v="0"/>
    <x v="2"/>
    <x v="1"/>
    <x v="1"/>
    <x v="2"/>
    <x v="0"/>
    <x v="43"/>
    <x v="1"/>
    <x v="0"/>
    <x v="1"/>
    <x v="16"/>
    <x v="6"/>
    <x v="6"/>
    <x v="71"/>
    <x v="8"/>
    <x v="36"/>
    <x v="35"/>
    <x v="0"/>
    <x v="8"/>
    <x v="14"/>
    <x v="13"/>
    <x v="9"/>
    <x v="14"/>
    <x v="4"/>
    <x v="0"/>
    <x v="0"/>
    <x v="39"/>
    <x v="0"/>
    <x v="2"/>
    <x v="0"/>
    <x v="5"/>
    <x v="11"/>
    <x v="4"/>
    <x v="8"/>
    <x v="2"/>
    <x v="1"/>
    <x v="1"/>
    <x v="1"/>
    <x v="48"/>
    <x v="0"/>
    <x v="6"/>
    <x v="0"/>
    <x v="6"/>
    <x v="1"/>
    <x v="3"/>
    <x v="1"/>
    <x v="0"/>
    <x v="9"/>
    <x v="3"/>
    <x v="0"/>
    <x v="1"/>
    <x v="0"/>
    <x v="0"/>
    <x v="87"/>
    <x v="0"/>
    <x v="17"/>
    <x v="1"/>
  </r>
  <r>
    <x v="82"/>
    <x v="19"/>
    <x v="27"/>
    <x v="25"/>
    <x v="83"/>
    <x v="0"/>
    <x v="4"/>
    <x v="0"/>
    <x v="3"/>
    <x v="6"/>
    <x v="6"/>
    <x v="9"/>
    <x v="13"/>
    <x v="43"/>
    <x v="4"/>
    <x v="0"/>
    <x v="0"/>
    <x v="0"/>
    <x v="0"/>
    <x v="0"/>
    <x v="0"/>
    <x v="0"/>
    <x v="10"/>
    <x v="0"/>
    <x v="1"/>
    <x v="37"/>
    <x v="70"/>
    <x v="4"/>
    <x v="4"/>
    <x v="0"/>
    <x v="0"/>
    <x v="8"/>
    <x v="3"/>
    <x v="1"/>
    <x v="2"/>
    <x v="0"/>
    <x v="0"/>
    <x v="2"/>
    <x v="0"/>
    <x v="2"/>
    <x v="16"/>
    <x v="6"/>
    <x v="6"/>
    <x v="71"/>
    <x v="8"/>
    <x v="36"/>
    <x v="35"/>
    <x v="0"/>
    <x v="8"/>
    <x v="14"/>
    <x v="22"/>
    <x v="9"/>
    <x v="14"/>
    <x v="4"/>
    <x v="0"/>
    <x v="0"/>
    <x v="36"/>
    <x v="0"/>
    <x v="2"/>
    <x v="0"/>
    <x v="5"/>
    <x v="10"/>
    <x v="4"/>
    <x v="7"/>
    <x v="2"/>
    <x v="1"/>
    <x v="1"/>
    <x v="1"/>
    <x v="48"/>
    <x v="0"/>
    <x v="6"/>
    <x v="0"/>
    <x v="6"/>
    <x v="1"/>
    <x v="3"/>
    <x v="1"/>
    <x v="0"/>
    <x v="9"/>
    <x v="3"/>
    <x v="0"/>
    <x v="1"/>
    <x v="0"/>
    <x v="0"/>
    <x v="73"/>
    <x v="0"/>
    <x v="12"/>
    <x v="1"/>
  </r>
  <r>
    <x v="83"/>
    <x v="75"/>
    <x v="11"/>
    <x v="25"/>
    <x v="72"/>
    <x v="0"/>
    <x v="4"/>
    <x v="9"/>
    <x v="3"/>
    <x v="5"/>
    <x v="3"/>
    <x v="3"/>
    <x v="13"/>
    <x v="43"/>
    <x v="4"/>
    <x v="0"/>
    <x v="0"/>
    <x v="0"/>
    <x v="0"/>
    <x v="0"/>
    <x v="0"/>
    <x v="0"/>
    <x v="3"/>
    <x v="0"/>
    <x v="1"/>
    <x v="37"/>
    <x v="70"/>
    <x v="2"/>
    <x v="2"/>
    <x v="0"/>
    <x v="0"/>
    <x v="7"/>
    <x v="2"/>
    <x v="1"/>
    <x v="2"/>
    <x v="5"/>
    <x v="43"/>
    <x v="1"/>
    <x v="0"/>
    <x v="1"/>
    <x v="16"/>
    <x v="6"/>
    <x v="6"/>
    <x v="71"/>
    <x v="8"/>
    <x v="36"/>
    <x v="35"/>
    <x v="0"/>
    <x v="8"/>
    <x v="8"/>
    <x v="8"/>
    <x v="7"/>
    <x v="22"/>
    <x v="2"/>
    <x v="0"/>
    <x v="0"/>
    <x v="37"/>
    <x v="17"/>
    <x v="2"/>
    <x v="1"/>
    <x v="1"/>
    <x v="6"/>
    <x v="0"/>
    <x v="3"/>
    <x v="2"/>
    <x v="1"/>
    <x v="1"/>
    <x v="1"/>
    <x v="48"/>
    <x v="0"/>
    <x v="6"/>
    <x v="0"/>
    <x v="1"/>
    <x v="3"/>
    <x v="3"/>
    <x v="3"/>
    <x v="0"/>
    <x v="14"/>
    <x v="4"/>
    <x v="13"/>
    <x v="1"/>
    <x v="0"/>
    <x v="0"/>
    <x v="67"/>
    <x v="0"/>
    <x v="11"/>
    <x v="1"/>
  </r>
  <r>
    <x v="98"/>
    <x v="21"/>
    <x v="28"/>
    <x v="25"/>
    <x v="84"/>
    <x v="0"/>
    <x v="4"/>
    <x v="0"/>
    <x v="3"/>
    <x v="5"/>
    <x v="18"/>
    <x v="14"/>
    <x v="13"/>
    <x v="43"/>
    <x v="4"/>
    <x v="0"/>
    <x v="0"/>
    <x v="0"/>
    <x v="0"/>
    <x v="0"/>
    <x v="0"/>
    <x v="0"/>
    <x v="15"/>
    <x v="0"/>
    <x v="1"/>
    <x v="37"/>
    <x v="70"/>
    <x v="5"/>
    <x v="5"/>
    <x v="0"/>
    <x v="0"/>
    <x v="10"/>
    <x v="5"/>
    <x v="1"/>
    <x v="2"/>
    <x v="0"/>
    <x v="5"/>
    <x v="4"/>
    <x v="0"/>
    <x v="4"/>
    <x v="16"/>
    <x v="6"/>
    <x v="6"/>
    <x v="71"/>
    <x v="8"/>
    <x v="36"/>
    <x v="35"/>
    <x v="0"/>
    <x v="8"/>
    <x v="14"/>
    <x v="26"/>
    <x v="20"/>
    <x v="22"/>
    <x v="5"/>
    <x v="0"/>
    <x v="0"/>
    <x v="37"/>
    <x v="0"/>
    <x v="2"/>
    <x v="0"/>
    <x v="1"/>
    <x v="3"/>
    <x v="0"/>
    <x v="0"/>
    <x v="2"/>
    <x v="1"/>
    <x v="1"/>
    <x v="1"/>
    <x v="48"/>
    <x v="0"/>
    <x v="6"/>
    <x v="0"/>
    <x v="6"/>
    <x v="1"/>
    <x v="3"/>
    <x v="1"/>
    <x v="0"/>
    <x v="9"/>
    <x v="3"/>
    <x v="0"/>
    <x v="2"/>
    <x v="0"/>
    <x v="0"/>
    <x v="62"/>
    <x v="0"/>
    <x v="19"/>
    <x v="1"/>
  </r>
  <r>
    <x v="99"/>
    <x v="22"/>
    <x v="29"/>
    <x v="2"/>
    <x v="85"/>
    <x v="0"/>
    <x v="4"/>
    <x v="0"/>
    <x v="3"/>
    <x v="5"/>
    <x v="18"/>
    <x v="14"/>
    <x v="13"/>
    <x v="43"/>
    <x v="4"/>
    <x v="0"/>
    <x v="0"/>
    <x v="0"/>
    <x v="0"/>
    <x v="0"/>
    <x v="0"/>
    <x v="0"/>
    <x v="15"/>
    <x v="0"/>
    <x v="1"/>
    <x v="37"/>
    <x v="70"/>
    <x v="5"/>
    <x v="5"/>
    <x v="0"/>
    <x v="0"/>
    <x v="10"/>
    <x v="5"/>
    <x v="1"/>
    <x v="2"/>
    <x v="0"/>
    <x v="5"/>
    <x v="4"/>
    <x v="0"/>
    <x v="4"/>
    <x v="16"/>
    <x v="6"/>
    <x v="6"/>
    <x v="71"/>
    <x v="8"/>
    <x v="36"/>
    <x v="35"/>
    <x v="0"/>
    <x v="8"/>
    <x v="14"/>
    <x v="26"/>
    <x v="20"/>
    <x v="22"/>
    <x v="5"/>
    <x v="0"/>
    <x v="0"/>
    <x v="37"/>
    <x v="0"/>
    <x v="2"/>
    <x v="0"/>
    <x v="1"/>
    <x v="3"/>
    <x v="0"/>
    <x v="0"/>
    <x v="2"/>
    <x v="1"/>
    <x v="1"/>
    <x v="1"/>
    <x v="48"/>
    <x v="0"/>
    <x v="6"/>
    <x v="0"/>
    <x v="6"/>
    <x v="9"/>
    <x v="3"/>
    <x v="1"/>
    <x v="0"/>
    <x v="9"/>
    <x v="3"/>
    <x v="0"/>
    <x v="2"/>
    <x v="0"/>
    <x v="0"/>
    <x v="63"/>
    <x v="0"/>
    <x v="20"/>
    <x v="1"/>
  </r>
  <r>
    <x v="20"/>
    <x v="17"/>
    <x v="12"/>
    <x v="25"/>
    <x v="75"/>
    <x v="0"/>
    <x v="4"/>
    <x v="9"/>
    <x v="3"/>
    <x v="7"/>
    <x v="7"/>
    <x v="6"/>
    <x v="13"/>
    <x v="43"/>
    <x v="4"/>
    <x v="0"/>
    <x v="0"/>
    <x v="0"/>
    <x v="0"/>
    <x v="0"/>
    <x v="0"/>
    <x v="0"/>
    <x v="2"/>
    <x v="0"/>
    <x v="1"/>
    <x v="37"/>
    <x v="70"/>
    <x v="4"/>
    <x v="4"/>
    <x v="0"/>
    <x v="0"/>
    <x v="4"/>
    <x v="1"/>
    <x v="1"/>
    <x v="2"/>
    <x v="6"/>
    <x v="43"/>
    <x v="1"/>
    <x v="0"/>
    <x v="1"/>
    <x v="16"/>
    <x v="6"/>
    <x v="6"/>
    <x v="71"/>
    <x v="8"/>
    <x v="36"/>
    <x v="35"/>
    <x v="0"/>
    <x v="8"/>
    <x v="8"/>
    <x v="6"/>
    <x v="7"/>
    <x v="22"/>
    <x v="4"/>
    <x v="0"/>
    <x v="0"/>
    <x v="35"/>
    <x v="20"/>
    <x v="2"/>
    <x v="1"/>
    <x v="2"/>
    <x v="8"/>
    <x v="1"/>
    <x v="5"/>
    <x v="2"/>
    <x v="1"/>
    <x v="1"/>
    <x v="1"/>
    <x v="48"/>
    <x v="0"/>
    <x v="6"/>
    <x v="0"/>
    <x v="1"/>
    <x v="3"/>
    <x v="3"/>
    <x v="3"/>
    <x v="1"/>
    <x v="14"/>
    <x v="11"/>
    <x v="13"/>
    <x v="1"/>
    <x v="0"/>
    <x v="0"/>
    <x v="86"/>
    <x v="0"/>
    <x v="16"/>
    <x v="1"/>
  </r>
  <r>
    <x v="0"/>
    <x v="65"/>
    <x v="13"/>
    <x v="25"/>
    <x v="76"/>
    <x v="0"/>
    <x v="4"/>
    <x v="9"/>
    <x v="3"/>
    <x v="15"/>
    <x v="22"/>
    <x v="16"/>
    <x v="13"/>
    <x v="43"/>
    <x v="4"/>
    <x v="0"/>
    <x v="0"/>
    <x v="0"/>
    <x v="0"/>
    <x v="0"/>
    <x v="0"/>
    <x v="0"/>
    <x v="5"/>
    <x v="0"/>
    <x v="2"/>
    <x v="37"/>
    <x v="70"/>
    <x v="4"/>
    <x v="4"/>
    <x v="0"/>
    <x v="0"/>
    <x v="6"/>
    <x v="3"/>
    <x v="5"/>
    <x v="7"/>
    <x v="13"/>
    <x v="1"/>
    <x v="2"/>
    <x v="0"/>
    <x v="2"/>
    <x v="16"/>
    <x v="6"/>
    <x v="6"/>
    <x v="71"/>
    <x v="8"/>
    <x v="36"/>
    <x v="35"/>
    <x v="0"/>
    <x v="8"/>
    <x v="8"/>
    <x v="12"/>
    <x v="20"/>
    <x v="22"/>
    <x v="4"/>
    <x v="0"/>
    <x v="0"/>
    <x v="27"/>
    <x v="35"/>
    <x v="2"/>
    <x v="1"/>
    <x v="3"/>
    <x v="5"/>
    <x v="2"/>
    <x v="2"/>
    <x v="2"/>
    <x v="1"/>
    <x v="1"/>
    <x v="1"/>
    <x v="48"/>
    <x v="0"/>
    <x v="6"/>
    <x v="0"/>
    <x v="1"/>
    <x v="3"/>
    <x v="3"/>
    <x v="3"/>
    <x v="1"/>
    <x v="14"/>
    <x v="11"/>
    <x v="13"/>
    <x v="1"/>
    <x v="0"/>
    <x v="0"/>
    <x v="43"/>
    <x v="0"/>
    <x v="10"/>
    <x v="1"/>
  </r>
  <r>
    <x v="1"/>
    <x v="105"/>
    <x v="17"/>
    <x v="25"/>
    <x v="77"/>
    <x v="0"/>
    <x v="4"/>
    <x v="9"/>
    <x v="3"/>
    <x v="17"/>
    <x v="32"/>
    <x v="25"/>
    <x v="13"/>
    <x v="43"/>
    <x v="4"/>
    <x v="0"/>
    <x v="0"/>
    <x v="0"/>
    <x v="0"/>
    <x v="0"/>
    <x v="0"/>
    <x v="0"/>
    <x v="12"/>
    <x v="0"/>
    <x v="2"/>
    <x v="37"/>
    <x v="70"/>
    <x v="5"/>
    <x v="5"/>
    <x v="0"/>
    <x v="0"/>
    <x v="22"/>
    <x v="16"/>
    <x v="5"/>
    <x v="7"/>
    <x v="30"/>
    <x v="16"/>
    <x v="7"/>
    <x v="0"/>
    <x v="7"/>
    <x v="16"/>
    <x v="6"/>
    <x v="6"/>
    <x v="71"/>
    <x v="8"/>
    <x v="36"/>
    <x v="35"/>
    <x v="0"/>
    <x v="8"/>
    <x v="8"/>
    <x v="28"/>
    <x v="20"/>
    <x v="22"/>
    <x v="5"/>
    <x v="0"/>
    <x v="0"/>
    <x v="25"/>
    <x v="53"/>
    <x v="2"/>
    <x v="1"/>
    <x v="5"/>
    <x v="9"/>
    <x v="4"/>
    <x v="6"/>
    <x v="2"/>
    <x v="1"/>
    <x v="1"/>
    <x v="1"/>
    <x v="48"/>
    <x v="0"/>
    <x v="6"/>
    <x v="0"/>
    <x v="1"/>
    <x v="3"/>
    <x v="3"/>
    <x v="3"/>
    <x v="3"/>
    <x v="14"/>
    <x v="27"/>
    <x v="13"/>
    <x v="4"/>
    <x v="0"/>
    <x v="0"/>
    <x v="28"/>
    <x v="0"/>
    <x v="26"/>
    <x v="0"/>
  </r>
  <r>
    <x v="27"/>
    <x v="112"/>
    <x v="18"/>
    <x v="25"/>
    <x v="78"/>
    <x v="0"/>
    <x v="4"/>
    <x v="9"/>
    <x v="3"/>
    <x v="13"/>
    <x v="21"/>
    <x v="15"/>
    <x v="13"/>
    <x v="43"/>
    <x v="4"/>
    <x v="0"/>
    <x v="0"/>
    <x v="0"/>
    <x v="0"/>
    <x v="0"/>
    <x v="0"/>
    <x v="0"/>
    <x v="7"/>
    <x v="0"/>
    <x v="1"/>
    <x v="37"/>
    <x v="70"/>
    <x v="4"/>
    <x v="4"/>
    <x v="0"/>
    <x v="0"/>
    <x v="14"/>
    <x v="8"/>
    <x v="5"/>
    <x v="7"/>
    <x v="11"/>
    <x v="7"/>
    <x v="4"/>
    <x v="0"/>
    <x v="4"/>
    <x v="16"/>
    <x v="6"/>
    <x v="6"/>
    <x v="71"/>
    <x v="8"/>
    <x v="36"/>
    <x v="35"/>
    <x v="0"/>
    <x v="6"/>
    <x v="8"/>
    <x v="14"/>
    <x v="20"/>
    <x v="22"/>
    <x v="4"/>
    <x v="0"/>
    <x v="0"/>
    <x v="29"/>
    <x v="32"/>
    <x v="2"/>
    <x v="1"/>
    <x v="3"/>
    <x v="4"/>
    <x v="2"/>
    <x v="1"/>
    <x v="2"/>
    <x v="1"/>
    <x v="1"/>
    <x v="1"/>
    <x v="48"/>
    <x v="0"/>
    <x v="6"/>
    <x v="0"/>
    <x v="1"/>
    <x v="8"/>
    <x v="3"/>
    <x v="2"/>
    <x v="1"/>
    <x v="15"/>
    <x v="12"/>
    <x v="13"/>
    <x v="2"/>
    <x v="0"/>
    <x v="0"/>
    <x v="18"/>
    <x v="0"/>
    <x v="18"/>
    <x v="1"/>
  </r>
  <r>
    <x v="57"/>
    <x v="28"/>
    <x v="19"/>
    <x v="25"/>
    <x v="79"/>
    <x v="0"/>
    <x v="4"/>
    <x v="9"/>
    <x v="3"/>
    <x v="19"/>
    <x v="32"/>
    <x v="25"/>
    <x v="13"/>
    <x v="43"/>
    <x v="4"/>
    <x v="0"/>
    <x v="0"/>
    <x v="0"/>
    <x v="0"/>
    <x v="0"/>
    <x v="0"/>
    <x v="0"/>
    <x v="15"/>
    <x v="0"/>
    <x v="1"/>
    <x v="37"/>
    <x v="70"/>
    <x v="4"/>
    <x v="4"/>
    <x v="0"/>
    <x v="0"/>
    <x v="38"/>
    <x v="24"/>
    <x v="15"/>
    <x v="7"/>
    <x v="32"/>
    <x v="30"/>
    <x v="9"/>
    <x v="0"/>
    <x v="9"/>
    <x v="16"/>
    <x v="6"/>
    <x v="6"/>
    <x v="71"/>
    <x v="8"/>
    <x v="36"/>
    <x v="35"/>
    <x v="0"/>
    <x v="8"/>
    <x v="8"/>
    <x v="28"/>
    <x v="20"/>
    <x v="22"/>
    <x v="4"/>
    <x v="0"/>
    <x v="0"/>
    <x v="23"/>
    <x v="55"/>
    <x v="2"/>
    <x v="1"/>
    <x v="4"/>
    <x v="7"/>
    <x v="3"/>
    <x v="4"/>
    <x v="2"/>
    <x v="1"/>
    <x v="1"/>
    <x v="1"/>
    <x v="48"/>
    <x v="0"/>
    <x v="6"/>
    <x v="0"/>
    <x v="1"/>
    <x v="8"/>
    <x v="3"/>
    <x v="2"/>
    <x v="3"/>
    <x v="15"/>
    <x v="28"/>
    <x v="13"/>
    <x v="6"/>
    <x v="0"/>
    <x v="0"/>
    <x v="77"/>
    <x v="0"/>
    <x v="35"/>
    <x v="1"/>
  </r>
  <r>
    <x v="58"/>
    <x v="29"/>
    <x v="20"/>
    <x v="25"/>
    <x v="81"/>
    <x v="0"/>
    <x v="0"/>
    <x v="9"/>
    <x v="3"/>
    <x v="25"/>
    <x v="32"/>
    <x v="25"/>
    <x v="1"/>
    <x v="43"/>
    <x v="4"/>
    <x v="0"/>
    <x v="0"/>
    <x v="0"/>
    <x v="0"/>
    <x v="0"/>
    <x v="0"/>
    <x v="0"/>
    <x v="16"/>
    <x v="0"/>
    <x v="1"/>
    <x v="37"/>
    <x v="70"/>
    <x v="4"/>
    <x v="4"/>
    <x v="0"/>
    <x v="0"/>
    <x v="11"/>
    <x v="6"/>
    <x v="15"/>
    <x v="7"/>
    <x v="11"/>
    <x v="4"/>
    <x v="4"/>
    <x v="0"/>
    <x v="4"/>
    <x v="16"/>
    <x v="6"/>
    <x v="6"/>
    <x v="23"/>
    <x v="8"/>
    <x v="22"/>
    <x v="14"/>
    <x v="0"/>
    <x v="8"/>
    <x v="8"/>
    <x v="28"/>
    <x v="20"/>
    <x v="22"/>
    <x v="4"/>
    <x v="0"/>
    <x v="0"/>
    <x v="16"/>
    <x v="9"/>
    <x v="2"/>
    <x v="1"/>
    <x v="1"/>
    <x v="16"/>
    <x v="10"/>
    <x v="33"/>
    <x v="2"/>
    <x v="1"/>
    <x v="1"/>
    <x v="1"/>
    <x v="48"/>
    <x v="0"/>
    <x v="6"/>
    <x v="0"/>
    <x v="1"/>
    <x v="8"/>
    <x v="3"/>
    <x v="2"/>
    <x v="3"/>
    <x v="15"/>
    <x v="28"/>
    <x v="13"/>
    <x v="7"/>
    <x v="0"/>
    <x v="4"/>
    <x v="19"/>
    <x v="0"/>
    <x v="1"/>
    <x v="1"/>
  </r>
  <r>
    <x v="56"/>
    <x v="27"/>
    <x v="21"/>
    <x v="25"/>
    <x v="80"/>
    <x v="0"/>
    <x v="4"/>
    <x v="9"/>
    <x v="3"/>
    <x v="19"/>
    <x v="32"/>
    <x v="25"/>
    <x v="13"/>
    <x v="43"/>
    <x v="4"/>
    <x v="0"/>
    <x v="0"/>
    <x v="0"/>
    <x v="0"/>
    <x v="0"/>
    <x v="0"/>
    <x v="0"/>
    <x v="14"/>
    <x v="0"/>
    <x v="1"/>
    <x v="37"/>
    <x v="70"/>
    <x v="4"/>
    <x v="4"/>
    <x v="0"/>
    <x v="0"/>
    <x v="38"/>
    <x v="24"/>
    <x v="15"/>
    <x v="7"/>
    <x v="36"/>
    <x v="30"/>
    <x v="9"/>
    <x v="0"/>
    <x v="9"/>
    <x v="16"/>
    <x v="6"/>
    <x v="6"/>
    <x v="71"/>
    <x v="8"/>
    <x v="36"/>
    <x v="35"/>
    <x v="0"/>
    <x v="8"/>
    <x v="8"/>
    <x v="28"/>
    <x v="20"/>
    <x v="22"/>
    <x v="4"/>
    <x v="0"/>
    <x v="0"/>
    <x v="23"/>
    <x v="59"/>
    <x v="2"/>
    <x v="1"/>
    <x v="4"/>
    <x v="8"/>
    <x v="3"/>
    <x v="5"/>
    <x v="2"/>
    <x v="1"/>
    <x v="1"/>
    <x v="1"/>
    <x v="48"/>
    <x v="0"/>
    <x v="6"/>
    <x v="0"/>
    <x v="1"/>
    <x v="0"/>
    <x v="3"/>
    <x v="7"/>
    <x v="3"/>
    <x v="10"/>
    <x v="24"/>
    <x v="13"/>
    <x v="6"/>
    <x v="0"/>
    <x v="0"/>
    <x v="40"/>
    <x v="0"/>
    <x v="34"/>
    <x v="1"/>
  </r>
  <r>
    <x v="84"/>
    <x v="96"/>
    <x v="30"/>
    <x v="25"/>
    <x v="86"/>
    <x v="0"/>
    <x v="4"/>
    <x v="7"/>
    <x v="3"/>
    <x v="0"/>
    <x v="2"/>
    <x v="1"/>
    <x v="13"/>
    <x v="43"/>
    <x v="4"/>
    <x v="0"/>
    <x v="0"/>
    <x v="0"/>
    <x v="0"/>
    <x v="0"/>
    <x v="0"/>
    <x v="0"/>
    <x v="23"/>
    <x v="0"/>
    <x v="1"/>
    <x v="37"/>
    <x v="70"/>
    <x v="8"/>
    <x v="8"/>
    <x v="0"/>
    <x v="0"/>
    <x v="30"/>
    <x v="19"/>
    <x v="12"/>
    <x v="6"/>
    <x v="4"/>
    <x v="25"/>
    <x v="8"/>
    <x v="0"/>
    <x v="8"/>
    <x v="16"/>
    <x v="6"/>
    <x v="6"/>
    <x v="71"/>
    <x v="8"/>
    <x v="36"/>
    <x v="35"/>
    <x v="0"/>
    <x v="8"/>
    <x v="8"/>
    <x v="25"/>
    <x v="17"/>
    <x v="20"/>
    <x v="8"/>
    <x v="0"/>
    <x v="0"/>
    <x v="42"/>
    <x v="13"/>
    <x v="4"/>
    <x v="3"/>
    <x v="64"/>
    <x v="72"/>
    <x v="15"/>
    <x v="22"/>
    <x v="2"/>
    <x v="1"/>
    <x v="1"/>
    <x v="1"/>
    <x v="48"/>
    <x v="0"/>
    <x v="6"/>
    <x v="1"/>
    <x v="5"/>
    <x v="6"/>
    <x v="3"/>
    <x v="5"/>
    <x v="2"/>
    <x v="0"/>
    <x v="13"/>
    <x v="11"/>
    <x v="5"/>
    <x v="0"/>
    <x v="0"/>
    <x v="24"/>
    <x v="7"/>
    <x v="32"/>
    <x v="1"/>
  </r>
  <r>
    <x v="60"/>
    <x v="95"/>
    <x v="111"/>
    <x v="25"/>
    <x v="87"/>
    <x v="0"/>
    <x v="4"/>
    <x v="7"/>
    <x v="3"/>
    <x v="5"/>
    <x v="7"/>
    <x v="5"/>
    <x v="13"/>
    <x v="43"/>
    <x v="4"/>
    <x v="0"/>
    <x v="0"/>
    <x v="0"/>
    <x v="0"/>
    <x v="0"/>
    <x v="0"/>
    <x v="0"/>
    <x v="21"/>
    <x v="0"/>
    <x v="1"/>
    <x v="37"/>
    <x v="70"/>
    <x v="8"/>
    <x v="8"/>
    <x v="0"/>
    <x v="0"/>
    <x v="26"/>
    <x v="19"/>
    <x v="12"/>
    <x v="6"/>
    <x v="4"/>
    <x v="25"/>
    <x v="8"/>
    <x v="0"/>
    <x v="8"/>
    <x v="16"/>
    <x v="6"/>
    <x v="6"/>
    <x v="71"/>
    <x v="8"/>
    <x v="36"/>
    <x v="35"/>
    <x v="0"/>
    <x v="0"/>
    <x v="8"/>
    <x v="16"/>
    <x v="17"/>
    <x v="20"/>
    <x v="8"/>
    <x v="0"/>
    <x v="0"/>
    <x v="37"/>
    <x v="13"/>
    <x v="4"/>
    <x v="3"/>
    <x v="63"/>
    <x v="71"/>
    <x v="14"/>
    <x v="21"/>
    <x v="2"/>
    <x v="1"/>
    <x v="1"/>
    <x v="1"/>
    <x v="48"/>
    <x v="0"/>
    <x v="6"/>
    <x v="1"/>
    <x v="5"/>
    <x v="6"/>
    <x v="3"/>
    <x v="5"/>
    <x v="0"/>
    <x v="0"/>
    <x v="0"/>
    <x v="11"/>
    <x v="5"/>
    <x v="0"/>
    <x v="0"/>
    <x v="64"/>
    <x v="7"/>
    <x v="33"/>
    <x v="1"/>
  </r>
  <r>
    <x v="59"/>
    <x v="76"/>
    <x v="112"/>
    <x v="25"/>
    <x v="88"/>
    <x v="0"/>
    <x v="4"/>
    <x v="1"/>
    <x v="3"/>
    <x v="5"/>
    <x v="7"/>
    <x v="5"/>
    <x v="13"/>
    <x v="43"/>
    <x v="4"/>
    <x v="0"/>
    <x v="0"/>
    <x v="0"/>
    <x v="0"/>
    <x v="0"/>
    <x v="0"/>
    <x v="0"/>
    <x v="11"/>
    <x v="0"/>
    <x v="1"/>
    <x v="37"/>
    <x v="70"/>
    <x v="8"/>
    <x v="8"/>
    <x v="0"/>
    <x v="0"/>
    <x v="9"/>
    <x v="4"/>
    <x v="12"/>
    <x v="6"/>
    <x v="4"/>
    <x v="2"/>
    <x v="3"/>
    <x v="0"/>
    <x v="3"/>
    <x v="16"/>
    <x v="6"/>
    <x v="6"/>
    <x v="71"/>
    <x v="8"/>
    <x v="36"/>
    <x v="35"/>
    <x v="0"/>
    <x v="7"/>
    <x v="8"/>
    <x v="16"/>
    <x v="17"/>
    <x v="20"/>
    <x v="8"/>
    <x v="0"/>
    <x v="0"/>
    <x v="37"/>
    <x v="13"/>
    <x v="3"/>
    <x v="2"/>
    <x v="61"/>
    <x v="69"/>
    <x v="12"/>
    <x v="19"/>
    <x v="2"/>
    <x v="1"/>
    <x v="1"/>
    <x v="1"/>
    <x v="48"/>
    <x v="0"/>
    <x v="6"/>
    <x v="1"/>
    <x v="5"/>
    <x v="5"/>
    <x v="3"/>
    <x v="4"/>
    <x v="0"/>
    <x v="0"/>
    <x v="0"/>
    <x v="1"/>
    <x v="2"/>
    <x v="0"/>
    <x v="0"/>
    <x v="85"/>
    <x v="7"/>
    <x v="22"/>
    <x v="1"/>
  </r>
  <r>
    <x v="23"/>
    <x v="77"/>
    <x v="36"/>
    <x v="25"/>
    <x v="94"/>
    <x v="0"/>
    <x v="4"/>
    <x v="1"/>
    <x v="3"/>
    <x v="9"/>
    <x v="10"/>
    <x v="16"/>
    <x v="13"/>
    <x v="43"/>
    <x v="4"/>
    <x v="0"/>
    <x v="0"/>
    <x v="0"/>
    <x v="0"/>
    <x v="0"/>
    <x v="0"/>
    <x v="0"/>
    <x v="17"/>
    <x v="0"/>
    <x v="1"/>
    <x v="37"/>
    <x v="70"/>
    <x v="9"/>
    <x v="9"/>
    <x v="0"/>
    <x v="0"/>
    <x v="23"/>
    <x v="15"/>
    <x v="12"/>
    <x v="6"/>
    <x v="36"/>
    <x v="18"/>
    <x v="7"/>
    <x v="0"/>
    <x v="7"/>
    <x v="16"/>
    <x v="6"/>
    <x v="6"/>
    <x v="71"/>
    <x v="8"/>
    <x v="36"/>
    <x v="35"/>
    <x v="0"/>
    <x v="8"/>
    <x v="8"/>
    <x v="17"/>
    <x v="12"/>
    <x v="15"/>
    <x v="9"/>
    <x v="0"/>
    <x v="0"/>
    <x v="33"/>
    <x v="59"/>
    <x v="3"/>
    <x v="2"/>
    <x v="27"/>
    <x v="49"/>
    <x v="6"/>
    <x v="9"/>
    <x v="2"/>
    <x v="1"/>
    <x v="1"/>
    <x v="1"/>
    <x v="48"/>
    <x v="0"/>
    <x v="6"/>
    <x v="0"/>
    <x v="1"/>
    <x v="5"/>
    <x v="3"/>
    <x v="4"/>
    <x v="1"/>
    <x v="12"/>
    <x v="10"/>
    <x v="1"/>
    <x v="4"/>
    <x v="0"/>
    <x v="0"/>
    <x v="79"/>
    <x v="0"/>
    <x v="27"/>
    <x v="1"/>
  </r>
  <r>
    <x v="22"/>
    <x v="78"/>
    <x v="37"/>
    <x v="4"/>
    <x v="95"/>
    <x v="0"/>
    <x v="4"/>
    <x v="1"/>
    <x v="3"/>
    <x v="18"/>
    <x v="23"/>
    <x v="16"/>
    <x v="13"/>
    <x v="43"/>
    <x v="4"/>
    <x v="0"/>
    <x v="0"/>
    <x v="0"/>
    <x v="0"/>
    <x v="0"/>
    <x v="0"/>
    <x v="0"/>
    <x v="17"/>
    <x v="0"/>
    <x v="1"/>
    <x v="37"/>
    <x v="70"/>
    <x v="11"/>
    <x v="11"/>
    <x v="0"/>
    <x v="0"/>
    <x v="23"/>
    <x v="15"/>
    <x v="12"/>
    <x v="6"/>
    <x v="36"/>
    <x v="18"/>
    <x v="7"/>
    <x v="0"/>
    <x v="7"/>
    <x v="16"/>
    <x v="6"/>
    <x v="6"/>
    <x v="71"/>
    <x v="8"/>
    <x v="36"/>
    <x v="35"/>
    <x v="0"/>
    <x v="8"/>
    <x v="8"/>
    <x v="6"/>
    <x v="14"/>
    <x v="16"/>
    <x v="11"/>
    <x v="0"/>
    <x v="0"/>
    <x v="24"/>
    <x v="59"/>
    <x v="3"/>
    <x v="2"/>
    <x v="32"/>
    <x v="56"/>
    <x v="8"/>
    <x v="11"/>
    <x v="2"/>
    <x v="1"/>
    <x v="1"/>
    <x v="1"/>
    <x v="48"/>
    <x v="0"/>
    <x v="6"/>
    <x v="0"/>
    <x v="1"/>
    <x v="5"/>
    <x v="3"/>
    <x v="4"/>
    <x v="3"/>
    <x v="12"/>
    <x v="26"/>
    <x v="1"/>
    <x v="4"/>
    <x v="0"/>
    <x v="0"/>
    <x v="26"/>
    <x v="0"/>
    <x v="25"/>
    <x v="1"/>
  </r>
  <r>
    <x v="25"/>
    <x v="79"/>
    <x v="38"/>
    <x v="4"/>
    <x v="96"/>
    <x v="0"/>
    <x v="4"/>
    <x v="1"/>
    <x v="3"/>
    <x v="27"/>
    <x v="25"/>
    <x v="16"/>
    <x v="13"/>
    <x v="43"/>
    <x v="4"/>
    <x v="0"/>
    <x v="0"/>
    <x v="0"/>
    <x v="0"/>
    <x v="0"/>
    <x v="0"/>
    <x v="0"/>
    <x v="17"/>
    <x v="0"/>
    <x v="2"/>
    <x v="37"/>
    <x v="70"/>
    <x v="9"/>
    <x v="9"/>
    <x v="0"/>
    <x v="0"/>
    <x v="23"/>
    <x v="15"/>
    <x v="12"/>
    <x v="6"/>
    <x v="40"/>
    <x v="18"/>
    <x v="7"/>
    <x v="0"/>
    <x v="7"/>
    <x v="16"/>
    <x v="6"/>
    <x v="6"/>
    <x v="71"/>
    <x v="8"/>
    <x v="36"/>
    <x v="35"/>
    <x v="0"/>
    <x v="8"/>
    <x v="8"/>
    <x v="2"/>
    <x v="13"/>
    <x v="17"/>
    <x v="9"/>
    <x v="0"/>
    <x v="0"/>
    <x v="14"/>
    <x v="62"/>
    <x v="3"/>
    <x v="2"/>
    <x v="39"/>
    <x v="53"/>
    <x v="9"/>
    <x v="10"/>
    <x v="2"/>
    <x v="1"/>
    <x v="1"/>
    <x v="1"/>
    <x v="48"/>
    <x v="0"/>
    <x v="6"/>
    <x v="0"/>
    <x v="1"/>
    <x v="5"/>
    <x v="3"/>
    <x v="4"/>
    <x v="3"/>
    <x v="12"/>
    <x v="26"/>
    <x v="1"/>
    <x v="4"/>
    <x v="0"/>
    <x v="0"/>
    <x v="21"/>
    <x v="0"/>
    <x v="24"/>
    <x v="1"/>
  </r>
  <r>
    <x v="19"/>
    <x v="26"/>
    <x v="24"/>
    <x v="25"/>
    <x v="98"/>
    <x v="0"/>
    <x v="4"/>
    <x v="9"/>
    <x v="3"/>
    <x v="10"/>
    <x v="8"/>
    <x v="10"/>
    <x v="13"/>
    <x v="43"/>
    <x v="4"/>
    <x v="0"/>
    <x v="0"/>
    <x v="0"/>
    <x v="0"/>
    <x v="0"/>
    <x v="0"/>
    <x v="0"/>
    <x v="11"/>
    <x v="0"/>
    <x v="1"/>
    <x v="37"/>
    <x v="70"/>
    <x v="6"/>
    <x v="6"/>
    <x v="0"/>
    <x v="0"/>
    <x v="30"/>
    <x v="19"/>
    <x v="12"/>
    <x v="6"/>
    <x v="2"/>
    <x v="25"/>
    <x v="8"/>
    <x v="0"/>
    <x v="8"/>
    <x v="16"/>
    <x v="6"/>
    <x v="6"/>
    <x v="71"/>
    <x v="8"/>
    <x v="36"/>
    <x v="35"/>
    <x v="0"/>
    <x v="8"/>
    <x v="8"/>
    <x v="9"/>
    <x v="20"/>
    <x v="22"/>
    <x v="6"/>
    <x v="0"/>
    <x v="0"/>
    <x v="32"/>
    <x v="7"/>
    <x v="2"/>
    <x v="1"/>
    <x v="3"/>
    <x v="5"/>
    <x v="2"/>
    <x v="2"/>
    <x v="2"/>
    <x v="1"/>
    <x v="1"/>
    <x v="1"/>
    <x v="48"/>
    <x v="0"/>
    <x v="6"/>
    <x v="1"/>
    <x v="5"/>
    <x v="4"/>
    <x v="3"/>
    <x v="5"/>
    <x v="1"/>
    <x v="0"/>
    <x v="5"/>
    <x v="13"/>
    <x v="5"/>
    <x v="0"/>
    <x v="0"/>
    <x v="33"/>
    <x v="6"/>
    <x v="31"/>
    <x v="1"/>
  </r>
  <r>
    <x v="28"/>
    <x v="30"/>
    <x v="25"/>
    <x v="25"/>
    <x v="99"/>
    <x v="0"/>
    <x v="0"/>
    <x v="9"/>
    <x v="3"/>
    <x v="14"/>
    <x v="13"/>
    <x v="10"/>
    <x v="3"/>
    <x v="43"/>
    <x v="4"/>
    <x v="0"/>
    <x v="0"/>
    <x v="0"/>
    <x v="0"/>
    <x v="0"/>
    <x v="0"/>
    <x v="0"/>
    <x v="46"/>
    <x v="0"/>
    <x v="1"/>
    <x v="37"/>
    <x v="70"/>
    <x v="5"/>
    <x v="5"/>
    <x v="0"/>
    <x v="0"/>
    <x v="18"/>
    <x v="9"/>
    <x v="12"/>
    <x v="6"/>
    <x v="4"/>
    <x v="10"/>
    <x v="5"/>
    <x v="0"/>
    <x v="5"/>
    <x v="16"/>
    <x v="0"/>
    <x v="1"/>
    <x v="24"/>
    <x v="8"/>
    <x v="27"/>
    <x v="15"/>
    <x v="0"/>
    <x v="8"/>
    <x v="8"/>
    <x v="5"/>
    <x v="20"/>
    <x v="22"/>
    <x v="5"/>
    <x v="0"/>
    <x v="0"/>
    <x v="28"/>
    <x v="10"/>
    <x v="2"/>
    <x v="1"/>
    <x v="3"/>
    <x v="21"/>
    <x v="11"/>
    <x v="38"/>
    <x v="2"/>
    <x v="1"/>
    <x v="1"/>
    <x v="1"/>
    <x v="48"/>
    <x v="0"/>
    <x v="6"/>
    <x v="1"/>
    <x v="5"/>
    <x v="4"/>
    <x v="3"/>
    <x v="5"/>
    <x v="1"/>
    <x v="0"/>
    <x v="5"/>
    <x v="13"/>
    <x v="18"/>
    <x v="0"/>
    <x v="7"/>
    <x v="27"/>
    <x v="6"/>
    <x v="4"/>
    <x v="1"/>
  </r>
  <r>
    <x v="24"/>
    <x v="97"/>
    <x v="31"/>
    <x v="25"/>
    <x v="89"/>
    <x v="0"/>
    <x v="4"/>
    <x v="1"/>
    <x v="3"/>
    <x v="7"/>
    <x v="10"/>
    <x v="8"/>
    <x v="13"/>
    <x v="43"/>
    <x v="4"/>
    <x v="0"/>
    <x v="0"/>
    <x v="0"/>
    <x v="0"/>
    <x v="0"/>
    <x v="0"/>
    <x v="0"/>
    <x v="17"/>
    <x v="0"/>
    <x v="1"/>
    <x v="37"/>
    <x v="70"/>
    <x v="9"/>
    <x v="9"/>
    <x v="0"/>
    <x v="0"/>
    <x v="12"/>
    <x v="8"/>
    <x v="12"/>
    <x v="6"/>
    <x v="6"/>
    <x v="8"/>
    <x v="4"/>
    <x v="0"/>
    <x v="4"/>
    <x v="16"/>
    <x v="6"/>
    <x v="6"/>
    <x v="71"/>
    <x v="8"/>
    <x v="36"/>
    <x v="35"/>
    <x v="0"/>
    <x v="1"/>
    <x v="8"/>
    <x v="9"/>
    <x v="17"/>
    <x v="20"/>
    <x v="9"/>
    <x v="0"/>
    <x v="0"/>
    <x v="35"/>
    <x v="20"/>
    <x v="3"/>
    <x v="2"/>
    <x v="62"/>
    <x v="70"/>
    <x v="13"/>
    <x v="20"/>
    <x v="2"/>
    <x v="1"/>
    <x v="1"/>
    <x v="1"/>
    <x v="48"/>
    <x v="0"/>
    <x v="6"/>
    <x v="1"/>
    <x v="5"/>
    <x v="6"/>
    <x v="3"/>
    <x v="5"/>
    <x v="1"/>
    <x v="0"/>
    <x v="5"/>
    <x v="1"/>
    <x v="2"/>
    <x v="0"/>
    <x v="0"/>
    <x v="68"/>
    <x v="7"/>
    <x v="21"/>
    <x v="1"/>
  </r>
  <r>
    <x v="26"/>
    <x v="98"/>
    <x v="32"/>
    <x v="25"/>
    <x v="90"/>
    <x v="0"/>
    <x v="4"/>
    <x v="1"/>
    <x v="3"/>
    <x v="18"/>
    <x v="32"/>
    <x v="25"/>
    <x v="13"/>
    <x v="43"/>
    <x v="4"/>
    <x v="0"/>
    <x v="0"/>
    <x v="0"/>
    <x v="0"/>
    <x v="0"/>
    <x v="0"/>
    <x v="0"/>
    <x v="18"/>
    <x v="0"/>
    <x v="0"/>
    <x v="37"/>
    <x v="70"/>
    <x v="12"/>
    <x v="12"/>
    <x v="0"/>
    <x v="0"/>
    <x v="42"/>
    <x v="27"/>
    <x v="12"/>
    <x v="6"/>
    <x v="7"/>
    <x v="37"/>
    <x v="9"/>
    <x v="0"/>
    <x v="9"/>
    <x v="16"/>
    <x v="6"/>
    <x v="6"/>
    <x v="71"/>
    <x v="8"/>
    <x v="36"/>
    <x v="35"/>
    <x v="0"/>
    <x v="2"/>
    <x v="8"/>
    <x v="28"/>
    <x v="18"/>
    <x v="21"/>
    <x v="12"/>
    <x v="0"/>
    <x v="0"/>
    <x v="24"/>
    <x v="21"/>
    <x v="3"/>
    <x v="2"/>
    <x v="73"/>
    <x v="76"/>
    <x v="20"/>
    <x v="27"/>
    <x v="2"/>
    <x v="1"/>
    <x v="1"/>
    <x v="1"/>
    <x v="48"/>
    <x v="0"/>
    <x v="6"/>
    <x v="1"/>
    <x v="5"/>
    <x v="6"/>
    <x v="3"/>
    <x v="5"/>
    <x v="3"/>
    <x v="0"/>
    <x v="16"/>
    <x v="1"/>
    <x v="6"/>
    <x v="0"/>
    <x v="0"/>
    <x v="69"/>
    <x v="7"/>
    <x v="38"/>
    <x v="1"/>
  </r>
  <r>
    <x v="64"/>
    <x v="93"/>
    <x v="39"/>
    <x v="5"/>
    <x v="91"/>
    <x v="0"/>
    <x v="0"/>
    <x v="7"/>
    <x v="3"/>
    <x v="32"/>
    <x v="32"/>
    <x v="25"/>
    <x v="6"/>
    <x v="43"/>
    <x v="4"/>
    <x v="0"/>
    <x v="0"/>
    <x v="0"/>
    <x v="0"/>
    <x v="0"/>
    <x v="0"/>
    <x v="0"/>
    <x v="83"/>
    <x v="0"/>
    <x v="0"/>
    <x v="37"/>
    <x v="70"/>
    <x v="12"/>
    <x v="12"/>
    <x v="0"/>
    <x v="0"/>
    <x v="42"/>
    <x v="27"/>
    <x v="12"/>
    <x v="6"/>
    <x v="8"/>
    <x v="37"/>
    <x v="9"/>
    <x v="0"/>
    <x v="9"/>
    <x v="16"/>
    <x v="6"/>
    <x v="6"/>
    <x v="57"/>
    <x v="8"/>
    <x v="28"/>
    <x v="28"/>
    <x v="0"/>
    <x v="8"/>
    <x v="8"/>
    <x v="28"/>
    <x v="15"/>
    <x v="18"/>
    <x v="12"/>
    <x v="0"/>
    <x v="0"/>
    <x v="9"/>
    <x v="34"/>
    <x v="4"/>
    <x v="3"/>
    <x v="56"/>
    <x v="67"/>
    <x v="70"/>
    <x v="81"/>
    <x v="2"/>
    <x v="1"/>
    <x v="1"/>
    <x v="1"/>
    <x v="48"/>
    <x v="0"/>
    <x v="6"/>
    <x v="1"/>
    <x v="1"/>
    <x v="6"/>
    <x v="2"/>
    <x v="5"/>
    <x v="5"/>
    <x v="0"/>
    <x v="34"/>
    <x v="11"/>
    <x v="29"/>
    <x v="0"/>
    <x v="10"/>
    <x v="60"/>
    <x v="8"/>
    <x v="8"/>
    <x v="1"/>
  </r>
  <r>
    <x v="65"/>
    <x v="94"/>
    <x v="40"/>
    <x v="25"/>
    <x v="92"/>
    <x v="0"/>
    <x v="0"/>
    <x v="7"/>
    <x v="3"/>
    <x v="32"/>
    <x v="32"/>
    <x v="25"/>
    <x v="7"/>
    <x v="43"/>
    <x v="4"/>
    <x v="0"/>
    <x v="0"/>
    <x v="0"/>
    <x v="0"/>
    <x v="0"/>
    <x v="0"/>
    <x v="0"/>
    <x v="85"/>
    <x v="0"/>
    <x v="0"/>
    <x v="37"/>
    <x v="70"/>
    <x v="12"/>
    <x v="12"/>
    <x v="0"/>
    <x v="0"/>
    <x v="42"/>
    <x v="27"/>
    <x v="12"/>
    <x v="6"/>
    <x v="8"/>
    <x v="37"/>
    <x v="9"/>
    <x v="0"/>
    <x v="9"/>
    <x v="16"/>
    <x v="6"/>
    <x v="6"/>
    <x v="58"/>
    <x v="8"/>
    <x v="6"/>
    <x v="28"/>
    <x v="0"/>
    <x v="8"/>
    <x v="8"/>
    <x v="28"/>
    <x v="16"/>
    <x v="19"/>
    <x v="12"/>
    <x v="0"/>
    <x v="0"/>
    <x v="9"/>
    <x v="38"/>
    <x v="4"/>
    <x v="3"/>
    <x v="58"/>
    <x v="68"/>
    <x v="72"/>
    <x v="82"/>
    <x v="2"/>
    <x v="1"/>
    <x v="1"/>
    <x v="1"/>
    <x v="48"/>
    <x v="0"/>
    <x v="6"/>
    <x v="1"/>
    <x v="1"/>
    <x v="6"/>
    <x v="2"/>
    <x v="5"/>
    <x v="5"/>
    <x v="0"/>
    <x v="34"/>
    <x v="11"/>
    <x v="32"/>
    <x v="0"/>
    <x v="11"/>
    <x v="59"/>
    <x v="8"/>
    <x v="9"/>
    <x v="1"/>
  </r>
  <r>
    <x v="62"/>
    <x v="102"/>
    <x v="41"/>
    <x v="5"/>
    <x v="93"/>
    <x v="0"/>
    <x v="4"/>
    <x v="6"/>
    <x v="3"/>
    <x v="32"/>
    <x v="32"/>
    <x v="25"/>
    <x v="13"/>
    <x v="43"/>
    <x v="4"/>
    <x v="0"/>
    <x v="0"/>
    <x v="0"/>
    <x v="0"/>
    <x v="0"/>
    <x v="0"/>
    <x v="0"/>
    <x v="28"/>
    <x v="0"/>
    <x v="0"/>
    <x v="37"/>
    <x v="70"/>
    <x v="12"/>
    <x v="12"/>
    <x v="0"/>
    <x v="0"/>
    <x v="42"/>
    <x v="27"/>
    <x v="12"/>
    <x v="6"/>
    <x v="0"/>
    <x v="37"/>
    <x v="9"/>
    <x v="0"/>
    <x v="9"/>
    <x v="16"/>
    <x v="6"/>
    <x v="6"/>
    <x v="71"/>
    <x v="8"/>
    <x v="36"/>
    <x v="35"/>
    <x v="0"/>
    <x v="8"/>
    <x v="8"/>
    <x v="28"/>
    <x v="19"/>
    <x v="21"/>
    <x v="12"/>
    <x v="0"/>
    <x v="0"/>
    <x v="9"/>
    <x v="0"/>
    <x v="2"/>
    <x v="7"/>
    <x v="75"/>
    <x v="77"/>
    <x v="22"/>
    <x v="29"/>
    <x v="2"/>
    <x v="1"/>
    <x v="1"/>
    <x v="1"/>
    <x v="48"/>
    <x v="0"/>
    <x v="6"/>
    <x v="1"/>
    <x v="1"/>
    <x v="6"/>
    <x v="1"/>
    <x v="5"/>
    <x v="5"/>
    <x v="0"/>
    <x v="34"/>
    <x v="10"/>
    <x v="6"/>
    <x v="7"/>
    <x v="0"/>
    <x v="74"/>
    <x v="0"/>
    <x v="85"/>
    <x v="1"/>
  </r>
  <r>
    <x v="63"/>
    <x v="103"/>
    <x v="42"/>
    <x v="5"/>
    <x v="94"/>
    <x v="0"/>
    <x v="4"/>
    <x v="6"/>
    <x v="3"/>
    <x v="32"/>
    <x v="32"/>
    <x v="25"/>
    <x v="13"/>
    <x v="43"/>
    <x v="4"/>
    <x v="0"/>
    <x v="0"/>
    <x v="0"/>
    <x v="0"/>
    <x v="0"/>
    <x v="0"/>
    <x v="0"/>
    <x v="28"/>
    <x v="0"/>
    <x v="0"/>
    <x v="37"/>
    <x v="70"/>
    <x v="12"/>
    <x v="12"/>
    <x v="0"/>
    <x v="0"/>
    <x v="42"/>
    <x v="27"/>
    <x v="12"/>
    <x v="6"/>
    <x v="0"/>
    <x v="37"/>
    <x v="9"/>
    <x v="0"/>
    <x v="9"/>
    <x v="16"/>
    <x v="6"/>
    <x v="6"/>
    <x v="71"/>
    <x v="8"/>
    <x v="36"/>
    <x v="35"/>
    <x v="0"/>
    <x v="8"/>
    <x v="8"/>
    <x v="28"/>
    <x v="19"/>
    <x v="21"/>
    <x v="12"/>
    <x v="0"/>
    <x v="0"/>
    <x v="9"/>
    <x v="0"/>
    <x v="2"/>
    <x v="7"/>
    <x v="75"/>
    <x v="77"/>
    <x v="22"/>
    <x v="29"/>
    <x v="2"/>
    <x v="1"/>
    <x v="1"/>
    <x v="1"/>
    <x v="48"/>
    <x v="0"/>
    <x v="6"/>
    <x v="1"/>
    <x v="1"/>
    <x v="6"/>
    <x v="1"/>
    <x v="5"/>
    <x v="5"/>
    <x v="0"/>
    <x v="34"/>
    <x v="10"/>
    <x v="6"/>
    <x v="7"/>
    <x v="0"/>
    <x v="74"/>
    <x v="0"/>
    <x v="85"/>
    <x v="1"/>
  </r>
  <r>
    <x v="53"/>
    <x v="99"/>
    <x v="33"/>
    <x v="25"/>
    <x v="95"/>
    <x v="0"/>
    <x v="4"/>
    <x v="1"/>
    <x v="3"/>
    <x v="39"/>
    <x v="32"/>
    <x v="25"/>
    <x v="13"/>
    <x v="43"/>
    <x v="4"/>
    <x v="0"/>
    <x v="0"/>
    <x v="0"/>
    <x v="0"/>
    <x v="0"/>
    <x v="0"/>
    <x v="0"/>
    <x v="27"/>
    <x v="0"/>
    <x v="0"/>
    <x v="37"/>
    <x v="70"/>
    <x v="12"/>
    <x v="12"/>
    <x v="0"/>
    <x v="0"/>
    <x v="41"/>
    <x v="25"/>
    <x v="9"/>
    <x v="6"/>
    <x v="1"/>
    <x v="33"/>
    <x v="9"/>
    <x v="0"/>
    <x v="9"/>
    <x v="16"/>
    <x v="6"/>
    <x v="6"/>
    <x v="71"/>
    <x v="8"/>
    <x v="36"/>
    <x v="35"/>
    <x v="0"/>
    <x v="4"/>
    <x v="8"/>
    <x v="28"/>
    <x v="18"/>
    <x v="21"/>
    <x v="12"/>
    <x v="0"/>
    <x v="0"/>
    <x v="2"/>
    <x v="6"/>
    <x v="3"/>
    <x v="2"/>
    <x v="71"/>
    <x v="74"/>
    <x v="18"/>
    <x v="25"/>
    <x v="2"/>
    <x v="1"/>
    <x v="1"/>
    <x v="1"/>
    <x v="48"/>
    <x v="0"/>
    <x v="6"/>
    <x v="1"/>
    <x v="5"/>
    <x v="6"/>
    <x v="3"/>
    <x v="5"/>
    <x v="4"/>
    <x v="0"/>
    <x v="29"/>
    <x v="1"/>
    <x v="6"/>
    <x v="0"/>
    <x v="0"/>
    <x v="71"/>
    <x v="7"/>
    <x v="39"/>
    <x v="1"/>
  </r>
  <r>
    <x v="55"/>
    <x v="101"/>
    <x v="34"/>
    <x v="3"/>
    <x v="96"/>
    <x v="0"/>
    <x v="4"/>
    <x v="1"/>
    <x v="3"/>
    <x v="39"/>
    <x v="32"/>
    <x v="25"/>
    <x v="13"/>
    <x v="43"/>
    <x v="4"/>
    <x v="0"/>
    <x v="0"/>
    <x v="0"/>
    <x v="0"/>
    <x v="0"/>
    <x v="0"/>
    <x v="0"/>
    <x v="27"/>
    <x v="0"/>
    <x v="0"/>
    <x v="37"/>
    <x v="70"/>
    <x v="12"/>
    <x v="12"/>
    <x v="0"/>
    <x v="0"/>
    <x v="41"/>
    <x v="25"/>
    <x v="9"/>
    <x v="6"/>
    <x v="9"/>
    <x v="33"/>
    <x v="9"/>
    <x v="0"/>
    <x v="9"/>
    <x v="16"/>
    <x v="6"/>
    <x v="6"/>
    <x v="71"/>
    <x v="8"/>
    <x v="36"/>
    <x v="35"/>
    <x v="0"/>
    <x v="5"/>
    <x v="8"/>
    <x v="28"/>
    <x v="18"/>
    <x v="21"/>
    <x v="12"/>
    <x v="0"/>
    <x v="0"/>
    <x v="2"/>
    <x v="26"/>
    <x v="3"/>
    <x v="2"/>
    <x v="72"/>
    <x v="75"/>
    <x v="19"/>
    <x v="26"/>
    <x v="2"/>
    <x v="1"/>
    <x v="1"/>
    <x v="1"/>
    <x v="48"/>
    <x v="0"/>
    <x v="6"/>
    <x v="1"/>
    <x v="3"/>
    <x v="6"/>
    <x v="3"/>
    <x v="5"/>
    <x v="4"/>
    <x v="0"/>
    <x v="29"/>
    <x v="1"/>
    <x v="6"/>
    <x v="0"/>
    <x v="0"/>
    <x v="29"/>
    <x v="2"/>
    <x v="36"/>
    <x v="1"/>
  </r>
  <r>
    <x v="54"/>
    <x v="100"/>
    <x v="35"/>
    <x v="3"/>
    <x v="97"/>
    <x v="0"/>
    <x v="4"/>
    <x v="1"/>
    <x v="3"/>
    <x v="39"/>
    <x v="32"/>
    <x v="25"/>
    <x v="13"/>
    <x v="43"/>
    <x v="4"/>
    <x v="0"/>
    <x v="0"/>
    <x v="0"/>
    <x v="0"/>
    <x v="0"/>
    <x v="0"/>
    <x v="0"/>
    <x v="27"/>
    <x v="0"/>
    <x v="0"/>
    <x v="37"/>
    <x v="70"/>
    <x v="12"/>
    <x v="12"/>
    <x v="0"/>
    <x v="0"/>
    <x v="41"/>
    <x v="25"/>
    <x v="9"/>
    <x v="6"/>
    <x v="0"/>
    <x v="33"/>
    <x v="9"/>
    <x v="0"/>
    <x v="9"/>
    <x v="16"/>
    <x v="6"/>
    <x v="6"/>
    <x v="71"/>
    <x v="8"/>
    <x v="36"/>
    <x v="35"/>
    <x v="0"/>
    <x v="3"/>
    <x v="8"/>
    <x v="28"/>
    <x v="18"/>
    <x v="21"/>
    <x v="12"/>
    <x v="0"/>
    <x v="0"/>
    <x v="2"/>
    <x v="0"/>
    <x v="3"/>
    <x v="2"/>
    <x v="70"/>
    <x v="73"/>
    <x v="17"/>
    <x v="24"/>
    <x v="2"/>
    <x v="1"/>
    <x v="1"/>
    <x v="1"/>
    <x v="48"/>
    <x v="0"/>
    <x v="6"/>
    <x v="1"/>
    <x v="5"/>
    <x v="6"/>
    <x v="0"/>
    <x v="5"/>
    <x v="4"/>
    <x v="0"/>
    <x v="29"/>
    <x v="1"/>
    <x v="6"/>
    <x v="0"/>
    <x v="0"/>
    <x v="70"/>
    <x v="5"/>
    <x v="37"/>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117" firstHeaderRow="1" firstDataRow="1" firstDataCol="6"/>
  <pivotFields count="87">
    <pivotField axis="axisRow" compact="0" outline="0" showAll="0" defaultSubtotal="0">
      <items count="107">
        <item x="0"/>
        <item x="1"/>
        <item x="2"/>
        <item x="3"/>
        <item x="6"/>
        <item x="7"/>
        <item x="8"/>
        <item x="9"/>
        <item x="10"/>
        <item x="11"/>
        <item x="12"/>
        <item x="13"/>
        <item x="14"/>
        <item x="15"/>
        <item x="16"/>
        <item x="17"/>
        <item x="18"/>
        <item x="20"/>
        <item x="21"/>
        <item x="22"/>
        <item x="23"/>
        <item x="24"/>
        <item x="25"/>
        <item x="26"/>
        <item x="29"/>
        <item x="30"/>
        <item x="31"/>
        <item x="32"/>
        <item x="36"/>
        <item x="37"/>
        <item x="39"/>
        <item x="40"/>
        <item x="41"/>
        <item x="42"/>
        <item x="43"/>
        <item x="44"/>
        <item x="45"/>
        <item x="46"/>
        <item x="50"/>
        <item x="51"/>
        <item x="52"/>
        <item x="53"/>
        <item x="54"/>
        <item x="55"/>
        <item x="61"/>
        <item x="62"/>
        <item x="63"/>
        <item x="64"/>
        <item x="65"/>
        <item x="66"/>
        <item x="68"/>
        <item x="69"/>
        <item x="70"/>
        <item x="71"/>
        <item x="72"/>
        <item x="73"/>
        <item x="74"/>
        <item x="75"/>
        <item x="76"/>
        <item x="77"/>
        <item x="81"/>
        <item x="82"/>
        <item x="83"/>
        <item x="84"/>
        <item x="85"/>
        <item x="86"/>
        <item x="88"/>
        <item x="89"/>
        <item x="90"/>
        <item x="91"/>
        <item x="92"/>
        <item x="93"/>
        <item x="94"/>
        <item x="95"/>
        <item x="96"/>
        <item x="98"/>
        <item x="99"/>
        <item x="101"/>
        <item x="102"/>
        <item x="103"/>
        <item x="104"/>
        <item x="105"/>
        <item x="106"/>
        <item x="5"/>
        <item x="80"/>
        <item x="97"/>
        <item x="100"/>
        <item x="19"/>
        <item x="28"/>
        <item x="59"/>
        <item x="60"/>
        <item x="27"/>
        <item x="56"/>
        <item x="57"/>
        <item x="58"/>
        <item x="47"/>
        <item x="48"/>
        <item x="49"/>
        <item x="67"/>
        <item x="38"/>
        <item x="4"/>
        <item x="33"/>
        <item x="34"/>
        <item x="35"/>
        <item x="78"/>
        <item x="79"/>
        <item x="87"/>
      </items>
    </pivotField>
    <pivotField axis="axisRow" compact="0" outline="0" showAll="0" defaultSubtotal="0">
      <items count="115">
        <item x="0"/>
        <item x="1"/>
        <item x="2"/>
        <item x="3"/>
        <item x="4"/>
        <item x="5"/>
        <item x="6"/>
        <item x="7"/>
        <item x="8"/>
        <item x="10"/>
        <item x="11"/>
        <item x="12"/>
        <item x="13"/>
        <item x="14"/>
        <item x="15"/>
        <item x="16"/>
        <item x="17"/>
        <item x="18"/>
        <item x="19"/>
        <item x="20"/>
        <item x="21"/>
        <item x="22"/>
        <item x="23"/>
        <item x="24"/>
        <item x="25"/>
        <item x="33"/>
        <item x="34"/>
        <item x="38"/>
        <item x="39"/>
        <item x="40"/>
        <item x="41"/>
        <item x="42"/>
        <item x="43"/>
        <item x="44"/>
        <item x="45"/>
        <item x="46"/>
        <item x="47"/>
        <item x="48"/>
        <item x="50"/>
        <item x="51"/>
        <item x="52"/>
        <item x="54"/>
        <item x="57"/>
        <item x="58"/>
        <item x="60"/>
        <item x="61"/>
        <item x="65"/>
        <item x="66"/>
        <item x="67"/>
        <item x="68"/>
        <item x="69"/>
        <item x="70"/>
        <item x="71"/>
        <item x="72"/>
        <item x="73"/>
        <item x="75"/>
        <item x="77"/>
        <item x="78"/>
        <item x="79"/>
        <item x="84"/>
        <item x="85"/>
        <item x="86"/>
        <item x="87"/>
        <item x="88"/>
        <item x="89"/>
        <item x="90"/>
        <item x="91"/>
        <item x="92"/>
        <item x="93"/>
        <item x="94"/>
        <item x="96"/>
        <item x="97"/>
        <item x="98"/>
        <item x="99"/>
        <item x="100"/>
        <item x="101"/>
        <item x="102"/>
        <item x="103"/>
        <item x="104"/>
        <item x="105"/>
        <item x="106"/>
        <item x="107"/>
        <item x="108"/>
        <item x="109"/>
        <item x="35"/>
        <item x="55"/>
        <item x="56"/>
        <item x="80"/>
        <item x="81"/>
        <item x="82"/>
        <item x="83"/>
        <item x="26"/>
        <item x="30"/>
        <item x="76"/>
        <item x="95"/>
        <item x="27"/>
        <item x="28"/>
        <item x="29"/>
        <item x="112"/>
        <item x="9"/>
        <item x="53"/>
        <item x="59"/>
        <item x="62"/>
        <item x="113"/>
        <item x="114"/>
        <item x="49"/>
        <item x="31"/>
        <item x="32"/>
        <item x="36"/>
        <item x="37"/>
        <item x="63"/>
        <item x="64"/>
        <item x="74"/>
        <item x="110"/>
        <item x="111"/>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42">
        <item x="0"/>
        <item x="1"/>
        <item x="2"/>
        <item x="3"/>
        <item x="4"/>
        <item x="5"/>
        <item x="6"/>
        <item x="7"/>
        <item x="8"/>
        <item x="9"/>
        <item x="11"/>
        <item x="12"/>
        <item x="13"/>
        <item x="15"/>
        <item x="16"/>
        <item x="17"/>
        <item x="18"/>
        <item x="20"/>
        <item x="21"/>
        <item x="23"/>
        <item x="24"/>
        <item x="27"/>
        <item x="28"/>
        <item x="29"/>
        <item x="30"/>
        <item x="31"/>
        <item x="32"/>
        <item x="34"/>
        <item x="36"/>
        <item x="37"/>
        <item x="38"/>
        <item x="39"/>
        <item x="41"/>
        <item x="35"/>
        <item x="40"/>
        <item x="10"/>
        <item x="14"/>
        <item x="19"/>
        <item x="25"/>
        <item x="26"/>
        <item x="22"/>
        <item x="33"/>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94">
        <item x="0"/>
        <item x="1"/>
        <item x="2"/>
        <item x="3"/>
        <item x="4"/>
        <item x="5"/>
        <item x="6"/>
        <item x="7"/>
        <item x="8"/>
        <item x="9"/>
        <item x="10"/>
        <item x="11"/>
        <item x="12"/>
        <item x="13"/>
        <item x="15"/>
        <item x="16"/>
        <item x="17"/>
        <item x="20"/>
        <item x="21"/>
        <item x="22"/>
        <item x="23"/>
        <item x="24"/>
        <item x="25"/>
        <item x="26"/>
        <item x="28"/>
        <item x="29"/>
        <item x="31"/>
        <item x="34"/>
        <item x="35"/>
        <item x="36"/>
        <item x="37"/>
        <item x="38"/>
        <item x="39"/>
        <item x="42"/>
        <item x="43"/>
        <item x="46"/>
        <item x="49"/>
        <item x="50"/>
        <item x="52"/>
        <item x="53"/>
        <item x="57"/>
        <item x="58"/>
        <item x="59"/>
        <item x="60"/>
        <item x="61"/>
        <item x="62"/>
        <item x="63"/>
        <item x="65"/>
        <item x="66"/>
        <item x="67"/>
        <item x="68"/>
        <item x="69"/>
        <item x="70"/>
        <item x="71"/>
        <item x="72"/>
        <item x="73"/>
        <item x="74"/>
        <item x="75"/>
        <item x="76"/>
        <item x="79"/>
        <item x="80"/>
        <item x="81"/>
        <item x="83"/>
        <item x="84"/>
        <item x="86"/>
        <item x="87"/>
        <item x="88"/>
        <item x="89"/>
        <item x="90"/>
        <item x="32"/>
        <item x="51"/>
        <item x="56"/>
        <item x="91"/>
        <item x="27"/>
        <item x="33"/>
        <item x="64"/>
        <item x="18"/>
        <item x="19"/>
        <item x="40"/>
        <item x="77"/>
        <item x="41"/>
        <item x="44"/>
        <item x="54"/>
        <item x="55"/>
        <item x="85"/>
        <item x="92"/>
        <item x="14"/>
        <item x="30"/>
        <item x="45"/>
        <item x="47"/>
        <item x="48"/>
        <item x="78"/>
        <item x="82"/>
        <item x="93"/>
      </items>
    </pivotField>
    <pivotField compact="0" showAll="0"/>
    <pivotField compact="0" showAll="0"/>
    <pivotField compact="0" showAll="0"/>
  </pivotFields>
  <rowFields count="6">
    <field x="0"/>
    <field x="1"/>
    <field x="7"/>
    <field x="9"/>
    <field x="12"/>
    <field x="83"/>
  </rowFields>
  <rowItems count="116">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8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r="1">
      <x v="99"/>
      <x v="2"/>
      <x v="11"/>
      <x v="5"/>
      <x v="80"/>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x v="89"/>
      <x v="93"/>
      <x v="1"/>
      <x v="5"/>
      <x v="84"/>
    </i>
    <i>
      <x v="90"/>
      <x v="94"/>
      <x v="7"/>
      <x v="5"/>
      <x v="75"/>
    </i>
    <i>
      <x v="91"/>
      <x v="98"/>
      <x v="9"/>
      <x v="12"/>
      <x v="76"/>
    </i>
    <i>
      <x v="92"/>
      <x v="95"/>
      <x v="9"/>
      <x v="37"/>
      <x v="78"/>
    </i>
    <i>
      <x v="93"/>
      <x v="96"/>
      <x v="9"/>
      <x v="37"/>
      <x v="79"/>
    </i>
    <i>
      <x v="94"/>
      <x v="97"/>
      <x v="9"/>
      <x v="38"/>
      <x v="1"/>
      <x v="77"/>
    </i>
    <i>
      <x v="95"/>
      <x v="104"/>
      <x v="5"/>
      <x v="39"/>
      <x v="4"/>
      <x v="82"/>
    </i>
    <i>
      <x v="96"/>
      <x v="103"/>
      <x v="3"/>
      <x v="39"/>
      <x v="4"/>
      <x v="85"/>
    </i>
    <i>
      <x v="97"/>
      <x v="100"/>
      <x v="5"/>
      <x v="23"/>
      <x v="3"/>
      <x v="81"/>
    </i>
    <i>
      <x v="98"/>
      <x v="101"/>
      <x v="3"/>
      <x v="23"/>
      <x v="11"/>
      <x v="14"/>
    </i>
    <i r="1">
      <x v="102"/>
      <x v="3"/>
      <x v="23"/>
      <x v="10"/>
      <x v="44"/>
    </i>
    <i>
      <x v="99"/>
      <x v="105"/>
      <x v="3"/>
      <x v="25"/>
      <x v="3"/>
      <x v="86"/>
    </i>
    <i>
      <x v="100"/>
      <x v="108"/>
      <x v="2"/>
      <x v="41"/>
      <x v="1"/>
      <x v="92"/>
    </i>
    <i r="1">
      <x v="109"/>
      <x v="2"/>
      <x v="41"/>
      <x v="2"/>
      <x v="92"/>
    </i>
    <i>
      <x v="101"/>
      <x v="107"/>
      <x v="2"/>
      <x v="40"/>
      <x v="1"/>
      <x v="91"/>
    </i>
    <i>
      <x v="102"/>
      <x v="110"/>
      <x v="2"/>
      <x v="21"/>
      <x v="1"/>
      <x v="90"/>
    </i>
    <i r="1">
      <x v="111"/>
      <x v="2"/>
      <x v="21"/>
      <x v="2"/>
      <x v="90"/>
    </i>
    <i>
      <x v="103"/>
      <x v="113"/>
      <x v="2"/>
      <x v="21"/>
      <x v="1"/>
      <x v="93"/>
    </i>
    <i>
      <x v="104"/>
      <x v="106"/>
      <x v="2"/>
      <x v="40"/>
      <x v="1"/>
      <x v="88"/>
    </i>
    <i>
      <x v="105"/>
      <x v="112"/>
      <x v="2"/>
      <x v="17"/>
      <x/>
      <x v="87"/>
    </i>
    <i>
      <x v="106"/>
      <x v="114"/>
      <x v="2"/>
      <x v="39"/>
      <x v="1"/>
      <x v="89"/>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048576"/>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CD26" activePane="bottomRight" state="frozen"/>
      <selection pane="topLeft" activeCell="A1" activeCellId="0" sqref="A1"/>
      <selection pane="topRight" activeCell="CD1" activeCellId="0" sqref="CD1"/>
      <selection pane="bottomLeft" activeCell="A26" activeCellId="0" sqref="A26"/>
      <selection pane="bottomRight" activeCell="A85" activeCellId="0" sqref="A85"/>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201</v>
      </c>
      <c r="E14" s="1" t="n">
        <v>20</v>
      </c>
      <c r="F14" s="1" t="s">
        <v>89</v>
      </c>
      <c r="G14" s="1" t="s">
        <v>90</v>
      </c>
      <c r="H14" s="1" t="s">
        <v>152</v>
      </c>
      <c r="I14" s="1" t="s">
        <v>153</v>
      </c>
      <c r="J14" s="1" t="n">
        <v>1956</v>
      </c>
      <c r="K14" s="1" t="n">
        <v>1989</v>
      </c>
      <c r="L14" s="1" t="n">
        <v>2004</v>
      </c>
      <c r="M14" s="1" t="n">
        <v>4</v>
      </c>
      <c r="N14" s="1" t="n">
        <v>1000</v>
      </c>
      <c r="W14" s="1" t="n">
        <v>180</v>
      </c>
      <c r="Y14" s="1" t="n">
        <v>5</v>
      </c>
      <c r="Z14" s="1" t="n">
        <v>85</v>
      </c>
      <c r="AA14" s="4" t="n">
        <f aca="false">IF(AND(W14&gt;0,Z14&gt;0),(Z14/((W14+X14)*10)),"")</f>
        <v>0.0472222222222222</v>
      </c>
      <c r="AB14" s="1" t="n">
        <v>75</v>
      </c>
      <c r="AC14" s="1" t="n">
        <f aca="false">ROUND(AB14*1.6, 0)</f>
        <v>120</v>
      </c>
      <c r="AF14" s="1" t="n">
        <v>17.37</v>
      </c>
      <c r="AG14" s="1" t="n">
        <v>18</v>
      </c>
      <c r="AH14" s="1" t="n">
        <v>2.5</v>
      </c>
      <c r="AI14" s="1" t="n">
        <v>3.77</v>
      </c>
      <c r="AJ14" s="5" t="n">
        <v>37</v>
      </c>
      <c r="AK14" s="19" t="str">
        <f aca="false">CONCATENATE(VLOOKUP(AL14, 'Voxel Sizes'!$A$2:$B$18,2,FALSE()),"x",INT(AH14*15), "x", INT(AI14*15))</f>
        <v>186x37x56</v>
      </c>
      <c r="AL14" s="1" t="n">
        <f aca="false">ROUND(15*((AG14*10)/256),0)</f>
        <v>11</v>
      </c>
      <c r="AN14" s="1" t="str">
        <f aca="false">CONCATENATE(VLOOKUP(AL14,Constants!$A$2:$C$16,IF(AM14&lt;&gt;"", 3, 2), FALSE()),IF(AM14&lt;&gt;"",CONCATENATE(",",VLOOKUP(AM14,$B:$AN,38,FALSE())),""))</f>
        <v>4,3,4</v>
      </c>
      <c r="AO14" s="1" t="s">
        <v>161</v>
      </c>
      <c r="AR14" s="1" t="s">
        <v>162</v>
      </c>
      <c r="AT14" s="1" t="s">
        <v>163</v>
      </c>
      <c r="AU14" s="1" t="s">
        <v>164</v>
      </c>
      <c r="AX14" s="1" t="n">
        <v>45</v>
      </c>
      <c r="AY14" s="6" t="n">
        <f aca="false">IF(L14&lt;&gt;"",MAX(16,(L14-J14)+8),"")</f>
        <v>56</v>
      </c>
      <c r="AZ14" s="1" t="n">
        <v>-10</v>
      </c>
      <c r="BA14" s="1" t="n">
        <v>-15</v>
      </c>
      <c r="BB14" s="1" t="n">
        <f aca="false">MIN(AB14/150, 1)*30</f>
        <v>15</v>
      </c>
      <c r="BC14" s="1" t="n">
        <f aca="false">MIN(N14/4000, 1)*20</f>
        <v>5</v>
      </c>
      <c r="BD14" s="1" t="n">
        <f aca="false">MIN(Z14/400,1)*20</f>
        <v>4.25</v>
      </c>
      <c r="BE14" s="4" t="n">
        <f aca="false">1-(MAX(J14-1900, 0)/750)</f>
        <v>0.925333333333333</v>
      </c>
      <c r="BF14" s="1" t="n">
        <f aca="false">((MAX($M14,1)*MIN($AJ14/300,1)))*IF(G14="Wagon",50,10)</f>
        <v>4.93333333333333</v>
      </c>
      <c r="BG14" s="1" t="n">
        <f aca="false">VLOOKUP($H14,Constants!$I:$K, 2, FALSE())</f>
        <v>1</v>
      </c>
      <c r="BH14" s="1" t="n">
        <f aca="false">VLOOKUP($H14,Constants!$I:$K, 3, FALSE())*IF(AND(G14="multiple_unit",AB14&lt;110),0.75,1)</f>
        <v>1.5</v>
      </c>
      <c r="BI14" s="1" t="n">
        <f aca="false">INT(POWER(((Constants!$G$2+$BB14+$BC14+$BD14+$BF14)*$BE14)*$BH14, 1.05))+$BA14</f>
        <v>42</v>
      </c>
      <c r="BJ14" s="1" t="n">
        <f aca="false">INT(POWER((((Constants!$G$1+$BB14+$BC14+$BD14+$BF14)*($BE14))*$BG14),IF($G14="wagon",1,1.2)))+$AZ14</f>
        <v>75</v>
      </c>
      <c r="BK14" s="20" t="n">
        <f aca="false">BI14*IF($G14="wagon",62.5,781.25)</f>
        <v>32812.5</v>
      </c>
      <c r="BL14" s="20" t="n">
        <f aca="false">BJ14*IF($G14="wagon",2.73,81.25)</f>
        <v>6093.75</v>
      </c>
      <c r="BQ14" s="1" t="s">
        <v>165</v>
      </c>
      <c r="BT14" s="1" t="n">
        <v>2</v>
      </c>
      <c r="BX14" s="1" t="s">
        <v>95</v>
      </c>
      <c r="BY14" s="1" t="str">
        <f aca="false">VLOOKUP(J14,Eras!$A$2:$C$10, 2, TRUE())</f>
        <v>dsl</v>
      </c>
      <c r="BZ14" s="18" t="s">
        <v>166</v>
      </c>
      <c r="CA14" s="1" t="str">
        <f aca="false">CONCATENATE(BY14,"_",BZ14)</f>
        <v>dsl_DMU</v>
      </c>
      <c r="CB14" s="1" t="str">
        <f aca="false">_xlfn.CONCAT(H14, "_",I14)</f>
        <v>diesel_RAIL</v>
      </c>
      <c r="CC14" s="21" t="str">
        <f aca="false" t="array" ref="CC14:CC14">_xlfn.CONCAT("{BLACK}Length: {GOLD}", TEXT(ROUNDUP(IF(AQ14&lt;&gt;"",SUM(VALUE(_xlfn.TEXTSPLIT(AQ14, ","))), SUM(VALUE(_xlfn.TEXTSPLIT(AN14, ",")))*IF(M14, M14, 1))/16, 1), "#,##0.0"), " tiles{}")</f>
        <v>{BLACK}Length: {GOLD}2.8 tiles{}</v>
      </c>
      <c r="CD14" s="1" t="str">
        <f aca="false">VLOOKUP($CB14, Constants!$M:$N, 2, FALSE())</f>
        <v>{BLACK}Powered by: {GOLD}Diesel</v>
      </c>
      <c r="CE14" s="1" t="str">
        <f aca="false">IF(M14&gt;1,_xlfn.CONCAT("{BLACK}Cars: {GOLD}", M14),"")</f>
        <v>{BLACK}Cars: {GOLD}4</v>
      </c>
      <c r="CF14" s="1" t="s">
        <v>167</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4" s="1"/>
      <c r="CJ14" s="1"/>
    </row>
    <row r="15" customFormat="false" ht="13.8" hidden="false" customHeight="false" outlineLevel="0" collapsed="false">
      <c r="A15" s="1" t="s">
        <v>168</v>
      </c>
      <c r="B15" s="1" t="s">
        <v>169</v>
      </c>
      <c r="C15" s="1" t="n">
        <v>202</v>
      </c>
      <c r="D15" s="1" t="n">
        <v>201</v>
      </c>
      <c r="E15" s="1" t="n">
        <v>22</v>
      </c>
      <c r="F15" s="1" t="s">
        <v>89</v>
      </c>
      <c r="G15" s="1" t="s">
        <v>90</v>
      </c>
      <c r="H15" s="1" t="s">
        <v>152</v>
      </c>
      <c r="I15" s="1" t="s">
        <v>153</v>
      </c>
      <c r="J15" s="1" t="n">
        <v>1956</v>
      </c>
      <c r="K15" s="1" t="n">
        <v>1989</v>
      </c>
      <c r="L15" s="1" t="n">
        <v>2004</v>
      </c>
      <c r="M15" s="1" t="n">
        <v>6</v>
      </c>
      <c r="N15" s="1" t="n">
        <v>1000</v>
      </c>
      <c r="W15" s="1" t="n">
        <v>238</v>
      </c>
      <c r="Y15" s="1" t="n">
        <v>5</v>
      </c>
      <c r="Z15" s="1" t="n">
        <v>85</v>
      </c>
      <c r="AA15" s="4" t="n">
        <f aca="false">IF(AND(W15&gt;0,Z15&gt;0),(Z15/((W15+X15)*10)),"")</f>
        <v>0.0357142857142857</v>
      </c>
      <c r="AB15" s="1" t="n">
        <v>75</v>
      </c>
      <c r="AC15" s="1" t="n">
        <f aca="false">ROUND(AB15*1.6, 0)</f>
        <v>120</v>
      </c>
      <c r="AF15" s="1" t="n">
        <v>17.37</v>
      </c>
      <c r="AG15" s="1" t="n">
        <v>18</v>
      </c>
      <c r="AH15" s="1" t="n">
        <v>2.5</v>
      </c>
      <c r="AI15" s="1" t="n">
        <v>3.77</v>
      </c>
      <c r="AJ15" s="5" t="n">
        <v>42</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170</v>
      </c>
      <c r="AR15" s="1" t="s">
        <v>171</v>
      </c>
      <c r="AT15" s="1" t="s">
        <v>135</v>
      </c>
      <c r="AU15" s="1" t="s">
        <v>164</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8.4</v>
      </c>
      <c r="BG15" s="1" t="n">
        <f aca="false">VLOOKUP($H15,Constants!$I:$K, 2, FALSE())</f>
        <v>1</v>
      </c>
      <c r="BH15" s="1" t="n">
        <f aca="false">VLOOKUP($H15,Constants!$I:$K, 3, FALSE())*IF(AND(G15="multiple_unit",AB15&lt;110),0.75,1)</f>
        <v>1.5</v>
      </c>
      <c r="BI15" s="1" t="n">
        <f aca="false">INT(POWER(((Constants!$G$2+$BB15+$BC15+$BD15+$BF15)*$BE15)*$BH15, 1.05))+$BA15</f>
        <v>48</v>
      </c>
      <c r="BJ15" s="1" t="n">
        <f aca="false">INT(POWER((((Constants!$G$1+$BB15+$BC15+$BD15+$BF15)*($BE15))*$BG15),IF($G15="wagon",1,1.2)))+$AZ15</f>
        <v>84</v>
      </c>
      <c r="BK15" s="20" t="n">
        <f aca="false">BI15*IF($G15="wagon",62.5,781.25)</f>
        <v>37500</v>
      </c>
      <c r="BL15" s="20" t="n">
        <f aca="false">BJ15*IF($G15="wagon",2.73,81.25)</f>
        <v>6825</v>
      </c>
      <c r="BQ15" s="18" t="s">
        <v>172</v>
      </c>
      <c r="BT15" s="1" t="n">
        <v>2</v>
      </c>
      <c r="BX15" s="1" t="s">
        <v>95</v>
      </c>
      <c r="BY15" s="1" t="str">
        <f aca="false">VLOOKUP(J15,Eras!$A$2:$C$10, 2, TRUE())</f>
        <v>dsl</v>
      </c>
      <c r="BZ15" s="18" t="s">
        <v>166</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{GOLD}4.2 tiles{}</v>
      </c>
      <c r="CD15" s="1" t="str">
        <f aca="false">VLOOKUP($CB15, Constants!$M:$N, 2, FALSE())</f>
        <v>{BLACK}Powered by: {GOLD}Diesel</v>
      </c>
      <c r="CE15" s="1" t="str">
        <f aca="false">IF(M15&gt;1,_xlfn.CONCAT("{BLACK}Cars: {GOLD}", M15),"")</f>
        <v>{BLACK}Cars: {GOLD}6</v>
      </c>
      <c r="CF15" s="1" t="s">
        <v>167</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173</v>
      </c>
      <c r="B16" s="1" t="s">
        <v>174</v>
      </c>
      <c r="C16" s="1" t="n">
        <v>205</v>
      </c>
      <c r="E16" s="1" t="n">
        <v>24</v>
      </c>
      <c r="F16" s="1" t="s">
        <v>89</v>
      </c>
      <c r="G16" s="1" t="s">
        <v>90</v>
      </c>
      <c r="H16" s="1" t="s">
        <v>152</v>
      </c>
      <c r="I16" s="1" t="s">
        <v>153</v>
      </c>
      <c r="J16" s="1" t="n">
        <v>1957</v>
      </c>
      <c r="K16" s="1" t="n">
        <v>1989</v>
      </c>
      <c r="L16" s="1" t="n">
        <v>2004</v>
      </c>
      <c r="M16" s="1" t="n">
        <v>3</v>
      </c>
      <c r="N16" s="1" t="n">
        <v>600</v>
      </c>
      <c r="W16" s="1" t="n">
        <f aca="false">32.5+25</f>
        <v>57.5</v>
      </c>
      <c r="Y16" s="1" t="n">
        <v>5</v>
      </c>
      <c r="Z16" s="1" t="n">
        <v>85</v>
      </c>
      <c r="AA16" s="4" t="n">
        <f aca="false">IF(AND(W16&gt;0,Z16&gt;0),(Z16/((W16+X16)*10)),"")</f>
        <v>0.147826086956522</v>
      </c>
      <c r="AB16" s="1" t="n">
        <v>75</v>
      </c>
      <c r="AC16" s="1" t="n">
        <f aca="false">ROUND(AB16*1.6, 0)</f>
        <v>120</v>
      </c>
      <c r="AF16" s="1" t="n">
        <v>19.5</v>
      </c>
      <c r="AG16" s="1" t="n">
        <v>20</v>
      </c>
      <c r="AH16" s="1" t="n">
        <v>2.7</v>
      </c>
      <c r="AI16" s="1" t="n">
        <v>3.77</v>
      </c>
      <c r="AJ16" s="5" t="n">
        <v>51</v>
      </c>
      <c r="AK16" s="19" t="str">
        <f aca="false">CONCATENATE(VLOOKUP(AL16, 'Voxel Sizes'!$A$2:$B$18,2,FALSE()),"x",INT(AH16*15), "x", INT(AI16*15))</f>
        <v>198x40x56</v>
      </c>
      <c r="AL16" s="1" t="n">
        <f aca="false">ROUND(15*((AG16*10)/256),0)</f>
        <v>12</v>
      </c>
      <c r="AN16" s="1" t="str">
        <f aca="false">CONCATENATE(VLOOKUP(AL16,Constants!$A$2:$C$16,IF(AM16&lt;&gt;"", 3, 2), FALSE()),IF(AM16&lt;&gt;"",CONCATENATE(",",VLOOKUP(AM16,$B:$AN,38,FALSE())),""))</f>
        <v>4,4,4</v>
      </c>
      <c r="AR16" s="1" t="s">
        <v>175</v>
      </c>
      <c r="AT16" s="1" t="s">
        <v>176</v>
      </c>
      <c r="AU16" s="1" t="s">
        <v>177</v>
      </c>
      <c r="AX16" s="1" t="n">
        <v>45</v>
      </c>
      <c r="AY16" s="6" t="n">
        <f aca="false">IF(L16&lt;&gt;"",MAX(16,(L16-J16)+8),"")</f>
        <v>55</v>
      </c>
      <c r="AZ16" s="1" t="n">
        <v>-10</v>
      </c>
      <c r="BA16" s="1" t="n">
        <v>-15</v>
      </c>
      <c r="BB16" s="1" t="n">
        <f aca="false">MIN(AB16/150, 1)*30</f>
        <v>15</v>
      </c>
      <c r="BC16" s="1" t="n">
        <f aca="false">MIN(N16/4000, 1)*20</f>
        <v>3</v>
      </c>
      <c r="BD16" s="1" t="n">
        <f aca="false">MIN(Z16/400,1)*20</f>
        <v>4.25</v>
      </c>
      <c r="BE16" s="4" t="n">
        <f aca="false">1-(MAX(J16-1900, 0)/750)</f>
        <v>0.924</v>
      </c>
      <c r="BF16" s="1" t="n">
        <f aca="false">((MAX($M16,1)*MIN($AJ16/300,1)))*IF(G16="Wagon",50,10)</f>
        <v>5.1</v>
      </c>
      <c r="BG16" s="1" t="n">
        <f aca="false">VLOOKUP($H16,Constants!$I:$K, 2, FALSE())</f>
        <v>1</v>
      </c>
      <c r="BH16" s="1" t="n">
        <f aca="false">VLOOKUP($H16,Constants!$I:$K, 3, FALSE())*IF(AND(G16="multiple_unit",AB16&lt;110),0.75,1)</f>
        <v>1.5</v>
      </c>
      <c r="BI16" s="1" t="n">
        <f aca="false">INT(POWER(((Constants!$G$2+$BB16+$BC16+$BD16+$BF16)*$BE16)*$BH16, 1.05))+$BA16</f>
        <v>39</v>
      </c>
      <c r="BJ16" s="1" t="n">
        <f aca="false">INT(POWER((((Constants!$G$1+$BB16+$BC16+$BD16+$BF16)*($BE16))*$BG16),IF($G16="wagon",1,1.2)))+$AZ16</f>
        <v>71</v>
      </c>
      <c r="BK16" s="20" t="n">
        <f aca="false">BI16*IF($G16="wagon",62.5,781.25)</f>
        <v>30468.75</v>
      </c>
      <c r="BL16" s="20" t="n">
        <f aca="false">BJ16*IF($G16="wagon",2.73,81.25)</f>
        <v>5768.75</v>
      </c>
      <c r="BQ16" s="1" t="s">
        <v>178</v>
      </c>
      <c r="BT16" s="1" t="n">
        <v>2</v>
      </c>
      <c r="BX16" s="1" t="s">
        <v>95</v>
      </c>
      <c r="BY16" s="1" t="str">
        <f aca="false">VLOOKUP(J16,Eras!$A$2:$C$10, 2, TRUE())</f>
        <v>dsl</v>
      </c>
      <c r="BZ16" s="18" t="s">
        <v>166</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{GOLD}2.3 tiles{}</v>
      </c>
      <c r="CD16" s="1" t="str">
        <f aca="false">VLOOKUP($CB16, Constants!$M:$N, 2, FALSE())</f>
        <v>{BLACK}Powered by: {GOLD}Diesel</v>
      </c>
      <c r="CE16" s="1" t="str">
        <f aca="false">IF(M16&gt;1,_xlfn.CONCAT("{BLACK}Cars: {GOLD}", M16),"")</f>
        <v>{BLACK}Cars: {GOLD}3</v>
      </c>
      <c r="CF16" s="1" t="s">
        <v>179</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{GOLD}3{}{BLACK}Length: {GOLD}2.3 tiles{}{SILVER}Class 205 units were a relatively numerous class of high-density non-corridor multiple units that worked services across Hampshire. In many ways they were the classic ‘Thumper’ unit.</v>
      </c>
      <c r="CI16" s="1"/>
      <c r="CJ16" s="1"/>
    </row>
    <row r="17" s="18" customFormat="true" ht="13.8" hidden="false" customHeight="false" outlineLevel="0" collapsed="false">
      <c r="A17" s="1" t="s">
        <v>180</v>
      </c>
      <c r="B17" s="1" t="s">
        <v>181</v>
      </c>
      <c r="C17" s="1" t="n">
        <v>206</v>
      </c>
      <c r="D17" s="1" t="n">
        <v>205</v>
      </c>
      <c r="E17" s="1" t="n">
        <v>26</v>
      </c>
      <c r="F17" s="1" t="s">
        <v>89</v>
      </c>
      <c r="G17" s="1" t="s">
        <v>90</v>
      </c>
      <c r="H17" s="1" t="s">
        <v>152</v>
      </c>
      <c r="I17" s="1" t="s">
        <v>153</v>
      </c>
      <c r="J17" s="1" t="n">
        <v>1957</v>
      </c>
      <c r="K17" s="1" t="n">
        <v>1989</v>
      </c>
      <c r="L17" s="1" t="n">
        <v>2004</v>
      </c>
      <c r="M17" s="1" t="n">
        <v>2</v>
      </c>
      <c r="N17" s="1" t="n">
        <v>600</v>
      </c>
      <c r="O17" s="2"/>
      <c r="P17" s="3"/>
      <c r="Q17" s="3"/>
      <c r="R17" s="3"/>
      <c r="S17" s="3"/>
      <c r="T17" s="3"/>
      <c r="U17" s="3"/>
      <c r="V17" s="3"/>
      <c r="W17" s="1" t="n">
        <f aca="false">32.5+25</f>
        <v>57.5</v>
      </c>
      <c r="X17" s="2"/>
      <c r="Y17" s="1" t="n">
        <v>5</v>
      </c>
      <c r="Z17" s="1" t="n">
        <v>85</v>
      </c>
      <c r="AA17" s="4" t="n">
        <f aca="false">IF(AND(W17&gt;0,Z17&gt;0),(Z17/((W17+X17)*10)),"")</f>
        <v>0.147826086956522</v>
      </c>
      <c r="AB17" s="1" t="n">
        <v>75</v>
      </c>
      <c r="AC17" s="1" t="n">
        <f aca="false">ROUND(AB17*1.6, 0)</f>
        <v>120</v>
      </c>
      <c r="AD17" s="1"/>
      <c r="AE17" s="1"/>
      <c r="AF17" s="1" t="n">
        <v>19.5</v>
      </c>
      <c r="AG17" s="1" t="n">
        <v>20</v>
      </c>
      <c r="AH17" s="1" t="n">
        <v>2.7</v>
      </c>
      <c r="AI17" s="1" t="n">
        <v>3.77</v>
      </c>
      <c r="AJ17" s="5" t="n">
        <v>51</v>
      </c>
      <c r="AK17" s="19" t="str">
        <f aca="false">CONCATENATE(VLOOKUP(AL17, 'Voxel Sizes'!$A$2:$B$18,2,FALSE()),"x",INT(AH17*15), "x", INT(AI17*15))</f>
        <v>198x40x56</v>
      </c>
      <c r="AL17" s="1" t="n">
        <f aca="false">ROUND(15*((AG17*10)/256),0)</f>
        <v>12</v>
      </c>
      <c r="AM17" s="1"/>
      <c r="AN17" s="1" t="str">
        <f aca="false">CONCATENATE(VLOOKUP(AL17,Constants!$A$2:$C$16,IF(AM17&lt;&gt;"", 3, 2), FALSE()),IF(AM17&lt;&gt;"",CONCATENATE(",",VLOOKUP(AM17,$B:$AN,38,FALSE())),""))</f>
        <v>4,4,4</v>
      </c>
      <c r="AO17" s="1"/>
      <c r="AP17" s="7"/>
      <c r="AQ17" s="7"/>
      <c r="AR17" s="1" t="s">
        <v>182</v>
      </c>
      <c r="AS17" s="1"/>
      <c r="AT17" s="1" t="s">
        <v>183</v>
      </c>
      <c r="AU17" s="1" t="s">
        <v>177</v>
      </c>
      <c r="AV17" s="1"/>
      <c r="AW17" s="1"/>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3.4</v>
      </c>
      <c r="BG17" s="1" t="n">
        <f aca="false">VLOOKUP($H17,Constants!$I:$K, 2, FALSE())</f>
        <v>1</v>
      </c>
      <c r="BH17" s="1" t="n">
        <f aca="false">VLOOKUP($H17,Constants!$I:$K, 3, FALSE())*IF(AND(G17="multiple_unit",AB17&lt;110),0.75,1)</f>
        <v>1.5</v>
      </c>
      <c r="BI17" s="1" t="n">
        <f aca="false">INT(POWER(((Constants!$G$2+$BB17+$BC17+$BD17+$BF17)*$BE17)*$BH17, 1.05))+$BA17</f>
        <v>36</v>
      </c>
      <c r="BJ17" s="1" t="n">
        <f aca="false">INT(POWER((((Constants!$G$1+$BB17+$BC17+$BD17+$BF17)*($BE17))*$BG17),IF($G17="wagon",1,1.2)))+$AZ17</f>
        <v>67</v>
      </c>
      <c r="BK17" s="20" t="n">
        <f aca="false">BI17*IF($G17="wagon",62.5,781.25)</f>
        <v>28125</v>
      </c>
      <c r="BL17" s="20" t="n">
        <f aca="false">BJ17*IF($G17="wagon",2.73,81.25)</f>
        <v>5443.75</v>
      </c>
      <c r="BM17" s="1"/>
      <c r="BN17" s="1"/>
      <c r="BO17" s="1"/>
      <c r="BP17" s="1"/>
      <c r="BQ17" s="1" t="s">
        <v>184</v>
      </c>
      <c r="BR17" s="1"/>
      <c r="BS17" s="1"/>
      <c r="BT17" s="1" t="n">
        <v>2</v>
      </c>
      <c r="BU17" s="1"/>
      <c r="BV17" s="1"/>
      <c r="BW17" s="1"/>
      <c r="BX17" s="1" t="s">
        <v>95</v>
      </c>
      <c r="BY17" s="1" t="str">
        <f aca="false">VLOOKUP(J17,Eras!$A$2:$C$10, 2, TRUE())</f>
        <v>dsl</v>
      </c>
      <c r="BZ17" s="18" t="s">
        <v>166</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{GOLD}1.5 tiles{}</v>
      </c>
      <c r="CD17" s="1" t="str">
        <f aca="false">VLOOKUP($CB17, Constants!$M:$N, 2, FALSE())</f>
        <v>{BLACK}Powered by: {GOLD}Diesel</v>
      </c>
      <c r="CE17" s="1" t="str">
        <f aca="false">IF(M17&gt;1,_xlfn.CONCAT("{BLACK}Cars: {GOLD}", M17),"")</f>
        <v>{BLACK}Cars: {GOLD}2</v>
      </c>
      <c r="CF17" s="1" t="s">
        <v>179</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{GOLD}2{}{BLACK}Length: {GOLD}1.5 tiles{}{SILVER}Class 205 units were a relatively numerous class of high-density non-corridor multiple units that worked services across Hampshire. In many ways they were the classic ‘Thumper’ unit.</v>
      </c>
      <c r="CI17" s="1"/>
      <c r="CJ17" s="1"/>
      <c r="CK17" s="1"/>
    </row>
    <row r="18" customFormat="false" ht="13.8" hidden="false" customHeight="false" outlineLevel="0" collapsed="false">
      <c r="A18" s="1" t="s">
        <v>185</v>
      </c>
      <c r="B18" s="1" t="s">
        <v>186</v>
      </c>
      <c r="C18" s="1" t="n">
        <v>210</v>
      </c>
      <c r="E18" s="1" t="n">
        <v>28</v>
      </c>
      <c r="F18" s="1" t="s">
        <v>89</v>
      </c>
      <c r="G18" s="1" t="s">
        <v>90</v>
      </c>
      <c r="H18" s="1" t="s">
        <v>152</v>
      </c>
      <c r="I18" s="1" t="s">
        <v>153</v>
      </c>
      <c r="J18" s="1" t="n">
        <v>1982</v>
      </c>
      <c r="K18" s="1" t="n">
        <v>2002</v>
      </c>
      <c r="L18" s="1" t="n">
        <v>2006</v>
      </c>
      <c r="M18" s="1" t="n">
        <v>4</v>
      </c>
      <c r="N18" s="1" t="n">
        <v>1000</v>
      </c>
      <c r="W18" s="1" t="n">
        <v>144</v>
      </c>
      <c r="Y18" s="1" t="n">
        <v>5</v>
      </c>
      <c r="Z18" s="1" t="n">
        <v>92</v>
      </c>
      <c r="AA18" s="4" t="n">
        <f aca="false">IF(AND(W18&gt;0,Z18&gt;0),(Z18/((W18+X18)*10)),"")</f>
        <v>0.0638888888888889</v>
      </c>
      <c r="AB18" s="1" t="n">
        <v>90</v>
      </c>
      <c r="AC18" s="1" t="n">
        <f aca="false">ROUND(AB18*1.6, 0)</f>
        <v>144</v>
      </c>
      <c r="AF18" s="1" t="n">
        <v>19.8</v>
      </c>
      <c r="AG18" s="1" t="n">
        <v>20</v>
      </c>
      <c r="AH18" s="1" t="n">
        <v>2.5</v>
      </c>
      <c r="AI18" s="1" t="n">
        <v>3.77</v>
      </c>
      <c r="AJ18" s="5" t="n">
        <v>64</v>
      </c>
      <c r="AK18" s="19" t="str">
        <f aca="false">CONCATENATE(VLOOKUP(AL18, 'Voxel Sizes'!$A$2:$B$18,2,FALSE()),"x",INT(AH18*15), "x", INT(AI18*15))</f>
        <v>198x37x56</v>
      </c>
      <c r="AL18" s="1" t="n">
        <f aca="false">ROUND(15*((AG18*10)/256),0)</f>
        <v>12</v>
      </c>
      <c r="AN18" s="1" t="str">
        <f aca="false">CONCATENATE(VLOOKUP(AL18,Constants!$A$2:$C$16,IF(AM18&lt;&gt;"", 3, 2), FALSE()),IF(AM18&lt;&gt;"",CONCATENATE(",",VLOOKUP(AM18,$B:$AN,38,FALSE())),""))</f>
        <v>4,4,4</v>
      </c>
      <c r="AO18" s="1" t="n">
        <v>1</v>
      </c>
      <c r="AR18" s="1" t="s">
        <v>187</v>
      </c>
      <c r="AT18" s="1" t="s">
        <v>188</v>
      </c>
      <c r="AU18" s="1" t="s">
        <v>189</v>
      </c>
      <c r="AX18" s="1" t="n">
        <v>45</v>
      </c>
      <c r="AY18" s="6" t="n">
        <f aca="false">IF(L18&lt;&gt;"",MAX(16,(L18-J18)+8),"")</f>
        <v>32</v>
      </c>
      <c r="AZ18" s="1" t="n">
        <v>10</v>
      </c>
      <c r="BB18" s="1" t="n">
        <f aca="false">MIN(AB18/150, 1)*30</f>
        <v>18</v>
      </c>
      <c r="BC18" s="1" t="n">
        <f aca="false">MIN(N18/4000, 1)*20</f>
        <v>5</v>
      </c>
      <c r="BD18" s="1" t="n">
        <f aca="false">MIN(Z18/400,1)*20</f>
        <v>4.6</v>
      </c>
      <c r="BE18" s="4" t="n">
        <f aca="false">1-(MAX(J18-1900, 0)/750)</f>
        <v>0.890666666666667</v>
      </c>
      <c r="BF18" s="1" t="n">
        <f aca="false">((MAX($M18,1)*MIN($AJ18/300,1)))*IF(G18="Wagon",50,10)</f>
        <v>8.53333333333333</v>
      </c>
      <c r="BG18" s="1" t="n">
        <f aca="false">VLOOKUP($H18,Constants!$I:$K, 2, FALSE())</f>
        <v>1</v>
      </c>
      <c r="BH18" s="1" t="n">
        <f aca="false">VLOOKUP($H18,Constants!$I:$K, 3, FALSE())*IF(AND(G18="multiple_unit",AB18&lt;110),0.75,1)</f>
        <v>1.5</v>
      </c>
      <c r="BI18" s="1" t="n">
        <f aca="false">INT(POWER(((Constants!$G$2+$BB18+$BC18+$BD18+$BF18)*$BE18)*$BH18, 1.05))+$BA18</f>
        <v>67</v>
      </c>
      <c r="BJ18" s="1" t="n">
        <f aca="false">INT(POWER((((Constants!$G$1+$BB18+$BC18+$BD18+$BF18)*($BE18))*$BG18),IF($G18="wagon",1,1.2)))+$AZ18</f>
        <v>107</v>
      </c>
      <c r="BK18" s="20" t="n">
        <f aca="false">BI18*IF($G18="wagon",62.5,781.25)</f>
        <v>52343.75</v>
      </c>
      <c r="BL18" s="20" t="n">
        <f aca="false">BJ18*IF($G18="wagon",2.73,81.25)</f>
        <v>8693.75</v>
      </c>
      <c r="BQ18" s="1" t="s">
        <v>190</v>
      </c>
      <c r="BT18" s="1" t="n">
        <v>2</v>
      </c>
      <c r="BX18" s="1" t="s">
        <v>95</v>
      </c>
      <c r="BY18" s="1" t="str">
        <f aca="false">VLOOKUP(J18,Eras!$A$2:$C$10, 2, TRUE())</f>
        <v>lbr</v>
      </c>
      <c r="BZ18" s="18" t="s">
        <v>166</v>
      </c>
      <c r="CA18" s="1" t="str">
        <f aca="false">CONCATENATE(BY18,"_",BZ18)</f>
        <v>lbr_DMU</v>
      </c>
      <c r="CB18" s="1" t="str">
        <f aca="false">_xlfn.CONCAT(H18, "_",I18)</f>
        <v>diesel_RAIL</v>
      </c>
      <c r="CC18" s="21" t="str">
        <f aca="false" t="array" ref="CC18:CC18">_xlfn.CONCAT("{BLACK}Length: {GOLD}", TEXT(ROUNDUP(IF(AQ18&lt;&gt;"",SUM(VALUE(_xlfn.TEXTSPLIT(AQ18, ","))), SUM(VALUE(_xlfn.TEXTSPLIT(AN18, ",")))*IF(M18, M18, 1))/16, 1), "#,##0.0"), " tiles{}")</f>
        <v>{BLACK}Length: {GOLD}3.0 tiles{}</v>
      </c>
      <c r="CD18" s="1" t="str">
        <f aca="false">VLOOKUP($CB18, Constants!$M:$N, 2, FALSE())</f>
        <v>{BLACK}Powered by: {GOLD}Diesel</v>
      </c>
      <c r="CE18" s="1" t="str">
        <f aca="false">IF(M18&gt;1,_xlfn.CONCAT("{BLACK}Cars: {GOLD}", M18),"")</f>
        <v>{BLACK}Cars: {GOLD}4</v>
      </c>
      <c r="CF18" s="1" t="s">
        <v>191</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8" s="1"/>
      <c r="CJ18" s="1"/>
    </row>
    <row r="19" customFormat="false" ht="13.8" hidden="false" customHeight="false" outlineLevel="0" collapsed="false">
      <c r="A19" s="1" t="s">
        <v>192</v>
      </c>
      <c r="B19" s="1" t="s">
        <v>190</v>
      </c>
      <c r="C19" s="1" t="n">
        <v>211</v>
      </c>
      <c r="D19" s="1" t="n">
        <v>210</v>
      </c>
      <c r="E19" s="1" t="n">
        <v>29</v>
      </c>
      <c r="F19" s="1" t="s">
        <v>89</v>
      </c>
      <c r="G19" s="1" t="s">
        <v>90</v>
      </c>
      <c r="H19" s="1" t="s">
        <v>152</v>
      </c>
      <c r="I19" s="1" t="s">
        <v>153</v>
      </c>
      <c r="J19" s="1" t="n">
        <v>1982</v>
      </c>
      <c r="K19" s="1" t="n">
        <v>2002</v>
      </c>
      <c r="L19" s="1" t="n">
        <v>2006</v>
      </c>
      <c r="M19" s="1" t="n">
        <v>3</v>
      </c>
      <c r="N19" s="1" t="n">
        <v>1000</v>
      </c>
      <c r="W19" s="1" t="n">
        <v>118</v>
      </c>
      <c r="Y19" s="1" t="n">
        <v>5</v>
      </c>
      <c r="Z19" s="1" t="n">
        <v>92</v>
      </c>
      <c r="AA19" s="4" t="n">
        <f aca="false">IF(AND(W19&gt;0,Z19&gt;0),(Z19/((W19+X19)*10)),"")</f>
        <v>0.0779661016949153</v>
      </c>
      <c r="AB19" s="1" t="n">
        <v>90</v>
      </c>
      <c r="AC19" s="1" t="n">
        <f aca="false">ROUND(AB19*1.6, 0)</f>
        <v>144</v>
      </c>
      <c r="AF19" s="1" t="n">
        <v>19.8</v>
      </c>
      <c r="AG19" s="1" t="n">
        <v>20</v>
      </c>
      <c r="AH19" s="1" t="n">
        <v>2.5</v>
      </c>
      <c r="AI19" s="1" t="n">
        <v>3.77</v>
      </c>
      <c r="AJ19" s="5" t="n">
        <v>67</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8</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6.7</v>
      </c>
      <c r="BG19" s="1" t="n">
        <f aca="false">VLOOKUP($H19,Constants!$I:$K, 2, FALSE())</f>
        <v>1</v>
      </c>
      <c r="BH19" s="1" t="n">
        <f aca="false">VLOOKUP($H19,Constants!$I:$K, 3, FALSE())*IF(AND(G19="multiple_unit",AB19&lt;110),0.75,1)</f>
        <v>1.5</v>
      </c>
      <c r="BI19" s="1" t="n">
        <f aca="false">INT(POWER(((Constants!$G$2+$BB19+$BC19+$BD19+$BF19)*$BE19)*$BH19, 1.05))+$BA19</f>
        <v>64</v>
      </c>
      <c r="BJ19" s="1" t="n">
        <f aca="false">INT(POWER((((Constants!$G$1+$BB19+$BC19+$BD19+$BF19)*($BE19))*$BG19),IF($G19="wagon",1,1.2)))+$AZ19</f>
        <v>103</v>
      </c>
      <c r="BK19" s="20" t="n">
        <f aca="false">BI19*IF($G19="wagon",62.5,781.25)</f>
        <v>50000</v>
      </c>
      <c r="BL19" s="20" t="n">
        <f aca="false">BJ19*IF($G19="wagon",2.73,81.25)</f>
        <v>8368.75</v>
      </c>
      <c r="BQ19" s="1" t="s">
        <v>186</v>
      </c>
      <c r="BT19" s="1" t="n">
        <v>2</v>
      </c>
      <c r="BX19" s="1" t="s">
        <v>95</v>
      </c>
      <c r="BY19" s="1" t="str">
        <f aca="false">VLOOKUP(J19,Eras!$A$2:$C$10, 2, TRUE())</f>
        <v>lbr</v>
      </c>
      <c r="BZ19" s="18" t="s">
        <v>166</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{GOLD}2.3 tiles{}</v>
      </c>
      <c r="CD19" s="1" t="str">
        <f aca="false">VLOOKUP($CB19, Constants!$M:$N, 2, FALSE())</f>
        <v>{BLACK}Powered by: {GOLD}Diesel</v>
      </c>
      <c r="CE19" s="1" t="str">
        <f aca="false">IF(M19&gt;1,_xlfn.CONCAT("{BLACK}Cars: {GOLD}", M19),"")</f>
        <v>{BLACK}Cars: {GOLD}3</v>
      </c>
      <c r="CF19" s="1" t="s">
        <v>196</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19" s="1"/>
      <c r="CJ19" s="1"/>
    </row>
    <row r="20" customFormat="false" ht="13.8" hidden="false" customHeight="false" outlineLevel="0" collapsed="false">
      <c r="A20" s="18" t="s">
        <v>197</v>
      </c>
      <c r="B20" s="18" t="s">
        <v>198</v>
      </c>
      <c r="C20" s="1" t="n">
        <v>252</v>
      </c>
      <c r="D20" s="18"/>
      <c r="E20" s="18" t="n">
        <v>27</v>
      </c>
      <c r="F20" s="18" t="s">
        <v>89</v>
      </c>
      <c r="G20" s="18" t="s">
        <v>90</v>
      </c>
      <c r="H20" s="18" t="s">
        <v>152</v>
      </c>
      <c r="I20" s="18" t="s">
        <v>153</v>
      </c>
      <c r="J20" s="18" t="n">
        <v>1960</v>
      </c>
      <c r="K20" s="18"/>
      <c r="L20" s="18" t="n">
        <v>1973</v>
      </c>
      <c r="M20" s="18" t="n">
        <v>6</v>
      </c>
      <c r="N20" s="18" t="n">
        <v>1000</v>
      </c>
      <c r="W20" s="19" t="n">
        <v>304</v>
      </c>
      <c r="Y20" s="18" t="n">
        <v>3</v>
      </c>
      <c r="Z20" s="18" t="n">
        <v>155</v>
      </c>
      <c r="AA20" s="4" t="n">
        <f aca="false">IF(AND(W20&gt;0,Z20&gt;0),(Z20/((W20+X20)*10)),"")</f>
        <v>0.0509868421052632</v>
      </c>
      <c r="AB20" s="18" t="n">
        <v>90</v>
      </c>
      <c r="AC20" s="18" t="n">
        <f aca="false">ROUND(AB20*1.6, 0)</f>
        <v>144</v>
      </c>
      <c r="AD20" s="18"/>
      <c r="AE20" s="18"/>
      <c r="AF20" s="18" t="n">
        <v>20.26</v>
      </c>
      <c r="AG20" s="18" t="n">
        <v>20</v>
      </c>
      <c r="AH20" s="18" t="n">
        <v>2.9</v>
      </c>
      <c r="AI20" s="18" t="n">
        <v>3.77</v>
      </c>
      <c r="AJ20" s="5" t="n">
        <v>36</v>
      </c>
      <c r="AK20" s="19" t="str">
        <f aca="false">CONCATENATE(VLOOKUP(AL20, 'Voxel Sizes'!$A$2:$B$18,2,FALSE()),"x",INT(AH20*15), "x", INT(AI20*15))</f>
        <v>198x43x56</v>
      </c>
      <c r="AL20" s="18" t="n">
        <f aca="false">ROUND(15*((AG20*10)/256),0)</f>
        <v>12</v>
      </c>
      <c r="AM20" s="18"/>
      <c r="AN20" s="1" t="str">
        <f aca="false">CONCATENATE(VLOOKUP(AL20,Constants!$A$2:$C$16,IF(AM20&lt;&gt;"", 3, 2), FALSE()),IF(AM20&lt;&gt;"",CONCATENATE(",",VLOOKUP(AM20,$B:$AN,38,FALSE())),""))</f>
        <v>4,4,4</v>
      </c>
      <c r="AO20" s="18" t="s">
        <v>199</v>
      </c>
      <c r="AR20" s="18" t="s">
        <v>200</v>
      </c>
      <c r="AS20" s="18"/>
      <c r="AT20" s="18" t="s">
        <v>201</v>
      </c>
      <c r="AU20" s="18" t="s">
        <v>202</v>
      </c>
      <c r="AV20" s="18"/>
      <c r="AW20" s="18"/>
      <c r="AX20" s="18" t="n">
        <v>22</v>
      </c>
      <c r="AY20" s="6" t="n">
        <f aca="false">IF(L20&lt;&gt;"",MAX(16,(L20-J20)+8),"")</f>
        <v>21</v>
      </c>
      <c r="AZ20" s="18" t="n">
        <v>-10</v>
      </c>
      <c r="BA20" s="18" t="n">
        <v>-15</v>
      </c>
      <c r="BB20" s="18" t="n">
        <f aca="false">MIN(AB20/150, 1)*30</f>
        <v>18</v>
      </c>
      <c r="BC20" s="18" t="n">
        <f aca="false">MIN(N20/4000, 1)*20</f>
        <v>5</v>
      </c>
      <c r="BD20" s="18" t="n">
        <f aca="false">MIN(Z20/400,1)*20</f>
        <v>7.75</v>
      </c>
      <c r="BE20" s="4" t="n">
        <f aca="false">1-(MAX(J20-1900, 0)/750)</f>
        <v>0.92</v>
      </c>
      <c r="BF20" s="18" t="n">
        <f aca="false">((MAX($M20,1)*MIN($AJ20/300,1)))*IF(G20="Wagon",50,10)</f>
        <v>7.2</v>
      </c>
      <c r="BG20" s="1" t="n">
        <f aca="false">VLOOKUP($H20,Constants!$I:$K, 2, FALSE())</f>
        <v>1</v>
      </c>
      <c r="BH20" s="1" t="n">
        <f aca="false">VLOOKUP($H20,Constants!$I:$K, 3, FALSE())*IF(AND(G20="multiple_unit",AB20&lt;110),0.75,1)</f>
        <v>1.5</v>
      </c>
      <c r="BI20" s="18" t="n">
        <v>61</v>
      </c>
      <c r="BJ20" s="18" t="n">
        <v>101</v>
      </c>
      <c r="BK20" s="20" t="n">
        <f aca="false">BI20*IF($G20="wagon",62.5,781.25)</f>
        <v>47656.25</v>
      </c>
      <c r="BL20" s="20" t="n">
        <f aca="false">BJ20*IF($G20="wagon",2.73,81.25)</f>
        <v>8206.25</v>
      </c>
      <c r="BM20" s="18"/>
      <c r="BN20" s="18"/>
      <c r="BO20" s="18"/>
      <c r="BP20" s="18"/>
      <c r="BQ20" s="18"/>
      <c r="BR20" s="18"/>
      <c r="BS20" s="18" t="s">
        <v>203</v>
      </c>
      <c r="BT20" s="18" t="n">
        <v>2</v>
      </c>
      <c r="BU20" s="18" t="n">
        <v>222</v>
      </c>
      <c r="BV20" s="18"/>
      <c r="BW20" s="18"/>
      <c r="BX20" s="18" t="s">
        <v>95</v>
      </c>
      <c r="BY20" s="18" t="s">
        <v>204</v>
      </c>
      <c r="BZ20" s="18" t="s">
        <v>205</v>
      </c>
      <c r="CA20" s="1" t="str">
        <f aca="false">CONCATENATE(BY20,"_",BZ20)</f>
        <v>dsl_DMU (Express)</v>
      </c>
      <c r="CB20" s="1" t="str">
        <f aca="false">_xlfn.CONCAT(H20, "_",I20)</f>
        <v>diesel_RAIL</v>
      </c>
      <c r="CC20" s="21" t="str">
        <f aca="false" t="array" ref="CC20:CC20">_xlfn.CONCAT("{BLACK}Length: {GOLD}", TEXT(ROUNDUP(IF(AQ20&lt;&gt;"",SUM(VALUE(_xlfn.TEXTSPLIT(AQ20, ","))), SUM(VALUE(_xlfn.TEXTSPLIT(AN20, ",")))*IF(M20, M20, 1))/16, 1), "#,##0.0"), " tiles{}")</f>
        <v>{BLACK}Length: {GOLD}4.5 tiles{}</v>
      </c>
      <c r="CD20" s="1" t="str">
        <f aca="false">VLOOKUP($CB20, Constants!$M:$N, 2, FALSE())</f>
        <v>{BLACK}Powered by: {GOLD}Diesel</v>
      </c>
      <c r="CE20" s="1" t="str">
        <f aca="false">IF(M20&gt;1,_xlfn.CONCAT("{BLACK}Cars: {GOLD}", M20),"")</f>
        <v>{BLACK}Cars: {GOLD}6</v>
      </c>
      <c r="CF20" s="1" t="s">
        <v>206</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{YELLOW}20% bonus for long distance travel{}</v>
      </c>
      <c r="CH20" s="1" t="str">
        <f aca="false">_xlfn.CONCAT(CD20,IF(CD20 &lt;&gt; "", " ", ""),CE20,IF(OR(CE20&lt;&gt;"", CD20&lt;&gt;""), "{}",""), CC20, CG20,"{SILVER}", CF20)</f>
        <v>{BLACK}Powered by: {GOLD}Diesel {BLACK}Cars: {GOLD}6{}{BLACK}Length: {GOLD}4.5 tiles{}{YELLOW}20% bonus for long distance travel{}{SILVER}The Blue Pullman is an express diesel multiple unit, designed to tempt motorists from their cars with a luxurious inter-city service. This is the 6-car “Midland Region” layout.</v>
      </c>
      <c r="CI20" s="1"/>
      <c r="CJ20" s="1"/>
      <c r="XFD20" s="19"/>
    </row>
    <row r="21" customFormat="false" ht="13.8" hidden="false" customHeight="false" outlineLevel="0" collapsed="false">
      <c r="A21" s="18" t="s">
        <v>197</v>
      </c>
      <c r="B21" s="18" t="s">
        <v>207</v>
      </c>
      <c r="C21" s="1" t="n">
        <v>251</v>
      </c>
      <c r="D21" s="18" t="n">
        <v>252</v>
      </c>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38</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208</v>
      </c>
      <c r="AR21" s="18" t="s">
        <v>200</v>
      </c>
      <c r="AS21" s="18"/>
      <c r="AT21" s="18" t="s">
        <v>209</v>
      </c>
      <c r="AU21" s="18" t="s">
        <v>202</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10.1333333333333</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203</v>
      </c>
      <c r="BT21" s="18" t="n">
        <v>2</v>
      </c>
      <c r="BU21" s="18" t="n">
        <v>222</v>
      </c>
      <c r="BV21" s="18"/>
      <c r="BW21" s="18"/>
      <c r="BX21" s="18" t="s">
        <v>95</v>
      </c>
      <c r="BY21" s="18" t="s">
        <v>204</v>
      </c>
      <c r="BZ21" s="18" t="s">
        <v>205</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210</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211</v>
      </c>
      <c r="B22" s="18" t="s">
        <v>212</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213</v>
      </c>
      <c r="AS22" s="1"/>
      <c r="AT22" s="1" t="s">
        <v>188</v>
      </c>
      <c r="AU22" s="1" t="s">
        <v>214</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204</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215</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216</v>
      </c>
      <c r="B23" s="18" t="s">
        <v>217</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218</v>
      </c>
      <c r="AS23" s="1"/>
      <c r="AT23" s="1" t="s">
        <v>176</v>
      </c>
      <c r="AU23" s="1" t="s">
        <v>219</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204</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220</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221</v>
      </c>
      <c r="B24" s="18" t="s">
        <v>222</v>
      </c>
      <c r="C24" s="1" t="n">
        <v>309</v>
      </c>
      <c r="D24" s="1" t="n">
        <v>310</v>
      </c>
      <c r="E24" s="1" t="n">
        <v>42</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223</v>
      </c>
      <c r="AT24" s="1" t="s">
        <v>113</v>
      </c>
      <c r="AU24" s="1" t="s">
        <v>224</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225</v>
      </c>
      <c r="BW24" s="18"/>
      <c r="BX24" s="1" t="s">
        <v>95</v>
      </c>
      <c r="BY24" s="1" t="s">
        <v>204</v>
      </c>
      <c r="BZ24" s="18" t="s">
        <v>226</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227</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228</v>
      </c>
      <c r="B25" s="18" t="s">
        <v>229</v>
      </c>
      <c r="C25" s="1" t="n">
        <v>310</v>
      </c>
      <c r="E25" s="1" t="n">
        <v>43</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230</v>
      </c>
      <c r="AT25" s="1" t="s">
        <v>231</v>
      </c>
      <c r="AU25" s="1" t="s">
        <v>232</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225</v>
      </c>
      <c r="BW25" s="18" t="s">
        <v>233</v>
      </c>
      <c r="BX25" s="1" t="s">
        <v>95</v>
      </c>
      <c r="BY25" s="1" t="s">
        <v>204</v>
      </c>
      <c r="BZ25" s="18" t="s">
        <v>226</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234</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235</v>
      </c>
      <c r="B26" s="18" t="s">
        <v>236</v>
      </c>
      <c r="C26" s="1" t="n">
        <v>311</v>
      </c>
      <c r="D26" s="1" t="n">
        <v>310</v>
      </c>
      <c r="E26" s="1" t="n">
        <v>44</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237</v>
      </c>
      <c r="AT26" s="1" t="s">
        <v>238</v>
      </c>
      <c r="AU26" s="1" t="s">
        <v>232</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225</v>
      </c>
      <c r="BW26" s="18"/>
      <c r="BX26" s="1" t="s">
        <v>95</v>
      </c>
      <c r="BY26" s="1" t="s">
        <v>204</v>
      </c>
      <c r="BZ26" s="18" t="s">
        <v>226</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239</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240</v>
      </c>
      <c r="B27" s="18" t="s">
        <v>241</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242</v>
      </c>
      <c r="AT27" s="1" t="s">
        <v>113</v>
      </c>
      <c r="AU27" s="1" t="s">
        <v>243</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225</v>
      </c>
      <c r="BW27" s="18"/>
      <c r="BX27" s="1" t="s">
        <v>95</v>
      </c>
      <c r="BY27" s="1" t="s">
        <v>244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245</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246</v>
      </c>
      <c r="B28" s="1" t="s">
        <v>247</v>
      </c>
      <c r="C28" s="1" t="n">
        <v>411</v>
      </c>
      <c r="D28" s="1"/>
      <c r="E28" s="1" t="n">
        <v>413</v>
      </c>
      <c r="F28" s="1" t="s">
        <v>89</v>
      </c>
      <c r="G28" s="1" t="s">
        <v>90</v>
      </c>
      <c r="H28" s="1" t="s">
        <v>91</v>
      </c>
      <c r="I28" s="1" t="s">
        <v>248</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249</v>
      </c>
      <c r="AS28" s="1"/>
      <c r="AT28" s="1" t="s">
        <v>188</v>
      </c>
      <c r="AU28" s="1" t="s">
        <v>250</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251</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252</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253</v>
      </c>
      <c r="B29" s="1" t="s">
        <v>254</v>
      </c>
      <c r="C29" s="1" t="n">
        <v>419</v>
      </c>
      <c r="E29" s="1" t="n">
        <v>421</v>
      </c>
      <c r="F29" s="1" t="s">
        <v>89</v>
      </c>
      <c r="G29" s="1" t="s">
        <v>147</v>
      </c>
      <c r="H29" s="1" t="s">
        <v>255</v>
      </c>
      <c r="I29" s="1" t="s">
        <v>256</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254</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257</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258</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259</v>
      </c>
      <c r="B30" s="1" t="s">
        <v>260</v>
      </c>
      <c r="C30" s="1" t="n">
        <v>489</v>
      </c>
      <c r="E30" s="1" t="n">
        <v>491</v>
      </c>
      <c r="F30" s="1" t="s">
        <v>89</v>
      </c>
      <c r="G30" s="1" t="s">
        <v>147</v>
      </c>
      <c r="H30" s="1" t="s">
        <v>91</v>
      </c>
      <c r="I30" s="1" t="s">
        <v>248</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260</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261</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262</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s="19" customFormat="true" ht="13.8" hidden="false" customHeight="false" outlineLevel="0" collapsed="false">
      <c r="A31" s="19" t="s">
        <v>263</v>
      </c>
      <c r="B31" s="19" t="s">
        <v>264</v>
      </c>
      <c r="C31" s="19" t="n">
        <v>149</v>
      </c>
      <c r="E31" s="19" t="n">
        <v>144</v>
      </c>
      <c r="F31" s="19" t="s">
        <v>89</v>
      </c>
      <c r="G31" s="19" t="s">
        <v>90</v>
      </c>
      <c r="H31" s="19" t="s">
        <v>152</v>
      </c>
      <c r="I31" s="19" t="s">
        <v>153</v>
      </c>
      <c r="J31" s="19" t="n">
        <v>1979</v>
      </c>
      <c r="K31" s="19" t="n">
        <v>1983</v>
      </c>
      <c r="L31" s="19" t="n">
        <v>1987</v>
      </c>
      <c r="M31" s="19" t="n">
        <v>1</v>
      </c>
      <c r="N31" s="19" t="n">
        <v>150</v>
      </c>
      <c r="O31" s="25"/>
      <c r="P31" s="26"/>
      <c r="Q31" s="26"/>
      <c r="R31" s="26"/>
      <c r="S31" s="26"/>
      <c r="T31" s="26"/>
      <c r="U31" s="26"/>
      <c r="V31" s="26"/>
      <c r="W31" s="19" t="n">
        <f aca="false">24.3</f>
        <v>24.3</v>
      </c>
      <c r="X31" s="25"/>
      <c r="Y31" s="19" t="n">
        <v>5</v>
      </c>
      <c r="Z31" s="19" t="n">
        <v>70</v>
      </c>
      <c r="AA31" s="27" t="n">
        <f aca="false">IF(AND(W31&gt;0,Z31&gt;0),(Z31/((W31+X31)*10)),"")</f>
        <v>0.288065843621399</v>
      </c>
      <c r="AB31" s="19" t="n">
        <v>75</v>
      </c>
      <c r="AC31" s="19" t="n">
        <f aca="false">ROUND(AB31*1.6, 0)</f>
        <v>120</v>
      </c>
      <c r="AF31" s="19" t="n">
        <v>15.45</v>
      </c>
      <c r="AG31" s="19" t="n">
        <v>15.45</v>
      </c>
      <c r="AH31" s="19" t="n">
        <v>2.5</v>
      </c>
      <c r="AI31" s="19" t="n">
        <v>3.9</v>
      </c>
      <c r="AJ31" s="28" t="n">
        <v>42</v>
      </c>
      <c r="AK31" s="19" t="str">
        <f aca="false">CONCATENATE(VLOOKUP(AL31, '[1]Voxel Sizes'!$A$2:$B$18,2,FALSE()),"x",INT(AH31*15), "x", INT(AI31*15))</f>
        <v>152x37x58</v>
      </c>
      <c r="AL31" s="19" t="n">
        <f aca="false">ROUND(15*((AG31*10)/256),0)</f>
        <v>9</v>
      </c>
      <c r="AN31" s="19" t="str">
        <f aca="false">CONCATENATE(VLOOKUP(AL31,[1]Constants!$A$2:$C$16,IF(AM31&lt;&gt;"", 3, 2), FALSE()),IF(AM31&lt;&gt;"",CONCATENATE(",",VLOOKUP(AM31,$B:$AN,39,FALSE())),""))</f>
        <v>2,5,2</v>
      </c>
      <c r="AP31" s="29"/>
      <c r="AQ31" s="29"/>
      <c r="AR31" s="19" t="s">
        <v>264</v>
      </c>
      <c r="AT31" s="19" t="s">
        <v>265</v>
      </c>
      <c r="AX31" s="19" t="n">
        <v>18</v>
      </c>
      <c r="AY31" s="30" t="n">
        <f aca="false">IF(L31&lt;&gt;"",MAX(16,(L31-J31)+8),"")</f>
        <v>16</v>
      </c>
      <c r="AZ31" s="19" t="n">
        <v>-35</v>
      </c>
      <c r="BA31" s="19" t="n">
        <v>-25</v>
      </c>
      <c r="BB31" s="19" t="n">
        <f aca="false">MIN(AB31/150, 1)*30</f>
        <v>15</v>
      </c>
      <c r="BC31" s="19" t="n">
        <f aca="false">MIN(N31/4000, 1)*20</f>
        <v>0.75</v>
      </c>
      <c r="BD31" s="19" t="n">
        <f aca="false">MIN(Z31/400,1)*20</f>
        <v>3.5</v>
      </c>
      <c r="BE31" s="27" t="n">
        <f aca="false">1-(MAX(J31-1900, 0)/750)</f>
        <v>0.894666666666667</v>
      </c>
      <c r="BF31" s="19" t="n">
        <f aca="false">((MAX($M31,1)*MIN($AJ31/300,1)))*IF(G31="Wagon",50,10)</f>
        <v>1.4</v>
      </c>
      <c r="BG31" s="1" t="n">
        <f aca="false">VLOOKUP($H31,Constants!$I:$K, 2, FALSE())</f>
        <v>1</v>
      </c>
      <c r="BH31" s="1" t="n">
        <f aca="false">VLOOKUP($H31,Constants!$I:$K, 3, FALSE())*IF(AND(G31="multiple_unit",AB31&lt;110),0.75,1)</f>
        <v>1.5</v>
      </c>
      <c r="BI31" s="1" t="n">
        <f aca="false">INT(POWER(((Constants!$G$2+$BB31+$BC31+$BD31+$BF31)*$BE31)*$BH31, 1.05))+$BA31</f>
        <v>16</v>
      </c>
      <c r="BJ31" s="1" t="n">
        <f aca="false">INT(POWER((((Constants!$G$1+$BB31+$BC31+$BD31+$BF31)*($BE31))*$BG31),IF($G31="wagon",1,1.2)))+$AZ31</f>
        <v>28</v>
      </c>
      <c r="BK31" s="20" t="n">
        <f aca="false">BI31*IF($G31="wagon",62.5,781.25)</f>
        <v>12500</v>
      </c>
      <c r="BL31" s="31" t="n">
        <f aca="false">BJ31*IF($G31="wagon",2.73,81.25)</f>
        <v>2275</v>
      </c>
      <c r="BT31" s="19" t="n">
        <v>2</v>
      </c>
      <c r="BU31" s="19" t="n">
        <v>148</v>
      </c>
      <c r="BX31" s="19" t="s">
        <v>95</v>
      </c>
      <c r="BY31" s="19" t="str">
        <f aca="false">VLOOKUP(J31,[1]Eras!$A$2:$C$10, 2, TRUE())</f>
        <v>lbr</v>
      </c>
      <c r="BZ31" s="32" t="s">
        <v>266</v>
      </c>
      <c r="CA31" s="1" t="str">
        <f aca="false">CONCATENATE(BY31,"_",BZ31)</f>
        <v>lbr_DMU (Cheap)</v>
      </c>
      <c r="CB31" s="1" t="str">
        <f aca="false">_xlfn.CONCAT(H31, "_",I31)</f>
        <v>diesel_RAIL</v>
      </c>
      <c r="CC31" s="21" t="str">
        <f aca="false">_xlfn.CONCAT("{BLACK}Length: {GOLD}", TEXT(ROUNDUP(IF(AQ31&lt;&gt;"",SUM(VALUE(_xlfn.TEXTSPLIT(AQ31, ","))), SUM(VALUE(_xlfn.TEXTSPLIT(AN31, ",")))*IF(M31, M31, 1))/16, 1), "#,##0.0"), " tiles{}")</f>
        <v>{BLACK}Length: {GOLD}0.6 tiles{}</v>
      </c>
      <c r="CD31" s="1" t="str">
        <f aca="false">VLOOKUP($CB31, Constants!$M:$N, 2, FALSE())</f>
        <v>{BLACK}Powered by: {GOLD}Diesel</v>
      </c>
      <c r="CE31" s="1" t="str">
        <f aca="false">IF(M31&gt;1,_xlfn.CONCAT("{BLACK}Cars: {GOLD}", M31),"")</f>
        <v/>
      </c>
      <c r="CF31" s="19" t="s">
        <v>267</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{YELLOW}20% penalty for long distance travel{}</v>
      </c>
      <c r="CH31" s="1" t="str">
        <f aca="false">_xlfn.CONCAT(CD31,IF(CD31 &lt;&gt; "", " ", ""),CE31,IF(OR(CE31&lt;&gt;"", CD31&lt;&gt;""), "{}",""), CC31, CG31,"{SILVER}", CF31)</f>
        <v>{BLACK}Powered by: {GOLD}Diesel {}{BLACK}Length: {GOLD}0.6 tiles{}{YELLOW}20% penalty for long distance travel{}{SILVER}One of a number of prototype vehicles built for the project that eventually delivered the Pacer family, Leyland’s attempt to reuse as many bus components as possible is on full display in the LEV1.</v>
      </c>
    </row>
    <row r="32" s="19" customFormat="true" ht="13.8" hidden="false" customHeight="false" outlineLevel="0" collapsed="false">
      <c r="A32" s="19" t="s">
        <v>268</v>
      </c>
      <c r="B32" s="19" t="s">
        <v>269</v>
      </c>
      <c r="C32" s="19" t="n">
        <v>150</v>
      </c>
      <c r="E32" s="19" t="n">
        <v>145</v>
      </c>
      <c r="F32" s="19" t="s">
        <v>89</v>
      </c>
      <c r="G32" s="19" t="s">
        <v>90</v>
      </c>
      <c r="H32" s="19" t="s">
        <v>152</v>
      </c>
      <c r="I32" s="19" t="s">
        <v>153</v>
      </c>
      <c r="J32" s="19" t="n">
        <v>1984</v>
      </c>
      <c r="K32" s="19" t="n">
        <v>1988</v>
      </c>
      <c r="L32" s="19" t="n">
        <v>2005</v>
      </c>
      <c r="M32" s="19" t="n">
        <v>2</v>
      </c>
      <c r="N32" s="19" t="n">
        <v>205</v>
      </c>
      <c r="O32" s="25"/>
      <c r="P32" s="26"/>
      <c r="Q32" s="26"/>
      <c r="R32" s="26"/>
      <c r="S32" s="26"/>
      <c r="T32" s="26"/>
      <c r="U32" s="26"/>
      <c r="V32" s="26"/>
      <c r="W32" s="19" t="n">
        <f aca="false">26+26.5</f>
        <v>52.5</v>
      </c>
      <c r="X32" s="25"/>
      <c r="Y32" s="19" t="n">
        <v>5</v>
      </c>
      <c r="Z32" s="19" t="n">
        <v>70</v>
      </c>
      <c r="AA32" s="27" t="n">
        <f aca="false">IF(AND(W32&gt;0,Z32&gt;0),(Z32/((W32+X32)*10)),"")</f>
        <v>0.133333333333333</v>
      </c>
      <c r="AB32" s="19" t="n">
        <v>75</v>
      </c>
      <c r="AC32" s="19" t="n">
        <f aca="false">ROUND(AB32*1.6, 0)</f>
        <v>120</v>
      </c>
      <c r="AF32" s="19" t="n">
        <v>15.45</v>
      </c>
      <c r="AG32" s="19" t="n">
        <v>15.45</v>
      </c>
      <c r="AH32" s="19" t="n">
        <v>2.5</v>
      </c>
      <c r="AI32" s="19" t="n">
        <v>3.9</v>
      </c>
      <c r="AJ32" s="28" t="n">
        <v>46</v>
      </c>
      <c r="AK32" s="19" t="str">
        <f aca="false">CONCATENATE(VLOOKUP(AL32, '[1]Voxel Sizes'!$A$2:$B$18,2,FALSE()),"x",INT(AH32*15), "x", INT(AI32*15))</f>
        <v>152x37x58</v>
      </c>
      <c r="AL32" s="19" t="n">
        <f aca="false">ROUND(15*((AG32*10)/256),0)</f>
        <v>9</v>
      </c>
      <c r="AN32" s="19" t="str">
        <f aca="false">CONCATENATE(VLOOKUP(AL32,[1]Constants!$A$2:$C$16,IF(AM32&lt;&gt;"", 3, 2), FALSE()),IF(AM32&lt;&gt;"",CONCATENATE(",",VLOOKUP(AM32,$B:$AN,39,FALSE())),""))</f>
        <v>2,5,2</v>
      </c>
      <c r="AP32" s="29"/>
      <c r="AQ32" s="29"/>
      <c r="AR32" s="19" t="s">
        <v>270</v>
      </c>
      <c r="AT32" s="19" t="s">
        <v>113</v>
      </c>
      <c r="AU32" s="19" t="s">
        <v>271</v>
      </c>
      <c r="AX32" s="19" t="n">
        <v>18</v>
      </c>
      <c r="AY32" s="30" t="n">
        <f aca="false">IF(L32&lt;&gt;"",MAX(16,(L32-J32)+8),"")</f>
        <v>29</v>
      </c>
      <c r="AZ32" s="19" t="n">
        <v>-35</v>
      </c>
      <c r="BA32" s="19" t="n">
        <v>-20</v>
      </c>
      <c r="BB32" s="19" t="n">
        <f aca="false">MIN(AB32/150, 1)*30</f>
        <v>15</v>
      </c>
      <c r="BC32" s="19" t="n">
        <f aca="false">MIN(N32/4000, 1)*20</f>
        <v>1.025</v>
      </c>
      <c r="BD32" s="19" t="n">
        <f aca="false">MIN(Z32/400,1)*20</f>
        <v>3.5</v>
      </c>
      <c r="BE32" s="27" t="n">
        <f aca="false">1-(MAX(J32-1900, 0)/750)</f>
        <v>0.888</v>
      </c>
      <c r="BF32" s="19" t="n">
        <f aca="false">((MAX($M32,1)*MIN($AJ32/300,1)))*IF(G32="Wagon",50,10)</f>
        <v>3.06666666666667</v>
      </c>
      <c r="BG32" s="1" t="n">
        <f aca="false">VLOOKUP($H32,Constants!$I:$K, 2, FALSE())</f>
        <v>1</v>
      </c>
      <c r="BH32" s="1" t="n">
        <f aca="false">VLOOKUP($H32,Constants!$I:$K, 3, FALSE())*IF(AND(G32="multiple_unit",AB32&lt;110),0.75,1)</f>
        <v>1.5</v>
      </c>
      <c r="BI32" s="1" t="n">
        <f aca="false">INT(POWER(((Constants!$G$2+$BB32+$BC32+$BD32+$BF32)*$BE32)*$BH32, 1.05))+$BA32</f>
        <v>24</v>
      </c>
      <c r="BJ32" s="1" t="n">
        <f aca="false">INT(POWER((((Constants!$G$1+$BB32+$BC32+$BD32+$BF32)*($BE32))*$BG32),IF($G32="wagon",1,1.2)))+$AZ32</f>
        <v>32</v>
      </c>
      <c r="BK32" s="20" t="n">
        <f aca="false">BI32*IF($G32="wagon",62.5,781.25)</f>
        <v>18750</v>
      </c>
      <c r="BL32" s="31" t="n">
        <f aca="false">BJ32*IF($G32="wagon",2.73,81.25)</f>
        <v>2600</v>
      </c>
      <c r="BQ32" s="19" t="str">
        <f aca="false">_xlfn.ORG.LIBREOFFICE.REGEX(_xlfn.ORG.LIBREOFFICE.REGEX(SPRINTERMUVEHICLES, _xlfn.CONCAT(B32, ",?"), ""), ",$", "")</f>
        <v>class_150,class_151,class_153,class_153_mail,super_sprinter,express_sprinter_2car,express_sprinter_3car,sprinter_hybrid,class_170,class_170_3car</v>
      </c>
      <c r="BT32" s="19" t="n">
        <v>2</v>
      </c>
      <c r="BU32" s="19" t="n">
        <v>148</v>
      </c>
      <c r="BX32" s="19" t="s">
        <v>95</v>
      </c>
      <c r="BY32" s="19" t="str">
        <f aca="false">VLOOKUP(J32,[1]Eras!$A$2:$C$10, 2, TRUE())</f>
        <v>lbr</v>
      </c>
      <c r="BZ32" s="32" t="s">
        <v>266</v>
      </c>
      <c r="CA32" s="1" t="str">
        <f aca="false">CONCATENATE(BY32,"_",BZ32)</f>
        <v>lbr_DMU (Cheap)</v>
      </c>
      <c r="CB32" s="1" t="str">
        <f aca="false">_xlfn.CONCAT(H32, "_",I32)</f>
        <v>diesel_RAIL</v>
      </c>
      <c r="CC32" s="21" t="str">
        <f aca="false">_xlfn.CONCAT("{BLACK}Length: {GOLD}", TEXT(ROUNDUP(IF(AQ32&lt;&gt;"",SUM(VALUE(_xlfn.TEXTSPLIT(AQ32, ","))), SUM(VALUE(_xlfn.TEXTSPLIT(AN32, ",")))*IF(M32, M32, 1))/16, 1), "#,##0.0"), " tiles{}")</f>
        <v>{BLACK}Length: {GOLD}1.2 tiles{}</v>
      </c>
      <c r="CD32" s="1" t="str">
        <f aca="false">VLOOKUP($CB32, Constants!$M:$N, 2, FALSE())</f>
        <v>{BLACK}Powered by: {GOLD}Diesel</v>
      </c>
      <c r="CE32" s="1" t="str">
        <f aca="false">IF(M32&gt;1,_xlfn.CONCAT("{BLACK}Cars: {GOLD}", M32),"")</f>
        <v>{BLACK}Cars: {GOLD}2</v>
      </c>
      <c r="CF32" s="19" t="s">
        <v>272</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{YELLOW}20% penalty for long distance travel{}</v>
      </c>
      <c r="CH32" s="1" t="str">
        <f aca="false">_xlfn.CONCAT(CD32,IF(CD32 &lt;&gt; "", " ", ""),CE32,IF(OR(CE32&lt;&gt;"", CD32&lt;&gt;""), "{}",""), CC32, CG32,"{SILVER}", CF32)</f>
        <v>{BLACK}Powered by: {GOLD}Diesel {BLACK}Cars: {GOLD}2{}{BLACK}Length: {GOLD}1.2 tiles{}{YELLOW}20% penalty for long distance travel{}{SILVER}The Class 141 is a multiple unit built from Leyland National bus parts. While cheap and light, it is criticised for its poor ride quality.</v>
      </c>
    </row>
    <row r="33" s="19" customFormat="true" ht="13.8" hidden="false" customHeight="false" outlineLevel="0" collapsed="false">
      <c r="A33" s="19" t="s">
        <v>273</v>
      </c>
      <c r="B33" s="19" t="s">
        <v>274</v>
      </c>
      <c r="C33" s="19" t="n">
        <v>152</v>
      </c>
      <c r="E33" s="19" t="n">
        <v>147</v>
      </c>
      <c r="F33" s="19" t="s">
        <v>89</v>
      </c>
      <c r="G33" s="19" t="s">
        <v>90</v>
      </c>
      <c r="H33" s="19" t="s">
        <v>152</v>
      </c>
      <c r="I33" s="19" t="s">
        <v>153</v>
      </c>
      <c r="J33" s="19" t="n">
        <v>1984</v>
      </c>
      <c r="K33" s="19" t="n">
        <v>1987</v>
      </c>
      <c r="M33" s="19" t="n">
        <v>2</v>
      </c>
      <c r="N33" s="19" t="n">
        <f aca="false">286*2</f>
        <v>572</v>
      </c>
      <c r="O33" s="25"/>
      <c r="P33" s="26"/>
      <c r="Q33" s="26"/>
      <c r="R33" s="26"/>
      <c r="S33" s="26"/>
      <c r="T33" s="26"/>
      <c r="U33" s="26"/>
      <c r="V33" s="26"/>
      <c r="W33" s="19" t="n">
        <f aca="false">35.8*2</f>
        <v>71.6</v>
      </c>
      <c r="X33" s="25"/>
      <c r="Y33" s="19" t="n">
        <v>5</v>
      </c>
      <c r="Z33" s="19" t="n">
        <v>110</v>
      </c>
      <c r="AA33" s="27" t="n">
        <f aca="false">IF(AND(W33&gt;0,Z33&gt;0),(Z33/((W33+X33)*10)),"")</f>
        <v>0.153631284916201</v>
      </c>
      <c r="AB33" s="19" t="n">
        <v>75</v>
      </c>
      <c r="AC33" s="19" t="n">
        <f aca="false">ROUND(AB33*1.6, 0)</f>
        <v>120</v>
      </c>
      <c r="AF33" s="19" t="n">
        <v>20</v>
      </c>
      <c r="AG33" s="19" t="n">
        <v>20</v>
      </c>
      <c r="AH33" s="19" t="n">
        <v>2.81</v>
      </c>
      <c r="AI33" s="19" t="n">
        <v>3.7</v>
      </c>
      <c r="AJ33" s="28" t="n">
        <v>63</v>
      </c>
      <c r="AK33" s="19" t="str">
        <f aca="false">CONCATENATE(VLOOKUP(AL33, '[1]Voxel Sizes'!$A$2:$B$18,2,FALSE()),"x",INT(AH33*15), "x", INT(AI33*15))</f>
        <v>198x42x55</v>
      </c>
      <c r="AL33" s="19" t="n">
        <f aca="false">ROUND(15*((AG33*10)/256),0)</f>
        <v>12</v>
      </c>
      <c r="AN33" s="19" t="str">
        <f aca="false">CONCATENATE(VLOOKUP(AL33,[1]Constants!$A$2:$C$16,IF(AM33&lt;&gt;"", 3, 2), FALSE()),IF(AM33&lt;&gt;"",CONCATENATE(",",VLOOKUP(AM33,$B:$AN,39,FALSE())),""))</f>
        <v>4,4,4</v>
      </c>
      <c r="AP33" s="29"/>
      <c r="AQ33" s="29"/>
      <c r="AR33" s="19" t="s">
        <v>275</v>
      </c>
      <c r="AT33" s="19" t="s">
        <v>113</v>
      </c>
      <c r="AU33" s="19" t="s">
        <v>276</v>
      </c>
      <c r="AX33" s="19" t="n">
        <v>28</v>
      </c>
      <c r="AY33" s="30" t="str">
        <f aca="false">IF(L33&lt;&gt;"",MAX(16,(L33-J33)+8),"")</f>
        <v/>
      </c>
      <c r="AZ33" s="19" t="n">
        <v>-10</v>
      </c>
      <c r="BA33" s="19" t="n">
        <v>-15</v>
      </c>
      <c r="BB33" s="19" t="n">
        <f aca="false">MIN(AB33/150, 1)*30</f>
        <v>15</v>
      </c>
      <c r="BC33" s="19" t="n">
        <f aca="false">MIN(N33/4000, 1)*20</f>
        <v>2.86</v>
      </c>
      <c r="BD33" s="19" t="n">
        <f aca="false">MIN(Z33/400,1)*20</f>
        <v>5.5</v>
      </c>
      <c r="BE33" s="27" t="n">
        <f aca="false">1-(MAX(J33-1900, 0)/750)</f>
        <v>0.888</v>
      </c>
      <c r="BF33" s="19" t="n">
        <f aca="false">((MAX($M33,1)*MIN($AJ33/300,1)))*IF(G33="Wagon",50,10)</f>
        <v>4.2</v>
      </c>
      <c r="BG33" s="1" t="n">
        <f aca="false">VLOOKUP($H33,Constants!$I:$K, 2, FALSE())</f>
        <v>1</v>
      </c>
      <c r="BH33" s="1" t="n">
        <f aca="false">VLOOKUP($H33,Constants!$I:$K, 3, FALSE())*IF(AND(G33="multiple_unit",AB33&lt;110),0.75,1)</f>
        <v>1.5</v>
      </c>
      <c r="BI33" s="19" t="n">
        <f aca="false">INT(POWER((([1]Constants!$G$2+$BB33+$BC33+$BD33+$BF33)*$BE33)*$BH33, 1.05))+$BA33</f>
        <v>37</v>
      </c>
      <c r="BJ33" s="19" t="n">
        <f aca="false">INT(POWER(((([1]Constants!$G$1+$BB33+$BC33+$BD33+$BF33)*($BE33))*$BG33),IF($G33="wagon",1,1.2)))+$AZ33</f>
        <v>68</v>
      </c>
      <c r="BK33" s="31" t="n">
        <f aca="false">BI33*IF($G33="wagon",62.5,781.25)</f>
        <v>28906.25</v>
      </c>
      <c r="BL33" s="31" t="n">
        <f aca="false">BJ33*IF($G33="wagon",2.73,81.25)</f>
        <v>5525</v>
      </c>
      <c r="BQ33" s="19" t="str">
        <f aca="false">_xlfn.ORG.LIBREOFFICE.REGEX(_xlfn.ORG.LIBREOFFICE.REGEX(SPRINTERMUVEHICLES, _xlfn.CONCAT(B33, ",?"), ""), ",$", "")</f>
        <v>class_141,class_151,class_153,class_153_mail,super_sprinter,express_sprinter_2car,express_sprinter_3car,sprinter_hybrid,class_170,class_170_3car</v>
      </c>
      <c r="BT33" s="19" t="n">
        <v>1</v>
      </c>
      <c r="BU33" s="19" t="n">
        <v>185</v>
      </c>
      <c r="BX33" s="19" t="s">
        <v>95</v>
      </c>
      <c r="BY33" s="19" t="str">
        <f aca="false">VLOOKUP(J33,[1]Eras!$A$2:$C$10, 2, TRUE())</f>
        <v>lbr</v>
      </c>
      <c r="BZ33" s="32" t="s">
        <v>166</v>
      </c>
      <c r="CA33" s="19" t="str">
        <f aca="false">CONCATENATE(BY33,"_",BZ33)</f>
        <v>lbr_DMU</v>
      </c>
      <c r="CB33" s="19" t="str">
        <f aca="false">_xlfn.CONCAT(H33, "_",I33)</f>
        <v>diesel_RAIL</v>
      </c>
      <c r="CC33" s="21" t="str">
        <f aca="false">_xlfn.CONCAT("{BLACK}Length: {GOLD}", TEXT(ROUNDUP(IF(AQ33&lt;&gt;"",SUM(VALUE(_xlfn.TEXTSPLIT(AQ33, ","))), SUM(VALUE(_xlfn.TEXTSPLIT(AN33, ",")))*IF(M33, M33, 1))/16, 1), "#,##0.0"), " tiles{}")</f>
        <v>{BLACK}Length: {GOLD}1.5 tiles{}</v>
      </c>
      <c r="CD33" s="1" t="str">
        <f aca="false">VLOOKUP($CB33, Constants!$M:$N, 2, FALSE())</f>
        <v>{BLACK}Powered by: {GOLD}Diesel</v>
      </c>
      <c r="CE33" s="19" t="str">
        <f aca="false">IF(M33&gt;1,_xlfn.CONCAT("{BLACK}Cars: {GOLD}", M33),"")</f>
        <v>{BLACK}Cars: {GOLD}2</v>
      </c>
      <c r="CF33" s="19" t="s">
        <v>277</v>
      </c>
      <c r="CH33" s="1" t="str">
        <f aca="false">_xlfn.CONCAT(CD33,IF(CD33 &lt;&gt; "", " ", ""),CE33,IF(OR(CE33&lt;&gt;"", CD33&lt;&gt;""), "{}",""), CB33, CF33,"{SILVER}", CE33)</f>
        <v>{BLACK}Powered by: {GOLD}Diesel {BLACK}Cars: {GOLD}2{}diesel_RAILThe Sprinter replaced first-generation DMUs. Like other second-generation units it was based on the Mark 3 bodyshell. The name refers to its faster acceleration compared to the units it replaced.{SILVER}{BLACK}Cars: {GOLD}2</v>
      </c>
    </row>
    <row r="34" customFormat="false" ht="13.8" hidden="false" customHeight="false" outlineLevel="0" collapsed="false">
      <c r="A34" s="1" t="s">
        <v>278</v>
      </c>
      <c r="B34" s="1" t="s">
        <v>279</v>
      </c>
      <c r="C34" s="1" t="n">
        <v>151</v>
      </c>
      <c r="E34" s="1" t="n">
        <v>148</v>
      </c>
      <c r="F34" s="1" t="s">
        <v>89</v>
      </c>
      <c r="G34" s="1" t="s">
        <v>90</v>
      </c>
      <c r="H34" s="1" t="s">
        <v>152</v>
      </c>
      <c r="I34" s="1" t="s">
        <v>153</v>
      </c>
      <c r="J34" s="1" t="n">
        <v>1985</v>
      </c>
      <c r="K34" s="1" t="n">
        <v>2015</v>
      </c>
      <c r="L34" s="1" t="n">
        <v>2025</v>
      </c>
      <c r="M34" s="1" t="n">
        <v>3</v>
      </c>
      <c r="N34" s="1" t="n">
        <v>855</v>
      </c>
      <c r="W34" s="1" t="n">
        <v>97</v>
      </c>
      <c r="Y34" s="1" t="n">
        <v>5</v>
      </c>
      <c r="Z34" s="1" t="n">
        <v>145</v>
      </c>
      <c r="AA34" s="4" t="n">
        <f aca="false">IF(AND(W34&gt;0,Z34&gt;0),(Z34/((W34+X34)*10)),"")</f>
        <v>0.149484536082474</v>
      </c>
      <c r="AB34" s="1" t="n">
        <v>75</v>
      </c>
      <c r="AC34" s="1" t="n">
        <f aca="false">ROUND(AB34*1.6, 0)</f>
        <v>120</v>
      </c>
      <c r="AF34" s="1" t="n">
        <v>19.9</v>
      </c>
      <c r="AG34" s="1" t="n">
        <v>20</v>
      </c>
      <c r="AH34" s="1" t="n">
        <v>2.8</v>
      </c>
      <c r="AI34" s="1" t="n">
        <v>3.84</v>
      </c>
      <c r="AJ34" s="5" t="n">
        <v>77</v>
      </c>
      <c r="AK34" s="19" t="str">
        <f aca="false">CONCATENATE(VLOOKUP(AL34, 'Voxel Sizes'!$A$2:$B$18,2,FALSE()),"x",INT(AH34*15), "x", INT(AI34*15))</f>
        <v>198x42x57</v>
      </c>
      <c r="AL34" s="1" t="n">
        <f aca="false">ROUND(15*((AG34*10)/256),0)</f>
        <v>12</v>
      </c>
      <c r="AN34" s="1" t="str">
        <f aca="false">CONCATENATE(VLOOKUP(AL34,Constants!$A$2:$C$16,IF(AM34&lt;&gt;"", 3, 2), FALSE()),IF(AM34&lt;&gt;"",CONCATENATE(",",VLOOKUP(AM34,$B:$AN,38,FALSE())),""))</f>
        <v>4,4,4</v>
      </c>
      <c r="AO34" s="1" t="n">
        <v>4</v>
      </c>
      <c r="AR34" s="1" t="s">
        <v>280</v>
      </c>
      <c r="AT34" s="1" t="s">
        <v>176</v>
      </c>
      <c r="AU34" s="1" t="s">
        <v>279</v>
      </c>
      <c r="AX34" s="1" t="n">
        <v>27</v>
      </c>
      <c r="AY34" s="6" t="n">
        <f aca="false">IF(L34&lt;&gt;"",MAX(16,(L34-J34)+8),"")</f>
        <v>48</v>
      </c>
      <c r="AZ34" s="1" t="n">
        <v>-15</v>
      </c>
      <c r="BA34" s="1" t="n">
        <v>-25</v>
      </c>
      <c r="BB34" s="1" t="n">
        <f aca="false">MIN(AB34/150, 1)*30</f>
        <v>15</v>
      </c>
      <c r="BC34" s="1" t="n">
        <f aca="false">MIN(N34/4000, 1)*20</f>
        <v>4.275</v>
      </c>
      <c r="BD34" s="1" t="n">
        <f aca="false">MIN(Z34/400,1)*20</f>
        <v>7.25</v>
      </c>
      <c r="BE34" s="4" t="n">
        <f aca="false">1-(MAX(J34-1900, 0)/750)</f>
        <v>0.886666666666667</v>
      </c>
      <c r="BF34" s="1" t="n">
        <f aca="false">((MAX($M34,1)*MIN($AJ34/300,1)))*IF(G34="Wagon",50,10)</f>
        <v>7.7</v>
      </c>
      <c r="BG34" s="1" t="n">
        <f aca="false">VLOOKUP($H34,Constants!$I:$K, 2, FALSE())</f>
        <v>1</v>
      </c>
      <c r="BH34" s="1" t="n">
        <f aca="false">VLOOKUP($H34,Constants!$I:$K, 3, FALSE())*IF(AND(G34="multiple_unit",AB34&lt;110),0.75,1)</f>
        <v>1.5</v>
      </c>
      <c r="BI34" s="1" t="n">
        <v>38</v>
      </c>
      <c r="BJ34" s="1" t="n">
        <v>77</v>
      </c>
      <c r="BK34" s="20" t="n">
        <f aca="false">BI34*IF($G34="wagon",62.5,781.25)</f>
        <v>29687.5</v>
      </c>
      <c r="BL34" s="20" t="n">
        <f aca="false">BJ34*IF($G34="wagon",2.73,81.25)</f>
        <v>6256.25</v>
      </c>
      <c r="BQ34" s="19" t="str">
        <f aca="false">_xlfn.ORG.LIBREOFFICE.REGEX(_xlfn.ORG.LIBREOFFICE.REGEX(SPRINTERMUVEHICLES, _xlfn.CONCAT(B34, ",?"), ""), ",$", "")</f>
        <v>class_141,class_150,class_153,class_153_mail,super_sprinter,express_sprinter_2car,express_sprinter_3car,sprinter_hybrid,class_170,class_170_3car</v>
      </c>
      <c r="BT34" s="1" t="n">
        <v>4</v>
      </c>
      <c r="BU34" s="1" t="n">
        <v>185</v>
      </c>
      <c r="BX34" s="1" t="s">
        <v>95</v>
      </c>
      <c r="BY34" s="1" t="s">
        <v>244</v>
      </c>
      <c r="BZ34" s="18" t="s">
        <v>166</v>
      </c>
      <c r="CA34" s="1" t="str">
        <f aca="false">CONCATENATE(BY34,"_",BZ34)</f>
        <v>lbr_DMU</v>
      </c>
      <c r="CB34" s="1" t="str">
        <f aca="false">_xlfn.CONCAT(H34, "_",I34)</f>
        <v>diesel_RAIL</v>
      </c>
      <c r="CC34" s="21" t="str">
        <f aca="false" t="array" ref="CC34:CC34">_xlfn.CONCAT("{BLACK}Length: {GOLD}", TEXT(ROUNDUP(IF(AQ34&lt;&gt;"",SUM(VALUE(_xlfn.TEXTSPLIT(AQ34, ","))), SUM(VALUE(_xlfn.TEXTSPLIT(AN34, ",")))*IF(M34, M34, 1))/16, 1), "#,##0.0"), " tiles{}")</f>
        <v>{BLACK}Length: {GOLD}2.3 tiles{}</v>
      </c>
      <c r="CD34" s="1" t="str">
        <f aca="false">VLOOKUP($CB34, Constants!$M:$N, 2, FALSE())</f>
        <v>{BLACK}Powered by: {GOLD}Diesel</v>
      </c>
      <c r="CE34" s="1" t="str">
        <f aca="false">IF(M34&gt;1,_xlfn.CONCAT("{BLACK}Cars: {GOLD}", M34),"")</f>
        <v>{BLACK}Cars: {GOLD}3</v>
      </c>
      <c r="CF34" s="1" t="s">
        <v>281</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
      </c>
      <c r="CH34" s="1" t="str">
        <f aca="false">_xlfn.CONCAT(CD34,IF(CD34 &lt;&gt; "", " ", ""),CE34,IF(OR(CE34&lt;&gt;"", CD34&lt;&gt;""), "{}",""), CC34, CG34,"{SILVER}", CF34)</f>
        <v>{BLACK}Powered by: {GOLD}Diesel {BLACK}Cars: {GOLD}3{}{BLACK}Length: {GOLD}2.3 tiles{}{SILVER}A class of 2 prototype DMUs built to compete for the contract that became the Class 150 fleet purchase. These units suffered with gearbox issues and the BREL type won the contest instead.</v>
      </c>
      <c r="CI34" s="1"/>
      <c r="CJ34" s="1"/>
    </row>
    <row r="35" customFormat="false" ht="13.8" hidden="false" customHeight="false" outlineLevel="0" collapsed="false">
      <c r="A35" s="1" t="s">
        <v>282</v>
      </c>
      <c r="B35" s="1" t="s">
        <v>283</v>
      </c>
      <c r="C35" s="1" t="n">
        <v>153</v>
      </c>
      <c r="E35" s="1" t="n">
        <v>155</v>
      </c>
      <c r="F35" s="1" t="s">
        <v>89</v>
      </c>
      <c r="G35" s="1" t="s">
        <v>90</v>
      </c>
      <c r="H35" s="1" t="s">
        <v>152</v>
      </c>
      <c r="I35" s="1" t="s">
        <v>153</v>
      </c>
      <c r="J35" s="1" t="n">
        <v>1991</v>
      </c>
      <c r="M35" s="1" t="n">
        <v>1</v>
      </c>
      <c r="N35" s="1" t="n">
        <v>285</v>
      </c>
      <c r="W35" s="1" t="n">
        <v>41.2</v>
      </c>
      <c r="Y35" s="1" t="n">
        <v>5</v>
      </c>
      <c r="Z35" s="1" t="n">
        <v>55</v>
      </c>
      <c r="AA35" s="4" t="n">
        <v>0.153631284916201</v>
      </c>
      <c r="AB35" s="1" t="n">
        <v>75</v>
      </c>
      <c r="AC35" s="1" t="n">
        <v>120</v>
      </c>
      <c r="AF35" s="1" t="n">
        <v>23.2</v>
      </c>
      <c r="AG35" s="1" t="n">
        <v>23.2</v>
      </c>
      <c r="AH35" s="1" t="n">
        <v>2.7</v>
      </c>
      <c r="AI35" s="1" t="n">
        <v>3.7</v>
      </c>
      <c r="AJ35" s="5" t="n">
        <v>72</v>
      </c>
      <c r="AK35" s="19" t="str">
        <f aca="false">CONCATENATE(VLOOKUP(AL35, 'Voxel Sizes'!$A$2:$B$18,2,FALSE()),"x",INT(AH35*15), "x", INT(AI35*15))</f>
        <v>238x40x55</v>
      </c>
      <c r="AL35" s="1" t="n">
        <f aca="false">ROUND(15*((AG35*10)/256),0)</f>
        <v>14</v>
      </c>
      <c r="AN35" s="1" t="str">
        <f aca="false">CONCATENATE(VLOOKUP(AL35,Constants!$A$2:$C$16,IF(AM35&lt;&gt;"", 3, 2), FALSE()),IF(AM35&lt;&gt;"",CONCATENATE(",",VLOOKUP(AM35,$B:$AN,38,FALSE())),""))</f>
        <v>4,6,4</v>
      </c>
      <c r="AR35" s="1" t="s">
        <v>283</v>
      </c>
      <c r="AT35" s="1" t="n">
        <v>1</v>
      </c>
      <c r="AX35" s="1" t="n">
        <v>33</v>
      </c>
      <c r="AZ35" s="1" t="n">
        <v>-10</v>
      </c>
      <c r="BA35" s="1" t="n">
        <v>-15</v>
      </c>
      <c r="BB35" s="1" t="n">
        <f aca="false">MIN(AB35/150, 1)*30</f>
        <v>15</v>
      </c>
      <c r="BC35" s="1" t="n">
        <f aca="false">MIN(N35/4000, 1)*20</f>
        <v>1.425</v>
      </c>
      <c r="BD35" s="1" t="n">
        <f aca="false">MIN(Z35/400,1)*20</f>
        <v>2.75</v>
      </c>
      <c r="BE35" s="4" t="n">
        <f aca="false">1-(MAX(J35-1900, 0)/750)</f>
        <v>0.878666666666667</v>
      </c>
      <c r="BF35" s="1" t="n">
        <f aca="false">((MAX($M35,1)*MIN($AJ35/300,1)))*IF(G35="Wagon",50,10)</f>
        <v>2.4</v>
      </c>
      <c r="BG35" s="1" t="n">
        <f aca="false">VLOOKUP($H35,Constants!$I:$K, 2, FALSE())</f>
        <v>1</v>
      </c>
      <c r="BH35" s="1" t="n">
        <f aca="false">VLOOKUP($H35,Constants!$I:$K, 3, FALSE())*IF(AND(G35="multiple_unit",AB35&lt;110),0.75,1)</f>
        <v>1.5</v>
      </c>
      <c r="BI35" s="1" t="n">
        <f aca="false">INT(POWER(((Constants!$G$2+$BB35+$BC35+$BD35+$BF35)*$BE35)*$BH35, 1.05))+$BA35</f>
        <v>26</v>
      </c>
      <c r="BJ35" s="1" t="n">
        <f aca="false">INT(POWER((((Constants!$G$1+$BB35+$BC35+$BD35+$BF35)*($BE35))*$BG35),IF($G35="wagon",1,1.2)))+$AZ35</f>
        <v>54</v>
      </c>
      <c r="BK35" s="20" t="n">
        <f aca="false">BI35*IF($G35="wagon",62.5,781.25)</f>
        <v>20312.5</v>
      </c>
      <c r="BL35" s="20" t="n">
        <f aca="false">BJ35*IF($G35="wagon",2.73,81.25)</f>
        <v>4387.5</v>
      </c>
      <c r="BQ35" s="19" t="str">
        <f aca="false">_xlfn.ORG.LIBREOFFICE.REGEX(_xlfn.ORG.LIBREOFFICE.REGEX(SPRINTERMUVEHICLES, _xlfn.CONCAT(B35, ",?"), ""), ",$", "")</f>
        <v>class_141,class_150,class_151,class_153_mail,super_sprinter,express_sprinter_2car,express_sprinter_3car,sprinter_hybrid,class_170,class_170_3car</v>
      </c>
      <c r="BT35" s="1" t="n">
        <v>4</v>
      </c>
      <c r="BU35" s="1" t="n">
        <v>185</v>
      </c>
      <c r="BX35" s="1" t="s">
        <v>95</v>
      </c>
      <c r="BY35" s="1" t="str">
        <f aca="false">VLOOKUP(J35,Eras!$A$2:$C$10, 2, TRUE())</f>
        <v>lbr</v>
      </c>
      <c r="BZ35" s="18" t="s">
        <v>166</v>
      </c>
      <c r="CA35" s="1" t="s">
        <v>284</v>
      </c>
      <c r="CB35" s="1" t="s">
        <v>285</v>
      </c>
      <c r="CC35" s="21" t="str">
        <f aca="false">_xlfn.CONCAT("{BLACK}Length: {GOLD}", TEXT(ROUNDUP(IF(AQ35&lt;&gt;"",SUM(VALUE(_xlfn.TEXTSPLIT(AQ35, ","))), SUM(VALUE(_xlfn.TEXTSPLIT(AN35, ",")))*IF(M35, M35, 1))/16, 1), "#,##0.0"), " tiles{}")</f>
        <v>{BLACK}Length: {GOLD}0.9 tiles{}</v>
      </c>
      <c r="CD35" s="1" t="str">
        <f aca="false">VLOOKUP($CB35, Constants!$M:$N, 2, FALSE())</f>
        <v>{BLACK}Powered by: {GOLD}Diesel</v>
      </c>
      <c r="CE35" s="1" t="str">
        <f aca="false">IF(M35&gt;1,_xlfn.CONCAT("{BLACK}Cars: {GOLD}", M35),"")</f>
        <v/>
      </c>
      <c r="CF35" s="1" t="s">
        <v>286</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{BLACK}Powered by: {GOLD}Diesel {}{BLACK}Length: {GOLD}0.9 tiles{}{SILVER}The Class 153 was a conversion of earlier Class 155 units, 35 of which were split in two with small cabs added at the inner ends.</v>
      </c>
      <c r="CI35" s="1"/>
      <c r="CJ35" s="1"/>
    </row>
    <row r="36" customFormat="false" ht="13.8" hidden="false" customHeight="false" outlineLevel="0" collapsed="false">
      <c r="A36" s="1" t="s">
        <v>287</v>
      </c>
      <c r="B36" s="1" t="s">
        <v>288</v>
      </c>
      <c r="C36" s="1" t="n">
        <v>154</v>
      </c>
      <c r="D36" s="1" t="n">
        <v>153</v>
      </c>
      <c r="E36" s="1" t="n">
        <v>156</v>
      </c>
      <c r="F36" s="1" t="s">
        <v>89</v>
      </c>
      <c r="G36" s="1" t="s">
        <v>90</v>
      </c>
      <c r="H36" s="1" t="s">
        <v>152</v>
      </c>
      <c r="I36" s="1" t="s">
        <v>153</v>
      </c>
      <c r="J36" s="1" t="n">
        <v>1991</v>
      </c>
      <c r="M36" s="1" t="n">
        <v>1</v>
      </c>
      <c r="N36" s="1" t="n">
        <v>285</v>
      </c>
      <c r="W36" s="1" t="n">
        <v>41.2</v>
      </c>
      <c r="Y36" s="1" t="n">
        <v>5</v>
      </c>
      <c r="Z36" s="1" t="n">
        <v>55</v>
      </c>
      <c r="AA36" s="4" t="n">
        <v>0.153631284916201</v>
      </c>
      <c r="AB36" s="1" t="n">
        <v>75</v>
      </c>
      <c r="AC36" s="1" t="n">
        <v>120</v>
      </c>
      <c r="AF36" s="1" t="n">
        <v>23.2</v>
      </c>
      <c r="AG36" s="1" t="n">
        <v>23.2</v>
      </c>
      <c r="AH36" s="1" t="n">
        <v>2.7</v>
      </c>
      <c r="AI36" s="1" t="n">
        <v>3.7</v>
      </c>
      <c r="AJ36" s="5" t="n">
        <v>60</v>
      </c>
      <c r="AK36" s="19" t="str">
        <f aca="false">CONCATENATE(VLOOKUP(AL36, 'Voxel Sizes'!$A$2:$B$18,2,FALSE()),"x",INT(AH36*15), "x", INT(AI36*15))</f>
        <v>238x40x55</v>
      </c>
      <c r="AL36" s="1" t="n">
        <f aca="false">ROUND(15*((AG36*10)/256),0)</f>
        <v>14</v>
      </c>
      <c r="AN36" s="1" t="str">
        <f aca="false">CONCATENATE(VLOOKUP(AL36,Constants!$A$2:$C$16,IF(AM36&lt;&gt;"", 3, 2), FALSE()),IF(AM36&lt;&gt;"",CONCATENATE(",",VLOOKUP(AM36,$B:$AN,38,FALSE())),""))</f>
        <v>4,6,4</v>
      </c>
      <c r="AR36" s="1" t="s">
        <v>288</v>
      </c>
      <c r="AT36" s="1" t="n">
        <v>1</v>
      </c>
      <c r="AX36" s="1" t="n">
        <v>33</v>
      </c>
      <c r="AZ36" s="1" t="n">
        <v>-10</v>
      </c>
      <c r="BA36" s="1" t="n">
        <v>-15</v>
      </c>
      <c r="BB36" s="1" t="n">
        <f aca="false">MIN(AB36/150, 1)*30</f>
        <v>15</v>
      </c>
      <c r="BC36" s="1" t="n">
        <f aca="false">MIN(N36/4000, 1)*20</f>
        <v>1.425</v>
      </c>
      <c r="BD36" s="1" t="n">
        <f aca="false">MIN(Z36/400,1)*20</f>
        <v>2.75</v>
      </c>
      <c r="BE36" s="4" t="n">
        <f aca="false">1-(MAX(J36-1900, 0)/750)</f>
        <v>0.878666666666667</v>
      </c>
      <c r="BF36" s="1" t="n">
        <f aca="false">((MAX($M36,1)*MIN($AJ36/300,1)))*IF(G36="Wagon",50,10)</f>
        <v>2</v>
      </c>
      <c r="BG36" s="1" t="n">
        <f aca="false">VLOOKUP($H36,Constants!$I:$K, 2, FALSE())</f>
        <v>1</v>
      </c>
      <c r="BH36" s="1" t="n">
        <f aca="false">VLOOKUP($H36,Constants!$I:$K, 3, FALSE())*IF(AND(G36="multiple_unit",AB36&lt;110),0.75,1)</f>
        <v>1.5</v>
      </c>
      <c r="BI36" s="1" t="n">
        <f aca="false">INT(POWER(((Constants!$G$2+$BB36+$BC36+$BD36+$BF36)*$BE36)*$BH36, 1.05))+$BA36</f>
        <v>26</v>
      </c>
      <c r="BJ36" s="1" t="n">
        <f aca="false">INT(POWER((((Constants!$G$1+$BB36+$BC36+$BD36+$BF36)*($BE36))*$BG36),IF($G36="wagon",1,1.2)))+$AZ36</f>
        <v>53</v>
      </c>
      <c r="BK36" s="20" t="n">
        <f aca="false">BI36*IF($G36="wagon",62.5,781.25)</f>
        <v>20312.5</v>
      </c>
      <c r="BL36" s="20" t="n">
        <f aca="false">BJ36*IF($G36="wagon",2.73,81.25)</f>
        <v>4306.25</v>
      </c>
      <c r="BQ36" s="19" t="str">
        <f aca="false">_xlfn.ORG.LIBREOFFICE.REGEX(_xlfn.ORG.LIBREOFFICE.REGEX(SPRINTERMUVEHICLES, _xlfn.CONCAT(B36, ",?"), ""), ",$", "")</f>
        <v>class_141,class_150,class_151,class_153,super_sprinter,express_sprinter_2car,express_sprinter_3car,sprinter_hybrid,class_170,class_170_3car</v>
      </c>
      <c r="BS36" s="1" t="s">
        <v>289</v>
      </c>
      <c r="BT36" s="1" t="n">
        <v>4</v>
      </c>
      <c r="BU36" s="1" t="n">
        <v>185</v>
      </c>
      <c r="BX36" s="1" t="s">
        <v>148</v>
      </c>
      <c r="BY36" s="1" t="str">
        <f aca="false">VLOOKUP(J36,Eras!$A$2:$C$10, 2, TRUE())</f>
        <v>lbr</v>
      </c>
      <c r="BZ36" s="18" t="s">
        <v>166</v>
      </c>
      <c r="CA36" s="1" t="s">
        <v>284</v>
      </c>
      <c r="CB36" s="1" t="s">
        <v>285</v>
      </c>
      <c r="CC36" s="21" t="str">
        <f aca="false">_xlfn.CONCAT("{BLACK}Length: {GOLD}", TEXT(ROUNDUP(IF(AQ36&lt;&gt;"",SUM(VALUE(_xlfn.TEXTSPLIT(AQ36, ","))), SUM(VALUE(_xlfn.TEXTSPLIT(AN36, ",")))*IF(M36, M36, 1))/16, 1), "#,##0.0"), " tiles{}")</f>
        <v>{BLACK}Length: {GOLD}0.9 tiles{}</v>
      </c>
      <c r="CD36" s="1" t="str">
        <f aca="false">VLOOKUP($CB36, Constants!$M:$N, 2, FALSE())</f>
        <v>{BLACK}Powered by: {GOLD}Diesel</v>
      </c>
      <c r="CE36" s="1" t="str">
        <f aca="false">IF(M36&gt;1,_xlfn.CONCAT("{BLACK}Cars: {GOLD}", M36),"")</f>
        <v/>
      </c>
      <c r="CF36" s="1" t="s">
        <v>290</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{BLACK}Powered by: {GOLD}Diesel {}{BLACK}Length: {GOLD}0.9 tiles{}{SILVER}What if the class 153s were converted for parcels service rather than passenger use? This preceds the later use of the 153 as supplementary bike carriages or ‘active travel’ vehicles.</v>
      </c>
      <c r="CI36" s="1"/>
      <c r="CJ36" s="1"/>
    </row>
    <row r="37" s="19" customFormat="true" ht="13.8" hidden="false" customHeight="false" outlineLevel="0" collapsed="false">
      <c r="A37" s="19" t="s">
        <v>291</v>
      </c>
      <c r="B37" s="19" t="s">
        <v>292</v>
      </c>
      <c r="C37" s="19" t="n">
        <v>156</v>
      </c>
      <c r="E37" s="19" t="n">
        <v>157</v>
      </c>
      <c r="F37" s="19" t="s">
        <v>89</v>
      </c>
      <c r="G37" s="19" t="s">
        <v>90</v>
      </c>
      <c r="H37" s="19" t="s">
        <v>152</v>
      </c>
      <c r="I37" s="19" t="s">
        <v>153</v>
      </c>
      <c r="J37" s="19" t="n">
        <v>1988</v>
      </c>
      <c r="M37" s="19" t="n">
        <v>2</v>
      </c>
      <c r="N37" s="19" t="n">
        <f aca="false">285*2</f>
        <v>570</v>
      </c>
      <c r="O37" s="25"/>
      <c r="P37" s="26"/>
      <c r="Q37" s="26"/>
      <c r="R37" s="26"/>
      <c r="S37" s="26"/>
      <c r="T37" s="26"/>
      <c r="U37" s="26"/>
      <c r="V37" s="26"/>
      <c r="W37" s="19" t="n">
        <f aca="false">35.5+36.1</f>
        <v>71.6</v>
      </c>
      <c r="X37" s="25"/>
      <c r="Y37" s="19" t="n">
        <v>5</v>
      </c>
      <c r="Z37" s="19" t="n">
        <v>110</v>
      </c>
      <c r="AA37" s="27" t="n">
        <f aca="false">IF(AND(W37&gt;0,Z37&gt;0),(Z37/((W37+X37)*10)),"")</f>
        <v>0.153631284916201</v>
      </c>
      <c r="AB37" s="19" t="n">
        <v>75</v>
      </c>
      <c r="AC37" s="19" t="n">
        <f aca="false">ROUND(AB37*1.6, 0)</f>
        <v>120</v>
      </c>
      <c r="AF37" s="19" t="n">
        <v>23</v>
      </c>
      <c r="AG37" s="19" t="n">
        <v>23</v>
      </c>
      <c r="AH37" s="19" t="n">
        <v>2.8</v>
      </c>
      <c r="AI37" s="19" t="n">
        <v>3.7</v>
      </c>
      <c r="AJ37" s="28" t="n">
        <v>69</v>
      </c>
      <c r="AK37" s="19" t="str">
        <f aca="false">CONCATENATE(VLOOKUP(AL37, '[1]Voxel Sizes'!$A$2:$B$18,2,FALSE()),"x",INT(AH37*15), "x", INT(AI37*15))</f>
        <v>214x42x55</v>
      </c>
      <c r="AL37" s="19" t="n">
        <f aca="false">ROUND(15*((AG37*10)/256),0)</f>
        <v>13</v>
      </c>
      <c r="AN37" s="19" t="str">
        <f aca="false">CONCATENATE(VLOOKUP(AL37,[1]Constants!$A$2:$C$16,IF(AM37&lt;&gt;"", 3, 2), FALSE()),IF(AM37&lt;&gt;"",CONCATENATE(",",VLOOKUP(AM37,$B:$AN,39,FALSE())),""))</f>
        <v>4,5,4</v>
      </c>
      <c r="AP37" s="29"/>
      <c r="AQ37" s="29"/>
      <c r="AR37" s="19" t="s">
        <v>293</v>
      </c>
      <c r="AT37" s="19" t="s">
        <v>113</v>
      </c>
      <c r="AX37" s="19" t="n">
        <v>33</v>
      </c>
      <c r="AY37" s="30" t="str">
        <f aca="false">IF(L37&lt;&gt;"",MAX(16,(L37-J37)+8),"")</f>
        <v/>
      </c>
      <c r="AZ37" s="19" t="n">
        <v>-10</v>
      </c>
      <c r="BA37" s="19" t="n">
        <v>-15</v>
      </c>
      <c r="BB37" s="19" t="n">
        <f aca="false">MIN(AB37/150, 1)*30</f>
        <v>15</v>
      </c>
      <c r="BC37" s="19" t="n">
        <f aca="false">MIN(N37/4000, 1)*20</f>
        <v>2.85</v>
      </c>
      <c r="BD37" s="19" t="n">
        <f aca="false">MIN(Z37/400,1)*20</f>
        <v>5.5</v>
      </c>
      <c r="BE37" s="27" t="n">
        <f aca="false">1-(MAX(J37-1900, 0)/750)</f>
        <v>0.882666666666667</v>
      </c>
      <c r="BF37" s="19" t="n">
        <f aca="false">((MAX($M37,1)*MIN($AJ37/300,1)))*IF(G37="Wagon",50,10)</f>
        <v>4.6</v>
      </c>
      <c r="BG37" s="1" t="n">
        <f aca="false">VLOOKUP($H37,Constants!$I:$K, 2, FALSE())</f>
        <v>1</v>
      </c>
      <c r="BH37" s="1" t="n">
        <f aca="false">VLOOKUP($H37,Constants!$I:$K, 3, FALSE())*IF(AND(G37="multiple_unit",AB37&lt;110),0.75,1)</f>
        <v>1.5</v>
      </c>
      <c r="BI37" s="1" t="n">
        <f aca="false">INT(POWER(((Constants!$G$2+$BB37+$BC37+$BD37+$BF37)*$BE37)*$BH37, 1.05))+$BA37</f>
        <v>37</v>
      </c>
      <c r="BJ37" s="1" t="n">
        <f aca="false">INT(POWER((((Constants!$G$1+$BB37+$BC37+$BD37+$BF37)*($BE37))*$BG37),IF($G37="wagon",1,1.2)))+$AZ37</f>
        <v>68</v>
      </c>
      <c r="BK37" s="31" t="n">
        <f aca="false">BI37*IF($G37="wagon",62.5,781.25)</f>
        <v>28906.25</v>
      </c>
      <c r="BL37" s="31" t="n">
        <f aca="false">BJ37*IF($G37="wagon",2.73,81.25)</f>
        <v>5525</v>
      </c>
      <c r="BQ37" s="19" t="str">
        <f aca="false">_xlfn.ORG.LIBREOFFICE.REGEX(_xlfn.ORG.LIBREOFFICE.REGEX(SPRINTERMUVEHICLES, _xlfn.CONCAT(B37, ",?"), ""), ",$", "")</f>
        <v>class_141,class_150,class_151,class_153,class_153_mail,express_sprinter_2car,express_sprinter_3car,sprinter_hybrid,class_170,class_170_3car</v>
      </c>
      <c r="BT37" s="19" t="n">
        <v>4</v>
      </c>
      <c r="BU37" s="19" t="n">
        <v>185</v>
      </c>
      <c r="BX37" s="19" t="s">
        <v>95</v>
      </c>
      <c r="BY37" s="19" t="str">
        <f aca="false">VLOOKUP(J37,[1]Eras!$A$2:$C$10, 2, TRUE())</f>
        <v>lbr</v>
      </c>
      <c r="BZ37" s="32" t="s">
        <v>166</v>
      </c>
      <c r="CA37" s="19" t="str">
        <f aca="false">CONCATENATE(BY37,"_",BZ37)</f>
        <v>lbr_DMU</v>
      </c>
      <c r="CB37" s="19" t="str">
        <f aca="false">_xlfn.CONCAT(H37, "_",I37)</f>
        <v>diesel_RAIL</v>
      </c>
      <c r="CC37" s="33" t="str">
        <f aca="false" t="array" ref="CC37:CC37">_xlfn.CONCAT("{BLACK}Length: {GOLD}", TEXT(ROUNDUP(IF(AQ37&lt;&gt;"",SUM(VALUE(_xlfn.TEXTSPLIT(AQ37, ","))), SUM(VALUE(_xlfn.TEXTSPLIT(AN37, ",")))*IF(M37, M37, 1))/16, 1), "#,##0.0"), " tiles{}")</f>
        <v>{BLACK}Length: {GOLD}1.7 tiles{}</v>
      </c>
      <c r="CD37" s="1" t="str">
        <f aca="false">VLOOKUP($CB37, Constants!$M:$N, 2, FALSE())</f>
        <v>{BLACK}Powered by: {GOLD}Diesel</v>
      </c>
      <c r="CE37" s="19" t="str">
        <f aca="false">IF(M37&gt;1,_xlfn.CONCAT("{BLACK}Cars: {GOLD}", M37),"")</f>
        <v>{BLACK}Cars: {GOLD}2</v>
      </c>
      <c r="CF37" s="19" t="s">
        <v>294</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{GOLD}Diesel {BLACK}Cars: {GOLD}2{}{BLACK}Length: {GOLD}1.7 tiles{}{SILVER}The Class 156 is a member of the Sprinter family designed for longer journeys, with single doors at each end rather than the metro-style doors of the Class 150s.</v>
      </c>
    </row>
    <row r="38" s="19" customFormat="true" ht="13.8" hidden="false" customHeight="false" outlineLevel="0" collapsed="false">
      <c r="A38" s="19" t="s">
        <v>295</v>
      </c>
      <c r="B38" s="19" t="s">
        <v>296</v>
      </c>
      <c r="C38" s="19" t="n">
        <v>157</v>
      </c>
      <c r="E38" s="19" t="n">
        <v>158</v>
      </c>
      <c r="F38" s="19" t="s">
        <v>89</v>
      </c>
      <c r="G38" s="19" t="s">
        <v>90</v>
      </c>
      <c r="H38" s="19" t="s">
        <v>152</v>
      </c>
      <c r="I38" s="19" t="s">
        <v>153</v>
      </c>
      <c r="J38" s="19" t="n">
        <v>1989</v>
      </c>
      <c r="K38" s="19" t="n">
        <v>1992</v>
      </c>
      <c r="M38" s="19" t="n">
        <v>2</v>
      </c>
      <c r="N38" s="19" t="n">
        <f aca="false">350*2</f>
        <v>700</v>
      </c>
      <c r="O38" s="25"/>
      <c r="P38" s="26"/>
      <c r="Q38" s="26"/>
      <c r="R38" s="26"/>
      <c r="S38" s="26"/>
      <c r="T38" s="26"/>
      <c r="U38" s="26"/>
      <c r="V38" s="26"/>
      <c r="W38" s="19" t="n">
        <f aca="false">38.5 * 2</f>
        <v>77</v>
      </c>
      <c r="X38" s="25"/>
      <c r="Y38" s="19" t="n">
        <v>5</v>
      </c>
      <c r="Z38" s="19" t="n">
        <v>120</v>
      </c>
      <c r="AA38" s="27" t="n">
        <f aca="false">IF(AND(W38&gt;0,Z38&gt;0),(Z38/((W38+X38)*10)),"")</f>
        <v>0.155844155844156</v>
      </c>
      <c r="AB38" s="19" t="n">
        <v>90</v>
      </c>
      <c r="AC38" s="19" t="n">
        <f aca="false">ROUND(AB38*1.6, 0)</f>
        <v>144</v>
      </c>
      <c r="AF38" s="19" t="n">
        <v>23.2</v>
      </c>
      <c r="AG38" s="19" t="n">
        <v>23</v>
      </c>
      <c r="AH38" s="19" t="n">
        <v>2.7</v>
      </c>
      <c r="AJ38" s="28" t="n">
        <v>69</v>
      </c>
      <c r="AK38" s="19" t="str">
        <f aca="false">CONCATENATE(VLOOKUP(AL38, '[1]Voxel Sizes'!$A$2:$B$18,2,FALSE()),"x",INT(AH38*15), "x", INT(AI38*15))</f>
        <v>214x40x0</v>
      </c>
      <c r="AL38" s="19" t="n">
        <f aca="false">ROUND(15*((AG38*10)/256),0)</f>
        <v>13</v>
      </c>
      <c r="AN38" s="19" t="str">
        <f aca="false">CONCATENATE(VLOOKUP(AL38,[1]Constants!$A$2:$C$16,IF(AM38&lt;&gt;"", 3, 2), FALSE()),IF(AM38&lt;&gt;"",CONCATENATE(",",VLOOKUP(AM38,$B:$AN,39,FALSE())),""))</f>
        <v>4,5,4</v>
      </c>
      <c r="AP38" s="29"/>
      <c r="AQ38" s="29"/>
      <c r="AR38" s="19" t="s">
        <v>297</v>
      </c>
      <c r="AT38" s="19" t="s">
        <v>113</v>
      </c>
      <c r="AU38" s="19" t="s">
        <v>298</v>
      </c>
      <c r="AX38" s="19" t="n">
        <v>33</v>
      </c>
      <c r="AY38" s="30" t="str">
        <f aca="false">IF(L38&lt;&gt;"",MAX(16,(L38-J38)+8),"")</f>
        <v/>
      </c>
      <c r="AZ38" s="19" t="n">
        <v>-10</v>
      </c>
      <c r="BA38" s="19" t="n">
        <v>-15</v>
      </c>
      <c r="BB38" s="19" t="n">
        <f aca="false">MIN(AB38/150, 1)*30</f>
        <v>18</v>
      </c>
      <c r="BC38" s="19" t="n">
        <f aca="false">MIN(N38/4000, 1)*20</f>
        <v>3.5</v>
      </c>
      <c r="BD38" s="19" t="n">
        <f aca="false">MIN(Z38/400,1)*20</f>
        <v>6</v>
      </c>
      <c r="BE38" s="27" t="n">
        <f aca="false">1-(MAX(J38-1900, 0)/750)</f>
        <v>0.881333333333333</v>
      </c>
      <c r="BF38" s="19" t="n">
        <f aca="false">((MAX($M38,1)*MIN($AJ38/300,1)))*IF(G38="Wagon",50,10)</f>
        <v>4.6</v>
      </c>
      <c r="BG38" s="1" t="n">
        <f aca="false">VLOOKUP($H38,Constants!$I:$K, 2, FALSE())</f>
        <v>1</v>
      </c>
      <c r="BH38" s="1" t="n">
        <f aca="false">VLOOKUP($H38,Constants!$I:$K, 3, FALSE())*IF(AND(G38="multiple_unit",AB38&lt;110),0.75,1)</f>
        <v>1.5</v>
      </c>
      <c r="BI38" s="1" t="n">
        <f aca="false">INT(POWER(((Constants!$G$2+$BB38+$BC38+$BD38+$BF38)*$BE38)*$BH38, 1.05))+$BA38</f>
        <v>44</v>
      </c>
      <c r="BJ38" s="1" t="n">
        <f aca="false">INT(POWER((((Constants!$G$1+$BB38+$BC38+$BD38+$BF38)*($BE38))*$BG38),IF($G38="wagon",1,1.2)))+$AZ38</f>
        <v>77</v>
      </c>
      <c r="BK38" s="31" t="n">
        <f aca="false">BI38*IF($G38="wagon",62.5,781.25)</f>
        <v>34375</v>
      </c>
      <c r="BL38" s="31" t="n">
        <f aca="false">BJ38*IF($G38="wagon",2.73,81.25)</f>
        <v>6256.25</v>
      </c>
      <c r="BQ38" s="19" t="str">
        <f aca="false">_xlfn.ORG.LIBREOFFICE.REGEX(_xlfn.ORG.LIBREOFFICE.REGEX(SPRINTERMUVEHICLES, _xlfn.CONCAT(B38, ",?"), ""), ",$", "")</f>
        <v>class_141,class_150,class_151,class_153,class_153_mail,super_sprinter,express_sprinter_3car,sprinter_hybrid,class_170,class_170_3car</v>
      </c>
      <c r="BT38" s="19" t="n">
        <v>7</v>
      </c>
      <c r="BU38" s="19" t="n">
        <v>205</v>
      </c>
      <c r="BX38" s="19" t="s">
        <v>95</v>
      </c>
      <c r="BY38" s="19" t="str">
        <f aca="false">VLOOKUP(J38,[1]Eras!$A$2:$C$10, 2, TRUE())</f>
        <v>lbr</v>
      </c>
      <c r="BZ38" s="32" t="s">
        <v>205</v>
      </c>
      <c r="CA38" s="19" t="str">
        <f aca="false">CONCATENATE(BY38,"_",BZ38)</f>
        <v>lbr_DMU (Express)</v>
      </c>
      <c r="CB38" s="19" t="str">
        <f aca="false">_xlfn.CONCAT(H38, "_",I38)</f>
        <v>diesel_RAIL</v>
      </c>
      <c r="CC38" s="33" t="str">
        <f aca="false" t="array" ref="CC38:CC38">_xlfn.CONCAT("{BLACK}Length: {GOLD}", TEXT(ROUNDUP(IF(AQ38&lt;&gt;"",SUM(VALUE(_xlfn.TEXTSPLIT(AQ38, ","))), SUM(VALUE(_xlfn.TEXTSPLIT(AN38, ",")))*IF(M38, M38, 1))/16, 1), "#,##0.0"), " tiles{}")</f>
        <v>{BLACK}Length: {GOLD}1.7 tiles{}</v>
      </c>
      <c r="CD38" s="1" t="str">
        <f aca="false">VLOOKUP($CB38, Constants!$M:$N, 2, FALSE())</f>
        <v>{BLACK}Powered by: {GOLD}Diesel</v>
      </c>
      <c r="CE38" s="19" t="str">
        <f aca="false">IF(M38&gt;1,_xlfn.CONCAT("{BLACK}Cars: {GOLD}", M38),"")</f>
        <v>{BLACK}Cars: {GOLD}2</v>
      </c>
      <c r="CF38" s="19" t="s">
        <v>299</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{YELLOW}10% bonus for long distance travel{}</v>
      </c>
      <c r="CH38" s="1" t="str">
        <f aca="false">_xlfn.CONCAT(CD38,IF(CD38 &lt;&gt; "", " ", ""),CE38,IF(OR(CE38&lt;&gt;"", CD38&lt;&gt;""), "{}",""), CC38, CG38,"{SILVER}", CF38)</f>
        <v>{BLACK}Powered by: {GOLD}Diesel {BLACK}Cars: {GOLD}2{}{BLACK}Length: {GOLD}1.7 tiles{}{YELLOW}10% bonus for long distance travel{}{SILVER}The Class 158 has many improvements over earlier generation Sprinters, including air conditioning and a more comfortable ride.</v>
      </c>
    </row>
    <row r="39" s="19" customFormat="true" ht="13.8" hidden="false" customHeight="false" outlineLevel="0" collapsed="false">
      <c r="A39" s="19" t="s">
        <v>295</v>
      </c>
      <c r="B39" s="19" t="s">
        <v>300</v>
      </c>
      <c r="C39" s="19" t="n">
        <v>158</v>
      </c>
      <c r="D39" s="19" t="n">
        <v>157</v>
      </c>
      <c r="E39" s="19" t="n">
        <v>159</v>
      </c>
      <c r="F39" s="19" t="s">
        <v>89</v>
      </c>
      <c r="G39" s="19" t="s">
        <v>90</v>
      </c>
      <c r="H39" s="19" t="s">
        <v>152</v>
      </c>
      <c r="I39" s="19" t="s">
        <v>153</v>
      </c>
      <c r="J39" s="19" t="n">
        <v>1989</v>
      </c>
      <c r="K39" s="19" t="n">
        <v>1992</v>
      </c>
      <c r="M39" s="19" t="n">
        <v>3</v>
      </c>
      <c r="N39" s="19" t="n">
        <f aca="false">350*3</f>
        <v>1050</v>
      </c>
      <c r="O39" s="25"/>
      <c r="P39" s="26"/>
      <c r="Q39" s="26"/>
      <c r="R39" s="26"/>
      <c r="S39" s="26"/>
      <c r="T39" s="26"/>
      <c r="U39" s="26"/>
      <c r="V39" s="26"/>
      <c r="W39" s="19" t="n">
        <f aca="false">38.5 * 3</f>
        <v>115.5</v>
      </c>
      <c r="X39" s="25"/>
      <c r="Y39" s="19" t="n">
        <v>5</v>
      </c>
      <c r="Z39" s="19" t="n">
        <v>120</v>
      </c>
      <c r="AA39" s="27" t="n">
        <f aca="false">IF(AND(W39&gt;0,Z39&gt;0),(Z39/((W39+X39)*10)),"")</f>
        <v>0.103896103896104</v>
      </c>
      <c r="AB39" s="19" t="n">
        <v>90</v>
      </c>
      <c r="AC39" s="19" t="n">
        <f aca="false">ROUND(AB39*1.6, 0)</f>
        <v>144</v>
      </c>
      <c r="AF39" s="19" t="n">
        <v>23.2</v>
      </c>
      <c r="AG39" s="19" t="n">
        <v>23</v>
      </c>
      <c r="AH39" s="19" t="n">
        <v>2.7</v>
      </c>
      <c r="AJ39" s="28" t="n">
        <v>69</v>
      </c>
      <c r="AK39" s="19" t="str">
        <f aca="false">CONCATENATE(VLOOKUP(AL39, '[1]Voxel Sizes'!$A$2:$B$18,2,FALSE()),"x",INT(AH39*15), "x", INT(AI39*15))</f>
        <v>214x40x0</v>
      </c>
      <c r="AL39" s="19" t="n">
        <f aca="false">ROUND(15*((AG39*10)/256),0)</f>
        <v>13</v>
      </c>
      <c r="AN39" s="19" t="str">
        <f aca="false">CONCATENATE(VLOOKUP(AL39,[1]Constants!$A$2:$C$16,IF(AM39&lt;&gt;"", 3, 2), FALSE()),IF(AM39&lt;&gt;"",CONCATENATE(",",VLOOKUP(AM39,$B:$AN,39,FALSE())),""))</f>
        <v>4,5,4</v>
      </c>
      <c r="AP39" s="29"/>
      <c r="AQ39" s="29"/>
      <c r="AR39" s="19" t="s">
        <v>301</v>
      </c>
      <c r="AT39" s="19" t="s">
        <v>302</v>
      </c>
      <c r="AU39" s="19" t="s">
        <v>298</v>
      </c>
      <c r="AX39" s="19" t="n">
        <v>33</v>
      </c>
      <c r="AY39" s="30" t="str">
        <f aca="false">IF(L39&lt;&gt;"",MAX(16,(L39-J39)+8),"")</f>
        <v/>
      </c>
      <c r="AZ39" s="19" t="n">
        <v>-10</v>
      </c>
      <c r="BA39" s="19" t="n">
        <v>-15</v>
      </c>
      <c r="BB39" s="19" t="n">
        <f aca="false">MIN(AB39/150, 1)*30</f>
        <v>18</v>
      </c>
      <c r="BC39" s="19" t="n">
        <f aca="false">MIN(N39/4000, 1)*20</f>
        <v>5.25</v>
      </c>
      <c r="BD39" s="19" t="n">
        <f aca="false">MIN(Z39/400,1)*20</f>
        <v>6</v>
      </c>
      <c r="BE39" s="27" t="n">
        <f aca="false">1-(MAX(J39-1900, 0)/750)</f>
        <v>0.881333333333333</v>
      </c>
      <c r="BF39" s="19" t="n">
        <f aca="false">((MAX($M39,1)*MIN($AJ39/300,1)))*IF(G39="Wagon",50,10)</f>
        <v>6.9</v>
      </c>
      <c r="BG39" s="1" t="n">
        <f aca="false">VLOOKUP($H39,Constants!$I:$K, 2, FALSE())</f>
        <v>1</v>
      </c>
      <c r="BH39" s="1" t="n">
        <f aca="false">VLOOKUP($H39,Constants!$I:$K, 3, FALSE())*IF(AND(G39="multiple_unit",AB39&lt;110),0.75,1)</f>
        <v>1.5</v>
      </c>
      <c r="BI39" s="1" t="n">
        <f aca="false">INT(POWER(((Constants!$G$2+$BB39+$BC39+$BD39+$BF39)*$BE39)*$BH39, 1.05))+$BA39</f>
        <v>51</v>
      </c>
      <c r="BJ39" s="1" t="n">
        <f aca="false">INT(POWER((((Constants!$G$1+$BB39+$BC39+$BD39+$BF39)*($BE39))*$BG39),IF($G39="wagon",1,1.2)))+$AZ39</f>
        <v>86</v>
      </c>
      <c r="BK39" s="31" t="n">
        <f aca="false">BI39*IF($G39="wagon",62.5,781.25)</f>
        <v>39843.75</v>
      </c>
      <c r="BL39" s="31" t="n">
        <f aca="false">BJ39*IF($G39="wagon",2.73,81.25)</f>
        <v>6987.5</v>
      </c>
      <c r="BQ39" s="19" t="str">
        <f aca="false">_xlfn.ORG.LIBREOFFICE.REGEX(_xlfn.ORG.LIBREOFFICE.REGEX(SPRINTERMUVEHICLES, _xlfn.CONCAT(B39, ",?"), ""), ",$", "")</f>
        <v>class_141,class_150,class_151,class_153,class_153_mail,super_sprinter,express_sprinter_2car,sprinter_hybrid,class_170,class_170_3car</v>
      </c>
      <c r="BT39" s="19" t="n">
        <v>7</v>
      </c>
      <c r="BU39" s="19" t="n">
        <v>205</v>
      </c>
      <c r="BX39" s="19" t="s">
        <v>95</v>
      </c>
      <c r="BY39" s="19" t="str">
        <f aca="false">VLOOKUP(J39,[1]Eras!$A$2:$C$10, 2, TRUE())</f>
        <v>lbr</v>
      </c>
      <c r="BZ39" s="32" t="s">
        <v>205</v>
      </c>
      <c r="CA39" s="19" t="str">
        <f aca="false">CONCATENATE(BY39,"_",BZ39)</f>
        <v>lbr_DMU (Express)</v>
      </c>
      <c r="CB39" s="19" t="str">
        <f aca="false">_xlfn.CONCAT(H39, "_",I39)</f>
        <v>diesel_RAIL</v>
      </c>
      <c r="CC39" s="33" t="str">
        <f aca="false" t="array" ref="CC39:CC39">_xlfn.CONCAT("{BLACK}Length: {GOLD}", TEXT(ROUNDUP(IF(AQ39&lt;&gt;"",SUM(VALUE(_xlfn.TEXTSPLIT(AQ39, ","))), SUM(VALUE(_xlfn.TEXTSPLIT(AN39, ",")))*IF(M39, M39, 1))/16, 1), "#,##0.0"), " tiles{}")</f>
        <v>{BLACK}Length: {GOLD}2.5 tiles{}</v>
      </c>
      <c r="CD39" s="1" t="str">
        <f aca="false">VLOOKUP($CB39, Constants!$M:$N, 2, FALSE())</f>
        <v>{BLACK}Powered by: {GOLD}Diesel</v>
      </c>
      <c r="CE39" s="19" t="str">
        <f aca="false">IF(M39&gt;1,_xlfn.CONCAT("{BLACK}Cars: {GOLD}", M39),"")</f>
        <v>{BLACK}Cars: {GOLD}3</v>
      </c>
      <c r="CF39" s="19" t="s">
        <v>299</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{YELLOW}10% bonus for long distance travel{}</v>
      </c>
      <c r="CH39" s="1" t="str">
        <f aca="false">_xlfn.CONCAT(CD39,IF(CD39 &lt;&gt; "", " ", ""),CE39,IF(OR(CE39&lt;&gt;"", CD39&lt;&gt;""), "{}",""), CC39, CG39,"{SILVER}", CF39)</f>
        <v>{BLACK}Powered by: {GOLD}Diesel {BLACK}Cars: {GOLD}3{}{BLACK}Length: {GOLD}2.5 tiles{}{YELLOW}10% bonus for long distance travel{}{SILVER}The Class 158 has many improvements over earlier generation Sprinters, including air conditioning and a more comfortable ride.</v>
      </c>
    </row>
    <row r="40" s="19" customFormat="true" ht="13.8" hidden="false" customHeight="false" outlineLevel="0" collapsed="false">
      <c r="A40" s="19" t="s">
        <v>303</v>
      </c>
      <c r="B40" s="19" t="s">
        <v>304</v>
      </c>
      <c r="C40" s="19" t="n">
        <v>159</v>
      </c>
      <c r="D40" s="19" t="n">
        <v>157</v>
      </c>
      <c r="E40" s="19" t="n">
        <v>160</v>
      </c>
      <c r="F40" s="19" t="s">
        <v>89</v>
      </c>
      <c r="G40" s="19" t="s">
        <v>90</v>
      </c>
      <c r="H40" s="19" t="s">
        <v>152</v>
      </c>
      <c r="I40" s="19" t="s">
        <v>153</v>
      </c>
      <c r="J40" s="19" t="n">
        <v>1989</v>
      </c>
      <c r="K40" s="19" t="n">
        <v>1992</v>
      </c>
      <c r="M40" s="19" t="n">
        <v>2</v>
      </c>
      <c r="N40" s="19" t="n">
        <f aca="false">350+285</f>
        <v>635</v>
      </c>
      <c r="O40" s="25"/>
      <c r="P40" s="26"/>
      <c r="Q40" s="26"/>
      <c r="R40" s="26"/>
      <c r="S40" s="26"/>
      <c r="T40" s="26"/>
      <c r="U40" s="26"/>
      <c r="V40" s="26"/>
      <c r="W40" s="19" t="n">
        <f aca="false">38.5+36.1</f>
        <v>74.6</v>
      </c>
      <c r="X40" s="25"/>
      <c r="Y40" s="19" t="n">
        <v>5</v>
      </c>
      <c r="Z40" s="19" t="n">
        <v>120</v>
      </c>
      <c r="AA40" s="27" t="n">
        <f aca="false">IF(AND(W40&gt;0,Z40&gt;0),(Z40/((W40+X40)*10)),"")</f>
        <v>0.160857908847185</v>
      </c>
      <c r="AB40" s="19" t="n">
        <v>75</v>
      </c>
      <c r="AC40" s="19" t="n">
        <f aca="false">ROUND(AB40*1.6, 0)</f>
        <v>120</v>
      </c>
      <c r="AF40" s="19" t="n">
        <v>23.2</v>
      </c>
      <c r="AG40" s="19" t="n">
        <v>23</v>
      </c>
      <c r="AH40" s="19" t="n">
        <v>2.7</v>
      </c>
      <c r="AJ40" s="28" t="n">
        <v>69</v>
      </c>
      <c r="AK40" s="19" t="str">
        <f aca="false">CONCATENATE(VLOOKUP(AL40, '[1]Voxel Sizes'!$A$2:$B$18,2,FALSE()),"x",INT(AH40*15), "x", INT(AI40*15))</f>
        <v>214x40x0</v>
      </c>
      <c r="AL40" s="19" t="n">
        <f aca="false">ROUND(15*((AG40*10)/256),0)</f>
        <v>13</v>
      </c>
      <c r="AN40" s="19" t="str">
        <f aca="false">CONCATENATE(VLOOKUP(AL40,[1]Constants!$A$2:$C$16,IF(AM40&lt;&gt;"", 3, 2), FALSE()),IF(AM40&lt;&gt;"",CONCATENATE(",",VLOOKUP(AM40,$B:$AN,39,FALSE())),""))</f>
        <v>4,5,4</v>
      </c>
      <c r="AP40" s="29"/>
      <c r="AQ40" s="29"/>
      <c r="AR40" s="19" t="s">
        <v>305</v>
      </c>
      <c r="AT40" s="19" t="s">
        <v>183</v>
      </c>
      <c r="AU40" s="19" t="s">
        <v>298</v>
      </c>
      <c r="AX40" s="19" t="n">
        <v>33</v>
      </c>
      <c r="AY40" s="30" t="str">
        <f aca="false">IF(L40&lt;&gt;"",MAX(16,(L40-J40)+8),"")</f>
        <v/>
      </c>
      <c r="AZ40" s="19" t="n">
        <v>-10</v>
      </c>
      <c r="BA40" s="19" t="n">
        <v>-15</v>
      </c>
      <c r="BB40" s="19" t="n">
        <f aca="false">MIN(AB40/150, 1)*30</f>
        <v>15</v>
      </c>
      <c r="BC40" s="19" t="n">
        <f aca="false">MIN(N40/4000, 1)*20</f>
        <v>3.175</v>
      </c>
      <c r="BD40" s="19" t="n">
        <f aca="false">MIN(Z40/400,1)*20</f>
        <v>6</v>
      </c>
      <c r="BE40" s="27" t="n">
        <f aca="false">1-(MAX(J40-1900, 0)/750)</f>
        <v>0.881333333333333</v>
      </c>
      <c r="BF40" s="19" t="n">
        <f aca="false">((MAX($M40,1)*MIN($AJ40/300,1)))*IF(G40="Wagon",50,10)</f>
        <v>4.6</v>
      </c>
      <c r="BG40" s="1" t="n">
        <f aca="false">VLOOKUP($H40,Constants!$I:$K, 2, FALSE())</f>
        <v>1</v>
      </c>
      <c r="BH40" s="1" t="n">
        <f aca="false">VLOOKUP($H40,Constants!$I:$K, 3, FALSE())*IF(AND(G40="multiple_unit",AB40&lt;110),0.75,1)</f>
        <v>1.5</v>
      </c>
      <c r="BI40" s="1" t="n">
        <f aca="false">INT(POWER(((Constants!$G$2+$BB40+$BC40+$BD40+$BF40)*$BE40)*$BH40, 1.05))+$BA40</f>
        <v>38</v>
      </c>
      <c r="BJ40" s="1" t="n">
        <f aca="false">INT(POWER((((Constants!$G$1+$BB40+$BC40+$BD40+$BF40)*($BE40))*$BG40),IF($G40="wagon",1,1.2)))+$AZ40</f>
        <v>70</v>
      </c>
      <c r="BK40" s="31" t="n">
        <f aca="false">BI40*IF($G40="wagon",62.5,781.25)</f>
        <v>29687.5</v>
      </c>
      <c r="BL40" s="31" t="n">
        <f aca="false">BJ40*IF($G40="wagon",2.73,81.25)</f>
        <v>5687.5</v>
      </c>
      <c r="BQ40" s="19" t="str">
        <f aca="false">_xlfn.ORG.LIBREOFFICE.REGEX(_xlfn.ORG.LIBREOFFICE.REGEX(SPRINTERMUVEHICLES, _xlfn.CONCAT(B40, ",?"), ""), ",$", "")</f>
        <v>class_141,class_150,class_151,class_153,class_153_mail,super_sprinter,express_sprinter_2car,express_sprinter_3car,class_170,class_170_3car</v>
      </c>
      <c r="BT40" s="19" t="n">
        <v>9</v>
      </c>
      <c r="BU40" s="19" t="n">
        <v>185</v>
      </c>
      <c r="BX40" s="19" t="s">
        <v>95</v>
      </c>
      <c r="BY40" s="19" t="str">
        <f aca="false">VLOOKUP(J40,[1]Eras!$A$2:$C$10, 2, TRUE())</f>
        <v>lbr</v>
      </c>
      <c r="BZ40" s="32" t="s">
        <v>166</v>
      </c>
      <c r="CA40" s="19" t="str">
        <f aca="false">CONCATENATE(BY40,"_",BZ40)</f>
        <v>lbr_DMU</v>
      </c>
      <c r="CB40" s="19" t="str">
        <f aca="false">_xlfn.CONCAT(H40, "_",I40)</f>
        <v>diesel_RAIL</v>
      </c>
      <c r="CC40" s="33" t="str">
        <f aca="false" t="array" ref="CC40:CC40">_xlfn.CONCAT("{BLACK}Length: {GOLD}", TEXT(ROUNDUP(IF(AQ40&lt;&gt;"",SUM(VALUE(_xlfn.TEXTSPLIT(AQ40, ","))), SUM(VALUE(_xlfn.TEXTSPLIT(AN40, ",")))*IF(M40, M40, 1))/16, 1), "#,##0.0"), " tiles{}")</f>
        <v>{BLACK}Length: {GOLD}1.7 tiles{}</v>
      </c>
      <c r="CD40" s="1" t="str">
        <f aca="false">VLOOKUP($CB40, Constants!$M:$N, 2, FALSE())</f>
        <v>{BLACK}Powered by: {GOLD}Diesel</v>
      </c>
      <c r="CE40" s="19" t="str">
        <f aca="false">IF(M40&gt;1,_xlfn.CONCAT("{BLACK}Cars: {GOLD}", M40),"")</f>
        <v>{BLACK}Cars: {GOLD}2</v>
      </c>
      <c r="CF40" s="19" t="s">
        <v>306</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
      </c>
      <c r="CH40" s="1" t="str">
        <f aca="false">_xlfn.CONCAT(CD40,IF(CD40 &lt;&gt; "", " ", ""),CE40,IF(OR(CE40&lt;&gt;"", CD40&lt;&gt;""), "{}",""), CC40, CG40,"{SILVER}", CF40)</f>
        <v>{BLACK}Powered by: {GOLD}Diesel {BLACK}Cars: {GOLD}2{}{BLACK}Length: {GOLD}1.7 tiles{}{SILVER}When both Class 158 and Class 156 vehicles are unavailable, it’s possible to run hybrid units of the type, and these have been documented in passenger service on many occasions.</v>
      </c>
    </row>
    <row r="41" s="19" customFormat="true" ht="13.8" hidden="false" customHeight="false" outlineLevel="0" collapsed="false">
      <c r="A41" s="19" t="s">
        <v>307</v>
      </c>
      <c r="B41" s="19" t="s">
        <v>308</v>
      </c>
      <c r="C41" s="19" t="n">
        <v>160</v>
      </c>
      <c r="E41" s="19" t="n">
        <v>161</v>
      </c>
      <c r="F41" s="19" t="s">
        <v>89</v>
      </c>
      <c r="G41" s="19" t="s">
        <v>90</v>
      </c>
      <c r="H41" s="19" t="s">
        <v>152</v>
      </c>
      <c r="I41" s="19" t="s">
        <v>153</v>
      </c>
      <c r="J41" s="19" t="n">
        <v>1998</v>
      </c>
      <c r="K41" s="19" t="n">
        <v>2005</v>
      </c>
      <c r="M41" s="19" t="n">
        <v>2</v>
      </c>
      <c r="N41" s="19" t="n">
        <v>1266</v>
      </c>
      <c r="O41" s="25"/>
      <c r="P41" s="26"/>
      <c r="Q41" s="26"/>
      <c r="R41" s="26"/>
      <c r="S41" s="26"/>
      <c r="T41" s="26"/>
      <c r="U41" s="26"/>
      <c r="V41" s="26"/>
      <c r="W41" s="19" t="n">
        <v>135</v>
      </c>
      <c r="X41" s="25"/>
      <c r="Y41" s="19" t="n">
        <v>5</v>
      </c>
      <c r="Z41" s="19" t="n">
        <v>180</v>
      </c>
      <c r="AA41" s="27" t="n">
        <f aca="false">IF(AND(W41&gt;0,Z41&gt;0),(Z41/((W41+X41)*10)),"")</f>
        <v>0.133333333333333</v>
      </c>
      <c r="AB41" s="19" t="n">
        <v>100</v>
      </c>
      <c r="AC41" s="19" t="n">
        <f aca="false">ROUND(AB41*1.6, 0)</f>
        <v>160</v>
      </c>
      <c r="AF41" s="19" t="n">
        <v>23.62</v>
      </c>
      <c r="AG41" s="19" t="n">
        <v>21</v>
      </c>
      <c r="AH41" s="19" t="n">
        <v>2.69</v>
      </c>
      <c r="AI41" s="19" t="n">
        <v>3.77</v>
      </c>
      <c r="AJ41" s="28" t="n">
        <v>63</v>
      </c>
      <c r="AK41" s="19" t="str">
        <f aca="false">CONCATENATE(VLOOKUP(AL41, '[1]Voxel Sizes'!$A$2:$B$18,2,FALSE()),"x",INT(AH41*15), "x", INT(AI41*15))</f>
        <v>198x40x56</v>
      </c>
      <c r="AL41" s="19" t="n">
        <f aca="false">ROUND(15*((AG41*10)/256),0)</f>
        <v>12</v>
      </c>
      <c r="AN41" s="19" t="str">
        <f aca="false">CONCATENATE(VLOOKUP(AL41,[1]Constants!$A$2:$C$16,IF(AM41&lt;&gt;"", 3, 2), FALSE()),IF(AM41&lt;&gt;"",CONCATENATE(",",VLOOKUP(AM41,$B:$AN,39,FALSE())),""))</f>
        <v>4,4,4</v>
      </c>
      <c r="AP41" s="29"/>
      <c r="AQ41" s="29"/>
      <c r="AR41" s="19" t="s">
        <v>309</v>
      </c>
      <c r="AT41" s="19" t="s">
        <v>113</v>
      </c>
      <c r="AU41" s="19" t="s">
        <v>310</v>
      </c>
      <c r="AX41" s="19" t="n">
        <v>29</v>
      </c>
      <c r="AY41" s="30" t="str">
        <f aca="false">IF(L41&lt;&gt;"",MAX(16,(L41-J41)+8),"")</f>
        <v/>
      </c>
      <c r="AZ41" s="19" t="n">
        <v>-15</v>
      </c>
      <c r="BA41" s="19" t="n">
        <v>-25</v>
      </c>
      <c r="BB41" s="19" t="n">
        <f aca="false">MIN(AB41/150, 1)*30</f>
        <v>20</v>
      </c>
      <c r="BC41" s="19" t="n">
        <f aca="false">MIN(N41/4000, 1)*20</f>
        <v>6.33</v>
      </c>
      <c r="BD41" s="19" t="n">
        <f aca="false">MIN(Z41/400,1)*20</f>
        <v>9</v>
      </c>
      <c r="BE41" s="27" t="n">
        <f aca="false">1-(MAX(J41-1900, 0)/750)</f>
        <v>0.869333333333333</v>
      </c>
      <c r="BF41" s="19" t="n">
        <f aca="false">((MAX($M41,1)*MIN($AJ41/300,1)))*IF(G41="Wagon",50,10)</f>
        <v>4.2</v>
      </c>
      <c r="BG41" s="1" t="n">
        <f aca="false">VLOOKUP($H41,Constants!$I:$K, 2, FALSE())</f>
        <v>1</v>
      </c>
      <c r="BH41" s="1" t="n">
        <f aca="false">VLOOKUP($H41,Constants!$I:$K, 3, FALSE())*IF(AND(G41="multiple_unit",AB41&lt;110),0.75,1)</f>
        <v>1.5</v>
      </c>
      <c r="BI41" s="19" t="n">
        <f aca="false">INT(POWER((([1]Constants!$G$2+$BB41+$BC41+$BD41+$BF41)*$BE41)*$BH41, 1.05))+$BA41</f>
        <v>46</v>
      </c>
      <c r="BJ41" s="19" t="n">
        <f aca="false">INT(POWER(((([1]Constants!$G$1+$BB41+$BC41+$BD41+$BF41)*($BE41))*$BG41),IF($G41="wagon",1,1.2)))+$AZ41</f>
        <v>87</v>
      </c>
      <c r="BK41" s="31" t="n">
        <f aca="false">BI41*IF($G41="wagon",62.5,781.25)</f>
        <v>35937.5</v>
      </c>
      <c r="BL41" s="31" t="n">
        <f aca="false">BJ41*IF($G41="wagon",2.73,81.25)</f>
        <v>7068.75</v>
      </c>
      <c r="BQ41" s="19" t="str">
        <f aca="false">_xlfn.ORG.LIBREOFFICE.REGEX(_xlfn.ORG.LIBREOFFICE.REGEX(SPRINTERMUVEHICLES, _xlfn.CONCAT(B41, ",?"), ""), ",$", "")</f>
        <v>class_141,class_150,class_151,class_153,class_153_mail,super_sprinter,express_sprinter_2car,express_sprinter_3car,sprinter_hybrid,class_170_3car</v>
      </c>
      <c r="BT41" s="19" t="n">
        <v>3</v>
      </c>
      <c r="BU41" s="19" t="n">
        <v>185</v>
      </c>
      <c r="BX41" s="19" t="s">
        <v>95</v>
      </c>
      <c r="BY41" s="19" t="str">
        <f aca="false">VLOOKUP(J41,[1]Eras!$A$2:$C$10, 2, TRUE())</f>
        <v>prv</v>
      </c>
      <c r="BZ41" s="32" t="s">
        <v>166</v>
      </c>
      <c r="CA41" s="19" t="str">
        <f aca="false">CONCATENATE(BY41,"_",BZ41)</f>
        <v>prv_DMU</v>
      </c>
      <c r="CB41" s="19" t="str">
        <f aca="false">_xlfn.CONCAT(H41, "_",I41)</f>
        <v>diesel_RAIL</v>
      </c>
      <c r="CC41" s="33" t="str">
        <f aca="false" t="array" ref="CC41:CC41">_xlfn.CONCAT("{BLACK}Length: {GOLD}", TEXT(ROUNDUP(IF(AQ41&lt;&gt;"",SUM(VALUE(_xlfn.TEXTSPLIT(AQ41, ","))), SUM(VALUE(_xlfn.TEXTSPLIT(AN41, ",")))*IF(M41, M41, 1))/16, 1), "#,##0.0"), " tiles{}")</f>
        <v>{BLACK}Length: {GOLD}1.5 tiles{}</v>
      </c>
      <c r="CD41" s="1" t="str">
        <f aca="false">VLOOKUP($CB41, Constants!$M:$N, 2, FALSE())</f>
        <v>{BLACK}Powered by: {GOLD}Diesel</v>
      </c>
      <c r="CE41" s="19" t="str">
        <f aca="false">IF(M41&gt;1,_xlfn.CONCAT("{BLACK}Cars: {GOLD}", M41),"")</f>
        <v>{BLACK}Cars: {GOLD}2</v>
      </c>
      <c r="CF41" s="19" t="s">
        <v>311</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
      </c>
      <c r="CH41" s="1" t="str">
        <f aca="false">_xlfn.CONCAT(CD41,IF(CD41 &lt;&gt; "", " ", ""),CE41,IF(OR(CE41&lt;&gt;"", CD41&lt;&gt;""), "{}",""), CC41, CG41,"{SILVER}", CF41)</f>
        <v>{BLACK}Powered by: {GOLD}Diesel {BLACK}Cars: {GOLD}2{}{BLACK}Length: {GOLD}1.5 tiles{}{SILVER}The Turbostar is a further development of the BR "Networker" units. It is used for regional and long distance services.</v>
      </c>
    </row>
    <row r="42" s="19" customFormat="true" ht="13.8" hidden="false" customHeight="false" outlineLevel="0" collapsed="false">
      <c r="A42" s="19" t="s">
        <v>307</v>
      </c>
      <c r="B42" s="19" t="s">
        <v>312</v>
      </c>
      <c r="C42" s="19" t="n">
        <v>161</v>
      </c>
      <c r="D42" s="19" t="n">
        <v>160</v>
      </c>
      <c r="E42" s="19" t="n">
        <v>162</v>
      </c>
      <c r="F42" s="19" t="s">
        <v>89</v>
      </c>
      <c r="G42" s="19" t="s">
        <v>90</v>
      </c>
      <c r="H42" s="19" t="s">
        <v>152</v>
      </c>
      <c r="I42" s="19" t="s">
        <v>153</v>
      </c>
      <c r="J42" s="19" t="n">
        <v>1998</v>
      </c>
      <c r="K42" s="19" t="n">
        <v>2005</v>
      </c>
      <c r="M42" s="19" t="n">
        <v>3</v>
      </c>
      <c r="N42" s="19" t="n">
        <v>1266</v>
      </c>
      <c r="O42" s="25"/>
      <c r="P42" s="26"/>
      <c r="Q42" s="26"/>
      <c r="R42" s="26"/>
      <c r="S42" s="26"/>
      <c r="T42" s="26"/>
      <c r="U42" s="26"/>
      <c r="V42" s="26"/>
      <c r="W42" s="19" t="n">
        <v>135</v>
      </c>
      <c r="X42" s="25"/>
      <c r="Y42" s="19" t="n">
        <v>5</v>
      </c>
      <c r="Z42" s="19" t="n">
        <v>180</v>
      </c>
      <c r="AA42" s="27" t="n">
        <f aca="false">IF(AND(W42&gt;0,Z42&gt;0),(Z42/((W42+X42)*10)),"")</f>
        <v>0.133333333333333</v>
      </c>
      <c r="AB42" s="19" t="n">
        <v>100</v>
      </c>
      <c r="AC42" s="19" t="n">
        <f aca="false">ROUND(AB42*1.6, 0)</f>
        <v>160</v>
      </c>
      <c r="AF42" s="19" t="n">
        <v>23.62</v>
      </c>
      <c r="AG42" s="19" t="n">
        <v>21</v>
      </c>
      <c r="AH42" s="19" t="n">
        <v>2.69</v>
      </c>
      <c r="AI42" s="19" t="n">
        <v>3.77</v>
      </c>
      <c r="AJ42" s="28" t="n">
        <v>63</v>
      </c>
      <c r="AK42" s="19" t="str">
        <f aca="false">CONCATENATE(VLOOKUP(AL42, '[1]Voxel Sizes'!$A$2:$B$18,2,FALSE()),"x",INT(AH42*15), "x", INT(AI42*15))</f>
        <v>198x40x56</v>
      </c>
      <c r="AL42" s="19" t="n">
        <f aca="false">ROUND(15*((AG42*10)/256),0)</f>
        <v>12</v>
      </c>
      <c r="AN42" s="19" t="str">
        <f aca="false">CONCATENATE(VLOOKUP(AL42,[1]Constants!$A$2:$C$16,IF(AM42&lt;&gt;"", 3, 2), FALSE()),IF(AM42&lt;&gt;"",CONCATENATE(",",VLOOKUP(AM42,$B:$AN,39,FALSE())),""))</f>
        <v>4,4,4</v>
      </c>
      <c r="AP42" s="29"/>
      <c r="AQ42" s="29"/>
      <c r="AR42" s="19" t="s">
        <v>313</v>
      </c>
      <c r="AT42" s="19" t="s">
        <v>302</v>
      </c>
      <c r="AU42" s="19" t="s">
        <v>310</v>
      </c>
      <c r="AX42" s="19" t="n">
        <v>29</v>
      </c>
      <c r="AY42" s="30" t="str">
        <f aca="false">IF(L42&lt;&gt;"",MAX(16,(L42-J42)+8),"")</f>
        <v/>
      </c>
      <c r="AZ42" s="19" t="n">
        <v>-15</v>
      </c>
      <c r="BA42" s="19" t="n">
        <v>-25</v>
      </c>
      <c r="BB42" s="19" t="n">
        <f aca="false">MIN(AB42/150, 1)*30</f>
        <v>20</v>
      </c>
      <c r="BC42" s="19" t="n">
        <f aca="false">MIN(N42/4000, 1)*20</f>
        <v>6.33</v>
      </c>
      <c r="BD42" s="19" t="n">
        <f aca="false">MIN(Z42/400,1)*20</f>
        <v>9</v>
      </c>
      <c r="BE42" s="27" t="n">
        <f aca="false">1-(MAX(J42-1900, 0)/750)</f>
        <v>0.869333333333333</v>
      </c>
      <c r="BF42" s="19" t="n">
        <f aca="false">((MAX($M42,1)*MIN($AJ42/300,1)))*IF(G42="Wagon",50,10)</f>
        <v>6.3</v>
      </c>
      <c r="BG42" s="1" t="n">
        <f aca="false">VLOOKUP($H42,Constants!$I:$K, 2, FALSE())</f>
        <v>1</v>
      </c>
      <c r="BH42" s="1" t="n">
        <f aca="false">VLOOKUP($H42,Constants!$I:$K, 3, FALSE())*IF(AND(G42="multiple_unit",AB42&lt;110),0.75,1)</f>
        <v>1.5</v>
      </c>
      <c r="BI42" s="19" t="n">
        <f aca="false">INT(POWER((([1]Constants!$G$2+$BB42+$BC42+$BD42+$BF42)*$BE42)*$BH42, 1.05))+$BA42</f>
        <v>49</v>
      </c>
      <c r="BJ42" s="19" t="n">
        <f aca="false">INT(POWER(((([1]Constants!$G$1+$BB42+$BC42+$BD42+$BF42)*($BE42))*$BG42),IF($G42="wagon",1,1.2)))+$AZ42</f>
        <v>92</v>
      </c>
      <c r="BK42" s="31" t="n">
        <f aca="false">BI42*IF($G42="wagon",62.5,781.25)</f>
        <v>38281.25</v>
      </c>
      <c r="BL42" s="31" t="n">
        <f aca="false">BJ42*IF($G42="wagon",2.73,81.25)</f>
        <v>7475</v>
      </c>
      <c r="BQ42" s="19" t="str">
        <f aca="false">_xlfn.ORG.LIBREOFFICE.REGEX(_xlfn.ORG.LIBREOFFICE.REGEX(SPRINTERMUVEHICLES, _xlfn.CONCAT(B42, ",?"), ""), ",$", "")</f>
        <v>class_141,class_150,class_151,class_153,class_153_mail,super_sprinter,express_sprinter_2car,express_sprinter_3car,sprinter_hybrid,class_170</v>
      </c>
      <c r="BT42" s="19" t="n">
        <v>3</v>
      </c>
      <c r="BU42" s="19" t="n">
        <v>185</v>
      </c>
      <c r="BX42" s="19" t="s">
        <v>95</v>
      </c>
      <c r="BY42" s="19" t="str">
        <f aca="false">VLOOKUP(J42,[1]Eras!$A$2:$C$10, 2, TRUE())</f>
        <v>prv</v>
      </c>
      <c r="BZ42" s="32" t="s">
        <v>166</v>
      </c>
      <c r="CA42" s="19" t="str">
        <f aca="false">CONCATENATE(BY42,"_",BZ42)</f>
        <v>prv_DMU</v>
      </c>
      <c r="CB42" s="19" t="str">
        <f aca="false">_xlfn.CONCAT(H42, "_",I42)</f>
        <v>diesel_RAIL</v>
      </c>
      <c r="CC42" s="33" t="str">
        <f aca="false" t="array" ref="CC42:CC42">_xlfn.CONCAT("{BLACK}Length: {GOLD}", TEXT(ROUNDUP(IF(AQ42&lt;&gt;"",SUM(VALUE(_xlfn.TEXTSPLIT(AQ42, ","))), SUM(VALUE(_xlfn.TEXTSPLIT(AN42, ",")))*IF(M42, M42, 1))/16, 1), "#,##0.0"), " tiles{}")</f>
        <v>{BLACK}Length: {GOLD}2.3 tiles{}</v>
      </c>
      <c r="CD42" s="1" t="str">
        <f aca="false">VLOOKUP($CB42, Constants!$M:$N, 2, FALSE())</f>
        <v>{BLACK}Powered by: {GOLD}Diesel</v>
      </c>
      <c r="CE42" s="19" t="str">
        <f aca="false">IF(M42&gt;1,_xlfn.CONCAT("{BLACK}Cars: {GOLD}", M42),"")</f>
        <v>{BLACK}Cars: {GOLD}3</v>
      </c>
      <c r="CF42" s="19" t="s">
        <v>311</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{BLACK}Cars: {GOLD}3{}{BLACK}Length: {GOLD}2.3 tiles{}{SILVER}The Turbostar is a further development of the BR "Networker" units. It is used for regional and long distance services.</v>
      </c>
    </row>
    <row r="43" customFormat="false" ht="13.8" hidden="false" customHeight="false" outlineLevel="0" collapsed="false">
      <c r="A43" s="18" t="s">
        <v>314</v>
      </c>
      <c r="B43" s="18" t="s">
        <v>315</v>
      </c>
      <c r="C43" s="18" t="n">
        <v>370</v>
      </c>
      <c r="D43" s="1" t="n">
        <v>372</v>
      </c>
      <c r="E43" s="18" t="n">
        <v>372</v>
      </c>
      <c r="F43" s="18" t="s">
        <v>89</v>
      </c>
      <c r="G43" s="18" t="s">
        <v>90</v>
      </c>
      <c r="H43" s="18" t="s">
        <v>316</v>
      </c>
      <c r="I43" s="18" t="s">
        <v>153</v>
      </c>
      <c r="J43" s="18" t="n">
        <v>1979</v>
      </c>
      <c r="K43" s="18" t="n">
        <v>1986</v>
      </c>
      <c r="L43" s="18" t="n">
        <v>1988</v>
      </c>
      <c r="M43" s="18" t="n">
        <v>6</v>
      </c>
      <c r="N43" s="18" t="n">
        <v>10</v>
      </c>
      <c r="W43" s="18" t="n">
        <v>164.8</v>
      </c>
      <c r="Y43" s="18" t="n">
        <v>4</v>
      </c>
      <c r="Z43" s="18" t="n">
        <v>5</v>
      </c>
      <c r="AA43" s="4" t="n">
        <f aca="false">IF(AND(W43&gt;0,Z43&gt;0),(Z43/((W43+X43)*10)),"")</f>
        <v>0.00303398058252427</v>
      </c>
      <c r="AB43" s="18" t="n">
        <v>155</v>
      </c>
      <c r="AC43" s="18" t="n">
        <f aca="false">ROUND(AB43*1.6, 0)</f>
        <v>248</v>
      </c>
      <c r="AD43" s="18"/>
      <c r="AE43" s="18"/>
      <c r="AF43" s="18" t="n">
        <v>20.9</v>
      </c>
      <c r="AG43" s="18" t="n">
        <v>20.9</v>
      </c>
      <c r="AH43" s="18" t="n">
        <v>2.7</v>
      </c>
      <c r="AI43" s="18" t="n">
        <v>3.5</v>
      </c>
      <c r="AJ43" s="5" t="n">
        <v>44</v>
      </c>
      <c r="AK43" s="19" t="str">
        <f aca="false">CONCATENATE(VLOOKUP(AL43, 'Voxel Sizes'!$A$2:$B$18,2,FALSE()),"x",INT(AH43*15), "x", INT(AI43*15))</f>
        <v>198x40x52</v>
      </c>
      <c r="AL43" s="18" t="n">
        <f aca="false">ROUND(15*((AG43*10)/256),0)</f>
        <v>12</v>
      </c>
      <c r="AM43" s="18"/>
      <c r="AN43" s="1" t="str">
        <f aca="false">CONCATENATE(VLOOKUP(AL43,Constants!$A$2:$C$16,IF(AM43&lt;&gt;"", 3, 2), FALSE()),IF(AM43&lt;&gt;"",CONCATENATE(",",VLOOKUP(AM43,$B:$AN,38,FALSE())),""))</f>
        <v>4,4,4</v>
      </c>
      <c r="AO43" s="18"/>
      <c r="AR43" s="18" t="s">
        <v>317</v>
      </c>
      <c r="AS43" s="18"/>
      <c r="AT43" s="18" t="s">
        <v>318</v>
      </c>
      <c r="AU43" s="18" t="s">
        <v>319</v>
      </c>
      <c r="AV43" s="18"/>
      <c r="AW43" s="18"/>
      <c r="AX43" s="18" t="n">
        <v>12</v>
      </c>
      <c r="AY43" s="6" t="n">
        <f aca="false">IF(L43&lt;&gt;"",MAX(16,(L43-J43)+8),"")</f>
        <v>17</v>
      </c>
      <c r="AZ43" s="18"/>
      <c r="BA43" s="18" t="n">
        <v>-20</v>
      </c>
      <c r="BB43" s="1" t="n">
        <f aca="false">MIN(AB43/150, 1)*30</f>
        <v>30</v>
      </c>
      <c r="BC43" s="1" t="n">
        <f aca="false">MIN(N43/4000, 1)*20</f>
        <v>0.05</v>
      </c>
      <c r="BD43" s="1" t="n">
        <f aca="false">MIN(Z43/400,1)*20</f>
        <v>0.25</v>
      </c>
      <c r="BE43" s="4" t="n">
        <f aca="false">1-(MAX(J43-1900, 0)/750)</f>
        <v>0.894666666666667</v>
      </c>
      <c r="BF43" s="1" t="n">
        <f aca="false">((MAX($M43,1)*MIN($AJ43/300,1)))*IF(G43="Wagon",50,10)</f>
        <v>8.8</v>
      </c>
      <c r="BG43" s="1" t="n">
        <f aca="false">VLOOKUP($H43,Constants!$I:$K, 2, FALSE())</f>
        <v>0.85</v>
      </c>
      <c r="BH43" s="1" t="n">
        <f aca="false">VLOOKUP($H43,Constants!$I:$K, 3, FALSE())*IF(AND(G43="multiple_unit",AB43&lt;110),0.75,1)</f>
        <v>2.3</v>
      </c>
      <c r="BI43" s="1" t="n">
        <f aca="false">INT(POWER(((Constants!$G$2+$BB43+$BC43+$BD43+$BF43)*$BE43)*$BH43, 1.05))+$BA43</f>
        <v>93</v>
      </c>
      <c r="BJ43" s="1" t="n">
        <f aca="false">INT(POWER((((Constants!$G$1+$BB43+$BC43+$BD43+$BF43)*($BE43))*$BG43),IF($G43="wagon",1,1.2)))+$AZ43</f>
        <v>86</v>
      </c>
      <c r="BK43" s="20" t="n">
        <f aca="false">BI43*IF($G43="wagon",62.5,781.25)</f>
        <v>72656.25</v>
      </c>
      <c r="BL43" s="20" t="n">
        <f aca="false">BJ43*IF($G43="wagon",2.73,81.25)</f>
        <v>6987.5</v>
      </c>
      <c r="BP43" s="18" t="n">
        <v>1</v>
      </c>
      <c r="BQ43" s="18" t="str">
        <f aca="false">_xlfn.ORG.LIBREOFFICE.REGEX(_xlfn.ORG.LIBREOFFICE.REGEX(APTMUVehicles, _xlfn.CONCAT(B43, ",?"), ""), ",$", "")</f>
        <v>apt_half_6_rev,apt_powercar,apt_half_2,apt_half_2_rev,apt_q_dvt,apt_s_dm,apt_s_10,apt_s_6</v>
      </c>
      <c r="BR43" s="18"/>
      <c r="BS43" s="18" t="s">
        <v>203</v>
      </c>
      <c r="BT43" s="18" t="n">
        <v>8</v>
      </c>
      <c r="BU43" s="18" t="n">
        <v>222</v>
      </c>
      <c r="BX43" s="18" t="s">
        <v>95</v>
      </c>
      <c r="BY43" s="1" t="str">
        <f aca="false">VLOOKUP(J43,Eras!$A$2:$C$10, 2, TRUE())</f>
        <v>lbr</v>
      </c>
      <c r="BZ43" s="18" t="s">
        <v>226</v>
      </c>
      <c r="CA43" s="18" t="str">
        <f aca="false">CONCATENATE(BY43,"_",BZ43)</f>
        <v>lbr_EMU (Express)</v>
      </c>
      <c r="CB43" s="18" t="str">
        <f aca="false">_xlfn.CONCAT(H43, "_",I43)</f>
        <v>none_RAIL</v>
      </c>
      <c r="CC43" s="21" t="s">
        <v>320</v>
      </c>
      <c r="CD43" s="1" t="str">
        <f aca="false">VLOOKUP($CB43, Constants!$M:$N, 2, FALSE())</f>
        <v/>
      </c>
      <c r="CE43" s="1" t="str">
        <f aca="false">IF(M43&gt;1,_xlfn.CONCAT("{BLACK}Cars: {GOLD}", M43),"")</f>
        <v>{BLACK}Cars: {GOLD}6</v>
      </c>
      <c r="CF43" s="18" t="s">
        <v>321</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{YELLOW}20% bonus for long distance travel{}</v>
      </c>
      <c r="CH43" s="18" t="str">
        <f aca="false">_xlfn.CONCAT(CD43,IF(CD43 &lt;&gt; "", " ", ""),CE43,IF(OR(CE43&lt;&gt;"", CD43&lt;&gt;""), "{}",""), CC43, CG43,"{SILVER}", CF43)</f>
        <v>{BLACK}Cars: {GOLD}6{}{BLACK}Length: {GOLD}0.9 tiles{}{YELLOW}20% bonus for long distance travel{}{SILVER}A 6-car unpowered half-rake of APT-P vehicles. Pair with the Non-Driving power car and a reversed set for a complete unit.</v>
      </c>
      <c r="CI43" s="18"/>
      <c r="CJ43" s="18"/>
    </row>
    <row r="44" customFormat="false" ht="13.8" hidden="false" customHeight="false" outlineLevel="0" collapsed="false">
      <c r="A44" s="1" t="s">
        <v>322</v>
      </c>
      <c r="B44" s="1" t="s">
        <v>323</v>
      </c>
      <c r="C44" s="1" t="n">
        <v>371</v>
      </c>
      <c r="D44" s="1" t="n">
        <v>372</v>
      </c>
      <c r="E44" s="1" t="n">
        <v>373</v>
      </c>
      <c r="F44" s="1" t="s">
        <v>89</v>
      </c>
      <c r="G44" s="1" t="s">
        <v>324</v>
      </c>
      <c r="H44" s="1" t="s">
        <v>316</v>
      </c>
      <c r="I44" s="1" t="s">
        <v>153</v>
      </c>
      <c r="J44" s="1" t="n">
        <v>1979</v>
      </c>
      <c r="K44" s="1" t="n">
        <v>1986</v>
      </c>
      <c r="L44" s="1" t="n">
        <v>1988</v>
      </c>
      <c r="M44" s="1" t="n">
        <v>6</v>
      </c>
      <c r="N44" s="1" t="n">
        <v>10</v>
      </c>
      <c r="W44" s="1" t="n">
        <v>164.8</v>
      </c>
      <c r="Y44" s="1" t="n">
        <v>4</v>
      </c>
      <c r="Z44" s="1" t="n">
        <v>5</v>
      </c>
      <c r="AA44" s="4" t="n">
        <f aca="false">IF(AND(W44&gt;0,Z44&gt;0),(Z44/((W44+X44)*10)),"")</f>
        <v>0.00303398058252427</v>
      </c>
      <c r="AB44" s="1" t="n">
        <v>155</v>
      </c>
      <c r="AC44" s="1" t="n">
        <f aca="false">ROUND(AB44*1.6, 0)</f>
        <v>248</v>
      </c>
      <c r="AF44" s="1" t="n">
        <v>20.9</v>
      </c>
      <c r="AG44" s="1" t="n">
        <v>20.9</v>
      </c>
      <c r="AH44" s="1" t="n">
        <v>2.7</v>
      </c>
      <c r="AI44" s="1" t="n">
        <v>3.5</v>
      </c>
      <c r="AJ44" s="5" t="n">
        <v>44</v>
      </c>
      <c r="AK44" s="19" t="str">
        <f aca="false">CONCATENATE(VLOOKUP(AL44, 'Voxel Sizes'!$A$2:$B$18,2,FALSE()),"x",INT(AH44*15), "x", INT(AI44*15))</f>
        <v>198x40x52</v>
      </c>
      <c r="AL44" s="1" t="n">
        <f aca="false">ROUND(15*((AG44*10)/256),0)</f>
        <v>12</v>
      </c>
      <c r="AN44" s="1" t="str">
        <f aca="false">CONCATENATE(VLOOKUP(AL44,Constants!$A$2:$C$16,IF(AM44&lt;&gt;"", 3, 2), FALSE()),IF(AM44&lt;&gt;"",CONCATENATE(",",VLOOKUP(AM44,$B:$AN,38,FALSE())),""))</f>
        <v>4,4,4</v>
      </c>
      <c r="AR44" s="1" t="s">
        <v>325</v>
      </c>
      <c r="AT44" s="1" t="s">
        <v>326</v>
      </c>
      <c r="AU44" s="1" t="s">
        <v>327</v>
      </c>
      <c r="AX44" s="1" t="n">
        <v>12</v>
      </c>
      <c r="AY44" s="6" t="n">
        <f aca="false">IF(L44&lt;&gt;"",MAX(16,(L44-J44)+8),"")</f>
        <v>17</v>
      </c>
      <c r="AZ44" s="1" t="n">
        <v>-20</v>
      </c>
      <c r="BA44" s="1" t="n">
        <v>-20</v>
      </c>
      <c r="BB44" s="1" t="n">
        <f aca="false">MIN(AB44/150, 1)*30</f>
        <v>30</v>
      </c>
      <c r="BC44" s="1" t="n">
        <f aca="false">MIN(N44/4000, 1)*20</f>
        <v>0.05</v>
      </c>
      <c r="BD44" s="1" t="n">
        <f aca="false">MIN(Z44/400,1)*20</f>
        <v>0.25</v>
      </c>
      <c r="BE44" s="4" t="n">
        <f aca="false">1-(MAX(J44-1900, 0)/750)</f>
        <v>0.894666666666667</v>
      </c>
      <c r="BF44" s="1" t="n">
        <f aca="false">((MAX($M44,1)*MIN($AJ44/300,1)))*IF(G44="Wagon",50,10)</f>
        <v>8.8</v>
      </c>
      <c r="BG44" s="1" t="n">
        <f aca="false">VLOOKUP($H44,Constants!$I:$K, 2, FALSE())</f>
        <v>0.85</v>
      </c>
      <c r="BH44" s="1" t="n">
        <f aca="false">VLOOKUP($H44,Constants!$I:$K, 3, FALSE())*IF(AND(G44="multiple_unit",AB44&lt;110),0.75,1)</f>
        <v>2.3</v>
      </c>
      <c r="BI44" s="1" t="n">
        <f aca="false">INT(POWER(((Constants!$G$2+$BB44+$BC44+$BD44+$BF44)*$BE44)*$BH44, 1.05))+$BA44</f>
        <v>93</v>
      </c>
      <c r="BJ44" s="1" t="n">
        <f aca="false">INT(POWER((((Constants!$G$1+$BB44+$BC44+$BD44+$BF44)*($BE44))*$BG44),IF($G44="wagon",1,1.2)))+$AZ44</f>
        <v>66</v>
      </c>
      <c r="BK44" s="20" t="n">
        <f aca="false">BI44*IF($G44="wagon",62.5,781.25)</f>
        <v>72656.25</v>
      </c>
      <c r="BL44" s="20" t="n">
        <f aca="false">BJ44*IF($G44="wagon",2.73,81.25)</f>
        <v>5362.5</v>
      </c>
      <c r="BO44" s="1" t="n">
        <v>1</v>
      </c>
      <c r="BP44" s="1" t="n">
        <v>1</v>
      </c>
      <c r="BQ44" s="1" t="str">
        <f aca="false">_xlfn.ORG.LIBREOFFICE.REGEX(_xlfn.ORG.LIBREOFFICE.REGEX(APTMUVehicles, _xlfn.CONCAT(B44, ",?"), ""), ",$", "")</f>
        <v>apt_half_6,apt_powercar,apt_half_2,apt_half_2_rev,apt_q_dvt,apt_s_dm,apt_s_10,apt_s_6</v>
      </c>
      <c r="BS44" s="1" t="s">
        <v>203</v>
      </c>
      <c r="BT44" s="1" t="n">
        <v>8</v>
      </c>
      <c r="BU44" s="1" t="n">
        <v>222</v>
      </c>
      <c r="BX44" s="1" t="s">
        <v>95</v>
      </c>
      <c r="BY44" s="1" t="str">
        <f aca="false">VLOOKUP(J44,Eras!$A$2:$C$10, 2, TRUE())</f>
        <v>lbr</v>
      </c>
      <c r="BZ44" s="18" t="s">
        <v>226</v>
      </c>
      <c r="CA44" s="1" t="str">
        <f aca="false">CONCATENATE(BY44,"_",BZ44)</f>
        <v>lbr_EMU (Express)</v>
      </c>
      <c r="CB44" s="1" t="str">
        <f aca="false">_xlfn.CONCAT(H44, "_",I44)</f>
        <v>none_RAIL</v>
      </c>
      <c r="CC44" s="21" t="s">
        <v>320</v>
      </c>
      <c r="CD44" s="1" t="str">
        <f aca="false">VLOOKUP($CB44, Constants!$M:$N, 2, FALSE())</f>
        <v/>
      </c>
      <c r="CE44" s="1" t="str">
        <f aca="false">IF(M44&gt;1,_xlfn.CONCAT("{BLACK}Cars: {GOLD}", M44),"")</f>
        <v>{BLACK}Cars: {GOLD}6</v>
      </c>
      <c r="CF44" s="1" t="s">
        <v>328</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{YELLOW}20% bonus for long distance travel{}</v>
      </c>
      <c r="CH44" s="1" t="str">
        <f aca="false">_xlfn.CONCAT(CD44,IF(CD44 &lt;&gt; "", " ", ""),CE44,IF(OR(CE44&lt;&gt;"", CD44&lt;&gt;""), "{}",""), CC44, CG44,"{SILVER}", CF44)</f>
        <v>{BLACK}Cars: {GOLD}6{}{BLACK}Length: {GOLD}0.9 tiles{}{YELLOW}20% bonus for long distance travel{}{SILVER}A 6-car half-rake of APT-P vehicles. This is the rear half of a formation.</v>
      </c>
      <c r="CI44" s="1"/>
      <c r="CJ44" s="1"/>
    </row>
    <row r="45" customFormat="false" ht="13.8" hidden="false" customHeight="false" outlineLevel="0" collapsed="false">
      <c r="A45" s="1" t="s">
        <v>329</v>
      </c>
      <c r="B45" s="1" t="s">
        <v>330</v>
      </c>
      <c r="C45" s="1" t="n">
        <v>372</v>
      </c>
      <c r="E45" s="1" t="n">
        <v>374</v>
      </c>
      <c r="F45" s="1" t="s">
        <v>89</v>
      </c>
      <c r="G45" s="1" t="s">
        <v>90</v>
      </c>
      <c r="H45" s="1" t="s">
        <v>316</v>
      </c>
      <c r="I45" s="1" t="s">
        <v>153</v>
      </c>
      <c r="J45" s="1" t="n">
        <v>1979</v>
      </c>
      <c r="K45" s="1" t="n">
        <v>1986</v>
      </c>
      <c r="L45" s="1" t="n">
        <v>1988</v>
      </c>
      <c r="M45" s="1" t="n">
        <v>2</v>
      </c>
      <c r="N45" s="1" t="n">
        <v>10</v>
      </c>
      <c r="W45" s="1" t="n">
        <v>65.6</v>
      </c>
      <c r="Y45" s="1" t="n">
        <v>4</v>
      </c>
      <c r="Z45" s="1" t="n">
        <v>5</v>
      </c>
      <c r="AA45" s="4" t="n">
        <f aca="false">IF(AND(W45&gt;0,Z45&gt;0),(Z45/((W45+X45)*10)),"")</f>
        <v>0.0076219512195122</v>
      </c>
      <c r="AB45" s="1" t="n">
        <v>155</v>
      </c>
      <c r="AC45" s="1" t="n">
        <f aca="false">ROUND(AB45*1.6, 0)</f>
        <v>248</v>
      </c>
      <c r="AF45" s="1" t="n">
        <v>20.9</v>
      </c>
      <c r="AG45" s="1" t="n">
        <v>20.9</v>
      </c>
      <c r="AH45" s="1" t="n">
        <v>2.7</v>
      </c>
      <c r="AI45" s="1" t="n">
        <v>3.5</v>
      </c>
      <c r="AJ45" s="5" t="n">
        <v>39</v>
      </c>
      <c r="AK45" s="19" t="str">
        <f aca="false">CONCATENATE(VLOOKUP(AL45, 'Voxel Sizes'!$A$2:$B$18,2,FALSE()),"x",INT(AH45*15), "x", INT(AI45*15))</f>
        <v>198x40x52</v>
      </c>
      <c r="AL45" s="1" t="n">
        <f aca="false">ROUND(15*((AG45*10)/256),0)</f>
        <v>12</v>
      </c>
      <c r="AN45" s="1" t="str">
        <f aca="false">CONCATENATE(VLOOKUP(AL45,Constants!$A$2:$C$16,IF(AM45&lt;&gt;"", 3, 2), FALSE()),IF(AM45&lt;&gt;"",CONCATENATE(",",VLOOKUP(AM45,$B:$AN,38,FALSE())),""))</f>
        <v>4,4,4</v>
      </c>
      <c r="AR45" s="1" t="s">
        <v>331</v>
      </c>
      <c r="AT45" s="1" t="s">
        <v>183</v>
      </c>
      <c r="AU45" s="1" t="s">
        <v>319</v>
      </c>
      <c r="AX45" s="1" t="n">
        <v>12</v>
      </c>
      <c r="AY45" s="6" t="n">
        <f aca="false">IF(L45&lt;&gt;"",MAX(16,(L45-J45)+8),"")</f>
        <v>17</v>
      </c>
      <c r="AZ45" s="1" t="n">
        <v>-45</v>
      </c>
      <c r="BA45" s="1" t="n">
        <v>-65</v>
      </c>
      <c r="BB45" s="1" t="n">
        <f aca="false">MIN(AB45/150, 1)*30</f>
        <v>30</v>
      </c>
      <c r="BC45" s="1" t="n">
        <f aca="false">MIN(N45/4000, 1)*20</f>
        <v>0.05</v>
      </c>
      <c r="BD45" s="1" t="n">
        <f aca="false">MIN(Z45/400,1)*20</f>
        <v>0.25</v>
      </c>
      <c r="BE45" s="4" t="n">
        <f aca="false">1-(MAX(J45-1900, 0)/750)</f>
        <v>0.894666666666667</v>
      </c>
      <c r="BF45" s="1" t="n">
        <f aca="false">((MAX($M45,1)*MIN($AJ45/300,1)))*IF(G45="Wagon",50,10)</f>
        <v>2.6</v>
      </c>
      <c r="BG45" s="1" t="n">
        <f aca="false">VLOOKUP($H45,Constants!$I:$K, 2, FALSE())</f>
        <v>0.85</v>
      </c>
      <c r="BH45" s="1" t="n">
        <f aca="false">VLOOKUP($H45,Constants!$I:$K, 3, FALSE())*IF(AND(G45="multiple_unit",AB45&lt;110),0.75,1)</f>
        <v>2.3</v>
      </c>
      <c r="BI45" s="1" t="n">
        <f aca="false">INT(POWER(((Constants!$G$2+$BB45+$BC45+$BD45+$BF45)*$BE45)*$BH45, 1.05))+$BA45</f>
        <v>31</v>
      </c>
      <c r="BJ45" s="1" t="n">
        <f aca="false">INT(POWER((((Constants!$G$1+$BB45+$BC45+$BD45+$BF45)*($BE45))*$BG45),IF($G45="wagon",1,1.2)))+$AZ45</f>
        <v>29</v>
      </c>
      <c r="BK45" s="20" t="n">
        <f aca="false">BI45*IF($G45="wagon",62.5,781.25)</f>
        <v>24218.75</v>
      </c>
      <c r="BL45" s="20" t="n">
        <f aca="false">BJ45*IF($G45="wagon",2.73,81.25)</f>
        <v>2356.25</v>
      </c>
      <c r="BP45" s="1" t="n">
        <v>1</v>
      </c>
      <c r="BQ45" s="1" t="str">
        <f aca="false">_xlfn.ORG.LIBREOFFICE.REGEX(_xlfn.ORG.LIBREOFFICE.REGEX(APTMUVehicles, _xlfn.CONCAT(B45, ",?"), ""), ",$", "")</f>
        <v>apt_half_6,apt_half_6_rev,apt_powercar,apt_half_2_rev,apt_q_dvt,apt_s_dm,apt_s_10,apt_s_6</v>
      </c>
      <c r="BT45" s="1" t="n">
        <v>8</v>
      </c>
      <c r="BU45" s="1" t="n">
        <v>185</v>
      </c>
      <c r="BX45" s="1" t="s">
        <v>95</v>
      </c>
      <c r="BY45" s="1" t="str">
        <f aca="false">VLOOKUP(J45,Eras!$A$2:$C$10, 2, TRUE())</f>
        <v>lbr</v>
      </c>
      <c r="BZ45" s="18" t="s">
        <v>226</v>
      </c>
      <c r="CA45" s="1" t="str">
        <f aca="false">CONCATENATE(BY45,"_",BZ45)</f>
        <v>lbr_EMU (Express)</v>
      </c>
      <c r="CB45" s="1" t="str">
        <f aca="false">_xlfn.CONCAT(H45, "_",I45)</f>
        <v>none_RAIL</v>
      </c>
      <c r="CC45" s="21" t="str">
        <f aca="false">_xlfn.CONCAT("{BLACK}Length: {GOLD}", TEXT(ROUNDUP(IF(AQ45&lt;&gt;"",SUM(VALUE(_xlfn.TEXTSPLIT(AQ45, ","))), SUM(VALUE(_xlfn.TEXTSPLIT(AN45, ",")))*IF(M45, M45, 1))/16, 1), "#,##0.0"), " tiles{}")</f>
        <v>{BLACK}Length: {GOLD}1.5 tiles{}</v>
      </c>
      <c r="CD45" s="1" t="str">
        <f aca="false">VLOOKUP($CB45, Constants!$M:$N, 2, FALSE())</f>
        <v/>
      </c>
      <c r="CE45" s="1" t="str">
        <f aca="false">IF(M45&gt;1,_xlfn.CONCAT("{BLACK}Cars: {GOLD}", M45),"")</f>
        <v>{BLACK}Cars: {GOLD}2</v>
      </c>
      <c r="CF45" s="1" t="s">
        <v>332</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{BLACK}Cars: {GOLD}2{}{BLACK}Length: {GOLD}1.5 tiles{}{SILVER}A minimal 2-car half-rake of APT-P Vehicles. Lack of dining facilities makes this much less attractive for passengers. Pair with the Non-Driving power car and a reversed set for a complete unit.</v>
      </c>
      <c r="CI45" s="1"/>
      <c r="CJ45" s="1"/>
    </row>
    <row r="46" customFormat="false" ht="13.8" hidden="false" customHeight="false" outlineLevel="0" collapsed="false">
      <c r="A46" s="1" t="s">
        <v>333</v>
      </c>
      <c r="B46" s="1" t="s">
        <v>334</v>
      </c>
      <c r="C46" s="1" t="n">
        <v>373</v>
      </c>
      <c r="D46" s="1" t="n">
        <v>372</v>
      </c>
      <c r="E46" s="1" t="n">
        <v>375</v>
      </c>
      <c r="F46" s="1" t="s">
        <v>89</v>
      </c>
      <c r="G46" s="1" t="s">
        <v>324</v>
      </c>
      <c r="H46" s="1" t="s">
        <v>316</v>
      </c>
      <c r="I46" s="1" t="s">
        <v>153</v>
      </c>
      <c r="J46" s="1" t="n">
        <v>1979</v>
      </c>
      <c r="K46" s="1" t="n">
        <v>1986</v>
      </c>
      <c r="L46" s="1" t="n">
        <v>1988</v>
      </c>
      <c r="M46" s="1" t="n">
        <v>2</v>
      </c>
      <c r="N46" s="1" t="n">
        <v>10</v>
      </c>
      <c r="W46" s="1" t="n">
        <v>65.6</v>
      </c>
      <c r="Y46" s="1" t="n">
        <v>4</v>
      </c>
      <c r="Z46" s="1" t="n">
        <v>5</v>
      </c>
      <c r="AA46" s="4" t="n">
        <f aca="false">IF(AND(W46&gt;0,Z46&gt;0),(Z46/((W46+X46)*10)),"")</f>
        <v>0.0076219512195122</v>
      </c>
      <c r="AB46" s="1" t="n">
        <v>155</v>
      </c>
      <c r="AC46" s="1" t="n">
        <f aca="false">ROUND(AB46*1.6, 0)</f>
        <v>248</v>
      </c>
      <c r="AF46" s="1" t="n">
        <v>20.9</v>
      </c>
      <c r="AG46" s="1" t="n">
        <v>20.9</v>
      </c>
      <c r="AH46" s="1" t="n">
        <v>2.7</v>
      </c>
      <c r="AI46" s="1" t="n">
        <v>3.5</v>
      </c>
      <c r="AJ46" s="5" t="n">
        <v>39</v>
      </c>
      <c r="AK46" s="19" t="str">
        <f aca="false">CONCATENATE(VLOOKUP(AL46, 'Voxel Sizes'!$A$2:$B$18,2,FALSE()),"x",INT(AH46*15), "x", INT(AI46*15))</f>
        <v>198x40x52</v>
      </c>
      <c r="AL46" s="1" t="n">
        <f aca="false">ROUND(15*((AG46*10)/256),0)</f>
        <v>12</v>
      </c>
      <c r="AN46" s="1" t="str">
        <f aca="false">CONCATENATE(VLOOKUP(AL46,Constants!$A$2:$C$16,IF(AM46&lt;&gt;"", 3, 2), FALSE()),IF(AM46&lt;&gt;"",CONCATENATE(",",VLOOKUP(AM46,$B:$AN,38,FALSE())),""))</f>
        <v>4,4,4</v>
      </c>
      <c r="AR46" s="1" t="s">
        <v>335</v>
      </c>
      <c r="AT46" s="1" t="s">
        <v>183</v>
      </c>
      <c r="AU46" s="1" t="s">
        <v>327</v>
      </c>
      <c r="AX46" s="1" t="n">
        <v>12</v>
      </c>
      <c r="AY46" s="6" t="n">
        <f aca="false">IF(L46&lt;&gt;"",MAX(16,(L46-J46)+8),"")</f>
        <v>17</v>
      </c>
      <c r="AZ46" s="1" t="n">
        <v>-60</v>
      </c>
      <c r="BA46" s="1" t="n">
        <v>-65</v>
      </c>
      <c r="BB46" s="1" t="n">
        <f aca="false">MIN(AB46/150, 1)*30</f>
        <v>30</v>
      </c>
      <c r="BC46" s="1" t="n">
        <f aca="false">MIN(N46/4000, 1)*20</f>
        <v>0.05</v>
      </c>
      <c r="BD46" s="1" t="n">
        <f aca="false">MIN(Z46/400,1)*20</f>
        <v>0.25</v>
      </c>
      <c r="BE46" s="4" t="n">
        <f aca="false">1-(MAX(J46-1900, 0)/750)</f>
        <v>0.894666666666667</v>
      </c>
      <c r="BF46" s="1" t="n">
        <f aca="false">((MAX($M46,1)*MIN($AJ46/300,1)))*IF(G46="Wagon",50,10)</f>
        <v>2.6</v>
      </c>
      <c r="BG46" s="1" t="n">
        <f aca="false">VLOOKUP($H46,Constants!$I:$K, 2, FALSE())</f>
        <v>0.85</v>
      </c>
      <c r="BH46" s="1" t="n">
        <f aca="false">VLOOKUP($H46,Constants!$I:$K, 3, FALSE())*IF(AND(G46="multiple_unit",AB46&lt;110),0.75,1)</f>
        <v>2.3</v>
      </c>
      <c r="BI46" s="1" t="n">
        <f aca="false">INT(POWER(((Constants!$G$2+$BB46+$BC46+$BD46+$BF46)*$BE46)*$BH46, 1.05))+$BA46</f>
        <v>31</v>
      </c>
      <c r="BJ46" s="1" t="n">
        <f aca="false">INT(POWER((((Constants!$G$1+$BB46+$BC46+$BD46+$BF46)*($BE46))*$BG46),IF($G46="wagon",1,1.2)))+$AZ46</f>
        <v>14</v>
      </c>
      <c r="BK46" s="20" t="n">
        <f aca="false">BI46*IF($G46="wagon",62.5,781.25)</f>
        <v>24218.75</v>
      </c>
      <c r="BL46" s="20" t="n">
        <f aca="false">BJ46*IF($G46="wagon",2.73,81.25)</f>
        <v>1137.5</v>
      </c>
      <c r="BO46" s="1" t="n">
        <v>1</v>
      </c>
      <c r="BP46" s="1" t="n">
        <v>1</v>
      </c>
      <c r="BQ46" s="1" t="str">
        <f aca="false">_xlfn.ORG.LIBREOFFICE.REGEX(_xlfn.ORG.LIBREOFFICE.REGEX(APTMUVehicles, _xlfn.CONCAT(B46, ",?"), ""), ",$", "")</f>
        <v>apt_half_6,apt_half_6_rev,apt_powercar,apt_half_2,apt_q_dvt,apt_s_dm,apt_s_10,apt_s_6</v>
      </c>
      <c r="BT46" s="1" t="n">
        <v>8</v>
      </c>
      <c r="BU46" s="1" t="n">
        <v>185</v>
      </c>
      <c r="BX46" s="1" t="s">
        <v>95</v>
      </c>
      <c r="BY46" s="1" t="str">
        <f aca="false">VLOOKUP(J46,Eras!$A$2:$C$10, 2, TRUE())</f>
        <v>lbr</v>
      </c>
      <c r="BZ46" s="18" t="s">
        <v>226</v>
      </c>
      <c r="CA46" s="1" t="str">
        <f aca="false">CONCATENATE(BY46,"_",BZ46)</f>
        <v>lbr_EMU (Express)</v>
      </c>
      <c r="CB46" s="1" t="str">
        <f aca="false">_xlfn.CONCAT(H46, "_",I46)</f>
        <v>none_RAIL</v>
      </c>
      <c r="CC46" s="21" t="str">
        <f aca="false">_xlfn.CONCAT("{BLACK}Length: {GOLD}", TEXT(ROUNDUP(IF(AQ46&lt;&gt;"",SUM(VALUE(_xlfn.TEXTSPLIT(AQ46, ","))), SUM(VALUE(_xlfn.TEXTSPLIT(AN46, ",")))*IF(M46, M46, 1))/16, 1), "#,##0.0"), " tiles{}")</f>
        <v>{BLACK}Length: {GOLD}1.5 tiles{}</v>
      </c>
      <c r="CD46" s="1" t="str">
        <f aca="false">VLOOKUP($CB46, Constants!$M:$N, 2, FALSE())</f>
        <v/>
      </c>
      <c r="CE46" s="1" t="str">
        <f aca="false">IF(M46&gt;1,_xlfn.CONCAT("{BLACK}Cars: {GOLD}", M46),"")</f>
        <v>{BLACK}Cars: {GOLD}2</v>
      </c>
      <c r="CF46" s="1" t="s">
        <v>336</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{BLACK}Cars: {GOLD}2{}{BLACK}Length: {GOLD}1.5 tiles{}{SILVER}A minimal 2-car half-rake of APT-P Vehicles. Lack of dining facilities makes this much less attractive for passengers. This is the rear half of a formation.</v>
      </c>
      <c r="CI46" s="1"/>
      <c r="CJ46" s="1"/>
    </row>
    <row r="47" customFormat="false" ht="13.8" hidden="false" customHeight="false" outlineLevel="0" collapsed="false">
      <c r="A47" s="1" t="s">
        <v>337</v>
      </c>
      <c r="B47" s="1" t="s">
        <v>338</v>
      </c>
      <c r="C47" s="1" t="n">
        <v>374</v>
      </c>
      <c r="D47" s="1" t="n">
        <v>372</v>
      </c>
      <c r="E47" s="1" t="n">
        <v>376</v>
      </c>
      <c r="F47" s="1" t="s">
        <v>89</v>
      </c>
      <c r="G47" s="18" t="s">
        <v>147</v>
      </c>
      <c r="H47" s="1" t="s">
        <v>91</v>
      </c>
      <c r="I47" s="1" t="s">
        <v>92</v>
      </c>
      <c r="J47" s="1" t="n">
        <v>1979</v>
      </c>
      <c r="K47" s="1" t="n">
        <v>1986</v>
      </c>
      <c r="L47" s="1" t="n">
        <v>1988</v>
      </c>
      <c r="N47" s="1" t="n">
        <v>4000</v>
      </c>
      <c r="W47" s="1" t="n">
        <v>67.5</v>
      </c>
      <c r="Y47" s="1" t="n">
        <v>4</v>
      </c>
      <c r="Z47" s="1" t="n">
        <v>210</v>
      </c>
      <c r="AA47" s="4" t="n">
        <f aca="false">IF(AND(W47&gt;0,Z47&gt;0),(Z47/((W47+X47)*10)),"")</f>
        <v>0.311111111111111</v>
      </c>
      <c r="AB47" s="1" t="n">
        <v>155</v>
      </c>
      <c r="AC47" s="1" t="n">
        <f aca="false">ROUND(AB47*1.6, 0)</f>
        <v>248</v>
      </c>
      <c r="AF47" s="1" t="n">
        <v>20.9</v>
      </c>
      <c r="AG47" s="1" t="n">
        <v>20.9</v>
      </c>
      <c r="AH47" s="1" t="n">
        <v>2.7</v>
      </c>
      <c r="AI47" s="1" t="n">
        <v>3.5</v>
      </c>
      <c r="AJ47" s="5" t="n">
        <v>0</v>
      </c>
      <c r="AK47" s="19" t="str">
        <f aca="false">CONCATENATE(VLOOKUP(AL47, 'Voxel Sizes'!$A$2:$B$18,2,FALSE()),"x",INT(AH47*15), "x", INT(AI47*15))</f>
        <v>198x40x52</v>
      </c>
      <c r="AL47" s="1" t="n">
        <f aca="false">ROUND(15*((AG47*10)/256),0)</f>
        <v>12</v>
      </c>
      <c r="AN47" s="1" t="str">
        <f aca="false">CONCATENATE(VLOOKUP(AL47,Constants!$A$2:$C$16,IF(AM47&lt;&gt;"", 3, 2), FALSE()),IF(AM47&lt;&gt;"",CONCATENATE(",",VLOOKUP(AM47,$B:$AN,38,FALSE())),""))</f>
        <v>4,4,4</v>
      </c>
      <c r="AX47" s="1" t="n">
        <v>12</v>
      </c>
      <c r="AY47" s="6" t="n">
        <f aca="false">IF(L47&lt;&gt;"",MAX(16,(L47-J47)+8),"")</f>
        <v>17</v>
      </c>
      <c r="AZ47" s="1" t="n">
        <v>25</v>
      </c>
      <c r="BA47" s="1" t="n">
        <v>-90</v>
      </c>
      <c r="BB47" s="1" t="n">
        <f aca="false">MIN(AB47/150, 1)*30</f>
        <v>30</v>
      </c>
      <c r="BC47" s="1" t="n">
        <f aca="false">MIN(N47/4000, 1)*20</f>
        <v>20</v>
      </c>
      <c r="BD47" s="1" t="n">
        <f aca="false">MIN(Z47/400,1)*20</f>
        <v>10.5</v>
      </c>
      <c r="BE47" s="4" t="n">
        <f aca="false">1-(MAX(J47-1900, 0)/750)</f>
        <v>0.894666666666667</v>
      </c>
      <c r="BF47" s="1" t="n">
        <f aca="false">((MAX($M47,1)*MIN($AJ47/300,1)))*IF(G47="Wagon",50,10)</f>
        <v>0</v>
      </c>
      <c r="BG47" s="1" t="n">
        <f aca="false">VLOOKUP($H47,Constants!$I:$K, 2, FALSE())</f>
        <v>0.85</v>
      </c>
      <c r="BH47" s="1" t="n">
        <f aca="false">VLOOKUP($H47,Constants!$I:$K, 3, FALSE())*IF(AND(G47="multiple_unit",AB47&lt;110),0.75,1)</f>
        <v>2.3</v>
      </c>
      <c r="BI47" s="1" t="n">
        <f aca="false">INT(POWER(((Constants!$G$2+$BB47+$BC47+$BD47+$BF47)*$BE47)*$BH47, 1.05))+$BA47</f>
        <v>82</v>
      </c>
      <c r="BJ47" s="1" t="n">
        <f aca="false">INT(POWER((((Constants!$G$1+$BB47+$BC47+$BD47+$BF47)*($BE47))*$BG47),IF($G47="wagon",1,1.2)))+$AZ47</f>
        <v>154</v>
      </c>
      <c r="BK47" s="20" t="n">
        <f aca="false">BI47*IF($G47="wagon",62.5,781.25)</f>
        <v>64062.5</v>
      </c>
      <c r="BL47" s="20" t="n">
        <f aca="false">BJ47*IF($G47="wagon",2.73,81.25)</f>
        <v>12512.5</v>
      </c>
      <c r="BM47" s="1" t="n">
        <v>2</v>
      </c>
      <c r="BO47" s="1" t="n">
        <v>1</v>
      </c>
      <c r="BP47" s="1" t="n">
        <v>1</v>
      </c>
      <c r="BQ47" s="1" t="str">
        <f aca="false">_xlfn.ORG.LIBREOFFICE.REGEX(_xlfn.ORG.LIBREOFFICE.REGEX(APTMUVehicles, _xlfn.CONCAT(B47, ",?"), ""), ",$", "")</f>
        <v>apt_half_6,apt_half_6_rev,apt_half_2,apt_half_2_rev,apt_q_dvt,apt_s_dm,apt_s_10,apt_s_6</v>
      </c>
      <c r="BT47" s="1" t="n">
        <v>8</v>
      </c>
      <c r="BY47" s="1" t="str">
        <f aca="false">VLOOKUP(J47,Eras!$A$2:$C$10, 2, TRUE())</f>
        <v>lbr</v>
      </c>
      <c r="BZ47" s="18" t="s">
        <v>226</v>
      </c>
      <c r="CA47" s="1" t="str">
        <f aca="false">CONCATENATE(BY47,"_",BZ47)</f>
        <v>lbr_EMU (Express)</v>
      </c>
      <c r="CB47" s="1" t="str">
        <f aca="false">_xlfn.CONCAT(H47, "_",I47)</f>
        <v>electric_ELRL</v>
      </c>
      <c r="CC47" s="21" t="str">
        <f aca="false">_xlfn.CONCAT("{BLACK}Length: {GOLD}", TEXT(ROUNDUP(IF(AQ47&lt;&gt;"",SUM(VALUE(_xlfn.TEXTSPLIT(AQ47, ","))), SUM(VALUE(_xlfn.TEXTSPLIT(AN47, ",")))*IF(M47, M47, 1))/16, 1), "#,##0.0"), " tiles{}")</f>
        <v>{BLACK}Length: {GOLD}0.8 tiles{}</v>
      </c>
      <c r="CD47" s="1" t="str">
        <f aca="false">VLOOKUP($CB47, Constants!$M:$N, 2, FALSE())</f>
        <v>{BLACK}Powered by: {GOLD}25kV AC</v>
      </c>
      <c r="CE47" s="1" t="str">
        <f aca="false">IF(M47&gt;1,_xlfn.CONCAT("{BLACK}Cars: {GOLD}", M47),"")</f>
        <v/>
      </c>
      <c r="CF47" s="1" t="s">
        <v>339</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{GOLD}25kV AC {}{BLACK}Length: {GOLD}0.8 tiles{}{SILVER}An APT-P centre power car</v>
      </c>
      <c r="CI47" s="1"/>
      <c r="CJ47" s="1"/>
    </row>
    <row r="48" customFormat="false" ht="13.8" hidden="false" customHeight="false" outlineLevel="0" collapsed="false">
      <c r="A48" s="18" t="s">
        <v>340</v>
      </c>
      <c r="B48" s="18" t="s">
        <v>341</v>
      </c>
      <c r="C48" s="18" t="n">
        <v>380</v>
      </c>
      <c r="D48" s="18" t="n">
        <v>382</v>
      </c>
      <c r="E48" s="18" t="n">
        <v>382</v>
      </c>
      <c r="F48" s="18" t="s">
        <v>89</v>
      </c>
      <c r="G48" s="18" t="s">
        <v>147</v>
      </c>
      <c r="H48" s="18" t="s">
        <v>91</v>
      </c>
      <c r="I48" s="18" t="s">
        <v>92</v>
      </c>
      <c r="J48" s="18" t="n">
        <v>1986</v>
      </c>
      <c r="K48" s="18" t="n">
        <v>1991</v>
      </c>
      <c r="L48" s="18" t="n">
        <v>1994</v>
      </c>
      <c r="M48" s="18"/>
      <c r="N48" s="18" t="n">
        <v>4000</v>
      </c>
      <c r="W48" s="1" t="n">
        <v>76.8</v>
      </c>
      <c r="Y48" s="1" t="n">
        <v>4</v>
      </c>
      <c r="Z48" s="1" t="n">
        <v>210</v>
      </c>
      <c r="AA48" s="4" t="n">
        <f aca="false">IF(AND(W48&gt;0,Z48&gt;0),(Z48/((W48+X48)*10)),"")</f>
        <v>0.2734375</v>
      </c>
      <c r="AB48" s="1" t="n">
        <v>140</v>
      </c>
      <c r="AC48" s="1" t="n">
        <f aca="false">ROUND(AB48*1.6, 0)</f>
        <v>224</v>
      </c>
      <c r="AF48" s="1" t="n">
        <v>22</v>
      </c>
      <c r="AG48" s="1" t="n">
        <v>22</v>
      </c>
      <c r="AH48" s="1" t="n">
        <v>2.7</v>
      </c>
      <c r="AI48" s="1" t="n">
        <v>3.5</v>
      </c>
      <c r="AJ48" s="5" t="n">
        <v>0</v>
      </c>
      <c r="AK48" s="19" t="str">
        <f aca="false">CONCATENATE(VLOOKUP(AL48, 'Voxel Sizes'!$A$2:$B$18,2,FALSE()),"x",INT(AH48*15), "x", INT(AI48*15))</f>
        <v>214x40x52</v>
      </c>
      <c r="AL48" s="1" t="n">
        <f aca="false">ROUND(15*((AG48*10)/256),0)</f>
        <v>13</v>
      </c>
      <c r="AN48" s="1" t="str">
        <f aca="false">CONCATENATE(VLOOKUP(AL48,Constants!$A$2:$C$16,IF(AM48&lt;&gt;"", 3, 2), FALSE()),IF(AM48&lt;&gt;"",CONCATENATE(",",VLOOKUP(AM48,$B:$AN,38,FALSE())),""))</f>
        <v>4,5,4</v>
      </c>
      <c r="AX48" s="1" t="n">
        <v>20</v>
      </c>
      <c r="AY48" s="6" t="n">
        <f aca="false">IF(L48&lt;&gt;"",MAX(16,(L48-J48)+8),"")</f>
        <v>16</v>
      </c>
      <c r="AZ48" s="1" t="n">
        <v>-35</v>
      </c>
      <c r="BA48" s="1" t="n">
        <v>-60</v>
      </c>
      <c r="BB48" s="1" t="n">
        <f aca="false">MIN(AB48/150, 1)*30</f>
        <v>28</v>
      </c>
      <c r="BC48" s="1" t="n">
        <f aca="false">MIN(N48/4000, 1)*20</f>
        <v>20</v>
      </c>
      <c r="BD48" s="1" t="n">
        <f aca="false">MIN(Z48/400,1)*20</f>
        <v>10.5</v>
      </c>
      <c r="BE48" s="4" t="n">
        <f aca="false">1-(MAX(J48-1900, 0)/750)</f>
        <v>0.885333333333333</v>
      </c>
      <c r="BF48" s="1" t="n">
        <f aca="false">((MAX($M48,1)*MIN($AJ48/300,1)))*IF(G48="Wagon",50,10)</f>
        <v>0</v>
      </c>
      <c r="BG48" s="1" t="n">
        <f aca="false">VLOOKUP($H48,Constants!$I:$K, 2, FALSE())</f>
        <v>0.85</v>
      </c>
      <c r="BH48" s="1" t="n">
        <f aca="false">VLOOKUP($H48,Constants!$I:$K, 3, FALSE())*IF(AND(G48="multiple_unit",AB48&lt;110),0.75,1)</f>
        <v>2.3</v>
      </c>
      <c r="BI48" s="1" t="n">
        <f aca="false">INT(POWER(((Constants!$G$2+$BB48+$BC48+$BD48+$BF48)*$BE48)*$BH48, 1.05))+$BA48</f>
        <v>104</v>
      </c>
      <c r="BJ48" s="1" t="n">
        <f aca="false">INT(POWER((((Constants!$G$1+$BB48+$BC48+$BD48+$BF48)*($BE48))*$BG48),IF($G48="wagon",1,1.2)))+$AZ48</f>
        <v>88</v>
      </c>
      <c r="BK48" s="20" t="n">
        <f aca="false">BI48*IF($G48="wagon",62.5,781.25)</f>
        <v>81250</v>
      </c>
      <c r="BL48" s="20" t="n">
        <f aca="false">BJ48*IF($G48="wagon",2.73,81.25)</f>
        <v>7150</v>
      </c>
      <c r="BM48" s="1" t="n">
        <v>1</v>
      </c>
      <c r="BN48" s="1" t="n">
        <v>1</v>
      </c>
      <c r="BP48" s="1" t="n">
        <v>1</v>
      </c>
      <c r="BQ48" s="1" t="str">
        <f aca="false">_xlfn.ORG.LIBREOFFICE.REGEX(_xlfn.ORG.LIBREOFFICE.REGEX(APTMUVehicles, _xlfn.CONCAT(B48, ",?"), ""), ",$", "")</f>
        <v>apt_half_6,apt_half_6_rev,apt_powercar,apt_half_2,apt_half_2_rev,apt_q_dvt,apt_s_10,apt_s_6</v>
      </c>
      <c r="BS48" s="1" t="s">
        <v>289</v>
      </c>
      <c r="BT48" s="1" t="n">
        <v>7</v>
      </c>
      <c r="BY48" s="1" t="str">
        <f aca="false">VLOOKUP(J48,Eras!$A$2:$C$10, 2, TRUE())</f>
        <v>lbr</v>
      </c>
      <c r="BZ48" s="18" t="s">
        <v>342</v>
      </c>
      <c r="CA48" s="1" t="str">
        <f aca="false">CONCATENATE(BY48,"_",BZ48)</f>
        <v>lbr_Express (Electric)</v>
      </c>
      <c r="CB48" s="1" t="str">
        <f aca="false">_xlfn.CONCAT(H48, "_",I48)</f>
        <v>electric_ELRL</v>
      </c>
      <c r="CC48" s="21" t="s">
        <v>343</v>
      </c>
      <c r="CD48" s="1" t="str">
        <f aca="false">VLOOKUP($CB48, Constants!$M:$N, 2, FALSE())</f>
        <v>{BLACK}Powered by: {GOLD}25kV AC</v>
      </c>
      <c r="CE48" s="1" t="str">
        <f aca="false">IF(M48&gt;1,_xlfn.CONCAT("{BLACK}Cars: {GOLD}", M48),"")</f>
        <v/>
      </c>
      <c r="CF48" s="1" t="s">
        <v>344</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
      </c>
      <c r="CH48" s="1" t="str">
        <f aca="false">_xlfn.CONCAT(CD48,IF(CD48 &lt;&gt; "", " ", ""),CE48,IF(OR(CE48&lt;&gt;"", CD48&lt;&gt;""), "{}",""), CC48, CG48,"{SILVER}", CF48)</f>
        <v>{BLACK}Powered by: {GOLD}25kV AC {}{BLACK}Length: {GOLD}0.8 tiles{}{SILVER}The APT-S was a rework of the APT concept towards more conventional rolling stock, with a driving motor car, articulated trailers and a DVT.</v>
      </c>
      <c r="CI48" s="1"/>
      <c r="CJ48" s="1"/>
    </row>
    <row r="49" customFormat="false" ht="13.8" hidden="false" customHeight="false" outlineLevel="0" collapsed="false">
      <c r="A49" s="18" t="s">
        <v>345</v>
      </c>
      <c r="B49" s="18" t="s">
        <v>346</v>
      </c>
      <c r="C49" s="18" t="n">
        <v>382</v>
      </c>
      <c r="E49" s="18" t="n">
        <v>384</v>
      </c>
      <c r="F49" s="18" t="s">
        <v>89</v>
      </c>
      <c r="G49" s="18" t="s">
        <v>147</v>
      </c>
      <c r="H49" s="18" t="s">
        <v>316</v>
      </c>
      <c r="I49" s="18" t="s">
        <v>153</v>
      </c>
      <c r="J49" s="18" t="n">
        <v>1986</v>
      </c>
      <c r="K49" s="18" t="n">
        <v>1991</v>
      </c>
      <c r="L49" s="18" t="n">
        <v>1994</v>
      </c>
      <c r="M49" s="18"/>
      <c r="N49" s="18" t="n">
        <v>100</v>
      </c>
      <c r="W49" s="1" t="n">
        <v>38.4</v>
      </c>
      <c r="Y49" s="1" t="n">
        <v>4</v>
      </c>
      <c r="Z49" s="1" t="n">
        <v>5</v>
      </c>
      <c r="AA49" s="4" t="n">
        <f aca="false">IF(AND(W49&gt;0,Z49&gt;0),(Z49/((W49+X49)*10)),"")</f>
        <v>0.0130208333333333</v>
      </c>
      <c r="AB49" s="1" t="n">
        <v>140</v>
      </c>
      <c r="AC49" s="1" t="n">
        <f aca="false">ROUND(AB49*1.6, 0)</f>
        <v>224</v>
      </c>
      <c r="AF49" s="1" t="n">
        <v>22</v>
      </c>
      <c r="AG49" s="1" t="n">
        <v>22</v>
      </c>
      <c r="AH49" s="1" t="n">
        <v>2.7</v>
      </c>
      <c r="AI49" s="1" t="n">
        <v>3.5</v>
      </c>
      <c r="AJ49" s="5" t="n">
        <v>36</v>
      </c>
      <c r="AK49" s="19" t="str">
        <f aca="false">CONCATENATE(VLOOKUP(AL49, 'Voxel Sizes'!$A$2:$B$18,2,FALSE()),"x",INT(AH49*15), "x", INT(AI49*15))</f>
        <v>214x40x52</v>
      </c>
      <c r="AL49" s="1" t="n">
        <f aca="false">ROUND(15*((AG49*10)/256),0)</f>
        <v>13</v>
      </c>
      <c r="AN49" s="1" t="str">
        <f aca="false">CONCATENATE(VLOOKUP(AL49,Constants!$A$2:$C$16,IF(AM49&lt;&gt;"", 3, 2), FALSE()),IF(AM49&lt;&gt;"",CONCATENATE(",",VLOOKUP(AM49,$B:$AN,38,FALSE())),""))</f>
        <v>4,5,4</v>
      </c>
      <c r="AX49" s="1" t="n">
        <v>20</v>
      </c>
      <c r="AY49" s="6" t="n">
        <f aca="false">IF(L49&lt;&gt;"",MAX(16,(L49-J49)+8),"")</f>
        <v>16</v>
      </c>
      <c r="AZ49" s="1" t="n">
        <v>-35</v>
      </c>
      <c r="BA49" s="1" t="n">
        <v>-60</v>
      </c>
      <c r="BB49" s="1" t="n">
        <f aca="false">MIN(AB49/150, 1)*30</f>
        <v>28</v>
      </c>
      <c r="BC49" s="1" t="n">
        <f aca="false">MIN(N49/4000, 1)*20</f>
        <v>0.5</v>
      </c>
      <c r="BD49" s="1" t="n">
        <f aca="false">MIN(Z49/400,1)*20</f>
        <v>0.25</v>
      </c>
      <c r="BE49" s="4" t="n">
        <f aca="false">1-(MAX(J49-1900, 0)/750)</f>
        <v>0.885333333333333</v>
      </c>
      <c r="BF49" s="1" t="n">
        <f aca="false">((MAX($M49,1)*MIN($AJ49/300,1)))*IF(G49="Wagon",50,10)</f>
        <v>1.2</v>
      </c>
      <c r="BG49" s="1" t="n">
        <f aca="false">VLOOKUP($H49,Constants!$I:$K, 2, FALSE())</f>
        <v>0.85</v>
      </c>
      <c r="BH49" s="1" t="n">
        <f aca="false">VLOOKUP($H49,Constants!$I:$K, 3, FALSE())*IF(AND(G49="multiple_unit",AB49&lt;110),0.75,1)</f>
        <v>2.3</v>
      </c>
      <c r="BI49" s="1" t="n">
        <f aca="false">INT(POWER(((Constants!$G$2+$BB49+$BC49+$BD49+$BF49)*$BE49)*$BH49, 1.05))+$BA49</f>
        <v>28</v>
      </c>
      <c r="BJ49" s="1" t="n">
        <f aca="false">INT(POWER((((Constants!$G$1+$BB49+$BC49+$BD49+$BF49)*($BE49))*$BG49),IF($G49="wagon",1,1.2)))+$AZ49</f>
        <v>33</v>
      </c>
      <c r="BK49" s="20" t="n">
        <f aca="false">BI49*IF($G49="wagon",62.5,781.25)</f>
        <v>21875</v>
      </c>
      <c r="BL49" s="20" t="n">
        <f aca="false">BJ49*IF($G49="wagon",2.73,81.25)</f>
        <v>2681.25</v>
      </c>
      <c r="BM49" s="1" t="n">
        <v>1</v>
      </c>
      <c r="BN49" s="1" t="n">
        <v>1</v>
      </c>
      <c r="BP49" s="1" t="n">
        <v>1</v>
      </c>
      <c r="BQ49" s="1" t="str">
        <f aca="false">_xlfn.ORG.LIBREOFFICE.REGEX(_xlfn.ORG.LIBREOFFICE.REGEX(APTMUVehicles, _xlfn.CONCAT(B49, ",?"), ""), ",$", "")</f>
        <v>apt_half_6,apt_half_6_rev,apt_powercar,apt_half_2,apt_half_2_rev,apt_s_dm,apt_s_10,apt_s_6</v>
      </c>
      <c r="BS49" s="1" t="s">
        <v>289</v>
      </c>
      <c r="BT49" s="1" t="n">
        <v>7</v>
      </c>
      <c r="BU49" s="1" t="n">
        <v>185</v>
      </c>
      <c r="BX49" s="1" t="s">
        <v>148</v>
      </c>
      <c r="BY49" s="1" t="str">
        <f aca="false">VLOOKUP(J49,Eras!$A$2:$C$10, 2, TRUE())</f>
        <v>lbr</v>
      </c>
      <c r="BZ49" s="18" t="s">
        <v>342</v>
      </c>
      <c r="CA49" s="1" t="str">
        <f aca="false">CONCATENATE(BY49,"_",BZ49)</f>
        <v>lbr_Express (Electric)</v>
      </c>
      <c r="CB49" s="1" t="str">
        <f aca="false">_xlfn.CONCAT(H49, "_",I49)</f>
        <v>none_RAIL</v>
      </c>
      <c r="CC49" s="21" t="s">
        <v>343</v>
      </c>
      <c r="CD49" s="1" t="str">
        <f aca="false">VLOOKUP($CB49, Constants!$M:$N, 2, FALSE())</f>
        <v/>
      </c>
      <c r="CE49" s="1" t="str">
        <f aca="false">IF(M49&gt;1,_xlfn.CONCAT("{BLACK}Cars: {GOLD}", M49),"")</f>
        <v/>
      </c>
      <c r="CF49" s="1" t="s">
        <v>347</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
      </c>
      <c r="CH49" s="1" t="str">
        <f aca="false">_xlfn.CONCAT(CD49,IF(CD49 &lt;&gt; "", " ", ""),CE49,IF(OR(CE49&lt;&gt;"", CD49&lt;&gt;""), "{}",""), CC49, CG49,"{SILVER}", CF49)</f>
        <v>{BLACK}Length: {GOLD}0.8 tiles{}{SILVER}The APT-Q was proposed to rationalise existing APT-P stock into usable 6-car tains, with a single non-driving power car and a new-build DVT.</v>
      </c>
      <c r="CI49" s="1"/>
      <c r="CJ49" s="1"/>
    </row>
    <row r="50" customFormat="false" ht="13.8" hidden="false" customHeight="false" outlineLevel="0" collapsed="false">
      <c r="A50" s="1" t="s">
        <v>348</v>
      </c>
      <c r="B50" s="1" t="s">
        <v>349</v>
      </c>
      <c r="C50" s="1" t="n">
        <v>384</v>
      </c>
      <c r="D50" s="1" t="n">
        <v>386</v>
      </c>
      <c r="E50" s="1" t="n">
        <v>386</v>
      </c>
      <c r="F50" s="1" t="s">
        <v>89</v>
      </c>
      <c r="G50" s="1" t="s">
        <v>324</v>
      </c>
      <c r="H50" s="1" t="s">
        <v>316</v>
      </c>
      <c r="I50" s="1" t="s">
        <v>153</v>
      </c>
      <c r="J50" s="1" t="n">
        <v>1986</v>
      </c>
      <c r="K50" s="1" t="n">
        <v>1991</v>
      </c>
      <c r="L50" s="1" t="n">
        <v>1994</v>
      </c>
      <c r="M50" s="1" t="n">
        <v>10</v>
      </c>
      <c r="N50" s="1" t="n">
        <v>10</v>
      </c>
      <c r="W50" s="18" t="n">
        <v>258.2</v>
      </c>
      <c r="Y50" s="1" t="n">
        <v>4</v>
      </c>
      <c r="Z50" s="1" t="n">
        <v>5</v>
      </c>
      <c r="AA50" s="4" t="n">
        <f aca="false">IF(AND(W50&gt;0,Z50&gt;0),(Z50/((W50+X50)*10)),"")</f>
        <v>0.00193648334624322</v>
      </c>
      <c r="AB50" s="1" t="n">
        <v>140</v>
      </c>
      <c r="AC50" s="1" t="n">
        <f aca="false">ROUND(AB50*1.6, 0)</f>
        <v>224</v>
      </c>
      <c r="AF50" s="1" t="n">
        <v>20.9</v>
      </c>
      <c r="AG50" s="1" t="n">
        <v>20.9</v>
      </c>
      <c r="AH50" s="1" t="n">
        <v>2.7</v>
      </c>
      <c r="AI50" s="1" t="n">
        <v>3.5</v>
      </c>
      <c r="AJ50" s="5" t="n">
        <v>49</v>
      </c>
      <c r="AK50" s="19" t="str">
        <f aca="false">CONCATENATE(VLOOKUP(AL50, 'Voxel Sizes'!$A$2:$B$18,2,FALSE()),"x",INT(AH50*15), "x", INT(AI50*15))</f>
        <v>198x40x52</v>
      </c>
      <c r="AL50" s="1" t="n">
        <f aca="false">ROUND(15*((AG50*10)/256),0)</f>
        <v>12</v>
      </c>
      <c r="AN50" s="1" t="str">
        <f aca="false">CONCATENATE(VLOOKUP(AL50,Constants!$A$2:$C$16,IF(AM50&lt;&gt;"", 3, 2), FALSE()),IF(AM50&lt;&gt;"",CONCATENATE(",",VLOOKUP(AM50,$B:$AN,38,FALSE())),""))</f>
        <v>4,4,4</v>
      </c>
      <c r="AR50" s="1" t="s">
        <v>350</v>
      </c>
      <c r="AT50" s="1" t="s">
        <v>351</v>
      </c>
      <c r="AU50" s="1" t="s">
        <v>352</v>
      </c>
      <c r="AX50" s="1" t="n">
        <v>20</v>
      </c>
      <c r="AY50" s="6" t="n">
        <f aca="false">IF(L50&lt;&gt;"",MAX(16,(L50-J50)+8),"")</f>
        <v>16</v>
      </c>
      <c r="AZ50" s="1" t="n">
        <v>-45</v>
      </c>
      <c r="BA50" s="1" t="n">
        <v>-65</v>
      </c>
      <c r="BB50" s="1" t="n">
        <f aca="false">MIN(AB50/150, 1)*30</f>
        <v>28</v>
      </c>
      <c r="BC50" s="1" t="n">
        <f aca="false">MIN(N50/4000, 1)*20</f>
        <v>0.05</v>
      </c>
      <c r="BD50" s="1" t="n">
        <f aca="false">MIN(Z50/400,1)*20</f>
        <v>0.25</v>
      </c>
      <c r="BE50" s="4" t="n">
        <f aca="false">1-(MAX(J50-1900, 0)/750)</f>
        <v>0.885333333333333</v>
      </c>
      <c r="BF50" s="1" t="n">
        <f aca="false">((MAX($M50,1)*MIN($AJ50/300,1)))*IF(G50="Wagon",50,10)</f>
        <v>16.3333333333333</v>
      </c>
      <c r="BG50" s="1" t="n">
        <f aca="false">VLOOKUP($H50,Constants!$I:$K, 2, FALSE())</f>
        <v>0.85</v>
      </c>
      <c r="BH50" s="1" t="n">
        <f aca="false">VLOOKUP($H50,Constants!$I:$K, 3, FALSE())*IF(AND(G50="multiple_unit",AB50&lt;110),0.75,1)</f>
        <v>2.3</v>
      </c>
      <c r="BI50" s="1" t="n">
        <f aca="false">INT(POWER(((Constants!$G$2+$BB50+$BC50+$BD50+$BF50)*$BE50)*$BH50, 1.05))+$BA50</f>
        <v>62</v>
      </c>
      <c r="BJ50" s="1" t="n">
        <f aca="false">INT(POWER((((Constants!$G$1+$BB50+$BC50+$BD50+$BF50)*($BE50))*$BG50),IF($G50="wagon",1,1.2)))+$AZ50</f>
        <v>51</v>
      </c>
      <c r="BK50" s="20" t="n">
        <f aca="false">BI50*IF($G50="wagon",62.5,781.25)</f>
        <v>48437.5</v>
      </c>
      <c r="BL50" s="20" t="n">
        <f aca="false">BJ50*IF($G50="wagon",2.73,81.25)</f>
        <v>4143.75</v>
      </c>
      <c r="BO50" s="1" t="n">
        <v>1</v>
      </c>
      <c r="BP50" s="1" t="n">
        <v>1</v>
      </c>
      <c r="BQ50" s="1" t="str">
        <f aca="false">_xlfn.ORG.LIBREOFFICE.REGEX(_xlfn.ORG.LIBREOFFICE.REGEX(APTMUVehicles, _xlfn.CONCAT(B50, ",?"), ""), ",$", "")</f>
        <v>apt_half_6,apt_half_6_rev,apt_powercar,apt_half_2,apt_half_2_rev,apt_q_dvt,apt_s_dm,apt_s_6</v>
      </c>
      <c r="BS50" s="18" t="s">
        <v>353</v>
      </c>
      <c r="BT50" s="1" t="n">
        <v>7</v>
      </c>
      <c r="BU50" s="1" t="n">
        <v>222</v>
      </c>
      <c r="BX50" s="1" t="s">
        <v>95</v>
      </c>
      <c r="BY50" s="1" t="str">
        <f aca="false">VLOOKUP(J50,Eras!$A$2:$C$10, 2, TRUE())</f>
        <v>lbr</v>
      </c>
      <c r="BZ50" s="18" t="s">
        <v>226</v>
      </c>
      <c r="CA50" s="1" t="str">
        <f aca="false">CONCATENATE(BY50,"_",BZ50)</f>
        <v>lbr_EMU (Express)</v>
      </c>
      <c r="CB50" s="1" t="str">
        <f aca="false">_xlfn.CONCAT(H50, "_",I50)</f>
        <v>none_RAIL</v>
      </c>
      <c r="CC50" s="21" t="s">
        <v>343</v>
      </c>
      <c r="CD50" s="1" t="str">
        <f aca="false">VLOOKUP($CB50, Constants!$M:$N, 2, FALSE())</f>
        <v/>
      </c>
      <c r="CE50" s="1" t="str">
        <f aca="false">IF(M50&gt;1,_xlfn.CONCAT("{BLACK}Cars: {GOLD}", M50),"")</f>
        <v>{BLACK}Cars: {GOLD}10</v>
      </c>
      <c r="CF50" s="1" t="s">
        <v>354</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{YELLOW}20% bonus for long distance travel{}</v>
      </c>
      <c r="CH50" s="1" t="str">
        <f aca="false">_xlfn.CONCAT(CD50,IF(CD50 &lt;&gt; "", " ", ""),CE50,IF(OR(CE50&lt;&gt;"", CD50&lt;&gt;""), "{}",""), CC50, CG50,"{SILVER}", CF50)</f>
        <v>{BLACK}Cars: {GOLD}10{}{BLACK}Length: {GOLD}0.8 tiles{}{YELLOW}20% bonus for long distance travel{}{SILVER}An articulated trailer rake of APT-S Vehicles, intended to run with a Driving Motor and a DVT but also usable in other weird combinations.</v>
      </c>
      <c r="CI50" s="1"/>
      <c r="CJ50" s="1"/>
    </row>
    <row r="51" customFormat="false" ht="13.8" hidden="false" customHeight="false" outlineLevel="0" collapsed="false">
      <c r="A51" s="1" t="s">
        <v>355</v>
      </c>
      <c r="B51" s="1" t="s">
        <v>356</v>
      </c>
      <c r="C51" s="1" t="n">
        <v>386</v>
      </c>
      <c r="E51" s="1" t="n">
        <v>388</v>
      </c>
      <c r="F51" s="1" t="s">
        <v>89</v>
      </c>
      <c r="G51" s="1" t="s">
        <v>324</v>
      </c>
      <c r="H51" s="1" t="s">
        <v>316</v>
      </c>
      <c r="I51" s="1" t="s">
        <v>153</v>
      </c>
      <c r="J51" s="1" t="n">
        <v>1986</v>
      </c>
      <c r="K51" s="1" t="n">
        <v>1991</v>
      </c>
      <c r="L51" s="1" t="n">
        <v>1994</v>
      </c>
      <c r="M51" s="1" t="n">
        <v>6</v>
      </c>
      <c r="N51" s="1" t="n">
        <v>10</v>
      </c>
      <c r="W51" s="1" t="n">
        <v>209.6</v>
      </c>
      <c r="Y51" s="1" t="n">
        <v>4</v>
      </c>
      <c r="Z51" s="1" t="n">
        <v>5</v>
      </c>
      <c r="AA51" s="4" t="n">
        <f aca="false">IF(AND(W51&gt;0,Z51&gt;0),(Z51/((W51+X51)*10)),"")</f>
        <v>0.00238549618320611</v>
      </c>
      <c r="AB51" s="1" t="n">
        <v>140</v>
      </c>
      <c r="AC51" s="1" t="n">
        <f aca="false">ROUND(AB51*1.6, 0)</f>
        <v>224</v>
      </c>
      <c r="AF51" s="1" t="n">
        <v>20.9</v>
      </c>
      <c r="AG51" s="1" t="n">
        <v>20.9</v>
      </c>
      <c r="AH51" s="1" t="n">
        <v>2.7</v>
      </c>
      <c r="AI51" s="1" t="n">
        <v>3.5</v>
      </c>
      <c r="AJ51" s="5" t="n">
        <v>50</v>
      </c>
      <c r="AK51" s="19" t="str">
        <f aca="false">CONCATENATE(VLOOKUP(AL51, 'Voxel Sizes'!$A$2:$B$18,2,FALSE()),"x",INT(AH51*15), "x", INT(AI51*15))</f>
        <v>198x40x52</v>
      </c>
      <c r="AL51" s="1" t="n">
        <f aca="false">ROUND(15*((AG51*10)/256),0)</f>
        <v>12</v>
      </c>
      <c r="AN51" s="1" t="str">
        <f aca="false">CONCATENATE(VLOOKUP(AL51,Constants!$A$2:$C$16,IF(AM51&lt;&gt;"", 3, 2), FALSE()),IF(AM51&lt;&gt;"",CONCATENATE(",",VLOOKUP(AM51,$B:$AN,38,FALSE())),""))</f>
        <v>4,4,4</v>
      </c>
      <c r="AR51" s="1" t="s">
        <v>357</v>
      </c>
      <c r="AT51" s="1" t="s">
        <v>135</v>
      </c>
      <c r="AU51" s="1" t="s">
        <v>352</v>
      </c>
      <c r="AX51" s="1" t="n">
        <v>20</v>
      </c>
      <c r="AY51" s="6" t="n">
        <f aca="false">IF(L51&lt;&gt;"",MAX(16,(L51-J51)+8),"")</f>
        <v>16</v>
      </c>
      <c r="AZ51" s="1" t="n">
        <v>-45</v>
      </c>
      <c r="BA51" s="1" t="n">
        <v>-65</v>
      </c>
      <c r="BB51" s="1" t="n">
        <f aca="false">MIN(AB51/150, 1)*30</f>
        <v>28</v>
      </c>
      <c r="BC51" s="1" t="n">
        <f aca="false">MIN(N51/4000, 1)*20</f>
        <v>0.05</v>
      </c>
      <c r="BD51" s="1" t="n">
        <f aca="false">MIN(Z51/400,1)*20</f>
        <v>0.25</v>
      </c>
      <c r="BE51" s="4" t="n">
        <f aca="false">1-(MAX(J51-1900, 0)/750)</f>
        <v>0.885333333333333</v>
      </c>
      <c r="BF51" s="1" t="n">
        <f aca="false">((MAX($M51,1)*MIN($AJ51/300,1)))*IF(G51="Wagon",50,10)</f>
        <v>10</v>
      </c>
      <c r="BG51" s="1" t="n">
        <f aca="false">VLOOKUP($H51,Constants!$I:$K, 2, FALSE())</f>
        <v>0.85</v>
      </c>
      <c r="BH51" s="1" t="n">
        <f aca="false">VLOOKUP($H51,Constants!$I:$K, 3, FALSE())*IF(AND(G51="multiple_unit",AB51&lt;110),0.75,1)</f>
        <v>2.3</v>
      </c>
      <c r="BI51" s="1" t="n">
        <f aca="false">INT(POWER(((Constants!$G$2+$BB51+$BC51+$BD51+$BF51)*$BE51)*$BH51, 1.05))+$BA51</f>
        <v>45</v>
      </c>
      <c r="BJ51" s="1" t="n">
        <f aca="false">INT(POWER((((Constants!$G$1+$BB51+$BC51+$BD51+$BF51)*($BE51))*$BG51),IF($G51="wagon",1,1.2)))+$AZ51</f>
        <v>38</v>
      </c>
      <c r="BK51" s="20" t="n">
        <f aca="false">BI51*IF($G51="wagon",62.5,781.25)</f>
        <v>35156.25</v>
      </c>
      <c r="BL51" s="20" t="n">
        <f aca="false">BJ51*IF($G51="wagon",2.73,81.25)</f>
        <v>3087.5</v>
      </c>
      <c r="BO51" s="1" t="n">
        <v>1</v>
      </c>
      <c r="BP51" s="1" t="n">
        <v>1</v>
      </c>
      <c r="BQ51" s="1" t="str">
        <f aca="false">_xlfn.ORG.LIBREOFFICE.REGEX(_xlfn.ORG.LIBREOFFICE.REGEX(APTMUVehicles, _xlfn.CONCAT(B51, ",?"), ""), ",$", "")</f>
        <v>apt_half_6,apt_half_6_rev,apt_powercar,apt_half_2,apt_half_2_rev,apt_q_dvt,apt_s_dm,apt_s_10</v>
      </c>
      <c r="BS51" s="18" t="s">
        <v>358</v>
      </c>
      <c r="BT51" s="1" t="n">
        <v>7</v>
      </c>
      <c r="BU51" s="1" t="n">
        <v>222</v>
      </c>
      <c r="BX51" s="1" t="s">
        <v>95</v>
      </c>
      <c r="BY51" s="1" t="str">
        <f aca="false">VLOOKUP(J51,Eras!$A$2:$C$10, 2, TRUE())</f>
        <v>lbr</v>
      </c>
      <c r="BZ51" s="18" t="s">
        <v>226</v>
      </c>
      <c r="CA51" s="1" t="str">
        <f aca="false">CONCATENATE(BY51,"_",BZ51)</f>
        <v>lbr_EMU (Express)</v>
      </c>
      <c r="CB51" s="1" t="str">
        <f aca="false">_xlfn.CONCAT(H51, "_",I51)</f>
        <v>none_RAIL</v>
      </c>
      <c r="CC51" s="21" t="s">
        <v>343</v>
      </c>
      <c r="CD51" s="1" t="str">
        <f aca="false">VLOOKUP($CB51, Constants!$M:$N, 2, FALSE())</f>
        <v/>
      </c>
      <c r="CE51" s="1" t="str">
        <f aca="false">IF(M51&gt;1,_xlfn.CONCAT("{BLACK}Cars: {GOLD}", M51),"")</f>
        <v>{BLACK}Cars: {GOLD}6</v>
      </c>
      <c r="CF51" s="1" t="s">
        <v>354</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{YELLOW}20% bonus for long distance travel{}</v>
      </c>
      <c r="CH51" s="1" t="str">
        <f aca="false">_xlfn.CONCAT(CD51,IF(CD51 &lt;&gt; "", " ", ""),CE51,IF(OR(CE51&lt;&gt;"", CD51&lt;&gt;""), "{}",""), CC51, CG51,"{SILVER}", CF51)</f>
        <v>{BLACK}Cars: {GOLD}6{}{BLACK}Length: {GOLD}0.8 tiles{}{YELLOW}20% bonus for long distance travel{}{SILVER}An articulated trailer rake of APT-S Vehicles, intended to run with a Driving Motor and a DVT but also usable in other weird combinations.</v>
      </c>
      <c r="CI51" s="1"/>
      <c r="CJ51" s="1"/>
    </row>
    <row r="52" customFormat="false" ht="13.8" hidden="false" customHeight="false" outlineLevel="0" collapsed="false">
      <c r="A52" s="1" t="s">
        <v>359</v>
      </c>
      <c r="B52" s="1" t="s">
        <v>360</v>
      </c>
      <c r="C52" s="1" t="n">
        <v>420</v>
      </c>
      <c r="E52" s="1" t="n">
        <v>392</v>
      </c>
      <c r="F52" s="1" t="s">
        <v>89</v>
      </c>
      <c r="G52" s="1" t="s">
        <v>147</v>
      </c>
      <c r="H52" s="1" t="s">
        <v>152</v>
      </c>
      <c r="I52" s="1" t="s">
        <v>153</v>
      </c>
      <c r="J52" s="1" t="n">
        <v>1986</v>
      </c>
      <c r="K52" s="1" t="n">
        <v>2026</v>
      </c>
      <c r="L52" s="1" t="n">
        <v>2031</v>
      </c>
      <c r="N52" s="1" t="n">
        <v>2250</v>
      </c>
      <c r="W52" s="1" t="n">
        <v>71.5</v>
      </c>
      <c r="Z52" s="1" t="n">
        <v>180</v>
      </c>
      <c r="AA52" s="4" t="n">
        <f aca="false">IF(AND(W52&gt;0,Z52&gt;0),(Z52/((W52+X52)*10)),"")</f>
        <v>0.251748251748252</v>
      </c>
      <c r="AB52" s="1" t="n">
        <v>125</v>
      </c>
      <c r="AC52" s="1" t="n">
        <f aca="false">ROUND(AB52*1.6, 0)</f>
        <v>200</v>
      </c>
      <c r="AF52" s="1" t="n">
        <v>17.79</v>
      </c>
      <c r="AG52" s="1" t="n">
        <v>17.79</v>
      </c>
      <c r="AJ52" s="5" t="n">
        <v>0</v>
      </c>
      <c r="AK52" s="19" t="str">
        <f aca="false">CONCATENATE(VLOOKUP(AL52, 'Voxel Sizes'!$A$2:$B$18,2,FALSE()),"x",INT(AH52*15), "x", INT(AI52*15))</f>
        <v>164x0x0</v>
      </c>
      <c r="AL52" s="1" t="n">
        <f aca="false">ROUND(15*((AG52*10)/256),0)</f>
        <v>10</v>
      </c>
      <c r="AN52" s="1" t="str">
        <f aca="false">CONCATENATE(VLOOKUP(AL52,Constants!$A$2:$C$16,IF(AM52&lt;&gt;"", 3, 2), FALSE()),IF(AM52&lt;&gt;"",CONCATENATE(",",VLOOKUP(AM52,$B:$AN,38,FALSE())),""))</f>
        <v>4,2,4</v>
      </c>
      <c r="AX52" s="1" t="n">
        <v>35</v>
      </c>
      <c r="AY52" s="6" t="n">
        <f aca="false">IF(L52&lt;&gt;"",MAX(16,(L52-J52)+8),"")</f>
        <v>53</v>
      </c>
      <c r="BB52" s="1" t="n">
        <f aca="false">MIN(AB52/150, 1)*30</f>
        <v>25</v>
      </c>
      <c r="BC52" s="1" t="n">
        <f aca="false">MIN(N52/4000, 1)*20</f>
        <v>11.25</v>
      </c>
      <c r="BD52" s="1" t="n">
        <f aca="false">MIN(Z52/400,1)*20</f>
        <v>9</v>
      </c>
      <c r="BE52" s="4" t="n">
        <f aca="false">1-(MAX(J52-1900, 0)/750)</f>
        <v>0.885333333333333</v>
      </c>
      <c r="BF52" s="1" t="n">
        <f aca="false">((MAX($M52,1)*MIN($AJ52/300,1)))*IF(G52="Wagon",50,10)</f>
        <v>0</v>
      </c>
      <c r="BG52" s="1" t="n">
        <f aca="false">VLOOKUP($H52,Constants!$I:$K, 2, FALSE())</f>
        <v>1</v>
      </c>
      <c r="BH52" s="1" t="n">
        <f aca="false">VLOOKUP($H52,Constants!$I:$K, 3, FALSE())*IF(AND(G52="multiple_unit",AB52&lt;110),0.75,1)</f>
        <v>2</v>
      </c>
      <c r="BI52" s="1" t="n">
        <f aca="false">INT(POWER(((Constants!$G$2+$BB52+$BC52+$BD52+$BF52)*$BE52)*$BH52, 1.05))+$BA52</f>
        <v>111</v>
      </c>
      <c r="BJ52" s="1" t="n">
        <f aca="false">INT(POWER((((Constants!$G$1+$BB52+$BC52+$BD52+$BF52)*($BE52))*$BG52),IF($G52="wagon",1,1.2)))+$AZ52</f>
        <v>118</v>
      </c>
      <c r="BK52" s="20" t="n">
        <f aca="false">BI52*IF($G52="wagon",62.5,781.25)</f>
        <v>86718.75</v>
      </c>
      <c r="BL52" s="20" t="n">
        <f aca="false">BJ52*IF($G52="wagon",2.73,81.25)</f>
        <v>9587.5</v>
      </c>
      <c r="BM52" s="1" t="n">
        <v>1</v>
      </c>
      <c r="BN52" s="1" t="n">
        <v>1</v>
      </c>
      <c r="BT52" s="1" t="n">
        <v>2</v>
      </c>
      <c r="BY52" s="1" t="str">
        <f aca="false">VLOOKUP(J52,Eras!$A$2:$C$10, 2, TRUE())</f>
        <v>lbr</v>
      </c>
      <c r="BZ52" s="18" t="s">
        <v>361</v>
      </c>
      <c r="CA52" s="1" t="str">
        <f aca="false">CONCATENATE(BY52,"_",BZ52)</f>
        <v>lbr_Express</v>
      </c>
      <c r="CB52" s="1" t="str">
        <f aca="false">_xlfn.CONCAT(H52, "_",I52)</f>
        <v>diesel_RAIL</v>
      </c>
      <c r="CC52" s="21" t="s">
        <v>343</v>
      </c>
      <c r="CD52" s="1" t="str">
        <f aca="false">VLOOKUP($CB52, Constants!$M:$N, 2, FALSE())</f>
        <v>{BLACK}Powered by: {GOLD}Diesel</v>
      </c>
      <c r="CE52" s="1" t="str">
        <f aca="false">IF(M52&gt;1,_xlfn.CONCAT("{BLACK}Cars: {GOLD}", M52),"")</f>
        <v/>
      </c>
      <c r="CF52" s="1" t="s">
        <v>362</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tiles{}{SILVER}To facilitate the testing and introduction of the Class 91 fleet prior to the availability of Mark 4 Driving Van Trailers, 8 HST Power Cars were converted to act as control vehicles for electric locomotives.</v>
      </c>
      <c r="CI52" s="1"/>
      <c r="CJ52" s="1"/>
    </row>
    <row r="53" customFormat="false" ht="13.8" hidden="false" customHeight="false" outlineLevel="0" collapsed="false">
      <c r="A53" s="1" t="s">
        <v>363</v>
      </c>
      <c r="B53" s="1" t="s">
        <v>364</v>
      </c>
      <c r="C53" s="1" t="n">
        <v>422</v>
      </c>
      <c r="E53" s="1" t="n">
        <v>394</v>
      </c>
      <c r="F53" s="1" t="s">
        <v>89</v>
      </c>
      <c r="G53" s="1" t="s">
        <v>147</v>
      </c>
      <c r="H53" s="1" t="s">
        <v>316</v>
      </c>
      <c r="I53" s="1" t="s">
        <v>153</v>
      </c>
      <c r="J53" s="1" t="n">
        <v>1986</v>
      </c>
      <c r="K53" s="1" t="n">
        <v>1991</v>
      </c>
      <c r="N53" s="1" t="n">
        <v>100</v>
      </c>
      <c r="W53" s="1" t="n">
        <v>35</v>
      </c>
      <c r="Y53" s="1" t="n">
        <v>4</v>
      </c>
      <c r="Z53" s="1" t="n">
        <v>5</v>
      </c>
      <c r="AA53" s="4" t="n">
        <f aca="false">IF(AND(W53&gt;0,Z53&gt;0),(Z53/((W53+X53)*10)),"")</f>
        <v>0.0142857142857143</v>
      </c>
      <c r="AB53" s="1" t="n">
        <v>125</v>
      </c>
      <c r="AC53" s="1" t="n">
        <f aca="false">ROUND(AB53*1.6, 0)</f>
        <v>200</v>
      </c>
      <c r="AF53" s="1" t="n">
        <v>23</v>
      </c>
      <c r="AG53" s="1" t="n">
        <v>23</v>
      </c>
      <c r="AJ53" s="5" t="n">
        <v>45</v>
      </c>
      <c r="AK53" s="19" t="str">
        <f aca="false">CONCATENATE(VLOOKUP(AL53, 'Voxel Sizes'!$A$2:$B$18,2,FALSE()),"x",INT(AH53*15), "x", INT(AI53*15))</f>
        <v>214x0x0</v>
      </c>
      <c r="AL53" s="1" t="n">
        <f aca="false">ROUND(15*((AG53*10)/256),0)</f>
        <v>13</v>
      </c>
      <c r="AN53" s="1" t="str">
        <f aca="false">CONCATENATE(VLOOKUP(AL53,Constants!$A$2:$C$16,IF(AM53&lt;&gt;"", 3, 2), FALSE()),IF(AM53&lt;&gt;"",CONCATENATE(",",VLOOKUP(AM53,$B:$AN,38,FALSE())),""))</f>
        <v>4,5,4</v>
      </c>
      <c r="AX53" s="1" t="n">
        <v>27</v>
      </c>
      <c r="AY53" s="6" t="str">
        <f aca="false">IF(L53&lt;&gt;"",MAX(16,(L53-J53)+8),"")</f>
        <v/>
      </c>
      <c r="AZ53" s="1" t="n">
        <v>-15</v>
      </c>
      <c r="BA53" s="1" t="n">
        <v>-60</v>
      </c>
      <c r="BB53" s="1" t="n">
        <f aca="false">MIN(AB53/150, 1)*30</f>
        <v>25</v>
      </c>
      <c r="BC53" s="1" t="n">
        <f aca="false">MIN(N53/4000, 1)*20</f>
        <v>0.5</v>
      </c>
      <c r="BD53" s="1" t="n">
        <f aca="false">MIN(Z53/400,1)*20</f>
        <v>0.25</v>
      </c>
      <c r="BE53" s="4" t="n">
        <f aca="false">1-(MAX(J53-1900, 0)/750)</f>
        <v>0.885333333333333</v>
      </c>
      <c r="BF53" s="1" t="n">
        <f aca="false">((MAX($M53,1)*MIN($AJ53/300,1)))*IF(G53="Wagon",50,10)</f>
        <v>1.5</v>
      </c>
      <c r="BG53" s="1" t="n">
        <f aca="false">VLOOKUP($H53,Constants!$I:$K, 2, FALSE())</f>
        <v>0.85</v>
      </c>
      <c r="BH53" s="1" t="n">
        <f aca="false">VLOOKUP($H53,Constants!$I:$K, 3, FALSE())*IF(AND(G53="multiple_unit",AB53&lt;110),0.75,1)</f>
        <v>2.3</v>
      </c>
      <c r="BI53" s="1" t="n">
        <v>20</v>
      </c>
      <c r="BJ53" s="1" t="n">
        <f aca="false">INT(POWER((((Constants!$G$1+$BB53+$BC53+$BD53+$BF53)*($BE53))*$BG53),IF($G53="wagon",1,1.2)))+$AZ53</f>
        <v>48</v>
      </c>
      <c r="BK53" s="20" t="n">
        <f aca="false">BI53*IF($G53="wagon",62.5,781.25)</f>
        <v>15625</v>
      </c>
      <c r="BL53" s="20" t="n">
        <f aca="false">BJ53*IF($G53="wagon",2.73,81.25)</f>
        <v>3900</v>
      </c>
      <c r="BM53" s="1" t="n">
        <v>1</v>
      </c>
      <c r="BN53" s="1" t="n">
        <v>1</v>
      </c>
      <c r="BS53" s="1" t="s">
        <v>289</v>
      </c>
      <c r="BT53" s="1" t="n">
        <v>7</v>
      </c>
      <c r="BU53" s="1" t="n">
        <v>205</v>
      </c>
      <c r="BV53" s="1" t="s">
        <v>225</v>
      </c>
      <c r="BX53" s="1" t="s">
        <v>95</v>
      </c>
      <c r="BY53" s="1" t="str">
        <f aca="false">VLOOKUP(J53,Eras!$A$2:$C$10, 2, TRUE())</f>
        <v>lbr</v>
      </c>
      <c r="BZ53" s="18" t="s">
        <v>361</v>
      </c>
      <c r="CA53" s="1" t="str">
        <f aca="false">CONCATENATE(BY53,"_",BZ53)</f>
        <v>lbr_Express</v>
      </c>
      <c r="CB53" s="1" t="str">
        <f aca="false">_xlfn.CONCAT(H53, "_",I53)</f>
        <v>none_RAIL</v>
      </c>
      <c r="CC53" s="21" t="s">
        <v>343</v>
      </c>
      <c r="CD53" s="1"/>
      <c r="CE53" s="1" t="str">
        <f aca="false">IF(M53&gt;1,_xlfn.CONCAT("{BLACK}Cars: {GOLD}", M53),"")</f>
        <v/>
      </c>
      <c r="CF53" s="1" t="s">
        <v>365</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{YELLOW}10% bonus for long distance travel{}</v>
      </c>
      <c r="CH53" s="1" t="str">
        <f aca="false">_xlfn.CONCAT(CD53,IF(CD53 &lt;&gt; "", " ", ""),CE53,IF(OR(CE53&lt;&gt;"", CD53&lt;&gt;""), "{}",""), CC53, CG53,"{SILVER}", CF53)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53" s="1"/>
      <c r="CJ53" s="1"/>
    </row>
    <row r="54" customFormat="false" ht="13.8" hidden="false" customHeight="false" outlineLevel="0" collapsed="false">
      <c r="A54" s="1" t="s">
        <v>366</v>
      </c>
      <c r="B54" s="1" t="s">
        <v>367</v>
      </c>
      <c r="C54" s="1" t="n">
        <v>424</v>
      </c>
      <c r="D54" s="1" t="n">
        <v>420</v>
      </c>
      <c r="E54" s="1" t="n">
        <v>396</v>
      </c>
      <c r="F54" s="1" t="s">
        <v>89</v>
      </c>
      <c r="G54" s="1" t="s">
        <v>147</v>
      </c>
      <c r="H54" s="1" t="s">
        <v>316</v>
      </c>
      <c r="I54" s="1" t="s">
        <v>153</v>
      </c>
      <c r="J54" s="1" t="n">
        <v>1986</v>
      </c>
      <c r="K54" s="1" t="n">
        <v>1991</v>
      </c>
      <c r="N54" s="1" t="n">
        <v>100</v>
      </c>
      <c r="W54" s="1" t="n">
        <v>40</v>
      </c>
      <c r="Z54" s="1" t="n">
        <v>5</v>
      </c>
      <c r="AA54" s="4" t="n">
        <f aca="false">IF(AND(W54&gt;0,Z54&gt;0),(Z54/((W54+X54)*10)),"")</f>
        <v>0.0125</v>
      </c>
      <c r="AB54" s="1" t="n">
        <v>125</v>
      </c>
      <c r="AC54" s="1" t="n">
        <f aca="false">ROUND(AB54*1.6, 0)</f>
        <v>200</v>
      </c>
      <c r="AF54" s="1" t="n">
        <v>17.79</v>
      </c>
      <c r="AG54" s="1" t="n">
        <v>17.79</v>
      </c>
      <c r="AJ54" s="5" t="n">
        <v>36</v>
      </c>
      <c r="AK54" s="19" t="str">
        <f aca="false">CONCATENATE(VLOOKUP(AL54, 'Voxel Sizes'!$A$2:$B$18,2,FALSE()),"x",INT(AH54*15), "x", INT(AI54*15))</f>
        <v>164x0x0</v>
      </c>
      <c r="AL54" s="1" t="n">
        <f aca="false">ROUND(15*((AG54*10)/256),0)</f>
        <v>10</v>
      </c>
      <c r="AN54" s="1" t="str">
        <f aca="false">CONCATENATE(VLOOKUP(AL54,Constants!$A$2:$C$16,IF(AM54&lt;&gt;"", 3, 2), FALSE()),IF(AM54&lt;&gt;"",CONCATENATE(",",VLOOKUP(AM54,$B:$AN,38,FALSE())),""))</f>
        <v>4,2,4</v>
      </c>
      <c r="AX54" s="1" t="n">
        <v>27</v>
      </c>
      <c r="AY54" s="6" t="str">
        <f aca="false">IF(L54&lt;&gt;"",MAX(16,(L54-J54)+8),"")</f>
        <v/>
      </c>
      <c r="AZ54" s="1" t="n">
        <v>-15</v>
      </c>
      <c r="BA54" s="1" t="n">
        <v>-55</v>
      </c>
      <c r="BB54" s="1" t="n">
        <f aca="false">MIN(AB54/150, 1)*30</f>
        <v>25</v>
      </c>
      <c r="BC54" s="1" t="n">
        <f aca="false">MIN(N54/4000, 1)*20</f>
        <v>0.5</v>
      </c>
      <c r="BD54" s="1" t="n">
        <f aca="false">MIN(Z54/400,1)*20</f>
        <v>0.25</v>
      </c>
      <c r="BE54" s="4" t="n">
        <f aca="false">1-(MAX(J54-1900, 0)/750)</f>
        <v>0.885333333333333</v>
      </c>
      <c r="BF54" s="1" t="n">
        <f aca="false">((MAX($M54,1)*MIN($AJ54/300,1)))*IF(G54="Wagon",50,10)</f>
        <v>1.2</v>
      </c>
      <c r="BG54" s="1" t="n">
        <f aca="false">VLOOKUP($H54,Constants!$I:$K, 2, FALSE())</f>
        <v>0.85</v>
      </c>
      <c r="BH54" s="1" t="n">
        <f aca="false">VLOOKUP($H54,Constants!$I:$K, 3, FALSE())*IF(AND(G54="multiple_unit",AB54&lt;110),0.75,1)</f>
        <v>2.3</v>
      </c>
      <c r="BI54" s="1" t="n">
        <v>25</v>
      </c>
      <c r="BJ54" s="1" t="n">
        <f aca="false">INT(POWER((((Constants!$G$1+$BB54+$BC54+$BD54+$BF54)*($BE54))*$BG54),IF($G54="wagon",1,1.2)))+$AZ54</f>
        <v>47</v>
      </c>
      <c r="BK54" s="20" t="n">
        <f aca="false">BI54*IF($G54="wagon",62.5,781.25)</f>
        <v>19531.25</v>
      </c>
      <c r="BL54" s="20" t="n">
        <f aca="false">BJ54*IF($G54="wagon",2.73,81.25)</f>
        <v>3818.75</v>
      </c>
      <c r="BM54" s="1" t="n">
        <v>1</v>
      </c>
      <c r="BN54" s="1" t="n">
        <v>1</v>
      </c>
      <c r="BS54" s="1" t="s">
        <v>289</v>
      </c>
      <c r="BT54" s="1" t="n">
        <v>7</v>
      </c>
      <c r="BV54" s="1" t="s">
        <v>368</v>
      </c>
      <c r="BX54" s="1" t="s">
        <v>148</v>
      </c>
      <c r="BY54" s="1" t="str">
        <f aca="false">VLOOKUP(J54,Eras!$A$2:$C$10, 2, TRUE())</f>
        <v>lbr</v>
      </c>
      <c r="BZ54" s="18" t="s">
        <v>361</v>
      </c>
      <c r="CA54" s="1" t="str">
        <f aca="false">CONCATENATE(BY54,"_",BZ54)</f>
        <v>lbr_Express</v>
      </c>
      <c r="CB54" s="1" t="str">
        <f aca="false">_xlfn.CONCAT(H54, "_",I54)</f>
        <v>none_RAIL</v>
      </c>
      <c r="CC54" s="21" t="s">
        <v>343</v>
      </c>
      <c r="CD54" s="1"/>
      <c r="CE54" s="1" t="str">
        <f aca="false">IF(M54&gt;1,_xlfn.CONCAT("{BLACK}Cars: {GOLD}", M54),"")</f>
        <v/>
      </c>
      <c r="CF54" s="1" t="s">
        <v>369</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{BLACK}Length: {GOLD}0.8 tiles{}{SILVER}A depowered Class 43, proposed as a conversion from surplus power cars and now suitable for carrying baggage.</v>
      </c>
      <c r="CI54" s="1"/>
      <c r="CJ54" s="1"/>
    </row>
    <row r="55" customFormat="false" ht="13.8" hidden="false" customHeight="false" outlineLevel="0" collapsed="false">
      <c r="A55" s="1" t="s">
        <v>370</v>
      </c>
      <c r="B55" s="1" t="s">
        <v>371</v>
      </c>
      <c r="C55" s="1" t="n">
        <v>396</v>
      </c>
      <c r="E55" s="1" t="n">
        <v>398</v>
      </c>
      <c r="F55" s="1" t="s">
        <v>89</v>
      </c>
      <c r="G55" s="1" t="s">
        <v>147</v>
      </c>
      <c r="H55" s="1" t="s">
        <v>372</v>
      </c>
      <c r="I55" s="1" t="s">
        <v>92</v>
      </c>
      <c r="J55" s="1" t="n">
        <v>1986</v>
      </c>
      <c r="K55" s="1" t="n">
        <v>2026</v>
      </c>
      <c r="L55" s="1" t="n">
        <v>2031</v>
      </c>
      <c r="N55" s="1" t="n">
        <v>2750</v>
      </c>
      <c r="W55" s="1" t="n">
        <v>74</v>
      </c>
      <c r="Z55" s="1" t="n">
        <v>180</v>
      </c>
      <c r="AA55" s="4" t="n">
        <f aca="false">IF(AND(W55&gt;0,Z55&gt;0),(Z55/((W55+X55)*10)),"")</f>
        <v>0.243243243243243</v>
      </c>
      <c r="AB55" s="1" t="n">
        <v>125</v>
      </c>
      <c r="AC55" s="1" t="n">
        <f aca="false">ROUND(AB55*1.6, 0)</f>
        <v>200</v>
      </c>
      <c r="AF55" s="1" t="n">
        <v>17.79</v>
      </c>
      <c r="AG55" s="1" t="n">
        <v>17.79</v>
      </c>
      <c r="AJ55" s="5" t="n">
        <v>0</v>
      </c>
      <c r="AK55" s="19" t="str">
        <f aca="false">CONCATENATE(VLOOKUP(AL55, 'Voxel Sizes'!$A$2:$B$18,2,FALSE()),"x",INT(AH55*15), "x", INT(AI55*15))</f>
        <v>164x0x0</v>
      </c>
      <c r="AL55" s="1" t="n">
        <f aca="false">ROUND(15*((AG55*10)/256),0)</f>
        <v>10</v>
      </c>
      <c r="AN55" s="1" t="str">
        <f aca="false">CONCATENATE(VLOOKUP(AL55,Constants!$A$2:$C$16,IF(AM55&lt;&gt;"", 3, 2), FALSE()),IF(AM55&lt;&gt;"",CONCATENATE(",",VLOOKUP(AM55,$B:$AN,38,FALSE())),""))</f>
        <v>4,2,4</v>
      </c>
      <c r="AS55" s="1" t="s">
        <v>371</v>
      </c>
      <c r="AX55" s="1" t="n">
        <v>35</v>
      </c>
      <c r="AY55" s="6" t="n">
        <f aca="false">IF(L55&lt;&gt;"",MAX(16,(L55-J55)+8),"")</f>
        <v>53</v>
      </c>
      <c r="BB55" s="1" t="n">
        <f aca="false">MIN(AB55/150, 1)*30</f>
        <v>25</v>
      </c>
      <c r="BC55" s="1" t="n">
        <f aca="false">MIN(N55/4000, 1)*20</f>
        <v>13.75</v>
      </c>
      <c r="BD55" s="1" t="n">
        <f aca="false">MIN(Z55/400,1)*20</f>
        <v>9</v>
      </c>
      <c r="BE55" s="4" t="n">
        <f aca="false">1-(MAX(J55-1900, 0)/750)</f>
        <v>0.885333333333333</v>
      </c>
      <c r="BF55" s="1" t="n">
        <f aca="false">((MAX($M55,1)*MIN($AJ55/300,1)))*IF(G55="Wagon",50,10)</f>
        <v>0</v>
      </c>
      <c r="BG55" s="1" t="n">
        <f aca="false">VLOOKUP($H55,Constants!$I:$K, 2, FALSE())</f>
        <v>0.85</v>
      </c>
      <c r="BH55" s="1" t="n">
        <f aca="false">VLOOKUP($H55,Constants!$I:$K, 3, FALSE())*IF(AND(G55="multiple_unit",AB55&lt;110),0.75,1)</f>
        <v>2.4</v>
      </c>
      <c r="BI55" s="1" t="n">
        <f aca="false">INT(POWER(((Constants!$G$2+$BB55+$BC55+$BD55+$BF55)*$BE55)*$BH55, 1.05))+$BA55</f>
        <v>141</v>
      </c>
      <c r="BJ55" s="1" t="n">
        <f aca="false">INT(POWER((((Constants!$G$1+$BB55+$BC55+$BD55+$BF55)*($BE55))*$BG55),IF($G55="wagon",1,1.2)))+$AZ55</f>
        <v>102</v>
      </c>
      <c r="BK55" s="20" t="n">
        <f aca="false">BI55*IF($G55="wagon",62.5,781.25)</f>
        <v>110156.25</v>
      </c>
      <c r="BL55" s="20" t="n">
        <f aca="false">BJ55*IF($G55="wagon",2.73,81.25)</f>
        <v>8287.5</v>
      </c>
      <c r="BM55" s="1" t="n">
        <v>1</v>
      </c>
      <c r="BN55" s="1" t="n">
        <v>1</v>
      </c>
      <c r="BS55" s="1" t="s">
        <v>289</v>
      </c>
      <c r="BT55" s="1" t="n">
        <v>2</v>
      </c>
      <c r="BY55" s="1" t="str">
        <f aca="false">VLOOKUP(J55,Eras!$A$2:$C$10, 2, TRUE())</f>
        <v>lbr</v>
      </c>
      <c r="BZ55" s="18" t="s">
        <v>342</v>
      </c>
      <c r="CA55" s="1" t="str">
        <f aca="false">CONCATENATE(BY55,"_",BZ55)</f>
        <v>lbr_Express (Electric)</v>
      </c>
      <c r="CB55" s="1" t="str">
        <f aca="false">_xlfn.CONCAT(H55, "_",I55)</f>
        <v>dual_electric_ELRL</v>
      </c>
      <c r="CC55" s="21" t="s">
        <v>343</v>
      </c>
      <c r="CD55" s="1" t="str">
        <f aca="false">VLOOKUP($CB55, Constants!$M:$N, 2, FALSE())</f>
        <v>{BLACK}Powered by: {GOLD}25kV AC</v>
      </c>
      <c r="CE55" s="1" t="str">
        <f aca="false">IF(M55&gt;1,_xlfn.CONCAT("{BLACK}Cars: {GOLD}", M55),"")</f>
        <v/>
      </c>
      <c r="CF55" s="1" t="s">
        <v>373</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{GOLD}25kV AC {}{BLACK}Length: {GOLD}0.8 tiles{}{SILVER}A proposed electric version of the Class 43 ‘HST’ Power Car was oft-discussed after the failure of the APT program.</v>
      </c>
      <c r="CI55" s="1"/>
      <c r="CJ55" s="1"/>
    </row>
    <row r="56" customFormat="false" ht="13.8" hidden="false" customHeight="false" outlineLevel="0" collapsed="false">
      <c r="A56" s="18" t="s">
        <v>374</v>
      </c>
      <c r="B56" s="18" t="s">
        <v>375</v>
      </c>
      <c r="C56" s="1" t="n">
        <v>388</v>
      </c>
      <c r="D56" s="18"/>
      <c r="E56" s="18" t="n">
        <v>390</v>
      </c>
      <c r="F56" s="18" t="s">
        <v>89</v>
      </c>
      <c r="G56" s="18" t="s">
        <v>147</v>
      </c>
      <c r="H56" s="18" t="s">
        <v>91</v>
      </c>
      <c r="I56" s="18" t="s">
        <v>92</v>
      </c>
      <c r="J56" s="18" t="n">
        <v>1985</v>
      </c>
      <c r="K56" s="18" t="n">
        <v>1999</v>
      </c>
      <c r="L56" s="18"/>
      <c r="M56" s="18"/>
      <c r="N56" s="18" t="n">
        <v>5400</v>
      </c>
      <c r="W56" s="18" t="n">
        <v>109</v>
      </c>
      <c r="Y56" s="18"/>
      <c r="Z56" s="18" t="n">
        <v>267</v>
      </c>
      <c r="AA56" s="4" t="n">
        <v>0.205384615384615</v>
      </c>
      <c r="AB56" s="18" t="n">
        <v>75</v>
      </c>
      <c r="AC56" s="18" t="n">
        <v>128</v>
      </c>
      <c r="AD56" s="18"/>
      <c r="AE56" s="18"/>
      <c r="AF56" s="18" t="n">
        <v>19.13</v>
      </c>
      <c r="AG56" s="18" t="n">
        <v>19.13</v>
      </c>
      <c r="AH56" s="18"/>
      <c r="AI56" s="18" t="n">
        <v>3.91</v>
      </c>
      <c r="AJ56" s="5" t="n">
        <v>0</v>
      </c>
      <c r="AK56" s="19" t="str">
        <f aca="false">CONCATENATE(VLOOKUP(AL56, 'Voxel Sizes'!$A$2:$B$18,2,FALSE()),"x",INT(AH56*15), "x", INT(AI56*15))</f>
        <v>186x0x58</v>
      </c>
      <c r="AL56" s="18" t="n">
        <v>11</v>
      </c>
      <c r="AM56" s="18"/>
      <c r="AN56" s="1" t="str">
        <f aca="false">CONCATENATE(VLOOKUP(AL56,Constants!$A$2:$C$16,IF(AM56&lt;&gt;"", 3, 2), FALSE()),IF(AM56&lt;&gt;"",CONCATENATE(",",VLOOKUP(AM56,$B:$AN,38,FALSE())),""))</f>
        <v>4,3,4</v>
      </c>
      <c r="AO56" s="18"/>
      <c r="AR56" s="18"/>
      <c r="AS56" s="18"/>
      <c r="AT56" s="18"/>
      <c r="AU56" s="18"/>
      <c r="AV56" s="18"/>
      <c r="AW56" s="18"/>
      <c r="AX56" s="18" t="n">
        <v>30</v>
      </c>
      <c r="AZ56" s="18" t="n">
        <v>15</v>
      </c>
      <c r="BA56" s="18" t="n">
        <v>-10</v>
      </c>
      <c r="BB56" s="18" t="n">
        <v>16</v>
      </c>
      <c r="BC56" s="18" t="n">
        <v>16.5</v>
      </c>
      <c r="BD56" s="18" t="n">
        <v>13.35</v>
      </c>
      <c r="BE56" s="4" t="n">
        <v>0.889333333333333</v>
      </c>
      <c r="BF56" s="18" t="n">
        <v>0</v>
      </c>
      <c r="BG56" s="1" t="n">
        <f aca="false">VLOOKUP($H56,Constants!$I:$K, 2, FALSE())</f>
        <v>0.85</v>
      </c>
      <c r="BH56" s="1" t="n">
        <f aca="false">VLOOKUP($H56,Constants!$I:$K, 3, FALSE())*IF(AND(G56="multiple_unit",AB56&lt;110),0.75,1)</f>
        <v>2.3</v>
      </c>
      <c r="BI56" s="1" t="n">
        <f aca="false">INT(POWER(((Constants!$G$2+$BB56+$BC56+$BD56+$BF56)*$BE56)*$BH56, 1.05))+$BA56</f>
        <v>121</v>
      </c>
      <c r="BJ56" s="1" t="n">
        <f aca="false">INT(POWER((((Constants!$G$1+$BB56+$BC56+$BD56+$BF56)*($BE56))*$BG56),IF($G56="wagon",1,1.2)))+$AZ56</f>
        <v>113</v>
      </c>
      <c r="BK56" s="20" t="n">
        <f aca="false">BI56*IF($G56="wagon",62.5,781.25)</f>
        <v>94531.25</v>
      </c>
      <c r="BL56" s="20" t="n">
        <f aca="false">BJ56*IF($G56="wagon",2.73,81.25)</f>
        <v>9181.25</v>
      </c>
      <c r="BM56" s="18"/>
      <c r="BN56" s="18"/>
      <c r="BO56" s="18"/>
      <c r="BP56" s="18"/>
      <c r="BQ56" s="18"/>
      <c r="BR56" s="18"/>
      <c r="BS56" s="1" t="s">
        <v>289</v>
      </c>
      <c r="BT56" s="1" t="n">
        <v>4</v>
      </c>
      <c r="BY56" s="1" t="str">
        <f aca="false">VLOOKUP(J56,Eras!$A$2:$C$10, 2, TRUE())</f>
        <v>lbr</v>
      </c>
      <c r="BZ56" s="18" t="s">
        <v>376</v>
      </c>
      <c r="CA56" s="1" t="s">
        <v>377</v>
      </c>
      <c r="CB56" s="1" t="str">
        <f aca="false">_xlfn.CONCAT(H56, "_",I56)</f>
        <v>electric_ELRL</v>
      </c>
      <c r="CC56" s="34" t="s">
        <v>343</v>
      </c>
      <c r="CD56" s="1" t="str">
        <f aca="false">VLOOKUP($CB56, Constants!$M:$N, 2, FALSE())</f>
        <v>{BLACK}Powered by: {GOLD}25kV AC</v>
      </c>
      <c r="CE56" s="1" t="str">
        <f aca="false">IF(M56&gt;1,_xlfn.CONCAT("{BLACK}Cars: {GOLD}", M56),"")</f>
        <v/>
      </c>
      <c r="CF56" s="1" t="s">
        <v>378</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{GOLD}25kV AC {}{BLACK}Length: {GOLD}0.8 tiles{}{SILVER}The Class 88 was a proposed re-use of the Class 58 design, dropping the diesel engine for a 25kv Overhead power supply.</v>
      </c>
      <c r="CI56" s="1"/>
      <c r="CJ56" s="1"/>
    </row>
    <row r="57" customFormat="false" ht="13.8" hidden="false" customHeight="false" outlineLevel="0" collapsed="false">
      <c r="A57" s="18" t="s">
        <v>379</v>
      </c>
      <c r="B57" s="18" t="s">
        <v>380</v>
      </c>
      <c r="C57" s="1" t="n">
        <v>390</v>
      </c>
      <c r="D57" s="18"/>
      <c r="E57" s="18" t="n">
        <v>400</v>
      </c>
      <c r="F57" s="18" t="s">
        <v>89</v>
      </c>
      <c r="G57" s="18" t="s">
        <v>147</v>
      </c>
      <c r="H57" s="18" t="s">
        <v>152</v>
      </c>
      <c r="I57" s="18" t="s">
        <v>153</v>
      </c>
      <c r="J57" s="18" t="n">
        <v>1985</v>
      </c>
      <c r="K57" s="18" t="n">
        <v>1994</v>
      </c>
      <c r="L57" s="18"/>
      <c r="M57" s="18"/>
      <c r="N57" s="18" t="n">
        <v>2100</v>
      </c>
      <c r="W57" s="18" t="n">
        <v>120</v>
      </c>
      <c r="Y57" s="18"/>
      <c r="Z57" s="18" t="n">
        <v>192</v>
      </c>
      <c r="AA57" s="4" t="n">
        <f aca="false">IF(AND(W57&gt;0,Z57&gt;0),(Z57/((W57+X57)*10)),"")</f>
        <v>0.16</v>
      </c>
      <c r="AB57" s="18" t="n">
        <v>75</v>
      </c>
      <c r="AC57" s="18" t="n">
        <f aca="false">ROUND(AB57*1.6, 0)</f>
        <v>120</v>
      </c>
      <c r="AD57" s="18"/>
      <c r="AE57" s="18"/>
      <c r="AF57" s="18" t="n">
        <v>18</v>
      </c>
      <c r="AG57" s="18" t="n">
        <v>17</v>
      </c>
      <c r="AH57" s="18"/>
      <c r="AI57" s="18" t="n">
        <v>3.91</v>
      </c>
      <c r="AJ57" s="5" t="n">
        <v>0</v>
      </c>
      <c r="AK57" s="19" t="str">
        <f aca="false">CONCATENATE(VLOOKUP(AL57, 'Voxel Sizes'!$A$2:$B$18,2,FALSE()),"x",INT(AH57*15), "x", INT(AI57*15))</f>
        <v>164x0x58</v>
      </c>
      <c r="AL57" s="18" t="n">
        <f aca="false">ROUND(15*((AG57*10)/256),0)</f>
        <v>10</v>
      </c>
      <c r="AM57" s="18"/>
      <c r="AN57" s="1" t="str">
        <f aca="false">CONCATENATE(VLOOKUP(AL57,Constants!$A$2:$C$16,IF(AM57&lt;&gt;"", 3, 2), FALSE()),IF(AM57&lt;&gt;"",CONCATENATE(",",VLOOKUP(AM57,$B:$AN,38,FALSE())),""))</f>
        <v>4,2,4</v>
      </c>
      <c r="AO57" s="18"/>
      <c r="AR57" s="18"/>
      <c r="AS57" s="18"/>
      <c r="AT57" s="18"/>
      <c r="AU57" s="18"/>
      <c r="AV57" s="18"/>
      <c r="AW57" s="18"/>
      <c r="AX57" s="18" t="n">
        <v>30</v>
      </c>
      <c r="AY57" s="6" t="str">
        <f aca="false">IF(L57&lt;&gt;"",MAX(16,(L57-J57)+8),"")</f>
        <v/>
      </c>
      <c r="AZ57" s="18" t="n">
        <v>15</v>
      </c>
      <c r="BA57" s="18" t="n">
        <v>-10</v>
      </c>
      <c r="BB57" s="18" t="n">
        <f aca="false">MIN(AB57/150, 1)*30</f>
        <v>15</v>
      </c>
      <c r="BC57" s="18" t="n">
        <f aca="false">MIN(N57/4000, 1)*20</f>
        <v>10.5</v>
      </c>
      <c r="BD57" s="18" t="n">
        <f aca="false">MIN(Z57/400,1)*20</f>
        <v>9.6</v>
      </c>
      <c r="BE57" s="4" t="n">
        <f aca="false">1-(MAX(J57-1900, 0)/750)</f>
        <v>0.886666666666667</v>
      </c>
      <c r="BF57" s="18" t="n">
        <f aca="false">((MAX($M57,1)*MIN($AJ57/300,1)))*IF(G57="Wagon",50,10)</f>
        <v>0</v>
      </c>
      <c r="BG57" s="1" t="n">
        <f aca="false">VLOOKUP($H57,Constants!$I:$K, 2, FALSE())</f>
        <v>1</v>
      </c>
      <c r="BH57" s="1" t="n">
        <f aca="false">VLOOKUP($H57,Constants!$I:$K, 3, FALSE())*IF(AND(G57="multiple_unit",AB57&lt;110),0.75,1)</f>
        <v>2</v>
      </c>
      <c r="BI57" s="1" t="n">
        <f aca="false">INT(POWER(((Constants!$G$2+$BB57+$BC57+$BD57+$BF57)*$BE57)*$BH57, 1.05))+$BA57</f>
        <v>78</v>
      </c>
      <c r="BJ57" s="1" t="n">
        <f aca="false">INT(POWER((((Constants!$G$1+$BB57+$BC57+$BD57+$BF57)*($BE57))*$BG57),IF($G57="wagon",1,1.2)))+$AZ57</f>
        <v>109</v>
      </c>
      <c r="BK57" s="20" t="n">
        <f aca="false">BI57*IF($G57="wagon",62.5,781.25)</f>
        <v>60937.5</v>
      </c>
      <c r="BL57" s="20" t="n">
        <f aca="false">BJ57*IF($G57="wagon",2.73,81.25)</f>
        <v>8856.25</v>
      </c>
      <c r="BM57" s="18"/>
      <c r="BN57" s="18"/>
      <c r="BO57" s="18"/>
      <c r="BP57" s="18"/>
      <c r="BQ57" s="18"/>
      <c r="BR57" s="18"/>
      <c r="BS57" s="1" t="s">
        <v>289</v>
      </c>
      <c r="BT57" s="1" t="n">
        <v>6</v>
      </c>
      <c r="BY57" s="1" t="s">
        <v>244</v>
      </c>
      <c r="BZ57" s="18" t="s">
        <v>376</v>
      </c>
      <c r="CA57" s="1" t="str">
        <f aca="false">CONCATENATE(BY57,"_",BZ57)</f>
        <v>lbr_Freight</v>
      </c>
      <c r="CB57" s="1" t="str">
        <f aca="false">_xlfn.CONCAT(H57, "_",I57)</f>
        <v>diesel_RAIL</v>
      </c>
      <c r="CC57" s="34" t="s">
        <v>343</v>
      </c>
      <c r="CD57" s="1" t="str">
        <f aca="false">VLOOKUP($CB57, Constants!$M:$N, 2, FALSE())</f>
        <v>{BLACK}Powered by: {GOLD}Diesel</v>
      </c>
      <c r="CE57" s="1" t="str">
        <f aca="false">IF(M57&gt;1,_xlfn.CONCAT("{BLACK}Cars: {GOLD}", M57),"")</f>
        <v/>
      </c>
      <c r="CF57" s="1" t="s">
        <v>381</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
      </c>
      <c r="CH57" s="1" t="str">
        <f aca="false">_xlfn.CONCAT(CD57,IF(CD57 &lt;&gt; "", " ", ""),CE57,IF(OR(CE57&lt;&gt;"", CD57&lt;&gt;""), "{}",""), CC57, CG57,"{SILVER}", CF57)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57" s="1"/>
      <c r="CJ57" s="1"/>
    </row>
    <row r="58" s="19" customFormat="true" ht="13.8" hidden="false" customHeight="false" outlineLevel="0" collapsed="false">
      <c r="A58" s="19" t="s">
        <v>382</v>
      </c>
      <c r="B58" s="19" t="s">
        <v>383</v>
      </c>
      <c r="C58" s="19" t="n">
        <v>464</v>
      </c>
      <c r="E58" s="19" t="n">
        <v>405</v>
      </c>
      <c r="F58" s="19" t="s">
        <v>89</v>
      </c>
      <c r="G58" s="19" t="s">
        <v>90</v>
      </c>
      <c r="H58" s="19" t="s">
        <v>91</v>
      </c>
      <c r="I58" s="19" t="s">
        <v>248</v>
      </c>
      <c r="J58" s="19" t="n">
        <v>1988</v>
      </c>
      <c r="M58" s="19" t="n">
        <v>5</v>
      </c>
      <c r="N58" s="19" t="n">
        <v>1610</v>
      </c>
      <c r="O58" s="25"/>
      <c r="P58" s="26"/>
      <c r="Q58" s="26"/>
      <c r="R58" s="26"/>
      <c r="S58" s="26"/>
      <c r="T58" s="26"/>
      <c r="U58" s="26"/>
      <c r="V58" s="26"/>
      <c r="W58" s="19" t="n">
        <v>202.8</v>
      </c>
      <c r="X58" s="25"/>
      <c r="Y58" s="19" t="n">
        <v>5</v>
      </c>
      <c r="Z58" s="19" t="n">
        <v>190</v>
      </c>
      <c r="AA58" s="27" t="n">
        <f aca="false">IF(AND(W58&gt;0,Z58&gt;0),(Z58/((W58+X58)*10)),"")</f>
        <v>0.0936883629191322</v>
      </c>
      <c r="AB58" s="19" t="n">
        <v>108</v>
      </c>
      <c r="AC58" s="19" t="n">
        <f aca="false">ROUND(AB58*1.6, 0)</f>
        <v>173</v>
      </c>
      <c r="AF58" s="19" t="n">
        <v>23</v>
      </c>
      <c r="AG58" s="19" t="n">
        <v>23</v>
      </c>
      <c r="AH58" s="19" t="n">
        <v>2.74</v>
      </c>
      <c r="AI58" s="19" t="n">
        <v>3.81</v>
      </c>
      <c r="AJ58" s="28" t="n">
        <v>66</v>
      </c>
      <c r="AK58" s="19" t="str">
        <f aca="false">CONCATENATE(VLOOKUP(AL58, '[1]Voxel Sizes'!$A$2:$B$18,2,FALSE()),"x",INT(AH58*15), "x", INT(AI58*15))</f>
        <v>214x41x57</v>
      </c>
      <c r="AL58" s="19" t="n">
        <f aca="false">ROUND(15*((AG58*10)/256),0)</f>
        <v>13</v>
      </c>
      <c r="AN58" s="19" t="str">
        <f aca="false">CONCATENATE(VLOOKUP(AL58,[1]Constants!$A$2:$C$16,IF(AM58&lt;&gt;"", 3, 2), FALSE()),IF(AM58&lt;&gt;"",CONCATENATE(",",VLOOKUP(AM58,$B:$AN,39,FALSE())),""))</f>
        <v>4,5,4</v>
      </c>
      <c r="AP58" s="29"/>
      <c r="AQ58" s="29"/>
      <c r="AR58" s="19" t="s">
        <v>384</v>
      </c>
      <c r="AT58" s="19" t="s">
        <v>385</v>
      </c>
      <c r="AU58" s="19" t="s">
        <v>386</v>
      </c>
      <c r="AX58" s="19" t="n">
        <v>35</v>
      </c>
      <c r="AY58" s="30" t="str">
        <f aca="false">IF(L58&lt;&gt;"",MAX(16,(L58-J58)+8),"")</f>
        <v/>
      </c>
      <c r="AZ58" s="19" t="n">
        <v>-10</v>
      </c>
      <c r="BA58" s="19" t="n">
        <v>-25</v>
      </c>
      <c r="BB58" s="19" t="n">
        <f aca="false">MIN(AB58/150, 1)*30</f>
        <v>21.6</v>
      </c>
      <c r="BC58" s="19" t="n">
        <f aca="false">MIN(N58/4000, 1)*20</f>
        <v>8.05</v>
      </c>
      <c r="BD58" s="19" t="n">
        <f aca="false">MIN(Z58/400,1)*20</f>
        <v>9.5</v>
      </c>
      <c r="BE58" s="27" t="n">
        <f aca="false">1-(MAX(J58-1900, 0)/750)</f>
        <v>0.882666666666667</v>
      </c>
      <c r="BF58" s="19" t="n">
        <f aca="false">((MAX($M58,1)*MIN($AJ58/300,1)))*IF(G58="Wagon",50,10)</f>
        <v>11</v>
      </c>
      <c r="BG58" s="19" t="n">
        <f aca="false">VLOOKUP($H58,[1]Constants!$I$1:$K$1048576, 2, FALSE())</f>
        <v>0.85</v>
      </c>
      <c r="BH58" s="19" t="n">
        <f aca="false">VLOOKUP($H58,[1]Constants!$I$1:$K$1048576, 3, FALSE())*IF(AND(G58="multiple_unit",AB58&lt;110),0.75,1)</f>
        <v>1.725</v>
      </c>
      <c r="BI58" s="19" t="n">
        <f aca="false">INT(POWER((([1]Constants!$G$2+$BB58+$BC58+$BD58+$BF58)*$BE58)*$BH58, 1.05))+$BA58</f>
        <v>79</v>
      </c>
      <c r="BJ58" s="19" t="n">
        <f aca="false">INT(POWER(((([1]Constants!$G$1+$BB58+$BC58+$BD58+$BF58)*($BE58))*$BG58),IF($G58="wagon",1,1.2)))+$AZ58</f>
        <v>96</v>
      </c>
      <c r="BK58" s="31" t="n">
        <f aca="false">BI58*IF($G58="wagon",62.5,781.25)</f>
        <v>61718.75</v>
      </c>
      <c r="BL58" s="31" t="n">
        <f aca="false">BJ58*IF($G58="wagon",2.73,81.25)</f>
        <v>7800</v>
      </c>
      <c r="BT58" s="19" t="n">
        <v>5</v>
      </c>
      <c r="BU58" s="19" t="n">
        <v>205</v>
      </c>
      <c r="BX58" s="19" t="s">
        <v>95</v>
      </c>
      <c r="BY58" s="19" t="str">
        <f aca="false">VLOOKUP(J58,[1]Eras!$A$2:$C$10, 2, TRUE())</f>
        <v>lbr</v>
      </c>
      <c r="BZ58" s="32" t="s">
        <v>226</v>
      </c>
      <c r="CA58" s="19" t="str">
        <f aca="false">CONCATENATE(BY58,"_",BZ58)</f>
        <v>lbr_EMU (Express)</v>
      </c>
      <c r="CB58" s="19" t="str">
        <f aca="false">_xlfn.CONCAT(H58, "_",I58)</f>
        <v>electric_THIRD_RAIL</v>
      </c>
      <c r="CC58" s="33" t="str">
        <f aca="false" t="array" ref="CC58:CC58">_xlfn.CONCAT("{BLACK}Length: {GOLD}", TEXT(ROUNDUP(IF(AQ58&lt;&gt;"",SUM(VALUE(_xlfn.TEXTSPLIT(AQ58, ","))), SUM(VALUE(_xlfn.TEXTSPLIT(AN58, ",")))*IF(M58, M58, 1))/16, 1), "#,##0.0"), " tiles{}")</f>
        <v>{BLACK}Length: {GOLD}4.1 tiles{}</v>
      </c>
      <c r="CD58" s="1" t="str">
        <f aca="false">VLOOKUP($CB58, Constants!$M:$N, 2, FALSE())</f>
        <v>{BLACK}Powered by: {GOLD}750V DC</v>
      </c>
      <c r="CE58" s="19" t="str">
        <f aca="false">IF(M58&gt;1,_xlfn.CONCAT("{BLACK}Cars: {GOLD}", M58),"")</f>
        <v>{BLACK}Cars: {GOLD}5</v>
      </c>
      <c r="CF58" s="19" t="s">
        <v>387</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{GOLD}750V DC {BLACK}Cars: {GOLD}5{}{BLACK}Length: {GOLD}4.1 tiles{}{YELLOW}10% bonus for long distance travel{}{SILVER}The Class 442 holds the speed record for a third rail EMU at 108mph. Unlike most of its generation of Mk3-based multiple units, it uses the full-length carriage bodyshell.</v>
      </c>
    </row>
    <row r="59" s="19" customFormat="true" ht="13.8" hidden="false" customHeight="false" outlineLevel="0" collapsed="false">
      <c r="A59" s="19" t="s">
        <v>388</v>
      </c>
      <c r="B59" s="19" t="s">
        <v>386</v>
      </c>
      <c r="C59" s="19" t="n">
        <v>465</v>
      </c>
      <c r="D59" s="19" t="n">
        <v>464</v>
      </c>
      <c r="E59" s="19" t="n">
        <v>406</v>
      </c>
      <c r="F59" s="19" t="s">
        <v>89</v>
      </c>
      <c r="G59" s="19" t="s">
        <v>90</v>
      </c>
      <c r="H59" s="19" t="s">
        <v>372</v>
      </c>
      <c r="I59" s="18" t="s">
        <v>389</v>
      </c>
      <c r="J59" s="19" t="n">
        <v>1988</v>
      </c>
      <c r="M59" s="19" t="n">
        <v>5</v>
      </c>
      <c r="N59" s="19" t="n">
        <v>2250</v>
      </c>
      <c r="O59" s="25" t="n">
        <v>1610</v>
      </c>
      <c r="P59" s="26"/>
      <c r="Q59" s="26"/>
      <c r="R59" s="26"/>
      <c r="S59" s="26"/>
      <c r="T59" s="26"/>
      <c r="U59" s="26"/>
      <c r="V59" s="26"/>
      <c r="W59" s="19" t="n">
        <v>208.8</v>
      </c>
      <c r="X59" s="25"/>
      <c r="Y59" s="19" t="n">
        <v>5</v>
      </c>
      <c r="Z59" s="19" t="n">
        <v>190</v>
      </c>
      <c r="AA59" s="27" t="n">
        <f aca="false">IF(AND(W59&gt;0,Z59&gt;0),(Z59/((W59+X59)*10)),"")</f>
        <v>0.0909961685823755</v>
      </c>
      <c r="AB59" s="19" t="n">
        <v>108</v>
      </c>
      <c r="AC59" s="19" t="n">
        <f aca="false">ROUND(AB59*1.6, 0)</f>
        <v>173</v>
      </c>
      <c r="AF59" s="19" t="n">
        <v>23</v>
      </c>
      <c r="AG59" s="19" t="n">
        <v>23</v>
      </c>
      <c r="AH59" s="19" t="n">
        <v>2.74</v>
      </c>
      <c r="AI59" s="19" t="n">
        <v>3.81</v>
      </c>
      <c r="AJ59" s="28" t="n">
        <v>66</v>
      </c>
      <c r="AK59" s="19" t="str">
        <f aca="false">CONCATENATE(VLOOKUP(AL59, '[1]Voxel Sizes'!$A$2:$B$18,2,FALSE()),"x",INT(AH59*15), "x", INT(AI59*15))</f>
        <v>214x41x57</v>
      </c>
      <c r="AL59" s="19" t="n">
        <f aca="false">ROUND(15*((AG59*10)/256),0)</f>
        <v>13</v>
      </c>
      <c r="AN59" s="19" t="str">
        <f aca="false">CONCATENATE(VLOOKUP(AL59,[1]Constants!$A$2:$C$16,IF(AM59&lt;&gt;"", 3, 2), FALSE()),IF(AM59&lt;&gt;"",CONCATENATE(",",VLOOKUP(AM59,$B:$AN,39,FALSE())),""))</f>
        <v>4,5,4</v>
      </c>
      <c r="AP59" s="29"/>
      <c r="AQ59" s="29"/>
      <c r="AR59" s="19" t="s">
        <v>390</v>
      </c>
      <c r="AS59" s="19" t="s">
        <v>391</v>
      </c>
      <c r="AT59" s="19" t="s">
        <v>142</v>
      </c>
      <c r="AX59" s="19" t="n">
        <v>35</v>
      </c>
      <c r="AY59" s="30" t="str">
        <f aca="false">IF(L59&lt;&gt;"",MAX(16,(L59-J59)+8),"")</f>
        <v/>
      </c>
      <c r="AZ59" s="19" t="n">
        <v>-10</v>
      </c>
      <c r="BA59" s="19" t="n">
        <v>-25</v>
      </c>
      <c r="BB59" s="19" t="n">
        <f aca="false">MIN(AB59/150, 1)*30</f>
        <v>21.6</v>
      </c>
      <c r="BC59" s="19" t="n">
        <f aca="false">MIN(N59/4000, 1)*20</f>
        <v>11.25</v>
      </c>
      <c r="BD59" s="19" t="n">
        <f aca="false">MIN(Z59/400,1)*20</f>
        <v>9.5</v>
      </c>
      <c r="BE59" s="27" t="n">
        <f aca="false">1-(MAX(J59-1900, 0)/750)</f>
        <v>0.882666666666667</v>
      </c>
      <c r="BF59" s="19" t="n">
        <f aca="false">((MAX($M59,1)*MIN($AJ59/300,1)))*IF(G59="Wagon",50,10)</f>
        <v>11</v>
      </c>
      <c r="BG59" s="19" t="n">
        <f aca="false">VLOOKUP($H59,[1]Constants!$I$1:$K$1048576, 2, FALSE())</f>
        <v>0.85</v>
      </c>
      <c r="BH59" s="19" t="n">
        <f aca="false">VLOOKUP($H59,[1]Constants!$I$1:$K$1048576, 3, FALSE())*IF(AND(G59="multiple_unit",AB59&lt;110),0.75,1)</f>
        <v>1.8</v>
      </c>
      <c r="BI59" s="19" t="n">
        <f aca="false">INT(POWER((([1]Constants!$G$2+$BB59+$BC59+$BD59+$BF59)*$BE59)*$BH59, 1.05))+$BA59</f>
        <v>91</v>
      </c>
      <c r="BJ59" s="19" t="n">
        <f aca="false">INT(POWER(((([1]Constants!$G$1+$BB59+$BC59+$BD59+$BF59)*($BE59))*$BG59),IF($G59="wagon",1,1.2)))+$AZ59</f>
        <v>102</v>
      </c>
      <c r="BK59" s="31" t="n">
        <f aca="false">BI59*IF($G59="wagon",62.5,781.25)</f>
        <v>71093.75</v>
      </c>
      <c r="BL59" s="31" t="n">
        <f aca="false">BJ59*IF($G59="wagon",2.73,81.25)</f>
        <v>8287.5</v>
      </c>
      <c r="BS59" s="19" t="s">
        <v>289</v>
      </c>
      <c r="BT59" s="19" t="n">
        <v>5</v>
      </c>
      <c r="BU59" s="19" t="n">
        <v>205</v>
      </c>
      <c r="BX59" s="19" t="s">
        <v>95</v>
      </c>
      <c r="BY59" s="19" t="str">
        <f aca="false">VLOOKUP(J59,[1]Eras!$A$2:$C$10, 2, TRUE())</f>
        <v>lbr</v>
      </c>
      <c r="BZ59" s="32" t="s">
        <v>226</v>
      </c>
      <c r="CA59" s="19" t="str">
        <f aca="false">CONCATENATE(BY59,"_",BZ59)</f>
        <v>lbr_EMU (Express)</v>
      </c>
      <c r="CB59" s="19" t="str">
        <f aca="false">_xlfn.CONCAT(H59, "_",I59)</f>
        <v>dual_electric_DUAL_POWER</v>
      </c>
      <c r="CC59" s="33" t="str">
        <f aca="false" t="array" ref="CC59:CC59">_xlfn.CONCAT("{BLACK}Length: {GOLD}", TEXT(ROUNDUP(IF(AQ59&lt;&gt;"",SUM(VALUE(_xlfn.TEXTSPLIT(AQ59, ","))), SUM(VALUE(_xlfn.TEXTSPLIT(AN59, ",")))*IF(M59, M59, 1))/16, 1), "#,##0.0"), " tiles{}")</f>
        <v>{BLACK}Length: {GOLD}4.1 tiles{}</v>
      </c>
      <c r="CD59" s="1" t="str">
        <f aca="false">VLOOKUP($CB59, Constants!$M:$N, 2, FALSE())</f>
        <v>{BLACK}Powered by: {GOLD}25kV AC / 750V DC</v>
      </c>
      <c r="CE59" s="19" t="str">
        <f aca="false">IF(M59&gt;1,_xlfn.CONCAT("{BLACK}Cars: {GOLD}", M59),"")</f>
        <v>{BLACK}Cars: {GOLD}5</v>
      </c>
      <c r="CF59" s="19" t="s">
        <v>392</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{GOLD}25kV AC / 750V DC {BLACK}Cars: {GOLD}5{}{BLACK}Length: {GOLD}4.1 tiles{}{YELLOW}10% bonus for long distance travel{}{SILVER}What if the Class 442 had a dual-voltage conversion to allow through-running expresses and an end to 3rd rail power supply?</v>
      </c>
    </row>
    <row r="60" s="18" customFormat="true" ht="13.8" hidden="false" customHeight="false" outlineLevel="0" collapsed="false">
      <c r="A60" s="18" t="s">
        <v>393</v>
      </c>
      <c r="B60" s="18" t="s">
        <v>394</v>
      </c>
      <c r="C60" s="1" t="n">
        <v>400</v>
      </c>
      <c r="E60" s="18" t="n">
        <v>410</v>
      </c>
      <c r="F60" s="18" t="s">
        <v>89</v>
      </c>
      <c r="G60" s="18" t="s">
        <v>90</v>
      </c>
      <c r="H60" s="18" t="s">
        <v>372</v>
      </c>
      <c r="I60" s="18" t="s">
        <v>389</v>
      </c>
      <c r="J60" s="18" t="n">
        <v>1992</v>
      </c>
      <c r="M60" s="18" t="n">
        <v>20</v>
      </c>
      <c r="N60" s="18" t="n">
        <v>16400</v>
      </c>
      <c r="O60" s="2" t="n">
        <v>4600</v>
      </c>
      <c r="P60" s="3"/>
      <c r="Q60" s="3"/>
      <c r="R60" s="3"/>
      <c r="S60" s="3"/>
      <c r="T60" s="3"/>
      <c r="U60" s="3"/>
      <c r="V60" s="3"/>
      <c r="W60" s="18" t="n">
        <v>752</v>
      </c>
      <c r="X60" s="2"/>
      <c r="Y60" s="18" t="n">
        <v>4</v>
      </c>
      <c r="Z60" s="18" t="n">
        <v>220</v>
      </c>
      <c r="AA60" s="4" t="n">
        <f aca="false">IF(AND(W60&gt;0,Z60&gt;0),(Z60/((W60+X60)*10)),"")</f>
        <v>0.0292553191489362</v>
      </c>
      <c r="AB60" s="18" t="n">
        <v>186</v>
      </c>
      <c r="AC60" s="18" t="n">
        <f aca="false">ROUND(AB60*1.6, 0)</f>
        <v>298</v>
      </c>
      <c r="AF60" s="18" t="n">
        <v>22.15</v>
      </c>
      <c r="AG60" s="18" t="n">
        <v>22.15</v>
      </c>
      <c r="AH60" s="18" t="n">
        <v>2.81</v>
      </c>
      <c r="AJ60" s="5" t="n">
        <v>35</v>
      </c>
      <c r="AK60" s="19" t="str">
        <f aca="false">CONCATENATE(VLOOKUP(AL60, 'Voxel Sizes'!$A$2:$B$18,2,FALSE()),"x",INT(AH60*15), "x", INT(AI60*15))</f>
        <v>214x42x0</v>
      </c>
      <c r="AL60" s="18" t="n">
        <f aca="false">ROUND(15*((AG60*10)/256),0)</f>
        <v>13</v>
      </c>
      <c r="AN60" s="1" t="str">
        <f aca="false">CONCATENATE(VLOOKUP(AL60,Constants!$A$2:$C$16,IF(AM60&lt;&gt;"", 3, 2), FALSE()),IF(AM60&lt;&gt;"",CONCATENATE(",",VLOOKUP(AM60,$B:$AN,38,FALSE())),""))</f>
        <v>4,5,4</v>
      </c>
      <c r="AP60" s="35" t="s">
        <v>395</v>
      </c>
      <c r="AQ60" s="35" t="s">
        <v>396</v>
      </c>
      <c r="AR60" s="18" t="s">
        <v>397</v>
      </c>
      <c r="AS60" s="18" t="s">
        <v>398</v>
      </c>
      <c r="AT60" s="18" t="s">
        <v>399</v>
      </c>
      <c r="AX60" s="18" t="n">
        <v>25</v>
      </c>
      <c r="AY60" s="6" t="str">
        <f aca="false">IF(L60&lt;&gt;"",MAX(16,(L60-J60)+8),"")</f>
        <v/>
      </c>
      <c r="BB60" s="18" t="n">
        <f aca="false">MIN(AB60/150, 1)*30</f>
        <v>30</v>
      </c>
      <c r="BC60" s="18" t="n">
        <f aca="false">MIN(N60/4000, 1)*20</f>
        <v>20</v>
      </c>
      <c r="BD60" s="18" t="n">
        <f aca="false">MIN(Z60/400,1)*20</f>
        <v>11</v>
      </c>
      <c r="BE60" s="4" t="n">
        <f aca="false">1-(MAX(J60-1900, 0)/750)</f>
        <v>0.877333333333333</v>
      </c>
      <c r="BF60" s="18" t="n">
        <f aca="false">((MAX($M60,1)*MIN($AJ60/300,1)))*IF(G60="Wagon",50,10)</f>
        <v>23.3333333333333</v>
      </c>
      <c r="BG60" s="1" t="n">
        <f aca="false">VLOOKUP($H60,Constants!$I:$K, 2, FALSE())</f>
        <v>0.85</v>
      </c>
      <c r="BH60" s="1" t="n">
        <f aca="false">VLOOKUP($H60,Constants!$I:$K, 3, FALSE())*IF(AND(G60="multiple_unit",AB60&lt;110),0.75,1)</f>
        <v>2.4</v>
      </c>
      <c r="BI60" s="1" t="n">
        <f aca="false">INT(POWER(((Constants!$G$2+$BB60+$BC60+$BD60+$BF60)*$BE60)*$BH60, 1.05))+$BA60</f>
        <v>244</v>
      </c>
      <c r="BJ60" s="1" t="n">
        <f aca="false">INT(POWER((((Constants!$G$1+$BB60+$BC60+$BD60+$BF60)*($BE60))*$BG60),IF($G60="wagon",1,1.2)))+$AZ60</f>
        <v>175</v>
      </c>
      <c r="BK60" s="20" t="n">
        <f aca="false">BI60*IF($G60="wagon",62.5,781.25)</f>
        <v>190625</v>
      </c>
      <c r="BL60" s="20" t="n">
        <f aca="false">BJ60*IF($G60="wagon",2.73,81.25)</f>
        <v>14218.75</v>
      </c>
      <c r="BS60" s="18" t="s">
        <v>203</v>
      </c>
      <c r="BT60" s="18" t="n">
        <v>11</v>
      </c>
      <c r="BU60" s="18" t="n">
        <v>232</v>
      </c>
      <c r="BX60" s="18" t="s">
        <v>95</v>
      </c>
      <c r="BY60" s="18" t="s">
        <v>244</v>
      </c>
      <c r="BZ60" s="18" t="s">
        <v>226</v>
      </c>
      <c r="CA60" s="18" t="str">
        <f aca="false">CONCATENATE(BY60,"_",BZ60)</f>
        <v>lbr_EMU (Express)</v>
      </c>
      <c r="CB60" s="18" t="str">
        <f aca="false">_xlfn.CONCAT(H60, "_",I60)</f>
        <v>dual_electric_DUAL_POWER</v>
      </c>
      <c r="CC60" s="21" t="str">
        <f aca="false">_xlfn.CONCAT("{BLACK}Length: {GOLD}", TEXT(ROUNDUP(IF(AQ60&lt;&gt;"",SUM(VALUE(_xlfn.TEXTSPLIT(AQ60, ","))), SUM(VALUE(_xlfn.TEXTSPLIT(AN60, ",")))*IF(M60, M60, 1))/16, 1), "#,##0.0"), " tiles{}")</f>
        <v>{BLACK}Length: {GOLD}14.5 tiles{}</v>
      </c>
      <c r="CD60" s="1" t="str">
        <f aca="false">VLOOKUP($CB60, Constants!$M:$N, 2, FALSE())</f>
        <v>{BLACK}Powered by: {GOLD}25kV AC / 750V DC</v>
      </c>
      <c r="CE60" s="1" t="str">
        <f aca="false">IF(M60&gt;1,_xlfn.CONCAT("{BLACK}Cars: {GOLD}", M60),"")</f>
        <v>{BLACK}Cars: {GOLD}20</v>
      </c>
      <c r="CF60" s="18" t="s">
        <v>400</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{YELLOW}25% bonus for long distance travel{}</v>
      </c>
      <c r="CH60" s="1" t="str">
        <f aca="false">_xlfn.CONCAT(CD60,IF(CD60 &lt;&gt; "", " ", ""),CE60,IF(OR(CE60&lt;&gt;"", CD60&lt;&gt;""), "{}",""), CC60, CG60,"{SILVER}", CF60)</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1" s="18" customFormat="true" ht="13.8" hidden="false" customHeight="false" outlineLevel="0" collapsed="false">
      <c r="A61" s="18" t="s">
        <v>401</v>
      </c>
      <c r="B61" s="18" t="s">
        <v>402</v>
      </c>
      <c r="C61" s="1" t="n">
        <v>401</v>
      </c>
      <c r="D61" s="18" t="n">
        <v>400</v>
      </c>
      <c r="E61" s="18" t="n">
        <v>411</v>
      </c>
      <c r="F61" s="18" t="s">
        <v>89</v>
      </c>
      <c r="G61" s="18" t="s">
        <v>90</v>
      </c>
      <c r="H61" s="18" t="s">
        <v>372</v>
      </c>
      <c r="I61" s="18" t="s">
        <v>389</v>
      </c>
      <c r="J61" s="18" t="n">
        <v>1992</v>
      </c>
      <c r="M61" s="18" t="n">
        <v>16</v>
      </c>
      <c r="N61" s="18" t="n">
        <v>16400</v>
      </c>
      <c r="O61" s="2" t="n">
        <v>4600</v>
      </c>
      <c r="P61" s="3"/>
      <c r="Q61" s="3"/>
      <c r="R61" s="3"/>
      <c r="S61" s="3"/>
      <c r="T61" s="3"/>
      <c r="U61" s="3"/>
      <c r="V61" s="3"/>
      <c r="W61" s="18" t="n">
        <v>665</v>
      </c>
      <c r="X61" s="2"/>
      <c r="Y61" s="18" t="n">
        <v>4</v>
      </c>
      <c r="Z61" s="18" t="n">
        <v>220</v>
      </c>
      <c r="AA61" s="4" t="n">
        <f aca="false">IF(AND(W61&gt;0,Z61&gt;0),(Z61/((W61+X61)*10)),"")</f>
        <v>0.0330827067669173</v>
      </c>
      <c r="AB61" s="18" t="n">
        <v>186</v>
      </c>
      <c r="AC61" s="18" t="n">
        <f aca="false">ROUND(AB61*1.6, 0)</f>
        <v>298</v>
      </c>
      <c r="AF61" s="18" t="n">
        <v>22.15</v>
      </c>
      <c r="AG61" s="18" t="n">
        <v>22.15</v>
      </c>
      <c r="AH61" s="18" t="n">
        <v>2.81</v>
      </c>
      <c r="AJ61" s="5" t="n">
        <v>35</v>
      </c>
      <c r="AK61" s="19" t="str">
        <f aca="false">CONCATENATE(VLOOKUP(AL61, 'Voxel Sizes'!$A$2:$B$18,2,FALSE()),"x",INT(AH61*15), "x", INT(AI61*15))</f>
        <v>214x42x0</v>
      </c>
      <c r="AL61" s="18" t="n">
        <f aca="false">ROUND(15*((AG61*10)/256),0)</f>
        <v>13</v>
      </c>
      <c r="AN61" s="1" t="str">
        <f aca="false">CONCATENATE(VLOOKUP(AL61,Constants!$A$2:$C$16,IF(AM61&lt;&gt;"", 3, 2), FALSE()),IF(AM61&lt;&gt;"",CONCATENATE(",",VLOOKUP(AM61,$B:$AN,38,FALSE())),""))</f>
        <v>4,5,4</v>
      </c>
      <c r="AP61" s="35" t="s">
        <v>403</v>
      </c>
      <c r="AQ61" s="35" t="s">
        <v>404</v>
      </c>
      <c r="AR61" s="18" t="s">
        <v>405</v>
      </c>
      <c r="AS61" s="18" t="s">
        <v>406</v>
      </c>
      <c r="AT61" s="18" t="s">
        <v>407</v>
      </c>
      <c r="AX61" s="18" t="n">
        <v>25</v>
      </c>
      <c r="AY61" s="6" t="str">
        <f aca="false">IF(L61&lt;&gt;"",MAX(16,(L61-J61)+8),"")</f>
        <v/>
      </c>
      <c r="BB61" s="18" t="n">
        <f aca="false">MIN(AB61/150, 1)*30</f>
        <v>30</v>
      </c>
      <c r="BC61" s="18" t="n">
        <f aca="false">MIN(N61/4000, 1)*20</f>
        <v>20</v>
      </c>
      <c r="BD61" s="18" t="n">
        <f aca="false">MIN(Z61/400,1)*20</f>
        <v>11</v>
      </c>
      <c r="BE61" s="4" t="n">
        <f aca="false">1-(MAX(J61-1900, 0)/750)</f>
        <v>0.877333333333333</v>
      </c>
      <c r="BF61" s="18" t="n">
        <f aca="false">((MAX($M61,1)*MIN($AJ61/300,1)))*IF(G61="Wagon",50,10)</f>
        <v>18.6666666666667</v>
      </c>
      <c r="BG61" s="1" t="n">
        <f aca="false">VLOOKUP($H61,Constants!$I:$K, 2, FALSE())</f>
        <v>0.85</v>
      </c>
      <c r="BH61" s="1" t="n">
        <f aca="false">VLOOKUP($H61,Constants!$I:$K, 3, FALSE())*IF(AND(G61="multiple_unit",AB61&lt;110),0.75,1)</f>
        <v>2.4</v>
      </c>
      <c r="BI61" s="1" t="n">
        <f aca="false">INT(POWER(((Constants!$G$2+$BB61+$BC61+$BD61+$BF61)*$BE61)*$BH61, 1.05))+$BA61</f>
        <v>231</v>
      </c>
      <c r="BJ61" s="1" t="n">
        <f aca="false">INT(POWER((((Constants!$G$1+$BB61+$BC61+$BD61+$BF61)*($BE61))*$BG61),IF($G61="wagon",1,1.2)))+$AZ61</f>
        <v>165</v>
      </c>
      <c r="BK61" s="20" t="n">
        <f aca="false">BI61*IF($G61="wagon",62.5,781.25)</f>
        <v>180468.75</v>
      </c>
      <c r="BL61" s="20" t="n">
        <f aca="false">BJ61*IF($G61="wagon",2.73,81.25)</f>
        <v>13406.25</v>
      </c>
      <c r="BS61" s="18" t="s">
        <v>203</v>
      </c>
      <c r="BT61" s="18" t="n">
        <v>11</v>
      </c>
      <c r="BU61" s="18" t="n">
        <v>232</v>
      </c>
      <c r="BX61" s="18" t="s">
        <v>95</v>
      </c>
      <c r="BY61" s="18" t="s">
        <v>244</v>
      </c>
      <c r="BZ61" s="18" t="s">
        <v>226</v>
      </c>
      <c r="CA61" s="18" t="str">
        <f aca="false">CONCATENATE(BY61,"_",BZ61)</f>
        <v>lbr_EMU (Express)</v>
      </c>
      <c r="CB61" s="18" t="str">
        <f aca="false">_xlfn.CONCAT(H61, "_",I61)</f>
        <v>dual_electric_DUAL_POWER</v>
      </c>
      <c r="CC61" s="21" t="str">
        <f aca="false">_xlfn.CONCAT("{BLACK}Length: {GOLD}", TEXT(ROUNDUP(IF(AQ61&lt;&gt;"",SUM(VALUE(_xlfn.TEXTSPLIT(AQ61, ","))), SUM(VALUE(_xlfn.TEXTSPLIT(AN61, ",")))*IF(M61, M61, 1))/16, 1), "#,##0.0"), " tiles{}")</f>
        <v>{BLACK}Length: {GOLD}11.8 tiles{}</v>
      </c>
      <c r="CD61" s="1" t="str">
        <f aca="false">VLOOKUP($CB61, Constants!$M:$N, 2, FALSE())</f>
        <v>{BLACK}Powered by: {GOLD}25kV AC / 750V DC</v>
      </c>
      <c r="CE61" s="1" t="str">
        <f aca="false">IF(M61&gt;1,_xlfn.CONCAT("{BLACK}Cars: {GOLD}", M61),"")</f>
        <v>{BLACK}Cars: {GOLD}16</v>
      </c>
      <c r="CF61" s="18" t="s">
        <v>408</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{YELLOW}25% bonus for long distance travel{}</v>
      </c>
      <c r="CH61" s="1" t="str">
        <f aca="false">_xlfn.CONCAT(CD61,IF(CD61 &lt;&gt; "", " ", ""),CE61,IF(OR(CE61&lt;&gt;"", CD61&lt;&gt;""), "{}",""), CC61, CG61,"{SILVER}", CF61)</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2" s="18" customFormat="true" ht="13.8" hidden="false" customHeight="false" outlineLevel="0" collapsed="false">
      <c r="A62" s="18" t="s">
        <v>409</v>
      </c>
      <c r="B62" s="18" t="s">
        <v>410</v>
      </c>
      <c r="C62" s="1" t="n">
        <v>402</v>
      </c>
      <c r="D62" s="18" t="n">
        <v>400</v>
      </c>
      <c r="E62" s="18" t="n">
        <v>412</v>
      </c>
      <c r="F62" s="18" t="s">
        <v>89</v>
      </c>
      <c r="G62" s="18" t="s">
        <v>90</v>
      </c>
      <c r="H62" s="18" t="s">
        <v>372</v>
      </c>
      <c r="I62" s="18" t="s">
        <v>389</v>
      </c>
      <c r="J62" s="18" t="n">
        <v>1992</v>
      </c>
      <c r="M62" s="18" t="n">
        <v>20</v>
      </c>
      <c r="N62" s="18" t="n">
        <v>16400</v>
      </c>
      <c r="O62" s="2" t="n">
        <v>4600</v>
      </c>
      <c r="P62" s="3"/>
      <c r="Q62" s="3"/>
      <c r="R62" s="3"/>
      <c r="S62" s="3"/>
      <c r="T62" s="3"/>
      <c r="U62" s="3"/>
      <c r="V62" s="3"/>
      <c r="W62" s="18" t="n">
        <v>752</v>
      </c>
      <c r="X62" s="2"/>
      <c r="Y62" s="18" t="n">
        <v>4</v>
      </c>
      <c r="Z62" s="18" t="n">
        <v>220</v>
      </c>
      <c r="AA62" s="4" t="n">
        <f aca="false">IF(AND(W62&gt;0,Z62&gt;0),(Z62/((W62+X62)*10)),"")</f>
        <v>0.0292553191489362</v>
      </c>
      <c r="AB62" s="18" t="n">
        <v>186</v>
      </c>
      <c r="AC62" s="18" t="n">
        <f aca="false">ROUND(AB62*1.6, 0)</f>
        <v>298</v>
      </c>
      <c r="AF62" s="18" t="n">
        <v>22.15</v>
      </c>
      <c r="AG62" s="18" t="n">
        <v>22.15</v>
      </c>
      <c r="AH62" s="18" t="n">
        <v>2.81</v>
      </c>
      <c r="AJ62" s="5" t="n">
        <v>35</v>
      </c>
      <c r="AK62" s="19" t="str">
        <f aca="false">CONCATENATE(VLOOKUP(AL62, 'Voxel Sizes'!$A$2:$B$18,2,FALSE()),"x",INT(AH62*15), "x", INT(AI62*15))</f>
        <v>214x42x0</v>
      </c>
      <c r="AL62" s="18" t="n">
        <f aca="false">ROUND(15*((AG62*10)/256),0)</f>
        <v>13</v>
      </c>
      <c r="AN62" s="1" t="str">
        <f aca="false">CONCATENATE(VLOOKUP(AL62,Constants!$A$2:$C$16,IF(AM62&lt;&gt;"", 3, 2), FALSE()),IF(AM62&lt;&gt;"",CONCATENATE(",",VLOOKUP(AM62,$B:$AN,38,FALSE())),""))</f>
        <v>4,5,4</v>
      </c>
      <c r="AP62" s="35" t="s">
        <v>395</v>
      </c>
      <c r="AQ62" s="35" t="s">
        <v>396</v>
      </c>
      <c r="AR62" s="18" t="s">
        <v>411</v>
      </c>
      <c r="AS62" s="18" t="s">
        <v>410</v>
      </c>
      <c r="AT62" s="18" t="s">
        <v>412</v>
      </c>
      <c r="AU62" s="19"/>
      <c r="AX62" s="18" t="n">
        <v>25</v>
      </c>
      <c r="AY62" s="6" t="str">
        <f aca="false">IF(L62&lt;&gt;"",MAX(16,(L62-J62)+8),"")</f>
        <v/>
      </c>
      <c r="BB62" s="18" t="n">
        <f aca="false">MIN(AB62/150, 1)*30</f>
        <v>30</v>
      </c>
      <c r="BC62" s="18" t="n">
        <f aca="false">MIN(N62/4000, 1)*20</f>
        <v>20</v>
      </c>
      <c r="BD62" s="18" t="n">
        <f aca="false">MIN(Z62/400,1)*20</f>
        <v>11</v>
      </c>
      <c r="BE62" s="4" t="n">
        <f aca="false">1-(MAX(J62-1900, 0)/750)</f>
        <v>0.877333333333333</v>
      </c>
      <c r="BF62" s="18" t="n">
        <f aca="false">((MAX($M62,1)*MIN($AJ62/300,1)))*IF(G62="Wagon",50,10)</f>
        <v>23.3333333333333</v>
      </c>
      <c r="BG62" s="1" t="n">
        <f aca="false">VLOOKUP($H62,Constants!$I:$K, 2, FALSE())</f>
        <v>0.85</v>
      </c>
      <c r="BH62" s="1" t="n">
        <f aca="false">VLOOKUP($H62,Constants!$I:$K, 3, FALSE())*IF(AND(G62="multiple_unit",AB62&lt;110),0.75,1)</f>
        <v>2.4</v>
      </c>
      <c r="BI62" s="1" t="n">
        <f aca="false">INT(POWER(((Constants!$G$2+$BB62+$BC62+$BD62+$BF62)*$BE62)*$BH62, 1.05))+$BA62</f>
        <v>244</v>
      </c>
      <c r="BJ62" s="1" t="n">
        <f aca="false">INT(POWER((((Constants!$G$1+$BB62+$BC62+$BD62+$BF62)*($BE62))*$BG62),IF($G62="wagon",1,1.2)))+$AZ62</f>
        <v>175</v>
      </c>
      <c r="BK62" s="20" t="n">
        <f aca="false">BI62*IF($G62="wagon",62.5,781.25)</f>
        <v>190625</v>
      </c>
      <c r="BL62" s="20" t="n">
        <f aca="false">BJ62*IF($G62="wagon",2.73,81.25)</f>
        <v>14218.75</v>
      </c>
      <c r="BS62" s="18" t="s">
        <v>203</v>
      </c>
      <c r="BT62" s="18" t="n">
        <v>11</v>
      </c>
      <c r="BU62" s="18" t="n">
        <v>232</v>
      </c>
      <c r="BX62" s="18" t="s">
        <v>95</v>
      </c>
      <c r="BY62" s="18" t="s">
        <v>244</v>
      </c>
      <c r="BZ62" s="18" t="s">
        <v>226</v>
      </c>
      <c r="CA62" s="18" t="str">
        <f aca="false">CONCATENATE(BY62,"_",BZ62)</f>
        <v>lbr_EMU (Express)</v>
      </c>
      <c r="CB62" s="18" t="str">
        <f aca="false">_xlfn.CONCAT(H62, "_",I62)</f>
        <v>dual_electric_DUAL_POWER</v>
      </c>
      <c r="CC62" s="21" t="str">
        <f aca="false">_xlfn.CONCAT("{BLACK}Length: {GOLD}", TEXT(ROUNDUP(IF(AQ62&lt;&gt;"",SUM(VALUE(_xlfn.TEXTSPLIT(AQ62, ","))), SUM(VALUE(_xlfn.TEXTSPLIT(AN62, ",")))*IF(M62, M62, 1))/16, 1), "#,##0.0"), " tiles{}")</f>
        <v>{BLACK}Length: {GOLD}14.5 tiles{}</v>
      </c>
      <c r="CD62" s="1" t="str">
        <f aca="false">VLOOKUP($CB62, Constants!$M:$N, 2, FALSE())</f>
        <v>{BLACK}Powered by: {GOLD}25kV AC / 750V DC</v>
      </c>
      <c r="CE62" s="1" t="str">
        <f aca="false">IF(M62&gt;1,_xlfn.CONCAT("{BLACK}Cars: {GOLD}", M62),"")</f>
        <v>{BLACK}Cars: {GOLD}20</v>
      </c>
      <c r="CF62" s="18" t="s">
        <v>400</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{YELLOW}25% bonus for long distance travel{}</v>
      </c>
      <c r="CH62" s="1" t="str">
        <f aca="false">_xlfn.CONCAT(CD62,IF(CD62 &lt;&gt; "", " ", ""),CE62,IF(OR(CE62&lt;&gt;"", CD62&lt;&gt;""), "{}",""), CC62, CG62,"{SILVER}", CF62)</f>
        <v>{BLACK}Powered by: {GOLD}25kV AC / 750V DC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63" s="18" customFormat="true" ht="13.8" hidden="false" customHeight="false" outlineLevel="0" collapsed="false">
      <c r="A63" s="18" t="s">
        <v>409</v>
      </c>
      <c r="B63" s="18" t="s">
        <v>413</v>
      </c>
      <c r="C63" s="1" t="n">
        <v>403</v>
      </c>
      <c r="D63" s="18" t="n">
        <v>400</v>
      </c>
      <c r="E63" s="18" t="n">
        <v>413</v>
      </c>
      <c r="F63" s="18" t="s">
        <v>89</v>
      </c>
      <c r="G63" s="18" t="s">
        <v>90</v>
      </c>
      <c r="H63" s="18" t="s">
        <v>372</v>
      </c>
      <c r="I63" s="18" t="s">
        <v>389</v>
      </c>
      <c r="J63" s="18" t="n">
        <v>1992</v>
      </c>
      <c r="M63" s="18" t="n">
        <v>16</v>
      </c>
      <c r="N63" s="18" t="n">
        <v>16400</v>
      </c>
      <c r="O63" s="2" t="n">
        <v>4600</v>
      </c>
      <c r="P63" s="3"/>
      <c r="Q63" s="3"/>
      <c r="R63" s="3"/>
      <c r="S63" s="3"/>
      <c r="T63" s="3"/>
      <c r="U63" s="3"/>
      <c r="V63" s="3"/>
      <c r="W63" s="18" t="n">
        <v>665</v>
      </c>
      <c r="X63" s="2"/>
      <c r="Y63" s="18" t="n">
        <v>4</v>
      </c>
      <c r="Z63" s="18" t="n">
        <v>220</v>
      </c>
      <c r="AA63" s="4" t="n">
        <f aca="false">IF(AND(W63&gt;0,Z63&gt;0),(Z63/((W63+X63)*10)),"")</f>
        <v>0.0330827067669173</v>
      </c>
      <c r="AB63" s="18" t="n">
        <v>186</v>
      </c>
      <c r="AC63" s="18" t="n">
        <f aca="false">ROUND(AB63*1.6, 0)</f>
        <v>298</v>
      </c>
      <c r="AF63" s="18" t="n">
        <v>22.15</v>
      </c>
      <c r="AG63" s="18" t="n">
        <v>22.15</v>
      </c>
      <c r="AH63" s="18" t="n">
        <v>2.81</v>
      </c>
      <c r="AJ63" s="5" t="n">
        <v>35</v>
      </c>
      <c r="AK63" s="19" t="str">
        <f aca="false">CONCATENATE(VLOOKUP(AL63, 'Voxel Sizes'!$A$2:$B$18,2,FALSE()),"x",INT(AH63*15), "x", INT(AI63*15))</f>
        <v>214x42x0</v>
      </c>
      <c r="AL63" s="18" t="n">
        <f aca="false">ROUND(15*((AG63*10)/256),0)</f>
        <v>13</v>
      </c>
      <c r="AN63" s="1" t="str">
        <f aca="false">CONCATENATE(VLOOKUP(AL63,Constants!$A$2:$C$16,IF(AM63&lt;&gt;"", 3, 2), FALSE()),IF(AM63&lt;&gt;"",CONCATENATE(",",VLOOKUP(AM63,$B:$AN,38,FALSE())),""))</f>
        <v>4,5,4</v>
      </c>
      <c r="AP63" s="35" t="s">
        <v>403</v>
      </c>
      <c r="AQ63" s="35" t="s">
        <v>404</v>
      </c>
      <c r="AR63" s="18" t="s">
        <v>414</v>
      </c>
      <c r="AS63" s="18" t="s">
        <v>410</v>
      </c>
      <c r="AT63" s="18" t="s">
        <v>415</v>
      </c>
      <c r="AU63" s="19" t="s">
        <v>410</v>
      </c>
      <c r="AX63" s="18" t="n">
        <v>25</v>
      </c>
      <c r="AY63" s="6" t="str">
        <f aca="false">IF(L63&lt;&gt;"",MAX(16,(L63-J63)+8),"")</f>
        <v/>
      </c>
      <c r="BB63" s="18" t="n">
        <f aca="false">MIN(AB63/150, 1)*30</f>
        <v>30</v>
      </c>
      <c r="BC63" s="18" t="n">
        <f aca="false">MIN(N63/4000, 1)*20</f>
        <v>20</v>
      </c>
      <c r="BD63" s="18" t="n">
        <f aca="false">MIN(Z63/400,1)*20</f>
        <v>11</v>
      </c>
      <c r="BE63" s="4" t="n">
        <f aca="false">1-(MAX(J63-1900, 0)/750)</f>
        <v>0.877333333333333</v>
      </c>
      <c r="BF63" s="18" t="n">
        <f aca="false">((MAX($M63,1)*MIN($AJ63/300,1)))*IF(G63="Wagon",50,10)</f>
        <v>18.6666666666667</v>
      </c>
      <c r="BG63" s="1" t="n">
        <f aca="false">VLOOKUP($H63,Constants!$I:$K, 2, FALSE())</f>
        <v>0.85</v>
      </c>
      <c r="BH63" s="1" t="n">
        <f aca="false">VLOOKUP($H63,Constants!$I:$K, 3, FALSE())*IF(AND(G63="multiple_unit",AB63&lt;110),0.75,1)</f>
        <v>2.4</v>
      </c>
      <c r="BI63" s="1" t="n">
        <f aca="false">INT(POWER(((Constants!$G$2+$BB63+$BC63+$BD63+$BF63)*$BE63)*$BH63, 1.05))+$BA63</f>
        <v>231</v>
      </c>
      <c r="BJ63" s="1" t="n">
        <f aca="false">INT(POWER((((Constants!$G$1+$BB63+$BC63+$BD63+$BF63)*($BE63))*$BG63),IF($G63="wagon",1,1.2)))+$AZ63</f>
        <v>165</v>
      </c>
      <c r="BK63" s="20" t="n">
        <f aca="false">BI63*IF($G63="wagon",62.5,781.25)</f>
        <v>180468.75</v>
      </c>
      <c r="BL63" s="20" t="n">
        <f aca="false">BJ63*IF($G63="wagon",2.73,81.25)</f>
        <v>13406.25</v>
      </c>
      <c r="BS63" s="18" t="s">
        <v>203</v>
      </c>
      <c r="BT63" s="18" t="n">
        <v>11</v>
      </c>
      <c r="BU63" s="18" t="n">
        <v>232</v>
      </c>
      <c r="BX63" s="18" t="s">
        <v>95</v>
      </c>
      <c r="BY63" s="18" t="s">
        <v>244</v>
      </c>
      <c r="BZ63" s="18" t="s">
        <v>226</v>
      </c>
      <c r="CA63" s="18" t="str">
        <f aca="false">CONCATENATE(BY63,"_",BZ63)</f>
        <v>lbr_EMU (Express)</v>
      </c>
      <c r="CB63" s="18" t="str">
        <f aca="false">_xlfn.CONCAT(H63, "_",I63)</f>
        <v>dual_electric_DUAL_POWER</v>
      </c>
      <c r="CC63" s="21" t="str">
        <f aca="false">_xlfn.CONCAT("{BLACK}Length: {GOLD}", TEXT(ROUNDUP(IF(AQ63&lt;&gt;"",SUM(VALUE(_xlfn.TEXTSPLIT(AQ63, ","))), SUM(VALUE(_xlfn.TEXTSPLIT(AN63, ",")))*IF(M63, M63, 1))/16, 1), "#,##0.0"), " tiles{}")</f>
        <v>{BLACK}Length: {GOLD}11.8 tiles{}</v>
      </c>
      <c r="CD63" s="1" t="str">
        <f aca="false">VLOOKUP($CB63, Constants!$M:$N, 2, FALSE())</f>
        <v>{BLACK}Powered by: {GOLD}25kV AC / 750V DC</v>
      </c>
      <c r="CE63" s="1" t="str">
        <f aca="false">IF(M63&gt;1,_xlfn.CONCAT("{BLACK}Cars: {GOLD}", M63),"")</f>
        <v>{BLACK}Cars: {GOLD}16</v>
      </c>
      <c r="CF63" s="18" t="s">
        <v>408</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bonus for long distance travel{}</v>
      </c>
      <c r="CH63" s="1" t="str">
        <f aca="false">_xlfn.CONCAT(CD63,IF(CD63 &lt;&gt; "", " ", ""),CE63,IF(OR(CE63&lt;&gt;"", CD63&lt;&gt;""), "{}",""), CC63, CG63,"{SILVER}", CF63)</f>
        <v>{BLACK}Powered by: {GOLD}25kV AC / 750V DC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64" s="19" customFormat="true" ht="13.8" hidden="false" customHeight="false" outlineLevel="0" collapsed="false">
      <c r="A64" s="19" t="s">
        <v>416</v>
      </c>
      <c r="B64" s="19" t="s">
        <v>417</v>
      </c>
      <c r="C64" s="19" t="n">
        <v>408</v>
      </c>
      <c r="E64" s="19" t="n">
        <v>420</v>
      </c>
      <c r="F64" s="19" t="s">
        <v>89</v>
      </c>
      <c r="G64" s="19" t="s">
        <v>90</v>
      </c>
      <c r="H64" s="19" t="s">
        <v>372</v>
      </c>
      <c r="I64" s="18" t="s">
        <v>389</v>
      </c>
      <c r="J64" s="19" t="n">
        <v>1994</v>
      </c>
      <c r="L64" s="19" t="n">
        <v>2022</v>
      </c>
      <c r="M64" s="19" t="n">
        <v>4</v>
      </c>
      <c r="N64" s="19" t="n">
        <v>1684</v>
      </c>
      <c r="O64" s="25"/>
      <c r="P64" s="26"/>
      <c r="Q64" s="26"/>
      <c r="R64" s="26"/>
      <c r="S64" s="26"/>
      <c r="T64" s="26"/>
      <c r="U64" s="26"/>
      <c r="V64" s="26"/>
      <c r="W64" s="19" t="n">
        <v>136</v>
      </c>
      <c r="X64" s="25"/>
      <c r="Y64" s="19" t="n">
        <v>5</v>
      </c>
      <c r="Z64" s="19" t="n">
        <v>165</v>
      </c>
      <c r="AA64" s="27" t="n">
        <f aca="false">IF(AND(W64&gt;0,Z64&gt;0),(Z64/((W64+X64)*10)),"")</f>
        <v>0.121323529411765</v>
      </c>
      <c r="AB64" s="19" t="n">
        <v>100</v>
      </c>
      <c r="AC64" s="19" t="n">
        <f aca="false">ROUND(AB64*1.6, 0)</f>
        <v>160</v>
      </c>
      <c r="AF64" s="19" t="n">
        <v>20.89</v>
      </c>
      <c r="AG64" s="19" t="n">
        <v>20.89</v>
      </c>
      <c r="AI64" s="19" t="n">
        <v>3.77</v>
      </c>
      <c r="AJ64" s="28" t="n">
        <v>66</v>
      </c>
      <c r="AK64" s="19" t="str">
        <f aca="false">CONCATENATE(VLOOKUP(AL64, 'Voxel Sizes'!$A$2:$B$18,2,FALSE()),"x",INT(AH64*15), "x", INT(AI64*15))</f>
        <v>198x0x56</v>
      </c>
      <c r="AL64" s="19" t="n">
        <f aca="false">ROUND(15*((AG64*10)/256),0)</f>
        <v>12</v>
      </c>
      <c r="AN64" s="19" t="str">
        <f aca="false">CONCATENATE(VLOOKUP(AL64,[1]Constants!$A$2:$C$16,IF(AM64&lt;&gt;"", 3, 2), FALSE()),IF(AM64&lt;&gt;"",CONCATENATE(",",VLOOKUP(AM64,$B:$AN,39,FALSE())),""))</f>
        <v>4,4,4</v>
      </c>
      <c r="AO64" s="19" t="n">
        <v>7</v>
      </c>
      <c r="AP64" s="29"/>
      <c r="AQ64" s="29"/>
      <c r="AR64" s="19" t="s">
        <v>418</v>
      </c>
      <c r="AS64" s="19" t="s">
        <v>419</v>
      </c>
      <c r="AT64" s="19" t="s">
        <v>188</v>
      </c>
      <c r="AU64" s="1"/>
      <c r="AX64" s="19" t="n">
        <v>32</v>
      </c>
      <c r="AY64" s="30" t="n">
        <f aca="false">IF(L64&lt;&gt;"",MAX(16,(L64-J64)+8),"")</f>
        <v>36</v>
      </c>
      <c r="BB64" s="19" t="n">
        <f aca="false">MIN(AB64/150, 1)*30</f>
        <v>20</v>
      </c>
      <c r="BC64" s="19" t="n">
        <f aca="false">MIN(N64/4000, 1)*20</f>
        <v>8.42</v>
      </c>
      <c r="BD64" s="19" t="n">
        <f aca="false">MIN(Z64/400,1)*20</f>
        <v>8.25</v>
      </c>
      <c r="BE64" s="27" t="n">
        <f aca="false">1-(MAX(J64-1900, 0)/750)</f>
        <v>0.874666666666667</v>
      </c>
      <c r="BF64" s="19" t="n">
        <f aca="false">((MAX($M64,1)*MIN($AJ64/300,1)))*IF(G64="Wagon",50,10)</f>
        <v>8.8</v>
      </c>
      <c r="BG64" s="1" t="n">
        <f aca="false">VLOOKUP($H64,Constants!$I:$K, 2, FALSE())</f>
        <v>0.85</v>
      </c>
      <c r="BH64" s="1" t="n">
        <f aca="false">VLOOKUP($H64,Constants!$I:$K, 3, FALSE())*IF(AND(G64="multiple_unit",AB64&lt;110),0.75,1)</f>
        <v>1.8</v>
      </c>
      <c r="BI64" s="19" t="n">
        <f aca="false">INT(POWER((([1]Constants!$G$2+$BB64+$BC64+$BD64+$BF64)*$BE64)*$BH64, 1.05))+$BA64</f>
        <v>98</v>
      </c>
      <c r="BJ64" s="19" t="n">
        <f aca="false">INT(POWER(((([1]Constants!$G$1+$BB64+$BC64+$BD64+$BF64)*($BE64))*$BG64),IF($G64="wagon",1,1.2)))+$AZ64</f>
        <v>96</v>
      </c>
      <c r="BK64" s="31" t="n">
        <f aca="false">BI64*IF($G64="wagon",62.5,781.25)</f>
        <v>76562.5</v>
      </c>
      <c r="BL64" s="31" t="n">
        <f aca="false">BJ64*IF($G64="wagon",2.73,81.25)</f>
        <v>7800</v>
      </c>
      <c r="BT64" s="19" t="n">
        <v>4</v>
      </c>
      <c r="BU64" s="19" t="n">
        <v>185</v>
      </c>
      <c r="BX64" s="19" t="s">
        <v>95</v>
      </c>
      <c r="BY64" s="19" t="str">
        <f aca="false">VLOOKUP(J64,[1]Eras!$A$2:$C$10, 2, TRUE())</f>
        <v>lbr</v>
      </c>
      <c r="BZ64" s="18" t="s">
        <v>97</v>
      </c>
      <c r="CA64" s="19" t="str">
        <f aca="false">CONCATENATE(BY64,"_",BZ64)</f>
        <v>lbr_EMU</v>
      </c>
      <c r="CB64" s="19" t="str">
        <f aca="false">_xlfn.CONCAT(H64, "_",I64)</f>
        <v>dual_electric_DUAL_POWER</v>
      </c>
      <c r="CC64" s="33" t="str">
        <f aca="false" t="array" ref="CC64:CC64">_xlfn.CONCAT("{BLACK}Length: {GOLD}", TEXT(ROUNDUP(IF(AQ64&lt;&gt;"",SUM(VALUE(_xlfn.TEXTSPLIT(AQ64, ","))), SUM(VALUE(_xlfn.TEXTSPLIT(AN64, ",")))*IF(M64, M64, 1))/16, 1), "#,##0.0"), " tiles{}")</f>
        <v>{BLACK}Length: {GOLD}3.0 tiles{}</v>
      </c>
      <c r="CD64" s="1" t="str">
        <f aca="false">VLOOKUP($CB64, Constants!$M:$N, 2, FALSE())</f>
        <v>{BLACK}Powered by: {GOLD}25kV AC / 750V DC</v>
      </c>
      <c r="CE64" s="19" t="str">
        <f aca="false">IF(M64&gt;1,_xlfn.CONCAT("{BLACK}Cars: {GOLD}", M64),"")</f>
        <v>{BLACK}Cars: {GOLD}4</v>
      </c>
      <c r="CF64" s="19" t="s">
        <v>420</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 750V DC {BLACK}Cars: {GOLD}4{}{BLACK}Length: {GOLD}3.0 tiles{}{SILVER}Amongst the last passenger vehicles built at the former BREL Holgate Road works, the Class 365s began to be delivered at the very end of British Rail operations.</v>
      </c>
    </row>
    <row r="65" s="19" customFormat="true" ht="13.8" hidden="false" customHeight="false" outlineLevel="0" collapsed="false">
      <c r="A65" s="19" t="s">
        <v>421</v>
      </c>
      <c r="B65" s="19" t="s">
        <v>422</v>
      </c>
      <c r="C65" s="19" t="n">
        <v>409</v>
      </c>
      <c r="E65" s="19" t="n">
        <v>420</v>
      </c>
      <c r="F65" s="19" t="s">
        <v>89</v>
      </c>
      <c r="G65" s="19" t="s">
        <v>90</v>
      </c>
      <c r="H65" s="19" t="s">
        <v>91</v>
      </c>
      <c r="I65" s="19" t="s">
        <v>248</v>
      </c>
      <c r="J65" s="19" t="n">
        <v>1992</v>
      </c>
      <c r="K65" s="19" t="n">
        <v>1994</v>
      </c>
      <c r="M65" s="19" t="n">
        <v>4</v>
      </c>
      <c r="N65" s="19" t="n">
        <v>1608</v>
      </c>
      <c r="O65" s="25"/>
      <c r="P65" s="26"/>
      <c r="Q65" s="26"/>
      <c r="R65" s="26"/>
      <c r="S65" s="26"/>
      <c r="T65" s="26"/>
      <c r="U65" s="26"/>
      <c r="V65" s="26"/>
      <c r="W65" s="19" t="n">
        <v>136</v>
      </c>
      <c r="X65" s="25"/>
      <c r="Y65" s="19" t="n">
        <v>5</v>
      </c>
      <c r="Z65" s="19" t="n">
        <v>165</v>
      </c>
      <c r="AA65" s="27" t="n">
        <f aca="false">IF(AND(W65&gt;0,Z65&gt;0),(Z65/((W65+X65)*10)),"")</f>
        <v>0.121323529411765</v>
      </c>
      <c r="AB65" s="19" t="n">
        <v>75</v>
      </c>
      <c r="AC65" s="19" t="n">
        <f aca="false">ROUND(AB65*1.6, 0)</f>
        <v>120</v>
      </c>
      <c r="AF65" s="19" t="n">
        <v>20.89</v>
      </c>
      <c r="AG65" s="19" t="n">
        <v>20.89</v>
      </c>
      <c r="AI65" s="19" t="n">
        <v>3.77</v>
      </c>
      <c r="AJ65" s="28" t="n">
        <v>81</v>
      </c>
      <c r="AK65" s="19" t="str">
        <f aca="false">CONCATENATE(VLOOKUP(AL65, 'Voxel Sizes'!$A$2:$B$18,2,FALSE()),"x",INT(AH65*15), "x", INT(AI65*15))</f>
        <v>198x0x56</v>
      </c>
      <c r="AL65" s="19" t="n">
        <f aca="false">ROUND(15*((AG65*10)/256),0)</f>
        <v>12</v>
      </c>
      <c r="AN65" s="19" t="str">
        <f aca="false">CONCATENATE(VLOOKUP(AL65,[1]Constants!$A$2:$C$16,IF(AM65&lt;&gt;"", 3, 2), FALSE()),IF(AM65&lt;&gt;"",CONCATENATE(",",VLOOKUP(AM65,$B:$AN,39,FALSE())),""))</f>
        <v>4,4,4</v>
      </c>
      <c r="AO65" s="19" t="n">
        <v>0</v>
      </c>
      <c r="AP65" s="29"/>
      <c r="AQ65" s="29"/>
      <c r="AR65" s="19" t="s">
        <v>423</v>
      </c>
      <c r="AT65" s="19" t="s">
        <v>163</v>
      </c>
      <c r="AU65" s="1" t="s">
        <v>424</v>
      </c>
      <c r="AX65" s="19" t="n">
        <v>32</v>
      </c>
      <c r="AY65" s="30" t="str">
        <f aca="false">IF(L65&lt;&gt;"",MAX(16,(L65-J65)+8),"")</f>
        <v/>
      </c>
      <c r="AZ65" s="19" t="n">
        <v>-10</v>
      </c>
      <c r="BA65" s="19" t="n">
        <v>-20</v>
      </c>
      <c r="BB65" s="19" t="n">
        <f aca="false">MIN(AB65/150, 1)*30</f>
        <v>15</v>
      </c>
      <c r="BC65" s="19" t="n">
        <f aca="false">MIN(N65/4000, 1)*20</f>
        <v>8.04</v>
      </c>
      <c r="BD65" s="19" t="n">
        <f aca="false">MIN(Z65/400,1)*20</f>
        <v>8.25</v>
      </c>
      <c r="BE65" s="27" t="n">
        <f aca="false">1-(MAX(J65-1900, 0)/750)</f>
        <v>0.877333333333333</v>
      </c>
      <c r="BF65" s="19" t="n">
        <f aca="false">((MAX($M65,1)*MIN($AJ65/300,1)))*IF(G65="Wagon",50,10)</f>
        <v>10.8</v>
      </c>
      <c r="BG65" s="19" t="n">
        <f aca="false">VLOOKUP($H65,[1]Constants!$I$1:$K$1048576, 2, FALSE())</f>
        <v>0.85</v>
      </c>
      <c r="BH65" s="1" t="n">
        <f aca="false">VLOOKUP($H65,Constants!$I:$K, 3, FALSE())*IF(AND(G65="multiple_unit",AB65&lt;110),0.75,1)</f>
        <v>1.725</v>
      </c>
      <c r="BI65" s="19" t="n">
        <f aca="false">INT(POWER((([1]Constants!$G$2+$BB65+$BC65+$BD65+$BF65)*$BE65)*$BH65, 1.05))+$BA65</f>
        <v>68</v>
      </c>
      <c r="BJ65" s="19" t="n">
        <f aca="false">INT(POWER(((([1]Constants!$G$1+$BB65+$BC65+$BD65+$BF65)*($BE65))*$BG65),IF($G65="wagon",1,1.2)))+$AZ65</f>
        <v>80</v>
      </c>
      <c r="BK65" s="31" t="n">
        <f aca="false">BI65*IF($G65="wagon",62.5,781.25)</f>
        <v>53125</v>
      </c>
      <c r="BL65" s="31" t="n">
        <f aca="false">BJ65*IF($G65="wagon",2.73,81.25)</f>
        <v>6500</v>
      </c>
      <c r="BQ65" s="19" t="s">
        <v>425</v>
      </c>
      <c r="BT65" s="19" t="n">
        <v>10</v>
      </c>
      <c r="BU65" s="19" t="n">
        <v>205</v>
      </c>
      <c r="BX65" s="19" t="s">
        <v>95</v>
      </c>
      <c r="BY65" s="19" t="str">
        <f aca="false">VLOOKUP(J65,[1]Eras!$A$2:$C$10, 2, TRUE())</f>
        <v>lbr</v>
      </c>
      <c r="BZ65" s="32" t="s">
        <v>97</v>
      </c>
      <c r="CA65" s="19" t="str">
        <f aca="false">CONCATENATE(BY65,"_",BZ65)</f>
        <v>lbr_EMU</v>
      </c>
      <c r="CB65" s="19" t="str">
        <f aca="false">_xlfn.CONCAT(H65, "_",I65)</f>
        <v>electric_THIRD_RAIL</v>
      </c>
      <c r="CC65" s="33" t="str">
        <f aca="false" t="array" ref="CC65:CC65">_xlfn.CONCAT("{BLACK}Length: {GOLD}", TEXT(ROUNDUP(IF(AQ65&lt;&gt;"",SUM(VALUE(_xlfn.TEXTSPLIT(AQ65, ","))), SUM(VALUE(_xlfn.TEXTSPLIT(AN65, ",")))*IF(M65, M65, 1))/16, 1), "#,##0.0"), " tiles{}")</f>
        <v>{BLACK}Length: {GOLD}3.0 tiles{}</v>
      </c>
      <c r="CD65" s="19" t="str">
        <f aca="false">VLOOKUP($CB65, [1]Constants!$M$1:$N$1048576, 2, FALSE())</f>
        <v>{BLACK}Powered by: {GOLD}750V DC</v>
      </c>
      <c r="CE65" s="19" t="str">
        <f aca="false">IF(M65&gt;1,_xlfn.CONCAT("{BLACK}Cars: {GOLD}", M65),"")</f>
        <v>{BLACK}Cars: {GOLD}4</v>
      </c>
      <c r="CF65" s="19" t="s">
        <v>426</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{YELLOW}10% bonus for long distance travel{}</v>
      </c>
      <c r="CH65" s="1" t="str">
        <f aca="false">_xlfn.CONCAT(CD65,IF(CD65 &lt;&gt; "", " ", ""),CE65,IF(OR(CE65&lt;&gt;"", CD65&lt;&gt;""), "{}",""), CC65, CG65,"{SILVER}", CF65)</f>
        <v>{BLACK}Powered by: {GOLD}750V DC {BLACK}Cars: {GOLD}4{}{BLACK}Length: {GOLD}3.0 tiles{}{YELLOW}10% bonus for long distance travel{}{SILVER}The BREL Networker was built by three different companies (ABB, Metro-Cammell and BREL) with minor detail differences between each manufacturer's output.</v>
      </c>
    </row>
    <row r="66" customFormat="false" ht="13.8" hidden="false" customHeight="false" outlineLevel="0" collapsed="false">
      <c r="A66" s="18" t="s">
        <v>427</v>
      </c>
      <c r="B66" s="18" t="s">
        <v>425</v>
      </c>
      <c r="C66" s="1" t="n">
        <v>410</v>
      </c>
      <c r="D66" s="1" t="n">
        <v>409</v>
      </c>
      <c r="E66" s="1" t="n">
        <v>421</v>
      </c>
      <c r="F66" s="1" t="s">
        <v>89</v>
      </c>
      <c r="G66" s="1" t="s">
        <v>90</v>
      </c>
      <c r="H66" s="1" t="s">
        <v>91</v>
      </c>
      <c r="I66" s="1" t="s">
        <v>248</v>
      </c>
      <c r="J66" s="1" t="n">
        <v>1993</v>
      </c>
      <c r="K66" s="1" t="n">
        <v>2025</v>
      </c>
      <c r="L66" s="1" t="n">
        <v>2028</v>
      </c>
      <c r="M66" s="1" t="n">
        <v>2</v>
      </c>
      <c r="N66" s="1" t="n">
        <v>1500</v>
      </c>
      <c r="W66" s="1" t="n">
        <v>72</v>
      </c>
      <c r="Y66" s="1" t="n">
        <v>5</v>
      </c>
      <c r="Z66" s="1" t="n">
        <v>83</v>
      </c>
      <c r="AA66" s="4" t="n">
        <f aca="false">IF(AND(W66&gt;0,Z66&gt;0),(Z66/((W66+X66)*10)),"")</f>
        <v>0.115277777777778</v>
      </c>
      <c r="AB66" s="1" t="n">
        <v>75</v>
      </c>
      <c r="AC66" s="1" t="n">
        <f aca="false">ROUND(AB66*1.6, 0)</f>
        <v>120</v>
      </c>
      <c r="AF66" s="1" t="n">
        <v>20.89</v>
      </c>
      <c r="AG66" s="1" t="n">
        <v>20.89</v>
      </c>
      <c r="AI66" s="1" t="n">
        <v>3.77</v>
      </c>
      <c r="AJ66" s="5" t="n">
        <v>84</v>
      </c>
      <c r="AK66" s="19" t="str">
        <f aca="false">CONCATENATE(VLOOKUP(AL66, 'Voxel Sizes'!$A$2:$B$18,2,FALSE()),"x",INT(AH66*15), "x", INT(AI66*15))</f>
        <v>198x0x56</v>
      </c>
      <c r="AL66" s="1" t="n">
        <f aca="false">ROUND(15*((AG66*10)/256),0)</f>
        <v>12</v>
      </c>
      <c r="AN66" s="1" t="str">
        <f aca="false">CONCATENATE(VLOOKUP(AL66,Constants!$A$2:$C$16,IF(AM66&lt;&gt;"", 3, 2), FALSE()),IF(AM66&lt;&gt;"",CONCATENATE(",",VLOOKUP(AM66,$B:$AN,38,FALSE())),""))</f>
        <v>4,4,4</v>
      </c>
      <c r="AO66" s="1" t="n">
        <v>0</v>
      </c>
      <c r="AR66" s="1" t="s">
        <v>428</v>
      </c>
      <c r="AT66" s="1" t="s">
        <v>183</v>
      </c>
      <c r="AU66" s="1" t="s">
        <v>424</v>
      </c>
      <c r="AX66" s="1" t="n">
        <v>32</v>
      </c>
      <c r="AY66" s="6" t="n">
        <f aca="false">IF(L66&lt;&gt;"",MAX(16,(L66-J66)+8),"")</f>
        <v>43</v>
      </c>
      <c r="AZ66" s="1" t="n">
        <v>-10</v>
      </c>
      <c r="BA66" s="1" t="n">
        <v>-20</v>
      </c>
      <c r="BB66" s="1" t="n">
        <f aca="false">MIN(AB66/150, 1)*30</f>
        <v>15</v>
      </c>
      <c r="BC66" s="1" t="n">
        <f aca="false">MIN(N66/4000, 1)*20</f>
        <v>7.5</v>
      </c>
      <c r="BD66" s="1" t="n">
        <f aca="false">MIN(Z66/400,1)*20</f>
        <v>4.15</v>
      </c>
      <c r="BE66" s="4" t="n">
        <f aca="false">1-(MAX(J66-1900, 0)/750)</f>
        <v>0.876</v>
      </c>
      <c r="BF66" s="1" t="n">
        <f aca="false">((MAX($M66,1)*MIN($AJ66/300,1)))*IF(G66="Wagon",50,10)</f>
        <v>5.6</v>
      </c>
      <c r="BG66" s="1" t="n">
        <f aca="false">VLOOKUP($H66,Constants!$I:$K, 2, FALSE())</f>
        <v>0.85</v>
      </c>
      <c r="BH66" s="1" t="n">
        <f aca="false">VLOOKUP($H66,Constants!$I:$K, 3, FALSE())*IF(AND(G66="multiple_unit",AB66&lt;110),0.75,1)</f>
        <v>1.725</v>
      </c>
      <c r="BI66" s="1" t="n">
        <f aca="false">INT(POWER(((Constants!$G$2+$BB66+$BC66+$BD66+$BF66)*$BE66)*$BH66, 1.05))+$BA66</f>
        <v>48</v>
      </c>
      <c r="BJ66" s="1" t="n">
        <f aca="false">INT(POWER((((Constants!$G$1+$BB66+$BC66+$BD66+$BF66)*($BE66))*$BG66),IF($G66="wagon",1,1.2)))+$AZ66</f>
        <v>61</v>
      </c>
      <c r="BK66" s="20" t="n">
        <f aca="false">BI66*IF($G66="wagon",62.5,781.25)</f>
        <v>37500</v>
      </c>
      <c r="BL66" s="20" t="n">
        <f aca="false">BJ66*IF($G66="wagon",2.73,81.25)</f>
        <v>4956.25</v>
      </c>
      <c r="BQ66" s="1" t="s">
        <v>422</v>
      </c>
      <c r="BT66" s="1" t="n">
        <v>6</v>
      </c>
      <c r="BU66" s="1" t="n">
        <v>185</v>
      </c>
      <c r="BX66" s="1" t="s">
        <v>95</v>
      </c>
      <c r="BY66" s="1" t="s">
        <v>244</v>
      </c>
      <c r="BZ66" s="18" t="s">
        <v>226</v>
      </c>
      <c r="CA66" s="1" t="str">
        <f aca="false">CONCATENATE(BY66,"_",BZ66)</f>
        <v>lbr_EMU (Express)</v>
      </c>
      <c r="CB66" s="1" t="str">
        <f aca="false">_xlfn.CONCAT(H66, "_",I66)</f>
        <v>electric_THIRD_RAIL</v>
      </c>
      <c r="CC66" s="21" t="str">
        <f aca="false">_xlfn.CONCAT("{BLACK}Length: {GOLD}", TEXT(ROUNDUP(IF(AQ66&lt;&gt;"",SUM(VALUE(_xlfn.TEXTSPLIT(AQ66, ","))), SUM(VALUE(_xlfn.TEXTSPLIT(AN66, ",")))*IF(M66, M66, 1))/16, 1), "#,##0.0"), " tiles{}")</f>
        <v>{BLACK}Length: {GOLD}1.5 tiles{}</v>
      </c>
      <c r="CD66" s="1" t="str">
        <f aca="false">VLOOKUP($CB66, Constants!$M:$N, 2, FALSE())</f>
        <v>{BLACK}Powered by: {GOLD}750V DC</v>
      </c>
      <c r="CE66" s="1" t="str">
        <f aca="false">IF(M66&gt;1,_xlfn.CONCAT("{BLACK}Cars: {GOLD}", M66),"")</f>
        <v>{BLACK}Cars: {GOLD}2</v>
      </c>
      <c r="CF66" s="19" t="s">
        <v>429</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{GOLD}750V DC {BLACK}Cars: {GOLD}2{}{BLACK}Length: {GOLD}1.5 tiles{}{SILVER}The Class 466 was a shorter Class 465, used for small branch line service and to strengthen peak services up to 10 cars as needed.</v>
      </c>
      <c r="CI66" s="1"/>
      <c r="CJ66" s="1"/>
      <c r="CL66" s="18"/>
      <c r="CM66" s="18"/>
      <c r="CN66" s="18"/>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8"/>
      <c r="DT66" s="18"/>
      <c r="DU66" s="18"/>
      <c r="DV66" s="18"/>
      <c r="DW66" s="18"/>
      <c r="DX66" s="18"/>
      <c r="DY66" s="18"/>
      <c r="DZ66" s="18"/>
      <c r="EA66" s="18"/>
      <c r="EB66" s="18"/>
      <c r="EC66" s="18"/>
      <c r="ED66" s="18"/>
      <c r="EE66" s="18"/>
      <c r="EF66" s="18"/>
      <c r="EG66" s="18"/>
      <c r="EH66" s="18"/>
      <c r="EI66" s="18"/>
      <c r="EJ66" s="18"/>
      <c r="EK66" s="18"/>
      <c r="EL66" s="18"/>
      <c r="EM66" s="18"/>
      <c r="EN66" s="18"/>
      <c r="EO66" s="18"/>
      <c r="EP66" s="18"/>
      <c r="EQ66" s="18"/>
      <c r="ER66" s="18"/>
      <c r="ES66" s="18"/>
      <c r="ET66" s="18"/>
      <c r="EU66" s="18"/>
      <c r="EV66" s="18"/>
      <c r="EW66" s="18"/>
      <c r="EX66" s="18"/>
      <c r="EY66" s="18"/>
      <c r="EZ66" s="18"/>
      <c r="FA66" s="18"/>
      <c r="FB66" s="18"/>
      <c r="FC66" s="18"/>
      <c r="FD66" s="18"/>
      <c r="FE66" s="18"/>
      <c r="FF66" s="18"/>
      <c r="FG66" s="18"/>
      <c r="FH66" s="18"/>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8"/>
      <c r="GN66" s="18"/>
      <c r="GO66" s="18"/>
      <c r="GP66" s="18"/>
      <c r="GQ66" s="18"/>
      <c r="GR66" s="18"/>
      <c r="GS66" s="18"/>
      <c r="GT66" s="18"/>
      <c r="GU66" s="18"/>
      <c r="GV66" s="18"/>
      <c r="GW66" s="18"/>
      <c r="GX66" s="18"/>
      <c r="GY66" s="18"/>
      <c r="GZ66" s="18"/>
      <c r="HA66" s="18"/>
      <c r="HB66" s="18"/>
      <c r="HC66" s="18"/>
      <c r="HD66" s="18"/>
      <c r="HE66" s="18"/>
      <c r="HF66" s="18"/>
      <c r="HG66" s="18"/>
      <c r="HH66" s="18"/>
      <c r="HI66" s="18"/>
      <c r="HJ66" s="18"/>
      <c r="HK66" s="18"/>
      <c r="HL66" s="18"/>
      <c r="HM66" s="18"/>
      <c r="HN66" s="18"/>
      <c r="HO66" s="18"/>
      <c r="HP66" s="18"/>
      <c r="HQ66" s="18"/>
      <c r="HR66" s="18"/>
      <c r="HS66" s="18"/>
      <c r="HT66" s="18"/>
      <c r="HU66" s="18"/>
      <c r="HV66" s="18"/>
      <c r="HW66" s="18"/>
      <c r="HX66" s="18"/>
      <c r="HY66" s="18"/>
      <c r="HZ66" s="18"/>
      <c r="IA66" s="18"/>
      <c r="IB66" s="18"/>
      <c r="IC66" s="18"/>
      <c r="ID66" s="18"/>
      <c r="IE66" s="18"/>
      <c r="IF66" s="18"/>
      <c r="IG66" s="18"/>
      <c r="IH66" s="18"/>
      <c r="II66" s="18"/>
      <c r="IJ66" s="18"/>
      <c r="IK66" s="18"/>
      <c r="IL66" s="18"/>
      <c r="IM66" s="18"/>
      <c r="IN66" s="18"/>
      <c r="IO66" s="18"/>
      <c r="IP66" s="18"/>
      <c r="IQ66" s="18"/>
      <c r="IR66" s="18"/>
      <c r="IS66" s="18"/>
      <c r="IT66" s="18"/>
      <c r="IU66" s="18"/>
      <c r="IV66" s="18"/>
      <c r="IW66" s="18"/>
      <c r="IX66" s="18"/>
      <c r="IY66" s="18"/>
      <c r="IZ66" s="18"/>
      <c r="JA66" s="18"/>
      <c r="JB66" s="18"/>
      <c r="JC66" s="18"/>
      <c r="JD66" s="18"/>
      <c r="JE66" s="18"/>
      <c r="JF66" s="18"/>
      <c r="JG66" s="18"/>
      <c r="JH66" s="18"/>
      <c r="JI66" s="18"/>
      <c r="JJ66" s="18"/>
      <c r="JK66" s="18"/>
      <c r="JL66" s="18"/>
      <c r="JM66" s="18"/>
      <c r="JN66" s="18"/>
      <c r="JO66" s="18"/>
      <c r="JP66" s="18"/>
      <c r="JQ66" s="18"/>
      <c r="JR66" s="18"/>
      <c r="JS66" s="18"/>
      <c r="JT66" s="18"/>
      <c r="JU66" s="18"/>
      <c r="JV66" s="18"/>
      <c r="JW66" s="18"/>
      <c r="JX66" s="18"/>
      <c r="JY66" s="18"/>
      <c r="JZ66" s="18"/>
      <c r="KA66" s="18"/>
      <c r="KB66" s="18"/>
      <c r="KC66" s="18"/>
      <c r="KD66" s="18"/>
      <c r="KE66" s="18"/>
      <c r="KF66" s="18"/>
      <c r="KG66" s="18"/>
      <c r="KH66" s="18"/>
      <c r="KI66" s="18"/>
      <c r="KJ66" s="18"/>
      <c r="KK66" s="18"/>
      <c r="KL66" s="18"/>
      <c r="KM66" s="18"/>
      <c r="KN66" s="18"/>
      <c r="KO66" s="18"/>
      <c r="KP66" s="18"/>
      <c r="KQ66" s="18"/>
      <c r="KR66" s="18"/>
      <c r="KS66" s="18"/>
      <c r="KT66" s="18"/>
      <c r="KU66" s="18"/>
      <c r="KV66" s="18"/>
      <c r="KW66" s="18"/>
      <c r="KX66" s="18"/>
      <c r="KY66" s="18"/>
      <c r="KZ66" s="18"/>
      <c r="LA66" s="18"/>
      <c r="LB66" s="18"/>
      <c r="LC66" s="18"/>
      <c r="LD66" s="18"/>
      <c r="LE66" s="18"/>
      <c r="LF66" s="18"/>
      <c r="LG66" s="18"/>
      <c r="LH66" s="18"/>
      <c r="LI66" s="18"/>
      <c r="LJ66" s="18"/>
      <c r="LK66" s="18"/>
      <c r="LL66" s="18"/>
      <c r="LM66" s="18"/>
      <c r="LN66" s="18"/>
      <c r="LO66" s="18"/>
      <c r="LP66" s="18"/>
      <c r="LQ66" s="18"/>
      <c r="LR66" s="18"/>
      <c r="LS66" s="18"/>
      <c r="LT66" s="18"/>
      <c r="LU66" s="18"/>
      <c r="LV66" s="18"/>
      <c r="LW66" s="18"/>
      <c r="LX66" s="18"/>
      <c r="LY66" s="18"/>
      <c r="LZ66" s="18"/>
      <c r="MA66" s="18"/>
      <c r="MB66" s="18"/>
      <c r="MC66" s="18"/>
      <c r="MD66" s="18"/>
      <c r="ME66" s="18"/>
      <c r="MF66" s="18"/>
      <c r="MG66" s="18"/>
      <c r="MH66" s="18"/>
      <c r="MI66" s="18"/>
      <c r="MJ66" s="18"/>
      <c r="MK66" s="18"/>
      <c r="ML66" s="18"/>
      <c r="MM66" s="18"/>
      <c r="MN66" s="18"/>
      <c r="MO66" s="18"/>
      <c r="MP66" s="18"/>
      <c r="MQ66" s="18"/>
      <c r="MR66" s="18"/>
      <c r="MS66" s="18"/>
      <c r="MT66" s="18"/>
      <c r="MU66" s="18"/>
      <c r="MV66" s="18"/>
      <c r="MW66" s="18"/>
      <c r="MX66" s="18"/>
      <c r="MY66" s="18"/>
      <c r="MZ66" s="18"/>
      <c r="NA66" s="18"/>
      <c r="NB66" s="18"/>
      <c r="NC66" s="18"/>
      <c r="ND66" s="18"/>
      <c r="NE66" s="18"/>
      <c r="NF66" s="18"/>
      <c r="NG66" s="18"/>
      <c r="NH66" s="18"/>
      <c r="NI66" s="18"/>
      <c r="NJ66" s="18"/>
      <c r="NK66" s="18"/>
      <c r="NL66" s="18"/>
      <c r="NM66" s="18"/>
      <c r="NN66" s="18"/>
      <c r="NO66" s="18"/>
      <c r="NP66" s="18"/>
      <c r="NQ66" s="18"/>
      <c r="NR66" s="18"/>
      <c r="NS66" s="18"/>
      <c r="NT66" s="18"/>
      <c r="NU66" s="18"/>
      <c r="NV66" s="18"/>
      <c r="NW66" s="18"/>
      <c r="NX66" s="18"/>
      <c r="NY66" s="18"/>
      <c r="NZ66" s="18"/>
      <c r="OA66" s="18"/>
      <c r="OB66" s="18"/>
      <c r="OC66" s="18"/>
      <c r="OD66" s="18"/>
      <c r="OE66" s="18"/>
      <c r="OF66" s="18"/>
      <c r="OG66" s="18"/>
      <c r="OH66" s="18"/>
      <c r="OI66" s="18"/>
      <c r="OJ66" s="18"/>
      <c r="OK66" s="18"/>
      <c r="OL66" s="18"/>
      <c r="OM66" s="18"/>
      <c r="ON66" s="18"/>
      <c r="OO66" s="18"/>
      <c r="OP66" s="18"/>
      <c r="OQ66" s="18"/>
      <c r="OR66" s="18"/>
      <c r="OS66" s="18"/>
      <c r="OT66" s="18"/>
      <c r="OU66" s="18"/>
      <c r="OV66" s="18"/>
      <c r="OW66" s="18"/>
      <c r="OX66" s="18"/>
      <c r="OY66" s="18"/>
      <c r="OZ66" s="18"/>
      <c r="PA66" s="18"/>
      <c r="PB66" s="18"/>
      <c r="PC66" s="18"/>
      <c r="PD66" s="18"/>
      <c r="PE66" s="18"/>
      <c r="PF66" s="18"/>
      <c r="PG66" s="18"/>
      <c r="PH66" s="18"/>
      <c r="PI66" s="18"/>
      <c r="PJ66" s="18"/>
      <c r="PK66" s="18"/>
      <c r="PL66" s="18"/>
      <c r="PM66" s="18"/>
      <c r="PN66" s="18"/>
      <c r="PO66" s="18"/>
      <c r="PP66" s="18"/>
      <c r="PQ66" s="18"/>
      <c r="PR66" s="18"/>
      <c r="PS66" s="18"/>
      <c r="PT66" s="18"/>
      <c r="PU66" s="18"/>
      <c r="PV66" s="18"/>
      <c r="PW66" s="18"/>
      <c r="PX66" s="18"/>
      <c r="PY66" s="18"/>
      <c r="PZ66" s="18"/>
      <c r="QA66" s="18"/>
      <c r="QB66" s="18"/>
      <c r="QC66" s="18"/>
      <c r="QD66" s="18"/>
      <c r="QE66" s="18"/>
      <c r="QF66" s="18"/>
      <c r="QG66" s="18"/>
      <c r="QH66" s="18"/>
      <c r="QI66" s="18"/>
      <c r="QJ66" s="18"/>
      <c r="QK66" s="18"/>
      <c r="QL66" s="18"/>
      <c r="QM66" s="18"/>
      <c r="QN66" s="18"/>
      <c r="QO66" s="18"/>
      <c r="QP66" s="18"/>
      <c r="QQ66" s="18"/>
      <c r="QR66" s="18"/>
      <c r="QS66" s="18"/>
      <c r="QT66" s="18"/>
      <c r="QU66" s="18"/>
      <c r="QV66" s="18"/>
      <c r="QW66" s="18"/>
      <c r="QX66" s="18"/>
      <c r="QY66" s="18"/>
      <c r="QZ66" s="18"/>
      <c r="RA66" s="18"/>
      <c r="RB66" s="18"/>
      <c r="RC66" s="18"/>
      <c r="RD66" s="18"/>
      <c r="RE66" s="18"/>
      <c r="RF66" s="18"/>
      <c r="RG66" s="18"/>
      <c r="RH66" s="18"/>
      <c r="RI66" s="18"/>
      <c r="RJ66" s="18"/>
      <c r="RK66" s="18"/>
      <c r="RL66" s="18"/>
      <c r="RM66" s="18"/>
      <c r="RN66" s="18"/>
      <c r="RO66" s="18"/>
      <c r="RP66" s="18"/>
      <c r="RQ66" s="18"/>
      <c r="RR66" s="18"/>
      <c r="RS66" s="18"/>
      <c r="RT66" s="18"/>
      <c r="RU66" s="18"/>
      <c r="RV66" s="18"/>
      <c r="RW66" s="18"/>
      <c r="RX66" s="18"/>
      <c r="RY66" s="18"/>
      <c r="RZ66" s="18"/>
      <c r="SA66" s="18"/>
      <c r="SB66" s="18"/>
      <c r="SC66" s="18"/>
      <c r="SD66" s="18"/>
      <c r="SE66" s="18"/>
      <c r="SF66" s="18"/>
      <c r="SG66" s="18"/>
      <c r="SH66" s="18"/>
      <c r="SI66" s="18"/>
      <c r="SJ66" s="18"/>
      <c r="SK66" s="18"/>
      <c r="SL66" s="18"/>
      <c r="SM66" s="18"/>
      <c r="SN66" s="18"/>
      <c r="SO66" s="18"/>
      <c r="SP66" s="18"/>
      <c r="SQ66" s="18"/>
      <c r="SR66" s="18"/>
      <c r="SS66" s="18"/>
      <c r="ST66" s="18"/>
      <c r="SU66" s="18"/>
      <c r="SV66" s="18"/>
      <c r="SW66" s="18"/>
      <c r="SX66" s="18"/>
      <c r="SY66" s="18"/>
      <c r="SZ66" s="18"/>
      <c r="TA66" s="18"/>
      <c r="TB66" s="18"/>
      <c r="TC66" s="18"/>
      <c r="TD66" s="18"/>
      <c r="TE66" s="18"/>
      <c r="TF66" s="18"/>
      <c r="TG66" s="18"/>
      <c r="TH66" s="18"/>
      <c r="TI66" s="18"/>
      <c r="TJ66" s="18"/>
      <c r="TK66" s="18"/>
      <c r="TL66" s="18"/>
      <c r="TM66" s="18"/>
      <c r="TN66" s="18"/>
      <c r="TO66" s="18"/>
      <c r="TP66" s="18"/>
      <c r="TQ66" s="18"/>
      <c r="TR66" s="18"/>
      <c r="TS66" s="18"/>
      <c r="TT66" s="18"/>
      <c r="TU66" s="18"/>
      <c r="TV66" s="18"/>
      <c r="TW66" s="18"/>
      <c r="TX66" s="18"/>
      <c r="TY66" s="18"/>
      <c r="TZ66" s="18"/>
      <c r="UA66" s="18"/>
      <c r="UB66" s="18"/>
      <c r="UC66" s="18"/>
      <c r="UD66" s="18"/>
      <c r="UE66" s="18"/>
      <c r="UF66" s="18"/>
      <c r="UG66" s="18"/>
      <c r="UH66" s="18"/>
      <c r="UI66" s="18"/>
      <c r="UJ66" s="18"/>
      <c r="UK66" s="18"/>
      <c r="UL66" s="18"/>
      <c r="UM66" s="18"/>
      <c r="UN66" s="18"/>
      <c r="UO66" s="18"/>
      <c r="UP66" s="18"/>
      <c r="UQ66" s="18"/>
      <c r="UR66" s="18"/>
      <c r="US66" s="18"/>
      <c r="UT66" s="18"/>
      <c r="UU66" s="18"/>
      <c r="UV66" s="18"/>
      <c r="UW66" s="18"/>
      <c r="UX66" s="18"/>
      <c r="UY66" s="18"/>
      <c r="UZ66" s="18"/>
      <c r="VA66" s="18"/>
      <c r="VB66" s="18"/>
      <c r="VC66" s="18"/>
      <c r="VD66" s="18"/>
      <c r="VE66" s="18"/>
      <c r="VF66" s="18"/>
      <c r="VG66" s="18"/>
      <c r="VH66" s="18"/>
      <c r="VI66" s="18"/>
      <c r="VJ66" s="18"/>
      <c r="VK66" s="18"/>
      <c r="VL66" s="18"/>
      <c r="VM66" s="18"/>
      <c r="VN66" s="18"/>
      <c r="VO66" s="18"/>
      <c r="VP66" s="18"/>
      <c r="VQ66" s="18"/>
      <c r="VR66" s="18"/>
      <c r="VS66" s="18"/>
      <c r="VT66" s="18"/>
      <c r="VU66" s="18"/>
      <c r="VV66" s="18"/>
      <c r="VW66" s="18"/>
      <c r="VX66" s="18"/>
      <c r="VY66" s="18"/>
      <c r="VZ66" s="18"/>
      <c r="WA66" s="18"/>
      <c r="WB66" s="18"/>
      <c r="WC66" s="18"/>
      <c r="WD66" s="18"/>
      <c r="WE66" s="18"/>
      <c r="WF66" s="18"/>
      <c r="WG66" s="18"/>
      <c r="WH66" s="18"/>
      <c r="WI66" s="18"/>
      <c r="WJ66" s="18"/>
      <c r="WK66" s="18"/>
      <c r="WL66" s="18"/>
      <c r="WM66" s="18"/>
      <c r="WN66" s="18"/>
      <c r="WO66" s="18"/>
      <c r="WP66" s="18"/>
      <c r="WQ66" s="18"/>
      <c r="WR66" s="18"/>
      <c r="WS66" s="18"/>
      <c r="WT66" s="18"/>
      <c r="WU66" s="18"/>
      <c r="WV66" s="18"/>
      <c r="WW66" s="18"/>
      <c r="WX66" s="18"/>
      <c r="WY66" s="18"/>
      <c r="WZ66" s="18"/>
      <c r="XA66" s="18"/>
      <c r="XB66" s="18"/>
      <c r="XC66" s="18"/>
      <c r="XD66" s="18"/>
      <c r="XE66" s="18"/>
      <c r="XF66" s="18"/>
      <c r="XG66" s="18"/>
      <c r="XH66" s="18"/>
      <c r="XI66" s="18"/>
      <c r="XJ66" s="18"/>
      <c r="XK66" s="18"/>
      <c r="XL66" s="18"/>
      <c r="XM66" s="18"/>
      <c r="XN66" s="18"/>
      <c r="XO66" s="18"/>
      <c r="XP66" s="18"/>
      <c r="XQ66" s="18"/>
      <c r="XR66" s="18"/>
      <c r="XS66" s="18"/>
      <c r="XT66" s="18"/>
      <c r="XU66" s="18"/>
      <c r="XV66" s="18"/>
      <c r="XW66" s="18"/>
      <c r="XX66" s="18"/>
      <c r="XY66" s="18"/>
      <c r="XZ66" s="18"/>
      <c r="YA66" s="18"/>
      <c r="YB66" s="18"/>
      <c r="YC66" s="18"/>
      <c r="YD66" s="18"/>
      <c r="YE66" s="18"/>
      <c r="YF66" s="18"/>
      <c r="YG66" s="18"/>
      <c r="YH66" s="18"/>
      <c r="YI66" s="18"/>
      <c r="YJ66" s="18"/>
      <c r="YK66" s="18"/>
      <c r="YL66" s="18"/>
      <c r="YM66" s="18"/>
      <c r="YN66" s="18"/>
      <c r="YO66" s="18"/>
      <c r="YP66" s="18"/>
      <c r="YQ66" s="18"/>
      <c r="YR66" s="18"/>
      <c r="YS66" s="18"/>
      <c r="YT66" s="18"/>
      <c r="YU66" s="18"/>
      <c r="YV66" s="18"/>
      <c r="YW66" s="18"/>
      <c r="YX66" s="18"/>
      <c r="YY66" s="18"/>
      <c r="YZ66" s="18"/>
      <c r="ZA66" s="18"/>
      <c r="ZB66" s="18"/>
      <c r="ZC66" s="18"/>
      <c r="ZD66" s="18"/>
      <c r="ZE66" s="18"/>
      <c r="ZF66" s="18"/>
      <c r="ZG66" s="18"/>
      <c r="ZH66" s="18"/>
      <c r="ZI66" s="18"/>
      <c r="ZJ66" s="18"/>
      <c r="ZK66" s="18"/>
      <c r="ZL66" s="18"/>
      <c r="ZM66" s="18"/>
      <c r="ZN66" s="18"/>
      <c r="ZO66" s="18"/>
      <c r="ZP66" s="18"/>
      <c r="ZQ66" s="18"/>
      <c r="ZR66" s="18"/>
      <c r="ZS66" s="18"/>
      <c r="ZT66" s="18"/>
      <c r="ZU66" s="18"/>
      <c r="ZV66" s="18"/>
      <c r="ZW66" s="18"/>
      <c r="ZX66" s="18"/>
      <c r="ZY66" s="18"/>
      <c r="ZZ66" s="18"/>
      <c r="AAA66" s="18"/>
      <c r="AAB66" s="18"/>
      <c r="AAC66" s="18"/>
      <c r="AAD66" s="18"/>
      <c r="AAE66" s="18"/>
      <c r="AAF66" s="18"/>
      <c r="AAG66" s="18"/>
      <c r="AAH66" s="18"/>
      <c r="AAI66" s="18"/>
      <c r="AAJ66" s="18"/>
      <c r="AAK66" s="18"/>
      <c r="AAL66" s="18"/>
      <c r="AAM66" s="18"/>
      <c r="AAN66" s="18"/>
      <c r="AAO66" s="18"/>
      <c r="AAP66" s="18"/>
      <c r="AAQ66" s="18"/>
      <c r="AAR66" s="18"/>
      <c r="AAS66" s="18"/>
      <c r="AAT66" s="18"/>
      <c r="AAU66" s="18"/>
      <c r="AAV66" s="18"/>
      <c r="AAW66" s="18"/>
      <c r="AAX66" s="18"/>
      <c r="AAY66" s="18"/>
      <c r="AAZ66" s="18"/>
      <c r="ABA66" s="18"/>
      <c r="ABB66" s="18"/>
      <c r="ABC66" s="18"/>
      <c r="ABD66" s="18"/>
      <c r="ABE66" s="18"/>
      <c r="ABF66" s="18"/>
      <c r="ABG66" s="18"/>
      <c r="ABH66" s="18"/>
      <c r="ABI66" s="18"/>
      <c r="ABJ66" s="18"/>
      <c r="ABK66" s="18"/>
      <c r="ABL66" s="18"/>
      <c r="ABM66" s="18"/>
      <c r="ABN66" s="18"/>
      <c r="ABO66" s="18"/>
      <c r="ABP66" s="18"/>
      <c r="ABQ66" s="18"/>
      <c r="ABR66" s="18"/>
      <c r="ABS66" s="18"/>
      <c r="ABT66" s="18"/>
      <c r="ABU66" s="18"/>
      <c r="ABV66" s="18"/>
      <c r="ABW66" s="18"/>
      <c r="ABX66" s="18"/>
      <c r="ABY66" s="18"/>
      <c r="ABZ66" s="18"/>
      <c r="ACA66" s="18"/>
      <c r="ACB66" s="18"/>
      <c r="ACC66" s="18"/>
      <c r="ACD66" s="18"/>
      <c r="ACE66" s="18"/>
      <c r="ACF66" s="18"/>
      <c r="ACG66" s="18"/>
      <c r="ACH66" s="18"/>
      <c r="ACI66" s="18"/>
      <c r="ACJ66" s="18"/>
      <c r="ACK66" s="18"/>
      <c r="ACL66" s="18"/>
      <c r="ACM66" s="18"/>
      <c r="ACN66" s="18"/>
      <c r="ACO66" s="18"/>
      <c r="ACP66" s="18"/>
      <c r="ACQ66" s="18"/>
      <c r="ACR66" s="18"/>
      <c r="ACS66" s="18"/>
      <c r="ACT66" s="18"/>
      <c r="ACU66" s="18"/>
      <c r="ACV66" s="18"/>
      <c r="ACW66" s="18"/>
      <c r="ACX66" s="18"/>
      <c r="ACY66" s="18"/>
      <c r="ACZ66" s="18"/>
      <c r="ADA66" s="18"/>
      <c r="ADB66" s="18"/>
      <c r="ADC66" s="18"/>
      <c r="ADD66" s="18"/>
      <c r="ADE66" s="18"/>
      <c r="ADF66" s="18"/>
      <c r="ADG66" s="18"/>
      <c r="ADH66" s="18"/>
      <c r="ADI66" s="18"/>
      <c r="ADJ66" s="18"/>
      <c r="ADK66" s="18"/>
      <c r="ADL66" s="18"/>
      <c r="ADM66" s="18"/>
      <c r="ADN66" s="18"/>
      <c r="ADO66" s="18"/>
      <c r="ADP66" s="18"/>
      <c r="ADQ66" s="18"/>
      <c r="ADR66" s="18"/>
      <c r="ADS66" s="18"/>
      <c r="ADT66" s="18"/>
      <c r="ADU66" s="18"/>
      <c r="ADV66" s="18"/>
      <c r="ADW66" s="18"/>
      <c r="ADX66" s="18"/>
      <c r="ADY66" s="18"/>
      <c r="ADZ66" s="18"/>
      <c r="AEA66" s="18"/>
      <c r="AEB66" s="18"/>
      <c r="AEC66" s="18"/>
      <c r="AED66" s="18"/>
      <c r="AEE66" s="18"/>
      <c r="AEF66" s="18"/>
      <c r="AEG66" s="18"/>
      <c r="AEH66" s="18"/>
      <c r="AEI66" s="18"/>
      <c r="AEJ66" s="18"/>
      <c r="AEK66" s="18"/>
      <c r="AEL66" s="18"/>
      <c r="AEM66" s="18"/>
      <c r="AEN66" s="18"/>
      <c r="AEO66" s="18"/>
      <c r="AEP66" s="18"/>
      <c r="AEQ66" s="18"/>
      <c r="AER66" s="18"/>
      <c r="AES66" s="18"/>
      <c r="AET66" s="18"/>
      <c r="AEU66" s="18"/>
      <c r="AEV66" s="18"/>
      <c r="AEW66" s="18"/>
      <c r="AEX66" s="18"/>
      <c r="AEY66" s="18"/>
      <c r="AEZ66" s="18"/>
      <c r="AFA66" s="18"/>
      <c r="AFB66" s="18"/>
      <c r="AFC66" s="18"/>
      <c r="AFD66" s="18"/>
      <c r="AFE66" s="18"/>
      <c r="AFF66" s="18"/>
      <c r="AFG66" s="18"/>
      <c r="AFH66" s="18"/>
      <c r="AFI66" s="18"/>
      <c r="AFJ66" s="18"/>
      <c r="AFK66" s="18"/>
      <c r="AFL66" s="18"/>
      <c r="AFM66" s="18"/>
      <c r="AFN66" s="18"/>
      <c r="AFO66" s="18"/>
      <c r="AFP66" s="18"/>
      <c r="AFQ66" s="18"/>
      <c r="AFR66" s="18"/>
      <c r="AFS66" s="18"/>
      <c r="AFT66" s="18"/>
      <c r="AFU66" s="18"/>
      <c r="AFV66" s="18"/>
      <c r="AFW66" s="18"/>
      <c r="AFX66" s="18"/>
      <c r="AFY66" s="18"/>
      <c r="AFZ66" s="18"/>
      <c r="AGA66" s="18"/>
      <c r="AGB66" s="18"/>
      <c r="AGC66" s="18"/>
      <c r="AGD66" s="18"/>
      <c r="AGE66" s="18"/>
      <c r="AGF66" s="18"/>
      <c r="AGG66" s="18"/>
      <c r="AGH66" s="18"/>
      <c r="AGI66" s="18"/>
      <c r="AGJ66" s="18"/>
      <c r="AGK66" s="18"/>
      <c r="AGL66" s="18"/>
      <c r="AGM66" s="18"/>
      <c r="AGN66" s="18"/>
      <c r="AGO66" s="18"/>
      <c r="AGP66" s="18"/>
      <c r="AGQ66" s="18"/>
      <c r="AGR66" s="18"/>
      <c r="AGS66" s="18"/>
      <c r="AGT66" s="18"/>
      <c r="AGU66" s="18"/>
      <c r="AGV66" s="18"/>
      <c r="AGW66" s="18"/>
      <c r="AGX66" s="18"/>
      <c r="AGY66" s="18"/>
      <c r="AGZ66" s="18"/>
      <c r="AHA66" s="18"/>
      <c r="AHB66" s="18"/>
      <c r="AHC66" s="18"/>
      <c r="AHD66" s="18"/>
      <c r="AHE66" s="18"/>
      <c r="AHF66" s="18"/>
      <c r="AHG66" s="18"/>
      <c r="AHH66" s="18"/>
      <c r="AHI66" s="18"/>
      <c r="AHJ66" s="18"/>
      <c r="AHK66" s="18"/>
      <c r="AHL66" s="18"/>
      <c r="AHM66" s="18"/>
      <c r="AHN66" s="18"/>
      <c r="AHO66" s="18"/>
      <c r="AHP66" s="18"/>
      <c r="AHQ66" s="18"/>
      <c r="AHR66" s="18"/>
      <c r="AHS66" s="18"/>
      <c r="AHT66" s="18"/>
      <c r="AHU66" s="18"/>
      <c r="AHV66" s="18"/>
      <c r="AHW66" s="18"/>
      <c r="AHX66" s="18"/>
      <c r="AHY66" s="18"/>
      <c r="AHZ66" s="18"/>
      <c r="AIA66" s="18"/>
      <c r="AIB66" s="18"/>
      <c r="AIC66" s="18"/>
      <c r="AID66" s="18"/>
      <c r="AIE66" s="18"/>
      <c r="AIF66" s="18"/>
      <c r="AIG66" s="18"/>
      <c r="AIH66" s="18"/>
      <c r="AII66" s="18"/>
      <c r="AIJ66" s="18"/>
      <c r="AIK66" s="18"/>
      <c r="AIL66" s="18"/>
      <c r="AIM66" s="18"/>
      <c r="AIN66" s="18"/>
      <c r="AIO66" s="18"/>
      <c r="AIP66" s="18"/>
      <c r="AIQ66" s="18"/>
      <c r="AIR66" s="18"/>
      <c r="AIS66" s="18"/>
      <c r="AIT66" s="18"/>
      <c r="AIU66" s="18"/>
      <c r="AIV66" s="18"/>
      <c r="AIW66" s="18"/>
      <c r="AIX66" s="18"/>
      <c r="AIY66" s="18"/>
      <c r="AIZ66" s="18"/>
      <c r="AJA66" s="18"/>
      <c r="AJB66" s="18"/>
      <c r="AJC66" s="18"/>
      <c r="AJD66" s="18"/>
      <c r="AJE66" s="18"/>
      <c r="AJF66" s="18"/>
      <c r="AJG66" s="18"/>
      <c r="AJH66" s="18"/>
      <c r="AJI66" s="18"/>
      <c r="AJJ66" s="18"/>
      <c r="AJK66" s="18"/>
      <c r="AJL66" s="18"/>
      <c r="AJM66" s="18"/>
      <c r="AJN66" s="18"/>
      <c r="AJO66" s="18"/>
      <c r="AJP66" s="18"/>
      <c r="AJQ66" s="18"/>
      <c r="AJR66" s="18"/>
      <c r="AJS66" s="18"/>
      <c r="AJT66" s="18"/>
      <c r="AJU66" s="18"/>
      <c r="AJV66" s="18"/>
      <c r="AJW66" s="18"/>
      <c r="AJX66" s="18"/>
      <c r="AJY66" s="18"/>
      <c r="AJZ66" s="18"/>
      <c r="AKA66" s="18"/>
      <c r="AKB66" s="18"/>
      <c r="AKC66" s="18"/>
      <c r="AKD66" s="18"/>
      <c r="AKE66" s="18"/>
      <c r="AKF66" s="18"/>
      <c r="AKG66" s="18"/>
      <c r="AKH66" s="18"/>
      <c r="AKI66" s="18"/>
      <c r="AKJ66" s="18"/>
      <c r="AKK66" s="18"/>
      <c r="AKL66" s="18"/>
      <c r="AKM66" s="18"/>
      <c r="AKN66" s="18"/>
      <c r="AKO66" s="18"/>
      <c r="AKP66" s="18"/>
      <c r="AKQ66" s="18"/>
      <c r="AKR66" s="18"/>
      <c r="AKS66" s="18"/>
      <c r="AKT66" s="18"/>
      <c r="AKU66" s="18"/>
      <c r="AKV66" s="18"/>
      <c r="AKW66" s="18"/>
      <c r="AKX66" s="18"/>
      <c r="AKY66" s="18"/>
      <c r="AKZ66" s="18"/>
      <c r="ALA66" s="18"/>
      <c r="ALB66" s="18"/>
      <c r="ALC66" s="18"/>
      <c r="ALD66" s="18"/>
      <c r="ALE66" s="18"/>
      <c r="ALF66" s="18"/>
      <c r="ALG66" s="18"/>
      <c r="ALH66" s="18"/>
      <c r="ALI66" s="18"/>
      <c r="ALJ66" s="18"/>
      <c r="ALK66" s="18"/>
      <c r="ALL66" s="18"/>
      <c r="ALM66" s="18"/>
      <c r="ALN66" s="18"/>
      <c r="ALO66" s="18"/>
      <c r="ALP66" s="18"/>
      <c r="ALQ66" s="18"/>
      <c r="ALR66" s="18"/>
      <c r="ALS66" s="18"/>
      <c r="ALT66" s="18"/>
      <c r="ALU66" s="18"/>
      <c r="ALV66" s="18"/>
      <c r="ALW66" s="18"/>
      <c r="ALX66" s="18"/>
      <c r="ALY66" s="18"/>
      <c r="ALZ66" s="18"/>
      <c r="AMA66" s="18"/>
      <c r="AMB66" s="18"/>
      <c r="AMC66" s="18"/>
      <c r="AMD66" s="18"/>
      <c r="AME66" s="18"/>
      <c r="AMF66" s="18"/>
      <c r="AMG66" s="18"/>
      <c r="AMH66" s="18"/>
      <c r="AMI66" s="18"/>
      <c r="AMJ66" s="18"/>
    </row>
    <row r="67" s="18" customFormat="true" ht="13.8" hidden="false" customHeight="false" outlineLevel="0" collapsed="false">
      <c r="A67" s="18" t="s">
        <v>430</v>
      </c>
      <c r="B67" s="18" t="s">
        <v>431</v>
      </c>
      <c r="C67" s="1" t="n">
        <v>471</v>
      </c>
      <c r="E67" s="18" t="n">
        <v>470</v>
      </c>
      <c r="F67" s="18" t="s">
        <v>89</v>
      </c>
      <c r="G67" s="18" t="s">
        <v>147</v>
      </c>
      <c r="H67" s="18" t="s">
        <v>152</v>
      </c>
      <c r="I67" s="18" t="s">
        <v>153</v>
      </c>
      <c r="J67" s="18" t="n">
        <v>1994</v>
      </c>
      <c r="K67" s="18" t="n">
        <v>1965</v>
      </c>
      <c r="N67" s="18" t="n">
        <v>1750</v>
      </c>
      <c r="O67" s="2"/>
      <c r="P67" s="3"/>
      <c r="Q67" s="3"/>
      <c r="R67" s="3"/>
      <c r="S67" s="3"/>
      <c r="T67" s="3"/>
      <c r="U67" s="3"/>
      <c r="V67" s="3"/>
      <c r="W67" s="18" t="n">
        <v>105</v>
      </c>
      <c r="X67" s="2"/>
      <c r="Z67" s="18" t="n">
        <v>247</v>
      </c>
      <c r="AA67" s="4" t="n">
        <f aca="false">IF(AND(W67&gt;0,Z67&gt;0),(Z67/((W67+X67)*10)),"")</f>
        <v>0.235238095238095</v>
      </c>
      <c r="AB67" s="18" t="n">
        <v>90</v>
      </c>
      <c r="AC67" s="18" t="n">
        <f aca="false">ROUND(AB67*1.6, 0)</f>
        <v>144</v>
      </c>
      <c r="AF67" s="18" t="n">
        <v>18.75</v>
      </c>
      <c r="AG67" s="18" t="n">
        <v>18.75</v>
      </c>
      <c r="AH67" s="18" t="n">
        <v>2.71</v>
      </c>
      <c r="AI67" s="18" t="n">
        <v>3.89</v>
      </c>
      <c r="AJ67" s="5" t="n">
        <v>0</v>
      </c>
      <c r="AK67" s="19" t="str">
        <f aca="false">CONCATENATE(VLOOKUP(AL67, 'Voxel Sizes'!$A$2:$B$18,2,FALSE()),"x",INT(AH67*15), "x", INT(AI67*15))</f>
        <v>186x40x58</v>
      </c>
      <c r="AL67" s="18" t="n">
        <f aca="false">ROUND(15*((AG67*10)/256),0)</f>
        <v>11</v>
      </c>
      <c r="AN67" s="1" t="str">
        <f aca="false">CONCATENATE(VLOOKUP(AL67,Constants!$A$2:$C$16,IF(AM67&lt;&gt;"", 3, 2), FALSE()),IF(AM67&lt;&gt;"",CONCATENATE(",",VLOOKUP(AM67,$B:$AN,38,FALSE())),""))</f>
        <v>4,3,4</v>
      </c>
      <c r="AP67" s="35"/>
      <c r="AQ67" s="35"/>
      <c r="AX67" s="18" t="n">
        <v>40</v>
      </c>
      <c r="AY67" s="6" t="str">
        <f aca="false">IF(L67&lt;&gt;"",MAX(16,(L67-J67)+8),"")</f>
        <v/>
      </c>
      <c r="BA67" s="18" t="n">
        <v>-30</v>
      </c>
      <c r="BB67" s="18" t="n">
        <f aca="false">MIN(AB67/150, 1)*30</f>
        <v>18</v>
      </c>
      <c r="BC67" s="18" t="n">
        <f aca="false">MIN(N67/4000, 1)*20</f>
        <v>8.75</v>
      </c>
      <c r="BD67" s="18" t="n">
        <f aca="false">MIN(Z67/400,1)*20</f>
        <v>12.35</v>
      </c>
      <c r="BE67" s="4" t="n">
        <f aca="false">1-(MAX(J67-1900, 0)/750)</f>
        <v>0.874666666666667</v>
      </c>
      <c r="BF67" s="18" t="n">
        <f aca="false">((MAX($M67,1)*MIN($AJ67/300,1)))*IF(G67="Wagon",50,10)</f>
        <v>0</v>
      </c>
      <c r="BG67" s="1" t="n">
        <f aca="false">VLOOKUP($H67,Constants!$I:$K, 2, FALSE())</f>
        <v>1</v>
      </c>
      <c r="BH67" s="1" t="n">
        <f aca="false">VLOOKUP($H67,Constants!$I:$K, 3, FALSE())*IF(AND(G67="multiple_unit",AB67&lt;110),0.75,1)</f>
        <v>2</v>
      </c>
      <c r="BI67" s="1" t="n">
        <f aca="false">INT(POWER(((Constants!$G$2+$BB67+$BC67+$BD67+$BF67)*$BE67)*$BH67, 1.05))+$BA67</f>
        <v>65</v>
      </c>
      <c r="BJ67" s="1" t="n">
        <f aca="false">INT(POWER((((Constants!$G$1+$BB67+$BC67+$BD67+$BF67)*($BE67))*$BG67),IF($G67="wagon",1,1.2)))+$AZ67</f>
        <v>102</v>
      </c>
      <c r="BK67" s="20" t="n">
        <f aca="false">BI67*IF($G67="wagon",62.5,781.25)</f>
        <v>50781.25</v>
      </c>
      <c r="BL67" s="20" t="n">
        <f aca="false">BJ67*IF($G67="wagon",2.73,81.25)</f>
        <v>8287.5</v>
      </c>
      <c r="BT67" s="18" t="n">
        <v>1</v>
      </c>
      <c r="BY67" s="18" t="s">
        <v>244</v>
      </c>
      <c r="BZ67" s="18" t="s">
        <v>376</v>
      </c>
      <c r="CA67" s="18" t="str">
        <f aca="false">CONCATENATE(BY67,"_",BZ67)</f>
        <v>lbr_Freight</v>
      </c>
      <c r="CB67" s="18" t="str">
        <f aca="false">_xlfn.CONCAT(H67, "_",I67)</f>
        <v>diesel_RAIL</v>
      </c>
      <c r="CC67" s="21" t="str">
        <f aca="false">_xlfn.CONCAT("{BLACK}Length: {GOLD}", TEXT(ROUNDUP(IF(AQ67&lt;&gt;"",SUM(VALUE(_xlfn.TEXTSPLIT(AQ67, ","))), SUM(VALUE(_xlfn.TEXTSPLIT(AN67, ",")))*IF(M67, M67, 1))/16, 1), "#,##0.0"), " tiles{}")</f>
        <v>{BLACK}Length: {GOLD}0.7 tiles{}</v>
      </c>
      <c r="CD67" s="1" t="str">
        <f aca="false">VLOOKUP($CB67, Constants!$M:$N, 2, FALSE())</f>
        <v>{BLACK}Powered by: {GOLD}Diesel</v>
      </c>
      <c r="CE67" s="1" t="str">
        <f aca="false">IF(M67&gt;1,_xlfn.CONCAT("{BLACK}Cars: {GOLD}", M67),"")</f>
        <v/>
      </c>
      <c r="CF67" s="18" t="s">
        <v>432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
      </c>
      <c r="CH67" s="1" t="str">
        <f aca="false">_xlfn.CONCAT(CD67,IF(CD67 &lt;&gt; "", " ", ""),CE67,IF(OR(CE67&lt;&gt;"", CD67&lt;&gt;""), "{}",""), CC67, CG67,"{SILVER}", CF67)</f>
        <v>{BLACK}Powered by: {GOLD}Diesel {}{BLACK}Length: {GOLD}0.7 tiles{}{SILVER}Originally to power the “Nightstar” european sleeper services away from electrified lines, this sub-class of 12 locomotives mostly saw use as rescue and freight locomotives with other operators.</v>
      </c>
    </row>
    <row r="68" customFormat="false" ht="13.8" hidden="false" customHeight="false" outlineLevel="0" collapsed="false">
      <c r="A68" s="18" t="s">
        <v>433</v>
      </c>
      <c r="B68" s="18" t="s">
        <v>434</v>
      </c>
      <c r="C68" s="1" t="n">
        <v>579</v>
      </c>
      <c r="D68" s="1" t="n">
        <v>580</v>
      </c>
      <c r="E68" s="1" t="n">
        <v>476</v>
      </c>
      <c r="F68" s="1" t="s">
        <v>89</v>
      </c>
      <c r="G68" s="1" t="s">
        <v>435</v>
      </c>
      <c r="H68" s="1" t="s">
        <v>152</v>
      </c>
      <c r="I68" s="1" t="s">
        <v>153</v>
      </c>
      <c r="J68" s="1" t="n">
        <v>1999</v>
      </c>
      <c r="M68" s="1" t="n">
        <v>1</v>
      </c>
      <c r="N68" s="1" t="n">
        <v>710</v>
      </c>
      <c r="W68" s="1" t="n">
        <v>34</v>
      </c>
      <c r="Y68" s="1" t="n">
        <v>4</v>
      </c>
      <c r="Z68" s="1" t="n">
        <v>106</v>
      </c>
      <c r="AA68" s="4" t="n">
        <f aca="false">IF(AND(W68&gt;0,Z68&gt;0),(Z68/((W68+X68)*10)),"")</f>
        <v>0.311764705882353</v>
      </c>
      <c r="AB68" s="1" t="n">
        <v>75</v>
      </c>
      <c r="AC68" s="1" t="n">
        <f aca="false">ROUND(AB68*1.6, 0)</f>
        <v>120</v>
      </c>
      <c r="AF68" s="1" t="n">
        <v>20.2</v>
      </c>
      <c r="AG68" s="1" t="n">
        <v>20</v>
      </c>
      <c r="AH68" s="1" t="n">
        <v>2.82</v>
      </c>
      <c r="AI68" s="1" t="n">
        <v>3.97</v>
      </c>
      <c r="AJ68" s="5" t="n">
        <v>40</v>
      </c>
      <c r="AK68" s="19" t="str">
        <f aca="false">CONCATENATE(VLOOKUP(AL68, 'Voxel Sizes'!$A$2:$B$18,2,FALSE()),"x",INT(AH68*15), "x", INT(AI68*15))</f>
        <v>198x42x59</v>
      </c>
      <c r="AL68" s="1" t="n">
        <f aca="false">ROUND(15*((AG68*10)/256),0)</f>
        <v>12</v>
      </c>
      <c r="AN68" s="1" t="str">
        <f aca="false">CONCATENATE(VLOOKUP(AL68,Constants!$A$2:$C$16,IF(AM68&lt;&gt;"", 3, 2), FALSE()),IF(AM68&lt;&gt;"",CONCATENATE(",",VLOOKUP(AM68,$B:$AN,38,FALSE())),""))</f>
        <v>4,4,4</v>
      </c>
      <c r="AO68" s="1" t="n">
        <v>0</v>
      </c>
      <c r="AR68" s="1" t="s">
        <v>436</v>
      </c>
      <c r="AT68" s="1" t="s">
        <v>113</v>
      </c>
      <c r="AU68" s="1" t="s">
        <v>436</v>
      </c>
      <c r="AX68" s="1" t="n">
        <v>35</v>
      </c>
      <c r="AY68" s="6" t="str">
        <f aca="false">IF(L68&lt;&gt;"",MAX(16,(L68-J68)+8),"")</f>
        <v/>
      </c>
      <c r="BB68" s="1" t="n">
        <f aca="false">MIN(AB68/150, 1)*30</f>
        <v>15</v>
      </c>
      <c r="BC68" s="1" t="n">
        <f aca="false">MIN(N68/4000, 1)*20</f>
        <v>3.55</v>
      </c>
      <c r="BD68" s="1" t="n">
        <f aca="false">MIN(Z68/400,1)*20</f>
        <v>5.3</v>
      </c>
      <c r="BE68" s="4" t="n">
        <f aca="false">1-(MAX(J68-1900, 0)/750)</f>
        <v>0.868</v>
      </c>
      <c r="BF68" s="1" t="n">
        <f aca="false">((MAX($M68,1)*MIN($AJ68/300,1)))*IF(G68="Wagon",50,10)</f>
        <v>1.33333333333333</v>
      </c>
      <c r="BG68" s="1" t="n">
        <f aca="false">VLOOKUP($H68,Constants!$I:$K, 2, FALSE())</f>
        <v>1</v>
      </c>
      <c r="BH68" s="1" t="n">
        <f aca="false">VLOOKUP($H68,Constants!$I:$K, 3, FALSE())*IF(AND(G68="multiple_unit",AB68&lt;110),0.75,1)</f>
        <v>2</v>
      </c>
      <c r="BI68" s="1" t="n">
        <f aca="false">INT(POWER(((Constants!$G$2+$BB68+$BC68+$BD68+$BF68)*$BE68)*$BH68, 1.05))+$BA68</f>
        <v>63</v>
      </c>
      <c r="BJ68" s="1" t="n">
        <f aca="false">INT(POWER((((Constants!$G$1+$BB68+$BC68+$BD68+$BF68)*($BE68))*$BG68),IF($G68="wagon",1,1.2)))+$AZ68</f>
        <v>70</v>
      </c>
      <c r="BK68" s="20" t="n">
        <f aca="false">BI68*IF($G68="wagon",62.5,781.25)</f>
        <v>49218.75</v>
      </c>
      <c r="BL68" s="20" t="n">
        <f aca="false">BJ68*IF($G68="wagon",2.73,81.25)</f>
        <v>5687.5</v>
      </c>
      <c r="BT68" s="1" t="n">
        <v>6</v>
      </c>
      <c r="BU68" s="1" t="n">
        <v>185</v>
      </c>
      <c r="BV68" s="1" t="s">
        <v>437</v>
      </c>
      <c r="BX68" s="1" t="s">
        <v>438</v>
      </c>
      <c r="BY68" s="1" t="s">
        <v>439</v>
      </c>
      <c r="BZ68" s="18" t="s">
        <v>376</v>
      </c>
      <c r="CA68" s="1" t="str">
        <f aca="false">CONCATENATE(BY68,"_",BZ68)</f>
        <v>prv_Freight</v>
      </c>
      <c r="CB68" s="1" t="str">
        <f aca="false">_xlfn.CONCAT(H68, "_",I68)</f>
        <v>diesel_RAIL</v>
      </c>
      <c r="CC68" s="21" t="str">
        <f aca="false">_xlfn.CONCAT("{BLACK}Length: {GOLD}", TEXT(ROUNDUP(IF(AQ68&lt;&gt;"",SUM(VALUE(_xlfn.TEXTSPLIT(AQ68, ","))), SUM(VALUE(_xlfn.TEXTSPLIT(AN68, ",")))*IF(M68, M68, 1))/16, 1), "#,##0.0"), " tiles{}")</f>
        <v>{BLACK}Length: {GOLD}0.8 tiles{}</v>
      </c>
      <c r="CD68" s="1" t="str">
        <f aca="false">VLOOKUP($CB68, Constants!$M:$N, 2, FALSE())</f>
        <v>{BLACK}Powered by: {GOLD}Diesel</v>
      </c>
      <c r="CE68" s="1" t="str">
        <f aca="false">IF(M68&gt;1,_xlfn.CONCAT("{BLACK}Cars: {GOLD}", M68),"")</f>
        <v/>
      </c>
      <c r="CF68" s="1" t="s">
        <v>440</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{BLACK}Powered by: {GOLD}Diesel {}{BLACK}Length: {GOLD}0.8 tiles{}{SILVER}The Windhoff MPV units were mainly used for Departmental service, notably in the iconic Rail Head Treatment trains, but trials were made in freight service.</v>
      </c>
      <c r="CI68" s="1"/>
      <c r="CJ68" s="1"/>
    </row>
    <row r="69" customFormat="false" ht="13.8" hidden="false" customHeight="false" outlineLevel="0" collapsed="false">
      <c r="A69" s="18" t="s">
        <v>441</v>
      </c>
      <c r="B69" s="18" t="s">
        <v>442</v>
      </c>
      <c r="C69" s="1" t="n">
        <v>580</v>
      </c>
      <c r="E69" s="1" t="n">
        <v>472</v>
      </c>
      <c r="F69" s="1" t="s">
        <v>89</v>
      </c>
      <c r="G69" s="1" t="s">
        <v>435</v>
      </c>
      <c r="H69" s="1" t="s">
        <v>152</v>
      </c>
      <c r="I69" s="1" t="s">
        <v>153</v>
      </c>
      <c r="J69" s="1" t="n">
        <v>1999</v>
      </c>
      <c r="M69" s="1" t="n">
        <v>2</v>
      </c>
      <c r="N69" s="1" t="n">
        <v>710</v>
      </c>
      <c r="W69" s="1" t="n">
        <v>61</v>
      </c>
      <c r="Y69" s="1" t="n">
        <v>4</v>
      </c>
      <c r="Z69" s="1" t="n">
        <v>106</v>
      </c>
      <c r="AA69" s="4" t="n">
        <f aca="false">IF(AND(W69&gt;0,Z69&gt;0),(Z69/((W69+X69)*10)),"")</f>
        <v>0.173770491803279</v>
      </c>
      <c r="AB69" s="1" t="n">
        <v>75</v>
      </c>
      <c r="AC69" s="1" t="n">
        <f aca="false">ROUND(AB69*1.6, 0)</f>
        <v>120</v>
      </c>
      <c r="AF69" s="1" t="n">
        <v>20.2</v>
      </c>
      <c r="AG69" s="1" t="n">
        <v>20</v>
      </c>
      <c r="AH69" s="1" t="n">
        <v>2.82</v>
      </c>
      <c r="AI69" s="1" t="n">
        <v>3.97</v>
      </c>
      <c r="AJ69" s="5" t="n">
        <v>40</v>
      </c>
      <c r="AK69" s="19" t="str">
        <f aca="false">CONCATENATE(VLOOKUP(AL69, 'Voxel Sizes'!$A$2:$B$18,2,FALSE()),"x",INT(AH69*15), "x", INT(AI69*15))</f>
        <v>198x42x59</v>
      </c>
      <c r="AL69" s="1" t="n">
        <f aca="false">ROUND(15*((AG69*10)/256),0)</f>
        <v>12</v>
      </c>
      <c r="AN69" s="1" t="str">
        <f aca="false">CONCATENATE(VLOOKUP(AL69,Constants!$A$2:$C$16,IF(AM69&lt;&gt;"", 3, 2), FALSE()),IF(AM69&lt;&gt;"",CONCATENATE(",",VLOOKUP(AM69,$B:$AN,38,FALSE())),""))</f>
        <v>4,4,4</v>
      </c>
      <c r="AO69" s="1" t="n">
        <v>0</v>
      </c>
      <c r="AR69" s="1" t="s">
        <v>443</v>
      </c>
      <c r="AT69" s="1" t="s">
        <v>113</v>
      </c>
      <c r="AU69" s="1" t="s">
        <v>444</v>
      </c>
      <c r="AX69" s="1" t="n">
        <v>35</v>
      </c>
      <c r="AY69" s="6" t="str">
        <f aca="false">IF(L69&lt;&gt;"",MAX(16,(L69-J69)+8),"")</f>
        <v/>
      </c>
      <c r="BB69" s="1" t="n">
        <f aca="false">MIN(AB69/150, 1)*30</f>
        <v>15</v>
      </c>
      <c r="BC69" s="1" t="n">
        <f aca="false">MIN(N69/4000, 1)*20</f>
        <v>3.55</v>
      </c>
      <c r="BD69" s="1" t="n">
        <f aca="false">MIN(Z69/400,1)*20</f>
        <v>5.3</v>
      </c>
      <c r="BE69" s="4" t="n">
        <f aca="false">1-(MAX(J69-1900, 0)/750)</f>
        <v>0.868</v>
      </c>
      <c r="BF69" s="1" t="n">
        <f aca="false">((MAX($M69,1)*MIN($AJ69/300,1)))*IF(G69="Wagon",50,10)</f>
        <v>2.66666666666667</v>
      </c>
      <c r="BG69" s="1" t="n">
        <f aca="false">VLOOKUP($H69,Constants!$I:$K, 2, FALSE())</f>
        <v>1</v>
      </c>
      <c r="BH69" s="1" t="n">
        <f aca="false">VLOOKUP($H69,Constants!$I:$K, 3, FALSE())*IF(AND(G69="multiple_unit",AB69&lt;110),0.75,1)</f>
        <v>2</v>
      </c>
      <c r="BI69" s="1" t="n">
        <f aca="false">INT(POWER(((Constants!$G$2+$BB69+$BC69+$BD69+$BF69)*$BE69)*$BH69, 1.05))+$BA69</f>
        <v>66</v>
      </c>
      <c r="BJ69" s="1" t="n">
        <f aca="false">INT(POWER((((Constants!$G$1+$BB69+$BC69+$BD69+$BF69)*($BE69))*$BG69),IF($G69="wagon",1,1.2)))+$AZ69</f>
        <v>73</v>
      </c>
      <c r="BK69" s="20" t="n">
        <f aca="false">BI69*IF($G69="wagon",62.5,781.25)</f>
        <v>51562.5</v>
      </c>
      <c r="BL69" s="20" t="n">
        <f aca="false">BJ69*IF($G69="wagon",2.73,81.25)</f>
        <v>5931.25</v>
      </c>
      <c r="BT69" s="1" t="n">
        <v>6</v>
      </c>
      <c r="BU69" s="1" t="n">
        <v>185</v>
      </c>
      <c r="BV69" s="1" t="s">
        <v>437</v>
      </c>
      <c r="BX69" s="1" t="s">
        <v>438</v>
      </c>
      <c r="BY69" s="1" t="s">
        <v>439</v>
      </c>
      <c r="BZ69" s="18" t="s">
        <v>376</v>
      </c>
      <c r="CA69" s="1" t="str">
        <f aca="false">CONCATENATE(BY69,"_",BZ69)</f>
        <v>prv_Freight</v>
      </c>
      <c r="CB69" s="1" t="str">
        <f aca="false">_xlfn.CONCAT(H69, "_",I69)</f>
        <v>diesel_RAIL</v>
      </c>
      <c r="CC69" s="21" t="str">
        <f aca="false">_xlfn.CONCAT("{BLACK}Length: {GOLD}", TEXT(ROUNDUP(IF(AQ69&lt;&gt;"",SUM(VALUE(_xlfn.TEXTSPLIT(AQ69, ","))), SUM(VALUE(_xlfn.TEXTSPLIT(AN69, ",")))*IF(M69, M69, 1))/16, 1), "#,##0.0"), " tiles{}")</f>
        <v>{BLACK}Length: {GOLD}1.5 tiles{}</v>
      </c>
      <c r="CD69" s="1" t="str">
        <f aca="false">VLOOKUP($CB69, Constants!$M:$N, 2, FALSE())</f>
        <v>{BLACK}Powered by: {GOLD}Diesel</v>
      </c>
      <c r="CE69" s="1" t="str">
        <f aca="false">IF(M69&gt;1,_xlfn.CONCAT("{BLACK}Cars: {GOLD}", M69),"")</f>
        <v>{BLACK}Cars: {GOLD}2</v>
      </c>
      <c r="CF69" s="1" t="s">
        <v>440</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{BLACK}Powered by: {GOLD}Diesel {BLACK}Cars: {GOLD}2{}{BLACK}Length: {GOLD}1.5 tiles{}{SILVER}The Windhoff MPV units were mainly used for Departmental service, notably in the iconic Rail Head Treatment trains, but trials were made in freight service.</v>
      </c>
      <c r="CI69" s="1"/>
      <c r="CJ69" s="1"/>
    </row>
    <row r="70" customFormat="false" ht="13.8" hidden="false" customHeight="false" outlineLevel="0" collapsed="false">
      <c r="A70" s="18" t="s">
        <v>445</v>
      </c>
      <c r="B70" s="18" t="s">
        <v>446</v>
      </c>
      <c r="C70" s="1" t="n">
        <v>581</v>
      </c>
      <c r="D70" s="1" t="n">
        <v>580</v>
      </c>
      <c r="E70" s="1" t="n">
        <v>473</v>
      </c>
      <c r="F70" s="1" t="s">
        <v>89</v>
      </c>
      <c r="G70" s="1" t="s">
        <v>435</v>
      </c>
      <c r="H70" s="1" t="s">
        <v>152</v>
      </c>
      <c r="I70" s="1" t="s">
        <v>153</v>
      </c>
      <c r="J70" s="1" t="n">
        <v>1999</v>
      </c>
      <c r="M70" s="1" t="n">
        <v>3</v>
      </c>
      <c r="N70" s="1" t="n">
        <v>710</v>
      </c>
      <c r="W70" s="1" t="n">
        <f aca="false">W69+19</f>
        <v>80</v>
      </c>
      <c r="Y70" s="1" t="n">
        <v>4</v>
      </c>
      <c r="Z70" s="1" t="n">
        <v>106</v>
      </c>
      <c r="AA70" s="4" t="n">
        <f aca="false">IF(AND(W70&gt;0,Z70&gt;0),(Z70/((W70+X70)*10)),"")</f>
        <v>0.1325</v>
      </c>
      <c r="AB70" s="1" t="n">
        <v>75</v>
      </c>
      <c r="AC70" s="1" t="n">
        <f aca="false">ROUND(AB70*1.6, 0)</f>
        <v>120</v>
      </c>
      <c r="AF70" s="1" t="n">
        <v>20.2</v>
      </c>
      <c r="AG70" s="1" t="n">
        <v>20</v>
      </c>
      <c r="AH70" s="1" t="n">
        <v>2.82</v>
      </c>
      <c r="AI70" s="1" t="n">
        <v>3.97</v>
      </c>
      <c r="AJ70" s="5" t="n">
        <v>40</v>
      </c>
      <c r="AK70" s="19" t="str">
        <f aca="false">CONCATENATE(VLOOKUP(AL70, 'Voxel Sizes'!$A$2:$B$18,2,FALSE()),"x",INT(AH70*15), "x", INT(AI70*15))</f>
        <v>198x42x59</v>
      </c>
      <c r="AL70" s="1" t="n">
        <f aca="false">ROUND(15*((AG70*10)/256),0)</f>
        <v>12</v>
      </c>
      <c r="AN70" s="1" t="str">
        <f aca="false">CONCATENATE(VLOOKUP(AL70,Constants!$A$2:$C$16,IF(AM70&lt;&gt;"", 3, 2), FALSE()),IF(AM70&lt;&gt;"",CONCATENATE(",",VLOOKUP(AM70,$B:$AN,38,FALSE())),""))</f>
        <v>4,4,4</v>
      </c>
      <c r="AO70" s="1" t="n">
        <v>0</v>
      </c>
      <c r="AR70" s="1" t="s">
        <v>447</v>
      </c>
      <c r="AT70" s="1" t="s">
        <v>302</v>
      </c>
      <c r="AU70" s="1" t="s">
        <v>444</v>
      </c>
      <c r="AX70" s="1" t="n">
        <v>35</v>
      </c>
      <c r="AY70" s="6" t="str">
        <f aca="false">IF(L70&lt;&gt;"",MAX(16,(L70-J70)+8),"")</f>
        <v/>
      </c>
      <c r="BB70" s="1" t="n">
        <f aca="false">MIN(AB70/150, 1)*30</f>
        <v>15</v>
      </c>
      <c r="BC70" s="1" t="n">
        <f aca="false">MIN(N70/4000, 1)*20</f>
        <v>3.55</v>
      </c>
      <c r="BD70" s="1" t="n">
        <f aca="false">MIN(Z70/400,1)*20</f>
        <v>5.3</v>
      </c>
      <c r="BE70" s="4" t="n">
        <f aca="false">1-(MAX(J70-1900, 0)/750)</f>
        <v>0.868</v>
      </c>
      <c r="BF70" s="1" t="n">
        <f aca="false">((MAX($M70,1)*MIN($AJ70/300,1)))*IF(G70="Wagon",50,10)</f>
        <v>4</v>
      </c>
      <c r="BG70" s="1" t="n">
        <f aca="false">VLOOKUP($H70,Constants!$I:$K, 2, FALSE())</f>
        <v>1</v>
      </c>
      <c r="BH70" s="1" t="n">
        <f aca="false">VLOOKUP($H70,Constants!$I:$K, 3, FALSE())*IF(AND(G70="multiple_unit",AB70&lt;110),0.75,1)</f>
        <v>2</v>
      </c>
      <c r="BI70" s="1" t="n">
        <f aca="false">INT(POWER(((Constants!$G$2+$BB70+$BC70+$BD70+$BF70)*$BE70)*$BH70, 1.05))+$BA70</f>
        <v>69</v>
      </c>
      <c r="BJ70" s="1" t="n">
        <f aca="false">INT(POWER((((Constants!$G$1+$BB70+$BC70+$BD70+$BF70)*($BE70))*$BG70),IF($G70="wagon",1,1.2)))+$AZ70</f>
        <v>76</v>
      </c>
      <c r="BK70" s="20" t="n">
        <f aca="false">BI70*IF($G70="wagon",62.5,781.25)</f>
        <v>53906.25</v>
      </c>
      <c r="BL70" s="20" t="n">
        <f aca="false">BJ70*IF($G70="wagon",2.73,81.25)</f>
        <v>6175</v>
      </c>
      <c r="BT70" s="1" t="n">
        <v>6</v>
      </c>
      <c r="BU70" s="1" t="n">
        <v>185</v>
      </c>
      <c r="BV70" s="1" t="s">
        <v>437</v>
      </c>
      <c r="BX70" s="1" t="s">
        <v>438</v>
      </c>
      <c r="BY70" s="1" t="s">
        <v>439</v>
      </c>
      <c r="BZ70" s="18" t="s">
        <v>376</v>
      </c>
      <c r="CA70" s="1" t="str">
        <f aca="false">CONCATENATE(BY70,"_",BZ70)</f>
        <v>prv_Freight</v>
      </c>
      <c r="CB70" s="1" t="str">
        <f aca="false">_xlfn.CONCAT(H70, "_",I70)</f>
        <v>diesel_RAIL</v>
      </c>
      <c r="CC70" s="21" t="str">
        <f aca="false">_xlfn.CONCAT("{BLACK}Length: {GOLD}", TEXT(ROUNDUP(IF(AQ70&lt;&gt;"",SUM(VALUE(_xlfn.TEXTSPLIT(AQ70, ","))), SUM(VALUE(_xlfn.TEXTSPLIT(AN70, ",")))*IF(M70, M70, 1))/16, 1), "#,##0.0"), " tiles{}")</f>
        <v>{BLACK}Length: {GOLD}2.3 tiles{}</v>
      </c>
      <c r="CD70" s="1" t="str">
        <f aca="false">VLOOKUP($CB70, Constants!$M:$N, 2, FALSE())</f>
        <v>{BLACK}Powered by: {GOLD}Diesel</v>
      </c>
      <c r="CE70" s="1" t="str">
        <f aca="false">IF(M70&gt;1,_xlfn.CONCAT("{BLACK}Cars: {GOLD}", M70),"")</f>
        <v>{BLACK}Cars: {GOLD}3</v>
      </c>
      <c r="CF70" s="1" t="s">
        <v>440</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{BLACK}Powered by: {GOLD}Diesel {BLACK}Cars: {GOLD}3{}{BLACK}Length: {GOLD}2.3 tiles{}{SILVER}The Windhoff MPV units were mainly used for Departmental service, notably in the iconic Rail Head Treatment trains, but trials were made in freight service.</v>
      </c>
      <c r="CI70" s="1"/>
      <c r="CJ70" s="1"/>
    </row>
    <row r="71" customFormat="false" ht="13.8" hidden="false" customHeight="false" outlineLevel="0" collapsed="false">
      <c r="A71" s="18" t="s">
        <v>448</v>
      </c>
      <c r="B71" s="18" t="s">
        <v>449</v>
      </c>
      <c r="C71" s="1" t="n">
        <v>582</v>
      </c>
      <c r="D71" s="1" t="n">
        <v>580</v>
      </c>
      <c r="E71" s="1" t="n">
        <v>474</v>
      </c>
      <c r="F71" s="1" t="s">
        <v>89</v>
      </c>
      <c r="G71" s="1" t="s">
        <v>435</v>
      </c>
      <c r="H71" s="1" t="s">
        <v>152</v>
      </c>
      <c r="I71" s="1" t="s">
        <v>153</v>
      </c>
      <c r="J71" s="1" t="n">
        <v>1999</v>
      </c>
      <c r="M71" s="1" t="n">
        <v>4</v>
      </c>
      <c r="N71" s="1" t="n">
        <v>710</v>
      </c>
      <c r="W71" s="1" t="n">
        <f aca="false">W70+19</f>
        <v>99</v>
      </c>
      <c r="Y71" s="1" t="n">
        <v>4</v>
      </c>
      <c r="Z71" s="1" t="n">
        <v>106</v>
      </c>
      <c r="AA71" s="4" t="n">
        <f aca="false">IF(AND(W71&gt;0,Z71&gt;0),(Z71/((W71+X71)*10)),"")</f>
        <v>0.107070707070707</v>
      </c>
      <c r="AB71" s="1" t="n">
        <v>75</v>
      </c>
      <c r="AC71" s="1" t="n">
        <f aca="false">ROUND(AB71*1.6, 0)</f>
        <v>120</v>
      </c>
      <c r="AF71" s="1" t="n">
        <v>20.2</v>
      </c>
      <c r="AG71" s="1" t="n">
        <v>20</v>
      </c>
      <c r="AH71" s="1" t="n">
        <v>2.82</v>
      </c>
      <c r="AI71" s="1" t="n">
        <v>3.97</v>
      </c>
      <c r="AJ71" s="5" t="n">
        <v>40</v>
      </c>
      <c r="AK71" s="19" t="str">
        <f aca="false">CONCATENATE(VLOOKUP(AL71, 'Voxel Sizes'!$A$2:$B$18,2,FALSE()),"x",INT(AH71*15), "x", INT(AI71*15))</f>
        <v>198x42x59</v>
      </c>
      <c r="AL71" s="1" t="n">
        <f aca="false">ROUND(15*((AG71*10)/256),0)</f>
        <v>12</v>
      </c>
      <c r="AN71" s="1" t="str">
        <f aca="false">CONCATENATE(VLOOKUP(AL71,Constants!$A$2:$C$16,IF(AM71&lt;&gt;"", 3, 2), FALSE()),IF(AM71&lt;&gt;"",CONCATENATE(",",VLOOKUP(AM71,$B:$AN,38,FALSE())),""))</f>
        <v>4,4,4</v>
      </c>
      <c r="AO71" s="1" t="n">
        <v>0</v>
      </c>
      <c r="AR71" s="1" t="s">
        <v>450</v>
      </c>
      <c r="AT71" s="1" t="s">
        <v>125</v>
      </c>
      <c r="AU71" s="1" t="s">
        <v>444</v>
      </c>
      <c r="AX71" s="1" t="n">
        <v>35</v>
      </c>
      <c r="AY71" s="6" t="str">
        <f aca="false">IF(L71&lt;&gt;"",MAX(16,(L71-J71)+8),"")</f>
        <v/>
      </c>
      <c r="BB71" s="1" t="n">
        <f aca="false">MIN(AB71/150, 1)*30</f>
        <v>15</v>
      </c>
      <c r="BC71" s="1" t="n">
        <f aca="false">MIN(N71/4000, 1)*20</f>
        <v>3.55</v>
      </c>
      <c r="BD71" s="1" t="n">
        <f aca="false">MIN(Z71/400,1)*20</f>
        <v>5.3</v>
      </c>
      <c r="BE71" s="4" t="n">
        <f aca="false">1-(MAX(J71-1900, 0)/750)</f>
        <v>0.868</v>
      </c>
      <c r="BF71" s="1" t="n">
        <f aca="false">((MAX($M71,1)*MIN($AJ71/300,1)))*IF(G71="Wagon",50,10)</f>
        <v>5.33333333333333</v>
      </c>
      <c r="BG71" s="1" t="n">
        <f aca="false">VLOOKUP($H71,Constants!$I:$K, 2, FALSE())</f>
        <v>1</v>
      </c>
      <c r="BH71" s="1" t="n">
        <f aca="false">VLOOKUP($H71,Constants!$I:$K, 3, FALSE())*IF(AND(G71="multiple_unit",AB71&lt;110),0.75,1)</f>
        <v>2</v>
      </c>
      <c r="BI71" s="1" t="n">
        <f aca="false">INT(POWER(((Constants!$G$2+$BB71+$BC71+$BD71+$BF71)*$BE71)*$BH71, 1.05))+$BA71</f>
        <v>72</v>
      </c>
      <c r="BJ71" s="1" t="n">
        <f aca="false">INT(POWER((((Constants!$G$1+$BB71+$BC71+$BD71+$BF71)*($BE71))*$BG71),IF($G71="wagon",1,1.2)))+$AZ71</f>
        <v>79</v>
      </c>
      <c r="BK71" s="20" t="n">
        <f aca="false">BI71*IF($G71="wagon",62.5,781.25)</f>
        <v>56250</v>
      </c>
      <c r="BL71" s="20" t="n">
        <f aca="false">BJ71*IF($G71="wagon",2.73,81.25)</f>
        <v>6418.75</v>
      </c>
      <c r="BT71" s="1" t="n">
        <v>6</v>
      </c>
      <c r="BU71" s="1" t="n">
        <v>185</v>
      </c>
      <c r="BV71" s="1" t="s">
        <v>437</v>
      </c>
      <c r="BX71" s="1" t="s">
        <v>438</v>
      </c>
      <c r="BY71" s="1" t="s">
        <v>439</v>
      </c>
      <c r="BZ71" s="18" t="s">
        <v>376</v>
      </c>
      <c r="CA71" s="1" t="str">
        <f aca="false">CONCATENATE(BY71,"_",BZ71)</f>
        <v>prv_Freight</v>
      </c>
      <c r="CB71" s="1" t="str">
        <f aca="false">_xlfn.CONCAT(H71, "_",I71)</f>
        <v>diesel_RAIL</v>
      </c>
      <c r="CC71" s="21" t="str">
        <f aca="false">_xlfn.CONCAT("{BLACK}Length: {GOLD}", TEXT(ROUNDUP(IF(AQ71&lt;&gt;"",SUM(VALUE(_xlfn.TEXTSPLIT(AQ71, ","))), SUM(VALUE(_xlfn.TEXTSPLIT(AN71, ",")))*IF(M71, M71, 1))/16, 1), "#,##0.0"), " tiles{}")</f>
        <v>{BLACK}Length: {GOLD}3.0 tiles{}</v>
      </c>
      <c r="CD71" s="1" t="str">
        <f aca="false">VLOOKUP($CB71, Constants!$M:$N, 2, FALSE())</f>
        <v>{BLACK}Powered by: {GOLD}Diesel</v>
      </c>
      <c r="CE71" s="1" t="str">
        <f aca="false">IF(M71&gt;1,_xlfn.CONCAT("{BLACK}Cars: {GOLD}", M71),"")</f>
        <v>{BLACK}Cars: {GOLD}4</v>
      </c>
      <c r="CF71" s="1" t="s">
        <v>440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{BLACK}Powered by: {GOLD}Diesel {BLACK}Cars: {GOLD}4{}{BLACK}Length: {GOLD}3.0 tiles{}{SILVER}The Windhoff MPV units were mainly used for Departmental service, notably in the iconic Rail Head Treatment trains, but trials were made in freight service.</v>
      </c>
      <c r="CI71" s="1"/>
      <c r="CJ71" s="1"/>
    </row>
    <row r="72" customFormat="false" ht="13.8" hidden="false" customHeight="false" outlineLevel="0" collapsed="false">
      <c r="A72" s="18" t="s">
        <v>451</v>
      </c>
      <c r="B72" s="18" t="s">
        <v>452</v>
      </c>
      <c r="C72" s="1" t="n">
        <v>583</v>
      </c>
      <c r="D72" s="1" t="n">
        <v>580</v>
      </c>
      <c r="E72" s="1" t="n">
        <v>475</v>
      </c>
      <c r="F72" s="1" t="s">
        <v>89</v>
      </c>
      <c r="G72" s="1" t="s">
        <v>435</v>
      </c>
      <c r="H72" s="1" t="s">
        <v>152</v>
      </c>
      <c r="I72" s="1" t="s">
        <v>153</v>
      </c>
      <c r="J72" s="1" t="n">
        <v>1999</v>
      </c>
      <c r="M72" s="1" t="n">
        <v>5</v>
      </c>
      <c r="N72" s="1" t="n">
        <v>710</v>
      </c>
      <c r="W72" s="1" t="n">
        <f aca="false">W71+19</f>
        <v>118</v>
      </c>
      <c r="Y72" s="1" t="n">
        <v>4</v>
      </c>
      <c r="Z72" s="1" t="n">
        <v>106</v>
      </c>
      <c r="AA72" s="4" t="n">
        <f aca="false">IF(AND(W72&gt;0,Z72&gt;0),(Z72/((W72+X72)*10)),"")</f>
        <v>0.0898305084745763</v>
      </c>
      <c r="AB72" s="1" t="n">
        <v>75</v>
      </c>
      <c r="AC72" s="1" t="n">
        <f aca="false">ROUND(AB72*1.6, 0)</f>
        <v>120</v>
      </c>
      <c r="AF72" s="1" t="n">
        <v>20.2</v>
      </c>
      <c r="AG72" s="1" t="n">
        <v>20</v>
      </c>
      <c r="AH72" s="1" t="n">
        <v>2.82</v>
      </c>
      <c r="AI72" s="1" t="n">
        <v>3.97</v>
      </c>
      <c r="AJ72" s="5" t="n">
        <v>40</v>
      </c>
      <c r="AK72" s="19" t="str">
        <f aca="false">CONCATENATE(VLOOKUP(AL72, 'Voxel Sizes'!$A$2:$B$18,2,FALSE()),"x",INT(AH72*15), "x", INT(AI72*15))</f>
        <v>198x42x59</v>
      </c>
      <c r="AL72" s="1" t="n">
        <f aca="false">ROUND(15*((AG72*10)/256),0)</f>
        <v>12</v>
      </c>
      <c r="AN72" s="1" t="str">
        <f aca="false">CONCATENATE(VLOOKUP(AL72,Constants!$A$2:$C$16,IF(AM72&lt;&gt;"", 3, 2), FALSE()),IF(AM72&lt;&gt;"",CONCATENATE(",",VLOOKUP(AM72,$B:$AN,38,FALSE())),""))</f>
        <v>4,4,4</v>
      </c>
      <c r="AO72" s="1" t="n">
        <v>0</v>
      </c>
      <c r="AR72" s="1" t="s">
        <v>453</v>
      </c>
      <c r="AT72" s="1" t="s">
        <v>130</v>
      </c>
      <c r="AU72" s="1" t="s">
        <v>444</v>
      </c>
      <c r="AX72" s="1" t="n">
        <v>35</v>
      </c>
      <c r="AY72" s="6" t="str">
        <f aca="false">IF(L72&lt;&gt;"",MAX(16,(L72-J72)+8),"")</f>
        <v/>
      </c>
      <c r="BB72" s="1" t="n">
        <f aca="false">MIN(AB72/150, 1)*30</f>
        <v>15</v>
      </c>
      <c r="BC72" s="1" t="n">
        <f aca="false">MIN(N72/4000, 1)*20</f>
        <v>3.55</v>
      </c>
      <c r="BD72" s="1" t="n">
        <f aca="false">MIN(Z72/400,1)*20</f>
        <v>5.3</v>
      </c>
      <c r="BE72" s="4" t="n">
        <f aca="false">1-(MAX(J72-1900, 0)/750)</f>
        <v>0.868</v>
      </c>
      <c r="BF72" s="1" t="n">
        <f aca="false">((MAX($M72,1)*MIN($AJ72/300,1)))*IF(G72="Wagon",50,10)</f>
        <v>6.66666666666667</v>
      </c>
      <c r="BG72" s="1" t="n">
        <f aca="false">VLOOKUP($H72,Constants!$I:$K, 2, FALSE())</f>
        <v>1</v>
      </c>
      <c r="BH72" s="1" t="n">
        <f aca="false">VLOOKUP($H72,Constants!$I:$K, 3, FALSE())*IF(AND(G72="multiple_unit",AB72&lt;110),0.75,1)</f>
        <v>2</v>
      </c>
      <c r="BI72" s="1" t="n">
        <f aca="false">INT(POWER(((Constants!$G$2+$BB72+$BC72+$BD72+$BF72)*$BE72)*$BH72, 1.05))+$BA72</f>
        <v>75</v>
      </c>
      <c r="BJ72" s="1" t="n">
        <f aca="false">INT(POWER((((Constants!$G$1+$BB72+$BC72+$BD72+$BF72)*($BE72))*$BG72),IF($G72="wagon",1,1.2)))+$AZ72</f>
        <v>82</v>
      </c>
      <c r="BK72" s="20" t="n">
        <f aca="false">BI72*IF($G72="wagon",62.5,781.25)</f>
        <v>58593.75</v>
      </c>
      <c r="BL72" s="20" t="n">
        <f aca="false">BJ72*IF($G72="wagon",2.73,81.25)</f>
        <v>6662.5</v>
      </c>
      <c r="BT72" s="1" t="n">
        <v>6</v>
      </c>
      <c r="BU72" s="1" t="n">
        <v>185</v>
      </c>
      <c r="BV72" s="1" t="s">
        <v>437</v>
      </c>
      <c r="BX72" s="1" t="s">
        <v>438</v>
      </c>
      <c r="BY72" s="1" t="s">
        <v>439</v>
      </c>
      <c r="BZ72" s="18" t="s">
        <v>376</v>
      </c>
      <c r="CA72" s="1" t="str">
        <f aca="false">CONCATENATE(BY72,"_",BZ72)</f>
        <v>prv_Freight</v>
      </c>
      <c r="CB72" s="1" t="str">
        <f aca="false">_xlfn.CONCAT(H72, "_",I72)</f>
        <v>diesel_RAIL</v>
      </c>
      <c r="CC72" s="21" t="str">
        <f aca="false">_xlfn.CONCAT("{BLACK}Length: {GOLD}", TEXT(ROUNDUP(IF(AQ72&lt;&gt;"",SUM(VALUE(_xlfn.TEXTSPLIT(AQ72, ","))), SUM(VALUE(_xlfn.TEXTSPLIT(AN72, ",")))*IF(M72, M72, 1))/16, 1), "#,##0.0"), " tiles{}")</f>
        <v>{BLACK}Length: {GOLD}3.8 tiles{}</v>
      </c>
      <c r="CD72" s="1" t="str">
        <f aca="false">VLOOKUP($CB72, Constants!$M:$N, 2, FALSE())</f>
        <v>{BLACK}Powered by: {GOLD}Diesel</v>
      </c>
      <c r="CE72" s="1" t="str">
        <f aca="false">IF(M72&gt;1,_xlfn.CONCAT("{BLACK}Cars: {GOLD}", M72),"")</f>
        <v>{BLACK}Cars: {GOLD}5</v>
      </c>
      <c r="CF72" s="1" t="s">
        <v>440</v>
      </c>
      <c r="CG72" s="1" t="str">
        <f aca="false">IF(BW72="buffet","{YELLOW}25%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{BLACK}Powered by: {GOLD}Diesel {BLACK}Cars: {GOLD}5{}{BLACK}Length: {GOLD}3.8 tiles{}{SILVER}The Windhoff MPV units were mainly used for Departmental service, notably in the iconic Rail Head Treatment trains, but trials were made in freight service.</v>
      </c>
      <c r="CI72" s="1"/>
      <c r="CJ72" s="1"/>
    </row>
    <row r="73" s="19" customFormat="true" ht="13.8" hidden="false" customHeight="false" outlineLevel="0" collapsed="false">
      <c r="A73" s="19" t="s">
        <v>454</v>
      </c>
      <c r="B73" s="19" t="s">
        <v>455</v>
      </c>
      <c r="C73" s="19" t="n">
        <v>440</v>
      </c>
      <c r="E73" s="19" t="n">
        <v>480</v>
      </c>
      <c r="F73" s="19" t="s">
        <v>89</v>
      </c>
      <c r="G73" s="19" t="s">
        <v>90</v>
      </c>
      <c r="H73" s="19" t="s">
        <v>152</v>
      </c>
      <c r="I73" s="19" t="s">
        <v>153</v>
      </c>
      <c r="J73" s="19" t="n">
        <v>2003</v>
      </c>
      <c r="M73" s="19" t="n">
        <v>4</v>
      </c>
      <c r="N73" s="19" t="n">
        <f aca="false">750*M73</f>
        <v>3000</v>
      </c>
      <c r="O73" s="25"/>
      <c r="P73" s="26"/>
      <c r="Q73" s="26"/>
      <c r="R73" s="26"/>
      <c r="S73" s="26"/>
      <c r="T73" s="26"/>
      <c r="U73" s="26"/>
      <c r="V73" s="26"/>
      <c r="W73" s="19" t="n">
        <v>186.5</v>
      </c>
      <c r="X73" s="25"/>
      <c r="Y73" s="19" t="n">
        <v>5</v>
      </c>
      <c r="Z73" s="19" t="n">
        <f aca="false">54*M73</f>
        <v>216</v>
      </c>
      <c r="AA73" s="27" t="n">
        <f aca="false">IF(AND(W73&gt;0,Z73&gt;0),(Z73/((W73+X73)*10)),"")</f>
        <v>0.115817694369973</v>
      </c>
      <c r="AB73" s="19" t="n">
        <v>125</v>
      </c>
      <c r="AC73" s="19" t="n">
        <f aca="false">ROUND(AB73*1.6, 0)</f>
        <v>200</v>
      </c>
      <c r="AF73" s="19" t="n">
        <v>23.8</v>
      </c>
      <c r="AG73" s="19" t="n">
        <v>23.8</v>
      </c>
      <c r="AH73" s="19" t="n">
        <v>2.73</v>
      </c>
      <c r="AJ73" s="28" t="n">
        <v>51</v>
      </c>
      <c r="AK73" s="19" t="str">
        <f aca="false">CONCATENATE(VLOOKUP(AL73, 'Voxel Sizes'!$A$2:$B$18,2,FALSE()),"x",INT(AH73*15), "x", INT(AI73*15))</f>
        <v>238x40x0</v>
      </c>
      <c r="AL73" s="19" t="n">
        <f aca="false">ROUND(15*((AG73*10)/256),0)</f>
        <v>14</v>
      </c>
      <c r="AN73" s="1" t="str">
        <f aca="false">CONCATENATE(VLOOKUP(AL73,Constants!$A$2:$C$16,IF(AM73&lt;&gt;"", 3, 2), FALSE()),IF(AM73&lt;&gt;"",CONCATENATE(",",VLOOKUP(AM73,$B:$AN,38,FALSE())),""))</f>
        <v>4,6,4</v>
      </c>
      <c r="AP73" s="29"/>
      <c r="AQ73" s="29"/>
      <c r="AR73" s="19" t="s">
        <v>456</v>
      </c>
      <c r="AT73" s="19" t="s">
        <v>163</v>
      </c>
      <c r="AU73" s="19" t="s">
        <v>457</v>
      </c>
      <c r="AX73" s="19" t="n">
        <v>29</v>
      </c>
      <c r="AY73" s="30" t="str">
        <f aca="false">IF(L73&lt;&gt;"",MAX(16,(L73-J73)+8),"")</f>
        <v/>
      </c>
      <c r="AZ73" s="19" t="n">
        <v>-15</v>
      </c>
      <c r="BA73" s="19" t="n">
        <v>-35</v>
      </c>
      <c r="BB73" s="19" t="n">
        <f aca="false">MIN(AB73/150, 1)*30</f>
        <v>25</v>
      </c>
      <c r="BC73" s="19" t="n">
        <f aca="false">MIN(N73/4000, 1)*20</f>
        <v>15</v>
      </c>
      <c r="BD73" s="19" t="n">
        <f aca="false">MIN(Z73/400,1)*20</f>
        <v>10.8</v>
      </c>
      <c r="BE73" s="27" t="n">
        <f aca="false">1-(MAX(J73-1900, 0)/750)</f>
        <v>0.862666666666667</v>
      </c>
      <c r="BF73" s="19" t="n">
        <f aca="false">((MAX($M73,1)*MIN($AJ73/300,1)))*IF(G73="Wagon",50,10)</f>
        <v>6.8</v>
      </c>
      <c r="BG73" s="1" t="n">
        <f aca="false">VLOOKUP($H73,Constants!$I:$K, 2, FALSE())</f>
        <v>1</v>
      </c>
      <c r="BH73" s="1" t="n">
        <f aca="false">VLOOKUP($H73,Constants!$I:$K, 3, FALSE())*IF(AND(G73="multiple_unit",AB73&lt;110),0.75,1)</f>
        <v>2</v>
      </c>
      <c r="BI73" s="1" t="n">
        <f aca="false">INT(POWER(((Constants!$G$2+$BB73+$BC73+$BD73+$BF73)*$BE73)*$BH73, 1.05))+$BA73</f>
        <v>101</v>
      </c>
      <c r="BJ73" s="1" t="n">
        <f aca="false">INT(POWER((((Constants!$G$1+$BB73+$BC73+$BD73+$BF73)*($BE73))*$BG73),IF($G73="wagon",1,1.2)))+$AZ73</f>
        <v>128</v>
      </c>
      <c r="BK73" s="31" t="n">
        <f aca="false">BI73*IF($G73="wagon",62.5,781.25)</f>
        <v>78906.25</v>
      </c>
      <c r="BL73" s="31" t="n">
        <f aca="false">BJ73*IF($G73="wagon",2.73,81.25)</f>
        <v>10400</v>
      </c>
      <c r="BQ73" s="19" t="s">
        <v>458</v>
      </c>
      <c r="BT73" s="19" t="n">
        <v>10</v>
      </c>
      <c r="BU73" s="19" t="n">
        <v>205</v>
      </c>
      <c r="BX73" s="19" t="s">
        <v>95</v>
      </c>
      <c r="BY73" s="1" t="s">
        <v>439</v>
      </c>
      <c r="BZ73" s="32" t="s">
        <v>205</v>
      </c>
      <c r="CA73" s="19" t="str">
        <f aca="false">CONCATENATE(BY73,"_",BZ73)</f>
        <v>prv_DMU (Express)</v>
      </c>
      <c r="CB73" s="19" t="str">
        <f aca="false">_xlfn.CONCAT(H73, "_",I73)</f>
        <v>diesel_RAIL</v>
      </c>
      <c r="CC73" s="21" t="str">
        <f aca="false">_xlfn.CONCAT("{BLACK}Length: {GOLD}", TEXT(ROUNDUP(IF(AQ73&lt;&gt;"",SUM(VALUE(_xlfn.TEXTSPLIT(AQ73, ","))), SUM(VALUE(_xlfn.TEXTSPLIT(AN73, ",")))*IF(M73, M73, 1))/16, 1), "#,##0.0"), " tiles{}")</f>
        <v>{BLACK}Length: {GOLD}3.5 tiles{}</v>
      </c>
      <c r="CD73" s="1" t="str">
        <f aca="false">VLOOKUP($CB73, Constants!$M:$N, 2, FALSE())</f>
        <v>{BLACK}Powered by: {GOLD}Diesel</v>
      </c>
      <c r="CE73" s="1" t="str">
        <f aca="false">IF(M73&gt;1,_xlfn.CONCAT("{BLACK}Cars: {GOLD}", M73),"")</f>
        <v>{BLACK}Cars: {GOLD}4</v>
      </c>
      <c r="CF73" s="19" t="s">
        <v>459</v>
      </c>
      <c r="CG73" s="1" t="str">
        <f aca="false">IF(BW73="buffet","{YELLOW}25% long distance bonus for consist{}",IF(BY73="BRAKE","{YELLOW}Speed bonus for slow wagons{}",IF(BU73&gt;190,CONCATENATE("{YELLOW}",INT((BU73-185)/1.85),"% bonus for long distance travel{}"),IF(AND(BU73&lt;180,BU73&lt;&gt;0),CONCATENATE("{YELLOW}",INT((185-BU73)/1.85),"% penalty for long distance travel{}"),""))))</f>
        <v>{YELLOW}10% bonus for long distance travel{}</v>
      </c>
      <c r="CH73" s="1" t="str">
        <f aca="false">_xlfn.CONCAT(CD73,IF(CD73 &lt;&gt; "", " ", ""),CE73,IF(OR(CE73&lt;&gt;"", CD73&lt;&gt;""), "{}",""), CC73, CG73,"{SILVER}", CF73)</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74" s="19" customFormat="true" ht="13.8" hidden="false" customHeight="false" outlineLevel="0" collapsed="false">
      <c r="A74" s="19" t="s">
        <v>454</v>
      </c>
      <c r="B74" s="19" t="s">
        <v>460</v>
      </c>
      <c r="C74" s="19" t="n">
        <v>441</v>
      </c>
      <c r="D74" s="19" t="n">
        <v>440</v>
      </c>
      <c r="E74" s="19" t="n">
        <v>481</v>
      </c>
      <c r="F74" s="19" t="s">
        <v>89</v>
      </c>
      <c r="G74" s="19" t="s">
        <v>90</v>
      </c>
      <c r="H74" s="19" t="s">
        <v>152</v>
      </c>
      <c r="I74" s="19" t="s">
        <v>153</v>
      </c>
      <c r="J74" s="19" t="n">
        <v>2003</v>
      </c>
      <c r="M74" s="19" t="n">
        <v>5</v>
      </c>
      <c r="N74" s="19" t="n">
        <f aca="false">750*M74</f>
        <v>3750</v>
      </c>
      <c r="O74" s="25"/>
      <c r="P74" s="26"/>
      <c r="Q74" s="26"/>
      <c r="R74" s="26"/>
      <c r="S74" s="26"/>
      <c r="T74" s="26"/>
      <c r="U74" s="26"/>
      <c r="V74" s="26"/>
      <c r="W74" s="19" t="n">
        <f aca="false">W73+37.3</f>
        <v>223.8</v>
      </c>
      <c r="X74" s="25"/>
      <c r="Y74" s="19" t="n">
        <v>5</v>
      </c>
      <c r="Z74" s="19" t="n">
        <f aca="false">54*M74</f>
        <v>270</v>
      </c>
      <c r="AA74" s="27" t="n">
        <f aca="false">IF(AND(W74&gt;0,Z74&gt;0),(Z74/((W74+X74)*10)),"")</f>
        <v>0.120643431635389</v>
      </c>
      <c r="AB74" s="19" t="n">
        <v>125</v>
      </c>
      <c r="AC74" s="19" t="n">
        <f aca="false">ROUND(AB74*1.6, 0)</f>
        <v>200</v>
      </c>
      <c r="AF74" s="19" t="n">
        <v>23.8</v>
      </c>
      <c r="AG74" s="19" t="n">
        <v>23.8</v>
      </c>
      <c r="AH74" s="19" t="n">
        <v>2.73</v>
      </c>
      <c r="AJ74" s="28" t="n">
        <v>51</v>
      </c>
      <c r="AK74" s="19" t="str">
        <f aca="false">CONCATENATE(VLOOKUP(AL74, 'Voxel Sizes'!$A$2:$B$18,2,FALSE()),"x",INT(AH74*15), "x", INT(AI74*15))</f>
        <v>238x40x0</v>
      </c>
      <c r="AL74" s="19" t="n">
        <f aca="false">ROUND(15*((AG74*10)/256),0)</f>
        <v>14</v>
      </c>
      <c r="AN74" s="1" t="str">
        <f aca="false">CONCATENATE(VLOOKUP(AL74,Constants!$A$2:$C$16,IF(AM74&lt;&gt;"", 3, 2), FALSE()),IF(AM74&lt;&gt;"",CONCATENATE(",",VLOOKUP(AM74,$B:$AN,38,FALSE())),""))</f>
        <v>4,6,4</v>
      </c>
      <c r="AP74" s="29"/>
      <c r="AQ74" s="29"/>
      <c r="AR74" s="19" t="s">
        <v>461</v>
      </c>
      <c r="AT74" s="19" t="s">
        <v>130</v>
      </c>
      <c r="AU74" s="19" t="s">
        <v>457</v>
      </c>
      <c r="AX74" s="19" t="n">
        <v>29</v>
      </c>
      <c r="AY74" s="30" t="str">
        <f aca="false">IF(L74&lt;&gt;"",MAX(16,(L74-J74)+8),"")</f>
        <v/>
      </c>
      <c r="AZ74" s="19" t="n">
        <v>-15</v>
      </c>
      <c r="BA74" s="19" t="n">
        <v>-35</v>
      </c>
      <c r="BB74" s="19" t="n">
        <f aca="false">MIN(AB74/150, 1)*30</f>
        <v>25</v>
      </c>
      <c r="BC74" s="19" t="n">
        <f aca="false">MIN(N74/4000, 1)*20</f>
        <v>18.75</v>
      </c>
      <c r="BD74" s="19" t="n">
        <f aca="false">MIN(Z74/400,1)*20</f>
        <v>13.5</v>
      </c>
      <c r="BE74" s="27" t="n">
        <f aca="false">1-(MAX(J74-1900, 0)/750)</f>
        <v>0.862666666666667</v>
      </c>
      <c r="BF74" s="19" t="n">
        <f aca="false">((MAX($M74,1)*MIN($AJ74/300,1)))*IF(G74="Wagon",50,10)</f>
        <v>8.5</v>
      </c>
      <c r="BG74" s="1" t="n">
        <f aca="false">VLOOKUP($H74,Constants!$I:$K, 2, FALSE())</f>
        <v>1</v>
      </c>
      <c r="BH74" s="1" t="n">
        <f aca="false">VLOOKUP($H74,Constants!$I:$K, 3, FALSE())*IF(AND(G74="multiple_unit",AB74&lt;110),0.75,1)</f>
        <v>2</v>
      </c>
      <c r="BI74" s="1" t="n">
        <f aca="false">INT(POWER(((Constants!$G$2+$BB74+$BC74+$BD74+$BF74)*$BE74)*$BH74, 1.05))+$BA74</f>
        <v>120</v>
      </c>
      <c r="BJ74" s="1" t="n">
        <f aca="false">INT(POWER((((Constants!$G$1+$BB74+$BC74+$BD74+$BF74)*($BE74))*$BG74),IF($G74="wagon",1,1.2)))+$AZ74</f>
        <v>147</v>
      </c>
      <c r="BK74" s="31" t="n">
        <f aca="false">BI74*IF($G74="wagon",62.5,781.25)</f>
        <v>93750</v>
      </c>
      <c r="BL74" s="31" t="n">
        <f aca="false">BJ74*IF($G74="wagon",2.73,81.25)</f>
        <v>11943.75</v>
      </c>
      <c r="BQ74" s="19" t="s">
        <v>462</v>
      </c>
      <c r="BS74" s="1" t="s">
        <v>463</v>
      </c>
      <c r="BT74" s="19" t="n">
        <v>10</v>
      </c>
      <c r="BU74" s="19" t="n">
        <v>205</v>
      </c>
      <c r="BX74" s="19" t="s">
        <v>95</v>
      </c>
      <c r="BY74" s="1" t="s">
        <v>439</v>
      </c>
      <c r="BZ74" s="32" t="s">
        <v>205</v>
      </c>
      <c r="CA74" s="19" t="str">
        <f aca="false">CONCATENATE(BY74,"_",BZ74)</f>
        <v>prv_DMU (Express)</v>
      </c>
      <c r="CB74" s="19" t="str">
        <f aca="false">_xlfn.CONCAT(H74, "_",I74)</f>
        <v>diesel_RAIL</v>
      </c>
      <c r="CC74" s="21" t="str">
        <f aca="false">_xlfn.CONCAT("{BLACK}Length: {GOLD}", TEXT(ROUNDUP(IF(AQ74&lt;&gt;"",SUM(VALUE(_xlfn.TEXTSPLIT(AQ74, ","))), SUM(VALUE(_xlfn.TEXTSPLIT(AN74, ",")))*IF(M74, M74, 1))/16, 1), "#,##0.0"), " tiles{}")</f>
        <v>{BLACK}Length: {GOLD}4.4 tiles{}</v>
      </c>
      <c r="CD74" s="1" t="str">
        <f aca="false">VLOOKUP($CB74, Constants!$M:$N, 2, FALSE())</f>
        <v>{BLACK}Powered by: {GOLD}Diesel</v>
      </c>
      <c r="CE74" s="1" t="str">
        <f aca="false">IF(M74&gt;1,_xlfn.CONCAT("{BLACK}Cars: {GOLD}", M74),"")</f>
        <v>{BLACK}Cars: {GOLD}5</v>
      </c>
      <c r="CF74" s="19" t="s">
        <v>459</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{YELLOW}10% bonus for long distance travel{}</v>
      </c>
      <c r="CH74" s="1" t="str">
        <f aca="false">_xlfn.CONCAT(CD74,IF(CD74 &lt;&gt; "", " ", ""),CE74,IF(OR(CE74&lt;&gt;"", CD74&lt;&gt;""), "{}",""), CC74, CG74,"{SILVER}", CF74)</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75" s="19" customFormat="true" ht="13.8" hidden="false" customHeight="false" outlineLevel="0" collapsed="false">
      <c r="A75" s="19" t="s">
        <v>454</v>
      </c>
      <c r="B75" s="19" t="s">
        <v>464</v>
      </c>
      <c r="C75" s="19" t="n">
        <v>442</v>
      </c>
      <c r="D75" s="19" t="n">
        <v>440</v>
      </c>
      <c r="E75" s="19" t="n">
        <v>482</v>
      </c>
      <c r="F75" s="19" t="s">
        <v>89</v>
      </c>
      <c r="G75" s="19" t="s">
        <v>90</v>
      </c>
      <c r="H75" s="19" t="s">
        <v>152</v>
      </c>
      <c r="I75" s="19" t="s">
        <v>153</v>
      </c>
      <c r="J75" s="19" t="n">
        <v>2003</v>
      </c>
      <c r="M75" s="19" t="n">
        <v>7</v>
      </c>
      <c r="N75" s="19" t="n">
        <f aca="false">750*M75</f>
        <v>5250</v>
      </c>
      <c r="O75" s="25"/>
      <c r="P75" s="26"/>
      <c r="Q75" s="26"/>
      <c r="R75" s="26"/>
      <c r="S75" s="26"/>
      <c r="T75" s="26"/>
      <c r="U75" s="26"/>
      <c r="V75" s="26"/>
      <c r="W75" s="19" t="n">
        <f aca="false">W74+(37.3*2)</f>
        <v>298.4</v>
      </c>
      <c r="X75" s="25"/>
      <c r="Y75" s="19" t="n">
        <v>5</v>
      </c>
      <c r="Z75" s="19" t="n">
        <f aca="false">54*M75</f>
        <v>378</v>
      </c>
      <c r="AA75" s="27" t="n">
        <f aca="false">IF(AND(W75&gt;0,Z75&gt;0),(Z75/((W75+X75)*10)),"")</f>
        <v>0.126675603217158</v>
      </c>
      <c r="AB75" s="19" t="n">
        <v>125</v>
      </c>
      <c r="AC75" s="19" t="n">
        <f aca="false">ROUND(AB75*1.6, 0)</f>
        <v>200</v>
      </c>
      <c r="AF75" s="19" t="n">
        <v>23.8</v>
      </c>
      <c r="AG75" s="19" t="n">
        <v>23.8</v>
      </c>
      <c r="AH75" s="19" t="n">
        <v>2.73</v>
      </c>
      <c r="AJ75" s="28" t="n">
        <v>51</v>
      </c>
      <c r="AK75" s="19" t="str">
        <f aca="false">CONCATENATE(VLOOKUP(AL75, 'Voxel Sizes'!$A$2:$B$18,2,FALSE()),"x",INT(AH75*15), "x", INT(AI75*15))</f>
        <v>238x40x0</v>
      </c>
      <c r="AL75" s="19" t="n">
        <f aca="false">ROUND(15*((AG75*10)/256),0)</f>
        <v>14</v>
      </c>
      <c r="AN75" s="1" t="str">
        <f aca="false">CONCATENATE(VLOOKUP(AL75,Constants!$A$2:$C$16,IF(AM75&lt;&gt;"", 3, 2), FALSE()),IF(AM75&lt;&gt;"",CONCATENATE(",",VLOOKUP(AM75,$B:$AN,38,FALSE())),""))</f>
        <v>4,6,4</v>
      </c>
      <c r="AP75" s="29"/>
      <c r="AQ75" s="29"/>
      <c r="AR75" s="19" t="s">
        <v>465</v>
      </c>
      <c r="AT75" s="19" t="s">
        <v>466</v>
      </c>
      <c r="AU75" s="19" t="s">
        <v>457</v>
      </c>
      <c r="AX75" s="19" t="n">
        <v>29</v>
      </c>
      <c r="AY75" s="30" t="str">
        <f aca="false">IF(L75&lt;&gt;"",MAX(16,(L75-J75)+8),"")</f>
        <v/>
      </c>
      <c r="AZ75" s="19" t="n">
        <v>-15</v>
      </c>
      <c r="BA75" s="19" t="n">
        <v>-35</v>
      </c>
      <c r="BB75" s="19" t="n">
        <f aca="false">MIN(AB75/150, 1)*30</f>
        <v>25</v>
      </c>
      <c r="BC75" s="19" t="n">
        <f aca="false">MIN(N75/4000, 1)*20</f>
        <v>20</v>
      </c>
      <c r="BD75" s="19" t="n">
        <f aca="false">MIN(Z75/400,1)*20</f>
        <v>18.9</v>
      </c>
      <c r="BE75" s="27" t="n">
        <f aca="false">1-(MAX(J75-1900, 0)/750)</f>
        <v>0.862666666666667</v>
      </c>
      <c r="BF75" s="19" t="n">
        <f aca="false">((MAX($M75,1)*MIN($AJ75/300,1)))*IF(G75="Wagon",50,10)</f>
        <v>11.9</v>
      </c>
      <c r="BG75" s="1" t="n">
        <f aca="false">VLOOKUP($H75,Constants!$I:$K, 2, FALSE())</f>
        <v>1</v>
      </c>
      <c r="BH75" s="1" t="n">
        <f aca="false">VLOOKUP($H75,Constants!$I:$K, 3, FALSE())*IF(AND(G75="multiple_unit",AB75&lt;110),0.75,1)</f>
        <v>2</v>
      </c>
      <c r="BI75" s="1" t="n">
        <f aca="false">INT(POWER(((Constants!$G$2+$BB75+$BC75+$BD75+$BF75)*$BE75)*$BH75, 1.05))+$BA75</f>
        <v>143</v>
      </c>
      <c r="BJ75" s="1" t="n">
        <f aca="false">INT(POWER((((Constants!$G$1+$BB75+$BC75+$BD75+$BF75)*($BE75))*$BG75),IF($G75="wagon",1,1.2)))+$AZ75</f>
        <v>172</v>
      </c>
      <c r="BK75" s="31" t="n">
        <f aca="false">BI75*IF($G75="wagon",62.5,781.25)</f>
        <v>111718.75</v>
      </c>
      <c r="BL75" s="31" t="n">
        <f aca="false">BJ75*IF($G75="wagon",2.73,81.25)</f>
        <v>13975</v>
      </c>
      <c r="BQ75" s="19" t="s">
        <v>467</v>
      </c>
      <c r="BS75" s="1" t="s">
        <v>468</v>
      </c>
      <c r="BT75" s="19" t="n">
        <v>10</v>
      </c>
      <c r="BU75" s="19" t="n">
        <v>205</v>
      </c>
      <c r="BX75" s="19" t="s">
        <v>95</v>
      </c>
      <c r="BY75" s="1" t="s">
        <v>439</v>
      </c>
      <c r="BZ75" s="32" t="s">
        <v>205</v>
      </c>
      <c r="CA75" s="19" t="str">
        <f aca="false">CONCATENATE(BY75,"_",BZ75)</f>
        <v>prv_DMU (Express)</v>
      </c>
      <c r="CB75" s="19" t="str">
        <f aca="false">_xlfn.CONCAT(H75, "_",I75)</f>
        <v>diesel_RAIL</v>
      </c>
      <c r="CC75" s="21" t="str">
        <f aca="false">_xlfn.CONCAT("{BLACK}Length: {GOLD}", TEXT(ROUNDUP(IF(AQ75&lt;&gt;"",SUM(VALUE(_xlfn.TEXTSPLIT(AQ75, ","))), SUM(VALUE(_xlfn.TEXTSPLIT(AN75, ",")))*IF(M75, M75, 1))/16, 1), "#,##0.0"), " tiles{}")</f>
        <v>{BLACK}Length: {GOLD}6.2 tiles{}</v>
      </c>
      <c r="CD75" s="1" t="str">
        <f aca="false">VLOOKUP($CB75, Constants!$M:$N, 2, FALSE())</f>
        <v>{BLACK}Powered by: {GOLD}Diesel</v>
      </c>
      <c r="CE75" s="1" t="str">
        <f aca="false">IF(M75&gt;1,_xlfn.CONCAT("{BLACK}Cars: {GOLD}", M75),"")</f>
        <v>{BLACK}Cars: {GOLD}7</v>
      </c>
      <c r="CF75" s="19" t="s">
        <v>459</v>
      </c>
      <c r="CG75" s="1" t="str">
        <f aca="false">IF(BW75="buffet","{YELLOW}25% long distance bonus for consist{}",IF(BY75="BRAKE","{YELLOW}Speed bonus for slow wagons{}",IF(BU75&gt;190,CONCATENATE("{YELLOW}",INT((BU75-185)/1.85),"% bonus for long distance travel{}"),IF(AND(BU75&lt;180,BU75&lt;&gt;0),CONCATENATE("{YELLOW}",INT((185-BU75)/1.85),"% penalty for long distance travel{}"),""))))</f>
        <v>{YELLOW}10% bonus for long distance travel{}</v>
      </c>
      <c r="CH75" s="1" t="str">
        <f aca="false">_xlfn.CONCAT(CD75,IF(CD75 &lt;&gt; "", " ", ""),CE75,IF(OR(CE75&lt;&gt;"", CD75&lt;&gt;""), "{}",""), CC75, CG75,"{SILVER}", CF75)</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76" s="19" customFormat="true" ht="13.8" hidden="false" customHeight="false" outlineLevel="0" collapsed="false">
      <c r="A76" s="19" t="s">
        <v>454</v>
      </c>
      <c r="B76" s="19" t="s">
        <v>469</v>
      </c>
      <c r="C76" s="19" t="n">
        <v>443</v>
      </c>
      <c r="D76" s="19" t="n">
        <v>440</v>
      </c>
      <c r="E76" s="19" t="n">
        <v>483</v>
      </c>
      <c r="F76" s="19" t="s">
        <v>89</v>
      </c>
      <c r="G76" s="19" t="s">
        <v>90</v>
      </c>
      <c r="H76" s="19" t="s">
        <v>152</v>
      </c>
      <c r="I76" s="19" t="s">
        <v>153</v>
      </c>
      <c r="J76" s="19" t="n">
        <v>2003</v>
      </c>
      <c r="M76" s="19" t="n">
        <v>9</v>
      </c>
      <c r="N76" s="19" t="n">
        <f aca="false">750*M76</f>
        <v>6750</v>
      </c>
      <c r="O76" s="25"/>
      <c r="P76" s="26"/>
      <c r="Q76" s="26"/>
      <c r="R76" s="26"/>
      <c r="S76" s="26"/>
      <c r="T76" s="26"/>
      <c r="U76" s="26"/>
      <c r="V76" s="26"/>
      <c r="W76" s="19" t="n">
        <f aca="false">W75+(37.3*2)</f>
        <v>373</v>
      </c>
      <c r="X76" s="25"/>
      <c r="Y76" s="19" t="n">
        <v>5</v>
      </c>
      <c r="Z76" s="19" t="n">
        <f aca="false">54*M76</f>
        <v>486</v>
      </c>
      <c r="AA76" s="27" t="n">
        <f aca="false">IF(AND(W76&gt;0,Z76&gt;0),(Z76/((W76+X76)*10)),"")</f>
        <v>0.13029490616622</v>
      </c>
      <c r="AB76" s="19" t="n">
        <v>125</v>
      </c>
      <c r="AC76" s="19" t="n">
        <f aca="false">ROUND(AB76*1.6, 0)</f>
        <v>200</v>
      </c>
      <c r="AF76" s="19" t="n">
        <v>23.8</v>
      </c>
      <c r="AG76" s="19" t="n">
        <v>23.8</v>
      </c>
      <c r="AH76" s="19" t="n">
        <v>2.73</v>
      </c>
      <c r="AJ76" s="28" t="n">
        <v>51</v>
      </c>
      <c r="AK76" s="19" t="str">
        <f aca="false">CONCATENATE(VLOOKUP(AL76, 'Voxel Sizes'!$A$2:$B$18,2,FALSE()),"x",INT(AH76*15), "x", INT(AI76*15))</f>
        <v>238x40x0</v>
      </c>
      <c r="AL76" s="19" t="n">
        <f aca="false">ROUND(15*((AG76*10)/256),0)</f>
        <v>14</v>
      </c>
      <c r="AN76" s="1" t="str">
        <f aca="false">CONCATENATE(VLOOKUP(AL76,Constants!$A$2:$C$16,IF(AM76&lt;&gt;"", 3, 2), FALSE()),IF(AM76&lt;&gt;"",CONCATENATE(",",VLOOKUP(AM76,$B:$AN,38,FALSE())),""))</f>
        <v>4,6,4</v>
      </c>
      <c r="AP76" s="29"/>
      <c r="AQ76" s="29"/>
      <c r="AR76" s="19" t="s">
        <v>470</v>
      </c>
      <c r="AT76" s="19" t="s">
        <v>471</v>
      </c>
      <c r="AU76" s="19" t="s">
        <v>457</v>
      </c>
      <c r="AX76" s="19" t="n">
        <v>29</v>
      </c>
      <c r="AY76" s="30" t="str">
        <f aca="false">IF(L76&lt;&gt;"",MAX(16,(L76-J76)+8),"")</f>
        <v/>
      </c>
      <c r="AZ76" s="19" t="n">
        <v>-15</v>
      </c>
      <c r="BA76" s="19" t="n">
        <v>-35</v>
      </c>
      <c r="BB76" s="19" t="n">
        <f aca="false">MIN(AB76/150, 1)*30</f>
        <v>25</v>
      </c>
      <c r="BC76" s="19" t="n">
        <f aca="false">MIN(N76/4000, 1)*20</f>
        <v>20</v>
      </c>
      <c r="BD76" s="19" t="n">
        <f aca="false">MIN(Z76/400,1)*20</f>
        <v>20</v>
      </c>
      <c r="BE76" s="27" t="n">
        <f aca="false">1-(MAX(J76-1900, 0)/750)</f>
        <v>0.862666666666667</v>
      </c>
      <c r="BF76" s="19" t="n">
        <f aca="false">((MAX($M76,1)*MIN($AJ76/300,1)))*IF(G76="Wagon",50,10)</f>
        <v>15.3</v>
      </c>
      <c r="BG76" s="1" t="n">
        <f aca="false">VLOOKUP($H76,Constants!$I:$K, 2, FALSE())</f>
        <v>1</v>
      </c>
      <c r="BH76" s="1" t="n">
        <f aca="false">VLOOKUP($H76,Constants!$I:$K, 3, FALSE())*IF(AND(G76="multiple_unit",AB76&lt;110),0.75,1)</f>
        <v>2</v>
      </c>
      <c r="BI76" s="1" t="n">
        <f aca="false">INT(POWER(((Constants!$G$2+$BB76+$BC76+$BD76+$BF76)*$BE76)*$BH76, 1.05))+$BA76</f>
        <v>153</v>
      </c>
      <c r="BJ76" s="1" t="n">
        <f aca="false">INT(POWER((((Constants!$G$1+$BB76+$BC76+$BD76+$BF76)*($BE76))*$BG76),IF($G76="wagon",1,1.2)))+$AZ76</f>
        <v>183</v>
      </c>
      <c r="BK76" s="31" t="n">
        <f aca="false">BI76*IF($G76="wagon",62.5,781.25)</f>
        <v>119531.25</v>
      </c>
      <c r="BL76" s="31" t="n">
        <f aca="false">BJ76*IF($G76="wagon",2.73,81.25)</f>
        <v>14868.75</v>
      </c>
      <c r="BQ76" s="19" t="s">
        <v>472</v>
      </c>
      <c r="BS76" s="1" t="s">
        <v>468</v>
      </c>
      <c r="BT76" s="19" t="n">
        <v>10</v>
      </c>
      <c r="BU76" s="19" t="n">
        <v>205</v>
      </c>
      <c r="BX76" s="19" t="s">
        <v>95</v>
      </c>
      <c r="BY76" s="1" t="s">
        <v>439</v>
      </c>
      <c r="BZ76" s="32" t="s">
        <v>205</v>
      </c>
      <c r="CA76" s="19" t="str">
        <f aca="false">CONCATENATE(BY76,"_",BZ76)</f>
        <v>prv_DMU (Express)</v>
      </c>
      <c r="CB76" s="19" t="str">
        <f aca="false">_xlfn.CONCAT(H76, "_",I76)</f>
        <v>diesel_RAIL</v>
      </c>
      <c r="CC76" s="21" t="str">
        <f aca="false">_xlfn.CONCAT("{BLACK}Length: {GOLD}", TEXT(ROUNDUP(IF(AQ76&lt;&gt;"",SUM(VALUE(_xlfn.TEXTSPLIT(AQ76, ","))), SUM(VALUE(_xlfn.TEXTSPLIT(AN76, ",")))*IF(M76, M76, 1))/16, 1), "#,##0.0"), " tiles{}")</f>
        <v>{BLACK}Length: {GOLD}7.9 tiles{}</v>
      </c>
      <c r="CD76" s="1" t="str">
        <f aca="false">VLOOKUP($CB76, Constants!$M:$N, 2, FALSE())</f>
        <v>{BLACK}Powered by: {GOLD}Diesel</v>
      </c>
      <c r="CE76" s="1" t="str">
        <f aca="false">IF(M76&gt;1,_xlfn.CONCAT("{BLACK}Cars: {GOLD}", M76),"")</f>
        <v>{BLACK}Cars: {GOLD}9</v>
      </c>
      <c r="CF76" s="19" t="s">
        <v>459</v>
      </c>
      <c r="CG76" s="1" t="str">
        <f aca="false">IF(BW76="buffet","{YELLOW}25% long distance bonus for consist{}",IF(BY76="BRAKE","{YELLOW}Speed bonus for slow wagons{}",IF(BU76&gt;190,CONCATENATE("{YELLOW}",INT((BU76-185)/1.85),"% bonus for long distance travel{}"),IF(AND(BU76&lt;180,BU76&lt;&gt;0),CONCATENATE("{YELLOW}",INT((185-BU76)/1.85),"% penalty for long distance travel{}"),""))))</f>
        <v>{YELLOW}10% bonus for long distance travel{}</v>
      </c>
      <c r="CH76" s="1" t="str">
        <f aca="false">_xlfn.CONCAT(CD76,IF(CD76 &lt;&gt; "", " ", ""),CE76,IF(OR(CE76&lt;&gt;"", CD76&lt;&gt;""), "{}",""), CC76, CG76,"{SILVER}", CF76)</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77" customFormat="false" ht="13.8" hidden="false" customHeight="false" outlineLevel="0" collapsed="false">
      <c r="A77" s="1" t="s">
        <v>473</v>
      </c>
      <c r="B77" s="1" t="s">
        <v>474</v>
      </c>
      <c r="C77" s="1" t="n">
        <v>473</v>
      </c>
      <c r="E77" s="1" t="n">
        <v>490</v>
      </c>
      <c r="F77" s="1" t="s">
        <v>89</v>
      </c>
      <c r="G77" s="1" t="s">
        <v>147</v>
      </c>
      <c r="H77" s="1" t="s">
        <v>255</v>
      </c>
      <c r="I77" s="1" t="s">
        <v>153</v>
      </c>
      <c r="J77" s="1" t="n">
        <v>2014</v>
      </c>
      <c r="N77" s="1" t="n">
        <v>1600</v>
      </c>
      <c r="W77" s="1" t="n">
        <v>78</v>
      </c>
      <c r="Z77" s="1" t="n">
        <v>186</v>
      </c>
      <c r="AA77" s="4" t="n">
        <f aca="false">IF(AND(W77&gt;0,Z77&gt;0),(Z77/((W77+X77)*10)),"")</f>
        <v>0.238461538461538</v>
      </c>
      <c r="AB77" s="1" t="n">
        <v>90</v>
      </c>
      <c r="AC77" s="1" t="n">
        <f aca="false">ROUND(AB77*1.6, 0)</f>
        <v>144</v>
      </c>
      <c r="AF77" s="1" t="n">
        <v>16.36</v>
      </c>
      <c r="AG77" s="1" t="n">
        <v>16.36</v>
      </c>
      <c r="AJ77" s="5" t="n">
        <v>0</v>
      </c>
      <c r="AK77" s="19" t="str">
        <f aca="false">CONCATENATE(VLOOKUP(AL77, 'Voxel Sizes'!$A$2:$B$18,2,FALSE()),"x",INT(AH77*15), "x", INT(AI77*15))</f>
        <v>164x0x0</v>
      </c>
      <c r="AL77" s="1" t="n">
        <f aca="false">ROUND(15*((AG77*10)/256),0)</f>
        <v>10</v>
      </c>
      <c r="AN77" s="1" t="str">
        <f aca="false">CONCATENATE(VLOOKUP(AL77,Constants!$A$2:$C$16,IF(AM77&lt;&gt;"", 3, 2), FALSE()),IF(AM77&lt;&gt;"",CONCATENATE(",",VLOOKUP(AM77,$B:$AN,38,FALSE())),""))</f>
        <v>4,2,4</v>
      </c>
      <c r="AX77" s="1" t="n">
        <v>33</v>
      </c>
      <c r="AY77" s="6" t="str">
        <f aca="false">IF(L77&lt;&gt;"",MAX(16,(L77-J77)+8),"")</f>
        <v/>
      </c>
      <c r="BA77" s="1" t="n">
        <v>-30</v>
      </c>
      <c r="BB77" s="1" t="n">
        <f aca="false">MIN(AB77/150, 1)*30</f>
        <v>18</v>
      </c>
      <c r="BC77" s="1" t="n">
        <f aca="false">MIN(N77/4000, 1)*20</f>
        <v>8</v>
      </c>
      <c r="BD77" s="1" t="n">
        <f aca="false">MIN(Z77/400,1)*20</f>
        <v>9.3</v>
      </c>
      <c r="BE77" s="4" t="n">
        <f aca="false">1-(MAX(J77-1900, 0)/750)</f>
        <v>0.848</v>
      </c>
      <c r="BF77" s="1" t="n">
        <f aca="false">((MAX($M77,1)*MIN($AJ77/300,1)))*IF(G77="Wagon",50,10)</f>
        <v>0</v>
      </c>
      <c r="BG77" s="1" t="n">
        <f aca="false">VLOOKUP($H77,Constants!$I:$K, 2, FALSE())</f>
        <v>0.9</v>
      </c>
      <c r="BH77" s="1" t="n">
        <f aca="false">VLOOKUP($H77,Constants!$I:$K, 3, FALSE())*IF(AND(G77="multiple_unit",AB77&lt;110),0.75,1)</f>
        <v>2.5</v>
      </c>
      <c r="BI77" s="1" t="n">
        <f aca="false">INT(POWER(((Constants!$G$2+$BB77+$BC77+$BD77+$BF77)*$BE77)*$BH77, 1.05))+$BA77</f>
        <v>76</v>
      </c>
      <c r="BJ77" s="1" t="n">
        <f aca="false">INT(POWER((((Constants!$G$1+$BB77+$BC77+$BD77+$BF77)*($BE77))*$BG77),IF($G77="wagon",1,1.2)))+$AZ77</f>
        <v>79</v>
      </c>
      <c r="BK77" s="20" t="n">
        <f aca="false">BI77*IF($G77="wagon",62.5,781.25)</f>
        <v>59375</v>
      </c>
      <c r="BL77" s="20" t="n">
        <f aca="false">BJ77*IF($G77="wagon",2.73,81.25)</f>
        <v>6418.75</v>
      </c>
      <c r="BT77" s="1" t="n">
        <v>10</v>
      </c>
      <c r="BY77" s="1" t="str">
        <f aca="false">VLOOKUP(J77,Eras!$A$2:$C$10, 2, TRUE())</f>
        <v>mod</v>
      </c>
      <c r="BZ77" s="18" t="s">
        <v>475</v>
      </c>
      <c r="CA77" s="1" t="str">
        <f aca="false">CONCATENATE(BY77,"_",BZ77)</f>
        <v>mod_MT (Electric)</v>
      </c>
      <c r="CB77" s="1" t="str">
        <f aca="false">_xlfn.CONCAT(H77, "_",I77)</f>
        <v>dual_power_RAIL</v>
      </c>
      <c r="CC77" s="21" t="str">
        <f aca="false">_xlfn.CONCAT("{BLACK}Length: {GOLD}", TEXT(ROUNDUP(IF(AQ77&lt;&gt;"",SUM(VALUE(_xlfn.TEXTSPLIT(AQ77, ","))), SUM(VALUE(_xlfn.TEXTSPLIT(AN77, ",")))*IF(M77, M77, 1))/16, 1), "#,##0.0"), " tiles{}")</f>
        <v>{BLACK}Length: {GOLD}0.7 tiles{}</v>
      </c>
      <c r="CD77" s="1" t="str">
        <f aca="false">VLOOKUP($CB77, Constants!$M:$N, 2, FALSE())</f>
        <v>{BLACK}Powered by: {GOLD}750V DC / Diesel</v>
      </c>
      <c r="CE77" s="1" t="str">
        <f aca="false">IF(M77&gt;1,_xlfn.CONCAT("{BLACK}Cars: {GOLD}", M77),"")</f>
        <v/>
      </c>
      <c r="CF77" s="1" t="s">
        <v>476</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{BLACK}Powered by: {GOLD}750V DC / Diesel {}{BLACK}Length: {GOLD}0.7 tiles{}{SILVER}These re-engined and modernized Class 73s retained their ability to run from the third rail but received diesel engines capable of operating at an equivalent power level.</v>
      </c>
      <c r="CI77" s="1"/>
      <c r="CJ77" s="1"/>
    </row>
    <row r="78" customFormat="false" ht="13.8" hidden="false" customHeight="false" outlineLevel="0" collapsed="false">
      <c r="A78" s="1" t="s">
        <v>477</v>
      </c>
      <c r="B78" s="1" t="s">
        <v>478</v>
      </c>
      <c r="C78" s="1" t="n">
        <v>484</v>
      </c>
      <c r="E78" s="1" t="n">
        <v>500</v>
      </c>
      <c r="F78" s="1" t="s">
        <v>89</v>
      </c>
      <c r="G78" s="1" t="s">
        <v>90</v>
      </c>
      <c r="H78" s="1" t="s">
        <v>91</v>
      </c>
      <c r="I78" s="1" t="s">
        <v>248</v>
      </c>
      <c r="J78" s="1" t="n">
        <v>2012</v>
      </c>
      <c r="M78" s="1" t="n">
        <v>5</v>
      </c>
      <c r="N78" s="1" t="n">
        <v>3620</v>
      </c>
      <c r="W78" s="1" t="n">
        <v>200</v>
      </c>
      <c r="Y78" s="1" t="n">
        <v>5</v>
      </c>
      <c r="Z78" s="1" t="n">
        <v>240</v>
      </c>
      <c r="AA78" s="4" t="n">
        <f aca="false">IF(AND(W78&gt;0,Z78&gt;0),(Z78/((W78+X78)*10)),"")</f>
        <v>0.12</v>
      </c>
      <c r="AB78" s="1" t="n">
        <v>100</v>
      </c>
      <c r="AC78" s="1" t="n">
        <f aca="false">ROUND(AB78*1.6, 0)</f>
        <v>160</v>
      </c>
      <c r="AG78" s="1" t="n">
        <v>21</v>
      </c>
      <c r="AJ78" s="5" t="n">
        <v>54</v>
      </c>
      <c r="AK78" s="19" t="str">
        <f aca="false">CONCATENATE(VLOOKUP(AL78, 'Voxel Sizes'!$A$2:$B$18,2,FALSE()),"x",INT(AH78*15), "x", INT(AI78*15))</f>
        <v>198x0x0</v>
      </c>
      <c r="AL78" s="1" t="n">
        <f aca="false">ROUND(15*((AG78*10)/256),0)</f>
        <v>12</v>
      </c>
      <c r="AN78" s="1" t="str">
        <f aca="false">CONCATENATE(VLOOKUP(AL78,Constants!$A$2:$C$16,IF(AM78&lt;&gt;"", 3, 2), FALSE()),IF(AM78&lt;&gt;"",CONCATENATE(",",VLOOKUP(AM78,$B:$AN,38,FALSE())),""))</f>
        <v>4,4,4</v>
      </c>
      <c r="AR78" s="1" t="s">
        <v>479</v>
      </c>
      <c r="AT78" s="1" t="s">
        <v>480</v>
      </c>
      <c r="AU78" s="1" t="s">
        <v>481</v>
      </c>
      <c r="AX78" s="1" t="n">
        <v>27</v>
      </c>
      <c r="AY78" s="6" t="str">
        <f aca="false">IF(L78&lt;&gt;"",MAX(16,(L78-J78)+8),"")</f>
        <v/>
      </c>
      <c r="AZ78" s="1" t="n">
        <v>-15</v>
      </c>
      <c r="BA78" s="1" t="n">
        <v>-30</v>
      </c>
      <c r="BB78" s="1" t="n">
        <f aca="false">MIN(AB78/150, 1)*30</f>
        <v>20</v>
      </c>
      <c r="BC78" s="1" t="n">
        <f aca="false">MIN(N78/4000, 1)*20</f>
        <v>18.1</v>
      </c>
      <c r="BD78" s="1" t="n">
        <f aca="false">MIN(Z78/400,1)*20</f>
        <v>12</v>
      </c>
      <c r="BE78" s="4" t="n">
        <f aca="false">1-(MAX(J78-1900, 0)/750)</f>
        <v>0.850666666666667</v>
      </c>
      <c r="BF78" s="1" t="n">
        <f aca="false">((MAX($M78,1)*MIN($AJ78/300,1)))*IF(G78="Wagon",50,10)</f>
        <v>9</v>
      </c>
      <c r="BG78" s="1" t="n">
        <f aca="false">VLOOKUP($H78,Constants!$I:$K, 2, FALSE())</f>
        <v>0.85</v>
      </c>
      <c r="BH78" s="1" t="n">
        <f aca="false">VLOOKUP($H78,Constants!$I:$K, 3, FALSE())*IF(AND(G78="multiple_unit",AB78&lt;110),0.75,1)</f>
        <v>1.725</v>
      </c>
      <c r="BI78" s="1" t="n">
        <f aca="false">INT(POWER(((Constants!$G$2+$BB78+$BC78+$BD78+$BF78)*$BE78)*$BH78, 1.05))+$BA78</f>
        <v>88</v>
      </c>
      <c r="BJ78" s="1" t="n">
        <f aca="false">INT(POWER((((Constants!$G$1+$BB78+$BC78+$BD78+$BF78)*($BE78))*$BG78),IF($G78="wagon",1,1.2)))+$AZ78</f>
        <v>103</v>
      </c>
      <c r="BK78" s="20" t="n">
        <f aca="false">BI78*IF($G78="wagon",62.5,781.25)</f>
        <v>68750</v>
      </c>
      <c r="BL78" s="20" t="n">
        <f aca="false">BJ78*IF($G78="wagon",2.73,81.25)</f>
        <v>8368.75</v>
      </c>
      <c r="BT78" s="1" t="n">
        <v>4</v>
      </c>
      <c r="BU78" s="1" t="n">
        <v>205</v>
      </c>
      <c r="BX78" s="1" t="s">
        <v>95</v>
      </c>
      <c r="BY78" s="1" t="s">
        <v>482</v>
      </c>
      <c r="BZ78" s="18" t="s">
        <v>226</v>
      </c>
      <c r="CA78" s="1" t="str">
        <f aca="false">CONCATENATE(BY78,"_",BZ78)</f>
        <v>mod_EMU (Express)</v>
      </c>
      <c r="CB78" s="1" t="str">
        <f aca="false">_xlfn.CONCAT(H78, "_",I78)</f>
        <v>electric_THIRD_RAIL</v>
      </c>
      <c r="CC78" s="21" t="str">
        <f aca="false">_xlfn.CONCAT("{BLACK}Length: {GOLD}", TEXT(ROUNDUP(IF(AQ78&lt;&gt;"",SUM(VALUE(_xlfn.TEXTSPLIT(AQ78, ","))), SUM(VALUE(_xlfn.TEXTSPLIT(AN78, ",")))*IF(M78, M78, 1))/16, 1), "#,##0.0"), " tiles{}")</f>
        <v>{BLACK}Length: {GOLD}3.8 tiles{}</v>
      </c>
      <c r="CD78" s="1" t="str">
        <f aca="false">VLOOKUP($CB78, Constants!$M:$N, 2, FALSE())</f>
        <v>{BLACK}Powered by: {GOLD}750V DC</v>
      </c>
      <c r="CE78" s="1" t="str">
        <f aca="false">IF(M78&gt;1,_xlfn.CONCAT("{BLACK}Cars: {GOLD}", M78),"")</f>
        <v>{BLACK}Cars: {GOLD}5</v>
      </c>
      <c r="CF78" s="1" t="s">
        <v>483</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{YELLOW}10% bonus for long distance travel{}</v>
      </c>
      <c r="CH78" s="1" t="str">
        <f aca="false">_xlfn.CONCAT(CD78,IF(CD78 &lt;&gt; "", " ", ""),CE78,IF(OR(CE78&lt;&gt;"", CD78&lt;&gt;""), "{}",""), CC78, CG78,"{SILVER}", CF78)</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78" s="1"/>
      <c r="CJ78" s="1"/>
    </row>
    <row r="79" customFormat="false" ht="13.8" hidden="false" customHeight="false" outlineLevel="0" collapsed="false">
      <c r="A79" s="18" t="s">
        <v>484</v>
      </c>
      <c r="B79" s="18" t="s">
        <v>485</v>
      </c>
      <c r="C79" s="1" t="n">
        <v>11374</v>
      </c>
      <c r="E79" s="1" t="n">
        <v>510</v>
      </c>
      <c r="F79" s="1" t="s">
        <v>89</v>
      </c>
      <c r="G79" s="1" t="s">
        <v>90</v>
      </c>
      <c r="H79" s="1" t="s">
        <v>91</v>
      </c>
      <c r="I79" s="1" t="s">
        <v>92</v>
      </c>
      <c r="J79" s="1" t="n">
        <v>2014</v>
      </c>
      <c r="M79" s="1" t="n">
        <v>16</v>
      </c>
      <c r="N79" s="1" t="n">
        <v>21000</v>
      </c>
      <c r="W79" s="1" t="n">
        <v>171</v>
      </c>
      <c r="Y79" s="1" t="n">
        <v>5</v>
      </c>
      <c r="Z79" s="1" t="n">
        <v>480</v>
      </c>
      <c r="AA79" s="4" t="n">
        <f aca="false">IF(AND(W79&gt;0,Z79&gt;0),(Z79/((W79+X79)*10)),"")</f>
        <v>0.280701754385965</v>
      </c>
      <c r="AB79" s="1" t="n">
        <v>200</v>
      </c>
      <c r="AC79" s="1" t="n">
        <f aca="false">ROUND(AB79*1.6, 0)</f>
        <v>320</v>
      </c>
      <c r="AF79" s="1" t="n">
        <v>25.7</v>
      </c>
      <c r="AG79" s="1" t="n">
        <v>25.7</v>
      </c>
      <c r="AH79" s="1" t="n">
        <v>2.92</v>
      </c>
      <c r="AI79" s="1" t="n">
        <v>4.3</v>
      </c>
      <c r="AJ79" s="5" t="n">
        <v>56</v>
      </c>
      <c r="AK79" s="19" t="str">
        <f aca="false">CONCATENATE(VLOOKUP(AL79, 'Voxel Sizes'!$A$2:$B$18,2,FALSE()),"x",INT(AH79*15), "x", INT(AI79*15))</f>
        <v>256x43x64</v>
      </c>
      <c r="AL79" s="1" t="n">
        <f aca="false">ROUND(15*((AG79*10)/256),0)</f>
        <v>15</v>
      </c>
      <c r="AN79" s="1" t="str">
        <f aca="false">CONCATENATE(VLOOKUP(AL79,Constants!$A$2:$C$16,IF(AM79&lt;&gt;"", 3, 2), FALSE()),IF(AM79&lt;&gt;"",CONCATENATE(",",VLOOKUP(AM79,$B:$AN,38,FALSE())),""))</f>
        <v>4,7,4</v>
      </c>
      <c r="AO79" s="1" t="s">
        <v>486</v>
      </c>
      <c r="AP79" s="7" t="str">
        <f aca="false">E320_16_ULEN</f>
        <v>4,7,4,4,6,4,4,6,4,4,6,4,4,6,4,4,6,4,4,6,4,4,6,4,4,6,4,4,6,4,4,6,4,4,6,4,4,6,4,4,6,4,4,6,4,4,7,4</v>
      </c>
      <c r="AQ79" s="7" t="str">
        <f aca="false">E320_16_VLEN</f>
        <v>15,14,14,14,14,14,14,14,14,14,14,14,14,14,14,15</v>
      </c>
      <c r="AR79"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79" s="1" t="str">
        <f aca="false">E320_16_NV</f>
        <v>1,1,1,1,0,0,0,1,0,1,1,0,0,0,1,1</v>
      </c>
      <c r="AU79" s="1" t="s">
        <v>487</v>
      </c>
      <c r="AX79" s="1" t="n">
        <v>35</v>
      </c>
      <c r="AY79" s="6" t="str">
        <f aca="false">IF(L79&lt;&gt;"",MAX(16,(L79-J79)+8),"")</f>
        <v/>
      </c>
      <c r="AZ79" s="1" t="n">
        <v>25</v>
      </c>
      <c r="BA79" s="1" t="n">
        <v>-15</v>
      </c>
      <c r="BB79" s="1" t="n">
        <f aca="false">MIN(AB79/150, 1)*30</f>
        <v>30</v>
      </c>
      <c r="BC79" s="1" t="n">
        <f aca="false">MIN(N79/4000, 1)*20</f>
        <v>20</v>
      </c>
      <c r="BD79" s="1" t="n">
        <f aca="false">MIN(Z79/400,1)*20</f>
        <v>20</v>
      </c>
      <c r="BE79" s="4" t="n">
        <f aca="false">1-(MAX(J79-1900, 0)/750)</f>
        <v>0.848</v>
      </c>
      <c r="BF79" s="1" t="n">
        <f aca="false">((MAX($M79,1)*MIN($AJ79/300,1)))*IF(G79="Wagon",50,10)</f>
        <v>29.8666666666667</v>
      </c>
      <c r="BG79" s="1" t="n">
        <f aca="false">VLOOKUP($H79,Constants!$I:$K, 2, FALSE())</f>
        <v>0.85</v>
      </c>
      <c r="BH79" s="1" t="n">
        <f aca="false">VLOOKUP($H79,Constants!$I:$K, 3, FALSE())*IF(AND(G79="multiple_unit",AB79&lt;110),0.75,1)</f>
        <v>2.3</v>
      </c>
      <c r="BI79" s="1" t="n">
        <f aca="false">INT(POWER(((Constants!$G$2+$BB79+$BC79+$BD79+$BF79)*$BE79)*$BH79, 1.05))+$BA79</f>
        <v>251</v>
      </c>
      <c r="BJ79" s="1" t="n">
        <f aca="false">INT(POWER((((Constants!$G$1+$BB79+$BC79+$BD79+$BF79)*($BE79))*$BG79),IF($G79="wagon",1,1.2)))+$AZ79</f>
        <v>225</v>
      </c>
      <c r="BK79" s="20" t="n">
        <f aca="false">BI79*IF($G79="wagon",62.5,781.25)</f>
        <v>196093.75</v>
      </c>
      <c r="BL79" s="20" t="n">
        <f aca="false">BJ79*IF($G79="wagon",2.73,81.25)</f>
        <v>18281.25</v>
      </c>
      <c r="BT79" s="1" t="n">
        <v>6</v>
      </c>
      <c r="BU79" s="1" t="n">
        <v>185</v>
      </c>
      <c r="BV79" s="1" t="s">
        <v>225</v>
      </c>
      <c r="BW79" s="18" t="s">
        <v>233</v>
      </c>
      <c r="BX79" s="1" t="s">
        <v>95</v>
      </c>
      <c r="BY79" s="1" t="s">
        <v>482</v>
      </c>
      <c r="BZ79" s="18" t="s">
        <v>226</v>
      </c>
      <c r="CA79" s="1" t="str">
        <f aca="false">CONCATENATE(BY79,"_",BZ79)</f>
        <v>mod_EMU (Express)</v>
      </c>
      <c r="CB79" s="1" t="str">
        <f aca="false">_xlfn.CONCAT(H79, "_",I79)</f>
        <v>electric_ELRL</v>
      </c>
      <c r="CC79" s="21" t="str">
        <f aca="false">_xlfn.CONCAT("{BLACK}Length: {GOLD}", TEXT(ROUNDUP(IF(AQ79&lt;&gt;"",SUM(VALUE(_xlfn.TEXTSPLIT(AQ79, ","))), SUM(VALUE(_xlfn.TEXTSPLIT(AN79, ",")))*IF(M79, M79, 1))/16, 1), "#,##0.0"), " tiles{}")</f>
        <v>{BLACK}Length: {GOLD}14.2 tiles{}</v>
      </c>
      <c r="CD79" s="1" t="str">
        <f aca="false">VLOOKUP($CB79, Constants!$M:$N, 2, FALSE())</f>
        <v>{BLACK}Powered by: {GOLD}25kV AC</v>
      </c>
      <c r="CE79" s="1" t="str">
        <f aca="false">IF(M79&gt;1,_xlfn.CONCAT("{BLACK}Cars: {GOLD}", M79),"")</f>
        <v>{BLACK}Cars: {GOLD}16</v>
      </c>
      <c r="CF79" s="1" t="s">
        <v>488</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{YELLOW}25% long distance bonus for consist{}</v>
      </c>
      <c r="CH79" s="1" t="str">
        <f aca="false">_xlfn.CONCAT(CD79,IF(CD79 &lt;&gt; "", " ", ""),CE79,IF(OR(CE79&lt;&gt;"", CD79&lt;&gt;""), "{}",""), CC79, CG79,"{SILVER}", CF79)</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79" s="1"/>
      <c r="CJ79" s="1"/>
    </row>
    <row r="80" customFormat="false" ht="13.8" hidden="false" customHeight="false" outlineLevel="0" collapsed="false">
      <c r="A80" s="18" t="s">
        <v>484</v>
      </c>
      <c r="B80" s="18" t="s">
        <v>489</v>
      </c>
      <c r="C80" s="1" t="n">
        <v>11375</v>
      </c>
      <c r="D80" s="1" t="n">
        <v>11374</v>
      </c>
      <c r="E80" s="1" t="n">
        <v>510</v>
      </c>
      <c r="F80" s="1" t="s">
        <v>89</v>
      </c>
      <c r="G80" s="1" t="s">
        <v>90</v>
      </c>
      <c r="H80" s="1" t="s">
        <v>91</v>
      </c>
      <c r="I80" s="1" t="s">
        <v>92</v>
      </c>
      <c r="J80" s="1" t="n">
        <v>2014</v>
      </c>
      <c r="M80" s="1" t="n">
        <v>12</v>
      </c>
      <c r="N80" s="1" t="n">
        <v>15750</v>
      </c>
      <c r="W80" s="1" t="n">
        <v>170</v>
      </c>
      <c r="Y80" s="1" t="n">
        <v>5</v>
      </c>
      <c r="Z80" s="1" t="n">
        <v>360</v>
      </c>
      <c r="AA80" s="4" t="n">
        <f aca="false">IF(AND(W80&gt;0,Z80&gt;0),(Z80/((W80+X80)*10)),"")</f>
        <v>0.211764705882353</v>
      </c>
      <c r="AB80" s="1" t="n">
        <v>200</v>
      </c>
      <c r="AC80" s="1" t="n">
        <f aca="false">ROUND(AB80*1.6, 0)</f>
        <v>320</v>
      </c>
      <c r="AF80" s="1" t="n">
        <v>25.7</v>
      </c>
      <c r="AG80" s="1" t="n">
        <v>25.7</v>
      </c>
      <c r="AH80" s="1" t="n">
        <v>2.92</v>
      </c>
      <c r="AI80" s="1" t="n">
        <v>4.3</v>
      </c>
      <c r="AJ80" s="5" t="n">
        <v>53</v>
      </c>
      <c r="AK80" s="19" t="str">
        <f aca="false">CONCATENATE(VLOOKUP(AL80, 'Voxel Sizes'!$A$2:$B$18,2,FALSE()),"x",INT(AH80*15), "x", INT(AI80*15))</f>
        <v>256x43x64</v>
      </c>
      <c r="AL80" s="1" t="n">
        <f aca="false">ROUND(15*((AG80*10)/256),0)</f>
        <v>15</v>
      </c>
      <c r="AN80" s="1" t="str">
        <f aca="false">CONCATENATE(VLOOKUP(AL80,Constants!$A$2:$C$16,IF(AM80&lt;&gt;"", 3, 2), FALSE()),IF(AM80&lt;&gt;"",CONCATENATE(",",VLOOKUP(AM80,$B:$AN,38,FALSE())),""))</f>
        <v>4,7,4</v>
      </c>
      <c r="AO80" s="1" t="s">
        <v>490</v>
      </c>
      <c r="AP80" s="7" t="str">
        <f aca="false">E320_12_ULEN</f>
        <v>4,7,4,4,6,4,4,6,4,4,6,4,4,6,4,4,6,4,4,6,4,4,6,4,4,6,4,4,6,4,4,6,4,4,7,4</v>
      </c>
      <c r="AQ80" s="7" t="str">
        <f aca="false">E320_12_VLEN</f>
        <v>15,14,14,14,14,14,14,14,14,14,14,15</v>
      </c>
      <c r="AR80" s="1" t="str">
        <f aca="false">E320_12_VEH</f>
        <v>eurostar_e320_front,eurostar_e320_p,eurostar_e320_pd,eurostar_e320_m,eurostar_e320_pd,eurostar_e320_mc,eurostar_e320_mc,eurostar_e320_pdr,eurostar_e320_mr,eurostar_e320_pdr,eurostar_e320_pr,eurostar_e320_rear</v>
      </c>
      <c r="AT80" s="1" t="str">
        <f aca="false">E320_12_NV</f>
        <v>0,0,0,0,0,0,0,0,0,0,0,0</v>
      </c>
      <c r="AU80" s="1" t="s">
        <v>487</v>
      </c>
      <c r="AX80" s="1" t="n">
        <v>35</v>
      </c>
      <c r="AY80" s="6" t="str">
        <f aca="false">IF(L80&lt;&gt;"",MAX(16,(L80-J80)+8),"")</f>
        <v/>
      </c>
      <c r="AZ80" s="1" t="n">
        <v>-10</v>
      </c>
      <c r="BA80" s="1" t="n">
        <v>-30</v>
      </c>
      <c r="BB80" s="1" t="n">
        <f aca="false">MIN(AB80/150, 1)*30</f>
        <v>30</v>
      </c>
      <c r="BC80" s="1" t="n">
        <f aca="false">MIN(N80/4000, 1)*20</f>
        <v>20</v>
      </c>
      <c r="BD80" s="1" t="n">
        <f aca="false">MIN(Z80/400,1)*20</f>
        <v>18</v>
      </c>
      <c r="BE80" s="4" t="n">
        <f aca="false">1-(MAX(J80-1900, 0)/750)</f>
        <v>0.848</v>
      </c>
      <c r="BF80" s="1" t="n">
        <f aca="false">((MAX($M80,1)*MIN($AJ80/300,1)))*IF(G80="Wagon",50,10)</f>
        <v>21.2</v>
      </c>
      <c r="BG80" s="1" t="n">
        <f aca="false">VLOOKUP($H80,Constants!$I:$K, 2, FALSE())</f>
        <v>0.85</v>
      </c>
      <c r="BH80" s="1" t="n">
        <f aca="false">VLOOKUP($H80,Constants!$I:$K, 3, FALSE())*IF(AND(G80="multiple_unit",AB80&lt;110),0.75,1)</f>
        <v>2.3</v>
      </c>
      <c r="BI80" s="1" t="n">
        <f aca="false">INT(POWER(((Constants!$G$2+$BB80+$BC80+$BD80+$BF80)*$BE80)*$BH80, 1.05))+$BA80</f>
        <v>208</v>
      </c>
      <c r="BJ80" s="1" t="n">
        <f aca="false">INT(POWER((((Constants!$G$1+$BB80+$BC80+$BD80+$BF80)*($BE80))*$BG80),IF($G80="wagon",1,1.2)))+$AZ80</f>
        <v>168</v>
      </c>
      <c r="BK80" s="20" t="n">
        <f aca="false">BI80*IF($G80="wagon",62.5,781.25)</f>
        <v>162500</v>
      </c>
      <c r="BL80" s="20" t="n">
        <f aca="false">BJ80*IF($G80="wagon",2.73,81.25)</f>
        <v>13650</v>
      </c>
      <c r="BT80" s="1" t="n">
        <v>6</v>
      </c>
      <c r="BU80" s="1" t="n">
        <v>185</v>
      </c>
      <c r="BV80" s="1" t="s">
        <v>225</v>
      </c>
      <c r="BW80" s="18"/>
      <c r="BX80" s="1" t="s">
        <v>95</v>
      </c>
      <c r="BY80" s="1" t="s">
        <v>482</v>
      </c>
      <c r="BZ80" s="18" t="s">
        <v>226</v>
      </c>
      <c r="CA80" s="1" t="str">
        <f aca="false">CONCATENATE(BY80,"_",BZ80)</f>
        <v>mod_EMU (Express)</v>
      </c>
      <c r="CB80" s="1" t="str">
        <f aca="false">_xlfn.CONCAT(H80, "_",I80)</f>
        <v>electric_ELRL</v>
      </c>
      <c r="CC80" s="21" t="str">
        <f aca="false">_xlfn.CONCAT("{BLACK}Length: {GOLD}", TEXT(ROUNDUP(IF(AQ80&lt;&gt;"",SUM(VALUE(_xlfn.TEXTSPLIT(AQ80, ","))), SUM(VALUE(_xlfn.TEXTSPLIT(AN80, ",")))*IF(M80, M80, 1))/16, 1), "#,##0.0"), " tiles{}")</f>
        <v>{BLACK}Length: {GOLD}10.7 tiles{}</v>
      </c>
      <c r="CD80" s="1" t="str">
        <f aca="false">VLOOKUP($CB80, Constants!$M:$N, 2, FALSE())</f>
        <v>{BLACK}Powered by: {GOLD}25kV AC</v>
      </c>
      <c r="CE80" s="1" t="str">
        <f aca="false">IF(M80&gt;1,_xlfn.CONCAT("{BLACK}Cars: {GOLD}", M80),"")</f>
        <v>{BLACK}Cars: {GOLD}12</v>
      </c>
      <c r="CF80" s="1" t="s">
        <v>491</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
      </c>
      <c r="CH80" s="1" t="str">
        <f aca="false">_xlfn.CONCAT(CD80,IF(CD80 &lt;&gt; "", " ", ""),CE80,IF(OR(CE80&lt;&gt;"", CD80&lt;&gt;""), "{}",""), CC80, CG80,"{SILVER}", CF80)</f>
        <v>{BLACK}Powered by: {GOLD}25kV AC {BLACK}Cars: {GOLD}12{}{BLACK}Length: {GOLD}10.7 tiles{}{SILVER}A fictional shorter Class 374 variant…</v>
      </c>
      <c r="CI80" s="1"/>
      <c r="CJ80" s="1"/>
    </row>
    <row r="81" customFormat="false" ht="13.8" hidden="false" customHeight="false" outlineLevel="0" collapsed="false">
      <c r="A81" s="36" t="s">
        <v>492</v>
      </c>
      <c r="B81" s="36" t="s">
        <v>493</v>
      </c>
      <c r="C81" s="0" t="n">
        <v>509</v>
      </c>
      <c r="D81" s="0"/>
      <c r="E81" s="0" t="n">
        <v>511</v>
      </c>
      <c r="F81" s="0" t="s">
        <v>89</v>
      </c>
      <c r="G81" s="0" t="s">
        <v>90</v>
      </c>
      <c r="H81" s="0" t="s">
        <v>255</v>
      </c>
      <c r="I81" s="0" t="s">
        <v>92</v>
      </c>
      <c r="J81" s="0" t="n">
        <v>2017</v>
      </c>
      <c r="K81" s="0"/>
      <c r="L81" s="0"/>
      <c r="M81" s="0" t="n">
        <v>5</v>
      </c>
      <c r="N81" s="0" t="n">
        <v>3200</v>
      </c>
      <c r="O81" s="37" t="n">
        <v>2250</v>
      </c>
      <c r="P81" s="38"/>
      <c r="Q81" s="38"/>
      <c r="R81" s="38"/>
      <c r="S81" s="38"/>
      <c r="T81" s="38"/>
      <c r="U81" s="38"/>
      <c r="V81" s="38"/>
      <c r="W81" s="36" t="n">
        <v>243</v>
      </c>
      <c r="X81" s="37"/>
      <c r="Y81" s="36" t="n">
        <v>5</v>
      </c>
      <c r="Z81" s="36" t="n">
        <v>195</v>
      </c>
      <c r="AA81" s="39" t="n">
        <f aca="false">IF(AND(W81&gt;0,Z81&gt;0),(Z81/((W81+X81)*10)),"")</f>
        <v>0.0802469135802469</v>
      </c>
      <c r="AB81" s="36" t="n">
        <v>140</v>
      </c>
      <c r="AC81" s="36" t="n">
        <f aca="false">ROUND(AB81*1.6, 0)</f>
        <v>224</v>
      </c>
      <c r="AD81" s="36"/>
      <c r="AE81" s="36"/>
      <c r="AF81" s="36" t="n">
        <v>26</v>
      </c>
      <c r="AG81" s="36" t="n">
        <v>24</v>
      </c>
      <c r="AH81" s="36"/>
      <c r="AI81" s="36"/>
      <c r="AJ81" s="40" t="n">
        <v>66</v>
      </c>
      <c r="AK81" s="36" t="str">
        <f aca="false">CONCATENATE(VLOOKUP(AL81, '[1]Voxel Sizes'!$A$2:$B$18,2,FALSE()),"x",INT(AH81*15), "x", INT(AI81*15))</f>
        <v>238x0x0</v>
      </c>
      <c r="AL81" s="36" t="n">
        <f aca="false">ROUND(15*((AG81*10)/256),0)</f>
        <v>14</v>
      </c>
      <c r="AM81" s="36"/>
      <c r="AN81" s="36" t="str">
        <f aca="false">CONCATENATE(VLOOKUP(AL81,[1]Constants!$A$2:$C$16,IF(AM81&lt;&gt;"", 3, 2), FALSE()),IF(AM81&lt;&gt;"",CONCATENATE(",",VLOOKUP(AM81,$B:$AN,39,FALSE())),""))</f>
        <v>4,6,4</v>
      </c>
      <c r="AO81" s="36" t="n">
        <v>12</v>
      </c>
      <c r="AP81" s="41"/>
      <c r="AQ81" s="41"/>
      <c r="AR81" s="0" t="s">
        <v>494</v>
      </c>
      <c r="AS81" s="0" t="s">
        <v>495</v>
      </c>
      <c r="AT81" s="0" t="s">
        <v>480</v>
      </c>
      <c r="AU81" s="0"/>
      <c r="AV81" s="0"/>
      <c r="AW81" s="0"/>
      <c r="AX81" s="0" t="n">
        <v>30</v>
      </c>
      <c r="AY81" s="42" t="str">
        <f aca="false">IF(L81&lt;&gt;"",MAX(16,(L81-J81)+8),"")</f>
        <v/>
      </c>
      <c r="AZ81" s="36" t="n">
        <v>-15</v>
      </c>
      <c r="BA81" s="36" t="n">
        <v>-30</v>
      </c>
      <c r="BB81" s="36" t="n">
        <f aca="false">MIN(AB81/150, 1)*30</f>
        <v>28</v>
      </c>
      <c r="BC81" s="36" t="n">
        <f aca="false">MIN(N81/4000, 1)*20</f>
        <v>16</v>
      </c>
      <c r="BD81" s="36" t="n">
        <f aca="false">MIN(Z81/400,1)*20</f>
        <v>9.75</v>
      </c>
      <c r="BE81" s="39" t="n">
        <f aca="false">1-(MAX(J81-1900, 0)/750)</f>
        <v>0.844</v>
      </c>
      <c r="BF81" s="36" t="n">
        <f aca="false">((MAX($M81,1)*MIN($AJ81/300,1)))*IF(G81="Wagon",50,10)</f>
        <v>11</v>
      </c>
      <c r="BG81" s="1" t="n">
        <f aca="false">VLOOKUP($H81,Constants!$I:$K, 2, FALSE())</f>
        <v>0.9</v>
      </c>
      <c r="BH81" s="1" t="n">
        <f aca="false">VLOOKUP($H81,Constants!$I:$K, 3, FALSE())*IF(AND(G81="multiple_unit",AB81&lt;110),0.75,1)</f>
        <v>2.5</v>
      </c>
      <c r="BI81" s="36" t="n">
        <f aca="false">INT(POWER((([1]Constants!$G$2+$BB81+$BC81+$BD81+$BF81)*$BE81)*$BH81, 1.05))+$BA81</f>
        <v>158</v>
      </c>
      <c r="BJ81" s="36" t="n">
        <f aca="false">INT(POWER(((([1]Constants!$G$1+$BB81+$BC81+$BD81+$BF81)*($BE81))*$BG81),IF($G81="wagon",1,1.2)))+$AZ81</f>
        <v>122</v>
      </c>
      <c r="BK81" s="43" t="n">
        <f aca="false">BI81*IF($G81="wagon",62.5,781.25)</f>
        <v>123437.5</v>
      </c>
      <c r="BL81" s="43" t="n">
        <f aca="false">BJ81*IF($G81="wagon",2.73,81.25)</f>
        <v>9912.5</v>
      </c>
      <c r="BM81" s="36"/>
      <c r="BN81" s="36"/>
      <c r="BO81" s="36"/>
      <c r="BP81" s="36"/>
      <c r="BQ81" s="19" t="str">
        <f aca="false">_xlfn.ORG.LIBREOFFICE.REGEX(_xlfn.ORG.LIBREOFFICE.REGEX(IETMUVEHICLES, _xlfn.CONCAT(B81, ",?"), ""), ",$", "")</f>
        <v>class_800_9,class_801_5,class_801_9,class_802_5,class_802_9</v>
      </c>
      <c r="BR81" s="36"/>
      <c r="BS81" s="36"/>
      <c r="BT81" s="36" t="n">
        <v>10</v>
      </c>
      <c r="BU81" s="36" t="n">
        <v>222</v>
      </c>
      <c r="BV81" s="36"/>
      <c r="BW81" s="36"/>
      <c r="BX81" s="36" t="s">
        <v>95</v>
      </c>
      <c r="BY81" s="36" t="str">
        <f aca="false">VLOOKUP(J81,[1]Eras!$A$2:$C$10, 2, TRUE())</f>
        <v>mod</v>
      </c>
      <c r="BZ81" s="36" t="s">
        <v>226</v>
      </c>
      <c r="CA81" s="0" t="str">
        <f aca="false">CONCATENATE(BY81,"_",BZ81)</f>
        <v>mod_EMU (Express)</v>
      </c>
      <c r="CB81" s="0" t="str">
        <f aca="false">_xlfn.CONCAT(H81, "_",I81)</f>
        <v>dual_power_ELRL</v>
      </c>
      <c r="CC81" s="44" t="str">
        <f aca="false" t="array" ref="CC81:CC81">_xlfn.CONCAT("{BLACK}Length: {GOLD}", TEXT(ROUNDUP(IF(AQ81&lt;&gt;"",SUM(VALUE(_xlfn.TEXTSPLIT(AQ81, ","))), SUM(VALUE(_xlfn.TEXTSPLIT(AN81, ",")))*IF(M81, M81, 1))/16, 1), "#,##0.0"), " tiles{}")</f>
        <v>{BLACK}Length: {GOLD}4.4 tiles{}</v>
      </c>
      <c r="CD81" s="1" t="str">
        <f aca="false">VLOOKUP($CB81, Constants!$M:$N, 2, FALSE())</f>
        <v>{BLACK}Powered by: {GOLD}25kV AC / Diesel</v>
      </c>
      <c r="CE81" s="0" t="str">
        <f aca="false">IF(M81&gt;1,_xlfn.CONCAT("{BLACK}Cars: {GOLD}", M81),"")</f>
        <v>{BLACK}Cars: {GOLD}5</v>
      </c>
      <c r="CF81" s="0" t="s">
        <v>496</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{YELLOW}20% bonus for long distance travel{}</v>
      </c>
      <c r="CH81" s="1" t="str">
        <f aca="false">_xlfn.CONCAT(CD81,IF(CD81 &lt;&gt; "", " ", ""),CE81,IF(OR(CE81&lt;&gt;"", CD81&lt;&gt;""), "{}",""), CC81, CG81,"{SILVER}", CF81)</f>
        <v>{BLACK}Powered by: {GOLD}25kV AC / Diesel {BLACK}Cars: {GOLD}5{}{BLACK}Length: {GOLD}4.4 tiles{}{YELLOW}20% bonus for long distance travel{}{SILVER}The Class 800 "Azuma" (on LNER) or "IET" (on GWR) is a high speed bi-mode unit based on the Hitachi AT300 series. It is designed to replace HST and Class 91 hauled services on Intercity routes.</v>
      </c>
      <c r="CI81" s="0"/>
      <c r="CJ81" s="0"/>
      <c r="CK81" s="0"/>
      <c r="CL81" s="0"/>
      <c r="CM81" s="0"/>
      <c r="CN81" s="0"/>
      <c r="CO81" s="0"/>
      <c r="CP81" s="0"/>
      <c r="CQ81" s="0"/>
      <c r="CR81" s="0"/>
      <c r="CS81" s="0"/>
      <c r="CT81" s="0"/>
      <c r="CU81" s="0"/>
      <c r="CV81" s="0"/>
      <c r="CW81" s="0"/>
      <c r="CX81" s="0"/>
      <c r="CY81" s="0"/>
      <c r="CZ81" s="0"/>
      <c r="DA81" s="0"/>
      <c r="DB81" s="0"/>
      <c r="DC81" s="0"/>
      <c r="DD81" s="0"/>
      <c r="DE81" s="0"/>
      <c r="DF81" s="0"/>
      <c r="DG81" s="0"/>
      <c r="DH81" s="0"/>
      <c r="DI81" s="0"/>
      <c r="DJ81" s="0"/>
      <c r="DK81" s="0"/>
      <c r="DL81" s="0"/>
      <c r="DM81" s="0"/>
      <c r="DN81" s="0"/>
      <c r="DO81" s="0"/>
      <c r="DP81" s="0"/>
      <c r="DQ81" s="0"/>
      <c r="DR81" s="0"/>
      <c r="DS81" s="0"/>
      <c r="DT81" s="0"/>
      <c r="DU81" s="0"/>
      <c r="DV81" s="0"/>
      <c r="DW81" s="0"/>
      <c r="DX81" s="0"/>
      <c r="DY81" s="0"/>
      <c r="DZ81" s="0"/>
      <c r="EA81" s="0"/>
      <c r="EB81" s="0"/>
      <c r="EC81" s="0"/>
      <c r="ED81" s="0"/>
      <c r="EE81" s="0"/>
      <c r="EF81" s="0"/>
      <c r="EG81" s="0"/>
      <c r="EH81" s="0"/>
      <c r="EI81" s="0"/>
      <c r="EJ81" s="0"/>
      <c r="EK81" s="0"/>
      <c r="EL81" s="0"/>
      <c r="EM81" s="0"/>
      <c r="EN81" s="0"/>
      <c r="EO81" s="0"/>
      <c r="EP81" s="0"/>
      <c r="EQ81" s="0"/>
      <c r="ER81" s="0"/>
      <c r="ES81" s="0"/>
      <c r="ET81" s="0"/>
      <c r="EU81" s="0"/>
      <c r="EV81" s="0"/>
      <c r="EW81" s="0"/>
      <c r="EX81" s="0"/>
      <c r="EY81" s="0"/>
      <c r="EZ81" s="0"/>
      <c r="FA81" s="0"/>
      <c r="FB81" s="0"/>
      <c r="FC81" s="0"/>
      <c r="FD81" s="0"/>
      <c r="FE81" s="0"/>
      <c r="FF81" s="0"/>
      <c r="FG81" s="0"/>
      <c r="FH81" s="0"/>
      <c r="FI81" s="0"/>
      <c r="FJ81" s="0"/>
      <c r="FK81" s="0"/>
      <c r="FL81" s="0"/>
      <c r="FM81" s="0"/>
      <c r="FN81" s="0"/>
      <c r="FO81" s="0"/>
      <c r="FP81" s="0"/>
      <c r="FQ81" s="0"/>
      <c r="FR81" s="0"/>
      <c r="FS81" s="0"/>
      <c r="FT81" s="0"/>
      <c r="FU81" s="0"/>
      <c r="FV81" s="0"/>
      <c r="FW81" s="0"/>
      <c r="FX81" s="0"/>
      <c r="FY81" s="0"/>
      <c r="FZ81" s="0"/>
      <c r="GA81" s="0"/>
      <c r="GB81" s="0"/>
      <c r="GC81" s="0"/>
      <c r="GD81" s="0"/>
      <c r="GE81" s="0"/>
      <c r="GF81" s="0"/>
      <c r="GG81" s="0"/>
      <c r="GH81" s="0"/>
      <c r="GI81" s="0"/>
      <c r="GJ81" s="0"/>
      <c r="GK81" s="0"/>
      <c r="GL81" s="0"/>
      <c r="GM81" s="0"/>
      <c r="GN81" s="0"/>
      <c r="GO81" s="0"/>
      <c r="GP81" s="0"/>
      <c r="GQ81" s="0"/>
      <c r="GR81" s="0"/>
      <c r="GS81" s="0"/>
      <c r="GT81" s="0"/>
      <c r="GU81" s="0"/>
      <c r="GV81" s="0"/>
      <c r="GW81" s="0"/>
      <c r="GX81" s="0"/>
      <c r="GY81" s="0"/>
      <c r="GZ81" s="0"/>
      <c r="HA81" s="0"/>
      <c r="HB81" s="0"/>
      <c r="HC81" s="0"/>
      <c r="HD81" s="0"/>
      <c r="HE81" s="0"/>
      <c r="HF81" s="0"/>
      <c r="HG81" s="0"/>
      <c r="HH81" s="0"/>
      <c r="HI81" s="0"/>
      <c r="HJ81" s="0"/>
      <c r="HK81" s="0"/>
      <c r="HL81" s="0"/>
      <c r="HM81" s="0"/>
      <c r="HN81" s="0"/>
      <c r="HO81" s="0"/>
      <c r="HP81" s="0"/>
      <c r="HQ81" s="0"/>
      <c r="HR81" s="0"/>
      <c r="HS81" s="0"/>
      <c r="HT81" s="0"/>
      <c r="HU81" s="0"/>
      <c r="HV81" s="0"/>
      <c r="HW81" s="0"/>
      <c r="HX81" s="0"/>
      <c r="HY81" s="0"/>
      <c r="HZ81" s="0"/>
      <c r="IA81" s="0"/>
      <c r="IB81" s="0"/>
      <c r="IC81" s="0"/>
      <c r="ID81" s="0"/>
      <c r="IE81" s="0"/>
      <c r="IF81" s="0"/>
      <c r="IG81" s="0"/>
      <c r="IH81" s="0"/>
      <c r="II81" s="0"/>
      <c r="IJ81" s="0"/>
      <c r="IK81" s="0"/>
      <c r="IL81" s="0"/>
      <c r="IM81" s="0"/>
      <c r="IN81" s="0"/>
      <c r="IO81" s="0"/>
      <c r="IP81" s="0"/>
      <c r="IQ81" s="0"/>
      <c r="IR81" s="0"/>
      <c r="IS81" s="0"/>
      <c r="IT81" s="0"/>
      <c r="IU81" s="0"/>
      <c r="IV81" s="0"/>
      <c r="IW81" s="0"/>
      <c r="IX81" s="0"/>
      <c r="IY81" s="0"/>
      <c r="IZ81" s="0"/>
      <c r="JA81" s="0"/>
      <c r="JB81" s="0"/>
      <c r="JC81" s="0"/>
      <c r="JD81" s="0"/>
      <c r="JE81" s="0"/>
      <c r="JF81" s="0"/>
      <c r="JG81" s="0"/>
      <c r="JH81" s="0"/>
      <c r="JI81" s="0"/>
      <c r="JJ81" s="0"/>
      <c r="JK81" s="0"/>
      <c r="JL81" s="0"/>
      <c r="JM81" s="0"/>
      <c r="JN81" s="0"/>
      <c r="JO81" s="0"/>
      <c r="JP81" s="0"/>
      <c r="JQ81" s="0"/>
      <c r="JR81" s="0"/>
      <c r="JS81" s="0"/>
      <c r="JT81" s="0"/>
      <c r="JU81" s="0"/>
      <c r="JV81" s="0"/>
      <c r="JW81" s="0"/>
      <c r="JX81" s="0"/>
      <c r="JY81" s="0"/>
      <c r="JZ81" s="0"/>
      <c r="KA81" s="0"/>
      <c r="KB81" s="0"/>
      <c r="KC81" s="0"/>
      <c r="KD81" s="0"/>
      <c r="KE81" s="0"/>
      <c r="KF81" s="0"/>
      <c r="KG81" s="0"/>
      <c r="KH81" s="0"/>
      <c r="KI81" s="0"/>
      <c r="KJ81" s="0"/>
      <c r="KK81" s="0"/>
      <c r="KL81" s="0"/>
      <c r="KM81" s="0"/>
      <c r="KN81" s="0"/>
      <c r="KO81" s="0"/>
      <c r="KP81" s="0"/>
      <c r="KQ81" s="0"/>
      <c r="KR81" s="0"/>
      <c r="KS81" s="0"/>
      <c r="KT81" s="0"/>
      <c r="KU81" s="0"/>
      <c r="KV81" s="0"/>
      <c r="KW81" s="0"/>
      <c r="KX81" s="0"/>
      <c r="KY81" s="0"/>
      <c r="KZ81" s="0"/>
      <c r="LA81" s="0"/>
      <c r="LB81" s="0"/>
      <c r="LC81" s="0"/>
      <c r="LD81" s="0"/>
      <c r="LE81" s="0"/>
      <c r="LF81" s="0"/>
      <c r="LG81" s="0"/>
      <c r="LH81" s="0"/>
      <c r="LI81" s="0"/>
      <c r="LJ81" s="0"/>
      <c r="LK81" s="0"/>
      <c r="LL81" s="0"/>
      <c r="LM81" s="0"/>
      <c r="LN81" s="0"/>
      <c r="LO81" s="0"/>
      <c r="LP81" s="0"/>
      <c r="LQ81" s="0"/>
      <c r="LR81" s="0"/>
      <c r="LS81" s="0"/>
      <c r="LT81" s="0"/>
      <c r="LU81" s="0"/>
      <c r="LV81" s="0"/>
      <c r="LW81" s="0"/>
      <c r="LX81" s="0"/>
      <c r="LY81" s="0"/>
      <c r="LZ81" s="0"/>
      <c r="MA81" s="0"/>
      <c r="MB81" s="0"/>
      <c r="MC81" s="0"/>
      <c r="MD81" s="0"/>
      <c r="ME81" s="0"/>
      <c r="MF81" s="0"/>
      <c r="MG81" s="0"/>
      <c r="MH81" s="0"/>
      <c r="MI81" s="0"/>
      <c r="MJ81" s="0"/>
      <c r="MK81" s="0"/>
      <c r="ML81" s="0"/>
      <c r="MM81" s="0"/>
      <c r="MN81" s="0"/>
      <c r="MO81" s="0"/>
      <c r="MP81" s="0"/>
      <c r="MQ81" s="0"/>
      <c r="MR81" s="0"/>
      <c r="MS81" s="0"/>
      <c r="MT81" s="0"/>
      <c r="MU81" s="0"/>
      <c r="MV81" s="0"/>
      <c r="MW81" s="0"/>
      <c r="MX81" s="0"/>
      <c r="MY81" s="0"/>
      <c r="MZ81" s="0"/>
      <c r="NA81" s="0"/>
      <c r="NB81" s="0"/>
      <c r="NC81" s="0"/>
      <c r="ND81" s="0"/>
      <c r="NE81" s="0"/>
      <c r="NF81" s="0"/>
      <c r="NG81" s="0"/>
      <c r="NH81" s="0"/>
      <c r="NI81" s="0"/>
      <c r="NJ81" s="0"/>
      <c r="NK81" s="0"/>
      <c r="NL81" s="0"/>
      <c r="NM81" s="0"/>
      <c r="NN81" s="0"/>
      <c r="NO81" s="0"/>
      <c r="NP81" s="0"/>
      <c r="NQ81" s="0"/>
      <c r="NR81" s="0"/>
      <c r="NS81" s="0"/>
      <c r="NT81" s="0"/>
      <c r="NU81" s="0"/>
      <c r="NV81" s="0"/>
      <c r="NW81" s="0"/>
      <c r="NX81" s="0"/>
      <c r="NY81" s="0"/>
      <c r="NZ81" s="0"/>
      <c r="OA81" s="0"/>
      <c r="OB81" s="0"/>
      <c r="OC81" s="0"/>
      <c r="OD81" s="0"/>
      <c r="OE81" s="0"/>
      <c r="OF81" s="0"/>
      <c r="OG81" s="0"/>
      <c r="OH81" s="0"/>
      <c r="OI81" s="0"/>
      <c r="OJ81" s="0"/>
      <c r="OK81" s="0"/>
      <c r="OL81" s="0"/>
      <c r="OM81" s="0"/>
      <c r="ON81" s="0"/>
      <c r="OO81" s="0"/>
      <c r="OP81" s="0"/>
      <c r="OQ81" s="0"/>
      <c r="OR81" s="0"/>
      <c r="OS81" s="0"/>
      <c r="OT81" s="0"/>
      <c r="OU81" s="0"/>
      <c r="OV81" s="0"/>
      <c r="OW81" s="0"/>
      <c r="OX81" s="0"/>
      <c r="OY81" s="0"/>
      <c r="OZ81" s="0"/>
      <c r="PA81" s="0"/>
      <c r="PB81" s="0"/>
      <c r="PC81" s="0"/>
      <c r="PD81" s="0"/>
      <c r="PE81" s="0"/>
      <c r="PF81" s="0"/>
      <c r="PG81" s="0"/>
      <c r="PH81" s="0"/>
      <c r="PI81" s="0"/>
      <c r="PJ81" s="0"/>
      <c r="PK81" s="0"/>
      <c r="PL81" s="0"/>
      <c r="PM81" s="0"/>
      <c r="PN81" s="0"/>
      <c r="PO81" s="0"/>
      <c r="PP81" s="0"/>
      <c r="PQ81" s="0"/>
      <c r="PR81" s="0"/>
      <c r="PS81" s="0"/>
      <c r="PT81" s="0"/>
      <c r="PU81" s="0"/>
      <c r="PV81" s="0"/>
      <c r="PW81" s="0"/>
      <c r="PX81" s="0"/>
      <c r="PY81" s="0"/>
      <c r="PZ81" s="0"/>
      <c r="QA81" s="0"/>
      <c r="QB81" s="0"/>
      <c r="QC81" s="0"/>
      <c r="QD81" s="0"/>
      <c r="QE81" s="0"/>
      <c r="QF81" s="0"/>
      <c r="QG81" s="0"/>
      <c r="QH81" s="0"/>
      <c r="QI81" s="0"/>
      <c r="QJ81" s="0"/>
      <c r="QK81" s="0"/>
      <c r="QL81" s="0"/>
      <c r="QM81" s="0"/>
      <c r="QN81" s="0"/>
      <c r="QO81" s="0"/>
      <c r="QP81" s="0"/>
      <c r="QQ81" s="0"/>
      <c r="QR81" s="0"/>
      <c r="QS81" s="0"/>
      <c r="QT81" s="0"/>
      <c r="QU81" s="0"/>
      <c r="QV81" s="0"/>
      <c r="QW81" s="0"/>
      <c r="QX81" s="0"/>
      <c r="QY81" s="0"/>
      <c r="QZ81" s="0"/>
      <c r="RA81" s="0"/>
      <c r="RB81" s="0"/>
      <c r="RC81" s="0"/>
      <c r="RD81" s="0"/>
      <c r="RE81" s="0"/>
      <c r="RF81" s="0"/>
      <c r="RG81" s="0"/>
      <c r="RH81" s="0"/>
      <c r="RI81" s="0"/>
      <c r="RJ81" s="0"/>
      <c r="RK81" s="0"/>
      <c r="RL81" s="0"/>
      <c r="RM81" s="0"/>
      <c r="RN81" s="0"/>
      <c r="RO81" s="0"/>
      <c r="RP81" s="0"/>
      <c r="RQ81" s="0"/>
      <c r="RR81" s="0"/>
      <c r="RS81" s="0"/>
      <c r="RT81" s="0"/>
      <c r="RU81" s="0"/>
      <c r="RV81" s="0"/>
      <c r="RW81" s="0"/>
      <c r="RX81" s="0"/>
      <c r="RY81" s="0"/>
      <c r="RZ81" s="0"/>
      <c r="SA81" s="0"/>
      <c r="SB81" s="0"/>
      <c r="SC81" s="0"/>
      <c r="SD81" s="0"/>
      <c r="SE81" s="0"/>
      <c r="SF81" s="0"/>
      <c r="SG81" s="0"/>
      <c r="SH81" s="0"/>
      <c r="SI81" s="0"/>
      <c r="SJ81" s="0"/>
      <c r="SK81" s="0"/>
      <c r="SL81" s="0"/>
      <c r="SM81" s="0"/>
      <c r="SN81" s="0"/>
      <c r="SO81" s="0"/>
      <c r="SP81" s="0"/>
      <c r="SQ81" s="0"/>
      <c r="SR81" s="0"/>
      <c r="SS81" s="0"/>
      <c r="ST81" s="0"/>
      <c r="SU81" s="0"/>
      <c r="SV81" s="0"/>
      <c r="SW81" s="0"/>
      <c r="SX81" s="0"/>
      <c r="SY81" s="0"/>
      <c r="SZ81" s="0"/>
      <c r="TA81" s="0"/>
      <c r="TB81" s="0"/>
      <c r="TC81" s="0"/>
      <c r="TD81" s="0"/>
      <c r="TE81" s="0"/>
      <c r="TF81" s="0"/>
      <c r="TG81" s="0"/>
      <c r="TH81" s="0"/>
      <c r="TI81" s="0"/>
      <c r="TJ81" s="0"/>
      <c r="TK81" s="0"/>
      <c r="TL81" s="0"/>
      <c r="TM81" s="0"/>
      <c r="TN81" s="0"/>
      <c r="TO81" s="0"/>
      <c r="TP81" s="0"/>
      <c r="TQ81" s="0"/>
      <c r="TR81" s="0"/>
      <c r="TS81" s="0"/>
      <c r="TT81" s="0"/>
      <c r="TU81" s="0"/>
      <c r="TV81" s="0"/>
      <c r="TW81" s="0"/>
      <c r="TX81" s="0"/>
      <c r="TY81" s="0"/>
      <c r="TZ81" s="0"/>
      <c r="UA81" s="0"/>
      <c r="UB81" s="0"/>
      <c r="UC81" s="0"/>
      <c r="UD81" s="0"/>
      <c r="UE81" s="0"/>
      <c r="UF81" s="0"/>
      <c r="UG81" s="0"/>
      <c r="UH81" s="0"/>
      <c r="UI81" s="0"/>
      <c r="UJ81" s="0"/>
      <c r="UK81" s="0"/>
      <c r="UL81" s="0"/>
      <c r="UM81" s="0"/>
      <c r="UN81" s="0"/>
      <c r="UO81" s="0"/>
      <c r="UP81" s="0"/>
      <c r="UQ81" s="0"/>
      <c r="UR81" s="0"/>
      <c r="US81" s="0"/>
      <c r="UT81" s="0"/>
      <c r="UU81" s="0"/>
      <c r="UV81" s="0"/>
      <c r="UW81" s="0"/>
      <c r="UX81" s="0"/>
      <c r="UY81" s="0"/>
      <c r="UZ81" s="0"/>
      <c r="VA81" s="0"/>
      <c r="VB81" s="0"/>
      <c r="VC81" s="0"/>
      <c r="VD81" s="0"/>
      <c r="VE81" s="0"/>
      <c r="VF81" s="0"/>
      <c r="VG81" s="0"/>
      <c r="VH81" s="0"/>
      <c r="VI81" s="0"/>
      <c r="VJ81" s="0"/>
      <c r="VK81" s="0"/>
      <c r="VL81" s="0"/>
      <c r="VM81" s="0"/>
      <c r="VN81" s="0"/>
      <c r="VO81" s="0"/>
      <c r="VP81" s="0"/>
      <c r="VQ81" s="0"/>
      <c r="VR81" s="0"/>
      <c r="VS81" s="0"/>
      <c r="VT81" s="0"/>
      <c r="VU81" s="0"/>
      <c r="VV81" s="0"/>
      <c r="VW81" s="0"/>
      <c r="VX81" s="0"/>
      <c r="VY81" s="0"/>
      <c r="VZ81" s="0"/>
      <c r="WA81" s="0"/>
      <c r="WB81" s="0"/>
      <c r="WC81" s="0"/>
      <c r="WD81" s="0"/>
      <c r="WE81" s="0"/>
      <c r="WF81" s="0"/>
      <c r="WG81" s="0"/>
      <c r="WH81" s="0"/>
      <c r="WI81" s="0"/>
      <c r="WJ81" s="0"/>
      <c r="WK81" s="0"/>
      <c r="WL81" s="0"/>
      <c r="WM81" s="0"/>
      <c r="WN81" s="0"/>
      <c r="WO81" s="0"/>
      <c r="WP81" s="0"/>
      <c r="WQ81" s="0"/>
      <c r="WR81" s="0"/>
      <c r="WS81" s="0"/>
      <c r="WT81" s="0"/>
      <c r="WU81" s="0"/>
      <c r="WV81" s="0"/>
      <c r="WW81" s="0"/>
      <c r="WX81" s="0"/>
      <c r="WY81" s="0"/>
      <c r="WZ81" s="0"/>
      <c r="XA81" s="0"/>
      <c r="XB81" s="0"/>
      <c r="XC81" s="0"/>
      <c r="XD81" s="0"/>
      <c r="XE81" s="0"/>
      <c r="XF81" s="0"/>
      <c r="XG81" s="0"/>
      <c r="XH81" s="0"/>
      <c r="XI81" s="0"/>
      <c r="XJ81" s="0"/>
      <c r="XK81" s="0"/>
      <c r="XL81" s="0"/>
      <c r="XM81" s="0"/>
      <c r="XN81" s="0"/>
      <c r="XO81" s="0"/>
      <c r="XP81" s="0"/>
      <c r="XQ81" s="0"/>
      <c r="XR81" s="0"/>
      <c r="XS81" s="0"/>
      <c r="XT81" s="0"/>
      <c r="XU81" s="0"/>
      <c r="XV81" s="0"/>
      <c r="XW81" s="0"/>
      <c r="XX81" s="0"/>
      <c r="XY81" s="0"/>
      <c r="XZ81" s="0"/>
      <c r="YA81" s="0"/>
      <c r="YB81" s="0"/>
      <c r="YC81" s="0"/>
      <c r="YD81" s="0"/>
      <c r="YE81" s="0"/>
      <c r="YF81" s="0"/>
      <c r="YG81" s="0"/>
      <c r="YH81" s="0"/>
      <c r="YI81" s="0"/>
      <c r="YJ81" s="0"/>
      <c r="YK81" s="0"/>
      <c r="YL81" s="0"/>
      <c r="YM81" s="0"/>
      <c r="YN81" s="0"/>
      <c r="YO81" s="0"/>
      <c r="YP81" s="0"/>
      <c r="YQ81" s="0"/>
      <c r="YR81" s="0"/>
      <c r="YS81" s="0"/>
      <c r="YT81" s="0"/>
      <c r="YU81" s="0"/>
      <c r="YV81" s="0"/>
      <c r="YW81" s="0"/>
      <c r="YX81" s="0"/>
      <c r="YY81" s="0"/>
      <c r="YZ81" s="0"/>
      <c r="ZA81" s="0"/>
      <c r="ZB81" s="0"/>
      <c r="ZC81" s="0"/>
      <c r="ZD81" s="0"/>
      <c r="ZE81" s="0"/>
      <c r="ZF81" s="0"/>
      <c r="ZG81" s="0"/>
      <c r="ZH81" s="0"/>
      <c r="ZI81" s="0"/>
      <c r="ZJ81" s="0"/>
      <c r="ZK81" s="0"/>
      <c r="ZL81" s="0"/>
      <c r="ZM81" s="0"/>
      <c r="ZN81" s="0"/>
      <c r="ZO81" s="0"/>
      <c r="ZP81" s="0"/>
      <c r="ZQ81" s="0"/>
      <c r="ZR81" s="0"/>
      <c r="ZS81" s="0"/>
      <c r="ZT81" s="0"/>
      <c r="ZU81" s="0"/>
      <c r="ZV81" s="0"/>
      <c r="ZW81" s="0"/>
      <c r="ZX81" s="0"/>
      <c r="ZY81" s="0"/>
      <c r="ZZ81" s="0"/>
      <c r="AAA81" s="0"/>
      <c r="AAB81" s="0"/>
      <c r="AAC81" s="0"/>
      <c r="AAD81" s="0"/>
      <c r="AAE81" s="0"/>
      <c r="AAF81" s="0"/>
      <c r="AAG81" s="0"/>
      <c r="AAH81" s="0"/>
      <c r="AAI81" s="0"/>
      <c r="AAJ81" s="0"/>
      <c r="AAK81" s="0"/>
      <c r="AAL81" s="0"/>
      <c r="AAM81" s="0"/>
      <c r="AAN81" s="0"/>
      <c r="AAO81" s="0"/>
      <c r="AAP81" s="0"/>
      <c r="AAQ81" s="0"/>
      <c r="AAR81" s="0"/>
      <c r="AAS81" s="0"/>
      <c r="AAT81" s="0"/>
      <c r="AAU81" s="0"/>
      <c r="AAV81" s="0"/>
      <c r="AAW81" s="0"/>
      <c r="AAX81" s="0"/>
      <c r="AAY81" s="0"/>
      <c r="AAZ81" s="0"/>
      <c r="ABA81" s="0"/>
      <c r="ABB81" s="0"/>
      <c r="ABC81" s="0"/>
      <c r="ABD81" s="0"/>
      <c r="ABE81" s="0"/>
      <c r="ABF81" s="0"/>
      <c r="ABG81" s="0"/>
      <c r="ABH81" s="0"/>
      <c r="ABI81" s="0"/>
      <c r="ABJ81" s="0"/>
      <c r="ABK81" s="0"/>
      <c r="ABL81" s="0"/>
      <c r="ABM81" s="0"/>
      <c r="ABN81" s="0"/>
      <c r="ABO81" s="0"/>
      <c r="ABP81" s="0"/>
      <c r="ABQ81" s="0"/>
      <c r="ABR81" s="0"/>
      <c r="ABS81" s="0"/>
      <c r="ABT81" s="0"/>
      <c r="ABU81" s="0"/>
      <c r="ABV81" s="0"/>
      <c r="ABW81" s="0"/>
      <c r="ABX81" s="0"/>
      <c r="ABY81" s="0"/>
      <c r="ABZ81" s="0"/>
      <c r="ACA81" s="0"/>
      <c r="ACB81" s="0"/>
      <c r="ACC81" s="0"/>
      <c r="ACD81" s="0"/>
      <c r="ACE81" s="0"/>
      <c r="ACF81" s="0"/>
      <c r="ACG81" s="0"/>
      <c r="ACH81" s="0"/>
      <c r="ACI81" s="0"/>
      <c r="ACJ81" s="0"/>
      <c r="ACK81" s="0"/>
      <c r="ACL81" s="0"/>
      <c r="ACM81" s="0"/>
      <c r="ACN81" s="0"/>
      <c r="ACO81" s="0"/>
      <c r="ACP81" s="0"/>
      <c r="ACQ81" s="0"/>
      <c r="ACR81" s="0"/>
      <c r="ACS81" s="0"/>
      <c r="ACT81" s="0"/>
      <c r="ACU81" s="0"/>
      <c r="ACV81" s="0"/>
      <c r="ACW81" s="0"/>
      <c r="ACX81" s="0"/>
      <c r="ACY81" s="0"/>
      <c r="ACZ81" s="0"/>
      <c r="ADA81" s="0"/>
      <c r="ADB81" s="0"/>
      <c r="ADC81" s="0"/>
      <c r="ADD81" s="0"/>
      <c r="ADE81" s="0"/>
      <c r="ADF81" s="0"/>
      <c r="ADG81" s="0"/>
      <c r="ADH81" s="0"/>
      <c r="ADI81" s="0"/>
      <c r="ADJ81" s="0"/>
      <c r="ADK81" s="0"/>
      <c r="ADL81" s="0"/>
      <c r="ADM81" s="0"/>
      <c r="ADN81" s="0"/>
      <c r="ADO81" s="0"/>
      <c r="ADP81" s="0"/>
      <c r="ADQ81" s="0"/>
      <c r="ADR81" s="0"/>
      <c r="ADS81" s="0"/>
      <c r="ADT81" s="0"/>
      <c r="ADU81" s="0"/>
      <c r="ADV81" s="0"/>
      <c r="ADW81" s="0"/>
      <c r="ADX81" s="0"/>
      <c r="ADY81" s="0"/>
      <c r="ADZ81" s="0"/>
      <c r="AEA81" s="0"/>
      <c r="AEB81" s="0"/>
      <c r="AEC81" s="0"/>
      <c r="AED81" s="0"/>
      <c r="AEE81" s="0"/>
      <c r="AEF81" s="0"/>
      <c r="AEG81" s="0"/>
      <c r="AEH81" s="0"/>
      <c r="AEI81" s="0"/>
      <c r="AEJ81" s="0"/>
      <c r="AEK81" s="0"/>
      <c r="AEL81" s="0"/>
      <c r="AEM81" s="0"/>
      <c r="AEN81" s="0"/>
      <c r="AEO81" s="0"/>
      <c r="AEP81" s="0"/>
      <c r="AEQ81" s="0"/>
      <c r="AER81" s="0"/>
      <c r="AES81" s="0"/>
      <c r="AET81" s="0"/>
      <c r="AEU81" s="0"/>
      <c r="AEV81" s="0"/>
      <c r="AEW81" s="0"/>
      <c r="AEX81" s="0"/>
      <c r="AEY81" s="0"/>
      <c r="AEZ81" s="0"/>
      <c r="AFA81" s="0"/>
      <c r="AFB81" s="0"/>
      <c r="AFC81" s="0"/>
      <c r="AFD81" s="0"/>
      <c r="AFE81" s="0"/>
      <c r="AFF81" s="0"/>
      <c r="AFG81" s="0"/>
      <c r="AFH81" s="0"/>
      <c r="AFI81" s="0"/>
      <c r="AFJ81" s="0"/>
      <c r="AFK81" s="0"/>
      <c r="AFL81" s="0"/>
      <c r="AFM81" s="0"/>
      <c r="AFN81" s="0"/>
      <c r="AFO81" s="0"/>
      <c r="AFP81" s="0"/>
      <c r="AFQ81" s="0"/>
      <c r="AFR81" s="0"/>
      <c r="AFS81" s="0"/>
      <c r="AFT81" s="0"/>
      <c r="AFU81" s="0"/>
      <c r="AFV81" s="0"/>
      <c r="AFW81" s="0"/>
      <c r="AFX81" s="0"/>
      <c r="AFY81" s="0"/>
      <c r="AFZ81" s="0"/>
      <c r="AGA81" s="0"/>
      <c r="AGB81" s="0"/>
      <c r="AGC81" s="0"/>
      <c r="AGD81" s="0"/>
      <c r="AGE81" s="0"/>
      <c r="AGF81" s="0"/>
      <c r="AGG81" s="0"/>
      <c r="AGH81" s="0"/>
      <c r="AGI81" s="0"/>
      <c r="AGJ81" s="0"/>
      <c r="AGK81" s="0"/>
      <c r="AGL81" s="0"/>
      <c r="AGM81" s="0"/>
      <c r="AGN81" s="0"/>
      <c r="AGO81" s="0"/>
      <c r="AGP81" s="0"/>
      <c r="AGQ81" s="0"/>
      <c r="AGR81" s="0"/>
      <c r="AGS81" s="0"/>
      <c r="AGT81" s="0"/>
      <c r="AGU81" s="0"/>
      <c r="AGV81" s="0"/>
      <c r="AGW81" s="0"/>
      <c r="AGX81" s="0"/>
      <c r="AGY81" s="0"/>
      <c r="AGZ81" s="0"/>
      <c r="AHA81" s="0"/>
      <c r="AHB81" s="0"/>
      <c r="AHC81" s="0"/>
      <c r="AHD81" s="0"/>
      <c r="AHE81" s="0"/>
      <c r="AHF81" s="0"/>
      <c r="AHG81" s="0"/>
      <c r="AHH81" s="0"/>
      <c r="AHI81" s="0"/>
      <c r="AHJ81" s="0"/>
      <c r="AHK81" s="0"/>
      <c r="AHL81" s="0"/>
      <c r="AHM81" s="0"/>
      <c r="AHN81" s="0"/>
      <c r="AHO81" s="0"/>
      <c r="AHP81" s="0"/>
      <c r="AHQ81" s="0"/>
      <c r="AHR81" s="0"/>
      <c r="AHS81" s="0"/>
      <c r="AHT81" s="0"/>
      <c r="AHU81" s="0"/>
      <c r="AHV81" s="0"/>
      <c r="AHW81" s="0"/>
      <c r="AHX81" s="0"/>
      <c r="AHY81" s="0"/>
      <c r="AHZ81" s="0"/>
      <c r="AIA81" s="0"/>
      <c r="AIB81" s="0"/>
      <c r="AIC81" s="0"/>
      <c r="AID81" s="0"/>
      <c r="AIE81" s="0"/>
      <c r="AIF81" s="0"/>
      <c r="AIG81" s="0"/>
      <c r="AIH81" s="0"/>
      <c r="AII81" s="0"/>
      <c r="AIJ81" s="0"/>
      <c r="AIK81" s="0"/>
      <c r="AIL81" s="0"/>
      <c r="AIM81" s="0"/>
      <c r="AIN81" s="0"/>
      <c r="AIO81" s="0"/>
      <c r="AIP81" s="0"/>
      <c r="AIQ81" s="0"/>
      <c r="AIR81" s="0"/>
      <c r="AIS81" s="0"/>
      <c r="AIT81" s="0"/>
      <c r="AIU81" s="0"/>
      <c r="AIV81" s="0"/>
      <c r="AIW81" s="0"/>
      <c r="AIX81" s="0"/>
      <c r="AIY81" s="0"/>
      <c r="AIZ81" s="0"/>
      <c r="AJA81" s="0"/>
      <c r="AJB81" s="0"/>
      <c r="AJC81" s="0"/>
      <c r="AJD81" s="0"/>
      <c r="AJE81" s="0"/>
      <c r="AJF81" s="0"/>
      <c r="AJG81" s="0"/>
      <c r="AJH81" s="0"/>
      <c r="AJI81" s="0"/>
      <c r="AJJ81" s="0"/>
      <c r="AJK81" s="0"/>
      <c r="AJL81" s="0"/>
      <c r="AJM81" s="0"/>
      <c r="AJN81" s="0"/>
      <c r="AJO81" s="0"/>
      <c r="AJP81" s="0"/>
      <c r="AJQ81" s="0"/>
      <c r="AJR81" s="0"/>
      <c r="AJS81" s="0"/>
      <c r="AJT81" s="0"/>
      <c r="AJU81" s="0"/>
      <c r="AJV81" s="0"/>
      <c r="AJW81" s="0"/>
      <c r="AJX81" s="0"/>
      <c r="AJY81" s="0"/>
      <c r="AJZ81" s="0"/>
      <c r="AKA81" s="0"/>
      <c r="AKB81" s="0"/>
      <c r="AKC81" s="0"/>
      <c r="AKD81" s="0"/>
      <c r="AKE81" s="0"/>
      <c r="AKF81" s="0"/>
      <c r="AKG81" s="0"/>
      <c r="AKH81" s="0"/>
      <c r="AKI81" s="0"/>
      <c r="AKJ81" s="0"/>
      <c r="AKK81" s="0"/>
      <c r="AKL81" s="0"/>
      <c r="AKM81" s="0"/>
      <c r="AKN81" s="0"/>
      <c r="AKO81" s="0"/>
      <c r="AKP81" s="0"/>
      <c r="AKQ81" s="0"/>
      <c r="AKR81" s="0"/>
      <c r="AKS81" s="0"/>
      <c r="AKT81" s="0"/>
      <c r="AKU81" s="0"/>
      <c r="AKV81" s="0"/>
      <c r="AKW81" s="0"/>
      <c r="AKX81" s="0"/>
      <c r="AKY81" s="0"/>
      <c r="AKZ81" s="0"/>
      <c r="ALA81" s="0"/>
      <c r="ALB81" s="0"/>
      <c r="ALC81" s="0"/>
      <c r="ALD81" s="0"/>
      <c r="ALE81" s="0"/>
      <c r="ALF81" s="0"/>
      <c r="ALG81" s="0"/>
      <c r="ALH81" s="0"/>
      <c r="ALI81" s="0"/>
      <c r="ALJ81" s="0"/>
      <c r="ALK81" s="0"/>
      <c r="ALL81" s="0"/>
      <c r="ALM81" s="0"/>
      <c r="ALN81" s="0"/>
      <c r="ALO81" s="0"/>
      <c r="ALP81" s="0"/>
      <c r="ALQ81" s="0"/>
      <c r="ALR81" s="0"/>
      <c r="ALS81" s="0"/>
      <c r="ALT81" s="0"/>
      <c r="ALU81" s="0"/>
      <c r="ALV81" s="0"/>
      <c r="ALW81" s="0"/>
      <c r="ALX81" s="0"/>
      <c r="ALY81" s="0"/>
      <c r="ALZ81" s="0"/>
      <c r="AMA81" s="0"/>
      <c r="AMB81" s="0"/>
      <c r="AMC81" s="0"/>
      <c r="AMD81" s="0"/>
      <c r="AME81" s="0"/>
      <c r="AMF81" s="0"/>
      <c r="AMG81" s="0"/>
      <c r="AMH81" s="0"/>
      <c r="AMI81" s="0"/>
      <c r="AMJ81" s="0"/>
      <c r="AMK81" s="0"/>
      <c r="AML81" s="0"/>
      <c r="AMM81" s="0"/>
      <c r="AMN81" s="0"/>
      <c r="AMO81" s="0"/>
      <c r="AMP81" s="0"/>
      <c r="AMQ81" s="0"/>
      <c r="AMR81" s="0"/>
      <c r="AMS81" s="0"/>
      <c r="AMT81" s="0"/>
      <c r="AMU81" s="0"/>
      <c r="AMV81" s="0"/>
      <c r="AMW81" s="0"/>
      <c r="AMX81" s="0"/>
      <c r="AMY81" s="0"/>
      <c r="AMZ81" s="0"/>
      <c r="ANA81" s="0"/>
      <c r="ANB81" s="0"/>
      <c r="ANC81" s="0"/>
      <c r="AND81" s="0"/>
      <c r="ANE81" s="0"/>
      <c r="ANF81" s="0"/>
      <c r="ANG81" s="0"/>
      <c r="ANH81" s="0"/>
      <c r="ANI81" s="0"/>
      <c r="ANJ81" s="0"/>
      <c r="ANK81" s="0"/>
      <c r="ANL81" s="0"/>
      <c r="ANM81" s="0"/>
      <c r="ANN81" s="0"/>
      <c r="ANO81" s="0"/>
      <c r="ANP81" s="0"/>
      <c r="ANQ81" s="0"/>
      <c r="ANR81" s="0"/>
      <c r="ANS81" s="0"/>
      <c r="ANT81" s="0"/>
      <c r="ANU81" s="0"/>
      <c r="ANV81" s="0"/>
      <c r="ANW81" s="0"/>
      <c r="ANX81" s="0"/>
      <c r="ANY81" s="0"/>
      <c r="ANZ81" s="0"/>
      <c r="AOA81" s="0"/>
      <c r="AOB81" s="0"/>
      <c r="AOC81" s="0"/>
      <c r="AOD81" s="0"/>
      <c r="AOE81" s="0"/>
      <c r="AOF81" s="0"/>
      <c r="AOG81" s="0"/>
      <c r="AOH81" s="0"/>
      <c r="AOI81" s="0"/>
      <c r="AOJ81" s="0"/>
      <c r="AOK81" s="0"/>
      <c r="AOL81" s="0"/>
      <c r="AOM81" s="0"/>
      <c r="AON81" s="0"/>
      <c r="AOO81" s="0"/>
      <c r="AOP81" s="0"/>
      <c r="AOQ81" s="0"/>
      <c r="AOR81" s="0"/>
      <c r="AOS81" s="0"/>
      <c r="AOT81" s="0"/>
      <c r="AOU81" s="0"/>
      <c r="AOV81" s="0"/>
      <c r="AOW81" s="0"/>
      <c r="AOX81" s="0"/>
      <c r="AOY81" s="0"/>
      <c r="AOZ81" s="0"/>
      <c r="APA81" s="0"/>
      <c r="APB81" s="0"/>
      <c r="APC81" s="0"/>
      <c r="APD81" s="0"/>
      <c r="APE81" s="0"/>
      <c r="APF81" s="0"/>
      <c r="APG81" s="0"/>
      <c r="APH81" s="0"/>
      <c r="API81" s="0"/>
      <c r="APJ81" s="0"/>
      <c r="APK81" s="0"/>
      <c r="APL81" s="0"/>
      <c r="APM81" s="0"/>
      <c r="APN81" s="0"/>
      <c r="APO81" s="0"/>
      <c r="APP81" s="0"/>
      <c r="APQ81" s="0"/>
      <c r="APR81" s="0"/>
      <c r="APS81" s="0"/>
      <c r="APT81" s="0"/>
      <c r="APU81" s="0"/>
      <c r="APV81" s="0"/>
      <c r="APW81" s="0"/>
      <c r="APX81" s="0"/>
      <c r="APY81" s="0"/>
      <c r="APZ81" s="0"/>
      <c r="AQA81" s="0"/>
      <c r="AQB81" s="0"/>
      <c r="AQC81" s="0"/>
      <c r="AQD81" s="0"/>
      <c r="AQE81" s="0"/>
      <c r="AQF81" s="0"/>
      <c r="AQG81" s="0"/>
      <c r="AQH81" s="0"/>
      <c r="AQI81" s="0"/>
      <c r="AQJ81" s="0"/>
      <c r="AQK81" s="0"/>
      <c r="AQL81" s="0"/>
      <c r="AQM81" s="0"/>
      <c r="AQN81" s="0"/>
      <c r="AQO81" s="0"/>
      <c r="AQP81" s="0"/>
      <c r="AQQ81" s="0"/>
      <c r="AQR81" s="0"/>
      <c r="AQS81" s="0"/>
      <c r="AQT81" s="0"/>
      <c r="AQU81" s="0"/>
      <c r="AQV81" s="0"/>
      <c r="AQW81" s="0"/>
      <c r="AQX81" s="0"/>
      <c r="AQY81" s="0"/>
      <c r="AQZ81" s="0"/>
      <c r="ARA81" s="0"/>
      <c r="ARB81" s="0"/>
      <c r="ARC81" s="0"/>
      <c r="ARD81" s="0"/>
      <c r="ARE81" s="0"/>
      <c r="ARF81" s="0"/>
      <c r="ARG81" s="0"/>
      <c r="ARH81" s="0"/>
      <c r="ARI81" s="0"/>
      <c r="ARJ81" s="0"/>
      <c r="ARK81" s="0"/>
      <c r="ARL81" s="0"/>
      <c r="ARM81" s="0"/>
      <c r="ARN81" s="0"/>
      <c r="ARO81" s="0"/>
      <c r="ARP81" s="0"/>
      <c r="ARQ81" s="0"/>
      <c r="ARR81" s="0"/>
      <c r="ARS81" s="0"/>
      <c r="ART81" s="0"/>
      <c r="ARU81" s="0"/>
      <c r="ARV81" s="0"/>
      <c r="ARW81" s="0"/>
      <c r="ARX81" s="0"/>
      <c r="ARY81" s="0"/>
      <c r="ARZ81" s="0"/>
      <c r="ASA81" s="0"/>
      <c r="ASB81" s="0"/>
      <c r="ASC81" s="0"/>
      <c r="ASD81" s="0"/>
      <c r="ASE81" s="0"/>
      <c r="ASF81" s="0"/>
      <c r="ASG81" s="0"/>
      <c r="ASH81" s="0"/>
      <c r="ASI81" s="0"/>
      <c r="ASJ81" s="0"/>
      <c r="ASK81" s="0"/>
      <c r="ASL81" s="0"/>
      <c r="ASM81" s="0"/>
      <c r="ASN81" s="0"/>
      <c r="ASO81" s="0"/>
      <c r="ASP81" s="0"/>
      <c r="ASQ81" s="0"/>
      <c r="ASR81" s="0"/>
      <c r="ASS81" s="0"/>
      <c r="AST81" s="0"/>
      <c r="ASU81" s="0"/>
      <c r="ASV81" s="0"/>
      <c r="ASW81" s="0"/>
      <c r="ASX81" s="0"/>
      <c r="ASY81" s="0"/>
      <c r="ASZ81" s="0"/>
      <c r="ATA81" s="0"/>
      <c r="ATB81" s="0"/>
      <c r="ATC81" s="0"/>
      <c r="ATD81" s="0"/>
      <c r="ATE81" s="0"/>
      <c r="ATF81" s="0"/>
      <c r="ATG81" s="0"/>
      <c r="ATH81" s="0"/>
      <c r="ATI81" s="0"/>
      <c r="ATJ81" s="0"/>
      <c r="ATK81" s="0"/>
      <c r="ATL81" s="0"/>
      <c r="ATM81" s="0"/>
      <c r="ATN81" s="0"/>
      <c r="ATO81" s="0"/>
      <c r="ATP81" s="0"/>
      <c r="ATQ81" s="0"/>
      <c r="ATR81" s="0"/>
      <c r="ATS81" s="0"/>
      <c r="ATT81" s="0"/>
      <c r="ATU81" s="0"/>
      <c r="ATV81" s="0"/>
      <c r="ATW81" s="0"/>
      <c r="ATX81" s="0"/>
      <c r="ATY81" s="0"/>
      <c r="ATZ81" s="0"/>
      <c r="AUA81" s="0"/>
      <c r="AUB81" s="0"/>
      <c r="AUC81" s="0"/>
      <c r="AUD81" s="0"/>
      <c r="AUE81" s="0"/>
      <c r="AUF81" s="0"/>
      <c r="AUG81" s="0"/>
      <c r="AUH81" s="0"/>
      <c r="AUI81" s="0"/>
      <c r="AUJ81" s="0"/>
      <c r="AUK81" s="0"/>
      <c r="AUL81" s="0"/>
      <c r="AUM81" s="0"/>
      <c r="AUN81" s="0"/>
      <c r="AUO81" s="0"/>
      <c r="AUP81" s="0"/>
      <c r="AUQ81" s="0"/>
      <c r="AUR81" s="0"/>
      <c r="AUS81" s="0"/>
      <c r="AUT81" s="0"/>
      <c r="AUU81" s="0"/>
      <c r="AUV81" s="0"/>
      <c r="AUW81" s="0"/>
      <c r="AUX81" s="0"/>
      <c r="AUY81" s="0"/>
      <c r="AUZ81" s="0"/>
      <c r="AVA81" s="0"/>
      <c r="AVB81" s="0"/>
      <c r="AVC81" s="0"/>
      <c r="AVD81" s="0"/>
      <c r="AVE81" s="0"/>
      <c r="AVF81" s="0"/>
      <c r="AVG81" s="0"/>
      <c r="AVH81" s="0"/>
      <c r="AVI81" s="0"/>
      <c r="AVJ81" s="0"/>
      <c r="AVK81" s="0"/>
      <c r="AVL81" s="0"/>
      <c r="AVM81" s="0"/>
      <c r="AVN81" s="0"/>
      <c r="AVO81" s="0"/>
      <c r="AVP81" s="0"/>
      <c r="AVQ81" s="0"/>
      <c r="AVR81" s="0"/>
      <c r="AVS81" s="0"/>
      <c r="AVT81" s="0"/>
      <c r="AVU81" s="0"/>
      <c r="AVV81" s="0"/>
      <c r="AVW81" s="0"/>
      <c r="AVX81" s="0"/>
      <c r="AVY81" s="0"/>
      <c r="AVZ81" s="0"/>
      <c r="AWA81" s="0"/>
      <c r="AWB81" s="0"/>
      <c r="AWC81" s="0"/>
      <c r="AWD81" s="0"/>
      <c r="AWE81" s="0"/>
      <c r="AWF81" s="0"/>
      <c r="AWG81" s="0"/>
      <c r="AWH81" s="0"/>
      <c r="AWI81" s="0"/>
      <c r="AWJ81" s="0"/>
      <c r="AWK81" s="0"/>
      <c r="AWL81" s="0"/>
      <c r="AWM81" s="0"/>
      <c r="AWN81" s="0"/>
      <c r="AWO81" s="0"/>
      <c r="AWP81" s="0"/>
      <c r="AWQ81" s="0"/>
      <c r="AWR81" s="0"/>
      <c r="AWS81" s="0"/>
      <c r="AWT81" s="0"/>
      <c r="AWU81" s="0"/>
      <c r="AWV81" s="0"/>
      <c r="AWW81" s="0"/>
      <c r="AWX81" s="0"/>
      <c r="AWY81" s="0"/>
      <c r="AWZ81" s="0"/>
      <c r="AXA81" s="0"/>
      <c r="AXB81" s="0"/>
      <c r="AXC81" s="0"/>
      <c r="AXD81" s="0"/>
      <c r="AXE81" s="0"/>
      <c r="AXF81" s="0"/>
      <c r="AXG81" s="0"/>
      <c r="AXH81" s="0"/>
      <c r="AXI81" s="0"/>
      <c r="AXJ81" s="0"/>
      <c r="AXK81" s="0"/>
      <c r="AXL81" s="0"/>
      <c r="AXM81" s="0"/>
      <c r="AXN81" s="0"/>
      <c r="AXO81" s="0"/>
      <c r="AXP81" s="0"/>
      <c r="AXQ81" s="0"/>
      <c r="AXR81" s="0"/>
      <c r="AXS81" s="0"/>
      <c r="AXT81" s="0"/>
      <c r="AXU81" s="0"/>
      <c r="AXV81" s="0"/>
      <c r="AXW81" s="0"/>
      <c r="AXX81" s="0"/>
      <c r="AXY81" s="0"/>
      <c r="AXZ81" s="0"/>
      <c r="AYA81" s="0"/>
      <c r="AYB81" s="0"/>
      <c r="AYC81" s="0"/>
      <c r="AYD81" s="0"/>
      <c r="AYE81" s="0"/>
      <c r="AYF81" s="0"/>
      <c r="AYG81" s="0"/>
      <c r="AYH81" s="0"/>
      <c r="AYI81" s="0"/>
      <c r="AYJ81" s="0"/>
      <c r="AYK81" s="0"/>
      <c r="AYL81" s="0"/>
      <c r="AYM81" s="0"/>
      <c r="AYN81" s="0"/>
      <c r="AYO81" s="0"/>
      <c r="AYP81" s="0"/>
      <c r="AYQ81" s="0"/>
      <c r="AYR81" s="0"/>
      <c r="AYS81" s="0"/>
      <c r="AYT81" s="0"/>
      <c r="AYU81" s="0"/>
      <c r="AYV81" s="0"/>
      <c r="AYW81" s="0"/>
      <c r="AYX81" s="0"/>
      <c r="AYY81" s="0"/>
      <c r="AYZ81" s="0"/>
      <c r="AZA81" s="0"/>
      <c r="AZB81" s="0"/>
      <c r="AZC81" s="0"/>
      <c r="AZD81" s="0"/>
      <c r="AZE81" s="0"/>
      <c r="AZF81" s="0"/>
      <c r="AZG81" s="0"/>
      <c r="AZH81" s="0"/>
      <c r="AZI81" s="0"/>
      <c r="AZJ81" s="0"/>
      <c r="AZK81" s="0"/>
      <c r="AZL81" s="0"/>
      <c r="AZM81" s="0"/>
      <c r="AZN81" s="0"/>
      <c r="AZO81" s="0"/>
      <c r="AZP81" s="0"/>
      <c r="AZQ81" s="0"/>
      <c r="AZR81" s="0"/>
      <c r="AZS81" s="0"/>
      <c r="AZT81" s="0"/>
      <c r="AZU81" s="0"/>
      <c r="AZV81" s="0"/>
      <c r="AZW81" s="0"/>
      <c r="AZX81" s="0"/>
      <c r="AZY81" s="0"/>
      <c r="AZZ81" s="0"/>
      <c r="BAA81" s="0"/>
      <c r="BAB81" s="0"/>
      <c r="BAC81" s="0"/>
      <c r="BAD81" s="0"/>
      <c r="BAE81" s="0"/>
      <c r="BAF81" s="0"/>
      <c r="BAG81" s="0"/>
      <c r="BAH81" s="0"/>
      <c r="BAI81" s="0"/>
      <c r="BAJ81" s="0"/>
      <c r="BAK81" s="0"/>
      <c r="BAL81" s="0"/>
      <c r="BAM81" s="0"/>
      <c r="BAN81" s="0"/>
      <c r="BAO81" s="0"/>
      <c r="BAP81" s="0"/>
      <c r="BAQ81" s="0"/>
      <c r="BAR81" s="0"/>
      <c r="BAS81" s="0"/>
      <c r="BAT81" s="0"/>
      <c r="BAU81" s="0"/>
      <c r="BAV81" s="0"/>
      <c r="BAW81" s="0"/>
      <c r="BAX81" s="0"/>
      <c r="BAY81" s="0"/>
      <c r="BAZ81" s="0"/>
      <c r="BBA81" s="0"/>
      <c r="BBB81" s="0"/>
      <c r="BBC81" s="0"/>
      <c r="BBD81" s="0"/>
      <c r="BBE81" s="0"/>
      <c r="BBF81" s="0"/>
      <c r="BBG81" s="0"/>
      <c r="BBH81" s="0"/>
      <c r="BBI81" s="0"/>
      <c r="BBJ81" s="0"/>
      <c r="BBK81" s="0"/>
      <c r="BBL81" s="0"/>
      <c r="BBM81" s="0"/>
      <c r="BBN81" s="0"/>
      <c r="BBO81" s="0"/>
      <c r="BBP81" s="0"/>
      <c r="BBQ81" s="0"/>
      <c r="BBR81" s="0"/>
      <c r="BBS81" s="0"/>
      <c r="BBT81" s="0"/>
      <c r="BBU81" s="0"/>
      <c r="BBV81" s="0"/>
      <c r="BBW81" s="0"/>
      <c r="BBX81" s="0"/>
      <c r="BBY81" s="0"/>
      <c r="BBZ81" s="0"/>
      <c r="BCA81" s="0"/>
      <c r="BCB81" s="0"/>
      <c r="BCC81" s="0"/>
      <c r="BCD81" s="0"/>
      <c r="BCE81" s="0"/>
      <c r="BCF81" s="0"/>
      <c r="BCG81" s="0"/>
      <c r="BCH81" s="0"/>
      <c r="BCI81" s="0"/>
      <c r="BCJ81" s="0"/>
      <c r="BCK81" s="0"/>
      <c r="BCL81" s="0"/>
      <c r="BCM81" s="0"/>
      <c r="BCN81" s="0"/>
      <c r="BCO81" s="0"/>
      <c r="BCP81" s="0"/>
      <c r="BCQ81" s="0"/>
      <c r="BCR81" s="0"/>
      <c r="BCS81" s="0"/>
      <c r="BCT81" s="0"/>
      <c r="BCU81" s="0"/>
      <c r="BCV81" s="0"/>
      <c r="BCW81" s="0"/>
      <c r="BCX81" s="0"/>
      <c r="BCY81" s="0"/>
      <c r="BCZ81" s="0"/>
      <c r="BDA81" s="0"/>
      <c r="BDB81" s="0"/>
      <c r="BDC81" s="0"/>
      <c r="BDD81" s="0"/>
      <c r="BDE81" s="0"/>
      <c r="BDF81" s="0"/>
      <c r="BDG81" s="0"/>
      <c r="BDH81" s="0"/>
      <c r="BDI81" s="0"/>
      <c r="BDJ81" s="0"/>
      <c r="BDK81" s="0"/>
      <c r="BDL81" s="0"/>
      <c r="BDM81" s="0"/>
      <c r="BDN81" s="0"/>
      <c r="BDO81" s="0"/>
      <c r="BDP81" s="0"/>
      <c r="BDQ81" s="0"/>
      <c r="BDR81" s="0"/>
      <c r="BDS81" s="0"/>
      <c r="BDT81" s="0"/>
      <c r="BDU81" s="0"/>
      <c r="BDV81" s="0"/>
      <c r="BDW81" s="0"/>
      <c r="BDX81" s="0"/>
      <c r="BDY81" s="0"/>
      <c r="BDZ81" s="0"/>
      <c r="BEA81" s="0"/>
      <c r="BEB81" s="0"/>
      <c r="BEC81" s="0"/>
      <c r="BED81" s="0"/>
      <c r="BEE81" s="0"/>
      <c r="BEF81" s="0"/>
      <c r="BEG81" s="0"/>
      <c r="BEH81" s="0"/>
      <c r="BEI81" s="0"/>
      <c r="BEJ81" s="0"/>
      <c r="BEK81" s="0"/>
      <c r="BEL81" s="0"/>
      <c r="BEM81" s="0"/>
      <c r="BEN81" s="0"/>
      <c r="BEO81" s="0"/>
      <c r="BEP81" s="0"/>
      <c r="BEQ81" s="0"/>
      <c r="BER81" s="0"/>
      <c r="BES81" s="0"/>
      <c r="BET81" s="0"/>
      <c r="BEU81" s="0"/>
      <c r="BEV81" s="0"/>
      <c r="BEW81" s="0"/>
      <c r="BEX81" s="0"/>
      <c r="BEY81" s="0"/>
      <c r="BEZ81" s="0"/>
      <c r="BFA81" s="0"/>
      <c r="BFB81" s="0"/>
      <c r="BFC81" s="0"/>
      <c r="BFD81" s="0"/>
      <c r="BFE81" s="0"/>
      <c r="BFF81" s="0"/>
      <c r="BFG81" s="0"/>
      <c r="BFH81" s="0"/>
      <c r="BFI81" s="0"/>
      <c r="BFJ81" s="0"/>
      <c r="BFK81" s="0"/>
      <c r="BFL81" s="0"/>
      <c r="BFM81" s="0"/>
      <c r="BFN81" s="0"/>
      <c r="BFO81" s="0"/>
      <c r="BFP81" s="0"/>
      <c r="BFQ81" s="0"/>
      <c r="BFR81" s="0"/>
      <c r="BFS81" s="0"/>
      <c r="BFT81" s="0"/>
      <c r="BFU81" s="0"/>
      <c r="BFV81" s="0"/>
      <c r="BFW81" s="0"/>
      <c r="BFX81" s="0"/>
      <c r="BFY81" s="0"/>
      <c r="BFZ81" s="0"/>
      <c r="BGA81" s="0"/>
      <c r="BGB81" s="0"/>
      <c r="BGC81" s="0"/>
      <c r="BGD81" s="0"/>
      <c r="BGE81" s="0"/>
      <c r="BGF81" s="0"/>
      <c r="BGG81" s="0"/>
      <c r="BGH81" s="0"/>
      <c r="BGI81" s="0"/>
      <c r="BGJ81" s="0"/>
      <c r="BGK81" s="0"/>
      <c r="BGL81" s="0"/>
      <c r="BGM81" s="0"/>
      <c r="BGN81" s="0"/>
      <c r="BGO81" s="0"/>
      <c r="BGP81" s="0"/>
      <c r="BGQ81" s="0"/>
      <c r="BGR81" s="0"/>
      <c r="BGS81" s="0"/>
      <c r="BGT81" s="0"/>
      <c r="BGU81" s="0"/>
      <c r="BGV81" s="0"/>
      <c r="BGW81" s="0"/>
      <c r="BGX81" s="0"/>
      <c r="BGY81" s="0"/>
      <c r="BGZ81" s="0"/>
      <c r="BHA81" s="0"/>
      <c r="BHB81" s="0"/>
      <c r="BHC81" s="0"/>
      <c r="BHD81" s="0"/>
      <c r="BHE81" s="0"/>
      <c r="BHF81" s="0"/>
      <c r="BHG81" s="0"/>
      <c r="BHH81" s="0"/>
      <c r="BHI81" s="0"/>
      <c r="BHJ81" s="0"/>
      <c r="BHK81" s="0"/>
      <c r="BHL81" s="0"/>
      <c r="BHM81" s="0"/>
      <c r="BHN81" s="0"/>
      <c r="BHO81" s="0"/>
      <c r="BHP81" s="0"/>
      <c r="BHQ81" s="0"/>
      <c r="BHR81" s="0"/>
      <c r="BHS81" s="0"/>
      <c r="BHT81" s="0"/>
      <c r="BHU81" s="0"/>
      <c r="BHV81" s="0"/>
      <c r="BHW81" s="0"/>
      <c r="BHX81" s="0"/>
      <c r="BHY81" s="0"/>
      <c r="BHZ81" s="0"/>
      <c r="BIA81" s="0"/>
      <c r="BIB81" s="0"/>
      <c r="BIC81" s="0"/>
      <c r="BID81" s="0"/>
      <c r="BIE81" s="0"/>
      <c r="BIF81" s="0"/>
      <c r="BIG81" s="0"/>
      <c r="BIH81" s="0"/>
      <c r="BII81" s="0"/>
      <c r="BIJ81" s="0"/>
      <c r="BIK81" s="0"/>
      <c r="BIL81" s="0"/>
      <c r="BIM81" s="0"/>
      <c r="BIN81" s="0"/>
      <c r="BIO81" s="0"/>
      <c r="BIP81" s="0"/>
      <c r="BIQ81" s="0"/>
      <c r="BIR81" s="0"/>
      <c r="BIS81" s="0"/>
      <c r="BIT81" s="0"/>
      <c r="BIU81" s="0"/>
      <c r="BIV81" s="0"/>
      <c r="BIW81" s="0"/>
      <c r="BIX81" s="0"/>
      <c r="BIY81" s="0"/>
      <c r="BIZ81" s="0"/>
      <c r="BJA81" s="0"/>
      <c r="BJB81" s="0"/>
      <c r="BJC81" s="0"/>
      <c r="BJD81" s="0"/>
      <c r="BJE81" s="0"/>
      <c r="BJF81" s="0"/>
      <c r="BJG81" s="0"/>
      <c r="BJH81" s="0"/>
      <c r="BJI81" s="0"/>
      <c r="BJJ81" s="0"/>
      <c r="BJK81" s="0"/>
      <c r="BJL81" s="0"/>
      <c r="BJM81" s="0"/>
      <c r="BJN81" s="0"/>
      <c r="BJO81" s="0"/>
      <c r="BJP81" s="0"/>
      <c r="BJQ81" s="0"/>
      <c r="BJR81" s="0"/>
      <c r="BJS81" s="0"/>
      <c r="BJT81" s="0"/>
      <c r="BJU81" s="0"/>
      <c r="BJV81" s="0"/>
      <c r="BJW81" s="0"/>
      <c r="BJX81" s="0"/>
      <c r="BJY81" s="0"/>
      <c r="BJZ81" s="0"/>
      <c r="BKA81" s="0"/>
      <c r="BKB81" s="0"/>
      <c r="BKC81" s="0"/>
      <c r="BKD81" s="0"/>
      <c r="BKE81" s="0"/>
      <c r="BKF81" s="0"/>
      <c r="BKG81" s="0"/>
      <c r="BKH81" s="0"/>
      <c r="BKI81" s="0"/>
      <c r="BKJ81" s="0"/>
      <c r="BKK81" s="0"/>
      <c r="BKL81" s="0"/>
      <c r="BKM81" s="0"/>
      <c r="BKN81" s="0"/>
      <c r="BKO81" s="0"/>
      <c r="BKP81" s="0"/>
      <c r="BKQ81" s="0"/>
      <c r="BKR81" s="0"/>
      <c r="BKS81" s="0"/>
      <c r="BKT81" s="0"/>
      <c r="BKU81" s="0"/>
      <c r="BKV81" s="0"/>
      <c r="BKW81" s="0"/>
      <c r="BKX81" s="0"/>
      <c r="BKY81" s="0"/>
      <c r="BKZ81" s="0"/>
      <c r="BLA81" s="0"/>
      <c r="BLB81" s="0"/>
      <c r="BLC81" s="0"/>
      <c r="BLD81" s="0"/>
      <c r="BLE81" s="0"/>
      <c r="BLF81" s="0"/>
      <c r="BLG81" s="0"/>
      <c r="BLH81" s="0"/>
      <c r="BLI81" s="0"/>
      <c r="BLJ81" s="0"/>
      <c r="BLK81" s="0"/>
      <c r="BLL81" s="0"/>
      <c r="BLM81" s="0"/>
      <c r="BLN81" s="0"/>
      <c r="BLO81" s="0"/>
      <c r="BLP81" s="0"/>
      <c r="BLQ81" s="0"/>
      <c r="BLR81" s="0"/>
      <c r="BLS81" s="0"/>
      <c r="BLT81" s="0"/>
      <c r="BLU81" s="0"/>
      <c r="BLV81" s="0"/>
      <c r="BLW81" s="0"/>
      <c r="BLX81" s="0"/>
      <c r="BLY81" s="0"/>
      <c r="BLZ81" s="0"/>
      <c r="BMA81" s="0"/>
      <c r="BMB81" s="0"/>
      <c r="BMC81" s="0"/>
      <c r="BMD81" s="0"/>
      <c r="BME81" s="0"/>
      <c r="BMF81" s="0"/>
      <c r="BMG81" s="0"/>
      <c r="BMH81" s="0"/>
      <c r="BMI81" s="0"/>
      <c r="BMJ81" s="0"/>
      <c r="BMK81" s="0"/>
      <c r="BML81" s="0"/>
      <c r="BMM81" s="0"/>
      <c r="BMN81" s="0"/>
      <c r="BMO81" s="0"/>
      <c r="BMP81" s="0"/>
      <c r="BMQ81" s="0"/>
      <c r="BMR81" s="0"/>
      <c r="BMS81" s="0"/>
      <c r="BMT81" s="0"/>
      <c r="BMU81" s="0"/>
      <c r="BMV81" s="0"/>
      <c r="BMW81" s="0"/>
      <c r="BMX81" s="0"/>
      <c r="BMY81" s="0"/>
      <c r="BMZ81" s="0"/>
      <c r="BNA81" s="0"/>
      <c r="BNB81" s="0"/>
      <c r="BNC81" s="0"/>
      <c r="BND81" s="0"/>
      <c r="BNE81" s="0"/>
      <c r="BNF81" s="0"/>
      <c r="BNG81" s="0"/>
      <c r="BNH81" s="0"/>
      <c r="BNI81" s="0"/>
      <c r="BNJ81" s="0"/>
      <c r="BNK81" s="0"/>
      <c r="BNL81" s="0"/>
      <c r="BNM81" s="0"/>
      <c r="BNN81" s="0"/>
      <c r="BNO81" s="0"/>
      <c r="BNP81" s="0"/>
      <c r="BNQ81" s="0"/>
      <c r="BNR81" s="0"/>
      <c r="BNS81" s="0"/>
      <c r="BNT81" s="0"/>
      <c r="BNU81" s="0"/>
      <c r="BNV81" s="0"/>
      <c r="BNW81" s="0"/>
      <c r="BNX81" s="0"/>
      <c r="BNY81" s="0"/>
      <c r="BNZ81" s="0"/>
      <c r="BOA81" s="0"/>
      <c r="BOB81" s="0"/>
      <c r="BOC81" s="0"/>
      <c r="BOD81" s="0"/>
      <c r="BOE81" s="0"/>
      <c r="BOF81" s="0"/>
      <c r="BOG81" s="0"/>
      <c r="BOH81" s="0"/>
      <c r="BOI81" s="0"/>
      <c r="BOJ81" s="0"/>
      <c r="BOK81" s="0"/>
      <c r="BOL81" s="0"/>
      <c r="BOM81" s="0"/>
      <c r="BON81" s="0"/>
      <c r="BOO81" s="0"/>
      <c r="BOP81" s="0"/>
      <c r="BOQ81" s="0"/>
      <c r="BOR81" s="0"/>
      <c r="BOS81" s="0"/>
      <c r="BOT81" s="0"/>
      <c r="BOU81" s="0"/>
      <c r="BOV81" s="0"/>
      <c r="BOW81" s="0"/>
      <c r="BOX81" s="0"/>
      <c r="BOY81" s="0"/>
      <c r="BOZ81" s="0"/>
      <c r="BPA81" s="0"/>
      <c r="BPB81" s="0"/>
      <c r="BPC81" s="0"/>
      <c r="BPD81" s="0"/>
      <c r="BPE81" s="0"/>
      <c r="BPF81" s="0"/>
      <c r="BPG81" s="0"/>
      <c r="BPH81" s="0"/>
      <c r="BPI81" s="0"/>
      <c r="BPJ81" s="0"/>
      <c r="BPK81" s="0"/>
      <c r="BPL81" s="0"/>
      <c r="BPM81" s="0"/>
      <c r="BPN81" s="0"/>
      <c r="BPO81" s="0"/>
      <c r="BPP81" s="0"/>
      <c r="BPQ81" s="0"/>
      <c r="BPR81" s="0"/>
      <c r="BPS81" s="0"/>
      <c r="BPT81" s="0"/>
      <c r="BPU81" s="0"/>
      <c r="BPV81" s="0"/>
      <c r="BPW81" s="0"/>
      <c r="BPX81" s="0"/>
      <c r="BPY81" s="0"/>
      <c r="BPZ81" s="0"/>
      <c r="BQA81" s="0"/>
      <c r="BQB81" s="0"/>
      <c r="BQC81" s="0"/>
      <c r="BQD81" s="0"/>
      <c r="BQE81" s="0"/>
      <c r="BQF81" s="0"/>
      <c r="BQG81" s="0"/>
      <c r="BQH81" s="0"/>
      <c r="BQI81" s="0"/>
      <c r="BQJ81" s="0"/>
      <c r="BQK81" s="0"/>
      <c r="BQL81" s="0"/>
      <c r="BQM81" s="0"/>
      <c r="BQN81" s="0"/>
      <c r="BQO81" s="0"/>
      <c r="BQP81" s="0"/>
      <c r="BQQ81" s="0"/>
      <c r="BQR81" s="0"/>
      <c r="BQS81" s="0"/>
      <c r="BQT81" s="0"/>
      <c r="BQU81" s="0"/>
      <c r="BQV81" s="0"/>
      <c r="BQW81" s="0"/>
      <c r="BQX81" s="0"/>
      <c r="BQY81" s="0"/>
      <c r="BQZ81" s="0"/>
      <c r="BRA81" s="0"/>
      <c r="BRB81" s="0"/>
      <c r="BRC81" s="0"/>
      <c r="BRD81" s="0"/>
      <c r="BRE81" s="0"/>
      <c r="BRF81" s="0"/>
      <c r="BRG81" s="0"/>
      <c r="BRH81" s="0"/>
      <c r="BRI81" s="0"/>
      <c r="BRJ81" s="0"/>
      <c r="BRK81" s="0"/>
      <c r="BRL81" s="0"/>
      <c r="BRM81" s="0"/>
      <c r="BRN81" s="0"/>
      <c r="BRO81" s="0"/>
      <c r="BRP81" s="0"/>
      <c r="BRQ81" s="0"/>
      <c r="BRR81" s="0"/>
      <c r="BRS81" s="0"/>
      <c r="BRT81" s="0"/>
      <c r="BRU81" s="0"/>
      <c r="BRV81" s="0"/>
      <c r="BRW81" s="0"/>
      <c r="BRX81" s="0"/>
      <c r="BRY81" s="0"/>
      <c r="BRZ81" s="0"/>
      <c r="BSA81" s="0"/>
      <c r="BSB81" s="0"/>
      <c r="BSC81" s="0"/>
      <c r="BSD81" s="0"/>
      <c r="BSE81" s="0"/>
      <c r="BSF81" s="0"/>
      <c r="BSG81" s="0"/>
      <c r="BSH81" s="0"/>
      <c r="BSI81" s="0"/>
      <c r="BSJ81" s="0"/>
      <c r="BSK81" s="0"/>
      <c r="BSL81" s="0"/>
      <c r="BSM81" s="0"/>
      <c r="BSN81" s="0"/>
      <c r="BSO81" s="0"/>
      <c r="BSP81" s="0"/>
      <c r="BSQ81" s="0"/>
      <c r="BSR81" s="0"/>
      <c r="BSS81" s="0"/>
      <c r="BST81" s="0"/>
      <c r="BSU81" s="0"/>
      <c r="BSV81" s="0"/>
      <c r="BSW81" s="0"/>
      <c r="BSX81" s="0"/>
      <c r="BSY81" s="0"/>
      <c r="BSZ81" s="0"/>
      <c r="BTA81" s="0"/>
      <c r="BTB81" s="0"/>
      <c r="BTC81" s="0"/>
      <c r="BTD81" s="0"/>
      <c r="BTE81" s="0"/>
      <c r="BTF81" s="0"/>
      <c r="BTG81" s="0"/>
      <c r="BTH81" s="0"/>
      <c r="BTI81" s="0"/>
      <c r="BTJ81" s="0"/>
      <c r="BTK81" s="0"/>
      <c r="BTL81" s="0"/>
      <c r="BTM81" s="0"/>
      <c r="BTN81" s="0"/>
      <c r="BTO81" s="0"/>
      <c r="BTP81" s="0"/>
      <c r="BTQ81" s="0"/>
      <c r="BTR81" s="0"/>
      <c r="BTS81" s="0"/>
      <c r="BTT81" s="0"/>
      <c r="BTU81" s="0"/>
      <c r="BTV81" s="0"/>
      <c r="BTW81" s="0"/>
      <c r="BTX81" s="0"/>
      <c r="BTY81" s="0"/>
      <c r="BTZ81" s="0"/>
      <c r="BUA81" s="0"/>
      <c r="BUB81" s="0"/>
      <c r="BUC81" s="0"/>
      <c r="BUD81" s="0"/>
      <c r="BUE81" s="0"/>
      <c r="BUF81" s="0"/>
      <c r="BUG81" s="0"/>
      <c r="BUH81" s="0"/>
      <c r="BUI81" s="0"/>
      <c r="BUJ81" s="0"/>
      <c r="BUK81" s="0"/>
      <c r="BUL81" s="0"/>
      <c r="BUM81" s="0"/>
      <c r="BUN81" s="0"/>
      <c r="BUO81" s="0"/>
      <c r="BUP81" s="0"/>
      <c r="BUQ81" s="0"/>
      <c r="BUR81" s="0"/>
      <c r="BUS81" s="0"/>
      <c r="BUT81" s="0"/>
      <c r="BUU81" s="0"/>
      <c r="BUV81" s="0"/>
      <c r="BUW81" s="0"/>
      <c r="BUX81" s="0"/>
      <c r="BUY81" s="0"/>
      <c r="BUZ81" s="0"/>
      <c r="BVA81" s="0"/>
      <c r="BVB81" s="0"/>
      <c r="BVC81" s="0"/>
      <c r="BVD81" s="0"/>
      <c r="BVE81" s="0"/>
      <c r="BVF81" s="0"/>
      <c r="BVG81" s="0"/>
      <c r="BVH81" s="0"/>
      <c r="BVI81" s="0"/>
      <c r="BVJ81" s="0"/>
      <c r="BVK81" s="0"/>
      <c r="BVL81" s="0"/>
      <c r="BVM81" s="0"/>
      <c r="BVN81" s="0"/>
      <c r="BVO81" s="0"/>
      <c r="BVP81" s="0"/>
      <c r="BVQ81" s="0"/>
      <c r="BVR81" s="0"/>
      <c r="BVS81" s="0"/>
      <c r="BVT81" s="0"/>
      <c r="BVU81" s="0"/>
      <c r="BVV81" s="0"/>
      <c r="BVW81" s="0"/>
      <c r="BVX81" s="0"/>
      <c r="BVY81" s="0"/>
      <c r="BVZ81" s="0"/>
      <c r="BWA81" s="0"/>
      <c r="BWB81" s="0"/>
      <c r="BWC81" s="0"/>
      <c r="BWD81" s="0"/>
      <c r="BWE81" s="0"/>
      <c r="BWF81" s="0"/>
      <c r="BWG81" s="0"/>
      <c r="BWH81" s="0"/>
      <c r="BWI81" s="0"/>
      <c r="BWJ81" s="0"/>
      <c r="BWK81" s="0"/>
      <c r="BWL81" s="0"/>
      <c r="BWM81" s="0"/>
      <c r="BWN81" s="0"/>
      <c r="BWO81" s="0"/>
      <c r="BWP81" s="0"/>
      <c r="BWQ81" s="0"/>
      <c r="BWR81" s="0"/>
      <c r="BWS81" s="0"/>
      <c r="BWT81" s="0"/>
      <c r="BWU81" s="0"/>
      <c r="BWV81" s="0"/>
      <c r="BWW81" s="0"/>
      <c r="BWX81" s="0"/>
      <c r="BWY81" s="0"/>
      <c r="BWZ81" s="0"/>
      <c r="BXA81" s="0"/>
      <c r="BXB81" s="0"/>
      <c r="BXC81" s="0"/>
      <c r="BXD81" s="0"/>
      <c r="BXE81" s="0"/>
      <c r="BXF81" s="0"/>
      <c r="BXG81" s="0"/>
      <c r="BXH81" s="0"/>
      <c r="BXI81" s="0"/>
      <c r="BXJ81" s="0"/>
      <c r="BXK81" s="0"/>
      <c r="BXL81" s="0"/>
      <c r="BXM81" s="0"/>
      <c r="BXN81" s="0"/>
      <c r="BXO81" s="0"/>
      <c r="BXP81" s="0"/>
      <c r="BXQ81" s="0"/>
      <c r="BXR81" s="0"/>
      <c r="BXS81" s="0"/>
      <c r="BXT81" s="0"/>
      <c r="BXU81" s="0"/>
      <c r="BXV81" s="0"/>
      <c r="BXW81" s="0"/>
      <c r="BXX81" s="0"/>
      <c r="BXY81" s="0"/>
      <c r="BXZ81" s="0"/>
      <c r="BYA81" s="0"/>
      <c r="BYB81" s="0"/>
      <c r="BYC81" s="0"/>
      <c r="BYD81" s="0"/>
      <c r="BYE81" s="0"/>
      <c r="BYF81" s="0"/>
      <c r="BYG81" s="0"/>
      <c r="BYH81" s="0"/>
      <c r="BYI81" s="0"/>
      <c r="BYJ81" s="0"/>
      <c r="BYK81" s="0"/>
      <c r="BYL81" s="0"/>
      <c r="BYM81" s="0"/>
      <c r="BYN81" s="0"/>
      <c r="BYO81" s="0"/>
      <c r="BYP81" s="0"/>
      <c r="BYQ81" s="0"/>
      <c r="BYR81" s="0"/>
      <c r="BYS81" s="0"/>
      <c r="BYT81" s="0"/>
      <c r="BYU81" s="0"/>
      <c r="BYV81" s="0"/>
      <c r="BYW81" s="0"/>
      <c r="BYX81" s="0"/>
      <c r="BYY81" s="0"/>
      <c r="BYZ81" s="0"/>
      <c r="BZA81" s="0"/>
      <c r="BZB81" s="0"/>
      <c r="BZC81" s="0"/>
      <c r="BZD81" s="0"/>
      <c r="BZE81" s="0"/>
      <c r="BZF81" s="0"/>
      <c r="BZG81" s="0"/>
      <c r="BZH81" s="0"/>
      <c r="BZI81" s="0"/>
      <c r="BZJ81" s="0"/>
      <c r="BZK81" s="0"/>
      <c r="BZL81" s="0"/>
      <c r="BZM81" s="0"/>
      <c r="BZN81" s="0"/>
      <c r="BZO81" s="0"/>
      <c r="BZP81" s="0"/>
      <c r="BZQ81" s="0"/>
      <c r="BZR81" s="0"/>
      <c r="BZS81" s="0"/>
      <c r="BZT81" s="0"/>
      <c r="BZU81" s="0"/>
      <c r="BZV81" s="0"/>
      <c r="BZW81" s="0"/>
      <c r="BZX81" s="0"/>
      <c r="BZY81" s="0"/>
      <c r="BZZ81" s="0"/>
      <c r="CAA81" s="0"/>
      <c r="CAB81" s="0"/>
      <c r="CAC81" s="0"/>
      <c r="CAD81" s="0"/>
      <c r="CAE81" s="0"/>
      <c r="CAF81" s="0"/>
      <c r="CAG81" s="0"/>
      <c r="CAH81" s="0"/>
      <c r="CAI81" s="0"/>
      <c r="CAJ81" s="0"/>
      <c r="CAK81" s="0"/>
      <c r="CAL81" s="0"/>
      <c r="CAM81" s="0"/>
      <c r="CAN81" s="0"/>
      <c r="CAO81" s="0"/>
      <c r="CAP81" s="0"/>
      <c r="CAQ81" s="0"/>
      <c r="CAR81" s="0"/>
      <c r="CAS81" s="0"/>
      <c r="CAT81" s="0"/>
      <c r="CAU81" s="0"/>
      <c r="CAV81" s="0"/>
      <c r="CAW81" s="0"/>
      <c r="CAX81" s="0"/>
      <c r="CAY81" s="0"/>
      <c r="CAZ81" s="0"/>
      <c r="CBA81" s="0"/>
      <c r="CBB81" s="0"/>
      <c r="CBC81" s="0"/>
      <c r="CBD81" s="0"/>
      <c r="CBE81" s="0"/>
      <c r="CBF81" s="0"/>
      <c r="CBG81" s="0"/>
      <c r="CBH81" s="0"/>
      <c r="CBI81" s="0"/>
      <c r="CBJ81" s="0"/>
      <c r="CBK81" s="0"/>
      <c r="CBL81" s="0"/>
      <c r="CBM81" s="0"/>
      <c r="CBN81" s="0"/>
      <c r="CBO81" s="0"/>
      <c r="CBP81" s="0"/>
      <c r="CBQ81" s="0"/>
      <c r="CBR81" s="0"/>
      <c r="CBS81" s="0"/>
      <c r="CBT81" s="0"/>
      <c r="CBU81" s="0"/>
      <c r="CBV81" s="0"/>
      <c r="CBW81" s="0"/>
      <c r="CBX81" s="0"/>
      <c r="CBY81" s="0"/>
      <c r="CBZ81" s="0"/>
      <c r="CCA81" s="0"/>
      <c r="CCB81" s="0"/>
      <c r="CCC81" s="0"/>
      <c r="CCD81" s="0"/>
      <c r="CCE81" s="0"/>
      <c r="CCF81" s="0"/>
      <c r="CCG81" s="0"/>
      <c r="CCH81" s="0"/>
      <c r="CCI81" s="0"/>
      <c r="CCJ81" s="0"/>
      <c r="CCK81" s="0"/>
      <c r="CCL81" s="0"/>
      <c r="CCM81" s="0"/>
      <c r="CCN81" s="0"/>
      <c r="CCO81" s="0"/>
      <c r="CCP81" s="0"/>
      <c r="CCQ81" s="0"/>
      <c r="CCR81" s="0"/>
      <c r="CCS81" s="0"/>
      <c r="CCT81" s="0"/>
      <c r="CCU81" s="0"/>
      <c r="CCV81" s="0"/>
      <c r="CCW81" s="0"/>
      <c r="CCX81" s="0"/>
      <c r="CCY81" s="0"/>
      <c r="CCZ81" s="0"/>
      <c r="CDA81" s="0"/>
      <c r="CDB81" s="0"/>
      <c r="CDC81" s="0"/>
      <c r="CDD81" s="0"/>
      <c r="CDE81" s="0"/>
      <c r="CDF81" s="0"/>
      <c r="CDG81" s="0"/>
      <c r="CDH81" s="0"/>
      <c r="CDI81" s="0"/>
      <c r="CDJ81" s="0"/>
      <c r="CDK81" s="0"/>
      <c r="CDL81" s="0"/>
      <c r="CDM81" s="0"/>
      <c r="CDN81" s="0"/>
      <c r="CDO81" s="0"/>
      <c r="CDP81" s="0"/>
      <c r="CDQ81" s="0"/>
      <c r="CDR81" s="0"/>
      <c r="CDS81" s="0"/>
      <c r="CDT81" s="0"/>
      <c r="CDU81" s="0"/>
      <c r="CDV81" s="0"/>
      <c r="CDW81" s="0"/>
      <c r="CDX81" s="0"/>
      <c r="CDY81" s="0"/>
      <c r="CDZ81" s="0"/>
      <c r="CEA81" s="0"/>
      <c r="CEB81" s="0"/>
      <c r="CEC81" s="0"/>
      <c r="CED81" s="0"/>
      <c r="CEE81" s="0"/>
      <c r="CEF81" s="0"/>
      <c r="CEG81" s="0"/>
      <c r="CEH81" s="0"/>
      <c r="CEI81" s="0"/>
      <c r="CEJ81" s="0"/>
      <c r="CEK81" s="0"/>
      <c r="CEL81" s="0"/>
      <c r="CEM81" s="0"/>
      <c r="CEN81" s="0"/>
      <c r="CEO81" s="0"/>
      <c r="CEP81" s="0"/>
      <c r="CEQ81" s="0"/>
      <c r="CER81" s="0"/>
      <c r="CES81" s="0"/>
      <c r="CET81" s="0"/>
      <c r="CEU81" s="0"/>
      <c r="CEV81" s="0"/>
      <c r="CEW81" s="0"/>
      <c r="CEX81" s="0"/>
      <c r="CEY81" s="0"/>
      <c r="CEZ81" s="0"/>
      <c r="CFA81" s="0"/>
      <c r="CFB81" s="0"/>
      <c r="CFC81" s="0"/>
      <c r="CFD81" s="0"/>
      <c r="CFE81" s="0"/>
      <c r="CFF81" s="0"/>
      <c r="CFG81" s="0"/>
      <c r="CFH81" s="0"/>
      <c r="CFI81" s="0"/>
      <c r="CFJ81" s="0"/>
      <c r="CFK81" s="0"/>
      <c r="CFL81" s="0"/>
      <c r="CFM81" s="0"/>
      <c r="CFN81" s="0"/>
      <c r="CFO81" s="0"/>
      <c r="CFP81" s="0"/>
      <c r="CFQ81" s="0"/>
      <c r="CFR81" s="0"/>
      <c r="CFS81" s="0"/>
      <c r="CFT81" s="0"/>
      <c r="CFU81" s="0"/>
      <c r="CFV81" s="0"/>
      <c r="CFW81" s="0"/>
      <c r="CFX81" s="0"/>
      <c r="CFY81" s="0"/>
      <c r="CFZ81" s="0"/>
      <c r="CGA81" s="0"/>
      <c r="CGB81" s="0"/>
      <c r="CGC81" s="0"/>
      <c r="CGD81" s="0"/>
      <c r="CGE81" s="0"/>
      <c r="CGF81" s="0"/>
      <c r="CGG81" s="0"/>
      <c r="CGH81" s="0"/>
      <c r="CGI81" s="0"/>
      <c r="CGJ81" s="0"/>
      <c r="CGK81" s="0"/>
      <c r="CGL81" s="0"/>
      <c r="CGM81" s="0"/>
      <c r="CGN81" s="0"/>
      <c r="CGO81" s="0"/>
      <c r="CGP81" s="0"/>
      <c r="CGQ81" s="0"/>
      <c r="CGR81" s="0"/>
      <c r="CGS81" s="0"/>
      <c r="CGT81" s="0"/>
      <c r="CGU81" s="0"/>
      <c r="CGV81" s="0"/>
      <c r="CGW81" s="0"/>
      <c r="CGX81" s="0"/>
      <c r="CGY81" s="0"/>
      <c r="CGZ81" s="0"/>
      <c r="CHA81" s="0"/>
      <c r="CHB81" s="0"/>
      <c r="CHC81" s="0"/>
      <c r="CHD81" s="0"/>
      <c r="CHE81" s="0"/>
      <c r="CHF81" s="0"/>
      <c r="CHG81" s="0"/>
      <c r="CHH81" s="0"/>
      <c r="CHI81" s="0"/>
      <c r="CHJ81" s="0"/>
      <c r="CHK81" s="0"/>
      <c r="CHL81" s="0"/>
      <c r="CHM81" s="0"/>
      <c r="CHN81" s="0"/>
      <c r="CHO81" s="0"/>
      <c r="CHP81" s="0"/>
      <c r="CHQ81" s="0"/>
      <c r="CHR81" s="0"/>
      <c r="CHS81" s="0"/>
      <c r="CHT81" s="0"/>
      <c r="CHU81" s="0"/>
      <c r="CHV81" s="0"/>
      <c r="CHW81" s="0"/>
      <c r="CHX81" s="0"/>
      <c r="CHY81" s="0"/>
      <c r="CHZ81" s="0"/>
      <c r="CIA81" s="0"/>
      <c r="CIB81" s="0"/>
      <c r="CIC81" s="0"/>
      <c r="CID81" s="0"/>
      <c r="CIE81" s="0"/>
      <c r="CIF81" s="0"/>
      <c r="CIG81" s="0"/>
      <c r="CIH81" s="0"/>
      <c r="CII81" s="0"/>
      <c r="CIJ81" s="0"/>
      <c r="CIK81" s="0"/>
      <c r="CIL81" s="0"/>
      <c r="CIM81" s="0"/>
      <c r="CIN81" s="0"/>
      <c r="CIO81" s="0"/>
      <c r="CIP81" s="0"/>
      <c r="CIQ81" s="0"/>
      <c r="CIR81" s="0"/>
      <c r="CIS81" s="0"/>
      <c r="CIT81" s="0"/>
      <c r="CIU81" s="0"/>
      <c r="CIV81" s="0"/>
      <c r="CIW81" s="0"/>
      <c r="CIX81" s="0"/>
      <c r="CIY81" s="0"/>
      <c r="CIZ81" s="0"/>
      <c r="CJA81" s="0"/>
      <c r="CJB81" s="0"/>
      <c r="CJC81" s="0"/>
      <c r="CJD81" s="0"/>
      <c r="CJE81" s="0"/>
      <c r="CJF81" s="0"/>
      <c r="CJG81" s="0"/>
      <c r="CJH81" s="0"/>
      <c r="CJI81" s="0"/>
      <c r="CJJ81" s="0"/>
      <c r="CJK81" s="0"/>
      <c r="CJL81" s="0"/>
      <c r="CJM81" s="0"/>
      <c r="CJN81" s="0"/>
      <c r="CJO81" s="0"/>
      <c r="CJP81" s="0"/>
      <c r="CJQ81" s="0"/>
      <c r="CJR81" s="0"/>
      <c r="CJS81" s="0"/>
      <c r="CJT81" s="0"/>
      <c r="CJU81" s="0"/>
      <c r="CJV81" s="0"/>
      <c r="CJW81" s="0"/>
      <c r="CJX81" s="0"/>
      <c r="CJY81" s="0"/>
      <c r="CJZ81" s="0"/>
      <c r="CKA81" s="0"/>
      <c r="CKB81" s="0"/>
      <c r="CKC81" s="0"/>
      <c r="CKD81" s="0"/>
      <c r="CKE81" s="0"/>
      <c r="CKF81" s="0"/>
      <c r="CKG81" s="0"/>
      <c r="CKH81" s="0"/>
      <c r="CKI81" s="0"/>
      <c r="CKJ81" s="0"/>
      <c r="CKK81" s="0"/>
      <c r="CKL81" s="0"/>
      <c r="CKM81" s="0"/>
      <c r="CKN81" s="0"/>
      <c r="CKO81" s="0"/>
      <c r="CKP81" s="0"/>
      <c r="CKQ81" s="0"/>
      <c r="CKR81" s="0"/>
      <c r="CKS81" s="0"/>
      <c r="CKT81" s="0"/>
      <c r="CKU81" s="0"/>
      <c r="CKV81" s="0"/>
      <c r="CKW81" s="0"/>
      <c r="CKX81" s="0"/>
      <c r="CKY81" s="0"/>
      <c r="CKZ81" s="0"/>
      <c r="CLA81" s="0"/>
      <c r="CLB81" s="0"/>
      <c r="CLC81" s="0"/>
      <c r="CLD81" s="0"/>
      <c r="CLE81" s="0"/>
      <c r="CLF81" s="0"/>
      <c r="CLG81" s="0"/>
      <c r="CLH81" s="0"/>
      <c r="CLI81" s="0"/>
      <c r="CLJ81" s="0"/>
      <c r="CLK81" s="0"/>
      <c r="CLL81" s="0"/>
      <c r="CLM81" s="0"/>
      <c r="CLN81" s="0"/>
      <c r="CLO81" s="0"/>
      <c r="CLP81" s="0"/>
      <c r="CLQ81" s="0"/>
      <c r="CLR81" s="0"/>
      <c r="CLS81" s="0"/>
      <c r="CLT81" s="0"/>
      <c r="CLU81" s="0"/>
      <c r="CLV81" s="0"/>
      <c r="CLW81" s="0"/>
      <c r="CLX81" s="0"/>
      <c r="CLY81" s="0"/>
      <c r="CLZ81" s="0"/>
      <c r="CMA81" s="0"/>
      <c r="CMB81" s="0"/>
      <c r="CMC81" s="0"/>
      <c r="CMD81" s="0"/>
      <c r="CME81" s="0"/>
      <c r="CMF81" s="0"/>
      <c r="CMG81" s="0"/>
      <c r="CMH81" s="0"/>
      <c r="CMI81" s="0"/>
      <c r="CMJ81" s="0"/>
      <c r="CMK81" s="0"/>
      <c r="CML81" s="0"/>
      <c r="CMM81" s="0"/>
      <c r="CMN81" s="0"/>
      <c r="CMO81" s="0"/>
      <c r="CMP81" s="0"/>
      <c r="CMQ81" s="0"/>
      <c r="CMR81" s="0"/>
      <c r="CMS81" s="0"/>
      <c r="CMT81" s="0"/>
      <c r="CMU81" s="0"/>
      <c r="CMV81" s="0"/>
      <c r="CMW81" s="0"/>
      <c r="CMX81" s="0"/>
      <c r="CMY81" s="0"/>
      <c r="CMZ81" s="0"/>
      <c r="CNA81" s="0"/>
      <c r="CNB81" s="0"/>
      <c r="CNC81" s="0"/>
      <c r="CND81" s="0"/>
      <c r="CNE81" s="0"/>
      <c r="CNF81" s="0"/>
      <c r="CNG81" s="0"/>
      <c r="CNH81" s="0"/>
      <c r="CNI81" s="0"/>
      <c r="CNJ81" s="0"/>
      <c r="CNK81" s="0"/>
      <c r="CNL81" s="0"/>
      <c r="CNM81" s="0"/>
      <c r="CNN81" s="0"/>
      <c r="CNO81" s="0"/>
      <c r="CNP81" s="0"/>
      <c r="CNQ81" s="0"/>
      <c r="CNR81" s="0"/>
      <c r="CNS81" s="0"/>
      <c r="CNT81" s="0"/>
      <c r="CNU81" s="0"/>
      <c r="CNV81" s="0"/>
      <c r="CNW81" s="0"/>
      <c r="CNX81" s="0"/>
      <c r="CNY81" s="0"/>
      <c r="CNZ81" s="0"/>
      <c r="COA81" s="0"/>
      <c r="COB81" s="0"/>
      <c r="COC81" s="0"/>
      <c r="COD81" s="0"/>
      <c r="COE81" s="0"/>
      <c r="COF81" s="0"/>
      <c r="COG81" s="0"/>
      <c r="COH81" s="0"/>
      <c r="COI81" s="0"/>
      <c r="COJ81" s="0"/>
      <c r="COK81" s="0"/>
      <c r="COL81" s="0"/>
      <c r="COM81" s="0"/>
      <c r="CON81" s="0"/>
      <c r="COO81" s="0"/>
      <c r="COP81" s="0"/>
      <c r="COQ81" s="0"/>
      <c r="COR81" s="0"/>
      <c r="COS81" s="0"/>
      <c r="COT81" s="0"/>
      <c r="COU81" s="0"/>
      <c r="COV81" s="0"/>
      <c r="COW81" s="0"/>
      <c r="COX81" s="0"/>
      <c r="COY81" s="0"/>
      <c r="COZ81" s="0"/>
      <c r="CPA81" s="0"/>
      <c r="CPB81" s="0"/>
      <c r="CPC81" s="0"/>
      <c r="CPD81" s="0"/>
      <c r="CPE81" s="0"/>
      <c r="CPF81" s="0"/>
      <c r="CPG81" s="0"/>
      <c r="CPH81" s="0"/>
      <c r="CPI81" s="0"/>
      <c r="CPJ81" s="0"/>
      <c r="CPK81" s="0"/>
      <c r="CPL81" s="0"/>
      <c r="CPM81" s="0"/>
      <c r="CPN81" s="0"/>
      <c r="CPO81" s="0"/>
      <c r="CPP81" s="0"/>
      <c r="CPQ81" s="0"/>
      <c r="CPR81" s="0"/>
      <c r="CPS81" s="0"/>
      <c r="CPT81" s="0"/>
      <c r="CPU81" s="0"/>
      <c r="CPV81" s="0"/>
      <c r="CPW81" s="0"/>
      <c r="CPX81" s="0"/>
      <c r="CPY81" s="0"/>
      <c r="CPZ81" s="0"/>
      <c r="CQA81" s="0"/>
      <c r="CQB81" s="0"/>
      <c r="CQC81" s="0"/>
      <c r="CQD81" s="0"/>
      <c r="CQE81" s="0"/>
      <c r="CQF81" s="0"/>
      <c r="CQG81" s="0"/>
      <c r="CQH81" s="0"/>
      <c r="CQI81" s="0"/>
      <c r="CQJ81" s="0"/>
      <c r="CQK81" s="0"/>
      <c r="CQL81" s="0"/>
      <c r="CQM81" s="0"/>
      <c r="CQN81" s="0"/>
      <c r="CQO81" s="0"/>
      <c r="CQP81" s="0"/>
      <c r="CQQ81" s="0"/>
      <c r="CQR81" s="0"/>
      <c r="CQS81" s="0"/>
      <c r="CQT81" s="0"/>
      <c r="CQU81" s="0"/>
      <c r="CQV81" s="0"/>
      <c r="CQW81" s="0"/>
      <c r="CQX81" s="0"/>
      <c r="CQY81" s="0"/>
      <c r="CQZ81" s="0"/>
      <c r="CRA81" s="0"/>
      <c r="CRB81" s="0"/>
      <c r="CRC81" s="0"/>
      <c r="CRD81" s="0"/>
      <c r="CRE81" s="0"/>
      <c r="CRF81" s="0"/>
      <c r="CRG81" s="0"/>
      <c r="CRH81" s="0"/>
      <c r="CRI81" s="0"/>
      <c r="CRJ81" s="0"/>
      <c r="CRK81" s="0"/>
      <c r="CRL81" s="0"/>
      <c r="CRM81" s="0"/>
      <c r="CRN81" s="0"/>
      <c r="CRO81" s="0"/>
      <c r="CRP81" s="0"/>
      <c r="CRQ81" s="0"/>
      <c r="CRR81" s="0"/>
      <c r="CRS81" s="0"/>
      <c r="CRT81" s="0"/>
      <c r="CRU81" s="0"/>
      <c r="CRV81" s="0"/>
      <c r="CRW81" s="0"/>
      <c r="CRX81" s="0"/>
      <c r="CRY81" s="0"/>
      <c r="CRZ81" s="0"/>
      <c r="CSA81" s="0"/>
      <c r="CSB81" s="0"/>
      <c r="CSC81" s="0"/>
      <c r="CSD81" s="0"/>
      <c r="CSE81" s="0"/>
      <c r="CSF81" s="0"/>
      <c r="CSG81" s="0"/>
      <c r="CSH81" s="0"/>
      <c r="CSI81" s="0"/>
      <c r="CSJ81" s="0"/>
      <c r="CSK81" s="0"/>
      <c r="CSL81" s="0"/>
      <c r="CSM81" s="0"/>
      <c r="CSN81" s="0"/>
      <c r="CSO81" s="0"/>
      <c r="CSP81" s="0"/>
      <c r="CSQ81" s="0"/>
      <c r="CSR81" s="0"/>
      <c r="CSS81" s="0"/>
      <c r="CST81" s="0"/>
      <c r="CSU81" s="0"/>
      <c r="CSV81" s="0"/>
      <c r="CSW81" s="0"/>
      <c r="CSX81" s="0"/>
      <c r="CSY81" s="0"/>
      <c r="CSZ81" s="0"/>
      <c r="CTA81" s="0"/>
      <c r="CTB81" s="0"/>
      <c r="CTC81" s="0"/>
      <c r="CTD81" s="0"/>
      <c r="CTE81" s="0"/>
      <c r="CTF81" s="0"/>
      <c r="CTG81" s="0"/>
      <c r="CTH81" s="0"/>
      <c r="CTI81" s="0"/>
      <c r="CTJ81" s="0"/>
      <c r="CTK81" s="0"/>
      <c r="CTL81" s="0"/>
      <c r="CTM81" s="0"/>
      <c r="CTN81" s="0"/>
      <c r="CTO81" s="0"/>
      <c r="CTP81" s="0"/>
      <c r="CTQ81" s="0"/>
      <c r="CTR81" s="0"/>
      <c r="CTS81" s="0"/>
      <c r="CTT81" s="0"/>
      <c r="CTU81" s="0"/>
      <c r="CTV81" s="0"/>
      <c r="CTW81" s="0"/>
      <c r="CTX81" s="0"/>
      <c r="CTY81" s="0"/>
      <c r="CTZ81" s="0"/>
      <c r="CUA81" s="0"/>
      <c r="CUB81" s="0"/>
      <c r="CUC81" s="0"/>
      <c r="CUD81" s="0"/>
      <c r="CUE81" s="0"/>
      <c r="CUF81" s="0"/>
      <c r="CUG81" s="0"/>
      <c r="CUH81" s="0"/>
      <c r="CUI81" s="0"/>
      <c r="CUJ81" s="0"/>
      <c r="CUK81" s="0"/>
      <c r="CUL81" s="0"/>
      <c r="CUM81" s="0"/>
      <c r="CUN81" s="0"/>
      <c r="CUO81" s="0"/>
      <c r="CUP81" s="0"/>
      <c r="CUQ81" s="0"/>
      <c r="CUR81" s="0"/>
      <c r="CUS81" s="0"/>
      <c r="CUT81" s="0"/>
      <c r="CUU81" s="0"/>
      <c r="CUV81" s="0"/>
      <c r="CUW81" s="0"/>
      <c r="CUX81" s="0"/>
      <c r="CUY81" s="0"/>
      <c r="CUZ81" s="0"/>
      <c r="CVA81" s="0"/>
      <c r="CVB81" s="0"/>
      <c r="CVC81" s="0"/>
      <c r="CVD81" s="0"/>
      <c r="CVE81" s="0"/>
      <c r="CVF81" s="0"/>
      <c r="CVG81" s="0"/>
      <c r="CVH81" s="0"/>
      <c r="CVI81" s="0"/>
      <c r="CVJ81" s="0"/>
      <c r="CVK81" s="0"/>
      <c r="CVL81" s="0"/>
      <c r="CVM81" s="0"/>
      <c r="CVN81" s="0"/>
      <c r="CVO81" s="0"/>
      <c r="CVP81" s="0"/>
      <c r="CVQ81" s="0"/>
      <c r="CVR81" s="0"/>
      <c r="CVS81" s="0"/>
      <c r="CVT81" s="0"/>
      <c r="CVU81" s="0"/>
      <c r="CVV81" s="0"/>
      <c r="CVW81" s="0"/>
      <c r="CVX81" s="0"/>
      <c r="CVY81" s="0"/>
      <c r="CVZ81" s="0"/>
      <c r="CWA81" s="0"/>
      <c r="CWB81" s="0"/>
      <c r="CWC81" s="0"/>
      <c r="CWD81" s="0"/>
      <c r="CWE81" s="0"/>
      <c r="CWF81" s="0"/>
      <c r="CWG81" s="0"/>
      <c r="CWH81" s="0"/>
      <c r="CWI81" s="0"/>
      <c r="CWJ81" s="0"/>
      <c r="CWK81" s="0"/>
      <c r="CWL81" s="0"/>
      <c r="CWM81" s="0"/>
      <c r="CWN81" s="0"/>
      <c r="CWO81" s="0"/>
      <c r="CWP81" s="0"/>
      <c r="CWQ81" s="0"/>
      <c r="CWR81" s="0"/>
      <c r="CWS81" s="0"/>
      <c r="CWT81" s="0"/>
      <c r="CWU81" s="0"/>
      <c r="CWV81" s="0"/>
      <c r="CWW81" s="0"/>
      <c r="CWX81" s="0"/>
      <c r="CWY81" s="0"/>
      <c r="CWZ81" s="0"/>
      <c r="CXA81" s="0"/>
      <c r="CXB81" s="0"/>
      <c r="CXC81" s="0"/>
      <c r="CXD81" s="0"/>
      <c r="CXE81" s="0"/>
      <c r="CXF81" s="0"/>
      <c r="CXG81" s="0"/>
      <c r="CXH81" s="0"/>
      <c r="CXI81" s="0"/>
      <c r="CXJ81" s="0"/>
      <c r="CXK81" s="0"/>
      <c r="CXL81" s="0"/>
      <c r="CXM81" s="0"/>
      <c r="CXN81" s="0"/>
      <c r="CXO81" s="0"/>
      <c r="CXP81" s="0"/>
      <c r="CXQ81" s="0"/>
      <c r="CXR81" s="0"/>
      <c r="CXS81" s="0"/>
      <c r="CXT81" s="0"/>
      <c r="CXU81" s="0"/>
      <c r="CXV81" s="0"/>
      <c r="CXW81" s="0"/>
      <c r="CXX81" s="0"/>
      <c r="CXY81" s="0"/>
      <c r="CXZ81" s="0"/>
      <c r="CYA81" s="0"/>
      <c r="CYB81" s="0"/>
      <c r="CYC81" s="0"/>
      <c r="CYD81" s="0"/>
      <c r="CYE81" s="0"/>
      <c r="CYF81" s="0"/>
      <c r="CYG81" s="0"/>
      <c r="CYH81" s="0"/>
      <c r="CYI81" s="0"/>
      <c r="CYJ81" s="0"/>
      <c r="CYK81" s="0"/>
      <c r="CYL81" s="0"/>
      <c r="CYM81" s="0"/>
      <c r="CYN81" s="0"/>
      <c r="CYO81" s="0"/>
      <c r="CYP81" s="0"/>
      <c r="CYQ81" s="0"/>
      <c r="CYR81" s="0"/>
      <c r="CYS81" s="0"/>
      <c r="CYT81" s="0"/>
      <c r="CYU81" s="0"/>
      <c r="CYV81" s="0"/>
      <c r="CYW81" s="0"/>
      <c r="CYX81" s="0"/>
      <c r="CYY81" s="0"/>
      <c r="CYZ81" s="0"/>
      <c r="CZA81" s="0"/>
      <c r="CZB81" s="0"/>
      <c r="CZC81" s="0"/>
      <c r="CZD81" s="0"/>
      <c r="CZE81" s="0"/>
      <c r="CZF81" s="0"/>
      <c r="CZG81" s="0"/>
      <c r="CZH81" s="0"/>
      <c r="CZI81" s="0"/>
      <c r="CZJ81" s="0"/>
      <c r="CZK81" s="0"/>
      <c r="CZL81" s="0"/>
      <c r="CZM81" s="0"/>
      <c r="CZN81" s="0"/>
      <c r="CZO81" s="0"/>
      <c r="CZP81" s="0"/>
      <c r="CZQ81" s="0"/>
      <c r="CZR81" s="0"/>
      <c r="CZS81" s="0"/>
      <c r="CZT81" s="0"/>
      <c r="CZU81" s="0"/>
      <c r="CZV81" s="0"/>
      <c r="CZW81" s="0"/>
      <c r="CZX81" s="0"/>
      <c r="CZY81" s="0"/>
      <c r="CZZ81" s="0"/>
      <c r="DAA81" s="0"/>
      <c r="DAB81" s="0"/>
      <c r="DAC81" s="0"/>
      <c r="DAD81" s="0"/>
      <c r="DAE81" s="0"/>
      <c r="DAF81" s="0"/>
      <c r="DAG81" s="0"/>
      <c r="DAH81" s="0"/>
      <c r="DAI81" s="0"/>
      <c r="DAJ81" s="0"/>
      <c r="DAK81" s="0"/>
      <c r="DAL81" s="0"/>
      <c r="DAM81" s="0"/>
      <c r="DAN81" s="0"/>
      <c r="DAO81" s="0"/>
      <c r="DAP81" s="0"/>
      <c r="DAQ81" s="0"/>
      <c r="DAR81" s="0"/>
      <c r="DAS81" s="0"/>
      <c r="DAT81" s="0"/>
      <c r="DAU81" s="0"/>
      <c r="DAV81" s="0"/>
      <c r="DAW81" s="0"/>
      <c r="DAX81" s="0"/>
      <c r="DAY81" s="0"/>
      <c r="DAZ81" s="0"/>
      <c r="DBA81" s="0"/>
      <c r="DBB81" s="0"/>
      <c r="DBC81" s="0"/>
      <c r="DBD81" s="0"/>
      <c r="DBE81" s="0"/>
      <c r="DBF81" s="0"/>
      <c r="DBG81" s="0"/>
      <c r="DBH81" s="0"/>
      <c r="DBI81" s="0"/>
      <c r="DBJ81" s="0"/>
      <c r="DBK81" s="0"/>
      <c r="DBL81" s="0"/>
      <c r="DBM81" s="0"/>
      <c r="DBN81" s="0"/>
      <c r="DBO81" s="0"/>
      <c r="DBP81" s="0"/>
      <c r="DBQ81" s="0"/>
      <c r="DBR81" s="0"/>
      <c r="DBS81" s="0"/>
      <c r="DBT81" s="0"/>
      <c r="DBU81" s="0"/>
      <c r="DBV81" s="0"/>
      <c r="DBW81" s="0"/>
      <c r="DBX81" s="0"/>
      <c r="DBY81" s="0"/>
      <c r="DBZ81" s="0"/>
      <c r="DCA81" s="0"/>
      <c r="DCB81" s="0"/>
      <c r="DCC81" s="0"/>
      <c r="DCD81" s="0"/>
      <c r="DCE81" s="0"/>
      <c r="DCF81" s="0"/>
      <c r="DCG81" s="0"/>
      <c r="DCH81" s="0"/>
      <c r="DCI81" s="0"/>
      <c r="DCJ81" s="0"/>
      <c r="DCK81" s="0"/>
      <c r="DCL81" s="0"/>
      <c r="DCM81" s="0"/>
      <c r="DCN81" s="0"/>
      <c r="DCO81" s="0"/>
      <c r="DCP81" s="0"/>
      <c r="DCQ81" s="0"/>
      <c r="DCR81" s="0"/>
      <c r="DCS81" s="0"/>
      <c r="DCT81" s="0"/>
      <c r="DCU81" s="0"/>
      <c r="DCV81" s="0"/>
      <c r="DCW81" s="0"/>
      <c r="DCX81" s="0"/>
      <c r="DCY81" s="0"/>
      <c r="DCZ81" s="0"/>
      <c r="DDA81" s="0"/>
      <c r="DDB81" s="0"/>
      <c r="DDC81" s="0"/>
      <c r="DDD81" s="0"/>
      <c r="DDE81" s="0"/>
      <c r="DDF81" s="0"/>
      <c r="DDG81" s="0"/>
      <c r="DDH81" s="0"/>
      <c r="DDI81" s="0"/>
      <c r="DDJ81" s="0"/>
      <c r="DDK81" s="0"/>
      <c r="DDL81" s="0"/>
      <c r="DDM81" s="0"/>
      <c r="DDN81" s="0"/>
      <c r="DDO81" s="0"/>
      <c r="DDP81" s="0"/>
      <c r="DDQ81" s="0"/>
      <c r="DDR81" s="0"/>
      <c r="DDS81" s="0"/>
      <c r="DDT81" s="0"/>
      <c r="DDU81" s="0"/>
      <c r="DDV81" s="0"/>
      <c r="DDW81" s="0"/>
      <c r="DDX81" s="0"/>
      <c r="DDY81" s="0"/>
      <c r="DDZ81" s="0"/>
      <c r="DEA81" s="0"/>
      <c r="DEB81" s="0"/>
      <c r="DEC81" s="0"/>
      <c r="DED81" s="0"/>
      <c r="DEE81" s="0"/>
      <c r="DEF81" s="0"/>
      <c r="DEG81" s="0"/>
      <c r="DEH81" s="0"/>
      <c r="DEI81" s="0"/>
      <c r="DEJ81" s="0"/>
      <c r="DEK81" s="0"/>
      <c r="DEL81" s="0"/>
      <c r="DEM81" s="0"/>
      <c r="DEN81" s="0"/>
      <c r="DEO81" s="0"/>
      <c r="DEP81" s="0"/>
      <c r="DEQ81" s="0"/>
      <c r="DER81" s="0"/>
      <c r="DES81" s="0"/>
      <c r="DET81" s="0"/>
      <c r="DEU81" s="0"/>
      <c r="DEV81" s="0"/>
      <c r="DEW81" s="0"/>
      <c r="DEX81" s="0"/>
      <c r="DEY81" s="0"/>
      <c r="DEZ81" s="0"/>
      <c r="DFA81" s="0"/>
      <c r="DFB81" s="0"/>
      <c r="DFC81" s="0"/>
      <c r="DFD81" s="0"/>
      <c r="DFE81" s="0"/>
      <c r="DFF81" s="0"/>
      <c r="DFG81" s="0"/>
      <c r="DFH81" s="0"/>
      <c r="DFI81" s="0"/>
      <c r="DFJ81" s="0"/>
      <c r="DFK81" s="0"/>
      <c r="DFL81" s="0"/>
      <c r="DFM81" s="0"/>
      <c r="DFN81" s="0"/>
      <c r="DFO81" s="0"/>
      <c r="DFP81" s="0"/>
      <c r="DFQ81" s="0"/>
      <c r="DFR81" s="0"/>
      <c r="DFS81" s="0"/>
      <c r="DFT81" s="0"/>
      <c r="DFU81" s="0"/>
      <c r="DFV81" s="0"/>
      <c r="DFW81" s="0"/>
      <c r="DFX81" s="0"/>
      <c r="DFY81" s="0"/>
      <c r="DFZ81" s="0"/>
      <c r="DGA81" s="0"/>
      <c r="DGB81" s="0"/>
      <c r="DGC81" s="0"/>
      <c r="DGD81" s="0"/>
      <c r="DGE81" s="0"/>
      <c r="DGF81" s="0"/>
      <c r="DGG81" s="0"/>
      <c r="DGH81" s="0"/>
      <c r="DGI81" s="0"/>
      <c r="DGJ81" s="0"/>
      <c r="DGK81" s="0"/>
      <c r="DGL81" s="0"/>
      <c r="DGM81" s="0"/>
      <c r="DGN81" s="0"/>
      <c r="DGO81" s="0"/>
      <c r="DGP81" s="0"/>
      <c r="DGQ81" s="0"/>
      <c r="DGR81" s="0"/>
      <c r="DGS81" s="0"/>
      <c r="DGT81" s="0"/>
      <c r="DGU81" s="0"/>
      <c r="DGV81" s="0"/>
      <c r="DGW81" s="0"/>
      <c r="DGX81" s="0"/>
      <c r="DGY81" s="0"/>
      <c r="DGZ81" s="0"/>
      <c r="DHA81" s="0"/>
      <c r="DHB81" s="0"/>
      <c r="DHC81" s="0"/>
      <c r="DHD81" s="0"/>
      <c r="DHE81" s="0"/>
      <c r="DHF81" s="0"/>
      <c r="DHG81" s="0"/>
      <c r="DHH81" s="0"/>
      <c r="DHI81" s="0"/>
      <c r="DHJ81" s="0"/>
      <c r="DHK81" s="0"/>
      <c r="DHL81" s="0"/>
      <c r="DHM81" s="0"/>
      <c r="DHN81" s="0"/>
      <c r="DHO81" s="0"/>
      <c r="DHP81" s="0"/>
      <c r="DHQ81" s="0"/>
      <c r="DHR81" s="0"/>
      <c r="DHS81" s="0"/>
      <c r="DHT81" s="0"/>
      <c r="DHU81" s="0"/>
      <c r="DHV81" s="0"/>
      <c r="DHW81" s="0"/>
      <c r="DHX81" s="0"/>
      <c r="DHY81" s="0"/>
      <c r="DHZ81" s="0"/>
      <c r="DIA81" s="0"/>
      <c r="DIB81" s="0"/>
      <c r="DIC81" s="0"/>
      <c r="DID81" s="0"/>
      <c r="DIE81" s="0"/>
      <c r="DIF81" s="0"/>
      <c r="DIG81" s="0"/>
      <c r="DIH81" s="0"/>
      <c r="DII81" s="0"/>
      <c r="DIJ81" s="0"/>
      <c r="DIK81" s="0"/>
      <c r="DIL81" s="0"/>
      <c r="DIM81" s="0"/>
      <c r="DIN81" s="0"/>
      <c r="DIO81" s="0"/>
      <c r="DIP81" s="0"/>
      <c r="DIQ81" s="0"/>
      <c r="DIR81" s="0"/>
      <c r="DIS81" s="0"/>
      <c r="DIT81" s="0"/>
      <c r="DIU81" s="0"/>
      <c r="DIV81" s="0"/>
      <c r="DIW81" s="0"/>
      <c r="DIX81" s="0"/>
      <c r="DIY81" s="0"/>
      <c r="DIZ81" s="0"/>
      <c r="DJA81" s="0"/>
      <c r="DJB81" s="0"/>
      <c r="DJC81" s="0"/>
      <c r="DJD81" s="0"/>
      <c r="DJE81" s="0"/>
      <c r="DJF81" s="0"/>
      <c r="DJG81" s="0"/>
      <c r="DJH81" s="0"/>
      <c r="DJI81" s="0"/>
      <c r="DJJ81" s="0"/>
      <c r="DJK81" s="0"/>
      <c r="DJL81" s="0"/>
      <c r="DJM81" s="0"/>
      <c r="DJN81" s="0"/>
      <c r="DJO81" s="0"/>
      <c r="DJP81" s="0"/>
      <c r="DJQ81" s="0"/>
      <c r="DJR81" s="0"/>
      <c r="DJS81" s="0"/>
      <c r="DJT81" s="0"/>
      <c r="DJU81" s="0"/>
      <c r="DJV81" s="0"/>
      <c r="DJW81" s="0"/>
      <c r="DJX81" s="0"/>
      <c r="DJY81" s="0"/>
      <c r="DJZ81" s="0"/>
      <c r="DKA81" s="0"/>
      <c r="DKB81" s="0"/>
      <c r="DKC81" s="0"/>
      <c r="DKD81" s="0"/>
      <c r="DKE81" s="0"/>
      <c r="DKF81" s="0"/>
      <c r="DKG81" s="0"/>
      <c r="DKH81" s="0"/>
      <c r="DKI81" s="0"/>
      <c r="DKJ81" s="0"/>
      <c r="DKK81" s="0"/>
      <c r="DKL81" s="0"/>
      <c r="DKM81" s="0"/>
      <c r="DKN81" s="0"/>
      <c r="DKO81" s="0"/>
      <c r="DKP81" s="0"/>
      <c r="DKQ81" s="0"/>
      <c r="DKR81" s="0"/>
      <c r="DKS81" s="0"/>
      <c r="DKT81" s="0"/>
      <c r="DKU81" s="0"/>
      <c r="DKV81" s="0"/>
      <c r="DKW81" s="0"/>
      <c r="DKX81" s="0"/>
      <c r="DKY81" s="0"/>
      <c r="DKZ81" s="0"/>
      <c r="DLA81" s="0"/>
      <c r="DLB81" s="0"/>
      <c r="DLC81" s="0"/>
      <c r="DLD81" s="0"/>
      <c r="DLE81" s="0"/>
      <c r="DLF81" s="0"/>
      <c r="DLG81" s="0"/>
      <c r="DLH81" s="0"/>
      <c r="DLI81" s="0"/>
      <c r="DLJ81" s="0"/>
      <c r="DLK81" s="0"/>
      <c r="DLL81" s="0"/>
      <c r="DLM81" s="0"/>
      <c r="DLN81" s="0"/>
      <c r="DLO81" s="0"/>
      <c r="DLP81" s="0"/>
      <c r="DLQ81" s="0"/>
      <c r="DLR81" s="0"/>
      <c r="DLS81" s="0"/>
      <c r="DLT81" s="0"/>
      <c r="DLU81" s="0"/>
      <c r="DLV81" s="0"/>
      <c r="DLW81" s="0"/>
      <c r="DLX81" s="0"/>
      <c r="DLY81" s="0"/>
      <c r="DLZ81" s="0"/>
      <c r="DMA81" s="0"/>
      <c r="DMB81" s="0"/>
      <c r="DMC81" s="0"/>
      <c r="DMD81" s="0"/>
      <c r="DME81" s="0"/>
      <c r="DMF81" s="0"/>
      <c r="DMG81" s="0"/>
      <c r="DMH81" s="0"/>
      <c r="DMI81" s="0"/>
      <c r="DMJ81" s="0"/>
      <c r="DMK81" s="0"/>
      <c r="DML81" s="0"/>
      <c r="DMM81" s="0"/>
      <c r="DMN81" s="0"/>
      <c r="DMO81" s="0"/>
      <c r="DMP81" s="0"/>
      <c r="DMQ81" s="0"/>
      <c r="DMR81" s="0"/>
      <c r="DMS81" s="0"/>
      <c r="DMT81" s="0"/>
      <c r="DMU81" s="0"/>
      <c r="DMV81" s="0"/>
      <c r="DMW81" s="0"/>
      <c r="DMX81" s="0"/>
      <c r="DMY81" s="0"/>
      <c r="DMZ81" s="0"/>
      <c r="DNA81" s="0"/>
      <c r="DNB81" s="0"/>
      <c r="DNC81" s="0"/>
      <c r="DND81" s="0"/>
      <c r="DNE81" s="0"/>
      <c r="DNF81" s="0"/>
      <c r="DNG81" s="0"/>
      <c r="DNH81" s="0"/>
      <c r="DNI81" s="0"/>
      <c r="DNJ81" s="0"/>
      <c r="DNK81" s="0"/>
      <c r="DNL81" s="0"/>
      <c r="DNM81" s="0"/>
      <c r="DNN81" s="0"/>
      <c r="DNO81" s="0"/>
      <c r="DNP81" s="0"/>
      <c r="DNQ81" s="0"/>
      <c r="DNR81" s="0"/>
      <c r="DNS81" s="0"/>
      <c r="DNT81" s="0"/>
      <c r="DNU81" s="0"/>
      <c r="DNV81" s="0"/>
      <c r="DNW81" s="0"/>
      <c r="DNX81" s="0"/>
      <c r="DNY81" s="0"/>
      <c r="DNZ81" s="0"/>
      <c r="DOA81" s="0"/>
      <c r="DOB81" s="0"/>
      <c r="DOC81" s="0"/>
      <c r="DOD81" s="0"/>
      <c r="DOE81" s="0"/>
      <c r="DOF81" s="0"/>
      <c r="DOG81" s="0"/>
      <c r="DOH81" s="0"/>
      <c r="DOI81" s="0"/>
      <c r="DOJ81" s="0"/>
      <c r="DOK81" s="0"/>
      <c r="DOL81" s="0"/>
      <c r="DOM81" s="0"/>
      <c r="DON81" s="0"/>
      <c r="DOO81" s="0"/>
      <c r="DOP81" s="0"/>
      <c r="DOQ81" s="0"/>
      <c r="DOR81" s="0"/>
      <c r="DOS81" s="0"/>
      <c r="DOT81" s="0"/>
      <c r="DOU81" s="0"/>
      <c r="DOV81" s="0"/>
      <c r="DOW81" s="0"/>
      <c r="DOX81" s="0"/>
      <c r="DOY81" s="0"/>
      <c r="DOZ81" s="0"/>
      <c r="DPA81" s="0"/>
      <c r="DPB81" s="0"/>
      <c r="DPC81" s="0"/>
      <c r="DPD81" s="0"/>
      <c r="DPE81" s="0"/>
      <c r="DPF81" s="0"/>
      <c r="DPG81" s="0"/>
      <c r="DPH81" s="0"/>
      <c r="DPI81" s="0"/>
      <c r="DPJ81" s="0"/>
      <c r="DPK81" s="0"/>
      <c r="DPL81" s="0"/>
      <c r="DPM81" s="0"/>
      <c r="DPN81" s="0"/>
      <c r="DPO81" s="0"/>
      <c r="DPP81" s="0"/>
      <c r="DPQ81" s="0"/>
      <c r="DPR81" s="0"/>
      <c r="DPS81" s="0"/>
      <c r="DPT81" s="0"/>
      <c r="DPU81" s="0"/>
      <c r="DPV81" s="0"/>
      <c r="DPW81" s="0"/>
      <c r="DPX81" s="0"/>
      <c r="DPY81" s="0"/>
      <c r="DPZ81" s="0"/>
      <c r="DQA81" s="0"/>
      <c r="DQB81" s="0"/>
      <c r="DQC81" s="0"/>
      <c r="DQD81" s="0"/>
      <c r="DQE81" s="0"/>
      <c r="DQF81" s="0"/>
      <c r="DQG81" s="0"/>
      <c r="DQH81" s="0"/>
      <c r="DQI81" s="0"/>
      <c r="DQJ81" s="0"/>
      <c r="DQK81" s="0"/>
      <c r="DQL81" s="0"/>
      <c r="DQM81" s="0"/>
      <c r="DQN81" s="0"/>
      <c r="DQO81" s="0"/>
      <c r="DQP81" s="0"/>
      <c r="DQQ81" s="0"/>
      <c r="DQR81" s="0"/>
      <c r="DQS81" s="0"/>
      <c r="DQT81" s="0"/>
      <c r="DQU81" s="0"/>
      <c r="DQV81" s="0"/>
      <c r="DQW81" s="0"/>
      <c r="DQX81" s="0"/>
      <c r="DQY81" s="0"/>
      <c r="DQZ81" s="0"/>
      <c r="DRA81" s="0"/>
      <c r="DRB81" s="0"/>
      <c r="DRC81" s="0"/>
      <c r="DRD81" s="0"/>
      <c r="DRE81" s="0"/>
      <c r="DRF81" s="0"/>
      <c r="DRG81" s="0"/>
      <c r="DRH81" s="0"/>
      <c r="DRI81" s="0"/>
      <c r="DRJ81" s="0"/>
      <c r="DRK81" s="0"/>
      <c r="DRL81" s="0"/>
      <c r="DRM81" s="0"/>
      <c r="DRN81" s="0"/>
      <c r="DRO81" s="0"/>
      <c r="DRP81" s="0"/>
      <c r="DRQ81" s="0"/>
      <c r="DRR81" s="0"/>
      <c r="DRS81" s="0"/>
      <c r="DRT81" s="0"/>
      <c r="DRU81" s="0"/>
      <c r="DRV81" s="0"/>
      <c r="DRW81" s="0"/>
      <c r="DRX81" s="0"/>
      <c r="DRY81" s="0"/>
      <c r="DRZ81" s="0"/>
      <c r="DSA81" s="0"/>
      <c r="DSB81" s="0"/>
      <c r="DSC81" s="0"/>
      <c r="DSD81" s="0"/>
      <c r="DSE81" s="0"/>
      <c r="DSF81" s="0"/>
      <c r="DSG81" s="0"/>
      <c r="DSH81" s="0"/>
      <c r="DSI81" s="0"/>
      <c r="DSJ81" s="0"/>
      <c r="DSK81" s="0"/>
      <c r="DSL81" s="0"/>
      <c r="DSM81" s="0"/>
      <c r="DSN81" s="0"/>
      <c r="DSO81" s="0"/>
      <c r="DSP81" s="0"/>
      <c r="DSQ81" s="0"/>
      <c r="DSR81" s="0"/>
      <c r="DSS81" s="0"/>
      <c r="DST81" s="0"/>
      <c r="DSU81" s="0"/>
      <c r="DSV81" s="0"/>
      <c r="DSW81" s="0"/>
      <c r="DSX81" s="0"/>
      <c r="DSY81" s="0"/>
      <c r="DSZ81" s="0"/>
      <c r="DTA81" s="0"/>
      <c r="DTB81" s="0"/>
      <c r="DTC81" s="0"/>
      <c r="DTD81" s="0"/>
      <c r="DTE81" s="0"/>
      <c r="DTF81" s="0"/>
      <c r="DTG81" s="0"/>
      <c r="DTH81" s="0"/>
      <c r="DTI81" s="0"/>
      <c r="DTJ81" s="0"/>
      <c r="DTK81" s="0"/>
      <c r="DTL81" s="0"/>
      <c r="DTM81" s="0"/>
      <c r="DTN81" s="0"/>
      <c r="DTO81" s="0"/>
      <c r="DTP81" s="0"/>
      <c r="DTQ81" s="0"/>
      <c r="DTR81" s="0"/>
      <c r="DTS81" s="0"/>
      <c r="DTT81" s="0"/>
      <c r="DTU81" s="0"/>
      <c r="DTV81" s="0"/>
      <c r="DTW81" s="0"/>
      <c r="DTX81" s="0"/>
      <c r="DTY81" s="0"/>
      <c r="DTZ81" s="0"/>
      <c r="DUA81" s="0"/>
      <c r="DUB81" s="0"/>
      <c r="DUC81" s="0"/>
      <c r="DUD81" s="0"/>
      <c r="DUE81" s="0"/>
      <c r="DUF81" s="0"/>
      <c r="DUG81" s="0"/>
      <c r="DUH81" s="0"/>
      <c r="DUI81" s="0"/>
      <c r="DUJ81" s="0"/>
      <c r="DUK81" s="0"/>
      <c r="DUL81" s="0"/>
      <c r="DUM81" s="0"/>
      <c r="DUN81" s="0"/>
      <c r="DUO81" s="0"/>
      <c r="DUP81" s="0"/>
      <c r="DUQ81" s="0"/>
      <c r="DUR81" s="0"/>
      <c r="DUS81" s="0"/>
      <c r="DUT81" s="0"/>
      <c r="DUU81" s="0"/>
      <c r="DUV81" s="0"/>
      <c r="DUW81" s="0"/>
      <c r="DUX81" s="0"/>
      <c r="DUY81" s="0"/>
      <c r="DUZ81" s="0"/>
      <c r="DVA81" s="0"/>
      <c r="DVB81" s="0"/>
      <c r="DVC81" s="0"/>
      <c r="DVD81" s="0"/>
      <c r="DVE81" s="0"/>
      <c r="DVF81" s="0"/>
      <c r="DVG81" s="0"/>
      <c r="DVH81" s="0"/>
      <c r="DVI81" s="0"/>
      <c r="DVJ81" s="0"/>
      <c r="DVK81" s="0"/>
      <c r="DVL81" s="0"/>
      <c r="DVM81" s="0"/>
      <c r="DVN81" s="0"/>
      <c r="DVO81" s="0"/>
      <c r="DVP81" s="0"/>
      <c r="DVQ81" s="0"/>
      <c r="DVR81" s="0"/>
      <c r="DVS81" s="0"/>
      <c r="DVT81" s="0"/>
      <c r="DVU81" s="0"/>
      <c r="DVV81" s="0"/>
      <c r="DVW81" s="0"/>
      <c r="DVX81" s="0"/>
      <c r="DVY81" s="0"/>
      <c r="DVZ81" s="0"/>
      <c r="DWA81" s="0"/>
      <c r="DWB81" s="0"/>
      <c r="DWC81" s="0"/>
      <c r="DWD81" s="0"/>
      <c r="DWE81" s="0"/>
      <c r="DWF81" s="0"/>
      <c r="DWG81" s="0"/>
      <c r="DWH81" s="0"/>
      <c r="DWI81" s="0"/>
      <c r="DWJ81" s="0"/>
      <c r="DWK81" s="0"/>
      <c r="DWL81" s="0"/>
      <c r="DWM81" s="0"/>
      <c r="DWN81" s="0"/>
      <c r="DWO81" s="0"/>
      <c r="DWP81" s="0"/>
      <c r="DWQ81" s="0"/>
      <c r="DWR81" s="0"/>
      <c r="DWS81" s="0"/>
      <c r="DWT81" s="0"/>
      <c r="DWU81" s="0"/>
      <c r="DWV81" s="0"/>
      <c r="DWW81" s="0"/>
      <c r="DWX81" s="0"/>
      <c r="DWY81" s="0"/>
      <c r="DWZ81" s="0"/>
      <c r="DXA81" s="0"/>
      <c r="DXB81" s="0"/>
      <c r="DXC81" s="0"/>
      <c r="DXD81" s="0"/>
      <c r="DXE81" s="0"/>
      <c r="DXF81" s="0"/>
      <c r="DXG81" s="0"/>
      <c r="DXH81" s="0"/>
      <c r="DXI81" s="0"/>
      <c r="DXJ81" s="0"/>
      <c r="DXK81" s="0"/>
      <c r="DXL81" s="0"/>
      <c r="DXM81" s="0"/>
      <c r="DXN81" s="0"/>
      <c r="DXO81" s="0"/>
      <c r="DXP81" s="0"/>
      <c r="DXQ81" s="0"/>
      <c r="DXR81" s="0"/>
      <c r="DXS81" s="0"/>
      <c r="DXT81" s="0"/>
      <c r="DXU81" s="0"/>
      <c r="DXV81" s="0"/>
      <c r="DXW81" s="0"/>
      <c r="DXX81" s="0"/>
      <c r="DXY81" s="0"/>
      <c r="DXZ81" s="0"/>
      <c r="DYA81" s="0"/>
      <c r="DYB81" s="0"/>
      <c r="DYC81" s="0"/>
      <c r="DYD81" s="0"/>
      <c r="DYE81" s="0"/>
      <c r="DYF81" s="0"/>
      <c r="DYG81" s="0"/>
      <c r="DYH81" s="0"/>
      <c r="DYI81" s="0"/>
      <c r="DYJ81" s="0"/>
      <c r="DYK81" s="0"/>
      <c r="DYL81" s="0"/>
      <c r="DYM81" s="0"/>
      <c r="DYN81" s="0"/>
      <c r="DYO81" s="0"/>
      <c r="DYP81" s="0"/>
      <c r="DYQ81" s="0"/>
      <c r="DYR81" s="0"/>
      <c r="DYS81" s="0"/>
      <c r="DYT81" s="0"/>
      <c r="DYU81" s="0"/>
      <c r="DYV81" s="0"/>
      <c r="DYW81" s="0"/>
      <c r="DYX81" s="0"/>
      <c r="DYY81" s="0"/>
      <c r="DYZ81" s="0"/>
      <c r="DZA81" s="0"/>
      <c r="DZB81" s="0"/>
      <c r="DZC81" s="0"/>
      <c r="DZD81" s="0"/>
      <c r="DZE81" s="0"/>
      <c r="DZF81" s="0"/>
      <c r="DZG81" s="0"/>
      <c r="DZH81" s="0"/>
      <c r="DZI81" s="0"/>
      <c r="DZJ81" s="0"/>
      <c r="DZK81" s="0"/>
      <c r="DZL81" s="0"/>
      <c r="DZM81" s="0"/>
      <c r="DZN81" s="0"/>
      <c r="DZO81" s="0"/>
      <c r="DZP81" s="0"/>
      <c r="DZQ81" s="0"/>
      <c r="DZR81" s="0"/>
      <c r="DZS81" s="0"/>
      <c r="DZT81" s="0"/>
      <c r="DZU81" s="0"/>
      <c r="DZV81" s="0"/>
      <c r="DZW81" s="0"/>
      <c r="DZX81" s="0"/>
      <c r="DZY81" s="0"/>
      <c r="DZZ81" s="0"/>
      <c r="EAA81" s="0"/>
      <c r="EAB81" s="0"/>
      <c r="EAC81" s="0"/>
      <c r="EAD81" s="0"/>
      <c r="EAE81" s="0"/>
      <c r="EAF81" s="0"/>
      <c r="EAG81" s="0"/>
      <c r="EAH81" s="0"/>
      <c r="EAI81" s="0"/>
      <c r="EAJ81" s="0"/>
      <c r="EAK81" s="0"/>
      <c r="EAL81" s="0"/>
      <c r="EAM81" s="0"/>
      <c r="EAN81" s="0"/>
      <c r="EAO81" s="0"/>
      <c r="EAP81" s="0"/>
      <c r="EAQ81" s="0"/>
      <c r="EAR81" s="0"/>
      <c r="EAS81" s="0"/>
      <c r="EAT81" s="0"/>
      <c r="EAU81" s="0"/>
      <c r="EAV81" s="0"/>
      <c r="EAW81" s="0"/>
      <c r="EAX81" s="0"/>
      <c r="EAY81" s="0"/>
      <c r="EAZ81" s="0"/>
      <c r="EBA81" s="0"/>
      <c r="EBB81" s="0"/>
      <c r="EBC81" s="0"/>
      <c r="EBD81" s="0"/>
      <c r="EBE81" s="0"/>
      <c r="EBF81" s="0"/>
      <c r="EBG81" s="0"/>
      <c r="EBH81" s="0"/>
      <c r="EBI81" s="0"/>
      <c r="EBJ81" s="0"/>
      <c r="EBK81" s="0"/>
      <c r="EBL81" s="0"/>
      <c r="EBM81" s="0"/>
      <c r="EBN81" s="0"/>
      <c r="EBO81" s="0"/>
      <c r="EBP81" s="0"/>
      <c r="EBQ81" s="0"/>
      <c r="EBR81" s="0"/>
      <c r="EBS81" s="0"/>
      <c r="EBT81" s="0"/>
      <c r="EBU81" s="0"/>
      <c r="EBV81" s="0"/>
      <c r="EBW81" s="0"/>
      <c r="EBX81" s="0"/>
      <c r="EBY81" s="0"/>
      <c r="EBZ81" s="0"/>
      <c r="ECA81" s="0"/>
      <c r="ECB81" s="0"/>
      <c r="ECC81" s="0"/>
      <c r="ECD81" s="0"/>
      <c r="ECE81" s="0"/>
      <c r="ECF81" s="0"/>
      <c r="ECG81" s="0"/>
      <c r="ECH81" s="0"/>
      <c r="ECI81" s="0"/>
      <c r="ECJ81" s="0"/>
      <c r="ECK81" s="0"/>
      <c r="ECL81" s="0"/>
      <c r="ECM81" s="0"/>
      <c r="ECN81" s="0"/>
      <c r="ECO81" s="0"/>
      <c r="ECP81" s="0"/>
      <c r="ECQ81" s="0"/>
      <c r="ECR81" s="0"/>
      <c r="ECS81" s="0"/>
      <c r="ECT81" s="0"/>
      <c r="ECU81" s="0"/>
      <c r="ECV81" s="0"/>
      <c r="ECW81" s="0"/>
      <c r="ECX81" s="0"/>
      <c r="ECY81" s="0"/>
      <c r="ECZ81" s="0"/>
      <c r="EDA81" s="0"/>
      <c r="EDB81" s="0"/>
      <c r="EDC81" s="0"/>
      <c r="EDD81" s="0"/>
      <c r="EDE81" s="0"/>
      <c r="EDF81" s="0"/>
      <c r="EDG81" s="0"/>
      <c r="EDH81" s="0"/>
      <c r="EDI81" s="0"/>
      <c r="EDJ81" s="0"/>
      <c r="EDK81" s="0"/>
      <c r="EDL81" s="0"/>
      <c r="EDM81" s="0"/>
      <c r="EDN81" s="0"/>
      <c r="EDO81" s="0"/>
      <c r="EDP81" s="0"/>
      <c r="EDQ81" s="0"/>
      <c r="EDR81" s="0"/>
      <c r="EDS81" s="0"/>
      <c r="EDT81" s="0"/>
      <c r="EDU81" s="0"/>
      <c r="EDV81" s="0"/>
      <c r="EDW81" s="0"/>
      <c r="EDX81" s="0"/>
      <c r="EDY81" s="0"/>
      <c r="EDZ81" s="0"/>
      <c r="EEA81" s="0"/>
      <c r="EEB81" s="0"/>
      <c r="EEC81" s="0"/>
      <c r="EED81" s="0"/>
      <c r="EEE81" s="0"/>
      <c r="EEF81" s="0"/>
      <c r="EEG81" s="0"/>
      <c r="EEH81" s="0"/>
      <c r="EEI81" s="0"/>
      <c r="EEJ81" s="0"/>
      <c r="EEK81" s="0"/>
      <c r="EEL81" s="0"/>
      <c r="EEM81" s="0"/>
      <c r="EEN81" s="0"/>
      <c r="EEO81" s="0"/>
      <c r="EEP81" s="0"/>
      <c r="EEQ81" s="0"/>
      <c r="EER81" s="0"/>
      <c r="EES81" s="0"/>
      <c r="EET81" s="0"/>
      <c r="EEU81" s="0"/>
      <c r="EEV81" s="0"/>
      <c r="EEW81" s="0"/>
      <c r="EEX81" s="0"/>
      <c r="EEY81" s="0"/>
      <c r="EEZ81" s="0"/>
      <c r="EFA81" s="0"/>
      <c r="EFB81" s="0"/>
      <c r="EFC81" s="0"/>
      <c r="EFD81" s="0"/>
      <c r="EFE81" s="0"/>
      <c r="EFF81" s="0"/>
      <c r="EFG81" s="0"/>
      <c r="EFH81" s="0"/>
      <c r="EFI81" s="0"/>
      <c r="EFJ81" s="0"/>
      <c r="EFK81" s="0"/>
      <c r="EFL81" s="0"/>
      <c r="EFM81" s="0"/>
      <c r="EFN81" s="0"/>
      <c r="EFO81" s="0"/>
      <c r="EFP81" s="0"/>
      <c r="EFQ81" s="0"/>
      <c r="EFR81" s="0"/>
      <c r="EFS81" s="0"/>
      <c r="EFT81" s="0"/>
      <c r="EFU81" s="0"/>
      <c r="EFV81" s="0"/>
      <c r="EFW81" s="0"/>
      <c r="EFX81" s="0"/>
      <c r="EFY81" s="0"/>
      <c r="EFZ81" s="0"/>
      <c r="EGA81" s="0"/>
      <c r="EGB81" s="0"/>
      <c r="EGC81" s="0"/>
      <c r="EGD81" s="0"/>
      <c r="EGE81" s="0"/>
      <c r="EGF81" s="0"/>
      <c r="EGG81" s="0"/>
      <c r="EGH81" s="0"/>
      <c r="EGI81" s="0"/>
      <c r="EGJ81" s="0"/>
      <c r="EGK81" s="0"/>
      <c r="EGL81" s="0"/>
      <c r="EGM81" s="0"/>
      <c r="EGN81" s="0"/>
      <c r="EGO81" s="0"/>
      <c r="EGP81" s="0"/>
      <c r="EGQ81" s="0"/>
      <c r="EGR81" s="0"/>
      <c r="EGS81" s="0"/>
      <c r="EGT81" s="0"/>
      <c r="EGU81" s="0"/>
      <c r="EGV81" s="0"/>
      <c r="EGW81" s="0"/>
      <c r="EGX81" s="0"/>
      <c r="EGY81" s="0"/>
      <c r="EGZ81" s="0"/>
      <c r="EHA81" s="0"/>
      <c r="EHB81" s="0"/>
      <c r="EHC81" s="0"/>
      <c r="EHD81" s="0"/>
      <c r="EHE81" s="0"/>
      <c r="EHF81" s="0"/>
      <c r="EHG81" s="0"/>
      <c r="EHH81" s="0"/>
      <c r="EHI81" s="0"/>
      <c r="EHJ81" s="0"/>
      <c r="EHK81" s="0"/>
      <c r="EHL81" s="0"/>
      <c r="EHM81" s="0"/>
      <c r="EHN81" s="0"/>
      <c r="EHO81" s="0"/>
      <c r="EHP81" s="0"/>
      <c r="EHQ81" s="0"/>
      <c r="EHR81" s="0"/>
      <c r="EHS81" s="0"/>
      <c r="EHT81" s="0"/>
      <c r="EHU81" s="0"/>
      <c r="EHV81" s="0"/>
      <c r="EHW81" s="0"/>
      <c r="EHX81" s="0"/>
      <c r="EHY81" s="0"/>
      <c r="EHZ81" s="0"/>
      <c r="EIA81" s="0"/>
      <c r="EIB81" s="0"/>
      <c r="EIC81" s="0"/>
      <c r="EID81" s="0"/>
      <c r="EIE81" s="0"/>
      <c r="EIF81" s="0"/>
      <c r="EIG81" s="0"/>
      <c r="EIH81" s="0"/>
      <c r="EII81" s="0"/>
      <c r="EIJ81" s="0"/>
      <c r="EIK81" s="0"/>
      <c r="EIL81" s="0"/>
      <c r="EIM81" s="0"/>
      <c r="EIN81" s="0"/>
      <c r="EIO81" s="0"/>
      <c r="EIP81" s="0"/>
      <c r="EIQ81" s="0"/>
      <c r="EIR81" s="0"/>
      <c r="EIS81" s="0"/>
      <c r="EIT81" s="0"/>
      <c r="EIU81" s="0"/>
      <c r="EIV81" s="0"/>
      <c r="EIW81" s="0"/>
      <c r="EIX81" s="0"/>
      <c r="EIY81" s="0"/>
      <c r="EIZ81" s="0"/>
      <c r="EJA81" s="0"/>
      <c r="EJB81" s="0"/>
      <c r="EJC81" s="0"/>
      <c r="EJD81" s="0"/>
      <c r="EJE81" s="0"/>
      <c r="EJF81" s="0"/>
      <c r="EJG81" s="0"/>
      <c r="EJH81" s="0"/>
      <c r="EJI81" s="0"/>
      <c r="EJJ81" s="0"/>
      <c r="EJK81" s="0"/>
      <c r="EJL81" s="0"/>
      <c r="EJM81" s="0"/>
      <c r="EJN81" s="0"/>
      <c r="EJO81" s="0"/>
      <c r="EJP81" s="0"/>
      <c r="EJQ81" s="0"/>
      <c r="EJR81" s="0"/>
      <c r="EJS81" s="0"/>
      <c r="EJT81" s="0"/>
      <c r="EJU81" s="0"/>
      <c r="EJV81" s="0"/>
      <c r="EJW81" s="0"/>
      <c r="EJX81" s="0"/>
      <c r="EJY81" s="0"/>
      <c r="EJZ81" s="0"/>
      <c r="EKA81" s="0"/>
      <c r="EKB81" s="0"/>
      <c r="EKC81" s="0"/>
      <c r="EKD81" s="0"/>
      <c r="EKE81" s="0"/>
      <c r="EKF81" s="0"/>
      <c r="EKG81" s="0"/>
      <c r="EKH81" s="0"/>
      <c r="EKI81" s="0"/>
      <c r="EKJ81" s="0"/>
      <c r="EKK81" s="0"/>
      <c r="EKL81" s="0"/>
      <c r="EKM81" s="0"/>
      <c r="EKN81" s="0"/>
      <c r="EKO81" s="0"/>
      <c r="EKP81" s="0"/>
      <c r="EKQ81" s="0"/>
      <c r="EKR81" s="0"/>
      <c r="EKS81" s="0"/>
      <c r="EKT81" s="0"/>
      <c r="EKU81" s="0"/>
      <c r="EKV81" s="0"/>
      <c r="EKW81" s="0"/>
      <c r="EKX81" s="0"/>
      <c r="EKY81" s="0"/>
      <c r="EKZ81" s="0"/>
      <c r="ELA81" s="0"/>
      <c r="ELB81" s="0"/>
      <c r="ELC81" s="0"/>
      <c r="ELD81" s="0"/>
      <c r="ELE81" s="0"/>
      <c r="ELF81" s="0"/>
      <c r="ELG81" s="0"/>
      <c r="ELH81" s="0"/>
      <c r="ELI81" s="0"/>
      <c r="ELJ81" s="0"/>
      <c r="ELK81" s="0"/>
      <c r="ELL81" s="0"/>
      <c r="ELM81" s="0"/>
      <c r="ELN81" s="0"/>
      <c r="ELO81" s="0"/>
      <c r="ELP81" s="0"/>
      <c r="ELQ81" s="0"/>
      <c r="ELR81" s="0"/>
      <c r="ELS81" s="0"/>
      <c r="ELT81" s="0"/>
      <c r="ELU81" s="0"/>
      <c r="ELV81" s="0"/>
      <c r="ELW81" s="0"/>
      <c r="ELX81" s="0"/>
      <c r="ELY81" s="0"/>
      <c r="ELZ81" s="0"/>
      <c r="EMA81" s="0"/>
      <c r="EMB81" s="0"/>
      <c r="EMC81" s="0"/>
      <c r="EMD81" s="0"/>
      <c r="EME81" s="0"/>
      <c r="EMF81" s="0"/>
      <c r="EMG81" s="0"/>
      <c r="EMH81" s="0"/>
      <c r="EMI81" s="0"/>
      <c r="EMJ81" s="0"/>
      <c r="EMK81" s="0"/>
      <c r="EML81" s="0"/>
      <c r="EMM81" s="0"/>
      <c r="EMN81" s="0"/>
      <c r="EMO81" s="0"/>
      <c r="EMP81" s="0"/>
      <c r="EMQ81" s="0"/>
      <c r="EMR81" s="0"/>
      <c r="EMS81" s="0"/>
      <c r="EMT81" s="0"/>
      <c r="EMU81" s="0"/>
      <c r="EMV81" s="0"/>
      <c r="EMW81" s="0"/>
      <c r="EMX81" s="0"/>
      <c r="EMY81" s="0"/>
      <c r="EMZ81" s="0"/>
      <c r="ENA81" s="0"/>
      <c r="ENB81" s="0"/>
      <c r="ENC81" s="0"/>
      <c r="END81" s="0"/>
      <c r="ENE81" s="0"/>
      <c r="ENF81" s="0"/>
      <c r="ENG81" s="0"/>
      <c r="ENH81" s="0"/>
      <c r="ENI81" s="0"/>
      <c r="ENJ81" s="0"/>
      <c r="ENK81" s="0"/>
      <c r="ENL81" s="0"/>
      <c r="ENM81" s="0"/>
      <c r="ENN81" s="0"/>
      <c r="ENO81" s="0"/>
      <c r="ENP81" s="0"/>
      <c r="ENQ81" s="0"/>
      <c r="ENR81" s="0"/>
      <c r="ENS81" s="0"/>
      <c r="ENT81" s="0"/>
      <c r="ENU81" s="0"/>
      <c r="ENV81" s="0"/>
      <c r="ENW81" s="0"/>
      <c r="ENX81" s="0"/>
      <c r="ENY81" s="0"/>
      <c r="ENZ81" s="0"/>
      <c r="EOA81" s="0"/>
      <c r="EOB81" s="0"/>
      <c r="EOC81" s="0"/>
      <c r="EOD81" s="0"/>
      <c r="EOE81" s="0"/>
      <c r="EOF81" s="0"/>
      <c r="EOG81" s="0"/>
      <c r="EOH81" s="0"/>
      <c r="EOI81" s="0"/>
      <c r="EOJ81" s="0"/>
      <c r="EOK81" s="0"/>
      <c r="EOL81" s="0"/>
      <c r="EOM81" s="0"/>
      <c r="EON81" s="0"/>
      <c r="EOO81" s="0"/>
      <c r="EOP81" s="0"/>
      <c r="EOQ81" s="0"/>
      <c r="EOR81" s="0"/>
      <c r="EOS81" s="0"/>
      <c r="EOT81" s="0"/>
      <c r="EOU81" s="0"/>
      <c r="EOV81" s="0"/>
      <c r="EOW81" s="0"/>
      <c r="EOX81" s="0"/>
      <c r="EOY81" s="0"/>
      <c r="EOZ81" s="0"/>
      <c r="EPA81" s="0"/>
      <c r="EPB81" s="0"/>
      <c r="EPC81" s="0"/>
      <c r="EPD81" s="0"/>
      <c r="EPE81" s="0"/>
      <c r="EPF81" s="0"/>
      <c r="EPG81" s="0"/>
      <c r="EPH81" s="0"/>
      <c r="EPI81" s="0"/>
      <c r="EPJ81" s="0"/>
      <c r="EPK81" s="0"/>
      <c r="EPL81" s="0"/>
      <c r="EPM81" s="0"/>
      <c r="EPN81" s="0"/>
      <c r="EPO81" s="0"/>
      <c r="EPP81" s="0"/>
      <c r="EPQ81" s="0"/>
      <c r="EPR81" s="0"/>
      <c r="EPS81" s="0"/>
      <c r="EPT81" s="0"/>
      <c r="EPU81" s="0"/>
      <c r="EPV81" s="0"/>
      <c r="EPW81" s="0"/>
      <c r="EPX81" s="0"/>
      <c r="EPY81" s="0"/>
      <c r="EPZ81" s="0"/>
      <c r="EQA81" s="0"/>
      <c r="EQB81" s="0"/>
      <c r="EQC81" s="0"/>
      <c r="EQD81" s="0"/>
      <c r="EQE81" s="0"/>
      <c r="EQF81" s="0"/>
      <c r="EQG81" s="0"/>
      <c r="EQH81" s="0"/>
      <c r="EQI81" s="0"/>
      <c r="EQJ81" s="0"/>
      <c r="EQK81" s="0"/>
      <c r="EQL81" s="0"/>
      <c r="EQM81" s="0"/>
      <c r="EQN81" s="0"/>
      <c r="EQO81" s="0"/>
      <c r="EQP81" s="0"/>
      <c r="EQQ81" s="0"/>
      <c r="EQR81" s="0"/>
      <c r="EQS81" s="0"/>
      <c r="EQT81" s="0"/>
      <c r="EQU81" s="0"/>
      <c r="EQV81" s="0"/>
      <c r="EQW81" s="0"/>
      <c r="EQX81" s="0"/>
      <c r="EQY81" s="0"/>
      <c r="EQZ81" s="0"/>
      <c r="ERA81" s="0"/>
      <c r="ERB81" s="0"/>
      <c r="ERC81" s="0"/>
      <c r="ERD81" s="0"/>
      <c r="ERE81" s="0"/>
      <c r="ERF81" s="0"/>
      <c r="ERG81" s="0"/>
      <c r="ERH81" s="0"/>
      <c r="ERI81" s="0"/>
      <c r="ERJ81" s="0"/>
      <c r="ERK81" s="0"/>
      <c r="ERL81" s="0"/>
      <c r="ERM81" s="0"/>
      <c r="ERN81" s="0"/>
      <c r="ERO81" s="0"/>
      <c r="ERP81" s="0"/>
      <c r="ERQ81" s="0"/>
      <c r="ERR81" s="0"/>
      <c r="ERS81" s="0"/>
      <c r="ERT81" s="0"/>
      <c r="ERU81" s="0"/>
      <c r="ERV81" s="0"/>
      <c r="ERW81" s="0"/>
      <c r="ERX81" s="0"/>
      <c r="ERY81" s="0"/>
      <c r="ERZ81" s="0"/>
      <c r="ESA81" s="0"/>
      <c r="ESB81" s="0"/>
      <c r="ESC81" s="0"/>
      <c r="ESD81" s="0"/>
      <c r="ESE81" s="0"/>
      <c r="ESF81" s="0"/>
      <c r="ESG81" s="0"/>
      <c r="ESH81" s="0"/>
      <c r="ESI81" s="0"/>
      <c r="ESJ81" s="0"/>
      <c r="ESK81" s="0"/>
      <c r="ESL81" s="0"/>
      <c r="ESM81" s="0"/>
      <c r="ESN81" s="0"/>
      <c r="ESO81" s="0"/>
      <c r="ESP81" s="0"/>
      <c r="ESQ81" s="0"/>
      <c r="ESR81" s="0"/>
      <c r="ESS81" s="0"/>
      <c r="EST81" s="0"/>
      <c r="ESU81" s="0"/>
      <c r="ESV81" s="0"/>
      <c r="ESW81" s="0"/>
      <c r="ESX81" s="0"/>
      <c r="ESY81" s="0"/>
      <c r="ESZ81" s="0"/>
      <c r="ETA81" s="0"/>
      <c r="ETB81" s="0"/>
      <c r="ETC81" s="0"/>
      <c r="ETD81" s="0"/>
      <c r="ETE81" s="0"/>
      <c r="ETF81" s="0"/>
      <c r="ETG81" s="0"/>
      <c r="ETH81" s="0"/>
      <c r="ETI81" s="0"/>
      <c r="ETJ81" s="0"/>
      <c r="ETK81" s="0"/>
      <c r="ETL81" s="0"/>
      <c r="ETM81" s="0"/>
      <c r="ETN81" s="0"/>
      <c r="ETO81" s="0"/>
      <c r="ETP81" s="0"/>
      <c r="ETQ81" s="0"/>
      <c r="ETR81" s="0"/>
      <c r="ETS81" s="0"/>
      <c r="ETT81" s="0"/>
      <c r="ETU81" s="0"/>
      <c r="ETV81" s="0"/>
      <c r="ETW81" s="0"/>
      <c r="ETX81" s="0"/>
      <c r="ETY81" s="0"/>
      <c r="ETZ81" s="0"/>
      <c r="EUA81" s="0"/>
      <c r="EUB81" s="0"/>
      <c r="EUC81" s="0"/>
      <c r="EUD81" s="0"/>
      <c r="EUE81" s="0"/>
      <c r="EUF81" s="0"/>
      <c r="EUG81" s="0"/>
      <c r="EUH81" s="0"/>
      <c r="EUI81" s="0"/>
      <c r="EUJ81" s="0"/>
      <c r="EUK81" s="0"/>
      <c r="EUL81" s="0"/>
      <c r="EUM81" s="0"/>
      <c r="EUN81" s="0"/>
      <c r="EUO81" s="0"/>
      <c r="EUP81" s="0"/>
      <c r="EUQ81" s="0"/>
      <c r="EUR81" s="0"/>
      <c r="EUS81" s="0"/>
      <c r="EUT81" s="0"/>
      <c r="EUU81" s="0"/>
      <c r="EUV81" s="0"/>
      <c r="EUW81" s="0"/>
      <c r="EUX81" s="0"/>
      <c r="EUY81" s="0"/>
      <c r="EUZ81" s="0"/>
      <c r="EVA81" s="0"/>
      <c r="EVB81" s="0"/>
      <c r="EVC81" s="0"/>
      <c r="EVD81" s="0"/>
      <c r="EVE81" s="0"/>
      <c r="EVF81" s="0"/>
      <c r="EVG81" s="0"/>
      <c r="EVH81" s="0"/>
      <c r="EVI81" s="0"/>
      <c r="EVJ81" s="0"/>
      <c r="EVK81" s="0"/>
      <c r="EVL81" s="0"/>
      <c r="EVM81" s="0"/>
      <c r="EVN81" s="0"/>
      <c r="EVO81" s="0"/>
      <c r="EVP81" s="0"/>
      <c r="EVQ81" s="0"/>
      <c r="EVR81" s="0"/>
      <c r="EVS81" s="0"/>
      <c r="EVT81" s="0"/>
      <c r="EVU81" s="0"/>
      <c r="EVV81" s="0"/>
      <c r="EVW81" s="0"/>
      <c r="EVX81" s="0"/>
      <c r="EVY81" s="0"/>
      <c r="EVZ81" s="0"/>
      <c r="EWA81" s="0"/>
      <c r="EWB81" s="0"/>
      <c r="EWC81" s="0"/>
      <c r="EWD81" s="0"/>
      <c r="EWE81" s="0"/>
      <c r="EWF81" s="0"/>
      <c r="EWG81" s="0"/>
      <c r="EWH81" s="0"/>
      <c r="EWI81" s="0"/>
      <c r="EWJ81" s="0"/>
      <c r="EWK81" s="0"/>
      <c r="EWL81" s="0"/>
      <c r="EWM81" s="0"/>
      <c r="EWN81" s="0"/>
      <c r="EWO81" s="0"/>
      <c r="EWP81" s="0"/>
      <c r="EWQ81" s="0"/>
      <c r="EWR81" s="0"/>
      <c r="EWS81" s="0"/>
      <c r="EWT81" s="0"/>
      <c r="EWU81" s="0"/>
      <c r="EWV81" s="0"/>
      <c r="EWW81" s="0"/>
      <c r="EWX81" s="0"/>
      <c r="EWY81" s="0"/>
      <c r="EWZ81" s="0"/>
      <c r="EXA81" s="0"/>
      <c r="EXB81" s="0"/>
      <c r="EXC81" s="0"/>
      <c r="EXD81" s="0"/>
      <c r="EXE81" s="0"/>
      <c r="EXF81" s="0"/>
      <c r="EXG81" s="0"/>
      <c r="EXH81" s="0"/>
      <c r="EXI81" s="0"/>
      <c r="EXJ81" s="0"/>
      <c r="EXK81" s="0"/>
      <c r="EXL81" s="0"/>
      <c r="EXM81" s="0"/>
      <c r="EXN81" s="0"/>
      <c r="EXO81" s="0"/>
      <c r="EXP81" s="0"/>
      <c r="EXQ81" s="0"/>
      <c r="EXR81" s="0"/>
      <c r="EXS81" s="0"/>
      <c r="EXT81" s="0"/>
      <c r="EXU81" s="0"/>
      <c r="EXV81" s="0"/>
      <c r="EXW81" s="0"/>
      <c r="EXX81" s="0"/>
      <c r="EXY81" s="0"/>
      <c r="EXZ81" s="0"/>
      <c r="EYA81" s="0"/>
      <c r="EYB81" s="0"/>
      <c r="EYC81" s="0"/>
      <c r="EYD81" s="0"/>
      <c r="EYE81" s="0"/>
      <c r="EYF81" s="0"/>
      <c r="EYG81" s="0"/>
      <c r="EYH81" s="0"/>
      <c r="EYI81" s="0"/>
      <c r="EYJ81" s="0"/>
      <c r="EYK81" s="0"/>
      <c r="EYL81" s="0"/>
      <c r="EYM81" s="0"/>
      <c r="EYN81" s="0"/>
      <c r="EYO81" s="0"/>
      <c r="EYP81" s="0"/>
      <c r="EYQ81" s="0"/>
      <c r="EYR81" s="0"/>
      <c r="EYS81" s="0"/>
      <c r="EYT81" s="0"/>
      <c r="EYU81" s="0"/>
      <c r="EYV81" s="0"/>
      <c r="EYW81" s="0"/>
      <c r="EYX81" s="0"/>
      <c r="EYY81" s="0"/>
      <c r="EYZ81" s="0"/>
      <c r="EZA81" s="0"/>
      <c r="EZB81" s="0"/>
      <c r="EZC81" s="0"/>
      <c r="EZD81" s="0"/>
      <c r="EZE81" s="0"/>
      <c r="EZF81" s="0"/>
      <c r="EZG81" s="0"/>
      <c r="EZH81" s="0"/>
      <c r="EZI81" s="0"/>
      <c r="EZJ81" s="0"/>
      <c r="EZK81" s="0"/>
      <c r="EZL81" s="0"/>
      <c r="EZM81" s="0"/>
      <c r="EZN81" s="0"/>
      <c r="EZO81" s="0"/>
      <c r="EZP81" s="0"/>
      <c r="EZQ81" s="0"/>
      <c r="EZR81" s="0"/>
      <c r="EZS81" s="0"/>
      <c r="EZT81" s="0"/>
      <c r="EZU81" s="0"/>
      <c r="EZV81" s="0"/>
      <c r="EZW81" s="0"/>
      <c r="EZX81" s="0"/>
      <c r="EZY81" s="0"/>
      <c r="EZZ81" s="0"/>
      <c r="FAA81" s="0"/>
      <c r="FAB81" s="0"/>
      <c r="FAC81" s="0"/>
      <c r="FAD81" s="0"/>
      <c r="FAE81" s="0"/>
      <c r="FAF81" s="0"/>
      <c r="FAG81" s="0"/>
      <c r="FAH81" s="0"/>
      <c r="FAI81" s="0"/>
      <c r="FAJ81" s="0"/>
      <c r="FAK81" s="0"/>
      <c r="FAL81" s="0"/>
      <c r="FAM81" s="0"/>
      <c r="FAN81" s="0"/>
      <c r="FAO81" s="0"/>
      <c r="FAP81" s="0"/>
      <c r="FAQ81" s="0"/>
      <c r="FAR81" s="0"/>
      <c r="FAS81" s="0"/>
      <c r="FAT81" s="0"/>
      <c r="FAU81" s="0"/>
      <c r="FAV81" s="0"/>
      <c r="FAW81" s="0"/>
      <c r="FAX81" s="0"/>
      <c r="FAY81" s="0"/>
      <c r="FAZ81" s="0"/>
      <c r="FBA81" s="0"/>
      <c r="FBB81" s="0"/>
      <c r="FBC81" s="0"/>
      <c r="FBD81" s="0"/>
      <c r="FBE81" s="0"/>
      <c r="FBF81" s="0"/>
      <c r="FBG81" s="0"/>
      <c r="FBH81" s="0"/>
      <c r="FBI81" s="0"/>
      <c r="FBJ81" s="0"/>
      <c r="FBK81" s="0"/>
      <c r="FBL81" s="0"/>
      <c r="FBM81" s="0"/>
      <c r="FBN81" s="0"/>
      <c r="FBO81" s="0"/>
      <c r="FBP81" s="0"/>
      <c r="FBQ81" s="0"/>
      <c r="FBR81" s="0"/>
      <c r="FBS81" s="0"/>
      <c r="FBT81" s="0"/>
      <c r="FBU81" s="0"/>
      <c r="FBV81" s="0"/>
      <c r="FBW81" s="0"/>
      <c r="FBX81" s="0"/>
      <c r="FBY81" s="0"/>
      <c r="FBZ81" s="0"/>
      <c r="FCA81" s="0"/>
      <c r="FCB81" s="0"/>
      <c r="FCC81" s="0"/>
      <c r="FCD81" s="0"/>
      <c r="FCE81" s="0"/>
      <c r="FCF81" s="0"/>
      <c r="FCG81" s="0"/>
      <c r="FCH81" s="0"/>
      <c r="FCI81" s="0"/>
      <c r="FCJ81" s="0"/>
      <c r="FCK81" s="0"/>
      <c r="FCL81" s="0"/>
      <c r="FCM81" s="0"/>
      <c r="FCN81" s="0"/>
      <c r="FCO81" s="0"/>
      <c r="FCP81" s="0"/>
      <c r="FCQ81" s="0"/>
      <c r="FCR81" s="0"/>
      <c r="FCS81" s="0"/>
      <c r="FCT81" s="0"/>
      <c r="FCU81" s="0"/>
      <c r="FCV81" s="0"/>
      <c r="FCW81" s="0"/>
      <c r="FCX81" s="0"/>
      <c r="FCY81" s="0"/>
      <c r="FCZ81" s="0"/>
      <c r="FDA81" s="0"/>
      <c r="FDB81" s="0"/>
      <c r="FDC81" s="0"/>
      <c r="FDD81" s="0"/>
      <c r="FDE81" s="0"/>
      <c r="FDF81" s="0"/>
      <c r="FDG81" s="0"/>
      <c r="FDH81" s="0"/>
      <c r="FDI81" s="0"/>
      <c r="FDJ81" s="0"/>
      <c r="FDK81" s="0"/>
      <c r="FDL81" s="0"/>
      <c r="FDM81" s="0"/>
      <c r="FDN81" s="0"/>
      <c r="FDO81" s="0"/>
      <c r="FDP81" s="0"/>
      <c r="FDQ81" s="0"/>
      <c r="FDR81" s="0"/>
      <c r="FDS81" s="0"/>
      <c r="FDT81" s="0"/>
      <c r="FDU81" s="0"/>
      <c r="FDV81" s="0"/>
      <c r="FDW81" s="0"/>
      <c r="FDX81" s="0"/>
      <c r="FDY81" s="0"/>
      <c r="FDZ81" s="0"/>
      <c r="FEA81" s="0"/>
      <c r="FEB81" s="0"/>
      <c r="FEC81" s="0"/>
      <c r="FED81" s="0"/>
      <c r="FEE81" s="0"/>
      <c r="FEF81" s="0"/>
      <c r="FEG81" s="0"/>
      <c r="FEH81" s="0"/>
      <c r="FEI81" s="0"/>
      <c r="FEJ81" s="0"/>
      <c r="FEK81" s="0"/>
      <c r="FEL81" s="0"/>
      <c r="FEM81" s="0"/>
      <c r="FEN81" s="0"/>
      <c r="FEO81" s="0"/>
      <c r="FEP81" s="0"/>
      <c r="FEQ81" s="0"/>
      <c r="FER81" s="0"/>
      <c r="FES81" s="0"/>
      <c r="FET81" s="0"/>
      <c r="FEU81" s="0"/>
      <c r="FEV81" s="0"/>
      <c r="FEW81" s="0"/>
      <c r="FEX81" s="0"/>
      <c r="FEY81" s="0"/>
      <c r="FEZ81" s="0"/>
      <c r="FFA81" s="0"/>
      <c r="FFB81" s="0"/>
      <c r="FFC81" s="0"/>
      <c r="FFD81" s="0"/>
      <c r="FFE81" s="0"/>
      <c r="FFF81" s="0"/>
      <c r="FFG81" s="0"/>
      <c r="FFH81" s="0"/>
      <c r="FFI81" s="0"/>
      <c r="FFJ81" s="0"/>
      <c r="FFK81" s="0"/>
      <c r="FFL81" s="0"/>
      <c r="FFM81" s="0"/>
      <c r="FFN81" s="0"/>
      <c r="FFO81" s="0"/>
      <c r="FFP81" s="0"/>
      <c r="FFQ81" s="0"/>
      <c r="FFR81" s="0"/>
      <c r="FFS81" s="0"/>
      <c r="FFT81" s="0"/>
      <c r="FFU81" s="0"/>
      <c r="FFV81" s="0"/>
      <c r="FFW81" s="0"/>
      <c r="FFX81" s="0"/>
      <c r="FFY81" s="0"/>
      <c r="FFZ81" s="0"/>
      <c r="FGA81" s="0"/>
      <c r="FGB81" s="0"/>
      <c r="FGC81" s="0"/>
      <c r="FGD81" s="0"/>
      <c r="FGE81" s="0"/>
      <c r="FGF81" s="0"/>
      <c r="FGG81" s="0"/>
      <c r="FGH81" s="0"/>
      <c r="FGI81" s="0"/>
      <c r="FGJ81" s="0"/>
      <c r="FGK81" s="0"/>
      <c r="FGL81" s="0"/>
      <c r="FGM81" s="0"/>
      <c r="FGN81" s="0"/>
      <c r="FGO81" s="0"/>
      <c r="FGP81" s="0"/>
      <c r="FGQ81" s="0"/>
      <c r="FGR81" s="0"/>
      <c r="FGS81" s="0"/>
      <c r="FGT81" s="0"/>
      <c r="FGU81" s="0"/>
      <c r="FGV81" s="0"/>
      <c r="FGW81" s="0"/>
      <c r="FGX81" s="0"/>
      <c r="FGY81" s="0"/>
      <c r="FGZ81" s="0"/>
      <c r="FHA81" s="0"/>
      <c r="FHB81" s="0"/>
      <c r="FHC81" s="0"/>
      <c r="FHD81" s="0"/>
      <c r="FHE81" s="0"/>
      <c r="FHF81" s="0"/>
      <c r="FHG81" s="0"/>
      <c r="FHH81" s="0"/>
      <c r="FHI81" s="0"/>
      <c r="FHJ81" s="0"/>
      <c r="FHK81" s="0"/>
      <c r="FHL81" s="0"/>
      <c r="FHM81" s="0"/>
      <c r="FHN81" s="0"/>
      <c r="FHO81" s="0"/>
      <c r="FHP81" s="0"/>
      <c r="FHQ81" s="0"/>
      <c r="FHR81" s="0"/>
      <c r="FHS81" s="0"/>
      <c r="FHT81" s="0"/>
      <c r="FHU81" s="0"/>
      <c r="FHV81" s="0"/>
      <c r="FHW81" s="0"/>
      <c r="FHX81" s="0"/>
      <c r="FHY81" s="0"/>
      <c r="FHZ81" s="0"/>
      <c r="FIA81" s="0"/>
      <c r="FIB81" s="0"/>
      <c r="FIC81" s="0"/>
      <c r="FID81" s="0"/>
      <c r="FIE81" s="0"/>
      <c r="FIF81" s="0"/>
      <c r="FIG81" s="0"/>
      <c r="FIH81" s="0"/>
      <c r="FII81" s="0"/>
      <c r="FIJ81" s="0"/>
      <c r="FIK81" s="0"/>
      <c r="FIL81" s="0"/>
      <c r="FIM81" s="0"/>
      <c r="FIN81" s="0"/>
      <c r="FIO81" s="0"/>
      <c r="FIP81" s="0"/>
      <c r="FIQ81" s="0"/>
      <c r="FIR81" s="0"/>
      <c r="FIS81" s="0"/>
      <c r="FIT81" s="0"/>
      <c r="FIU81" s="0"/>
      <c r="FIV81" s="0"/>
      <c r="FIW81" s="0"/>
      <c r="FIX81" s="0"/>
      <c r="FIY81" s="0"/>
      <c r="FIZ81" s="0"/>
      <c r="FJA81" s="0"/>
      <c r="FJB81" s="0"/>
      <c r="FJC81" s="0"/>
      <c r="FJD81" s="0"/>
      <c r="FJE81" s="0"/>
      <c r="FJF81" s="0"/>
      <c r="FJG81" s="0"/>
      <c r="FJH81" s="0"/>
      <c r="FJI81" s="0"/>
      <c r="FJJ81" s="0"/>
      <c r="FJK81" s="0"/>
      <c r="FJL81" s="0"/>
      <c r="FJM81" s="0"/>
      <c r="FJN81" s="0"/>
      <c r="FJO81" s="0"/>
      <c r="FJP81" s="0"/>
      <c r="FJQ81" s="0"/>
      <c r="FJR81" s="0"/>
      <c r="FJS81" s="0"/>
      <c r="FJT81" s="0"/>
      <c r="FJU81" s="0"/>
      <c r="FJV81" s="0"/>
      <c r="FJW81" s="0"/>
      <c r="FJX81" s="0"/>
      <c r="FJY81" s="0"/>
      <c r="FJZ81" s="0"/>
      <c r="FKA81" s="0"/>
      <c r="FKB81" s="0"/>
      <c r="FKC81" s="0"/>
      <c r="FKD81" s="0"/>
      <c r="FKE81" s="0"/>
      <c r="FKF81" s="0"/>
      <c r="FKG81" s="0"/>
      <c r="FKH81" s="0"/>
      <c r="FKI81" s="0"/>
      <c r="FKJ81" s="0"/>
      <c r="FKK81" s="0"/>
      <c r="FKL81" s="0"/>
      <c r="FKM81" s="0"/>
      <c r="FKN81" s="0"/>
      <c r="FKO81" s="0"/>
      <c r="FKP81" s="0"/>
      <c r="FKQ81" s="0"/>
      <c r="FKR81" s="0"/>
      <c r="FKS81" s="0"/>
      <c r="FKT81" s="0"/>
      <c r="FKU81" s="0"/>
      <c r="FKV81" s="0"/>
      <c r="FKW81" s="0"/>
      <c r="FKX81" s="0"/>
      <c r="FKY81" s="0"/>
      <c r="FKZ81" s="0"/>
      <c r="FLA81" s="0"/>
      <c r="FLB81" s="0"/>
      <c r="FLC81" s="0"/>
      <c r="FLD81" s="0"/>
      <c r="FLE81" s="0"/>
      <c r="FLF81" s="0"/>
      <c r="FLG81" s="0"/>
      <c r="FLH81" s="0"/>
      <c r="FLI81" s="0"/>
      <c r="FLJ81" s="0"/>
      <c r="FLK81" s="0"/>
      <c r="FLL81" s="0"/>
      <c r="FLM81" s="0"/>
      <c r="FLN81" s="0"/>
      <c r="FLO81" s="0"/>
      <c r="FLP81" s="0"/>
      <c r="FLQ81" s="0"/>
      <c r="FLR81" s="0"/>
      <c r="FLS81" s="0"/>
      <c r="FLT81" s="0"/>
      <c r="FLU81" s="0"/>
      <c r="FLV81" s="0"/>
      <c r="FLW81" s="0"/>
      <c r="FLX81" s="0"/>
      <c r="FLY81" s="0"/>
      <c r="FLZ81" s="0"/>
      <c r="FMA81" s="0"/>
      <c r="FMB81" s="0"/>
      <c r="FMC81" s="0"/>
      <c r="FMD81" s="0"/>
      <c r="FME81" s="0"/>
      <c r="FMF81" s="0"/>
      <c r="FMG81" s="0"/>
      <c r="FMH81" s="0"/>
      <c r="FMI81" s="0"/>
      <c r="FMJ81" s="0"/>
      <c r="FMK81" s="0"/>
      <c r="FML81" s="0"/>
      <c r="FMM81" s="0"/>
      <c r="FMN81" s="0"/>
      <c r="FMO81" s="0"/>
      <c r="FMP81" s="0"/>
      <c r="FMQ81" s="0"/>
      <c r="FMR81" s="0"/>
      <c r="FMS81" s="0"/>
      <c r="FMT81" s="0"/>
      <c r="FMU81" s="0"/>
      <c r="FMV81" s="0"/>
      <c r="FMW81" s="0"/>
      <c r="FMX81" s="0"/>
      <c r="FMY81" s="0"/>
      <c r="FMZ81" s="0"/>
      <c r="FNA81" s="0"/>
      <c r="FNB81" s="0"/>
      <c r="FNC81" s="0"/>
      <c r="FND81" s="0"/>
      <c r="FNE81" s="0"/>
      <c r="FNF81" s="0"/>
      <c r="FNG81" s="0"/>
      <c r="FNH81" s="0"/>
      <c r="FNI81" s="0"/>
      <c r="FNJ81" s="0"/>
      <c r="FNK81" s="0"/>
      <c r="FNL81" s="0"/>
      <c r="FNM81" s="0"/>
      <c r="FNN81" s="0"/>
      <c r="FNO81" s="0"/>
      <c r="FNP81" s="0"/>
      <c r="FNQ81" s="0"/>
      <c r="FNR81" s="0"/>
      <c r="FNS81" s="0"/>
      <c r="FNT81" s="0"/>
      <c r="FNU81" s="0"/>
      <c r="FNV81" s="0"/>
      <c r="FNW81" s="0"/>
      <c r="FNX81" s="0"/>
      <c r="FNY81" s="0"/>
      <c r="FNZ81" s="0"/>
      <c r="FOA81" s="0"/>
      <c r="FOB81" s="0"/>
      <c r="FOC81" s="0"/>
      <c r="FOD81" s="0"/>
      <c r="FOE81" s="0"/>
      <c r="FOF81" s="0"/>
      <c r="FOG81" s="0"/>
      <c r="FOH81" s="0"/>
      <c r="FOI81" s="0"/>
      <c r="FOJ81" s="0"/>
      <c r="FOK81" s="0"/>
      <c r="FOL81" s="0"/>
      <c r="FOM81" s="0"/>
      <c r="FON81" s="0"/>
      <c r="FOO81" s="0"/>
      <c r="FOP81" s="0"/>
      <c r="FOQ81" s="0"/>
      <c r="FOR81" s="0"/>
      <c r="FOS81" s="0"/>
      <c r="FOT81" s="0"/>
      <c r="FOU81" s="0"/>
      <c r="FOV81" s="0"/>
      <c r="FOW81" s="0"/>
      <c r="FOX81" s="0"/>
      <c r="FOY81" s="0"/>
      <c r="FOZ81" s="0"/>
      <c r="FPA81" s="0"/>
      <c r="FPB81" s="0"/>
      <c r="FPC81" s="0"/>
      <c r="FPD81" s="0"/>
      <c r="FPE81" s="0"/>
      <c r="FPF81" s="0"/>
      <c r="FPG81" s="0"/>
      <c r="FPH81" s="0"/>
      <c r="FPI81" s="0"/>
      <c r="FPJ81" s="0"/>
      <c r="FPK81" s="0"/>
      <c r="FPL81" s="0"/>
      <c r="FPM81" s="0"/>
      <c r="FPN81" s="0"/>
      <c r="FPO81" s="0"/>
      <c r="FPP81" s="0"/>
      <c r="FPQ81" s="0"/>
      <c r="FPR81" s="0"/>
      <c r="FPS81" s="0"/>
      <c r="FPT81" s="0"/>
      <c r="FPU81" s="0"/>
      <c r="FPV81" s="0"/>
      <c r="FPW81" s="0"/>
      <c r="FPX81" s="0"/>
      <c r="FPY81" s="0"/>
      <c r="FPZ81" s="0"/>
      <c r="FQA81" s="0"/>
      <c r="FQB81" s="0"/>
      <c r="FQC81" s="0"/>
      <c r="FQD81" s="0"/>
      <c r="FQE81" s="0"/>
      <c r="FQF81" s="0"/>
      <c r="FQG81" s="0"/>
      <c r="FQH81" s="0"/>
      <c r="FQI81" s="0"/>
      <c r="FQJ81" s="0"/>
      <c r="FQK81" s="0"/>
      <c r="FQL81" s="0"/>
      <c r="FQM81" s="0"/>
      <c r="FQN81" s="0"/>
      <c r="FQO81" s="0"/>
      <c r="FQP81" s="0"/>
      <c r="FQQ81" s="0"/>
      <c r="FQR81" s="0"/>
      <c r="FQS81" s="0"/>
      <c r="FQT81" s="0"/>
      <c r="FQU81" s="0"/>
      <c r="FQV81" s="0"/>
      <c r="FQW81" s="0"/>
      <c r="FQX81" s="0"/>
      <c r="FQY81" s="0"/>
      <c r="FQZ81" s="0"/>
      <c r="FRA81" s="0"/>
      <c r="FRB81" s="0"/>
      <c r="FRC81" s="0"/>
      <c r="FRD81" s="0"/>
      <c r="FRE81" s="0"/>
      <c r="FRF81" s="0"/>
      <c r="FRG81" s="0"/>
      <c r="FRH81" s="0"/>
      <c r="FRI81" s="0"/>
      <c r="FRJ81" s="0"/>
      <c r="FRK81" s="0"/>
      <c r="FRL81" s="0"/>
      <c r="FRM81" s="0"/>
      <c r="FRN81" s="0"/>
      <c r="FRO81" s="0"/>
      <c r="FRP81" s="0"/>
      <c r="FRQ81" s="0"/>
      <c r="FRR81" s="0"/>
      <c r="FRS81" s="0"/>
      <c r="FRT81" s="0"/>
      <c r="FRU81" s="0"/>
      <c r="FRV81" s="0"/>
      <c r="FRW81" s="0"/>
      <c r="FRX81" s="0"/>
      <c r="FRY81" s="0"/>
      <c r="FRZ81" s="0"/>
      <c r="FSA81" s="0"/>
      <c r="FSB81" s="0"/>
      <c r="FSC81" s="0"/>
      <c r="FSD81" s="0"/>
      <c r="FSE81" s="0"/>
      <c r="FSF81" s="0"/>
      <c r="FSG81" s="0"/>
      <c r="FSH81" s="0"/>
      <c r="FSI81" s="0"/>
      <c r="FSJ81" s="0"/>
      <c r="FSK81" s="0"/>
      <c r="FSL81" s="0"/>
      <c r="FSM81" s="0"/>
      <c r="FSN81" s="0"/>
      <c r="FSO81" s="0"/>
      <c r="FSP81" s="0"/>
      <c r="FSQ81" s="0"/>
      <c r="FSR81" s="0"/>
      <c r="FSS81" s="0"/>
      <c r="FST81" s="0"/>
      <c r="FSU81" s="0"/>
      <c r="FSV81" s="0"/>
      <c r="FSW81" s="0"/>
      <c r="FSX81" s="0"/>
      <c r="FSY81" s="0"/>
      <c r="FSZ81" s="0"/>
      <c r="FTA81" s="0"/>
      <c r="FTB81" s="0"/>
      <c r="FTC81" s="0"/>
      <c r="FTD81" s="0"/>
      <c r="FTE81" s="0"/>
      <c r="FTF81" s="0"/>
      <c r="FTG81" s="0"/>
      <c r="FTH81" s="0"/>
      <c r="FTI81" s="0"/>
      <c r="FTJ81" s="0"/>
      <c r="FTK81" s="0"/>
      <c r="FTL81" s="0"/>
      <c r="FTM81" s="0"/>
      <c r="FTN81" s="0"/>
      <c r="FTO81" s="0"/>
      <c r="FTP81" s="0"/>
      <c r="FTQ81" s="0"/>
      <c r="FTR81" s="0"/>
      <c r="FTS81" s="0"/>
      <c r="FTT81" s="0"/>
      <c r="FTU81" s="0"/>
      <c r="FTV81" s="0"/>
      <c r="FTW81" s="0"/>
      <c r="FTX81" s="0"/>
      <c r="FTY81" s="0"/>
      <c r="FTZ81" s="0"/>
      <c r="FUA81" s="0"/>
      <c r="FUB81" s="0"/>
      <c r="FUC81" s="0"/>
      <c r="FUD81" s="0"/>
      <c r="FUE81" s="0"/>
      <c r="FUF81" s="0"/>
      <c r="FUG81" s="0"/>
      <c r="FUH81" s="0"/>
      <c r="FUI81" s="0"/>
      <c r="FUJ81" s="0"/>
      <c r="FUK81" s="0"/>
      <c r="FUL81" s="0"/>
      <c r="FUM81" s="0"/>
      <c r="FUN81" s="0"/>
      <c r="FUO81" s="0"/>
      <c r="FUP81" s="0"/>
      <c r="FUQ81" s="0"/>
      <c r="FUR81" s="0"/>
      <c r="FUS81" s="0"/>
      <c r="FUT81" s="0"/>
      <c r="FUU81" s="0"/>
      <c r="FUV81" s="0"/>
      <c r="FUW81" s="0"/>
      <c r="FUX81" s="0"/>
      <c r="FUY81" s="0"/>
      <c r="FUZ81" s="0"/>
      <c r="FVA81" s="0"/>
      <c r="FVB81" s="0"/>
      <c r="FVC81" s="0"/>
      <c r="FVD81" s="0"/>
      <c r="FVE81" s="0"/>
      <c r="FVF81" s="0"/>
      <c r="FVG81" s="0"/>
      <c r="FVH81" s="0"/>
      <c r="FVI81" s="0"/>
      <c r="FVJ81" s="0"/>
      <c r="FVK81" s="0"/>
      <c r="FVL81" s="0"/>
      <c r="FVM81" s="0"/>
      <c r="FVN81" s="0"/>
      <c r="FVO81" s="0"/>
      <c r="FVP81" s="0"/>
      <c r="FVQ81" s="0"/>
      <c r="FVR81" s="0"/>
      <c r="FVS81" s="0"/>
      <c r="FVT81" s="0"/>
      <c r="FVU81" s="0"/>
      <c r="FVV81" s="0"/>
      <c r="FVW81" s="0"/>
      <c r="FVX81" s="0"/>
      <c r="FVY81" s="0"/>
      <c r="FVZ81" s="0"/>
      <c r="FWA81" s="0"/>
      <c r="FWB81" s="0"/>
      <c r="FWC81" s="0"/>
      <c r="FWD81" s="0"/>
      <c r="FWE81" s="0"/>
      <c r="FWF81" s="0"/>
      <c r="FWG81" s="0"/>
      <c r="FWH81" s="0"/>
      <c r="FWI81" s="0"/>
      <c r="FWJ81" s="0"/>
      <c r="FWK81" s="0"/>
      <c r="FWL81" s="0"/>
      <c r="FWM81" s="0"/>
      <c r="FWN81" s="0"/>
      <c r="FWO81" s="0"/>
      <c r="FWP81" s="0"/>
      <c r="FWQ81" s="0"/>
      <c r="FWR81" s="0"/>
      <c r="FWS81" s="0"/>
      <c r="FWT81" s="0"/>
      <c r="FWU81" s="0"/>
      <c r="FWV81" s="0"/>
      <c r="FWW81" s="0"/>
      <c r="FWX81" s="0"/>
      <c r="FWY81" s="0"/>
      <c r="FWZ81" s="0"/>
      <c r="FXA81" s="0"/>
      <c r="FXB81" s="0"/>
      <c r="FXC81" s="0"/>
      <c r="FXD81" s="0"/>
      <c r="FXE81" s="0"/>
      <c r="FXF81" s="0"/>
      <c r="FXG81" s="0"/>
      <c r="FXH81" s="0"/>
      <c r="FXI81" s="0"/>
      <c r="FXJ81" s="0"/>
      <c r="FXK81" s="0"/>
      <c r="FXL81" s="0"/>
      <c r="FXM81" s="0"/>
      <c r="FXN81" s="0"/>
      <c r="FXO81" s="0"/>
      <c r="FXP81" s="0"/>
      <c r="FXQ81" s="0"/>
      <c r="FXR81" s="0"/>
      <c r="FXS81" s="0"/>
      <c r="FXT81" s="0"/>
      <c r="FXU81" s="0"/>
      <c r="FXV81" s="0"/>
      <c r="FXW81" s="0"/>
      <c r="FXX81" s="0"/>
      <c r="FXY81" s="0"/>
      <c r="FXZ81" s="0"/>
      <c r="FYA81" s="0"/>
      <c r="FYB81" s="0"/>
      <c r="FYC81" s="0"/>
      <c r="FYD81" s="0"/>
      <c r="FYE81" s="0"/>
      <c r="FYF81" s="0"/>
      <c r="FYG81" s="0"/>
      <c r="FYH81" s="0"/>
      <c r="FYI81" s="0"/>
      <c r="FYJ81" s="0"/>
      <c r="FYK81" s="0"/>
      <c r="FYL81" s="0"/>
      <c r="FYM81" s="0"/>
      <c r="FYN81" s="0"/>
      <c r="FYO81" s="0"/>
      <c r="FYP81" s="0"/>
      <c r="FYQ81" s="0"/>
      <c r="FYR81" s="0"/>
      <c r="FYS81" s="0"/>
      <c r="FYT81" s="0"/>
      <c r="FYU81" s="0"/>
      <c r="FYV81" s="0"/>
      <c r="FYW81" s="0"/>
      <c r="FYX81" s="0"/>
      <c r="FYY81" s="0"/>
      <c r="FYZ81" s="0"/>
      <c r="FZA81" s="0"/>
      <c r="FZB81" s="0"/>
      <c r="FZC81" s="0"/>
      <c r="FZD81" s="0"/>
      <c r="FZE81" s="0"/>
      <c r="FZF81" s="0"/>
      <c r="FZG81" s="0"/>
      <c r="FZH81" s="0"/>
      <c r="FZI81" s="0"/>
      <c r="FZJ81" s="0"/>
      <c r="FZK81" s="0"/>
      <c r="FZL81" s="0"/>
      <c r="FZM81" s="0"/>
      <c r="FZN81" s="0"/>
      <c r="FZO81" s="0"/>
      <c r="FZP81" s="0"/>
      <c r="FZQ81" s="0"/>
      <c r="FZR81" s="0"/>
      <c r="FZS81" s="0"/>
      <c r="FZT81" s="0"/>
      <c r="FZU81" s="0"/>
      <c r="FZV81" s="0"/>
      <c r="FZW81" s="0"/>
      <c r="FZX81" s="0"/>
      <c r="FZY81" s="0"/>
      <c r="FZZ81" s="0"/>
      <c r="GAA81" s="0"/>
      <c r="GAB81" s="0"/>
      <c r="GAC81" s="0"/>
      <c r="GAD81" s="0"/>
      <c r="GAE81" s="0"/>
      <c r="GAF81" s="0"/>
      <c r="GAG81" s="0"/>
      <c r="GAH81" s="0"/>
      <c r="GAI81" s="0"/>
      <c r="GAJ81" s="0"/>
      <c r="GAK81" s="0"/>
      <c r="GAL81" s="0"/>
      <c r="GAM81" s="0"/>
      <c r="GAN81" s="0"/>
      <c r="GAO81" s="0"/>
      <c r="GAP81" s="0"/>
      <c r="GAQ81" s="0"/>
      <c r="GAR81" s="0"/>
      <c r="GAS81" s="0"/>
      <c r="GAT81" s="0"/>
      <c r="GAU81" s="0"/>
      <c r="GAV81" s="0"/>
      <c r="GAW81" s="0"/>
      <c r="GAX81" s="0"/>
      <c r="GAY81" s="0"/>
      <c r="GAZ81" s="0"/>
      <c r="GBA81" s="0"/>
      <c r="GBB81" s="0"/>
      <c r="GBC81" s="0"/>
      <c r="GBD81" s="0"/>
      <c r="GBE81" s="0"/>
      <c r="GBF81" s="0"/>
      <c r="GBG81" s="0"/>
      <c r="GBH81" s="0"/>
      <c r="GBI81" s="0"/>
      <c r="GBJ81" s="0"/>
      <c r="GBK81" s="0"/>
      <c r="GBL81" s="0"/>
      <c r="GBM81" s="0"/>
      <c r="GBN81" s="0"/>
      <c r="GBO81" s="0"/>
      <c r="GBP81" s="0"/>
      <c r="GBQ81" s="0"/>
      <c r="GBR81" s="0"/>
      <c r="GBS81" s="0"/>
      <c r="GBT81" s="0"/>
      <c r="GBU81" s="0"/>
      <c r="GBV81" s="0"/>
      <c r="GBW81" s="0"/>
      <c r="GBX81" s="0"/>
      <c r="GBY81" s="0"/>
      <c r="GBZ81" s="0"/>
      <c r="GCA81" s="0"/>
      <c r="GCB81" s="0"/>
      <c r="GCC81" s="0"/>
      <c r="GCD81" s="0"/>
      <c r="GCE81" s="0"/>
      <c r="GCF81" s="0"/>
      <c r="GCG81" s="0"/>
      <c r="GCH81" s="0"/>
      <c r="GCI81" s="0"/>
      <c r="GCJ81" s="0"/>
      <c r="GCK81" s="0"/>
      <c r="GCL81" s="0"/>
      <c r="GCM81" s="0"/>
      <c r="GCN81" s="0"/>
      <c r="GCO81" s="0"/>
      <c r="GCP81" s="0"/>
      <c r="GCQ81" s="0"/>
      <c r="GCR81" s="0"/>
      <c r="GCS81" s="0"/>
      <c r="GCT81" s="0"/>
      <c r="GCU81" s="0"/>
      <c r="GCV81" s="0"/>
      <c r="GCW81" s="0"/>
      <c r="GCX81" s="0"/>
      <c r="GCY81" s="0"/>
      <c r="GCZ81" s="0"/>
      <c r="GDA81" s="0"/>
      <c r="GDB81" s="0"/>
      <c r="GDC81" s="0"/>
      <c r="GDD81" s="0"/>
      <c r="GDE81" s="0"/>
      <c r="GDF81" s="0"/>
      <c r="GDG81" s="0"/>
      <c r="GDH81" s="0"/>
      <c r="GDI81" s="0"/>
      <c r="GDJ81" s="0"/>
      <c r="GDK81" s="0"/>
      <c r="GDL81" s="0"/>
      <c r="GDM81" s="0"/>
      <c r="GDN81" s="0"/>
      <c r="GDO81" s="0"/>
      <c r="GDP81" s="0"/>
      <c r="GDQ81" s="0"/>
      <c r="GDR81" s="0"/>
      <c r="GDS81" s="0"/>
      <c r="GDT81" s="0"/>
      <c r="GDU81" s="0"/>
      <c r="GDV81" s="0"/>
      <c r="GDW81" s="0"/>
      <c r="GDX81" s="0"/>
      <c r="GDY81" s="0"/>
      <c r="GDZ81" s="0"/>
      <c r="GEA81" s="0"/>
      <c r="GEB81" s="0"/>
      <c r="GEC81" s="0"/>
      <c r="GED81" s="0"/>
      <c r="GEE81" s="0"/>
      <c r="GEF81" s="0"/>
      <c r="GEG81" s="0"/>
      <c r="GEH81" s="0"/>
      <c r="GEI81" s="0"/>
      <c r="GEJ81" s="0"/>
      <c r="GEK81" s="0"/>
      <c r="GEL81" s="0"/>
      <c r="GEM81" s="0"/>
      <c r="GEN81" s="0"/>
      <c r="GEO81" s="0"/>
      <c r="GEP81" s="0"/>
      <c r="GEQ81" s="0"/>
      <c r="GER81" s="0"/>
      <c r="GES81" s="0"/>
      <c r="GET81" s="0"/>
      <c r="GEU81" s="0"/>
      <c r="GEV81" s="0"/>
      <c r="GEW81" s="0"/>
      <c r="GEX81" s="0"/>
      <c r="GEY81" s="0"/>
      <c r="GEZ81" s="0"/>
      <c r="GFA81" s="0"/>
      <c r="GFB81" s="0"/>
      <c r="GFC81" s="0"/>
      <c r="GFD81" s="0"/>
      <c r="GFE81" s="0"/>
      <c r="GFF81" s="0"/>
      <c r="GFG81" s="0"/>
      <c r="GFH81" s="0"/>
      <c r="GFI81" s="0"/>
      <c r="GFJ81" s="0"/>
      <c r="GFK81" s="0"/>
      <c r="GFL81" s="0"/>
      <c r="GFM81" s="0"/>
      <c r="GFN81" s="0"/>
      <c r="GFO81" s="0"/>
      <c r="GFP81" s="0"/>
      <c r="GFQ81" s="0"/>
      <c r="GFR81" s="0"/>
      <c r="GFS81" s="0"/>
      <c r="GFT81" s="0"/>
      <c r="GFU81" s="0"/>
      <c r="GFV81" s="0"/>
      <c r="GFW81" s="0"/>
      <c r="GFX81" s="0"/>
      <c r="GFY81" s="0"/>
      <c r="GFZ81" s="0"/>
      <c r="GGA81" s="0"/>
      <c r="GGB81" s="0"/>
      <c r="GGC81" s="0"/>
      <c r="GGD81" s="0"/>
      <c r="GGE81" s="0"/>
      <c r="GGF81" s="0"/>
      <c r="GGG81" s="0"/>
      <c r="GGH81" s="0"/>
      <c r="GGI81" s="0"/>
      <c r="GGJ81" s="0"/>
      <c r="GGK81" s="0"/>
      <c r="GGL81" s="0"/>
      <c r="GGM81" s="0"/>
      <c r="GGN81" s="0"/>
      <c r="GGO81" s="0"/>
      <c r="GGP81" s="0"/>
      <c r="GGQ81" s="0"/>
      <c r="GGR81" s="0"/>
      <c r="GGS81" s="0"/>
      <c r="GGT81" s="0"/>
      <c r="GGU81" s="0"/>
      <c r="GGV81" s="0"/>
      <c r="GGW81" s="0"/>
      <c r="GGX81" s="0"/>
      <c r="GGY81" s="0"/>
      <c r="GGZ81" s="0"/>
      <c r="GHA81" s="0"/>
      <c r="GHB81" s="0"/>
      <c r="GHC81" s="0"/>
      <c r="GHD81" s="0"/>
      <c r="GHE81" s="0"/>
      <c r="GHF81" s="0"/>
      <c r="GHG81" s="0"/>
      <c r="GHH81" s="0"/>
      <c r="GHI81" s="0"/>
      <c r="GHJ81" s="0"/>
      <c r="GHK81" s="0"/>
      <c r="GHL81" s="0"/>
      <c r="GHM81" s="0"/>
      <c r="GHN81" s="0"/>
      <c r="GHO81" s="0"/>
      <c r="GHP81" s="0"/>
      <c r="GHQ81" s="0"/>
      <c r="GHR81" s="0"/>
      <c r="GHS81" s="0"/>
      <c r="GHT81" s="0"/>
      <c r="GHU81" s="0"/>
      <c r="GHV81" s="0"/>
      <c r="GHW81" s="0"/>
      <c r="GHX81" s="0"/>
      <c r="GHY81" s="0"/>
      <c r="GHZ81" s="0"/>
      <c r="GIA81" s="0"/>
      <c r="GIB81" s="0"/>
      <c r="GIC81" s="0"/>
      <c r="GID81" s="0"/>
      <c r="GIE81" s="0"/>
      <c r="GIF81" s="0"/>
      <c r="GIG81" s="0"/>
      <c r="GIH81" s="0"/>
      <c r="GII81" s="0"/>
      <c r="GIJ81" s="0"/>
      <c r="GIK81" s="0"/>
      <c r="GIL81" s="0"/>
      <c r="GIM81" s="0"/>
      <c r="GIN81" s="0"/>
      <c r="GIO81" s="0"/>
      <c r="GIP81" s="0"/>
      <c r="GIQ81" s="0"/>
      <c r="GIR81" s="0"/>
      <c r="GIS81" s="0"/>
      <c r="GIT81" s="0"/>
      <c r="GIU81" s="0"/>
      <c r="GIV81" s="0"/>
      <c r="GIW81" s="0"/>
      <c r="GIX81" s="0"/>
      <c r="GIY81" s="0"/>
      <c r="GIZ81" s="0"/>
      <c r="GJA81" s="0"/>
      <c r="GJB81" s="0"/>
      <c r="GJC81" s="0"/>
      <c r="GJD81" s="0"/>
      <c r="GJE81" s="0"/>
      <c r="GJF81" s="0"/>
      <c r="GJG81" s="0"/>
      <c r="GJH81" s="0"/>
      <c r="GJI81" s="0"/>
      <c r="GJJ81" s="0"/>
      <c r="GJK81" s="0"/>
      <c r="GJL81" s="0"/>
      <c r="GJM81" s="0"/>
      <c r="GJN81" s="0"/>
      <c r="GJO81" s="0"/>
      <c r="GJP81" s="0"/>
      <c r="GJQ81" s="0"/>
      <c r="GJR81" s="0"/>
      <c r="GJS81" s="0"/>
      <c r="GJT81" s="0"/>
      <c r="GJU81" s="0"/>
      <c r="GJV81" s="0"/>
      <c r="GJW81" s="0"/>
      <c r="GJX81" s="0"/>
      <c r="GJY81" s="0"/>
      <c r="GJZ81" s="0"/>
      <c r="GKA81" s="0"/>
      <c r="GKB81" s="0"/>
      <c r="GKC81" s="0"/>
      <c r="GKD81" s="0"/>
      <c r="GKE81" s="0"/>
      <c r="GKF81" s="0"/>
      <c r="GKG81" s="0"/>
      <c r="GKH81" s="0"/>
      <c r="GKI81" s="0"/>
      <c r="GKJ81" s="0"/>
      <c r="GKK81" s="0"/>
      <c r="GKL81" s="0"/>
      <c r="GKM81" s="0"/>
      <c r="GKN81" s="0"/>
      <c r="GKO81" s="0"/>
      <c r="GKP81" s="0"/>
      <c r="GKQ81" s="0"/>
      <c r="GKR81" s="0"/>
      <c r="GKS81" s="0"/>
      <c r="GKT81" s="0"/>
      <c r="GKU81" s="0"/>
      <c r="GKV81" s="0"/>
      <c r="GKW81" s="0"/>
      <c r="GKX81" s="0"/>
      <c r="GKY81" s="0"/>
      <c r="GKZ81" s="0"/>
      <c r="GLA81" s="0"/>
      <c r="GLB81" s="0"/>
      <c r="GLC81" s="0"/>
      <c r="GLD81" s="0"/>
      <c r="GLE81" s="0"/>
      <c r="GLF81" s="0"/>
      <c r="GLG81" s="0"/>
      <c r="GLH81" s="0"/>
      <c r="GLI81" s="0"/>
      <c r="GLJ81" s="0"/>
      <c r="GLK81" s="0"/>
      <c r="GLL81" s="0"/>
      <c r="GLM81" s="0"/>
      <c r="GLN81" s="0"/>
      <c r="GLO81" s="0"/>
      <c r="GLP81" s="0"/>
      <c r="GLQ81" s="0"/>
      <c r="GLR81" s="0"/>
      <c r="GLS81" s="0"/>
      <c r="GLT81" s="0"/>
      <c r="GLU81" s="0"/>
      <c r="GLV81" s="0"/>
      <c r="GLW81" s="0"/>
      <c r="GLX81" s="0"/>
      <c r="GLY81" s="0"/>
      <c r="GLZ81" s="0"/>
      <c r="GMA81" s="0"/>
      <c r="GMB81" s="0"/>
      <c r="GMC81" s="0"/>
      <c r="GMD81" s="0"/>
      <c r="GME81" s="0"/>
      <c r="GMF81" s="0"/>
      <c r="GMG81" s="0"/>
      <c r="GMH81" s="0"/>
      <c r="GMI81" s="0"/>
      <c r="GMJ81" s="0"/>
      <c r="GMK81" s="0"/>
      <c r="GML81" s="0"/>
      <c r="GMM81" s="0"/>
      <c r="GMN81" s="0"/>
      <c r="GMO81" s="0"/>
      <c r="GMP81" s="0"/>
      <c r="GMQ81" s="0"/>
      <c r="GMR81" s="0"/>
      <c r="GMS81" s="0"/>
      <c r="GMT81" s="0"/>
      <c r="GMU81" s="0"/>
      <c r="GMV81" s="0"/>
      <c r="GMW81" s="0"/>
      <c r="GMX81" s="0"/>
      <c r="GMY81" s="0"/>
      <c r="GMZ81" s="0"/>
      <c r="GNA81" s="0"/>
      <c r="GNB81" s="0"/>
      <c r="GNC81" s="0"/>
      <c r="GND81" s="0"/>
      <c r="GNE81" s="0"/>
      <c r="GNF81" s="0"/>
      <c r="GNG81" s="0"/>
      <c r="GNH81" s="0"/>
      <c r="GNI81" s="0"/>
      <c r="GNJ81" s="0"/>
      <c r="GNK81" s="0"/>
      <c r="GNL81" s="0"/>
      <c r="GNM81" s="0"/>
      <c r="GNN81" s="0"/>
      <c r="GNO81" s="0"/>
      <c r="GNP81" s="0"/>
      <c r="GNQ81" s="0"/>
      <c r="GNR81" s="0"/>
      <c r="GNS81" s="0"/>
      <c r="GNT81" s="0"/>
      <c r="GNU81" s="0"/>
      <c r="GNV81" s="0"/>
      <c r="GNW81" s="0"/>
      <c r="GNX81" s="0"/>
      <c r="GNY81" s="0"/>
      <c r="GNZ81" s="0"/>
      <c r="GOA81" s="0"/>
      <c r="GOB81" s="0"/>
      <c r="GOC81" s="0"/>
      <c r="GOD81" s="0"/>
      <c r="GOE81" s="0"/>
      <c r="GOF81" s="0"/>
      <c r="GOG81" s="0"/>
      <c r="GOH81" s="0"/>
      <c r="GOI81" s="0"/>
      <c r="GOJ81" s="0"/>
      <c r="GOK81" s="0"/>
      <c r="GOL81" s="0"/>
      <c r="GOM81" s="0"/>
      <c r="GON81" s="0"/>
      <c r="GOO81" s="0"/>
      <c r="GOP81" s="0"/>
      <c r="GOQ81" s="0"/>
      <c r="GOR81" s="0"/>
      <c r="GOS81" s="0"/>
      <c r="GOT81" s="0"/>
      <c r="GOU81" s="0"/>
      <c r="GOV81" s="0"/>
      <c r="GOW81" s="0"/>
      <c r="GOX81" s="0"/>
      <c r="GOY81" s="0"/>
      <c r="GOZ81" s="0"/>
      <c r="GPA81" s="0"/>
      <c r="GPB81" s="0"/>
      <c r="GPC81" s="0"/>
      <c r="GPD81" s="0"/>
      <c r="GPE81" s="0"/>
      <c r="GPF81" s="0"/>
      <c r="GPG81" s="0"/>
      <c r="GPH81" s="0"/>
      <c r="GPI81" s="0"/>
      <c r="GPJ81" s="0"/>
      <c r="GPK81" s="0"/>
      <c r="GPL81" s="0"/>
      <c r="GPM81" s="0"/>
      <c r="GPN81" s="0"/>
      <c r="GPO81" s="0"/>
      <c r="GPP81" s="0"/>
      <c r="GPQ81" s="0"/>
      <c r="GPR81" s="0"/>
      <c r="GPS81" s="0"/>
      <c r="GPT81" s="0"/>
      <c r="GPU81" s="0"/>
      <c r="GPV81" s="0"/>
      <c r="GPW81" s="0"/>
      <c r="GPX81" s="0"/>
      <c r="GPY81" s="0"/>
      <c r="GPZ81" s="0"/>
      <c r="GQA81" s="0"/>
      <c r="GQB81" s="0"/>
      <c r="GQC81" s="0"/>
      <c r="GQD81" s="0"/>
      <c r="GQE81" s="0"/>
      <c r="GQF81" s="0"/>
      <c r="GQG81" s="0"/>
      <c r="GQH81" s="0"/>
      <c r="GQI81" s="0"/>
      <c r="GQJ81" s="0"/>
      <c r="GQK81" s="0"/>
      <c r="GQL81" s="0"/>
      <c r="GQM81" s="0"/>
      <c r="GQN81" s="0"/>
      <c r="GQO81" s="0"/>
      <c r="GQP81" s="0"/>
      <c r="GQQ81" s="0"/>
      <c r="GQR81" s="0"/>
      <c r="GQS81" s="0"/>
      <c r="GQT81" s="0"/>
      <c r="GQU81" s="0"/>
      <c r="GQV81" s="0"/>
      <c r="GQW81" s="0"/>
      <c r="GQX81" s="0"/>
      <c r="GQY81" s="0"/>
      <c r="GQZ81" s="0"/>
      <c r="GRA81" s="0"/>
      <c r="GRB81" s="0"/>
      <c r="GRC81" s="0"/>
      <c r="GRD81" s="0"/>
      <c r="GRE81" s="0"/>
      <c r="GRF81" s="0"/>
      <c r="GRG81" s="0"/>
      <c r="GRH81" s="0"/>
      <c r="GRI81" s="0"/>
      <c r="GRJ81" s="0"/>
      <c r="GRK81" s="0"/>
      <c r="GRL81" s="0"/>
      <c r="GRM81" s="0"/>
      <c r="GRN81" s="0"/>
      <c r="GRO81" s="0"/>
      <c r="GRP81" s="0"/>
      <c r="GRQ81" s="0"/>
      <c r="GRR81" s="0"/>
      <c r="GRS81" s="0"/>
      <c r="GRT81" s="0"/>
      <c r="GRU81" s="0"/>
      <c r="GRV81" s="0"/>
      <c r="GRW81" s="0"/>
      <c r="GRX81" s="0"/>
      <c r="GRY81" s="0"/>
      <c r="GRZ81" s="0"/>
      <c r="GSA81" s="0"/>
      <c r="GSB81" s="0"/>
      <c r="GSC81" s="0"/>
      <c r="GSD81" s="0"/>
      <c r="GSE81" s="0"/>
      <c r="GSF81" s="0"/>
      <c r="GSG81" s="0"/>
      <c r="GSH81" s="0"/>
      <c r="GSI81" s="0"/>
      <c r="GSJ81" s="0"/>
      <c r="GSK81" s="0"/>
      <c r="GSL81" s="0"/>
      <c r="GSM81" s="0"/>
      <c r="GSN81" s="0"/>
      <c r="GSO81" s="0"/>
      <c r="GSP81" s="0"/>
      <c r="GSQ81" s="0"/>
      <c r="GSR81" s="0"/>
      <c r="GSS81" s="0"/>
      <c r="GST81" s="0"/>
      <c r="GSU81" s="0"/>
      <c r="GSV81" s="0"/>
      <c r="GSW81" s="0"/>
      <c r="GSX81" s="0"/>
      <c r="GSY81" s="0"/>
      <c r="GSZ81" s="0"/>
      <c r="GTA81" s="0"/>
      <c r="GTB81" s="0"/>
      <c r="GTC81" s="0"/>
      <c r="GTD81" s="0"/>
      <c r="GTE81" s="0"/>
      <c r="GTF81" s="0"/>
      <c r="GTG81" s="0"/>
      <c r="GTH81" s="0"/>
      <c r="GTI81" s="0"/>
      <c r="GTJ81" s="0"/>
      <c r="GTK81" s="0"/>
      <c r="GTL81" s="0"/>
      <c r="GTM81" s="0"/>
      <c r="GTN81" s="0"/>
      <c r="GTO81" s="0"/>
      <c r="GTP81" s="0"/>
      <c r="GTQ81" s="0"/>
      <c r="GTR81" s="0"/>
      <c r="GTS81" s="0"/>
      <c r="GTT81" s="0"/>
      <c r="GTU81" s="0"/>
      <c r="GTV81" s="0"/>
      <c r="GTW81" s="0"/>
      <c r="GTX81" s="0"/>
      <c r="GTY81" s="0"/>
      <c r="GTZ81" s="0"/>
      <c r="GUA81" s="0"/>
      <c r="GUB81" s="0"/>
      <c r="GUC81" s="0"/>
      <c r="GUD81" s="0"/>
      <c r="GUE81" s="0"/>
      <c r="GUF81" s="0"/>
      <c r="GUG81" s="0"/>
      <c r="GUH81" s="0"/>
      <c r="GUI81" s="0"/>
      <c r="GUJ81" s="0"/>
      <c r="GUK81" s="0"/>
      <c r="GUL81" s="0"/>
      <c r="GUM81" s="0"/>
      <c r="GUN81" s="0"/>
      <c r="GUO81" s="0"/>
      <c r="GUP81" s="0"/>
      <c r="GUQ81" s="0"/>
      <c r="GUR81" s="0"/>
      <c r="GUS81" s="0"/>
      <c r="GUT81" s="0"/>
      <c r="GUU81" s="0"/>
      <c r="GUV81" s="0"/>
      <c r="GUW81" s="0"/>
      <c r="GUX81" s="0"/>
      <c r="GUY81" s="0"/>
      <c r="GUZ81" s="0"/>
      <c r="GVA81" s="0"/>
      <c r="GVB81" s="0"/>
      <c r="GVC81" s="0"/>
      <c r="GVD81" s="0"/>
      <c r="GVE81" s="0"/>
      <c r="GVF81" s="0"/>
      <c r="GVG81" s="0"/>
      <c r="GVH81" s="0"/>
      <c r="GVI81" s="0"/>
      <c r="GVJ81" s="0"/>
      <c r="GVK81" s="0"/>
      <c r="GVL81" s="0"/>
      <c r="GVM81" s="0"/>
      <c r="GVN81" s="0"/>
      <c r="GVO81" s="0"/>
      <c r="GVP81" s="0"/>
      <c r="GVQ81" s="0"/>
      <c r="GVR81" s="0"/>
      <c r="GVS81" s="0"/>
      <c r="GVT81" s="0"/>
      <c r="GVU81" s="0"/>
      <c r="GVV81" s="0"/>
      <c r="GVW81" s="0"/>
      <c r="GVX81" s="0"/>
      <c r="GVY81" s="0"/>
      <c r="GVZ81" s="0"/>
      <c r="GWA81" s="0"/>
      <c r="GWB81" s="0"/>
      <c r="GWC81" s="0"/>
      <c r="GWD81" s="0"/>
      <c r="GWE81" s="0"/>
      <c r="GWF81" s="0"/>
      <c r="GWG81" s="0"/>
      <c r="GWH81" s="0"/>
      <c r="GWI81" s="0"/>
      <c r="GWJ81" s="0"/>
      <c r="GWK81" s="0"/>
      <c r="GWL81" s="0"/>
      <c r="GWM81" s="0"/>
      <c r="GWN81" s="0"/>
      <c r="GWO81" s="0"/>
      <c r="GWP81" s="0"/>
      <c r="GWQ81" s="0"/>
      <c r="GWR81" s="0"/>
      <c r="GWS81" s="0"/>
      <c r="GWT81" s="0"/>
      <c r="GWU81" s="0"/>
      <c r="GWV81" s="0"/>
      <c r="GWW81" s="0"/>
      <c r="GWX81" s="0"/>
      <c r="GWY81" s="0"/>
      <c r="GWZ81" s="0"/>
      <c r="GXA81" s="0"/>
      <c r="GXB81" s="0"/>
      <c r="GXC81" s="0"/>
      <c r="GXD81" s="0"/>
      <c r="GXE81" s="0"/>
      <c r="GXF81" s="0"/>
      <c r="GXG81" s="0"/>
      <c r="GXH81" s="0"/>
      <c r="GXI81" s="0"/>
      <c r="GXJ81" s="0"/>
      <c r="GXK81" s="0"/>
      <c r="GXL81" s="0"/>
      <c r="GXM81" s="0"/>
      <c r="GXN81" s="0"/>
      <c r="GXO81" s="0"/>
      <c r="GXP81" s="0"/>
      <c r="GXQ81" s="0"/>
      <c r="GXR81" s="0"/>
      <c r="GXS81" s="0"/>
      <c r="GXT81" s="0"/>
      <c r="GXU81" s="0"/>
      <c r="GXV81" s="0"/>
      <c r="GXW81" s="0"/>
      <c r="GXX81" s="0"/>
      <c r="GXY81" s="0"/>
      <c r="GXZ81" s="0"/>
      <c r="GYA81" s="0"/>
      <c r="GYB81" s="0"/>
      <c r="GYC81" s="0"/>
      <c r="GYD81" s="0"/>
      <c r="GYE81" s="0"/>
      <c r="GYF81" s="0"/>
      <c r="GYG81" s="0"/>
      <c r="GYH81" s="0"/>
      <c r="GYI81" s="0"/>
      <c r="GYJ81" s="0"/>
      <c r="GYK81" s="0"/>
      <c r="GYL81" s="0"/>
      <c r="GYM81" s="0"/>
      <c r="GYN81" s="0"/>
      <c r="GYO81" s="0"/>
      <c r="GYP81" s="0"/>
      <c r="GYQ81" s="0"/>
      <c r="GYR81" s="0"/>
      <c r="GYS81" s="0"/>
      <c r="GYT81" s="0"/>
      <c r="GYU81" s="0"/>
      <c r="GYV81" s="0"/>
      <c r="GYW81" s="0"/>
      <c r="GYX81" s="0"/>
      <c r="GYY81" s="0"/>
      <c r="GYZ81" s="0"/>
      <c r="GZA81" s="0"/>
      <c r="GZB81" s="0"/>
      <c r="GZC81" s="0"/>
      <c r="GZD81" s="0"/>
      <c r="GZE81" s="0"/>
      <c r="GZF81" s="0"/>
      <c r="GZG81" s="0"/>
      <c r="GZH81" s="0"/>
      <c r="GZI81" s="0"/>
      <c r="GZJ81" s="0"/>
      <c r="GZK81" s="0"/>
      <c r="GZL81" s="0"/>
      <c r="GZM81" s="0"/>
      <c r="GZN81" s="0"/>
      <c r="GZO81" s="0"/>
      <c r="GZP81" s="0"/>
      <c r="GZQ81" s="0"/>
      <c r="GZR81" s="0"/>
      <c r="GZS81" s="0"/>
      <c r="GZT81" s="0"/>
      <c r="GZU81" s="0"/>
      <c r="GZV81" s="0"/>
      <c r="GZW81" s="0"/>
      <c r="GZX81" s="0"/>
      <c r="GZY81" s="0"/>
      <c r="GZZ81" s="0"/>
      <c r="HAA81" s="0"/>
      <c r="HAB81" s="0"/>
      <c r="HAC81" s="0"/>
      <c r="HAD81" s="0"/>
      <c r="HAE81" s="0"/>
      <c r="HAF81" s="0"/>
      <c r="HAG81" s="0"/>
      <c r="HAH81" s="0"/>
      <c r="HAI81" s="0"/>
      <c r="HAJ81" s="0"/>
      <c r="HAK81" s="0"/>
      <c r="HAL81" s="0"/>
      <c r="HAM81" s="0"/>
      <c r="HAN81" s="0"/>
      <c r="HAO81" s="0"/>
      <c r="HAP81" s="0"/>
      <c r="HAQ81" s="0"/>
      <c r="HAR81" s="0"/>
      <c r="HAS81" s="0"/>
      <c r="HAT81" s="0"/>
      <c r="HAU81" s="0"/>
      <c r="HAV81" s="0"/>
      <c r="HAW81" s="0"/>
      <c r="HAX81" s="0"/>
      <c r="HAY81" s="0"/>
      <c r="HAZ81" s="0"/>
      <c r="HBA81" s="0"/>
      <c r="HBB81" s="0"/>
      <c r="HBC81" s="0"/>
      <c r="HBD81" s="0"/>
      <c r="HBE81" s="0"/>
      <c r="HBF81" s="0"/>
      <c r="HBG81" s="0"/>
      <c r="HBH81" s="0"/>
      <c r="HBI81" s="0"/>
      <c r="HBJ81" s="0"/>
      <c r="HBK81" s="0"/>
      <c r="HBL81" s="0"/>
      <c r="HBM81" s="0"/>
      <c r="HBN81" s="0"/>
      <c r="HBO81" s="0"/>
      <c r="HBP81" s="0"/>
      <c r="HBQ81" s="0"/>
      <c r="HBR81" s="0"/>
      <c r="HBS81" s="0"/>
      <c r="HBT81" s="0"/>
      <c r="HBU81" s="0"/>
      <c r="HBV81" s="0"/>
      <c r="HBW81" s="0"/>
      <c r="HBX81" s="0"/>
      <c r="HBY81" s="0"/>
      <c r="HBZ81" s="0"/>
      <c r="HCA81" s="0"/>
      <c r="HCB81" s="0"/>
      <c r="HCC81" s="0"/>
      <c r="HCD81" s="0"/>
      <c r="HCE81" s="0"/>
      <c r="HCF81" s="0"/>
      <c r="HCG81" s="0"/>
      <c r="HCH81" s="0"/>
      <c r="HCI81" s="0"/>
      <c r="HCJ81" s="0"/>
      <c r="HCK81" s="0"/>
      <c r="HCL81" s="0"/>
      <c r="HCM81" s="0"/>
      <c r="HCN81" s="0"/>
      <c r="HCO81" s="0"/>
      <c r="HCP81" s="0"/>
      <c r="HCQ81" s="0"/>
      <c r="HCR81" s="0"/>
      <c r="HCS81" s="0"/>
      <c r="HCT81" s="0"/>
      <c r="HCU81" s="0"/>
      <c r="HCV81" s="0"/>
      <c r="HCW81" s="0"/>
      <c r="HCX81" s="0"/>
      <c r="HCY81" s="0"/>
      <c r="HCZ81" s="0"/>
      <c r="HDA81" s="0"/>
      <c r="HDB81" s="0"/>
      <c r="HDC81" s="0"/>
      <c r="HDD81" s="0"/>
      <c r="HDE81" s="0"/>
      <c r="HDF81" s="0"/>
      <c r="HDG81" s="0"/>
      <c r="HDH81" s="0"/>
      <c r="HDI81" s="0"/>
      <c r="HDJ81" s="0"/>
      <c r="HDK81" s="0"/>
      <c r="HDL81" s="0"/>
      <c r="HDM81" s="0"/>
      <c r="HDN81" s="0"/>
      <c r="HDO81" s="0"/>
      <c r="HDP81" s="0"/>
      <c r="HDQ81" s="0"/>
      <c r="HDR81" s="0"/>
      <c r="HDS81" s="0"/>
      <c r="HDT81" s="0"/>
      <c r="HDU81" s="0"/>
      <c r="HDV81" s="0"/>
      <c r="HDW81" s="0"/>
      <c r="HDX81" s="0"/>
      <c r="HDY81" s="0"/>
      <c r="HDZ81" s="0"/>
      <c r="HEA81" s="0"/>
      <c r="HEB81" s="0"/>
      <c r="HEC81" s="0"/>
      <c r="HED81" s="0"/>
      <c r="HEE81" s="0"/>
      <c r="HEF81" s="0"/>
      <c r="HEG81" s="0"/>
      <c r="HEH81" s="0"/>
      <c r="HEI81" s="0"/>
      <c r="HEJ81" s="0"/>
      <c r="HEK81" s="0"/>
      <c r="HEL81" s="0"/>
      <c r="HEM81" s="0"/>
      <c r="HEN81" s="0"/>
      <c r="HEO81" s="0"/>
      <c r="HEP81" s="0"/>
      <c r="HEQ81" s="0"/>
      <c r="HER81" s="0"/>
      <c r="HES81" s="0"/>
      <c r="HET81" s="0"/>
      <c r="HEU81" s="0"/>
      <c r="HEV81" s="0"/>
      <c r="HEW81" s="0"/>
      <c r="HEX81" s="0"/>
      <c r="HEY81" s="0"/>
      <c r="HEZ81" s="0"/>
      <c r="HFA81" s="0"/>
      <c r="HFB81" s="0"/>
      <c r="HFC81" s="0"/>
      <c r="HFD81" s="0"/>
      <c r="HFE81" s="0"/>
      <c r="HFF81" s="0"/>
      <c r="HFG81" s="0"/>
      <c r="HFH81" s="0"/>
      <c r="HFI81" s="0"/>
      <c r="HFJ81" s="0"/>
      <c r="HFK81" s="0"/>
      <c r="HFL81" s="0"/>
      <c r="HFM81" s="0"/>
      <c r="HFN81" s="0"/>
      <c r="HFO81" s="0"/>
      <c r="HFP81" s="0"/>
      <c r="HFQ81" s="0"/>
      <c r="HFR81" s="0"/>
      <c r="HFS81" s="0"/>
      <c r="HFT81" s="0"/>
      <c r="HFU81" s="0"/>
      <c r="HFV81" s="0"/>
      <c r="HFW81" s="0"/>
      <c r="HFX81" s="0"/>
      <c r="HFY81" s="0"/>
      <c r="HFZ81" s="0"/>
      <c r="HGA81" s="0"/>
      <c r="HGB81" s="0"/>
      <c r="HGC81" s="0"/>
      <c r="HGD81" s="0"/>
      <c r="HGE81" s="0"/>
      <c r="HGF81" s="0"/>
      <c r="HGG81" s="0"/>
      <c r="HGH81" s="0"/>
      <c r="HGI81" s="0"/>
      <c r="HGJ81" s="0"/>
      <c r="HGK81" s="0"/>
      <c r="HGL81" s="0"/>
      <c r="HGM81" s="0"/>
      <c r="HGN81" s="0"/>
      <c r="HGO81" s="0"/>
      <c r="HGP81" s="0"/>
      <c r="HGQ81" s="0"/>
      <c r="HGR81" s="0"/>
      <c r="HGS81" s="0"/>
      <c r="HGT81" s="0"/>
      <c r="HGU81" s="0"/>
      <c r="HGV81" s="0"/>
      <c r="HGW81" s="0"/>
      <c r="HGX81" s="0"/>
      <c r="HGY81" s="0"/>
      <c r="HGZ81" s="0"/>
      <c r="HHA81" s="0"/>
      <c r="HHB81" s="0"/>
      <c r="HHC81" s="0"/>
      <c r="HHD81" s="0"/>
      <c r="HHE81" s="0"/>
      <c r="HHF81" s="0"/>
      <c r="HHG81" s="0"/>
      <c r="HHH81" s="0"/>
      <c r="HHI81" s="0"/>
      <c r="HHJ81" s="0"/>
      <c r="HHK81" s="0"/>
      <c r="HHL81" s="0"/>
      <c r="HHM81" s="0"/>
      <c r="HHN81" s="0"/>
      <c r="HHO81" s="0"/>
      <c r="HHP81" s="0"/>
      <c r="HHQ81" s="0"/>
      <c r="HHR81" s="0"/>
      <c r="HHS81" s="0"/>
      <c r="HHT81" s="0"/>
      <c r="HHU81" s="0"/>
      <c r="HHV81" s="0"/>
      <c r="HHW81" s="0"/>
      <c r="HHX81" s="0"/>
      <c r="HHY81" s="0"/>
      <c r="HHZ81" s="0"/>
      <c r="HIA81" s="0"/>
      <c r="HIB81" s="0"/>
      <c r="HIC81" s="0"/>
      <c r="HID81" s="0"/>
      <c r="HIE81" s="0"/>
      <c r="HIF81" s="0"/>
      <c r="HIG81" s="0"/>
      <c r="HIH81" s="0"/>
      <c r="HII81" s="0"/>
      <c r="HIJ81" s="0"/>
      <c r="HIK81" s="0"/>
      <c r="HIL81" s="0"/>
      <c r="HIM81" s="0"/>
      <c r="HIN81" s="0"/>
      <c r="HIO81" s="0"/>
      <c r="HIP81" s="0"/>
      <c r="HIQ81" s="0"/>
      <c r="HIR81" s="0"/>
      <c r="HIS81" s="0"/>
      <c r="HIT81" s="0"/>
      <c r="HIU81" s="0"/>
      <c r="HIV81" s="0"/>
      <c r="HIW81" s="0"/>
      <c r="HIX81" s="0"/>
      <c r="HIY81" s="0"/>
      <c r="HIZ81" s="0"/>
      <c r="HJA81" s="0"/>
      <c r="HJB81" s="0"/>
      <c r="HJC81" s="0"/>
      <c r="HJD81" s="0"/>
      <c r="HJE81" s="0"/>
      <c r="HJF81" s="0"/>
      <c r="HJG81" s="0"/>
      <c r="HJH81" s="0"/>
      <c r="HJI81" s="0"/>
      <c r="HJJ81" s="0"/>
      <c r="HJK81" s="0"/>
      <c r="HJL81" s="0"/>
      <c r="HJM81" s="0"/>
      <c r="HJN81" s="0"/>
      <c r="HJO81" s="0"/>
      <c r="HJP81" s="0"/>
      <c r="HJQ81" s="0"/>
      <c r="HJR81" s="0"/>
      <c r="HJS81" s="0"/>
      <c r="HJT81" s="0"/>
      <c r="HJU81" s="0"/>
      <c r="HJV81" s="0"/>
      <c r="HJW81" s="0"/>
      <c r="HJX81" s="0"/>
      <c r="HJY81" s="0"/>
      <c r="HJZ81" s="0"/>
      <c r="HKA81" s="0"/>
      <c r="HKB81" s="0"/>
      <c r="HKC81" s="0"/>
      <c r="HKD81" s="0"/>
      <c r="HKE81" s="0"/>
      <c r="HKF81" s="0"/>
      <c r="HKG81" s="0"/>
      <c r="HKH81" s="0"/>
      <c r="HKI81" s="0"/>
      <c r="HKJ81" s="0"/>
      <c r="HKK81" s="0"/>
      <c r="HKL81" s="0"/>
      <c r="HKM81" s="0"/>
      <c r="HKN81" s="0"/>
      <c r="HKO81" s="0"/>
      <c r="HKP81" s="0"/>
      <c r="HKQ81" s="0"/>
      <c r="HKR81" s="0"/>
      <c r="HKS81" s="0"/>
      <c r="HKT81" s="0"/>
      <c r="HKU81" s="0"/>
      <c r="HKV81" s="0"/>
      <c r="HKW81" s="0"/>
      <c r="HKX81" s="0"/>
      <c r="HKY81" s="0"/>
      <c r="HKZ81" s="0"/>
      <c r="HLA81" s="0"/>
      <c r="HLB81" s="0"/>
      <c r="HLC81" s="0"/>
      <c r="HLD81" s="0"/>
      <c r="HLE81" s="0"/>
      <c r="HLF81" s="0"/>
      <c r="HLG81" s="0"/>
      <c r="HLH81" s="0"/>
      <c r="HLI81" s="0"/>
      <c r="HLJ81" s="0"/>
      <c r="HLK81" s="0"/>
      <c r="HLL81" s="0"/>
      <c r="HLM81" s="0"/>
      <c r="HLN81" s="0"/>
      <c r="HLO81" s="0"/>
      <c r="HLP81" s="0"/>
      <c r="HLQ81" s="0"/>
      <c r="HLR81" s="0"/>
      <c r="HLS81" s="0"/>
      <c r="HLT81" s="0"/>
      <c r="HLU81" s="0"/>
      <c r="HLV81" s="0"/>
      <c r="HLW81" s="0"/>
      <c r="HLX81" s="0"/>
      <c r="HLY81" s="0"/>
      <c r="HLZ81" s="0"/>
      <c r="HMA81" s="0"/>
      <c r="HMB81" s="0"/>
      <c r="HMC81" s="0"/>
      <c r="HMD81" s="0"/>
      <c r="HME81" s="0"/>
      <c r="HMF81" s="0"/>
      <c r="HMG81" s="0"/>
      <c r="HMH81" s="0"/>
      <c r="HMI81" s="0"/>
      <c r="HMJ81" s="0"/>
      <c r="HMK81" s="0"/>
      <c r="HML81" s="0"/>
      <c r="HMM81" s="0"/>
      <c r="HMN81" s="0"/>
      <c r="HMO81" s="0"/>
      <c r="HMP81" s="0"/>
      <c r="HMQ81" s="0"/>
      <c r="HMR81" s="0"/>
      <c r="HMS81" s="0"/>
      <c r="HMT81" s="0"/>
      <c r="HMU81" s="0"/>
      <c r="HMV81" s="0"/>
      <c r="HMW81" s="0"/>
      <c r="HMX81" s="0"/>
      <c r="HMY81" s="0"/>
      <c r="HMZ81" s="0"/>
      <c r="HNA81" s="0"/>
      <c r="HNB81" s="0"/>
      <c r="HNC81" s="0"/>
      <c r="HND81" s="0"/>
      <c r="HNE81" s="0"/>
      <c r="HNF81" s="0"/>
      <c r="HNG81" s="0"/>
      <c r="HNH81" s="0"/>
      <c r="HNI81" s="0"/>
      <c r="HNJ81" s="0"/>
      <c r="HNK81" s="0"/>
      <c r="HNL81" s="0"/>
      <c r="HNM81" s="0"/>
      <c r="HNN81" s="0"/>
      <c r="HNO81" s="0"/>
      <c r="HNP81" s="0"/>
      <c r="HNQ81" s="0"/>
      <c r="HNR81" s="0"/>
      <c r="HNS81" s="0"/>
      <c r="HNT81" s="0"/>
      <c r="HNU81" s="0"/>
      <c r="HNV81" s="0"/>
      <c r="HNW81" s="0"/>
      <c r="HNX81" s="0"/>
      <c r="HNY81" s="0"/>
      <c r="HNZ81" s="0"/>
      <c r="HOA81" s="0"/>
      <c r="HOB81" s="0"/>
      <c r="HOC81" s="0"/>
      <c r="HOD81" s="0"/>
      <c r="HOE81" s="0"/>
      <c r="HOF81" s="0"/>
      <c r="HOG81" s="0"/>
      <c r="HOH81" s="0"/>
      <c r="HOI81" s="0"/>
      <c r="HOJ81" s="0"/>
      <c r="HOK81" s="0"/>
      <c r="HOL81" s="0"/>
      <c r="HOM81" s="0"/>
      <c r="HON81" s="0"/>
      <c r="HOO81" s="0"/>
      <c r="HOP81" s="0"/>
      <c r="HOQ81" s="0"/>
      <c r="HOR81" s="0"/>
      <c r="HOS81" s="0"/>
      <c r="HOT81" s="0"/>
      <c r="HOU81" s="0"/>
      <c r="HOV81" s="0"/>
      <c r="HOW81" s="0"/>
      <c r="HOX81" s="0"/>
      <c r="HOY81" s="0"/>
      <c r="HOZ81" s="0"/>
      <c r="HPA81" s="0"/>
      <c r="HPB81" s="0"/>
      <c r="HPC81" s="0"/>
      <c r="HPD81" s="0"/>
      <c r="HPE81" s="0"/>
      <c r="HPF81" s="0"/>
      <c r="HPG81" s="0"/>
      <c r="HPH81" s="0"/>
      <c r="HPI81" s="0"/>
      <c r="HPJ81" s="0"/>
      <c r="HPK81" s="0"/>
      <c r="HPL81" s="0"/>
      <c r="HPM81" s="0"/>
      <c r="HPN81" s="0"/>
      <c r="HPO81" s="0"/>
      <c r="HPP81" s="0"/>
      <c r="HPQ81" s="0"/>
      <c r="HPR81" s="0"/>
      <c r="HPS81" s="0"/>
      <c r="HPT81" s="0"/>
      <c r="HPU81" s="0"/>
      <c r="HPV81" s="0"/>
      <c r="HPW81" s="0"/>
      <c r="HPX81" s="0"/>
      <c r="HPY81" s="0"/>
      <c r="HPZ81" s="0"/>
      <c r="HQA81" s="0"/>
      <c r="HQB81" s="0"/>
      <c r="HQC81" s="0"/>
      <c r="HQD81" s="0"/>
      <c r="HQE81" s="0"/>
      <c r="HQF81" s="0"/>
      <c r="HQG81" s="0"/>
      <c r="HQH81" s="0"/>
      <c r="HQI81" s="0"/>
      <c r="HQJ81" s="0"/>
      <c r="HQK81" s="0"/>
      <c r="HQL81" s="0"/>
      <c r="HQM81" s="0"/>
      <c r="HQN81" s="0"/>
      <c r="HQO81" s="0"/>
      <c r="HQP81" s="0"/>
      <c r="HQQ81" s="0"/>
      <c r="HQR81" s="0"/>
      <c r="HQS81" s="0"/>
      <c r="HQT81" s="0"/>
      <c r="HQU81" s="0"/>
      <c r="HQV81" s="0"/>
      <c r="HQW81" s="0"/>
      <c r="HQX81" s="0"/>
      <c r="HQY81" s="0"/>
      <c r="HQZ81" s="0"/>
      <c r="HRA81" s="0"/>
      <c r="HRB81" s="0"/>
      <c r="HRC81" s="0"/>
      <c r="HRD81" s="0"/>
      <c r="HRE81" s="0"/>
      <c r="HRF81" s="0"/>
      <c r="HRG81" s="0"/>
      <c r="HRH81" s="0"/>
      <c r="HRI81" s="0"/>
      <c r="HRJ81" s="0"/>
      <c r="HRK81" s="0"/>
      <c r="HRL81" s="0"/>
      <c r="HRM81" s="0"/>
      <c r="HRN81" s="0"/>
      <c r="HRO81" s="0"/>
      <c r="HRP81" s="0"/>
      <c r="HRQ81" s="0"/>
      <c r="HRR81" s="0"/>
      <c r="HRS81" s="0"/>
      <c r="HRT81" s="0"/>
      <c r="HRU81" s="0"/>
      <c r="HRV81" s="0"/>
      <c r="HRW81" s="0"/>
      <c r="HRX81" s="0"/>
      <c r="HRY81" s="0"/>
      <c r="HRZ81" s="0"/>
      <c r="HSA81" s="0"/>
      <c r="HSB81" s="0"/>
      <c r="HSC81" s="0"/>
      <c r="HSD81" s="0"/>
      <c r="HSE81" s="0"/>
      <c r="HSF81" s="0"/>
      <c r="HSG81" s="0"/>
      <c r="HSH81" s="0"/>
      <c r="HSI81" s="0"/>
      <c r="HSJ81" s="0"/>
      <c r="HSK81" s="0"/>
      <c r="HSL81" s="0"/>
      <c r="HSM81" s="0"/>
      <c r="HSN81" s="0"/>
      <c r="HSO81" s="0"/>
      <c r="HSP81" s="0"/>
      <c r="HSQ81" s="0"/>
      <c r="HSR81" s="0"/>
      <c r="HSS81" s="0"/>
      <c r="HST81" s="0"/>
      <c r="HSU81" s="0"/>
      <c r="HSV81" s="0"/>
      <c r="HSW81" s="0"/>
      <c r="HSX81" s="0"/>
      <c r="HSY81" s="0"/>
      <c r="HSZ81" s="0"/>
      <c r="HTA81" s="0"/>
      <c r="HTB81" s="0"/>
      <c r="HTC81" s="0"/>
      <c r="HTD81" s="0"/>
      <c r="HTE81" s="0"/>
      <c r="HTF81" s="0"/>
      <c r="HTG81" s="0"/>
      <c r="HTH81" s="0"/>
      <c r="HTI81" s="0"/>
      <c r="HTJ81" s="0"/>
      <c r="HTK81" s="0"/>
      <c r="HTL81" s="0"/>
      <c r="HTM81" s="0"/>
      <c r="HTN81" s="0"/>
      <c r="HTO81" s="0"/>
      <c r="HTP81" s="0"/>
      <c r="HTQ81" s="0"/>
      <c r="HTR81" s="0"/>
      <c r="HTS81" s="0"/>
      <c r="HTT81" s="0"/>
      <c r="HTU81" s="0"/>
      <c r="HTV81" s="0"/>
      <c r="HTW81" s="0"/>
      <c r="HTX81" s="0"/>
      <c r="HTY81" s="0"/>
      <c r="HTZ81" s="0"/>
      <c r="HUA81" s="0"/>
      <c r="HUB81" s="0"/>
      <c r="HUC81" s="0"/>
      <c r="HUD81" s="0"/>
      <c r="HUE81" s="0"/>
      <c r="HUF81" s="0"/>
      <c r="HUG81" s="0"/>
      <c r="HUH81" s="0"/>
      <c r="HUI81" s="0"/>
      <c r="HUJ81" s="0"/>
      <c r="HUK81" s="0"/>
      <c r="HUL81" s="0"/>
      <c r="HUM81" s="0"/>
      <c r="HUN81" s="0"/>
      <c r="HUO81" s="0"/>
      <c r="HUP81" s="0"/>
      <c r="HUQ81" s="0"/>
      <c r="HUR81" s="0"/>
      <c r="HUS81" s="0"/>
      <c r="HUT81" s="0"/>
      <c r="HUU81" s="0"/>
      <c r="HUV81" s="0"/>
      <c r="HUW81" s="0"/>
      <c r="HUX81" s="0"/>
      <c r="HUY81" s="0"/>
      <c r="HUZ81" s="0"/>
      <c r="HVA81" s="0"/>
      <c r="HVB81" s="0"/>
      <c r="HVC81" s="0"/>
      <c r="HVD81" s="0"/>
      <c r="HVE81" s="0"/>
      <c r="HVF81" s="0"/>
      <c r="HVG81" s="0"/>
      <c r="HVH81" s="0"/>
      <c r="HVI81" s="0"/>
      <c r="HVJ81" s="0"/>
      <c r="HVK81" s="0"/>
      <c r="HVL81" s="0"/>
      <c r="HVM81" s="0"/>
      <c r="HVN81" s="0"/>
      <c r="HVO81" s="0"/>
      <c r="HVP81" s="0"/>
      <c r="HVQ81" s="0"/>
      <c r="HVR81" s="0"/>
      <c r="HVS81" s="0"/>
      <c r="HVT81" s="0"/>
      <c r="HVU81" s="0"/>
      <c r="HVV81" s="0"/>
      <c r="HVW81" s="0"/>
      <c r="HVX81" s="0"/>
      <c r="HVY81" s="0"/>
      <c r="HVZ81" s="0"/>
      <c r="HWA81" s="0"/>
      <c r="HWB81" s="0"/>
      <c r="HWC81" s="0"/>
      <c r="HWD81" s="0"/>
      <c r="HWE81" s="0"/>
      <c r="HWF81" s="0"/>
      <c r="HWG81" s="0"/>
      <c r="HWH81" s="0"/>
      <c r="HWI81" s="0"/>
      <c r="HWJ81" s="0"/>
      <c r="HWK81" s="0"/>
      <c r="HWL81" s="0"/>
      <c r="HWM81" s="0"/>
      <c r="HWN81" s="0"/>
      <c r="HWO81" s="0"/>
      <c r="HWP81" s="0"/>
      <c r="HWQ81" s="0"/>
      <c r="HWR81" s="0"/>
      <c r="HWS81" s="0"/>
      <c r="HWT81" s="0"/>
      <c r="HWU81" s="0"/>
      <c r="HWV81" s="0"/>
      <c r="HWW81" s="0"/>
      <c r="HWX81" s="0"/>
      <c r="HWY81" s="0"/>
      <c r="HWZ81" s="0"/>
      <c r="HXA81" s="0"/>
      <c r="HXB81" s="0"/>
      <c r="HXC81" s="0"/>
      <c r="HXD81" s="0"/>
      <c r="HXE81" s="0"/>
      <c r="HXF81" s="0"/>
      <c r="HXG81" s="0"/>
      <c r="HXH81" s="0"/>
      <c r="HXI81" s="0"/>
      <c r="HXJ81" s="0"/>
      <c r="HXK81" s="0"/>
      <c r="HXL81" s="0"/>
      <c r="HXM81" s="0"/>
      <c r="HXN81" s="0"/>
      <c r="HXO81" s="0"/>
      <c r="HXP81" s="0"/>
      <c r="HXQ81" s="0"/>
      <c r="HXR81" s="0"/>
      <c r="HXS81" s="0"/>
      <c r="HXT81" s="0"/>
      <c r="HXU81" s="0"/>
      <c r="HXV81" s="0"/>
      <c r="HXW81" s="0"/>
      <c r="HXX81" s="0"/>
      <c r="HXY81" s="0"/>
      <c r="HXZ81" s="0"/>
      <c r="HYA81" s="0"/>
      <c r="HYB81" s="0"/>
      <c r="HYC81" s="0"/>
      <c r="HYD81" s="0"/>
      <c r="HYE81" s="0"/>
      <c r="HYF81" s="0"/>
      <c r="HYG81" s="0"/>
      <c r="HYH81" s="0"/>
      <c r="HYI81" s="0"/>
      <c r="HYJ81" s="0"/>
      <c r="HYK81" s="0"/>
      <c r="HYL81" s="0"/>
      <c r="HYM81" s="0"/>
      <c r="HYN81" s="0"/>
      <c r="HYO81" s="0"/>
      <c r="HYP81" s="0"/>
      <c r="HYQ81" s="0"/>
      <c r="HYR81" s="0"/>
      <c r="HYS81" s="0"/>
      <c r="HYT81" s="0"/>
      <c r="HYU81" s="0"/>
      <c r="HYV81" s="0"/>
      <c r="HYW81" s="0"/>
      <c r="HYX81" s="0"/>
      <c r="HYY81" s="0"/>
      <c r="HYZ81" s="0"/>
      <c r="HZA81" s="0"/>
      <c r="HZB81" s="0"/>
      <c r="HZC81" s="0"/>
      <c r="HZD81" s="0"/>
      <c r="HZE81" s="0"/>
      <c r="HZF81" s="0"/>
      <c r="HZG81" s="0"/>
      <c r="HZH81" s="0"/>
      <c r="HZI81" s="0"/>
      <c r="HZJ81" s="0"/>
      <c r="HZK81" s="0"/>
      <c r="HZL81" s="0"/>
      <c r="HZM81" s="0"/>
      <c r="HZN81" s="0"/>
      <c r="HZO81" s="0"/>
      <c r="HZP81" s="0"/>
      <c r="HZQ81" s="0"/>
      <c r="HZR81" s="0"/>
      <c r="HZS81" s="0"/>
      <c r="HZT81" s="0"/>
      <c r="HZU81" s="0"/>
      <c r="HZV81" s="0"/>
      <c r="HZW81" s="0"/>
      <c r="HZX81" s="0"/>
      <c r="HZY81" s="0"/>
      <c r="HZZ81" s="0"/>
      <c r="IAA81" s="0"/>
      <c r="IAB81" s="0"/>
      <c r="IAC81" s="0"/>
      <c r="IAD81" s="0"/>
      <c r="IAE81" s="0"/>
      <c r="IAF81" s="0"/>
      <c r="IAG81" s="0"/>
      <c r="IAH81" s="0"/>
      <c r="IAI81" s="0"/>
      <c r="IAJ81" s="0"/>
      <c r="IAK81" s="0"/>
      <c r="IAL81" s="0"/>
      <c r="IAM81" s="0"/>
      <c r="IAN81" s="0"/>
      <c r="IAO81" s="0"/>
      <c r="IAP81" s="0"/>
      <c r="IAQ81" s="0"/>
      <c r="IAR81" s="0"/>
      <c r="IAS81" s="0"/>
      <c r="IAT81" s="0"/>
      <c r="IAU81" s="0"/>
      <c r="IAV81" s="0"/>
      <c r="IAW81" s="0"/>
      <c r="IAX81" s="0"/>
      <c r="IAY81" s="0"/>
      <c r="IAZ81" s="0"/>
      <c r="IBA81" s="0"/>
      <c r="IBB81" s="0"/>
      <c r="IBC81" s="0"/>
      <c r="IBD81" s="0"/>
      <c r="IBE81" s="0"/>
      <c r="IBF81" s="0"/>
      <c r="IBG81" s="0"/>
      <c r="IBH81" s="0"/>
      <c r="IBI81" s="0"/>
      <c r="IBJ81" s="0"/>
      <c r="IBK81" s="0"/>
      <c r="IBL81" s="0"/>
      <c r="IBM81" s="0"/>
      <c r="IBN81" s="0"/>
      <c r="IBO81" s="0"/>
      <c r="IBP81" s="0"/>
      <c r="IBQ81" s="0"/>
      <c r="IBR81" s="0"/>
      <c r="IBS81" s="0"/>
      <c r="IBT81" s="0"/>
      <c r="IBU81" s="0"/>
      <c r="IBV81" s="0"/>
      <c r="IBW81" s="0"/>
      <c r="IBX81" s="0"/>
      <c r="IBY81" s="0"/>
      <c r="IBZ81" s="0"/>
      <c r="ICA81" s="0"/>
      <c r="ICB81" s="0"/>
      <c r="ICC81" s="0"/>
      <c r="ICD81" s="0"/>
      <c r="ICE81" s="0"/>
      <c r="ICF81" s="0"/>
      <c r="ICG81" s="0"/>
      <c r="ICH81" s="0"/>
      <c r="ICI81" s="0"/>
      <c r="ICJ81" s="0"/>
      <c r="ICK81" s="0"/>
      <c r="ICL81" s="0"/>
      <c r="ICM81" s="0"/>
      <c r="ICN81" s="0"/>
      <c r="ICO81" s="0"/>
      <c r="ICP81" s="0"/>
      <c r="ICQ81" s="0"/>
      <c r="ICR81" s="0"/>
      <c r="ICS81" s="0"/>
      <c r="ICT81" s="0"/>
      <c r="ICU81" s="0"/>
      <c r="ICV81" s="0"/>
      <c r="ICW81" s="0"/>
      <c r="ICX81" s="0"/>
      <c r="ICY81" s="0"/>
      <c r="ICZ81" s="0"/>
      <c r="IDA81" s="0"/>
      <c r="IDB81" s="0"/>
      <c r="IDC81" s="0"/>
      <c r="IDD81" s="0"/>
      <c r="IDE81" s="0"/>
      <c r="IDF81" s="0"/>
      <c r="IDG81" s="0"/>
      <c r="IDH81" s="0"/>
      <c r="IDI81" s="0"/>
      <c r="IDJ81" s="0"/>
      <c r="IDK81" s="0"/>
      <c r="IDL81" s="0"/>
      <c r="IDM81" s="0"/>
      <c r="IDN81" s="0"/>
      <c r="IDO81" s="0"/>
      <c r="IDP81" s="0"/>
      <c r="IDQ81" s="0"/>
      <c r="IDR81" s="0"/>
      <c r="IDS81" s="0"/>
      <c r="IDT81" s="0"/>
      <c r="IDU81" s="0"/>
      <c r="IDV81" s="0"/>
      <c r="IDW81" s="0"/>
      <c r="IDX81" s="0"/>
      <c r="IDY81" s="0"/>
      <c r="IDZ81" s="0"/>
      <c r="IEA81" s="0"/>
      <c r="IEB81" s="0"/>
      <c r="IEC81" s="0"/>
      <c r="IED81" s="0"/>
      <c r="IEE81" s="0"/>
      <c r="IEF81" s="0"/>
      <c r="IEG81" s="0"/>
      <c r="IEH81" s="0"/>
      <c r="IEI81" s="0"/>
      <c r="IEJ81" s="0"/>
      <c r="IEK81" s="0"/>
      <c r="IEL81" s="0"/>
      <c r="IEM81" s="0"/>
      <c r="IEN81" s="0"/>
      <c r="IEO81" s="0"/>
      <c r="IEP81" s="0"/>
      <c r="IEQ81" s="0"/>
      <c r="IER81" s="0"/>
      <c r="IES81" s="0"/>
      <c r="IET81" s="0"/>
      <c r="IEU81" s="0"/>
      <c r="IEV81" s="0"/>
      <c r="IEW81" s="0"/>
      <c r="IEX81" s="0"/>
      <c r="IEY81" s="0"/>
      <c r="IEZ81" s="0"/>
      <c r="IFA81" s="0"/>
      <c r="IFB81" s="0"/>
      <c r="IFC81" s="0"/>
      <c r="IFD81" s="0"/>
      <c r="IFE81" s="0"/>
      <c r="IFF81" s="0"/>
      <c r="IFG81" s="0"/>
      <c r="IFH81" s="0"/>
      <c r="IFI81" s="0"/>
      <c r="IFJ81" s="0"/>
      <c r="IFK81" s="0"/>
      <c r="IFL81" s="0"/>
      <c r="IFM81" s="0"/>
      <c r="IFN81" s="0"/>
      <c r="IFO81" s="0"/>
      <c r="IFP81" s="0"/>
      <c r="IFQ81" s="0"/>
      <c r="IFR81" s="0"/>
      <c r="IFS81" s="0"/>
      <c r="IFT81" s="0"/>
      <c r="IFU81" s="0"/>
      <c r="IFV81" s="0"/>
      <c r="IFW81" s="0"/>
      <c r="IFX81" s="0"/>
      <c r="IFY81" s="0"/>
      <c r="IFZ81" s="0"/>
      <c r="IGA81" s="0"/>
      <c r="IGB81" s="0"/>
      <c r="IGC81" s="0"/>
      <c r="IGD81" s="0"/>
      <c r="IGE81" s="0"/>
      <c r="IGF81" s="0"/>
      <c r="IGG81" s="0"/>
      <c r="IGH81" s="0"/>
      <c r="IGI81" s="0"/>
      <c r="IGJ81" s="0"/>
      <c r="IGK81" s="0"/>
      <c r="IGL81" s="0"/>
      <c r="IGM81" s="0"/>
      <c r="IGN81" s="0"/>
      <c r="IGO81" s="0"/>
      <c r="IGP81" s="0"/>
      <c r="IGQ81" s="0"/>
      <c r="IGR81" s="0"/>
      <c r="IGS81" s="0"/>
      <c r="IGT81" s="0"/>
      <c r="IGU81" s="0"/>
      <c r="IGV81" s="0"/>
      <c r="IGW81" s="0"/>
      <c r="IGX81" s="0"/>
      <c r="IGY81" s="0"/>
      <c r="IGZ81" s="0"/>
      <c r="IHA81" s="0"/>
      <c r="IHB81" s="0"/>
      <c r="IHC81" s="0"/>
      <c r="IHD81" s="0"/>
      <c r="IHE81" s="0"/>
      <c r="IHF81" s="0"/>
      <c r="IHG81" s="0"/>
      <c r="IHH81" s="0"/>
      <c r="IHI81" s="0"/>
      <c r="IHJ81" s="0"/>
      <c r="IHK81" s="0"/>
      <c r="IHL81" s="0"/>
      <c r="IHM81" s="0"/>
      <c r="IHN81" s="0"/>
      <c r="IHO81" s="0"/>
      <c r="IHP81" s="0"/>
      <c r="IHQ81" s="0"/>
      <c r="IHR81" s="0"/>
      <c r="IHS81" s="0"/>
      <c r="IHT81" s="0"/>
      <c r="IHU81" s="0"/>
      <c r="IHV81" s="0"/>
      <c r="IHW81" s="0"/>
      <c r="IHX81" s="0"/>
      <c r="IHY81" s="0"/>
      <c r="IHZ81" s="0"/>
      <c r="IIA81" s="0"/>
      <c r="IIB81" s="0"/>
      <c r="IIC81" s="0"/>
      <c r="IID81" s="0"/>
      <c r="IIE81" s="0"/>
      <c r="IIF81" s="0"/>
      <c r="IIG81" s="0"/>
      <c r="IIH81" s="0"/>
      <c r="III81" s="0"/>
      <c r="IIJ81" s="0"/>
      <c r="IIK81" s="0"/>
      <c r="IIL81" s="0"/>
      <c r="IIM81" s="0"/>
      <c r="IIN81" s="0"/>
      <c r="IIO81" s="0"/>
      <c r="IIP81" s="0"/>
      <c r="IIQ81" s="0"/>
      <c r="IIR81" s="0"/>
      <c r="IIS81" s="0"/>
      <c r="IIT81" s="0"/>
      <c r="IIU81" s="0"/>
      <c r="IIV81" s="0"/>
      <c r="IIW81" s="0"/>
      <c r="IIX81" s="0"/>
      <c r="IIY81" s="0"/>
      <c r="IIZ81" s="0"/>
      <c r="IJA81" s="0"/>
      <c r="IJB81" s="0"/>
      <c r="IJC81" s="0"/>
      <c r="IJD81" s="0"/>
      <c r="IJE81" s="0"/>
      <c r="IJF81" s="0"/>
      <c r="IJG81" s="0"/>
      <c r="IJH81" s="0"/>
      <c r="IJI81" s="0"/>
      <c r="IJJ81" s="0"/>
      <c r="IJK81" s="0"/>
      <c r="IJL81" s="0"/>
      <c r="IJM81" s="0"/>
      <c r="IJN81" s="0"/>
      <c r="IJO81" s="0"/>
      <c r="IJP81" s="0"/>
      <c r="IJQ81" s="0"/>
      <c r="IJR81" s="0"/>
      <c r="IJS81" s="0"/>
      <c r="IJT81" s="0"/>
      <c r="IJU81" s="0"/>
      <c r="IJV81" s="0"/>
      <c r="IJW81" s="0"/>
      <c r="IJX81" s="0"/>
      <c r="IJY81" s="0"/>
      <c r="IJZ81" s="0"/>
      <c r="IKA81" s="0"/>
      <c r="IKB81" s="0"/>
      <c r="IKC81" s="0"/>
      <c r="IKD81" s="0"/>
      <c r="IKE81" s="0"/>
      <c r="IKF81" s="0"/>
      <c r="IKG81" s="0"/>
      <c r="IKH81" s="0"/>
      <c r="IKI81" s="0"/>
      <c r="IKJ81" s="0"/>
      <c r="IKK81" s="0"/>
      <c r="IKL81" s="0"/>
      <c r="IKM81" s="0"/>
      <c r="IKN81" s="0"/>
      <c r="IKO81" s="0"/>
      <c r="IKP81" s="0"/>
      <c r="IKQ81" s="0"/>
      <c r="IKR81" s="0"/>
      <c r="IKS81" s="0"/>
      <c r="IKT81" s="0"/>
      <c r="IKU81" s="0"/>
      <c r="IKV81" s="0"/>
      <c r="IKW81" s="0"/>
      <c r="IKX81" s="0"/>
      <c r="IKY81" s="0"/>
      <c r="IKZ81" s="0"/>
      <c r="ILA81" s="0"/>
      <c r="ILB81" s="0"/>
      <c r="ILC81" s="0"/>
      <c r="ILD81" s="0"/>
      <c r="ILE81" s="0"/>
      <c r="ILF81" s="0"/>
      <c r="ILG81" s="0"/>
      <c r="ILH81" s="0"/>
      <c r="ILI81" s="0"/>
      <c r="ILJ81" s="0"/>
      <c r="ILK81" s="0"/>
      <c r="ILL81" s="0"/>
      <c r="ILM81" s="0"/>
      <c r="ILN81" s="0"/>
      <c r="ILO81" s="0"/>
      <c r="ILP81" s="0"/>
      <c r="ILQ81" s="0"/>
      <c r="ILR81" s="0"/>
      <c r="ILS81" s="0"/>
      <c r="ILT81" s="0"/>
      <c r="ILU81" s="0"/>
      <c r="ILV81" s="0"/>
      <c r="ILW81" s="0"/>
      <c r="ILX81" s="0"/>
      <c r="ILY81" s="0"/>
      <c r="ILZ81" s="0"/>
      <c r="IMA81" s="0"/>
      <c r="IMB81" s="0"/>
      <c r="IMC81" s="0"/>
      <c r="IMD81" s="0"/>
      <c r="IME81" s="0"/>
      <c r="IMF81" s="0"/>
      <c r="IMG81" s="0"/>
      <c r="IMH81" s="0"/>
      <c r="IMI81" s="0"/>
      <c r="IMJ81" s="0"/>
      <c r="IMK81" s="0"/>
      <c r="IML81" s="0"/>
      <c r="IMM81" s="0"/>
      <c r="IMN81" s="0"/>
      <c r="IMO81" s="0"/>
      <c r="IMP81" s="0"/>
      <c r="IMQ81" s="0"/>
      <c r="IMR81" s="0"/>
      <c r="IMS81" s="0"/>
      <c r="IMT81" s="0"/>
      <c r="IMU81" s="0"/>
      <c r="IMV81" s="0"/>
      <c r="IMW81" s="0"/>
      <c r="IMX81" s="0"/>
      <c r="IMY81" s="0"/>
      <c r="IMZ81" s="0"/>
      <c r="INA81" s="0"/>
      <c r="INB81" s="0"/>
      <c r="INC81" s="0"/>
      <c r="IND81" s="0"/>
      <c r="INE81" s="0"/>
      <c r="INF81" s="0"/>
      <c r="ING81" s="0"/>
      <c r="INH81" s="0"/>
      <c r="INI81" s="0"/>
      <c r="INJ81" s="0"/>
      <c r="INK81" s="0"/>
      <c r="INL81" s="0"/>
      <c r="INM81" s="0"/>
      <c r="INN81" s="0"/>
      <c r="INO81" s="0"/>
      <c r="INP81" s="0"/>
      <c r="INQ81" s="0"/>
      <c r="INR81" s="0"/>
      <c r="INS81" s="0"/>
      <c r="INT81" s="0"/>
      <c r="INU81" s="0"/>
      <c r="INV81" s="0"/>
      <c r="INW81" s="0"/>
      <c r="INX81" s="0"/>
      <c r="INY81" s="0"/>
      <c r="INZ81" s="0"/>
      <c r="IOA81" s="0"/>
      <c r="IOB81" s="0"/>
      <c r="IOC81" s="0"/>
      <c r="IOD81" s="0"/>
      <c r="IOE81" s="0"/>
      <c r="IOF81" s="0"/>
      <c r="IOG81" s="0"/>
      <c r="IOH81" s="0"/>
      <c r="IOI81" s="0"/>
      <c r="IOJ81" s="0"/>
      <c r="IOK81" s="0"/>
      <c r="IOL81" s="0"/>
      <c r="IOM81" s="0"/>
      <c r="ION81" s="0"/>
      <c r="IOO81" s="0"/>
      <c r="IOP81" s="0"/>
      <c r="IOQ81" s="0"/>
      <c r="IOR81" s="0"/>
      <c r="IOS81" s="0"/>
      <c r="IOT81" s="0"/>
      <c r="IOU81" s="0"/>
      <c r="IOV81" s="0"/>
      <c r="IOW81" s="0"/>
      <c r="IOX81" s="0"/>
      <c r="IOY81" s="0"/>
      <c r="IOZ81" s="0"/>
      <c r="IPA81" s="0"/>
      <c r="IPB81" s="0"/>
      <c r="IPC81" s="0"/>
      <c r="IPD81" s="0"/>
      <c r="IPE81" s="0"/>
      <c r="IPF81" s="0"/>
      <c r="IPG81" s="0"/>
      <c r="IPH81" s="0"/>
      <c r="IPI81" s="0"/>
      <c r="IPJ81" s="0"/>
      <c r="IPK81" s="0"/>
      <c r="IPL81" s="0"/>
      <c r="IPM81" s="0"/>
      <c r="IPN81" s="0"/>
      <c r="IPO81" s="0"/>
      <c r="IPP81" s="0"/>
      <c r="IPQ81" s="0"/>
      <c r="IPR81" s="0"/>
      <c r="IPS81" s="0"/>
      <c r="IPT81" s="0"/>
      <c r="IPU81" s="0"/>
      <c r="IPV81" s="0"/>
      <c r="IPW81" s="0"/>
      <c r="IPX81" s="0"/>
      <c r="IPY81" s="0"/>
      <c r="IPZ81" s="0"/>
      <c r="IQA81" s="0"/>
      <c r="IQB81" s="0"/>
      <c r="IQC81" s="0"/>
      <c r="IQD81" s="0"/>
      <c r="IQE81" s="0"/>
      <c r="IQF81" s="0"/>
      <c r="IQG81" s="0"/>
      <c r="IQH81" s="0"/>
      <c r="IQI81" s="0"/>
      <c r="IQJ81" s="0"/>
      <c r="IQK81" s="0"/>
      <c r="IQL81" s="0"/>
      <c r="IQM81" s="0"/>
      <c r="IQN81" s="0"/>
      <c r="IQO81" s="0"/>
      <c r="IQP81" s="0"/>
      <c r="IQQ81" s="0"/>
      <c r="IQR81" s="0"/>
      <c r="IQS81" s="0"/>
      <c r="IQT81" s="0"/>
      <c r="IQU81" s="0"/>
      <c r="IQV81" s="0"/>
      <c r="IQW81" s="0"/>
      <c r="IQX81" s="0"/>
      <c r="IQY81" s="0"/>
      <c r="IQZ81" s="0"/>
      <c r="IRA81" s="0"/>
      <c r="IRB81" s="0"/>
      <c r="IRC81" s="0"/>
      <c r="IRD81" s="0"/>
      <c r="IRE81" s="0"/>
      <c r="IRF81" s="0"/>
      <c r="IRG81" s="0"/>
      <c r="IRH81" s="0"/>
      <c r="IRI81" s="0"/>
      <c r="IRJ81" s="0"/>
      <c r="IRK81" s="0"/>
      <c r="IRL81" s="0"/>
      <c r="IRM81" s="0"/>
      <c r="IRN81" s="0"/>
      <c r="IRO81" s="0"/>
      <c r="IRP81" s="0"/>
      <c r="IRQ81" s="0"/>
      <c r="IRR81" s="0"/>
      <c r="IRS81" s="0"/>
      <c r="IRT81" s="0"/>
      <c r="IRU81" s="0"/>
      <c r="IRV81" s="0"/>
      <c r="IRW81" s="0"/>
      <c r="IRX81" s="0"/>
      <c r="IRY81" s="0"/>
      <c r="IRZ81" s="0"/>
      <c r="ISA81" s="0"/>
      <c r="ISB81" s="0"/>
      <c r="ISC81" s="0"/>
      <c r="ISD81" s="0"/>
      <c r="ISE81" s="0"/>
      <c r="ISF81" s="0"/>
      <c r="ISG81" s="0"/>
      <c r="ISH81" s="0"/>
      <c r="ISI81" s="0"/>
      <c r="ISJ81" s="0"/>
      <c r="ISK81" s="0"/>
      <c r="ISL81" s="0"/>
      <c r="ISM81" s="0"/>
      <c r="ISN81" s="0"/>
      <c r="ISO81" s="0"/>
      <c r="ISP81" s="0"/>
      <c r="ISQ81" s="0"/>
      <c r="ISR81" s="0"/>
      <c r="ISS81" s="0"/>
      <c r="IST81" s="0"/>
      <c r="ISU81" s="0"/>
      <c r="ISV81" s="0"/>
      <c r="ISW81" s="0"/>
      <c r="ISX81" s="0"/>
      <c r="ISY81" s="0"/>
      <c r="ISZ81" s="0"/>
      <c r="ITA81" s="0"/>
      <c r="ITB81" s="0"/>
      <c r="ITC81" s="0"/>
      <c r="ITD81" s="0"/>
      <c r="ITE81" s="0"/>
      <c r="ITF81" s="0"/>
      <c r="ITG81" s="0"/>
      <c r="ITH81" s="0"/>
      <c r="ITI81" s="0"/>
      <c r="ITJ81" s="0"/>
      <c r="ITK81" s="0"/>
      <c r="ITL81" s="0"/>
      <c r="ITM81" s="0"/>
      <c r="ITN81" s="0"/>
      <c r="ITO81" s="0"/>
      <c r="ITP81" s="0"/>
      <c r="ITQ81" s="0"/>
      <c r="ITR81" s="0"/>
      <c r="ITS81" s="0"/>
      <c r="ITT81" s="0"/>
      <c r="ITU81" s="0"/>
      <c r="ITV81" s="0"/>
      <c r="ITW81" s="0"/>
      <c r="ITX81" s="0"/>
      <c r="ITY81" s="0"/>
      <c r="ITZ81" s="0"/>
      <c r="IUA81" s="0"/>
      <c r="IUB81" s="0"/>
      <c r="IUC81" s="0"/>
      <c r="IUD81" s="0"/>
      <c r="IUE81" s="0"/>
      <c r="IUF81" s="0"/>
      <c r="IUG81" s="0"/>
      <c r="IUH81" s="0"/>
      <c r="IUI81" s="0"/>
      <c r="IUJ81" s="0"/>
      <c r="IUK81" s="0"/>
      <c r="IUL81" s="0"/>
      <c r="IUM81" s="0"/>
      <c r="IUN81" s="0"/>
      <c r="IUO81" s="0"/>
      <c r="IUP81" s="0"/>
      <c r="IUQ81" s="0"/>
      <c r="IUR81" s="0"/>
      <c r="IUS81" s="0"/>
      <c r="IUT81" s="0"/>
      <c r="IUU81" s="0"/>
      <c r="IUV81" s="0"/>
      <c r="IUW81" s="0"/>
      <c r="IUX81" s="0"/>
      <c r="IUY81" s="0"/>
      <c r="IUZ81" s="0"/>
      <c r="IVA81" s="0"/>
      <c r="IVB81" s="0"/>
      <c r="IVC81" s="0"/>
      <c r="IVD81" s="0"/>
      <c r="IVE81" s="0"/>
      <c r="IVF81" s="0"/>
      <c r="IVG81" s="0"/>
      <c r="IVH81" s="0"/>
      <c r="IVI81" s="0"/>
      <c r="IVJ81" s="0"/>
      <c r="IVK81" s="0"/>
      <c r="IVL81" s="0"/>
      <c r="IVM81" s="0"/>
      <c r="IVN81" s="0"/>
      <c r="IVO81" s="0"/>
      <c r="IVP81" s="0"/>
      <c r="IVQ81" s="0"/>
      <c r="IVR81" s="0"/>
      <c r="IVS81" s="0"/>
      <c r="IVT81" s="0"/>
      <c r="IVU81" s="0"/>
      <c r="IVV81" s="0"/>
      <c r="IVW81" s="0"/>
      <c r="IVX81" s="0"/>
      <c r="IVY81" s="0"/>
      <c r="IVZ81" s="0"/>
      <c r="IWA81" s="0"/>
      <c r="IWB81" s="0"/>
      <c r="IWC81" s="0"/>
      <c r="IWD81" s="0"/>
      <c r="IWE81" s="0"/>
      <c r="IWF81" s="0"/>
      <c r="IWG81" s="0"/>
      <c r="IWH81" s="0"/>
      <c r="IWI81" s="0"/>
      <c r="IWJ81" s="0"/>
      <c r="IWK81" s="0"/>
      <c r="IWL81" s="0"/>
      <c r="IWM81" s="0"/>
      <c r="IWN81" s="0"/>
      <c r="IWO81" s="0"/>
      <c r="IWP81" s="0"/>
      <c r="IWQ81" s="0"/>
      <c r="IWR81" s="0"/>
      <c r="IWS81" s="0"/>
      <c r="IWT81" s="0"/>
      <c r="IWU81" s="0"/>
      <c r="IWV81" s="0"/>
      <c r="IWW81" s="0"/>
      <c r="IWX81" s="0"/>
      <c r="IWY81" s="0"/>
      <c r="IWZ81" s="0"/>
      <c r="IXA81" s="0"/>
      <c r="IXB81" s="0"/>
      <c r="IXC81" s="0"/>
      <c r="IXD81" s="0"/>
      <c r="IXE81" s="0"/>
      <c r="IXF81" s="0"/>
      <c r="IXG81" s="0"/>
      <c r="IXH81" s="0"/>
      <c r="IXI81" s="0"/>
      <c r="IXJ81" s="0"/>
      <c r="IXK81" s="0"/>
      <c r="IXL81" s="0"/>
      <c r="IXM81" s="0"/>
      <c r="IXN81" s="0"/>
      <c r="IXO81" s="0"/>
      <c r="IXP81" s="0"/>
      <c r="IXQ81" s="0"/>
      <c r="IXR81" s="0"/>
      <c r="IXS81" s="0"/>
      <c r="IXT81" s="0"/>
      <c r="IXU81" s="0"/>
      <c r="IXV81" s="0"/>
      <c r="IXW81" s="0"/>
      <c r="IXX81" s="0"/>
      <c r="IXY81" s="0"/>
      <c r="IXZ81" s="0"/>
      <c r="IYA81" s="0"/>
      <c r="IYB81" s="0"/>
      <c r="IYC81" s="0"/>
      <c r="IYD81" s="0"/>
      <c r="IYE81" s="0"/>
      <c r="IYF81" s="0"/>
      <c r="IYG81" s="0"/>
      <c r="IYH81" s="0"/>
      <c r="IYI81" s="0"/>
      <c r="IYJ81" s="0"/>
      <c r="IYK81" s="0"/>
      <c r="IYL81" s="0"/>
      <c r="IYM81" s="0"/>
      <c r="IYN81" s="0"/>
      <c r="IYO81" s="0"/>
      <c r="IYP81" s="0"/>
      <c r="IYQ81" s="0"/>
      <c r="IYR81" s="0"/>
      <c r="IYS81" s="0"/>
      <c r="IYT81" s="0"/>
      <c r="IYU81" s="0"/>
      <c r="IYV81" s="0"/>
      <c r="IYW81" s="0"/>
      <c r="IYX81" s="0"/>
      <c r="IYY81" s="0"/>
      <c r="IYZ81" s="0"/>
      <c r="IZA81" s="0"/>
      <c r="IZB81" s="0"/>
      <c r="IZC81" s="0"/>
      <c r="IZD81" s="0"/>
      <c r="IZE81" s="0"/>
      <c r="IZF81" s="0"/>
      <c r="IZG81" s="0"/>
      <c r="IZH81" s="0"/>
      <c r="IZI81" s="0"/>
      <c r="IZJ81" s="0"/>
      <c r="IZK81" s="0"/>
      <c r="IZL81" s="0"/>
      <c r="IZM81" s="0"/>
      <c r="IZN81" s="0"/>
      <c r="IZO81" s="0"/>
      <c r="IZP81" s="0"/>
      <c r="IZQ81" s="0"/>
      <c r="IZR81" s="0"/>
      <c r="IZS81" s="0"/>
      <c r="IZT81" s="0"/>
      <c r="IZU81" s="0"/>
      <c r="IZV81" s="0"/>
      <c r="IZW81" s="0"/>
      <c r="IZX81" s="0"/>
      <c r="IZY81" s="0"/>
      <c r="IZZ81" s="0"/>
      <c r="JAA81" s="0"/>
      <c r="JAB81" s="0"/>
      <c r="JAC81" s="0"/>
      <c r="JAD81" s="0"/>
      <c r="JAE81" s="0"/>
      <c r="JAF81" s="0"/>
      <c r="JAG81" s="0"/>
      <c r="JAH81" s="0"/>
      <c r="JAI81" s="0"/>
      <c r="JAJ81" s="0"/>
      <c r="JAK81" s="0"/>
      <c r="JAL81" s="0"/>
      <c r="JAM81" s="0"/>
      <c r="JAN81" s="0"/>
      <c r="JAO81" s="0"/>
      <c r="JAP81" s="0"/>
      <c r="JAQ81" s="0"/>
      <c r="JAR81" s="0"/>
      <c r="JAS81" s="0"/>
      <c r="JAT81" s="0"/>
      <c r="JAU81" s="0"/>
      <c r="JAV81" s="0"/>
      <c r="JAW81" s="0"/>
      <c r="JAX81" s="0"/>
      <c r="JAY81" s="0"/>
      <c r="JAZ81" s="0"/>
      <c r="JBA81" s="0"/>
      <c r="JBB81" s="0"/>
      <c r="JBC81" s="0"/>
      <c r="JBD81" s="0"/>
      <c r="JBE81" s="0"/>
      <c r="JBF81" s="0"/>
      <c r="JBG81" s="0"/>
      <c r="JBH81" s="0"/>
      <c r="JBI81" s="0"/>
      <c r="JBJ81" s="0"/>
      <c r="JBK81" s="0"/>
      <c r="JBL81" s="0"/>
      <c r="JBM81" s="0"/>
      <c r="JBN81" s="0"/>
      <c r="JBO81" s="0"/>
      <c r="JBP81" s="0"/>
      <c r="JBQ81" s="0"/>
      <c r="JBR81" s="0"/>
      <c r="JBS81" s="0"/>
      <c r="JBT81" s="0"/>
      <c r="JBU81" s="0"/>
      <c r="JBV81" s="0"/>
      <c r="JBW81" s="0"/>
      <c r="JBX81" s="0"/>
      <c r="JBY81" s="0"/>
      <c r="JBZ81" s="0"/>
      <c r="JCA81" s="0"/>
      <c r="JCB81" s="0"/>
      <c r="JCC81" s="0"/>
      <c r="JCD81" s="0"/>
      <c r="JCE81" s="0"/>
      <c r="JCF81" s="0"/>
      <c r="JCG81" s="0"/>
      <c r="JCH81" s="0"/>
      <c r="JCI81" s="0"/>
      <c r="JCJ81" s="0"/>
      <c r="JCK81" s="0"/>
      <c r="JCL81" s="0"/>
      <c r="JCM81" s="0"/>
      <c r="JCN81" s="0"/>
      <c r="JCO81" s="0"/>
      <c r="JCP81" s="0"/>
      <c r="JCQ81" s="0"/>
      <c r="JCR81" s="0"/>
      <c r="JCS81" s="0"/>
      <c r="JCT81" s="0"/>
      <c r="JCU81" s="0"/>
      <c r="JCV81" s="0"/>
      <c r="JCW81" s="0"/>
      <c r="JCX81" s="0"/>
      <c r="JCY81" s="0"/>
      <c r="JCZ81" s="0"/>
      <c r="JDA81" s="0"/>
      <c r="JDB81" s="0"/>
      <c r="JDC81" s="0"/>
      <c r="JDD81" s="0"/>
      <c r="JDE81" s="0"/>
      <c r="JDF81" s="0"/>
      <c r="JDG81" s="0"/>
      <c r="JDH81" s="0"/>
      <c r="JDI81" s="0"/>
      <c r="JDJ81" s="0"/>
      <c r="JDK81" s="0"/>
      <c r="JDL81" s="0"/>
      <c r="JDM81" s="0"/>
      <c r="JDN81" s="0"/>
      <c r="JDO81" s="0"/>
      <c r="JDP81" s="0"/>
      <c r="JDQ81" s="0"/>
      <c r="JDR81" s="0"/>
      <c r="JDS81" s="0"/>
      <c r="JDT81" s="0"/>
      <c r="JDU81" s="0"/>
      <c r="JDV81" s="0"/>
      <c r="JDW81" s="0"/>
      <c r="JDX81" s="0"/>
      <c r="JDY81" s="0"/>
      <c r="JDZ81" s="0"/>
      <c r="JEA81" s="0"/>
      <c r="JEB81" s="0"/>
      <c r="JEC81" s="0"/>
      <c r="JED81" s="0"/>
      <c r="JEE81" s="0"/>
      <c r="JEF81" s="0"/>
      <c r="JEG81" s="0"/>
      <c r="JEH81" s="0"/>
      <c r="JEI81" s="0"/>
      <c r="JEJ81" s="0"/>
      <c r="JEK81" s="0"/>
      <c r="JEL81" s="0"/>
      <c r="JEM81" s="0"/>
      <c r="JEN81" s="0"/>
      <c r="JEO81" s="0"/>
      <c r="JEP81" s="0"/>
      <c r="JEQ81" s="0"/>
      <c r="JER81" s="0"/>
      <c r="JES81" s="0"/>
      <c r="JET81" s="0"/>
      <c r="JEU81" s="0"/>
      <c r="JEV81" s="0"/>
      <c r="JEW81" s="0"/>
      <c r="JEX81" s="0"/>
      <c r="JEY81" s="0"/>
      <c r="JEZ81" s="0"/>
      <c r="JFA81" s="0"/>
      <c r="JFB81" s="0"/>
      <c r="JFC81" s="0"/>
      <c r="JFD81" s="0"/>
      <c r="JFE81" s="0"/>
      <c r="JFF81" s="0"/>
      <c r="JFG81" s="0"/>
      <c r="JFH81" s="0"/>
      <c r="JFI81" s="0"/>
      <c r="JFJ81" s="0"/>
      <c r="JFK81" s="0"/>
      <c r="JFL81" s="0"/>
      <c r="JFM81" s="0"/>
      <c r="JFN81" s="0"/>
      <c r="JFO81" s="0"/>
      <c r="JFP81" s="0"/>
      <c r="JFQ81" s="0"/>
      <c r="JFR81" s="0"/>
      <c r="JFS81" s="0"/>
      <c r="JFT81" s="0"/>
      <c r="JFU81" s="0"/>
      <c r="JFV81" s="0"/>
      <c r="JFW81" s="0"/>
      <c r="JFX81" s="0"/>
      <c r="JFY81" s="0"/>
      <c r="JFZ81" s="0"/>
      <c r="JGA81" s="0"/>
      <c r="JGB81" s="0"/>
      <c r="JGC81" s="0"/>
      <c r="JGD81" s="0"/>
      <c r="JGE81" s="0"/>
      <c r="JGF81" s="0"/>
      <c r="JGG81" s="0"/>
      <c r="JGH81" s="0"/>
      <c r="JGI81" s="0"/>
      <c r="JGJ81" s="0"/>
      <c r="JGK81" s="0"/>
      <c r="JGL81" s="0"/>
      <c r="JGM81" s="0"/>
      <c r="JGN81" s="0"/>
      <c r="JGO81" s="0"/>
      <c r="JGP81" s="0"/>
      <c r="JGQ81" s="0"/>
      <c r="JGR81" s="0"/>
      <c r="JGS81" s="0"/>
      <c r="JGT81" s="0"/>
      <c r="JGU81" s="0"/>
      <c r="JGV81" s="0"/>
      <c r="JGW81" s="0"/>
      <c r="JGX81" s="0"/>
      <c r="JGY81" s="0"/>
      <c r="JGZ81" s="0"/>
      <c r="JHA81" s="0"/>
      <c r="JHB81" s="0"/>
      <c r="JHC81" s="0"/>
      <c r="JHD81" s="0"/>
      <c r="JHE81" s="0"/>
      <c r="JHF81" s="0"/>
      <c r="JHG81" s="0"/>
      <c r="JHH81" s="0"/>
      <c r="JHI81" s="0"/>
      <c r="JHJ81" s="0"/>
      <c r="JHK81" s="0"/>
      <c r="JHL81" s="0"/>
      <c r="JHM81" s="0"/>
      <c r="JHN81" s="0"/>
      <c r="JHO81" s="0"/>
      <c r="JHP81" s="0"/>
      <c r="JHQ81" s="0"/>
      <c r="JHR81" s="0"/>
      <c r="JHS81" s="0"/>
      <c r="JHT81" s="0"/>
      <c r="JHU81" s="0"/>
      <c r="JHV81" s="0"/>
      <c r="JHW81" s="0"/>
      <c r="JHX81" s="0"/>
      <c r="JHY81" s="0"/>
      <c r="JHZ81" s="0"/>
      <c r="JIA81" s="0"/>
      <c r="JIB81" s="0"/>
      <c r="JIC81" s="0"/>
      <c r="JID81" s="0"/>
      <c r="JIE81" s="0"/>
      <c r="JIF81" s="0"/>
      <c r="JIG81" s="0"/>
      <c r="JIH81" s="0"/>
      <c r="JII81" s="0"/>
      <c r="JIJ81" s="0"/>
      <c r="JIK81" s="0"/>
      <c r="JIL81" s="0"/>
      <c r="JIM81" s="0"/>
      <c r="JIN81" s="0"/>
      <c r="JIO81" s="0"/>
      <c r="JIP81" s="0"/>
      <c r="JIQ81" s="0"/>
      <c r="JIR81" s="0"/>
      <c r="JIS81" s="0"/>
      <c r="JIT81" s="0"/>
      <c r="JIU81" s="0"/>
      <c r="JIV81" s="0"/>
      <c r="JIW81" s="0"/>
      <c r="JIX81" s="0"/>
      <c r="JIY81" s="0"/>
      <c r="JIZ81" s="0"/>
      <c r="JJA81" s="0"/>
      <c r="JJB81" s="0"/>
      <c r="JJC81" s="0"/>
      <c r="JJD81" s="0"/>
      <c r="JJE81" s="0"/>
      <c r="JJF81" s="0"/>
      <c r="JJG81" s="0"/>
      <c r="JJH81" s="0"/>
      <c r="JJI81" s="0"/>
      <c r="JJJ81" s="0"/>
      <c r="JJK81" s="0"/>
      <c r="JJL81" s="0"/>
      <c r="JJM81" s="0"/>
      <c r="JJN81" s="0"/>
      <c r="JJO81" s="0"/>
      <c r="JJP81" s="0"/>
      <c r="JJQ81" s="0"/>
      <c r="JJR81" s="0"/>
      <c r="JJS81" s="0"/>
      <c r="JJT81" s="0"/>
      <c r="JJU81" s="0"/>
      <c r="JJV81" s="0"/>
      <c r="JJW81" s="0"/>
      <c r="JJX81" s="0"/>
      <c r="JJY81" s="0"/>
      <c r="JJZ81" s="0"/>
      <c r="JKA81" s="0"/>
      <c r="JKB81" s="0"/>
      <c r="JKC81" s="0"/>
      <c r="JKD81" s="0"/>
      <c r="JKE81" s="0"/>
      <c r="JKF81" s="0"/>
      <c r="JKG81" s="0"/>
      <c r="JKH81" s="0"/>
      <c r="JKI81" s="0"/>
      <c r="JKJ81" s="0"/>
      <c r="JKK81" s="0"/>
      <c r="JKL81" s="0"/>
      <c r="JKM81" s="0"/>
      <c r="JKN81" s="0"/>
      <c r="JKO81" s="0"/>
      <c r="JKP81" s="0"/>
      <c r="JKQ81" s="0"/>
      <c r="JKR81" s="0"/>
      <c r="JKS81" s="0"/>
      <c r="JKT81" s="0"/>
      <c r="JKU81" s="0"/>
      <c r="JKV81" s="0"/>
      <c r="JKW81" s="0"/>
      <c r="JKX81" s="0"/>
      <c r="JKY81" s="0"/>
      <c r="JKZ81" s="0"/>
      <c r="JLA81" s="0"/>
      <c r="JLB81" s="0"/>
      <c r="JLC81" s="0"/>
      <c r="JLD81" s="0"/>
      <c r="JLE81" s="0"/>
      <c r="JLF81" s="0"/>
      <c r="JLG81" s="0"/>
      <c r="JLH81" s="0"/>
      <c r="JLI81" s="0"/>
      <c r="JLJ81" s="0"/>
      <c r="JLK81" s="0"/>
      <c r="JLL81" s="0"/>
      <c r="JLM81" s="0"/>
      <c r="JLN81" s="0"/>
      <c r="JLO81" s="0"/>
      <c r="JLP81" s="0"/>
      <c r="JLQ81" s="0"/>
      <c r="JLR81" s="0"/>
      <c r="JLS81" s="0"/>
      <c r="JLT81" s="0"/>
      <c r="JLU81" s="0"/>
      <c r="JLV81" s="0"/>
      <c r="JLW81" s="0"/>
      <c r="JLX81" s="0"/>
      <c r="JLY81" s="0"/>
      <c r="JLZ81" s="0"/>
      <c r="JMA81" s="0"/>
      <c r="JMB81" s="0"/>
      <c r="JMC81" s="0"/>
      <c r="JMD81" s="0"/>
      <c r="JME81" s="0"/>
      <c r="JMF81" s="0"/>
      <c r="JMG81" s="0"/>
      <c r="JMH81" s="0"/>
      <c r="JMI81" s="0"/>
      <c r="JMJ81" s="0"/>
      <c r="JMK81" s="0"/>
      <c r="JML81" s="0"/>
      <c r="JMM81" s="0"/>
      <c r="JMN81" s="0"/>
      <c r="JMO81" s="0"/>
      <c r="JMP81" s="0"/>
      <c r="JMQ81" s="0"/>
      <c r="JMR81" s="0"/>
      <c r="JMS81" s="0"/>
      <c r="JMT81" s="0"/>
      <c r="JMU81" s="0"/>
      <c r="JMV81" s="0"/>
      <c r="JMW81" s="0"/>
      <c r="JMX81" s="0"/>
      <c r="JMY81" s="0"/>
      <c r="JMZ81" s="0"/>
      <c r="JNA81" s="0"/>
      <c r="JNB81" s="0"/>
      <c r="JNC81" s="0"/>
      <c r="JND81" s="0"/>
      <c r="JNE81" s="0"/>
      <c r="JNF81" s="0"/>
      <c r="JNG81" s="0"/>
      <c r="JNH81" s="0"/>
      <c r="JNI81" s="0"/>
      <c r="JNJ81" s="0"/>
      <c r="JNK81" s="0"/>
      <c r="JNL81" s="0"/>
      <c r="JNM81" s="0"/>
      <c r="JNN81" s="0"/>
      <c r="JNO81" s="0"/>
      <c r="JNP81" s="0"/>
      <c r="JNQ81" s="0"/>
      <c r="JNR81" s="0"/>
      <c r="JNS81" s="0"/>
      <c r="JNT81" s="0"/>
      <c r="JNU81" s="0"/>
      <c r="JNV81" s="0"/>
      <c r="JNW81" s="0"/>
      <c r="JNX81" s="0"/>
      <c r="JNY81" s="0"/>
      <c r="JNZ81" s="0"/>
      <c r="JOA81" s="0"/>
      <c r="JOB81" s="0"/>
      <c r="JOC81" s="0"/>
      <c r="JOD81" s="0"/>
      <c r="JOE81" s="0"/>
      <c r="JOF81" s="0"/>
      <c r="JOG81" s="0"/>
      <c r="JOH81" s="0"/>
      <c r="JOI81" s="0"/>
      <c r="JOJ81" s="0"/>
      <c r="JOK81" s="0"/>
      <c r="JOL81" s="0"/>
      <c r="JOM81" s="0"/>
      <c r="JON81" s="0"/>
      <c r="JOO81" s="0"/>
      <c r="JOP81" s="0"/>
      <c r="JOQ81" s="0"/>
      <c r="JOR81" s="0"/>
      <c r="JOS81" s="0"/>
      <c r="JOT81" s="0"/>
      <c r="JOU81" s="0"/>
      <c r="JOV81" s="0"/>
      <c r="JOW81" s="0"/>
      <c r="JOX81" s="0"/>
      <c r="JOY81" s="0"/>
      <c r="JOZ81" s="0"/>
      <c r="JPA81" s="0"/>
      <c r="JPB81" s="0"/>
      <c r="JPC81" s="0"/>
      <c r="JPD81" s="0"/>
      <c r="JPE81" s="0"/>
      <c r="JPF81" s="0"/>
      <c r="JPG81" s="0"/>
      <c r="JPH81" s="0"/>
      <c r="JPI81" s="0"/>
      <c r="JPJ81" s="0"/>
      <c r="JPK81" s="0"/>
      <c r="JPL81" s="0"/>
      <c r="JPM81" s="0"/>
      <c r="JPN81" s="0"/>
      <c r="JPO81" s="0"/>
      <c r="JPP81" s="0"/>
      <c r="JPQ81" s="0"/>
      <c r="JPR81" s="0"/>
      <c r="JPS81" s="0"/>
      <c r="JPT81" s="0"/>
      <c r="JPU81" s="0"/>
      <c r="JPV81" s="0"/>
      <c r="JPW81" s="0"/>
      <c r="JPX81" s="0"/>
      <c r="JPY81" s="0"/>
      <c r="JPZ81" s="0"/>
      <c r="JQA81" s="0"/>
      <c r="JQB81" s="0"/>
      <c r="JQC81" s="0"/>
      <c r="JQD81" s="0"/>
      <c r="JQE81" s="0"/>
      <c r="JQF81" s="0"/>
      <c r="JQG81" s="0"/>
      <c r="JQH81" s="0"/>
      <c r="JQI81" s="0"/>
      <c r="JQJ81" s="0"/>
      <c r="JQK81" s="0"/>
      <c r="JQL81" s="0"/>
      <c r="JQM81" s="0"/>
      <c r="JQN81" s="0"/>
      <c r="JQO81" s="0"/>
      <c r="JQP81" s="0"/>
      <c r="JQQ81" s="0"/>
      <c r="JQR81" s="0"/>
      <c r="JQS81" s="0"/>
      <c r="JQT81" s="0"/>
      <c r="JQU81" s="0"/>
      <c r="JQV81" s="0"/>
      <c r="JQW81" s="0"/>
      <c r="JQX81" s="0"/>
      <c r="JQY81" s="0"/>
      <c r="JQZ81" s="0"/>
      <c r="JRA81" s="0"/>
      <c r="JRB81" s="0"/>
      <c r="JRC81" s="0"/>
      <c r="JRD81" s="0"/>
      <c r="JRE81" s="0"/>
      <c r="JRF81" s="0"/>
      <c r="JRG81" s="0"/>
      <c r="JRH81" s="0"/>
      <c r="JRI81" s="0"/>
      <c r="JRJ81" s="0"/>
      <c r="JRK81" s="0"/>
      <c r="JRL81" s="0"/>
      <c r="JRM81" s="0"/>
      <c r="JRN81" s="0"/>
      <c r="JRO81" s="0"/>
      <c r="JRP81" s="0"/>
      <c r="JRQ81" s="0"/>
      <c r="JRR81" s="0"/>
      <c r="JRS81" s="0"/>
      <c r="JRT81" s="0"/>
      <c r="JRU81" s="0"/>
      <c r="JRV81" s="0"/>
      <c r="JRW81" s="0"/>
      <c r="JRX81" s="0"/>
      <c r="JRY81" s="0"/>
      <c r="JRZ81" s="0"/>
      <c r="JSA81" s="0"/>
      <c r="JSB81" s="0"/>
      <c r="JSC81" s="0"/>
      <c r="JSD81" s="0"/>
      <c r="JSE81" s="0"/>
      <c r="JSF81" s="0"/>
      <c r="JSG81" s="0"/>
      <c r="JSH81" s="0"/>
      <c r="JSI81" s="0"/>
      <c r="JSJ81" s="0"/>
      <c r="JSK81" s="0"/>
      <c r="JSL81" s="0"/>
      <c r="JSM81" s="0"/>
      <c r="JSN81" s="0"/>
      <c r="JSO81" s="0"/>
      <c r="JSP81" s="0"/>
      <c r="JSQ81" s="0"/>
      <c r="JSR81" s="0"/>
      <c r="JSS81" s="0"/>
      <c r="JST81" s="0"/>
      <c r="JSU81" s="0"/>
      <c r="JSV81" s="0"/>
      <c r="JSW81" s="0"/>
      <c r="JSX81" s="0"/>
      <c r="JSY81" s="0"/>
      <c r="JSZ81" s="0"/>
      <c r="JTA81" s="0"/>
      <c r="JTB81" s="0"/>
      <c r="JTC81" s="0"/>
      <c r="JTD81" s="0"/>
      <c r="JTE81" s="0"/>
      <c r="JTF81" s="0"/>
      <c r="JTG81" s="0"/>
      <c r="JTH81" s="0"/>
      <c r="JTI81" s="0"/>
      <c r="JTJ81" s="0"/>
      <c r="JTK81" s="0"/>
      <c r="JTL81" s="0"/>
      <c r="JTM81" s="0"/>
      <c r="JTN81" s="0"/>
      <c r="JTO81" s="0"/>
      <c r="JTP81" s="0"/>
      <c r="JTQ81" s="0"/>
      <c r="JTR81" s="0"/>
      <c r="JTS81" s="0"/>
      <c r="JTT81" s="0"/>
      <c r="JTU81" s="0"/>
      <c r="JTV81" s="0"/>
      <c r="JTW81" s="0"/>
      <c r="JTX81" s="0"/>
      <c r="JTY81" s="0"/>
      <c r="JTZ81" s="0"/>
      <c r="JUA81" s="0"/>
      <c r="JUB81" s="0"/>
      <c r="JUC81" s="0"/>
      <c r="JUD81" s="0"/>
      <c r="JUE81" s="0"/>
      <c r="JUF81" s="0"/>
      <c r="JUG81" s="0"/>
      <c r="JUH81" s="0"/>
      <c r="JUI81" s="0"/>
      <c r="JUJ81" s="0"/>
      <c r="JUK81" s="0"/>
      <c r="JUL81" s="0"/>
      <c r="JUM81" s="0"/>
      <c r="JUN81" s="0"/>
      <c r="JUO81" s="0"/>
      <c r="JUP81" s="0"/>
      <c r="JUQ81" s="0"/>
      <c r="JUR81" s="0"/>
      <c r="JUS81" s="0"/>
      <c r="JUT81" s="0"/>
      <c r="JUU81" s="0"/>
      <c r="JUV81" s="0"/>
      <c r="JUW81" s="0"/>
      <c r="JUX81" s="0"/>
      <c r="JUY81" s="0"/>
      <c r="JUZ81" s="0"/>
      <c r="JVA81" s="0"/>
      <c r="JVB81" s="0"/>
      <c r="JVC81" s="0"/>
      <c r="JVD81" s="0"/>
      <c r="JVE81" s="0"/>
      <c r="JVF81" s="0"/>
      <c r="JVG81" s="0"/>
      <c r="JVH81" s="0"/>
      <c r="JVI81" s="0"/>
      <c r="JVJ81" s="0"/>
      <c r="JVK81" s="0"/>
      <c r="JVL81" s="0"/>
      <c r="JVM81" s="0"/>
      <c r="JVN81" s="0"/>
      <c r="JVO81" s="0"/>
      <c r="JVP81" s="0"/>
      <c r="JVQ81" s="0"/>
      <c r="JVR81" s="0"/>
      <c r="JVS81" s="0"/>
      <c r="JVT81" s="0"/>
      <c r="JVU81" s="0"/>
      <c r="JVV81" s="0"/>
      <c r="JVW81" s="0"/>
      <c r="JVX81" s="0"/>
      <c r="JVY81" s="0"/>
      <c r="JVZ81" s="0"/>
      <c r="JWA81" s="0"/>
      <c r="JWB81" s="0"/>
      <c r="JWC81" s="0"/>
      <c r="JWD81" s="0"/>
      <c r="JWE81" s="0"/>
      <c r="JWF81" s="0"/>
      <c r="JWG81" s="0"/>
      <c r="JWH81" s="0"/>
      <c r="JWI81" s="0"/>
      <c r="JWJ81" s="0"/>
      <c r="JWK81" s="0"/>
      <c r="JWL81" s="0"/>
      <c r="JWM81" s="0"/>
      <c r="JWN81" s="0"/>
      <c r="JWO81" s="0"/>
      <c r="JWP81" s="0"/>
      <c r="JWQ81" s="0"/>
      <c r="JWR81" s="0"/>
      <c r="JWS81" s="0"/>
      <c r="JWT81" s="0"/>
      <c r="JWU81" s="0"/>
      <c r="JWV81" s="0"/>
      <c r="JWW81" s="0"/>
      <c r="JWX81" s="0"/>
      <c r="JWY81" s="0"/>
      <c r="JWZ81" s="0"/>
      <c r="JXA81" s="0"/>
      <c r="JXB81" s="0"/>
      <c r="JXC81" s="0"/>
      <c r="JXD81" s="0"/>
      <c r="JXE81" s="0"/>
      <c r="JXF81" s="0"/>
      <c r="JXG81" s="0"/>
      <c r="JXH81" s="0"/>
      <c r="JXI81" s="0"/>
      <c r="JXJ81" s="0"/>
      <c r="JXK81" s="0"/>
      <c r="JXL81" s="0"/>
      <c r="JXM81" s="0"/>
      <c r="JXN81" s="0"/>
      <c r="JXO81" s="0"/>
      <c r="JXP81" s="0"/>
      <c r="JXQ81" s="0"/>
      <c r="JXR81" s="0"/>
      <c r="JXS81" s="0"/>
      <c r="JXT81" s="0"/>
      <c r="JXU81" s="0"/>
      <c r="JXV81" s="0"/>
      <c r="JXW81" s="0"/>
      <c r="JXX81" s="0"/>
      <c r="JXY81" s="0"/>
      <c r="JXZ81" s="0"/>
      <c r="JYA81" s="0"/>
      <c r="JYB81" s="0"/>
      <c r="JYC81" s="0"/>
      <c r="JYD81" s="0"/>
      <c r="JYE81" s="0"/>
      <c r="JYF81" s="0"/>
      <c r="JYG81" s="0"/>
      <c r="JYH81" s="0"/>
      <c r="JYI81" s="0"/>
      <c r="JYJ81" s="0"/>
      <c r="JYK81" s="0"/>
      <c r="JYL81" s="0"/>
      <c r="JYM81" s="0"/>
      <c r="JYN81" s="0"/>
      <c r="JYO81" s="0"/>
      <c r="JYP81" s="0"/>
      <c r="JYQ81" s="0"/>
      <c r="JYR81" s="0"/>
      <c r="JYS81" s="0"/>
      <c r="JYT81" s="0"/>
      <c r="JYU81" s="0"/>
      <c r="JYV81" s="0"/>
      <c r="JYW81" s="0"/>
      <c r="JYX81" s="0"/>
      <c r="JYY81" s="0"/>
      <c r="JYZ81" s="0"/>
      <c r="JZA81" s="0"/>
      <c r="JZB81" s="0"/>
      <c r="JZC81" s="0"/>
      <c r="JZD81" s="0"/>
      <c r="JZE81" s="0"/>
      <c r="JZF81" s="0"/>
      <c r="JZG81" s="0"/>
      <c r="JZH81" s="0"/>
      <c r="JZI81" s="0"/>
      <c r="JZJ81" s="0"/>
      <c r="JZK81" s="0"/>
      <c r="JZL81" s="0"/>
      <c r="JZM81" s="0"/>
      <c r="JZN81" s="0"/>
      <c r="JZO81" s="0"/>
      <c r="JZP81" s="0"/>
      <c r="JZQ81" s="0"/>
      <c r="JZR81" s="0"/>
      <c r="JZS81" s="0"/>
      <c r="JZT81" s="0"/>
      <c r="JZU81" s="0"/>
      <c r="JZV81" s="0"/>
      <c r="JZW81" s="0"/>
      <c r="JZX81" s="0"/>
      <c r="JZY81" s="0"/>
      <c r="JZZ81" s="0"/>
      <c r="KAA81" s="0"/>
      <c r="KAB81" s="0"/>
      <c r="KAC81" s="0"/>
      <c r="KAD81" s="0"/>
      <c r="KAE81" s="0"/>
      <c r="KAF81" s="0"/>
      <c r="KAG81" s="0"/>
      <c r="KAH81" s="0"/>
      <c r="KAI81" s="0"/>
      <c r="KAJ81" s="0"/>
      <c r="KAK81" s="0"/>
      <c r="KAL81" s="0"/>
      <c r="KAM81" s="0"/>
      <c r="KAN81" s="0"/>
      <c r="KAO81" s="0"/>
      <c r="KAP81" s="0"/>
      <c r="KAQ81" s="0"/>
      <c r="KAR81" s="0"/>
      <c r="KAS81" s="0"/>
      <c r="KAT81" s="0"/>
      <c r="KAU81" s="0"/>
      <c r="KAV81" s="0"/>
      <c r="KAW81" s="0"/>
      <c r="KAX81" s="0"/>
      <c r="KAY81" s="0"/>
      <c r="KAZ81" s="0"/>
      <c r="KBA81" s="0"/>
      <c r="KBB81" s="0"/>
      <c r="KBC81" s="0"/>
      <c r="KBD81" s="0"/>
      <c r="KBE81" s="0"/>
      <c r="KBF81" s="0"/>
      <c r="KBG81" s="0"/>
      <c r="KBH81" s="0"/>
      <c r="KBI81" s="0"/>
      <c r="KBJ81" s="0"/>
      <c r="KBK81" s="0"/>
      <c r="KBL81" s="0"/>
      <c r="KBM81" s="0"/>
      <c r="KBN81" s="0"/>
      <c r="KBO81" s="0"/>
      <c r="KBP81" s="0"/>
      <c r="KBQ81" s="0"/>
      <c r="KBR81" s="0"/>
      <c r="KBS81" s="0"/>
      <c r="KBT81" s="0"/>
      <c r="KBU81" s="0"/>
      <c r="KBV81" s="0"/>
      <c r="KBW81" s="0"/>
      <c r="KBX81" s="0"/>
      <c r="KBY81" s="0"/>
      <c r="KBZ81" s="0"/>
      <c r="KCA81" s="0"/>
      <c r="KCB81" s="0"/>
      <c r="KCC81" s="0"/>
      <c r="KCD81" s="0"/>
      <c r="KCE81" s="0"/>
      <c r="KCF81" s="0"/>
      <c r="KCG81" s="0"/>
      <c r="KCH81" s="0"/>
      <c r="KCI81" s="0"/>
      <c r="KCJ81" s="0"/>
      <c r="KCK81" s="0"/>
      <c r="KCL81" s="0"/>
      <c r="KCM81" s="0"/>
      <c r="KCN81" s="0"/>
      <c r="KCO81" s="0"/>
      <c r="KCP81" s="0"/>
      <c r="KCQ81" s="0"/>
      <c r="KCR81" s="0"/>
      <c r="KCS81" s="0"/>
      <c r="KCT81" s="0"/>
      <c r="KCU81" s="0"/>
      <c r="KCV81" s="0"/>
      <c r="KCW81" s="0"/>
      <c r="KCX81" s="0"/>
      <c r="KCY81" s="0"/>
      <c r="KCZ81" s="0"/>
      <c r="KDA81" s="0"/>
      <c r="KDB81" s="0"/>
      <c r="KDC81" s="0"/>
      <c r="KDD81" s="0"/>
      <c r="KDE81" s="0"/>
      <c r="KDF81" s="0"/>
      <c r="KDG81" s="0"/>
      <c r="KDH81" s="0"/>
      <c r="KDI81" s="0"/>
      <c r="KDJ81" s="0"/>
      <c r="KDK81" s="0"/>
      <c r="KDL81" s="0"/>
      <c r="KDM81" s="0"/>
      <c r="KDN81" s="0"/>
      <c r="KDO81" s="0"/>
      <c r="KDP81" s="0"/>
      <c r="KDQ81" s="0"/>
      <c r="KDR81" s="0"/>
      <c r="KDS81" s="0"/>
      <c r="KDT81" s="0"/>
      <c r="KDU81" s="0"/>
      <c r="KDV81" s="0"/>
      <c r="KDW81" s="0"/>
      <c r="KDX81" s="0"/>
      <c r="KDY81" s="0"/>
      <c r="KDZ81" s="0"/>
      <c r="KEA81" s="0"/>
      <c r="KEB81" s="0"/>
      <c r="KEC81" s="0"/>
      <c r="KED81" s="0"/>
      <c r="KEE81" s="0"/>
      <c r="KEF81" s="0"/>
      <c r="KEG81" s="0"/>
      <c r="KEH81" s="0"/>
      <c r="KEI81" s="0"/>
      <c r="KEJ81" s="0"/>
      <c r="KEK81" s="0"/>
      <c r="KEL81" s="0"/>
      <c r="KEM81" s="0"/>
      <c r="KEN81" s="0"/>
      <c r="KEO81" s="0"/>
      <c r="KEP81" s="0"/>
      <c r="KEQ81" s="0"/>
      <c r="KER81" s="0"/>
      <c r="KES81" s="0"/>
      <c r="KET81" s="0"/>
      <c r="KEU81" s="0"/>
      <c r="KEV81" s="0"/>
      <c r="KEW81" s="0"/>
      <c r="KEX81" s="0"/>
      <c r="KEY81" s="0"/>
      <c r="KEZ81" s="0"/>
      <c r="KFA81" s="0"/>
      <c r="KFB81" s="0"/>
      <c r="KFC81" s="0"/>
      <c r="KFD81" s="0"/>
      <c r="KFE81" s="0"/>
      <c r="KFF81" s="0"/>
      <c r="KFG81" s="0"/>
      <c r="KFH81" s="0"/>
      <c r="KFI81" s="0"/>
      <c r="KFJ81" s="0"/>
      <c r="KFK81" s="0"/>
      <c r="KFL81" s="0"/>
      <c r="KFM81" s="0"/>
      <c r="KFN81" s="0"/>
      <c r="KFO81" s="0"/>
      <c r="KFP81" s="0"/>
      <c r="KFQ81" s="0"/>
      <c r="KFR81" s="0"/>
      <c r="KFS81" s="0"/>
      <c r="KFT81" s="0"/>
      <c r="KFU81" s="0"/>
      <c r="KFV81" s="0"/>
      <c r="KFW81" s="0"/>
      <c r="KFX81" s="0"/>
      <c r="KFY81" s="0"/>
      <c r="KFZ81" s="0"/>
      <c r="KGA81" s="0"/>
      <c r="KGB81" s="0"/>
      <c r="KGC81" s="0"/>
      <c r="KGD81" s="0"/>
      <c r="KGE81" s="0"/>
      <c r="KGF81" s="0"/>
      <c r="KGG81" s="0"/>
      <c r="KGH81" s="0"/>
      <c r="KGI81" s="0"/>
      <c r="KGJ81" s="0"/>
      <c r="KGK81" s="0"/>
      <c r="KGL81" s="0"/>
      <c r="KGM81" s="0"/>
      <c r="KGN81" s="0"/>
      <c r="KGO81" s="0"/>
      <c r="KGP81" s="0"/>
      <c r="KGQ81" s="0"/>
      <c r="KGR81" s="0"/>
      <c r="KGS81" s="0"/>
      <c r="KGT81" s="0"/>
      <c r="KGU81" s="0"/>
      <c r="KGV81" s="0"/>
      <c r="KGW81" s="0"/>
      <c r="KGX81" s="0"/>
      <c r="KGY81" s="0"/>
      <c r="KGZ81" s="0"/>
      <c r="KHA81" s="0"/>
      <c r="KHB81" s="0"/>
      <c r="KHC81" s="0"/>
      <c r="KHD81" s="0"/>
      <c r="KHE81" s="0"/>
      <c r="KHF81" s="0"/>
      <c r="KHG81" s="0"/>
      <c r="KHH81" s="0"/>
      <c r="KHI81" s="0"/>
      <c r="KHJ81" s="0"/>
      <c r="KHK81" s="0"/>
      <c r="KHL81" s="0"/>
      <c r="KHM81" s="0"/>
      <c r="KHN81" s="0"/>
      <c r="KHO81" s="0"/>
      <c r="KHP81" s="0"/>
      <c r="KHQ81" s="0"/>
      <c r="KHR81" s="0"/>
      <c r="KHS81" s="0"/>
      <c r="KHT81" s="0"/>
      <c r="KHU81" s="0"/>
      <c r="KHV81" s="0"/>
      <c r="KHW81" s="0"/>
      <c r="KHX81" s="0"/>
      <c r="KHY81" s="0"/>
      <c r="KHZ81" s="0"/>
      <c r="KIA81" s="0"/>
      <c r="KIB81" s="0"/>
      <c r="KIC81" s="0"/>
      <c r="KID81" s="0"/>
      <c r="KIE81" s="0"/>
      <c r="KIF81" s="0"/>
      <c r="KIG81" s="0"/>
      <c r="KIH81" s="0"/>
      <c r="KII81" s="0"/>
      <c r="KIJ81" s="0"/>
      <c r="KIK81" s="0"/>
      <c r="KIL81" s="0"/>
      <c r="KIM81" s="0"/>
      <c r="KIN81" s="0"/>
      <c r="KIO81" s="0"/>
      <c r="KIP81" s="0"/>
      <c r="KIQ81" s="0"/>
      <c r="KIR81" s="0"/>
      <c r="KIS81" s="0"/>
      <c r="KIT81" s="0"/>
      <c r="KIU81" s="0"/>
      <c r="KIV81" s="0"/>
      <c r="KIW81" s="0"/>
      <c r="KIX81" s="0"/>
      <c r="KIY81" s="0"/>
      <c r="KIZ81" s="0"/>
      <c r="KJA81" s="0"/>
      <c r="KJB81" s="0"/>
      <c r="KJC81" s="0"/>
      <c r="KJD81" s="0"/>
      <c r="KJE81" s="0"/>
      <c r="KJF81" s="0"/>
      <c r="KJG81" s="0"/>
      <c r="KJH81" s="0"/>
      <c r="KJI81" s="0"/>
      <c r="KJJ81" s="0"/>
      <c r="KJK81" s="0"/>
      <c r="KJL81" s="0"/>
      <c r="KJM81" s="0"/>
      <c r="KJN81" s="0"/>
      <c r="KJO81" s="0"/>
      <c r="KJP81" s="0"/>
      <c r="KJQ81" s="0"/>
      <c r="KJR81" s="0"/>
      <c r="KJS81" s="0"/>
      <c r="KJT81" s="0"/>
      <c r="KJU81" s="0"/>
      <c r="KJV81" s="0"/>
      <c r="KJW81" s="0"/>
      <c r="KJX81" s="0"/>
      <c r="KJY81" s="0"/>
      <c r="KJZ81" s="0"/>
      <c r="KKA81" s="0"/>
      <c r="KKB81" s="0"/>
      <c r="KKC81" s="0"/>
      <c r="KKD81" s="0"/>
      <c r="KKE81" s="0"/>
      <c r="KKF81" s="0"/>
      <c r="KKG81" s="0"/>
      <c r="KKH81" s="0"/>
      <c r="KKI81" s="0"/>
      <c r="KKJ81" s="0"/>
      <c r="KKK81" s="0"/>
      <c r="KKL81" s="0"/>
      <c r="KKM81" s="0"/>
      <c r="KKN81" s="0"/>
      <c r="KKO81" s="0"/>
      <c r="KKP81" s="0"/>
      <c r="KKQ81" s="0"/>
      <c r="KKR81" s="0"/>
      <c r="KKS81" s="0"/>
      <c r="KKT81" s="0"/>
      <c r="KKU81" s="0"/>
      <c r="KKV81" s="0"/>
      <c r="KKW81" s="0"/>
      <c r="KKX81" s="0"/>
      <c r="KKY81" s="0"/>
      <c r="KKZ81" s="0"/>
      <c r="KLA81" s="0"/>
      <c r="KLB81" s="0"/>
      <c r="KLC81" s="0"/>
      <c r="KLD81" s="0"/>
      <c r="KLE81" s="0"/>
      <c r="KLF81" s="0"/>
      <c r="KLG81" s="0"/>
      <c r="KLH81" s="0"/>
      <c r="KLI81" s="0"/>
      <c r="KLJ81" s="0"/>
      <c r="KLK81" s="0"/>
      <c r="KLL81" s="0"/>
      <c r="KLM81" s="0"/>
      <c r="KLN81" s="0"/>
      <c r="KLO81" s="0"/>
      <c r="KLP81" s="0"/>
      <c r="KLQ81" s="0"/>
      <c r="KLR81" s="0"/>
      <c r="KLS81" s="0"/>
      <c r="KLT81" s="0"/>
      <c r="KLU81" s="0"/>
      <c r="KLV81" s="0"/>
      <c r="KLW81" s="0"/>
      <c r="KLX81" s="0"/>
      <c r="KLY81" s="0"/>
      <c r="KLZ81" s="0"/>
      <c r="KMA81" s="0"/>
      <c r="KMB81" s="0"/>
      <c r="KMC81" s="0"/>
      <c r="KMD81" s="0"/>
      <c r="KME81" s="0"/>
      <c r="KMF81" s="0"/>
      <c r="KMG81" s="0"/>
      <c r="KMH81" s="0"/>
      <c r="KMI81" s="0"/>
      <c r="KMJ81" s="0"/>
      <c r="KMK81" s="0"/>
      <c r="KML81" s="0"/>
      <c r="KMM81" s="0"/>
      <c r="KMN81" s="0"/>
      <c r="KMO81" s="0"/>
      <c r="KMP81" s="0"/>
      <c r="KMQ81" s="0"/>
      <c r="KMR81" s="0"/>
      <c r="KMS81" s="0"/>
      <c r="KMT81" s="0"/>
      <c r="KMU81" s="0"/>
      <c r="KMV81" s="0"/>
      <c r="KMW81" s="0"/>
      <c r="KMX81" s="0"/>
      <c r="KMY81" s="0"/>
      <c r="KMZ81" s="0"/>
      <c r="KNA81" s="0"/>
      <c r="KNB81" s="0"/>
      <c r="KNC81" s="0"/>
      <c r="KND81" s="0"/>
      <c r="KNE81" s="0"/>
      <c r="KNF81" s="0"/>
      <c r="KNG81" s="0"/>
      <c r="KNH81" s="0"/>
      <c r="KNI81" s="0"/>
      <c r="KNJ81" s="0"/>
      <c r="KNK81" s="0"/>
      <c r="KNL81" s="0"/>
      <c r="KNM81" s="0"/>
      <c r="KNN81" s="0"/>
      <c r="KNO81" s="0"/>
      <c r="KNP81" s="0"/>
      <c r="KNQ81" s="0"/>
      <c r="KNR81" s="0"/>
      <c r="KNS81" s="0"/>
      <c r="KNT81" s="0"/>
      <c r="KNU81" s="0"/>
      <c r="KNV81" s="0"/>
      <c r="KNW81" s="0"/>
      <c r="KNX81" s="0"/>
      <c r="KNY81" s="0"/>
      <c r="KNZ81" s="0"/>
      <c r="KOA81" s="0"/>
      <c r="KOB81" s="0"/>
      <c r="KOC81" s="0"/>
      <c r="KOD81" s="0"/>
      <c r="KOE81" s="0"/>
      <c r="KOF81" s="0"/>
      <c r="KOG81" s="0"/>
      <c r="KOH81" s="0"/>
      <c r="KOI81" s="0"/>
      <c r="KOJ81" s="0"/>
      <c r="KOK81" s="0"/>
      <c r="KOL81" s="0"/>
      <c r="KOM81" s="0"/>
      <c r="KON81" s="0"/>
      <c r="KOO81" s="0"/>
      <c r="KOP81" s="0"/>
      <c r="KOQ81" s="0"/>
      <c r="KOR81" s="0"/>
      <c r="KOS81" s="0"/>
      <c r="KOT81" s="0"/>
      <c r="KOU81" s="0"/>
      <c r="KOV81" s="0"/>
      <c r="KOW81" s="0"/>
      <c r="KOX81" s="0"/>
      <c r="KOY81" s="0"/>
      <c r="KOZ81" s="0"/>
      <c r="KPA81" s="0"/>
      <c r="KPB81" s="0"/>
      <c r="KPC81" s="0"/>
      <c r="KPD81" s="0"/>
      <c r="KPE81" s="0"/>
      <c r="KPF81" s="0"/>
      <c r="KPG81" s="0"/>
      <c r="KPH81" s="0"/>
      <c r="KPI81" s="0"/>
      <c r="KPJ81" s="0"/>
      <c r="KPK81" s="0"/>
      <c r="KPL81" s="0"/>
      <c r="KPM81" s="0"/>
      <c r="KPN81" s="0"/>
      <c r="KPO81" s="0"/>
      <c r="KPP81" s="0"/>
      <c r="KPQ81" s="0"/>
      <c r="KPR81" s="0"/>
      <c r="KPS81" s="0"/>
      <c r="KPT81" s="0"/>
      <c r="KPU81" s="0"/>
      <c r="KPV81" s="0"/>
      <c r="KPW81" s="0"/>
      <c r="KPX81" s="0"/>
      <c r="KPY81" s="0"/>
      <c r="KPZ81" s="0"/>
      <c r="KQA81" s="0"/>
      <c r="KQB81" s="0"/>
      <c r="KQC81" s="0"/>
      <c r="KQD81" s="0"/>
      <c r="KQE81" s="0"/>
      <c r="KQF81" s="0"/>
      <c r="KQG81" s="0"/>
      <c r="KQH81" s="0"/>
      <c r="KQI81" s="0"/>
      <c r="KQJ81" s="0"/>
      <c r="KQK81" s="0"/>
      <c r="KQL81" s="0"/>
      <c r="KQM81" s="0"/>
      <c r="KQN81" s="0"/>
      <c r="KQO81" s="0"/>
      <c r="KQP81" s="0"/>
      <c r="KQQ81" s="0"/>
      <c r="KQR81" s="0"/>
      <c r="KQS81" s="0"/>
      <c r="KQT81" s="0"/>
      <c r="KQU81" s="0"/>
      <c r="KQV81" s="0"/>
      <c r="KQW81" s="0"/>
      <c r="KQX81" s="0"/>
      <c r="KQY81" s="0"/>
      <c r="KQZ81" s="0"/>
      <c r="KRA81" s="0"/>
      <c r="KRB81" s="0"/>
      <c r="KRC81" s="0"/>
      <c r="KRD81" s="0"/>
      <c r="KRE81" s="0"/>
      <c r="KRF81" s="0"/>
      <c r="KRG81" s="0"/>
      <c r="KRH81" s="0"/>
      <c r="KRI81" s="0"/>
      <c r="KRJ81" s="0"/>
      <c r="KRK81" s="0"/>
      <c r="KRL81" s="0"/>
      <c r="KRM81" s="0"/>
      <c r="KRN81" s="0"/>
      <c r="KRO81" s="0"/>
      <c r="KRP81" s="0"/>
      <c r="KRQ81" s="0"/>
      <c r="KRR81" s="0"/>
      <c r="KRS81" s="0"/>
      <c r="KRT81" s="0"/>
      <c r="KRU81" s="0"/>
      <c r="KRV81" s="0"/>
      <c r="KRW81" s="0"/>
      <c r="KRX81" s="0"/>
      <c r="KRY81" s="0"/>
      <c r="KRZ81" s="0"/>
      <c r="KSA81" s="0"/>
      <c r="KSB81" s="0"/>
      <c r="KSC81" s="0"/>
      <c r="KSD81" s="0"/>
      <c r="KSE81" s="0"/>
      <c r="KSF81" s="0"/>
      <c r="KSG81" s="0"/>
      <c r="KSH81" s="0"/>
      <c r="KSI81" s="0"/>
      <c r="KSJ81" s="0"/>
      <c r="KSK81" s="0"/>
      <c r="KSL81" s="0"/>
      <c r="KSM81" s="0"/>
      <c r="KSN81" s="0"/>
      <c r="KSO81" s="0"/>
      <c r="KSP81" s="0"/>
      <c r="KSQ81" s="0"/>
      <c r="KSR81" s="0"/>
      <c r="KSS81" s="0"/>
      <c r="KST81" s="0"/>
      <c r="KSU81" s="0"/>
      <c r="KSV81" s="0"/>
      <c r="KSW81" s="0"/>
      <c r="KSX81" s="0"/>
      <c r="KSY81" s="0"/>
      <c r="KSZ81" s="0"/>
      <c r="KTA81" s="0"/>
      <c r="KTB81" s="0"/>
      <c r="KTC81" s="0"/>
      <c r="KTD81" s="0"/>
      <c r="KTE81" s="0"/>
      <c r="KTF81" s="0"/>
      <c r="KTG81" s="0"/>
      <c r="KTH81" s="0"/>
      <c r="KTI81" s="0"/>
      <c r="KTJ81" s="0"/>
      <c r="KTK81" s="0"/>
      <c r="KTL81" s="0"/>
      <c r="KTM81" s="0"/>
      <c r="KTN81" s="0"/>
      <c r="KTO81" s="0"/>
      <c r="KTP81" s="0"/>
      <c r="KTQ81" s="0"/>
      <c r="KTR81" s="0"/>
      <c r="KTS81" s="0"/>
      <c r="KTT81" s="0"/>
      <c r="KTU81" s="0"/>
      <c r="KTV81" s="0"/>
      <c r="KTW81" s="0"/>
      <c r="KTX81" s="0"/>
      <c r="KTY81" s="0"/>
      <c r="KTZ81" s="0"/>
      <c r="KUA81" s="0"/>
      <c r="KUB81" s="0"/>
      <c r="KUC81" s="0"/>
      <c r="KUD81" s="0"/>
      <c r="KUE81" s="0"/>
      <c r="KUF81" s="0"/>
      <c r="KUG81" s="0"/>
      <c r="KUH81" s="0"/>
      <c r="KUI81" s="0"/>
      <c r="KUJ81" s="0"/>
      <c r="KUK81" s="0"/>
      <c r="KUL81" s="0"/>
      <c r="KUM81" s="0"/>
      <c r="KUN81" s="0"/>
      <c r="KUO81" s="0"/>
      <c r="KUP81" s="0"/>
      <c r="KUQ81" s="0"/>
      <c r="KUR81" s="0"/>
      <c r="KUS81" s="0"/>
      <c r="KUT81" s="0"/>
      <c r="KUU81" s="0"/>
      <c r="KUV81" s="0"/>
      <c r="KUW81" s="0"/>
      <c r="KUX81" s="0"/>
      <c r="KUY81" s="0"/>
      <c r="KUZ81" s="0"/>
      <c r="KVA81" s="0"/>
      <c r="KVB81" s="0"/>
      <c r="KVC81" s="0"/>
      <c r="KVD81" s="0"/>
      <c r="KVE81" s="0"/>
      <c r="KVF81" s="0"/>
      <c r="KVG81" s="0"/>
      <c r="KVH81" s="0"/>
      <c r="KVI81" s="0"/>
      <c r="KVJ81" s="0"/>
      <c r="KVK81" s="0"/>
      <c r="KVL81" s="0"/>
      <c r="KVM81" s="0"/>
      <c r="KVN81" s="0"/>
      <c r="KVO81" s="0"/>
      <c r="KVP81" s="0"/>
      <c r="KVQ81" s="0"/>
      <c r="KVR81" s="0"/>
      <c r="KVS81" s="0"/>
      <c r="KVT81" s="0"/>
      <c r="KVU81" s="0"/>
      <c r="KVV81" s="0"/>
      <c r="KVW81" s="0"/>
      <c r="KVX81" s="0"/>
      <c r="KVY81" s="0"/>
      <c r="KVZ81" s="0"/>
      <c r="KWA81" s="0"/>
      <c r="KWB81" s="0"/>
      <c r="KWC81" s="0"/>
      <c r="KWD81" s="0"/>
      <c r="KWE81" s="0"/>
      <c r="KWF81" s="0"/>
      <c r="KWG81" s="0"/>
      <c r="KWH81" s="0"/>
      <c r="KWI81" s="0"/>
      <c r="KWJ81" s="0"/>
      <c r="KWK81" s="0"/>
      <c r="KWL81" s="0"/>
      <c r="KWM81" s="0"/>
      <c r="KWN81" s="0"/>
      <c r="KWO81" s="0"/>
      <c r="KWP81" s="0"/>
      <c r="KWQ81" s="0"/>
      <c r="KWR81" s="0"/>
      <c r="KWS81" s="0"/>
      <c r="KWT81" s="0"/>
      <c r="KWU81" s="0"/>
      <c r="KWV81" s="0"/>
      <c r="KWW81" s="0"/>
      <c r="KWX81" s="0"/>
      <c r="KWY81" s="0"/>
      <c r="KWZ81" s="0"/>
      <c r="KXA81" s="0"/>
      <c r="KXB81" s="0"/>
      <c r="KXC81" s="0"/>
      <c r="KXD81" s="0"/>
      <c r="KXE81" s="0"/>
      <c r="KXF81" s="0"/>
      <c r="KXG81" s="0"/>
      <c r="KXH81" s="0"/>
      <c r="KXI81" s="0"/>
      <c r="KXJ81" s="0"/>
      <c r="KXK81" s="0"/>
      <c r="KXL81" s="0"/>
      <c r="KXM81" s="0"/>
      <c r="KXN81" s="0"/>
      <c r="KXO81" s="0"/>
      <c r="KXP81" s="0"/>
      <c r="KXQ81" s="0"/>
      <c r="KXR81" s="0"/>
      <c r="KXS81" s="0"/>
      <c r="KXT81" s="0"/>
      <c r="KXU81" s="0"/>
      <c r="KXV81" s="0"/>
      <c r="KXW81" s="0"/>
      <c r="KXX81" s="0"/>
      <c r="KXY81" s="0"/>
      <c r="KXZ81" s="0"/>
      <c r="KYA81" s="0"/>
      <c r="KYB81" s="0"/>
      <c r="KYC81" s="0"/>
      <c r="KYD81" s="0"/>
      <c r="KYE81" s="0"/>
      <c r="KYF81" s="0"/>
      <c r="KYG81" s="0"/>
      <c r="KYH81" s="0"/>
      <c r="KYI81" s="0"/>
      <c r="KYJ81" s="0"/>
      <c r="KYK81" s="0"/>
      <c r="KYL81" s="0"/>
      <c r="KYM81" s="0"/>
      <c r="KYN81" s="0"/>
      <c r="KYO81" s="0"/>
      <c r="KYP81" s="0"/>
      <c r="KYQ81" s="0"/>
      <c r="KYR81" s="0"/>
      <c r="KYS81" s="0"/>
      <c r="KYT81" s="0"/>
      <c r="KYU81" s="0"/>
      <c r="KYV81" s="0"/>
      <c r="KYW81" s="0"/>
      <c r="KYX81" s="0"/>
      <c r="KYY81" s="0"/>
      <c r="KYZ81" s="0"/>
      <c r="KZA81" s="0"/>
      <c r="KZB81" s="0"/>
      <c r="KZC81" s="0"/>
      <c r="KZD81" s="0"/>
      <c r="KZE81" s="0"/>
      <c r="KZF81" s="0"/>
      <c r="KZG81" s="0"/>
      <c r="KZH81" s="0"/>
      <c r="KZI81" s="0"/>
      <c r="KZJ81" s="0"/>
      <c r="KZK81" s="0"/>
      <c r="KZL81" s="0"/>
      <c r="KZM81" s="0"/>
      <c r="KZN81" s="0"/>
      <c r="KZO81" s="0"/>
      <c r="KZP81" s="0"/>
      <c r="KZQ81" s="0"/>
      <c r="KZR81" s="0"/>
      <c r="KZS81" s="0"/>
      <c r="KZT81" s="0"/>
      <c r="KZU81" s="0"/>
      <c r="KZV81" s="0"/>
      <c r="KZW81" s="0"/>
      <c r="KZX81" s="0"/>
      <c r="KZY81" s="0"/>
      <c r="KZZ81" s="0"/>
      <c r="LAA81" s="0"/>
      <c r="LAB81" s="0"/>
      <c r="LAC81" s="0"/>
      <c r="LAD81" s="0"/>
      <c r="LAE81" s="0"/>
      <c r="LAF81" s="0"/>
      <c r="LAG81" s="0"/>
      <c r="LAH81" s="0"/>
      <c r="LAI81" s="0"/>
      <c r="LAJ81" s="0"/>
      <c r="LAK81" s="0"/>
      <c r="LAL81" s="0"/>
      <c r="LAM81" s="0"/>
      <c r="LAN81" s="0"/>
      <c r="LAO81" s="0"/>
      <c r="LAP81" s="0"/>
      <c r="LAQ81" s="0"/>
      <c r="LAR81" s="0"/>
      <c r="LAS81" s="0"/>
      <c r="LAT81" s="0"/>
      <c r="LAU81" s="0"/>
      <c r="LAV81" s="0"/>
      <c r="LAW81" s="0"/>
      <c r="LAX81" s="0"/>
      <c r="LAY81" s="0"/>
      <c r="LAZ81" s="0"/>
      <c r="LBA81" s="0"/>
      <c r="LBB81" s="0"/>
      <c r="LBC81" s="0"/>
      <c r="LBD81" s="0"/>
      <c r="LBE81" s="0"/>
      <c r="LBF81" s="0"/>
      <c r="LBG81" s="0"/>
      <c r="LBH81" s="0"/>
      <c r="LBI81" s="0"/>
      <c r="LBJ81" s="0"/>
      <c r="LBK81" s="0"/>
      <c r="LBL81" s="0"/>
      <c r="LBM81" s="0"/>
      <c r="LBN81" s="0"/>
      <c r="LBO81" s="0"/>
      <c r="LBP81" s="0"/>
      <c r="LBQ81" s="0"/>
      <c r="LBR81" s="0"/>
      <c r="LBS81" s="0"/>
      <c r="LBT81" s="0"/>
      <c r="LBU81" s="0"/>
      <c r="LBV81" s="0"/>
      <c r="LBW81" s="0"/>
      <c r="LBX81" s="0"/>
      <c r="LBY81" s="0"/>
      <c r="LBZ81" s="0"/>
      <c r="LCA81" s="0"/>
      <c r="LCB81" s="0"/>
      <c r="LCC81" s="0"/>
      <c r="LCD81" s="0"/>
      <c r="LCE81" s="0"/>
      <c r="LCF81" s="0"/>
      <c r="LCG81" s="0"/>
      <c r="LCH81" s="0"/>
      <c r="LCI81" s="0"/>
      <c r="LCJ81" s="0"/>
      <c r="LCK81" s="0"/>
      <c r="LCL81" s="0"/>
      <c r="LCM81" s="0"/>
      <c r="LCN81" s="0"/>
      <c r="LCO81" s="0"/>
      <c r="LCP81" s="0"/>
      <c r="LCQ81" s="0"/>
      <c r="LCR81" s="0"/>
      <c r="LCS81" s="0"/>
      <c r="LCT81" s="0"/>
      <c r="LCU81" s="0"/>
      <c r="LCV81" s="0"/>
      <c r="LCW81" s="0"/>
      <c r="LCX81" s="0"/>
      <c r="LCY81" s="0"/>
      <c r="LCZ81" s="0"/>
      <c r="LDA81" s="0"/>
      <c r="LDB81" s="0"/>
      <c r="LDC81" s="0"/>
      <c r="LDD81" s="0"/>
      <c r="LDE81" s="0"/>
      <c r="LDF81" s="0"/>
      <c r="LDG81" s="0"/>
      <c r="LDH81" s="0"/>
      <c r="LDI81" s="0"/>
      <c r="LDJ81" s="0"/>
      <c r="LDK81" s="0"/>
      <c r="LDL81" s="0"/>
      <c r="LDM81" s="0"/>
      <c r="LDN81" s="0"/>
      <c r="LDO81" s="0"/>
      <c r="LDP81" s="0"/>
      <c r="LDQ81" s="0"/>
      <c r="LDR81" s="0"/>
      <c r="LDS81" s="0"/>
      <c r="LDT81" s="0"/>
      <c r="LDU81" s="0"/>
      <c r="LDV81" s="0"/>
      <c r="LDW81" s="0"/>
      <c r="LDX81" s="0"/>
      <c r="LDY81" s="0"/>
      <c r="LDZ81" s="0"/>
      <c r="LEA81" s="0"/>
      <c r="LEB81" s="0"/>
      <c r="LEC81" s="0"/>
      <c r="LED81" s="0"/>
      <c r="LEE81" s="0"/>
      <c r="LEF81" s="0"/>
      <c r="LEG81" s="0"/>
      <c r="LEH81" s="0"/>
      <c r="LEI81" s="0"/>
      <c r="LEJ81" s="0"/>
      <c r="LEK81" s="0"/>
      <c r="LEL81" s="0"/>
      <c r="LEM81" s="0"/>
      <c r="LEN81" s="0"/>
      <c r="LEO81" s="0"/>
      <c r="LEP81" s="0"/>
      <c r="LEQ81" s="0"/>
      <c r="LER81" s="0"/>
      <c r="LES81" s="0"/>
      <c r="LET81" s="0"/>
      <c r="LEU81" s="0"/>
      <c r="LEV81" s="0"/>
      <c r="LEW81" s="0"/>
      <c r="LEX81" s="0"/>
      <c r="LEY81" s="0"/>
      <c r="LEZ81" s="0"/>
      <c r="LFA81" s="0"/>
      <c r="LFB81" s="0"/>
      <c r="LFC81" s="0"/>
      <c r="LFD81" s="0"/>
      <c r="LFE81" s="0"/>
      <c r="LFF81" s="0"/>
      <c r="LFG81" s="0"/>
      <c r="LFH81" s="0"/>
      <c r="LFI81" s="0"/>
      <c r="LFJ81" s="0"/>
      <c r="LFK81" s="0"/>
      <c r="LFL81" s="0"/>
      <c r="LFM81" s="0"/>
      <c r="LFN81" s="0"/>
      <c r="LFO81" s="0"/>
      <c r="LFP81" s="0"/>
      <c r="LFQ81" s="0"/>
      <c r="LFR81" s="0"/>
      <c r="LFS81" s="0"/>
      <c r="LFT81" s="0"/>
      <c r="LFU81" s="0"/>
      <c r="LFV81" s="0"/>
      <c r="LFW81" s="0"/>
      <c r="LFX81" s="0"/>
      <c r="LFY81" s="0"/>
      <c r="LFZ81" s="0"/>
      <c r="LGA81" s="0"/>
      <c r="LGB81" s="0"/>
      <c r="LGC81" s="0"/>
      <c r="LGD81" s="0"/>
      <c r="LGE81" s="0"/>
      <c r="LGF81" s="0"/>
      <c r="LGG81" s="0"/>
      <c r="LGH81" s="0"/>
      <c r="LGI81" s="0"/>
      <c r="LGJ81" s="0"/>
      <c r="LGK81" s="0"/>
      <c r="LGL81" s="0"/>
      <c r="LGM81" s="0"/>
      <c r="LGN81" s="0"/>
      <c r="LGO81" s="0"/>
      <c r="LGP81" s="0"/>
      <c r="LGQ81" s="0"/>
      <c r="LGR81" s="0"/>
      <c r="LGS81" s="0"/>
      <c r="LGT81" s="0"/>
      <c r="LGU81" s="0"/>
      <c r="LGV81" s="0"/>
      <c r="LGW81" s="0"/>
      <c r="LGX81" s="0"/>
      <c r="LGY81" s="0"/>
      <c r="LGZ81" s="0"/>
      <c r="LHA81" s="0"/>
      <c r="LHB81" s="0"/>
      <c r="LHC81" s="0"/>
      <c r="LHD81" s="0"/>
      <c r="LHE81" s="0"/>
      <c r="LHF81" s="0"/>
      <c r="LHG81" s="0"/>
      <c r="LHH81" s="0"/>
      <c r="LHI81" s="0"/>
      <c r="LHJ81" s="0"/>
      <c r="LHK81" s="0"/>
      <c r="LHL81" s="0"/>
      <c r="LHM81" s="0"/>
      <c r="LHN81" s="0"/>
      <c r="LHO81" s="0"/>
      <c r="LHP81" s="0"/>
      <c r="LHQ81" s="0"/>
      <c r="LHR81" s="0"/>
      <c r="LHS81" s="0"/>
      <c r="LHT81" s="0"/>
      <c r="LHU81" s="0"/>
      <c r="LHV81" s="0"/>
      <c r="LHW81" s="0"/>
      <c r="LHX81" s="0"/>
      <c r="LHY81" s="0"/>
      <c r="LHZ81" s="0"/>
      <c r="LIA81" s="0"/>
      <c r="LIB81" s="0"/>
      <c r="LIC81" s="0"/>
      <c r="LID81" s="0"/>
      <c r="LIE81" s="0"/>
      <c r="LIF81" s="0"/>
      <c r="LIG81" s="0"/>
      <c r="LIH81" s="0"/>
      <c r="LII81" s="0"/>
      <c r="LIJ81" s="0"/>
      <c r="LIK81" s="0"/>
      <c r="LIL81" s="0"/>
      <c r="LIM81" s="0"/>
      <c r="LIN81" s="0"/>
      <c r="LIO81" s="0"/>
      <c r="LIP81" s="0"/>
      <c r="LIQ81" s="0"/>
      <c r="LIR81" s="0"/>
      <c r="LIS81" s="0"/>
      <c r="LIT81" s="0"/>
      <c r="LIU81" s="0"/>
      <c r="LIV81" s="0"/>
      <c r="LIW81" s="0"/>
      <c r="LIX81" s="0"/>
      <c r="LIY81" s="0"/>
      <c r="LIZ81" s="0"/>
      <c r="LJA81" s="0"/>
      <c r="LJB81" s="0"/>
      <c r="LJC81" s="0"/>
      <c r="LJD81" s="0"/>
      <c r="LJE81" s="0"/>
      <c r="LJF81" s="0"/>
      <c r="LJG81" s="0"/>
      <c r="LJH81" s="0"/>
      <c r="LJI81" s="0"/>
      <c r="LJJ81" s="0"/>
      <c r="LJK81" s="0"/>
      <c r="LJL81" s="0"/>
      <c r="LJM81" s="0"/>
      <c r="LJN81" s="0"/>
      <c r="LJO81" s="0"/>
      <c r="LJP81" s="0"/>
      <c r="LJQ81" s="0"/>
      <c r="LJR81" s="0"/>
      <c r="LJS81" s="0"/>
      <c r="LJT81" s="0"/>
      <c r="LJU81" s="0"/>
      <c r="LJV81" s="0"/>
      <c r="LJW81" s="0"/>
      <c r="LJX81" s="0"/>
      <c r="LJY81" s="0"/>
      <c r="LJZ81" s="0"/>
      <c r="LKA81" s="0"/>
      <c r="LKB81" s="0"/>
      <c r="LKC81" s="0"/>
      <c r="LKD81" s="0"/>
      <c r="LKE81" s="0"/>
      <c r="LKF81" s="0"/>
      <c r="LKG81" s="0"/>
      <c r="LKH81" s="0"/>
      <c r="LKI81" s="0"/>
      <c r="LKJ81" s="0"/>
      <c r="LKK81" s="0"/>
      <c r="LKL81" s="0"/>
      <c r="LKM81" s="0"/>
      <c r="LKN81" s="0"/>
      <c r="LKO81" s="0"/>
      <c r="LKP81" s="0"/>
      <c r="LKQ81" s="0"/>
      <c r="LKR81" s="0"/>
      <c r="LKS81" s="0"/>
      <c r="LKT81" s="0"/>
      <c r="LKU81" s="0"/>
      <c r="LKV81" s="0"/>
      <c r="LKW81" s="0"/>
      <c r="LKX81" s="0"/>
      <c r="LKY81" s="0"/>
      <c r="LKZ81" s="0"/>
      <c r="LLA81" s="0"/>
      <c r="LLB81" s="0"/>
      <c r="LLC81" s="0"/>
      <c r="LLD81" s="0"/>
      <c r="LLE81" s="0"/>
      <c r="LLF81" s="0"/>
      <c r="LLG81" s="0"/>
      <c r="LLH81" s="0"/>
      <c r="LLI81" s="0"/>
      <c r="LLJ81" s="0"/>
      <c r="LLK81" s="0"/>
      <c r="LLL81" s="0"/>
      <c r="LLM81" s="0"/>
      <c r="LLN81" s="0"/>
      <c r="LLO81" s="0"/>
      <c r="LLP81" s="0"/>
      <c r="LLQ81" s="0"/>
      <c r="LLR81" s="0"/>
      <c r="LLS81" s="0"/>
      <c r="LLT81" s="0"/>
      <c r="LLU81" s="0"/>
      <c r="LLV81" s="0"/>
      <c r="LLW81" s="0"/>
      <c r="LLX81" s="0"/>
      <c r="LLY81" s="0"/>
      <c r="LLZ81" s="0"/>
      <c r="LMA81" s="0"/>
      <c r="LMB81" s="0"/>
      <c r="LMC81" s="0"/>
      <c r="LMD81" s="0"/>
      <c r="LME81" s="0"/>
      <c r="LMF81" s="0"/>
      <c r="LMG81" s="0"/>
      <c r="LMH81" s="0"/>
      <c r="LMI81" s="0"/>
      <c r="LMJ81" s="0"/>
      <c r="LMK81" s="0"/>
      <c r="LML81" s="0"/>
      <c r="LMM81" s="0"/>
      <c r="LMN81" s="0"/>
      <c r="LMO81" s="0"/>
      <c r="LMP81" s="0"/>
      <c r="LMQ81" s="0"/>
      <c r="LMR81" s="0"/>
      <c r="LMS81" s="0"/>
      <c r="LMT81" s="0"/>
      <c r="LMU81" s="0"/>
      <c r="LMV81" s="0"/>
      <c r="LMW81" s="0"/>
      <c r="LMX81" s="0"/>
      <c r="LMY81" s="0"/>
      <c r="LMZ81" s="0"/>
      <c r="LNA81" s="0"/>
      <c r="LNB81" s="0"/>
      <c r="LNC81" s="0"/>
      <c r="LND81" s="0"/>
      <c r="LNE81" s="0"/>
      <c r="LNF81" s="0"/>
      <c r="LNG81" s="0"/>
      <c r="LNH81" s="0"/>
      <c r="LNI81" s="0"/>
      <c r="LNJ81" s="0"/>
      <c r="LNK81" s="0"/>
      <c r="LNL81" s="0"/>
      <c r="LNM81" s="0"/>
      <c r="LNN81" s="0"/>
      <c r="LNO81" s="0"/>
      <c r="LNP81" s="0"/>
      <c r="LNQ81" s="0"/>
      <c r="LNR81" s="0"/>
      <c r="LNS81" s="0"/>
      <c r="LNT81" s="0"/>
      <c r="LNU81" s="0"/>
      <c r="LNV81" s="0"/>
      <c r="LNW81" s="0"/>
      <c r="LNX81" s="0"/>
      <c r="LNY81" s="0"/>
      <c r="LNZ81" s="0"/>
      <c r="LOA81" s="0"/>
      <c r="LOB81" s="0"/>
      <c r="LOC81" s="0"/>
      <c r="LOD81" s="0"/>
      <c r="LOE81" s="0"/>
      <c r="LOF81" s="0"/>
      <c r="LOG81" s="0"/>
      <c r="LOH81" s="0"/>
      <c r="LOI81" s="0"/>
      <c r="LOJ81" s="0"/>
      <c r="LOK81" s="0"/>
      <c r="LOL81" s="0"/>
      <c r="LOM81" s="0"/>
      <c r="LON81" s="0"/>
      <c r="LOO81" s="0"/>
      <c r="LOP81" s="0"/>
      <c r="LOQ81" s="0"/>
      <c r="LOR81" s="0"/>
      <c r="LOS81" s="0"/>
      <c r="LOT81" s="0"/>
      <c r="LOU81" s="0"/>
      <c r="LOV81" s="0"/>
      <c r="LOW81" s="0"/>
      <c r="LOX81" s="0"/>
      <c r="LOY81" s="0"/>
      <c r="LOZ81" s="0"/>
      <c r="LPA81" s="0"/>
      <c r="LPB81" s="0"/>
      <c r="LPC81" s="0"/>
      <c r="LPD81" s="0"/>
      <c r="LPE81" s="0"/>
      <c r="LPF81" s="0"/>
      <c r="LPG81" s="0"/>
      <c r="LPH81" s="0"/>
      <c r="LPI81" s="0"/>
      <c r="LPJ81" s="0"/>
      <c r="LPK81" s="0"/>
      <c r="LPL81" s="0"/>
      <c r="LPM81" s="0"/>
      <c r="LPN81" s="0"/>
      <c r="LPO81" s="0"/>
      <c r="LPP81" s="0"/>
      <c r="LPQ81" s="0"/>
      <c r="LPR81" s="0"/>
      <c r="LPS81" s="0"/>
      <c r="LPT81" s="0"/>
      <c r="LPU81" s="0"/>
      <c r="LPV81" s="0"/>
      <c r="LPW81" s="0"/>
      <c r="LPX81" s="0"/>
      <c r="LPY81" s="0"/>
      <c r="LPZ81" s="0"/>
      <c r="LQA81" s="0"/>
      <c r="LQB81" s="0"/>
      <c r="LQC81" s="0"/>
      <c r="LQD81" s="0"/>
      <c r="LQE81" s="0"/>
      <c r="LQF81" s="0"/>
      <c r="LQG81" s="0"/>
      <c r="LQH81" s="0"/>
      <c r="LQI81" s="0"/>
      <c r="LQJ81" s="0"/>
      <c r="LQK81" s="0"/>
      <c r="LQL81" s="0"/>
      <c r="LQM81" s="0"/>
      <c r="LQN81" s="0"/>
      <c r="LQO81" s="0"/>
      <c r="LQP81" s="0"/>
      <c r="LQQ81" s="0"/>
      <c r="LQR81" s="0"/>
      <c r="LQS81" s="0"/>
      <c r="LQT81" s="0"/>
      <c r="LQU81" s="0"/>
      <c r="LQV81" s="0"/>
      <c r="LQW81" s="0"/>
      <c r="LQX81" s="0"/>
      <c r="LQY81" s="0"/>
      <c r="LQZ81" s="0"/>
      <c r="LRA81" s="0"/>
      <c r="LRB81" s="0"/>
      <c r="LRC81" s="0"/>
      <c r="LRD81" s="0"/>
      <c r="LRE81" s="0"/>
      <c r="LRF81" s="0"/>
      <c r="LRG81" s="0"/>
      <c r="LRH81" s="0"/>
      <c r="LRI81" s="0"/>
      <c r="LRJ81" s="0"/>
      <c r="LRK81" s="0"/>
      <c r="LRL81" s="0"/>
      <c r="LRM81" s="0"/>
      <c r="LRN81" s="0"/>
      <c r="LRO81" s="0"/>
      <c r="LRP81" s="0"/>
      <c r="LRQ81" s="0"/>
      <c r="LRR81" s="0"/>
      <c r="LRS81" s="0"/>
      <c r="LRT81" s="0"/>
      <c r="LRU81" s="0"/>
      <c r="LRV81" s="0"/>
      <c r="LRW81" s="0"/>
      <c r="LRX81" s="0"/>
      <c r="LRY81" s="0"/>
      <c r="LRZ81" s="0"/>
      <c r="LSA81" s="0"/>
      <c r="LSB81" s="0"/>
      <c r="LSC81" s="0"/>
      <c r="LSD81" s="0"/>
      <c r="LSE81" s="0"/>
      <c r="LSF81" s="0"/>
      <c r="LSG81" s="0"/>
      <c r="LSH81" s="0"/>
      <c r="LSI81" s="0"/>
      <c r="LSJ81" s="0"/>
      <c r="LSK81" s="0"/>
      <c r="LSL81" s="0"/>
      <c r="LSM81" s="0"/>
      <c r="LSN81" s="0"/>
      <c r="LSO81" s="0"/>
      <c r="LSP81" s="0"/>
      <c r="LSQ81" s="0"/>
      <c r="LSR81" s="0"/>
      <c r="LSS81" s="0"/>
      <c r="LST81" s="0"/>
      <c r="LSU81" s="0"/>
      <c r="LSV81" s="0"/>
      <c r="LSW81" s="0"/>
      <c r="LSX81" s="0"/>
      <c r="LSY81" s="0"/>
      <c r="LSZ81" s="0"/>
      <c r="LTA81" s="0"/>
      <c r="LTB81" s="0"/>
      <c r="LTC81" s="0"/>
      <c r="LTD81" s="0"/>
      <c r="LTE81" s="0"/>
      <c r="LTF81" s="0"/>
      <c r="LTG81" s="0"/>
      <c r="LTH81" s="0"/>
      <c r="LTI81" s="0"/>
      <c r="LTJ81" s="0"/>
      <c r="LTK81" s="0"/>
      <c r="LTL81" s="0"/>
      <c r="LTM81" s="0"/>
      <c r="LTN81" s="0"/>
      <c r="LTO81" s="0"/>
      <c r="LTP81" s="0"/>
      <c r="LTQ81" s="0"/>
      <c r="LTR81" s="0"/>
      <c r="LTS81" s="0"/>
      <c r="LTT81" s="0"/>
      <c r="LTU81" s="0"/>
      <c r="LTV81" s="0"/>
      <c r="LTW81" s="0"/>
      <c r="LTX81" s="0"/>
      <c r="LTY81" s="0"/>
      <c r="LTZ81" s="0"/>
      <c r="LUA81" s="0"/>
      <c r="LUB81" s="0"/>
      <c r="LUC81" s="0"/>
      <c r="LUD81" s="0"/>
      <c r="LUE81" s="0"/>
      <c r="LUF81" s="0"/>
      <c r="LUG81" s="0"/>
      <c r="LUH81" s="0"/>
      <c r="LUI81" s="0"/>
      <c r="LUJ81" s="0"/>
      <c r="LUK81" s="0"/>
      <c r="LUL81" s="0"/>
      <c r="LUM81" s="0"/>
      <c r="LUN81" s="0"/>
      <c r="LUO81" s="0"/>
      <c r="LUP81" s="0"/>
      <c r="LUQ81" s="0"/>
      <c r="LUR81" s="0"/>
      <c r="LUS81" s="0"/>
      <c r="LUT81" s="0"/>
      <c r="LUU81" s="0"/>
      <c r="LUV81" s="0"/>
      <c r="LUW81" s="0"/>
      <c r="LUX81" s="0"/>
      <c r="LUY81" s="0"/>
      <c r="LUZ81" s="0"/>
      <c r="LVA81" s="0"/>
      <c r="LVB81" s="0"/>
      <c r="LVC81" s="0"/>
      <c r="LVD81" s="0"/>
      <c r="LVE81" s="0"/>
      <c r="LVF81" s="0"/>
      <c r="LVG81" s="0"/>
      <c r="LVH81" s="0"/>
      <c r="LVI81" s="0"/>
      <c r="LVJ81" s="0"/>
      <c r="LVK81" s="0"/>
      <c r="LVL81" s="0"/>
      <c r="LVM81" s="0"/>
      <c r="LVN81" s="0"/>
      <c r="LVO81" s="0"/>
      <c r="LVP81" s="0"/>
      <c r="LVQ81" s="0"/>
      <c r="LVR81" s="0"/>
      <c r="LVS81" s="0"/>
      <c r="LVT81" s="0"/>
      <c r="LVU81" s="0"/>
      <c r="LVV81" s="0"/>
      <c r="LVW81" s="0"/>
      <c r="LVX81" s="0"/>
      <c r="LVY81" s="0"/>
      <c r="LVZ81" s="0"/>
      <c r="LWA81" s="0"/>
      <c r="LWB81" s="0"/>
      <c r="LWC81" s="0"/>
      <c r="LWD81" s="0"/>
      <c r="LWE81" s="0"/>
      <c r="LWF81" s="0"/>
      <c r="LWG81" s="0"/>
      <c r="LWH81" s="0"/>
      <c r="LWI81" s="0"/>
      <c r="LWJ81" s="0"/>
      <c r="LWK81" s="0"/>
      <c r="LWL81" s="0"/>
      <c r="LWM81" s="0"/>
      <c r="LWN81" s="0"/>
      <c r="LWO81" s="0"/>
      <c r="LWP81" s="0"/>
      <c r="LWQ81" s="0"/>
      <c r="LWR81" s="0"/>
      <c r="LWS81" s="0"/>
      <c r="LWT81" s="0"/>
      <c r="LWU81" s="0"/>
      <c r="LWV81" s="0"/>
      <c r="LWW81" s="0"/>
      <c r="LWX81" s="0"/>
      <c r="LWY81" s="0"/>
      <c r="LWZ81" s="0"/>
      <c r="LXA81" s="0"/>
      <c r="LXB81" s="0"/>
      <c r="LXC81" s="0"/>
      <c r="LXD81" s="0"/>
      <c r="LXE81" s="0"/>
      <c r="LXF81" s="0"/>
      <c r="LXG81" s="0"/>
      <c r="LXH81" s="0"/>
      <c r="LXI81" s="0"/>
      <c r="LXJ81" s="0"/>
      <c r="LXK81" s="0"/>
      <c r="LXL81" s="0"/>
      <c r="LXM81" s="0"/>
      <c r="LXN81" s="0"/>
      <c r="LXO81" s="0"/>
      <c r="LXP81" s="0"/>
      <c r="LXQ81" s="0"/>
      <c r="LXR81" s="0"/>
      <c r="LXS81" s="0"/>
      <c r="LXT81" s="0"/>
      <c r="LXU81" s="0"/>
      <c r="LXV81" s="0"/>
      <c r="LXW81" s="0"/>
      <c r="LXX81" s="0"/>
      <c r="LXY81" s="0"/>
      <c r="LXZ81" s="0"/>
      <c r="LYA81" s="0"/>
      <c r="LYB81" s="0"/>
      <c r="LYC81" s="0"/>
      <c r="LYD81" s="0"/>
      <c r="LYE81" s="0"/>
      <c r="LYF81" s="0"/>
      <c r="LYG81" s="0"/>
      <c r="LYH81" s="0"/>
      <c r="LYI81" s="0"/>
      <c r="LYJ81" s="0"/>
      <c r="LYK81" s="0"/>
      <c r="LYL81" s="0"/>
      <c r="LYM81" s="0"/>
      <c r="LYN81" s="0"/>
      <c r="LYO81" s="0"/>
      <c r="LYP81" s="0"/>
      <c r="LYQ81" s="0"/>
      <c r="LYR81" s="0"/>
      <c r="LYS81" s="0"/>
      <c r="LYT81" s="0"/>
      <c r="LYU81" s="0"/>
      <c r="LYV81" s="0"/>
      <c r="LYW81" s="0"/>
      <c r="LYX81" s="0"/>
      <c r="LYY81" s="0"/>
      <c r="LYZ81" s="0"/>
      <c r="LZA81" s="0"/>
      <c r="LZB81" s="0"/>
      <c r="LZC81" s="0"/>
      <c r="LZD81" s="0"/>
      <c r="LZE81" s="0"/>
      <c r="LZF81" s="0"/>
      <c r="LZG81" s="0"/>
      <c r="LZH81" s="0"/>
      <c r="LZI81" s="0"/>
      <c r="LZJ81" s="0"/>
      <c r="LZK81" s="0"/>
      <c r="LZL81" s="0"/>
      <c r="LZM81" s="0"/>
      <c r="LZN81" s="0"/>
      <c r="LZO81" s="0"/>
      <c r="LZP81" s="0"/>
      <c r="LZQ81" s="0"/>
      <c r="LZR81" s="0"/>
      <c r="LZS81" s="0"/>
      <c r="LZT81" s="0"/>
      <c r="LZU81" s="0"/>
      <c r="LZV81" s="0"/>
      <c r="LZW81" s="0"/>
      <c r="LZX81" s="0"/>
      <c r="LZY81" s="0"/>
      <c r="LZZ81" s="0"/>
      <c r="MAA81" s="0"/>
      <c r="MAB81" s="0"/>
      <c r="MAC81" s="0"/>
      <c r="MAD81" s="0"/>
      <c r="MAE81" s="0"/>
      <c r="MAF81" s="0"/>
      <c r="MAG81" s="0"/>
      <c r="MAH81" s="0"/>
      <c r="MAI81" s="0"/>
      <c r="MAJ81" s="0"/>
      <c r="MAK81" s="0"/>
      <c r="MAL81" s="0"/>
      <c r="MAM81" s="0"/>
      <c r="MAN81" s="0"/>
      <c r="MAO81" s="0"/>
      <c r="MAP81" s="0"/>
      <c r="MAQ81" s="0"/>
      <c r="MAR81" s="0"/>
      <c r="MAS81" s="0"/>
      <c r="MAT81" s="0"/>
      <c r="MAU81" s="0"/>
      <c r="MAV81" s="0"/>
      <c r="MAW81" s="0"/>
      <c r="MAX81" s="0"/>
      <c r="MAY81" s="0"/>
      <c r="MAZ81" s="0"/>
      <c r="MBA81" s="0"/>
      <c r="MBB81" s="0"/>
      <c r="MBC81" s="0"/>
      <c r="MBD81" s="0"/>
      <c r="MBE81" s="0"/>
      <c r="MBF81" s="0"/>
      <c r="MBG81" s="0"/>
      <c r="MBH81" s="0"/>
      <c r="MBI81" s="0"/>
      <c r="MBJ81" s="0"/>
      <c r="MBK81" s="0"/>
      <c r="MBL81" s="0"/>
      <c r="MBM81" s="0"/>
      <c r="MBN81" s="0"/>
      <c r="MBO81" s="0"/>
      <c r="MBP81" s="0"/>
      <c r="MBQ81" s="0"/>
      <c r="MBR81" s="0"/>
      <c r="MBS81" s="0"/>
      <c r="MBT81" s="0"/>
      <c r="MBU81" s="0"/>
      <c r="MBV81" s="0"/>
      <c r="MBW81" s="0"/>
      <c r="MBX81" s="0"/>
      <c r="MBY81" s="0"/>
      <c r="MBZ81" s="0"/>
      <c r="MCA81" s="0"/>
      <c r="MCB81" s="0"/>
      <c r="MCC81" s="0"/>
      <c r="MCD81" s="0"/>
      <c r="MCE81" s="0"/>
      <c r="MCF81" s="0"/>
      <c r="MCG81" s="0"/>
      <c r="MCH81" s="0"/>
      <c r="MCI81" s="0"/>
      <c r="MCJ81" s="0"/>
      <c r="MCK81" s="0"/>
      <c r="MCL81" s="0"/>
      <c r="MCM81" s="0"/>
      <c r="MCN81" s="0"/>
      <c r="MCO81" s="0"/>
      <c r="MCP81" s="0"/>
      <c r="MCQ81" s="0"/>
      <c r="MCR81" s="0"/>
      <c r="MCS81" s="0"/>
      <c r="MCT81" s="0"/>
      <c r="MCU81" s="0"/>
      <c r="MCV81" s="0"/>
      <c r="MCW81" s="0"/>
      <c r="MCX81" s="0"/>
      <c r="MCY81" s="0"/>
      <c r="MCZ81" s="0"/>
      <c r="MDA81" s="0"/>
      <c r="MDB81" s="0"/>
      <c r="MDC81" s="0"/>
      <c r="MDD81" s="0"/>
      <c r="MDE81" s="0"/>
      <c r="MDF81" s="0"/>
      <c r="MDG81" s="0"/>
      <c r="MDH81" s="0"/>
      <c r="MDI81" s="0"/>
      <c r="MDJ81" s="0"/>
      <c r="MDK81" s="0"/>
      <c r="MDL81" s="0"/>
      <c r="MDM81" s="0"/>
      <c r="MDN81" s="0"/>
      <c r="MDO81" s="0"/>
      <c r="MDP81" s="0"/>
      <c r="MDQ81" s="0"/>
      <c r="MDR81" s="0"/>
      <c r="MDS81" s="0"/>
      <c r="MDT81" s="0"/>
      <c r="MDU81" s="0"/>
      <c r="MDV81" s="0"/>
      <c r="MDW81" s="0"/>
      <c r="MDX81" s="0"/>
      <c r="MDY81" s="0"/>
      <c r="MDZ81" s="0"/>
      <c r="MEA81" s="0"/>
      <c r="MEB81" s="0"/>
      <c r="MEC81" s="0"/>
      <c r="MED81" s="0"/>
      <c r="MEE81" s="0"/>
      <c r="MEF81" s="0"/>
      <c r="MEG81" s="0"/>
      <c r="MEH81" s="0"/>
      <c r="MEI81" s="0"/>
      <c r="MEJ81" s="0"/>
      <c r="MEK81" s="0"/>
      <c r="MEL81" s="0"/>
      <c r="MEM81" s="0"/>
      <c r="MEN81" s="0"/>
      <c r="MEO81" s="0"/>
      <c r="MEP81" s="0"/>
      <c r="MEQ81" s="0"/>
      <c r="MER81" s="0"/>
      <c r="MES81" s="0"/>
      <c r="MET81" s="0"/>
      <c r="MEU81" s="0"/>
      <c r="MEV81" s="0"/>
      <c r="MEW81" s="0"/>
      <c r="MEX81" s="0"/>
      <c r="MEY81" s="0"/>
      <c r="MEZ81" s="0"/>
      <c r="MFA81" s="0"/>
      <c r="MFB81" s="0"/>
      <c r="MFC81" s="0"/>
      <c r="MFD81" s="0"/>
      <c r="MFE81" s="0"/>
      <c r="MFF81" s="0"/>
      <c r="MFG81" s="0"/>
      <c r="MFH81" s="0"/>
      <c r="MFI81" s="0"/>
      <c r="MFJ81" s="0"/>
      <c r="MFK81" s="0"/>
      <c r="MFL81" s="0"/>
      <c r="MFM81" s="0"/>
      <c r="MFN81" s="0"/>
      <c r="MFO81" s="0"/>
      <c r="MFP81" s="0"/>
      <c r="MFQ81" s="0"/>
      <c r="MFR81" s="0"/>
      <c r="MFS81" s="0"/>
      <c r="MFT81" s="0"/>
      <c r="MFU81" s="0"/>
      <c r="MFV81" s="0"/>
      <c r="MFW81" s="0"/>
      <c r="MFX81" s="0"/>
      <c r="MFY81" s="0"/>
      <c r="MFZ81" s="0"/>
      <c r="MGA81" s="0"/>
      <c r="MGB81" s="0"/>
      <c r="MGC81" s="0"/>
      <c r="MGD81" s="0"/>
      <c r="MGE81" s="0"/>
      <c r="MGF81" s="0"/>
      <c r="MGG81" s="0"/>
      <c r="MGH81" s="0"/>
      <c r="MGI81" s="0"/>
      <c r="MGJ81" s="0"/>
      <c r="MGK81" s="0"/>
      <c r="MGL81" s="0"/>
      <c r="MGM81" s="0"/>
      <c r="MGN81" s="0"/>
      <c r="MGO81" s="0"/>
      <c r="MGP81" s="0"/>
      <c r="MGQ81" s="0"/>
      <c r="MGR81" s="0"/>
      <c r="MGS81" s="0"/>
      <c r="MGT81" s="0"/>
      <c r="MGU81" s="0"/>
      <c r="MGV81" s="0"/>
      <c r="MGW81" s="0"/>
      <c r="MGX81" s="0"/>
      <c r="MGY81" s="0"/>
      <c r="MGZ81" s="0"/>
      <c r="MHA81" s="0"/>
      <c r="MHB81" s="0"/>
      <c r="MHC81" s="0"/>
      <c r="MHD81" s="0"/>
      <c r="MHE81" s="0"/>
      <c r="MHF81" s="0"/>
      <c r="MHG81" s="0"/>
      <c r="MHH81" s="0"/>
      <c r="MHI81" s="0"/>
      <c r="MHJ81" s="0"/>
      <c r="MHK81" s="0"/>
      <c r="MHL81" s="0"/>
      <c r="MHM81" s="0"/>
      <c r="MHN81" s="0"/>
      <c r="MHO81" s="0"/>
      <c r="MHP81" s="0"/>
      <c r="MHQ81" s="0"/>
      <c r="MHR81" s="0"/>
      <c r="MHS81" s="0"/>
      <c r="MHT81" s="0"/>
      <c r="MHU81" s="0"/>
      <c r="MHV81" s="0"/>
      <c r="MHW81" s="0"/>
      <c r="MHX81" s="0"/>
      <c r="MHY81" s="0"/>
      <c r="MHZ81" s="0"/>
      <c r="MIA81" s="0"/>
      <c r="MIB81" s="0"/>
      <c r="MIC81" s="0"/>
      <c r="MID81" s="0"/>
      <c r="MIE81" s="0"/>
      <c r="MIF81" s="0"/>
      <c r="MIG81" s="0"/>
      <c r="MIH81" s="0"/>
      <c r="MII81" s="0"/>
      <c r="MIJ81" s="0"/>
      <c r="MIK81" s="0"/>
      <c r="MIL81" s="0"/>
      <c r="MIM81" s="0"/>
      <c r="MIN81" s="0"/>
      <c r="MIO81" s="0"/>
      <c r="MIP81" s="0"/>
      <c r="MIQ81" s="0"/>
      <c r="MIR81" s="0"/>
      <c r="MIS81" s="0"/>
      <c r="MIT81" s="0"/>
      <c r="MIU81" s="0"/>
      <c r="MIV81" s="0"/>
      <c r="MIW81" s="0"/>
      <c r="MIX81" s="0"/>
      <c r="MIY81" s="0"/>
      <c r="MIZ81" s="0"/>
      <c r="MJA81" s="0"/>
      <c r="MJB81" s="0"/>
      <c r="MJC81" s="0"/>
      <c r="MJD81" s="0"/>
      <c r="MJE81" s="0"/>
      <c r="MJF81" s="0"/>
      <c r="MJG81" s="0"/>
      <c r="MJH81" s="0"/>
      <c r="MJI81" s="0"/>
      <c r="MJJ81" s="0"/>
      <c r="MJK81" s="0"/>
      <c r="MJL81" s="0"/>
      <c r="MJM81" s="0"/>
      <c r="MJN81" s="0"/>
      <c r="MJO81" s="0"/>
      <c r="MJP81" s="0"/>
      <c r="MJQ81" s="0"/>
      <c r="MJR81" s="0"/>
      <c r="MJS81" s="0"/>
      <c r="MJT81" s="0"/>
      <c r="MJU81" s="0"/>
      <c r="MJV81" s="0"/>
      <c r="MJW81" s="0"/>
      <c r="MJX81" s="0"/>
      <c r="MJY81" s="0"/>
      <c r="MJZ81" s="0"/>
      <c r="MKA81" s="0"/>
      <c r="MKB81" s="0"/>
      <c r="MKC81" s="0"/>
      <c r="MKD81" s="0"/>
      <c r="MKE81" s="0"/>
      <c r="MKF81" s="0"/>
      <c r="MKG81" s="0"/>
      <c r="MKH81" s="0"/>
      <c r="MKI81" s="0"/>
      <c r="MKJ81" s="0"/>
      <c r="MKK81" s="0"/>
      <c r="MKL81" s="0"/>
      <c r="MKM81" s="0"/>
      <c r="MKN81" s="0"/>
      <c r="MKO81" s="0"/>
      <c r="MKP81" s="0"/>
      <c r="MKQ81" s="0"/>
      <c r="MKR81" s="0"/>
      <c r="MKS81" s="0"/>
      <c r="MKT81" s="0"/>
      <c r="MKU81" s="0"/>
      <c r="MKV81" s="0"/>
      <c r="MKW81" s="0"/>
      <c r="MKX81" s="0"/>
      <c r="MKY81" s="0"/>
      <c r="MKZ81" s="0"/>
      <c r="MLA81" s="0"/>
      <c r="MLB81" s="0"/>
      <c r="MLC81" s="0"/>
      <c r="MLD81" s="0"/>
      <c r="MLE81" s="0"/>
      <c r="MLF81" s="0"/>
      <c r="MLG81" s="0"/>
      <c r="MLH81" s="0"/>
      <c r="MLI81" s="0"/>
      <c r="MLJ81" s="0"/>
      <c r="MLK81" s="0"/>
      <c r="MLL81" s="0"/>
      <c r="MLM81" s="0"/>
      <c r="MLN81" s="0"/>
      <c r="MLO81" s="0"/>
      <c r="MLP81" s="0"/>
      <c r="MLQ81" s="0"/>
      <c r="MLR81" s="0"/>
      <c r="MLS81" s="0"/>
      <c r="MLT81" s="0"/>
      <c r="MLU81" s="0"/>
      <c r="MLV81" s="0"/>
      <c r="MLW81" s="0"/>
      <c r="MLX81" s="0"/>
      <c r="MLY81" s="0"/>
      <c r="MLZ81" s="0"/>
      <c r="MMA81" s="0"/>
      <c r="MMB81" s="0"/>
      <c r="MMC81" s="0"/>
      <c r="MMD81" s="0"/>
      <c r="MME81" s="0"/>
      <c r="MMF81" s="0"/>
      <c r="MMG81" s="0"/>
      <c r="MMH81" s="0"/>
      <c r="MMI81" s="0"/>
      <c r="MMJ81" s="0"/>
      <c r="MMK81" s="0"/>
      <c r="MML81" s="0"/>
      <c r="MMM81" s="0"/>
      <c r="MMN81" s="0"/>
      <c r="MMO81" s="0"/>
      <c r="MMP81" s="0"/>
      <c r="MMQ81" s="0"/>
      <c r="MMR81" s="0"/>
      <c r="MMS81" s="0"/>
      <c r="MMT81" s="0"/>
      <c r="MMU81" s="0"/>
      <c r="MMV81" s="0"/>
      <c r="MMW81" s="0"/>
      <c r="MMX81" s="0"/>
      <c r="MMY81" s="0"/>
      <c r="MMZ81" s="0"/>
      <c r="MNA81" s="0"/>
      <c r="MNB81" s="0"/>
      <c r="MNC81" s="0"/>
      <c r="MND81" s="0"/>
      <c r="MNE81" s="0"/>
      <c r="MNF81" s="0"/>
      <c r="MNG81" s="0"/>
      <c r="MNH81" s="0"/>
      <c r="MNI81" s="0"/>
      <c r="MNJ81" s="0"/>
      <c r="MNK81" s="0"/>
      <c r="MNL81" s="0"/>
      <c r="MNM81" s="0"/>
      <c r="MNN81" s="0"/>
      <c r="MNO81" s="0"/>
      <c r="MNP81" s="0"/>
      <c r="MNQ81" s="0"/>
      <c r="MNR81" s="0"/>
      <c r="MNS81" s="0"/>
      <c r="MNT81" s="0"/>
      <c r="MNU81" s="0"/>
      <c r="MNV81" s="0"/>
      <c r="MNW81" s="0"/>
      <c r="MNX81" s="0"/>
      <c r="MNY81" s="0"/>
      <c r="MNZ81" s="0"/>
      <c r="MOA81" s="0"/>
      <c r="MOB81" s="0"/>
      <c r="MOC81" s="0"/>
      <c r="MOD81" s="0"/>
      <c r="MOE81" s="0"/>
      <c r="MOF81" s="0"/>
      <c r="MOG81" s="0"/>
      <c r="MOH81" s="0"/>
      <c r="MOI81" s="0"/>
      <c r="MOJ81" s="0"/>
      <c r="MOK81" s="0"/>
      <c r="MOL81" s="0"/>
      <c r="MOM81" s="0"/>
      <c r="MON81" s="0"/>
      <c r="MOO81" s="0"/>
      <c r="MOP81" s="0"/>
      <c r="MOQ81" s="0"/>
      <c r="MOR81" s="0"/>
      <c r="MOS81" s="0"/>
      <c r="MOT81" s="0"/>
      <c r="MOU81" s="0"/>
      <c r="MOV81" s="0"/>
      <c r="MOW81" s="0"/>
      <c r="MOX81" s="0"/>
      <c r="MOY81" s="0"/>
      <c r="MOZ81" s="0"/>
      <c r="MPA81" s="0"/>
      <c r="MPB81" s="0"/>
      <c r="MPC81" s="0"/>
      <c r="MPD81" s="0"/>
      <c r="MPE81" s="0"/>
      <c r="MPF81" s="0"/>
      <c r="MPG81" s="0"/>
      <c r="MPH81" s="0"/>
      <c r="MPI81" s="0"/>
      <c r="MPJ81" s="0"/>
      <c r="MPK81" s="0"/>
      <c r="MPL81" s="0"/>
      <c r="MPM81" s="0"/>
      <c r="MPN81" s="0"/>
      <c r="MPO81" s="0"/>
      <c r="MPP81" s="0"/>
      <c r="MPQ81" s="0"/>
      <c r="MPR81" s="0"/>
      <c r="MPS81" s="0"/>
      <c r="MPT81" s="0"/>
      <c r="MPU81" s="0"/>
      <c r="MPV81" s="0"/>
      <c r="MPW81" s="0"/>
      <c r="MPX81" s="0"/>
      <c r="MPY81" s="0"/>
      <c r="MPZ81" s="0"/>
      <c r="MQA81" s="0"/>
      <c r="MQB81" s="0"/>
      <c r="MQC81" s="0"/>
      <c r="MQD81" s="0"/>
      <c r="MQE81" s="0"/>
      <c r="MQF81" s="0"/>
      <c r="MQG81" s="0"/>
      <c r="MQH81" s="0"/>
      <c r="MQI81" s="0"/>
      <c r="MQJ81" s="0"/>
      <c r="MQK81" s="0"/>
      <c r="MQL81" s="0"/>
      <c r="MQM81" s="0"/>
      <c r="MQN81" s="0"/>
      <c r="MQO81" s="0"/>
      <c r="MQP81" s="0"/>
      <c r="MQQ81" s="0"/>
      <c r="MQR81" s="0"/>
      <c r="MQS81" s="0"/>
      <c r="MQT81" s="0"/>
      <c r="MQU81" s="0"/>
      <c r="MQV81" s="0"/>
      <c r="MQW81" s="0"/>
      <c r="MQX81" s="0"/>
      <c r="MQY81" s="0"/>
      <c r="MQZ81" s="0"/>
      <c r="MRA81" s="0"/>
      <c r="MRB81" s="0"/>
      <c r="MRC81" s="0"/>
      <c r="MRD81" s="0"/>
      <c r="MRE81" s="0"/>
      <c r="MRF81" s="0"/>
      <c r="MRG81" s="0"/>
      <c r="MRH81" s="0"/>
      <c r="MRI81" s="0"/>
      <c r="MRJ81" s="0"/>
      <c r="MRK81" s="0"/>
      <c r="MRL81" s="0"/>
      <c r="MRM81" s="0"/>
      <c r="MRN81" s="0"/>
      <c r="MRO81" s="0"/>
      <c r="MRP81" s="0"/>
      <c r="MRQ81" s="0"/>
      <c r="MRR81" s="0"/>
      <c r="MRS81" s="0"/>
      <c r="MRT81" s="0"/>
      <c r="MRU81" s="0"/>
      <c r="MRV81" s="0"/>
      <c r="MRW81" s="0"/>
      <c r="MRX81" s="0"/>
      <c r="MRY81" s="0"/>
      <c r="MRZ81" s="0"/>
      <c r="MSA81" s="0"/>
      <c r="MSB81" s="0"/>
      <c r="MSC81" s="0"/>
      <c r="MSD81" s="0"/>
      <c r="MSE81" s="0"/>
      <c r="MSF81" s="0"/>
      <c r="MSG81" s="0"/>
      <c r="MSH81" s="0"/>
      <c r="MSI81" s="0"/>
      <c r="MSJ81" s="0"/>
      <c r="MSK81" s="0"/>
      <c r="MSL81" s="0"/>
      <c r="MSM81" s="0"/>
      <c r="MSN81" s="0"/>
      <c r="MSO81" s="0"/>
      <c r="MSP81" s="0"/>
      <c r="MSQ81" s="0"/>
      <c r="MSR81" s="0"/>
      <c r="MSS81" s="0"/>
      <c r="MST81" s="0"/>
      <c r="MSU81" s="0"/>
      <c r="MSV81" s="0"/>
      <c r="MSW81" s="0"/>
      <c r="MSX81" s="0"/>
      <c r="MSY81" s="0"/>
      <c r="MSZ81" s="0"/>
      <c r="MTA81" s="0"/>
      <c r="MTB81" s="0"/>
      <c r="MTC81" s="0"/>
      <c r="MTD81" s="0"/>
      <c r="MTE81" s="0"/>
      <c r="MTF81" s="0"/>
      <c r="MTG81" s="0"/>
      <c r="MTH81" s="0"/>
      <c r="MTI81" s="0"/>
      <c r="MTJ81" s="0"/>
      <c r="MTK81" s="0"/>
      <c r="MTL81" s="0"/>
      <c r="MTM81" s="0"/>
      <c r="MTN81" s="0"/>
      <c r="MTO81" s="0"/>
      <c r="MTP81" s="0"/>
      <c r="MTQ81" s="0"/>
      <c r="MTR81" s="0"/>
      <c r="MTS81" s="0"/>
      <c r="MTT81" s="0"/>
      <c r="MTU81" s="0"/>
      <c r="MTV81" s="0"/>
      <c r="MTW81" s="0"/>
      <c r="MTX81" s="0"/>
      <c r="MTY81" s="0"/>
      <c r="MTZ81" s="0"/>
      <c r="MUA81" s="0"/>
      <c r="MUB81" s="0"/>
      <c r="MUC81" s="0"/>
      <c r="MUD81" s="0"/>
      <c r="MUE81" s="0"/>
      <c r="MUF81" s="0"/>
      <c r="MUG81" s="0"/>
      <c r="MUH81" s="0"/>
      <c r="MUI81" s="0"/>
      <c r="MUJ81" s="0"/>
      <c r="MUK81" s="0"/>
      <c r="MUL81" s="0"/>
      <c r="MUM81" s="0"/>
      <c r="MUN81" s="0"/>
      <c r="MUO81" s="0"/>
      <c r="MUP81" s="0"/>
      <c r="MUQ81" s="0"/>
      <c r="MUR81" s="0"/>
      <c r="MUS81" s="0"/>
      <c r="MUT81" s="0"/>
      <c r="MUU81" s="0"/>
      <c r="MUV81" s="0"/>
      <c r="MUW81" s="0"/>
      <c r="MUX81" s="0"/>
      <c r="MUY81" s="0"/>
      <c r="MUZ81" s="0"/>
      <c r="MVA81" s="0"/>
      <c r="MVB81" s="0"/>
      <c r="MVC81" s="0"/>
      <c r="MVD81" s="0"/>
      <c r="MVE81" s="0"/>
      <c r="MVF81" s="0"/>
      <c r="MVG81" s="0"/>
      <c r="MVH81" s="0"/>
      <c r="MVI81" s="0"/>
      <c r="MVJ81" s="0"/>
      <c r="MVK81" s="0"/>
      <c r="MVL81" s="0"/>
      <c r="MVM81" s="0"/>
      <c r="MVN81" s="0"/>
      <c r="MVO81" s="0"/>
      <c r="MVP81" s="0"/>
      <c r="MVQ81" s="0"/>
      <c r="MVR81" s="0"/>
      <c r="MVS81" s="0"/>
      <c r="MVT81" s="0"/>
      <c r="MVU81" s="0"/>
      <c r="MVV81" s="0"/>
      <c r="MVW81" s="0"/>
      <c r="MVX81" s="0"/>
      <c r="MVY81" s="0"/>
      <c r="MVZ81" s="0"/>
      <c r="MWA81" s="0"/>
      <c r="MWB81" s="0"/>
      <c r="MWC81" s="0"/>
      <c r="MWD81" s="0"/>
      <c r="MWE81" s="0"/>
      <c r="MWF81" s="0"/>
      <c r="MWG81" s="0"/>
      <c r="MWH81" s="0"/>
      <c r="MWI81" s="0"/>
      <c r="MWJ81" s="0"/>
      <c r="MWK81" s="0"/>
      <c r="MWL81" s="0"/>
      <c r="MWM81" s="0"/>
      <c r="MWN81" s="0"/>
      <c r="MWO81" s="0"/>
      <c r="MWP81" s="0"/>
      <c r="MWQ81" s="0"/>
      <c r="MWR81" s="0"/>
      <c r="MWS81" s="0"/>
      <c r="MWT81" s="0"/>
      <c r="MWU81" s="0"/>
      <c r="MWV81" s="0"/>
      <c r="MWW81" s="0"/>
      <c r="MWX81" s="0"/>
      <c r="MWY81" s="0"/>
      <c r="MWZ81" s="0"/>
      <c r="MXA81" s="0"/>
      <c r="MXB81" s="0"/>
      <c r="MXC81" s="0"/>
      <c r="MXD81" s="0"/>
      <c r="MXE81" s="0"/>
      <c r="MXF81" s="0"/>
      <c r="MXG81" s="0"/>
      <c r="MXH81" s="0"/>
      <c r="MXI81" s="0"/>
      <c r="MXJ81" s="0"/>
      <c r="MXK81" s="0"/>
      <c r="MXL81" s="0"/>
      <c r="MXM81" s="0"/>
      <c r="MXN81" s="0"/>
      <c r="MXO81" s="0"/>
      <c r="MXP81" s="0"/>
      <c r="MXQ81" s="0"/>
      <c r="MXR81" s="0"/>
      <c r="MXS81" s="0"/>
      <c r="MXT81" s="0"/>
      <c r="MXU81" s="0"/>
      <c r="MXV81" s="0"/>
      <c r="MXW81" s="0"/>
      <c r="MXX81" s="0"/>
      <c r="MXY81" s="0"/>
      <c r="MXZ81" s="0"/>
      <c r="MYA81" s="0"/>
      <c r="MYB81" s="0"/>
      <c r="MYC81" s="0"/>
      <c r="MYD81" s="0"/>
      <c r="MYE81" s="0"/>
      <c r="MYF81" s="0"/>
      <c r="MYG81" s="0"/>
      <c r="MYH81" s="0"/>
      <c r="MYI81" s="0"/>
      <c r="MYJ81" s="0"/>
      <c r="MYK81" s="0"/>
      <c r="MYL81" s="0"/>
      <c r="MYM81" s="0"/>
      <c r="MYN81" s="0"/>
      <c r="MYO81" s="0"/>
      <c r="MYP81" s="0"/>
      <c r="MYQ81" s="0"/>
      <c r="MYR81" s="0"/>
      <c r="MYS81" s="0"/>
      <c r="MYT81" s="0"/>
      <c r="MYU81" s="0"/>
      <c r="MYV81" s="0"/>
      <c r="MYW81" s="0"/>
      <c r="MYX81" s="0"/>
      <c r="MYY81" s="0"/>
      <c r="MYZ81" s="0"/>
      <c r="MZA81" s="0"/>
      <c r="MZB81" s="0"/>
      <c r="MZC81" s="0"/>
      <c r="MZD81" s="0"/>
      <c r="MZE81" s="0"/>
      <c r="MZF81" s="0"/>
      <c r="MZG81" s="0"/>
      <c r="MZH81" s="0"/>
      <c r="MZI81" s="0"/>
      <c r="MZJ81" s="0"/>
      <c r="MZK81" s="0"/>
      <c r="MZL81" s="0"/>
      <c r="MZM81" s="0"/>
      <c r="MZN81" s="0"/>
      <c r="MZO81" s="0"/>
      <c r="MZP81" s="0"/>
      <c r="MZQ81" s="0"/>
      <c r="MZR81" s="0"/>
      <c r="MZS81" s="0"/>
      <c r="MZT81" s="0"/>
      <c r="MZU81" s="0"/>
      <c r="MZV81" s="0"/>
      <c r="MZW81" s="0"/>
      <c r="MZX81" s="0"/>
      <c r="MZY81" s="0"/>
      <c r="MZZ81" s="0"/>
      <c r="NAA81" s="0"/>
      <c r="NAB81" s="0"/>
      <c r="NAC81" s="0"/>
      <c r="NAD81" s="0"/>
      <c r="NAE81" s="0"/>
      <c r="NAF81" s="0"/>
      <c r="NAG81" s="0"/>
      <c r="NAH81" s="0"/>
      <c r="NAI81" s="0"/>
      <c r="NAJ81" s="0"/>
      <c r="NAK81" s="0"/>
      <c r="NAL81" s="0"/>
      <c r="NAM81" s="0"/>
      <c r="NAN81" s="0"/>
      <c r="NAO81" s="0"/>
      <c r="NAP81" s="0"/>
      <c r="NAQ81" s="0"/>
      <c r="NAR81" s="0"/>
      <c r="NAS81" s="0"/>
      <c r="NAT81" s="0"/>
      <c r="NAU81" s="0"/>
      <c r="NAV81" s="0"/>
      <c r="NAW81" s="0"/>
      <c r="NAX81" s="0"/>
      <c r="NAY81" s="0"/>
      <c r="NAZ81" s="0"/>
      <c r="NBA81" s="0"/>
      <c r="NBB81" s="0"/>
      <c r="NBC81" s="0"/>
      <c r="NBD81" s="0"/>
      <c r="NBE81" s="0"/>
      <c r="NBF81" s="0"/>
      <c r="NBG81" s="0"/>
      <c r="NBH81" s="0"/>
      <c r="NBI81" s="0"/>
      <c r="NBJ81" s="0"/>
      <c r="NBK81" s="0"/>
      <c r="NBL81" s="0"/>
      <c r="NBM81" s="0"/>
      <c r="NBN81" s="0"/>
      <c r="NBO81" s="0"/>
      <c r="NBP81" s="0"/>
      <c r="NBQ81" s="0"/>
      <c r="NBR81" s="0"/>
      <c r="NBS81" s="0"/>
      <c r="NBT81" s="0"/>
      <c r="NBU81" s="0"/>
      <c r="NBV81" s="0"/>
      <c r="NBW81" s="0"/>
      <c r="NBX81" s="0"/>
      <c r="NBY81" s="0"/>
      <c r="NBZ81" s="0"/>
      <c r="NCA81" s="0"/>
      <c r="NCB81" s="0"/>
      <c r="NCC81" s="0"/>
      <c r="NCD81" s="0"/>
      <c r="NCE81" s="0"/>
      <c r="NCF81" s="0"/>
      <c r="NCG81" s="0"/>
      <c r="NCH81" s="0"/>
      <c r="NCI81" s="0"/>
      <c r="NCJ81" s="0"/>
      <c r="NCK81" s="0"/>
      <c r="NCL81" s="0"/>
      <c r="NCM81" s="0"/>
      <c r="NCN81" s="0"/>
      <c r="NCO81" s="0"/>
      <c r="NCP81" s="0"/>
      <c r="NCQ81" s="0"/>
      <c r="NCR81" s="0"/>
      <c r="NCS81" s="0"/>
      <c r="NCT81" s="0"/>
      <c r="NCU81" s="0"/>
      <c r="NCV81" s="0"/>
      <c r="NCW81" s="0"/>
      <c r="NCX81" s="0"/>
      <c r="NCY81" s="0"/>
      <c r="NCZ81" s="0"/>
      <c r="NDA81" s="0"/>
      <c r="NDB81" s="0"/>
      <c r="NDC81" s="0"/>
      <c r="NDD81" s="0"/>
      <c r="NDE81" s="0"/>
      <c r="NDF81" s="0"/>
      <c r="NDG81" s="0"/>
      <c r="NDH81" s="0"/>
      <c r="NDI81" s="0"/>
      <c r="NDJ81" s="0"/>
      <c r="NDK81" s="0"/>
      <c r="NDL81" s="0"/>
      <c r="NDM81" s="0"/>
      <c r="NDN81" s="0"/>
      <c r="NDO81" s="0"/>
      <c r="NDP81" s="0"/>
      <c r="NDQ81" s="0"/>
      <c r="NDR81" s="0"/>
      <c r="NDS81" s="0"/>
      <c r="NDT81" s="0"/>
      <c r="NDU81" s="0"/>
      <c r="NDV81" s="0"/>
      <c r="NDW81" s="0"/>
      <c r="NDX81" s="0"/>
      <c r="NDY81" s="0"/>
      <c r="NDZ81" s="0"/>
      <c r="NEA81" s="0"/>
      <c r="NEB81" s="0"/>
      <c r="NEC81" s="0"/>
      <c r="NED81" s="0"/>
      <c r="NEE81" s="0"/>
      <c r="NEF81" s="0"/>
      <c r="NEG81" s="0"/>
      <c r="NEH81" s="0"/>
      <c r="NEI81" s="0"/>
      <c r="NEJ81" s="0"/>
      <c r="NEK81" s="0"/>
      <c r="NEL81" s="0"/>
      <c r="NEM81" s="0"/>
      <c r="NEN81" s="0"/>
      <c r="NEO81" s="0"/>
      <c r="NEP81" s="0"/>
      <c r="NEQ81" s="0"/>
      <c r="NER81" s="0"/>
      <c r="NES81" s="0"/>
      <c r="NET81" s="0"/>
      <c r="NEU81" s="0"/>
      <c r="NEV81" s="0"/>
      <c r="NEW81" s="0"/>
      <c r="NEX81" s="0"/>
      <c r="NEY81" s="0"/>
      <c r="NEZ81" s="0"/>
      <c r="NFA81" s="0"/>
      <c r="NFB81" s="0"/>
      <c r="NFC81" s="0"/>
      <c r="NFD81" s="0"/>
      <c r="NFE81" s="0"/>
      <c r="NFF81" s="0"/>
      <c r="NFG81" s="0"/>
      <c r="NFH81" s="0"/>
      <c r="NFI81" s="0"/>
      <c r="NFJ81" s="0"/>
      <c r="NFK81" s="0"/>
      <c r="NFL81" s="0"/>
      <c r="NFM81" s="0"/>
      <c r="NFN81" s="0"/>
      <c r="NFO81" s="0"/>
      <c r="NFP81" s="0"/>
      <c r="NFQ81" s="0"/>
      <c r="NFR81" s="0"/>
      <c r="NFS81" s="0"/>
      <c r="NFT81" s="0"/>
      <c r="NFU81" s="0"/>
      <c r="NFV81" s="0"/>
      <c r="NFW81" s="0"/>
      <c r="NFX81" s="0"/>
      <c r="NFY81" s="0"/>
      <c r="NFZ81" s="0"/>
      <c r="NGA81" s="0"/>
      <c r="NGB81" s="0"/>
      <c r="NGC81" s="0"/>
      <c r="NGD81" s="0"/>
      <c r="NGE81" s="0"/>
      <c r="NGF81" s="0"/>
      <c r="NGG81" s="0"/>
      <c r="NGH81" s="0"/>
      <c r="NGI81" s="0"/>
      <c r="NGJ81" s="0"/>
      <c r="NGK81" s="0"/>
      <c r="NGL81" s="0"/>
      <c r="NGM81" s="0"/>
      <c r="NGN81" s="0"/>
      <c r="NGO81" s="0"/>
      <c r="NGP81" s="0"/>
      <c r="NGQ81" s="0"/>
      <c r="NGR81" s="0"/>
      <c r="NGS81" s="0"/>
      <c r="NGT81" s="0"/>
      <c r="NGU81" s="0"/>
      <c r="NGV81" s="0"/>
      <c r="NGW81" s="0"/>
      <c r="NGX81" s="0"/>
      <c r="NGY81" s="0"/>
      <c r="NGZ81" s="0"/>
      <c r="NHA81" s="0"/>
      <c r="NHB81" s="0"/>
      <c r="NHC81" s="0"/>
      <c r="NHD81" s="0"/>
      <c r="NHE81" s="0"/>
      <c r="NHF81" s="0"/>
      <c r="NHG81" s="0"/>
      <c r="NHH81" s="0"/>
      <c r="NHI81" s="0"/>
      <c r="NHJ81" s="0"/>
      <c r="NHK81" s="0"/>
      <c r="NHL81" s="0"/>
      <c r="NHM81" s="0"/>
      <c r="NHN81" s="0"/>
      <c r="NHO81" s="0"/>
      <c r="NHP81" s="0"/>
      <c r="NHQ81" s="0"/>
      <c r="NHR81" s="0"/>
      <c r="NHS81" s="0"/>
      <c r="NHT81" s="0"/>
      <c r="NHU81" s="0"/>
      <c r="NHV81" s="0"/>
      <c r="NHW81" s="0"/>
      <c r="NHX81" s="0"/>
      <c r="NHY81" s="0"/>
      <c r="NHZ81" s="0"/>
      <c r="NIA81" s="0"/>
      <c r="NIB81" s="0"/>
      <c r="NIC81" s="0"/>
      <c r="NID81" s="0"/>
      <c r="NIE81" s="0"/>
      <c r="NIF81" s="0"/>
      <c r="NIG81" s="0"/>
      <c r="NIH81" s="0"/>
      <c r="NII81" s="0"/>
      <c r="NIJ81" s="0"/>
      <c r="NIK81" s="0"/>
      <c r="NIL81" s="0"/>
      <c r="NIM81" s="0"/>
      <c r="NIN81" s="0"/>
      <c r="NIO81" s="0"/>
      <c r="NIP81" s="0"/>
      <c r="NIQ81" s="0"/>
      <c r="NIR81" s="0"/>
      <c r="NIS81" s="0"/>
      <c r="NIT81" s="0"/>
      <c r="NIU81" s="0"/>
      <c r="NIV81" s="0"/>
      <c r="NIW81" s="0"/>
      <c r="NIX81" s="0"/>
      <c r="NIY81" s="0"/>
      <c r="NIZ81" s="0"/>
      <c r="NJA81" s="0"/>
      <c r="NJB81" s="0"/>
      <c r="NJC81" s="0"/>
      <c r="NJD81" s="0"/>
      <c r="NJE81" s="0"/>
      <c r="NJF81" s="0"/>
      <c r="NJG81" s="0"/>
      <c r="NJH81" s="0"/>
      <c r="NJI81" s="0"/>
      <c r="NJJ81" s="0"/>
      <c r="NJK81" s="0"/>
      <c r="NJL81" s="0"/>
      <c r="NJM81" s="0"/>
      <c r="NJN81" s="0"/>
      <c r="NJO81" s="0"/>
      <c r="NJP81" s="0"/>
      <c r="NJQ81" s="0"/>
      <c r="NJR81" s="0"/>
      <c r="NJS81" s="0"/>
      <c r="NJT81" s="0"/>
      <c r="NJU81" s="0"/>
      <c r="NJV81" s="0"/>
      <c r="NJW81" s="0"/>
      <c r="NJX81" s="0"/>
      <c r="NJY81" s="0"/>
      <c r="NJZ81" s="0"/>
      <c r="NKA81" s="0"/>
      <c r="NKB81" s="0"/>
      <c r="NKC81" s="0"/>
      <c r="NKD81" s="0"/>
      <c r="NKE81" s="0"/>
      <c r="NKF81" s="0"/>
      <c r="NKG81" s="0"/>
      <c r="NKH81" s="0"/>
      <c r="NKI81" s="0"/>
      <c r="NKJ81" s="0"/>
      <c r="NKK81" s="0"/>
      <c r="NKL81" s="0"/>
      <c r="NKM81" s="0"/>
      <c r="NKN81" s="0"/>
      <c r="NKO81" s="0"/>
      <c r="NKP81" s="0"/>
      <c r="NKQ81" s="0"/>
      <c r="NKR81" s="0"/>
      <c r="NKS81" s="0"/>
      <c r="NKT81" s="0"/>
      <c r="NKU81" s="0"/>
      <c r="NKV81" s="0"/>
      <c r="NKW81" s="0"/>
      <c r="NKX81" s="0"/>
      <c r="NKY81" s="0"/>
      <c r="NKZ81" s="0"/>
      <c r="NLA81" s="0"/>
      <c r="NLB81" s="0"/>
      <c r="NLC81" s="0"/>
      <c r="NLD81" s="0"/>
      <c r="NLE81" s="0"/>
      <c r="NLF81" s="0"/>
      <c r="NLG81" s="0"/>
      <c r="NLH81" s="0"/>
      <c r="NLI81" s="0"/>
      <c r="NLJ81" s="0"/>
      <c r="NLK81" s="0"/>
      <c r="NLL81" s="0"/>
      <c r="NLM81" s="0"/>
      <c r="NLN81" s="0"/>
      <c r="NLO81" s="0"/>
      <c r="NLP81" s="0"/>
      <c r="NLQ81" s="0"/>
      <c r="NLR81" s="0"/>
      <c r="NLS81" s="0"/>
      <c r="NLT81" s="0"/>
      <c r="NLU81" s="0"/>
      <c r="NLV81" s="0"/>
      <c r="NLW81" s="0"/>
      <c r="NLX81" s="0"/>
      <c r="NLY81" s="0"/>
      <c r="NLZ81" s="0"/>
      <c r="NMA81" s="0"/>
      <c r="NMB81" s="0"/>
      <c r="NMC81" s="0"/>
      <c r="NMD81" s="0"/>
      <c r="NME81" s="0"/>
      <c r="NMF81" s="0"/>
      <c r="NMG81" s="0"/>
      <c r="NMH81" s="0"/>
      <c r="NMI81" s="0"/>
      <c r="NMJ81" s="0"/>
      <c r="NMK81" s="0"/>
      <c r="NML81" s="0"/>
      <c r="NMM81" s="0"/>
      <c r="NMN81" s="0"/>
      <c r="NMO81" s="0"/>
      <c r="NMP81" s="0"/>
      <c r="NMQ81" s="0"/>
      <c r="NMR81" s="0"/>
      <c r="NMS81" s="0"/>
      <c r="NMT81" s="0"/>
      <c r="NMU81" s="0"/>
      <c r="NMV81" s="0"/>
      <c r="NMW81" s="0"/>
      <c r="NMX81" s="0"/>
      <c r="NMY81" s="0"/>
      <c r="NMZ81" s="0"/>
      <c r="NNA81" s="0"/>
      <c r="NNB81" s="0"/>
      <c r="NNC81" s="0"/>
      <c r="NND81" s="0"/>
      <c r="NNE81" s="0"/>
      <c r="NNF81" s="0"/>
      <c r="NNG81" s="0"/>
      <c r="NNH81" s="0"/>
      <c r="NNI81" s="0"/>
      <c r="NNJ81" s="0"/>
      <c r="NNK81" s="0"/>
      <c r="NNL81" s="0"/>
      <c r="NNM81" s="0"/>
      <c r="NNN81" s="0"/>
      <c r="NNO81" s="0"/>
      <c r="NNP81" s="0"/>
      <c r="NNQ81" s="0"/>
      <c r="NNR81" s="0"/>
      <c r="NNS81" s="0"/>
      <c r="NNT81" s="0"/>
      <c r="NNU81" s="0"/>
      <c r="NNV81" s="0"/>
      <c r="NNW81" s="0"/>
      <c r="NNX81" s="0"/>
      <c r="NNY81" s="0"/>
      <c r="NNZ81" s="0"/>
      <c r="NOA81" s="0"/>
      <c r="NOB81" s="0"/>
      <c r="NOC81" s="0"/>
      <c r="NOD81" s="0"/>
      <c r="NOE81" s="0"/>
      <c r="NOF81" s="0"/>
      <c r="NOG81" s="0"/>
      <c r="NOH81" s="0"/>
      <c r="NOI81" s="0"/>
      <c r="NOJ81" s="0"/>
      <c r="NOK81" s="0"/>
      <c r="NOL81" s="0"/>
      <c r="NOM81" s="0"/>
      <c r="NON81" s="0"/>
      <c r="NOO81" s="0"/>
      <c r="NOP81" s="0"/>
      <c r="NOQ81" s="0"/>
      <c r="NOR81" s="0"/>
      <c r="NOS81" s="0"/>
      <c r="NOT81" s="0"/>
      <c r="NOU81" s="0"/>
      <c r="NOV81" s="0"/>
      <c r="NOW81" s="0"/>
      <c r="NOX81" s="0"/>
      <c r="NOY81" s="0"/>
      <c r="NOZ81" s="0"/>
      <c r="NPA81" s="0"/>
      <c r="NPB81" s="0"/>
      <c r="NPC81" s="0"/>
      <c r="NPD81" s="0"/>
      <c r="NPE81" s="0"/>
      <c r="NPF81" s="0"/>
      <c r="NPG81" s="0"/>
      <c r="NPH81" s="0"/>
      <c r="NPI81" s="0"/>
      <c r="NPJ81" s="0"/>
      <c r="NPK81" s="0"/>
      <c r="NPL81" s="0"/>
      <c r="NPM81" s="0"/>
      <c r="NPN81" s="0"/>
      <c r="NPO81" s="0"/>
      <c r="NPP81" s="0"/>
      <c r="NPQ81" s="0"/>
      <c r="NPR81" s="0"/>
      <c r="NPS81" s="0"/>
      <c r="NPT81" s="0"/>
      <c r="NPU81" s="0"/>
      <c r="NPV81" s="0"/>
      <c r="NPW81" s="0"/>
      <c r="NPX81" s="0"/>
      <c r="NPY81" s="0"/>
      <c r="NPZ81" s="0"/>
      <c r="NQA81" s="0"/>
      <c r="NQB81" s="0"/>
      <c r="NQC81" s="0"/>
      <c r="NQD81" s="0"/>
      <c r="NQE81" s="0"/>
      <c r="NQF81" s="0"/>
      <c r="NQG81" s="0"/>
      <c r="NQH81" s="0"/>
      <c r="NQI81" s="0"/>
      <c r="NQJ81" s="0"/>
      <c r="NQK81" s="0"/>
      <c r="NQL81" s="0"/>
      <c r="NQM81" s="0"/>
      <c r="NQN81" s="0"/>
      <c r="NQO81" s="0"/>
      <c r="NQP81" s="0"/>
      <c r="NQQ81" s="0"/>
      <c r="NQR81" s="0"/>
      <c r="NQS81" s="0"/>
      <c r="NQT81" s="0"/>
      <c r="NQU81" s="0"/>
      <c r="NQV81" s="0"/>
      <c r="NQW81" s="0"/>
      <c r="NQX81" s="0"/>
      <c r="NQY81" s="0"/>
      <c r="NQZ81" s="0"/>
      <c r="NRA81" s="0"/>
      <c r="NRB81" s="0"/>
      <c r="NRC81" s="0"/>
      <c r="NRD81" s="0"/>
      <c r="NRE81" s="0"/>
      <c r="NRF81" s="0"/>
      <c r="NRG81" s="0"/>
      <c r="NRH81" s="0"/>
      <c r="NRI81" s="0"/>
      <c r="NRJ81" s="0"/>
      <c r="NRK81" s="0"/>
      <c r="NRL81" s="0"/>
      <c r="NRM81" s="0"/>
      <c r="NRN81" s="0"/>
      <c r="NRO81" s="0"/>
      <c r="NRP81" s="0"/>
      <c r="NRQ81" s="0"/>
      <c r="NRR81" s="0"/>
      <c r="NRS81" s="0"/>
      <c r="NRT81" s="0"/>
      <c r="NRU81" s="0"/>
      <c r="NRV81" s="0"/>
      <c r="NRW81" s="0"/>
      <c r="NRX81" s="0"/>
      <c r="NRY81" s="0"/>
      <c r="NRZ81" s="0"/>
      <c r="NSA81" s="0"/>
      <c r="NSB81" s="0"/>
      <c r="NSC81" s="0"/>
      <c r="NSD81" s="0"/>
      <c r="NSE81" s="0"/>
      <c r="NSF81" s="0"/>
      <c r="NSG81" s="0"/>
      <c r="NSH81" s="0"/>
      <c r="NSI81" s="0"/>
      <c r="NSJ81" s="0"/>
      <c r="NSK81" s="0"/>
      <c r="NSL81" s="0"/>
      <c r="NSM81" s="0"/>
      <c r="NSN81" s="0"/>
      <c r="NSO81" s="0"/>
      <c r="NSP81" s="0"/>
      <c r="NSQ81" s="0"/>
      <c r="NSR81" s="0"/>
      <c r="NSS81" s="0"/>
      <c r="NST81" s="0"/>
      <c r="NSU81" s="0"/>
      <c r="NSV81" s="0"/>
      <c r="NSW81" s="0"/>
      <c r="NSX81" s="0"/>
      <c r="NSY81" s="0"/>
      <c r="NSZ81" s="0"/>
      <c r="NTA81" s="0"/>
      <c r="NTB81" s="0"/>
      <c r="NTC81" s="0"/>
      <c r="NTD81" s="0"/>
      <c r="NTE81" s="0"/>
      <c r="NTF81" s="0"/>
      <c r="NTG81" s="0"/>
      <c r="NTH81" s="0"/>
      <c r="NTI81" s="0"/>
      <c r="NTJ81" s="0"/>
      <c r="NTK81" s="0"/>
      <c r="NTL81" s="0"/>
      <c r="NTM81" s="0"/>
      <c r="NTN81" s="0"/>
      <c r="NTO81" s="0"/>
      <c r="NTP81" s="0"/>
      <c r="NTQ81" s="0"/>
      <c r="NTR81" s="0"/>
      <c r="NTS81" s="0"/>
      <c r="NTT81" s="0"/>
      <c r="NTU81" s="0"/>
      <c r="NTV81" s="0"/>
      <c r="NTW81" s="0"/>
      <c r="NTX81" s="0"/>
      <c r="NTY81" s="0"/>
      <c r="NTZ81" s="0"/>
      <c r="NUA81" s="0"/>
      <c r="NUB81" s="0"/>
      <c r="NUC81" s="0"/>
      <c r="NUD81" s="0"/>
      <c r="NUE81" s="0"/>
      <c r="NUF81" s="0"/>
      <c r="NUG81" s="0"/>
      <c r="NUH81" s="0"/>
      <c r="NUI81" s="0"/>
      <c r="NUJ81" s="0"/>
      <c r="NUK81" s="0"/>
      <c r="NUL81" s="0"/>
      <c r="NUM81" s="0"/>
      <c r="NUN81" s="0"/>
      <c r="NUO81" s="0"/>
      <c r="NUP81" s="0"/>
      <c r="NUQ81" s="0"/>
      <c r="NUR81" s="0"/>
      <c r="NUS81" s="0"/>
      <c r="NUT81" s="0"/>
      <c r="NUU81" s="0"/>
      <c r="NUV81" s="0"/>
      <c r="NUW81" s="0"/>
      <c r="NUX81" s="0"/>
      <c r="NUY81" s="0"/>
      <c r="NUZ81" s="0"/>
      <c r="NVA81" s="0"/>
      <c r="NVB81" s="0"/>
      <c r="NVC81" s="0"/>
      <c r="NVD81" s="0"/>
      <c r="NVE81" s="0"/>
      <c r="NVF81" s="0"/>
      <c r="NVG81" s="0"/>
      <c r="NVH81" s="0"/>
      <c r="NVI81" s="0"/>
      <c r="NVJ81" s="0"/>
      <c r="NVK81" s="0"/>
      <c r="NVL81" s="0"/>
      <c r="NVM81" s="0"/>
      <c r="NVN81" s="0"/>
      <c r="NVO81" s="0"/>
      <c r="NVP81" s="0"/>
      <c r="NVQ81" s="0"/>
      <c r="NVR81" s="0"/>
      <c r="NVS81" s="0"/>
      <c r="NVT81" s="0"/>
      <c r="NVU81" s="0"/>
      <c r="NVV81" s="0"/>
      <c r="NVW81" s="0"/>
      <c r="NVX81" s="0"/>
      <c r="NVY81" s="0"/>
      <c r="NVZ81" s="0"/>
      <c r="NWA81" s="0"/>
      <c r="NWB81" s="0"/>
      <c r="NWC81" s="0"/>
      <c r="NWD81" s="0"/>
      <c r="NWE81" s="0"/>
      <c r="NWF81" s="0"/>
      <c r="NWG81" s="0"/>
      <c r="NWH81" s="0"/>
      <c r="NWI81" s="0"/>
      <c r="NWJ81" s="0"/>
      <c r="NWK81" s="0"/>
      <c r="NWL81" s="0"/>
      <c r="NWM81" s="0"/>
      <c r="NWN81" s="0"/>
      <c r="NWO81" s="0"/>
      <c r="NWP81" s="0"/>
      <c r="NWQ81" s="0"/>
      <c r="NWR81" s="0"/>
      <c r="NWS81" s="0"/>
      <c r="NWT81" s="0"/>
      <c r="NWU81" s="0"/>
      <c r="NWV81" s="0"/>
      <c r="NWW81" s="0"/>
      <c r="NWX81" s="0"/>
      <c r="NWY81" s="0"/>
      <c r="NWZ81" s="0"/>
      <c r="NXA81" s="0"/>
      <c r="NXB81" s="0"/>
      <c r="NXC81" s="0"/>
      <c r="NXD81" s="0"/>
      <c r="NXE81" s="0"/>
      <c r="NXF81" s="0"/>
      <c r="NXG81" s="0"/>
      <c r="NXH81" s="0"/>
      <c r="NXI81" s="0"/>
      <c r="NXJ81" s="0"/>
      <c r="NXK81" s="0"/>
      <c r="NXL81" s="0"/>
      <c r="NXM81" s="0"/>
      <c r="NXN81" s="0"/>
      <c r="NXO81" s="0"/>
      <c r="NXP81" s="0"/>
      <c r="NXQ81" s="0"/>
      <c r="NXR81" s="0"/>
      <c r="NXS81" s="0"/>
      <c r="NXT81" s="0"/>
      <c r="NXU81" s="0"/>
      <c r="NXV81" s="0"/>
      <c r="NXW81" s="0"/>
      <c r="NXX81" s="0"/>
      <c r="NXY81" s="0"/>
      <c r="NXZ81" s="0"/>
      <c r="NYA81" s="0"/>
      <c r="NYB81" s="0"/>
      <c r="NYC81" s="0"/>
      <c r="NYD81" s="0"/>
      <c r="NYE81" s="0"/>
      <c r="NYF81" s="0"/>
      <c r="NYG81" s="0"/>
      <c r="NYH81" s="0"/>
      <c r="NYI81" s="0"/>
      <c r="NYJ81" s="0"/>
      <c r="NYK81" s="0"/>
      <c r="NYL81" s="0"/>
      <c r="NYM81" s="0"/>
      <c r="NYN81" s="0"/>
      <c r="NYO81" s="0"/>
      <c r="NYP81" s="0"/>
      <c r="NYQ81" s="0"/>
      <c r="NYR81" s="0"/>
      <c r="NYS81" s="0"/>
      <c r="NYT81" s="0"/>
      <c r="NYU81" s="0"/>
      <c r="NYV81" s="0"/>
      <c r="NYW81" s="0"/>
      <c r="NYX81" s="0"/>
      <c r="NYY81" s="0"/>
      <c r="NYZ81" s="0"/>
      <c r="NZA81" s="0"/>
      <c r="NZB81" s="0"/>
      <c r="NZC81" s="0"/>
      <c r="NZD81" s="0"/>
      <c r="NZE81" s="0"/>
      <c r="NZF81" s="0"/>
      <c r="NZG81" s="0"/>
      <c r="NZH81" s="0"/>
      <c r="NZI81" s="0"/>
      <c r="NZJ81" s="0"/>
      <c r="NZK81" s="0"/>
      <c r="NZL81" s="0"/>
      <c r="NZM81" s="0"/>
      <c r="NZN81" s="0"/>
      <c r="NZO81" s="0"/>
      <c r="NZP81" s="0"/>
      <c r="NZQ81" s="0"/>
      <c r="NZR81" s="0"/>
      <c r="NZS81" s="0"/>
      <c r="NZT81" s="0"/>
      <c r="NZU81" s="0"/>
      <c r="NZV81" s="0"/>
      <c r="NZW81" s="0"/>
      <c r="NZX81" s="0"/>
      <c r="NZY81" s="0"/>
      <c r="NZZ81" s="0"/>
      <c r="OAA81" s="0"/>
      <c r="OAB81" s="0"/>
      <c r="OAC81" s="0"/>
      <c r="OAD81" s="0"/>
      <c r="OAE81" s="0"/>
      <c r="OAF81" s="0"/>
      <c r="OAG81" s="0"/>
      <c r="OAH81" s="0"/>
      <c r="OAI81" s="0"/>
      <c r="OAJ81" s="0"/>
      <c r="OAK81" s="0"/>
      <c r="OAL81" s="0"/>
      <c r="OAM81" s="0"/>
      <c r="OAN81" s="0"/>
      <c r="OAO81" s="0"/>
      <c r="OAP81" s="0"/>
      <c r="OAQ81" s="0"/>
      <c r="OAR81" s="0"/>
      <c r="OAS81" s="0"/>
      <c r="OAT81" s="0"/>
      <c r="OAU81" s="0"/>
      <c r="OAV81" s="0"/>
      <c r="OAW81" s="0"/>
      <c r="OAX81" s="0"/>
      <c r="OAY81" s="0"/>
      <c r="OAZ81" s="0"/>
      <c r="OBA81" s="0"/>
      <c r="OBB81" s="0"/>
      <c r="OBC81" s="0"/>
      <c r="OBD81" s="0"/>
      <c r="OBE81" s="0"/>
      <c r="OBF81" s="0"/>
      <c r="OBG81" s="0"/>
      <c r="OBH81" s="0"/>
      <c r="OBI81" s="0"/>
      <c r="OBJ81" s="0"/>
      <c r="OBK81" s="0"/>
      <c r="OBL81" s="0"/>
      <c r="OBM81" s="0"/>
      <c r="OBN81" s="0"/>
      <c r="OBO81" s="0"/>
      <c r="OBP81" s="0"/>
      <c r="OBQ81" s="0"/>
      <c r="OBR81" s="0"/>
      <c r="OBS81" s="0"/>
      <c r="OBT81" s="0"/>
      <c r="OBU81" s="0"/>
      <c r="OBV81" s="0"/>
      <c r="OBW81" s="0"/>
      <c r="OBX81" s="0"/>
      <c r="OBY81" s="0"/>
      <c r="OBZ81" s="0"/>
      <c r="OCA81" s="0"/>
      <c r="OCB81" s="0"/>
      <c r="OCC81" s="0"/>
      <c r="OCD81" s="0"/>
      <c r="OCE81" s="0"/>
      <c r="OCF81" s="0"/>
      <c r="OCG81" s="0"/>
      <c r="OCH81" s="0"/>
      <c r="OCI81" s="0"/>
      <c r="OCJ81" s="0"/>
      <c r="OCK81" s="0"/>
      <c r="OCL81" s="0"/>
      <c r="OCM81" s="0"/>
      <c r="OCN81" s="0"/>
      <c r="OCO81" s="0"/>
      <c r="OCP81" s="0"/>
      <c r="OCQ81" s="0"/>
      <c r="OCR81" s="0"/>
      <c r="OCS81" s="0"/>
      <c r="OCT81" s="0"/>
      <c r="OCU81" s="0"/>
      <c r="OCV81" s="0"/>
      <c r="OCW81" s="0"/>
      <c r="OCX81" s="0"/>
      <c r="OCY81" s="0"/>
      <c r="OCZ81" s="0"/>
      <c r="ODA81" s="0"/>
      <c r="ODB81" s="0"/>
      <c r="ODC81" s="0"/>
      <c r="ODD81" s="0"/>
      <c r="ODE81" s="0"/>
      <c r="ODF81" s="0"/>
      <c r="ODG81" s="0"/>
      <c r="ODH81" s="0"/>
      <c r="ODI81" s="0"/>
      <c r="ODJ81" s="0"/>
      <c r="ODK81" s="0"/>
      <c r="ODL81" s="0"/>
      <c r="ODM81" s="0"/>
      <c r="ODN81" s="0"/>
      <c r="ODO81" s="0"/>
      <c r="ODP81" s="0"/>
      <c r="ODQ81" s="0"/>
      <c r="ODR81" s="0"/>
      <c r="ODS81" s="0"/>
      <c r="ODT81" s="0"/>
      <c r="ODU81" s="0"/>
      <c r="ODV81" s="0"/>
      <c r="ODW81" s="0"/>
      <c r="ODX81" s="0"/>
      <c r="ODY81" s="0"/>
      <c r="ODZ81" s="0"/>
      <c r="OEA81" s="0"/>
      <c r="OEB81" s="0"/>
      <c r="OEC81" s="0"/>
      <c r="OED81" s="0"/>
      <c r="OEE81" s="0"/>
      <c r="OEF81" s="0"/>
      <c r="OEG81" s="0"/>
      <c r="OEH81" s="0"/>
      <c r="OEI81" s="0"/>
      <c r="OEJ81" s="0"/>
      <c r="OEK81" s="0"/>
      <c r="OEL81" s="0"/>
      <c r="OEM81" s="0"/>
      <c r="OEN81" s="0"/>
      <c r="OEO81" s="0"/>
      <c r="OEP81" s="0"/>
      <c r="OEQ81" s="0"/>
      <c r="OER81" s="0"/>
      <c r="OES81" s="0"/>
      <c r="OET81" s="0"/>
      <c r="OEU81" s="0"/>
      <c r="OEV81" s="0"/>
      <c r="OEW81" s="0"/>
      <c r="OEX81" s="0"/>
      <c r="OEY81" s="0"/>
      <c r="OEZ81" s="0"/>
      <c r="OFA81" s="0"/>
      <c r="OFB81" s="0"/>
      <c r="OFC81" s="0"/>
      <c r="OFD81" s="0"/>
      <c r="OFE81" s="0"/>
      <c r="OFF81" s="0"/>
      <c r="OFG81" s="0"/>
      <c r="OFH81" s="0"/>
      <c r="OFI81" s="0"/>
      <c r="OFJ81" s="0"/>
      <c r="OFK81" s="0"/>
      <c r="OFL81" s="0"/>
      <c r="OFM81" s="0"/>
      <c r="OFN81" s="0"/>
      <c r="OFO81" s="0"/>
      <c r="OFP81" s="0"/>
      <c r="OFQ81" s="0"/>
      <c r="OFR81" s="0"/>
      <c r="OFS81" s="0"/>
      <c r="OFT81" s="0"/>
      <c r="OFU81" s="0"/>
      <c r="OFV81" s="0"/>
      <c r="OFW81" s="0"/>
      <c r="OFX81" s="0"/>
      <c r="OFY81" s="0"/>
      <c r="OFZ81" s="0"/>
      <c r="OGA81" s="0"/>
      <c r="OGB81" s="0"/>
      <c r="OGC81" s="0"/>
      <c r="OGD81" s="0"/>
      <c r="OGE81" s="0"/>
      <c r="OGF81" s="0"/>
      <c r="OGG81" s="0"/>
      <c r="OGH81" s="0"/>
      <c r="OGI81" s="0"/>
      <c r="OGJ81" s="0"/>
      <c r="OGK81" s="0"/>
      <c r="OGL81" s="0"/>
      <c r="OGM81" s="0"/>
      <c r="OGN81" s="0"/>
      <c r="OGO81" s="0"/>
      <c r="OGP81" s="0"/>
      <c r="OGQ81" s="0"/>
      <c r="OGR81" s="0"/>
      <c r="OGS81" s="0"/>
      <c r="OGT81" s="0"/>
      <c r="OGU81" s="0"/>
      <c r="OGV81" s="0"/>
      <c r="OGW81" s="0"/>
      <c r="OGX81" s="0"/>
      <c r="OGY81" s="0"/>
      <c r="OGZ81" s="0"/>
      <c r="OHA81" s="0"/>
      <c r="OHB81" s="0"/>
      <c r="OHC81" s="0"/>
      <c r="OHD81" s="0"/>
      <c r="OHE81" s="0"/>
      <c r="OHF81" s="0"/>
      <c r="OHG81" s="0"/>
      <c r="OHH81" s="0"/>
      <c r="OHI81" s="0"/>
      <c r="OHJ81" s="0"/>
      <c r="OHK81" s="0"/>
      <c r="OHL81" s="0"/>
      <c r="OHM81" s="0"/>
      <c r="OHN81" s="0"/>
      <c r="OHO81" s="0"/>
      <c r="OHP81" s="0"/>
      <c r="OHQ81" s="0"/>
      <c r="OHR81" s="0"/>
      <c r="OHS81" s="0"/>
      <c r="OHT81" s="0"/>
      <c r="OHU81" s="0"/>
      <c r="OHV81" s="0"/>
      <c r="OHW81" s="0"/>
      <c r="OHX81" s="0"/>
      <c r="OHY81" s="0"/>
      <c r="OHZ81" s="0"/>
      <c r="OIA81" s="0"/>
      <c r="OIB81" s="0"/>
      <c r="OIC81" s="0"/>
      <c r="OID81" s="0"/>
      <c r="OIE81" s="0"/>
      <c r="OIF81" s="0"/>
      <c r="OIG81" s="0"/>
      <c r="OIH81" s="0"/>
      <c r="OII81" s="0"/>
      <c r="OIJ81" s="0"/>
      <c r="OIK81" s="0"/>
      <c r="OIL81" s="0"/>
      <c r="OIM81" s="0"/>
      <c r="OIN81" s="0"/>
      <c r="OIO81" s="0"/>
      <c r="OIP81" s="0"/>
      <c r="OIQ81" s="0"/>
      <c r="OIR81" s="0"/>
      <c r="OIS81" s="0"/>
      <c r="OIT81" s="0"/>
      <c r="OIU81" s="0"/>
      <c r="OIV81" s="0"/>
      <c r="OIW81" s="0"/>
      <c r="OIX81" s="0"/>
      <c r="OIY81" s="0"/>
      <c r="OIZ81" s="0"/>
      <c r="OJA81" s="0"/>
      <c r="OJB81" s="0"/>
      <c r="OJC81" s="0"/>
      <c r="OJD81" s="0"/>
      <c r="OJE81" s="0"/>
      <c r="OJF81" s="0"/>
      <c r="OJG81" s="0"/>
      <c r="OJH81" s="0"/>
      <c r="OJI81" s="0"/>
      <c r="OJJ81" s="0"/>
      <c r="OJK81" s="0"/>
      <c r="OJL81" s="0"/>
      <c r="OJM81" s="0"/>
      <c r="OJN81" s="0"/>
      <c r="OJO81" s="0"/>
      <c r="OJP81" s="0"/>
      <c r="OJQ81" s="0"/>
      <c r="OJR81" s="0"/>
      <c r="OJS81" s="0"/>
      <c r="OJT81" s="0"/>
      <c r="OJU81" s="0"/>
      <c r="OJV81" s="0"/>
      <c r="OJW81" s="0"/>
      <c r="OJX81" s="0"/>
      <c r="OJY81" s="0"/>
      <c r="OJZ81" s="0"/>
      <c r="OKA81" s="0"/>
      <c r="OKB81" s="0"/>
      <c r="OKC81" s="0"/>
      <c r="OKD81" s="0"/>
      <c r="OKE81" s="0"/>
      <c r="OKF81" s="0"/>
      <c r="OKG81" s="0"/>
      <c r="OKH81" s="0"/>
      <c r="OKI81" s="0"/>
      <c r="OKJ81" s="0"/>
      <c r="OKK81" s="0"/>
      <c r="OKL81" s="0"/>
      <c r="OKM81" s="0"/>
      <c r="OKN81" s="0"/>
      <c r="OKO81" s="0"/>
      <c r="OKP81" s="0"/>
      <c r="OKQ81" s="0"/>
      <c r="OKR81" s="0"/>
      <c r="OKS81" s="0"/>
      <c r="OKT81" s="0"/>
      <c r="OKU81" s="0"/>
      <c r="OKV81" s="0"/>
      <c r="OKW81" s="0"/>
      <c r="OKX81" s="0"/>
      <c r="OKY81" s="0"/>
      <c r="OKZ81" s="0"/>
      <c r="OLA81" s="0"/>
      <c r="OLB81" s="0"/>
      <c r="OLC81" s="0"/>
      <c r="OLD81" s="0"/>
      <c r="OLE81" s="0"/>
      <c r="OLF81" s="0"/>
      <c r="OLG81" s="0"/>
      <c r="OLH81" s="0"/>
      <c r="OLI81" s="0"/>
      <c r="OLJ81" s="0"/>
      <c r="OLK81" s="0"/>
      <c r="OLL81" s="0"/>
      <c r="OLM81" s="0"/>
      <c r="OLN81" s="0"/>
      <c r="OLO81" s="0"/>
      <c r="OLP81" s="0"/>
      <c r="OLQ81" s="0"/>
      <c r="OLR81" s="0"/>
      <c r="OLS81" s="0"/>
      <c r="OLT81" s="0"/>
      <c r="OLU81" s="0"/>
      <c r="OLV81" s="0"/>
      <c r="OLW81" s="0"/>
      <c r="OLX81" s="0"/>
      <c r="OLY81" s="0"/>
      <c r="OLZ81" s="0"/>
      <c r="OMA81" s="0"/>
      <c r="OMB81" s="0"/>
      <c r="OMC81" s="0"/>
      <c r="OMD81" s="0"/>
      <c r="OME81" s="0"/>
      <c r="OMF81" s="0"/>
      <c r="OMG81" s="0"/>
      <c r="OMH81" s="0"/>
      <c r="OMI81" s="0"/>
      <c r="OMJ81" s="0"/>
      <c r="OMK81" s="0"/>
      <c r="OML81" s="0"/>
      <c r="OMM81" s="0"/>
      <c r="OMN81" s="0"/>
      <c r="OMO81" s="0"/>
      <c r="OMP81" s="0"/>
      <c r="OMQ81" s="0"/>
      <c r="OMR81" s="0"/>
      <c r="OMS81" s="0"/>
      <c r="OMT81" s="0"/>
      <c r="OMU81" s="0"/>
      <c r="OMV81" s="0"/>
      <c r="OMW81" s="0"/>
      <c r="OMX81" s="0"/>
      <c r="OMY81" s="0"/>
      <c r="OMZ81" s="0"/>
      <c r="ONA81" s="0"/>
      <c r="ONB81" s="0"/>
      <c r="ONC81" s="0"/>
      <c r="OND81" s="0"/>
      <c r="ONE81" s="0"/>
      <c r="ONF81" s="0"/>
      <c r="ONG81" s="0"/>
      <c r="ONH81" s="0"/>
      <c r="ONI81" s="0"/>
      <c r="ONJ81" s="0"/>
      <c r="ONK81" s="0"/>
      <c r="ONL81" s="0"/>
      <c r="ONM81" s="0"/>
      <c r="ONN81" s="0"/>
      <c r="ONO81" s="0"/>
      <c r="ONP81" s="0"/>
      <c r="ONQ81" s="0"/>
      <c r="ONR81" s="0"/>
      <c r="ONS81" s="0"/>
      <c r="ONT81" s="0"/>
      <c r="ONU81" s="0"/>
      <c r="ONV81" s="0"/>
      <c r="ONW81" s="0"/>
      <c r="ONX81" s="0"/>
      <c r="ONY81" s="0"/>
      <c r="ONZ81" s="0"/>
      <c r="OOA81" s="0"/>
      <c r="OOB81" s="0"/>
      <c r="OOC81" s="0"/>
      <c r="OOD81" s="0"/>
      <c r="OOE81" s="0"/>
      <c r="OOF81" s="0"/>
      <c r="OOG81" s="0"/>
      <c r="OOH81" s="0"/>
      <c r="OOI81" s="0"/>
      <c r="OOJ81" s="0"/>
      <c r="OOK81" s="0"/>
      <c r="OOL81" s="0"/>
      <c r="OOM81" s="0"/>
      <c r="OON81" s="0"/>
      <c r="OOO81" s="0"/>
      <c r="OOP81" s="0"/>
      <c r="OOQ81" s="0"/>
      <c r="OOR81" s="0"/>
      <c r="OOS81" s="0"/>
      <c r="OOT81" s="0"/>
      <c r="OOU81" s="0"/>
      <c r="OOV81" s="0"/>
      <c r="OOW81" s="0"/>
      <c r="OOX81" s="0"/>
      <c r="OOY81" s="0"/>
      <c r="OOZ81" s="0"/>
      <c r="OPA81" s="0"/>
      <c r="OPB81" s="0"/>
      <c r="OPC81" s="0"/>
      <c r="OPD81" s="0"/>
      <c r="OPE81" s="0"/>
      <c r="OPF81" s="0"/>
      <c r="OPG81" s="0"/>
      <c r="OPH81" s="0"/>
      <c r="OPI81" s="0"/>
      <c r="OPJ81" s="0"/>
      <c r="OPK81" s="0"/>
      <c r="OPL81" s="0"/>
      <c r="OPM81" s="0"/>
      <c r="OPN81" s="0"/>
      <c r="OPO81" s="0"/>
      <c r="OPP81" s="0"/>
      <c r="OPQ81" s="0"/>
      <c r="OPR81" s="0"/>
      <c r="OPS81" s="0"/>
      <c r="OPT81" s="0"/>
      <c r="OPU81" s="0"/>
      <c r="OPV81" s="0"/>
      <c r="OPW81" s="0"/>
      <c r="OPX81" s="0"/>
      <c r="OPY81" s="0"/>
      <c r="OPZ81" s="0"/>
      <c r="OQA81" s="0"/>
      <c r="OQB81" s="0"/>
      <c r="OQC81" s="0"/>
      <c r="OQD81" s="0"/>
      <c r="OQE81" s="0"/>
      <c r="OQF81" s="0"/>
      <c r="OQG81" s="0"/>
      <c r="OQH81" s="0"/>
      <c r="OQI81" s="0"/>
      <c r="OQJ81" s="0"/>
      <c r="OQK81" s="0"/>
      <c r="OQL81" s="0"/>
      <c r="OQM81" s="0"/>
      <c r="OQN81" s="0"/>
      <c r="OQO81" s="0"/>
      <c r="OQP81" s="0"/>
      <c r="OQQ81" s="0"/>
      <c r="OQR81" s="0"/>
      <c r="OQS81" s="0"/>
      <c r="OQT81" s="0"/>
      <c r="OQU81" s="0"/>
      <c r="OQV81" s="0"/>
      <c r="OQW81" s="0"/>
      <c r="OQX81" s="0"/>
      <c r="OQY81" s="0"/>
      <c r="OQZ81" s="0"/>
      <c r="ORA81" s="0"/>
      <c r="ORB81" s="0"/>
      <c r="ORC81" s="0"/>
      <c r="ORD81" s="0"/>
      <c r="ORE81" s="0"/>
      <c r="ORF81" s="0"/>
      <c r="ORG81" s="0"/>
      <c r="ORH81" s="0"/>
      <c r="ORI81" s="0"/>
      <c r="ORJ81" s="0"/>
      <c r="ORK81" s="0"/>
      <c r="ORL81" s="0"/>
      <c r="ORM81" s="0"/>
      <c r="ORN81" s="0"/>
      <c r="ORO81" s="0"/>
      <c r="ORP81" s="0"/>
      <c r="ORQ81" s="0"/>
      <c r="ORR81" s="0"/>
      <c r="ORS81" s="0"/>
      <c r="ORT81" s="0"/>
      <c r="ORU81" s="0"/>
      <c r="ORV81" s="0"/>
      <c r="ORW81" s="0"/>
      <c r="ORX81" s="0"/>
      <c r="ORY81" s="0"/>
      <c r="ORZ81" s="0"/>
      <c r="OSA81" s="0"/>
      <c r="OSB81" s="0"/>
      <c r="OSC81" s="0"/>
      <c r="OSD81" s="0"/>
      <c r="OSE81" s="0"/>
      <c r="OSF81" s="0"/>
      <c r="OSG81" s="0"/>
      <c r="OSH81" s="0"/>
      <c r="OSI81" s="0"/>
      <c r="OSJ81" s="0"/>
      <c r="OSK81" s="0"/>
      <c r="OSL81" s="0"/>
      <c r="OSM81" s="0"/>
      <c r="OSN81" s="0"/>
      <c r="OSO81" s="0"/>
      <c r="OSP81" s="0"/>
      <c r="OSQ81" s="0"/>
      <c r="OSR81" s="0"/>
      <c r="OSS81" s="0"/>
      <c r="OST81" s="0"/>
      <c r="OSU81" s="0"/>
      <c r="OSV81" s="0"/>
      <c r="OSW81" s="0"/>
      <c r="OSX81" s="0"/>
      <c r="OSY81" s="0"/>
      <c r="OSZ81" s="0"/>
      <c r="OTA81" s="0"/>
      <c r="OTB81" s="0"/>
      <c r="OTC81" s="0"/>
      <c r="OTD81" s="0"/>
      <c r="OTE81" s="0"/>
      <c r="OTF81" s="0"/>
      <c r="OTG81" s="0"/>
      <c r="OTH81" s="0"/>
      <c r="OTI81" s="0"/>
      <c r="OTJ81" s="0"/>
      <c r="OTK81" s="0"/>
      <c r="OTL81" s="0"/>
      <c r="OTM81" s="0"/>
      <c r="OTN81" s="0"/>
      <c r="OTO81" s="0"/>
      <c r="OTP81" s="0"/>
      <c r="OTQ81" s="0"/>
      <c r="OTR81" s="0"/>
      <c r="OTS81" s="0"/>
      <c r="OTT81" s="0"/>
      <c r="OTU81" s="0"/>
      <c r="OTV81" s="0"/>
      <c r="OTW81" s="0"/>
      <c r="OTX81" s="0"/>
      <c r="OTY81" s="0"/>
      <c r="OTZ81" s="0"/>
      <c r="OUA81" s="0"/>
      <c r="OUB81" s="0"/>
      <c r="OUC81" s="0"/>
      <c r="OUD81" s="0"/>
      <c r="OUE81" s="0"/>
      <c r="OUF81" s="0"/>
      <c r="OUG81" s="0"/>
      <c r="OUH81" s="0"/>
      <c r="OUI81" s="0"/>
      <c r="OUJ81" s="0"/>
      <c r="OUK81" s="0"/>
      <c r="OUL81" s="0"/>
      <c r="OUM81" s="0"/>
      <c r="OUN81" s="0"/>
      <c r="OUO81" s="0"/>
      <c r="OUP81" s="0"/>
      <c r="OUQ81" s="0"/>
      <c r="OUR81" s="0"/>
      <c r="OUS81" s="0"/>
      <c r="OUT81" s="0"/>
      <c r="OUU81" s="0"/>
      <c r="OUV81" s="0"/>
      <c r="OUW81" s="0"/>
      <c r="OUX81" s="0"/>
      <c r="OUY81" s="0"/>
      <c r="OUZ81" s="0"/>
      <c r="OVA81" s="0"/>
      <c r="OVB81" s="0"/>
      <c r="OVC81" s="0"/>
      <c r="OVD81" s="0"/>
      <c r="OVE81" s="0"/>
      <c r="OVF81" s="0"/>
      <c r="OVG81" s="0"/>
      <c r="OVH81" s="0"/>
      <c r="OVI81" s="0"/>
      <c r="OVJ81" s="0"/>
      <c r="OVK81" s="0"/>
      <c r="OVL81" s="0"/>
      <c r="OVM81" s="0"/>
      <c r="OVN81" s="0"/>
      <c r="OVO81" s="0"/>
      <c r="OVP81" s="0"/>
      <c r="OVQ81" s="0"/>
      <c r="OVR81" s="0"/>
      <c r="OVS81" s="0"/>
      <c r="OVT81" s="0"/>
      <c r="OVU81" s="0"/>
      <c r="OVV81" s="0"/>
      <c r="OVW81" s="0"/>
      <c r="OVX81" s="0"/>
      <c r="OVY81" s="0"/>
      <c r="OVZ81" s="0"/>
      <c r="OWA81" s="0"/>
      <c r="OWB81" s="0"/>
      <c r="OWC81" s="0"/>
      <c r="OWD81" s="0"/>
      <c r="OWE81" s="0"/>
      <c r="OWF81" s="0"/>
      <c r="OWG81" s="0"/>
      <c r="OWH81" s="0"/>
      <c r="OWI81" s="0"/>
      <c r="OWJ81" s="0"/>
      <c r="OWK81" s="0"/>
      <c r="OWL81" s="0"/>
      <c r="OWM81" s="0"/>
      <c r="OWN81" s="0"/>
      <c r="OWO81" s="0"/>
      <c r="OWP81" s="0"/>
      <c r="OWQ81" s="0"/>
      <c r="OWR81" s="0"/>
      <c r="OWS81" s="0"/>
      <c r="OWT81" s="0"/>
      <c r="OWU81" s="0"/>
      <c r="OWV81" s="0"/>
      <c r="OWW81" s="0"/>
      <c r="OWX81" s="0"/>
      <c r="OWY81" s="0"/>
      <c r="OWZ81" s="0"/>
      <c r="OXA81" s="0"/>
      <c r="OXB81" s="0"/>
      <c r="OXC81" s="0"/>
      <c r="OXD81" s="0"/>
      <c r="OXE81" s="0"/>
      <c r="OXF81" s="0"/>
      <c r="OXG81" s="0"/>
      <c r="OXH81" s="0"/>
      <c r="OXI81" s="0"/>
      <c r="OXJ81" s="0"/>
      <c r="OXK81" s="0"/>
      <c r="OXL81" s="0"/>
      <c r="OXM81" s="0"/>
      <c r="OXN81" s="0"/>
      <c r="OXO81" s="0"/>
      <c r="OXP81" s="0"/>
      <c r="OXQ81" s="0"/>
      <c r="OXR81" s="0"/>
      <c r="OXS81" s="0"/>
      <c r="OXT81" s="0"/>
      <c r="OXU81" s="0"/>
      <c r="OXV81" s="0"/>
      <c r="OXW81" s="0"/>
      <c r="OXX81" s="0"/>
      <c r="OXY81" s="0"/>
      <c r="OXZ81" s="0"/>
      <c r="OYA81" s="0"/>
      <c r="OYB81" s="0"/>
      <c r="OYC81" s="0"/>
      <c r="OYD81" s="0"/>
      <c r="OYE81" s="0"/>
      <c r="OYF81" s="0"/>
      <c r="OYG81" s="0"/>
      <c r="OYH81" s="0"/>
      <c r="OYI81" s="0"/>
      <c r="OYJ81" s="0"/>
      <c r="OYK81" s="0"/>
      <c r="OYL81" s="0"/>
      <c r="OYM81" s="0"/>
      <c r="OYN81" s="0"/>
      <c r="OYO81" s="0"/>
      <c r="OYP81" s="0"/>
      <c r="OYQ81" s="0"/>
      <c r="OYR81" s="0"/>
      <c r="OYS81" s="0"/>
      <c r="OYT81" s="0"/>
      <c r="OYU81" s="0"/>
      <c r="OYV81" s="0"/>
      <c r="OYW81" s="0"/>
      <c r="OYX81" s="0"/>
      <c r="OYY81" s="0"/>
      <c r="OYZ81" s="0"/>
      <c r="OZA81" s="0"/>
      <c r="OZB81" s="0"/>
      <c r="OZC81" s="0"/>
      <c r="OZD81" s="0"/>
      <c r="OZE81" s="0"/>
      <c r="OZF81" s="0"/>
      <c r="OZG81" s="0"/>
      <c r="OZH81" s="0"/>
      <c r="OZI81" s="0"/>
      <c r="OZJ81" s="0"/>
      <c r="OZK81" s="0"/>
      <c r="OZL81" s="0"/>
      <c r="OZM81" s="0"/>
      <c r="OZN81" s="0"/>
      <c r="OZO81" s="0"/>
      <c r="OZP81" s="0"/>
      <c r="OZQ81" s="0"/>
      <c r="OZR81" s="0"/>
      <c r="OZS81" s="0"/>
      <c r="OZT81" s="0"/>
      <c r="OZU81" s="0"/>
      <c r="OZV81" s="0"/>
      <c r="OZW81" s="0"/>
      <c r="OZX81" s="0"/>
      <c r="OZY81" s="0"/>
      <c r="OZZ81" s="0"/>
      <c r="PAA81" s="0"/>
      <c r="PAB81" s="0"/>
      <c r="PAC81" s="0"/>
      <c r="PAD81" s="0"/>
      <c r="PAE81" s="0"/>
      <c r="PAF81" s="0"/>
      <c r="PAG81" s="0"/>
      <c r="PAH81" s="0"/>
      <c r="PAI81" s="0"/>
      <c r="PAJ81" s="0"/>
      <c r="PAK81" s="0"/>
      <c r="PAL81" s="0"/>
      <c r="PAM81" s="0"/>
      <c r="PAN81" s="0"/>
      <c r="PAO81" s="0"/>
      <c r="PAP81" s="0"/>
      <c r="PAQ81" s="0"/>
      <c r="PAR81" s="0"/>
      <c r="PAS81" s="0"/>
      <c r="PAT81" s="0"/>
      <c r="PAU81" s="0"/>
      <c r="PAV81" s="0"/>
      <c r="PAW81" s="0"/>
      <c r="PAX81" s="0"/>
      <c r="PAY81" s="0"/>
      <c r="PAZ81" s="0"/>
      <c r="PBA81" s="0"/>
      <c r="PBB81" s="0"/>
      <c r="PBC81" s="0"/>
      <c r="PBD81" s="0"/>
      <c r="PBE81" s="0"/>
      <c r="PBF81" s="0"/>
      <c r="PBG81" s="0"/>
      <c r="PBH81" s="0"/>
      <c r="PBI81" s="0"/>
      <c r="PBJ81" s="0"/>
      <c r="PBK81" s="0"/>
      <c r="PBL81" s="0"/>
      <c r="PBM81" s="0"/>
      <c r="PBN81" s="0"/>
      <c r="PBO81" s="0"/>
      <c r="PBP81" s="0"/>
      <c r="PBQ81" s="0"/>
      <c r="PBR81" s="0"/>
      <c r="PBS81" s="0"/>
      <c r="PBT81" s="0"/>
      <c r="PBU81" s="0"/>
      <c r="PBV81" s="0"/>
      <c r="PBW81" s="0"/>
      <c r="PBX81" s="0"/>
      <c r="PBY81" s="0"/>
      <c r="PBZ81" s="0"/>
      <c r="PCA81" s="0"/>
      <c r="PCB81" s="0"/>
      <c r="PCC81" s="0"/>
      <c r="PCD81" s="0"/>
      <c r="PCE81" s="0"/>
      <c r="PCF81" s="0"/>
      <c r="PCG81" s="0"/>
      <c r="PCH81" s="0"/>
      <c r="PCI81" s="0"/>
      <c r="PCJ81" s="0"/>
      <c r="PCK81" s="0"/>
      <c r="PCL81" s="0"/>
      <c r="PCM81" s="0"/>
      <c r="PCN81" s="0"/>
      <c r="PCO81" s="0"/>
      <c r="PCP81" s="0"/>
      <c r="PCQ81" s="0"/>
      <c r="PCR81" s="0"/>
      <c r="PCS81" s="0"/>
      <c r="PCT81" s="0"/>
      <c r="PCU81" s="0"/>
      <c r="PCV81" s="0"/>
      <c r="PCW81" s="0"/>
      <c r="PCX81" s="0"/>
      <c r="PCY81" s="0"/>
      <c r="PCZ81" s="0"/>
      <c r="PDA81" s="0"/>
      <c r="PDB81" s="0"/>
      <c r="PDC81" s="0"/>
      <c r="PDD81" s="0"/>
      <c r="PDE81" s="0"/>
      <c r="PDF81" s="0"/>
      <c r="PDG81" s="0"/>
      <c r="PDH81" s="0"/>
      <c r="PDI81" s="0"/>
      <c r="PDJ81" s="0"/>
      <c r="PDK81" s="0"/>
      <c r="PDL81" s="0"/>
      <c r="PDM81" s="0"/>
      <c r="PDN81" s="0"/>
      <c r="PDO81" s="0"/>
      <c r="PDP81" s="0"/>
      <c r="PDQ81" s="0"/>
      <c r="PDR81" s="0"/>
      <c r="PDS81" s="0"/>
      <c r="PDT81" s="0"/>
      <c r="PDU81" s="0"/>
      <c r="PDV81" s="0"/>
      <c r="PDW81" s="0"/>
      <c r="PDX81" s="0"/>
      <c r="PDY81" s="0"/>
      <c r="PDZ81" s="0"/>
      <c r="PEA81" s="0"/>
      <c r="PEB81" s="0"/>
      <c r="PEC81" s="0"/>
      <c r="PED81" s="0"/>
      <c r="PEE81" s="0"/>
      <c r="PEF81" s="0"/>
      <c r="PEG81" s="0"/>
      <c r="PEH81" s="0"/>
      <c r="PEI81" s="0"/>
      <c r="PEJ81" s="0"/>
      <c r="PEK81" s="0"/>
      <c r="PEL81" s="0"/>
      <c r="PEM81" s="0"/>
      <c r="PEN81" s="0"/>
      <c r="PEO81" s="0"/>
      <c r="PEP81" s="0"/>
      <c r="PEQ81" s="0"/>
      <c r="PER81" s="0"/>
      <c r="PES81" s="0"/>
      <c r="PET81" s="0"/>
      <c r="PEU81" s="0"/>
      <c r="PEV81" s="0"/>
      <c r="PEW81" s="0"/>
      <c r="PEX81" s="0"/>
      <c r="PEY81" s="0"/>
      <c r="PEZ81" s="0"/>
      <c r="PFA81" s="0"/>
      <c r="PFB81" s="0"/>
      <c r="PFC81" s="0"/>
      <c r="PFD81" s="0"/>
      <c r="PFE81" s="0"/>
      <c r="PFF81" s="0"/>
      <c r="PFG81" s="0"/>
      <c r="PFH81" s="0"/>
      <c r="PFI81" s="0"/>
      <c r="PFJ81" s="0"/>
      <c r="PFK81" s="0"/>
      <c r="PFL81" s="0"/>
      <c r="PFM81" s="0"/>
      <c r="PFN81" s="0"/>
      <c r="PFO81" s="0"/>
      <c r="PFP81" s="0"/>
      <c r="PFQ81" s="0"/>
      <c r="PFR81" s="0"/>
      <c r="PFS81" s="0"/>
      <c r="PFT81" s="0"/>
      <c r="PFU81" s="0"/>
      <c r="PFV81" s="0"/>
      <c r="PFW81" s="0"/>
      <c r="PFX81" s="0"/>
      <c r="PFY81" s="0"/>
      <c r="PFZ81" s="0"/>
      <c r="PGA81" s="0"/>
      <c r="PGB81" s="0"/>
      <c r="PGC81" s="0"/>
      <c r="PGD81" s="0"/>
      <c r="PGE81" s="0"/>
      <c r="PGF81" s="0"/>
      <c r="PGG81" s="0"/>
      <c r="PGH81" s="0"/>
      <c r="PGI81" s="0"/>
      <c r="PGJ81" s="0"/>
      <c r="PGK81" s="0"/>
      <c r="PGL81" s="0"/>
      <c r="PGM81" s="0"/>
      <c r="PGN81" s="0"/>
      <c r="PGO81" s="0"/>
      <c r="PGP81" s="0"/>
      <c r="PGQ81" s="0"/>
      <c r="PGR81" s="0"/>
      <c r="PGS81" s="0"/>
      <c r="PGT81" s="0"/>
      <c r="PGU81" s="0"/>
      <c r="PGV81" s="0"/>
      <c r="PGW81" s="0"/>
      <c r="PGX81" s="0"/>
      <c r="PGY81" s="0"/>
      <c r="PGZ81" s="0"/>
      <c r="PHA81" s="0"/>
      <c r="PHB81" s="0"/>
      <c r="PHC81" s="0"/>
      <c r="PHD81" s="0"/>
      <c r="PHE81" s="0"/>
      <c r="PHF81" s="0"/>
      <c r="PHG81" s="0"/>
      <c r="PHH81" s="0"/>
      <c r="PHI81" s="0"/>
      <c r="PHJ81" s="0"/>
      <c r="PHK81" s="0"/>
      <c r="PHL81" s="0"/>
      <c r="PHM81" s="0"/>
      <c r="PHN81" s="0"/>
      <c r="PHO81" s="0"/>
      <c r="PHP81" s="0"/>
      <c r="PHQ81" s="0"/>
      <c r="PHR81" s="0"/>
      <c r="PHS81" s="0"/>
      <c r="PHT81" s="0"/>
      <c r="PHU81" s="0"/>
      <c r="PHV81" s="0"/>
      <c r="PHW81" s="0"/>
      <c r="PHX81" s="0"/>
      <c r="PHY81" s="0"/>
      <c r="PHZ81" s="0"/>
      <c r="PIA81" s="0"/>
      <c r="PIB81" s="0"/>
      <c r="PIC81" s="0"/>
      <c r="PID81" s="0"/>
      <c r="PIE81" s="0"/>
      <c r="PIF81" s="0"/>
      <c r="PIG81" s="0"/>
      <c r="PIH81" s="0"/>
      <c r="PII81" s="0"/>
      <c r="PIJ81" s="0"/>
      <c r="PIK81" s="0"/>
      <c r="PIL81" s="0"/>
      <c r="PIM81" s="0"/>
      <c r="PIN81" s="0"/>
      <c r="PIO81" s="0"/>
      <c r="PIP81" s="0"/>
      <c r="PIQ81" s="0"/>
      <c r="PIR81" s="0"/>
      <c r="PIS81" s="0"/>
      <c r="PIT81" s="0"/>
      <c r="PIU81" s="0"/>
      <c r="PIV81" s="0"/>
      <c r="PIW81" s="0"/>
      <c r="PIX81" s="0"/>
      <c r="PIY81" s="0"/>
      <c r="PIZ81" s="0"/>
      <c r="PJA81" s="0"/>
      <c r="PJB81" s="0"/>
      <c r="PJC81" s="0"/>
      <c r="PJD81" s="0"/>
      <c r="PJE81" s="0"/>
      <c r="PJF81" s="0"/>
      <c r="PJG81" s="0"/>
      <c r="PJH81" s="0"/>
      <c r="PJI81" s="0"/>
      <c r="PJJ81" s="0"/>
      <c r="PJK81" s="0"/>
      <c r="PJL81" s="0"/>
      <c r="PJM81" s="0"/>
      <c r="PJN81" s="0"/>
      <c r="PJO81" s="0"/>
      <c r="PJP81" s="0"/>
      <c r="PJQ81" s="0"/>
      <c r="PJR81" s="0"/>
      <c r="PJS81" s="0"/>
      <c r="PJT81" s="0"/>
      <c r="PJU81" s="0"/>
      <c r="PJV81" s="0"/>
      <c r="PJW81" s="0"/>
      <c r="PJX81" s="0"/>
      <c r="PJY81" s="0"/>
      <c r="PJZ81" s="0"/>
      <c r="PKA81" s="0"/>
      <c r="PKB81" s="0"/>
      <c r="PKC81" s="0"/>
      <c r="PKD81" s="0"/>
      <c r="PKE81" s="0"/>
      <c r="PKF81" s="0"/>
      <c r="PKG81" s="0"/>
      <c r="PKH81" s="0"/>
      <c r="PKI81" s="0"/>
      <c r="PKJ81" s="0"/>
      <c r="PKK81" s="0"/>
      <c r="PKL81" s="0"/>
      <c r="PKM81" s="0"/>
      <c r="PKN81" s="0"/>
      <c r="PKO81" s="0"/>
      <c r="PKP81" s="0"/>
      <c r="PKQ81" s="0"/>
      <c r="PKR81" s="0"/>
      <c r="PKS81" s="0"/>
      <c r="PKT81" s="0"/>
      <c r="PKU81" s="0"/>
      <c r="PKV81" s="0"/>
      <c r="PKW81" s="0"/>
      <c r="PKX81" s="0"/>
      <c r="PKY81" s="0"/>
      <c r="PKZ81" s="0"/>
      <c r="PLA81" s="0"/>
      <c r="PLB81" s="0"/>
      <c r="PLC81" s="0"/>
      <c r="PLD81" s="0"/>
      <c r="PLE81" s="0"/>
      <c r="PLF81" s="0"/>
      <c r="PLG81" s="0"/>
      <c r="PLH81" s="0"/>
      <c r="PLI81" s="0"/>
      <c r="PLJ81" s="0"/>
      <c r="PLK81" s="0"/>
      <c r="PLL81" s="0"/>
      <c r="PLM81" s="0"/>
      <c r="PLN81" s="0"/>
      <c r="PLO81" s="0"/>
      <c r="PLP81" s="0"/>
      <c r="PLQ81" s="0"/>
      <c r="PLR81" s="0"/>
      <c r="PLS81" s="0"/>
      <c r="PLT81" s="0"/>
      <c r="PLU81" s="0"/>
      <c r="PLV81" s="0"/>
      <c r="PLW81" s="0"/>
      <c r="PLX81" s="0"/>
      <c r="PLY81" s="0"/>
      <c r="PLZ81" s="0"/>
      <c r="PMA81" s="0"/>
      <c r="PMB81" s="0"/>
      <c r="PMC81" s="0"/>
      <c r="PMD81" s="0"/>
      <c r="PME81" s="0"/>
      <c r="PMF81" s="0"/>
      <c r="PMG81" s="0"/>
      <c r="PMH81" s="0"/>
      <c r="PMI81" s="0"/>
      <c r="PMJ81" s="0"/>
      <c r="PMK81" s="0"/>
      <c r="PML81" s="0"/>
      <c r="PMM81" s="0"/>
      <c r="PMN81" s="0"/>
      <c r="PMO81" s="0"/>
      <c r="PMP81" s="0"/>
      <c r="PMQ81" s="0"/>
      <c r="PMR81" s="0"/>
      <c r="PMS81" s="0"/>
      <c r="PMT81" s="0"/>
      <c r="PMU81" s="0"/>
      <c r="PMV81" s="0"/>
      <c r="PMW81" s="0"/>
      <c r="PMX81" s="0"/>
      <c r="PMY81" s="0"/>
      <c r="PMZ81" s="0"/>
      <c r="PNA81" s="0"/>
      <c r="PNB81" s="0"/>
      <c r="PNC81" s="0"/>
      <c r="PND81" s="0"/>
      <c r="PNE81" s="0"/>
      <c r="PNF81" s="0"/>
      <c r="PNG81" s="0"/>
      <c r="PNH81" s="0"/>
      <c r="PNI81" s="0"/>
      <c r="PNJ81" s="0"/>
      <c r="PNK81" s="0"/>
      <c r="PNL81" s="0"/>
      <c r="PNM81" s="0"/>
      <c r="PNN81" s="0"/>
      <c r="PNO81" s="0"/>
      <c r="PNP81" s="0"/>
      <c r="PNQ81" s="0"/>
      <c r="PNR81" s="0"/>
      <c r="PNS81" s="0"/>
      <c r="PNT81" s="0"/>
      <c r="PNU81" s="0"/>
      <c r="PNV81" s="0"/>
      <c r="PNW81" s="0"/>
      <c r="PNX81" s="0"/>
      <c r="PNY81" s="0"/>
      <c r="PNZ81" s="0"/>
      <c r="POA81" s="0"/>
      <c r="POB81" s="0"/>
      <c r="POC81" s="0"/>
      <c r="POD81" s="0"/>
      <c r="POE81" s="0"/>
      <c r="POF81" s="0"/>
      <c r="POG81" s="0"/>
      <c r="POH81" s="0"/>
      <c r="POI81" s="0"/>
      <c r="POJ81" s="0"/>
      <c r="POK81" s="0"/>
      <c r="POL81" s="0"/>
      <c r="POM81" s="0"/>
      <c r="PON81" s="0"/>
      <c r="POO81" s="0"/>
      <c r="POP81" s="0"/>
      <c r="POQ81" s="0"/>
      <c r="POR81" s="0"/>
      <c r="POS81" s="0"/>
      <c r="POT81" s="0"/>
      <c r="POU81" s="0"/>
      <c r="POV81" s="0"/>
      <c r="POW81" s="0"/>
      <c r="POX81" s="0"/>
      <c r="POY81" s="0"/>
      <c r="POZ81" s="0"/>
      <c r="PPA81" s="0"/>
      <c r="PPB81" s="0"/>
      <c r="PPC81" s="0"/>
      <c r="PPD81" s="0"/>
      <c r="PPE81" s="0"/>
      <c r="PPF81" s="0"/>
      <c r="PPG81" s="0"/>
      <c r="PPH81" s="0"/>
      <c r="PPI81" s="0"/>
      <c r="PPJ81" s="0"/>
      <c r="PPK81" s="0"/>
      <c r="PPL81" s="0"/>
      <c r="PPM81" s="0"/>
      <c r="PPN81" s="0"/>
      <c r="PPO81" s="0"/>
      <c r="PPP81" s="0"/>
      <c r="PPQ81" s="0"/>
      <c r="PPR81" s="0"/>
      <c r="PPS81" s="0"/>
      <c r="PPT81" s="0"/>
      <c r="PPU81" s="0"/>
      <c r="PPV81" s="0"/>
      <c r="PPW81" s="0"/>
      <c r="PPX81" s="0"/>
      <c r="PPY81" s="0"/>
      <c r="PPZ81" s="0"/>
      <c r="PQA81" s="0"/>
      <c r="PQB81" s="0"/>
      <c r="PQC81" s="0"/>
      <c r="PQD81" s="0"/>
      <c r="PQE81" s="0"/>
      <c r="PQF81" s="0"/>
      <c r="PQG81" s="0"/>
      <c r="PQH81" s="0"/>
      <c r="PQI81" s="0"/>
      <c r="PQJ81" s="0"/>
      <c r="PQK81" s="0"/>
      <c r="PQL81" s="0"/>
      <c r="PQM81" s="0"/>
      <c r="PQN81" s="0"/>
      <c r="PQO81" s="0"/>
      <c r="PQP81" s="0"/>
      <c r="PQQ81" s="0"/>
      <c r="PQR81" s="0"/>
      <c r="PQS81" s="0"/>
      <c r="PQT81" s="0"/>
      <c r="PQU81" s="0"/>
      <c r="PQV81" s="0"/>
      <c r="PQW81" s="0"/>
      <c r="PQX81" s="0"/>
      <c r="PQY81" s="0"/>
      <c r="PQZ81" s="0"/>
      <c r="PRA81" s="0"/>
      <c r="PRB81" s="0"/>
      <c r="PRC81" s="0"/>
      <c r="PRD81" s="0"/>
      <c r="PRE81" s="0"/>
      <c r="PRF81" s="0"/>
      <c r="PRG81" s="0"/>
      <c r="PRH81" s="0"/>
      <c r="PRI81" s="0"/>
      <c r="PRJ81" s="0"/>
      <c r="PRK81" s="0"/>
      <c r="PRL81" s="0"/>
      <c r="PRM81" s="0"/>
      <c r="PRN81" s="0"/>
      <c r="PRO81" s="0"/>
      <c r="PRP81" s="0"/>
      <c r="PRQ81" s="0"/>
      <c r="PRR81" s="0"/>
      <c r="PRS81" s="0"/>
      <c r="PRT81" s="0"/>
      <c r="PRU81" s="0"/>
      <c r="PRV81" s="0"/>
      <c r="PRW81" s="0"/>
      <c r="PRX81" s="0"/>
      <c r="PRY81" s="0"/>
      <c r="PRZ81" s="0"/>
      <c r="PSA81" s="0"/>
      <c r="PSB81" s="0"/>
      <c r="PSC81" s="0"/>
      <c r="PSD81" s="0"/>
      <c r="PSE81" s="0"/>
      <c r="PSF81" s="0"/>
      <c r="PSG81" s="0"/>
      <c r="PSH81" s="0"/>
      <c r="PSI81" s="0"/>
      <c r="PSJ81" s="0"/>
      <c r="PSK81" s="0"/>
      <c r="PSL81" s="0"/>
      <c r="PSM81" s="0"/>
      <c r="PSN81" s="0"/>
      <c r="PSO81" s="0"/>
      <c r="PSP81" s="0"/>
      <c r="PSQ81" s="0"/>
      <c r="PSR81" s="0"/>
      <c r="PSS81" s="0"/>
      <c r="PST81" s="0"/>
      <c r="PSU81" s="0"/>
      <c r="PSV81" s="0"/>
      <c r="PSW81" s="0"/>
      <c r="PSX81" s="0"/>
      <c r="PSY81" s="0"/>
      <c r="PSZ81" s="0"/>
      <c r="PTA81" s="0"/>
      <c r="PTB81" s="0"/>
      <c r="PTC81" s="0"/>
      <c r="PTD81" s="0"/>
      <c r="PTE81" s="0"/>
      <c r="PTF81" s="0"/>
      <c r="PTG81" s="0"/>
      <c r="PTH81" s="0"/>
      <c r="PTI81" s="0"/>
      <c r="PTJ81" s="0"/>
      <c r="PTK81" s="0"/>
      <c r="PTL81" s="0"/>
      <c r="PTM81" s="0"/>
      <c r="PTN81" s="0"/>
      <c r="PTO81" s="0"/>
      <c r="PTP81" s="0"/>
      <c r="PTQ81" s="0"/>
      <c r="PTR81" s="0"/>
      <c r="PTS81" s="0"/>
      <c r="PTT81" s="0"/>
      <c r="PTU81" s="0"/>
      <c r="PTV81" s="0"/>
      <c r="PTW81" s="0"/>
      <c r="PTX81" s="0"/>
      <c r="PTY81" s="0"/>
      <c r="PTZ81" s="0"/>
      <c r="PUA81" s="0"/>
      <c r="PUB81" s="0"/>
      <c r="PUC81" s="0"/>
      <c r="PUD81" s="0"/>
      <c r="PUE81" s="0"/>
      <c r="PUF81" s="0"/>
      <c r="PUG81" s="0"/>
      <c r="PUH81" s="0"/>
      <c r="PUI81" s="0"/>
      <c r="PUJ81" s="0"/>
      <c r="PUK81" s="0"/>
      <c r="PUL81" s="0"/>
      <c r="PUM81" s="0"/>
      <c r="PUN81" s="0"/>
      <c r="PUO81" s="0"/>
      <c r="PUP81" s="0"/>
      <c r="PUQ81" s="0"/>
      <c r="PUR81" s="0"/>
      <c r="PUS81" s="0"/>
      <c r="PUT81" s="0"/>
      <c r="PUU81" s="0"/>
      <c r="PUV81" s="0"/>
      <c r="PUW81" s="0"/>
      <c r="PUX81" s="0"/>
      <c r="PUY81" s="0"/>
      <c r="PUZ81" s="0"/>
      <c r="PVA81" s="0"/>
      <c r="PVB81" s="0"/>
      <c r="PVC81" s="0"/>
      <c r="PVD81" s="0"/>
      <c r="PVE81" s="0"/>
      <c r="PVF81" s="0"/>
      <c r="PVG81" s="0"/>
      <c r="PVH81" s="0"/>
      <c r="PVI81" s="0"/>
      <c r="PVJ81" s="0"/>
      <c r="PVK81" s="0"/>
      <c r="PVL81" s="0"/>
      <c r="PVM81" s="0"/>
      <c r="PVN81" s="0"/>
      <c r="PVO81" s="0"/>
      <c r="PVP81" s="0"/>
      <c r="PVQ81" s="0"/>
      <c r="PVR81" s="0"/>
      <c r="PVS81" s="0"/>
      <c r="PVT81" s="0"/>
      <c r="PVU81" s="0"/>
      <c r="PVV81" s="0"/>
      <c r="PVW81" s="0"/>
      <c r="PVX81" s="0"/>
      <c r="PVY81" s="0"/>
      <c r="PVZ81" s="0"/>
      <c r="PWA81" s="0"/>
      <c r="PWB81" s="0"/>
      <c r="PWC81" s="0"/>
      <c r="PWD81" s="0"/>
      <c r="PWE81" s="0"/>
      <c r="PWF81" s="0"/>
      <c r="PWG81" s="0"/>
      <c r="PWH81" s="0"/>
      <c r="PWI81" s="0"/>
      <c r="PWJ81" s="0"/>
      <c r="PWK81" s="0"/>
      <c r="PWL81" s="0"/>
      <c r="PWM81" s="0"/>
      <c r="PWN81" s="0"/>
      <c r="PWO81" s="0"/>
      <c r="PWP81" s="0"/>
      <c r="PWQ81" s="0"/>
      <c r="PWR81" s="0"/>
      <c r="PWS81" s="0"/>
      <c r="PWT81" s="0"/>
      <c r="PWU81" s="0"/>
      <c r="PWV81" s="0"/>
      <c r="PWW81" s="0"/>
      <c r="PWX81" s="0"/>
      <c r="PWY81" s="0"/>
      <c r="PWZ81" s="0"/>
      <c r="PXA81" s="0"/>
      <c r="PXB81" s="0"/>
      <c r="PXC81" s="0"/>
      <c r="PXD81" s="0"/>
      <c r="PXE81" s="0"/>
      <c r="PXF81" s="0"/>
      <c r="PXG81" s="0"/>
      <c r="PXH81" s="0"/>
      <c r="PXI81" s="0"/>
      <c r="PXJ81" s="0"/>
      <c r="PXK81" s="0"/>
      <c r="PXL81" s="0"/>
      <c r="PXM81" s="0"/>
      <c r="PXN81" s="0"/>
      <c r="PXO81" s="0"/>
      <c r="PXP81" s="0"/>
      <c r="PXQ81" s="0"/>
      <c r="PXR81" s="0"/>
      <c r="PXS81" s="0"/>
      <c r="PXT81" s="0"/>
      <c r="PXU81" s="0"/>
      <c r="PXV81" s="0"/>
      <c r="PXW81" s="0"/>
      <c r="PXX81" s="0"/>
      <c r="PXY81" s="0"/>
      <c r="PXZ81" s="0"/>
      <c r="PYA81" s="0"/>
      <c r="PYB81" s="0"/>
      <c r="PYC81" s="0"/>
      <c r="PYD81" s="0"/>
      <c r="PYE81" s="0"/>
      <c r="PYF81" s="0"/>
      <c r="PYG81" s="0"/>
      <c r="PYH81" s="0"/>
      <c r="PYI81" s="0"/>
      <c r="PYJ81" s="0"/>
      <c r="PYK81" s="0"/>
      <c r="PYL81" s="0"/>
      <c r="PYM81" s="0"/>
      <c r="PYN81" s="0"/>
      <c r="PYO81" s="0"/>
      <c r="PYP81" s="0"/>
      <c r="PYQ81" s="0"/>
      <c r="PYR81" s="0"/>
      <c r="PYS81" s="0"/>
      <c r="PYT81" s="0"/>
      <c r="PYU81" s="0"/>
      <c r="PYV81" s="0"/>
      <c r="PYW81" s="0"/>
      <c r="PYX81" s="0"/>
      <c r="PYY81" s="0"/>
      <c r="PYZ81" s="0"/>
      <c r="PZA81" s="0"/>
      <c r="PZB81" s="0"/>
      <c r="PZC81" s="0"/>
      <c r="PZD81" s="0"/>
      <c r="PZE81" s="0"/>
      <c r="PZF81" s="0"/>
      <c r="PZG81" s="0"/>
      <c r="PZH81" s="0"/>
      <c r="PZI81" s="0"/>
      <c r="PZJ81" s="0"/>
      <c r="PZK81" s="0"/>
      <c r="PZL81" s="0"/>
      <c r="PZM81" s="0"/>
      <c r="PZN81" s="0"/>
      <c r="PZO81" s="0"/>
      <c r="PZP81" s="0"/>
      <c r="PZQ81" s="0"/>
      <c r="PZR81" s="0"/>
      <c r="PZS81" s="0"/>
      <c r="PZT81" s="0"/>
      <c r="PZU81" s="0"/>
      <c r="PZV81" s="0"/>
      <c r="PZW81" s="0"/>
      <c r="PZX81" s="0"/>
      <c r="PZY81" s="0"/>
      <c r="PZZ81" s="0"/>
      <c r="QAA81" s="0"/>
      <c r="QAB81" s="0"/>
      <c r="QAC81" s="0"/>
      <c r="QAD81" s="0"/>
      <c r="QAE81" s="0"/>
      <c r="QAF81" s="0"/>
      <c r="QAG81" s="0"/>
      <c r="QAH81" s="0"/>
      <c r="QAI81" s="0"/>
      <c r="QAJ81" s="0"/>
      <c r="QAK81" s="0"/>
      <c r="QAL81" s="0"/>
      <c r="QAM81" s="0"/>
      <c r="QAN81" s="0"/>
      <c r="QAO81" s="0"/>
      <c r="QAP81" s="0"/>
      <c r="QAQ81" s="0"/>
      <c r="QAR81" s="0"/>
      <c r="QAS81" s="0"/>
      <c r="QAT81" s="0"/>
      <c r="QAU81" s="0"/>
      <c r="QAV81" s="0"/>
      <c r="QAW81" s="0"/>
      <c r="QAX81" s="0"/>
      <c r="QAY81" s="0"/>
      <c r="QAZ81" s="0"/>
      <c r="QBA81" s="0"/>
      <c r="QBB81" s="0"/>
      <c r="QBC81" s="0"/>
      <c r="QBD81" s="0"/>
      <c r="QBE81" s="0"/>
      <c r="QBF81" s="0"/>
      <c r="QBG81" s="0"/>
      <c r="QBH81" s="0"/>
      <c r="QBI81" s="0"/>
      <c r="QBJ81" s="0"/>
      <c r="QBK81" s="0"/>
      <c r="QBL81" s="0"/>
      <c r="QBM81" s="0"/>
      <c r="QBN81" s="0"/>
      <c r="QBO81" s="0"/>
      <c r="QBP81" s="0"/>
      <c r="QBQ81" s="0"/>
      <c r="QBR81" s="0"/>
      <c r="QBS81" s="0"/>
      <c r="QBT81" s="0"/>
      <c r="QBU81" s="0"/>
      <c r="QBV81" s="0"/>
      <c r="QBW81" s="0"/>
      <c r="QBX81" s="0"/>
      <c r="QBY81" s="0"/>
      <c r="QBZ81" s="0"/>
      <c r="QCA81" s="0"/>
      <c r="QCB81" s="0"/>
      <c r="QCC81" s="0"/>
      <c r="QCD81" s="0"/>
      <c r="QCE81" s="0"/>
      <c r="QCF81" s="0"/>
      <c r="QCG81" s="0"/>
      <c r="QCH81" s="0"/>
      <c r="QCI81" s="0"/>
      <c r="QCJ81" s="0"/>
      <c r="QCK81" s="0"/>
      <c r="QCL81" s="0"/>
      <c r="QCM81" s="0"/>
      <c r="QCN81" s="0"/>
      <c r="QCO81" s="0"/>
      <c r="QCP81" s="0"/>
      <c r="QCQ81" s="0"/>
      <c r="QCR81" s="0"/>
      <c r="QCS81" s="0"/>
      <c r="QCT81" s="0"/>
      <c r="QCU81" s="0"/>
      <c r="QCV81" s="0"/>
      <c r="QCW81" s="0"/>
      <c r="QCX81" s="0"/>
      <c r="QCY81" s="0"/>
      <c r="QCZ81" s="0"/>
      <c r="QDA81" s="0"/>
      <c r="QDB81" s="0"/>
      <c r="QDC81" s="0"/>
      <c r="QDD81" s="0"/>
      <c r="QDE81" s="0"/>
      <c r="QDF81" s="0"/>
      <c r="QDG81" s="0"/>
      <c r="QDH81" s="0"/>
      <c r="QDI81" s="0"/>
      <c r="QDJ81" s="0"/>
      <c r="QDK81" s="0"/>
      <c r="QDL81" s="0"/>
      <c r="QDM81" s="0"/>
      <c r="QDN81" s="0"/>
      <c r="QDO81" s="0"/>
      <c r="QDP81" s="0"/>
      <c r="QDQ81" s="0"/>
      <c r="QDR81" s="0"/>
      <c r="QDS81" s="0"/>
      <c r="QDT81" s="0"/>
      <c r="QDU81" s="0"/>
      <c r="QDV81" s="0"/>
      <c r="QDW81" s="0"/>
      <c r="QDX81" s="0"/>
      <c r="QDY81" s="0"/>
      <c r="QDZ81" s="0"/>
      <c r="QEA81" s="0"/>
      <c r="QEB81" s="0"/>
      <c r="QEC81" s="0"/>
      <c r="QED81" s="0"/>
      <c r="QEE81" s="0"/>
      <c r="QEF81" s="0"/>
      <c r="QEG81" s="0"/>
      <c r="QEH81" s="0"/>
      <c r="QEI81" s="0"/>
      <c r="QEJ81" s="0"/>
      <c r="QEK81" s="0"/>
      <c r="QEL81" s="0"/>
      <c r="QEM81" s="0"/>
      <c r="QEN81" s="0"/>
      <c r="QEO81" s="0"/>
      <c r="QEP81" s="0"/>
      <c r="QEQ81" s="0"/>
      <c r="QER81" s="0"/>
      <c r="QES81" s="0"/>
      <c r="QET81" s="0"/>
      <c r="QEU81" s="0"/>
      <c r="QEV81" s="0"/>
      <c r="QEW81" s="0"/>
      <c r="QEX81" s="0"/>
      <c r="QEY81" s="0"/>
      <c r="QEZ81" s="0"/>
      <c r="QFA81" s="0"/>
      <c r="QFB81" s="0"/>
      <c r="QFC81" s="0"/>
      <c r="QFD81" s="0"/>
      <c r="QFE81" s="0"/>
      <c r="QFF81" s="0"/>
      <c r="QFG81" s="0"/>
      <c r="QFH81" s="0"/>
      <c r="QFI81" s="0"/>
      <c r="QFJ81" s="0"/>
      <c r="QFK81" s="0"/>
      <c r="QFL81" s="0"/>
      <c r="QFM81" s="0"/>
      <c r="QFN81" s="0"/>
      <c r="QFO81" s="0"/>
      <c r="QFP81" s="0"/>
      <c r="QFQ81" s="0"/>
      <c r="QFR81" s="0"/>
      <c r="QFS81" s="0"/>
      <c r="QFT81" s="0"/>
      <c r="QFU81" s="0"/>
      <c r="QFV81" s="0"/>
      <c r="QFW81" s="0"/>
      <c r="QFX81" s="0"/>
      <c r="QFY81" s="0"/>
      <c r="QFZ81" s="0"/>
      <c r="QGA81" s="0"/>
      <c r="QGB81" s="0"/>
      <c r="QGC81" s="0"/>
      <c r="QGD81" s="0"/>
      <c r="QGE81" s="0"/>
      <c r="QGF81" s="0"/>
      <c r="QGG81" s="0"/>
      <c r="QGH81" s="0"/>
      <c r="QGI81" s="0"/>
      <c r="QGJ81" s="0"/>
      <c r="QGK81" s="0"/>
      <c r="QGL81" s="0"/>
      <c r="QGM81" s="0"/>
      <c r="QGN81" s="0"/>
      <c r="QGO81" s="0"/>
      <c r="QGP81" s="0"/>
      <c r="QGQ81" s="0"/>
      <c r="QGR81" s="0"/>
      <c r="QGS81" s="0"/>
      <c r="QGT81" s="0"/>
      <c r="QGU81" s="0"/>
      <c r="QGV81" s="0"/>
      <c r="QGW81" s="0"/>
      <c r="QGX81" s="0"/>
      <c r="QGY81" s="0"/>
      <c r="QGZ81" s="0"/>
      <c r="QHA81" s="0"/>
      <c r="QHB81" s="0"/>
      <c r="QHC81" s="0"/>
      <c r="QHD81" s="0"/>
      <c r="QHE81" s="0"/>
      <c r="QHF81" s="0"/>
      <c r="QHG81" s="0"/>
      <c r="QHH81" s="0"/>
      <c r="QHI81" s="0"/>
      <c r="QHJ81" s="0"/>
      <c r="QHK81" s="0"/>
      <c r="QHL81" s="0"/>
      <c r="QHM81" s="0"/>
      <c r="QHN81" s="0"/>
      <c r="QHO81" s="0"/>
      <c r="QHP81" s="0"/>
      <c r="QHQ81" s="0"/>
      <c r="QHR81" s="0"/>
      <c r="QHS81" s="0"/>
      <c r="QHT81" s="0"/>
      <c r="QHU81" s="0"/>
      <c r="QHV81" s="0"/>
      <c r="QHW81" s="0"/>
      <c r="QHX81" s="0"/>
      <c r="QHY81" s="0"/>
      <c r="QHZ81" s="0"/>
      <c r="QIA81" s="0"/>
      <c r="QIB81" s="0"/>
      <c r="QIC81" s="0"/>
      <c r="QID81" s="0"/>
      <c r="QIE81" s="0"/>
      <c r="QIF81" s="0"/>
      <c r="QIG81" s="0"/>
      <c r="QIH81" s="0"/>
      <c r="QII81" s="0"/>
      <c r="QIJ81" s="0"/>
      <c r="QIK81" s="0"/>
      <c r="QIL81" s="0"/>
      <c r="QIM81" s="0"/>
      <c r="QIN81" s="0"/>
      <c r="QIO81" s="0"/>
      <c r="QIP81" s="0"/>
      <c r="QIQ81" s="0"/>
      <c r="QIR81" s="0"/>
      <c r="QIS81" s="0"/>
      <c r="QIT81" s="0"/>
      <c r="QIU81" s="0"/>
      <c r="QIV81" s="0"/>
      <c r="QIW81" s="0"/>
      <c r="QIX81" s="0"/>
      <c r="QIY81" s="0"/>
      <c r="QIZ81" s="0"/>
      <c r="QJA81" s="0"/>
      <c r="QJB81" s="0"/>
      <c r="QJC81" s="0"/>
      <c r="QJD81" s="0"/>
      <c r="QJE81" s="0"/>
      <c r="QJF81" s="0"/>
      <c r="QJG81" s="0"/>
      <c r="QJH81" s="0"/>
      <c r="QJI81" s="0"/>
      <c r="QJJ81" s="0"/>
      <c r="QJK81" s="0"/>
      <c r="QJL81" s="0"/>
      <c r="QJM81" s="0"/>
      <c r="QJN81" s="0"/>
      <c r="QJO81" s="0"/>
      <c r="QJP81" s="0"/>
      <c r="QJQ81" s="0"/>
      <c r="QJR81" s="0"/>
      <c r="QJS81" s="0"/>
      <c r="QJT81" s="0"/>
      <c r="QJU81" s="0"/>
      <c r="QJV81" s="0"/>
      <c r="QJW81" s="0"/>
      <c r="QJX81" s="0"/>
      <c r="QJY81" s="0"/>
      <c r="QJZ81" s="0"/>
      <c r="QKA81" s="0"/>
      <c r="QKB81" s="0"/>
      <c r="QKC81" s="0"/>
      <c r="QKD81" s="0"/>
      <c r="QKE81" s="0"/>
      <c r="QKF81" s="0"/>
      <c r="QKG81" s="0"/>
      <c r="QKH81" s="0"/>
      <c r="QKI81" s="0"/>
      <c r="QKJ81" s="0"/>
      <c r="QKK81" s="0"/>
      <c r="QKL81" s="0"/>
      <c r="QKM81" s="0"/>
      <c r="QKN81" s="0"/>
      <c r="QKO81" s="0"/>
      <c r="QKP81" s="0"/>
      <c r="QKQ81" s="0"/>
      <c r="QKR81" s="0"/>
      <c r="QKS81" s="0"/>
      <c r="QKT81" s="0"/>
      <c r="QKU81" s="0"/>
      <c r="QKV81" s="0"/>
      <c r="QKW81" s="0"/>
      <c r="QKX81" s="0"/>
      <c r="QKY81" s="0"/>
      <c r="QKZ81" s="0"/>
      <c r="QLA81" s="0"/>
      <c r="QLB81" s="0"/>
      <c r="QLC81" s="0"/>
      <c r="QLD81" s="0"/>
      <c r="QLE81" s="0"/>
      <c r="QLF81" s="0"/>
      <c r="QLG81" s="0"/>
      <c r="QLH81" s="0"/>
      <c r="QLI81" s="0"/>
      <c r="QLJ81" s="0"/>
      <c r="QLK81" s="0"/>
      <c r="QLL81" s="0"/>
      <c r="QLM81" s="0"/>
      <c r="QLN81" s="0"/>
      <c r="QLO81" s="0"/>
      <c r="QLP81" s="0"/>
      <c r="QLQ81" s="0"/>
      <c r="QLR81" s="0"/>
      <c r="QLS81" s="0"/>
      <c r="QLT81" s="0"/>
      <c r="QLU81" s="0"/>
      <c r="QLV81" s="0"/>
      <c r="QLW81" s="0"/>
      <c r="QLX81" s="0"/>
      <c r="QLY81" s="0"/>
      <c r="QLZ81" s="0"/>
      <c r="QMA81" s="0"/>
      <c r="QMB81" s="0"/>
      <c r="QMC81" s="0"/>
      <c r="QMD81" s="0"/>
      <c r="QME81" s="0"/>
      <c r="QMF81" s="0"/>
      <c r="QMG81" s="0"/>
      <c r="QMH81" s="0"/>
      <c r="QMI81" s="0"/>
      <c r="QMJ81" s="0"/>
      <c r="QMK81" s="0"/>
      <c r="QML81" s="0"/>
      <c r="QMM81" s="0"/>
      <c r="QMN81" s="0"/>
      <c r="QMO81" s="0"/>
      <c r="QMP81" s="0"/>
      <c r="QMQ81" s="0"/>
      <c r="QMR81" s="0"/>
      <c r="QMS81" s="0"/>
      <c r="QMT81" s="0"/>
      <c r="QMU81" s="0"/>
      <c r="QMV81" s="0"/>
      <c r="QMW81" s="0"/>
      <c r="QMX81" s="0"/>
      <c r="QMY81" s="0"/>
      <c r="QMZ81" s="0"/>
      <c r="QNA81" s="0"/>
      <c r="QNB81" s="0"/>
      <c r="QNC81" s="0"/>
      <c r="QND81" s="0"/>
      <c r="QNE81" s="0"/>
      <c r="QNF81" s="0"/>
      <c r="QNG81" s="0"/>
      <c r="QNH81" s="0"/>
      <c r="QNI81" s="0"/>
      <c r="QNJ81" s="0"/>
      <c r="QNK81" s="0"/>
      <c r="QNL81" s="0"/>
      <c r="QNM81" s="0"/>
      <c r="QNN81" s="0"/>
      <c r="QNO81" s="0"/>
      <c r="QNP81" s="0"/>
      <c r="QNQ81" s="0"/>
      <c r="QNR81" s="0"/>
      <c r="QNS81" s="0"/>
      <c r="QNT81" s="0"/>
      <c r="QNU81" s="0"/>
      <c r="QNV81" s="0"/>
      <c r="QNW81" s="0"/>
      <c r="QNX81" s="0"/>
      <c r="QNY81" s="0"/>
      <c r="QNZ81" s="0"/>
      <c r="QOA81" s="0"/>
      <c r="QOB81" s="0"/>
      <c r="QOC81" s="0"/>
      <c r="QOD81" s="0"/>
      <c r="QOE81" s="0"/>
      <c r="QOF81" s="0"/>
      <c r="QOG81" s="0"/>
      <c r="QOH81" s="0"/>
      <c r="QOI81" s="0"/>
      <c r="QOJ81" s="0"/>
      <c r="QOK81" s="0"/>
      <c r="QOL81" s="0"/>
      <c r="QOM81" s="0"/>
      <c r="QON81" s="0"/>
      <c r="QOO81" s="0"/>
      <c r="QOP81" s="0"/>
      <c r="QOQ81" s="0"/>
      <c r="QOR81" s="0"/>
      <c r="QOS81" s="0"/>
      <c r="QOT81" s="0"/>
      <c r="QOU81" s="0"/>
      <c r="QOV81" s="0"/>
      <c r="QOW81" s="0"/>
      <c r="QOX81" s="0"/>
      <c r="QOY81" s="0"/>
      <c r="QOZ81" s="0"/>
      <c r="QPA81" s="0"/>
      <c r="QPB81" s="0"/>
      <c r="QPC81" s="0"/>
      <c r="QPD81" s="0"/>
      <c r="QPE81" s="0"/>
      <c r="QPF81" s="0"/>
      <c r="QPG81" s="0"/>
      <c r="QPH81" s="0"/>
      <c r="QPI81" s="0"/>
      <c r="QPJ81" s="0"/>
      <c r="QPK81" s="0"/>
      <c r="QPL81" s="0"/>
      <c r="QPM81" s="0"/>
      <c r="QPN81" s="0"/>
      <c r="QPO81" s="0"/>
      <c r="QPP81" s="0"/>
      <c r="QPQ81" s="0"/>
      <c r="QPR81" s="0"/>
      <c r="QPS81" s="0"/>
      <c r="QPT81" s="0"/>
      <c r="QPU81" s="0"/>
      <c r="QPV81" s="0"/>
      <c r="QPW81" s="0"/>
      <c r="QPX81" s="0"/>
      <c r="QPY81" s="0"/>
      <c r="QPZ81" s="0"/>
      <c r="QQA81" s="0"/>
      <c r="QQB81" s="0"/>
      <c r="QQC81" s="0"/>
      <c r="QQD81" s="0"/>
      <c r="QQE81" s="0"/>
      <c r="QQF81" s="0"/>
      <c r="QQG81" s="0"/>
      <c r="QQH81" s="0"/>
      <c r="QQI81" s="0"/>
      <c r="QQJ81" s="0"/>
      <c r="QQK81" s="0"/>
      <c r="QQL81" s="0"/>
      <c r="QQM81" s="0"/>
      <c r="QQN81" s="0"/>
      <c r="QQO81" s="0"/>
      <c r="QQP81" s="0"/>
      <c r="QQQ81" s="0"/>
      <c r="QQR81" s="0"/>
      <c r="QQS81" s="0"/>
      <c r="QQT81" s="0"/>
      <c r="QQU81" s="0"/>
      <c r="QQV81" s="0"/>
      <c r="QQW81" s="0"/>
      <c r="QQX81" s="0"/>
      <c r="QQY81" s="0"/>
      <c r="QQZ81" s="0"/>
      <c r="QRA81" s="0"/>
      <c r="QRB81" s="0"/>
      <c r="QRC81" s="0"/>
      <c r="QRD81" s="0"/>
      <c r="QRE81" s="0"/>
      <c r="QRF81" s="0"/>
      <c r="QRG81" s="0"/>
      <c r="QRH81" s="0"/>
      <c r="QRI81" s="0"/>
      <c r="QRJ81" s="0"/>
      <c r="QRK81" s="0"/>
      <c r="QRL81" s="0"/>
      <c r="QRM81" s="0"/>
      <c r="QRN81" s="0"/>
      <c r="QRO81" s="0"/>
      <c r="QRP81" s="0"/>
      <c r="QRQ81" s="0"/>
      <c r="QRR81" s="0"/>
      <c r="QRS81" s="0"/>
      <c r="QRT81" s="0"/>
      <c r="QRU81" s="0"/>
      <c r="QRV81" s="0"/>
      <c r="QRW81" s="0"/>
      <c r="QRX81" s="0"/>
      <c r="QRY81" s="0"/>
      <c r="QRZ81" s="0"/>
      <c r="QSA81" s="0"/>
      <c r="QSB81" s="0"/>
      <c r="QSC81" s="0"/>
      <c r="QSD81" s="0"/>
      <c r="QSE81" s="0"/>
      <c r="QSF81" s="0"/>
      <c r="QSG81" s="0"/>
      <c r="QSH81" s="0"/>
      <c r="QSI81" s="0"/>
      <c r="QSJ81" s="0"/>
      <c r="QSK81" s="0"/>
      <c r="QSL81" s="0"/>
      <c r="QSM81" s="0"/>
      <c r="QSN81" s="0"/>
      <c r="QSO81" s="0"/>
      <c r="QSP81" s="0"/>
      <c r="QSQ81" s="0"/>
      <c r="QSR81" s="0"/>
      <c r="QSS81" s="0"/>
      <c r="QST81" s="0"/>
      <c r="QSU81" s="0"/>
      <c r="QSV81" s="0"/>
      <c r="QSW81" s="0"/>
      <c r="QSX81" s="0"/>
      <c r="QSY81" s="0"/>
      <c r="QSZ81" s="0"/>
      <c r="QTA81" s="0"/>
      <c r="QTB81" s="0"/>
      <c r="QTC81" s="0"/>
      <c r="QTD81" s="0"/>
      <c r="QTE81" s="0"/>
      <c r="QTF81" s="0"/>
      <c r="QTG81" s="0"/>
      <c r="QTH81" s="0"/>
      <c r="QTI81" s="0"/>
      <c r="QTJ81" s="0"/>
      <c r="QTK81" s="0"/>
      <c r="QTL81" s="0"/>
      <c r="QTM81" s="0"/>
      <c r="QTN81" s="0"/>
      <c r="QTO81" s="0"/>
      <c r="QTP81" s="0"/>
      <c r="QTQ81" s="0"/>
      <c r="QTR81" s="0"/>
      <c r="QTS81" s="0"/>
      <c r="QTT81" s="0"/>
      <c r="QTU81" s="0"/>
      <c r="QTV81" s="0"/>
      <c r="QTW81" s="0"/>
      <c r="QTX81" s="0"/>
      <c r="QTY81" s="0"/>
      <c r="QTZ81" s="0"/>
      <c r="QUA81" s="0"/>
      <c r="QUB81" s="0"/>
      <c r="QUC81" s="0"/>
      <c r="QUD81" s="0"/>
      <c r="QUE81" s="0"/>
      <c r="QUF81" s="0"/>
      <c r="QUG81" s="0"/>
      <c r="QUH81" s="0"/>
      <c r="QUI81" s="0"/>
      <c r="QUJ81" s="0"/>
      <c r="QUK81" s="0"/>
      <c r="QUL81" s="0"/>
      <c r="QUM81" s="0"/>
      <c r="QUN81" s="0"/>
      <c r="QUO81" s="0"/>
      <c r="QUP81" s="0"/>
      <c r="QUQ81" s="0"/>
      <c r="QUR81" s="0"/>
      <c r="QUS81" s="0"/>
      <c r="QUT81" s="0"/>
      <c r="QUU81" s="0"/>
      <c r="QUV81" s="0"/>
      <c r="QUW81" s="0"/>
      <c r="QUX81" s="0"/>
      <c r="QUY81" s="0"/>
      <c r="QUZ81" s="0"/>
      <c r="QVA81" s="0"/>
      <c r="QVB81" s="0"/>
      <c r="QVC81" s="0"/>
      <c r="QVD81" s="0"/>
      <c r="QVE81" s="0"/>
      <c r="QVF81" s="0"/>
      <c r="QVG81" s="0"/>
      <c r="QVH81" s="0"/>
      <c r="QVI81" s="0"/>
      <c r="QVJ81" s="0"/>
      <c r="QVK81" s="0"/>
      <c r="QVL81" s="0"/>
      <c r="QVM81" s="0"/>
      <c r="QVN81" s="0"/>
      <c r="QVO81" s="0"/>
      <c r="QVP81" s="0"/>
      <c r="QVQ81" s="0"/>
      <c r="QVR81" s="0"/>
      <c r="QVS81" s="0"/>
      <c r="QVT81" s="0"/>
      <c r="QVU81" s="0"/>
      <c r="QVV81" s="0"/>
      <c r="QVW81" s="0"/>
      <c r="QVX81" s="0"/>
      <c r="QVY81" s="0"/>
      <c r="QVZ81" s="0"/>
      <c r="QWA81" s="0"/>
      <c r="QWB81" s="0"/>
      <c r="QWC81" s="0"/>
      <c r="QWD81" s="0"/>
      <c r="QWE81" s="0"/>
      <c r="QWF81" s="0"/>
      <c r="QWG81" s="0"/>
      <c r="QWH81" s="0"/>
      <c r="QWI81" s="0"/>
      <c r="QWJ81" s="0"/>
      <c r="QWK81" s="0"/>
      <c r="QWL81" s="0"/>
      <c r="QWM81" s="0"/>
      <c r="QWN81" s="0"/>
      <c r="QWO81" s="0"/>
      <c r="QWP81" s="0"/>
      <c r="QWQ81" s="0"/>
      <c r="QWR81" s="0"/>
      <c r="QWS81" s="0"/>
      <c r="QWT81" s="0"/>
      <c r="QWU81" s="0"/>
      <c r="QWV81" s="0"/>
      <c r="QWW81" s="0"/>
      <c r="QWX81" s="0"/>
      <c r="QWY81" s="0"/>
      <c r="QWZ81" s="0"/>
      <c r="QXA81" s="0"/>
      <c r="QXB81" s="0"/>
      <c r="QXC81" s="0"/>
      <c r="QXD81" s="0"/>
      <c r="QXE81" s="0"/>
      <c r="QXF81" s="0"/>
      <c r="QXG81" s="0"/>
      <c r="QXH81" s="0"/>
      <c r="QXI81" s="0"/>
      <c r="QXJ81" s="0"/>
      <c r="QXK81" s="0"/>
      <c r="QXL81" s="0"/>
      <c r="QXM81" s="0"/>
      <c r="QXN81" s="0"/>
      <c r="QXO81" s="0"/>
      <c r="QXP81" s="0"/>
      <c r="QXQ81" s="0"/>
      <c r="QXR81" s="0"/>
      <c r="QXS81" s="0"/>
      <c r="QXT81" s="0"/>
      <c r="QXU81" s="0"/>
      <c r="QXV81" s="0"/>
      <c r="QXW81" s="0"/>
      <c r="QXX81" s="0"/>
      <c r="QXY81" s="0"/>
      <c r="QXZ81" s="0"/>
      <c r="QYA81" s="0"/>
      <c r="QYB81" s="0"/>
      <c r="QYC81" s="0"/>
      <c r="QYD81" s="0"/>
      <c r="QYE81" s="0"/>
      <c r="QYF81" s="0"/>
      <c r="QYG81" s="0"/>
      <c r="QYH81" s="0"/>
      <c r="QYI81" s="0"/>
      <c r="QYJ81" s="0"/>
      <c r="QYK81" s="0"/>
      <c r="QYL81" s="0"/>
      <c r="QYM81" s="0"/>
      <c r="QYN81" s="0"/>
      <c r="QYO81" s="0"/>
      <c r="QYP81" s="0"/>
      <c r="QYQ81" s="0"/>
      <c r="QYR81" s="0"/>
      <c r="QYS81" s="0"/>
      <c r="QYT81" s="0"/>
      <c r="QYU81" s="0"/>
      <c r="QYV81" s="0"/>
      <c r="QYW81" s="0"/>
      <c r="QYX81" s="0"/>
      <c r="QYY81" s="0"/>
      <c r="QYZ81" s="0"/>
      <c r="QZA81" s="0"/>
      <c r="QZB81" s="0"/>
      <c r="QZC81" s="0"/>
      <c r="QZD81" s="0"/>
      <c r="QZE81" s="0"/>
      <c r="QZF81" s="0"/>
      <c r="QZG81" s="0"/>
      <c r="QZH81" s="0"/>
      <c r="QZI81" s="0"/>
      <c r="QZJ81" s="0"/>
      <c r="QZK81" s="0"/>
      <c r="QZL81" s="0"/>
      <c r="QZM81" s="0"/>
      <c r="QZN81" s="0"/>
      <c r="QZO81" s="0"/>
      <c r="QZP81" s="0"/>
      <c r="QZQ81" s="0"/>
      <c r="QZR81" s="0"/>
      <c r="QZS81" s="0"/>
      <c r="QZT81" s="0"/>
      <c r="QZU81" s="0"/>
      <c r="QZV81" s="0"/>
      <c r="QZW81" s="0"/>
      <c r="QZX81" s="0"/>
      <c r="QZY81" s="0"/>
      <c r="QZZ81" s="0"/>
      <c r="RAA81" s="0"/>
      <c r="RAB81" s="0"/>
      <c r="RAC81" s="0"/>
      <c r="RAD81" s="0"/>
      <c r="RAE81" s="0"/>
      <c r="RAF81" s="0"/>
      <c r="RAG81" s="0"/>
      <c r="RAH81" s="0"/>
      <c r="RAI81" s="0"/>
      <c r="RAJ81" s="0"/>
      <c r="RAK81" s="0"/>
      <c r="RAL81" s="0"/>
      <c r="RAM81" s="0"/>
      <c r="RAN81" s="0"/>
      <c r="RAO81" s="0"/>
      <c r="RAP81" s="0"/>
      <c r="RAQ81" s="0"/>
      <c r="RAR81" s="0"/>
      <c r="RAS81" s="0"/>
      <c r="RAT81" s="0"/>
      <c r="RAU81" s="0"/>
      <c r="RAV81" s="0"/>
      <c r="RAW81" s="0"/>
      <c r="RAX81" s="0"/>
      <c r="RAY81" s="0"/>
      <c r="RAZ81" s="0"/>
      <c r="RBA81" s="0"/>
      <c r="RBB81" s="0"/>
      <c r="RBC81" s="0"/>
      <c r="RBD81" s="0"/>
      <c r="RBE81" s="0"/>
      <c r="RBF81" s="0"/>
      <c r="RBG81" s="0"/>
      <c r="RBH81" s="0"/>
      <c r="RBI81" s="0"/>
      <c r="RBJ81" s="0"/>
      <c r="RBK81" s="0"/>
      <c r="RBL81" s="0"/>
      <c r="RBM81" s="0"/>
      <c r="RBN81" s="0"/>
      <c r="RBO81" s="0"/>
      <c r="RBP81" s="0"/>
      <c r="RBQ81" s="0"/>
      <c r="RBR81" s="0"/>
      <c r="RBS81" s="0"/>
      <c r="RBT81" s="0"/>
      <c r="RBU81" s="0"/>
      <c r="RBV81" s="0"/>
      <c r="RBW81" s="0"/>
      <c r="RBX81" s="0"/>
      <c r="RBY81" s="0"/>
      <c r="RBZ81" s="0"/>
      <c r="RCA81" s="0"/>
      <c r="RCB81" s="0"/>
      <c r="RCC81" s="0"/>
      <c r="RCD81" s="0"/>
      <c r="RCE81" s="0"/>
      <c r="RCF81" s="0"/>
      <c r="RCG81" s="0"/>
      <c r="RCH81" s="0"/>
      <c r="RCI81" s="0"/>
      <c r="RCJ81" s="0"/>
      <c r="RCK81" s="0"/>
      <c r="RCL81" s="0"/>
      <c r="RCM81" s="0"/>
      <c r="RCN81" s="0"/>
      <c r="RCO81" s="0"/>
      <c r="RCP81" s="0"/>
      <c r="RCQ81" s="0"/>
      <c r="RCR81" s="0"/>
      <c r="RCS81" s="0"/>
      <c r="RCT81" s="0"/>
      <c r="RCU81" s="0"/>
      <c r="RCV81" s="0"/>
      <c r="RCW81" s="0"/>
      <c r="RCX81" s="0"/>
      <c r="RCY81" s="0"/>
      <c r="RCZ81" s="0"/>
      <c r="RDA81" s="0"/>
      <c r="RDB81" s="0"/>
      <c r="RDC81" s="0"/>
      <c r="RDD81" s="0"/>
      <c r="RDE81" s="0"/>
      <c r="RDF81" s="0"/>
      <c r="RDG81" s="0"/>
      <c r="RDH81" s="0"/>
      <c r="RDI81" s="0"/>
      <c r="RDJ81" s="0"/>
      <c r="RDK81" s="0"/>
      <c r="RDL81" s="0"/>
      <c r="RDM81" s="0"/>
      <c r="RDN81" s="0"/>
      <c r="RDO81" s="0"/>
      <c r="RDP81" s="0"/>
      <c r="RDQ81" s="0"/>
      <c r="RDR81" s="0"/>
      <c r="RDS81" s="0"/>
      <c r="RDT81" s="0"/>
      <c r="RDU81" s="0"/>
      <c r="RDV81" s="0"/>
      <c r="RDW81" s="0"/>
      <c r="RDX81" s="0"/>
      <c r="RDY81" s="0"/>
      <c r="RDZ81" s="0"/>
      <c r="REA81" s="0"/>
      <c r="REB81" s="0"/>
      <c r="REC81" s="0"/>
      <c r="RED81" s="0"/>
      <c r="REE81" s="0"/>
      <c r="REF81" s="0"/>
      <c r="REG81" s="0"/>
      <c r="REH81" s="0"/>
      <c r="REI81" s="0"/>
      <c r="REJ81" s="0"/>
      <c r="REK81" s="0"/>
      <c r="REL81" s="0"/>
      <c r="REM81" s="0"/>
      <c r="REN81" s="0"/>
      <c r="REO81" s="0"/>
      <c r="REP81" s="0"/>
      <c r="REQ81" s="0"/>
      <c r="RER81" s="0"/>
      <c r="RES81" s="0"/>
      <c r="RET81" s="0"/>
      <c r="REU81" s="0"/>
      <c r="REV81" s="0"/>
      <c r="REW81" s="0"/>
      <c r="REX81" s="0"/>
      <c r="REY81" s="0"/>
      <c r="REZ81" s="0"/>
      <c r="RFA81" s="0"/>
      <c r="RFB81" s="0"/>
      <c r="RFC81" s="0"/>
      <c r="RFD81" s="0"/>
      <c r="RFE81" s="0"/>
      <c r="RFF81" s="0"/>
      <c r="RFG81" s="0"/>
      <c r="RFH81" s="0"/>
      <c r="RFI81" s="0"/>
      <c r="RFJ81" s="0"/>
      <c r="RFK81" s="0"/>
      <c r="RFL81" s="0"/>
      <c r="RFM81" s="0"/>
      <c r="RFN81" s="0"/>
      <c r="RFO81" s="0"/>
      <c r="RFP81" s="0"/>
      <c r="RFQ81" s="0"/>
      <c r="RFR81" s="0"/>
      <c r="RFS81" s="0"/>
      <c r="RFT81" s="0"/>
      <c r="RFU81" s="0"/>
      <c r="RFV81" s="0"/>
      <c r="RFW81" s="0"/>
      <c r="RFX81" s="0"/>
      <c r="RFY81" s="0"/>
      <c r="RFZ81" s="0"/>
      <c r="RGA81" s="0"/>
      <c r="RGB81" s="0"/>
      <c r="RGC81" s="0"/>
      <c r="RGD81" s="0"/>
      <c r="RGE81" s="0"/>
      <c r="RGF81" s="0"/>
      <c r="RGG81" s="0"/>
      <c r="RGH81" s="0"/>
      <c r="RGI81" s="0"/>
      <c r="RGJ81" s="0"/>
      <c r="RGK81" s="0"/>
      <c r="RGL81" s="0"/>
      <c r="RGM81" s="0"/>
      <c r="RGN81" s="0"/>
      <c r="RGO81" s="0"/>
      <c r="RGP81" s="0"/>
      <c r="RGQ81" s="0"/>
      <c r="RGR81" s="0"/>
      <c r="RGS81" s="0"/>
      <c r="RGT81" s="0"/>
      <c r="RGU81" s="0"/>
      <c r="RGV81" s="0"/>
      <c r="RGW81" s="0"/>
      <c r="RGX81" s="0"/>
      <c r="RGY81" s="0"/>
      <c r="RGZ81" s="0"/>
      <c r="RHA81" s="0"/>
      <c r="RHB81" s="0"/>
      <c r="RHC81" s="0"/>
      <c r="RHD81" s="0"/>
      <c r="RHE81" s="0"/>
      <c r="RHF81" s="0"/>
      <c r="RHG81" s="0"/>
      <c r="RHH81" s="0"/>
      <c r="RHI81" s="0"/>
      <c r="RHJ81" s="0"/>
      <c r="RHK81" s="0"/>
      <c r="RHL81" s="0"/>
      <c r="RHM81" s="0"/>
      <c r="RHN81" s="0"/>
      <c r="RHO81" s="0"/>
      <c r="RHP81" s="0"/>
      <c r="RHQ81" s="0"/>
      <c r="RHR81" s="0"/>
      <c r="RHS81" s="0"/>
      <c r="RHT81" s="0"/>
      <c r="RHU81" s="0"/>
      <c r="RHV81" s="0"/>
      <c r="RHW81" s="0"/>
      <c r="RHX81" s="0"/>
      <c r="RHY81" s="0"/>
      <c r="RHZ81" s="0"/>
      <c r="RIA81" s="0"/>
      <c r="RIB81" s="0"/>
      <c r="RIC81" s="0"/>
      <c r="RID81" s="0"/>
      <c r="RIE81" s="0"/>
      <c r="RIF81" s="0"/>
      <c r="RIG81" s="0"/>
      <c r="RIH81" s="0"/>
      <c r="RII81" s="0"/>
      <c r="RIJ81" s="0"/>
      <c r="RIK81" s="0"/>
      <c r="RIL81" s="0"/>
      <c r="RIM81" s="0"/>
      <c r="RIN81" s="0"/>
      <c r="RIO81" s="0"/>
      <c r="RIP81" s="0"/>
      <c r="RIQ81" s="0"/>
      <c r="RIR81" s="0"/>
      <c r="RIS81" s="0"/>
      <c r="RIT81" s="0"/>
      <c r="RIU81" s="0"/>
      <c r="RIV81" s="0"/>
      <c r="RIW81" s="0"/>
      <c r="RIX81" s="0"/>
      <c r="RIY81" s="0"/>
      <c r="RIZ81" s="0"/>
      <c r="RJA81" s="0"/>
      <c r="RJB81" s="0"/>
      <c r="RJC81" s="0"/>
      <c r="RJD81" s="0"/>
      <c r="RJE81" s="0"/>
      <c r="RJF81" s="0"/>
      <c r="RJG81" s="0"/>
      <c r="RJH81" s="0"/>
      <c r="RJI81" s="0"/>
      <c r="RJJ81" s="0"/>
      <c r="RJK81" s="0"/>
      <c r="RJL81" s="0"/>
      <c r="RJM81" s="0"/>
      <c r="RJN81" s="0"/>
      <c r="RJO81" s="0"/>
      <c r="RJP81" s="0"/>
      <c r="RJQ81" s="0"/>
      <c r="RJR81" s="0"/>
      <c r="RJS81" s="0"/>
      <c r="RJT81" s="0"/>
      <c r="RJU81" s="0"/>
      <c r="RJV81" s="0"/>
      <c r="RJW81" s="0"/>
      <c r="RJX81" s="0"/>
      <c r="RJY81" s="0"/>
      <c r="RJZ81" s="0"/>
      <c r="RKA81" s="0"/>
      <c r="RKB81" s="0"/>
      <c r="RKC81" s="0"/>
      <c r="RKD81" s="0"/>
      <c r="RKE81" s="0"/>
      <c r="RKF81" s="0"/>
      <c r="RKG81" s="0"/>
      <c r="RKH81" s="0"/>
      <c r="RKI81" s="0"/>
      <c r="RKJ81" s="0"/>
      <c r="RKK81" s="0"/>
      <c r="RKL81" s="0"/>
      <c r="RKM81" s="0"/>
      <c r="RKN81" s="0"/>
      <c r="RKO81" s="0"/>
      <c r="RKP81" s="0"/>
      <c r="RKQ81" s="0"/>
      <c r="RKR81" s="0"/>
      <c r="RKS81" s="0"/>
      <c r="RKT81" s="0"/>
      <c r="RKU81" s="0"/>
      <c r="RKV81" s="0"/>
      <c r="RKW81" s="0"/>
      <c r="RKX81" s="0"/>
      <c r="RKY81" s="0"/>
      <c r="RKZ81" s="0"/>
      <c r="RLA81" s="0"/>
      <c r="RLB81" s="0"/>
      <c r="RLC81" s="0"/>
      <c r="RLD81" s="0"/>
      <c r="RLE81" s="0"/>
      <c r="RLF81" s="0"/>
      <c r="RLG81" s="0"/>
      <c r="RLH81" s="0"/>
      <c r="RLI81" s="0"/>
      <c r="RLJ81" s="0"/>
      <c r="RLK81" s="0"/>
      <c r="RLL81" s="0"/>
      <c r="RLM81" s="0"/>
      <c r="RLN81" s="0"/>
      <c r="RLO81" s="0"/>
      <c r="RLP81" s="0"/>
      <c r="RLQ81" s="0"/>
      <c r="RLR81" s="0"/>
      <c r="RLS81" s="0"/>
      <c r="RLT81" s="0"/>
      <c r="RLU81" s="0"/>
      <c r="RLV81" s="0"/>
      <c r="RLW81" s="0"/>
      <c r="RLX81" s="0"/>
      <c r="RLY81" s="0"/>
      <c r="RLZ81" s="0"/>
      <c r="RMA81" s="0"/>
      <c r="RMB81" s="0"/>
      <c r="RMC81" s="0"/>
      <c r="RMD81" s="0"/>
      <c r="RME81" s="0"/>
      <c r="RMF81" s="0"/>
      <c r="RMG81" s="0"/>
      <c r="RMH81" s="0"/>
      <c r="RMI81" s="0"/>
      <c r="RMJ81" s="0"/>
      <c r="RMK81" s="0"/>
      <c r="RML81" s="0"/>
      <c r="RMM81" s="0"/>
      <c r="RMN81" s="0"/>
      <c r="RMO81" s="0"/>
      <c r="RMP81" s="0"/>
      <c r="RMQ81" s="0"/>
      <c r="RMR81" s="0"/>
      <c r="RMS81" s="0"/>
      <c r="RMT81" s="0"/>
      <c r="RMU81" s="0"/>
      <c r="RMV81" s="0"/>
      <c r="RMW81" s="0"/>
      <c r="RMX81" s="0"/>
      <c r="RMY81" s="0"/>
      <c r="RMZ81" s="0"/>
      <c r="RNA81" s="0"/>
      <c r="RNB81" s="0"/>
      <c r="RNC81" s="0"/>
      <c r="RND81" s="0"/>
      <c r="RNE81" s="0"/>
      <c r="RNF81" s="0"/>
      <c r="RNG81" s="0"/>
      <c r="RNH81" s="0"/>
      <c r="RNI81" s="0"/>
      <c r="RNJ81" s="0"/>
      <c r="RNK81" s="0"/>
      <c r="RNL81" s="0"/>
      <c r="RNM81" s="0"/>
      <c r="RNN81" s="0"/>
      <c r="RNO81" s="0"/>
      <c r="RNP81" s="0"/>
      <c r="RNQ81" s="0"/>
      <c r="RNR81" s="0"/>
      <c r="RNS81" s="0"/>
      <c r="RNT81" s="0"/>
      <c r="RNU81" s="0"/>
      <c r="RNV81" s="0"/>
      <c r="RNW81" s="0"/>
      <c r="RNX81" s="0"/>
      <c r="RNY81" s="0"/>
      <c r="RNZ81" s="0"/>
      <c r="ROA81" s="0"/>
      <c r="ROB81" s="0"/>
      <c r="ROC81" s="0"/>
      <c r="ROD81" s="0"/>
      <c r="ROE81" s="0"/>
      <c r="ROF81" s="0"/>
      <c r="ROG81" s="0"/>
      <c r="ROH81" s="0"/>
      <c r="ROI81" s="0"/>
      <c r="ROJ81" s="0"/>
      <c r="ROK81" s="0"/>
      <c r="ROL81" s="0"/>
      <c r="ROM81" s="0"/>
      <c r="RON81" s="0"/>
      <c r="ROO81" s="0"/>
      <c r="ROP81" s="0"/>
      <c r="ROQ81" s="0"/>
      <c r="ROR81" s="0"/>
      <c r="ROS81" s="0"/>
      <c r="ROT81" s="0"/>
      <c r="ROU81" s="0"/>
      <c r="ROV81" s="0"/>
      <c r="ROW81" s="0"/>
      <c r="ROX81" s="0"/>
      <c r="ROY81" s="0"/>
      <c r="ROZ81" s="0"/>
      <c r="RPA81" s="0"/>
      <c r="RPB81" s="0"/>
      <c r="RPC81" s="0"/>
      <c r="RPD81" s="0"/>
      <c r="RPE81" s="0"/>
      <c r="RPF81" s="0"/>
      <c r="RPG81" s="0"/>
      <c r="RPH81" s="0"/>
      <c r="RPI81" s="0"/>
      <c r="RPJ81" s="0"/>
      <c r="RPK81" s="0"/>
      <c r="RPL81" s="0"/>
      <c r="RPM81" s="0"/>
      <c r="RPN81" s="0"/>
      <c r="RPO81" s="0"/>
      <c r="RPP81" s="0"/>
      <c r="RPQ81" s="0"/>
      <c r="RPR81" s="0"/>
      <c r="RPS81" s="0"/>
      <c r="RPT81" s="0"/>
      <c r="RPU81" s="0"/>
      <c r="RPV81" s="0"/>
      <c r="RPW81" s="0"/>
      <c r="RPX81" s="0"/>
      <c r="RPY81" s="0"/>
      <c r="RPZ81" s="0"/>
      <c r="RQA81" s="0"/>
      <c r="RQB81" s="0"/>
      <c r="RQC81" s="0"/>
      <c r="RQD81" s="0"/>
      <c r="RQE81" s="0"/>
      <c r="RQF81" s="0"/>
      <c r="RQG81" s="0"/>
      <c r="RQH81" s="0"/>
      <c r="RQI81" s="0"/>
      <c r="RQJ81" s="0"/>
      <c r="RQK81" s="0"/>
      <c r="RQL81" s="0"/>
      <c r="RQM81" s="0"/>
      <c r="RQN81" s="0"/>
      <c r="RQO81" s="0"/>
      <c r="RQP81" s="0"/>
      <c r="RQQ81" s="0"/>
      <c r="RQR81" s="0"/>
      <c r="RQS81" s="0"/>
      <c r="RQT81" s="0"/>
      <c r="RQU81" s="0"/>
      <c r="RQV81" s="0"/>
      <c r="RQW81" s="0"/>
      <c r="RQX81" s="0"/>
      <c r="RQY81" s="0"/>
      <c r="RQZ81" s="0"/>
      <c r="RRA81" s="0"/>
      <c r="RRB81" s="0"/>
      <c r="RRC81" s="0"/>
      <c r="RRD81" s="0"/>
      <c r="RRE81" s="0"/>
      <c r="RRF81" s="0"/>
      <c r="RRG81" s="0"/>
      <c r="RRH81" s="0"/>
      <c r="RRI81" s="0"/>
      <c r="RRJ81" s="0"/>
      <c r="RRK81" s="0"/>
      <c r="RRL81" s="0"/>
      <c r="RRM81" s="0"/>
      <c r="RRN81" s="0"/>
      <c r="RRO81" s="0"/>
      <c r="RRP81" s="0"/>
      <c r="RRQ81" s="0"/>
      <c r="RRR81" s="0"/>
      <c r="RRS81" s="0"/>
      <c r="RRT81" s="0"/>
      <c r="RRU81" s="0"/>
      <c r="RRV81" s="0"/>
      <c r="RRW81" s="0"/>
      <c r="RRX81" s="0"/>
      <c r="RRY81" s="0"/>
      <c r="RRZ81" s="0"/>
      <c r="RSA81" s="0"/>
      <c r="RSB81" s="0"/>
      <c r="RSC81" s="0"/>
      <c r="RSD81" s="0"/>
      <c r="RSE81" s="0"/>
      <c r="RSF81" s="0"/>
      <c r="RSG81" s="0"/>
      <c r="RSH81" s="0"/>
      <c r="RSI81" s="0"/>
      <c r="RSJ81" s="0"/>
      <c r="RSK81" s="0"/>
      <c r="RSL81" s="0"/>
      <c r="RSM81" s="0"/>
      <c r="RSN81" s="0"/>
      <c r="RSO81" s="0"/>
      <c r="RSP81" s="0"/>
      <c r="RSQ81" s="0"/>
      <c r="RSR81" s="0"/>
      <c r="RSS81" s="0"/>
      <c r="RST81" s="0"/>
      <c r="RSU81" s="0"/>
      <c r="RSV81" s="0"/>
      <c r="RSW81" s="0"/>
      <c r="RSX81" s="0"/>
      <c r="RSY81" s="0"/>
      <c r="RSZ81" s="0"/>
      <c r="RTA81" s="0"/>
      <c r="RTB81" s="0"/>
      <c r="RTC81" s="0"/>
      <c r="RTD81" s="0"/>
      <c r="RTE81" s="0"/>
      <c r="RTF81" s="0"/>
      <c r="RTG81" s="0"/>
      <c r="RTH81" s="0"/>
      <c r="RTI81" s="0"/>
      <c r="RTJ81" s="0"/>
      <c r="RTK81" s="0"/>
      <c r="RTL81" s="0"/>
      <c r="RTM81" s="0"/>
      <c r="RTN81" s="0"/>
      <c r="RTO81" s="0"/>
      <c r="RTP81" s="0"/>
      <c r="RTQ81" s="0"/>
      <c r="RTR81" s="0"/>
      <c r="RTS81" s="0"/>
      <c r="RTT81" s="0"/>
      <c r="RTU81" s="0"/>
      <c r="RTV81" s="0"/>
      <c r="RTW81" s="0"/>
      <c r="RTX81" s="0"/>
      <c r="RTY81" s="0"/>
      <c r="RTZ81" s="0"/>
      <c r="RUA81" s="0"/>
      <c r="RUB81" s="0"/>
      <c r="RUC81" s="0"/>
      <c r="RUD81" s="0"/>
      <c r="RUE81" s="0"/>
      <c r="RUF81" s="0"/>
      <c r="RUG81" s="0"/>
      <c r="RUH81" s="0"/>
      <c r="RUI81" s="0"/>
      <c r="RUJ81" s="0"/>
      <c r="RUK81" s="0"/>
      <c r="RUL81" s="0"/>
      <c r="RUM81" s="0"/>
      <c r="RUN81" s="0"/>
      <c r="RUO81" s="0"/>
      <c r="RUP81" s="0"/>
      <c r="RUQ81" s="0"/>
      <c r="RUR81" s="0"/>
      <c r="RUS81" s="0"/>
      <c r="RUT81" s="0"/>
      <c r="RUU81" s="0"/>
      <c r="RUV81" s="0"/>
      <c r="RUW81" s="0"/>
      <c r="RUX81" s="0"/>
      <c r="RUY81" s="0"/>
      <c r="RUZ81" s="0"/>
      <c r="RVA81" s="0"/>
      <c r="RVB81" s="0"/>
      <c r="RVC81" s="0"/>
      <c r="RVD81" s="0"/>
      <c r="RVE81" s="0"/>
      <c r="RVF81" s="0"/>
      <c r="RVG81" s="0"/>
      <c r="RVH81" s="0"/>
      <c r="RVI81" s="0"/>
      <c r="RVJ81" s="0"/>
      <c r="RVK81" s="0"/>
      <c r="RVL81" s="0"/>
      <c r="RVM81" s="0"/>
      <c r="RVN81" s="0"/>
      <c r="RVO81" s="0"/>
      <c r="RVP81" s="0"/>
      <c r="RVQ81" s="0"/>
      <c r="RVR81" s="0"/>
      <c r="RVS81" s="0"/>
      <c r="RVT81" s="0"/>
      <c r="RVU81" s="0"/>
      <c r="RVV81" s="0"/>
      <c r="RVW81" s="0"/>
      <c r="RVX81" s="0"/>
      <c r="RVY81" s="0"/>
      <c r="RVZ81" s="0"/>
      <c r="RWA81" s="0"/>
      <c r="RWB81" s="0"/>
      <c r="RWC81" s="0"/>
      <c r="RWD81" s="0"/>
      <c r="RWE81" s="0"/>
      <c r="RWF81" s="0"/>
      <c r="RWG81" s="0"/>
      <c r="RWH81" s="0"/>
      <c r="RWI81" s="0"/>
      <c r="RWJ81" s="0"/>
      <c r="RWK81" s="0"/>
      <c r="RWL81" s="0"/>
      <c r="RWM81" s="0"/>
      <c r="RWN81" s="0"/>
      <c r="RWO81" s="0"/>
      <c r="RWP81" s="0"/>
      <c r="RWQ81" s="0"/>
      <c r="RWR81" s="0"/>
      <c r="RWS81" s="0"/>
      <c r="RWT81" s="0"/>
      <c r="RWU81" s="0"/>
      <c r="RWV81" s="0"/>
      <c r="RWW81" s="0"/>
      <c r="RWX81" s="0"/>
      <c r="RWY81" s="0"/>
      <c r="RWZ81" s="0"/>
      <c r="RXA81" s="0"/>
      <c r="RXB81" s="0"/>
      <c r="RXC81" s="0"/>
      <c r="RXD81" s="0"/>
      <c r="RXE81" s="0"/>
      <c r="RXF81" s="0"/>
      <c r="RXG81" s="0"/>
      <c r="RXH81" s="0"/>
      <c r="RXI81" s="0"/>
      <c r="RXJ81" s="0"/>
      <c r="RXK81" s="0"/>
      <c r="RXL81" s="0"/>
      <c r="RXM81" s="0"/>
      <c r="RXN81" s="0"/>
      <c r="RXO81" s="0"/>
      <c r="RXP81" s="0"/>
      <c r="RXQ81" s="0"/>
      <c r="RXR81" s="0"/>
      <c r="RXS81" s="0"/>
      <c r="RXT81" s="0"/>
      <c r="RXU81" s="0"/>
      <c r="RXV81" s="0"/>
      <c r="RXW81" s="0"/>
      <c r="RXX81" s="0"/>
      <c r="RXY81" s="0"/>
      <c r="RXZ81" s="0"/>
      <c r="RYA81" s="0"/>
      <c r="RYB81" s="0"/>
      <c r="RYC81" s="0"/>
      <c r="RYD81" s="0"/>
      <c r="RYE81" s="0"/>
      <c r="RYF81" s="0"/>
      <c r="RYG81" s="0"/>
      <c r="RYH81" s="0"/>
      <c r="RYI81" s="0"/>
      <c r="RYJ81" s="0"/>
      <c r="RYK81" s="0"/>
      <c r="RYL81" s="0"/>
      <c r="RYM81" s="0"/>
      <c r="RYN81" s="0"/>
      <c r="RYO81" s="0"/>
      <c r="RYP81" s="0"/>
      <c r="RYQ81" s="0"/>
      <c r="RYR81" s="0"/>
      <c r="RYS81" s="0"/>
      <c r="RYT81" s="0"/>
      <c r="RYU81" s="0"/>
      <c r="RYV81" s="0"/>
      <c r="RYW81" s="0"/>
      <c r="RYX81" s="0"/>
      <c r="RYY81" s="0"/>
      <c r="RYZ81" s="0"/>
      <c r="RZA81" s="0"/>
      <c r="RZB81" s="0"/>
      <c r="RZC81" s="0"/>
      <c r="RZD81" s="0"/>
      <c r="RZE81" s="0"/>
      <c r="RZF81" s="0"/>
      <c r="RZG81" s="0"/>
      <c r="RZH81" s="0"/>
      <c r="RZI81" s="0"/>
      <c r="RZJ81" s="0"/>
      <c r="RZK81" s="0"/>
      <c r="RZL81" s="0"/>
      <c r="RZM81" s="0"/>
      <c r="RZN81" s="0"/>
      <c r="RZO81" s="0"/>
      <c r="RZP81" s="0"/>
      <c r="RZQ81" s="0"/>
      <c r="RZR81" s="0"/>
      <c r="RZS81" s="0"/>
      <c r="RZT81" s="0"/>
      <c r="RZU81" s="0"/>
      <c r="RZV81" s="0"/>
      <c r="RZW81" s="0"/>
      <c r="RZX81" s="0"/>
      <c r="RZY81" s="0"/>
      <c r="RZZ81" s="0"/>
      <c r="SAA81" s="0"/>
      <c r="SAB81" s="0"/>
      <c r="SAC81" s="0"/>
      <c r="SAD81" s="0"/>
      <c r="SAE81" s="0"/>
      <c r="SAF81" s="0"/>
      <c r="SAG81" s="0"/>
      <c r="SAH81" s="0"/>
      <c r="SAI81" s="0"/>
      <c r="SAJ81" s="0"/>
      <c r="SAK81" s="0"/>
      <c r="SAL81" s="0"/>
      <c r="SAM81" s="0"/>
      <c r="SAN81" s="0"/>
      <c r="SAO81" s="0"/>
      <c r="SAP81" s="0"/>
      <c r="SAQ81" s="0"/>
      <c r="SAR81" s="0"/>
      <c r="SAS81" s="0"/>
      <c r="SAT81" s="0"/>
      <c r="SAU81" s="0"/>
      <c r="SAV81" s="0"/>
      <c r="SAW81" s="0"/>
      <c r="SAX81" s="0"/>
      <c r="SAY81" s="0"/>
      <c r="SAZ81" s="0"/>
      <c r="SBA81" s="0"/>
      <c r="SBB81" s="0"/>
      <c r="SBC81" s="0"/>
      <c r="SBD81" s="0"/>
      <c r="SBE81" s="0"/>
      <c r="SBF81" s="0"/>
      <c r="SBG81" s="0"/>
      <c r="SBH81" s="0"/>
      <c r="SBI81" s="0"/>
      <c r="SBJ81" s="0"/>
      <c r="SBK81" s="0"/>
      <c r="SBL81" s="0"/>
      <c r="SBM81" s="0"/>
      <c r="SBN81" s="0"/>
      <c r="SBO81" s="0"/>
      <c r="SBP81" s="0"/>
      <c r="SBQ81" s="0"/>
      <c r="SBR81" s="0"/>
      <c r="SBS81" s="0"/>
      <c r="SBT81" s="0"/>
      <c r="SBU81" s="0"/>
      <c r="SBV81" s="0"/>
      <c r="SBW81" s="0"/>
      <c r="SBX81" s="0"/>
      <c r="SBY81" s="0"/>
      <c r="SBZ81" s="0"/>
      <c r="SCA81" s="0"/>
      <c r="SCB81" s="0"/>
      <c r="SCC81" s="0"/>
      <c r="SCD81" s="0"/>
      <c r="SCE81" s="0"/>
      <c r="SCF81" s="0"/>
      <c r="SCG81" s="0"/>
      <c r="SCH81" s="0"/>
      <c r="SCI81" s="0"/>
      <c r="SCJ81" s="0"/>
      <c r="SCK81" s="0"/>
      <c r="SCL81" s="0"/>
      <c r="SCM81" s="0"/>
      <c r="SCN81" s="0"/>
      <c r="SCO81" s="0"/>
      <c r="SCP81" s="0"/>
      <c r="SCQ81" s="0"/>
      <c r="SCR81" s="0"/>
      <c r="SCS81" s="0"/>
      <c r="SCT81" s="0"/>
      <c r="SCU81" s="0"/>
      <c r="SCV81" s="0"/>
      <c r="SCW81" s="0"/>
      <c r="SCX81" s="0"/>
      <c r="SCY81" s="0"/>
      <c r="SCZ81" s="0"/>
      <c r="SDA81" s="0"/>
      <c r="SDB81" s="0"/>
      <c r="SDC81" s="0"/>
      <c r="SDD81" s="0"/>
      <c r="SDE81" s="0"/>
      <c r="SDF81" s="0"/>
      <c r="SDG81" s="0"/>
      <c r="SDH81" s="0"/>
      <c r="SDI81" s="0"/>
      <c r="SDJ81" s="0"/>
      <c r="SDK81" s="0"/>
      <c r="SDL81" s="0"/>
      <c r="SDM81" s="0"/>
      <c r="SDN81" s="0"/>
      <c r="SDO81" s="0"/>
      <c r="SDP81" s="0"/>
      <c r="SDQ81" s="0"/>
      <c r="SDR81" s="0"/>
      <c r="SDS81" s="0"/>
      <c r="SDT81" s="0"/>
      <c r="SDU81" s="0"/>
      <c r="SDV81" s="0"/>
      <c r="SDW81" s="0"/>
      <c r="SDX81" s="0"/>
      <c r="SDY81" s="0"/>
      <c r="SDZ81" s="0"/>
      <c r="SEA81" s="0"/>
      <c r="SEB81" s="0"/>
      <c r="SEC81" s="0"/>
      <c r="SED81" s="0"/>
      <c r="SEE81" s="0"/>
      <c r="SEF81" s="0"/>
      <c r="SEG81" s="0"/>
      <c r="SEH81" s="0"/>
      <c r="SEI81" s="0"/>
      <c r="SEJ81" s="0"/>
      <c r="SEK81" s="0"/>
      <c r="SEL81" s="0"/>
      <c r="SEM81" s="0"/>
      <c r="SEN81" s="0"/>
      <c r="SEO81" s="0"/>
      <c r="SEP81" s="0"/>
      <c r="SEQ81" s="0"/>
      <c r="SER81" s="0"/>
      <c r="SES81" s="0"/>
      <c r="SET81" s="0"/>
      <c r="SEU81" s="0"/>
      <c r="SEV81" s="0"/>
      <c r="SEW81" s="0"/>
      <c r="SEX81" s="0"/>
      <c r="SEY81" s="0"/>
      <c r="SEZ81" s="0"/>
      <c r="SFA81" s="0"/>
      <c r="SFB81" s="0"/>
      <c r="SFC81" s="0"/>
      <c r="SFD81" s="0"/>
      <c r="SFE81" s="0"/>
      <c r="SFF81" s="0"/>
      <c r="SFG81" s="0"/>
      <c r="SFH81" s="0"/>
      <c r="SFI81" s="0"/>
      <c r="SFJ81" s="0"/>
      <c r="SFK81" s="0"/>
      <c r="SFL81" s="0"/>
      <c r="SFM81" s="0"/>
      <c r="SFN81" s="0"/>
      <c r="SFO81" s="0"/>
      <c r="SFP81" s="0"/>
      <c r="SFQ81" s="0"/>
      <c r="SFR81" s="0"/>
      <c r="SFS81" s="0"/>
      <c r="SFT81" s="0"/>
      <c r="SFU81" s="0"/>
      <c r="SFV81" s="0"/>
      <c r="SFW81" s="0"/>
      <c r="SFX81" s="0"/>
      <c r="SFY81" s="0"/>
      <c r="SFZ81" s="0"/>
      <c r="SGA81" s="0"/>
      <c r="SGB81" s="0"/>
      <c r="SGC81" s="0"/>
      <c r="SGD81" s="0"/>
      <c r="SGE81" s="0"/>
      <c r="SGF81" s="0"/>
      <c r="SGG81" s="0"/>
      <c r="SGH81" s="0"/>
      <c r="SGI81" s="0"/>
      <c r="SGJ81" s="0"/>
      <c r="SGK81" s="0"/>
      <c r="SGL81" s="0"/>
      <c r="SGM81" s="0"/>
      <c r="SGN81" s="0"/>
      <c r="SGO81" s="0"/>
      <c r="SGP81" s="0"/>
      <c r="SGQ81" s="0"/>
      <c r="SGR81" s="0"/>
      <c r="SGS81" s="0"/>
      <c r="SGT81" s="0"/>
      <c r="SGU81" s="0"/>
      <c r="SGV81" s="0"/>
      <c r="SGW81" s="0"/>
      <c r="SGX81" s="0"/>
      <c r="SGY81" s="0"/>
      <c r="SGZ81" s="0"/>
      <c r="SHA81" s="0"/>
      <c r="SHB81" s="0"/>
      <c r="SHC81" s="0"/>
      <c r="SHD81" s="0"/>
      <c r="SHE81" s="0"/>
      <c r="SHF81" s="0"/>
      <c r="SHG81" s="0"/>
      <c r="SHH81" s="0"/>
      <c r="SHI81" s="0"/>
      <c r="SHJ81" s="0"/>
      <c r="SHK81" s="0"/>
      <c r="SHL81" s="0"/>
      <c r="SHM81" s="0"/>
      <c r="SHN81" s="0"/>
      <c r="SHO81" s="0"/>
      <c r="SHP81" s="0"/>
      <c r="SHQ81" s="0"/>
      <c r="SHR81" s="0"/>
      <c r="SHS81" s="0"/>
      <c r="SHT81" s="0"/>
      <c r="SHU81" s="0"/>
      <c r="SHV81" s="0"/>
      <c r="SHW81" s="0"/>
      <c r="SHX81" s="0"/>
      <c r="SHY81" s="0"/>
      <c r="SHZ81" s="0"/>
      <c r="SIA81" s="0"/>
      <c r="SIB81" s="0"/>
      <c r="SIC81" s="0"/>
      <c r="SID81" s="0"/>
      <c r="SIE81" s="0"/>
      <c r="SIF81" s="0"/>
      <c r="SIG81" s="0"/>
      <c r="SIH81" s="0"/>
      <c r="SII81" s="0"/>
      <c r="SIJ81" s="0"/>
      <c r="SIK81" s="0"/>
      <c r="SIL81" s="0"/>
      <c r="SIM81" s="0"/>
      <c r="SIN81" s="0"/>
      <c r="SIO81" s="0"/>
      <c r="SIP81" s="0"/>
      <c r="SIQ81" s="0"/>
      <c r="SIR81" s="0"/>
      <c r="SIS81" s="0"/>
      <c r="SIT81" s="0"/>
      <c r="SIU81" s="0"/>
      <c r="SIV81" s="0"/>
      <c r="SIW81" s="0"/>
      <c r="SIX81" s="0"/>
      <c r="SIY81" s="0"/>
      <c r="SIZ81" s="0"/>
      <c r="SJA81" s="0"/>
      <c r="SJB81" s="0"/>
      <c r="SJC81" s="0"/>
      <c r="SJD81" s="0"/>
      <c r="SJE81" s="0"/>
      <c r="SJF81" s="0"/>
      <c r="SJG81" s="0"/>
      <c r="SJH81" s="0"/>
      <c r="SJI81" s="0"/>
      <c r="SJJ81" s="0"/>
      <c r="SJK81" s="0"/>
      <c r="SJL81" s="0"/>
      <c r="SJM81" s="0"/>
      <c r="SJN81" s="0"/>
      <c r="SJO81" s="0"/>
      <c r="SJP81" s="0"/>
      <c r="SJQ81" s="0"/>
      <c r="SJR81" s="0"/>
      <c r="SJS81" s="0"/>
      <c r="SJT81" s="0"/>
      <c r="SJU81" s="0"/>
      <c r="SJV81" s="0"/>
      <c r="SJW81" s="0"/>
      <c r="SJX81" s="0"/>
      <c r="SJY81" s="0"/>
      <c r="SJZ81" s="0"/>
      <c r="SKA81" s="0"/>
      <c r="SKB81" s="0"/>
      <c r="SKC81" s="0"/>
      <c r="SKD81" s="0"/>
      <c r="SKE81" s="0"/>
      <c r="SKF81" s="0"/>
      <c r="SKG81" s="0"/>
      <c r="SKH81" s="0"/>
      <c r="SKI81" s="0"/>
      <c r="SKJ81" s="0"/>
      <c r="SKK81" s="0"/>
      <c r="SKL81" s="0"/>
      <c r="SKM81" s="0"/>
      <c r="SKN81" s="0"/>
      <c r="SKO81" s="0"/>
      <c r="SKP81" s="0"/>
      <c r="SKQ81" s="0"/>
      <c r="SKR81" s="0"/>
      <c r="SKS81" s="0"/>
      <c r="SKT81" s="0"/>
      <c r="SKU81" s="0"/>
      <c r="SKV81" s="0"/>
      <c r="SKW81" s="0"/>
      <c r="SKX81" s="0"/>
      <c r="SKY81" s="0"/>
      <c r="SKZ81" s="0"/>
      <c r="SLA81" s="0"/>
      <c r="SLB81" s="0"/>
      <c r="SLC81" s="0"/>
      <c r="SLD81" s="0"/>
      <c r="SLE81" s="0"/>
      <c r="SLF81" s="0"/>
      <c r="SLG81" s="0"/>
      <c r="SLH81" s="0"/>
      <c r="SLI81" s="0"/>
      <c r="SLJ81" s="0"/>
      <c r="SLK81" s="0"/>
      <c r="SLL81" s="0"/>
      <c r="SLM81" s="0"/>
      <c r="SLN81" s="0"/>
      <c r="SLO81" s="0"/>
      <c r="SLP81" s="0"/>
      <c r="SLQ81" s="0"/>
      <c r="SLR81" s="0"/>
      <c r="SLS81" s="0"/>
      <c r="SLT81" s="0"/>
      <c r="SLU81" s="0"/>
      <c r="SLV81" s="0"/>
      <c r="SLW81" s="0"/>
      <c r="SLX81" s="0"/>
      <c r="SLY81" s="0"/>
      <c r="SLZ81" s="0"/>
      <c r="SMA81" s="0"/>
      <c r="SMB81" s="0"/>
      <c r="SMC81" s="0"/>
      <c r="SMD81" s="0"/>
      <c r="SME81" s="0"/>
      <c r="SMF81" s="0"/>
      <c r="SMG81" s="0"/>
      <c r="SMH81" s="0"/>
      <c r="SMI81" s="0"/>
      <c r="SMJ81" s="0"/>
      <c r="SMK81" s="0"/>
      <c r="SML81" s="0"/>
      <c r="SMM81" s="0"/>
      <c r="SMN81" s="0"/>
      <c r="SMO81" s="0"/>
      <c r="SMP81" s="0"/>
      <c r="SMQ81" s="0"/>
      <c r="SMR81" s="0"/>
      <c r="SMS81" s="0"/>
      <c r="SMT81" s="0"/>
      <c r="SMU81" s="0"/>
      <c r="SMV81" s="0"/>
      <c r="SMW81" s="0"/>
      <c r="SMX81" s="0"/>
      <c r="SMY81" s="0"/>
      <c r="SMZ81" s="0"/>
      <c r="SNA81" s="0"/>
      <c r="SNB81" s="0"/>
      <c r="SNC81" s="0"/>
      <c r="SND81" s="0"/>
      <c r="SNE81" s="0"/>
      <c r="SNF81" s="0"/>
      <c r="SNG81" s="0"/>
      <c r="SNH81" s="0"/>
      <c r="SNI81" s="0"/>
      <c r="SNJ81" s="0"/>
      <c r="SNK81" s="0"/>
      <c r="SNL81" s="0"/>
      <c r="SNM81" s="0"/>
      <c r="SNN81" s="0"/>
      <c r="SNO81" s="0"/>
      <c r="SNP81" s="0"/>
      <c r="SNQ81" s="0"/>
      <c r="SNR81" s="0"/>
      <c r="SNS81" s="0"/>
      <c r="SNT81" s="0"/>
      <c r="SNU81" s="0"/>
      <c r="SNV81" s="0"/>
      <c r="SNW81" s="0"/>
      <c r="SNX81" s="0"/>
      <c r="SNY81" s="0"/>
      <c r="SNZ81" s="0"/>
      <c r="SOA81" s="0"/>
      <c r="SOB81" s="0"/>
      <c r="SOC81" s="0"/>
      <c r="SOD81" s="0"/>
      <c r="SOE81" s="0"/>
      <c r="SOF81" s="0"/>
      <c r="SOG81" s="0"/>
      <c r="SOH81" s="0"/>
      <c r="SOI81" s="0"/>
      <c r="SOJ81" s="0"/>
      <c r="SOK81" s="0"/>
      <c r="SOL81" s="0"/>
      <c r="SOM81" s="0"/>
      <c r="SON81" s="0"/>
      <c r="SOO81" s="0"/>
      <c r="SOP81" s="0"/>
      <c r="SOQ81" s="0"/>
      <c r="SOR81" s="0"/>
      <c r="SOS81" s="0"/>
      <c r="SOT81" s="0"/>
      <c r="SOU81" s="0"/>
      <c r="SOV81" s="0"/>
      <c r="SOW81" s="0"/>
      <c r="SOX81" s="0"/>
      <c r="SOY81" s="0"/>
      <c r="SOZ81" s="0"/>
      <c r="SPA81" s="0"/>
      <c r="SPB81" s="0"/>
      <c r="SPC81" s="0"/>
      <c r="SPD81" s="0"/>
      <c r="SPE81" s="0"/>
      <c r="SPF81" s="0"/>
      <c r="SPG81" s="0"/>
      <c r="SPH81" s="0"/>
      <c r="SPI81" s="0"/>
      <c r="SPJ81" s="0"/>
      <c r="SPK81" s="0"/>
      <c r="SPL81" s="0"/>
      <c r="SPM81" s="0"/>
      <c r="SPN81" s="0"/>
      <c r="SPO81" s="0"/>
      <c r="SPP81" s="0"/>
      <c r="SPQ81" s="0"/>
      <c r="SPR81" s="0"/>
      <c r="SPS81" s="0"/>
      <c r="SPT81" s="0"/>
      <c r="SPU81" s="0"/>
      <c r="SPV81" s="0"/>
      <c r="SPW81" s="0"/>
      <c r="SPX81" s="0"/>
      <c r="SPY81" s="0"/>
      <c r="SPZ81" s="0"/>
      <c r="SQA81" s="0"/>
      <c r="SQB81" s="0"/>
      <c r="SQC81" s="0"/>
      <c r="SQD81" s="0"/>
      <c r="SQE81" s="0"/>
      <c r="SQF81" s="0"/>
      <c r="SQG81" s="0"/>
      <c r="SQH81" s="0"/>
      <c r="SQI81" s="0"/>
      <c r="SQJ81" s="0"/>
      <c r="SQK81" s="0"/>
      <c r="SQL81" s="0"/>
      <c r="SQM81" s="0"/>
      <c r="SQN81" s="0"/>
      <c r="SQO81" s="0"/>
      <c r="SQP81" s="0"/>
      <c r="SQQ81" s="0"/>
      <c r="SQR81" s="0"/>
      <c r="SQS81" s="0"/>
      <c r="SQT81" s="0"/>
      <c r="SQU81" s="0"/>
      <c r="SQV81" s="0"/>
      <c r="SQW81" s="0"/>
      <c r="SQX81" s="0"/>
      <c r="SQY81" s="0"/>
      <c r="SQZ81" s="0"/>
      <c r="SRA81" s="0"/>
      <c r="SRB81" s="0"/>
      <c r="SRC81" s="0"/>
      <c r="SRD81" s="0"/>
      <c r="SRE81" s="0"/>
      <c r="SRF81" s="0"/>
      <c r="SRG81" s="0"/>
      <c r="SRH81" s="0"/>
      <c r="SRI81" s="0"/>
      <c r="SRJ81" s="0"/>
      <c r="SRK81" s="0"/>
      <c r="SRL81" s="0"/>
      <c r="SRM81" s="0"/>
      <c r="SRN81" s="0"/>
      <c r="SRO81" s="0"/>
      <c r="SRP81" s="0"/>
      <c r="SRQ81" s="0"/>
      <c r="SRR81" s="0"/>
      <c r="SRS81" s="0"/>
      <c r="SRT81" s="0"/>
      <c r="SRU81" s="0"/>
      <c r="SRV81" s="0"/>
      <c r="SRW81" s="0"/>
      <c r="SRX81" s="0"/>
      <c r="SRY81" s="0"/>
      <c r="SRZ81" s="0"/>
      <c r="SSA81" s="0"/>
      <c r="SSB81" s="0"/>
      <c r="SSC81" s="0"/>
      <c r="SSD81" s="0"/>
      <c r="SSE81" s="0"/>
      <c r="SSF81" s="0"/>
      <c r="SSG81" s="0"/>
      <c r="SSH81" s="0"/>
      <c r="SSI81" s="0"/>
      <c r="SSJ81" s="0"/>
      <c r="SSK81" s="0"/>
      <c r="SSL81" s="0"/>
      <c r="SSM81" s="0"/>
      <c r="SSN81" s="0"/>
      <c r="SSO81" s="0"/>
      <c r="SSP81" s="0"/>
      <c r="SSQ81" s="0"/>
      <c r="SSR81" s="0"/>
      <c r="SSS81" s="0"/>
      <c r="SST81" s="0"/>
      <c r="SSU81" s="0"/>
      <c r="SSV81" s="0"/>
      <c r="SSW81" s="0"/>
      <c r="SSX81" s="0"/>
      <c r="SSY81" s="0"/>
      <c r="SSZ81" s="0"/>
      <c r="STA81" s="0"/>
      <c r="STB81" s="0"/>
      <c r="STC81" s="0"/>
      <c r="STD81" s="0"/>
      <c r="STE81" s="0"/>
      <c r="STF81" s="0"/>
      <c r="STG81" s="0"/>
      <c r="STH81" s="0"/>
      <c r="STI81" s="0"/>
      <c r="STJ81" s="0"/>
      <c r="STK81" s="0"/>
      <c r="STL81" s="0"/>
      <c r="STM81" s="0"/>
      <c r="STN81" s="0"/>
      <c r="STO81" s="0"/>
      <c r="STP81" s="0"/>
      <c r="STQ81" s="0"/>
      <c r="STR81" s="0"/>
      <c r="STS81" s="0"/>
      <c r="STT81" s="0"/>
      <c r="STU81" s="0"/>
      <c r="STV81" s="0"/>
      <c r="STW81" s="0"/>
      <c r="STX81" s="0"/>
      <c r="STY81" s="0"/>
      <c r="STZ81" s="0"/>
      <c r="SUA81" s="0"/>
      <c r="SUB81" s="0"/>
      <c r="SUC81" s="0"/>
      <c r="SUD81" s="0"/>
      <c r="SUE81" s="0"/>
      <c r="SUF81" s="0"/>
      <c r="SUG81" s="0"/>
      <c r="SUH81" s="0"/>
      <c r="SUI81" s="0"/>
      <c r="SUJ81" s="0"/>
      <c r="SUK81" s="0"/>
      <c r="SUL81" s="0"/>
      <c r="SUM81" s="0"/>
      <c r="SUN81" s="0"/>
      <c r="SUO81" s="0"/>
      <c r="SUP81" s="0"/>
      <c r="SUQ81" s="0"/>
      <c r="SUR81" s="0"/>
      <c r="SUS81" s="0"/>
      <c r="SUT81" s="0"/>
      <c r="SUU81" s="0"/>
      <c r="SUV81" s="0"/>
      <c r="SUW81" s="0"/>
      <c r="SUX81" s="0"/>
      <c r="SUY81" s="0"/>
      <c r="SUZ81" s="0"/>
      <c r="SVA81" s="0"/>
      <c r="SVB81" s="0"/>
      <c r="SVC81" s="0"/>
      <c r="SVD81" s="0"/>
      <c r="SVE81" s="0"/>
      <c r="SVF81" s="0"/>
      <c r="SVG81" s="0"/>
      <c r="SVH81" s="0"/>
      <c r="SVI81" s="0"/>
      <c r="SVJ81" s="0"/>
      <c r="SVK81" s="0"/>
      <c r="SVL81" s="0"/>
      <c r="SVM81" s="0"/>
      <c r="SVN81" s="0"/>
      <c r="SVO81" s="0"/>
      <c r="SVP81" s="0"/>
      <c r="SVQ81" s="0"/>
      <c r="SVR81" s="0"/>
      <c r="SVS81" s="0"/>
      <c r="SVT81" s="0"/>
      <c r="SVU81" s="0"/>
      <c r="SVV81" s="0"/>
      <c r="SVW81" s="0"/>
      <c r="SVX81" s="0"/>
      <c r="SVY81" s="0"/>
      <c r="SVZ81" s="0"/>
      <c r="SWA81" s="0"/>
      <c r="SWB81" s="0"/>
      <c r="SWC81" s="0"/>
      <c r="SWD81" s="0"/>
      <c r="SWE81" s="0"/>
      <c r="SWF81" s="0"/>
      <c r="SWG81" s="0"/>
      <c r="SWH81" s="0"/>
      <c r="SWI81" s="0"/>
      <c r="SWJ81" s="0"/>
      <c r="SWK81" s="0"/>
      <c r="SWL81" s="0"/>
      <c r="SWM81" s="0"/>
      <c r="SWN81" s="0"/>
      <c r="SWO81" s="0"/>
      <c r="SWP81" s="0"/>
      <c r="SWQ81" s="0"/>
      <c r="SWR81" s="0"/>
      <c r="SWS81" s="0"/>
      <c r="SWT81" s="0"/>
      <c r="SWU81" s="0"/>
      <c r="SWV81" s="0"/>
      <c r="SWW81" s="0"/>
      <c r="SWX81" s="0"/>
      <c r="SWY81" s="0"/>
      <c r="SWZ81" s="0"/>
      <c r="SXA81" s="0"/>
      <c r="SXB81" s="0"/>
      <c r="SXC81" s="0"/>
      <c r="SXD81" s="0"/>
      <c r="SXE81" s="0"/>
      <c r="SXF81" s="0"/>
      <c r="SXG81" s="0"/>
      <c r="SXH81" s="0"/>
      <c r="SXI81" s="0"/>
      <c r="SXJ81" s="0"/>
      <c r="SXK81" s="0"/>
      <c r="SXL81" s="0"/>
      <c r="SXM81" s="0"/>
      <c r="SXN81" s="0"/>
      <c r="SXO81" s="0"/>
      <c r="SXP81" s="0"/>
      <c r="SXQ81" s="0"/>
      <c r="SXR81" s="0"/>
      <c r="SXS81" s="0"/>
      <c r="SXT81" s="0"/>
      <c r="SXU81" s="0"/>
      <c r="SXV81" s="0"/>
      <c r="SXW81" s="0"/>
      <c r="SXX81" s="0"/>
      <c r="SXY81" s="0"/>
      <c r="SXZ81" s="0"/>
      <c r="SYA81" s="0"/>
      <c r="SYB81" s="0"/>
      <c r="SYC81" s="0"/>
      <c r="SYD81" s="0"/>
      <c r="SYE81" s="0"/>
      <c r="SYF81" s="0"/>
      <c r="SYG81" s="0"/>
      <c r="SYH81" s="0"/>
      <c r="SYI81" s="0"/>
      <c r="SYJ81" s="0"/>
      <c r="SYK81" s="0"/>
      <c r="SYL81" s="0"/>
      <c r="SYM81" s="0"/>
      <c r="SYN81" s="0"/>
      <c r="SYO81" s="0"/>
      <c r="SYP81" s="0"/>
      <c r="SYQ81" s="0"/>
      <c r="SYR81" s="0"/>
      <c r="SYS81" s="0"/>
      <c r="SYT81" s="0"/>
      <c r="SYU81" s="0"/>
      <c r="SYV81" s="0"/>
      <c r="SYW81" s="0"/>
      <c r="SYX81" s="0"/>
      <c r="SYY81" s="0"/>
      <c r="SYZ81" s="0"/>
      <c r="SZA81" s="0"/>
      <c r="SZB81" s="0"/>
      <c r="SZC81" s="0"/>
      <c r="SZD81" s="0"/>
      <c r="SZE81" s="0"/>
      <c r="SZF81" s="0"/>
      <c r="SZG81" s="0"/>
      <c r="SZH81" s="0"/>
      <c r="SZI81" s="0"/>
      <c r="SZJ81" s="0"/>
      <c r="SZK81" s="0"/>
      <c r="SZL81" s="0"/>
      <c r="SZM81" s="0"/>
      <c r="SZN81" s="0"/>
      <c r="SZO81" s="0"/>
      <c r="SZP81" s="0"/>
      <c r="SZQ81" s="0"/>
      <c r="SZR81" s="0"/>
      <c r="SZS81" s="0"/>
      <c r="SZT81" s="0"/>
      <c r="SZU81" s="0"/>
      <c r="SZV81" s="0"/>
      <c r="SZW81" s="0"/>
      <c r="SZX81" s="0"/>
      <c r="SZY81" s="0"/>
      <c r="SZZ81" s="0"/>
      <c r="TAA81" s="0"/>
      <c r="TAB81" s="0"/>
      <c r="TAC81" s="0"/>
      <c r="TAD81" s="0"/>
      <c r="TAE81" s="0"/>
      <c r="TAF81" s="0"/>
      <c r="TAG81" s="0"/>
      <c r="TAH81" s="0"/>
      <c r="TAI81" s="0"/>
      <c r="TAJ81" s="0"/>
      <c r="TAK81" s="0"/>
      <c r="TAL81" s="0"/>
      <c r="TAM81" s="0"/>
      <c r="TAN81" s="0"/>
      <c r="TAO81" s="0"/>
      <c r="TAP81" s="0"/>
      <c r="TAQ81" s="0"/>
      <c r="TAR81" s="0"/>
      <c r="TAS81" s="0"/>
      <c r="TAT81" s="0"/>
      <c r="TAU81" s="0"/>
      <c r="TAV81" s="0"/>
      <c r="TAW81" s="0"/>
      <c r="TAX81" s="0"/>
      <c r="TAY81" s="0"/>
      <c r="TAZ81" s="0"/>
      <c r="TBA81" s="0"/>
      <c r="TBB81" s="0"/>
      <c r="TBC81" s="0"/>
      <c r="TBD81" s="0"/>
      <c r="TBE81" s="0"/>
      <c r="TBF81" s="0"/>
      <c r="TBG81" s="0"/>
      <c r="TBH81" s="0"/>
      <c r="TBI81" s="0"/>
      <c r="TBJ81" s="0"/>
      <c r="TBK81" s="0"/>
      <c r="TBL81" s="0"/>
      <c r="TBM81" s="0"/>
      <c r="TBN81" s="0"/>
      <c r="TBO81" s="0"/>
      <c r="TBP81" s="0"/>
      <c r="TBQ81" s="0"/>
      <c r="TBR81" s="0"/>
      <c r="TBS81" s="0"/>
      <c r="TBT81" s="0"/>
      <c r="TBU81" s="0"/>
      <c r="TBV81" s="0"/>
      <c r="TBW81" s="0"/>
      <c r="TBX81" s="0"/>
      <c r="TBY81" s="0"/>
      <c r="TBZ81" s="0"/>
      <c r="TCA81" s="0"/>
      <c r="TCB81" s="0"/>
      <c r="TCC81" s="0"/>
      <c r="TCD81" s="0"/>
      <c r="TCE81" s="0"/>
      <c r="TCF81" s="0"/>
      <c r="TCG81" s="0"/>
      <c r="TCH81" s="0"/>
      <c r="TCI81" s="0"/>
      <c r="TCJ81" s="0"/>
      <c r="TCK81" s="0"/>
      <c r="TCL81" s="0"/>
      <c r="TCM81" s="0"/>
      <c r="TCN81" s="0"/>
      <c r="TCO81" s="0"/>
      <c r="TCP81" s="0"/>
      <c r="TCQ81" s="0"/>
      <c r="TCR81" s="0"/>
      <c r="TCS81" s="0"/>
      <c r="TCT81" s="0"/>
      <c r="TCU81" s="0"/>
      <c r="TCV81" s="0"/>
      <c r="TCW81" s="0"/>
      <c r="TCX81" s="0"/>
      <c r="TCY81" s="0"/>
      <c r="TCZ81" s="0"/>
      <c r="TDA81" s="0"/>
      <c r="TDB81" s="0"/>
      <c r="TDC81" s="0"/>
      <c r="TDD81" s="0"/>
      <c r="TDE81" s="0"/>
      <c r="TDF81" s="0"/>
      <c r="TDG81" s="0"/>
      <c r="TDH81" s="0"/>
      <c r="TDI81" s="0"/>
      <c r="TDJ81" s="0"/>
      <c r="TDK81" s="0"/>
      <c r="TDL81" s="0"/>
      <c r="TDM81" s="0"/>
      <c r="TDN81" s="0"/>
      <c r="TDO81" s="0"/>
      <c r="TDP81" s="0"/>
      <c r="TDQ81" s="0"/>
      <c r="TDR81" s="0"/>
      <c r="TDS81" s="0"/>
      <c r="TDT81" s="0"/>
      <c r="TDU81" s="0"/>
      <c r="TDV81" s="0"/>
      <c r="TDW81" s="0"/>
      <c r="TDX81" s="0"/>
      <c r="TDY81" s="0"/>
      <c r="TDZ81" s="0"/>
      <c r="TEA81" s="0"/>
      <c r="TEB81" s="0"/>
      <c r="TEC81" s="0"/>
      <c r="TED81" s="0"/>
      <c r="TEE81" s="0"/>
      <c r="TEF81" s="0"/>
      <c r="TEG81" s="0"/>
      <c r="TEH81" s="0"/>
      <c r="TEI81" s="0"/>
      <c r="TEJ81" s="0"/>
      <c r="TEK81" s="0"/>
      <c r="TEL81" s="0"/>
      <c r="TEM81" s="0"/>
      <c r="TEN81" s="0"/>
      <c r="TEO81" s="0"/>
      <c r="TEP81" s="0"/>
      <c r="TEQ81" s="0"/>
      <c r="TER81" s="0"/>
      <c r="TES81" s="0"/>
      <c r="TET81" s="0"/>
      <c r="TEU81" s="0"/>
      <c r="TEV81" s="0"/>
      <c r="TEW81" s="0"/>
      <c r="TEX81" s="0"/>
      <c r="TEY81" s="0"/>
      <c r="TEZ81" s="0"/>
      <c r="TFA81" s="0"/>
      <c r="TFB81" s="0"/>
      <c r="TFC81" s="0"/>
      <c r="TFD81" s="0"/>
      <c r="TFE81" s="0"/>
      <c r="TFF81" s="0"/>
      <c r="TFG81" s="0"/>
      <c r="TFH81" s="0"/>
      <c r="TFI81" s="0"/>
      <c r="TFJ81" s="0"/>
      <c r="TFK81" s="0"/>
      <c r="TFL81" s="0"/>
      <c r="TFM81" s="0"/>
      <c r="TFN81" s="0"/>
      <c r="TFO81" s="0"/>
      <c r="TFP81" s="0"/>
      <c r="TFQ81" s="0"/>
      <c r="TFR81" s="0"/>
      <c r="TFS81" s="0"/>
      <c r="TFT81" s="0"/>
      <c r="TFU81" s="0"/>
      <c r="TFV81" s="0"/>
      <c r="TFW81" s="0"/>
      <c r="TFX81" s="0"/>
      <c r="TFY81" s="0"/>
      <c r="TFZ81" s="0"/>
      <c r="TGA81" s="0"/>
      <c r="TGB81" s="0"/>
      <c r="TGC81" s="0"/>
      <c r="TGD81" s="0"/>
      <c r="TGE81" s="0"/>
      <c r="TGF81" s="0"/>
      <c r="TGG81" s="0"/>
      <c r="TGH81" s="0"/>
      <c r="TGI81" s="0"/>
      <c r="TGJ81" s="0"/>
      <c r="TGK81" s="0"/>
      <c r="TGL81" s="0"/>
      <c r="TGM81" s="0"/>
      <c r="TGN81" s="0"/>
      <c r="TGO81" s="0"/>
      <c r="TGP81" s="0"/>
      <c r="TGQ81" s="0"/>
      <c r="TGR81" s="0"/>
      <c r="TGS81" s="0"/>
      <c r="TGT81" s="0"/>
      <c r="TGU81" s="0"/>
      <c r="TGV81" s="0"/>
      <c r="TGW81" s="0"/>
      <c r="TGX81" s="0"/>
      <c r="TGY81" s="0"/>
      <c r="TGZ81" s="0"/>
      <c r="THA81" s="0"/>
      <c r="THB81" s="0"/>
      <c r="THC81" s="0"/>
      <c r="THD81" s="0"/>
      <c r="THE81" s="0"/>
      <c r="THF81" s="0"/>
      <c r="THG81" s="0"/>
      <c r="THH81" s="0"/>
      <c r="THI81" s="0"/>
      <c r="THJ81" s="0"/>
      <c r="THK81" s="0"/>
      <c r="THL81" s="0"/>
      <c r="THM81" s="0"/>
      <c r="THN81" s="0"/>
      <c r="THO81" s="0"/>
      <c r="THP81" s="0"/>
      <c r="THQ81" s="0"/>
      <c r="THR81" s="0"/>
      <c r="THS81" s="0"/>
      <c r="THT81" s="0"/>
      <c r="THU81" s="0"/>
      <c r="THV81" s="0"/>
      <c r="THW81" s="0"/>
      <c r="THX81" s="0"/>
      <c r="THY81" s="0"/>
      <c r="THZ81" s="0"/>
      <c r="TIA81" s="0"/>
      <c r="TIB81" s="0"/>
      <c r="TIC81" s="0"/>
      <c r="TID81" s="0"/>
      <c r="TIE81" s="0"/>
      <c r="TIF81" s="0"/>
      <c r="TIG81" s="0"/>
      <c r="TIH81" s="0"/>
      <c r="TII81" s="0"/>
      <c r="TIJ81" s="0"/>
      <c r="TIK81" s="0"/>
      <c r="TIL81" s="0"/>
      <c r="TIM81" s="0"/>
      <c r="TIN81" s="0"/>
      <c r="TIO81" s="0"/>
      <c r="TIP81" s="0"/>
      <c r="TIQ81" s="0"/>
      <c r="TIR81" s="0"/>
      <c r="TIS81" s="0"/>
      <c r="TIT81" s="0"/>
      <c r="TIU81" s="0"/>
      <c r="TIV81" s="0"/>
      <c r="TIW81" s="0"/>
      <c r="TIX81" s="0"/>
      <c r="TIY81" s="0"/>
      <c r="TIZ81" s="0"/>
      <c r="TJA81" s="0"/>
      <c r="TJB81" s="0"/>
      <c r="TJC81" s="0"/>
      <c r="TJD81" s="0"/>
      <c r="TJE81" s="0"/>
      <c r="TJF81" s="0"/>
      <c r="TJG81" s="0"/>
      <c r="TJH81" s="0"/>
      <c r="TJI81" s="0"/>
      <c r="TJJ81" s="0"/>
      <c r="TJK81" s="0"/>
      <c r="TJL81" s="0"/>
      <c r="TJM81" s="0"/>
      <c r="TJN81" s="0"/>
      <c r="TJO81" s="0"/>
      <c r="TJP81" s="0"/>
      <c r="TJQ81" s="0"/>
      <c r="TJR81" s="0"/>
      <c r="TJS81" s="0"/>
      <c r="TJT81" s="0"/>
      <c r="TJU81" s="0"/>
      <c r="TJV81" s="0"/>
      <c r="TJW81" s="0"/>
      <c r="TJX81" s="0"/>
      <c r="TJY81" s="0"/>
      <c r="TJZ81" s="0"/>
      <c r="TKA81" s="0"/>
      <c r="TKB81" s="0"/>
      <c r="TKC81" s="0"/>
      <c r="TKD81" s="0"/>
      <c r="TKE81" s="0"/>
      <c r="TKF81" s="0"/>
      <c r="TKG81" s="0"/>
      <c r="TKH81" s="0"/>
      <c r="TKI81" s="0"/>
      <c r="TKJ81" s="0"/>
      <c r="TKK81" s="0"/>
      <c r="TKL81" s="0"/>
      <c r="TKM81" s="0"/>
      <c r="TKN81" s="0"/>
      <c r="TKO81" s="0"/>
      <c r="TKP81" s="0"/>
      <c r="TKQ81" s="0"/>
      <c r="TKR81" s="0"/>
      <c r="TKS81" s="0"/>
      <c r="TKT81" s="0"/>
      <c r="TKU81" s="0"/>
      <c r="TKV81" s="0"/>
      <c r="TKW81" s="0"/>
      <c r="TKX81" s="0"/>
      <c r="TKY81" s="0"/>
      <c r="TKZ81" s="0"/>
      <c r="TLA81" s="0"/>
      <c r="TLB81" s="0"/>
      <c r="TLC81" s="0"/>
      <c r="TLD81" s="0"/>
      <c r="TLE81" s="0"/>
      <c r="TLF81" s="0"/>
      <c r="TLG81" s="0"/>
      <c r="TLH81" s="0"/>
      <c r="TLI81" s="0"/>
      <c r="TLJ81" s="0"/>
      <c r="TLK81" s="0"/>
      <c r="TLL81" s="0"/>
      <c r="TLM81" s="0"/>
      <c r="TLN81" s="0"/>
      <c r="TLO81" s="0"/>
      <c r="TLP81" s="0"/>
      <c r="TLQ81" s="0"/>
      <c r="TLR81" s="0"/>
      <c r="TLS81" s="0"/>
      <c r="TLT81" s="0"/>
      <c r="TLU81" s="0"/>
      <c r="TLV81" s="0"/>
      <c r="TLW81" s="0"/>
      <c r="TLX81" s="0"/>
      <c r="TLY81" s="0"/>
      <c r="TLZ81" s="0"/>
      <c r="TMA81" s="0"/>
      <c r="TMB81" s="0"/>
      <c r="TMC81" s="0"/>
      <c r="TMD81" s="0"/>
      <c r="TME81" s="0"/>
      <c r="TMF81" s="0"/>
      <c r="TMG81" s="0"/>
      <c r="TMH81" s="0"/>
      <c r="TMI81" s="0"/>
      <c r="TMJ81" s="0"/>
      <c r="TMK81" s="0"/>
      <c r="TML81" s="0"/>
      <c r="TMM81" s="0"/>
      <c r="TMN81" s="0"/>
      <c r="TMO81" s="0"/>
      <c r="TMP81" s="0"/>
      <c r="TMQ81" s="0"/>
      <c r="TMR81" s="0"/>
      <c r="TMS81" s="0"/>
      <c r="TMT81" s="0"/>
      <c r="TMU81" s="0"/>
      <c r="TMV81" s="0"/>
      <c r="TMW81" s="0"/>
      <c r="TMX81" s="0"/>
      <c r="TMY81" s="0"/>
      <c r="TMZ81" s="0"/>
      <c r="TNA81" s="0"/>
      <c r="TNB81" s="0"/>
      <c r="TNC81" s="0"/>
      <c r="TND81" s="0"/>
      <c r="TNE81" s="0"/>
      <c r="TNF81" s="0"/>
      <c r="TNG81" s="0"/>
      <c r="TNH81" s="0"/>
      <c r="TNI81" s="0"/>
      <c r="TNJ81" s="0"/>
      <c r="TNK81" s="0"/>
      <c r="TNL81" s="0"/>
      <c r="TNM81" s="0"/>
      <c r="TNN81" s="0"/>
      <c r="TNO81" s="0"/>
      <c r="TNP81" s="0"/>
      <c r="TNQ81" s="0"/>
      <c r="TNR81" s="0"/>
      <c r="TNS81" s="0"/>
      <c r="TNT81" s="0"/>
      <c r="TNU81" s="0"/>
      <c r="TNV81" s="0"/>
      <c r="TNW81" s="0"/>
      <c r="TNX81" s="0"/>
      <c r="TNY81" s="0"/>
      <c r="TNZ81" s="0"/>
      <c r="TOA81" s="0"/>
      <c r="TOB81" s="0"/>
      <c r="TOC81" s="0"/>
      <c r="TOD81" s="0"/>
      <c r="TOE81" s="0"/>
      <c r="TOF81" s="0"/>
      <c r="TOG81" s="0"/>
      <c r="TOH81" s="0"/>
      <c r="TOI81" s="0"/>
      <c r="TOJ81" s="0"/>
      <c r="TOK81" s="0"/>
      <c r="TOL81" s="0"/>
      <c r="TOM81" s="0"/>
      <c r="TON81" s="0"/>
      <c r="TOO81" s="0"/>
      <c r="TOP81" s="0"/>
      <c r="TOQ81" s="0"/>
      <c r="TOR81" s="0"/>
      <c r="TOS81" s="0"/>
      <c r="TOT81" s="0"/>
      <c r="TOU81" s="0"/>
      <c r="TOV81" s="0"/>
      <c r="TOW81" s="0"/>
      <c r="TOX81" s="0"/>
      <c r="TOY81" s="0"/>
      <c r="TOZ81" s="0"/>
      <c r="TPA81" s="0"/>
      <c r="TPB81" s="0"/>
      <c r="TPC81" s="0"/>
      <c r="TPD81" s="0"/>
      <c r="TPE81" s="0"/>
      <c r="TPF81" s="0"/>
      <c r="TPG81" s="0"/>
      <c r="TPH81" s="0"/>
      <c r="TPI81" s="0"/>
      <c r="TPJ81" s="0"/>
      <c r="TPK81" s="0"/>
      <c r="TPL81" s="0"/>
      <c r="TPM81" s="0"/>
      <c r="TPN81" s="0"/>
      <c r="TPO81" s="0"/>
      <c r="TPP81" s="0"/>
      <c r="TPQ81" s="0"/>
      <c r="TPR81" s="0"/>
      <c r="TPS81" s="0"/>
      <c r="TPT81" s="0"/>
      <c r="TPU81" s="0"/>
      <c r="TPV81" s="0"/>
      <c r="TPW81" s="0"/>
      <c r="TPX81" s="0"/>
      <c r="TPY81" s="0"/>
      <c r="TPZ81" s="0"/>
      <c r="TQA81" s="0"/>
      <c r="TQB81" s="0"/>
      <c r="TQC81" s="0"/>
      <c r="TQD81" s="0"/>
      <c r="TQE81" s="0"/>
      <c r="TQF81" s="0"/>
      <c r="TQG81" s="0"/>
      <c r="TQH81" s="0"/>
      <c r="TQI81" s="0"/>
      <c r="TQJ81" s="0"/>
      <c r="TQK81" s="0"/>
      <c r="TQL81" s="0"/>
      <c r="TQM81" s="0"/>
      <c r="TQN81" s="0"/>
      <c r="TQO81" s="0"/>
      <c r="TQP81" s="0"/>
      <c r="TQQ81" s="0"/>
      <c r="TQR81" s="0"/>
      <c r="TQS81" s="0"/>
      <c r="TQT81" s="0"/>
      <c r="TQU81" s="0"/>
      <c r="TQV81" s="0"/>
      <c r="TQW81" s="0"/>
      <c r="TQX81" s="0"/>
      <c r="TQY81" s="0"/>
      <c r="TQZ81" s="0"/>
      <c r="TRA81" s="0"/>
      <c r="TRB81" s="0"/>
      <c r="TRC81" s="0"/>
      <c r="TRD81" s="0"/>
      <c r="TRE81" s="0"/>
      <c r="TRF81" s="0"/>
      <c r="TRG81" s="0"/>
      <c r="TRH81" s="0"/>
      <c r="TRI81" s="0"/>
      <c r="TRJ81" s="0"/>
      <c r="TRK81" s="0"/>
      <c r="TRL81" s="0"/>
      <c r="TRM81" s="0"/>
      <c r="TRN81" s="0"/>
      <c r="TRO81" s="0"/>
      <c r="TRP81" s="0"/>
      <c r="TRQ81" s="0"/>
      <c r="TRR81" s="0"/>
      <c r="TRS81" s="0"/>
      <c r="TRT81" s="0"/>
      <c r="TRU81" s="0"/>
      <c r="TRV81" s="0"/>
      <c r="TRW81" s="0"/>
      <c r="TRX81" s="0"/>
      <c r="TRY81" s="0"/>
      <c r="TRZ81" s="0"/>
      <c r="TSA81" s="0"/>
      <c r="TSB81" s="0"/>
      <c r="TSC81" s="0"/>
      <c r="TSD81" s="0"/>
      <c r="TSE81" s="0"/>
      <c r="TSF81" s="0"/>
      <c r="TSG81" s="0"/>
      <c r="TSH81" s="0"/>
      <c r="TSI81" s="0"/>
      <c r="TSJ81" s="0"/>
      <c r="TSK81" s="0"/>
      <c r="TSL81" s="0"/>
      <c r="TSM81" s="0"/>
      <c r="TSN81" s="0"/>
      <c r="TSO81" s="0"/>
      <c r="TSP81" s="0"/>
      <c r="TSQ81" s="0"/>
      <c r="TSR81" s="0"/>
      <c r="TSS81" s="0"/>
      <c r="TST81" s="0"/>
      <c r="TSU81" s="0"/>
      <c r="TSV81" s="0"/>
      <c r="TSW81" s="0"/>
      <c r="TSX81" s="0"/>
      <c r="TSY81" s="0"/>
      <c r="TSZ81" s="0"/>
      <c r="TTA81" s="0"/>
      <c r="TTB81" s="0"/>
      <c r="TTC81" s="0"/>
      <c r="TTD81" s="0"/>
      <c r="TTE81" s="0"/>
      <c r="TTF81" s="0"/>
      <c r="TTG81" s="0"/>
      <c r="TTH81" s="0"/>
      <c r="TTI81" s="0"/>
      <c r="TTJ81" s="0"/>
      <c r="TTK81" s="0"/>
      <c r="TTL81" s="0"/>
      <c r="TTM81" s="0"/>
      <c r="TTN81" s="0"/>
      <c r="TTO81" s="0"/>
      <c r="TTP81" s="0"/>
      <c r="TTQ81" s="0"/>
      <c r="TTR81" s="0"/>
      <c r="TTS81" s="0"/>
      <c r="TTT81" s="0"/>
      <c r="TTU81" s="0"/>
      <c r="TTV81" s="0"/>
      <c r="TTW81" s="0"/>
      <c r="TTX81" s="0"/>
      <c r="TTY81" s="0"/>
      <c r="TTZ81" s="0"/>
      <c r="TUA81" s="0"/>
      <c r="TUB81" s="0"/>
      <c r="TUC81" s="0"/>
      <c r="TUD81" s="0"/>
      <c r="TUE81" s="0"/>
      <c r="TUF81" s="0"/>
      <c r="TUG81" s="0"/>
      <c r="TUH81" s="0"/>
      <c r="TUI81" s="0"/>
      <c r="TUJ81" s="0"/>
      <c r="TUK81" s="0"/>
      <c r="TUL81" s="0"/>
      <c r="TUM81" s="0"/>
      <c r="TUN81" s="0"/>
      <c r="TUO81" s="0"/>
      <c r="TUP81" s="0"/>
      <c r="TUQ81" s="0"/>
      <c r="TUR81" s="0"/>
      <c r="TUS81" s="0"/>
      <c r="TUT81" s="0"/>
      <c r="TUU81" s="0"/>
      <c r="TUV81" s="0"/>
      <c r="TUW81" s="0"/>
      <c r="TUX81" s="0"/>
      <c r="TUY81" s="0"/>
      <c r="TUZ81" s="0"/>
      <c r="TVA81" s="0"/>
      <c r="TVB81" s="0"/>
      <c r="TVC81" s="0"/>
      <c r="TVD81" s="0"/>
      <c r="TVE81" s="0"/>
      <c r="TVF81" s="0"/>
      <c r="TVG81" s="0"/>
      <c r="TVH81" s="0"/>
      <c r="TVI81" s="0"/>
      <c r="TVJ81" s="0"/>
      <c r="TVK81" s="0"/>
      <c r="TVL81" s="0"/>
      <c r="TVM81" s="0"/>
      <c r="TVN81" s="0"/>
      <c r="TVO81" s="0"/>
      <c r="TVP81" s="0"/>
      <c r="TVQ81" s="0"/>
      <c r="TVR81" s="0"/>
      <c r="TVS81" s="0"/>
      <c r="TVT81" s="0"/>
      <c r="TVU81" s="0"/>
      <c r="TVV81" s="0"/>
      <c r="TVW81" s="0"/>
      <c r="TVX81" s="0"/>
      <c r="TVY81" s="0"/>
      <c r="TVZ81" s="0"/>
      <c r="TWA81" s="0"/>
      <c r="TWB81" s="0"/>
      <c r="TWC81" s="0"/>
      <c r="TWD81" s="0"/>
      <c r="TWE81" s="0"/>
      <c r="TWF81" s="0"/>
      <c r="TWG81" s="0"/>
      <c r="TWH81" s="0"/>
      <c r="TWI81" s="0"/>
      <c r="TWJ81" s="0"/>
      <c r="TWK81" s="0"/>
      <c r="TWL81" s="0"/>
      <c r="TWM81" s="0"/>
      <c r="TWN81" s="0"/>
      <c r="TWO81" s="0"/>
      <c r="TWP81" s="0"/>
      <c r="TWQ81" s="0"/>
      <c r="TWR81" s="0"/>
      <c r="TWS81" s="0"/>
      <c r="TWT81" s="0"/>
      <c r="TWU81" s="0"/>
      <c r="TWV81" s="0"/>
      <c r="TWW81" s="0"/>
      <c r="TWX81" s="0"/>
      <c r="TWY81" s="0"/>
      <c r="TWZ81" s="0"/>
      <c r="TXA81" s="0"/>
      <c r="TXB81" s="0"/>
      <c r="TXC81" s="0"/>
      <c r="TXD81" s="0"/>
      <c r="TXE81" s="0"/>
      <c r="TXF81" s="0"/>
      <c r="TXG81" s="0"/>
      <c r="TXH81" s="0"/>
      <c r="TXI81" s="0"/>
      <c r="TXJ81" s="0"/>
      <c r="TXK81" s="0"/>
      <c r="TXL81" s="0"/>
      <c r="TXM81" s="0"/>
      <c r="TXN81" s="0"/>
      <c r="TXO81" s="0"/>
      <c r="TXP81" s="0"/>
      <c r="TXQ81" s="0"/>
      <c r="TXR81" s="0"/>
      <c r="TXS81" s="0"/>
      <c r="TXT81" s="0"/>
      <c r="TXU81" s="0"/>
      <c r="TXV81" s="0"/>
      <c r="TXW81" s="0"/>
      <c r="TXX81" s="0"/>
      <c r="TXY81" s="0"/>
      <c r="TXZ81" s="0"/>
      <c r="TYA81" s="0"/>
      <c r="TYB81" s="0"/>
      <c r="TYC81" s="0"/>
      <c r="TYD81" s="0"/>
      <c r="TYE81" s="0"/>
      <c r="TYF81" s="0"/>
      <c r="TYG81" s="0"/>
      <c r="TYH81" s="0"/>
      <c r="TYI81" s="0"/>
      <c r="TYJ81" s="0"/>
      <c r="TYK81" s="0"/>
      <c r="TYL81" s="0"/>
      <c r="TYM81" s="0"/>
      <c r="TYN81" s="0"/>
      <c r="TYO81" s="0"/>
      <c r="TYP81" s="0"/>
      <c r="TYQ81" s="0"/>
      <c r="TYR81" s="0"/>
      <c r="TYS81" s="0"/>
      <c r="TYT81" s="0"/>
      <c r="TYU81" s="0"/>
      <c r="TYV81" s="0"/>
      <c r="TYW81" s="0"/>
      <c r="TYX81" s="0"/>
      <c r="TYY81" s="0"/>
      <c r="TYZ81" s="0"/>
      <c r="TZA81" s="0"/>
      <c r="TZB81" s="0"/>
      <c r="TZC81" s="0"/>
      <c r="TZD81" s="0"/>
      <c r="TZE81" s="0"/>
      <c r="TZF81" s="0"/>
      <c r="TZG81" s="0"/>
      <c r="TZH81" s="0"/>
      <c r="TZI81" s="0"/>
      <c r="TZJ81" s="0"/>
      <c r="TZK81" s="0"/>
      <c r="TZL81" s="0"/>
      <c r="TZM81" s="0"/>
      <c r="TZN81" s="0"/>
      <c r="TZO81" s="0"/>
      <c r="TZP81" s="0"/>
      <c r="TZQ81" s="0"/>
      <c r="TZR81" s="0"/>
      <c r="TZS81" s="0"/>
      <c r="TZT81" s="0"/>
      <c r="TZU81" s="0"/>
      <c r="TZV81" s="0"/>
      <c r="TZW81" s="0"/>
      <c r="TZX81" s="0"/>
      <c r="TZY81" s="0"/>
      <c r="TZZ81" s="0"/>
      <c r="UAA81" s="0"/>
      <c r="UAB81" s="0"/>
      <c r="UAC81" s="0"/>
      <c r="UAD81" s="0"/>
      <c r="UAE81" s="0"/>
      <c r="UAF81" s="0"/>
      <c r="UAG81" s="0"/>
      <c r="UAH81" s="0"/>
      <c r="UAI81" s="0"/>
      <c r="UAJ81" s="0"/>
      <c r="UAK81" s="0"/>
      <c r="UAL81" s="0"/>
      <c r="UAM81" s="0"/>
      <c r="UAN81" s="0"/>
      <c r="UAO81" s="0"/>
      <c r="UAP81" s="0"/>
      <c r="UAQ81" s="0"/>
      <c r="UAR81" s="0"/>
      <c r="UAS81" s="0"/>
      <c r="UAT81" s="0"/>
      <c r="UAU81" s="0"/>
      <c r="UAV81" s="0"/>
      <c r="UAW81" s="0"/>
      <c r="UAX81" s="0"/>
      <c r="UAY81" s="0"/>
      <c r="UAZ81" s="0"/>
      <c r="UBA81" s="0"/>
      <c r="UBB81" s="0"/>
      <c r="UBC81" s="0"/>
      <c r="UBD81" s="0"/>
      <c r="UBE81" s="0"/>
      <c r="UBF81" s="0"/>
      <c r="UBG81" s="0"/>
      <c r="UBH81" s="0"/>
      <c r="UBI81" s="0"/>
      <c r="UBJ81" s="0"/>
      <c r="UBK81" s="0"/>
      <c r="UBL81" s="0"/>
      <c r="UBM81" s="0"/>
      <c r="UBN81" s="0"/>
      <c r="UBO81" s="0"/>
      <c r="UBP81" s="0"/>
      <c r="UBQ81" s="0"/>
      <c r="UBR81" s="0"/>
      <c r="UBS81" s="0"/>
      <c r="UBT81" s="0"/>
      <c r="UBU81" s="0"/>
      <c r="UBV81" s="0"/>
      <c r="UBW81" s="0"/>
      <c r="UBX81" s="0"/>
      <c r="UBY81" s="0"/>
      <c r="UBZ81" s="0"/>
      <c r="UCA81" s="0"/>
      <c r="UCB81" s="0"/>
      <c r="UCC81" s="0"/>
      <c r="UCD81" s="0"/>
      <c r="UCE81" s="0"/>
      <c r="UCF81" s="0"/>
      <c r="UCG81" s="0"/>
      <c r="UCH81" s="0"/>
      <c r="UCI81" s="0"/>
      <c r="UCJ81" s="0"/>
      <c r="UCK81" s="0"/>
      <c r="UCL81" s="0"/>
      <c r="UCM81" s="0"/>
      <c r="UCN81" s="0"/>
      <c r="UCO81" s="0"/>
      <c r="UCP81" s="0"/>
      <c r="UCQ81" s="0"/>
      <c r="UCR81" s="0"/>
      <c r="UCS81" s="0"/>
      <c r="UCT81" s="0"/>
      <c r="UCU81" s="0"/>
      <c r="UCV81" s="0"/>
      <c r="UCW81" s="0"/>
      <c r="UCX81" s="0"/>
      <c r="UCY81" s="0"/>
      <c r="UCZ81" s="0"/>
      <c r="UDA81" s="0"/>
      <c r="UDB81" s="0"/>
      <c r="UDC81" s="0"/>
      <c r="UDD81" s="0"/>
      <c r="UDE81" s="0"/>
      <c r="UDF81" s="0"/>
      <c r="UDG81" s="0"/>
      <c r="UDH81" s="0"/>
      <c r="UDI81" s="0"/>
      <c r="UDJ81" s="0"/>
      <c r="UDK81" s="0"/>
      <c r="UDL81" s="0"/>
      <c r="UDM81" s="0"/>
      <c r="UDN81" s="0"/>
      <c r="UDO81" s="0"/>
      <c r="UDP81" s="0"/>
      <c r="UDQ81" s="0"/>
      <c r="UDR81" s="0"/>
      <c r="UDS81" s="0"/>
      <c r="UDT81" s="0"/>
      <c r="UDU81" s="0"/>
      <c r="UDV81" s="0"/>
      <c r="UDW81" s="0"/>
      <c r="UDX81" s="0"/>
      <c r="UDY81" s="0"/>
      <c r="UDZ81" s="0"/>
      <c r="UEA81" s="0"/>
      <c r="UEB81" s="0"/>
      <c r="UEC81" s="0"/>
      <c r="UED81" s="0"/>
      <c r="UEE81" s="0"/>
      <c r="UEF81" s="0"/>
      <c r="UEG81" s="0"/>
      <c r="UEH81" s="0"/>
      <c r="UEI81" s="0"/>
      <c r="UEJ81" s="0"/>
      <c r="UEK81" s="0"/>
      <c r="UEL81" s="0"/>
      <c r="UEM81" s="0"/>
      <c r="UEN81" s="0"/>
      <c r="UEO81" s="0"/>
      <c r="UEP81" s="0"/>
      <c r="UEQ81" s="0"/>
      <c r="UER81" s="0"/>
      <c r="UES81" s="0"/>
      <c r="UET81" s="0"/>
      <c r="UEU81" s="0"/>
      <c r="UEV81" s="0"/>
      <c r="UEW81" s="0"/>
      <c r="UEX81" s="0"/>
      <c r="UEY81" s="0"/>
      <c r="UEZ81" s="0"/>
      <c r="UFA81" s="0"/>
      <c r="UFB81" s="0"/>
      <c r="UFC81" s="0"/>
      <c r="UFD81" s="0"/>
      <c r="UFE81" s="0"/>
      <c r="UFF81" s="0"/>
      <c r="UFG81" s="0"/>
      <c r="UFH81" s="0"/>
      <c r="UFI81" s="0"/>
      <c r="UFJ81" s="0"/>
      <c r="UFK81" s="0"/>
      <c r="UFL81" s="0"/>
      <c r="UFM81" s="0"/>
      <c r="UFN81" s="0"/>
      <c r="UFO81" s="0"/>
      <c r="UFP81" s="0"/>
      <c r="UFQ81" s="0"/>
      <c r="UFR81" s="0"/>
      <c r="UFS81" s="0"/>
      <c r="UFT81" s="0"/>
      <c r="UFU81" s="0"/>
      <c r="UFV81" s="0"/>
      <c r="UFW81" s="0"/>
      <c r="UFX81" s="0"/>
      <c r="UFY81" s="0"/>
      <c r="UFZ81" s="0"/>
      <c r="UGA81" s="0"/>
      <c r="UGB81" s="0"/>
      <c r="UGC81" s="0"/>
      <c r="UGD81" s="0"/>
      <c r="UGE81" s="0"/>
      <c r="UGF81" s="0"/>
      <c r="UGG81" s="0"/>
      <c r="UGH81" s="0"/>
      <c r="UGI81" s="0"/>
      <c r="UGJ81" s="0"/>
      <c r="UGK81" s="0"/>
      <c r="UGL81" s="0"/>
      <c r="UGM81" s="0"/>
      <c r="UGN81" s="0"/>
      <c r="UGO81" s="0"/>
      <c r="UGP81" s="0"/>
      <c r="UGQ81" s="0"/>
      <c r="UGR81" s="0"/>
      <c r="UGS81" s="0"/>
      <c r="UGT81" s="0"/>
      <c r="UGU81" s="0"/>
      <c r="UGV81" s="0"/>
      <c r="UGW81" s="0"/>
      <c r="UGX81" s="0"/>
      <c r="UGY81" s="0"/>
      <c r="UGZ81" s="0"/>
      <c r="UHA81" s="0"/>
      <c r="UHB81" s="0"/>
      <c r="UHC81" s="0"/>
      <c r="UHD81" s="0"/>
      <c r="UHE81" s="0"/>
      <c r="UHF81" s="0"/>
      <c r="UHG81" s="0"/>
      <c r="UHH81" s="0"/>
      <c r="UHI81" s="0"/>
      <c r="UHJ81" s="0"/>
      <c r="UHK81" s="0"/>
      <c r="UHL81" s="0"/>
      <c r="UHM81" s="0"/>
      <c r="UHN81" s="0"/>
      <c r="UHO81" s="0"/>
      <c r="UHP81" s="0"/>
      <c r="UHQ81" s="0"/>
      <c r="UHR81" s="0"/>
      <c r="UHS81" s="0"/>
      <c r="UHT81" s="0"/>
      <c r="UHU81" s="0"/>
      <c r="UHV81" s="0"/>
      <c r="UHW81" s="0"/>
      <c r="UHX81" s="0"/>
      <c r="UHY81" s="0"/>
      <c r="UHZ81" s="0"/>
      <c r="UIA81" s="0"/>
      <c r="UIB81" s="0"/>
      <c r="UIC81" s="0"/>
      <c r="UID81" s="0"/>
      <c r="UIE81" s="0"/>
      <c r="UIF81" s="0"/>
      <c r="UIG81" s="0"/>
      <c r="UIH81" s="0"/>
      <c r="UII81" s="0"/>
      <c r="UIJ81" s="0"/>
      <c r="UIK81" s="0"/>
      <c r="UIL81" s="0"/>
      <c r="UIM81" s="0"/>
      <c r="UIN81" s="0"/>
      <c r="UIO81" s="0"/>
      <c r="UIP81" s="0"/>
      <c r="UIQ81" s="0"/>
      <c r="UIR81" s="0"/>
      <c r="UIS81" s="0"/>
      <c r="UIT81" s="0"/>
      <c r="UIU81" s="0"/>
      <c r="UIV81" s="0"/>
      <c r="UIW81" s="0"/>
      <c r="UIX81" s="0"/>
      <c r="UIY81" s="0"/>
      <c r="UIZ81" s="0"/>
      <c r="UJA81" s="0"/>
      <c r="UJB81" s="0"/>
      <c r="UJC81" s="0"/>
      <c r="UJD81" s="0"/>
      <c r="UJE81" s="0"/>
      <c r="UJF81" s="0"/>
      <c r="UJG81" s="0"/>
      <c r="UJH81" s="0"/>
      <c r="UJI81" s="0"/>
      <c r="UJJ81" s="0"/>
      <c r="UJK81" s="0"/>
      <c r="UJL81" s="0"/>
      <c r="UJM81" s="0"/>
      <c r="UJN81" s="0"/>
      <c r="UJO81" s="0"/>
      <c r="UJP81" s="0"/>
      <c r="UJQ81" s="0"/>
      <c r="UJR81" s="0"/>
      <c r="UJS81" s="0"/>
      <c r="UJT81" s="0"/>
      <c r="UJU81" s="0"/>
      <c r="UJV81" s="0"/>
      <c r="UJW81" s="0"/>
      <c r="UJX81" s="0"/>
      <c r="UJY81" s="0"/>
      <c r="UJZ81" s="0"/>
      <c r="UKA81" s="0"/>
      <c r="UKB81" s="0"/>
      <c r="UKC81" s="0"/>
      <c r="UKD81" s="0"/>
      <c r="UKE81" s="0"/>
      <c r="UKF81" s="0"/>
      <c r="UKG81" s="0"/>
      <c r="UKH81" s="0"/>
      <c r="UKI81" s="0"/>
      <c r="UKJ81" s="0"/>
      <c r="UKK81" s="0"/>
      <c r="UKL81" s="0"/>
      <c r="UKM81" s="0"/>
      <c r="UKN81" s="0"/>
      <c r="UKO81" s="0"/>
      <c r="UKP81" s="0"/>
      <c r="UKQ81" s="0"/>
      <c r="UKR81" s="0"/>
      <c r="UKS81" s="0"/>
      <c r="UKT81" s="0"/>
      <c r="UKU81" s="0"/>
      <c r="UKV81" s="0"/>
      <c r="UKW81" s="0"/>
      <c r="UKX81" s="0"/>
      <c r="UKY81" s="0"/>
      <c r="UKZ81" s="0"/>
      <c r="ULA81" s="0"/>
      <c r="ULB81" s="0"/>
      <c r="ULC81" s="0"/>
      <c r="ULD81" s="0"/>
      <c r="ULE81" s="0"/>
      <c r="ULF81" s="0"/>
      <c r="ULG81" s="0"/>
      <c r="ULH81" s="0"/>
      <c r="ULI81" s="0"/>
      <c r="ULJ81" s="0"/>
      <c r="ULK81" s="0"/>
      <c r="ULL81" s="0"/>
      <c r="ULM81" s="0"/>
      <c r="ULN81" s="0"/>
      <c r="ULO81" s="0"/>
      <c r="ULP81" s="0"/>
      <c r="ULQ81" s="0"/>
      <c r="ULR81" s="0"/>
      <c r="ULS81" s="0"/>
      <c r="ULT81" s="0"/>
      <c r="ULU81" s="0"/>
      <c r="ULV81" s="0"/>
      <c r="ULW81" s="0"/>
      <c r="ULX81" s="0"/>
      <c r="ULY81" s="0"/>
      <c r="ULZ81" s="0"/>
      <c r="UMA81" s="0"/>
      <c r="UMB81" s="0"/>
      <c r="UMC81" s="0"/>
      <c r="UMD81" s="0"/>
      <c r="UME81" s="0"/>
      <c r="UMF81" s="0"/>
      <c r="UMG81" s="0"/>
      <c r="UMH81" s="0"/>
      <c r="UMI81" s="0"/>
      <c r="UMJ81" s="0"/>
      <c r="UMK81" s="0"/>
      <c r="UML81" s="0"/>
      <c r="UMM81" s="0"/>
      <c r="UMN81" s="0"/>
      <c r="UMO81" s="0"/>
      <c r="UMP81" s="0"/>
      <c r="UMQ81" s="0"/>
      <c r="UMR81" s="0"/>
      <c r="UMS81" s="0"/>
      <c r="UMT81" s="0"/>
      <c r="UMU81" s="0"/>
      <c r="UMV81" s="0"/>
      <c r="UMW81" s="0"/>
      <c r="UMX81" s="0"/>
      <c r="UMY81" s="0"/>
      <c r="UMZ81" s="0"/>
      <c r="UNA81" s="0"/>
      <c r="UNB81" s="0"/>
      <c r="UNC81" s="0"/>
      <c r="UND81" s="0"/>
      <c r="UNE81" s="0"/>
      <c r="UNF81" s="0"/>
      <c r="UNG81" s="0"/>
      <c r="UNH81" s="0"/>
      <c r="UNI81" s="0"/>
      <c r="UNJ81" s="0"/>
      <c r="UNK81" s="0"/>
      <c r="UNL81" s="0"/>
      <c r="UNM81" s="0"/>
      <c r="UNN81" s="0"/>
      <c r="UNO81" s="0"/>
      <c r="UNP81" s="0"/>
      <c r="UNQ81" s="0"/>
      <c r="UNR81" s="0"/>
      <c r="UNS81" s="0"/>
      <c r="UNT81" s="0"/>
      <c r="UNU81" s="0"/>
      <c r="UNV81" s="0"/>
      <c r="UNW81" s="0"/>
      <c r="UNX81" s="0"/>
      <c r="UNY81" s="0"/>
      <c r="UNZ81" s="0"/>
      <c r="UOA81" s="0"/>
      <c r="UOB81" s="0"/>
      <c r="UOC81" s="0"/>
      <c r="UOD81" s="0"/>
      <c r="UOE81" s="0"/>
      <c r="UOF81" s="0"/>
      <c r="UOG81" s="0"/>
      <c r="UOH81" s="0"/>
      <c r="UOI81" s="0"/>
      <c r="UOJ81" s="0"/>
      <c r="UOK81" s="0"/>
      <c r="UOL81" s="0"/>
      <c r="UOM81" s="0"/>
      <c r="UON81" s="0"/>
      <c r="UOO81" s="0"/>
      <c r="UOP81" s="0"/>
      <c r="UOQ81" s="0"/>
      <c r="UOR81" s="0"/>
      <c r="UOS81" s="0"/>
      <c r="UOT81" s="0"/>
      <c r="UOU81" s="0"/>
      <c r="UOV81" s="0"/>
      <c r="UOW81" s="0"/>
      <c r="UOX81" s="0"/>
      <c r="UOY81" s="0"/>
      <c r="UOZ81" s="0"/>
      <c r="UPA81" s="0"/>
      <c r="UPB81" s="0"/>
      <c r="UPC81" s="0"/>
      <c r="UPD81" s="0"/>
      <c r="UPE81" s="0"/>
      <c r="UPF81" s="0"/>
      <c r="UPG81" s="0"/>
      <c r="UPH81" s="0"/>
      <c r="UPI81" s="0"/>
      <c r="UPJ81" s="0"/>
      <c r="UPK81" s="0"/>
      <c r="UPL81" s="0"/>
      <c r="UPM81" s="0"/>
      <c r="UPN81" s="0"/>
      <c r="UPO81" s="0"/>
      <c r="UPP81" s="0"/>
      <c r="UPQ81" s="0"/>
      <c r="UPR81" s="0"/>
      <c r="UPS81" s="0"/>
      <c r="UPT81" s="0"/>
      <c r="UPU81" s="0"/>
      <c r="UPV81" s="0"/>
      <c r="UPW81" s="0"/>
      <c r="UPX81" s="0"/>
      <c r="UPY81" s="0"/>
      <c r="UPZ81" s="0"/>
      <c r="UQA81" s="0"/>
      <c r="UQB81" s="0"/>
      <c r="UQC81" s="0"/>
      <c r="UQD81" s="0"/>
      <c r="UQE81" s="0"/>
      <c r="UQF81" s="0"/>
      <c r="UQG81" s="0"/>
      <c r="UQH81" s="0"/>
      <c r="UQI81" s="0"/>
      <c r="UQJ81" s="0"/>
      <c r="UQK81" s="0"/>
      <c r="UQL81" s="0"/>
      <c r="UQM81" s="0"/>
      <c r="UQN81" s="0"/>
      <c r="UQO81" s="0"/>
      <c r="UQP81" s="0"/>
      <c r="UQQ81" s="0"/>
      <c r="UQR81" s="0"/>
      <c r="UQS81" s="0"/>
      <c r="UQT81" s="0"/>
      <c r="UQU81" s="0"/>
      <c r="UQV81" s="0"/>
      <c r="UQW81" s="0"/>
      <c r="UQX81" s="0"/>
      <c r="UQY81" s="0"/>
      <c r="UQZ81" s="0"/>
      <c r="URA81" s="0"/>
      <c r="URB81" s="0"/>
      <c r="URC81" s="0"/>
      <c r="URD81" s="0"/>
      <c r="URE81" s="0"/>
      <c r="URF81" s="0"/>
      <c r="URG81" s="0"/>
      <c r="URH81" s="0"/>
      <c r="URI81" s="0"/>
      <c r="URJ81" s="0"/>
      <c r="URK81" s="0"/>
      <c r="URL81" s="0"/>
      <c r="URM81" s="0"/>
      <c r="URN81" s="0"/>
      <c r="URO81" s="0"/>
      <c r="URP81" s="0"/>
      <c r="URQ81" s="0"/>
      <c r="URR81" s="0"/>
      <c r="URS81" s="0"/>
      <c r="URT81" s="0"/>
      <c r="URU81" s="0"/>
      <c r="URV81" s="0"/>
      <c r="URW81" s="0"/>
      <c r="URX81" s="0"/>
      <c r="URY81" s="0"/>
      <c r="URZ81" s="0"/>
      <c r="USA81" s="0"/>
      <c r="USB81" s="0"/>
      <c r="USC81" s="0"/>
      <c r="USD81" s="0"/>
      <c r="USE81" s="0"/>
      <c r="USF81" s="0"/>
      <c r="USG81" s="0"/>
      <c r="USH81" s="0"/>
      <c r="USI81" s="0"/>
      <c r="USJ81" s="0"/>
      <c r="USK81" s="0"/>
      <c r="USL81" s="0"/>
      <c r="USM81" s="0"/>
      <c r="USN81" s="0"/>
      <c r="USO81" s="0"/>
      <c r="USP81" s="0"/>
      <c r="USQ81" s="0"/>
      <c r="USR81" s="0"/>
      <c r="USS81" s="0"/>
      <c r="UST81" s="0"/>
      <c r="USU81" s="0"/>
      <c r="USV81" s="0"/>
      <c r="USW81" s="0"/>
      <c r="USX81" s="0"/>
      <c r="USY81" s="0"/>
      <c r="USZ81" s="0"/>
      <c r="UTA81" s="0"/>
      <c r="UTB81" s="0"/>
      <c r="UTC81" s="0"/>
      <c r="UTD81" s="0"/>
      <c r="UTE81" s="0"/>
      <c r="UTF81" s="0"/>
      <c r="UTG81" s="0"/>
      <c r="UTH81" s="0"/>
      <c r="UTI81" s="0"/>
      <c r="UTJ81" s="0"/>
      <c r="UTK81" s="0"/>
      <c r="UTL81" s="0"/>
      <c r="UTM81" s="0"/>
      <c r="UTN81" s="0"/>
      <c r="UTO81" s="0"/>
      <c r="UTP81" s="0"/>
      <c r="UTQ81" s="0"/>
      <c r="UTR81" s="0"/>
      <c r="UTS81" s="0"/>
      <c r="UTT81" s="0"/>
      <c r="UTU81" s="0"/>
      <c r="UTV81" s="0"/>
      <c r="UTW81" s="0"/>
      <c r="UTX81" s="0"/>
      <c r="UTY81" s="0"/>
      <c r="UTZ81" s="0"/>
      <c r="UUA81" s="0"/>
      <c r="UUB81" s="0"/>
      <c r="UUC81" s="0"/>
      <c r="UUD81" s="0"/>
      <c r="UUE81" s="0"/>
      <c r="UUF81" s="0"/>
      <c r="UUG81" s="0"/>
      <c r="UUH81" s="0"/>
      <c r="UUI81" s="0"/>
      <c r="UUJ81" s="0"/>
      <c r="UUK81" s="0"/>
      <c r="UUL81" s="0"/>
      <c r="UUM81" s="0"/>
      <c r="UUN81" s="0"/>
      <c r="UUO81" s="0"/>
      <c r="UUP81" s="0"/>
      <c r="UUQ81" s="0"/>
      <c r="UUR81" s="0"/>
      <c r="UUS81" s="0"/>
      <c r="UUT81" s="0"/>
      <c r="UUU81" s="0"/>
      <c r="UUV81" s="0"/>
      <c r="UUW81" s="0"/>
      <c r="UUX81" s="0"/>
      <c r="UUY81" s="0"/>
      <c r="UUZ81" s="0"/>
      <c r="UVA81" s="0"/>
      <c r="UVB81" s="0"/>
      <c r="UVC81" s="0"/>
      <c r="UVD81" s="0"/>
      <c r="UVE81" s="0"/>
      <c r="UVF81" s="0"/>
      <c r="UVG81" s="0"/>
      <c r="UVH81" s="0"/>
      <c r="UVI81" s="0"/>
      <c r="UVJ81" s="0"/>
      <c r="UVK81" s="0"/>
      <c r="UVL81" s="0"/>
      <c r="UVM81" s="0"/>
      <c r="UVN81" s="0"/>
      <c r="UVO81" s="0"/>
      <c r="UVP81" s="0"/>
      <c r="UVQ81" s="0"/>
      <c r="UVR81" s="0"/>
      <c r="UVS81" s="0"/>
      <c r="UVT81" s="0"/>
      <c r="UVU81" s="0"/>
      <c r="UVV81" s="0"/>
      <c r="UVW81" s="0"/>
      <c r="UVX81" s="0"/>
      <c r="UVY81" s="0"/>
      <c r="UVZ81" s="0"/>
      <c r="UWA81" s="0"/>
      <c r="UWB81" s="0"/>
      <c r="UWC81" s="0"/>
      <c r="UWD81" s="0"/>
      <c r="UWE81" s="0"/>
      <c r="UWF81" s="0"/>
      <c r="UWG81" s="0"/>
      <c r="UWH81" s="0"/>
      <c r="UWI81" s="0"/>
      <c r="UWJ81" s="0"/>
      <c r="UWK81" s="0"/>
      <c r="UWL81" s="0"/>
      <c r="UWM81" s="0"/>
      <c r="UWN81" s="0"/>
      <c r="UWO81" s="0"/>
      <c r="UWP81" s="0"/>
      <c r="UWQ81" s="0"/>
      <c r="UWR81" s="0"/>
      <c r="UWS81" s="0"/>
      <c r="UWT81" s="0"/>
      <c r="UWU81" s="0"/>
      <c r="UWV81" s="0"/>
      <c r="UWW81" s="0"/>
      <c r="UWX81" s="0"/>
      <c r="UWY81" s="0"/>
      <c r="UWZ81" s="0"/>
      <c r="UXA81" s="0"/>
      <c r="UXB81" s="0"/>
      <c r="UXC81" s="0"/>
      <c r="UXD81" s="0"/>
      <c r="UXE81" s="0"/>
      <c r="UXF81" s="0"/>
      <c r="UXG81" s="0"/>
      <c r="UXH81" s="0"/>
      <c r="UXI81" s="0"/>
      <c r="UXJ81" s="0"/>
      <c r="UXK81" s="0"/>
      <c r="UXL81" s="0"/>
      <c r="UXM81" s="0"/>
      <c r="UXN81" s="0"/>
      <c r="UXO81" s="0"/>
      <c r="UXP81" s="0"/>
      <c r="UXQ81" s="0"/>
      <c r="UXR81" s="0"/>
      <c r="UXS81" s="0"/>
      <c r="UXT81" s="0"/>
      <c r="UXU81" s="0"/>
      <c r="UXV81" s="0"/>
      <c r="UXW81" s="0"/>
      <c r="UXX81" s="0"/>
      <c r="UXY81" s="0"/>
      <c r="UXZ81" s="0"/>
      <c r="UYA81" s="0"/>
      <c r="UYB81" s="0"/>
      <c r="UYC81" s="0"/>
      <c r="UYD81" s="0"/>
      <c r="UYE81" s="0"/>
      <c r="UYF81" s="0"/>
      <c r="UYG81" s="0"/>
      <c r="UYH81" s="0"/>
      <c r="UYI81" s="0"/>
      <c r="UYJ81" s="0"/>
      <c r="UYK81" s="0"/>
      <c r="UYL81" s="0"/>
      <c r="UYM81" s="0"/>
      <c r="UYN81" s="0"/>
      <c r="UYO81" s="0"/>
      <c r="UYP81" s="0"/>
      <c r="UYQ81" s="0"/>
      <c r="UYR81" s="0"/>
      <c r="UYS81" s="0"/>
      <c r="UYT81" s="0"/>
      <c r="UYU81" s="0"/>
      <c r="UYV81" s="0"/>
      <c r="UYW81" s="0"/>
      <c r="UYX81" s="0"/>
      <c r="UYY81" s="0"/>
      <c r="UYZ81" s="0"/>
      <c r="UZA81" s="0"/>
      <c r="UZB81" s="0"/>
      <c r="UZC81" s="0"/>
      <c r="UZD81" s="0"/>
      <c r="UZE81" s="0"/>
      <c r="UZF81" s="0"/>
      <c r="UZG81" s="0"/>
      <c r="UZH81" s="0"/>
      <c r="UZI81" s="0"/>
      <c r="UZJ81" s="0"/>
      <c r="UZK81" s="0"/>
      <c r="UZL81" s="0"/>
      <c r="UZM81" s="0"/>
      <c r="UZN81" s="0"/>
      <c r="UZO81" s="0"/>
      <c r="UZP81" s="0"/>
      <c r="UZQ81" s="0"/>
      <c r="UZR81" s="0"/>
      <c r="UZS81" s="0"/>
      <c r="UZT81" s="0"/>
      <c r="UZU81" s="0"/>
      <c r="UZV81" s="0"/>
      <c r="UZW81" s="0"/>
      <c r="UZX81" s="0"/>
      <c r="UZY81" s="0"/>
      <c r="UZZ81" s="0"/>
      <c r="VAA81" s="0"/>
      <c r="VAB81" s="0"/>
      <c r="VAC81" s="0"/>
      <c r="VAD81" s="0"/>
      <c r="VAE81" s="0"/>
      <c r="VAF81" s="0"/>
      <c r="VAG81" s="0"/>
      <c r="VAH81" s="0"/>
      <c r="VAI81" s="0"/>
      <c r="VAJ81" s="0"/>
      <c r="VAK81" s="0"/>
      <c r="VAL81" s="0"/>
      <c r="VAM81" s="0"/>
      <c r="VAN81" s="0"/>
      <c r="VAO81" s="0"/>
      <c r="VAP81" s="0"/>
      <c r="VAQ81" s="0"/>
      <c r="VAR81" s="0"/>
      <c r="VAS81" s="0"/>
      <c r="VAT81" s="0"/>
      <c r="VAU81" s="0"/>
      <c r="VAV81" s="0"/>
      <c r="VAW81" s="0"/>
      <c r="VAX81" s="0"/>
      <c r="VAY81" s="0"/>
      <c r="VAZ81" s="0"/>
      <c r="VBA81" s="0"/>
      <c r="VBB81" s="0"/>
      <c r="VBC81" s="0"/>
      <c r="VBD81" s="0"/>
      <c r="VBE81" s="0"/>
      <c r="VBF81" s="0"/>
      <c r="VBG81" s="0"/>
      <c r="VBH81" s="0"/>
      <c r="VBI81" s="0"/>
      <c r="VBJ81" s="0"/>
      <c r="VBK81" s="0"/>
      <c r="VBL81" s="0"/>
      <c r="VBM81" s="0"/>
      <c r="VBN81" s="0"/>
      <c r="VBO81" s="0"/>
      <c r="VBP81" s="0"/>
      <c r="VBQ81" s="0"/>
      <c r="VBR81" s="0"/>
      <c r="VBS81" s="0"/>
      <c r="VBT81" s="0"/>
      <c r="VBU81" s="0"/>
      <c r="VBV81" s="0"/>
      <c r="VBW81" s="0"/>
      <c r="VBX81" s="0"/>
      <c r="VBY81" s="0"/>
      <c r="VBZ81" s="0"/>
      <c r="VCA81" s="0"/>
      <c r="VCB81" s="0"/>
      <c r="VCC81" s="0"/>
      <c r="VCD81" s="0"/>
      <c r="VCE81" s="0"/>
      <c r="VCF81" s="0"/>
      <c r="VCG81" s="0"/>
      <c r="VCH81" s="0"/>
      <c r="VCI81" s="0"/>
      <c r="VCJ81" s="0"/>
      <c r="VCK81" s="0"/>
      <c r="VCL81" s="0"/>
      <c r="VCM81" s="0"/>
      <c r="VCN81" s="0"/>
      <c r="VCO81" s="0"/>
      <c r="VCP81" s="0"/>
      <c r="VCQ81" s="0"/>
      <c r="VCR81" s="0"/>
      <c r="VCS81" s="0"/>
      <c r="VCT81" s="0"/>
      <c r="VCU81" s="0"/>
      <c r="VCV81" s="0"/>
      <c r="VCW81" s="0"/>
      <c r="VCX81" s="0"/>
      <c r="VCY81" s="0"/>
      <c r="VCZ81" s="0"/>
      <c r="VDA81" s="0"/>
      <c r="VDB81" s="0"/>
      <c r="VDC81" s="0"/>
      <c r="VDD81" s="0"/>
      <c r="VDE81" s="0"/>
      <c r="VDF81" s="0"/>
      <c r="VDG81" s="0"/>
      <c r="VDH81" s="0"/>
      <c r="VDI81" s="0"/>
      <c r="VDJ81" s="0"/>
      <c r="VDK81" s="0"/>
      <c r="VDL81" s="0"/>
      <c r="VDM81" s="0"/>
      <c r="VDN81" s="0"/>
      <c r="VDO81" s="0"/>
      <c r="VDP81" s="0"/>
      <c r="VDQ81" s="0"/>
      <c r="VDR81" s="0"/>
      <c r="VDS81" s="0"/>
      <c r="VDT81" s="0"/>
      <c r="VDU81" s="0"/>
      <c r="VDV81" s="0"/>
      <c r="VDW81" s="0"/>
      <c r="VDX81" s="0"/>
      <c r="VDY81" s="0"/>
      <c r="VDZ81" s="0"/>
      <c r="VEA81" s="0"/>
      <c r="VEB81" s="0"/>
      <c r="VEC81" s="0"/>
      <c r="VED81" s="0"/>
      <c r="VEE81" s="0"/>
      <c r="VEF81" s="0"/>
      <c r="VEG81" s="0"/>
      <c r="VEH81" s="0"/>
      <c r="VEI81" s="0"/>
      <c r="VEJ81" s="0"/>
      <c r="VEK81" s="0"/>
      <c r="VEL81" s="0"/>
      <c r="VEM81" s="0"/>
      <c r="VEN81" s="0"/>
      <c r="VEO81" s="0"/>
      <c r="VEP81" s="0"/>
      <c r="VEQ81" s="0"/>
      <c r="VER81" s="0"/>
      <c r="VES81" s="0"/>
      <c r="VET81" s="0"/>
      <c r="VEU81" s="0"/>
      <c r="VEV81" s="0"/>
      <c r="VEW81" s="0"/>
      <c r="VEX81" s="0"/>
      <c r="VEY81" s="0"/>
      <c r="VEZ81" s="0"/>
      <c r="VFA81" s="0"/>
      <c r="VFB81" s="0"/>
      <c r="VFC81" s="0"/>
      <c r="VFD81" s="0"/>
      <c r="VFE81" s="0"/>
      <c r="VFF81" s="0"/>
      <c r="VFG81" s="0"/>
      <c r="VFH81" s="0"/>
      <c r="VFI81" s="0"/>
      <c r="VFJ81" s="0"/>
      <c r="VFK81" s="0"/>
      <c r="VFL81" s="0"/>
      <c r="VFM81" s="0"/>
      <c r="VFN81" s="0"/>
      <c r="VFO81" s="0"/>
      <c r="VFP81" s="0"/>
      <c r="VFQ81" s="0"/>
      <c r="VFR81" s="0"/>
      <c r="VFS81" s="0"/>
      <c r="VFT81" s="0"/>
      <c r="VFU81" s="0"/>
      <c r="VFV81" s="0"/>
      <c r="VFW81" s="0"/>
      <c r="VFX81" s="0"/>
      <c r="VFY81" s="0"/>
      <c r="VFZ81" s="0"/>
      <c r="VGA81" s="0"/>
      <c r="VGB81" s="0"/>
      <c r="VGC81" s="0"/>
      <c r="VGD81" s="0"/>
      <c r="VGE81" s="0"/>
      <c r="VGF81" s="0"/>
      <c r="VGG81" s="0"/>
      <c r="VGH81" s="0"/>
      <c r="VGI81" s="0"/>
      <c r="VGJ81" s="0"/>
      <c r="VGK81" s="0"/>
      <c r="VGL81" s="0"/>
      <c r="VGM81" s="0"/>
      <c r="VGN81" s="0"/>
      <c r="VGO81" s="0"/>
      <c r="VGP81" s="0"/>
      <c r="VGQ81" s="0"/>
      <c r="VGR81" s="0"/>
      <c r="VGS81" s="0"/>
      <c r="VGT81" s="0"/>
      <c r="VGU81" s="0"/>
      <c r="VGV81" s="0"/>
      <c r="VGW81" s="0"/>
      <c r="VGX81" s="0"/>
      <c r="VGY81" s="0"/>
      <c r="VGZ81" s="0"/>
      <c r="VHA81" s="0"/>
      <c r="VHB81" s="0"/>
      <c r="VHC81" s="0"/>
      <c r="VHD81" s="0"/>
      <c r="VHE81" s="0"/>
      <c r="VHF81" s="0"/>
      <c r="VHG81" s="0"/>
      <c r="VHH81" s="0"/>
      <c r="VHI81" s="0"/>
      <c r="VHJ81" s="0"/>
      <c r="VHK81" s="0"/>
      <c r="VHL81" s="0"/>
      <c r="VHM81" s="0"/>
      <c r="VHN81" s="0"/>
      <c r="VHO81" s="0"/>
      <c r="VHP81" s="0"/>
      <c r="VHQ81" s="0"/>
      <c r="VHR81" s="0"/>
      <c r="VHS81" s="0"/>
      <c r="VHT81" s="0"/>
      <c r="VHU81" s="0"/>
      <c r="VHV81" s="0"/>
      <c r="VHW81" s="0"/>
      <c r="VHX81" s="0"/>
      <c r="VHY81" s="0"/>
      <c r="VHZ81" s="0"/>
      <c r="VIA81" s="0"/>
      <c r="VIB81" s="0"/>
      <c r="VIC81" s="0"/>
      <c r="VID81" s="0"/>
      <c r="VIE81" s="0"/>
      <c r="VIF81" s="0"/>
      <c r="VIG81" s="0"/>
      <c r="VIH81" s="0"/>
      <c r="VII81" s="0"/>
      <c r="VIJ81" s="0"/>
      <c r="VIK81" s="0"/>
      <c r="VIL81" s="0"/>
      <c r="VIM81" s="0"/>
      <c r="VIN81" s="0"/>
      <c r="VIO81" s="0"/>
      <c r="VIP81" s="0"/>
      <c r="VIQ81" s="0"/>
      <c r="VIR81" s="0"/>
      <c r="VIS81" s="0"/>
      <c r="VIT81" s="0"/>
      <c r="VIU81" s="0"/>
      <c r="VIV81" s="0"/>
      <c r="VIW81" s="0"/>
      <c r="VIX81" s="0"/>
      <c r="VIY81" s="0"/>
      <c r="VIZ81" s="0"/>
      <c r="VJA81" s="0"/>
      <c r="VJB81" s="0"/>
      <c r="VJC81" s="0"/>
      <c r="VJD81" s="0"/>
      <c r="VJE81" s="0"/>
      <c r="VJF81" s="0"/>
      <c r="VJG81" s="0"/>
      <c r="VJH81" s="0"/>
      <c r="VJI81" s="0"/>
      <c r="VJJ81" s="0"/>
      <c r="VJK81" s="0"/>
      <c r="VJL81" s="0"/>
      <c r="VJM81" s="0"/>
      <c r="VJN81" s="0"/>
      <c r="VJO81" s="0"/>
      <c r="VJP81" s="0"/>
      <c r="VJQ81" s="0"/>
      <c r="VJR81" s="0"/>
      <c r="VJS81" s="0"/>
      <c r="VJT81" s="0"/>
      <c r="VJU81" s="0"/>
      <c r="VJV81" s="0"/>
      <c r="VJW81" s="0"/>
      <c r="VJX81" s="0"/>
      <c r="VJY81" s="0"/>
      <c r="VJZ81" s="0"/>
      <c r="VKA81" s="0"/>
      <c r="VKB81" s="0"/>
      <c r="VKC81" s="0"/>
      <c r="VKD81" s="0"/>
      <c r="VKE81" s="0"/>
      <c r="VKF81" s="0"/>
      <c r="VKG81" s="0"/>
      <c r="VKH81" s="0"/>
      <c r="VKI81" s="0"/>
      <c r="VKJ81" s="0"/>
      <c r="VKK81" s="0"/>
      <c r="VKL81" s="0"/>
      <c r="VKM81" s="0"/>
      <c r="VKN81" s="0"/>
      <c r="VKO81" s="0"/>
      <c r="VKP81" s="0"/>
      <c r="VKQ81" s="0"/>
      <c r="VKR81" s="0"/>
      <c r="VKS81" s="0"/>
      <c r="VKT81" s="0"/>
      <c r="VKU81" s="0"/>
      <c r="VKV81" s="0"/>
      <c r="VKW81" s="0"/>
      <c r="VKX81" s="0"/>
      <c r="VKY81" s="0"/>
      <c r="VKZ81" s="0"/>
      <c r="VLA81" s="0"/>
      <c r="VLB81" s="0"/>
      <c r="VLC81" s="0"/>
      <c r="VLD81" s="0"/>
      <c r="VLE81" s="0"/>
      <c r="VLF81" s="0"/>
      <c r="VLG81" s="0"/>
      <c r="VLH81" s="0"/>
      <c r="VLI81" s="0"/>
      <c r="VLJ81" s="0"/>
      <c r="VLK81" s="0"/>
      <c r="VLL81" s="0"/>
      <c r="VLM81" s="0"/>
      <c r="VLN81" s="0"/>
      <c r="VLO81" s="0"/>
      <c r="VLP81" s="0"/>
      <c r="VLQ81" s="0"/>
      <c r="VLR81" s="0"/>
      <c r="VLS81" s="0"/>
      <c r="VLT81" s="0"/>
      <c r="VLU81" s="0"/>
      <c r="VLV81" s="0"/>
      <c r="VLW81" s="0"/>
      <c r="VLX81" s="0"/>
      <c r="VLY81" s="0"/>
      <c r="VLZ81" s="0"/>
      <c r="VMA81" s="0"/>
      <c r="VMB81" s="0"/>
      <c r="VMC81" s="0"/>
      <c r="VMD81" s="0"/>
      <c r="VME81" s="0"/>
      <c r="VMF81" s="0"/>
      <c r="VMG81" s="0"/>
      <c r="VMH81" s="0"/>
      <c r="VMI81" s="0"/>
      <c r="VMJ81" s="0"/>
      <c r="VMK81" s="0"/>
      <c r="VML81" s="0"/>
      <c r="VMM81" s="0"/>
      <c r="VMN81" s="0"/>
      <c r="VMO81" s="0"/>
      <c r="VMP81" s="0"/>
      <c r="VMQ81" s="0"/>
      <c r="VMR81" s="0"/>
      <c r="VMS81" s="0"/>
      <c r="VMT81" s="0"/>
      <c r="VMU81" s="0"/>
      <c r="VMV81" s="0"/>
      <c r="VMW81" s="0"/>
      <c r="VMX81" s="0"/>
      <c r="VMY81" s="0"/>
      <c r="VMZ81" s="0"/>
      <c r="VNA81" s="0"/>
      <c r="VNB81" s="0"/>
      <c r="VNC81" s="0"/>
      <c r="VND81" s="0"/>
      <c r="VNE81" s="0"/>
      <c r="VNF81" s="0"/>
      <c r="VNG81" s="0"/>
      <c r="VNH81" s="0"/>
      <c r="VNI81" s="0"/>
      <c r="VNJ81" s="0"/>
      <c r="VNK81" s="0"/>
      <c r="VNL81" s="0"/>
      <c r="VNM81" s="0"/>
      <c r="VNN81" s="0"/>
      <c r="VNO81" s="0"/>
      <c r="VNP81" s="0"/>
      <c r="VNQ81" s="0"/>
      <c r="VNR81" s="0"/>
      <c r="VNS81" s="0"/>
      <c r="VNT81" s="0"/>
      <c r="VNU81" s="0"/>
      <c r="VNV81" s="0"/>
      <c r="VNW81" s="0"/>
      <c r="VNX81" s="0"/>
      <c r="VNY81" s="0"/>
      <c r="VNZ81" s="0"/>
      <c r="VOA81" s="0"/>
      <c r="VOB81" s="0"/>
      <c r="VOC81" s="0"/>
      <c r="VOD81" s="0"/>
      <c r="VOE81" s="0"/>
      <c r="VOF81" s="0"/>
      <c r="VOG81" s="0"/>
      <c r="VOH81" s="0"/>
      <c r="VOI81" s="0"/>
      <c r="VOJ81" s="0"/>
      <c r="VOK81" s="0"/>
      <c r="VOL81" s="0"/>
      <c r="VOM81" s="0"/>
      <c r="VON81" s="0"/>
      <c r="VOO81" s="0"/>
      <c r="VOP81" s="0"/>
      <c r="VOQ81" s="0"/>
      <c r="VOR81" s="0"/>
      <c r="VOS81" s="0"/>
      <c r="VOT81" s="0"/>
      <c r="VOU81" s="0"/>
      <c r="VOV81" s="0"/>
      <c r="VOW81" s="0"/>
      <c r="VOX81" s="0"/>
      <c r="VOY81" s="0"/>
      <c r="VOZ81" s="0"/>
      <c r="VPA81" s="0"/>
      <c r="VPB81" s="0"/>
      <c r="VPC81" s="0"/>
      <c r="VPD81" s="0"/>
      <c r="VPE81" s="0"/>
      <c r="VPF81" s="0"/>
      <c r="VPG81" s="0"/>
      <c r="VPH81" s="0"/>
      <c r="VPI81" s="0"/>
      <c r="VPJ81" s="0"/>
      <c r="VPK81" s="0"/>
      <c r="VPL81" s="0"/>
      <c r="VPM81" s="0"/>
      <c r="VPN81" s="0"/>
      <c r="VPO81" s="0"/>
      <c r="VPP81" s="0"/>
      <c r="VPQ81" s="0"/>
      <c r="VPR81" s="0"/>
      <c r="VPS81" s="0"/>
      <c r="VPT81" s="0"/>
      <c r="VPU81" s="0"/>
      <c r="VPV81" s="0"/>
      <c r="VPW81" s="0"/>
      <c r="VPX81" s="0"/>
      <c r="VPY81" s="0"/>
      <c r="VPZ81" s="0"/>
      <c r="VQA81" s="0"/>
      <c r="VQB81" s="0"/>
      <c r="VQC81" s="0"/>
      <c r="VQD81" s="0"/>
      <c r="VQE81" s="0"/>
      <c r="VQF81" s="0"/>
      <c r="VQG81" s="0"/>
      <c r="VQH81" s="0"/>
      <c r="VQI81" s="0"/>
      <c r="VQJ81" s="0"/>
      <c r="VQK81" s="0"/>
      <c r="VQL81" s="0"/>
      <c r="VQM81" s="0"/>
      <c r="VQN81" s="0"/>
      <c r="VQO81" s="0"/>
      <c r="VQP81" s="0"/>
      <c r="VQQ81" s="0"/>
      <c r="VQR81" s="0"/>
      <c r="VQS81" s="0"/>
      <c r="VQT81" s="0"/>
      <c r="VQU81" s="0"/>
      <c r="VQV81" s="0"/>
      <c r="VQW81" s="0"/>
      <c r="VQX81" s="0"/>
      <c r="VQY81" s="0"/>
      <c r="VQZ81" s="0"/>
      <c r="VRA81" s="0"/>
      <c r="VRB81" s="0"/>
      <c r="VRC81" s="0"/>
      <c r="VRD81" s="0"/>
      <c r="VRE81" s="0"/>
      <c r="VRF81" s="0"/>
      <c r="VRG81" s="0"/>
      <c r="VRH81" s="0"/>
      <c r="VRI81" s="0"/>
      <c r="VRJ81" s="0"/>
      <c r="VRK81" s="0"/>
      <c r="VRL81" s="0"/>
      <c r="VRM81" s="0"/>
      <c r="VRN81" s="0"/>
      <c r="VRO81" s="0"/>
      <c r="VRP81" s="0"/>
      <c r="VRQ81" s="0"/>
      <c r="VRR81" s="0"/>
      <c r="VRS81" s="0"/>
      <c r="VRT81" s="0"/>
      <c r="VRU81" s="0"/>
      <c r="VRV81" s="0"/>
      <c r="VRW81" s="0"/>
      <c r="VRX81" s="0"/>
      <c r="VRY81" s="0"/>
      <c r="VRZ81" s="0"/>
      <c r="VSA81" s="0"/>
      <c r="VSB81" s="0"/>
      <c r="VSC81" s="0"/>
      <c r="VSD81" s="0"/>
      <c r="VSE81" s="0"/>
      <c r="VSF81" s="0"/>
      <c r="VSG81" s="0"/>
      <c r="VSH81" s="0"/>
      <c r="VSI81" s="0"/>
      <c r="VSJ81" s="0"/>
      <c r="VSK81" s="0"/>
      <c r="VSL81" s="0"/>
      <c r="VSM81" s="0"/>
      <c r="VSN81" s="0"/>
      <c r="VSO81" s="0"/>
      <c r="VSP81" s="0"/>
      <c r="VSQ81" s="0"/>
      <c r="VSR81" s="0"/>
      <c r="VSS81" s="0"/>
      <c r="VST81" s="0"/>
      <c r="VSU81" s="0"/>
      <c r="VSV81" s="0"/>
      <c r="VSW81" s="0"/>
      <c r="VSX81" s="0"/>
      <c r="VSY81" s="0"/>
      <c r="VSZ81" s="0"/>
      <c r="VTA81" s="0"/>
      <c r="VTB81" s="0"/>
      <c r="VTC81" s="0"/>
      <c r="VTD81" s="0"/>
      <c r="VTE81" s="0"/>
      <c r="VTF81" s="0"/>
      <c r="VTG81" s="0"/>
      <c r="VTH81" s="0"/>
      <c r="VTI81" s="0"/>
      <c r="VTJ81" s="0"/>
      <c r="VTK81" s="0"/>
      <c r="VTL81" s="0"/>
      <c r="VTM81" s="0"/>
      <c r="VTN81" s="0"/>
      <c r="VTO81" s="0"/>
      <c r="VTP81" s="0"/>
      <c r="VTQ81" s="0"/>
      <c r="VTR81" s="0"/>
      <c r="VTS81" s="0"/>
      <c r="VTT81" s="0"/>
      <c r="VTU81" s="0"/>
      <c r="VTV81" s="0"/>
      <c r="VTW81" s="0"/>
      <c r="VTX81" s="0"/>
      <c r="VTY81" s="0"/>
      <c r="VTZ81" s="0"/>
      <c r="VUA81" s="0"/>
      <c r="VUB81" s="0"/>
      <c r="VUC81" s="0"/>
      <c r="VUD81" s="0"/>
      <c r="VUE81" s="0"/>
      <c r="VUF81" s="0"/>
      <c r="VUG81" s="0"/>
      <c r="VUH81" s="0"/>
      <c r="VUI81" s="0"/>
      <c r="VUJ81" s="0"/>
      <c r="VUK81" s="0"/>
      <c r="VUL81" s="0"/>
      <c r="VUM81" s="0"/>
      <c r="VUN81" s="0"/>
      <c r="VUO81" s="0"/>
      <c r="VUP81" s="0"/>
      <c r="VUQ81" s="0"/>
      <c r="VUR81" s="0"/>
      <c r="VUS81" s="0"/>
      <c r="VUT81" s="0"/>
      <c r="VUU81" s="0"/>
      <c r="VUV81" s="0"/>
      <c r="VUW81" s="0"/>
      <c r="VUX81" s="0"/>
      <c r="VUY81" s="0"/>
      <c r="VUZ81" s="0"/>
      <c r="VVA81" s="0"/>
      <c r="VVB81" s="0"/>
      <c r="VVC81" s="0"/>
      <c r="VVD81" s="0"/>
      <c r="VVE81" s="0"/>
      <c r="VVF81" s="0"/>
      <c r="VVG81" s="0"/>
      <c r="VVH81" s="0"/>
      <c r="VVI81" s="0"/>
      <c r="VVJ81" s="0"/>
      <c r="VVK81" s="0"/>
      <c r="VVL81" s="0"/>
      <c r="VVM81" s="0"/>
      <c r="VVN81" s="0"/>
      <c r="VVO81" s="0"/>
      <c r="VVP81" s="0"/>
      <c r="VVQ81" s="0"/>
      <c r="VVR81" s="0"/>
      <c r="VVS81" s="0"/>
      <c r="VVT81" s="0"/>
      <c r="VVU81" s="0"/>
      <c r="VVV81" s="0"/>
      <c r="VVW81" s="0"/>
      <c r="VVX81" s="0"/>
      <c r="VVY81" s="0"/>
      <c r="VVZ81" s="0"/>
      <c r="VWA81" s="0"/>
      <c r="VWB81" s="0"/>
      <c r="VWC81" s="0"/>
      <c r="VWD81" s="0"/>
      <c r="VWE81" s="0"/>
      <c r="VWF81" s="0"/>
      <c r="VWG81" s="0"/>
      <c r="VWH81" s="0"/>
      <c r="VWI81" s="0"/>
      <c r="VWJ81" s="0"/>
      <c r="VWK81" s="0"/>
      <c r="VWL81" s="0"/>
      <c r="VWM81" s="0"/>
      <c r="VWN81" s="0"/>
      <c r="VWO81" s="0"/>
      <c r="VWP81" s="0"/>
      <c r="VWQ81" s="0"/>
      <c r="VWR81" s="0"/>
      <c r="VWS81" s="0"/>
      <c r="VWT81" s="0"/>
      <c r="VWU81" s="0"/>
      <c r="VWV81" s="0"/>
      <c r="VWW81" s="0"/>
      <c r="VWX81" s="0"/>
      <c r="VWY81" s="0"/>
      <c r="VWZ81" s="0"/>
      <c r="VXA81" s="0"/>
      <c r="VXB81" s="0"/>
      <c r="VXC81" s="0"/>
      <c r="VXD81" s="0"/>
      <c r="VXE81" s="0"/>
      <c r="VXF81" s="0"/>
      <c r="VXG81" s="0"/>
      <c r="VXH81" s="0"/>
      <c r="VXI81" s="0"/>
      <c r="VXJ81" s="0"/>
      <c r="VXK81" s="0"/>
      <c r="VXL81" s="0"/>
      <c r="VXM81" s="0"/>
      <c r="VXN81" s="0"/>
      <c r="VXO81" s="0"/>
      <c r="VXP81" s="0"/>
      <c r="VXQ81" s="0"/>
      <c r="VXR81" s="0"/>
      <c r="VXS81" s="0"/>
      <c r="VXT81" s="0"/>
      <c r="VXU81" s="0"/>
      <c r="VXV81" s="0"/>
      <c r="VXW81" s="0"/>
      <c r="VXX81" s="0"/>
      <c r="VXY81" s="0"/>
      <c r="VXZ81" s="0"/>
      <c r="VYA81" s="0"/>
      <c r="VYB81" s="0"/>
      <c r="VYC81" s="0"/>
      <c r="VYD81" s="0"/>
      <c r="VYE81" s="0"/>
      <c r="VYF81" s="0"/>
      <c r="VYG81" s="0"/>
      <c r="VYH81" s="0"/>
      <c r="VYI81" s="0"/>
      <c r="VYJ81" s="0"/>
      <c r="VYK81" s="0"/>
      <c r="VYL81" s="0"/>
      <c r="VYM81" s="0"/>
      <c r="VYN81" s="0"/>
      <c r="VYO81" s="0"/>
      <c r="VYP81" s="0"/>
      <c r="VYQ81" s="0"/>
      <c r="VYR81" s="0"/>
      <c r="VYS81" s="0"/>
      <c r="VYT81" s="0"/>
      <c r="VYU81" s="0"/>
      <c r="VYV81" s="0"/>
      <c r="VYW81" s="0"/>
      <c r="VYX81" s="0"/>
      <c r="VYY81" s="0"/>
      <c r="VYZ81" s="0"/>
      <c r="VZA81" s="0"/>
      <c r="VZB81" s="0"/>
      <c r="VZC81" s="0"/>
      <c r="VZD81" s="0"/>
      <c r="VZE81" s="0"/>
      <c r="VZF81" s="0"/>
      <c r="VZG81" s="0"/>
      <c r="VZH81" s="0"/>
      <c r="VZI81" s="0"/>
      <c r="VZJ81" s="0"/>
      <c r="VZK81" s="0"/>
      <c r="VZL81" s="0"/>
      <c r="VZM81" s="0"/>
      <c r="VZN81" s="0"/>
      <c r="VZO81" s="0"/>
      <c r="VZP81" s="0"/>
      <c r="VZQ81" s="0"/>
      <c r="VZR81" s="0"/>
      <c r="VZS81" s="0"/>
      <c r="VZT81" s="0"/>
      <c r="VZU81" s="0"/>
      <c r="VZV81" s="0"/>
      <c r="VZW81" s="0"/>
      <c r="VZX81" s="0"/>
      <c r="VZY81" s="0"/>
      <c r="VZZ81" s="0"/>
      <c r="WAA81" s="0"/>
      <c r="WAB81" s="0"/>
      <c r="WAC81" s="0"/>
      <c r="WAD81" s="0"/>
      <c r="WAE81" s="0"/>
      <c r="WAF81" s="0"/>
      <c r="WAG81" s="0"/>
      <c r="WAH81" s="0"/>
      <c r="WAI81" s="0"/>
      <c r="WAJ81" s="0"/>
      <c r="WAK81" s="0"/>
      <c r="WAL81" s="0"/>
      <c r="WAM81" s="0"/>
      <c r="WAN81" s="0"/>
      <c r="WAO81" s="0"/>
      <c r="WAP81" s="0"/>
      <c r="WAQ81" s="0"/>
      <c r="WAR81" s="0"/>
      <c r="WAS81" s="0"/>
      <c r="WAT81" s="0"/>
      <c r="WAU81" s="0"/>
      <c r="WAV81" s="0"/>
      <c r="WAW81" s="0"/>
      <c r="WAX81" s="0"/>
      <c r="WAY81" s="0"/>
      <c r="WAZ81" s="0"/>
      <c r="WBA81" s="0"/>
      <c r="WBB81" s="0"/>
      <c r="WBC81" s="0"/>
      <c r="WBD81" s="0"/>
      <c r="WBE81" s="0"/>
      <c r="WBF81" s="0"/>
      <c r="WBG81" s="0"/>
      <c r="WBH81" s="0"/>
      <c r="WBI81" s="0"/>
      <c r="WBJ81" s="0"/>
      <c r="WBK81" s="0"/>
      <c r="WBL81" s="0"/>
      <c r="WBM81" s="0"/>
      <c r="WBN81" s="0"/>
      <c r="WBO81" s="0"/>
      <c r="WBP81" s="0"/>
      <c r="WBQ81" s="0"/>
      <c r="WBR81" s="0"/>
      <c r="WBS81" s="0"/>
      <c r="WBT81" s="0"/>
      <c r="WBU81" s="0"/>
      <c r="WBV81" s="0"/>
      <c r="WBW81" s="0"/>
      <c r="WBX81" s="0"/>
      <c r="WBY81" s="0"/>
      <c r="WBZ81" s="0"/>
      <c r="WCA81" s="0"/>
      <c r="WCB81" s="0"/>
      <c r="WCC81" s="0"/>
      <c r="WCD81" s="0"/>
      <c r="WCE81" s="0"/>
      <c r="WCF81" s="0"/>
      <c r="WCG81" s="0"/>
      <c r="WCH81" s="0"/>
      <c r="WCI81" s="0"/>
      <c r="WCJ81" s="0"/>
      <c r="WCK81" s="0"/>
      <c r="WCL81" s="0"/>
      <c r="WCM81" s="0"/>
      <c r="WCN81" s="0"/>
      <c r="WCO81" s="0"/>
      <c r="WCP81" s="0"/>
      <c r="WCQ81" s="0"/>
      <c r="WCR81" s="0"/>
      <c r="WCS81" s="0"/>
      <c r="WCT81" s="0"/>
      <c r="WCU81" s="0"/>
      <c r="WCV81" s="0"/>
      <c r="WCW81" s="0"/>
      <c r="WCX81" s="0"/>
      <c r="WCY81" s="0"/>
      <c r="WCZ81" s="0"/>
      <c r="WDA81" s="0"/>
      <c r="WDB81" s="0"/>
      <c r="WDC81" s="0"/>
      <c r="WDD81" s="0"/>
      <c r="WDE81" s="0"/>
      <c r="WDF81" s="0"/>
      <c r="WDG81" s="0"/>
      <c r="WDH81" s="0"/>
      <c r="WDI81" s="0"/>
      <c r="WDJ81" s="0"/>
      <c r="WDK81" s="0"/>
      <c r="WDL81" s="0"/>
      <c r="WDM81" s="0"/>
      <c r="WDN81" s="0"/>
      <c r="WDO81" s="0"/>
      <c r="WDP81" s="0"/>
      <c r="WDQ81" s="0"/>
      <c r="WDR81" s="0"/>
      <c r="WDS81" s="0"/>
      <c r="WDT81" s="0"/>
      <c r="WDU81" s="0"/>
      <c r="WDV81" s="0"/>
      <c r="WDW81" s="0"/>
      <c r="WDX81" s="0"/>
      <c r="WDY81" s="0"/>
      <c r="WDZ81" s="0"/>
      <c r="WEA81" s="0"/>
      <c r="WEB81" s="0"/>
      <c r="WEC81" s="0"/>
      <c r="WED81" s="0"/>
      <c r="WEE81" s="0"/>
      <c r="WEF81" s="0"/>
      <c r="WEG81" s="0"/>
      <c r="WEH81" s="0"/>
      <c r="WEI81" s="0"/>
      <c r="WEJ81" s="0"/>
      <c r="WEK81" s="0"/>
      <c r="WEL81" s="0"/>
      <c r="WEM81" s="0"/>
      <c r="WEN81" s="0"/>
      <c r="WEO81" s="0"/>
      <c r="WEP81" s="0"/>
      <c r="WEQ81" s="0"/>
      <c r="WER81" s="0"/>
      <c r="WES81" s="0"/>
      <c r="WET81" s="0"/>
      <c r="WEU81" s="0"/>
      <c r="WEV81" s="0"/>
      <c r="WEW81" s="0"/>
      <c r="WEX81" s="0"/>
      <c r="WEY81" s="0"/>
      <c r="WEZ81" s="0"/>
      <c r="WFA81" s="0"/>
      <c r="WFB81" s="0"/>
      <c r="WFC81" s="0"/>
      <c r="WFD81" s="0"/>
      <c r="WFE81" s="0"/>
      <c r="WFF81" s="0"/>
      <c r="WFG81" s="0"/>
      <c r="WFH81" s="0"/>
      <c r="WFI81" s="0"/>
      <c r="WFJ81" s="0"/>
      <c r="WFK81" s="0"/>
      <c r="WFL81" s="0"/>
      <c r="WFM81" s="0"/>
      <c r="WFN81" s="0"/>
      <c r="WFO81" s="0"/>
      <c r="WFP81" s="0"/>
      <c r="WFQ81" s="0"/>
      <c r="WFR81" s="0"/>
      <c r="WFS81" s="0"/>
      <c r="WFT81" s="0"/>
      <c r="WFU81" s="0"/>
      <c r="WFV81" s="0"/>
      <c r="WFW81" s="0"/>
      <c r="WFX81" s="0"/>
      <c r="WFY81" s="0"/>
      <c r="WFZ81" s="0"/>
      <c r="WGA81" s="0"/>
      <c r="WGB81" s="0"/>
      <c r="WGC81" s="0"/>
      <c r="WGD81" s="0"/>
      <c r="WGE81" s="0"/>
      <c r="WGF81" s="0"/>
      <c r="WGG81" s="0"/>
      <c r="WGH81" s="0"/>
      <c r="WGI81" s="0"/>
      <c r="WGJ81" s="0"/>
      <c r="WGK81" s="0"/>
      <c r="WGL81" s="0"/>
      <c r="WGM81" s="0"/>
      <c r="WGN81" s="0"/>
      <c r="WGO81" s="0"/>
      <c r="WGP81" s="0"/>
      <c r="WGQ81" s="0"/>
      <c r="WGR81" s="0"/>
      <c r="WGS81" s="0"/>
      <c r="WGT81" s="0"/>
      <c r="WGU81" s="0"/>
      <c r="WGV81" s="0"/>
      <c r="WGW81" s="0"/>
      <c r="WGX81" s="0"/>
      <c r="WGY81" s="0"/>
      <c r="WGZ81" s="0"/>
      <c r="WHA81" s="0"/>
      <c r="WHB81" s="0"/>
      <c r="WHC81" s="0"/>
      <c r="WHD81" s="0"/>
      <c r="WHE81" s="0"/>
      <c r="WHF81" s="0"/>
      <c r="WHG81" s="0"/>
      <c r="WHH81" s="0"/>
      <c r="WHI81" s="0"/>
      <c r="WHJ81" s="0"/>
      <c r="WHK81" s="0"/>
      <c r="WHL81" s="0"/>
      <c r="WHM81" s="0"/>
      <c r="WHN81" s="0"/>
      <c r="WHO81" s="0"/>
      <c r="WHP81" s="0"/>
      <c r="WHQ81" s="0"/>
      <c r="WHR81" s="0"/>
      <c r="WHS81" s="0"/>
      <c r="WHT81" s="0"/>
      <c r="WHU81" s="0"/>
      <c r="WHV81" s="0"/>
      <c r="WHW81" s="0"/>
      <c r="WHX81" s="0"/>
      <c r="WHY81" s="0"/>
      <c r="WHZ81" s="0"/>
      <c r="WIA81" s="0"/>
      <c r="WIB81" s="0"/>
      <c r="WIC81" s="0"/>
      <c r="WID81" s="0"/>
      <c r="WIE81" s="0"/>
      <c r="WIF81" s="0"/>
      <c r="WIG81" s="0"/>
      <c r="WIH81" s="0"/>
      <c r="WII81" s="0"/>
      <c r="WIJ81" s="0"/>
      <c r="WIK81" s="0"/>
      <c r="WIL81" s="0"/>
      <c r="WIM81" s="0"/>
      <c r="WIN81" s="0"/>
      <c r="WIO81" s="0"/>
      <c r="WIP81" s="0"/>
      <c r="WIQ81" s="0"/>
      <c r="WIR81" s="0"/>
      <c r="WIS81" s="0"/>
      <c r="WIT81" s="0"/>
      <c r="WIU81" s="0"/>
      <c r="WIV81" s="0"/>
      <c r="WIW81" s="0"/>
      <c r="WIX81" s="0"/>
      <c r="WIY81" s="0"/>
      <c r="WIZ81" s="0"/>
      <c r="WJA81" s="0"/>
      <c r="WJB81" s="0"/>
      <c r="WJC81" s="0"/>
      <c r="WJD81" s="0"/>
      <c r="WJE81" s="0"/>
      <c r="WJF81" s="0"/>
      <c r="WJG81" s="0"/>
      <c r="WJH81" s="0"/>
      <c r="WJI81" s="0"/>
      <c r="WJJ81" s="0"/>
      <c r="WJK81" s="0"/>
      <c r="WJL81" s="0"/>
      <c r="WJM81" s="0"/>
      <c r="WJN81" s="0"/>
      <c r="WJO81" s="0"/>
      <c r="WJP81" s="0"/>
      <c r="WJQ81" s="0"/>
      <c r="WJR81" s="0"/>
      <c r="WJS81" s="0"/>
      <c r="WJT81" s="0"/>
      <c r="WJU81" s="0"/>
      <c r="WJV81" s="0"/>
      <c r="WJW81" s="0"/>
      <c r="WJX81" s="0"/>
      <c r="WJY81" s="0"/>
      <c r="WJZ81" s="0"/>
      <c r="WKA81" s="0"/>
      <c r="WKB81" s="0"/>
      <c r="WKC81" s="0"/>
      <c r="WKD81" s="0"/>
      <c r="WKE81" s="0"/>
      <c r="WKF81" s="0"/>
      <c r="WKG81" s="0"/>
      <c r="WKH81" s="0"/>
      <c r="WKI81" s="0"/>
      <c r="WKJ81" s="0"/>
      <c r="WKK81" s="0"/>
      <c r="WKL81" s="0"/>
      <c r="WKM81" s="0"/>
      <c r="WKN81" s="0"/>
      <c r="WKO81" s="0"/>
      <c r="WKP81" s="0"/>
      <c r="WKQ81" s="0"/>
      <c r="WKR81" s="0"/>
      <c r="WKS81" s="0"/>
      <c r="WKT81" s="0"/>
      <c r="WKU81" s="0"/>
      <c r="WKV81" s="0"/>
      <c r="WKW81" s="0"/>
      <c r="WKX81" s="0"/>
      <c r="WKY81" s="0"/>
      <c r="WKZ81" s="0"/>
      <c r="WLA81" s="0"/>
      <c r="WLB81" s="0"/>
      <c r="WLC81" s="0"/>
      <c r="WLD81" s="0"/>
      <c r="WLE81" s="0"/>
      <c r="WLF81" s="0"/>
      <c r="WLG81" s="0"/>
      <c r="WLH81" s="0"/>
      <c r="WLI81" s="0"/>
      <c r="WLJ81" s="0"/>
      <c r="WLK81" s="0"/>
      <c r="WLL81" s="0"/>
      <c r="WLM81" s="0"/>
      <c r="WLN81" s="0"/>
      <c r="WLO81" s="0"/>
      <c r="WLP81" s="0"/>
      <c r="WLQ81" s="0"/>
      <c r="WLR81" s="0"/>
      <c r="WLS81" s="0"/>
      <c r="WLT81" s="0"/>
      <c r="WLU81" s="0"/>
      <c r="WLV81" s="0"/>
      <c r="WLW81" s="0"/>
      <c r="WLX81" s="0"/>
      <c r="WLY81" s="0"/>
      <c r="WLZ81" s="0"/>
      <c r="WMA81" s="0"/>
      <c r="WMB81" s="0"/>
      <c r="WMC81" s="0"/>
      <c r="WMD81" s="0"/>
      <c r="WME81" s="0"/>
      <c r="WMF81" s="0"/>
      <c r="WMG81" s="0"/>
      <c r="WMH81" s="0"/>
      <c r="WMI81" s="0"/>
      <c r="WMJ81" s="0"/>
      <c r="WMK81" s="0"/>
      <c r="WML81" s="0"/>
      <c r="WMM81" s="0"/>
      <c r="WMN81" s="0"/>
      <c r="WMO81" s="0"/>
      <c r="WMP81" s="0"/>
      <c r="WMQ81" s="0"/>
      <c r="WMR81" s="0"/>
      <c r="WMS81" s="0"/>
      <c r="WMT81" s="0"/>
      <c r="WMU81" s="0"/>
      <c r="WMV81" s="0"/>
      <c r="WMW81" s="0"/>
      <c r="WMX81" s="0"/>
      <c r="WMY81" s="0"/>
      <c r="WMZ81" s="0"/>
      <c r="WNA81" s="0"/>
      <c r="WNB81" s="0"/>
      <c r="WNC81" s="0"/>
      <c r="WND81" s="0"/>
      <c r="WNE81" s="0"/>
      <c r="WNF81" s="0"/>
      <c r="WNG81" s="0"/>
      <c r="WNH81" s="0"/>
      <c r="WNI81" s="0"/>
      <c r="WNJ81" s="0"/>
      <c r="WNK81" s="0"/>
      <c r="WNL81" s="0"/>
      <c r="WNM81" s="0"/>
      <c r="WNN81" s="0"/>
      <c r="WNO81" s="0"/>
      <c r="WNP81" s="0"/>
      <c r="WNQ81" s="0"/>
      <c r="WNR81" s="0"/>
      <c r="WNS81" s="0"/>
      <c r="WNT81" s="0"/>
      <c r="WNU81" s="0"/>
      <c r="WNV81" s="0"/>
      <c r="WNW81" s="0"/>
      <c r="WNX81" s="0"/>
      <c r="WNY81" s="0"/>
      <c r="WNZ81" s="0"/>
      <c r="WOA81" s="0"/>
      <c r="WOB81" s="0"/>
      <c r="WOC81" s="0"/>
      <c r="WOD81" s="0"/>
      <c r="WOE81" s="0"/>
      <c r="WOF81" s="0"/>
      <c r="WOG81" s="0"/>
      <c r="WOH81" s="0"/>
      <c r="WOI81" s="0"/>
      <c r="WOJ81" s="0"/>
      <c r="WOK81" s="0"/>
      <c r="WOL81" s="0"/>
      <c r="WOM81" s="0"/>
      <c r="WON81" s="0"/>
      <c r="WOO81" s="0"/>
      <c r="WOP81" s="0"/>
      <c r="WOQ81" s="0"/>
      <c r="WOR81" s="0"/>
      <c r="WOS81" s="0"/>
      <c r="WOT81" s="0"/>
      <c r="WOU81" s="0"/>
      <c r="WOV81" s="0"/>
      <c r="WOW81" s="0"/>
      <c r="WOX81" s="0"/>
      <c r="WOY81" s="0"/>
      <c r="WOZ81" s="0"/>
      <c r="WPA81" s="0"/>
      <c r="WPB81" s="0"/>
      <c r="WPC81" s="0"/>
      <c r="WPD81" s="0"/>
      <c r="WPE81" s="0"/>
      <c r="WPF81" s="0"/>
      <c r="WPG81" s="0"/>
      <c r="WPH81" s="0"/>
      <c r="WPI81" s="0"/>
      <c r="WPJ81" s="0"/>
      <c r="WPK81" s="0"/>
      <c r="WPL81" s="0"/>
      <c r="WPM81" s="0"/>
      <c r="WPN81" s="0"/>
      <c r="WPO81" s="0"/>
      <c r="WPP81" s="0"/>
      <c r="WPQ81" s="0"/>
      <c r="WPR81" s="0"/>
      <c r="WPS81" s="0"/>
      <c r="WPT81" s="0"/>
      <c r="WPU81" s="0"/>
      <c r="WPV81" s="0"/>
      <c r="WPW81" s="0"/>
      <c r="WPX81" s="0"/>
      <c r="WPY81" s="0"/>
      <c r="WPZ81" s="0"/>
      <c r="WQA81" s="0"/>
      <c r="WQB81" s="0"/>
      <c r="WQC81" s="0"/>
      <c r="WQD81" s="0"/>
      <c r="WQE81" s="0"/>
      <c r="WQF81" s="0"/>
      <c r="WQG81" s="0"/>
      <c r="WQH81" s="0"/>
      <c r="WQI81" s="0"/>
      <c r="WQJ81" s="0"/>
      <c r="WQK81" s="0"/>
      <c r="WQL81" s="0"/>
      <c r="WQM81" s="0"/>
      <c r="WQN81" s="0"/>
      <c r="WQO81" s="0"/>
      <c r="WQP81" s="0"/>
      <c r="WQQ81" s="0"/>
      <c r="WQR81" s="0"/>
      <c r="WQS81" s="0"/>
      <c r="WQT81" s="0"/>
      <c r="WQU81" s="0"/>
      <c r="WQV81" s="0"/>
      <c r="WQW81" s="0"/>
      <c r="WQX81" s="0"/>
      <c r="WQY81" s="0"/>
      <c r="WQZ81" s="0"/>
      <c r="WRA81" s="0"/>
      <c r="WRB81" s="0"/>
      <c r="WRC81" s="0"/>
      <c r="WRD81" s="0"/>
      <c r="WRE81" s="0"/>
      <c r="WRF81" s="0"/>
      <c r="WRG81" s="0"/>
      <c r="WRH81" s="0"/>
      <c r="WRI81" s="0"/>
      <c r="WRJ81" s="0"/>
      <c r="WRK81" s="0"/>
      <c r="WRL81" s="0"/>
      <c r="WRM81" s="0"/>
      <c r="WRN81" s="0"/>
      <c r="WRO81" s="0"/>
      <c r="WRP81" s="0"/>
      <c r="WRQ81" s="0"/>
      <c r="WRR81" s="0"/>
      <c r="WRS81" s="0"/>
      <c r="WRT81" s="0"/>
      <c r="WRU81" s="0"/>
      <c r="WRV81" s="0"/>
      <c r="WRW81" s="0"/>
      <c r="WRX81" s="0"/>
      <c r="WRY81" s="0"/>
      <c r="WRZ81" s="0"/>
      <c r="WSA81" s="0"/>
      <c r="WSB81" s="0"/>
      <c r="WSC81" s="0"/>
      <c r="WSD81" s="0"/>
      <c r="WSE81" s="0"/>
      <c r="WSF81" s="0"/>
      <c r="WSG81" s="0"/>
      <c r="WSH81" s="0"/>
      <c r="WSI81" s="0"/>
      <c r="WSJ81" s="0"/>
      <c r="WSK81" s="0"/>
      <c r="WSL81" s="0"/>
      <c r="WSM81" s="0"/>
      <c r="WSN81" s="0"/>
      <c r="WSO81" s="0"/>
      <c r="WSP81" s="0"/>
      <c r="WSQ81" s="0"/>
      <c r="WSR81" s="0"/>
      <c r="WSS81" s="0"/>
      <c r="WST81" s="0"/>
      <c r="WSU81" s="0"/>
      <c r="WSV81" s="0"/>
      <c r="WSW81" s="0"/>
      <c r="WSX81" s="0"/>
      <c r="WSY81" s="0"/>
      <c r="WSZ81" s="0"/>
      <c r="WTA81" s="0"/>
      <c r="WTB81" s="0"/>
      <c r="WTC81" s="0"/>
      <c r="WTD81" s="0"/>
      <c r="WTE81" s="0"/>
      <c r="WTF81" s="0"/>
      <c r="WTG81" s="0"/>
      <c r="WTH81" s="0"/>
      <c r="WTI81" s="0"/>
      <c r="WTJ81" s="0"/>
      <c r="WTK81" s="0"/>
      <c r="WTL81" s="0"/>
      <c r="WTM81" s="0"/>
      <c r="WTN81" s="0"/>
      <c r="WTO81" s="0"/>
      <c r="WTP81" s="0"/>
      <c r="WTQ81" s="0"/>
      <c r="WTR81" s="0"/>
      <c r="WTS81" s="0"/>
      <c r="WTT81" s="0"/>
      <c r="WTU81" s="0"/>
      <c r="WTV81" s="0"/>
      <c r="WTW81" s="0"/>
      <c r="WTX81" s="0"/>
      <c r="WTY81" s="0"/>
      <c r="WTZ81" s="0"/>
      <c r="WUA81" s="0"/>
      <c r="WUB81" s="0"/>
      <c r="WUC81" s="0"/>
      <c r="WUD81" s="0"/>
      <c r="WUE81" s="0"/>
      <c r="WUF81" s="0"/>
      <c r="WUG81" s="0"/>
      <c r="WUH81" s="0"/>
      <c r="WUI81" s="0"/>
      <c r="WUJ81" s="0"/>
      <c r="WUK81" s="0"/>
      <c r="WUL81" s="0"/>
      <c r="WUM81" s="0"/>
      <c r="WUN81" s="0"/>
      <c r="WUO81" s="0"/>
      <c r="WUP81" s="0"/>
      <c r="WUQ81" s="0"/>
      <c r="WUR81" s="0"/>
      <c r="WUS81" s="0"/>
      <c r="WUT81" s="0"/>
      <c r="WUU81" s="0"/>
      <c r="WUV81" s="0"/>
      <c r="WUW81" s="0"/>
      <c r="WUX81" s="0"/>
      <c r="WUY81" s="0"/>
      <c r="WUZ81" s="0"/>
      <c r="WVA81" s="0"/>
      <c r="WVB81" s="0"/>
      <c r="WVC81" s="0"/>
      <c r="WVD81" s="0"/>
      <c r="WVE81" s="0"/>
      <c r="WVF81" s="0"/>
      <c r="WVG81" s="0"/>
      <c r="WVH81" s="0"/>
      <c r="WVI81" s="0"/>
      <c r="WVJ81" s="0"/>
      <c r="WVK81" s="0"/>
      <c r="WVL81" s="0"/>
      <c r="WVM81" s="0"/>
      <c r="WVN81" s="0"/>
      <c r="WVO81" s="0"/>
      <c r="WVP81" s="0"/>
      <c r="WVQ81" s="0"/>
      <c r="WVR81" s="0"/>
      <c r="WVS81" s="0"/>
      <c r="WVT81" s="0"/>
      <c r="WVU81" s="0"/>
      <c r="WVV81" s="0"/>
      <c r="WVW81" s="0"/>
      <c r="WVX81" s="0"/>
      <c r="WVY81" s="0"/>
      <c r="WVZ81" s="0"/>
      <c r="WWA81" s="0"/>
      <c r="WWB81" s="0"/>
      <c r="WWC81" s="0"/>
      <c r="WWD81" s="0"/>
      <c r="WWE81" s="0"/>
      <c r="WWF81" s="0"/>
      <c r="WWG81" s="0"/>
      <c r="WWH81" s="0"/>
      <c r="WWI81" s="0"/>
      <c r="WWJ81" s="0"/>
      <c r="WWK81" s="0"/>
      <c r="WWL81" s="0"/>
      <c r="WWM81" s="0"/>
      <c r="WWN81" s="0"/>
      <c r="WWO81" s="0"/>
      <c r="WWP81" s="0"/>
      <c r="WWQ81" s="0"/>
      <c r="WWR81" s="0"/>
      <c r="WWS81" s="0"/>
      <c r="WWT81" s="0"/>
      <c r="WWU81" s="0"/>
      <c r="WWV81" s="0"/>
      <c r="WWW81" s="0"/>
      <c r="WWX81" s="0"/>
      <c r="WWY81" s="0"/>
      <c r="WWZ81" s="0"/>
      <c r="WXA81" s="0"/>
      <c r="WXB81" s="0"/>
      <c r="WXC81" s="0"/>
      <c r="WXD81" s="0"/>
      <c r="WXE81" s="0"/>
      <c r="WXF81" s="0"/>
      <c r="WXG81" s="0"/>
      <c r="WXH81" s="0"/>
      <c r="WXI81" s="0"/>
      <c r="WXJ81" s="0"/>
      <c r="WXK81" s="0"/>
      <c r="WXL81" s="0"/>
      <c r="WXM81" s="0"/>
      <c r="WXN81" s="0"/>
      <c r="WXO81" s="0"/>
      <c r="WXP81" s="0"/>
      <c r="WXQ81" s="0"/>
      <c r="WXR81" s="0"/>
      <c r="WXS81" s="0"/>
      <c r="WXT81" s="0"/>
      <c r="WXU81" s="0"/>
      <c r="WXV81" s="0"/>
      <c r="WXW81" s="0"/>
      <c r="WXX81" s="0"/>
      <c r="WXY81" s="0"/>
      <c r="WXZ81" s="0"/>
      <c r="WYA81" s="0"/>
      <c r="WYB81" s="0"/>
      <c r="WYC81" s="0"/>
      <c r="WYD81" s="0"/>
      <c r="WYE81" s="0"/>
      <c r="WYF81" s="0"/>
      <c r="WYG81" s="0"/>
      <c r="WYH81" s="0"/>
      <c r="WYI81" s="0"/>
      <c r="WYJ81" s="0"/>
      <c r="WYK81" s="0"/>
      <c r="WYL81" s="0"/>
      <c r="WYM81" s="0"/>
      <c r="WYN81" s="0"/>
      <c r="WYO81" s="0"/>
      <c r="WYP81" s="0"/>
      <c r="WYQ81" s="0"/>
      <c r="WYR81" s="0"/>
      <c r="WYS81" s="0"/>
      <c r="WYT81" s="0"/>
      <c r="WYU81" s="0"/>
      <c r="WYV81" s="0"/>
      <c r="WYW81" s="0"/>
      <c r="WYX81" s="0"/>
      <c r="WYY81" s="0"/>
      <c r="WYZ81" s="0"/>
      <c r="WZA81" s="0"/>
      <c r="WZB81" s="0"/>
      <c r="WZC81" s="0"/>
      <c r="WZD81" s="0"/>
      <c r="WZE81" s="0"/>
      <c r="WZF81" s="0"/>
      <c r="WZG81" s="0"/>
      <c r="WZH81" s="0"/>
      <c r="WZI81" s="0"/>
      <c r="WZJ81" s="0"/>
      <c r="WZK81" s="0"/>
      <c r="WZL81" s="0"/>
      <c r="WZM81" s="0"/>
      <c r="WZN81" s="0"/>
      <c r="WZO81" s="0"/>
      <c r="WZP81" s="0"/>
      <c r="WZQ81" s="0"/>
      <c r="WZR81" s="0"/>
      <c r="WZS81" s="0"/>
      <c r="WZT81" s="0"/>
      <c r="WZU81" s="0"/>
      <c r="WZV81" s="0"/>
      <c r="WZW81" s="0"/>
      <c r="WZX81" s="0"/>
      <c r="WZY81" s="0"/>
      <c r="WZZ81" s="0"/>
      <c r="XAA81" s="0"/>
      <c r="XAB81" s="0"/>
      <c r="XAC81" s="0"/>
      <c r="XAD81" s="0"/>
      <c r="XAE81" s="0"/>
      <c r="XAF81" s="0"/>
      <c r="XAG81" s="0"/>
      <c r="XAH81" s="0"/>
      <c r="XAI81" s="0"/>
      <c r="XAJ81" s="0"/>
      <c r="XAK81" s="0"/>
      <c r="XAL81" s="0"/>
      <c r="XAM81" s="0"/>
      <c r="XAN81" s="0"/>
      <c r="XAO81" s="0"/>
      <c r="XAP81" s="0"/>
      <c r="XAQ81" s="0"/>
      <c r="XAR81" s="0"/>
      <c r="XAS81" s="0"/>
      <c r="XAT81" s="0"/>
      <c r="XAU81" s="0"/>
      <c r="XAV81" s="0"/>
      <c r="XAW81" s="0"/>
      <c r="XAX81" s="0"/>
      <c r="XAY81" s="0"/>
      <c r="XAZ81" s="0"/>
      <c r="XBA81" s="0"/>
      <c r="XBB81" s="0"/>
      <c r="XBC81" s="0"/>
      <c r="XBD81" s="0"/>
      <c r="XBE81" s="0"/>
      <c r="XBF81" s="0"/>
      <c r="XBG81" s="0"/>
      <c r="XBH81" s="0"/>
      <c r="XBI81" s="0"/>
      <c r="XBJ81" s="0"/>
      <c r="XBK81" s="0"/>
      <c r="XBL81" s="0"/>
      <c r="XBM81" s="0"/>
      <c r="XBN81" s="0"/>
      <c r="XBO81" s="0"/>
      <c r="XBP81" s="0"/>
      <c r="XBQ81" s="0"/>
      <c r="XBR81" s="0"/>
      <c r="XBS81" s="0"/>
      <c r="XBT81" s="0"/>
      <c r="XBU81" s="0"/>
      <c r="XBV81" s="0"/>
      <c r="XBW81" s="0"/>
      <c r="XBX81" s="0"/>
      <c r="XBY81" s="0"/>
      <c r="XBZ81" s="0"/>
      <c r="XCA81" s="0"/>
      <c r="XCB81" s="0"/>
      <c r="XCC81" s="0"/>
      <c r="XCD81" s="0"/>
      <c r="XCE81" s="0"/>
      <c r="XCF81" s="0"/>
      <c r="XCG81" s="0"/>
      <c r="XCH81" s="0"/>
      <c r="XCI81" s="0"/>
      <c r="XCJ81" s="0"/>
      <c r="XCK81" s="0"/>
      <c r="XCL81" s="0"/>
      <c r="XCM81" s="0"/>
      <c r="XCN81" s="0"/>
      <c r="XCO81" s="0"/>
      <c r="XCP81" s="0"/>
      <c r="XCQ81" s="0"/>
      <c r="XCR81" s="0"/>
      <c r="XCS81" s="0"/>
      <c r="XCT81" s="0"/>
      <c r="XCU81" s="0"/>
      <c r="XCV81" s="0"/>
      <c r="XCW81" s="0"/>
      <c r="XCX81" s="0"/>
      <c r="XCY81" s="0"/>
      <c r="XCZ81" s="0"/>
      <c r="XDA81" s="0"/>
      <c r="XDB81" s="0"/>
      <c r="XDC81" s="0"/>
      <c r="XDD81" s="0"/>
      <c r="XDE81" s="0"/>
      <c r="XDF81" s="0"/>
      <c r="XDG81" s="0"/>
      <c r="XDH81" s="0"/>
      <c r="XDI81" s="0"/>
      <c r="XDJ81" s="0"/>
      <c r="XDK81" s="0"/>
      <c r="XDL81" s="0"/>
      <c r="XDM81" s="0"/>
      <c r="XDN81" s="0"/>
      <c r="XDO81" s="0"/>
      <c r="XDP81" s="0"/>
      <c r="XDQ81" s="0"/>
      <c r="XDR81" s="0"/>
      <c r="XDS81" s="0"/>
      <c r="XDT81" s="0"/>
      <c r="XDU81" s="0"/>
      <c r="XDV81" s="0"/>
      <c r="XDW81" s="0"/>
      <c r="XDX81" s="0"/>
      <c r="XDY81" s="0"/>
      <c r="XDZ81" s="0"/>
      <c r="XEA81" s="0"/>
      <c r="XEB81" s="0"/>
      <c r="XEC81" s="0"/>
      <c r="XED81" s="0"/>
      <c r="XEE81" s="0"/>
      <c r="XEF81" s="0"/>
      <c r="XEG81" s="0"/>
      <c r="XEH81" s="0"/>
      <c r="XEI81" s="0"/>
      <c r="XEJ81" s="0"/>
      <c r="XEK81" s="0"/>
      <c r="XEL81" s="0"/>
      <c r="XEM81" s="0"/>
      <c r="XEN81" s="0"/>
      <c r="XEO81" s="0"/>
      <c r="XEP81" s="0"/>
      <c r="XEQ81" s="0"/>
      <c r="XER81" s="0"/>
      <c r="XES81" s="0"/>
      <c r="XET81" s="0"/>
      <c r="XEU81" s="0"/>
      <c r="XEV81" s="0"/>
      <c r="XEW81" s="0"/>
      <c r="XEX81" s="0"/>
      <c r="XEY81" s="0"/>
      <c r="XEZ81" s="0"/>
      <c r="XFA81" s="0"/>
      <c r="XFB81" s="0"/>
      <c r="XFC81" s="0"/>
      <c r="XFD81" s="0"/>
    </row>
    <row r="82" customFormat="false" ht="13.8" hidden="false" customHeight="false" outlineLevel="0" collapsed="false">
      <c r="A82" s="36" t="s">
        <v>497</v>
      </c>
      <c r="B82" s="36" t="s">
        <v>498</v>
      </c>
      <c r="C82" s="0" t="n">
        <v>510</v>
      </c>
      <c r="D82" s="0" t="n">
        <v>509</v>
      </c>
      <c r="E82" s="0" t="n">
        <v>512</v>
      </c>
      <c r="F82" s="0" t="s">
        <v>89</v>
      </c>
      <c r="G82" s="0" t="s">
        <v>90</v>
      </c>
      <c r="H82" s="0" t="s">
        <v>255</v>
      </c>
      <c r="I82" s="0" t="s">
        <v>92</v>
      </c>
      <c r="J82" s="0" t="n">
        <v>2017</v>
      </c>
      <c r="K82" s="0"/>
      <c r="L82" s="0"/>
      <c r="M82" s="0" t="n">
        <v>9</v>
      </c>
      <c r="N82" s="0" t="n">
        <v>5400</v>
      </c>
      <c r="O82" s="37" t="n">
        <v>3750</v>
      </c>
      <c r="P82" s="38"/>
      <c r="Q82" s="38"/>
      <c r="R82" s="38"/>
      <c r="S82" s="38"/>
      <c r="T82" s="38"/>
      <c r="U82" s="38"/>
      <c r="V82" s="38"/>
      <c r="W82" s="36" t="n">
        <v>438</v>
      </c>
      <c r="X82" s="37"/>
      <c r="Y82" s="36" t="n">
        <v>5</v>
      </c>
      <c r="Z82" s="36" t="n">
        <v>195</v>
      </c>
      <c r="AA82" s="39" t="n">
        <f aca="false">IF(AND(W82&gt;0,Z82&gt;0),(Z82/((W82+X82)*10)),"")</f>
        <v>0.0445205479452055</v>
      </c>
      <c r="AB82" s="36" t="n">
        <v>140</v>
      </c>
      <c r="AC82" s="36" t="n">
        <f aca="false">ROUND(AB82*1.6, 0)</f>
        <v>224</v>
      </c>
      <c r="AD82" s="36"/>
      <c r="AE82" s="36"/>
      <c r="AF82" s="36" t="n">
        <v>26</v>
      </c>
      <c r="AG82" s="36" t="n">
        <v>24</v>
      </c>
      <c r="AH82" s="36"/>
      <c r="AI82" s="36"/>
      <c r="AJ82" s="40" t="n">
        <v>66</v>
      </c>
      <c r="AK82" s="36" t="str">
        <f aca="false">CONCATENATE(VLOOKUP(AL82, '[1]Voxel Sizes'!$A$2:$B$18,2,FALSE()),"x",INT(AH82*15), "x", INT(AI82*15))</f>
        <v>238x0x0</v>
      </c>
      <c r="AL82" s="36" t="n">
        <f aca="false">ROUND(15*((AG82*10)/256),0)</f>
        <v>14</v>
      </c>
      <c r="AM82" s="36"/>
      <c r="AN82" s="36" t="str">
        <f aca="false">CONCATENATE(VLOOKUP(AL82,[1]Constants!$A$2:$C$16,IF(AM82&lt;&gt;"", 3, 2), FALSE()),IF(AM82&lt;&gt;"",CONCATENATE(",",VLOOKUP(AM82,$B:$AN,39,FALSE())),""))</f>
        <v>4,6,4</v>
      </c>
      <c r="AO82" s="36" t="n">
        <v>24</v>
      </c>
      <c r="AP82" s="41"/>
      <c r="AQ82" s="41"/>
      <c r="AR82" s="0" t="s">
        <v>499</v>
      </c>
      <c r="AS82" s="0" t="s">
        <v>495</v>
      </c>
      <c r="AT82" s="0" t="s">
        <v>471</v>
      </c>
      <c r="AU82" s="0" t="s">
        <v>493</v>
      </c>
      <c r="AV82" s="0"/>
      <c r="AW82" s="0"/>
      <c r="AX82" s="0" t="n">
        <v>30</v>
      </c>
      <c r="AY82" s="42" t="str">
        <f aca="false">IF(L82&lt;&gt;"",MAX(16,(L82-J82)+8),"")</f>
        <v/>
      </c>
      <c r="AZ82" s="36" t="n">
        <v>-15</v>
      </c>
      <c r="BA82" s="36" t="n">
        <v>-30</v>
      </c>
      <c r="BB82" s="36" t="n">
        <f aca="false">MIN(AB82/150, 1)*30</f>
        <v>28</v>
      </c>
      <c r="BC82" s="36" t="n">
        <f aca="false">MIN(N82/4000, 1)*20</f>
        <v>20</v>
      </c>
      <c r="BD82" s="36" t="n">
        <f aca="false">MIN(Z82/400,1)*20</f>
        <v>9.75</v>
      </c>
      <c r="BE82" s="39" t="n">
        <f aca="false">1-(MAX(J82-1900, 0)/750)</f>
        <v>0.844</v>
      </c>
      <c r="BF82" s="36" t="n">
        <f aca="false">((MAX($M82,1)*MIN($AJ82/300,1)))*IF(G82="Wagon",50,10)</f>
        <v>19.8</v>
      </c>
      <c r="BG82" s="1" t="n">
        <f aca="false">VLOOKUP($H82,Constants!$I:$K, 2, FALSE())</f>
        <v>0.9</v>
      </c>
      <c r="BH82" s="1" t="n">
        <f aca="false">VLOOKUP($H82,Constants!$I:$K, 3, FALSE())*IF(AND(G82="multiple_unit",AB82&lt;110),0.75,1)</f>
        <v>2.5</v>
      </c>
      <c r="BI82" s="36" t="n">
        <f aca="false">INT(POWER((([1]Constants!$G$2+$BB82+$BC82+$BD82+$BF82)*$BE82)*$BH82, 1.05))+$BA82</f>
        <v>195</v>
      </c>
      <c r="BJ82" s="36" t="n">
        <f aca="false">INT(POWER(((([1]Constants!$G$1+$BB82+$BC82+$BD82+$BF82)*($BE82))*$BG82),IF($G82="wagon",1,1.2)))+$AZ82</f>
        <v>149</v>
      </c>
      <c r="BK82" s="43" t="n">
        <f aca="false">BI82*IF($G82="wagon",62.5,781.25)</f>
        <v>152343.75</v>
      </c>
      <c r="BL82" s="43" t="n">
        <f aca="false">BJ82*IF($G82="wagon",2.73,81.25)</f>
        <v>12106.25</v>
      </c>
      <c r="BM82" s="36"/>
      <c r="BN82" s="36"/>
      <c r="BO82" s="36"/>
      <c r="BP82" s="36"/>
      <c r="BQ82" s="19" t="str">
        <f aca="false">_xlfn.ORG.LIBREOFFICE.REGEX(_xlfn.ORG.LIBREOFFICE.REGEX(IETMUVEHICLES, _xlfn.CONCAT(B82, ",?"), ""), ",$", "")</f>
        <v>class_800_azuma,class_801_5,class_801_9,class_802_5,class_802_9</v>
      </c>
      <c r="BR82" s="36"/>
      <c r="BS82" s="36"/>
      <c r="BT82" s="36" t="n">
        <v>10</v>
      </c>
      <c r="BU82" s="36" t="n">
        <v>222</v>
      </c>
      <c r="BV82" s="36"/>
      <c r="BW82" s="36"/>
      <c r="BX82" s="36" t="s">
        <v>95</v>
      </c>
      <c r="BY82" s="36" t="str">
        <f aca="false">VLOOKUP(J82,[1]Eras!$A$2:$C$10, 2, TRUE())</f>
        <v>mod</v>
      </c>
      <c r="BZ82" s="36" t="s">
        <v>226</v>
      </c>
      <c r="CA82" s="0" t="str">
        <f aca="false">CONCATENATE(BY82,"_",BZ82)</f>
        <v>mod_EMU (Express)</v>
      </c>
      <c r="CB82" s="0" t="str">
        <f aca="false">_xlfn.CONCAT(H82, "_",I82)</f>
        <v>dual_power_ELRL</v>
      </c>
      <c r="CC82" s="44" t="str">
        <f aca="false" t="array" ref="CC82:CC82">_xlfn.CONCAT("{BLACK}Length: {GOLD}", TEXT(ROUNDUP(IF(AQ82&lt;&gt;"",SUM(VALUE(_xlfn.TEXTSPLIT(AQ82, ","))), SUM(VALUE(_xlfn.TEXTSPLIT(AN82, ",")))*IF(M82, M82, 1))/16, 1), "#,##0.0"), " tiles{}")</f>
        <v>{BLACK}Length: {GOLD}7.9 tiles{}</v>
      </c>
      <c r="CD82" s="1" t="str">
        <f aca="false">VLOOKUP($CB82, Constants!$M:$N, 2, FALSE())</f>
        <v>{BLACK}Powered by: {GOLD}25kV AC / Diesel</v>
      </c>
      <c r="CE82" s="0" t="str">
        <f aca="false">IF(M82&gt;1,_xlfn.CONCAT("{BLACK}Cars: {GOLD}", M82),"")</f>
        <v>{BLACK}Cars: {GOLD}9</v>
      </c>
      <c r="CF82" s="0" t="s">
        <v>496</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{YELLOW}20% bonus for long distance travel{}</v>
      </c>
      <c r="CH82" s="1" t="str">
        <f aca="false">_xlfn.CONCAT(CD82,IF(CD82 &lt;&gt; "", " ", ""),CE82,IF(OR(CE82&lt;&gt;"", CD82&lt;&gt;""), "{}",""), CC82, CG82,"{SILVER}", CF82)</f>
        <v>{BLACK}Powered by: {GOLD}25kV AC / Diesel {BLACK}Cars: {GOLD}9{}{BLACK}Length: {GOLD}7.9 tiles{}{YELLOW}20% bonus for long distance travel{}{SILVER}The Class 800 "Azuma" (on LNER) or "IET" (on GWR) is a high speed bi-mode unit based on the Hitachi AT300 series. It is designed to replace HST and Class 91 hauled services on Intercity routes.</v>
      </c>
      <c r="CI82" s="0"/>
      <c r="CJ82" s="0"/>
      <c r="CK82" s="0"/>
      <c r="CL82" s="0"/>
      <c r="CM82" s="0"/>
      <c r="CN82" s="0"/>
      <c r="CO82" s="0"/>
      <c r="CP82" s="0"/>
      <c r="CQ82" s="0"/>
      <c r="CR82" s="0"/>
      <c r="CS82" s="0"/>
      <c r="CT82" s="0"/>
      <c r="CU82" s="0"/>
      <c r="CV82" s="0"/>
      <c r="CW82" s="0"/>
      <c r="CX82" s="0"/>
      <c r="CY82" s="0"/>
      <c r="CZ82" s="0"/>
      <c r="DA82" s="0"/>
      <c r="DB82" s="0"/>
      <c r="DC82" s="0"/>
      <c r="DD82" s="0"/>
      <c r="DE82" s="0"/>
      <c r="DF82" s="0"/>
      <c r="DG82" s="0"/>
      <c r="DH82" s="0"/>
      <c r="DI82" s="0"/>
      <c r="DJ82" s="0"/>
      <c r="DK82" s="0"/>
      <c r="DL82" s="0"/>
      <c r="DM82" s="0"/>
      <c r="DN82" s="0"/>
      <c r="DO82" s="0"/>
      <c r="DP82" s="0"/>
      <c r="DQ82" s="0"/>
      <c r="DR82" s="0"/>
      <c r="DS82" s="0"/>
      <c r="DT82" s="0"/>
      <c r="DU82" s="0"/>
      <c r="DV82" s="0"/>
      <c r="DW82" s="0"/>
      <c r="DX82" s="0"/>
      <c r="DY82" s="0"/>
      <c r="DZ82" s="0"/>
      <c r="EA82" s="0"/>
      <c r="EB82" s="0"/>
      <c r="EC82" s="0"/>
      <c r="ED82" s="0"/>
      <c r="EE82" s="0"/>
      <c r="EF82" s="0"/>
      <c r="EG82" s="0"/>
      <c r="EH82" s="0"/>
      <c r="EI82" s="0"/>
      <c r="EJ82" s="0"/>
      <c r="EK82" s="0"/>
      <c r="EL82" s="0"/>
      <c r="EM82" s="0"/>
      <c r="EN82" s="0"/>
      <c r="EO82" s="0"/>
      <c r="EP82" s="0"/>
      <c r="EQ82" s="0"/>
      <c r="ER82" s="0"/>
      <c r="ES82" s="0"/>
      <c r="ET82" s="0"/>
      <c r="EU82" s="0"/>
      <c r="EV82" s="0"/>
      <c r="EW82" s="0"/>
      <c r="EX82" s="0"/>
      <c r="EY82" s="0"/>
      <c r="EZ82" s="0"/>
      <c r="FA82" s="0"/>
      <c r="FB82" s="0"/>
      <c r="FC82" s="0"/>
      <c r="FD82" s="0"/>
      <c r="FE82" s="0"/>
      <c r="FF82" s="0"/>
      <c r="FG82" s="0"/>
      <c r="FH82" s="0"/>
      <c r="FI82" s="0"/>
      <c r="FJ82" s="0"/>
      <c r="FK82" s="0"/>
      <c r="FL82" s="0"/>
      <c r="FM82" s="0"/>
      <c r="FN82" s="0"/>
      <c r="FO82" s="0"/>
      <c r="FP82" s="0"/>
      <c r="FQ82" s="0"/>
      <c r="FR82" s="0"/>
      <c r="FS82" s="0"/>
      <c r="FT82" s="0"/>
      <c r="FU82" s="0"/>
      <c r="FV82" s="0"/>
      <c r="FW82" s="0"/>
      <c r="FX82" s="0"/>
      <c r="FY82" s="0"/>
      <c r="FZ82" s="0"/>
      <c r="GA82" s="0"/>
      <c r="GB82" s="0"/>
      <c r="GC82" s="0"/>
      <c r="GD82" s="0"/>
      <c r="GE82" s="0"/>
      <c r="GF82" s="0"/>
      <c r="GG82" s="0"/>
      <c r="GH82" s="0"/>
      <c r="GI82" s="0"/>
      <c r="GJ82" s="0"/>
      <c r="GK82" s="0"/>
      <c r="GL82" s="0"/>
      <c r="GM82" s="0"/>
      <c r="GN82" s="0"/>
      <c r="GO82" s="0"/>
      <c r="GP82" s="0"/>
      <c r="GQ82" s="0"/>
      <c r="GR82" s="0"/>
      <c r="GS82" s="0"/>
      <c r="GT82" s="0"/>
      <c r="GU82" s="0"/>
      <c r="GV82" s="0"/>
      <c r="GW82" s="0"/>
      <c r="GX82" s="0"/>
      <c r="GY82" s="0"/>
      <c r="GZ82" s="0"/>
      <c r="HA82" s="0"/>
      <c r="HB82" s="0"/>
      <c r="HC82" s="0"/>
      <c r="HD82" s="0"/>
      <c r="HE82" s="0"/>
      <c r="HF82" s="0"/>
      <c r="HG82" s="0"/>
      <c r="HH82" s="0"/>
      <c r="HI82" s="0"/>
      <c r="HJ82" s="0"/>
      <c r="HK82" s="0"/>
      <c r="HL82" s="0"/>
      <c r="HM82" s="0"/>
      <c r="HN82" s="0"/>
      <c r="HO82" s="0"/>
      <c r="HP82" s="0"/>
      <c r="HQ82" s="0"/>
      <c r="HR82" s="0"/>
      <c r="HS82" s="0"/>
      <c r="HT82" s="0"/>
      <c r="HU82" s="0"/>
      <c r="HV82" s="0"/>
      <c r="HW82" s="0"/>
      <c r="HX82" s="0"/>
      <c r="HY82" s="0"/>
      <c r="HZ82" s="0"/>
      <c r="IA82" s="0"/>
      <c r="IB82" s="0"/>
      <c r="IC82" s="0"/>
      <c r="ID82" s="0"/>
      <c r="IE82" s="0"/>
      <c r="IF82" s="0"/>
      <c r="IG82" s="0"/>
      <c r="IH82" s="0"/>
      <c r="II82" s="0"/>
      <c r="IJ82" s="0"/>
      <c r="IK82" s="0"/>
      <c r="IL82" s="0"/>
      <c r="IM82" s="0"/>
      <c r="IN82" s="0"/>
      <c r="IO82" s="0"/>
      <c r="IP82" s="0"/>
      <c r="IQ82" s="0"/>
      <c r="IR82" s="0"/>
      <c r="IS82" s="0"/>
      <c r="IT82" s="0"/>
      <c r="IU82" s="0"/>
      <c r="IV82" s="0"/>
      <c r="IW82" s="0"/>
      <c r="IX82" s="0"/>
      <c r="IY82" s="0"/>
      <c r="IZ82" s="0"/>
      <c r="JA82" s="0"/>
      <c r="JB82" s="0"/>
      <c r="JC82" s="0"/>
      <c r="JD82" s="0"/>
      <c r="JE82" s="0"/>
      <c r="JF82" s="0"/>
      <c r="JG82" s="0"/>
      <c r="JH82" s="0"/>
      <c r="JI82" s="0"/>
      <c r="JJ82" s="0"/>
      <c r="JK82" s="0"/>
      <c r="JL82" s="0"/>
      <c r="JM82" s="0"/>
      <c r="JN82" s="0"/>
      <c r="JO82" s="0"/>
      <c r="JP82" s="0"/>
      <c r="JQ82" s="0"/>
      <c r="JR82" s="0"/>
      <c r="JS82" s="0"/>
      <c r="JT82" s="0"/>
      <c r="JU82" s="0"/>
      <c r="JV82" s="0"/>
      <c r="JW82" s="0"/>
      <c r="JX82" s="0"/>
      <c r="JY82" s="0"/>
      <c r="JZ82" s="0"/>
      <c r="KA82" s="0"/>
      <c r="KB82" s="0"/>
      <c r="KC82" s="0"/>
      <c r="KD82" s="0"/>
      <c r="KE82" s="0"/>
      <c r="KF82" s="0"/>
      <c r="KG82" s="0"/>
      <c r="KH82" s="0"/>
      <c r="KI82" s="0"/>
      <c r="KJ82" s="0"/>
      <c r="KK82" s="0"/>
      <c r="KL82" s="0"/>
      <c r="KM82" s="0"/>
      <c r="KN82" s="0"/>
      <c r="KO82" s="0"/>
      <c r="KP82" s="0"/>
      <c r="KQ82" s="0"/>
      <c r="KR82" s="0"/>
      <c r="KS82" s="0"/>
      <c r="KT82" s="0"/>
      <c r="KU82" s="0"/>
      <c r="KV82" s="0"/>
      <c r="KW82" s="0"/>
      <c r="KX82" s="0"/>
      <c r="KY82" s="0"/>
      <c r="KZ82" s="0"/>
      <c r="LA82" s="0"/>
      <c r="LB82" s="0"/>
      <c r="LC82" s="0"/>
      <c r="LD82" s="0"/>
      <c r="LE82" s="0"/>
      <c r="LF82" s="0"/>
      <c r="LG82" s="0"/>
      <c r="LH82" s="0"/>
      <c r="LI82" s="0"/>
      <c r="LJ82" s="0"/>
      <c r="LK82" s="0"/>
      <c r="LL82" s="0"/>
      <c r="LM82" s="0"/>
      <c r="LN82" s="0"/>
      <c r="LO82" s="0"/>
      <c r="LP82" s="0"/>
      <c r="LQ82" s="0"/>
      <c r="LR82" s="0"/>
      <c r="LS82" s="0"/>
      <c r="LT82" s="0"/>
      <c r="LU82" s="0"/>
      <c r="LV82" s="0"/>
      <c r="LW82" s="0"/>
      <c r="LX82" s="0"/>
      <c r="LY82" s="0"/>
      <c r="LZ82" s="0"/>
      <c r="MA82" s="0"/>
      <c r="MB82" s="0"/>
      <c r="MC82" s="0"/>
      <c r="MD82" s="0"/>
      <c r="ME82" s="0"/>
      <c r="MF82" s="0"/>
      <c r="MG82" s="0"/>
      <c r="MH82" s="0"/>
      <c r="MI82" s="0"/>
      <c r="MJ82" s="0"/>
      <c r="MK82" s="0"/>
      <c r="ML82" s="0"/>
      <c r="MM82" s="0"/>
      <c r="MN82" s="0"/>
      <c r="MO82" s="0"/>
      <c r="MP82" s="0"/>
      <c r="MQ82" s="0"/>
      <c r="MR82" s="0"/>
      <c r="MS82" s="0"/>
      <c r="MT82" s="0"/>
      <c r="MU82" s="0"/>
      <c r="MV82" s="0"/>
      <c r="MW82" s="0"/>
      <c r="MX82" s="0"/>
      <c r="MY82" s="0"/>
      <c r="MZ82" s="0"/>
      <c r="NA82" s="0"/>
      <c r="NB82" s="0"/>
      <c r="NC82" s="0"/>
      <c r="ND82" s="0"/>
      <c r="NE82" s="0"/>
      <c r="NF82" s="0"/>
      <c r="NG82" s="0"/>
      <c r="NH82" s="0"/>
      <c r="NI82" s="0"/>
      <c r="NJ82" s="0"/>
      <c r="NK82" s="0"/>
      <c r="NL82" s="0"/>
      <c r="NM82" s="0"/>
      <c r="NN82" s="0"/>
      <c r="NO82" s="0"/>
      <c r="NP82" s="0"/>
      <c r="NQ82" s="0"/>
      <c r="NR82" s="0"/>
      <c r="NS82" s="0"/>
      <c r="NT82" s="0"/>
      <c r="NU82" s="0"/>
      <c r="NV82" s="0"/>
      <c r="NW82" s="0"/>
      <c r="NX82" s="0"/>
      <c r="NY82" s="0"/>
      <c r="NZ82" s="0"/>
      <c r="OA82" s="0"/>
      <c r="OB82" s="0"/>
      <c r="OC82" s="0"/>
      <c r="OD82" s="0"/>
      <c r="OE82" s="0"/>
      <c r="OF82" s="0"/>
      <c r="OG82" s="0"/>
      <c r="OH82" s="0"/>
      <c r="OI82" s="0"/>
      <c r="OJ82" s="0"/>
      <c r="OK82" s="0"/>
      <c r="OL82" s="0"/>
      <c r="OM82" s="0"/>
      <c r="ON82" s="0"/>
      <c r="OO82" s="0"/>
      <c r="OP82" s="0"/>
      <c r="OQ82" s="0"/>
      <c r="OR82" s="0"/>
      <c r="OS82" s="0"/>
      <c r="OT82" s="0"/>
      <c r="OU82" s="0"/>
      <c r="OV82" s="0"/>
      <c r="OW82" s="0"/>
      <c r="OX82" s="0"/>
      <c r="OY82" s="0"/>
      <c r="OZ82" s="0"/>
      <c r="PA82" s="0"/>
      <c r="PB82" s="0"/>
      <c r="PC82" s="0"/>
      <c r="PD82" s="0"/>
      <c r="PE82" s="0"/>
      <c r="PF82" s="0"/>
      <c r="PG82" s="0"/>
      <c r="PH82" s="0"/>
      <c r="PI82" s="0"/>
      <c r="PJ82" s="0"/>
      <c r="PK82" s="0"/>
      <c r="PL82" s="0"/>
      <c r="PM82" s="0"/>
      <c r="PN82" s="0"/>
      <c r="PO82" s="0"/>
      <c r="PP82" s="0"/>
      <c r="PQ82" s="0"/>
      <c r="PR82" s="0"/>
      <c r="PS82" s="0"/>
      <c r="PT82" s="0"/>
      <c r="PU82" s="0"/>
      <c r="PV82" s="0"/>
      <c r="PW82" s="0"/>
      <c r="PX82" s="0"/>
      <c r="PY82" s="0"/>
      <c r="PZ82" s="0"/>
      <c r="QA82" s="0"/>
      <c r="QB82" s="0"/>
      <c r="QC82" s="0"/>
      <c r="QD82" s="0"/>
      <c r="QE82" s="0"/>
      <c r="QF82" s="0"/>
      <c r="QG82" s="0"/>
      <c r="QH82" s="0"/>
      <c r="QI82" s="0"/>
      <c r="QJ82" s="0"/>
      <c r="QK82" s="0"/>
      <c r="QL82" s="0"/>
      <c r="QM82" s="0"/>
      <c r="QN82" s="0"/>
      <c r="QO82" s="0"/>
      <c r="QP82" s="0"/>
      <c r="QQ82" s="0"/>
      <c r="QR82" s="0"/>
      <c r="QS82" s="0"/>
      <c r="QT82" s="0"/>
      <c r="QU82" s="0"/>
      <c r="QV82" s="0"/>
      <c r="QW82" s="0"/>
      <c r="QX82" s="0"/>
      <c r="QY82" s="0"/>
      <c r="QZ82" s="0"/>
      <c r="RA82" s="0"/>
      <c r="RB82" s="0"/>
      <c r="RC82" s="0"/>
      <c r="RD82" s="0"/>
      <c r="RE82" s="0"/>
      <c r="RF82" s="0"/>
      <c r="RG82" s="0"/>
      <c r="RH82" s="0"/>
      <c r="RI82" s="0"/>
      <c r="RJ82" s="0"/>
      <c r="RK82" s="0"/>
      <c r="RL82" s="0"/>
      <c r="RM82" s="0"/>
      <c r="RN82" s="0"/>
      <c r="RO82" s="0"/>
      <c r="RP82" s="0"/>
      <c r="RQ82" s="0"/>
      <c r="RR82" s="0"/>
      <c r="RS82" s="0"/>
      <c r="RT82" s="0"/>
      <c r="RU82" s="0"/>
      <c r="RV82" s="0"/>
      <c r="RW82" s="0"/>
      <c r="RX82" s="0"/>
      <c r="RY82" s="0"/>
      <c r="RZ82" s="0"/>
      <c r="SA82" s="0"/>
      <c r="SB82" s="0"/>
      <c r="SC82" s="0"/>
      <c r="SD82" s="0"/>
      <c r="SE82" s="0"/>
      <c r="SF82" s="0"/>
      <c r="SG82" s="0"/>
      <c r="SH82" s="0"/>
      <c r="SI82" s="0"/>
      <c r="SJ82" s="0"/>
      <c r="SK82" s="0"/>
      <c r="SL82" s="0"/>
      <c r="SM82" s="0"/>
      <c r="SN82" s="0"/>
      <c r="SO82" s="0"/>
      <c r="SP82" s="0"/>
      <c r="SQ82" s="0"/>
      <c r="SR82" s="0"/>
      <c r="SS82" s="0"/>
      <c r="ST82" s="0"/>
      <c r="SU82" s="0"/>
      <c r="SV82" s="0"/>
      <c r="SW82" s="0"/>
      <c r="SX82" s="0"/>
      <c r="SY82" s="0"/>
      <c r="SZ82" s="0"/>
      <c r="TA82" s="0"/>
      <c r="TB82" s="0"/>
      <c r="TC82" s="0"/>
      <c r="TD82" s="0"/>
      <c r="TE82" s="0"/>
      <c r="TF82" s="0"/>
      <c r="TG82" s="0"/>
      <c r="TH82" s="0"/>
      <c r="TI82" s="0"/>
      <c r="TJ82" s="0"/>
      <c r="TK82" s="0"/>
      <c r="TL82" s="0"/>
      <c r="TM82" s="0"/>
      <c r="TN82" s="0"/>
      <c r="TO82" s="0"/>
      <c r="TP82" s="0"/>
      <c r="TQ82" s="0"/>
      <c r="TR82" s="0"/>
      <c r="TS82" s="0"/>
      <c r="TT82" s="0"/>
      <c r="TU82" s="0"/>
      <c r="TV82" s="0"/>
      <c r="TW82" s="0"/>
      <c r="TX82" s="0"/>
      <c r="TY82" s="0"/>
      <c r="TZ82" s="0"/>
      <c r="UA82" s="0"/>
      <c r="UB82" s="0"/>
      <c r="UC82" s="0"/>
      <c r="UD82" s="0"/>
      <c r="UE82" s="0"/>
      <c r="UF82" s="0"/>
      <c r="UG82" s="0"/>
      <c r="UH82" s="0"/>
      <c r="UI82" s="0"/>
      <c r="UJ82" s="0"/>
      <c r="UK82" s="0"/>
      <c r="UL82" s="0"/>
      <c r="UM82" s="0"/>
      <c r="UN82" s="0"/>
      <c r="UO82" s="0"/>
      <c r="UP82" s="0"/>
      <c r="UQ82" s="0"/>
      <c r="UR82" s="0"/>
      <c r="US82" s="0"/>
      <c r="UT82" s="0"/>
      <c r="UU82" s="0"/>
      <c r="UV82" s="0"/>
      <c r="UW82" s="0"/>
      <c r="UX82" s="0"/>
      <c r="UY82" s="0"/>
      <c r="UZ82" s="0"/>
      <c r="VA82" s="0"/>
      <c r="VB82" s="0"/>
      <c r="VC82" s="0"/>
      <c r="VD82" s="0"/>
      <c r="VE82" s="0"/>
      <c r="VF82" s="0"/>
      <c r="VG82" s="0"/>
      <c r="VH82" s="0"/>
      <c r="VI82" s="0"/>
      <c r="VJ82" s="0"/>
      <c r="VK82" s="0"/>
      <c r="VL82" s="0"/>
      <c r="VM82" s="0"/>
      <c r="VN82" s="0"/>
      <c r="VO82" s="0"/>
      <c r="VP82" s="0"/>
      <c r="VQ82" s="0"/>
      <c r="VR82" s="0"/>
      <c r="VS82" s="0"/>
      <c r="VT82" s="0"/>
      <c r="VU82" s="0"/>
      <c r="VV82" s="0"/>
      <c r="VW82" s="0"/>
      <c r="VX82" s="0"/>
      <c r="VY82" s="0"/>
      <c r="VZ82" s="0"/>
      <c r="WA82" s="0"/>
      <c r="WB82" s="0"/>
      <c r="WC82" s="0"/>
      <c r="WD82" s="0"/>
      <c r="WE82" s="0"/>
      <c r="WF82" s="0"/>
      <c r="WG82" s="0"/>
      <c r="WH82" s="0"/>
      <c r="WI82" s="0"/>
      <c r="WJ82" s="0"/>
      <c r="WK82" s="0"/>
      <c r="WL82" s="0"/>
      <c r="WM82" s="0"/>
      <c r="WN82" s="0"/>
      <c r="WO82" s="0"/>
      <c r="WP82" s="0"/>
      <c r="WQ82" s="0"/>
      <c r="WR82" s="0"/>
      <c r="WS82" s="0"/>
      <c r="WT82" s="0"/>
      <c r="WU82" s="0"/>
      <c r="WV82" s="0"/>
      <c r="WW82" s="0"/>
      <c r="WX82" s="0"/>
      <c r="WY82" s="0"/>
      <c r="WZ82" s="0"/>
      <c r="XA82" s="0"/>
      <c r="XB82" s="0"/>
      <c r="XC82" s="0"/>
      <c r="XD82" s="0"/>
      <c r="XE82" s="0"/>
      <c r="XF82" s="0"/>
      <c r="XG82" s="0"/>
      <c r="XH82" s="0"/>
      <c r="XI82" s="0"/>
      <c r="XJ82" s="0"/>
      <c r="XK82" s="0"/>
      <c r="XL82" s="0"/>
      <c r="XM82" s="0"/>
      <c r="XN82" s="0"/>
      <c r="XO82" s="0"/>
      <c r="XP82" s="0"/>
      <c r="XQ82" s="0"/>
      <c r="XR82" s="0"/>
      <c r="XS82" s="0"/>
      <c r="XT82" s="0"/>
      <c r="XU82" s="0"/>
      <c r="XV82" s="0"/>
      <c r="XW82" s="0"/>
      <c r="XX82" s="0"/>
      <c r="XY82" s="0"/>
      <c r="XZ82" s="0"/>
      <c r="YA82" s="0"/>
      <c r="YB82" s="0"/>
      <c r="YC82" s="0"/>
      <c r="YD82" s="0"/>
      <c r="YE82" s="0"/>
      <c r="YF82" s="0"/>
      <c r="YG82" s="0"/>
      <c r="YH82" s="0"/>
      <c r="YI82" s="0"/>
      <c r="YJ82" s="0"/>
      <c r="YK82" s="0"/>
      <c r="YL82" s="0"/>
      <c r="YM82" s="0"/>
      <c r="YN82" s="0"/>
      <c r="YO82" s="0"/>
      <c r="YP82" s="0"/>
      <c r="YQ82" s="0"/>
      <c r="YR82" s="0"/>
      <c r="YS82" s="0"/>
      <c r="YT82" s="0"/>
      <c r="YU82" s="0"/>
      <c r="YV82" s="0"/>
      <c r="YW82" s="0"/>
      <c r="YX82" s="0"/>
      <c r="YY82" s="0"/>
      <c r="YZ82" s="0"/>
      <c r="ZA82" s="0"/>
      <c r="ZB82" s="0"/>
      <c r="ZC82" s="0"/>
      <c r="ZD82" s="0"/>
      <c r="ZE82" s="0"/>
      <c r="ZF82" s="0"/>
      <c r="ZG82" s="0"/>
      <c r="ZH82" s="0"/>
      <c r="ZI82" s="0"/>
      <c r="ZJ82" s="0"/>
      <c r="ZK82" s="0"/>
      <c r="ZL82" s="0"/>
      <c r="ZM82" s="0"/>
      <c r="ZN82" s="0"/>
      <c r="ZO82" s="0"/>
      <c r="ZP82" s="0"/>
      <c r="ZQ82" s="0"/>
      <c r="ZR82" s="0"/>
      <c r="ZS82" s="0"/>
      <c r="ZT82" s="0"/>
      <c r="ZU82" s="0"/>
      <c r="ZV82" s="0"/>
      <c r="ZW82" s="0"/>
      <c r="ZX82" s="0"/>
      <c r="ZY82" s="0"/>
      <c r="ZZ82" s="0"/>
      <c r="AAA82" s="0"/>
      <c r="AAB82" s="0"/>
      <c r="AAC82" s="0"/>
      <c r="AAD82" s="0"/>
      <c r="AAE82" s="0"/>
      <c r="AAF82" s="0"/>
      <c r="AAG82" s="0"/>
      <c r="AAH82" s="0"/>
      <c r="AAI82" s="0"/>
      <c r="AAJ82" s="0"/>
      <c r="AAK82" s="0"/>
      <c r="AAL82" s="0"/>
      <c r="AAM82" s="0"/>
      <c r="AAN82" s="0"/>
      <c r="AAO82" s="0"/>
      <c r="AAP82" s="0"/>
      <c r="AAQ82" s="0"/>
      <c r="AAR82" s="0"/>
      <c r="AAS82" s="0"/>
      <c r="AAT82" s="0"/>
      <c r="AAU82" s="0"/>
      <c r="AAV82" s="0"/>
      <c r="AAW82" s="0"/>
      <c r="AAX82" s="0"/>
      <c r="AAY82" s="0"/>
      <c r="AAZ82" s="0"/>
      <c r="ABA82" s="0"/>
      <c r="ABB82" s="0"/>
      <c r="ABC82" s="0"/>
      <c r="ABD82" s="0"/>
      <c r="ABE82" s="0"/>
      <c r="ABF82" s="0"/>
      <c r="ABG82" s="0"/>
      <c r="ABH82" s="0"/>
      <c r="ABI82" s="0"/>
      <c r="ABJ82" s="0"/>
      <c r="ABK82" s="0"/>
      <c r="ABL82" s="0"/>
      <c r="ABM82" s="0"/>
      <c r="ABN82" s="0"/>
      <c r="ABO82" s="0"/>
      <c r="ABP82" s="0"/>
      <c r="ABQ82" s="0"/>
      <c r="ABR82" s="0"/>
      <c r="ABS82" s="0"/>
      <c r="ABT82" s="0"/>
      <c r="ABU82" s="0"/>
      <c r="ABV82" s="0"/>
      <c r="ABW82" s="0"/>
      <c r="ABX82" s="0"/>
      <c r="ABY82" s="0"/>
      <c r="ABZ82" s="0"/>
      <c r="ACA82" s="0"/>
      <c r="ACB82" s="0"/>
      <c r="ACC82" s="0"/>
      <c r="ACD82" s="0"/>
      <c r="ACE82" s="0"/>
      <c r="ACF82" s="0"/>
      <c r="ACG82" s="0"/>
      <c r="ACH82" s="0"/>
      <c r="ACI82" s="0"/>
      <c r="ACJ82" s="0"/>
      <c r="ACK82" s="0"/>
      <c r="ACL82" s="0"/>
      <c r="ACM82" s="0"/>
      <c r="ACN82" s="0"/>
      <c r="ACO82" s="0"/>
      <c r="ACP82" s="0"/>
      <c r="ACQ82" s="0"/>
      <c r="ACR82" s="0"/>
      <c r="ACS82" s="0"/>
      <c r="ACT82" s="0"/>
      <c r="ACU82" s="0"/>
      <c r="ACV82" s="0"/>
      <c r="ACW82" s="0"/>
      <c r="ACX82" s="0"/>
      <c r="ACY82" s="0"/>
      <c r="ACZ82" s="0"/>
      <c r="ADA82" s="0"/>
      <c r="ADB82" s="0"/>
      <c r="ADC82" s="0"/>
      <c r="ADD82" s="0"/>
      <c r="ADE82" s="0"/>
      <c r="ADF82" s="0"/>
      <c r="ADG82" s="0"/>
      <c r="ADH82" s="0"/>
      <c r="ADI82" s="0"/>
      <c r="ADJ82" s="0"/>
      <c r="ADK82" s="0"/>
      <c r="ADL82" s="0"/>
      <c r="ADM82" s="0"/>
      <c r="ADN82" s="0"/>
      <c r="ADO82" s="0"/>
      <c r="ADP82" s="0"/>
      <c r="ADQ82" s="0"/>
      <c r="ADR82" s="0"/>
      <c r="ADS82" s="0"/>
      <c r="ADT82" s="0"/>
      <c r="ADU82" s="0"/>
      <c r="ADV82" s="0"/>
      <c r="ADW82" s="0"/>
      <c r="ADX82" s="0"/>
      <c r="ADY82" s="0"/>
      <c r="ADZ82" s="0"/>
      <c r="AEA82" s="0"/>
      <c r="AEB82" s="0"/>
      <c r="AEC82" s="0"/>
      <c r="AED82" s="0"/>
      <c r="AEE82" s="0"/>
      <c r="AEF82" s="0"/>
      <c r="AEG82" s="0"/>
      <c r="AEH82" s="0"/>
      <c r="AEI82" s="0"/>
      <c r="AEJ82" s="0"/>
      <c r="AEK82" s="0"/>
      <c r="AEL82" s="0"/>
      <c r="AEM82" s="0"/>
      <c r="AEN82" s="0"/>
      <c r="AEO82" s="0"/>
      <c r="AEP82" s="0"/>
      <c r="AEQ82" s="0"/>
      <c r="AER82" s="0"/>
      <c r="AES82" s="0"/>
      <c r="AET82" s="0"/>
      <c r="AEU82" s="0"/>
      <c r="AEV82" s="0"/>
      <c r="AEW82" s="0"/>
      <c r="AEX82" s="0"/>
      <c r="AEY82" s="0"/>
      <c r="AEZ82" s="0"/>
      <c r="AFA82" s="0"/>
      <c r="AFB82" s="0"/>
      <c r="AFC82" s="0"/>
      <c r="AFD82" s="0"/>
      <c r="AFE82" s="0"/>
      <c r="AFF82" s="0"/>
      <c r="AFG82" s="0"/>
      <c r="AFH82" s="0"/>
      <c r="AFI82" s="0"/>
      <c r="AFJ82" s="0"/>
      <c r="AFK82" s="0"/>
      <c r="AFL82" s="0"/>
      <c r="AFM82" s="0"/>
      <c r="AFN82" s="0"/>
      <c r="AFO82" s="0"/>
      <c r="AFP82" s="0"/>
      <c r="AFQ82" s="0"/>
      <c r="AFR82" s="0"/>
      <c r="AFS82" s="0"/>
      <c r="AFT82" s="0"/>
      <c r="AFU82" s="0"/>
      <c r="AFV82" s="0"/>
      <c r="AFW82" s="0"/>
      <c r="AFX82" s="0"/>
      <c r="AFY82" s="0"/>
      <c r="AFZ82" s="0"/>
      <c r="AGA82" s="0"/>
      <c r="AGB82" s="0"/>
      <c r="AGC82" s="0"/>
      <c r="AGD82" s="0"/>
      <c r="AGE82" s="0"/>
      <c r="AGF82" s="0"/>
      <c r="AGG82" s="0"/>
      <c r="AGH82" s="0"/>
      <c r="AGI82" s="0"/>
      <c r="AGJ82" s="0"/>
      <c r="AGK82" s="0"/>
      <c r="AGL82" s="0"/>
      <c r="AGM82" s="0"/>
      <c r="AGN82" s="0"/>
      <c r="AGO82" s="0"/>
      <c r="AGP82" s="0"/>
      <c r="AGQ82" s="0"/>
      <c r="AGR82" s="0"/>
      <c r="AGS82" s="0"/>
      <c r="AGT82" s="0"/>
      <c r="AGU82" s="0"/>
      <c r="AGV82" s="0"/>
      <c r="AGW82" s="0"/>
      <c r="AGX82" s="0"/>
      <c r="AGY82" s="0"/>
      <c r="AGZ82" s="0"/>
      <c r="AHA82" s="0"/>
      <c r="AHB82" s="0"/>
      <c r="AHC82" s="0"/>
      <c r="AHD82" s="0"/>
      <c r="AHE82" s="0"/>
      <c r="AHF82" s="0"/>
      <c r="AHG82" s="0"/>
      <c r="AHH82" s="0"/>
      <c r="AHI82" s="0"/>
      <c r="AHJ82" s="0"/>
      <c r="AHK82" s="0"/>
      <c r="AHL82" s="0"/>
      <c r="AHM82" s="0"/>
      <c r="AHN82" s="0"/>
      <c r="AHO82" s="0"/>
      <c r="AHP82" s="0"/>
      <c r="AHQ82" s="0"/>
      <c r="AHR82" s="0"/>
      <c r="AHS82" s="0"/>
      <c r="AHT82" s="0"/>
      <c r="AHU82" s="0"/>
      <c r="AHV82" s="0"/>
      <c r="AHW82" s="0"/>
      <c r="AHX82" s="0"/>
      <c r="AHY82" s="0"/>
      <c r="AHZ82" s="0"/>
      <c r="AIA82" s="0"/>
      <c r="AIB82" s="0"/>
      <c r="AIC82" s="0"/>
      <c r="AID82" s="0"/>
      <c r="AIE82" s="0"/>
      <c r="AIF82" s="0"/>
      <c r="AIG82" s="0"/>
      <c r="AIH82" s="0"/>
      <c r="AII82" s="0"/>
      <c r="AIJ82" s="0"/>
      <c r="AIK82" s="0"/>
      <c r="AIL82" s="0"/>
      <c r="AIM82" s="0"/>
      <c r="AIN82" s="0"/>
      <c r="AIO82" s="0"/>
      <c r="AIP82" s="0"/>
      <c r="AIQ82" s="0"/>
      <c r="AIR82" s="0"/>
      <c r="AIS82" s="0"/>
      <c r="AIT82" s="0"/>
      <c r="AIU82" s="0"/>
      <c r="AIV82" s="0"/>
      <c r="AIW82" s="0"/>
      <c r="AIX82" s="0"/>
      <c r="AIY82" s="0"/>
      <c r="AIZ82" s="0"/>
      <c r="AJA82" s="0"/>
      <c r="AJB82" s="0"/>
      <c r="AJC82" s="0"/>
      <c r="AJD82" s="0"/>
      <c r="AJE82" s="0"/>
      <c r="AJF82" s="0"/>
      <c r="AJG82" s="0"/>
      <c r="AJH82" s="0"/>
      <c r="AJI82" s="0"/>
      <c r="AJJ82" s="0"/>
      <c r="AJK82" s="0"/>
      <c r="AJL82" s="0"/>
      <c r="AJM82" s="0"/>
      <c r="AJN82" s="0"/>
      <c r="AJO82" s="0"/>
      <c r="AJP82" s="0"/>
      <c r="AJQ82" s="0"/>
      <c r="AJR82" s="0"/>
      <c r="AJS82" s="0"/>
      <c r="AJT82" s="0"/>
      <c r="AJU82" s="0"/>
      <c r="AJV82" s="0"/>
      <c r="AJW82" s="0"/>
      <c r="AJX82" s="0"/>
      <c r="AJY82" s="0"/>
      <c r="AJZ82" s="0"/>
      <c r="AKA82" s="0"/>
      <c r="AKB82" s="0"/>
      <c r="AKC82" s="0"/>
      <c r="AKD82" s="0"/>
      <c r="AKE82" s="0"/>
      <c r="AKF82" s="0"/>
      <c r="AKG82" s="0"/>
      <c r="AKH82" s="0"/>
      <c r="AKI82" s="0"/>
      <c r="AKJ82" s="0"/>
      <c r="AKK82" s="0"/>
      <c r="AKL82" s="0"/>
      <c r="AKM82" s="0"/>
      <c r="AKN82" s="0"/>
      <c r="AKO82" s="0"/>
      <c r="AKP82" s="0"/>
      <c r="AKQ82" s="0"/>
      <c r="AKR82" s="0"/>
      <c r="AKS82" s="0"/>
      <c r="AKT82" s="0"/>
      <c r="AKU82" s="0"/>
      <c r="AKV82" s="0"/>
      <c r="AKW82" s="0"/>
      <c r="AKX82" s="0"/>
      <c r="AKY82" s="0"/>
      <c r="AKZ82" s="0"/>
      <c r="ALA82" s="0"/>
      <c r="ALB82" s="0"/>
      <c r="ALC82" s="0"/>
      <c r="ALD82" s="0"/>
      <c r="ALE82" s="0"/>
      <c r="ALF82" s="0"/>
      <c r="ALG82" s="0"/>
      <c r="ALH82" s="0"/>
      <c r="ALI82" s="0"/>
      <c r="ALJ82" s="0"/>
      <c r="ALK82" s="0"/>
      <c r="ALL82" s="0"/>
      <c r="ALM82" s="0"/>
      <c r="ALN82" s="0"/>
      <c r="ALO82" s="0"/>
      <c r="ALP82" s="0"/>
      <c r="ALQ82" s="0"/>
      <c r="ALR82" s="0"/>
      <c r="ALS82" s="0"/>
      <c r="ALT82" s="0"/>
      <c r="ALU82" s="0"/>
      <c r="ALV82" s="0"/>
      <c r="ALW82" s="0"/>
      <c r="ALX82" s="0"/>
      <c r="ALY82" s="0"/>
      <c r="ALZ82" s="0"/>
      <c r="AMA82" s="0"/>
      <c r="AMB82" s="0"/>
      <c r="AMC82" s="0"/>
      <c r="AMD82" s="0"/>
      <c r="AME82" s="0"/>
      <c r="AMF82" s="0"/>
      <c r="AMG82" s="0"/>
      <c r="AMH82" s="0"/>
      <c r="AMI82" s="0"/>
      <c r="AMJ82" s="0"/>
      <c r="AMK82" s="0"/>
      <c r="AML82" s="0"/>
      <c r="AMM82" s="0"/>
      <c r="AMN82" s="0"/>
      <c r="AMO82" s="0"/>
      <c r="AMP82" s="0"/>
      <c r="AMQ82" s="0"/>
      <c r="AMR82" s="0"/>
      <c r="AMS82" s="0"/>
      <c r="AMT82" s="0"/>
      <c r="AMU82" s="0"/>
      <c r="AMV82" s="0"/>
      <c r="AMW82" s="0"/>
      <c r="AMX82" s="0"/>
      <c r="AMY82" s="0"/>
      <c r="AMZ82" s="0"/>
      <c r="ANA82" s="0"/>
      <c r="ANB82" s="0"/>
      <c r="ANC82" s="0"/>
      <c r="AND82" s="0"/>
      <c r="ANE82" s="0"/>
      <c r="ANF82" s="0"/>
      <c r="ANG82" s="0"/>
      <c r="ANH82" s="0"/>
      <c r="ANI82" s="0"/>
      <c r="ANJ82" s="0"/>
      <c r="ANK82" s="0"/>
      <c r="ANL82" s="0"/>
      <c r="ANM82" s="0"/>
      <c r="ANN82" s="0"/>
      <c r="ANO82" s="0"/>
      <c r="ANP82" s="0"/>
      <c r="ANQ82" s="0"/>
      <c r="ANR82" s="0"/>
      <c r="ANS82" s="0"/>
      <c r="ANT82" s="0"/>
      <c r="ANU82" s="0"/>
      <c r="ANV82" s="0"/>
      <c r="ANW82" s="0"/>
      <c r="ANX82" s="0"/>
      <c r="ANY82" s="0"/>
      <c r="ANZ82" s="0"/>
      <c r="AOA82" s="0"/>
      <c r="AOB82" s="0"/>
      <c r="AOC82" s="0"/>
      <c r="AOD82" s="0"/>
      <c r="AOE82" s="0"/>
      <c r="AOF82" s="0"/>
      <c r="AOG82" s="0"/>
      <c r="AOH82" s="0"/>
      <c r="AOI82" s="0"/>
      <c r="AOJ82" s="0"/>
      <c r="AOK82" s="0"/>
      <c r="AOL82" s="0"/>
      <c r="AOM82" s="0"/>
      <c r="AON82" s="0"/>
      <c r="AOO82" s="0"/>
      <c r="AOP82" s="0"/>
      <c r="AOQ82" s="0"/>
      <c r="AOR82" s="0"/>
      <c r="AOS82" s="0"/>
      <c r="AOT82" s="0"/>
      <c r="AOU82" s="0"/>
      <c r="AOV82" s="0"/>
      <c r="AOW82" s="0"/>
      <c r="AOX82" s="0"/>
      <c r="AOY82" s="0"/>
      <c r="AOZ82" s="0"/>
      <c r="APA82" s="0"/>
      <c r="APB82" s="0"/>
      <c r="APC82" s="0"/>
      <c r="APD82" s="0"/>
      <c r="APE82" s="0"/>
      <c r="APF82" s="0"/>
      <c r="APG82" s="0"/>
      <c r="APH82" s="0"/>
      <c r="API82" s="0"/>
      <c r="APJ82" s="0"/>
      <c r="APK82" s="0"/>
      <c r="APL82" s="0"/>
      <c r="APM82" s="0"/>
      <c r="APN82" s="0"/>
      <c r="APO82" s="0"/>
      <c r="APP82" s="0"/>
      <c r="APQ82" s="0"/>
      <c r="APR82" s="0"/>
      <c r="APS82" s="0"/>
      <c r="APT82" s="0"/>
      <c r="APU82" s="0"/>
      <c r="APV82" s="0"/>
      <c r="APW82" s="0"/>
      <c r="APX82" s="0"/>
      <c r="APY82" s="0"/>
      <c r="APZ82" s="0"/>
      <c r="AQA82" s="0"/>
      <c r="AQB82" s="0"/>
      <c r="AQC82" s="0"/>
      <c r="AQD82" s="0"/>
      <c r="AQE82" s="0"/>
      <c r="AQF82" s="0"/>
      <c r="AQG82" s="0"/>
      <c r="AQH82" s="0"/>
      <c r="AQI82" s="0"/>
      <c r="AQJ82" s="0"/>
      <c r="AQK82" s="0"/>
      <c r="AQL82" s="0"/>
      <c r="AQM82" s="0"/>
      <c r="AQN82" s="0"/>
      <c r="AQO82" s="0"/>
      <c r="AQP82" s="0"/>
      <c r="AQQ82" s="0"/>
      <c r="AQR82" s="0"/>
      <c r="AQS82" s="0"/>
      <c r="AQT82" s="0"/>
      <c r="AQU82" s="0"/>
      <c r="AQV82" s="0"/>
      <c r="AQW82" s="0"/>
      <c r="AQX82" s="0"/>
      <c r="AQY82" s="0"/>
      <c r="AQZ82" s="0"/>
      <c r="ARA82" s="0"/>
      <c r="ARB82" s="0"/>
      <c r="ARC82" s="0"/>
      <c r="ARD82" s="0"/>
      <c r="ARE82" s="0"/>
      <c r="ARF82" s="0"/>
      <c r="ARG82" s="0"/>
      <c r="ARH82" s="0"/>
      <c r="ARI82" s="0"/>
      <c r="ARJ82" s="0"/>
      <c r="ARK82" s="0"/>
      <c r="ARL82" s="0"/>
      <c r="ARM82" s="0"/>
      <c r="ARN82" s="0"/>
      <c r="ARO82" s="0"/>
      <c r="ARP82" s="0"/>
      <c r="ARQ82" s="0"/>
      <c r="ARR82" s="0"/>
      <c r="ARS82" s="0"/>
      <c r="ART82" s="0"/>
      <c r="ARU82" s="0"/>
      <c r="ARV82" s="0"/>
      <c r="ARW82" s="0"/>
      <c r="ARX82" s="0"/>
      <c r="ARY82" s="0"/>
      <c r="ARZ82" s="0"/>
      <c r="ASA82" s="0"/>
      <c r="ASB82" s="0"/>
      <c r="ASC82" s="0"/>
      <c r="ASD82" s="0"/>
      <c r="ASE82" s="0"/>
      <c r="ASF82" s="0"/>
      <c r="ASG82" s="0"/>
      <c r="ASH82" s="0"/>
      <c r="ASI82" s="0"/>
      <c r="ASJ82" s="0"/>
      <c r="ASK82" s="0"/>
      <c r="ASL82" s="0"/>
      <c r="ASM82" s="0"/>
      <c r="ASN82" s="0"/>
      <c r="ASO82" s="0"/>
      <c r="ASP82" s="0"/>
      <c r="ASQ82" s="0"/>
      <c r="ASR82" s="0"/>
      <c r="ASS82" s="0"/>
      <c r="AST82" s="0"/>
      <c r="ASU82" s="0"/>
      <c r="ASV82" s="0"/>
      <c r="ASW82" s="0"/>
      <c r="ASX82" s="0"/>
      <c r="ASY82" s="0"/>
      <c r="ASZ82" s="0"/>
      <c r="ATA82" s="0"/>
      <c r="ATB82" s="0"/>
      <c r="ATC82" s="0"/>
      <c r="ATD82" s="0"/>
      <c r="ATE82" s="0"/>
      <c r="ATF82" s="0"/>
      <c r="ATG82" s="0"/>
      <c r="ATH82" s="0"/>
      <c r="ATI82" s="0"/>
      <c r="ATJ82" s="0"/>
      <c r="ATK82" s="0"/>
      <c r="ATL82" s="0"/>
      <c r="ATM82" s="0"/>
      <c r="ATN82" s="0"/>
      <c r="ATO82" s="0"/>
      <c r="ATP82" s="0"/>
      <c r="ATQ82" s="0"/>
      <c r="ATR82" s="0"/>
      <c r="ATS82" s="0"/>
      <c r="ATT82" s="0"/>
      <c r="ATU82" s="0"/>
      <c r="ATV82" s="0"/>
      <c r="ATW82" s="0"/>
      <c r="ATX82" s="0"/>
      <c r="ATY82" s="0"/>
      <c r="ATZ82" s="0"/>
      <c r="AUA82" s="0"/>
      <c r="AUB82" s="0"/>
      <c r="AUC82" s="0"/>
      <c r="AUD82" s="0"/>
      <c r="AUE82" s="0"/>
      <c r="AUF82" s="0"/>
      <c r="AUG82" s="0"/>
      <c r="AUH82" s="0"/>
      <c r="AUI82" s="0"/>
      <c r="AUJ82" s="0"/>
      <c r="AUK82" s="0"/>
      <c r="AUL82" s="0"/>
      <c r="AUM82" s="0"/>
      <c r="AUN82" s="0"/>
      <c r="AUO82" s="0"/>
      <c r="AUP82" s="0"/>
      <c r="AUQ82" s="0"/>
      <c r="AUR82" s="0"/>
      <c r="AUS82" s="0"/>
      <c r="AUT82" s="0"/>
      <c r="AUU82" s="0"/>
      <c r="AUV82" s="0"/>
      <c r="AUW82" s="0"/>
      <c r="AUX82" s="0"/>
      <c r="AUY82" s="0"/>
      <c r="AUZ82" s="0"/>
      <c r="AVA82" s="0"/>
      <c r="AVB82" s="0"/>
      <c r="AVC82" s="0"/>
      <c r="AVD82" s="0"/>
      <c r="AVE82" s="0"/>
      <c r="AVF82" s="0"/>
      <c r="AVG82" s="0"/>
      <c r="AVH82" s="0"/>
      <c r="AVI82" s="0"/>
      <c r="AVJ82" s="0"/>
      <c r="AVK82" s="0"/>
      <c r="AVL82" s="0"/>
      <c r="AVM82" s="0"/>
      <c r="AVN82" s="0"/>
      <c r="AVO82" s="0"/>
      <c r="AVP82" s="0"/>
      <c r="AVQ82" s="0"/>
      <c r="AVR82" s="0"/>
      <c r="AVS82" s="0"/>
      <c r="AVT82" s="0"/>
      <c r="AVU82" s="0"/>
      <c r="AVV82" s="0"/>
      <c r="AVW82" s="0"/>
      <c r="AVX82" s="0"/>
      <c r="AVY82" s="0"/>
      <c r="AVZ82" s="0"/>
      <c r="AWA82" s="0"/>
      <c r="AWB82" s="0"/>
      <c r="AWC82" s="0"/>
      <c r="AWD82" s="0"/>
      <c r="AWE82" s="0"/>
      <c r="AWF82" s="0"/>
      <c r="AWG82" s="0"/>
      <c r="AWH82" s="0"/>
      <c r="AWI82" s="0"/>
      <c r="AWJ82" s="0"/>
      <c r="AWK82" s="0"/>
      <c r="AWL82" s="0"/>
      <c r="AWM82" s="0"/>
      <c r="AWN82" s="0"/>
      <c r="AWO82" s="0"/>
      <c r="AWP82" s="0"/>
      <c r="AWQ82" s="0"/>
      <c r="AWR82" s="0"/>
      <c r="AWS82" s="0"/>
      <c r="AWT82" s="0"/>
      <c r="AWU82" s="0"/>
      <c r="AWV82" s="0"/>
      <c r="AWW82" s="0"/>
      <c r="AWX82" s="0"/>
      <c r="AWY82" s="0"/>
      <c r="AWZ82" s="0"/>
      <c r="AXA82" s="0"/>
      <c r="AXB82" s="0"/>
      <c r="AXC82" s="0"/>
      <c r="AXD82" s="0"/>
      <c r="AXE82" s="0"/>
      <c r="AXF82" s="0"/>
      <c r="AXG82" s="0"/>
      <c r="AXH82" s="0"/>
      <c r="AXI82" s="0"/>
      <c r="AXJ82" s="0"/>
      <c r="AXK82" s="0"/>
      <c r="AXL82" s="0"/>
      <c r="AXM82" s="0"/>
      <c r="AXN82" s="0"/>
      <c r="AXO82" s="0"/>
      <c r="AXP82" s="0"/>
      <c r="AXQ82" s="0"/>
      <c r="AXR82" s="0"/>
      <c r="AXS82" s="0"/>
      <c r="AXT82" s="0"/>
      <c r="AXU82" s="0"/>
      <c r="AXV82" s="0"/>
      <c r="AXW82" s="0"/>
      <c r="AXX82" s="0"/>
      <c r="AXY82" s="0"/>
      <c r="AXZ82" s="0"/>
      <c r="AYA82" s="0"/>
      <c r="AYB82" s="0"/>
      <c r="AYC82" s="0"/>
      <c r="AYD82" s="0"/>
      <c r="AYE82" s="0"/>
      <c r="AYF82" s="0"/>
      <c r="AYG82" s="0"/>
      <c r="AYH82" s="0"/>
      <c r="AYI82" s="0"/>
      <c r="AYJ82" s="0"/>
      <c r="AYK82" s="0"/>
      <c r="AYL82" s="0"/>
      <c r="AYM82" s="0"/>
      <c r="AYN82" s="0"/>
      <c r="AYO82" s="0"/>
      <c r="AYP82" s="0"/>
      <c r="AYQ82" s="0"/>
      <c r="AYR82" s="0"/>
      <c r="AYS82" s="0"/>
      <c r="AYT82" s="0"/>
      <c r="AYU82" s="0"/>
      <c r="AYV82" s="0"/>
      <c r="AYW82" s="0"/>
      <c r="AYX82" s="0"/>
      <c r="AYY82" s="0"/>
      <c r="AYZ82" s="0"/>
      <c r="AZA82" s="0"/>
      <c r="AZB82" s="0"/>
      <c r="AZC82" s="0"/>
      <c r="AZD82" s="0"/>
      <c r="AZE82" s="0"/>
      <c r="AZF82" s="0"/>
      <c r="AZG82" s="0"/>
      <c r="AZH82" s="0"/>
      <c r="AZI82" s="0"/>
      <c r="AZJ82" s="0"/>
      <c r="AZK82" s="0"/>
      <c r="AZL82" s="0"/>
      <c r="AZM82" s="0"/>
      <c r="AZN82" s="0"/>
      <c r="AZO82" s="0"/>
      <c r="AZP82" s="0"/>
      <c r="AZQ82" s="0"/>
      <c r="AZR82" s="0"/>
      <c r="AZS82" s="0"/>
      <c r="AZT82" s="0"/>
      <c r="AZU82" s="0"/>
      <c r="AZV82" s="0"/>
      <c r="AZW82" s="0"/>
      <c r="AZX82" s="0"/>
      <c r="AZY82" s="0"/>
      <c r="AZZ82" s="0"/>
      <c r="BAA82" s="0"/>
      <c r="BAB82" s="0"/>
      <c r="BAC82" s="0"/>
      <c r="BAD82" s="0"/>
      <c r="BAE82" s="0"/>
      <c r="BAF82" s="0"/>
      <c r="BAG82" s="0"/>
      <c r="BAH82" s="0"/>
      <c r="BAI82" s="0"/>
      <c r="BAJ82" s="0"/>
      <c r="BAK82" s="0"/>
      <c r="BAL82" s="0"/>
      <c r="BAM82" s="0"/>
      <c r="BAN82" s="0"/>
      <c r="BAO82" s="0"/>
      <c r="BAP82" s="0"/>
      <c r="BAQ82" s="0"/>
      <c r="BAR82" s="0"/>
      <c r="BAS82" s="0"/>
      <c r="BAT82" s="0"/>
      <c r="BAU82" s="0"/>
      <c r="BAV82" s="0"/>
      <c r="BAW82" s="0"/>
      <c r="BAX82" s="0"/>
      <c r="BAY82" s="0"/>
      <c r="BAZ82" s="0"/>
      <c r="BBA82" s="0"/>
      <c r="BBB82" s="0"/>
      <c r="BBC82" s="0"/>
      <c r="BBD82" s="0"/>
      <c r="BBE82" s="0"/>
      <c r="BBF82" s="0"/>
      <c r="BBG82" s="0"/>
      <c r="BBH82" s="0"/>
      <c r="BBI82" s="0"/>
      <c r="BBJ82" s="0"/>
      <c r="BBK82" s="0"/>
      <c r="BBL82" s="0"/>
      <c r="BBM82" s="0"/>
      <c r="BBN82" s="0"/>
      <c r="BBO82" s="0"/>
      <c r="BBP82" s="0"/>
      <c r="BBQ82" s="0"/>
      <c r="BBR82" s="0"/>
      <c r="BBS82" s="0"/>
      <c r="BBT82" s="0"/>
      <c r="BBU82" s="0"/>
      <c r="BBV82" s="0"/>
      <c r="BBW82" s="0"/>
      <c r="BBX82" s="0"/>
      <c r="BBY82" s="0"/>
      <c r="BBZ82" s="0"/>
      <c r="BCA82" s="0"/>
      <c r="BCB82" s="0"/>
      <c r="BCC82" s="0"/>
      <c r="BCD82" s="0"/>
      <c r="BCE82" s="0"/>
      <c r="BCF82" s="0"/>
      <c r="BCG82" s="0"/>
      <c r="BCH82" s="0"/>
      <c r="BCI82" s="0"/>
      <c r="BCJ82" s="0"/>
      <c r="BCK82" s="0"/>
      <c r="BCL82" s="0"/>
      <c r="BCM82" s="0"/>
      <c r="BCN82" s="0"/>
      <c r="BCO82" s="0"/>
      <c r="BCP82" s="0"/>
      <c r="BCQ82" s="0"/>
      <c r="BCR82" s="0"/>
      <c r="BCS82" s="0"/>
      <c r="BCT82" s="0"/>
      <c r="BCU82" s="0"/>
      <c r="BCV82" s="0"/>
      <c r="BCW82" s="0"/>
      <c r="BCX82" s="0"/>
      <c r="BCY82" s="0"/>
      <c r="BCZ82" s="0"/>
      <c r="BDA82" s="0"/>
      <c r="BDB82" s="0"/>
      <c r="BDC82" s="0"/>
      <c r="BDD82" s="0"/>
      <c r="BDE82" s="0"/>
      <c r="BDF82" s="0"/>
      <c r="BDG82" s="0"/>
      <c r="BDH82" s="0"/>
      <c r="BDI82" s="0"/>
      <c r="BDJ82" s="0"/>
      <c r="BDK82" s="0"/>
      <c r="BDL82" s="0"/>
      <c r="BDM82" s="0"/>
      <c r="BDN82" s="0"/>
      <c r="BDO82" s="0"/>
      <c r="BDP82" s="0"/>
      <c r="BDQ82" s="0"/>
      <c r="BDR82" s="0"/>
      <c r="BDS82" s="0"/>
      <c r="BDT82" s="0"/>
      <c r="BDU82" s="0"/>
      <c r="BDV82" s="0"/>
      <c r="BDW82" s="0"/>
      <c r="BDX82" s="0"/>
      <c r="BDY82" s="0"/>
      <c r="BDZ82" s="0"/>
      <c r="BEA82" s="0"/>
      <c r="BEB82" s="0"/>
      <c r="BEC82" s="0"/>
      <c r="BED82" s="0"/>
      <c r="BEE82" s="0"/>
      <c r="BEF82" s="0"/>
      <c r="BEG82" s="0"/>
      <c r="BEH82" s="0"/>
      <c r="BEI82" s="0"/>
      <c r="BEJ82" s="0"/>
      <c r="BEK82" s="0"/>
      <c r="BEL82" s="0"/>
      <c r="BEM82" s="0"/>
      <c r="BEN82" s="0"/>
      <c r="BEO82" s="0"/>
      <c r="BEP82" s="0"/>
      <c r="BEQ82" s="0"/>
      <c r="BER82" s="0"/>
      <c r="BES82" s="0"/>
      <c r="BET82" s="0"/>
      <c r="BEU82" s="0"/>
      <c r="BEV82" s="0"/>
      <c r="BEW82" s="0"/>
      <c r="BEX82" s="0"/>
      <c r="BEY82" s="0"/>
      <c r="BEZ82" s="0"/>
      <c r="BFA82" s="0"/>
      <c r="BFB82" s="0"/>
      <c r="BFC82" s="0"/>
      <c r="BFD82" s="0"/>
      <c r="BFE82" s="0"/>
      <c r="BFF82" s="0"/>
      <c r="BFG82" s="0"/>
      <c r="BFH82" s="0"/>
      <c r="BFI82" s="0"/>
      <c r="BFJ82" s="0"/>
      <c r="BFK82" s="0"/>
      <c r="BFL82" s="0"/>
      <c r="BFM82" s="0"/>
      <c r="BFN82" s="0"/>
      <c r="BFO82" s="0"/>
      <c r="BFP82" s="0"/>
      <c r="BFQ82" s="0"/>
      <c r="BFR82" s="0"/>
      <c r="BFS82" s="0"/>
      <c r="BFT82" s="0"/>
      <c r="BFU82" s="0"/>
      <c r="BFV82" s="0"/>
      <c r="BFW82" s="0"/>
      <c r="BFX82" s="0"/>
      <c r="BFY82" s="0"/>
      <c r="BFZ82" s="0"/>
      <c r="BGA82" s="0"/>
      <c r="BGB82" s="0"/>
      <c r="BGC82" s="0"/>
      <c r="BGD82" s="0"/>
      <c r="BGE82" s="0"/>
      <c r="BGF82" s="0"/>
      <c r="BGG82" s="0"/>
      <c r="BGH82" s="0"/>
      <c r="BGI82" s="0"/>
      <c r="BGJ82" s="0"/>
      <c r="BGK82" s="0"/>
      <c r="BGL82" s="0"/>
      <c r="BGM82" s="0"/>
      <c r="BGN82" s="0"/>
      <c r="BGO82" s="0"/>
      <c r="BGP82" s="0"/>
      <c r="BGQ82" s="0"/>
      <c r="BGR82" s="0"/>
      <c r="BGS82" s="0"/>
      <c r="BGT82" s="0"/>
      <c r="BGU82" s="0"/>
      <c r="BGV82" s="0"/>
      <c r="BGW82" s="0"/>
      <c r="BGX82" s="0"/>
      <c r="BGY82" s="0"/>
      <c r="BGZ82" s="0"/>
      <c r="BHA82" s="0"/>
      <c r="BHB82" s="0"/>
      <c r="BHC82" s="0"/>
      <c r="BHD82" s="0"/>
      <c r="BHE82" s="0"/>
      <c r="BHF82" s="0"/>
      <c r="BHG82" s="0"/>
      <c r="BHH82" s="0"/>
      <c r="BHI82" s="0"/>
      <c r="BHJ82" s="0"/>
      <c r="BHK82" s="0"/>
      <c r="BHL82" s="0"/>
      <c r="BHM82" s="0"/>
      <c r="BHN82" s="0"/>
      <c r="BHO82" s="0"/>
      <c r="BHP82" s="0"/>
      <c r="BHQ82" s="0"/>
      <c r="BHR82" s="0"/>
      <c r="BHS82" s="0"/>
      <c r="BHT82" s="0"/>
      <c r="BHU82" s="0"/>
      <c r="BHV82" s="0"/>
      <c r="BHW82" s="0"/>
      <c r="BHX82" s="0"/>
      <c r="BHY82" s="0"/>
      <c r="BHZ82" s="0"/>
      <c r="BIA82" s="0"/>
      <c r="BIB82" s="0"/>
      <c r="BIC82" s="0"/>
      <c r="BID82" s="0"/>
      <c r="BIE82" s="0"/>
      <c r="BIF82" s="0"/>
      <c r="BIG82" s="0"/>
      <c r="BIH82" s="0"/>
      <c r="BII82" s="0"/>
      <c r="BIJ82" s="0"/>
      <c r="BIK82" s="0"/>
      <c r="BIL82" s="0"/>
      <c r="BIM82" s="0"/>
      <c r="BIN82" s="0"/>
      <c r="BIO82" s="0"/>
      <c r="BIP82" s="0"/>
      <c r="BIQ82" s="0"/>
      <c r="BIR82" s="0"/>
      <c r="BIS82" s="0"/>
      <c r="BIT82" s="0"/>
      <c r="BIU82" s="0"/>
      <c r="BIV82" s="0"/>
      <c r="BIW82" s="0"/>
      <c r="BIX82" s="0"/>
      <c r="BIY82" s="0"/>
      <c r="BIZ82" s="0"/>
      <c r="BJA82" s="0"/>
      <c r="BJB82" s="0"/>
      <c r="BJC82" s="0"/>
      <c r="BJD82" s="0"/>
      <c r="BJE82" s="0"/>
      <c r="BJF82" s="0"/>
      <c r="BJG82" s="0"/>
      <c r="BJH82" s="0"/>
      <c r="BJI82" s="0"/>
      <c r="BJJ82" s="0"/>
      <c r="BJK82" s="0"/>
      <c r="BJL82" s="0"/>
      <c r="BJM82" s="0"/>
      <c r="BJN82" s="0"/>
      <c r="BJO82" s="0"/>
      <c r="BJP82" s="0"/>
      <c r="BJQ82" s="0"/>
      <c r="BJR82" s="0"/>
      <c r="BJS82" s="0"/>
      <c r="BJT82" s="0"/>
      <c r="BJU82" s="0"/>
      <c r="BJV82" s="0"/>
      <c r="BJW82" s="0"/>
      <c r="BJX82" s="0"/>
      <c r="BJY82" s="0"/>
      <c r="BJZ82" s="0"/>
      <c r="BKA82" s="0"/>
      <c r="BKB82" s="0"/>
      <c r="BKC82" s="0"/>
      <c r="BKD82" s="0"/>
      <c r="BKE82" s="0"/>
      <c r="BKF82" s="0"/>
      <c r="BKG82" s="0"/>
      <c r="BKH82" s="0"/>
      <c r="BKI82" s="0"/>
      <c r="BKJ82" s="0"/>
      <c r="BKK82" s="0"/>
      <c r="BKL82" s="0"/>
      <c r="BKM82" s="0"/>
      <c r="BKN82" s="0"/>
      <c r="BKO82" s="0"/>
      <c r="BKP82" s="0"/>
      <c r="BKQ82" s="0"/>
      <c r="BKR82" s="0"/>
      <c r="BKS82" s="0"/>
      <c r="BKT82" s="0"/>
      <c r="BKU82" s="0"/>
      <c r="BKV82" s="0"/>
      <c r="BKW82" s="0"/>
      <c r="BKX82" s="0"/>
      <c r="BKY82" s="0"/>
      <c r="BKZ82" s="0"/>
      <c r="BLA82" s="0"/>
      <c r="BLB82" s="0"/>
      <c r="BLC82" s="0"/>
      <c r="BLD82" s="0"/>
      <c r="BLE82" s="0"/>
      <c r="BLF82" s="0"/>
      <c r="BLG82" s="0"/>
      <c r="BLH82" s="0"/>
      <c r="BLI82" s="0"/>
      <c r="BLJ82" s="0"/>
      <c r="BLK82" s="0"/>
      <c r="BLL82" s="0"/>
      <c r="BLM82" s="0"/>
      <c r="BLN82" s="0"/>
      <c r="BLO82" s="0"/>
      <c r="BLP82" s="0"/>
      <c r="BLQ82" s="0"/>
      <c r="BLR82" s="0"/>
      <c r="BLS82" s="0"/>
      <c r="BLT82" s="0"/>
      <c r="BLU82" s="0"/>
      <c r="BLV82" s="0"/>
      <c r="BLW82" s="0"/>
      <c r="BLX82" s="0"/>
      <c r="BLY82" s="0"/>
      <c r="BLZ82" s="0"/>
      <c r="BMA82" s="0"/>
      <c r="BMB82" s="0"/>
      <c r="BMC82" s="0"/>
      <c r="BMD82" s="0"/>
      <c r="BME82" s="0"/>
      <c r="BMF82" s="0"/>
      <c r="BMG82" s="0"/>
      <c r="BMH82" s="0"/>
      <c r="BMI82" s="0"/>
      <c r="BMJ82" s="0"/>
      <c r="BMK82" s="0"/>
      <c r="BML82" s="0"/>
      <c r="BMM82" s="0"/>
      <c r="BMN82" s="0"/>
      <c r="BMO82" s="0"/>
      <c r="BMP82" s="0"/>
      <c r="BMQ82" s="0"/>
      <c r="BMR82" s="0"/>
      <c r="BMS82" s="0"/>
      <c r="BMT82" s="0"/>
      <c r="BMU82" s="0"/>
      <c r="BMV82" s="0"/>
      <c r="BMW82" s="0"/>
      <c r="BMX82" s="0"/>
      <c r="BMY82" s="0"/>
      <c r="BMZ82" s="0"/>
      <c r="BNA82" s="0"/>
      <c r="BNB82" s="0"/>
      <c r="BNC82" s="0"/>
      <c r="BND82" s="0"/>
      <c r="BNE82" s="0"/>
      <c r="BNF82" s="0"/>
      <c r="BNG82" s="0"/>
      <c r="BNH82" s="0"/>
      <c r="BNI82" s="0"/>
      <c r="BNJ82" s="0"/>
      <c r="BNK82" s="0"/>
      <c r="BNL82" s="0"/>
      <c r="BNM82" s="0"/>
      <c r="BNN82" s="0"/>
      <c r="BNO82" s="0"/>
      <c r="BNP82" s="0"/>
      <c r="BNQ82" s="0"/>
      <c r="BNR82" s="0"/>
      <c r="BNS82" s="0"/>
      <c r="BNT82" s="0"/>
      <c r="BNU82" s="0"/>
      <c r="BNV82" s="0"/>
      <c r="BNW82" s="0"/>
      <c r="BNX82" s="0"/>
      <c r="BNY82" s="0"/>
      <c r="BNZ82" s="0"/>
      <c r="BOA82" s="0"/>
      <c r="BOB82" s="0"/>
      <c r="BOC82" s="0"/>
      <c r="BOD82" s="0"/>
      <c r="BOE82" s="0"/>
      <c r="BOF82" s="0"/>
      <c r="BOG82" s="0"/>
      <c r="BOH82" s="0"/>
      <c r="BOI82" s="0"/>
      <c r="BOJ82" s="0"/>
      <c r="BOK82" s="0"/>
      <c r="BOL82" s="0"/>
      <c r="BOM82" s="0"/>
      <c r="BON82" s="0"/>
      <c r="BOO82" s="0"/>
      <c r="BOP82" s="0"/>
      <c r="BOQ82" s="0"/>
      <c r="BOR82" s="0"/>
      <c r="BOS82" s="0"/>
      <c r="BOT82" s="0"/>
      <c r="BOU82" s="0"/>
      <c r="BOV82" s="0"/>
      <c r="BOW82" s="0"/>
      <c r="BOX82" s="0"/>
      <c r="BOY82" s="0"/>
      <c r="BOZ82" s="0"/>
      <c r="BPA82" s="0"/>
      <c r="BPB82" s="0"/>
      <c r="BPC82" s="0"/>
      <c r="BPD82" s="0"/>
      <c r="BPE82" s="0"/>
      <c r="BPF82" s="0"/>
      <c r="BPG82" s="0"/>
      <c r="BPH82" s="0"/>
      <c r="BPI82" s="0"/>
      <c r="BPJ82" s="0"/>
      <c r="BPK82" s="0"/>
      <c r="BPL82" s="0"/>
      <c r="BPM82" s="0"/>
      <c r="BPN82" s="0"/>
      <c r="BPO82" s="0"/>
      <c r="BPP82" s="0"/>
      <c r="BPQ82" s="0"/>
      <c r="BPR82" s="0"/>
      <c r="BPS82" s="0"/>
      <c r="BPT82" s="0"/>
      <c r="BPU82" s="0"/>
      <c r="BPV82" s="0"/>
      <c r="BPW82" s="0"/>
      <c r="BPX82" s="0"/>
      <c r="BPY82" s="0"/>
      <c r="BPZ82" s="0"/>
      <c r="BQA82" s="0"/>
      <c r="BQB82" s="0"/>
      <c r="BQC82" s="0"/>
      <c r="BQD82" s="0"/>
      <c r="BQE82" s="0"/>
      <c r="BQF82" s="0"/>
      <c r="BQG82" s="0"/>
      <c r="BQH82" s="0"/>
      <c r="BQI82" s="0"/>
      <c r="BQJ82" s="0"/>
      <c r="BQK82" s="0"/>
      <c r="BQL82" s="0"/>
      <c r="BQM82" s="0"/>
      <c r="BQN82" s="0"/>
      <c r="BQO82" s="0"/>
      <c r="BQP82" s="0"/>
      <c r="BQQ82" s="0"/>
      <c r="BQR82" s="0"/>
      <c r="BQS82" s="0"/>
      <c r="BQT82" s="0"/>
      <c r="BQU82" s="0"/>
      <c r="BQV82" s="0"/>
      <c r="BQW82" s="0"/>
      <c r="BQX82" s="0"/>
      <c r="BQY82" s="0"/>
      <c r="BQZ82" s="0"/>
      <c r="BRA82" s="0"/>
      <c r="BRB82" s="0"/>
      <c r="BRC82" s="0"/>
      <c r="BRD82" s="0"/>
      <c r="BRE82" s="0"/>
      <c r="BRF82" s="0"/>
      <c r="BRG82" s="0"/>
      <c r="BRH82" s="0"/>
      <c r="BRI82" s="0"/>
      <c r="BRJ82" s="0"/>
      <c r="BRK82" s="0"/>
      <c r="BRL82" s="0"/>
      <c r="BRM82" s="0"/>
      <c r="BRN82" s="0"/>
      <c r="BRO82" s="0"/>
      <c r="BRP82" s="0"/>
      <c r="BRQ82" s="0"/>
      <c r="BRR82" s="0"/>
      <c r="BRS82" s="0"/>
      <c r="BRT82" s="0"/>
      <c r="BRU82" s="0"/>
      <c r="BRV82" s="0"/>
      <c r="BRW82" s="0"/>
      <c r="BRX82" s="0"/>
      <c r="BRY82" s="0"/>
      <c r="BRZ82" s="0"/>
      <c r="BSA82" s="0"/>
      <c r="BSB82" s="0"/>
      <c r="BSC82" s="0"/>
      <c r="BSD82" s="0"/>
      <c r="BSE82" s="0"/>
      <c r="BSF82" s="0"/>
      <c r="BSG82" s="0"/>
      <c r="BSH82" s="0"/>
      <c r="BSI82" s="0"/>
      <c r="BSJ82" s="0"/>
      <c r="BSK82" s="0"/>
      <c r="BSL82" s="0"/>
      <c r="BSM82" s="0"/>
      <c r="BSN82" s="0"/>
      <c r="BSO82" s="0"/>
      <c r="BSP82" s="0"/>
      <c r="BSQ82" s="0"/>
      <c r="BSR82" s="0"/>
      <c r="BSS82" s="0"/>
      <c r="BST82" s="0"/>
      <c r="BSU82" s="0"/>
      <c r="BSV82" s="0"/>
      <c r="BSW82" s="0"/>
      <c r="BSX82" s="0"/>
      <c r="BSY82" s="0"/>
      <c r="BSZ82" s="0"/>
      <c r="BTA82" s="0"/>
      <c r="BTB82" s="0"/>
      <c r="BTC82" s="0"/>
      <c r="BTD82" s="0"/>
      <c r="BTE82" s="0"/>
      <c r="BTF82" s="0"/>
      <c r="BTG82" s="0"/>
      <c r="BTH82" s="0"/>
      <c r="BTI82" s="0"/>
      <c r="BTJ82" s="0"/>
      <c r="BTK82" s="0"/>
      <c r="BTL82" s="0"/>
      <c r="BTM82" s="0"/>
      <c r="BTN82" s="0"/>
      <c r="BTO82" s="0"/>
      <c r="BTP82" s="0"/>
      <c r="BTQ82" s="0"/>
      <c r="BTR82" s="0"/>
      <c r="BTS82" s="0"/>
      <c r="BTT82" s="0"/>
      <c r="BTU82" s="0"/>
      <c r="BTV82" s="0"/>
      <c r="BTW82" s="0"/>
      <c r="BTX82" s="0"/>
      <c r="BTY82" s="0"/>
      <c r="BTZ82" s="0"/>
      <c r="BUA82" s="0"/>
      <c r="BUB82" s="0"/>
      <c r="BUC82" s="0"/>
      <c r="BUD82" s="0"/>
      <c r="BUE82" s="0"/>
      <c r="BUF82" s="0"/>
      <c r="BUG82" s="0"/>
      <c r="BUH82" s="0"/>
      <c r="BUI82" s="0"/>
      <c r="BUJ82" s="0"/>
      <c r="BUK82" s="0"/>
      <c r="BUL82" s="0"/>
      <c r="BUM82" s="0"/>
      <c r="BUN82" s="0"/>
      <c r="BUO82" s="0"/>
      <c r="BUP82" s="0"/>
      <c r="BUQ82" s="0"/>
      <c r="BUR82" s="0"/>
      <c r="BUS82" s="0"/>
      <c r="BUT82" s="0"/>
      <c r="BUU82" s="0"/>
      <c r="BUV82" s="0"/>
      <c r="BUW82" s="0"/>
      <c r="BUX82" s="0"/>
      <c r="BUY82" s="0"/>
      <c r="BUZ82" s="0"/>
      <c r="BVA82" s="0"/>
      <c r="BVB82" s="0"/>
      <c r="BVC82" s="0"/>
      <c r="BVD82" s="0"/>
      <c r="BVE82" s="0"/>
      <c r="BVF82" s="0"/>
      <c r="BVG82" s="0"/>
      <c r="BVH82" s="0"/>
      <c r="BVI82" s="0"/>
      <c r="BVJ82" s="0"/>
      <c r="BVK82" s="0"/>
      <c r="BVL82" s="0"/>
      <c r="BVM82" s="0"/>
      <c r="BVN82" s="0"/>
      <c r="BVO82" s="0"/>
      <c r="BVP82" s="0"/>
      <c r="BVQ82" s="0"/>
      <c r="BVR82" s="0"/>
      <c r="BVS82" s="0"/>
      <c r="BVT82" s="0"/>
      <c r="BVU82" s="0"/>
      <c r="BVV82" s="0"/>
      <c r="BVW82" s="0"/>
      <c r="BVX82" s="0"/>
      <c r="BVY82" s="0"/>
      <c r="BVZ82" s="0"/>
      <c r="BWA82" s="0"/>
      <c r="BWB82" s="0"/>
      <c r="BWC82" s="0"/>
      <c r="BWD82" s="0"/>
      <c r="BWE82" s="0"/>
      <c r="BWF82" s="0"/>
      <c r="BWG82" s="0"/>
      <c r="BWH82" s="0"/>
      <c r="BWI82" s="0"/>
      <c r="BWJ82" s="0"/>
      <c r="BWK82" s="0"/>
      <c r="BWL82" s="0"/>
      <c r="BWM82" s="0"/>
      <c r="BWN82" s="0"/>
      <c r="BWO82" s="0"/>
      <c r="BWP82" s="0"/>
      <c r="BWQ82" s="0"/>
      <c r="BWR82" s="0"/>
      <c r="BWS82" s="0"/>
      <c r="BWT82" s="0"/>
      <c r="BWU82" s="0"/>
      <c r="BWV82" s="0"/>
      <c r="BWW82" s="0"/>
      <c r="BWX82" s="0"/>
      <c r="BWY82" s="0"/>
      <c r="BWZ82" s="0"/>
      <c r="BXA82" s="0"/>
      <c r="BXB82" s="0"/>
      <c r="BXC82" s="0"/>
      <c r="BXD82" s="0"/>
      <c r="BXE82" s="0"/>
      <c r="BXF82" s="0"/>
      <c r="BXG82" s="0"/>
      <c r="BXH82" s="0"/>
      <c r="BXI82" s="0"/>
      <c r="BXJ82" s="0"/>
      <c r="BXK82" s="0"/>
      <c r="BXL82" s="0"/>
      <c r="BXM82" s="0"/>
      <c r="BXN82" s="0"/>
      <c r="BXO82" s="0"/>
      <c r="BXP82" s="0"/>
      <c r="BXQ82" s="0"/>
      <c r="BXR82" s="0"/>
      <c r="BXS82" s="0"/>
      <c r="BXT82" s="0"/>
      <c r="BXU82" s="0"/>
      <c r="BXV82" s="0"/>
      <c r="BXW82" s="0"/>
      <c r="BXX82" s="0"/>
      <c r="BXY82" s="0"/>
      <c r="BXZ82" s="0"/>
      <c r="BYA82" s="0"/>
      <c r="BYB82" s="0"/>
      <c r="BYC82" s="0"/>
      <c r="BYD82" s="0"/>
      <c r="BYE82" s="0"/>
      <c r="BYF82" s="0"/>
      <c r="BYG82" s="0"/>
      <c r="BYH82" s="0"/>
      <c r="BYI82" s="0"/>
      <c r="BYJ82" s="0"/>
      <c r="BYK82" s="0"/>
      <c r="BYL82" s="0"/>
      <c r="BYM82" s="0"/>
      <c r="BYN82" s="0"/>
      <c r="BYO82" s="0"/>
      <c r="BYP82" s="0"/>
      <c r="BYQ82" s="0"/>
      <c r="BYR82" s="0"/>
      <c r="BYS82" s="0"/>
      <c r="BYT82" s="0"/>
      <c r="BYU82" s="0"/>
      <c r="BYV82" s="0"/>
      <c r="BYW82" s="0"/>
      <c r="BYX82" s="0"/>
      <c r="BYY82" s="0"/>
      <c r="BYZ82" s="0"/>
      <c r="BZA82" s="0"/>
      <c r="BZB82" s="0"/>
      <c r="BZC82" s="0"/>
      <c r="BZD82" s="0"/>
      <c r="BZE82" s="0"/>
      <c r="BZF82" s="0"/>
      <c r="BZG82" s="0"/>
      <c r="BZH82" s="0"/>
      <c r="BZI82" s="0"/>
      <c r="BZJ82" s="0"/>
      <c r="BZK82" s="0"/>
      <c r="BZL82" s="0"/>
      <c r="BZM82" s="0"/>
      <c r="BZN82" s="0"/>
      <c r="BZO82" s="0"/>
      <c r="BZP82" s="0"/>
      <c r="BZQ82" s="0"/>
      <c r="BZR82" s="0"/>
      <c r="BZS82" s="0"/>
      <c r="BZT82" s="0"/>
      <c r="BZU82" s="0"/>
      <c r="BZV82" s="0"/>
      <c r="BZW82" s="0"/>
      <c r="BZX82" s="0"/>
      <c r="BZY82" s="0"/>
      <c r="BZZ82" s="0"/>
      <c r="CAA82" s="0"/>
      <c r="CAB82" s="0"/>
      <c r="CAC82" s="0"/>
      <c r="CAD82" s="0"/>
      <c r="CAE82" s="0"/>
      <c r="CAF82" s="0"/>
      <c r="CAG82" s="0"/>
      <c r="CAH82" s="0"/>
      <c r="CAI82" s="0"/>
      <c r="CAJ82" s="0"/>
      <c r="CAK82" s="0"/>
      <c r="CAL82" s="0"/>
      <c r="CAM82" s="0"/>
      <c r="CAN82" s="0"/>
      <c r="CAO82" s="0"/>
      <c r="CAP82" s="0"/>
      <c r="CAQ82" s="0"/>
      <c r="CAR82" s="0"/>
      <c r="CAS82" s="0"/>
      <c r="CAT82" s="0"/>
      <c r="CAU82" s="0"/>
      <c r="CAV82" s="0"/>
      <c r="CAW82" s="0"/>
      <c r="CAX82" s="0"/>
      <c r="CAY82" s="0"/>
      <c r="CAZ82" s="0"/>
      <c r="CBA82" s="0"/>
      <c r="CBB82" s="0"/>
      <c r="CBC82" s="0"/>
      <c r="CBD82" s="0"/>
      <c r="CBE82" s="0"/>
      <c r="CBF82" s="0"/>
      <c r="CBG82" s="0"/>
      <c r="CBH82" s="0"/>
      <c r="CBI82" s="0"/>
      <c r="CBJ82" s="0"/>
      <c r="CBK82" s="0"/>
      <c r="CBL82" s="0"/>
      <c r="CBM82" s="0"/>
      <c r="CBN82" s="0"/>
      <c r="CBO82" s="0"/>
      <c r="CBP82" s="0"/>
      <c r="CBQ82" s="0"/>
      <c r="CBR82" s="0"/>
      <c r="CBS82" s="0"/>
      <c r="CBT82" s="0"/>
      <c r="CBU82" s="0"/>
      <c r="CBV82" s="0"/>
      <c r="CBW82" s="0"/>
      <c r="CBX82" s="0"/>
      <c r="CBY82" s="0"/>
      <c r="CBZ82" s="0"/>
      <c r="CCA82" s="0"/>
      <c r="CCB82" s="0"/>
      <c r="CCC82" s="0"/>
      <c r="CCD82" s="0"/>
      <c r="CCE82" s="0"/>
      <c r="CCF82" s="0"/>
      <c r="CCG82" s="0"/>
      <c r="CCH82" s="0"/>
      <c r="CCI82" s="0"/>
      <c r="CCJ82" s="0"/>
      <c r="CCK82" s="0"/>
      <c r="CCL82" s="0"/>
      <c r="CCM82" s="0"/>
      <c r="CCN82" s="0"/>
      <c r="CCO82" s="0"/>
      <c r="CCP82" s="0"/>
      <c r="CCQ82" s="0"/>
      <c r="CCR82" s="0"/>
      <c r="CCS82" s="0"/>
      <c r="CCT82" s="0"/>
      <c r="CCU82" s="0"/>
      <c r="CCV82" s="0"/>
      <c r="CCW82" s="0"/>
      <c r="CCX82" s="0"/>
      <c r="CCY82" s="0"/>
      <c r="CCZ82" s="0"/>
      <c r="CDA82" s="0"/>
      <c r="CDB82" s="0"/>
      <c r="CDC82" s="0"/>
      <c r="CDD82" s="0"/>
      <c r="CDE82" s="0"/>
      <c r="CDF82" s="0"/>
      <c r="CDG82" s="0"/>
      <c r="CDH82" s="0"/>
      <c r="CDI82" s="0"/>
      <c r="CDJ82" s="0"/>
      <c r="CDK82" s="0"/>
      <c r="CDL82" s="0"/>
      <c r="CDM82" s="0"/>
      <c r="CDN82" s="0"/>
      <c r="CDO82" s="0"/>
      <c r="CDP82" s="0"/>
      <c r="CDQ82" s="0"/>
      <c r="CDR82" s="0"/>
      <c r="CDS82" s="0"/>
      <c r="CDT82" s="0"/>
      <c r="CDU82" s="0"/>
      <c r="CDV82" s="0"/>
      <c r="CDW82" s="0"/>
      <c r="CDX82" s="0"/>
      <c r="CDY82" s="0"/>
      <c r="CDZ82" s="0"/>
      <c r="CEA82" s="0"/>
      <c r="CEB82" s="0"/>
      <c r="CEC82" s="0"/>
      <c r="CED82" s="0"/>
      <c r="CEE82" s="0"/>
      <c r="CEF82" s="0"/>
      <c r="CEG82" s="0"/>
      <c r="CEH82" s="0"/>
      <c r="CEI82" s="0"/>
      <c r="CEJ82" s="0"/>
      <c r="CEK82" s="0"/>
      <c r="CEL82" s="0"/>
      <c r="CEM82" s="0"/>
      <c r="CEN82" s="0"/>
      <c r="CEO82" s="0"/>
      <c r="CEP82" s="0"/>
      <c r="CEQ82" s="0"/>
      <c r="CER82" s="0"/>
      <c r="CES82" s="0"/>
      <c r="CET82" s="0"/>
      <c r="CEU82" s="0"/>
      <c r="CEV82" s="0"/>
      <c r="CEW82" s="0"/>
      <c r="CEX82" s="0"/>
      <c r="CEY82" s="0"/>
      <c r="CEZ82" s="0"/>
      <c r="CFA82" s="0"/>
      <c r="CFB82" s="0"/>
      <c r="CFC82" s="0"/>
      <c r="CFD82" s="0"/>
      <c r="CFE82" s="0"/>
      <c r="CFF82" s="0"/>
      <c r="CFG82" s="0"/>
      <c r="CFH82" s="0"/>
      <c r="CFI82" s="0"/>
      <c r="CFJ82" s="0"/>
      <c r="CFK82" s="0"/>
      <c r="CFL82" s="0"/>
      <c r="CFM82" s="0"/>
      <c r="CFN82" s="0"/>
      <c r="CFO82" s="0"/>
      <c r="CFP82" s="0"/>
      <c r="CFQ82" s="0"/>
      <c r="CFR82" s="0"/>
      <c r="CFS82" s="0"/>
      <c r="CFT82" s="0"/>
      <c r="CFU82" s="0"/>
      <c r="CFV82" s="0"/>
      <c r="CFW82" s="0"/>
      <c r="CFX82" s="0"/>
      <c r="CFY82" s="0"/>
      <c r="CFZ82" s="0"/>
      <c r="CGA82" s="0"/>
      <c r="CGB82" s="0"/>
      <c r="CGC82" s="0"/>
      <c r="CGD82" s="0"/>
      <c r="CGE82" s="0"/>
      <c r="CGF82" s="0"/>
      <c r="CGG82" s="0"/>
      <c r="CGH82" s="0"/>
      <c r="CGI82" s="0"/>
      <c r="CGJ82" s="0"/>
      <c r="CGK82" s="0"/>
      <c r="CGL82" s="0"/>
      <c r="CGM82" s="0"/>
      <c r="CGN82" s="0"/>
      <c r="CGO82" s="0"/>
      <c r="CGP82" s="0"/>
      <c r="CGQ82" s="0"/>
      <c r="CGR82" s="0"/>
      <c r="CGS82" s="0"/>
      <c r="CGT82" s="0"/>
      <c r="CGU82" s="0"/>
      <c r="CGV82" s="0"/>
      <c r="CGW82" s="0"/>
      <c r="CGX82" s="0"/>
      <c r="CGY82" s="0"/>
      <c r="CGZ82" s="0"/>
      <c r="CHA82" s="0"/>
      <c r="CHB82" s="0"/>
      <c r="CHC82" s="0"/>
      <c r="CHD82" s="0"/>
      <c r="CHE82" s="0"/>
      <c r="CHF82" s="0"/>
      <c r="CHG82" s="0"/>
      <c r="CHH82" s="0"/>
      <c r="CHI82" s="0"/>
      <c r="CHJ82" s="0"/>
      <c r="CHK82" s="0"/>
      <c r="CHL82" s="0"/>
      <c r="CHM82" s="0"/>
      <c r="CHN82" s="0"/>
      <c r="CHO82" s="0"/>
      <c r="CHP82" s="0"/>
      <c r="CHQ82" s="0"/>
      <c r="CHR82" s="0"/>
      <c r="CHS82" s="0"/>
      <c r="CHT82" s="0"/>
      <c r="CHU82" s="0"/>
      <c r="CHV82" s="0"/>
      <c r="CHW82" s="0"/>
      <c r="CHX82" s="0"/>
      <c r="CHY82" s="0"/>
      <c r="CHZ82" s="0"/>
      <c r="CIA82" s="0"/>
      <c r="CIB82" s="0"/>
      <c r="CIC82" s="0"/>
      <c r="CID82" s="0"/>
      <c r="CIE82" s="0"/>
      <c r="CIF82" s="0"/>
      <c r="CIG82" s="0"/>
      <c r="CIH82" s="0"/>
      <c r="CII82" s="0"/>
      <c r="CIJ82" s="0"/>
      <c r="CIK82" s="0"/>
      <c r="CIL82" s="0"/>
      <c r="CIM82" s="0"/>
      <c r="CIN82" s="0"/>
      <c r="CIO82" s="0"/>
      <c r="CIP82" s="0"/>
      <c r="CIQ82" s="0"/>
      <c r="CIR82" s="0"/>
      <c r="CIS82" s="0"/>
      <c r="CIT82" s="0"/>
      <c r="CIU82" s="0"/>
      <c r="CIV82" s="0"/>
      <c r="CIW82" s="0"/>
      <c r="CIX82" s="0"/>
      <c r="CIY82" s="0"/>
      <c r="CIZ82" s="0"/>
      <c r="CJA82" s="0"/>
      <c r="CJB82" s="0"/>
      <c r="CJC82" s="0"/>
      <c r="CJD82" s="0"/>
      <c r="CJE82" s="0"/>
      <c r="CJF82" s="0"/>
      <c r="CJG82" s="0"/>
      <c r="CJH82" s="0"/>
      <c r="CJI82" s="0"/>
      <c r="CJJ82" s="0"/>
      <c r="CJK82" s="0"/>
      <c r="CJL82" s="0"/>
      <c r="CJM82" s="0"/>
      <c r="CJN82" s="0"/>
      <c r="CJO82" s="0"/>
      <c r="CJP82" s="0"/>
      <c r="CJQ82" s="0"/>
      <c r="CJR82" s="0"/>
      <c r="CJS82" s="0"/>
      <c r="CJT82" s="0"/>
      <c r="CJU82" s="0"/>
      <c r="CJV82" s="0"/>
      <c r="CJW82" s="0"/>
      <c r="CJX82" s="0"/>
      <c r="CJY82" s="0"/>
      <c r="CJZ82" s="0"/>
      <c r="CKA82" s="0"/>
      <c r="CKB82" s="0"/>
      <c r="CKC82" s="0"/>
      <c r="CKD82" s="0"/>
      <c r="CKE82" s="0"/>
      <c r="CKF82" s="0"/>
      <c r="CKG82" s="0"/>
      <c r="CKH82" s="0"/>
      <c r="CKI82" s="0"/>
      <c r="CKJ82" s="0"/>
      <c r="CKK82" s="0"/>
      <c r="CKL82" s="0"/>
      <c r="CKM82" s="0"/>
      <c r="CKN82" s="0"/>
      <c r="CKO82" s="0"/>
      <c r="CKP82" s="0"/>
      <c r="CKQ82" s="0"/>
      <c r="CKR82" s="0"/>
      <c r="CKS82" s="0"/>
      <c r="CKT82" s="0"/>
      <c r="CKU82" s="0"/>
      <c r="CKV82" s="0"/>
      <c r="CKW82" s="0"/>
      <c r="CKX82" s="0"/>
      <c r="CKY82" s="0"/>
      <c r="CKZ82" s="0"/>
      <c r="CLA82" s="0"/>
      <c r="CLB82" s="0"/>
      <c r="CLC82" s="0"/>
      <c r="CLD82" s="0"/>
      <c r="CLE82" s="0"/>
      <c r="CLF82" s="0"/>
      <c r="CLG82" s="0"/>
      <c r="CLH82" s="0"/>
      <c r="CLI82" s="0"/>
      <c r="CLJ82" s="0"/>
      <c r="CLK82" s="0"/>
      <c r="CLL82" s="0"/>
      <c r="CLM82" s="0"/>
      <c r="CLN82" s="0"/>
      <c r="CLO82" s="0"/>
      <c r="CLP82" s="0"/>
      <c r="CLQ82" s="0"/>
      <c r="CLR82" s="0"/>
      <c r="CLS82" s="0"/>
      <c r="CLT82" s="0"/>
      <c r="CLU82" s="0"/>
      <c r="CLV82" s="0"/>
      <c r="CLW82" s="0"/>
      <c r="CLX82" s="0"/>
      <c r="CLY82" s="0"/>
      <c r="CLZ82" s="0"/>
      <c r="CMA82" s="0"/>
      <c r="CMB82" s="0"/>
      <c r="CMC82" s="0"/>
      <c r="CMD82" s="0"/>
      <c r="CME82" s="0"/>
      <c r="CMF82" s="0"/>
      <c r="CMG82" s="0"/>
      <c r="CMH82" s="0"/>
      <c r="CMI82" s="0"/>
      <c r="CMJ82" s="0"/>
      <c r="CMK82" s="0"/>
      <c r="CML82" s="0"/>
      <c r="CMM82" s="0"/>
      <c r="CMN82" s="0"/>
      <c r="CMO82" s="0"/>
      <c r="CMP82" s="0"/>
      <c r="CMQ82" s="0"/>
      <c r="CMR82" s="0"/>
      <c r="CMS82" s="0"/>
      <c r="CMT82" s="0"/>
      <c r="CMU82" s="0"/>
      <c r="CMV82" s="0"/>
      <c r="CMW82" s="0"/>
      <c r="CMX82" s="0"/>
      <c r="CMY82" s="0"/>
      <c r="CMZ82" s="0"/>
      <c r="CNA82" s="0"/>
      <c r="CNB82" s="0"/>
      <c r="CNC82" s="0"/>
      <c r="CND82" s="0"/>
      <c r="CNE82" s="0"/>
      <c r="CNF82" s="0"/>
      <c r="CNG82" s="0"/>
      <c r="CNH82" s="0"/>
      <c r="CNI82" s="0"/>
      <c r="CNJ82" s="0"/>
      <c r="CNK82" s="0"/>
      <c r="CNL82" s="0"/>
      <c r="CNM82" s="0"/>
      <c r="CNN82" s="0"/>
      <c r="CNO82" s="0"/>
      <c r="CNP82" s="0"/>
      <c r="CNQ82" s="0"/>
      <c r="CNR82" s="0"/>
      <c r="CNS82" s="0"/>
      <c r="CNT82" s="0"/>
      <c r="CNU82" s="0"/>
      <c r="CNV82" s="0"/>
      <c r="CNW82" s="0"/>
      <c r="CNX82" s="0"/>
      <c r="CNY82" s="0"/>
      <c r="CNZ82" s="0"/>
      <c r="COA82" s="0"/>
      <c r="COB82" s="0"/>
      <c r="COC82" s="0"/>
      <c r="COD82" s="0"/>
      <c r="COE82" s="0"/>
      <c r="COF82" s="0"/>
      <c r="COG82" s="0"/>
      <c r="COH82" s="0"/>
      <c r="COI82" s="0"/>
      <c r="COJ82" s="0"/>
      <c r="COK82" s="0"/>
      <c r="COL82" s="0"/>
      <c r="COM82" s="0"/>
      <c r="CON82" s="0"/>
      <c r="COO82" s="0"/>
      <c r="COP82" s="0"/>
      <c r="COQ82" s="0"/>
      <c r="COR82" s="0"/>
      <c r="COS82" s="0"/>
      <c r="COT82" s="0"/>
      <c r="COU82" s="0"/>
      <c r="COV82" s="0"/>
      <c r="COW82" s="0"/>
      <c r="COX82" s="0"/>
      <c r="COY82" s="0"/>
      <c r="COZ82" s="0"/>
      <c r="CPA82" s="0"/>
      <c r="CPB82" s="0"/>
      <c r="CPC82" s="0"/>
      <c r="CPD82" s="0"/>
      <c r="CPE82" s="0"/>
      <c r="CPF82" s="0"/>
      <c r="CPG82" s="0"/>
      <c r="CPH82" s="0"/>
      <c r="CPI82" s="0"/>
      <c r="CPJ82" s="0"/>
      <c r="CPK82" s="0"/>
      <c r="CPL82" s="0"/>
      <c r="CPM82" s="0"/>
      <c r="CPN82" s="0"/>
      <c r="CPO82" s="0"/>
      <c r="CPP82" s="0"/>
      <c r="CPQ82" s="0"/>
      <c r="CPR82" s="0"/>
      <c r="CPS82" s="0"/>
      <c r="CPT82" s="0"/>
      <c r="CPU82" s="0"/>
      <c r="CPV82" s="0"/>
      <c r="CPW82" s="0"/>
      <c r="CPX82" s="0"/>
      <c r="CPY82" s="0"/>
      <c r="CPZ82" s="0"/>
      <c r="CQA82" s="0"/>
      <c r="CQB82" s="0"/>
      <c r="CQC82" s="0"/>
      <c r="CQD82" s="0"/>
      <c r="CQE82" s="0"/>
      <c r="CQF82" s="0"/>
      <c r="CQG82" s="0"/>
      <c r="CQH82" s="0"/>
      <c r="CQI82" s="0"/>
      <c r="CQJ82" s="0"/>
      <c r="CQK82" s="0"/>
      <c r="CQL82" s="0"/>
      <c r="CQM82" s="0"/>
      <c r="CQN82" s="0"/>
      <c r="CQO82" s="0"/>
      <c r="CQP82" s="0"/>
      <c r="CQQ82" s="0"/>
      <c r="CQR82" s="0"/>
      <c r="CQS82" s="0"/>
      <c r="CQT82" s="0"/>
      <c r="CQU82" s="0"/>
      <c r="CQV82" s="0"/>
      <c r="CQW82" s="0"/>
      <c r="CQX82" s="0"/>
      <c r="CQY82" s="0"/>
      <c r="CQZ82" s="0"/>
      <c r="CRA82" s="0"/>
      <c r="CRB82" s="0"/>
      <c r="CRC82" s="0"/>
      <c r="CRD82" s="0"/>
      <c r="CRE82" s="0"/>
      <c r="CRF82" s="0"/>
      <c r="CRG82" s="0"/>
      <c r="CRH82" s="0"/>
      <c r="CRI82" s="0"/>
      <c r="CRJ82" s="0"/>
      <c r="CRK82" s="0"/>
      <c r="CRL82" s="0"/>
      <c r="CRM82" s="0"/>
      <c r="CRN82" s="0"/>
      <c r="CRO82" s="0"/>
      <c r="CRP82" s="0"/>
      <c r="CRQ82" s="0"/>
      <c r="CRR82" s="0"/>
      <c r="CRS82" s="0"/>
      <c r="CRT82" s="0"/>
      <c r="CRU82" s="0"/>
      <c r="CRV82" s="0"/>
      <c r="CRW82" s="0"/>
      <c r="CRX82" s="0"/>
      <c r="CRY82" s="0"/>
      <c r="CRZ82" s="0"/>
      <c r="CSA82" s="0"/>
      <c r="CSB82" s="0"/>
      <c r="CSC82" s="0"/>
      <c r="CSD82" s="0"/>
      <c r="CSE82" s="0"/>
      <c r="CSF82" s="0"/>
      <c r="CSG82" s="0"/>
      <c r="CSH82" s="0"/>
      <c r="CSI82" s="0"/>
      <c r="CSJ82" s="0"/>
      <c r="CSK82" s="0"/>
      <c r="CSL82" s="0"/>
      <c r="CSM82" s="0"/>
      <c r="CSN82" s="0"/>
      <c r="CSO82" s="0"/>
      <c r="CSP82" s="0"/>
      <c r="CSQ82" s="0"/>
      <c r="CSR82" s="0"/>
      <c r="CSS82" s="0"/>
      <c r="CST82" s="0"/>
      <c r="CSU82" s="0"/>
      <c r="CSV82" s="0"/>
      <c r="CSW82" s="0"/>
      <c r="CSX82" s="0"/>
      <c r="CSY82" s="0"/>
      <c r="CSZ82" s="0"/>
      <c r="CTA82" s="0"/>
      <c r="CTB82" s="0"/>
      <c r="CTC82" s="0"/>
      <c r="CTD82" s="0"/>
      <c r="CTE82" s="0"/>
      <c r="CTF82" s="0"/>
      <c r="CTG82" s="0"/>
      <c r="CTH82" s="0"/>
      <c r="CTI82" s="0"/>
      <c r="CTJ82" s="0"/>
      <c r="CTK82" s="0"/>
      <c r="CTL82" s="0"/>
      <c r="CTM82" s="0"/>
      <c r="CTN82" s="0"/>
      <c r="CTO82" s="0"/>
      <c r="CTP82" s="0"/>
      <c r="CTQ82" s="0"/>
      <c r="CTR82" s="0"/>
      <c r="CTS82" s="0"/>
      <c r="CTT82" s="0"/>
      <c r="CTU82" s="0"/>
      <c r="CTV82" s="0"/>
      <c r="CTW82" s="0"/>
      <c r="CTX82" s="0"/>
      <c r="CTY82" s="0"/>
      <c r="CTZ82" s="0"/>
      <c r="CUA82" s="0"/>
      <c r="CUB82" s="0"/>
      <c r="CUC82" s="0"/>
      <c r="CUD82" s="0"/>
      <c r="CUE82" s="0"/>
      <c r="CUF82" s="0"/>
      <c r="CUG82" s="0"/>
      <c r="CUH82" s="0"/>
      <c r="CUI82" s="0"/>
      <c r="CUJ82" s="0"/>
      <c r="CUK82" s="0"/>
      <c r="CUL82" s="0"/>
      <c r="CUM82" s="0"/>
      <c r="CUN82" s="0"/>
      <c r="CUO82" s="0"/>
      <c r="CUP82" s="0"/>
      <c r="CUQ82" s="0"/>
      <c r="CUR82" s="0"/>
      <c r="CUS82" s="0"/>
      <c r="CUT82" s="0"/>
      <c r="CUU82" s="0"/>
      <c r="CUV82" s="0"/>
      <c r="CUW82" s="0"/>
      <c r="CUX82" s="0"/>
      <c r="CUY82" s="0"/>
      <c r="CUZ82" s="0"/>
      <c r="CVA82" s="0"/>
      <c r="CVB82" s="0"/>
      <c r="CVC82" s="0"/>
      <c r="CVD82" s="0"/>
      <c r="CVE82" s="0"/>
      <c r="CVF82" s="0"/>
      <c r="CVG82" s="0"/>
      <c r="CVH82" s="0"/>
      <c r="CVI82" s="0"/>
      <c r="CVJ82" s="0"/>
      <c r="CVK82" s="0"/>
      <c r="CVL82" s="0"/>
      <c r="CVM82" s="0"/>
      <c r="CVN82" s="0"/>
      <c r="CVO82" s="0"/>
      <c r="CVP82" s="0"/>
      <c r="CVQ82" s="0"/>
      <c r="CVR82" s="0"/>
      <c r="CVS82" s="0"/>
      <c r="CVT82" s="0"/>
      <c r="CVU82" s="0"/>
      <c r="CVV82" s="0"/>
      <c r="CVW82" s="0"/>
      <c r="CVX82" s="0"/>
      <c r="CVY82" s="0"/>
      <c r="CVZ82" s="0"/>
      <c r="CWA82" s="0"/>
      <c r="CWB82" s="0"/>
      <c r="CWC82" s="0"/>
      <c r="CWD82" s="0"/>
      <c r="CWE82" s="0"/>
      <c r="CWF82" s="0"/>
      <c r="CWG82" s="0"/>
      <c r="CWH82" s="0"/>
      <c r="CWI82" s="0"/>
      <c r="CWJ82" s="0"/>
      <c r="CWK82" s="0"/>
      <c r="CWL82" s="0"/>
      <c r="CWM82" s="0"/>
      <c r="CWN82" s="0"/>
      <c r="CWO82" s="0"/>
      <c r="CWP82" s="0"/>
      <c r="CWQ82" s="0"/>
      <c r="CWR82" s="0"/>
      <c r="CWS82" s="0"/>
      <c r="CWT82" s="0"/>
      <c r="CWU82" s="0"/>
      <c r="CWV82" s="0"/>
      <c r="CWW82" s="0"/>
      <c r="CWX82" s="0"/>
      <c r="CWY82" s="0"/>
      <c r="CWZ82" s="0"/>
      <c r="CXA82" s="0"/>
      <c r="CXB82" s="0"/>
      <c r="CXC82" s="0"/>
      <c r="CXD82" s="0"/>
      <c r="CXE82" s="0"/>
      <c r="CXF82" s="0"/>
      <c r="CXG82" s="0"/>
      <c r="CXH82" s="0"/>
      <c r="CXI82" s="0"/>
      <c r="CXJ82" s="0"/>
      <c r="CXK82" s="0"/>
      <c r="CXL82" s="0"/>
      <c r="CXM82" s="0"/>
      <c r="CXN82" s="0"/>
      <c r="CXO82" s="0"/>
      <c r="CXP82" s="0"/>
      <c r="CXQ82" s="0"/>
      <c r="CXR82" s="0"/>
      <c r="CXS82" s="0"/>
      <c r="CXT82" s="0"/>
      <c r="CXU82" s="0"/>
      <c r="CXV82" s="0"/>
      <c r="CXW82" s="0"/>
      <c r="CXX82" s="0"/>
      <c r="CXY82" s="0"/>
      <c r="CXZ82" s="0"/>
      <c r="CYA82" s="0"/>
      <c r="CYB82" s="0"/>
      <c r="CYC82" s="0"/>
      <c r="CYD82" s="0"/>
      <c r="CYE82" s="0"/>
      <c r="CYF82" s="0"/>
      <c r="CYG82" s="0"/>
      <c r="CYH82" s="0"/>
      <c r="CYI82" s="0"/>
      <c r="CYJ82" s="0"/>
      <c r="CYK82" s="0"/>
      <c r="CYL82" s="0"/>
      <c r="CYM82" s="0"/>
      <c r="CYN82" s="0"/>
      <c r="CYO82" s="0"/>
      <c r="CYP82" s="0"/>
      <c r="CYQ82" s="0"/>
      <c r="CYR82" s="0"/>
      <c r="CYS82" s="0"/>
      <c r="CYT82" s="0"/>
      <c r="CYU82" s="0"/>
      <c r="CYV82" s="0"/>
      <c r="CYW82" s="0"/>
      <c r="CYX82" s="0"/>
      <c r="CYY82" s="0"/>
      <c r="CYZ82" s="0"/>
      <c r="CZA82" s="0"/>
      <c r="CZB82" s="0"/>
      <c r="CZC82" s="0"/>
      <c r="CZD82" s="0"/>
      <c r="CZE82" s="0"/>
      <c r="CZF82" s="0"/>
      <c r="CZG82" s="0"/>
      <c r="CZH82" s="0"/>
      <c r="CZI82" s="0"/>
      <c r="CZJ82" s="0"/>
      <c r="CZK82" s="0"/>
      <c r="CZL82" s="0"/>
      <c r="CZM82" s="0"/>
      <c r="CZN82" s="0"/>
      <c r="CZO82" s="0"/>
      <c r="CZP82" s="0"/>
      <c r="CZQ82" s="0"/>
      <c r="CZR82" s="0"/>
      <c r="CZS82" s="0"/>
      <c r="CZT82" s="0"/>
      <c r="CZU82" s="0"/>
      <c r="CZV82" s="0"/>
      <c r="CZW82" s="0"/>
      <c r="CZX82" s="0"/>
      <c r="CZY82" s="0"/>
      <c r="CZZ82" s="0"/>
      <c r="DAA82" s="0"/>
      <c r="DAB82" s="0"/>
      <c r="DAC82" s="0"/>
      <c r="DAD82" s="0"/>
      <c r="DAE82" s="0"/>
      <c r="DAF82" s="0"/>
      <c r="DAG82" s="0"/>
      <c r="DAH82" s="0"/>
      <c r="DAI82" s="0"/>
      <c r="DAJ82" s="0"/>
      <c r="DAK82" s="0"/>
      <c r="DAL82" s="0"/>
      <c r="DAM82" s="0"/>
      <c r="DAN82" s="0"/>
      <c r="DAO82" s="0"/>
      <c r="DAP82" s="0"/>
      <c r="DAQ82" s="0"/>
      <c r="DAR82" s="0"/>
      <c r="DAS82" s="0"/>
      <c r="DAT82" s="0"/>
      <c r="DAU82" s="0"/>
      <c r="DAV82" s="0"/>
      <c r="DAW82" s="0"/>
      <c r="DAX82" s="0"/>
      <c r="DAY82" s="0"/>
      <c r="DAZ82" s="0"/>
      <c r="DBA82" s="0"/>
      <c r="DBB82" s="0"/>
      <c r="DBC82" s="0"/>
      <c r="DBD82" s="0"/>
      <c r="DBE82" s="0"/>
      <c r="DBF82" s="0"/>
      <c r="DBG82" s="0"/>
      <c r="DBH82" s="0"/>
      <c r="DBI82" s="0"/>
      <c r="DBJ82" s="0"/>
      <c r="DBK82" s="0"/>
      <c r="DBL82" s="0"/>
      <c r="DBM82" s="0"/>
      <c r="DBN82" s="0"/>
      <c r="DBO82" s="0"/>
      <c r="DBP82" s="0"/>
      <c r="DBQ82" s="0"/>
      <c r="DBR82" s="0"/>
      <c r="DBS82" s="0"/>
      <c r="DBT82" s="0"/>
      <c r="DBU82" s="0"/>
      <c r="DBV82" s="0"/>
      <c r="DBW82" s="0"/>
      <c r="DBX82" s="0"/>
      <c r="DBY82" s="0"/>
      <c r="DBZ82" s="0"/>
      <c r="DCA82" s="0"/>
      <c r="DCB82" s="0"/>
      <c r="DCC82" s="0"/>
      <c r="DCD82" s="0"/>
      <c r="DCE82" s="0"/>
      <c r="DCF82" s="0"/>
      <c r="DCG82" s="0"/>
      <c r="DCH82" s="0"/>
      <c r="DCI82" s="0"/>
      <c r="DCJ82" s="0"/>
      <c r="DCK82" s="0"/>
      <c r="DCL82" s="0"/>
      <c r="DCM82" s="0"/>
      <c r="DCN82" s="0"/>
      <c r="DCO82" s="0"/>
      <c r="DCP82" s="0"/>
      <c r="DCQ82" s="0"/>
      <c r="DCR82" s="0"/>
      <c r="DCS82" s="0"/>
      <c r="DCT82" s="0"/>
      <c r="DCU82" s="0"/>
      <c r="DCV82" s="0"/>
      <c r="DCW82" s="0"/>
      <c r="DCX82" s="0"/>
      <c r="DCY82" s="0"/>
      <c r="DCZ82" s="0"/>
      <c r="DDA82" s="0"/>
      <c r="DDB82" s="0"/>
      <c r="DDC82" s="0"/>
      <c r="DDD82" s="0"/>
      <c r="DDE82" s="0"/>
      <c r="DDF82" s="0"/>
      <c r="DDG82" s="0"/>
      <c r="DDH82" s="0"/>
      <c r="DDI82" s="0"/>
      <c r="DDJ82" s="0"/>
      <c r="DDK82" s="0"/>
      <c r="DDL82" s="0"/>
      <c r="DDM82" s="0"/>
      <c r="DDN82" s="0"/>
      <c r="DDO82" s="0"/>
      <c r="DDP82" s="0"/>
      <c r="DDQ82" s="0"/>
      <c r="DDR82" s="0"/>
      <c r="DDS82" s="0"/>
      <c r="DDT82" s="0"/>
      <c r="DDU82" s="0"/>
      <c r="DDV82" s="0"/>
      <c r="DDW82" s="0"/>
      <c r="DDX82" s="0"/>
      <c r="DDY82" s="0"/>
      <c r="DDZ82" s="0"/>
      <c r="DEA82" s="0"/>
      <c r="DEB82" s="0"/>
      <c r="DEC82" s="0"/>
      <c r="DED82" s="0"/>
      <c r="DEE82" s="0"/>
      <c r="DEF82" s="0"/>
      <c r="DEG82" s="0"/>
      <c r="DEH82" s="0"/>
      <c r="DEI82" s="0"/>
      <c r="DEJ82" s="0"/>
      <c r="DEK82" s="0"/>
      <c r="DEL82" s="0"/>
      <c r="DEM82" s="0"/>
      <c r="DEN82" s="0"/>
      <c r="DEO82" s="0"/>
      <c r="DEP82" s="0"/>
      <c r="DEQ82" s="0"/>
      <c r="DER82" s="0"/>
      <c r="DES82" s="0"/>
      <c r="DET82" s="0"/>
      <c r="DEU82" s="0"/>
      <c r="DEV82" s="0"/>
      <c r="DEW82" s="0"/>
      <c r="DEX82" s="0"/>
      <c r="DEY82" s="0"/>
      <c r="DEZ82" s="0"/>
      <c r="DFA82" s="0"/>
      <c r="DFB82" s="0"/>
      <c r="DFC82" s="0"/>
      <c r="DFD82" s="0"/>
      <c r="DFE82" s="0"/>
      <c r="DFF82" s="0"/>
      <c r="DFG82" s="0"/>
      <c r="DFH82" s="0"/>
      <c r="DFI82" s="0"/>
      <c r="DFJ82" s="0"/>
      <c r="DFK82" s="0"/>
      <c r="DFL82" s="0"/>
      <c r="DFM82" s="0"/>
      <c r="DFN82" s="0"/>
      <c r="DFO82" s="0"/>
      <c r="DFP82" s="0"/>
      <c r="DFQ82" s="0"/>
      <c r="DFR82" s="0"/>
      <c r="DFS82" s="0"/>
      <c r="DFT82" s="0"/>
      <c r="DFU82" s="0"/>
      <c r="DFV82" s="0"/>
      <c r="DFW82" s="0"/>
      <c r="DFX82" s="0"/>
      <c r="DFY82" s="0"/>
      <c r="DFZ82" s="0"/>
      <c r="DGA82" s="0"/>
      <c r="DGB82" s="0"/>
      <c r="DGC82" s="0"/>
      <c r="DGD82" s="0"/>
      <c r="DGE82" s="0"/>
      <c r="DGF82" s="0"/>
      <c r="DGG82" s="0"/>
      <c r="DGH82" s="0"/>
      <c r="DGI82" s="0"/>
      <c r="DGJ82" s="0"/>
      <c r="DGK82" s="0"/>
      <c r="DGL82" s="0"/>
      <c r="DGM82" s="0"/>
      <c r="DGN82" s="0"/>
      <c r="DGO82" s="0"/>
      <c r="DGP82" s="0"/>
      <c r="DGQ82" s="0"/>
      <c r="DGR82" s="0"/>
      <c r="DGS82" s="0"/>
      <c r="DGT82" s="0"/>
      <c r="DGU82" s="0"/>
      <c r="DGV82" s="0"/>
      <c r="DGW82" s="0"/>
      <c r="DGX82" s="0"/>
      <c r="DGY82" s="0"/>
      <c r="DGZ82" s="0"/>
      <c r="DHA82" s="0"/>
      <c r="DHB82" s="0"/>
      <c r="DHC82" s="0"/>
      <c r="DHD82" s="0"/>
      <c r="DHE82" s="0"/>
      <c r="DHF82" s="0"/>
      <c r="DHG82" s="0"/>
      <c r="DHH82" s="0"/>
      <c r="DHI82" s="0"/>
      <c r="DHJ82" s="0"/>
      <c r="DHK82" s="0"/>
      <c r="DHL82" s="0"/>
      <c r="DHM82" s="0"/>
      <c r="DHN82" s="0"/>
      <c r="DHO82" s="0"/>
      <c r="DHP82" s="0"/>
      <c r="DHQ82" s="0"/>
      <c r="DHR82" s="0"/>
      <c r="DHS82" s="0"/>
      <c r="DHT82" s="0"/>
      <c r="DHU82" s="0"/>
      <c r="DHV82" s="0"/>
      <c r="DHW82" s="0"/>
      <c r="DHX82" s="0"/>
      <c r="DHY82" s="0"/>
      <c r="DHZ82" s="0"/>
      <c r="DIA82" s="0"/>
      <c r="DIB82" s="0"/>
      <c r="DIC82" s="0"/>
      <c r="DID82" s="0"/>
      <c r="DIE82" s="0"/>
      <c r="DIF82" s="0"/>
      <c r="DIG82" s="0"/>
      <c r="DIH82" s="0"/>
      <c r="DII82" s="0"/>
      <c r="DIJ82" s="0"/>
      <c r="DIK82" s="0"/>
      <c r="DIL82" s="0"/>
      <c r="DIM82" s="0"/>
      <c r="DIN82" s="0"/>
      <c r="DIO82" s="0"/>
      <c r="DIP82" s="0"/>
      <c r="DIQ82" s="0"/>
      <c r="DIR82" s="0"/>
      <c r="DIS82" s="0"/>
      <c r="DIT82" s="0"/>
      <c r="DIU82" s="0"/>
      <c r="DIV82" s="0"/>
      <c r="DIW82" s="0"/>
      <c r="DIX82" s="0"/>
      <c r="DIY82" s="0"/>
      <c r="DIZ82" s="0"/>
      <c r="DJA82" s="0"/>
      <c r="DJB82" s="0"/>
      <c r="DJC82" s="0"/>
      <c r="DJD82" s="0"/>
      <c r="DJE82" s="0"/>
      <c r="DJF82" s="0"/>
      <c r="DJG82" s="0"/>
      <c r="DJH82" s="0"/>
      <c r="DJI82" s="0"/>
      <c r="DJJ82" s="0"/>
      <c r="DJK82" s="0"/>
      <c r="DJL82" s="0"/>
      <c r="DJM82" s="0"/>
      <c r="DJN82" s="0"/>
      <c r="DJO82" s="0"/>
      <c r="DJP82" s="0"/>
      <c r="DJQ82" s="0"/>
      <c r="DJR82" s="0"/>
      <c r="DJS82" s="0"/>
      <c r="DJT82" s="0"/>
      <c r="DJU82" s="0"/>
      <c r="DJV82" s="0"/>
      <c r="DJW82" s="0"/>
      <c r="DJX82" s="0"/>
      <c r="DJY82" s="0"/>
      <c r="DJZ82" s="0"/>
      <c r="DKA82" s="0"/>
      <c r="DKB82" s="0"/>
      <c r="DKC82" s="0"/>
      <c r="DKD82" s="0"/>
      <c r="DKE82" s="0"/>
      <c r="DKF82" s="0"/>
      <c r="DKG82" s="0"/>
      <c r="DKH82" s="0"/>
      <c r="DKI82" s="0"/>
      <c r="DKJ82" s="0"/>
      <c r="DKK82" s="0"/>
      <c r="DKL82" s="0"/>
      <c r="DKM82" s="0"/>
      <c r="DKN82" s="0"/>
      <c r="DKO82" s="0"/>
      <c r="DKP82" s="0"/>
      <c r="DKQ82" s="0"/>
      <c r="DKR82" s="0"/>
      <c r="DKS82" s="0"/>
      <c r="DKT82" s="0"/>
      <c r="DKU82" s="0"/>
      <c r="DKV82" s="0"/>
      <c r="DKW82" s="0"/>
      <c r="DKX82" s="0"/>
      <c r="DKY82" s="0"/>
      <c r="DKZ82" s="0"/>
      <c r="DLA82" s="0"/>
      <c r="DLB82" s="0"/>
      <c r="DLC82" s="0"/>
      <c r="DLD82" s="0"/>
      <c r="DLE82" s="0"/>
      <c r="DLF82" s="0"/>
      <c r="DLG82" s="0"/>
      <c r="DLH82" s="0"/>
      <c r="DLI82" s="0"/>
      <c r="DLJ82" s="0"/>
      <c r="DLK82" s="0"/>
      <c r="DLL82" s="0"/>
      <c r="DLM82" s="0"/>
      <c r="DLN82" s="0"/>
      <c r="DLO82" s="0"/>
      <c r="DLP82" s="0"/>
      <c r="DLQ82" s="0"/>
      <c r="DLR82" s="0"/>
      <c r="DLS82" s="0"/>
      <c r="DLT82" s="0"/>
      <c r="DLU82" s="0"/>
      <c r="DLV82" s="0"/>
      <c r="DLW82" s="0"/>
      <c r="DLX82" s="0"/>
      <c r="DLY82" s="0"/>
      <c r="DLZ82" s="0"/>
      <c r="DMA82" s="0"/>
      <c r="DMB82" s="0"/>
      <c r="DMC82" s="0"/>
      <c r="DMD82" s="0"/>
      <c r="DME82" s="0"/>
      <c r="DMF82" s="0"/>
      <c r="DMG82" s="0"/>
      <c r="DMH82" s="0"/>
      <c r="DMI82" s="0"/>
      <c r="DMJ82" s="0"/>
      <c r="DMK82" s="0"/>
      <c r="DML82" s="0"/>
      <c r="DMM82" s="0"/>
      <c r="DMN82" s="0"/>
      <c r="DMO82" s="0"/>
      <c r="DMP82" s="0"/>
      <c r="DMQ82" s="0"/>
      <c r="DMR82" s="0"/>
      <c r="DMS82" s="0"/>
      <c r="DMT82" s="0"/>
      <c r="DMU82" s="0"/>
      <c r="DMV82" s="0"/>
      <c r="DMW82" s="0"/>
      <c r="DMX82" s="0"/>
      <c r="DMY82" s="0"/>
      <c r="DMZ82" s="0"/>
      <c r="DNA82" s="0"/>
      <c r="DNB82" s="0"/>
      <c r="DNC82" s="0"/>
      <c r="DND82" s="0"/>
      <c r="DNE82" s="0"/>
      <c r="DNF82" s="0"/>
      <c r="DNG82" s="0"/>
      <c r="DNH82" s="0"/>
      <c r="DNI82" s="0"/>
      <c r="DNJ82" s="0"/>
      <c r="DNK82" s="0"/>
      <c r="DNL82" s="0"/>
      <c r="DNM82" s="0"/>
      <c r="DNN82" s="0"/>
      <c r="DNO82" s="0"/>
      <c r="DNP82" s="0"/>
      <c r="DNQ82" s="0"/>
      <c r="DNR82" s="0"/>
      <c r="DNS82" s="0"/>
      <c r="DNT82" s="0"/>
      <c r="DNU82" s="0"/>
      <c r="DNV82" s="0"/>
      <c r="DNW82" s="0"/>
      <c r="DNX82" s="0"/>
      <c r="DNY82" s="0"/>
      <c r="DNZ82" s="0"/>
      <c r="DOA82" s="0"/>
      <c r="DOB82" s="0"/>
      <c r="DOC82" s="0"/>
      <c r="DOD82" s="0"/>
      <c r="DOE82" s="0"/>
      <c r="DOF82" s="0"/>
      <c r="DOG82" s="0"/>
      <c r="DOH82" s="0"/>
      <c r="DOI82" s="0"/>
      <c r="DOJ82" s="0"/>
      <c r="DOK82" s="0"/>
      <c r="DOL82" s="0"/>
      <c r="DOM82" s="0"/>
      <c r="DON82" s="0"/>
      <c r="DOO82" s="0"/>
      <c r="DOP82" s="0"/>
      <c r="DOQ82" s="0"/>
      <c r="DOR82" s="0"/>
      <c r="DOS82" s="0"/>
      <c r="DOT82" s="0"/>
      <c r="DOU82" s="0"/>
      <c r="DOV82" s="0"/>
      <c r="DOW82" s="0"/>
      <c r="DOX82" s="0"/>
      <c r="DOY82" s="0"/>
      <c r="DOZ82" s="0"/>
      <c r="DPA82" s="0"/>
      <c r="DPB82" s="0"/>
      <c r="DPC82" s="0"/>
      <c r="DPD82" s="0"/>
      <c r="DPE82" s="0"/>
      <c r="DPF82" s="0"/>
      <c r="DPG82" s="0"/>
      <c r="DPH82" s="0"/>
      <c r="DPI82" s="0"/>
      <c r="DPJ82" s="0"/>
      <c r="DPK82" s="0"/>
      <c r="DPL82" s="0"/>
      <c r="DPM82" s="0"/>
      <c r="DPN82" s="0"/>
      <c r="DPO82" s="0"/>
      <c r="DPP82" s="0"/>
      <c r="DPQ82" s="0"/>
      <c r="DPR82" s="0"/>
      <c r="DPS82" s="0"/>
      <c r="DPT82" s="0"/>
      <c r="DPU82" s="0"/>
      <c r="DPV82" s="0"/>
      <c r="DPW82" s="0"/>
      <c r="DPX82" s="0"/>
      <c r="DPY82" s="0"/>
      <c r="DPZ82" s="0"/>
      <c r="DQA82" s="0"/>
      <c r="DQB82" s="0"/>
      <c r="DQC82" s="0"/>
      <c r="DQD82" s="0"/>
      <c r="DQE82" s="0"/>
      <c r="DQF82" s="0"/>
      <c r="DQG82" s="0"/>
      <c r="DQH82" s="0"/>
      <c r="DQI82" s="0"/>
      <c r="DQJ82" s="0"/>
      <c r="DQK82" s="0"/>
      <c r="DQL82" s="0"/>
      <c r="DQM82" s="0"/>
      <c r="DQN82" s="0"/>
      <c r="DQO82" s="0"/>
      <c r="DQP82" s="0"/>
      <c r="DQQ82" s="0"/>
      <c r="DQR82" s="0"/>
      <c r="DQS82" s="0"/>
      <c r="DQT82" s="0"/>
      <c r="DQU82" s="0"/>
      <c r="DQV82" s="0"/>
      <c r="DQW82" s="0"/>
      <c r="DQX82" s="0"/>
      <c r="DQY82" s="0"/>
      <c r="DQZ82" s="0"/>
      <c r="DRA82" s="0"/>
      <c r="DRB82" s="0"/>
      <c r="DRC82" s="0"/>
      <c r="DRD82" s="0"/>
      <c r="DRE82" s="0"/>
      <c r="DRF82" s="0"/>
      <c r="DRG82" s="0"/>
      <c r="DRH82" s="0"/>
      <c r="DRI82" s="0"/>
      <c r="DRJ82" s="0"/>
      <c r="DRK82" s="0"/>
      <c r="DRL82" s="0"/>
      <c r="DRM82" s="0"/>
      <c r="DRN82" s="0"/>
      <c r="DRO82" s="0"/>
      <c r="DRP82" s="0"/>
      <c r="DRQ82" s="0"/>
      <c r="DRR82" s="0"/>
      <c r="DRS82" s="0"/>
      <c r="DRT82" s="0"/>
      <c r="DRU82" s="0"/>
      <c r="DRV82" s="0"/>
      <c r="DRW82" s="0"/>
      <c r="DRX82" s="0"/>
      <c r="DRY82" s="0"/>
      <c r="DRZ82" s="0"/>
      <c r="DSA82" s="0"/>
      <c r="DSB82" s="0"/>
      <c r="DSC82" s="0"/>
      <c r="DSD82" s="0"/>
      <c r="DSE82" s="0"/>
      <c r="DSF82" s="0"/>
      <c r="DSG82" s="0"/>
      <c r="DSH82" s="0"/>
      <c r="DSI82" s="0"/>
      <c r="DSJ82" s="0"/>
      <c r="DSK82" s="0"/>
      <c r="DSL82" s="0"/>
      <c r="DSM82" s="0"/>
      <c r="DSN82" s="0"/>
      <c r="DSO82" s="0"/>
      <c r="DSP82" s="0"/>
      <c r="DSQ82" s="0"/>
      <c r="DSR82" s="0"/>
      <c r="DSS82" s="0"/>
      <c r="DST82" s="0"/>
      <c r="DSU82" s="0"/>
      <c r="DSV82" s="0"/>
      <c r="DSW82" s="0"/>
      <c r="DSX82" s="0"/>
      <c r="DSY82" s="0"/>
      <c r="DSZ82" s="0"/>
      <c r="DTA82" s="0"/>
      <c r="DTB82" s="0"/>
      <c r="DTC82" s="0"/>
      <c r="DTD82" s="0"/>
      <c r="DTE82" s="0"/>
      <c r="DTF82" s="0"/>
      <c r="DTG82" s="0"/>
      <c r="DTH82" s="0"/>
      <c r="DTI82" s="0"/>
      <c r="DTJ82" s="0"/>
      <c r="DTK82" s="0"/>
      <c r="DTL82" s="0"/>
      <c r="DTM82" s="0"/>
      <c r="DTN82" s="0"/>
      <c r="DTO82" s="0"/>
      <c r="DTP82" s="0"/>
      <c r="DTQ82" s="0"/>
      <c r="DTR82" s="0"/>
      <c r="DTS82" s="0"/>
      <c r="DTT82" s="0"/>
      <c r="DTU82" s="0"/>
      <c r="DTV82" s="0"/>
      <c r="DTW82" s="0"/>
      <c r="DTX82" s="0"/>
      <c r="DTY82" s="0"/>
      <c r="DTZ82" s="0"/>
      <c r="DUA82" s="0"/>
      <c r="DUB82" s="0"/>
      <c r="DUC82" s="0"/>
      <c r="DUD82" s="0"/>
      <c r="DUE82" s="0"/>
      <c r="DUF82" s="0"/>
      <c r="DUG82" s="0"/>
      <c r="DUH82" s="0"/>
      <c r="DUI82" s="0"/>
      <c r="DUJ82" s="0"/>
      <c r="DUK82" s="0"/>
      <c r="DUL82" s="0"/>
      <c r="DUM82" s="0"/>
      <c r="DUN82" s="0"/>
      <c r="DUO82" s="0"/>
      <c r="DUP82" s="0"/>
      <c r="DUQ82" s="0"/>
      <c r="DUR82" s="0"/>
      <c r="DUS82" s="0"/>
      <c r="DUT82" s="0"/>
      <c r="DUU82" s="0"/>
      <c r="DUV82" s="0"/>
      <c r="DUW82" s="0"/>
      <c r="DUX82" s="0"/>
      <c r="DUY82" s="0"/>
      <c r="DUZ82" s="0"/>
      <c r="DVA82" s="0"/>
      <c r="DVB82" s="0"/>
      <c r="DVC82" s="0"/>
      <c r="DVD82" s="0"/>
      <c r="DVE82" s="0"/>
      <c r="DVF82" s="0"/>
      <c r="DVG82" s="0"/>
      <c r="DVH82" s="0"/>
      <c r="DVI82" s="0"/>
      <c r="DVJ82" s="0"/>
      <c r="DVK82" s="0"/>
      <c r="DVL82" s="0"/>
      <c r="DVM82" s="0"/>
      <c r="DVN82" s="0"/>
      <c r="DVO82" s="0"/>
      <c r="DVP82" s="0"/>
      <c r="DVQ82" s="0"/>
      <c r="DVR82" s="0"/>
      <c r="DVS82" s="0"/>
      <c r="DVT82" s="0"/>
      <c r="DVU82" s="0"/>
      <c r="DVV82" s="0"/>
      <c r="DVW82" s="0"/>
      <c r="DVX82" s="0"/>
      <c r="DVY82" s="0"/>
      <c r="DVZ82" s="0"/>
      <c r="DWA82" s="0"/>
      <c r="DWB82" s="0"/>
      <c r="DWC82" s="0"/>
      <c r="DWD82" s="0"/>
      <c r="DWE82" s="0"/>
      <c r="DWF82" s="0"/>
      <c r="DWG82" s="0"/>
      <c r="DWH82" s="0"/>
      <c r="DWI82" s="0"/>
      <c r="DWJ82" s="0"/>
      <c r="DWK82" s="0"/>
      <c r="DWL82" s="0"/>
      <c r="DWM82" s="0"/>
      <c r="DWN82" s="0"/>
      <c r="DWO82" s="0"/>
      <c r="DWP82" s="0"/>
      <c r="DWQ82" s="0"/>
      <c r="DWR82" s="0"/>
      <c r="DWS82" s="0"/>
      <c r="DWT82" s="0"/>
      <c r="DWU82" s="0"/>
      <c r="DWV82" s="0"/>
      <c r="DWW82" s="0"/>
      <c r="DWX82" s="0"/>
      <c r="DWY82" s="0"/>
      <c r="DWZ82" s="0"/>
      <c r="DXA82" s="0"/>
      <c r="DXB82" s="0"/>
      <c r="DXC82" s="0"/>
      <c r="DXD82" s="0"/>
      <c r="DXE82" s="0"/>
      <c r="DXF82" s="0"/>
      <c r="DXG82" s="0"/>
      <c r="DXH82" s="0"/>
      <c r="DXI82" s="0"/>
      <c r="DXJ82" s="0"/>
      <c r="DXK82" s="0"/>
      <c r="DXL82" s="0"/>
      <c r="DXM82" s="0"/>
      <c r="DXN82" s="0"/>
      <c r="DXO82" s="0"/>
      <c r="DXP82" s="0"/>
      <c r="DXQ82" s="0"/>
      <c r="DXR82" s="0"/>
      <c r="DXS82" s="0"/>
      <c r="DXT82" s="0"/>
      <c r="DXU82" s="0"/>
      <c r="DXV82" s="0"/>
      <c r="DXW82" s="0"/>
      <c r="DXX82" s="0"/>
      <c r="DXY82" s="0"/>
      <c r="DXZ82" s="0"/>
      <c r="DYA82" s="0"/>
      <c r="DYB82" s="0"/>
      <c r="DYC82" s="0"/>
      <c r="DYD82" s="0"/>
      <c r="DYE82" s="0"/>
      <c r="DYF82" s="0"/>
      <c r="DYG82" s="0"/>
      <c r="DYH82" s="0"/>
      <c r="DYI82" s="0"/>
      <c r="DYJ82" s="0"/>
      <c r="DYK82" s="0"/>
      <c r="DYL82" s="0"/>
      <c r="DYM82" s="0"/>
      <c r="DYN82" s="0"/>
      <c r="DYO82" s="0"/>
      <c r="DYP82" s="0"/>
      <c r="DYQ82" s="0"/>
      <c r="DYR82" s="0"/>
      <c r="DYS82" s="0"/>
      <c r="DYT82" s="0"/>
      <c r="DYU82" s="0"/>
      <c r="DYV82" s="0"/>
      <c r="DYW82" s="0"/>
      <c r="DYX82" s="0"/>
      <c r="DYY82" s="0"/>
      <c r="DYZ82" s="0"/>
      <c r="DZA82" s="0"/>
      <c r="DZB82" s="0"/>
      <c r="DZC82" s="0"/>
      <c r="DZD82" s="0"/>
      <c r="DZE82" s="0"/>
      <c r="DZF82" s="0"/>
      <c r="DZG82" s="0"/>
      <c r="DZH82" s="0"/>
      <c r="DZI82" s="0"/>
      <c r="DZJ82" s="0"/>
      <c r="DZK82" s="0"/>
      <c r="DZL82" s="0"/>
      <c r="DZM82" s="0"/>
      <c r="DZN82" s="0"/>
      <c r="DZO82" s="0"/>
      <c r="DZP82" s="0"/>
      <c r="DZQ82" s="0"/>
      <c r="DZR82" s="0"/>
      <c r="DZS82" s="0"/>
      <c r="DZT82" s="0"/>
      <c r="DZU82" s="0"/>
      <c r="DZV82" s="0"/>
      <c r="DZW82" s="0"/>
      <c r="DZX82" s="0"/>
      <c r="DZY82" s="0"/>
      <c r="DZZ82" s="0"/>
      <c r="EAA82" s="0"/>
      <c r="EAB82" s="0"/>
      <c r="EAC82" s="0"/>
      <c r="EAD82" s="0"/>
      <c r="EAE82" s="0"/>
      <c r="EAF82" s="0"/>
      <c r="EAG82" s="0"/>
      <c r="EAH82" s="0"/>
      <c r="EAI82" s="0"/>
      <c r="EAJ82" s="0"/>
      <c r="EAK82" s="0"/>
      <c r="EAL82" s="0"/>
      <c r="EAM82" s="0"/>
      <c r="EAN82" s="0"/>
      <c r="EAO82" s="0"/>
      <c r="EAP82" s="0"/>
      <c r="EAQ82" s="0"/>
      <c r="EAR82" s="0"/>
      <c r="EAS82" s="0"/>
      <c r="EAT82" s="0"/>
      <c r="EAU82" s="0"/>
      <c r="EAV82" s="0"/>
      <c r="EAW82" s="0"/>
      <c r="EAX82" s="0"/>
      <c r="EAY82" s="0"/>
      <c r="EAZ82" s="0"/>
      <c r="EBA82" s="0"/>
      <c r="EBB82" s="0"/>
      <c r="EBC82" s="0"/>
      <c r="EBD82" s="0"/>
      <c r="EBE82" s="0"/>
      <c r="EBF82" s="0"/>
      <c r="EBG82" s="0"/>
      <c r="EBH82" s="0"/>
      <c r="EBI82" s="0"/>
      <c r="EBJ82" s="0"/>
      <c r="EBK82" s="0"/>
      <c r="EBL82" s="0"/>
      <c r="EBM82" s="0"/>
      <c r="EBN82" s="0"/>
      <c r="EBO82" s="0"/>
      <c r="EBP82" s="0"/>
      <c r="EBQ82" s="0"/>
      <c r="EBR82" s="0"/>
      <c r="EBS82" s="0"/>
      <c r="EBT82" s="0"/>
      <c r="EBU82" s="0"/>
      <c r="EBV82" s="0"/>
      <c r="EBW82" s="0"/>
      <c r="EBX82" s="0"/>
      <c r="EBY82" s="0"/>
      <c r="EBZ82" s="0"/>
      <c r="ECA82" s="0"/>
      <c r="ECB82" s="0"/>
      <c r="ECC82" s="0"/>
      <c r="ECD82" s="0"/>
      <c r="ECE82" s="0"/>
      <c r="ECF82" s="0"/>
      <c r="ECG82" s="0"/>
      <c r="ECH82" s="0"/>
      <c r="ECI82" s="0"/>
      <c r="ECJ82" s="0"/>
      <c r="ECK82" s="0"/>
      <c r="ECL82" s="0"/>
      <c r="ECM82" s="0"/>
      <c r="ECN82" s="0"/>
      <c r="ECO82" s="0"/>
      <c r="ECP82" s="0"/>
      <c r="ECQ82" s="0"/>
      <c r="ECR82" s="0"/>
      <c r="ECS82" s="0"/>
      <c r="ECT82" s="0"/>
      <c r="ECU82" s="0"/>
      <c r="ECV82" s="0"/>
      <c r="ECW82" s="0"/>
      <c r="ECX82" s="0"/>
      <c r="ECY82" s="0"/>
      <c r="ECZ82" s="0"/>
      <c r="EDA82" s="0"/>
      <c r="EDB82" s="0"/>
      <c r="EDC82" s="0"/>
      <c r="EDD82" s="0"/>
      <c r="EDE82" s="0"/>
      <c r="EDF82" s="0"/>
      <c r="EDG82" s="0"/>
      <c r="EDH82" s="0"/>
      <c r="EDI82" s="0"/>
      <c r="EDJ82" s="0"/>
      <c r="EDK82" s="0"/>
      <c r="EDL82" s="0"/>
      <c r="EDM82" s="0"/>
      <c r="EDN82" s="0"/>
      <c r="EDO82" s="0"/>
      <c r="EDP82" s="0"/>
      <c r="EDQ82" s="0"/>
      <c r="EDR82" s="0"/>
      <c r="EDS82" s="0"/>
      <c r="EDT82" s="0"/>
      <c r="EDU82" s="0"/>
      <c r="EDV82" s="0"/>
      <c r="EDW82" s="0"/>
      <c r="EDX82" s="0"/>
      <c r="EDY82" s="0"/>
      <c r="EDZ82" s="0"/>
      <c r="EEA82" s="0"/>
      <c r="EEB82" s="0"/>
      <c r="EEC82" s="0"/>
      <c r="EED82" s="0"/>
      <c r="EEE82" s="0"/>
      <c r="EEF82" s="0"/>
      <c r="EEG82" s="0"/>
      <c r="EEH82" s="0"/>
      <c r="EEI82" s="0"/>
      <c r="EEJ82" s="0"/>
      <c r="EEK82" s="0"/>
      <c r="EEL82" s="0"/>
      <c r="EEM82" s="0"/>
      <c r="EEN82" s="0"/>
      <c r="EEO82" s="0"/>
      <c r="EEP82" s="0"/>
      <c r="EEQ82" s="0"/>
      <c r="EER82" s="0"/>
      <c r="EES82" s="0"/>
      <c r="EET82" s="0"/>
      <c r="EEU82" s="0"/>
      <c r="EEV82" s="0"/>
      <c r="EEW82" s="0"/>
      <c r="EEX82" s="0"/>
      <c r="EEY82" s="0"/>
      <c r="EEZ82" s="0"/>
      <c r="EFA82" s="0"/>
      <c r="EFB82" s="0"/>
      <c r="EFC82" s="0"/>
      <c r="EFD82" s="0"/>
      <c r="EFE82" s="0"/>
      <c r="EFF82" s="0"/>
      <c r="EFG82" s="0"/>
      <c r="EFH82" s="0"/>
      <c r="EFI82" s="0"/>
      <c r="EFJ82" s="0"/>
      <c r="EFK82" s="0"/>
      <c r="EFL82" s="0"/>
      <c r="EFM82" s="0"/>
      <c r="EFN82" s="0"/>
      <c r="EFO82" s="0"/>
      <c r="EFP82" s="0"/>
      <c r="EFQ82" s="0"/>
      <c r="EFR82" s="0"/>
      <c r="EFS82" s="0"/>
      <c r="EFT82" s="0"/>
      <c r="EFU82" s="0"/>
      <c r="EFV82" s="0"/>
      <c r="EFW82" s="0"/>
      <c r="EFX82" s="0"/>
      <c r="EFY82" s="0"/>
      <c r="EFZ82" s="0"/>
      <c r="EGA82" s="0"/>
      <c r="EGB82" s="0"/>
      <c r="EGC82" s="0"/>
      <c r="EGD82" s="0"/>
      <c r="EGE82" s="0"/>
      <c r="EGF82" s="0"/>
      <c r="EGG82" s="0"/>
      <c r="EGH82" s="0"/>
      <c r="EGI82" s="0"/>
      <c r="EGJ82" s="0"/>
      <c r="EGK82" s="0"/>
      <c r="EGL82" s="0"/>
      <c r="EGM82" s="0"/>
      <c r="EGN82" s="0"/>
      <c r="EGO82" s="0"/>
      <c r="EGP82" s="0"/>
      <c r="EGQ82" s="0"/>
      <c r="EGR82" s="0"/>
      <c r="EGS82" s="0"/>
      <c r="EGT82" s="0"/>
      <c r="EGU82" s="0"/>
      <c r="EGV82" s="0"/>
      <c r="EGW82" s="0"/>
      <c r="EGX82" s="0"/>
      <c r="EGY82" s="0"/>
      <c r="EGZ82" s="0"/>
      <c r="EHA82" s="0"/>
      <c r="EHB82" s="0"/>
      <c r="EHC82" s="0"/>
      <c r="EHD82" s="0"/>
      <c r="EHE82" s="0"/>
      <c r="EHF82" s="0"/>
      <c r="EHG82" s="0"/>
      <c r="EHH82" s="0"/>
      <c r="EHI82" s="0"/>
      <c r="EHJ82" s="0"/>
      <c r="EHK82" s="0"/>
      <c r="EHL82" s="0"/>
      <c r="EHM82" s="0"/>
      <c r="EHN82" s="0"/>
      <c r="EHO82" s="0"/>
      <c r="EHP82" s="0"/>
      <c r="EHQ82" s="0"/>
      <c r="EHR82" s="0"/>
      <c r="EHS82" s="0"/>
      <c r="EHT82" s="0"/>
      <c r="EHU82" s="0"/>
      <c r="EHV82" s="0"/>
      <c r="EHW82" s="0"/>
      <c r="EHX82" s="0"/>
      <c r="EHY82" s="0"/>
      <c r="EHZ82" s="0"/>
      <c r="EIA82" s="0"/>
      <c r="EIB82" s="0"/>
      <c r="EIC82" s="0"/>
      <c r="EID82" s="0"/>
      <c r="EIE82" s="0"/>
      <c r="EIF82" s="0"/>
      <c r="EIG82" s="0"/>
      <c r="EIH82" s="0"/>
      <c r="EII82" s="0"/>
      <c r="EIJ82" s="0"/>
      <c r="EIK82" s="0"/>
      <c r="EIL82" s="0"/>
      <c r="EIM82" s="0"/>
      <c r="EIN82" s="0"/>
      <c r="EIO82" s="0"/>
      <c r="EIP82" s="0"/>
      <c r="EIQ82" s="0"/>
      <c r="EIR82" s="0"/>
      <c r="EIS82" s="0"/>
      <c r="EIT82" s="0"/>
      <c r="EIU82" s="0"/>
      <c r="EIV82" s="0"/>
      <c r="EIW82" s="0"/>
      <c r="EIX82" s="0"/>
      <c r="EIY82" s="0"/>
      <c r="EIZ82" s="0"/>
      <c r="EJA82" s="0"/>
      <c r="EJB82" s="0"/>
      <c r="EJC82" s="0"/>
      <c r="EJD82" s="0"/>
      <c r="EJE82" s="0"/>
      <c r="EJF82" s="0"/>
      <c r="EJG82" s="0"/>
      <c r="EJH82" s="0"/>
      <c r="EJI82" s="0"/>
      <c r="EJJ82" s="0"/>
      <c r="EJK82" s="0"/>
      <c r="EJL82" s="0"/>
      <c r="EJM82" s="0"/>
      <c r="EJN82" s="0"/>
      <c r="EJO82" s="0"/>
      <c r="EJP82" s="0"/>
      <c r="EJQ82" s="0"/>
      <c r="EJR82" s="0"/>
      <c r="EJS82" s="0"/>
      <c r="EJT82" s="0"/>
      <c r="EJU82" s="0"/>
      <c r="EJV82" s="0"/>
      <c r="EJW82" s="0"/>
      <c r="EJX82" s="0"/>
      <c r="EJY82" s="0"/>
      <c r="EJZ82" s="0"/>
      <c r="EKA82" s="0"/>
      <c r="EKB82" s="0"/>
      <c r="EKC82" s="0"/>
      <c r="EKD82" s="0"/>
      <c r="EKE82" s="0"/>
      <c r="EKF82" s="0"/>
      <c r="EKG82" s="0"/>
      <c r="EKH82" s="0"/>
      <c r="EKI82" s="0"/>
      <c r="EKJ82" s="0"/>
      <c r="EKK82" s="0"/>
      <c r="EKL82" s="0"/>
      <c r="EKM82" s="0"/>
      <c r="EKN82" s="0"/>
      <c r="EKO82" s="0"/>
      <c r="EKP82" s="0"/>
      <c r="EKQ82" s="0"/>
      <c r="EKR82" s="0"/>
      <c r="EKS82" s="0"/>
      <c r="EKT82" s="0"/>
      <c r="EKU82" s="0"/>
      <c r="EKV82" s="0"/>
      <c r="EKW82" s="0"/>
      <c r="EKX82" s="0"/>
      <c r="EKY82" s="0"/>
      <c r="EKZ82" s="0"/>
      <c r="ELA82" s="0"/>
      <c r="ELB82" s="0"/>
      <c r="ELC82" s="0"/>
      <c r="ELD82" s="0"/>
      <c r="ELE82" s="0"/>
      <c r="ELF82" s="0"/>
      <c r="ELG82" s="0"/>
      <c r="ELH82" s="0"/>
      <c r="ELI82" s="0"/>
      <c r="ELJ82" s="0"/>
      <c r="ELK82" s="0"/>
      <c r="ELL82" s="0"/>
      <c r="ELM82" s="0"/>
      <c r="ELN82" s="0"/>
      <c r="ELO82" s="0"/>
      <c r="ELP82" s="0"/>
      <c r="ELQ82" s="0"/>
      <c r="ELR82" s="0"/>
      <c r="ELS82" s="0"/>
      <c r="ELT82" s="0"/>
      <c r="ELU82" s="0"/>
      <c r="ELV82" s="0"/>
      <c r="ELW82" s="0"/>
      <c r="ELX82" s="0"/>
      <c r="ELY82" s="0"/>
      <c r="ELZ82" s="0"/>
      <c r="EMA82" s="0"/>
      <c r="EMB82" s="0"/>
      <c r="EMC82" s="0"/>
      <c r="EMD82" s="0"/>
      <c r="EME82" s="0"/>
      <c r="EMF82" s="0"/>
      <c r="EMG82" s="0"/>
      <c r="EMH82" s="0"/>
      <c r="EMI82" s="0"/>
      <c r="EMJ82" s="0"/>
      <c r="EMK82" s="0"/>
      <c r="EML82" s="0"/>
      <c r="EMM82" s="0"/>
      <c r="EMN82" s="0"/>
      <c r="EMO82" s="0"/>
      <c r="EMP82" s="0"/>
      <c r="EMQ82" s="0"/>
      <c r="EMR82" s="0"/>
      <c r="EMS82" s="0"/>
      <c r="EMT82" s="0"/>
      <c r="EMU82" s="0"/>
      <c r="EMV82" s="0"/>
      <c r="EMW82" s="0"/>
      <c r="EMX82" s="0"/>
      <c r="EMY82" s="0"/>
      <c r="EMZ82" s="0"/>
      <c r="ENA82" s="0"/>
      <c r="ENB82" s="0"/>
      <c r="ENC82" s="0"/>
      <c r="END82" s="0"/>
      <c r="ENE82" s="0"/>
      <c r="ENF82" s="0"/>
      <c r="ENG82" s="0"/>
      <c r="ENH82" s="0"/>
      <c r="ENI82" s="0"/>
      <c r="ENJ82" s="0"/>
      <c r="ENK82" s="0"/>
      <c r="ENL82" s="0"/>
      <c r="ENM82" s="0"/>
      <c r="ENN82" s="0"/>
      <c r="ENO82" s="0"/>
      <c r="ENP82" s="0"/>
      <c r="ENQ82" s="0"/>
      <c r="ENR82" s="0"/>
      <c r="ENS82" s="0"/>
      <c r="ENT82" s="0"/>
      <c r="ENU82" s="0"/>
      <c r="ENV82" s="0"/>
      <c r="ENW82" s="0"/>
      <c r="ENX82" s="0"/>
      <c r="ENY82" s="0"/>
      <c r="ENZ82" s="0"/>
      <c r="EOA82" s="0"/>
      <c r="EOB82" s="0"/>
      <c r="EOC82" s="0"/>
      <c r="EOD82" s="0"/>
      <c r="EOE82" s="0"/>
      <c r="EOF82" s="0"/>
      <c r="EOG82" s="0"/>
      <c r="EOH82" s="0"/>
      <c r="EOI82" s="0"/>
      <c r="EOJ82" s="0"/>
      <c r="EOK82" s="0"/>
      <c r="EOL82" s="0"/>
      <c r="EOM82" s="0"/>
      <c r="EON82" s="0"/>
      <c r="EOO82" s="0"/>
      <c r="EOP82" s="0"/>
      <c r="EOQ82" s="0"/>
      <c r="EOR82" s="0"/>
      <c r="EOS82" s="0"/>
      <c r="EOT82" s="0"/>
      <c r="EOU82" s="0"/>
      <c r="EOV82" s="0"/>
      <c r="EOW82" s="0"/>
      <c r="EOX82" s="0"/>
      <c r="EOY82" s="0"/>
      <c r="EOZ82" s="0"/>
      <c r="EPA82" s="0"/>
      <c r="EPB82" s="0"/>
      <c r="EPC82" s="0"/>
      <c r="EPD82" s="0"/>
      <c r="EPE82" s="0"/>
      <c r="EPF82" s="0"/>
      <c r="EPG82" s="0"/>
      <c r="EPH82" s="0"/>
      <c r="EPI82" s="0"/>
      <c r="EPJ82" s="0"/>
      <c r="EPK82" s="0"/>
      <c r="EPL82" s="0"/>
      <c r="EPM82" s="0"/>
      <c r="EPN82" s="0"/>
      <c r="EPO82" s="0"/>
      <c r="EPP82" s="0"/>
      <c r="EPQ82" s="0"/>
      <c r="EPR82" s="0"/>
      <c r="EPS82" s="0"/>
      <c r="EPT82" s="0"/>
      <c r="EPU82" s="0"/>
      <c r="EPV82" s="0"/>
      <c r="EPW82" s="0"/>
      <c r="EPX82" s="0"/>
      <c r="EPY82" s="0"/>
      <c r="EPZ82" s="0"/>
      <c r="EQA82" s="0"/>
      <c r="EQB82" s="0"/>
      <c r="EQC82" s="0"/>
      <c r="EQD82" s="0"/>
      <c r="EQE82" s="0"/>
      <c r="EQF82" s="0"/>
      <c r="EQG82" s="0"/>
      <c r="EQH82" s="0"/>
      <c r="EQI82" s="0"/>
      <c r="EQJ82" s="0"/>
      <c r="EQK82" s="0"/>
      <c r="EQL82" s="0"/>
      <c r="EQM82" s="0"/>
      <c r="EQN82" s="0"/>
      <c r="EQO82" s="0"/>
      <c r="EQP82" s="0"/>
      <c r="EQQ82" s="0"/>
      <c r="EQR82" s="0"/>
      <c r="EQS82" s="0"/>
      <c r="EQT82" s="0"/>
      <c r="EQU82" s="0"/>
      <c r="EQV82" s="0"/>
      <c r="EQW82" s="0"/>
      <c r="EQX82" s="0"/>
      <c r="EQY82" s="0"/>
      <c r="EQZ82" s="0"/>
      <c r="ERA82" s="0"/>
      <c r="ERB82" s="0"/>
      <c r="ERC82" s="0"/>
      <c r="ERD82" s="0"/>
      <c r="ERE82" s="0"/>
      <c r="ERF82" s="0"/>
      <c r="ERG82" s="0"/>
      <c r="ERH82" s="0"/>
      <c r="ERI82" s="0"/>
      <c r="ERJ82" s="0"/>
      <c r="ERK82" s="0"/>
      <c r="ERL82" s="0"/>
      <c r="ERM82" s="0"/>
      <c r="ERN82" s="0"/>
      <c r="ERO82" s="0"/>
      <c r="ERP82" s="0"/>
      <c r="ERQ82" s="0"/>
      <c r="ERR82" s="0"/>
      <c r="ERS82" s="0"/>
      <c r="ERT82" s="0"/>
      <c r="ERU82" s="0"/>
      <c r="ERV82" s="0"/>
      <c r="ERW82" s="0"/>
      <c r="ERX82" s="0"/>
      <c r="ERY82" s="0"/>
      <c r="ERZ82" s="0"/>
      <c r="ESA82" s="0"/>
      <c r="ESB82" s="0"/>
      <c r="ESC82" s="0"/>
      <c r="ESD82" s="0"/>
      <c r="ESE82" s="0"/>
      <c r="ESF82" s="0"/>
      <c r="ESG82" s="0"/>
      <c r="ESH82" s="0"/>
      <c r="ESI82" s="0"/>
      <c r="ESJ82" s="0"/>
      <c r="ESK82" s="0"/>
      <c r="ESL82" s="0"/>
      <c r="ESM82" s="0"/>
      <c r="ESN82" s="0"/>
      <c r="ESO82" s="0"/>
      <c r="ESP82" s="0"/>
      <c r="ESQ82" s="0"/>
      <c r="ESR82" s="0"/>
      <c r="ESS82" s="0"/>
      <c r="EST82" s="0"/>
      <c r="ESU82" s="0"/>
      <c r="ESV82" s="0"/>
      <c r="ESW82" s="0"/>
      <c r="ESX82" s="0"/>
      <c r="ESY82" s="0"/>
      <c r="ESZ82" s="0"/>
      <c r="ETA82" s="0"/>
      <c r="ETB82" s="0"/>
      <c r="ETC82" s="0"/>
      <c r="ETD82" s="0"/>
      <c r="ETE82" s="0"/>
      <c r="ETF82" s="0"/>
      <c r="ETG82" s="0"/>
      <c r="ETH82" s="0"/>
      <c r="ETI82" s="0"/>
      <c r="ETJ82" s="0"/>
      <c r="ETK82" s="0"/>
      <c r="ETL82" s="0"/>
      <c r="ETM82" s="0"/>
      <c r="ETN82" s="0"/>
      <c r="ETO82" s="0"/>
      <c r="ETP82" s="0"/>
      <c r="ETQ82" s="0"/>
      <c r="ETR82" s="0"/>
      <c r="ETS82" s="0"/>
      <c r="ETT82" s="0"/>
      <c r="ETU82" s="0"/>
      <c r="ETV82" s="0"/>
      <c r="ETW82" s="0"/>
      <c r="ETX82" s="0"/>
      <c r="ETY82" s="0"/>
      <c r="ETZ82" s="0"/>
      <c r="EUA82" s="0"/>
      <c r="EUB82" s="0"/>
      <c r="EUC82" s="0"/>
      <c r="EUD82" s="0"/>
      <c r="EUE82" s="0"/>
      <c r="EUF82" s="0"/>
      <c r="EUG82" s="0"/>
      <c r="EUH82" s="0"/>
      <c r="EUI82" s="0"/>
      <c r="EUJ82" s="0"/>
      <c r="EUK82" s="0"/>
      <c r="EUL82" s="0"/>
      <c r="EUM82" s="0"/>
      <c r="EUN82" s="0"/>
      <c r="EUO82" s="0"/>
      <c r="EUP82" s="0"/>
      <c r="EUQ82" s="0"/>
      <c r="EUR82" s="0"/>
      <c r="EUS82" s="0"/>
      <c r="EUT82" s="0"/>
      <c r="EUU82" s="0"/>
      <c r="EUV82" s="0"/>
      <c r="EUW82" s="0"/>
      <c r="EUX82" s="0"/>
      <c r="EUY82" s="0"/>
      <c r="EUZ82" s="0"/>
      <c r="EVA82" s="0"/>
      <c r="EVB82" s="0"/>
      <c r="EVC82" s="0"/>
      <c r="EVD82" s="0"/>
      <c r="EVE82" s="0"/>
      <c r="EVF82" s="0"/>
      <c r="EVG82" s="0"/>
      <c r="EVH82" s="0"/>
      <c r="EVI82" s="0"/>
      <c r="EVJ82" s="0"/>
      <c r="EVK82" s="0"/>
      <c r="EVL82" s="0"/>
      <c r="EVM82" s="0"/>
      <c r="EVN82" s="0"/>
      <c r="EVO82" s="0"/>
      <c r="EVP82" s="0"/>
      <c r="EVQ82" s="0"/>
      <c r="EVR82" s="0"/>
      <c r="EVS82" s="0"/>
      <c r="EVT82" s="0"/>
      <c r="EVU82" s="0"/>
      <c r="EVV82" s="0"/>
      <c r="EVW82" s="0"/>
      <c r="EVX82" s="0"/>
      <c r="EVY82" s="0"/>
      <c r="EVZ82" s="0"/>
      <c r="EWA82" s="0"/>
      <c r="EWB82" s="0"/>
      <c r="EWC82" s="0"/>
      <c r="EWD82" s="0"/>
      <c r="EWE82" s="0"/>
      <c r="EWF82" s="0"/>
      <c r="EWG82" s="0"/>
      <c r="EWH82" s="0"/>
      <c r="EWI82" s="0"/>
      <c r="EWJ82" s="0"/>
      <c r="EWK82" s="0"/>
      <c r="EWL82" s="0"/>
      <c r="EWM82" s="0"/>
      <c r="EWN82" s="0"/>
      <c r="EWO82" s="0"/>
      <c r="EWP82" s="0"/>
      <c r="EWQ82" s="0"/>
      <c r="EWR82" s="0"/>
      <c r="EWS82" s="0"/>
      <c r="EWT82" s="0"/>
      <c r="EWU82" s="0"/>
      <c r="EWV82" s="0"/>
      <c r="EWW82" s="0"/>
      <c r="EWX82" s="0"/>
      <c r="EWY82" s="0"/>
      <c r="EWZ82" s="0"/>
      <c r="EXA82" s="0"/>
      <c r="EXB82" s="0"/>
      <c r="EXC82" s="0"/>
      <c r="EXD82" s="0"/>
      <c r="EXE82" s="0"/>
      <c r="EXF82" s="0"/>
      <c r="EXG82" s="0"/>
      <c r="EXH82" s="0"/>
      <c r="EXI82" s="0"/>
      <c r="EXJ82" s="0"/>
      <c r="EXK82" s="0"/>
      <c r="EXL82" s="0"/>
      <c r="EXM82" s="0"/>
      <c r="EXN82" s="0"/>
      <c r="EXO82" s="0"/>
      <c r="EXP82" s="0"/>
      <c r="EXQ82" s="0"/>
      <c r="EXR82" s="0"/>
      <c r="EXS82" s="0"/>
      <c r="EXT82" s="0"/>
      <c r="EXU82" s="0"/>
      <c r="EXV82" s="0"/>
      <c r="EXW82" s="0"/>
      <c r="EXX82" s="0"/>
      <c r="EXY82" s="0"/>
      <c r="EXZ82" s="0"/>
      <c r="EYA82" s="0"/>
      <c r="EYB82" s="0"/>
      <c r="EYC82" s="0"/>
      <c r="EYD82" s="0"/>
      <c r="EYE82" s="0"/>
      <c r="EYF82" s="0"/>
      <c r="EYG82" s="0"/>
      <c r="EYH82" s="0"/>
      <c r="EYI82" s="0"/>
      <c r="EYJ82" s="0"/>
      <c r="EYK82" s="0"/>
      <c r="EYL82" s="0"/>
      <c r="EYM82" s="0"/>
      <c r="EYN82" s="0"/>
      <c r="EYO82" s="0"/>
      <c r="EYP82" s="0"/>
      <c r="EYQ82" s="0"/>
      <c r="EYR82" s="0"/>
      <c r="EYS82" s="0"/>
      <c r="EYT82" s="0"/>
      <c r="EYU82" s="0"/>
      <c r="EYV82" s="0"/>
      <c r="EYW82" s="0"/>
      <c r="EYX82" s="0"/>
      <c r="EYY82" s="0"/>
      <c r="EYZ82" s="0"/>
      <c r="EZA82" s="0"/>
      <c r="EZB82" s="0"/>
      <c r="EZC82" s="0"/>
      <c r="EZD82" s="0"/>
      <c r="EZE82" s="0"/>
      <c r="EZF82" s="0"/>
      <c r="EZG82" s="0"/>
      <c r="EZH82" s="0"/>
      <c r="EZI82" s="0"/>
      <c r="EZJ82" s="0"/>
      <c r="EZK82" s="0"/>
      <c r="EZL82" s="0"/>
      <c r="EZM82" s="0"/>
      <c r="EZN82" s="0"/>
      <c r="EZO82" s="0"/>
      <c r="EZP82" s="0"/>
      <c r="EZQ82" s="0"/>
      <c r="EZR82" s="0"/>
      <c r="EZS82" s="0"/>
      <c r="EZT82" s="0"/>
      <c r="EZU82" s="0"/>
      <c r="EZV82" s="0"/>
      <c r="EZW82" s="0"/>
      <c r="EZX82" s="0"/>
      <c r="EZY82" s="0"/>
      <c r="EZZ82" s="0"/>
      <c r="FAA82" s="0"/>
      <c r="FAB82" s="0"/>
      <c r="FAC82" s="0"/>
      <c r="FAD82" s="0"/>
      <c r="FAE82" s="0"/>
      <c r="FAF82" s="0"/>
      <c r="FAG82" s="0"/>
      <c r="FAH82" s="0"/>
      <c r="FAI82" s="0"/>
      <c r="FAJ82" s="0"/>
      <c r="FAK82" s="0"/>
      <c r="FAL82" s="0"/>
      <c r="FAM82" s="0"/>
      <c r="FAN82" s="0"/>
      <c r="FAO82" s="0"/>
      <c r="FAP82" s="0"/>
      <c r="FAQ82" s="0"/>
      <c r="FAR82" s="0"/>
      <c r="FAS82" s="0"/>
      <c r="FAT82" s="0"/>
      <c r="FAU82" s="0"/>
      <c r="FAV82" s="0"/>
      <c r="FAW82" s="0"/>
      <c r="FAX82" s="0"/>
      <c r="FAY82" s="0"/>
      <c r="FAZ82" s="0"/>
      <c r="FBA82" s="0"/>
      <c r="FBB82" s="0"/>
      <c r="FBC82" s="0"/>
      <c r="FBD82" s="0"/>
      <c r="FBE82" s="0"/>
      <c r="FBF82" s="0"/>
      <c r="FBG82" s="0"/>
      <c r="FBH82" s="0"/>
      <c r="FBI82" s="0"/>
      <c r="FBJ82" s="0"/>
      <c r="FBK82" s="0"/>
      <c r="FBL82" s="0"/>
      <c r="FBM82" s="0"/>
      <c r="FBN82" s="0"/>
      <c r="FBO82" s="0"/>
      <c r="FBP82" s="0"/>
      <c r="FBQ82" s="0"/>
      <c r="FBR82" s="0"/>
      <c r="FBS82" s="0"/>
      <c r="FBT82" s="0"/>
      <c r="FBU82" s="0"/>
      <c r="FBV82" s="0"/>
      <c r="FBW82" s="0"/>
      <c r="FBX82" s="0"/>
      <c r="FBY82" s="0"/>
      <c r="FBZ82" s="0"/>
      <c r="FCA82" s="0"/>
      <c r="FCB82" s="0"/>
      <c r="FCC82" s="0"/>
      <c r="FCD82" s="0"/>
      <c r="FCE82" s="0"/>
      <c r="FCF82" s="0"/>
      <c r="FCG82" s="0"/>
      <c r="FCH82" s="0"/>
      <c r="FCI82" s="0"/>
      <c r="FCJ82" s="0"/>
      <c r="FCK82" s="0"/>
      <c r="FCL82" s="0"/>
      <c r="FCM82" s="0"/>
      <c r="FCN82" s="0"/>
      <c r="FCO82" s="0"/>
      <c r="FCP82" s="0"/>
      <c r="FCQ82" s="0"/>
      <c r="FCR82" s="0"/>
      <c r="FCS82" s="0"/>
      <c r="FCT82" s="0"/>
      <c r="FCU82" s="0"/>
      <c r="FCV82" s="0"/>
      <c r="FCW82" s="0"/>
      <c r="FCX82" s="0"/>
      <c r="FCY82" s="0"/>
      <c r="FCZ82" s="0"/>
      <c r="FDA82" s="0"/>
      <c r="FDB82" s="0"/>
      <c r="FDC82" s="0"/>
      <c r="FDD82" s="0"/>
      <c r="FDE82" s="0"/>
      <c r="FDF82" s="0"/>
      <c r="FDG82" s="0"/>
      <c r="FDH82" s="0"/>
      <c r="FDI82" s="0"/>
      <c r="FDJ82" s="0"/>
      <c r="FDK82" s="0"/>
      <c r="FDL82" s="0"/>
      <c r="FDM82" s="0"/>
      <c r="FDN82" s="0"/>
      <c r="FDO82" s="0"/>
      <c r="FDP82" s="0"/>
      <c r="FDQ82" s="0"/>
      <c r="FDR82" s="0"/>
      <c r="FDS82" s="0"/>
      <c r="FDT82" s="0"/>
      <c r="FDU82" s="0"/>
      <c r="FDV82" s="0"/>
      <c r="FDW82" s="0"/>
      <c r="FDX82" s="0"/>
      <c r="FDY82" s="0"/>
      <c r="FDZ82" s="0"/>
      <c r="FEA82" s="0"/>
      <c r="FEB82" s="0"/>
      <c r="FEC82" s="0"/>
      <c r="FED82" s="0"/>
      <c r="FEE82" s="0"/>
      <c r="FEF82" s="0"/>
      <c r="FEG82" s="0"/>
      <c r="FEH82" s="0"/>
      <c r="FEI82" s="0"/>
      <c r="FEJ82" s="0"/>
      <c r="FEK82" s="0"/>
      <c r="FEL82" s="0"/>
      <c r="FEM82" s="0"/>
      <c r="FEN82" s="0"/>
      <c r="FEO82" s="0"/>
      <c r="FEP82" s="0"/>
      <c r="FEQ82" s="0"/>
      <c r="FER82" s="0"/>
      <c r="FES82" s="0"/>
      <c r="FET82" s="0"/>
      <c r="FEU82" s="0"/>
      <c r="FEV82" s="0"/>
      <c r="FEW82" s="0"/>
      <c r="FEX82" s="0"/>
      <c r="FEY82" s="0"/>
      <c r="FEZ82" s="0"/>
      <c r="FFA82" s="0"/>
      <c r="FFB82" s="0"/>
      <c r="FFC82" s="0"/>
      <c r="FFD82" s="0"/>
      <c r="FFE82" s="0"/>
      <c r="FFF82" s="0"/>
      <c r="FFG82" s="0"/>
      <c r="FFH82" s="0"/>
      <c r="FFI82" s="0"/>
      <c r="FFJ82" s="0"/>
      <c r="FFK82" s="0"/>
      <c r="FFL82" s="0"/>
      <c r="FFM82" s="0"/>
      <c r="FFN82" s="0"/>
      <c r="FFO82" s="0"/>
      <c r="FFP82" s="0"/>
      <c r="FFQ82" s="0"/>
      <c r="FFR82" s="0"/>
      <c r="FFS82" s="0"/>
      <c r="FFT82" s="0"/>
      <c r="FFU82" s="0"/>
      <c r="FFV82" s="0"/>
      <c r="FFW82" s="0"/>
      <c r="FFX82" s="0"/>
      <c r="FFY82" s="0"/>
      <c r="FFZ82" s="0"/>
      <c r="FGA82" s="0"/>
      <c r="FGB82" s="0"/>
      <c r="FGC82" s="0"/>
      <c r="FGD82" s="0"/>
      <c r="FGE82" s="0"/>
      <c r="FGF82" s="0"/>
      <c r="FGG82" s="0"/>
      <c r="FGH82" s="0"/>
      <c r="FGI82" s="0"/>
      <c r="FGJ82" s="0"/>
      <c r="FGK82" s="0"/>
      <c r="FGL82" s="0"/>
      <c r="FGM82" s="0"/>
      <c r="FGN82" s="0"/>
      <c r="FGO82" s="0"/>
      <c r="FGP82" s="0"/>
      <c r="FGQ82" s="0"/>
      <c r="FGR82" s="0"/>
      <c r="FGS82" s="0"/>
      <c r="FGT82" s="0"/>
      <c r="FGU82" s="0"/>
      <c r="FGV82" s="0"/>
      <c r="FGW82" s="0"/>
      <c r="FGX82" s="0"/>
      <c r="FGY82" s="0"/>
      <c r="FGZ82" s="0"/>
      <c r="FHA82" s="0"/>
      <c r="FHB82" s="0"/>
      <c r="FHC82" s="0"/>
      <c r="FHD82" s="0"/>
      <c r="FHE82" s="0"/>
      <c r="FHF82" s="0"/>
      <c r="FHG82" s="0"/>
      <c r="FHH82" s="0"/>
      <c r="FHI82" s="0"/>
      <c r="FHJ82" s="0"/>
      <c r="FHK82" s="0"/>
      <c r="FHL82" s="0"/>
      <c r="FHM82" s="0"/>
      <c r="FHN82" s="0"/>
      <c r="FHO82" s="0"/>
      <c r="FHP82" s="0"/>
      <c r="FHQ82" s="0"/>
      <c r="FHR82" s="0"/>
      <c r="FHS82" s="0"/>
      <c r="FHT82" s="0"/>
      <c r="FHU82" s="0"/>
      <c r="FHV82" s="0"/>
      <c r="FHW82" s="0"/>
      <c r="FHX82" s="0"/>
      <c r="FHY82" s="0"/>
      <c r="FHZ82" s="0"/>
      <c r="FIA82" s="0"/>
      <c r="FIB82" s="0"/>
      <c r="FIC82" s="0"/>
      <c r="FID82" s="0"/>
      <c r="FIE82" s="0"/>
      <c r="FIF82" s="0"/>
      <c r="FIG82" s="0"/>
      <c r="FIH82" s="0"/>
      <c r="FII82" s="0"/>
      <c r="FIJ82" s="0"/>
      <c r="FIK82" s="0"/>
      <c r="FIL82" s="0"/>
      <c r="FIM82" s="0"/>
      <c r="FIN82" s="0"/>
      <c r="FIO82" s="0"/>
      <c r="FIP82" s="0"/>
      <c r="FIQ82" s="0"/>
      <c r="FIR82" s="0"/>
      <c r="FIS82" s="0"/>
      <c r="FIT82" s="0"/>
      <c r="FIU82" s="0"/>
      <c r="FIV82" s="0"/>
      <c r="FIW82" s="0"/>
      <c r="FIX82" s="0"/>
      <c r="FIY82" s="0"/>
      <c r="FIZ82" s="0"/>
      <c r="FJA82" s="0"/>
      <c r="FJB82" s="0"/>
      <c r="FJC82" s="0"/>
      <c r="FJD82" s="0"/>
      <c r="FJE82" s="0"/>
      <c r="FJF82" s="0"/>
      <c r="FJG82" s="0"/>
      <c r="FJH82" s="0"/>
      <c r="FJI82" s="0"/>
      <c r="FJJ82" s="0"/>
      <c r="FJK82" s="0"/>
      <c r="FJL82" s="0"/>
      <c r="FJM82" s="0"/>
      <c r="FJN82" s="0"/>
      <c r="FJO82" s="0"/>
      <c r="FJP82" s="0"/>
      <c r="FJQ82" s="0"/>
      <c r="FJR82" s="0"/>
      <c r="FJS82" s="0"/>
      <c r="FJT82" s="0"/>
      <c r="FJU82" s="0"/>
      <c r="FJV82" s="0"/>
      <c r="FJW82" s="0"/>
      <c r="FJX82" s="0"/>
      <c r="FJY82" s="0"/>
      <c r="FJZ82" s="0"/>
      <c r="FKA82" s="0"/>
      <c r="FKB82" s="0"/>
      <c r="FKC82" s="0"/>
      <c r="FKD82" s="0"/>
      <c r="FKE82" s="0"/>
      <c r="FKF82" s="0"/>
      <c r="FKG82" s="0"/>
      <c r="FKH82" s="0"/>
      <c r="FKI82" s="0"/>
      <c r="FKJ82" s="0"/>
      <c r="FKK82" s="0"/>
      <c r="FKL82" s="0"/>
      <c r="FKM82" s="0"/>
      <c r="FKN82" s="0"/>
      <c r="FKO82" s="0"/>
      <c r="FKP82" s="0"/>
      <c r="FKQ82" s="0"/>
      <c r="FKR82" s="0"/>
      <c r="FKS82" s="0"/>
      <c r="FKT82" s="0"/>
      <c r="FKU82" s="0"/>
      <c r="FKV82" s="0"/>
      <c r="FKW82" s="0"/>
      <c r="FKX82" s="0"/>
      <c r="FKY82" s="0"/>
      <c r="FKZ82" s="0"/>
      <c r="FLA82" s="0"/>
      <c r="FLB82" s="0"/>
      <c r="FLC82" s="0"/>
      <c r="FLD82" s="0"/>
      <c r="FLE82" s="0"/>
      <c r="FLF82" s="0"/>
      <c r="FLG82" s="0"/>
      <c r="FLH82" s="0"/>
      <c r="FLI82" s="0"/>
      <c r="FLJ82" s="0"/>
      <c r="FLK82" s="0"/>
      <c r="FLL82" s="0"/>
      <c r="FLM82" s="0"/>
      <c r="FLN82" s="0"/>
      <c r="FLO82" s="0"/>
      <c r="FLP82" s="0"/>
      <c r="FLQ82" s="0"/>
      <c r="FLR82" s="0"/>
      <c r="FLS82" s="0"/>
      <c r="FLT82" s="0"/>
      <c r="FLU82" s="0"/>
      <c r="FLV82" s="0"/>
      <c r="FLW82" s="0"/>
      <c r="FLX82" s="0"/>
      <c r="FLY82" s="0"/>
      <c r="FLZ82" s="0"/>
      <c r="FMA82" s="0"/>
      <c r="FMB82" s="0"/>
      <c r="FMC82" s="0"/>
      <c r="FMD82" s="0"/>
      <c r="FME82" s="0"/>
      <c r="FMF82" s="0"/>
      <c r="FMG82" s="0"/>
      <c r="FMH82" s="0"/>
      <c r="FMI82" s="0"/>
      <c r="FMJ82" s="0"/>
      <c r="FMK82" s="0"/>
      <c r="FML82" s="0"/>
      <c r="FMM82" s="0"/>
      <c r="FMN82" s="0"/>
      <c r="FMO82" s="0"/>
      <c r="FMP82" s="0"/>
      <c r="FMQ82" s="0"/>
      <c r="FMR82" s="0"/>
      <c r="FMS82" s="0"/>
      <c r="FMT82" s="0"/>
      <c r="FMU82" s="0"/>
      <c r="FMV82" s="0"/>
      <c r="FMW82" s="0"/>
      <c r="FMX82" s="0"/>
      <c r="FMY82" s="0"/>
      <c r="FMZ82" s="0"/>
      <c r="FNA82" s="0"/>
      <c r="FNB82" s="0"/>
      <c r="FNC82" s="0"/>
      <c r="FND82" s="0"/>
      <c r="FNE82" s="0"/>
      <c r="FNF82" s="0"/>
      <c r="FNG82" s="0"/>
      <c r="FNH82" s="0"/>
      <c r="FNI82" s="0"/>
      <c r="FNJ82" s="0"/>
      <c r="FNK82" s="0"/>
      <c r="FNL82" s="0"/>
      <c r="FNM82" s="0"/>
      <c r="FNN82" s="0"/>
      <c r="FNO82" s="0"/>
      <c r="FNP82" s="0"/>
      <c r="FNQ82" s="0"/>
      <c r="FNR82" s="0"/>
      <c r="FNS82" s="0"/>
      <c r="FNT82" s="0"/>
      <c r="FNU82" s="0"/>
      <c r="FNV82" s="0"/>
      <c r="FNW82" s="0"/>
      <c r="FNX82" s="0"/>
      <c r="FNY82" s="0"/>
      <c r="FNZ82" s="0"/>
      <c r="FOA82" s="0"/>
      <c r="FOB82" s="0"/>
      <c r="FOC82" s="0"/>
      <c r="FOD82" s="0"/>
      <c r="FOE82" s="0"/>
      <c r="FOF82" s="0"/>
      <c r="FOG82" s="0"/>
      <c r="FOH82" s="0"/>
      <c r="FOI82" s="0"/>
      <c r="FOJ82" s="0"/>
      <c r="FOK82" s="0"/>
      <c r="FOL82" s="0"/>
      <c r="FOM82" s="0"/>
      <c r="FON82" s="0"/>
      <c r="FOO82" s="0"/>
      <c r="FOP82" s="0"/>
      <c r="FOQ82" s="0"/>
      <c r="FOR82" s="0"/>
      <c r="FOS82" s="0"/>
      <c r="FOT82" s="0"/>
      <c r="FOU82" s="0"/>
      <c r="FOV82" s="0"/>
      <c r="FOW82" s="0"/>
      <c r="FOX82" s="0"/>
      <c r="FOY82" s="0"/>
      <c r="FOZ82" s="0"/>
      <c r="FPA82" s="0"/>
      <c r="FPB82" s="0"/>
      <c r="FPC82" s="0"/>
      <c r="FPD82" s="0"/>
      <c r="FPE82" s="0"/>
      <c r="FPF82" s="0"/>
      <c r="FPG82" s="0"/>
      <c r="FPH82" s="0"/>
      <c r="FPI82" s="0"/>
      <c r="FPJ82" s="0"/>
      <c r="FPK82" s="0"/>
      <c r="FPL82" s="0"/>
      <c r="FPM82" s="0"/>
      <c r="FPN82" s="0"/>
      <c r="FPO82" s="0"/>
      <c r="FPP82" s="0"/>
      <c r="FPQ82" s="0"/>
      <c r="FPR82" s="0"/>
      <c r="FPS82" s="0"/>
      <c r="FPT82" s="0"/>
      <c r="FPU82" s="0"/>
      <c r="FPV82" s="0"/>
      <c r="FPW82" s="0"/>
      <c r="FPX82" s="0"/>
      <c r="FPY82" s="0"/>
      <c r="FPZ82" s="0"/>
      <c r="FQA82" s="0"/>
      <c r="FQB82" s="0"/>
      <c r="FQC82" s="0"/>
      <c r="FQD82" s="0"/>
      <c r="FQE82" s="0"/>
      <c r="FQF82" s="0"/>
      <c r="FQG82" s="0"/>
      <c r="FQH82" s="0"/>
      <c r="FQI82" s="0"/>
      <c r="FQJ82" s="0"/>
      <c r="FQK82" s="0"/>
      <c r="FQL82" s="0"/>
      <c r="FQM82" s="0"/>
      <c r="FQN82" s="0"/>
      <c r="FQO82" s="0"/>
      <c r="FQP82" s="0"/>
      <c r="FQQ82" s="0"/>
      <c r="FQR82" s="0"/>
      <c r="FQS82" s="0"/>
      <c r="FQT82" s="0"/>
      <c r="FQU82" s="0"/>
      <c r="FQV82" s="0"/>
      <c r="FQW82" s="0"/>
      <c r="FQX82" s="0"/>
      <c r="FQY82" s="0"/>
      <c r="FQZ82" s="0"/>
      <c r="FRA82" s="0"/>
      <c r="FRB82" s="0"/>
      <c r="FRC82" s="0"/>
      <c r="FRD82" s="0"/>
      <c r="FRE82" s="0"/>
      <c r="FRF82" s="0"/>
      <c r="FRG82" s="0"/>
      <c r="FRH82" s="0"/>
      <c r="FRI82" s="0"/>
      <c r="FRJ82" s="0"/>
      <c r="FRK82" s="0"/>
      <c r="FRL82" s="0"/>
      <c r="FRM82" s="0"/>
      <c r="FRN82" s="0"/>
      <c r="FRO82" s="0"/>
      <c r="FRP82" s="0"/>
      <c r="FRQ82" s="0"/>
      <c r="FRR82" s="0"/>
      <c r="FRS82" s="0"/>
      <c r="FRT82" s="0"/>
      <c r="FRU82" s="0"/>
      <c r="FRV82" s="0"/>
      <c r="FRW82" s="0"/>
      <c r="FRX82" s="0"/>
      <c r="FRY82" s="0"/>
      <c r="FRZ82" s="0"/>
      <c r="FSA82" s="0"/>
      <c r="FSB82" s="0"/>
      <c r="FSC82" s="0"/>
      <c r="FSD82" s="0"/>
      <c r="FSE82" s="0"/>
      <c r="FSF82" s="0"/>
      <c r="FSG82" s="0"/>
      <c r="FSH82" s="0"/>
      <c r="FSI82" s="0"/>
      <c r="FSJ82" s="0"/>
      <c r="FSK82" s="0"/>
      <c r="FSL82" s="0"/>
      <c r="FSM82" s="0"/>
      <c r="FSN82" s="0"/>
      <c r="FSO82" s="0"/>
      <c r="FSP82" s="0"/>
      <c r="FSQ82" s="0"/>
      <c r="FSR82" s="0"/>
      <c r="FSS82" s="0"/>
      <c r="FST82" s="0"/>
      <c r="FSU82" s="0"/>
      <c r="FSV82" s="0"/>
      <c r="FSW82" s="0"/>
      <c r="FSX82" s="0"/>
      <c r="FSY82" s="0"/>
      <c r="FSZ82" s="0"/>
      <c r="FTA82" s="0"/>
      <c r="FTB82" s="0"/>
      <c r="FTC82" s="0"/>
      <c r="FTD82" s="0"/>
      <c r="FTE82" s="0"/>
      <c r="FTF82" s="0"/>
      <c r="FTG82" s="0"/>
      <c r="FTH82" s="0"/>
      <c r="FTI82" s="0"/>
      <c r="FTJ82" s="0"/>
      <c r="FTK82" s="0"/>
      <c r="FTL82" s="0"/>
      <c r="FTM82" s="0"/>
      <c r="FTN82" s="0"/>
      <c r="FTO82" s="0"/>
      <c r="FTP82" s="0"/>
      <c r="FTQ82" s="0"/>
      <c r="FTR82" s="0"/>
      <c r="FTS82" s="0"/>
      <c r="FTT82" s="0"/>
      <c r="FTU82" s="0"/>
      <c r="FTV82" s="0"/>
      <c r="FTW82" s="0"/>
      <c r="FTX82" s="0"/>
      <c r="FTY82" s="0"/>
      <c r="FTZ82" s="0"/>
      <c r="FUA82" s="0"/>
      <c r="FUB82" s="0"/>
      <c r="FUC82" s="0"/>
      <c r="FUD82" s="0"/>
      <c r="FUE82" s="0"/>
      <c r="FUF82" s="0"/>
      <c r="FUG82" s="0"/>
      <c r="FUH82" s="0"/>
      <c r="FUI82" s="0"/>
      <c r="FUJ82" s="0"/>
      <c r="FUK82" s="0"/>
      <c r="FUL82" s="0"/>
      <c r="FUM82" s="0"/>
      <c r="FUN82" s="0"/>
      <c r="FUO82" s="0"/>
      <c r="FUP82" s="0"/>
      <c r="FUQ82" s="0"/>
      <c r="FUR82" s="0"/>
      <c r="FUS82" s="0"/>
      <c r="FUT82" s="0"/>
      <c r="FUU82" s="0"/>
      <c r="FUV82" s="0"/>
      <c r="FUW82" s="0"/>
      <c r="FUX82" s="0"/>
      <c r="FUY82" s="0"/>
      <c r="FUZ82" s="0"/>
      <c r="FVA82" s="0"/>
      <c r="FVB82" s="0"/>
      <c r="FVC82" s="0"/>
      <c r="FVD82" s="0"/>
      <c r="FVE82" s="0"/>
      <c r="FVF82" s="0"/>
      <c r="FVG82" s="0"/>
      <c r="FVH82" s="0"/>
      <c r="FVI82" s="0"/>
      <c r="FVJ82" s="0"/>
      <c r="FVK82" s="0"/>
      <c r="FVL82" s="0"/>
      <c r="FVM82" s="0"/>
      <c r="FVN82" s="0"/>
      <c r="FVO82" s="0"/>
      <c r="FVP82" s="0"/>
      <c r="FVQ82" s="0"/>
      <c r="FVR82" s="0"/>
      <c r="FVS82" s="0"/>
      <c r="FVT82" s="0"/>
      <c r="FVU82" s="0"/>
      <c r="FVV82" s="0"/>
      <c r="FVW82" s="0"/>
      <c r="FVX82" s="0"/>
      <c r="FVY82" s="0"/>
      <c r="FVZ82" s="0"/>
      <c r="FWA82" s="0"/>
      <c r="FWB82" s="0"/>
      <c r="FWC82" s="0"/>
      <c r="FWD82" s="0"/>
      <c r="FWE82" s="0"/>
      <c r="FWF82" s="0"/>
      <c r="FWG82" s="0"/>
      <c r="FWH82" s="0"/>
      <c r="FWI82" s="0"/>
      <c r="FWJ82" s="0"/>
      <c r="FWK82" s="0"/>
      <c r="FWL82" s="0"/>
      <c r="FWM82" s="0"/>
      <c r="FWN82" s="0"/>
      <c r="FWO82" s="0"/>
      <c r="FWP82" s="0"/>
      <c r="FWQ82" s="0"/>
      <c r="FWR82" s="0"/>
      <c r="FWS82" s="0"/>
      <c r="FWT82" s="0"/>
      <c r="FWU82" s="0"/>
      <c r="FWV82" s="0"/>
      <c r="FWW82" s="0"/>
      <c r="FWX82" s="0"/>
      <c r="FWY82" s="0"/>
      <c r="FWZ82" s="0"/>
      <c r="FXA82" s="0"/>
      <c r="FXB82" s="0"/>
      <c r="FXC82" s="0"/>
      <c r="FXD82" s="0"/>
      <c r="FXE82" s="0"/>
      <c r="FXF82" s="0"/>
      <c r="FXG82" s="0"/>
      <c r="FXH82" s="0"/>
      <c r="FXI82" s="0"/>
      <c r="FXJ82" s="0"/>
      <c r="FXK82" s="0"/>
      <c r="FXL82" s="0"/>
      <c r="FXM82" s="0"/>
      <c r="FXN82" s="0"/>
      <c r="FXO82" s="0"/>
      <c r="FXP82" s="0"/>
      <c r="FXQ82" s="0"/>
      <c r="FXR82" s="0"/>
      <c r="FXS82" s="0"/>
      <c r="FXT82" s="0"/>
      <c r="FXU82" s="0"/>
      <c r="FXV82" s="0"/>
      <c r="FXW82" s="0"/>
      <c r="FXX82" s="0"/>
      <c r="FXY82" s="0"/>
      <c r="FXZ82" s="0"/>
      <c r="FYA82" s="0"/>
      <c r="FYB82" s="0"/>
      <c r="FYC82" s="0"/>
      <c r="FYD82" s="0"/>
      <c r="FYE82" s="0"/>
      <c r="FYF82" s="0"/>
      <c r="FYG82" s="0"/>
      <c r="FYH82" s="0"/>
      <c r="FYI82" s="0"/>
      <c r="FYJ82" s="0"/>
      <c r="FYK82" s="0"/>
      <c r="FYL82" s="0"/>
      <c r="FYM82" s="0"/>
      <c r="FYN82" s="0"/>
      <c r="FYO82" s="0"/>
      <c r="FYP82" s="0"/>
      <c r="FYQ82" s="0"/>
      <c r="FYR82" s="0"/>
      <c r="FYS82" s="0"/>
      <c r="FYT82" s="0"/>
      <c r="FYU82" s="0"/>
      <c r="FYV82" s="0"/>
      <c r="FYW82" s="0"/>
      <c r="FYX82" s="0"/>
      <c r="FYY82" s="0"/>
      <c r="FYZ82" s="0"/>
      <c r="FZA82" s="0"/>
      <c r="FZB82" s="0"/>
      <c r="FZC82" s="0"/>
      <c r="FZD82" s="0"/>
      <c r="FZE82" s="0"/>
      <c r="FZF82" s="0"/>
      <c r="FZG82" s="0"/>
      <c r="FZH82" s="0"/>
      <c r="FZI82" s="0"/>
      <c r="FZJ82" s="0"/>
      <c r="FZK82" s="0"/>
      <c r="FZL82" s="0"/>
      <c r="FZM82" s="0"/>
      <c r="FZN82" s="0"/>
      <c r="FZO82" s="0"/>
      <c r="FZP82" s="0"/>
      <c r="FZQ82" s="0"/>
      <c r="FZR82" s="0"/>
      <c r="FZS82" s="0"/>
      <c r="FZT82" s="0"/>
      <c r="FZU82" s="0"/>
      <c r="FZV82" s="0"/>
      <c r="FZW82" s="0"/>
      <c r="FZX82" s="0"/>
      <c r="FZY82" s="0"/>
      <c r="FZZ82" s="0"/>
      <c r="GAA82" s="0"/>
      <c r="GAB82" s="0"/>
      <c r="GAC82" s="0"/>
      <c r="GAD82" s="0"/>
      <c r="GAE82" s="0"/>
      <c r="GAF82" s="0"/>
      <c r="GAG82" s="0"/>
      <c r="GAH82" s="0"/>
      <c r="GAI82" s="0"/>
      <c r="GAJ82" s="0"/>
      <c r="GAK82" s="0"/>
      <c r="GAL82" s="0"/>
      <c r="GAM82" s="0"/>
      <c r="GAN82" s="0"/>
      <c r="GAO82" s="0"/>
      <c r="GAP82" s="0"/>
      <c r="GAQ82" s="0"/>
      <c r="GAR82" s="0"/>
      <c r="GAS82" s="0"/>
      <c r="GAT82" s="0"/>
      <c r="GAU82" s="0"/>
      <c r="GAV82" s="0"/>
      <c r="GAW82" s="0"/>
      <c r="GAX82" s="0"/>
      <c r="GAY82" s="0"/>
      <c r="GAZ82" s="0"/>
      <c r="GBA82" s="0"/>
      <c r="GBB82" s="0"/>
      <c r="GBC82" s="0"/>
      <c r="GBD82" s="0"/>
      <c r="GBE82" s="0"/>
      <c r="GBF82" s="0"/>
      <c r="GBG82" s="0"/>
      <c r="GBH82" s="0"/>
      <c r="GBI82" s="0"/>
      <c r="GBJ82" s="0"/>
      <c r="GBK82" s="0"/>
      <c r="GBL82" s="0"/>
      <c r="GBM82" s="0"/>
      <c r="GBN82" s="0"/>
      <c r="GBO82" s="0"/>
      <c r="GBP82" s="0"/>
      <c r="GBQ82" s="0"/>
      <c r="GBR82" s="0"/>
      <c r="GBS82" s="0"/>
      <c r="GBT82" s="0"/>
      <c r="GBU82" s="0"/>
      <c r="GBV82" s="0"/>
      <c r="GBW82" s="0"/>
      <c r="GBX82" s="0"/>
      <c r="GBY82" s="0"/>
      <c r="GBZ82" s="0"/>
      <c r="GCA82" s="0"/>
      <c r="GCB82" s="0"/>
      <c r="GCC82" s="0"/>
      <c r="GCD82" s="0"/>
      <c r="GCE82" s="0"/>
      <c r="GCF82" s="0"/>
      <c r="GCG82" s="0"/>
      <c r="GCH82" s="0"/>
      <c r="GCI82" s="0"/>
      <c r="GCJ82" s="0"/>
      <c r="GCK82" s="0"/>
      <c r="GCL82" s="0"/>
      <c r="GCM82" s="0"/>
      <c r="GCN82" s="0"/>
      <c r="GCO82" s="0"/>
      <c r="GCP82" s="0"/>
      <c r="GCQ82" s="0"/>
      <c r="GCR82" s="0"/>
      <c r="GCS82" s="0"/>
      <c r="GCT82" s="0"/>
      <c r="GCU82" s="0"/>
      <c r="GCV82" s="0"/>
      <c r="GCW82" s="0"/>
      <c r="GCX82" s="0"/>
      <c r="GCY82" s="0"/>
      <c r="GCZ82" s="0"/>
      <c r="GDA82" s="0"/>
      <c r="GDB82" s="0"/>
      <c r="GDC82" s="0"/>
      <c r="GDD82" s="0"/>
      <c r="GDE82" s="0"/>
      <c r="GDF82" s="0"/>
      <c r="GDG82" s="0"/>
      <c r="GDH82" s="0"/>
      <c r="GDI82" s="0"/>
      <c r="GDJ82" s="0"/>
      <c r="GDK82" s="0"/>
      <c r="GDL82" s="0"/>
      <c r="GDM82" s="0"/>
      <c r="GDN82" s="0"/>
      <c r="GDO82" s="0"/>
      <c r="GDP82" s="0"/>
      <c r="GDQ82" s="0"/>
      <c r="GDR82" s="0"/>
      <c r="GDS82" s="0"/>
      <c r="GDT82" s="0"/>
      <c r="GDU82" s="0"/>
      <c r="GDV82" s="0"/>
      <c r="GDW82" s="0"/>
      <c r="GDX82" s="0"/>
      <c r="GDY82" s="0"/>
      <c r="GDZ82" s="0"/>
      <c r="GEA82" s="0"/>
      <c r="GEB82" s="0"/>
      <c r="GEC82" s="0"/>
      <c r="GED82" s="0"/>
      <c r="GEE82" s="0"/>
      <c r="GEF82" s="0"/>
      <c r="GEG82" s="0"/>
      <c r="GEH82" s="0"/>
      <c r="GEI82" s="0"/>
      <c r="GEJ82" s="0"/>
      <c r="GEK82" s="0"/>
      <c r="GEL82" s="0"/>
      <c r="GEM82" s="0"/>
      <c r="GEN82" s="0"/>
      <c r="GEO82" s="0"/>
      <c r="GEP82" s="0"/>
      <c r="GEQ82" s="0"/>
      <c r="GER82" s="0"/>
      <c r="GES82" s="0"/>
      <c r="GET82" s="0"/>
      <c r="GEU82" s="0"/>
      <c r="GEV82" s="0"/>
      <c r="GEW82" s="0"/>
      <c r="GEX82" s="0"/>
      <c r="GEY82" s="0"/>
      <c r="GEZ82" s="0"/>
      <c r="GFA82" s="0"/>
      <c r="GFB82" s="0"/>
      <c r="GFC82" s="0"/>
      <c r="GFD82" s="0"/>
      <c r="GFE82" s="0"/>
      <c r="GFF82" s="0"/>
      <c r="GFG82" s="0"/>
      <c r="GFH82" s="0"/>
      <c r="GFI82" s="0"/>
      <c r="GFJ82" s="0"/>
      <c r="GFK82" s="0"/>
      <c r="GFL82" s="0"/>
      <c r="GFM82" s="0"/>
      <c r="GFN82" s="0"/>
      <c r="GFO82" s="0"/>
      <c r="GFP82" s="0"/>
      <c r="GFQ82" s="0"/>
      <c r="GFR82" s="0"/>
      <c r="GFS82" s="0"/>
      <c r="GFT82" s="0"/>
      <c r="GFU82" s="0"/>
      <c r="GFV82" s="0"/>
      <c r="GFW82" s="0"/>
      <c r="GFX82" s="0"/>
      <c r="GFY82" s="0"/>
      <c r="GFZ82" s="0"/>
      <c r="GGA82" s="0"/>
      <c r="GGB82" s="0"/>
      <c r="GGC82" s="0"/>
      <c r="GGD82" s="0"/>
      <c r="GGE82" s="0"/>
      <c r="GGF82" s="0"/>
      <c r="GGG82" s="0"/>
      <c r="GGH82" s="0"/>
      <c r="GGI82" s="0"/>
      <c r="GGJ82" s="0"/>
      <c r="GGK82" s="0"/>
      <c r="GGL82" s="0"/>
      <c r="GGM82" s="0"/>
      <c r="GGN82" s="0"/>
      <c r="GGO82" s="0"/>
      <c r="GGP82" s="0"/>
      <c r="GGQ82" s="0"/>
      <c r="GGR82" s="0"/>
      <c r="GGS82" s="0"/>
      <c r="GGT82" s="0"/>
      <c r="GGU82" s="0"/>
      <c r="GGV82" s="0"/>
      <c r="GGW82" s="0"/>
      <c r="GGX82" s="0"/>
      <c r="GGY82" s="0"/>
      <c r="GGZ82" s="0"/>
      <c r="GHA82" s="0"/>
      <c r="GHB82" s="0"/>
      <c r="GHC82" s="0"/>
      <c r="GHD82" s="0"/>
      <c r="GHE82" s="0"/>
      <c r="GHF82" s="0"/>
      <c r="GHG82" s="0"/>
      <c r="GHH82" s="0"/>
      <c r="GHI82" s="0"/>
      <c r="GHJ82" s="0"/>
      <c r="GHK82" s="0"/>
      <c r="GHL82" s="0"/>
      <c r="GHM82" s="0"/>
      <c r="GHN82" s="0"/>
      <c r="GHO82" s="0"/>
      <c r="GHP82" s="0"/>
      <c r="GHQ82" s="0"/>
      <c r="GHR82" s="0"/>
      <c r="GHS82" s="0"/>
      <c r="GHT82" s="0"/>
      <c r="GHU82" s="0"/>
      <c r="GHV82" s="0"/>
      <c r="GHW82" s="0"/>
      <c r="GHX82" s="0"/>
      <c r="GHY82" s="0"/>
      <c r="GHZ82" s="0"/>
      <c r="GIA82" s="0"/>
      <c r="GIB82" s="0"/>
      <c r="GIC82" s="0"/>
      <c r="GID82" s="0"/>
      <c r="GIE82" s="0"/>
      <c r="GIF82" s="0"/>
      <c r="GIG82" s="0"/>
      <c r="GIH82" s="0"/>
      <c r="GII82" s="0"/>
      <c r="GIJ82" s="0"/>
      <c r="GIK82" s="0"/>
      <c r="GIL82" s="0"/>
      <c r="GIM82" s="0"/>
      <c r="GIN82" s="0"/>
      <c r="GIO82" s="0"/>
      <c r="GIP82" s="0"/>
      <c r="GIQ82" s="0"/>
      <c r="GIR82" s="0"/>
      <c r="GIS82" s="0"/>
      <c r="GIT82" s="0"/>
      <c r="GIU82" s="0"/>
      <c r="GIV82" s="0"/>
      <c r="GIW82" s="0"/>
      <c r="GIX82" s="0"/>
      <c r="GIY82" s="0"/>
      <c r="GIZ82" s="0"/>
      <c r="GJA82" s="0"/>
      <c r="GJB82" s="0"/>
      <c r="GJC82" s="0"/>
      <c r="GJD82" s="0"/>
      <c r="GJE82" s="0"/>
      <c r="GJF82" s="0"/>
      <c r="GJG82" s="0"/>
      <c r="GJH82" s="0"/>
      <c r="GJI82" s="0"/>
      <c r="GJJ82" s="0"/>
      <c r="GJK82" s="0"/>
      <c r="GJL82" s="0"/>
      <c r="GJM82" s="0"/>
      <c r="GJN82" s="0"/>
      <c r="GJO82" s="0"/>
      <c r="GJP82" s="0"/>
      <c r="GJQ82" s="0"/>
      <c r="GJR82" s="0"/>
      <c r="GJS82" s="0"/>
      <c r="GJT82" s="0"/>
      <c r="GJU82" s="0"/>
      <c r="GJV82" s="0"/>
      <c r="GJW82" s="0"/>
      <c r="GJX82" s="0"/>
      <c r="GJY82" s="0"/>
      <c r="GJZ82" s="0"/>
      <c r="GKA82" s="0"/>
      <c r="GKB82" s="0"/>
      <c r="GKC82" s="0"/>
      <c r="GKD82" s="0"/>
      <c r="GKE82" s="0"/>
      <c r="GKF82" s="0"/>
      <c r="GKG82" s="0"/>
      <c r="GKH82" s="0"/>
      <c r="GKI82" s="0"/>
      <c r="GKJ82" s="0"/>
      <c r="GKK82" s="0"/>
      <c r="GKL82" s="0"/>
      <c r="GKM82" s="0"/>
      <c r="GKN82" s="0"/>
      <c r="GKO82" s="0"/>
      <c r="GKP82" s="0"/>
      <c r="GKQ82" s="0"/>
      <c r="GKR82" s="0"/>
      <c r="GKS82" s="0"/>
      <c r="GKT82" s="0"/>
      <c r="GKU82" s="0"/>
      <c r="GKV82" s="0"/>
      <c r="GKW82" s="0"/>
      <c r="GKX82" s="0"/>
      <c r="GKY82" s="0"/>
      <c r="GKZ82" s="0"/>
      <c r="GLA82" s="0"/>
      <c r="GLB82" s="0"/>
      <c r="GLC82" s="0"/>
      <c r="GLD82" s="0"/>
      <c r="GLE82" s="0"/>
      <c r="GLF82" s="0"/>
      <c r="GLG82" s="0"/>
      <c r="GLH82" s="0"/>
      <c r="GLI82" s="0"/>
      <c r="GLJ82" s="0"/>
      <c r="GLK82" s="0"/>
      <c r="GLL82" s="0"/>
      <c r="GLM82" s="0"/>
      <c r="GLN82" s="0"/>
      <c r="GLO82" s="0"/>
      <c r="GLP82" s="0"/>
      <c r="GLQ82" s="0"/>
      <c r="GLR82" s="0"/>
      <c r="GLS82" s="0"/>
      <c r="GLT82" s="0"/>
      <c r="GLU82" s="0"/>
      <c r="GLV82" s="0"/>
      <c r="GLW82" s="0"/>
      <c r="GLX82" s="0"/>
      <c r="GLY82" s="0"/>
      <c r="GLZ82" s="0"/>
      <c r="GMA82" s="0"/>
      <c r="GMB82" s="0"/>
      <c r="GMC82" s="0"/>
      <c r="GMD82" s="0"/>
      <c r="GME82" s="0"/>
      <c r="GMF82" s="0"/>
      <c r="GMG82" s="0"/>
      <c r="GMH82" s="0"/>
      <c r="GMI82" s="0"/>
      <c r="GMJ82" s="0"/>
      <c r="GMK82" s="0"/>
      <c r="GML82" s="0"/>
      <c r="GMM82" s="0"/>
      <c r="GMN82" s="0"/>
      <c r="GMO82" s="0"/>
      <c r="GMP82" s="0"/>
      <c r="GMQ82" s="0"/>
      <c r="GMR82" s="0"/>
      <c r="GMS82" s="0"/>
      <c r="GMT82" s="0"/>
      <c r="GMU82" s="0"/>
      <c r="GMV82" s="0"/>
      <c r="GMW82" s="0"/>
      <c r="GMX82" s="0"/>
      <c r="GMY82" s="0"/>
      <c r="GMZ82" s="0"/>
      <c r="GNA82" s="0"/>
      <c r="GNB82" s="0"/>
      <c r="GNC82" s="0"/>
      <c r="GND82" s="0"/>
      <c r="GNE82" s="0"/>
      <c r="GNF82" s="0"/>
      <c r="GNG82" s="0"/>
      <c r="GNH82" s="0"/>
      <c r="GNI82" s="0"/>
      <c r="GNJ82" s="0"/>
      <c r="GNK82" s="0"/>
      <c r="GNL82" s="0"/>
      <c r="GNM82" s="0"/>
      <c r="GNN82" s="0"/>
      <c r="GNO82" s="0"/>
      <c r="GNP82" s="0"/>
      <c r="GNQ82" s="0"/>
      <c r="GNR82" s="0"/>
      <c r="GNS82" s="0"/>
      <c r="GNT82" s="0"/>
      <c r="GNU82" s="0"/>
      <c r="GNV82" s="0"/>
      <c r="GNW82" s="0"/>
      <c r="GNX82" s="0"/>
      <c r="GNY82" s="0"/>
      <c r="GNZ82" s="0"/>
      <c r="GOA82" s="0"/>
      <c r="GOB82" s="0"/>
      <c r="GOC82" s="0"/>
      <c r="GOD82" s="0"/>
      <c r="GOE82" s="0"/>
      <c r="GOF82" s="0"/>
      <c r="GOG82" s="0"/>
      <c r="GOH82" s="0"/>
      <c r="GOI82" s="0"/>
      <c r="GOJ82" s="0"/>
      <c r="GOK82" s="0"/>
      <c r="GOL82" s="0"/>
      <c r="GOM82" s="0"/>
      <c r="GON82" s="0"/>
      <c r="GOO82" s="0"/>
      <c r="GOP82" s="0"/>
      <c r="GOQ82" s="0"/>
      <c r="GOR82" s="0"/>
      <c r="GOS82" s="0"/>
      <c r="GOT82" s="0"/>
      <c r="GOU82" s="0"/>
      <c r="GOV82" s="0"/>
      <c r="GOW82" s="0"/>
      <c r="GOX82" s="0"/>
      <c r="GOY82" s="0"/>
      <c r="GOZ82" s="0"/>
      <c r="GPA82" s="0"/>
      <c r="GPB82" s="0"/>
      <c r="GPC82" s="0"/>
      <c r="GPD82" s="0"/>
      <c r="GPE82" s="0"/>
      <c r="GPF82" s="0"/>
      <c r="GPG82" s="0"/>
      <c r="GPH82" s="0"/>
      <c r="GPI82" s="0"/>
      <c r="GPJ82" s="0"/>
      <c r="GPK82" s="0"/>
      <c r="GPL82" s="0"/>
      <c r="GPM82" s="0"/>
      <c r="GPN82" s="0"/>
      <c r="GPO82" s="0"/>
      <c r="GPP82" s="0"/>
      <c r="GPQ82" s="0"/>
      <c r="GPR82" s="0"/>
      <c r="GPS82" s="0"/>
      <c r="GPT82" s="0"/>
      <c r="GPU82" s="0"/>
      <c r="GPV82" s="0"/>
      <c r="GPW82" s="0"/>
      <c r="GPX82" s="0"/>
      <c r="GPY82" s="0"/>
      <c r="GPZ82" s="0"/>
      <c r="GQA82" s="0"/>
      <c r="GQB82" s="0"/>
      <c r="GQC82" s="0"/>
      <c r="GQD82" s="0"/>
      <c r="GQE82" s="0"/>
      <c r="GQF82" s="0"/>
      <c r="GQG82" s="0"/>
      <c r="GQH82" s="0"/>
      <c r="GQI82" s="0"/>
      <c r="GQJ82" s="0"/>
      <c r="GQK82" s="0"/>
      <c r="GQL82" s="0"/>
      <c r="GQM82" s="0"/>
      <c r="GQN82" s="0"/>
      <c r="GQO82" s="0"/>
      <c r="GQP82" s="0"/>
      <c r="GQQ82" s="0"/>
      <c r="GQR82" s="0"/>
      <c r="GQS82" s="0"/>
      <c r="GQT82" s="0"/>
      <c r="GQU82" s="0"/>
      <c r="GQV82" s="0"/>
      <c r="GQW82" s="0"/>
      <c r="GQX82" s="0"/>
      <c r="GQY82" s="0"/>
      <c r="GQZ82" s="0"/>
      <c r="GRA82" s="0"/>
      <c r="GRB82" s="0"/>
      <c r="GRC82" s="0"/>
      <c r="GRD82" s="0"/>
      <c r="GRE82" s="0"/>
      <c r="GRF82" s="0"/>
      <c r="GRG82" s="0"/>
      <c r="GRH82" s="0"/>
      <c r="GRI82" s="0"/>
      <c r="GRJ82" s="0"/>
      <c r="GRK82" s="0"/>
      <c r="GRL82" s="0"/>
      <c r="GRM82" s="0"/>
      <c r="GRN82" s="0"/>
      <c r="GRO82" s="0"/>
      <c r="GRP82" s="0"/>
      <c r="GRQ82" s="0"/>
      <c r="GRR82" s="0"/>
      <c r="GRS82" s="0"/>
      <c r="GRT82" s="0"/>
      <c r="GRU82" s="0"/>
      <c r="GRV82" s="0"/>
      <c r="GRW82" s="0"/>
      <c r="GRX82" s="0"/>
      <c r="GRY82" s="0"/>
      <c r="GRZ82" s="0"/>
      <c r="GSA82" s="0"/>
      <c r="GSB82" s="0"/>
      <c r="GSC82" s="0"/>
      <c r="GSD82" s="0"/>
      <c r="GSE82" s="0"/>
      <c r="GSF82" s="0"/>
      <c r="GSG82" s="0"/>
      <c r="GSH82" s="0"/>
      <c r="GSI82" s="0"/>
      <c r="GSJ82" s="0"/>
      <c r="GSK82" s="0"/>
      <c r="GSL82" s="0"/>
      <c r="GSM82" s="0"/>
      <c r="GSN82" s="0"/>
      <c r="GSO82" s="0"/>
      <c r="GSP82" s="0"/>
      <c r="GSQ82" s="0"/>
      <c r="GSR82" s="0"/>
      <c r="GSS82" s="0"/>
      <c r="GST82" s="0"/>
      <c r="GSU82" s="0"/>
      <c r="GSV82" s="0"/>
      <c r="GSW82" s="0"/>
      <c r="GSX82" s="0"/>
      <c r="GSY82" s="0"/>
      <c r="GSZ82" s="0"/>
      <c r="GTA82" s="0"/>
      <c r="GTB82" s="0"/>
      <c r="GTC82" s="0"/>
      <c r="GTD82" s="0"/>
      <c r="GTE82" s="0"/>
      <c r="GTF82" s="0"/>
      <c r="GTG82" s="0"/>
      <c r="GTH82" s="0"/>
      <c r="GTI82" s="0"/>
      <c r="GTJ82" s="0"/>
      <c r="GTK82" s="0"/>
      <c r="GTL82" s="0"/>
      <c r="GTM82" s="0"/>
      <c r="GTN82" s="0"/>
      <c r="GTO82" s="0"/>
      <c r="GTP82" s="0"/>
      <c r="GTQ82" s="0"/>
      <c r="GTR82" s="0"/>
      <c r="GTS82" s="0"/>
      <c r="GTT82" s="0"/>
      <c r="GTU82" s="0"/>
      <c r="GTV82" s="0"/>
      <c r="GTW82" s="0"/>
      <c r="GTX82" s="0"/>
      <c r="GTY82" s="0"/>
      <c r="GTZ82" s="0"/>
      <c r="GUA82" s="0"/>
      <c r="GUB82" s="0"/>
      <c r="GUC82" s="0"/>
      <c r="GUD82" s="0"/>
      <c r="GUE82" s="0"/>
      <c r="GUF82" s="0"/>
      <c r="GUG82" s="0"/>
      <c r="GUH82" s="0"/>
      <c r="GUI82" s="0"/>
      <c r="GUJ82" s="0"/>
      <c r="GUK82" s="0"/>
      <c r="GUL82" s="0"/>
      <c r="GUM82" s="0"/>
      <c r="GUN82" s="0"/>
      <c r="GUO82" s="0"/>
      <c r="GUP82" s="0"/>
      <c r="GUQ82" s="0"/>
      <c r="GUR82" s="0"/>
      <c r="GUS82" s="0"/>
      <c r="GUT82" s="0"/>
      <c r="GUU82" s="0"/>
      <c r="GUV82" s="0"/>
      <c r="GUW82" s="0"/>
      <c r="GUX82" s="0"/>
      <c r="GUY82" s="0"/>
      <c r="GUZ82" s="0"/>
      <c r="GVA82" s="0"/>
      <c r="GVB82" s="0"/>
      <c r="GVC82" s="0"/>
      <c r="GVD82" s="0"/>
      <c r="GVE82" s="0"/>
      <c r="GVF82" s="0"/>
      <c r="GVG82" s="0"/>
      <c r="GVH82" s="0"/>
      <c r="GVI82" s="0"/>
      <c r="GVJ82" s="0"/>
      <c r="GVK82" s="0"/>
      <c r="GVL82" s="0"/>
      <c r="GVM82" s="0"/>
      <c r="GVN82" s="0"/>
      <c r="GVO82" s="0"/>
      <c r="GVP82" s="0"/>
      <c r="GVQ82" s="0"/>
      <c r="GVR82" s="0"/>
      <c r="GVS82" s="0"/>
      <c r="GVT82" s="0"/>
      <c r="GVU82" s="0"/>
      <c r="GVV82" s="0"/>
      <c r="GVW82" s="0"/>
      <c r="GVX82" s="0"/>
      <c r="GVY82" s="0"/>
      <c r="GVZ82" s="0"/>
      <c r="GWA82" s="0"/>
      <c r="GWB82" s="0"/>
      <c r="GWC82" s="0"/>
      <c r="GWD82" s="0"/>
      <c r="GWE82" s="0"/>
      <c r="GWF82" s="0"/>
      <c r="GWG82" s="0"/>
      <c r="GWH82" s="0"/>
      <c r="GWI82" s="0"/>
      <c r="GWJ82" s="0"/>
      <c r="GWK82" s="0"/>
      <c r="GWL82" s="0"/>
      <c r="GWM82" s="0"/>
      <c r="GWN82" s="0"/>
      <c r="GWO82" s="0"/>
      <c r="GWP82" s="0"/>
      <c r="GWQ82" s="0"/>
      <c r="GWR82" s="0"/>
      <c r="GWS82" s="0"/>
      <c r="GWT82" s="0"/>
      <c r="GWU82" s="0"/>
      <c r="GWV82" s="0"/>
      <c r="GWW82" s="0"/>
      <c r="GWX82" s="0"/>
      <c r="GWY82" s="0"/>
      <c r="GWZ82" s="0"/>
      <c r="GXA82" s="0"/>
      <c r="GXB82" s="0"/>
      <c r="GXC82" s="0"/>
      <c r="GXD82" s="0"/>
      <c r="GXE82" s="0"/>
      <c r="GXF82" s="0"/>
      <c r="GXG82" s="0"/>
      <c r="GXH82" s="0"/>
      <c r="GXI82" s="0"/>
      <c r="GXJ82" s="0"/>
      <c r="GXK82" s="0"/>
      <c r="GXL82" s="0"/>
      <c r="GXM82" s="0"/>
      <c r="GXN82" s="0"/>
      <c r="GXO82" s="0"/>
      <c r="GXP82" s="0"/>
      <c r="GXQ82" s="0"/>
      <c r="GXR82" s="0"/>
      <c r="GXS82" s="0"/>
      <c r="GXT82" s="0"/>
      <c r="GXU82" s="0"/>
      <c r="GXV82" s="0"/>
      <c r="GXW82" s="0"/>
      <c r="GXX82" s="0"/>
      <c r="GXY82" s="0"/>
      <c r="GXZ82" s="0"/>
      <c r="GYA82" s="0"/>
      <c r="GYB82" s="0"/>
      <c r="GYC82" s="0"/>
      <c r="GYD82" s="0"/>
      <c r="GYE82" s="0"/>
      <c r="GYF82" s="0"/>
      <c r="GYG82" s="0"/>
      <c r="GYH82" s="0"/>
      <c r="GYI82" s="0"/>
      <c r="GYJ82" s="0"/>
      <c r="GYK82" s="0"/>
      <c r="GYL82" s="0"/>
      <c r="GYM82" s="0"/>
      <c r="GYN82" s="0"/>
      <c r="GYO82" s="0"/>
      <c r="GYP82" s="0"/>
      <c r="GYQ82" s="0"/>
      <c r="GYR82" s="0"/>
      <c r="GYS82" s="0"/>
      <c r="GYT82" s="0"/>
      <c r="GYU82" s="0"/>
      <c r="GYV82" s="0"/>
      <c r="GYW82" s="0"/>
      <c r="GYX82" s="0"/>
      <c r="GYY82" s="0"/>
      <c r="GYZ82" s="0"/>
      <c r="GZA82" s="0"/>
      <c r="GZB82" s="0"/>
      <c r="GZC82" s="0"/>
      <c r="GZD82" s="0"/>
      <c r="GZE82" s="0"/>
      <c r="GZF82" s="0"/>
      <c r="GZG82" s="0"/>
      <c r="GZH82" s="0"/>
      <c r="GZI82" s="0"/>
      <c r="GZJ82" s="0"/>
      <c r="GZK82" s="0"/>
      <c r="GZL82" s="0"/>
      <c r="GZM82" s="0"/>
      <c r="GZN82" s="0"/>
      <c r="GZO82" s="0"/>
      <c r="GZP82" s="0"/>
      <c r="GZQ82" s="0"/>
      <c r="GZR82" s="0"/>
      <c r="GZS82" s="0"/>
      <c r="GZT82" s="0"/>
      <c r="GZU82" s="0"/>
      <c r="GZV82" s="0"/>
      <c r="GZW82" s="0"/>
      <c r="GZX82" s="0"/>
      <c r="GZY82" s="0"/>
      <c r="GZZ82" s="0"/>
      <c r="HAA82" s="0"/>
      <c r="HAB82" s="0"/>
      <c r="HAC82" s="0"/>
      <c r="HAD82" s="0"/>
      <c r="HAE82" s="0"/>
      <c r="HAF82" s="0"/>
      <c r="HAG82" s="0"/>
      <c r="HAH82" s="0"/>
      <c r="HAI82" s="0"/>
      <c r="HAJ82" s="0"/>
      <c r="HAK82" s="0"/>
      <c r="HAL82" s="0"/>
      <c r="HAM82" s="0"/>
      <c r="HAN82" s="0"/>
      <c r="HAO82" s="0"/>
      <c r="HAP82" s="0"/>
      <c r="HAQ82" s="0"/>
      <c r="HAR82" s="0"/>
      <c r="HAS82" s="0"/>
      <c r="HAT82" s="0"/>
      <c r="HAU82" s="0"/>
      <c r="HAV82" s="0"/>
      <c r="HAW82" s="0"/>
      <c r="HAX82" s="0"/>
      <c r="HAY82" s="0"/>
      <c r="HAZ82" s="0"/>
      <c r="HBA82" s="0"/>
      <c r="HBB82" s="0"/>
      <c r="HBC82" s="0"/>
      <c r="HBD82" s="0"/>
      <c r="HBE82" s="0"/>
      <c r="HBF82" s="0"/>
      <c r="HBG82" s="0"/>
      <c r="HBH82" s="0"/>
      <c r="HBI82" s="0"/>
      <c r="HBJ82" s="0"/>
      <c r="HBK82" s="0"/>
      <c r="HBL82" s="0"/>
      <c r="HBM82" s="0"/>
      <c r="HBN82" s="0"/>
      <c r="HBO82" s="0"/>
      <c r="HBP82" s="0"/>
      <c r="HBQ82" s="0"/>
      <c r="HBR82" s="0"/>
      <c r="HBS82" s="0"/>
      <c r="HBT82" s="0"/>
      <c r="HBU82" s="0"/>
      <c r="HBV82" s="0"/>
      <c r="HBW82" s="0"/>
      <c r="HBX82" s="0"/>
      <c r="HBY82" s="0"/>
      <c r="HBZ82" s="0"/>
      <c r="HCA82" s="0"/>
      <c r="HCB82" s="0"/>
      <c r="HCC82" s="0"/>
      <c r="HCD82" s="0"/>
      <c r="HCE82" s="0"/>
      <c r="HCF82" s="0"/>
      <c r="HCG82" s="0"/>
      <c r="HCH82" s="0"/>
      <c r="HCI82" s="0"/>
      <c r="HCJ82" s="0"/>
      <c r="HCK82" s="0"/>
      <c r="HCL82" s="0"/>
      <c r="HCM82" s="0"/>
      <c r="HCN82" s="0"/>
      <c r="HCO82" s="0"/>
      <c r="HCP82" s="0"/>
      <c r="HCQ82" s="0"/>
      <c r="HCR82" s="0"/>
      <c r="HCS82" s="0"/>
      <c r="HCT82" s="0"/>
      <c r="HCU82" s="0"/>
      <c r="HCV82" s="0"/>
      <c r="HCW82" s="0"/>
      <c r="HCX82" s="0"/>
      <c r="HCY82" s="0"/>
      <c r="HCZ82" s="0"/>
      <c r="HDA82" s="0"/>
      <c r="HDB82" s="0"/>
      <c r="HDC82" s="0"/>
      <c r="HDD82" s="0"/>
      <c r="HDE82" s="0"/>
      <c r="HDF82" s="0"/>
      <c r="HDG82" s="0"/>
      <c r="HDH82" s="0"/>
      <c r="HDI82" s="0"/>
      <c r="HDJ82" s="0"/>
      <c r="HDK82" s="0"/>
      <c r="HDL82" s="0"/>
      <c r="HDM82" s="0"/>
      <c r="HDN82" s="0"/>
      <c r="HDO82" s="0"/>
      <c r="HDP82" s="0"/>
      <c r="HDQ82" s="0"/>
      <c r="HDR82" s="0"/>
      <c r="HDS82" s="0"/>
      <c r="HDT82" s="0"/>
      <c r="HDU82" s="0"/>
      <c r="HDV82" s="0"/>
      <c r="HDW82" s="0"/>
      <c r="HDX82" s="0"/>
      <c r="HDY82" s="0"/>
      <c r="HDZ82" s="0"/>
      <c r="HEA82" s="0"/>
      <c r="HEB82" s="0"/>
      <c r="HEC82" s="0"/>
      <c r="HED82" s="0"/>
      <c r="HEE82" s="0"/>
      <c r="HEF82" s="0"/>
      <c r="HEG82" s="0"/>
      <c r="HEH82" s="0"/>
      <c r="HEI82" s="0"/>
      <c r="HEJ82" s="0"/>
      <c r="HEK82" s="0"/>
      <c r="HEL82" s="0"/>
      <c r="HEM82" s="0"/>
      <c r="HEN82" s="0"/>
      <c r="HEO82" s="0"/>
      <c r="HEP82" s="0"/>
      <c r="HEQ82" s="0"/>
      <c r="HER82" s="0"/>
      <c r="HES82" s="0"/>
      <c r="HET82" s="0"/>
      <c r="HEU82" s="0"/>
      <c r="HEV82" s="0"/>
      <c r="HEW82" s="0"/>
      <c r="HEX82" s="0"/>
      <c r="HEY82" s="0"/>
      <c r="HEZ82" s="0"/>
      <c r="HFA82" s="0"/>
      <c r="HFB82" s="0"/>
      <c r="HFC82" s="0"/>
      <c r="HFD82" s="0"/>
      <c r="HFE82" s="0"/>
      <c r="HFF82" s="0"/>
      <c r="HFG82" s="0"/>
      <c r="HFH82" s="0"/>
      <c r="HFI82" s="0"/>
      <c r="HFJ82" s="0"/>
      <c r="HFK82" s="0"/>
      <c r="HFL82" s="0"/>
      <c r="HFM82" s="0"/>
      <c r="HFN82" s="0"/>
      <c r="HFO82" s="0"/>
      <c r="HFP82" s="0"/>
      <c r="HFQ82" s="0"/>
      <c r="HFR82" s="0"/>
      <c r="HFS82" s="0"/>
      <c r="HFT82" s="0"/>
      <c r="HFU82" s="0"/>
      <c r="HFV82" s="0"/>
      <c r="HFW82" s="0"/>
      <c r="HFX82" s="0"/>
      <c r="HFY82" s="0"/>
      <c r="HFZ82" s="0"/>
      <c r="HGA82" s="0"/>
      <c r="HGB82" s="0"/>
      <c r="HGC82" s="0"/>
      <c r="HGD82" s="0"/>
      <c r="HGE82" s="0"/>
      <c r="HGF82" s="0"/>
      <c r="HGG82" s="0"/>
      <c r="HGH82" s="0"/>
      <c r="HGI82" s="0"/>
      <c r="HGJ82" s="0"/>
      <c r="HGK82" s="0"/>
      <c r="HGL82" s="0"/>
      <c r="HGM82" s="0"/>
      <c r="HGN82" s="0"/>
      <c r="HGO82" s="0"/>
      <c r="HGP82" s="0"/>
      <c r="HGQ82" s="0"/>
      <c r="HGR82" s="0"/>
      <c r="HGS82" s="0"/>
      <c r="HGT82" s="0"/>
      <c r="HGU82" s="0"/>
      <c r="HGV82" s="0"/>
      <c r="HGW82" s="0"/>
      <c r="HGX82" s="0"/>
      <c r="HGY82" s="0"/>
      <c r="HGZ82" s="0"/>
      <c r="HHA82" s="0"/>
      <c r="HHB82" s="0"/>
      <c r="HHC82" s="0"/>
      <c r="HHD82" s="0"/>
      <c r="HHE82" s="0"/>
      <c r="HHF82" s="0"/>
      <c r="HHG82" s="0"/>
      <c r="HHH82" s="0"/>
      <c r="HHI82" s="0"/>
      <c r="HHJ82" s="0"/>
      <c r="HHK82" s="0"/>
      <c r="HHL82" s="0"/>
      <c r="HHM82" s="0"/>
      <c r="HHN82" s="0"/>
      <c r="HHO82" s="0"/>
      <c r="HHP82" s="0"/>
      <c r="HHQ82" s="0"/>
      <c r="HHR82" s="0"/>
      <c r="HHS82" s="0"/>
      <c r="HHT82" s="0"/>
      <c r="HHU82" s="0"/>
      <c r="HHV82" s="0"/>
      <c r="HHW82" s="0"/>
      <c r="HHX82" s="0"/>
      <c r="HHY82" s="0"/>
      <c r="HHZ82" s="0"/>
      <c r="HIA82" s="0"/>
      <c r="HIB82" s="0"/>
      <c r="HIC82" s="0"/>
      <c r="HID82" s="0"/>
      <c r="HIE82" s="0"/>
      <c r="HIF82" s="0"/>
      <c r="HIG82" s="0"/>
      <c r="HIH82" s="0"/>
      <c r="HII82" s="0"/>
      <c r="HIJ82" s="0"/>
      <c r="HIK82" s="0"/>
      <c r="HIL82" s="0"/>
      <c r="HIM82" s="0"/>
      <c r="HIN82" s="0"/>
      <c r="HIO82" s="0"/>
      <c r="HIP82" s="0"/>
      <c r="HIQ82" s="0"/>
      <c r="HIR82" s="0"/>
      <c r="HIS82" s="0"/>
      <c r="HIT82" s="0"/>
      <c r="HIU82" s="0"/>
      <c r="HIV82" s="0"/>
      <c r="HIW82" s="0"/>
      <c r="HIX82" s="0"/>
      <c r="HIY82" s="0"/>
      <c r="HIZ82" s="0"/>
      <c r="HJA82" s="0"/>
      <c r="HJB82" s="0"/>
      <c r="HJC82" s="0"/>
      <c r="HJD82" s="0"/>
      <c r="HJE82" s="0"/>
      <c r="HJF82" s="0"/>
      <c r="HJG82" s="0"/>
      <c r="HJH82" s="0"/>
      <c r="HJI82" s="0"/>
      <c r="HJJ82" s="0"/>
      <c r="HJK82" s="0"/>
      <c r="HJL82" s="0"/>
      <c r="HJM82" s="0"/>
      <c r="HJN82" s="0"/>
      <c r="HJO82" s="0"/>
      <c r="HJP82" s="0"/>
      <c r="HJQ82" s="0"/>
      <c r="HJR82" s="0"/>
      <c r="HJS82" s="0"/>
      <c r="HJT82" s="0"/>
      <c r="HJU82" s="0"/>
      <c r="HJV82" s="0"/>
      <c r="HJW82" s="0"/>
      <c r="HJX82" s="0"/>
      <c r="HJY82" s="0"/>
      <c r="HJZ82" s="0"/>
      <c r="HKA82" s="0"/>
      <c r="HKB82" s="0"/>
      <c r="HKC82" s="0"/>
      <c r="HKD82" s="0"/>
      <c r="HKE82" s="0"/>
      <c r="HKF82" s="0"/>
      <c r="HKG82" s="0"/>
      <c r="HKH82" s="0"/>
      <c r="HKI82" s="0"/>
      <c r="HKJ82" s="0"/>
      <c r="HKK82" s="0"/>
      <c r="HKL82" s="0"/>
      <c r="HKM82" s="0"/>
      <c r="HKN82" s="0"/>
      <c r="HKO82" s="0"/>
      <c r="HKP82" s="0"/>
      <c r="HKQ82" s="0"/>
      <c r="HKR82" s="0"/>
      <c r="HKS82" s="0"/>
      <c r="HKT82" s="0"/>
      <c r="HKU82" s="0"/>
      <c r="HKV82" s="0"/>
      <c r="HKW82" s="0"/>
      <c r="HKX82" s="0"/>
      <c r="HKY82" s="0"/>
      <c r="HKZ82" s="0"/>
      <c r="HLA82" s="0"/>
      <c r="HLB82" s="0"/>
      <c r="HLC82" s="0"/>
      <c r="HLD82" s="0"/>
      <c r="HLE82" s="0"/>
      <c r="HLF82" s="0"/>
      <c r="HLG82" s="0"/>
      <c r="HLH82" s="0"/>
      <c r="HLI82" s="0"/>
      <c r="HLJ82" s="0"/>
      <c r="HLK82" s="0"/>
      <c r="HLL82" s="0"/>
      <c r="HLM82" s="0"/>
      <c r="HLN82" s="0"/>
      <c r="HLO82" s="0"/>
      <c r="HLP82" s="0"/>
      <c r="HLQ82" s="0"/>
      <c r="HLR82" s="0"/>
      <c r="HLS82" s="0"/>
      <c r="HLT82" s="0"/>
      <c r="HLU82" s="0"/>
      <c r="HLV82" s="0"/>
      <c r="HLW82" s="0"/>
      <c r="HLX82" s="0"/>
      <c r="HLY82" s="0"/>
      <c r="HLZ82" s="0"/>
      <c r="HMA82" s="0"/>
      <c r="HMB82" s="0"/>
      <c r="HMC82" s="0"/>
      <c r="HMD82" s="0"/>
      <c r="HME82" s="0"/>
      <c r="HMF82" s="0"/>
      <c r="HMG82" s="0"/>
      <c r="HMH82" s="0"/>
      <c r="HMI82" s="0"/>
      <c r="HMJ82" s="0"/>
      <c r="HMK82" s="0"/>
      <c r="HML82" s="0"/>
      <c r="HMM82" s="0"/>
      <c r="HMN82" s="0"/>
      <c r="HMO82" s="0"/>
      <c r="HMP82" s="0"/>
      <c r="HMQ82" s="0"/>
      <c r="HMR82" s="0"/>
      <c r="HMS82" s="0"/>
      <c r="HMT82" s="0"/>
      <c r="HMU82" s="0"/>
      <c r="HMV82" s="0"/>
      <c r="HMW82" s="0"/>
      <c r="HMX82" s="0"/>
      <c r="HMY82" s="0"/>
      <c r="HMZ82" s="0"/>
      <c r="HNA82" s="0"/>
      <c r="HNB82" s="0"/>
      <c r="HNC82" s="0"/>
      <c r="HND82" s="0"/>
      <c r="HNE82" s="0"/>
      <c r="HNF82" s="0"/>
      <c r="HNG82" s="0"/>
      <c r="HNH82" s="0"/>
      <c r="HNI82" s="0"/>
      <c r="HNJ82" s="0"/>
      <c r="HNK82" s="0"/>
      <c r="HNL82" s="0"/>
      <c r="HNM82" s="0"/>
      <c r="HNN82" s="0"/>
      <c r="HNO82" s="0"/>
      <c r="HNP82" s="0"/>
      <c r="HNQ82" s="0"/>
      <c r="HNR82" s="0"/>
      <c r="HNS82" s="0"/>
      <c r="HNT82" s="0"/>
      <c r="HNU82" s="0"/>
      <c r="HNV82" s="0"/>
      <c r="HNW82" s="0"/>
      <c r="HNX82" s="0"/>
      <c r="HNY82" s="0"/>
      <c r="HNZ82" s="0"/>
      <c r="HOA82" s="0"/>
      <c r="HOB82" s="0"/>
      <c r="HOC82" s="0"/>
      <c r="HOD82" s="0"/>
      <c r="HOE82" s="0"/>
      <c r="HOF82" s="0"/>
      <c r="HOG82" s="0"/>
      <c r="HOH82" s="0"/>
      <c r="HOI82" s="0"/>
      <c r="HOJ82" s="0"/>
      <c r="HOK82" s="0"/>
      <c r="HOL82" s="0"/>
      <c r="HOM82" s="0"/>
      <c r="HON82" s="0"/>
      <c r="HOO82" s="0"/>
      <c r="HOP82" s="0"/>
      <c r="HOQ82" s="0"/>
      <c r="HOR82" s="0"/>
      <c r="HOS82" s="0"/>
      <c r="HOT82" s="0"/>
      <c r="HOU82" s="0"/>
      <c r="HOV82" s="0"/>
      <c r="HOW82" s="0"/>
      <c r="HOX82" s="0"/>
      <c r="HOY82" s="0"/>
      <c r="HOZ82" s="0"/>
      <c r="HPA82" s="0"/>
      <c r="HPB82" s="0"/>
      <c r="HPC82" s="0"/>
      <c r="HPD82" s="0"/>
      <c r="HPE82" s="0"/>
      <c r="HPF82" s="0"/>
      <c r="HPG82" s="0"/>
      <c r="HPH82" s="0"/>
      <c r="HPI82" s="0"/>
      <c r="HPJ82" s="0"/>
      <c r="HPK82" s="0"/>
      <c r="HPL82" s="0"/>
      <c r="HPM82" s="0"/>
      <c r="HPN82" s="0"/>
      <c r="HPO82" s="0"/>
      <c r="HPP82" s="0"/>
      <c r="HPQ82" s="0"/>
      <c r="HPR82" s="0"/>
      <c r="HPS82" s="0"/>
      <c r="HPT82" s="0"/>
      <c r="HPU82" s="0"/>
      <c r="HPV82" s="0"/>
      <c r="HPW82" s="0"/>
      <c r="HPX82" s="0"/>
      <c r="HPY82" s="0"/>
      <c r="HPZ82" s="0"/>
      <c r="HQA82" s="0"/>
      <c r="HQB82" s="0"/>
      <c r="HQC82" s="0"/>
      <c r="HQD82" s="0"/>
      <c r="HQE82" s="0"/>
      <c r="HQF82" s="0"/>
      <c r="HQG82" s="0"/>
      <c r="HQH82" s="0"/>
      <c r="HQI82" s="0"/>
      <c r="HQJ82" s="0"/>
      <c r="HQK82" s="0"/>
      <c r="HQL82" s="0"/>
      <c r="HQM82" s="0"/>
      <c r="HQN82" s="0"/>
      <c r="HQO82" s="0"/>
      <c r="HQP82" s="0"/>
      <c r="HQQ82" s="0"/>
      <c r="HQR82" s="0"/>
      <c r="HQS82" s="0"/>
      <c r="HQT82" s="0"/>
      <c r="HQU82" s="0"/>
      <c r="HQV82" s="0"/>
      <c r="HQW82" s="0"/>
      <c r="HQX82" s="0"/>
      <c r="HQY82" s="0"/>
      <c r="HQZ82" s="0"/>
      <c r="HRA82" s="0"/>
      <c r="HRB82" s="0"/>
      <c r="HRC82" s="0"/>
      <c r="HRD82" s="0"/>
      <c r="HRE82" s="0"/>
      <c r="HRF82" s="0"/>
      <c r="HRG82" s="0"/>
      <c r="HRH82" s="0"/>
      <c r="HRI82" s="0"/>
      <c r="HRJ82" s="0"/>
      <c r="HRK82" s="0"/>
      <c r="HRL82" s="0"/>
      <c r="HRM82" s="0"/>
      <c r="HRN82" s="0"/>
      <c r="HRO82" s="0"/>
      <c r="HRP82" s="0"/>
      <c r="HRQ82" s="0"/>
      <c r="HRR82" s="0"/>
      <c r="HRS82" s="0"/>
      <c r="HRT82" s="0"/>
      <c r="HRU82" s="0"/>
      <c r="HRV82" s="0"/>
      <c r="HRW82" s="0"/>
      <c r="HRX82" s="0"/>
      <c r="HRY82" s="0"/>
      <c r="HRZ82" s="0"/>
      <c r="HSA82" s="0"/>
      <c r="HSB82" s="0"/>
      <c r="HSC82" s="0"/>
      <c r="HSD82" s="0"/>
      <c r="HSE82" s="0"/>
      <c r="HSF82" s="0"/>
      <c r="HSG82" s="0"/>
      <c r="HSH82" s="0"/>
      <c r="HSI82" s="0"/>
      <c r="HSJ82" s="0"/>
      <c r="HSK82" s="0"/>
      <c r="HSL82" s="0"/>
      <c r="HSM82" s="0"/>
      <c r="HSN82" s="0"/>
      <c r="HSO82" s="0"/>
      <c r="HSP82" s="0"/>
      <c r="HSQ82" s="0"/>
      <c r="HSR82" s="0"/>
      <c r="HSS82" s="0"/>
      <c r="HST82" s="0"/>
      <c r="HSU82" s="0"/>
      <c r="HSV82" s="0"/>
      <c r="HSW82" s="0"/>
      <c r="HSX82" s="0"/>
      <c r="HSY82" s="0"/>
      <c r="HSZ82" s="0"/>
      <c r="HTA82" s="0"/>
      <c r="HTB82" s="0"/>
      <c r="HTC82" s="0"/>
      <c r="HTD82" s="0"/>
      <c r="HTE82" s="0"/>
      <c r="HTF82" s="0"/>
      <c r="HTG82" s="0"/>
      <c r="HTH82" s="0"/>
      <c r="HTI82" s="0"/>
      <c r="HTJ82" s="0"/>
      <c r="HTK82" s="0"/>
      <c r="HTL82" s="0"/>
      <c r="HTM82" s="0"/>
      <c r="HTN82" s="0"/>
      <c r="HTO82" s="0"/>
      <c r="HTP82" s="0"/>
      <c r="HTQ82" s="0"/>
      <c r="HTR82" s="0"/>
      <c r="HTS82" s="0"/>
      <c r="HTT82" s="0"/>
      <c r="HTU82" s="0"/>
      <c r="HTV82" s="0"/>
      <c r="HTW82" s="0"/>
      <c r="HTX82" s="0"/>
      <c r="HTY82" s="0"/>
      <c r="HTZ82" s="0"/>
      <c r="HUA82" s="0"/>
      <c r="HUB82" s="0"/>
      <c r="HUC82" s="0"/>
      <c r="HUD82" s="0"/>
      <c r="HUE82" s="0"/>
      <c r="HUF82" s="0"/>
      <c r="HUG82" s="0"/>
      <c r="HUH82" s="0"/>
      <c r="HUI82" s="0"/>
      <c r="HUJ82" s="0"/>
      <c r="HUK82" s="0"/>
      <c r="HUL82" s="0"/>
      <c r="HUM82" s="0"/>
      <c r="HUN82" s="0"/>
      <c r="HUO82" s="0"/>
      <c r="HUP82" s="0"/>
      <c r="HUQ82" s="0"/>
      <c r="HUR82" s="0"/>
      <c r="HUS82" s="0"/>
      <c r="HUT82" s="0"/>
      <c r="HUU82" s="0"/>
      <c r="HUV82" s="0"/>
      <c r="HUW82" s="0"/>
      <c r="HUX82" s="0"/>
      <c r="HUY82" s="0"/>
      <c r="HUZ82" s="0"/>
      <c r="HVA82" s="0"/>
      <c r="HVB82" s="0"/>
      <c r="HVC82" s="0"/>
      <c r="HVD82" s="0"/>
      <c r="HVE82" s="0"/>
      <c r="HVF82" s="0"/>
      <c r="HVG82" s="0"/>
      <c r="HVH82" s="0"/>
      <c r="HVI82" s="0"/>
      <c r="HVJ82" s="0"/>
      <c r="HVK82" s="0"/>
      <c r="HVL82" s="0"/>
      <c r="HVM82" s="0"/>
      <c r="HVN82" s="0"/>
      <c r="HVO82" s="0"/>
      <c r="HVP82" s="0"/>
      <c r="HVQ82" s="0"/>
      <c r="HVR82" s="0"/>
      <c r="HVS82" s="0"/>
      <c r="HVT82" s="0"/>
      <c r="HVU82" s="0"/>
      <c r="HVV82" s="0"/>
      <c r="HVW82" s="0"/>
      <c r="HVX82" s="0"/>
      <c r="HVY82" s="0"/>
      <c r="HVZ82" s="0"/>
      <c r="HWA82" s="0"/>
      <c r="HWB82" s="0"/>
      <c r="HWC82" s="0"/>
      <c r="HWD82" s="0"/>
      <c r="HWE82" s="0"/>
      <c r="HWF82" s="0"/>
      <c r="HWG82" s="0"/>
      <c r="HWH82" s="0"/>
      <c r="HWI82" s="0"/>
      <c r="HWJ82" s="0"/>
      <c r="HWK82" s="0"/>
      <c r="HWL82" s="0"/>
      <c r="HWM82" s="0"/>
      <c r="HWN82" s="0"/>
      <c r="HWO82" s="0"/>
      <c r="HWP82" s="0"/>
      <c r="HWQ82" s="0"/>
      <c r="HWR82" s="0"/>
      <c r="HWS82" s="0"/>
      <c r="HWT82" s="0"/>
      <c r="HWU82" s="0"/>
      <c r="HWV82" s="0"/>
      <c r="HWW82" s="0"/>
      <c r="HWX82" s="0"/>
      <c r="HWY82" s="0"/>
      <c r="HWZ82" s="0"/>
      <c r="HXA82" s="0"/>
      <c r="HXB82" s="0"/>
      <c r="HXC82" s="0"/>
      <c r="HXD82" s="0"/>
      <c r="HXE82" s="0"/>
      <c r="HXF82" s="0"/>
      <c r="HXG82" s="0"/>
      <c r="HXH82" s="0"/>
      <c r="HXI82" s="0"/>
      <c r="HXJ82" s="0"/>
      <c r="HXK82" s="0"/>
      <c r="HXL82" s="0"/>
      <c r="HXM82" s="0"/>
      <c r="HXN82" s="0"/>
      <c r="HXO82" s="0"/>
      <c r="HXP82" s="0"/>
      <c r="HXQ82" s="0"/>
      <c r="HXR82" s="0"/>
      <c r="HXS82" s="0"/>
      <c r="HXT82" s="0"/>
      <c r="HXU82" s="0"/>
      <c r="HXV82" s="0"/>
      <c r="HXW82" s="0"/>
      <c r="HXX82" s="0"/>
      <c r="HXY82" s="0"/>
      <c r="HXZ82" s="0"/>
      <c r="HYA82" s="0"/>
      <c r="HYB82" s="0"/>
      <c r="HYC82" s="0"/>
      <c r="HYD82" s="0"/>
      <c r="HYE82" s="0"/>
      <c r="HYF82" s="0"/>
      <c r="HYG82" s="0"/>
      <c r="HYH82" s="0"/>
      <c r="HYI82" s="0"/>
      <c r="HYJ82" s="0"/>
      <c r="HYK82" s="0"/>
      <c r="HYL82" s="0"/>
      <c r="HYM82" s="0"/>
      <c r="HYN82" s="0"/>
      <c r="HYO82" s="0"/>
      <c r="HYP82" s="0"/>
      <c r="HYQ82" s="0"/>
      <c r="HYR82" s="0"/>
      <c r="HYS82" s="0"/>
      <c r="HYT82" s="0"/>
      <c r="HYU82" s="0"/>
      <c r="HYV82" s="0"/>
      <c r="HYW82" s="0"/>
      <c r="HYX82" s="0"/>
      <c r="HYY82" s="0"/>
      <c r="HYZ82" s="0"/>
      <c r="HZA82" s="0"/>
      <c r="HZB82" s="0"/>
      <c r="HZC82" s="0"/>
      <c r="HZD82" s="0"/>
      <c r="HZE82" s="0"/>
      <c r="HZF82" s="0"/>
      <c r="HZG82" s="0"/>
      <c r="HZH82" s="0"/>
      <c r="HZI82" s="0"/>
      <c r="HZJ82" s="0"/>
      <c r="HZK82" s="0"/>
      <c r="HZL82" s="0"/>
      <c r="HZM82" s="0"/>
      <c r="HZN82" s="0"/>
      <c r="HZO82" s="0"/>
      <c r="HZP82" s="0"/>
      <c r="HZQ82" s="0"/>
      <c r="HZR82" s="0"/>
      <c r="HZS82" s="0"/>
      <c r="HZT82" s="0"/>
      <c r="HZU82" s="0"/>
      <c r="HZV82" s="0"/>
      <c r="HZW82" s="0"/>
      <c r="HZX82" s="0"/>
      <c r="HZY82" s="0"/>
      <c r="HZZ82" s="0"/>
      <c r="IAA82" s="0"/>
      <c r="IAB82" s="0"/>
      <c r="IAC82" s="0"/>
      <c r="IAD82" s="0"/>
      <c r="IAE82" s="0"/>
      <c r="IAF82" s="0"/>
      <c r="IAG82" s="0"/>
      <c r="IAH82" s="0"/>
      <c r="IAI82" s="0"/>
      <c r="IAJ82" s="0"/>
      <c r="IAK82" s="0"/>
      <c r="IAL82" s="0"/>
      <c r="IAM82" s="0"/>
      <c r="IAN82" s="0"/>
      <c r="IAO82" s="0"/>
      <c r="IAP82" s="0"/>
      <c r="IAQ82" s="0"/>
      <c r="IAR82" s="0"/>
      <c r="IAS82" s="0"/>
      <c r="IAT82" s="0"/>
      <c r="IAU82" s="0"/>
      <c r="IAV82" s="0"/>
      <c r="IAW82" s="0"/>
      <c r="IAX82" s="0"/>
      <c r="IAY82" s="0"/>
      <c r="IAZ82" s="0"/>
      <c r="IBA82" s="0"/>
      <c r="IBB82" s="0"/>
      <c r="IBC82" s="0"/>
      <c r="IBD82" s="0"/>
      <c r="IBE82" s="0"/>
      <c r="IBF82" s="0"/>
      <c r="IBG82" s="0"/>
      <c r="IBH82" s="0"/>
      <c r="IBI82" s="0"/>
      <c r="IBJ82" s="0"/>
      <c r="IBK82" s="0"/>
      <c r="IBL82" s="0"/>
      <c r="IBM82" s="0"/>
      <c r="IBN82" s="0"/>
      <c r="IBO82" s="0"/>
      <c r="IBP82" s="0"/>
      <c r="IBQ82" s="0"/>
      <c r="IBR82" s="0"/>
      <c r="IBS82" s="0"/>
      <c r="IBT82" s="0"/>
      <c r="IBU82" s="0"/>
      <c r="IBV82" s="0"/>
      <c r="IBW82" s="0"/>
      <c r="IBX82" s="0"/>
      <c r="IBY82" s="0"/>
      <c r="IBZ82" s="0"/>
      <c r="ICA82" s="0"/>
      <c r="ICB82" s="0"/>
      <c r="ICC82" s="0"/>
      <c r="ICD82" s="0"/>
      <c r="ICE82" s="0"/>
      <c r="ICF82" s="0"/>
      <c r="ICG82" s="0"/>
      <c r="ICH82" s="0"/>
      <c r="ICI82" s="0"/>
      <c r="ICJ82" s="0"/>
      <c r="ICK82" s="0"/>
      <c r="ICL82" s="0"/>
      <c r="ICM82" s="0"/>
      <c r="ICN82" s="0"/>
      <c r="ICO82" s="0"/>
      <c r="ICP82" s="0"/>
      <c r="ICQ82" s="0"/>
      <c r="ICR82" s="0"/>
      <c r="ICS82" s="0"/>
      <c r="ICT82" s="0"/>
      <c r="ICU82" s="0"/>
      <c r="ICV82" s="0"/>
      <c r="ICW82" s="0"/>
      <c r="ICX82" s="0"/>
      <c r="ICY82" s="0"/>
      <c r="ICZ82" s="0"/>
      <c r="IDA82" s="0"/>
      <c r="IDB82" s="0"/>
      <c r="IDC82" s="0"/>
      <c r="IDD82" s="0"/>
      <c r="IDE82" s="0"/>
      <c r="IDF82" s="0"/>
      <c r="IDG82" s="0"/>
      <c r="IDH82" s="0"/>
      <c r="IDI82" s="0"/>
      <c r="IDJ82" s="0"/>
      <c r="IDK82" s="0"/>
      <c r="IDL82" s="0"/>
      <c r="IDM82" s="0"/>
      <c r="IDN82" s="0"/>
      <c r="IDO82" s="0"/>
      <c r="IDP82" s="0"/>
      <c r="IDQ82" s="0"/>
      <c r="IDR82" s="0"/>
      <c r="IDS82" s="0"/>
      <c r="IDT82" s="0"/>
      <c r="IDU82" s="0"/>
      <c r="IDV82" s="0"/>
      <c r="IDW82" s="0"/>
      <c r="IDX82" s="0"/>
      <c r="IDY82" s="0"/>
      <c r="IDZ82" s="0"/>
      <c r="IEA82" s="0"/>
      <c r="IEB82" s="0"/>
      <c r="IEC82" s="0"/>
      <c r="IED82" s="0"/>
      <c r="IEE82" s="0"/>
      <c r="IEF82" s="0"/>
      <c r="IEG82" s="0"/>
      <c r="IEH82" s="0"/>
      <c r="IEI82" s="0"/>
      <c r="IEJ82" s="0"/>
      <c r="IEK82" s="0"/>
      <c r="IEL82" s="0"/>
      <c r="IEM82" s="0"/>
      <c r="IEN82" s="0"/>
      <c r="IEO82" s="0"/>
      <c r="IEP82" s="0"/>
      <c r="IEQ82" s="0"/>
      <c r="IER82" s="0"/>
      <c r="IES82" s="0"/>
      <c r="IET82" s="0"/>
      <c r="IEU82" s="0"/>
      <c r="IEV82" s="0"/>
      <c r="IEW82" s="0"/>
      <c r="IEX82" s="0"/>
      <c r="IEY82" s="0"/>
      <c r="IEZ82" s="0"/>
      <c r="IFA82" s="0"/>
      <c r="IFB82" s="0"/>
      <c r="IFC82" s="0"/>
      <c r="IFD82" s="0"/>
      <c r="IFE82" s="0"/>
      <c r="IFF82" s="0"/>
      <c r="IFG82" s="0"/>
      <c r="IFH82" s="0"/>
      <c r="IFI82" s="0"/>
      <c r="IFJ82" s="0"/>
      <c r="IFK82" s="0"/>
      <c r="IFL82" s="0"/>
      <c r="IFM82" s="0"/>
      <c r="IFN82" s="0"/>
      <c r="IFO82" s="0"/>
      <c r="IFP82" s="0"/>
      <c r="IFQ82" s="0"/>
      <c r="IFR82" s="0"/>
      <c r="IFS82" s="0"/>
      <c r="IFT82" s="0"/>
      <c r="IFU82" s="0"/>
      <c r="IFV82" s="0"/>
      <c r="IFW82" s="0"/>
      <c r="IFX82" s="0"/>
      <c r="IFY82" s="0"/>
      <c r="IFZ82" s="0"/>
      <c r="IGA82" s="0"/>
      <c r="IGB82" s="0"/>
      <c r="IGC82" s="0"/>
      <c r="IGD82" s="0"/>
      <c r="IGE82" s="0"/>
      <c r="IGF82" s="0"/>
      <c r="IGG82" s="0"/>
      <c r="IGH82" s="0"/>
      <c r="IGI82" s="0"/>
      <c r="IGJ82" s="0"/>
      <c r="IGK82" s="0"/>
      <c r="IGL82" s="0"/>
      <c r="IGM82" s="0"/>
      <c r="IGN82" s="0"/>
      <c r="IGO82" s="0"/>
      <c r="IGP82" s="0"/>
      <c r="IGQ82" s="0"/>
      <c r="IGR82" s="0"/>
      <c r="IGS82" s="0"/>
      <c r="IGT82" s="0"/>
      <c r="IGU82" s="0"/>
      <c r="IGV82" s="0"/>
      <c r="IGW82" s="0"/>
      <c r="IGX82" s="0"/>
      <c r="IGY82" s="0"/>
      <c r="IGZ82" s="0"/>
      <c r="IHA82" s="0"/>
      <c r="IHB82" s="0"/>
      <c r="IHC82" s="0"/>
      <c r="IHD82" s="0"/>
      <c r="IHE82" s="0"/>
      <c r="IHF82" s="0"/>
      <c r="IHG82" s="0"/>
      <c r="IHH82" s="0"/>
      <c r="IHI82" s="0"/>
      <c r="IHJ82" s="0"/>
      <c r="IHK82" s="0"/>
      <c r="IHL82" s="0"/>
      <c r="IHM82" s="0"/>
      <c r="IHN82" s="0"/>
      <c r="IHO82" s="0"/>
      <c r="IHP82" s="0"/>
      <c r="IHQ82" s="0"/>
      <c r="IHR82" s="0"/>
      <c r="IHS82" s="0"/>
      <c r="IHT82" s="0"/>
      <c r="IHU82" s="0"/>
      <c r="IHV82" s="0"/>
      <c r="IHW82" s="0"/>
      <c r="IHX82" s="0"/>
      <c r="IHY82" s="0"/>
      <c r="IHZ82" s="0"/>
      <c r="IIA82" s="0"/>
      <c r="IIB82" s="0"/>
      <c r="IIC82" s="0"/>
      <c r="IID82" s="0"/>
      <c r="IIE82" s="0"/>
      <c r="IIF82" s="0"/>
      <c r="IIG82" s="0"/>
      <c r="IIH82" s="0"/>
      <c r="III82" s="0"/>
      <c r="IIJ82" s="0"/>
      <c r="IIK82" s="0"/>
      <c r="IIL82" s="0"/>
      <c r="IIM82" s="0"/>
      <c r="IIN82" s="0"/>
      <c r="IIO82" s="0"/>
      <c r="IIP82" s="0"/>
      <c r="IIQ82" s="0"/>
      <c r="IIR82" s="0"/>
      <c r="IIS82" s="0"/>
      <c r="IIT82" s="0"/>
      <c r="IIU82" s="0"/>
      <c r="IIV82" s="0"/>
      <c r="IIW82" s="0"/>
      <c r="IIX82" s="0"/>
      <c r="IIY82" s="0"/>
      <c r="IIZ82" s="0"/>
      <c r="IJA82" s="0"/>
      <c r="IJB82" s="0"/>
      <c r="IJC82" s="0"/>
      <c r="IJD82" s="0"/>
      <c r="IJE82" s="0"/>
      <c r="IJF82" s="0"/>
      <c r="IJG82" s="0"/>
      <c r="IJH82" s="0"/>
      <c r="IJI82" s="0"/>
      <c r="IJJ82" s="0"/>
      <c r="IJK82" s="0"/>
      <c r="IJL82" s="0"/>
      <c r="IJM82" s="0"/>
      <c r="IJN82" s="0"/>
      <c r="IJO82" s="0"/>
      <c r="IJP82" s="0"/>
      <c r="IJQ82" s="0"/>
      <c r="IJR82" s="0"/>
      <c r="IJS82" s="0"/>
      <c r="IJT82" s="0"/>
      <c r="IJU82" s="0"/>
      <c r="IJV82" s="0"/>
      <c r="IJW82" s="0"/>
      <c r="IJX82" s="0"/>
      <c r="IJY82" s="0"/>
      <c r="IJZ82" s="0"/>
      <c r="IKA82" s="0"/>
      <c r="IKB82" s="0"/>
      <c r="IKC82" s="0"/>
      <c r="IKD82" s="0"/>
      <c r="IKE82" s="0"/>
      <c r="IKF82" s="0"/>
      <c r="IKG82" s="0"/>
      <c r="IKH82" s="0"/>
      <c r="IKI82" s="0"/>
      <c r="IKJ82" s="0"/>
      <c r="IKK82" s="0"/>
      <c r="IKL82" s="0"/>
      <c r="IKM82" s="0"/>
      <c r="IKN82" s="0"/>
      <c r="IKO82" s="0"/>
      <c r="IKP82" s="0"/>
      <c r="IKQ82" s="0"/>
      <c r="IKR82" s="0"/>
      <c r="IKS82" s="0"/>
      <c r="IKT82" s="0"/>
      <c r="IKU82" s="0"/>
      <c r="IKV82" s="0"/>
      <c r="IKW82" s="0"/>
      <c r="IKX82" s="0"/>
      <c r="IKY82" s="0"/>
      <c r="IKZ82" s="0"/>
      <c r="ILA82" s="0"/>
      <c r="ILB82" s="0"/>
      <c r="ILC82" s="0"/>
      <c r="ILD82" s="0"/>
      <c r="ILE82" s="0"/>
      <c r="ILF82" s="0"/>
      <c r="ILG82" s="0"/>
      <c r="ILH82" s="0"/>
      <c r="ILI82" s="0"/>
      <c r="ILJ82" s="0"/>
      <c r="ILK82" s="0"/>
      <c r="ILL82" s="0"/>
      <c r="ILM82" s="0"/>
      <c r="ILN82" s="0"/>
      <c r="ILO82" s="0"/>
      <c r="ILP82" s="0"/>
      <c r="ILQ82" s="0"/>
      <c r="ILR82" s="0"/>
      <c r="ILS82" s="0"/>
      <c r="ILT82" s="0"/>
      <c r="ILU82" s="0"/>
      <c r="ILV82" s="0"/>
      <c r="ILW82" s="0"/>
      <c r="ILX82" s="0"/>
      <c r="ILY82" s="0"/>
      <c r="ILZ82" s="0"/>
      <c r="IMA82" s="0"/>
      <c r="IMB82" s="0"/>
      <c r="IMC82" s="0"/>
      <c r="IMD82" s="0"/>
      <c r="IME82" s="0"/>
      <c r="IMF82" s="0"/>
      <c r="IMG82" s="0"/>
      <c r="IMH82" s="0"/>
      <c r="IMI82" s="0"/>
      <c r="IMJ82" s="0"/>
      <c r="IMK82" s="0"/>
      <c r="IML82" s="0"/>
      <c r="IMM82" s="0"/>
      <c r="IMN82" s="0"/>
      <c r="IMO82" s="0"/>
      <c r="IMP82" s="0"/>
      <c r="IMQ82" s="0"/>
      <c r="IMR82" s="0"/>
      <c r="IMS82" s="0"/>
      <c r="IMT82" s="0"/>
      <c r="IMU82" s="0"/>
      <c r="IMV82" s="0"/>
      <c r="IMW82" s="0"/>
      <c r="IMX82" s="0"/>
      <c r="IMY82" s="0"/>
      <c r="IMZ82" s="0"/>
      <c r="INA82" s="0"/>
      <c r="INB82" s="0"/>
      <c r="INC82" s="0"/>
      <c r="IND82" s="0"/>
      <c r="INE82" s="0"/>
      <c r="INF82" s="0"/>
      <c r="ING82" s="0"/>
      <c r="INH82" s="0"/>
      <c r="INI82" s="0"/>
      <c r="INJ82" s="0"/>
      <c r="INK82" s="0"/>
      <c r="INL82" s="0"/>
      <c r="INM82" s="0"/>
      <c r="INN82" s="0"/>
      <c r="INO82" s="0"/>
      <c r="INP82" s="0"/>
      <c r="INQ82" s="0"/>
      <c r="INR82" s="0"/>
      <c r="INS82" s="0"/>
      <c r="INT82" s="0"/>
      <c r="INU82" s="0"/>
      <c r="INV82" s="0"/>
      <c r="INW82" s="0"/>
      <c r="INX82" s="0"/>
      <c r="INY82" s="0"/>
      <c r="INZ82" s="0"/>
      <c r="IOA82" s="0"/>
      <c r="IOB82" s="0"/>
      <c r="IOC82" s="0"/>
      <c r="IOD82" s="0"/>
      <c r="IOE82" s="0"/>
      <c r="IOF82" s="0"/>
      <c r="IOG82" s="0"/>
      <c r="IOH82" s="0"/>
      <c r="IOI82" s="0"/>
      <c r="IOJ82" s="0"/>
      <c r="IOK82" s="0"/>
      <c r="IOL82" s="0"/>
      <c r="IOM82" s="0"/>
      <c r="ION82" s="0"/>
      <c r="IOO82" s="0"/>
      <c r="IOP82" s="0"/>
      <c r="IOQ82" s="0"/>
      <c r="IOR82" s="0"/>
      <c r="IOS82" s="0"/>
      <c r="IOT82" s="0"/>
      <c r="IOU82" s="0"/>
      <c r="IOV82" s="0"/>
      <c r="IOW82" s="0"/>
      <c r="IOX82" s="0"/>
      <c r="IOY82" s="0"/>
      <c r="IOZ82" s="0"/>
      <c r="IPA82" s="0"/>
      <c r="IPB82" s="0"/>
      <c r="IPC82" s="0"/>
      <c r="IPD82" s="0"/>
      <c r="IPE82" s="0"/>
      <c r="IPF82" s="0"/>
      <c r="IPG82" s="0"/>
      <c r="IPH82" s="0"/>
      <c r="IPI82" s="0"/>
      <c r="IPJ82" s="0"/>
      <c r="IPK82" s="0"/>
      <c r="IPL82" s="0"/>
      <c r="IPM82" s="0"/>
      <c r="IPN82" s="0"/>
      <c r="IPO82" s="0"/>
      <c r="IPP82" s="0"/>
      <c r="IPQ82" s="0"/>
      <c r="IPR82" s="0"/>
      <c r="IPS82" s="0"/>
      <c r="IPT82" s="0"/>
      <c r="IPU82" s="0"/>
      <c r="IPV82" s="0"/>
      <c r="IPW82" s="0"/>
      <c r="IPX82" s="0"/>
      <c r="IPY82" s="0"/>
      <c r="IPZ82" s="0"/>
      <c r="IQA82" s="0"/>
      <c r="IQB82" s="0"/>
      <c r="IQC82" s="0"/>
      <c r="IQD82" s="0"/>
      <c r="IQE82" s="0"/>
      <c r="IQF82" s="0"/>
      <c r="IQG82" s="0"/>
      <c r="IQH82" s="0"/>
      <c r="IQI82" s="0"/>
      <c r="IQJ82" s="0"/>
      <c r="IQK82" s="0"/>
      <c r="IQL82" s="0"/>
      <c r="IQM82" s="0"/>
      <c r="IQN82" s="0"/>
      <c r="IQO82" s="0"/>
      <c r="IQP82" s="0"/>
      <c r="IQQ82" s="0"/>
      <c r="IQR82" s="0"/>
      <c r="IQS82" s="0"/>
      <c r="IQT82" s="0"/>
      <c r="IQU82" s="0"/>
      <c r="IQV82" s="0"/>
      <c r="IQW82" s="0"/>
      <c r="IQX82" s="0"/>
      <c r="IQY82" s="0"/>
      <c r="IQZ82" s="0"/>
      <c r="IRA82" s="0"/>
      <c r="IRB82" s="0"/>
      <c r="IRC82" s="0"/>
      <c r="IRD82" s="0"/>
      <c r="IRE82" s="0"/>
      <c r="IRF82" s="0"/>
      <c r="IRG82" s="0"/>
      <c r="IRH82" s="0"/>
      <c r="IRI82" s="0"/>
      <c r="IRJ82" s="0"/>
      <c r="IRK82" s="0"/>
      <c r="IRL82" s="0"/>
      <c r="IRM82" s="0"/>
      <c r="IRN82" s="0"/>
      <c r="IRO82" s="0"/>
      <c r="IRP82" s="0"/>
      <c r="IRQ82" s="0"/>
      <c r="IRR82" s="0"/>
      <c r="IRS82" s="0"/>
      <c r="IRT82" s="0"/>
      <c r="IRU82" s="0"/>
      <c r="IRV82" s="0"/>
      <c r="IRW82" s="0"/>
      <c r="IRX82" s="0"/>
      <c r="IRY82" s="0"/>
      <c r="IRZ82" s="0"/>
      <c r="ISA82" s="0"/>
      <c r="ISB82" s="0"/>
      <c r="ISC82" s="0"/>
      <c r="ISD82" s="0"/>
      <c r="ISE82" s="0"/>
      <c r="ISF82" s="0"/>
      <c r="ISG82" s="0"/>
      <c r="ISH82" s="0"/>
      <c r="ISI82" s="0"/>
      <c r="ISJ82" s="0"/>
      <c r="ISK82" s="0"/>
      <c r="ISL82" s="0"/>
      <c r="ISM82" s="0"/>
      <c r="ISN82" s="0"/>
      <c r="ISO82" s="0"/>
      <c r="ISP82" s="0"/>
      <c r="ISQ82" s="0"/>
      <c r="ISR82" s="0"/>
      <c r="ISS82" s="0"/>
      <c r="IST82" s="0"/>
      <c r="ISU82" s="0"/>
      <c r="ISV82" s="0"/>
      <c r="ISW82" s="0"/>
      <c r="ISX82" s="0"/>
      <c r="ISY82" s="0"/>
      <c r="ISZ82" s="0"/>
      <c r="ITA82" s="0"/>
      <c r="ITB82" s="0"/>
      <c r="ITC82" s="0"/>
      <c r="ITD82" s="0"/>
      <c r="ITE82" s="0"/>
      <c r="ITF82" s="0"/>
      <c r="ITG82" s="0"/>
      <c r="ITH82" s="0"/>
      <c r="ITI82" s="0"/>
      <c r="ITJ82" s="0"/>
      <c r="ITK82" s="0"/>
      <c r="ITL82" s="0"/>
      <c r="ITM82" s="0"/>
      <c r="ITN82" s="0"/>
      <c r="ITO82" s="0"/>
      <c r="ITP82" s="0"/>
      <c r="ITQ82" s="0"/>
      <c r="ITR82" s="0"/>
      <c r="ITS82" s="0"/>
      <c r="ITT82" s="0"/>
      <c r="ITU82" s="0"/>
      <c r="ITV82" s="0"/>
      <c r="ITW82" s="0"/>
      <c r="ITX82" s="0"/>
      <c r="ITY82" s="0"/>
      <c r="ITZ82" s="0"/>
      <c r="IUA82" s="0"/>
      <c r="IUB82" s="0"/>
      <c r="IUC82" s="0"/>
      <c r="IUD82" s="0"/>
      <c r="IUE82" s="0"/>
      <c r="IUF82" s="0"/>
      <c r="IUG82" s="0"/>
      <c r="IUH82" s="0"/>
      <c r="IUI82" s="0"/>
      <c r="IUJ82" s="0"/>
      <c r="IUK82" s="0"/>
      <c r="IUL82" s="0"/>
      <c r="IUM82" s="0"/>
      <c r="IUN82" s="0"/>
      <c r="IUO82" s="0"/>
      <c r="IUP82" s="0"/>
      <c r="IUQ82" s="0"/>
      <c r="IUR82" s="0"/>
      <c r="IUS82" s="0"/>
      <c r="IUT82" s="0"/>
      <c r="IUU82" s="0"/>
      <c r="IUV82" s="0"/>
      <c r="IUW82" s="0"/>
      <c r="IUX82" s="0"/>
      <c r="IUY82" s="0"/>
      <c r="IUZ82" s="0"/>
      <c r="IVA82" s="0"/>
      <c r="IVB82" s="0"/>
      <c r="IVC82" s="0"/>
      <c r="IVD82" s="0"/>
      <c r="IVE82" s="0"/>
      <c r="IVF82" s="0"/>
      <c r="IVG82" s="0"/>
      <c r="IVH82" s="0"/>
      <c r="IVI82" s="0"/>
      <c r="IVJ82" s="0"/>
      <c r="IVK82" s="0"/>
      <c r="IVL82" s="0"/>
      <c r="IVM82" s="0"/>
      <c r="IVN82" s="0"/>
      <c r="IVO82" s="0"/>
      <c r="IVP82" s="0"/>
      <c r="IVQ82" s="0"/>
      <c r="IVR82" s="0"/>
      <c r="IVS82" s="0"/>
      <c r="IVT82" s="0"/>
      <c r="IVU82" s="0"/>
      <c r="IVV82" s="0"/>
      <c r="IVW82" s="0"/>
      <c r="IVX82" s="0"/>
      <c r="IVY82" s="0"/>
      <c r="IVZ82" s="0"/>
      <c r="IWA82" s="0"/>
      <c r="IWB82" s="0"/>
      <c r="IWC82" s="0"/>
      <c r="IWD82" s="0"/>
      <c r="IWE82" s="0"/>
      <c r="IWF82" s="0"/>
      <c r="IWG82" s="0"/>
      <c r="IWH82" s="0"/>
      <c r="IWI82" s="0"/>
      <c r="IWJ82" s="0"/>
      <c r="IWK82" s="0"/>
      <c r="IWL82" s="0"/>
      <c r="IWM82" s="0"/>
      <c r="IWN82" s="0"/>
      <c r="IWO82" s="0"/>
      <c r="IWP82" s="0"/>
      <c r="IWQ82" s="0"/>
      <c r="IWR82" s="0"/>
      <c r="IWS82" s="0"/>
      <c r="IWT82" s="0"/>
      <c r="IWU82" s="0"/>
      <c r="IWV82" s="0"/>
      <c r="IWW82" s="0"/>
      <c r="IWX82" s="0"/>
      <c r="IWY82" s="0"/>
      <c r="IWZ82" s="0"/>
      <c r="IXA82" s="0"/>
      <c r="IXB82" s="0"/>
      <c r="IXC82" s="0"/>
      <c r="IXD82" s="0"/>
      <c r="IXE82" s="0"/>
      <c r="IXF82" s="0"/>
      <c r="IXG82" s="0"/>
      <c r="IXH82" s="0"/>
      <c r="IXI82" s="0"/>
      <c r="IXJ82" s="0"/>
      <c r="IXK82" s="0"/>
      <c r="IXL82" s="0"/>
      <c r="IXM82" s="0"/>
      <c r="IXN82" s="0"/>
      <c r="IXO82" s="0"/>
      <c r="IXP82" s="0"/>
      <c r="IXQ82" s="0"/>
      <c r="IXR82" s="0"/>
      <c r="IXS82" s="0"/>
      <c r="IXT82" s="0"/>
      <c r="IXU82" s="0"/>
      <c r="IXV82" s="0"/>
      <c r="IXW82" s="0"/>
      <c r="IXX82" s="0"/>
      <c r="IXY82" s="0"/>
      <c r="IXZ82" s="0"/>
      <c r="IYA82" s="0"/>
      <c r="IYB82" s="0"/>
      <c r="IYC82" s="0"/>
      <c r="IYD82" s="0"/>
      <c r="IYE82" s="0"/>
      <c r="IYF82" s="0"/>
      <c r="IYG82" s="0"/>
      <c r="IYH82" s="0"/>
      <c r="IYI82" s="0"/>
      <c r="IYJ82" s="0"/>
      <c r="IYK82" s="0"/>
      <c r="IYL82" s="0"/>
      <c r="IYM82" s="0"/>
      <c r="IYN82" s="0"/>
      <c r="IYO82" s="0"/>
      <c r="IYP82" s="0"/>
      <c r="IYQ82" s="0"/>
      <c r="IYR82" s="0"/>
      <c r="IYS82" s="0"/>
      <c r="IYT82" s="0"/>
      <c r="IYU82" s="0"/>
      <c r="IYV82" s="0"/>
      <c r="IYW82" s="0"/>
      <c r="IYX82" s="0"/>
      <c r="IYY82" s="0"/>
      <c r="IYZ82" s="0"/>
      <c r="IZA82" s="0"/>
      <c r="IZB82" s="0"/>
      <c r="IZC82" s="0"/>
      <c r="IZD82" s="0"/>
      <c r="IZE82" s="0"/>
      <c r="IZF82" s="0"/>
      <c r="IZG82" s="0"/>
      <c r="IZH82" s="0"/>
      <c r="IZI82" s="0"/>
      <c r="IZJ82" s="0"/>
      <c r="IZK82" s="0"/>
      <c r="IZL82" s="0"/>
      <c r="IZM82" s="0"/>
      <c r="IZN82" s="0"/>
      <c r="IZO82" s="0"/>
      <c r="IZP82" s="0"/>
      <c r="IZQ82" s="0"/>
      <c r="IZR82" s="0"/>
      <c r="IZS82" s="0"/>
      <c r="IZT82" s="0"/>
      <c r="IZU82" s="0"/>
      <c r="IZV82" s="0"/>
      <c r="IZW82" s="0"/>
      <c r="IZX82" s="0"/>
      <c r="IZY82" s="0"/>
      <c r="IZZ82" s="0"/>
      <c r="JAA82" s="0"/>
      <c r="JAB82" s="0"/>
      <c r="JAC82" s="0"/>
      <c r="JAD82" s="0"/>
      <c r="JAE82" s="0"/>
      <c r="JAF82" s="0"/>
      <c r="JAG82" s="0"/>
      <c r="JAH82" s="0"/>
      <c r="JAI82" s="0"/>
      <c r="JAJ82" s="0"/>
      <c r="JAK82" s="0"/>
      <c r="JAL82" s="0"/>
      <c r="JAM82" s="0"/>
      <c r="JAN82" s="0"/>
      <c r="JAO82" s="0"/>
      <c r="JAP82" s="0"/>
      <c r="JAQ82" s="0"/>
      <c r="JAR82" s="0"/>
      <c r="JAS82" s="0"/>
      <c r="JAT82" s="0"/>
      <c r="JAU82" s="0"/>
      <c r="JAV82" s="0"/>
      <c r="JAW82" s="0"/>
      <c r="JAX82" s="0"/>
      <c r="JAY82" s="0"/>
      <c r="JAZ82" s="0"/>
      <c r="JBA82" s="0"/>
      <c r="JBB82" s="0"/>
      <c r="JBC82" s="0"/>
      <c r="JBD82" s="0"/>
      <c r="JBE82" s="0"/>
      <c r="JBF82" s="0"/>
      <c r="JBG82" s="0"/>
      <c r="JBH82" s="0"/>
      <c r="JBI82" s="0"/>
      <c r="JBJ82" s="0"/>
      <c r="JBK82" s="0"/>
      <c r="JBL82" s="0"/>
      <c r="JBM82" s="0"/>
      <c r="JBN82" s="0"/>
      <c r="JBO82" s="0"/>
      <c r="JBP82" s="0"/>
      <c r="JBQ82" s="0"/>
      <c r="JBR82" s="0"/>
      <c r="JBS82" s="0"/>
      <c r="JBT82" s="0"/>
      <c r="JBU82" s="0"/>
      <c r="JBV82" s="0"/>
      <c r="JBW82" s="0"/>
      <c r="JBX82" s="0"/>
      <c r="JBY82" s="0"/>
      <c r="JBZ82" s="0"/>
      <c r="JCA82" s="0"/>
      <c r="JCB82" s="0"/>
      <c r="JCC82" s="0"/>
      <c r="JCD82" s="0"/>
      <c r="JCE82" s="0"/>
      <c r="JCF82" s="0"/>
      <c r="JCG82" s="0"/>
      <c r="JCH82" s="0"/>
      <c r="JCI82" s="0"/>
      <c r="JCJ82" s="0"/>
      <c r="JCK82" s="0"/>
      <c r="JCL82" s="0"/>
      <c r="JCM82" s="0"/>
      <c r="JCN82" s="0"/>
      <c r="JCO82" s="0"/>
      <c r="JCP82" s="0"/>
      <c r="JCQ82" s="0"/>
      <c r="JCR82" s="0"/>
      <c r="JCS82" s="0"/>
      <c r="JCT82" s="0"/>
      <c r="JCU82" s="0"/>
      <c r="JCV82" s="0"/>
      <c r="JCW82" s="0"/>
      <c r="JCX82" s="0"/>
      <c r="JCY82" s="0"/>
      <c r="JCZ82" s="0"/>
      <c r="JDA82" s="0"/>
      <c r="JDB82" s="0"/>
      <c r="JDC82" s="0"/>
      <c r="JDD82" s="0"/>
      <c r="JDE82" s="0"/>
      <c r="JDF82" s="0"/>
      <c r="JDG82" s="0"/>
      <c r="JDH82" s="0"/>
      <c r="JDI82" s="0"/>
      <c r="JDJ82" s="0"/>
      <c r="JDK82" s="0"/>
      <c r="JDL82" s="0"/>
      <c r="JDM82" s="0"/>
      <c r="JDN82" s="0"/>
      <c r="JDO82" s="0"/>
      <c r="JDP82" s="0"/>
      <c r="JDQ82" s="0"/>
      <c r="JDR82" s="0"/>
      <c r="JDS82" s="0"/>
      <c r="JDT82" s="0"/>
      <c r="JDU82" s="0"/>
      <c r="JDV82" s="0"/>
      <c r="JDW82" s="0"/>
      <c r="JDX82" s="0"/>
      <c r="JDY82" s="0"/>
      <c r="JDZ82" s="0"/>
      <c r="JEA82" s="0"/>
      <c r="JEB82" s="0"/>
      <c r="JEC82" s="0"/>
      <c r="JED82" s="0"/>
      <c r="JEE82" s="0"/>
      <c r="JEF82" s="0"/>
      <c r="JEG82" s="0"/>
      <c r="JEH82" s="0"/>
      <c r="JEI82" s="0"/>
      <c r="JEJ82" s="0"/>
      <c r="JEK82" s="0"/>
      <c r="JEL82" s="0"/>
      <c r="JEM82" s="0"/>
      <c r="JEN82" s="0"/>
      <c r="JEO82" s="0"/>
      <c r="JEP82" s="0"/>
      <c r="JEQ82" s="0"/>
      <c r="JER82" s="0"/>
      <c r="JES82" s="0"/>
      <c r="JET82" s="0"/>
      <c r="JEU82" s="0"/>
      <c r="JEV82" s="0"/>
      <c r="JEW82" s="0"/>
      <c r="JEX82" s="0"/>
      <c r="JEY82" s="0"/>
      <c r="JEZ82" s="0"/>
      <c r="JFA82" s="0"/>
      <c r="JFB82" s="0"/>
      <c r="JFC82" s="0"/>
      <c r="JFD82" s="0"/>
      <c r="JFE82" s="0"/>
      <c r="JFF82" s="0"/>
      <c r="JFG82" s="0"/>
      <c r="JFH82" s="0"/>
      <c r="JFI82" s="0"/>
      <c r="JFJ82" s="0"/>
      <c r="JFK82" s="0"/>
      <c r="JFL82" s="0"/>
      <c r="JFM82" s="0"/>
      <c r="JFN82" s="0"/>
      <c r="JFO82" s="0"/>
      <c r="JFP82" s="0"/>
      <c r="JFQ82" s="0"/>
      <c r="JFR82" s="0"/>
      <c r="JFS82" s="0"/>
      <c r="JFT82" s="0"/>
      <c r="JFU82" s="0"/>
      <c r="JFV82" s="0"/>
      <c r="JFW82" s="0"/>
      <c r="JFX82" s="0"/>
      <c r="JFY82" s="0"/>
      <c r="JFZ82" s="0"/>
      <c r="JGA82" s="0"/>
      <c r="JGB82" s="0"/>
      <c r="JGC82" s="0"/>
      <c r="JGD82" s="0"/>
      <c r="JGE82" s="0"/>
      <c r="JGF82" s="0"/>
      <c r="JGG82" s="0"/>
      <c r="JGH82" s="0"/>
      <c r="JGI82" s="0"/>
      <c r="JGJ82" s="0"/>
      <c r="JGK82" s="0"/>
      <c r="JGL82" s="0"/>
      <c r="JGM82" s="0"/>
      <c r="JGN82" s="0"/>
      <c r="JGO82" s="0"/>
      <c r="JGP82" s="0"/>
      <c r="JGQ82" s="0"/>
      <c r="JGR82" s="0"/>
      <c r="JGS82" s="0"/>
      <c r="JGT82" s="0"/>
      <c r="JGU82" s="0"/>
      <c r="JGV82" s="0"/>
      <c r="JGW82" s="0"/>
      <c r="JGX82" s="0"/>
      <c r="JGY82" s="0"/>
      <c r="JGZ82" s="0"/>
      <c r="JHA82" s="0"/>
      <c r="JHB82" s="0"/>
      <c r="JHC82" s="0"/>
      <c r="JHD82" s="0"/>
      <c r="JHE82" s="0"/>
      <c r="JHF82" s="0"/>
      <c r="JHG82" s="0"/>
      <c r="JHH82" s="0"/>
      <c r="JHI82" s="0"/>
      <c r="JHJ82" s="0"/>
      <c r="JHK82" s="0"/>
      <c r="JHL82" s="0"/>
      <c r="JHM82" s="0"/>
      <c r="JHN82" s="0"/>
      <c r="JHO82" s="0"/>
      <c r="JHP82" s="0"/>
      <c r="JHQ82" s="0"/>
      <c r="JHR82" s="0"/>
      <c r="JHS82" s="0"/>
      <c r="JHT82" s="0"/>
      <c r="JHU82" s="0"/>
      <c r="JHV82" s="0"/>
      <c r="JHW82" s="0"/>
      <c r="JHX82" s="0"/>
      <c r="JHY82" s="0"/>
      <c r="JHZ82" s="0"/>
      <c r="JIA82" s="0"/>
      <c r="JIB82" s="0"/>
      <c r="JIC82" s="0"/>
      <c r="JID82" s="0"/>
      <c r="JIE82" s="0"/>
      <c r="JIF82" s="0"/>
      <c r="JIG82" s="0"/>
      <c r="JIH82" s="0"/>
      <c r="JII82" s="0"/>
      <c r="JIJ82" s="0"/>
      <c r="JIK82" s="0"/>
      <c r="JIL82" s="0"/>
      <c r="JIM82" s="0"/>
      <c r="JIN82" s="0"/>
      <c r="JIO82" s="0"/>
      <c r="JIP82" s="0"/>
      <c r="JIQ82" s="0"/>
      <c r="JIR82" s="0"/>
      <c r="JIS82" s="0"/>
      <c r="JIT82" s="0"/>
      <c r="JIU82" s="0"/>
      <c r="JIV82" s="0"/>
      <c r="JIW82" s="0"/>
      <c r="JIX82" s="0"/>
      <c r="JIY82" s="0"/>
      <c r="JIZ82" s="0"/>
      <c r="JJA82" s="0"/>
      <c r="JJB82" s="0"/>
      <c r="JJC82" s="0"/>
      <c r="JJD82" s="0"/>
      <c r="JJE82" s="0"/>
      <c r="JJF82" s="0"/>
      <c r="JJG82" s="0"/>
      <c r="JJH82" s="0"/>
      <c r="JJI82" s="0"/>
      <c r="JJJ82" s="0"/>
      <c r="JJK82" s="0"/>
      <c r="JJL82" s="0"/>
      <c r="JJM82" s="0"/>
      <c r="JJN82" s="0"/>
      <c r="JJO82" s="0"/>
      <c r="JJP82" s="0"/>
      <c r="JJQ82" s="0"/>
      <c r="JJR82" s="0"/>
      <c r="JJS82" s="0"/>
      <c r="JJT82" s="0"/>
      <c r="JJU82" s="0"/>
      <c r="JJV82" s="0"/>
      <c r="JJW82" s="0"/>
      <c r="JJX82" s="0"/>
      <c r="JJY82" s="0"/>
      <c r="JJZ82" s="0"/>
      <c r="JKA82" s="0"/>
      <c r="JKB82" s="0"/>
      <c r="JKC82" s="0"/>
      <c r="JKD82" s="0"/>
      <c r="JKE82" s="0"/>
      <c r="JKF82" s="0"/>
      <c r="JKG82" s="0"/>
      <c r="JKH82" s="0"/>
      <c r="JKI82" s="0"/>
      <c r="JKJ82" s="0"/>
      <c r="JKK82" s="0"/>
      <c r="JKL82" s="0"/>
      <c r="JKM82" s="0"/>
      <c r="JKN82" s="0"/>
      <c r="JKO82" s="0"/>
      <c r="JKP82" s="0"/>
      <c r="JKQ82" s="0"/>
      <c r="JKR82" s="0"/>
      <c r="JKS82" s="0"/>
      <c r="JKT82" s="0"/>
      <c r="JKU82" s="0"/>
      <c r="JKV82" s="0"/>
      <c r="JKW82" s="0"/>
      <c r="JKX82" s="0"/>
      <c r="JKY82" s="0"/>
      <c r="JKZ82" s="0"/>
      <c r="JLA82" s="0"/>
      <c r="JLB82" s="0"/>
      <c r="JLC82" s="0"/>
      <c r="JLD82" s="0"/>
      <c r="JLE82" s="0"/>
      <c r="JLF82" s="0"/>
      <c r="JLG82" s="0"/>
      <c r="JLH82" s="0"/>
      <c r="JLI82" s="0"/>
      <c r="JLJ82" s="0"/>
      <c r="JLK82" s="0"/>
      <c r="JLL82" s="0"/>
      <c r="JLM82" s="0"/>
      <c r="JLN82" s="0"/>
      <c r="JLO82" s="0"/>
      <c r="JLP82" s="0"/>
      <c r="JLQ82" s="0"/>
      <c r="JLR82" s="0"/>
      <c r="JLS82" s="0"/>
      <c r="JLT82" s="0"/>
      <c r="JLU82" s="0"/>
      <c r="JLV82" s="0"/>
      <c r="JLW82" s="0"/>
      <c r="JLX82" s="0"/>
      <c r="JLY82" s="0"/>
      <c r="JLZ82" s="0"/>
      <c r="JMA82" s="0"/>
      <c r="JMB82" s="0"/>
      <c r="JMC82" s="0"/>
      <c r="JMD82" s="0"/>
      <c r="JME82" s="0"/>
      <c r="JMF82" s="0"/>
      <c r="JMG82" s="0"/>
      <c r="JMH82" s="0"/>
      <c r="JMI82" s="0"/>
      <c r="JMJ82" s="0"/>
      <c r="JMK82" s="0"/>
      <c r="JML82" s="0"/>
      <c r="JMM82" s="0"/>
      <c r="JMN82" s="0"/>
      <c r="JMO82" s="0"/>
      <c r="JMP82" s="0"/>
      <c r="JMQ82" s="0"/>
      <c r="JMR82" s="0"/>
      <c r="JMS82" s="0"/>
      <c r="JMT82" s="0"/>
      <c r="JMU82" s="0"/>
      <c r="JMV82" s="0"/>
      <c r="JMW82" s="0"/>
      <c r="JMX82" s="0"/>
      <c r="JMY82" s="0"/>
      <c r="JMZ82" s="0"/>
      <c r="JNA82" s="0"/>
      <c r="JNB82" s="0"/>
      <c r="JNC82" s="0"/>
      <c r="JND82" s="0"/>
      <c r="JNE82" s="0"/>
      <c r="JNF82" s="0"/>
      <c r="JNG82" s="0"/>
      <c r="JNH82" s="0"/>
      <c r="JNI82" s="0"/>
      <c r="JNJ82" s="0"/>
      <c r="JNK82" s="0"/>
      <c r="JNL82" s="0"/>
      <c r="JNM82" s="0"/>
      <c r="JNN82" s="0"/>
      <c r="JNO82" s="0"/>
      <c r="JNP82" s="0"/>
      <c r="JNQ82" s="0"/>
      <c r="JNR82" s="0"/>
      <c r="JNS82" s="0"/>
      <c r="JNT82" s="0"/>
      <c r="JNU82" s="0"/>
      <c r="JNV82" s="0"/>
      <c r="JNW82" s="0"/>
      <c r="JNX82" s="0"/>
      <c r="JNY82" s="0"/>
      <c r="JNZ82" s="0"/>
      <c r="JOA82" s="0"/>
      <c r="JOB82" s="0"/>
      <c r="JOC82" s="0"/>
      <c r="JOD82" s="0"/>
      <c r="JOE82" s="0"/>
      <c r="JOF82" s="0"/>
      <c r="JOG82" s="0"/>
      <c r="JOH82" s="0"/>
      <c r="JOI82" s="0"/>
      <c r="JOJ82" s="0"/>
      <c r="JOK82" s="0"/>
      <c r="JOL82" s="0"/>
      <c r="JOM82" s="0"/>
      <c r="JON82" s="0"/>
      <c r="JOO82" s="0"/>
      <c r="JOP82" s="0"/>
      <c r="JOQ82" s="0"/>
      <c r="JOR82" s="0"/>
      <c r="JOS82" s="0"/>
      <c r="JOT82" s="0"/>
      <c r="JOU82" s="0"/>
      <c r="JOV82" s="0"/>
      <c r="JOW82" s="0"/>
      <c r="JOX82" s="0"/>
      <c r="JOY82" s="0"/>
      <c r="JOZ82" s="0"/>
      <c r="JPA82" s="0"/>
      <c r="JPB82" s="0"/>
      <c r="JPC82" s="0"/>
      <c r="JPD82" s="0"/>
      <c r="JPE82" s="0"/>
      <c r="JPF82" s="0"/>
      <c r="JPG82" s="0"/>
      <c r="JPH82" s="0"/>
      <c r="JPI82" s="0"/>
      <c r="JPJ82" s="0"/>
      <c r="JPK82" s="0"/>
      <c r="JPL82" s="0"/>
      <c r="JPM82" s="0"/>
      <c r="JPN82" s="0"/>
      <c r="JPO82" s="0"/>
      <c r="JPP82" s="0"/>
      <c r="JPQ82" s="0"/>
      <c r="JPR82" s="0"/>
      <c r="JPS82" s="0"/>
      <c r="JPT82" s="0"/>
      <c r="JPU82" s="0"/>
      <c r="JPV82" s="0"/>
      <c r="JPW82" s="0"/>
      <c r="JPX82" s="0"/>
      <c r="JPY82" s="0"/>
      <c r="JPZ82" s="0"/>
      <c r="JQA82" s="0"/>
      <c r="JQB82" s="0"/>
      <c r="JQC82" s="0"/>
      <c r="JQD82" s="0"/>
      <c r="JQE82" s="0"/>
      <c r="JQF82" s="0"/>
      <c r="JQG82" s="0"/>
      <c r="JQH82" s="0"/>
      <c r="JQI82" s="0"/>
      <c r="JQJ82" s="0"/>
      <c r="JQK82" s="0"/>
      <c r="JQL82" s="0"/>
      <c r="JQM82" s="0"/>
      <c r="JQN82" s="0"/>
      <c r="JQO82" s="0"/>
      <c r="JQP82" s="0"/>
      <c r="JQQ82" s="0"/>
      <c r="JQR82" s="0"/>
      <c r="JQS82" s="0"/>
      <c r="JQT82" s="0"/>
      <c r="JQU82" s="0"/>
      <c r="JQV82" s="0"/>
      <c r="JQW82" s="0"/>
      <c r="JQX82" s="0"/>
      <c r="JQY82" s="0"/>
      <c r="JQZ82" s="0"/>
      <c r="JRA82" s="0"/>
      <c r="JRB82" s="0"/>
      <c r="JRC82" s="0"/>
      <c r="JRD82" s="0"/>
      <c r="JRE82" s="0"/>
      <c r="JRF82" s="0"/>
      <c r="JRG82" s="0"/>
      <c r="JRH82" s="0"/>
      <c r="JRI82" s="0"/>
      <c r="JRJ82" s="0"/>
      <c r="JRK82" s="0"/>
      <c r="JRL82" s="0"/>
      <c r="JRM82" s="0"/>
      <c r="JRN82" s="0"/>
      <c r="JRO82" s="0"/>
      <c r="JRP82" s="0"/>
      <c r="JRQ82" s="0"/>
      <c r="JRR82" s="0"/>
      <c r="JRS82" s="0"/>
      <c r="JRT82" s="0"/>
      <c r="JRU82" s="0"/>
      <c r="JRV82" s="0"/>
      <c r="JRW82" s="0"/>
      <c r="JRX82" s="0"/>
      <c r="JRY82" s="0"/>
      <c r="JRZ82" s="0"/>
      <c r="JSA82" s="0"/>
      <c r="JSB82" s="0"/>
      <c r="JSC82" s="0"/>
      <c r="JSD82" s="0"/>
      <c r="JSE82" s="0"/>
      <c r="JSF82" s="0"/>
      <c r="JSG82" s="0"/>
      <c r="JSH82" s="0"/>
      <c r="JSI82" s="0"/>
      <c r="JSJ82" s="0"/>
      <c r="JSK82" s="0"/>
      <c r="JSL82" s="0"/>
      <c r="JSM82" s="0"/>
      <c r="JSN82" s="0"/>
      <c r="JSO82" s="0"/>
      <c r="JSP82" s="0"/>
      <c r="JSQ82" s="0"/>
      <c r="JSR82" s="0"/>
      <c r="JSS82" s="0"/>
      <c r="JST82" s="0"/>
      <c r="JSU82" s="0"/>
      <c r="JSV82" s="0"/>
      <c r="JSW82" s="0"/>
      <c r="JSX82" s="0"/>
      <c r="JSY82" s="0"/>
      <c r="JSZ82" s="0"/>
      <c r="JTA82" s="0"/>
      <c r="JTB82" s="0"/>
      <c r="JTC82" s="0"/>
      <c r="JTD82" s="0"/>
      <c r="JTE82" s="0"/>
      <c r="JTF82" s="0"/>
      <c r="JTG82" s="0"/>
      <c r="JTH82" s="0"/>
      <c r="JTI82" s="0"/>
      <c r="JTJ82" s="0"/>
      <c r="JTK82" s="0"/>
      <c r="JTL82" s="0"/>
      <c r="JTM82" s="0"/>
      <c r="JTN82" s="0"/>
      <c r="JTO82" s="0"/>
      <c r="JTP82" s="0"/>
      <c r="JTQ82" s="0"/>
      <c r="JTR82" s="0"/>
      <c r="JTS82" s="0"/>
      <c r="JTT82" s="0"/>
      <c r="JTU82" s="0"/>
      <c r="JTV82" s="0"/>
      <c r="JTW82" s="0"/>
      <c r="JTX82" s="0"/>
      <c r="JTY82" s="0"/>
      <c r="JTZ82" s="0"/>
      <c r="JUA82" s="0"/>
      <c r="JUB82" s="0"/>
      <c r="JUC82" s="0"/>
      <c r="JUD82" s="0"/>
      <c r="JUE82" s="0"/>
      <c r="JUF82" s="0"/>
      <c r="JUG82" s="0"/>
      <c r="JUH82" s="0"/>
      <c r="JUI82" s="0"/>
      <c r="JUJ82" s="0"/>
      <c r="JUK82" s="0"/>
      <c r="JUL82" s="0"/>
      <c r="JUM82" s="0"/>
      <c r="JUN82" s="0"/>
      <c r="JUO82" s="0"/>
      <c r="JUP82" s="0"/>
      <c r="JUQ82" s="0"/>
      <c r="JUR82" s="0"/>
      <c r="JUS82" s="0"/>
      <c r="JUT82" s="0"/>
      <c r="JUU82" s="0"/>
      <c r="JUV82" s="0"/>
      <c r="JUW82" s="0"/>
      <c r="JUX82" s="0"/>
      <c r="JUY82" s="0"/>
      <c r="JUZ82" s="0"/>
      <c r="JVA82" s="0"/>
      <c r="JVB82" s="0"/>
      <c r="JVC82" s="0"/>
      <c r="JVD82" s="0"/>
      <c r="JVE82" s="0"/>
      <c r="JVF82" s="0"/>
      <c r="JVG82" s="0"/>
      <c r="JVH82" s="0"/>
      <c r="JVI82" s="0"/>
      <c r="JVJ82" s="0"/>
      <c r="JVK82" s="0"/>
      <c r="JVL82" s="0"/>
      <c r="JVM82" s="0"/>
      <c r="JVN82" s="0"/>
      <c r="JVO82" s="0"/>
      <c r="JVP82" s="0"/>
      <c r="JVQ82" s="0"/>
      <c r="JVR82" s="0"/>
      <c r="JVS82" s="0"/>
      <c r="JVT82" s="0"/>
      <c r="JVU82" s="0"/>
      <c r="JVV82" s="0"/>
      <c r="JVW82" s="0"/>
      <c r="JVX82" s="0"/>
      <c r="JVY82" s="0"/>
      <c r="JVZ82" s="0"/>
      <c r="JWA82" s="0"/>
      <c r="JWB82" s="0"/>
      <c r="JWC82" s="0"/>
      <c r="JWD82" s="0"/>
      <c r="JWE82" s="0"/>
      <c r="JWF82" s="0"/>
      <c r="JWG82" s="0"/>
      <c r="JWH82" s="0"/>
      <c r="JWI82" s="0"/>
      <c r="JWJ82" s="0"/>
      <c r="JWK82" s="0"/>
      <c r="JWL82" s="0"/>
      <c r="JWM82" s="0"/>
      <c r="JWN82" s="0"/>
      <c r="JWO82" s="0"/>
      <c r="JWP82" s="0"/>
      <c r="JWQ82" s="0"/>
      <c r="JWR82" s="0"/>
      <c r="JWS82" s="0"/>
      <c r="JWT82" s="0"/>
      <c r="JWU82" s="0"/>
      <c r="JWV82" s="0"/>
      <c r="JWW82" s="0"/>
      <c r="JWX82" s="0"/>
      <c r="JWY82" s="0"/>
      <c r="JWZ82" s="0"/>
      <c r="JXA82" s="0"/>
      <c r="JXB82" s="0"/>
      <c r="JXC82" s="0"/>
      <c r="JXD82" s="0"/>
      <c r="JXE82" s="0"/>
      <c r="JXF82" s="0"/>
      <c r="JXG82" s="0"/>
      <c r="JXH82" s="0"/>
      <c r="JXI82" s="0"/>
      <c r="JXJ82" s="0"/>
      <c r="JXK82" s="0"/>
      <c r="JXL82" s="0"/>
      <c r="JXM82" s="0"/>
      <c r="JXN82" s="0"/>
      <c r="JXO82" s="0"/>
      <c r="JXP82" s="0"/>
      <c r="JXQ82" s="0"/>
      <c r="JXR82" s="0"/>
      <c r="JXS82" s="0"/>
      <c r="JXT82" s="0"/>
      <c r="JXU82" s="0"/>
      <c r="JXV82" s="0"/>
      <c r="JXW82" s="0"/>
      <c r="JXX82" s="0"/>
      <c r="JXY82" s="0"/>
      <c r="JXZ82" s="0"/>
      <c r="JYA82" s="0"/>
      <c r="JYB82" s="0"/>
      <c r="JYC82" s="0"/>
      <c r="JYD82" s="0"/>
      <c r="JYE82" s="0"/>
      <c r="JYF82" s="0"/>
      <c r="JYG82" s="0"/>
      <c r="JYH82" s="0"/>
      <c r="JYI82" s="0"/>
      <c r="JYJ82" s="0"/>
      <c r="JYK82" s="0"/>
      <c r="JYL82" s="0"/>
      <c r="JYM82" s="0"/>
      <c r="JYN82" s="0"/>
      <c r="JYO82" s="0"/>
      <c r="JYP82" s="0"/>
      <c r="JYQ82" s="0"/>
      <c r="JYR82" s="0"/>
      <c r="JYS82" s="0"/>
      <c r="JYT82" s="0"/>
      <c r="JYU82" s="0"/>
      <c r="JYV82" s="0"/>
      <c r="JYW82" s="0"/>
      <c r="JYX82" s="0"/>
      <c r="JYY82" s="0"/>
      <c r="JYZ82" s="0"/>
      <c r="JZA82" s="0"/>
      <c r="JZB82" s="0"/>
      <c r="JZC82" s="0"/>
      <c r="JZD82" s="0"/>
      <c r="JZE82" s="0"/>
      <c r="JZF82" s="0"/>
      <c r="JZG82" s="0"/>
      <c r="JZH82" s="0"/>
      <c r="JZI82" s="0"/>
      <c r="JZJ82" s="0"/>
      <c r="JZK82" s="0"/>
      <c r="JZL82" s="0"/>
      <c r="JZM82" s="0"/>
      <c r="JZN82" s="0"/>
      <c r="JZO82" s="0"/>
      <c r="JZP82" s="0"/>
      <c r="JZQ82" s="0"/>
      <c r="JZR82" s="0"/>
      <c r="JZS82" s="0"/>
      <c r="JZT82" s="0"/>
      <c r="JZU82" s="0"/>
      <c r="JZV82" s="0"/>
      <c r="JZW82" s="0"/>
      <c r="JZX82" s="0"/>
      <c r="JZY82" s="0"/>
      <c r="JZZ82" s="0"/>
      <c r="KAA82" s="0"/>
      <c r="KAB82" s="0"/>
      <c r="KAC82" s="0"/>
      <c r="KAD82" s="0"/>
      <c r="KAE82" s="0"/>
      <c r="KAF82" s="0"/>
      <c r="KAG82" s="0"/>
      <c r="KAH82" s="0"/>
      <c r="KAI82" s="0"/>
      <c r="KAJ82" s="0"/>
      <c r="KAK82" s="0"/>
      <c r="KAL82" s="0"/>
      <c r="KAM82" s="0"/>
      <c r="KAN82" s="0"/>
      <c r="KAO82" s="0"/>
      <c r="KAP82" s="0"/>
      <c r="KAQ82" s="0"/>
      <c r="KAR82" s="0"/>
      <c r="KAS82" s="0"/>
      <c r="KAT82" s="0"/>
      <c r="KAU82" s="0"/>
      <c r="KAV82" s="0"/>
      <c r="KAW82" s="0"/>
      <c r="KAX82" s="0"/>
      <c r="KAY82" s="0"/>
      <c r="KAZ82" s="0"/>
      <c r="KBA82" s="0"/>
      <c r="KBB82" s="0"/>
      <c r="KBC82" s="0"/>
      <c r="KBD82" s="0"/>
      <c r="KBE82" s="0"/>
      <c r="KBF82" s="0"/>
      <c r="KBG82" s="0"/>
      <c r="KBH82" s="0"/>
      <c r="KBI82" s="0"/>
      <c r="KBJ82" s="0"/>
      <c r="KBK82" s="0"/>
      <c r="KBL82" s="0"/>
      <c r="KBM82" s="0"/>
      <c r="KBN82" s="0"/>
      <c r="KBO82" s="0"/>
      <c r="KBP82" s="0"/>
      <c r="KBQ82" s="0"/>
      <c r="KBR82" s="0"/>
      <c r="KBS82" s="0"/>
      <c r="KBT82" s="0"/>
      <c r="KBU82" s="0"/>
      <c r="KBV82" s="0"/>
      <c r="KBW82" s="0"/>
      <c r="KBX82" s="0"/>
      <c r="KBY82" s="0"/>
      <c r="KBZ82" s="0"/>
      <c r="KCA82" s="0"/>
      <c r="KCB82" s="0"/>
      <c r="KCC82" s="0"/>
      <c r="KCD82" s="0"/>
      <c r="KCE82" s="0"/>
      <c r="KCF82" s="0"/>
      <c r="KCG82" s="0"/>
      <c r="KCH82" s="0"/>
      <c r="KCI82" s="0"/>
      <c r="KCJ82" s="0"/>
      <c r="KCK82" s="0"/>
      <c r="KCL82" s="0"/>
      <c r="KCM82" s="0"/>
      <c r="KCN82" s="0"/>
      <c r="KCO82" s="0"/>
      <c r="KCP82" s="0"/>
      <c r="KCQ82" s="0"/>
      <c r="KCR82" s="0"/>
      <c r="KCS82" s="0"/>
      <c r="KCT82" s="0"/>
      <c r="KCU82" s="0"/>
      <c r="KCV82" s="0"/>
      <c r="KCW82" s="0"/>
      <c r="KCX82" s="0"/>
      <c r="KCY82" s="0"/>
      <c r="KCZ82" s="0"/>
      <c r="KDA82" s="0"/>
      <c r="KDB82" s="0"/>
      <c r="KDC82" s="0"/>
      <c r="KDD82" s="0"/>
      <c r="KDE82" s="0"/>
      <c r="KDF82" s="0"/>
      <c r="KDG82" s="0"/>
      <c r="KDH82" s="0"/>
      <c r="KDI82" s="0"/>
      <c r="KDJ82" s="0"/>
      <c r="KDK82" s="0"/>
      <c r="KDL82" s="0"/>
      <c r="KDM82" s="0"/>
      <c r="KDN82" s="0"/>
      <c r="KDO82" s="0"/>
      <c r="KDP82" s="0"/>
      <c r="KDQ82" s="0"/>
      <c r="KDR82" s="0"/>
      <c r="KDS82" s="0"/>
      <c r="KDT82" s="0"/>
      <c r="KDU82" s="0"/>
      <c r="KDV82" s="0"/>
      <c r="KDW82" s="0"/>
      <c r="KDX82" s="0"/>
      <c r="KDY82" s="0"/>
      <c r="KDZ82" s="0"/>
      <c r="KEA82" s="0"/>
      <c r="KEB82" s="0"/>
      <c r="KEC82" s="0"/>
      <c r="KED82" s="0"/>
      <c r="KEE82" s="0"/>
      <c r="KEF82" s="0"/>
      <c r="KEG82" s="0"/>
      <c r="KEH82" s="0"/>
      <c r="KEI82" s="0"/>
      <c r="KEJ82" s="0"/>
      <c r="KEK82" s="0"/>
      <c r="KEL82" s="0"/>
      <c r="KEM82" s="0"/>
      <c r="KEN82" s="0"/>
      <c r="KEO82" s="0"/>
      <c r="KEP82" s="0"/>
      <c r="KEQ82" s="0"/>
      <c r="KER82" s="0"/>
      <c r="KES82" s="0"/>
      <c r="KET82" s="0"/>
      <c r="KEU82" s="0"/>
      <c r="KEV82" s="0"/>
      <c r="KEW82" s="0"/>
      <c r="KEX82" s="0"/>
      <c r="KEY82" s="0"/>
      <c r="KEZ82" s="0"/>
      <c r="KFA82" s="0"/>
      <c r="KFB82" s="0"/>
      <c r="KFC82" s="0"/>
      <c r="KFD82" s="0"/>
      <c r="KFE82" s="0"/>
      <c r="KFF82" s="0"/>
      <c r="KFG82" s="0"/>
      <c r="KFH82" s="0"/>
      <c r="KFI82" s="0"/>
      <c r="KFJ82" s="0"/>
      <c r="KFK82" s="0"/>
      <c r="KFL82" s="0"/>
      <c r="KFM82" s="0"/>
      <c r="KFN82" s="0"/>
      <c r="KFO82" s="0"/>
      <c r="KFP82" s="0"/>
      <c r="KFQ82" s="0"/>
      <c r="KFR82" s="0"/>
      <c r="KFS82" s="0"/>
      <c r="KFT82" s="0"/>
      <c r="KFU82" s="0"/>
      <c r="KFV82" s="0"/>
      <c r="KFW82" s="0"/>
      <c r="KFX82" s="0"/>
      <c r="KFY82" s="0"/>
      <c r="KFZ82" s="0"/>
      <c r="KGA82" s="0"/>
      <c r="KGB82" s="0"/>
      <c r="KGC82" s="0"/>
      <c r="KGD82" s="0"/>
      <c r="KGE82" s="0"/>
      <c r="KGF82" s="0"/>
      <c r="KGG82" s="0"/>
      <c r="KGH82" s="0"/>
      <c r="KGI82" s="0"/>
      <c r="KGJ82" s="0"/>
      <c r="KGK82" s="0"/>
      <c r="KGL82" s="0"/>
      <c r="KGM82" s="0"/>
      <c r="KGN82" s="0"/>
      <c r="KGO82" s="0"/>
      <c r="KGP82" s="0"/>
      <c r="KGQ82" s="0"/>
      <c r="KGR82" s="0"/>
      <c r="KGS82" s="0"/>
      <c r="KGT82" s="0"/>
      <c r="KGU82" s="0"/>
      <c r="KGV82" s="0"/>
      <c r="KGW82" s="0"/>
      <c r="KGX82" s="0"/>
      <c r="KGY82" s="0"/>
      <c r="KGZ82" s="0"/>
      <c r="KHA82" s="0"/>
      <c r="KHB82" s="0"/>
      <c r="KHC82" s="0"/>
      <c r="KHD82" s="0"/>
      <c r="KHE82" s="0"/>
      <c r="KHF82" s="0"/>
      <c r="KHG82" s="0"/>
      <c r="KHH82" s="0"/>
      <c r="KHI82" s="0"/>
      <c r="KHJ82" s="0"/>
      <c r="KHK82" s="0"/>
      <c r="KHL82" s="0"/>
      <c r="KHM82" s="0"/>
      <c r="KHN82" s="0"/>
      <c r="KHO82" s="0"/>
      <c r="KHP82" s="0"/>
      <c r="KHQ82" s="0"/>
      <c r="KHR82" s="0"/>
      <c r="KHS82" s="0"/>
      <c r="KHT82" s="0"/>
      <c r="KHU82" s="0"/>
      <c r="KHV82" s="0"/>
      <c r="KHW82" s="0"/>
      <c r="KHX82" s="0"/>
      <c r="KHY82" s="0"/>
      <c r="KHZ82" s="0"/>
      <c r="KIA82" s="0"/>
      <c r="KIB82" s="0"/>
      <c r="KIC82" s="0"/>
      <c r="KID82" s="0"/>
      <c r="KIE82" s="0"/>
      <c r="KIF82" s="0"/>
      <c r="KIG82" s="0"/>
      <c r="KIH82" s="0"/>
      <c r="KII82" s="0"/>
      <c r="KIJ82" s="0"/>
      <c r="KIK82" s="0"/>
      <c r="KIL82" s="0"/>
      <c r="KIM82" s="0"/>
      <c r="KIN82" s="0"/>
      <c r="KIO82" s="0"/>
      <c r="KIP82" s="0"/>
      <c r="KIQ82" s="0"/>
      <c r="KIR82" s="0"/>
      <c r="KIS82" s="0"/>
      <c r="KIT82" s="0"/>
      <c r="KIU82" s="0"/>
      <c r="KIV82" s="0"/>
      <c r="KIW82" s="0"/>
      <c r="KIX82" s="0"/>
      <c r="KIY82" s="0"/>
      <c r="KIZ82" s="0"/>
      <c r="KJA82" s="0"/>
      <c r="KJB82" s="0"/>
      <c r="KJC82" s="0"/>
      <c r="KJD82" s="0"/>
      <c r="KJE82" s="0"/>
      <c r="KJF82" s="0"/>
      <c r="KJG82" s="0"/>
      <c r="KJH82" s="0"/>
      <c r="KJI82" s="0"/>
      <c r="KJJ82" s="0"/>
      <c r="KJK82" s="0"/>
      <c r="KJL82" s="0"/>
      <c r="KJM82" s="0"/>
      <c r="KJN82" s="0"/>
      <c r="KJO82" s="0"/>
      <c r="KJP82" s="0"/>
      <c r="KJQ82" s="0"/>
      <c r="KJR82" s="0"/>
      <c r="KJS82" s="0"/>
      <c r="KJT82" s="0"/>
      <c r="KJU82" s="0"/>
      <c r="KJV82" s="0"/>
      <c r="KJW82" s="0"/>
      <c r="KJX82" s="0"/>
      <c r="KJY82" s="0"/>
      <c r="KJZ82" s="0"/>
      <c r="KKA82" s="0"/>
      <c r="KKB82" s="0"/>
      <c r="KKC82" s="0"/>
      <c r="KKD82" s="0"/>
      <c r="KKE82" s="0"/>
      <c r="KKF82" s="0"/>
      <c r="KKG82" s="0"/>
      <c r="KKH82" s="0"/>
      <c r="KKI82" s="0"/>
      <c r="KKJ82" s="0"/>
      <c r="KKK82" s="0"/>
      <c r="KKL82" s="0"/>
      <c r="KKM82" s="0"/>
      <c r="KKN82" s="0"/>
      <c r="KKO82" s="0"/>
      <c r="KKP82" s="0"/>
      <c r="KKQ82" s="0"/>
      <c r="KKR82" s="0"/>
      <c r="KKS82" s="0"/>
      <c r="KKT82" s="0"/>
      <c r="KKU82" s="0"/>
      <c r="KKV82" s="0"/>
      <c r="KKW82" s="0"/>
      <c r="KKX82" s="0"/>
      <c r="KKY82" s="0"/>
      <c r="KKZ82" s="0"/>
      <c r="KLA82" s="0"/>
      <c r="KLB82" s="0"/>
      <c r="KLC82" s="0"/>
      <c r="KLD82" s="0"/>
      <c r="KLE82" s="0"/>
      <c r="KLF82" s="0"/>
      <c r="KLG82" s="0"/>
      <c r="KLH82" s="0"/>
      <c r="KLI82" s="0"/>
      <c r="KLJ82" s="0"/>
      <c r="KLK82" s="0"/>
      <c r="KLL82" s="0"/>
      <c r="KLM82" s="0"/>
      <c r="KLN82" s="0"/>
      <c r="KLO82" s="0"/>
      <c r="KLP82" s="0"/>
      <c r="KLQ82" s="0"/>
      <c r="KLR82" s="0"/>
      <c r="KLS82" s="0"/>
      <c r="KLT82" s="0"/>
      <c r="KLU82" s="0"/>
      <c r="KLV82" s="0"/>
      <c r="KLW82" s="0"/>
      <c r="KLX82" s="0"/>
      <c r="KLY82" s="0"/>
      <c r="KLZ82" s="0"/>
      <c r="KMA82" s="0"/>
      <c r="KMB82" s="0"/>
      <c r="KMC82" s="0"/>
      <c r="KMD82" s="0"/>
      <c r="KME82" s="0"/>
      <c r="KMF82" s="0"/>
      <c r="KMG82" s="0"/>
      <c r="KMH82" s="0"/>
      <c r="KMI82" s="0"/>
      <c r="KMJ82" s="0"/>
      <c r="KMK82" s="0"/>
      <c r="KML82" s="0"/>
      <c r="KMM82" s="0"/>
      <c r="KMN82" s="0"/>
      <c r="KMO82" s="0"/>
      <c r="KMP82" s="0"/>
      <c r="KMQ82" s="0"/>
      <c r="KMR82" s="0"/>
      <c r="KMS82" s="0"/>
      <c r="KMT82" s="0"/>
      <c r="KMU82" s="0"/>
      <c r="KMV82" s="0"/>
      <c r="KMW82" s="0"/>
      <c r="KMX82" s="0"/>
      <c r="KMY82" s="0"/>
      <c r="KMZ82" s="0"/>
      <c r="KNA82" s="0"/>
      <c r="KNB82" s="0"/>
      <c r="KNC82" s="0"/>
      <c r="KND82" s="0"/>
      <c r="KNE82" s="0"/>
      <c r="KNF82" s="0"/>
      <c r="KNG82" s="0"/>
      <c r="KNH82" s="0"/>
      <c r="KNI82" s="0"/>
      <c r="KNJ82" s="0"/>
      <c r="KNK82" s="0"/>
      <c r="KNL82" s="0"/>
      <c r="KNM82" s="0"/>
      <c r="KNN82" s="0"/>
      <c r="KNO82" s="0"/>
      <c r="KNP82" s="0"/>
      <c r="KNQ82" s="0"/>
      <c r="KNR82" s="0"/>
      <c r="KNS82" s="0"/>
      <c r="KNT82" s="0"/>
      <c r="KNU82" s="0"/>
      <c r="KNV82" s="0"/>
      <c r="KNW82" s="0"/>
      <c r="KNX82" s="0"/>
      <c r="KNY82" s="0"/>
      <c r="KNZ82" s="0"/>
      <c r="KOA82" s="0"/>
      <c r="KOB82" s="0"/>
      <c r="KOC82" s="0"/>
      <c r="KOD82" s="0"/>
      <c r="KOE82" s="0"/>
      <c r="KOF82" s="0"/>
      <c r="KOG82" s="0"/>
      <c r="KOH82" s="0"/>
      <c r="KOI82" s="0"/>
      <c r="KOJ82" s="0"/>
      <c r="KOK82" s="0"/>
      <c r="KOL82" s="0"/>
      <c r="KOM82" s="0"/>
      <c r="KON82" s="0"/>
      <c r="KOO82" s="0"/>
      <c r="KOP82" s="0"/>
      <c r="KOQ82" s="0"/>
      <c r="KOR82" s="0"/>
      <c r="KOS82" s="0"/>
      <c r="KOT82" s="0"/>
      <c r="KOU82" s="0"/>
      <c r="KOV82" s="0"/>
      <c r="KOW82" s="0"/>
      <c r="KOX82" s="0"/>
      <c r="KOY82" s="0"/>
      <c r="KOZ82" s="0"/>
      <c r="KPA82" s="0"/>
      <c r="KPB82" s="0"/>
      <c r="KPC82" s="0"/>
      <c r="KPD82" s="0"/>
      <c r="KPE82" s="0"/>
      <c r="KPF82" s="0"/>
      <c r="KPG82" s="0"/>
      <c r="KPH82" s="0"/>
      <c r="KPI82" s="0"/>
      <c r="KPJ82" s="0"/>
      <c r="KPK82" s="0"/>
      <c r="KPL82" s="0"/>
      <c r="KPM82" s="0"/>
      <c r="KPN82" s="0"/>
      <c r="KPO82" s="0"/>
      <c r="KPP82" s="0"/>
      <c r="KPQ82" s="0"/>
      <c r="KPR82" s="0"/>
      <c r="KPS82" s="0"/>
      <c r="KPT82" s="0"/>
      <c r="KPU82" s="0"/>
      <c r="KPV82" s="0"/>
      <c r="KPW82" s="0"/>
      <c r="KPX82" s="0"/>
      <c r="KPY82" s="0"/>
      <c r="KPZ82" s="0"/>
      <c r="KQA82" s="0"/>
      <c r="KQB82" s="0"/>
      <c r="KQC82" s="0"/>
      <c r="KQD82" s="0"/>
      <c r="KQE82" s="0"/>
      <c r="KQF82" s="0"/>
      <c r="KQG82" s="0"/>
      <c r="KQH82" s="0"/>
      <c r="KQI82" s="0"/>
      <c r="KQJ82" s="0"/>
      <c r="KQK82" s="0"/>
      <c r="KQL82" s="0"/>
      <c r="KQM82" s="0"/>
      <c r="KQN82" s="0"/>
      <c r="KQO82" s="0"/>
      <c r="KQP82" s="0"/>
      <c r="KQQ82" s="0"/>
      <c r="KQR82" s="0"/>
      <c r="KQS82" s="0"/>
      <c r="KQT82" s="0"/>
      <c r="KQU82" s="0"/>
      <c r="KQV82" s="0"/>
      <c r="KQW82" s="0"/>
      <c r="KQX82" s="0"/>
      <c r="KQY82" s="0"/>
      <c r="KQZ82" s="0"/>
      <c r="KRA82" s="0"/>
      <c r="KRB82" s="0"/>
      <c r="KRC82" s="0"/>
      <c r="KRD82" s="0"/>
      <c r="KRE82" s="0"/>
      <c r="KRF82" s="0"/>
      <c r="KRG82" s="0"/>
      <c r="KRH82" s="0"/>
      <c r="KRI82" s="0"/>
      <c r="KRJ82" s="0"/>
      <c r="KRK82" s="0"/>
      <c r="KRL82" s="0"/>
      <c r="KRM82" s="0"/>
      <c r="KRN82" s="0"/>
      <c r="KRO82" s="0"/>
      <c r="KRP82" s="0"/>
      <c r="KRQ82" s="0"/>
      <c r="KRR82" s="0"/>
      <c r="KRS82" s="0"/>
      <c r="KRT82" s="0"/>
      <c r="KRU82" s="0"/>
      <c r="KRV82" s="0"/>
      <c r="KRW82" s="0"/>
      <c r="KRX82" s="0"/>
      <c r="KRY82" s="0"/>
      <c r="KRZ82" s="0"/>
      <c r="KSA82" s="0"/>
      <c r="KSB82" s="0"/>
      <c r="KSC82" s="0"/>
      <c r="KSD82" s="0"/>
      <c r="KSE82" s="0"/>
      <c r="KSF82" s="0"/>
      <c r="KSG82" s="0"/>
      <c r="KSH82" s="0"/>
      <c r="KSI82" s="0"/>
      <c r="KSJ82" s="0"/>
      <c r="KSK82" s="0"/>
      <c r="KSL82" s="0"/>
      <c r="KSM82" s="0"/>
      <c r="KSN82" s="0"/>
      <c r="KSO82" s="0"/>
      <c r="KSP82" s="0"/>
      <c r="KSQ82" s="0"/>
      <c r="KSR82" s="0"/>
      <c r="KSS82" s="0"/>
      <c r="KST82" s="0"/>
      <c r="KSU82" s="0"/>
      <c r="KSV82" s="0"/>
      <c r="KSW82" s="0"/>
      <c r="KSX82" s="0"/>
      <c r="KSY82" s="0"/>
      <c r="KSZ82" s="0"/>
      <c r="KTA82" s="0"/>
      <c r="KTB82" s="0"/>
      <c r="KTC82" s="0"/>
      <c r="KTD82" s="0"/>
      <c r="KTE82" s="0"/>
      <c r="KTF82" s="0"/>
      <c r="KTG82" s="0"/>
      <c r="KTH82" s="0"/>
      <c r="KTI82" s="0"/>
      <c r="KTJ82" s="0"/>
      <c r="KTK82" s="0"/>
      <c r="KTL82" s="0"/>
      <c r="KTM82" s="0"/>
      <c r="KTN82" s="0"/>
      <c r="KTO82" s="0"/>
      <c r="KTP82" s="0"/>
      <c r="KTQ82" s="0"/>
      <c r="KTR82" s="0"/>
      <c r="KTS82" s="0"/>
      <c r="KTT82" s="0"/>
      <c r="KTU82" s="0"/>
      <c r="KTV82" s="0"/>
      <c r="KTW82" s="0"/>
      <c r="KTX82" s="0"/>
      <c r="KTY82" s="0"/>
      <c r="KTZ82" s="0"/>
      <c r="KUA82" s="0"/>
      <c r="KUB82" s="0"/>
      <c r="KUC82" s="0"/>
      <c r="KUD82" s="0"/>
      <c r="KUE82" s="0"/>
      <c r="KUF82" s="0"/>
      <c r="KUG82" s="0"/>
      <c r="KUH82" s="0"/>
      <c r="KUI82" s="0"/>
      <c r="KUJ82" s="0"/>
      <c r="KUK82" s="0"/>
      <c r="KUL82" s="0"/>
      <c r="KUM82" s="0"/>
      <c r="KUN82" s="0"/>
      <c r="KUO82" s="0"/>
      <c r="KUP82" s="0"/>
      <c r="KUQ82" s="0"/>
      <c r="KUR82" s="0"/>
      <c r="KUS82" s="0"/>
      <c r="KUT82" s="0"/>
      <c r="KUU82" s="0"/>
      <c r="KUV82" s="0"/>
      <c r="KUW82" s="0"/>
      <c r="KUX82" s="0"/>
      <c r="KUY82" s="0"/>
      <c r="KUZ82" s="0"/>
      <c r="KVA82" s="0"/>
      <c r="KVB82" s="0"/>
      <c r="KVC82" s="0"/>
      <c r="KVD82" s="0"/>
      <c r="KVE82" s="0"/>
      <c r="KVF82" s="0"/>
      <c r="KVG82" s="0"/>
      <c r="KVH82" s="0"/>
      <c r="KVI82" s="0"/>
      <c r="KVJ82" s="0"/>
      <c r="KVK82" s="0"/>
      <c r="KVL82" s="0"/>
      <c r="KVM82" s="0"/>
      <c r="KVN82" s="0"/>
      <c r="KVO82" s="0"/>
      <c r="KVP82" s="0"/>
      <c r="KVQ82" s="0"/>
      <c r="KVR82" s="0"/>
      <c r="KVS82" s="0"/>
      <c r="KVT82" s="0"/>
      <c r="KVU82" s="0"/>
      <c r="KVV82" s="0"/>
      <c r="KVW82" s="0"/>
      <c r="KVX82" s="0"/>
      <c r="KVY82" s="0"/>
      <c r="KVZ82" s="0"/>
      <c r="KWA82" s="0"/>
      <c r="KWB82" s="0"/>
      <c r="KWC82" s="0"/>
      <c r="KWD82" s="0"/>
      <c r="KWE82" s="0"/>
      <c r="KWF82" s="0"/>
      <c r="KWG82" s="0"/>
      <c r="KWH82" s="0"/>
      <c r="KWI82" s="0"/>
      <c r="KWJ82" s="0"/>
      <c r="KWK82" s="0"/>
      <c r="KWL82" s="0"/>
      <c r="KWM82" s="0"/>
      <c r="KWN82" s="0"/>
      <c r="KWO82" s="0"/>
      <c r="KWP82" s="0"/>
      <c r="KWQ82" s="0"/>
      <c r="KWR82" s="0"/>
      <c r="KWS82" s="0"/>
      <c r="KWT82" s="0"/>
      <c r="KWU82" s="0"/>
      <c r="KWV82" s="0"/>
      <c r="KWW82" s="0"/>
      <c r="KWX82" s="0"/>
      <c r="KWY82" s="0"/>
      <c r="KWZ82" s="0"/>
      <c r="KXA82" s="0"/>
      <c r="KXB82" s="0"/>
      <c r="KXC82" s="0"/>
      <c r="KXD82" s="0"/>
      <c r="KXE82" s="0"/>
      <c r="KXF82" s="0"/>
      <c r="KXG82" s="0"/>
      <c r="KXH82" s="0"/>
      <c r="KXI82" s="0"/>
      <c r="KXJ82" s="0"/>
      <c r="KXK82" s="0"/>
      <c r="KXL82" s="0"/>
      <c r="KXM82" s="0"/>
      <c r="KXN82" s="0"/>
      <c r="KXO82" s="0"/>
      <c r="KXP82" s="0"/>
      <c r="KXQ82" s="0"/>
      <c r="KXR82" s="0"/>
      <c r="KXS82" s="0"/>
      <c r="KXT82" s="0"/>
      <c r="KXU82" s="0"/>
      <c r="KXV82" s="0"/>
      <c r="KXW82" s="0"/>
      <c r="KXX82" s="0"/>
      <c r="KXY82" s="0"/>
      <c r="KXZ82" s="0"/>
      <c r="KYA82" s="0"/>
      <c r="KYB82" s="0"/>
      <c r="KYC82" s="0"/>
      <c r="KYD82" s="0"/>
      <c r="KYE82" s="0"/>
      <c r="KYF82" s="0"/>
      <c r="KYG82" s="0"/>
      <c r="KYH82" s="0"/>
      <c r="KYI82" s="0"/>
      <c r="KYJ82" s="0"/>
      <c r="KYK82" s="0"/>
      <c r="KYL82" s="0"/>
      <c r="KYM82" s="0"/>
      <c r="KYN82" s="0"/>
      <c r="KYO82" s="0"/>
      <c r="KYP82" s="0"/>
      <c r="KYQ82" s="0"/>
      <c r="KYR82" s="0"/>
      <c r="KYS82" s="0"/>
      <c r="KYT82" s="0"/>
      <c r="KYU82" s="0"/>
      <c r="KYV82" s="0"/>
      <c r="KYW82" s="0"/>
      <c r="KYX82" s="0"/>
      <c r="KYY82" s="0"/>
      <c r="KYZ82" s="0"/>
      <c r="KZA82" s="0"/>
      <c r="KZB82" s="0"/>
      <c r="KZC82" s="0"/>
      <c r="KZD82" s="0"/>
      <c r="KZE82" s="0"/>
      <c r="KZF82" s="0"/>
      <c r="KZG82" s="0"/>
      <c r="KZH82" s="0"/>
      <c r="KZI82" s="0"/>
      <c r="KZJ82" s="0"/>
      <c r="KZK82" s="0"/>
      <c r="KZL82" s="0"/>
      <c r="KZM82" s="0"/>
      <c r="KZN82" s="0"/>
      <c r="KZO82" s="0"/>
      <c r="KZP82" s="0"/>
      <c r="KZQ82" s="0"/>
      <c r="KZR82" s="0"/>
      <c r="KZS82" s="0"/>
      <c r="KZT82" s="0"/>
      <c r="KZU82" s="0"/>
      <c r="KZV82" s="0"/>
      <c r="KZW82" s="0"/>
      <c r="KZX82" s="0"/>
      <c r="KZY82" s="0"/>
      <c r="KZZ82" s="0"/>
      <c r="LAA82" s="0"/>
      <c r="LAB82" s="0"/>
      <c r="LAC82" s="0"/>
      <c r="LAD82" s="0"/>
      <c r="LAE82" s="0"/>
      <c r="LAF82" s="0"/>
      <c r="LAG82" s="0"/>
      <c r="LAH82" s="0"/>
      <c r="LAI82" s="0"/>
      <c r="LAJ82" s="0"/>
      <c r="LAK82" s="0"/>
      <c r="LAL82" s="0"/>
      <c r="LAM82" s="0"/>
      <c r="LAN82" s="0"/>
      <c r="LAO82" s="0"/>
      <c r="LAP82" s="0"/>
      <c r="LAQ82" s="0"/>
      <c r="LAR82" s="0"/>
      <c r="LAS82" s="0"/>
      <c r="LAT82" s="0"/>
      <c r="LAU82" s="0"/>
      <c r="LAV82" s="0"/>
      <c r="LAW82" s="0"/>
      <c r="LAX82" s="0"/>
      <c r="LAY82" s="0"/>
      <c r="LAZ82" s="0"/>
      <c r="LBA82" s="0"/>
      <c r="LBB82" s="0"/>
      <c r="LBC82" s="0"/>
      <c r="LBD82" s="0"/>
      <c r="LBE82" s="0"/>
      <c r="LBF82" s="0"/>
      <c r="LBG82" s="0"/>
      <c r="LBH82" s="0"/>
      <c r="LBI82" s="0"/>
      <c r="LBJ82" s="0"/>
      <c r="LBK82" s="0"/>
      <c r="LBL82" s="0"/>
      <c r="LBM82" s="0"/>
      <c r="LBN82" s="0"/>
      <c r="LBO82" s="0"/>
      <c r="LBP82" s="0"/>
      <c r="LBQ82" s="0"/>
      <c r="LBR82" s="0"/>
      <c r="LBS82" s="0"/>
      <c r="LBT82" s="0"/>
      <c r="LBU82" s="0"/>
      <c r="LBV82" s="0"/>
      <c r="LBW82" s="0"/>
      <c r="LBX82" s="0"/>
      <c r="LBY82" s="0"/>
      <c r="LBZ82" s="0"/>
      <c r="LCA82" s="0"/>
      <c r="LCB82" s="0"/>
      <c r="LCC82" s="0"/>
      <c r="LCD82" s="0"/>
      <c r="LCE82" s="0"/>
      <c r="LCF82" s="0"/>
      <c r="LCG82" s="0"/>
      <c r="LCH82" s="0"/>
      <c r="LCI82" s="0"/>
      <c r="LCJ82" s="0"/>
      <c r="LCK82" s="0"/>
      <c r="LCL82" s="0"/>
      <c r="LCM82" s="0"/>
      <c r="LCN82" s="0"/>
      <c r="LCO82" s="0"/>
      <c r="LCP82" s="0"/>
      <c r="LCQ82" s="0"/>
      <c r="LCR82" s="0"/>
      <c r="LCS82" s="0"/>
      <c r="LCT82" s="0"/>
      <c r="LCU82" s="0"/>
      <c r="LCV82" s="0"/>
      <c r="LCW82" s="0"/>
      <c r="LCX82" s="0"/>
      <c r="LCY82" s="0"/>
      <c r="LCZ82" s="0"/>
      <c r="LDA82" s="0"/>
      <c r="LDB82" s="0"/>
      <c r="LDC82" s="0"/>
      <c r="LDD82" s="0"/>
      <c r="LDE82" s="0"/>
      <c r="LDF82" s="0"/>
      <c r="LDG82" s="0"/>
      <c r="LDH82" s="0"/>
      <c r="LDI82" s="0"/>
      <c r="LDJ82" s="0"/>
      <c r="LDK82" s="0"/>
      <c r="LDL82" s="0"/>
      <c r="LDM82" s="0"/>
      <c r="LDN82" s="0"/>
      <c r="LDO82" s="0"/>
      <c r="LDP82" s="0"/>
      <c r="LDQ82" s="0"/>
      <c r="LDR82" s="0"/>
      <c r="LDS82" s="0"/>
      <c r="LDT82" s="0"/>
      <c r="LDU82" s="0"/>
      <c r="LDV82" s="0"/>
      <c r="LDW82" s="0"/>
      <c r="LDX82" s="0"/>
      <c r="LDY82" s="0"/>
      <c r="LDZ82" s="0"/>
      <c r="LEA82" s="0"/>
      <c r="LEB82" s="0"/>
      <c r="LEC82" s="0"/>
      <c r="LED82" s="0"/>
      <c r="LEE82" s="0"/>
      <c r="LEF82" s="0"/>
      <c r="LEG82" s="0"/>
      <c r="LEH82" s="0"/>
      <c r="LEI82" s="0"/>
      <c r="LEJ82" s="0"/>
      <c r="LEK82" s="0"/>
      <c r="LEL82" s="0"/>
      <c r="LEM82" s="0"/>
      <c r="LEN82" s="0"/>
      <c r="LEO82" s="0"/>
      <c r="LEP82" s="0"/>
      <c r="LEQ82" s="0"/>
      <c r="LER82" s="0"/>
      <c r="LES82" s="0"/>
      <c r="LET82" s="0"/>
      <c r="LEU82" s="0"/>
      <c r="LEV82" s="0"/>
      <c r="LEW82" s="0"/>
      <c r="LEX82" s="0"/>
      <c r="LEY82" s="0"/>
      <c r="LEZ82" s="0"/>
      <c r="LFA82" s="0"/>
      <c r="LFB82" s="0"/>
      <c r="LFC82" s="0"/>
      <c r="LFD82" s="0"/>
      <c r="LFE82" s="0"/>
      <c r="LFF82" s="0"/>
      <c r="LFG82" s="0"/>
      <c r="LFH82" s="0"/>
      <c r="LFI82" s="0"/>
      <c r="LFJ82" s="0"/>
      <c r="LFK82" s="0"/>
      <c r="LFL82" s="0"/>
      <c r="LFM82" s="0"/>
      <c r="LFN82" s="0"/>
      <c r="LFO82" s="0"/>
      <c r="LFP82" s="0"/>
      <c r="LFQ82" s="0"/>
      <c r="LFR82" s="0"/>
      <c r="LFS82" s="0"/>
      <c r="LFT82" s="0"/>
      <c r="LFU82" s="0"/>
      <c r="LFV82" s="0"/>
      <c r="LFW82" s="0"/>
      <c r="LFX82" s="0"/>
      <c r="LFY82" s="0"/>
      <c r="LFZ82" s="0"/>
      <c r="LGA82" s="0"/>
      <c r="LGB82" s="0"/>
      <c r="LGC82" s="0"/>
      <c r="LGD82" s="0"/>
      <c r="LGE82" s="0"/>
      <c r="LGF82" s="0"/>
      <c r="LGG82" s="0"/>
      <c r="LGH82" s="0"/>
      <c r="LGI82" s="0"/>
      <c r="LGJ82" s="0"/>
      <c r="LGK82" s="0"/>
      <c r="LGL82" s="0"/>
      <c r="LGM82" s="0"/>
      <c r="LGN82" s="0"/>
      <c r="LGO82" s="0"/>
      <c r="LGP82" s="0"/>
      <c r="LGQ82" s="0"/>
      <c r="LGR82" s="0"/>
      <c r="LGS82" s="0"/>
      <c r="LGT82" s="0"/>
      <c r="LGU82" s="0"/>
      <c r="LGV82" s="0"/>
      <c r="LGW82" s="0"/>
      <c r="LGX82" s="0"/>
      <c r="LGY82" s="0"/>
      <c r="LGZ82" s="0"/>
      <c r="LHA82" s="0"/>
      <c r="LHB82" s="0"/>
      <c r="LHC82" s="0"/>
      <c r="LHD82" s="0"/>
      <c r="LHE82" s="0"/>
      <c r="LHF82" s="0"/>
      <c r="LHG82" s="0"/>
      <c r="LHH82" s="0"/>
      <c r="LHI82" s="0"/>
      <c r="LHJ82" s="0"/>
      <c r="LHK82" s="0"/>
      <c r="LHL82" s="0"/>
      <c r="LHM82" s="0"/>
      <c r="LHN82" s="0"/>
      <c r="LHO82" s="0"/>
      <c r="LHP82" s="0"/>
      <c r="LHQ82" s="0"/>
      <c r="LHR82" s="0"/>
      <c r="LHS82" s="0"/>
      <c r="LHT82" s="0"/>
      <c r="LHU82" s="0"/>
      <c r="LHV82" s="0"/>
      <c r="LHW82" s="0"/>
      <c r="LHX82" s="0"/>
      <c r="LHY82" s="0"/>
      <c r="LHZ82" s="0"/>
      <c r="LIA82" s="0"/>
      <c r="LIB82" s="0"/>
      <c r="LIC82" s="0"/>
      <c r="LID82" s="0"/>
      <c r="LIE82" s="0"/>
      <c r="LIF82" s="0"/>
      <c r="LIG82" s="0"/>
      <c r="LIH82" s="0"/>
      <c r="LII82" s="0"/>
      <c r="LIJ82" s="0"/>
      <c r="LIK82" s="0"/>
      <c r="LIL82" s="0"/>
      <c r="LIM82" s="0"/>
      <c r="LIN82" s="0"/>
      <c r="LIO82" s="0"/>
      <c r="LIP82" s="0"/>
      <c r="LIQ82" s="0"/>
      <c r="LIR82" s="0"/>
      <c r="LIS82" s="0"/>
      <c r="LIT82" s="0"/>
      <c r="LIU82" s="0"/>
      <c r="LIV82" s="0"/>
      <c r="LIW82" s="0"/>
      <c r="LIX82" s="0"/>
      <c r="LIY82" s="0"/>
      <c r="LIZ82" s="0"/>
      <c r="LJA82" s="0"/>
      <c r="LJB82" s="0"/>
      <c r="LJC82" s="0"/>
      <c r="LJD82" s="0"/>
      <c r="LJE82" s="0"/>
      <c r="LJF82" s="0"/>
      <c r="LJG82" s="0"/>
      <c r="LJH82" s="0"/>
      <c r="LJI82" s="0"/>
      <c r="LJJ82" s="0"/>
      <c r="LJK82" s="0"/>
      <c r="LJL82" s="0"/>
      <c r="LJM82" s="0"/>
      <c r="LJN82" s="0"/>
      <c r="LJO82" s="0"/>
      <c r="LJP82" s="0"/>
      <c r="LJQ82" s="0"/>
      <c r="LJR82" s="0"/>
      <c r="LJS82" s="0"/>
      <c r="LJT82" s="0"/>
      <c r="LJU82" s="0"/>
      <c r="LJV82" s="0"/>
      <c r="LJW82" s="0"/>
      <c r="LJX82" s="0"/>
      <c r="LJY82" s="0"/>
      <c r="LJZ82" s="0"/>
      <c r="LKA82" s="0"/>
      <c r="LKB82" s="0"/>
      <c r="LKC82" s="0"/>
      <c r="LKD82" s="0"/>
      <c r="LKE82" s="0"/>
      <c r="LKF82" s="0"/>
      <c r="LKG82" s="0"/>
      <c r="LKH82" s="0"/>
      <c r="LKI82" s="0"/>
      <c r="LKJ82" s="0"/>
      <c r="LKK82" s="0"/>
      <c r="LKL82" s="0"/>
      <c r="LKM82" s="0"/>
      <c r="LKN82" s="0"/>
      <c r="LKO82" s="0"/>
      <c r="LKP82" s="0"/>
      <c r="LKQ82" s="0"/>
      <c r="LKR82" s="0"/>
      <c r="LKS82" s="0"/>
      <c r="LKT82" s="0"/>
      <c r="LKU82" s="0"/>
      <c r="LKV82" s="0"/>
      <c r="LKW82" s="0"/>
      <c r="LKX82" s="0"/>
      <c r="LKY82" s="0"/>
      <c r="LKZ82" s="0"/>
      <c r="LLA82" s="0"/>
      <c r="LLB82" s="0"/>
      <c r="LLC82" s="0"/>
      <c r="LLD82" s="0"/>
      <c r="LLE82" s="0"/>
      <c r="LLF82" s="0"/>
      <c r="LLG82" s="0"/>
      <c r="LLH82" s="0"/>
      <c r="LLI82" s="0"/>
      <c r="LLJ82" s="0"/>
      <c r="LLK82" s="0"/>
      <c r="LLL82" s="0"/>
      <c r="LLM82" s="0"/>
      <c r="LLN82" s="0"/>
      <c r="LLO82" s="0"/>
      <c r="LLP82" s="0"/>
      <c r="LLQ82" s="0"/>
      <c r="LLR82" s="0"/>
      <c r="LLS82" s="0"/>
      <c r="LLT82" s="0"/>
      <c r="LLU82" s="0"/>
      <c r="LLV82" s="0"/>
      <c r="LLW82" s="0"/>
      <c r="LLX82" s="0"/>
      <c r="LLY82" s="0"/>
      <c r="LLZ82" s="0"/>
      <c r="LMA82" s="0"/>
      <c r="LMB82" s="0"/>
      <c r="LMC82" s="0"/>
      <c r="LMD82" s="0"/>
      <c r="LME82" s="0"/>
      <c r="LMF82" s="0"/>
      <c r="LMG82" s="0"/>
      <c r="LMH82" s="0"/>
      <c r="LMI82" s="0"/>
      <c r="LMJ82" s="0"/>
      <c r="LMK82" s="0"/>
      <c r="LML82" s="0"/>
      <c r="LMM82" s="0"/>
      <c r="LMN82" s="0"/>
      <c r="LMO82" s="0"/>
      <c r="LMP82" s="0"/>
      <c r="LMQ82" s="0"/>
      <c r="LMR82" s="0"/>
      <c r="LMS82" s="0"/>
      <c r="LMT82" s="0"/>
      <c r="LMU82" s="0"/>
      <c r="LMV82" s="0"/>
      <c r="LMW82" s="0"/>
      <c r="LMX82" s="0"/>
      <c r="LMY82" s="0"/>
      <c r="LMZ82" s="0"/>
      <c r="LNA82" s="0"/>
      <c r="LNB82" s="0"/>
      <c r="LNC82" s="0"/>
      <c r="LND82" s="0"/>
      <c r="LNE82" s="0"/>
      <c r="LNF82" s="0"/>
      <c r="LNG82" s="0"/>
      <c r="LNH82" s="0"/>
      <c r="LNI82" s="0"/>
      <c r="LNJ82" s="0"/>
      <c r="LNK82" s="0"/>
      <c r="LNL82" s="0"/>
      <c r="LNM82" s="0"/>
      <c r="LNN82" s="0"/>
      <c r="LNO82" s="0"/>
      <c r="LNP82" s="0"/>
      <c r="LNQ82" s="0"/>
      <c r="LNR82" s="0"/>
      <c r="LNS82" s="0"/>
      <c r="LNT82" s="0"/>
      <c r="LNU82" s="0"/>
      <c r="LNV82" s="0"/>
      <c r="LNW82" s="0"/>
      <c r="LNX82" s="0"/>
      <c r="LNY82" s="0"/>
      <c r="LNZ82" s="0"/>
      <c r="LOA82" s="0"/>
      <c r="LOB82" s="0"/>
      <c r="LOC82" s="0"/>
      <c r="LOD82" s="0"/>
      <c r="LOE82" s="0"/>
      <c r="LOF82" s="0"/>
      <c r="LOG82" s="0"/>
      <c r="LOH82" s="0"/>
      <c r="LOI82" s="0"/>
      <c r="LOJ82" s="0"/>
      <c r="LOK82" s="0"/>
      <c r="LOL82" s="0"/>
      <c r="LOM82" s="0"/>
      <c r="LON82" s="0"/>
      <c r="LOO82" s="0"/>
      <c r="LOP82" s="0"/>
      <c r="LOQ82" s="0"/>
      <c r="LOR82" s="0"/>
      <c r="LOS82" s="0"/>
      <c r="LOT82" s="0"/>
      <c r="LOU82" s="0"/>
      <c r="LOV82" s="0"/>
      <c r="LOW82" s="0"/>
      <c r="LOX82" s="0"/>
      <c r="LOY82" s="0"/>
      <c r="LOZ82" s="0"/>
      <c r="LPA82" s="0"/>
      <c r="LPB82" s="0"/>
      <c r="LPC82" s="0"/>
      <c r="LPD82" s="0"/>
      <c r="LPE82" s="0"/>
      <c r="LPF82" s="0"/>
      <c r="LPG82" s="0"/>
      <c r="LPH82" s="0"/>
      <c r="LPI82" s="0"/>
      <c r="LPJ82" s="0"/>
      <c r="LPK82" s="0"/>
      <c r="LPL82" s="0"/>
      <c r="LPM82" s="0"/>
      <c r="LPN82" s="0"/>
      <c r="LPO82" s="0"/>
      <c r="LPP82" s="0"/>
      <c r="LPQ82" s="0"/>
      <c r="LPR82" s="0"/>
      <c r="LPS82" s="0"/>
      <c r="LPT82" s="0"/>
      <c r="LPU82" s="0"/>
      <c r="LPV82" s="0"/>
      <c r="LPW82" s="0"/>
      <c r="LPX82" s="0"/>
      <c r="LPY82" s="0"/>
      <c r="LPZ82" s="0"/>
      <c r="LQA82" s="0"/>
      <c r="LQB82" s="0"/>
      <c r="LQC82" s="0"/>
      <c r="LQD82" s="0"/>
      <c r="LQE82" s="0"/>
      <c r="LQF82" s="0"/>
      <c r="LQG82" s="0"/>
      <c r="LQH82" s="0"/>
      <c r="LQI82" s="0"/>
      <c r="LQJ82" s="0"/>
      <c r="LQK82" s="0"/>
      <c r="LQL82" s="0"/>
      <c r="LQM82" s="0"/>
      <c r="LQN82" s="0"/>
      <c r="LQO82" s="0"/>
      <c r="LQP82" s="0"/>
      <c r="LQQ82" s="0"/>
      <c r="LQR82" s="0"/>
      <c r="LQS82" s="0"/>
      <c r="LQT82" s="0"/>
      <c r="LQU82" s="0"/>
      <c r="LQV82" s="0"/>
      <c r="LQW82" s="0"/>
      <c r="LQX82" s="0"/>
      <c r="LQY82" s="0"/>
      <c r="LQZ82" s="0"/>
      <c r="LRA82" s="0"/>
      <c r="LRB82" s="0"/>
      <c r="LRC82" s="0"/>
      <c r="LRD82" s="0"/>
      <c r="LRE82" s="0"/>
      <c r="LRF82" s="0"/>
      <c r="LRG82" s="0"/>
      <c r="LRH82" s="0"/>
      <c r="LRI82" s="0"/>
      <c r="LRJ82" s="0"/>
      <c r="LRK82" s="0"/>
      <c r="LRL82" s="0"/>
      <c r="LRM82" s="0"/>
      <c r="LRN82" s="0"/>
      <c r="LRO82" s="0"/>
      <c r="LRP82" s="0"/>
      <c r="LRQ82" s="0"/>
      <c r="LRR82" s="0"/>
      <c r="LRS82" s="0"/>
      <c r="LRT82" s="0"/>
      <c r="LRU82" s="0"/>
      <c r="LRV82" s="0"/>
      <c r="LRW82" s="0"/>
      <c r="LRX82" s="0"/>
      <c r="LRY82" s="0"/>
      <c r="LRZ82" s="0"/>
      <c r="LSA82" s="0"/>
      <c r="LSB82" s="0"/>
      <c r="LSC82" s="0"/>
      <c r="LSD82" s="0"/>
      <c r="LSE82" s="0"/>
      <c r="LSF82" s="0"/>
      <c r="LSG82" s="0"/>
      <c r="LSH82" s="0"/>
      <c r="LSI82" s="0"/>
      <c r="LSJ82" s="0"/>
      <c r="LSK82" s="0"/>
      <c r="LSL82" s="0"/>
      <c r="LSM82" s="0"/>
      <c r="LSN82" s="0"/>
      <c r="LSO82" s="0"/>
      <c r="LSP82" s="0"/>
      <c r="LSQ82" s="0"/>
      <c r="LSR82" s="0"/>
      <c r="LSS82" s="0"/>
      <c r="LST82" s="0"/>
      <c r="LSU82" s="0"/>
      <c r="LSV82" s="0"/>
      <c r="LSW82" s="0"/>
      <c r="LSX82" s="0"/>
      <c r="LSY82" s="0"/>
      <c r="LSZ82" s="0"/>
      <c r="LTA82" s="0"/>
      <c r="LTB82" s="0"/>
      <c r="LTC82" s="0"/>
      <c r="LTD82" s="0"/>
      <c r="LTE82" s="0"/>
      <c r="LTF82" s="0"/>
      <c r="LTG82" s="0"/>
      <c r="LTH82" s="0"/>
      <c r="LTI82" s="0"/>
      <c r="LTJ82" s="0"/>
      <c r="LTK82" s="0"/>
      <c r="LTL82" s="0"/>
      <c r="LTM82" s="0"/>
      <c r="LTN82" s="0"/>
      <c r="LTO82" s="0"/>
      <c r="LTP82" s="0"/>
      <c r="LTQ82" s="0"/>
      <c r="LTR82" s="0"/>
      <c r="LTS82" s="0"/>
      <c r="LTT82" s="0"/>
      <c r="LTU82" s="0"/>
      <c r="LTV82" s="0"/>
      <c r="LTW82" s="0"/>
      <c r="LTX82" s="0"/>
      <c r="LTY82" s="0"/>
      <c r="LTZ82" s="0"/>
      <c r="LUA82" s="0"/>
      <c r="LUB82" s="0"/>
      <c r="LUC82" s="0"/>
      <c r="LUD82" s="0"/>
      <c r="LUE82" s="0"/>
      <c r="LUF82" s="0"/>
      <c r="LUG82" s="0"/>
      <c r="LUH82" s="0"/>
      <c r="LUI82" s="0"/>
      <c r="LUJ82" s="0"/>
      <c r="LUK82" s="0"/>
      <c r="LUL82" s="0"/>
      <c r="LUM82" s="0"/>
      <c r="LUN82" s="0"/>
      <c r="LUO82" s="0"/>
      <c r="LUP82" s="0"/>
      <c r="LUQ82" s="0"/>
      <c r="LUR82" s="0"/>
      <c r="LUS82" s="0"/>
      <c r="LUT82" s="0"/>
      <c r="LUU82" s="0"/>
      <c r="LUV82" s="0"/>
      <c r="LUW82" s="0"/>
      <c r="LUX82" s="0"/>
      <c r="LUY82" s="0"/>
      <c r="LUZ82" s="0"/>
      <c r="LVA82" s="0"/>
      <c r="LVB82" s="0"/>
      <c r="LVC82" s="0"/>
      <c r="LVD82" s="0"/>
      <c r="LVE82" s="0"/>
      <c r="LVF82" s="0"/>
      <c r="LVG82" s="0"/>
      <c r="LVH82" s="0"/>
      <c r="LVI82" s="0"/>
      <c r="LVJ82" s="0"/>
      <c r="LVK82" s="0"/>
      <c r="LVL82" s="0"/>
      <c r="LVM82" s="0"/>
      <c r="LVN82" s="0"/>
      <c r="LVO82" s="0"/>
      <c r="LVP82" s="0"/>
      <c r="LVQ82" s="0"/>
      <c r="LVR82" s="0"/>
      <c r="LVS82" s="0"/>
      <c r="LVT82" s="0"/>
      <c r="LVU82" s="0"/>
      <c r="LVV82" s="0"/>
      <c r="LVW82" s="0"/>
      <c r="LVX82" s="0"/>
      <c r="LVY82" s="0"/>
      <c r="LVZ82" s="0"/>
      <c r="LWA82" s="0"/>
      <c r="LWB82" s="0"/>
      <c r="LWC82" s="0"/>
      <c r="LWD82" s="0"/>
      <c r="LWE82" s="0"/>
      <c r="LWF82" s="0"/>
      <c r="LWG82" s="0"/>
      <c r="LWH82" s="0"/>
      <c r="LWI82" s="0"/>
      <c r="LWJ82" s="0"/>
      <c r="LWK82" s="0"/>
      <c r="LWL82" s="0"/>
      <c r="LWM82" s="0"/>
      <c r="LWN82" s="0"/>
      <c r="LWO82" s="0"/>
      <c r="LWP82" s="0"/>
      <c r="LWQ82" s="0"/>
      <c r="LWR82" s="0"/>
      <c r="LWS82" s="0"/>
      <c r="LWT82" s="0"/>
      <c r="LWU82" s="0"/>
      <c r="LWV82" s="0"/>
      <c r="LWW82" s="0"/>
      <c r="LWX82" s="0"/>
      <c r="LWY82" s="0"/>
      <c r="LWZ82" s="0"/>
      <c r="LXA82" s="0"/>
      <c r="LXB82" s="0"/>
      <c r="LXC82" s="0"/>
      <c r="LXD82" s="0"/>
      <c r="LXE82" s="0"/>
      <c r="LXF82" s="0"/>
      <c r="LXG82" s="0"/>
      <c r="LXH82" s="0"/>
      <c r="LXI82" s="0"/>
      <c r="LXJ82" s="0"/>
      <c r="LXK82" s="0"/>
      <c r="LXL82" s="0"/>
      <c r="LXM82" s="0"/>
      <c r="LXN82" s="0"/>
      <c r="LXO82" s="0"/>
      <c r="LXP82" s="0"/>
      <c r="LXQ82" s="0"/>
      <c r="LXR82" s="0"/>
      <c r="LXS82" s="0"/>
      <c r="LXT82" s="0"/>
      <c r="LXU82" s="0"/>
      <c r="LXV82" s="0"/>
      <c r="LXW82" s="0"/>
      <c r="LXX82" s="0"/>
      <c r="LXY82" s="0"/>
      <c r="LXZ82" s="0"/>
      <c r="LYA82" s="0"/>
      <c r="LYB82" s="0"/>
      <c r="LYC82" s="0"/>
      <c r="LYD82" s="0"/>
      <c r="LYE82" s="0"/>
      <c r="LYF82" s="0"/>
      <c r="LYG82" s="0"/>
      <c r="LYH82" s="0"/>
      <c r="LYI82" s="0"/>
      <c r="LYJ82" s="0"/>
      <c r="LYK82" s="0"/>
      <c r="LYL82" s="0"/>
      <c r="LYM82" s="0"/>
      <c r="LYN82" s="0"/>
      <c r="LYO82" s="0"/>
      <c r="LYP82" s="0"/>
      <c r="LYQ82" s="0"/>
      <c r="LYR82" s="0"/>
      <c r="LYS82" s="0"/>
      <c r="LYT82" s="0"/>
      <c r="LYU82" s="0"/>
      <c r="LYV82" s="0"/>
      <c r="LYW82" s="0"/>
      <c r="LYX82" s="0"/>
      <c r="LYY82" s="0"/>
      <c r="LYZ82" s="0"/>
      <c r="LZA82" s="0"/>
      <c r="LZB82" s="0"/>
      <c r="LZC82" s="0"/>
      <c r="LZD82" s="0"/>
      <c r="LZE82" s="0"/>
      <c r="LZF82" s="0"/>
      <c r="LZG82" s="0"/>
      <c r="LZH82" s="0"/>
      <c r="LZI82" s="0"/>
      <c r="LZJ82" s="0"/>
      <c r="LZK82" s="0"/>
      <c r="LZL82" s="0"/>
      <c r="LZM82" s="0"/>
      <c r="LZN82" s="0"/>
      <c r="LZO82" s="0"/>
      <c r="LZP82" s="0"/>
      <c r="LZQ82" s="0"/>
      <c r="LZR82" s="0"/>
      <c r="LZS82" s="0"/>
      <c r="LZT82" s="0"/>
      <c r="LZU82" s="0"/>
      <c r="LZV82" s="0"/>
      <c r="LZW82" s="0"/>
      <c r="LZX82" s="0"/>
      <c r="LZY82" s="0"/>
      <c r="LZZ82" s="0"/>
      <c r="MAA82" s="0"/>
      <c r="MAB82" s="0"/>
      <c r="MAC82" s="0"/>
      <c r="MAD82" s="0"/>
      <c r="MAE82" s="0"/>
      <c r="MAF82" s="0"/>
      <c r="MAG82" s="0"/>
      <c r="MAH82" s="0"/>
      <c r="MAI82" s="0"/>
      <c r="MAJ82" s="0"/>
      <c r="MAK82" s="0"/>
      <c r="MAL82" s="0"/>
      <c r="MAM82" s="0"/>
      <c r="MAN82" s="0"/>
      <c r="MAO82" s="0"/>
      <c r="MAP82" s="0"/>
      <c r="MAQ82" s="0"/>
      <c r="MAR82" s="0"/>
      <c r="MAS82" s="0"/>
      <c r="MAT82" s="0"/>
      <c r="MAU82" s="0"/>
      <c r="MAV82" s="0"/>
      <c r="MAW82" s="0"/>
      <c r="MAX82" s="0"/>
      <c r="MAY82" s="0"/>
      <c r="MAZ82" s="0"/>
      <c r="MBA82" s="0"/>
      <c r="MBB82" s="0"/>
      <c r="MBC82" s="0"/>
      <c r="MBD82" s="0"/>
      <c r="MBE82" s="0"/>
      <c r="MBF82" s="0"/>
      <c r="MBG82" s="0"/>
      <c r="MBH82" s="0"/>
      <c r="MBI82" s="0"/>
      <c r="MBJ82" s="0"/>
      <c r="MBK82" s="0"/>
      <c r="MBL82" s="0"/>
      <c r="MBM82" s="0"/>
      <c r="MBN82" s="0"/>
      <c r="MBO82" s="0"/>
      <c r="MBP82" s="0"/>
      <c r="MBQ82" s="0"/>
      <c r="MBR82" s="0"/>
      <c r="MBS82" s="0"/>
      <c r="MBT82" s="0"/>
      <c r="MBU82" s="0"/>
      <c r="MBV82" s="0"/>
      <c r="MBW82" s="0"/>
      <c r="MBX82" s="0"/>
      <c r="MBY82" s="0"/>
      <c r="MBZ82" s="0"/>
      <c r="MCA82" s="0"/>
      <c r="MCB82" s="0"/>
      <c r="MCC82" s="0"/>
      <c r="MCD82" s="0"/>
      <c r="MCE82" s="0"/>
      <c r="MCF82" s="0"/>
      <c r="MCG82" s="0"/>
      <c r="MCH82" s="0"/>
      <c r="MCI82" s="0"/>
      <c r="MCJ82" s="0"/>
      <c r="MCK82" s="0"/>
      <c r="MCL82" s="0"/>
      <c r="MCM82" s="0"/>
      <c r="MCN82" s="0"/>
      <c r="MCO82" s="0"/>
      <c r="MCP82" s="0"/>
      <c r="MCQ82" s="0"/>
      <c r="MCR82" s="0"/>
      <c r="MCS82" s="0"/>
      <c r="MCT82" s="0"/>
      <c r="MCU82" s="0"/>
      <c r="MCV82" s="0"/>
      <c r="MCW82" s="0"/>
      <c r="MCX82" s="0"/>
      <c r="MCY82" s="0"/>
      <c r="MCZ82" s="0"/>
      <c r="MDA82" s="0"/>
      <c r="MDB82" s="0"/>
      <c r="MDC82" s="0"/>
      <c r="MDD82" s="0"/>
      <c r="MDE82" s="0"/>
      <c r="MDF82" s="0"/>
      <c r="MDG82" s="0"/>
      <c r="MDH82" s="0"/>
      <c r="MDI82" s="0"/>
      <c r="MDJ82" s="0"/>
      <c r="MDK82" s="0"/>
      <c r="MDL82" s="0"/>
      <c r="MDM82" s="0"/>
      <c r="MDN82" s="0"/>
      <c r="MDO82" s="0"/>
      <c r="MDP82" s="0"/>
      <c r="MDQ82" s="0"/>
      <c r="MDR82" s="0"/>
      <c r="MDS82" s="0"/>
      <c r="MDT82" s="0"/>
      <c r="MDU82" s="0"/>
      <c r="MDV82" s="0"/>
      <c r="MDW82" s="0"/>
      <c r="MDX82" s="0"/>
      <c r="MDY82" s="0"/>
      <c r="MDZ82" s="0"/>
      <c r="MEA82" s="0"/>
      <c r="MEB82" s="0"/>
      <c r="MEC82" s="0"/>
      <c r="MED82" s="0"/>
      <c r="MEE82" s="0"/>
      <c r="MEF82" s="0"/>
      <c r="MEG82" s="0"/>
      <c r="MEH82" s="0"/>
      <c r="MEI82" s="0"/>
      <c r="MEJ82" s="0"/>
      <c r="MEK82" s="0"/>
      <c r="MEL82" s="0"/>
      <c r="MEM82" s="0"/>
      <c r="MEN82" s="0"/>
      <c r="MEO82" s="0"/>
      <c r="MEP82" s="0"/>
      <c r="MEQ82" s="0"/>
      <c r="MER82" s="0"/>
      <c r="MES82" s="0"/>
      <c r="MET82" s="0"/>
      <c r="MEU82" s="0"/>
      <c r="MEV82" s="0"/>
      <c r="MEW82" s="0"/>
      <c r="MEX82" s="0"/>
      <c r="MEY82" s="0"/>
      <c r="MEZ82" s="0"/>
      <c r="MFA82" s="0"/>
      <c r="MFB82" s="0"/>
      <c r="MFC82" s="0"/>
      <c r="MFD82" s="0"/>
      <c r="MFE82" s="0"/>
      <c r="MFF82" s="0"/>
      <c r="MFG82" s="0"/>
      <c r="MFH82" s="0"/>
      <c r="MFI82" s="0"/>
      <c r="MFJ82" s="0"/>
      <c r="MFK82" s="0"/>
      <c r="MFL82" s="0"/>
      <c r="MFM82" s="0"/>
      <c r="MFN82" s="0"/>
      <c r="MFO82" s="0"/>
      <c r="MFP82" s="0"/>
      <c r="MFQ82" s="0"/>
      <c r="MFR82" s="0"/>
      <c r="MFS82" s="0"/>
      <c r="MFT82" s="0"/>
      <c r="MFU82" s="0"/>
      <c r="MFV82" s="0"/>
      <c r="MFW82" s="0"/>
      <c r="MFX82" s="0"/>
      <c r="MFY82" s="0"/>
      <c r="MFZ82" s="0"/>
      <c r="MGA82" s="0"/>
      <c r="MGB82" s="0"/>
      <c r="MGC82" s="0"/>
      <c r="MGD82" s="0"/>
      <c r="MGE82" s="0"/>
      <c r="MGF82" s="0"/>
      <c r="MGG82" s="0"/>
      <c r="MGH82" s="0"/>
      <c r="MGI82" s="0"/>
      <c r="MGJ82" s="0"/>
      <c r="MGK82" s="0"/>
      <c r="MGL82" s="0"/>
      <c r="MGM82" s="0"/>
      <c r="MGN82" s="0"/>
      <c r="MGO82" s="0"/>
      <c r="MGP82" s="0"/>
      <c r="MGQ82" s="0"/>
      <c r="MGR82" s="0"/>
      <c r="MGS82" s="0"/>
      <c r="MGT82" s="0"/>
      <c r="MGU82" s="0"/>
      <c r="MGV82" s="0"/>
      <c r="MGW82" s="0"/>
      <c r="MGX82" s="0"/>
      <c r="MGY82" s="0"/>
      <c r="MGZ82" s="0"/>
      <c r="MHA82" s="0"/>
      <c r="MHB82" s="0"/>
      <c r="MHC82" s="0"/>
      <c r="MHD82" s="0"/>
      <c r="MHE82" s="0"/>
      <c r="MHF82" s="0"/>
      <c r="MHG82" s="0"/>
      <c r="MHH82" s="0"/>
      <c r="MHI82" s="0"/>
      <c r="MHJ82" s="0"/>
      <c r="MHK82" s="0"/>
      <c r="MHL82" s="0"/>
      <c r="MHM82" s="0"/>
      <c r="MHN82" s="0"/>
      <c r="MHO82" s="0"/>
      <c r="MHP82" s="0"/>
      <c r="MHQ82" s="0"/>
      <c r="MHR82" s="0"/>
      <c r="MHS82" s="0"/>
      <c r="MHT82" s="0"/>
      <c r="MHU82" s="0"/>
      <c r="MHV82" s="0"/>
      <c r="MHW82" s="0"/>
      <c r="MHX82" s="0"/>
      <c r="MHY82" s="0"/>
      <c r="MHZ82" s="0"/>
      <c r="MIA82" s="0"/>
      <c r="MIB82" s="0"/>
      <c r="MIC82" s="0"/>
      <c r="MID82" s="0"/>
      <c r="MIE82" s="0"/>
      <c r="MIF82" s="0"/>
      <c r="MIG82" s="0"/>
      <c r="MIH82" s="0"/>
      <c r="MII82" s="0"/>
      <c r="MIJ82" s="0"/>
      <c r="MIK82" s="0"/>
      <c r="MIL82" s="0"/>
      <c r="MIM82" s="0"/>
      <c r="MIN82" s="0"/>
      <c r="MIO82" s="0"/>
      <c r="MIP82" s="0"/>
      <c r="MIQ82" s="0"/>
      <c r="MIR82" s="0"/>
      <c r="MIS82" s="0"/>
      <c r="MIT82" s="0"/>
      <c r="MIU82" s="0"/>
      <c r="MIV82" s="0"/>
      <c r="MIW82" s="0"/>
      <c r="MIX82" s="0"/>
      <c r="MIY82" s="0"/>
      <c r="MIZ82" s="0"/>
      <c r="MJA82" s="0"/>
      <c r="MJB82" s="0"/>
      <c r="MJC82" s="0"/>
      <c r="MJD82" s="0"/>
      <c r="MJE82" s="0"/>
      <c r="MJF82" s="0"/>
      <c r="MJG82" s="0"/>
      <c r="MJH82" s="0"/>
      <c r="MJI82" s="0"/>
      <c r="MJJ82" s="0"/>
      <c r="MJK82" s="0"/>
      <c r="MJL82" s="0"/>
      <c r="MJM82" s="0"/>
      <c r="MJN82" s="0"/>
      <c r="MJO82" s="0"/>
      <c r="MJP82" s="0"/>
      <c r="MJQ82" s="0"/>
      <c r="MJR82" s="0"/>
      <c r="MJS82" s="0"/>
      <c r="MJT82" s="0"/>
      <c r="MJU82" s="0"/>
      <c r="MJV82" s="0"/>
      <c r="MJW82" s="0"/>
      <c r="MJX82" s="0"/>
      <c r="MJY82" s="0"/>
      <c r="MJZ82" s="0"/>
      <c r="MKA82" s="0"/>
      <c r="MKB82" s="0"/>
      <c r="MKC82" s="0"/>
      <c r="MKD82" s="0"/>
      <c r="MKE82" s="0"/>
      <c r="MKF82" s="0"/>
      <c r="MKG82" s="0"/>
      <c r="MKH82" s="0"/>
      <c r="MKI82" s="0"/>
      <c r="MKJ82" s="0"/>
      <c r="MKK82" s="0"/>
      <c r="MKL82" s="0"/>
      <c r="MKM82" s="0"/>
      <c r="MKN82" s="0"/>
      <c r="MKO82" s="0"/>
      <c r="MKP82" s="0"/>
      <c r="MKQ82" s="0"/>
      <c r="MKR82" s="0"/>
      <c r="MKS82" s="0"/>
      <c r="MKT82" s="0"/>
      <c r="MKU82" s="0"/>
      <c r="MKV82" s="0"/>
      <c r="MKW82" s="0"/>
      <c r="MKX82" s="0"/>
      <c r="MKY82" s="0"/>
      <c r="MKZ82" s="0"/>
      <c r="MLA82" s="0"/>
      <c r="MLB82" s="0"/>
      <c r="MLC82" s="0"/>
      <c r="MLD82" s="0"/>
      <c r="MLE82" s="0"/>
      <c r="MLF82" s="0"/>
      <c r="MLG82" s="0"/>
      <c r="MLH82" s="0"/>
      <c r="MLI82" s="0"/>
      <c r="MLJ82" s="0"/>
      <c r="MLK82" s="0"/>
      <c r="MLL82" s="0"/>
      <c r="MLM82" s="0"/>
      <c r="MLN82" s="0"/>
      <c r="MLO82" s="0"/>
      <c r="MLP82" s="0"/>
      <c r="MLQ82" s="0"/>
      <c r="MLR82" s="0"/>
      <c r="MLS82" s="0"/>
      <c r="MLT82" s="0"/>
      <c r="MLU82" s="0"/>
      <c r="MLV82" s="0"/>
      <c r="MLW82" s="0"/>
      <c r="MLX82" s="0"/>
      <c r="MLY82" s="0"/>
      <c r="MLZ82" s="0"/>
      <c r="MMA82" s="0"/>
      <c r="MMB82" s="0"/>
      <c r="MMC82" s="0"/>
      <c r="MMD82" s="0"/>
      <c r="MME82" s="0"/>
      <c r="MMF82" s="0"/>
      <c r="MMG82" s="0"/>
      <c r="MMH82" s="0"/>
      <c r="MMI82" s="0"/>
      <c r="MMJ82" s="0"/>
      <c r="MMK82" s="0"/>
      <c r="MML82" s="0"/>
      <c r="MMM82" s="0"/>
      <c r="MMN82" s="0"/>
      <c r="MMO82" s="0"/>
      <c r="MMP82" s="0"/>
      <c r="MMQ82" s="0"/>
      <c r="MMR82" s="0"/>
      <c r="MMS82" s="0"/>
      <c r="MMT82" s="0"/>
      <c r="MMU82" s="0"/>
      <c r="MMV82" s="0"/>
      <c r="MMW82" s="0"/>
      <c r="MMX82" s="0"/>
      <c r="MMY82" s="0"/>
      <c r="MMZ82" s="0"/>
      <c r="MNA82" s="0"/>
      <c r="MNB82" s="0"/>
      <c r="MNC82" s="0"/>
      <c r="MND82" s="0"/>
      <c r="MNE82" s="0"/>
      <c r="MNF82" s="0"/>
      <c r="MNG82" s="0"/>
      <c r="MNH82" s="0"/>
      <c r="MNI82" s="0"/>
      <c r="MNJ82" s="0"/>
      <c r="MNK82" s="0"/>
      <c r="MNL82" s="0"/>
      <c r="MNM82" s="0"/>
      <c r="MNN82" s="0"/>
      <c r="MNO82" s="0"/>
      <c r="MNP82" s="0"/>
      <c r="MNQ82" s="0"/>
      <c r="MNR82" s="0"/>
      <c r="MNS82" s="0"/>
      <c r="MNT82" s="0"/>
      <c r="MNU82" s="0"/>
      <c r="MNV82" s="0"/>
      <c r="MNW82" s="0"/>
      <c r="MNX82" s="0"/>
      <c r="MNY82" s="0"/>
      <c r="MNZ82" s="0"/>
      <c r="MOA82" s="0"/>
      <c r="MOB82" s="0"/>
      <c r="MOC82" s="0"/>
      <c r="MOD82" s="0"/>
      <c r="MOE82" s="0"/>
      <c r="MOF82" s="0"/>
      <c r="MOG82" s="0"/>
      <c r="MOH82" s="0"/>
      <c r="MOI82" s="0"/>
      <c r="MOJ82" s="0"/>
      <c r="MOK82" s="0"/>
      <c r="MOL82" s="0"/>
      <c r="MOM82" s="0"/>
      <c r="MON82" s="0"/>
      <c r="MOO82" s="0"/>
      <c r="MOP82" s="0"/>
      <c r="MOQ82" s="0"/>
      <c r="MOR82" s="0"/>
      <c r="MOS82" s="0"/>
      <c r="MOT82" s="0"/>
      <c r="MOU82" s="0"/>
      <c r="MOV82" s="0"/>
      <c r="MOW82" s="0"/>
      <c r="MOX82" s="0"/>
      <c r="MOY82" s="0"/>
      <c r="MOZ82" s="0"/>
      <c r="MPA82" s="0"/>
      <c r="MPB82" s="0"/>
      <c r="MPC82" s="0"/>
      <c r="MPD82" s="0"/>
      <c r="MPE82" s="0"/>
      <c r="MPF82" s="0"/>
      <c r="MPG82" s="0"/>
      <c r="MPH82" s="0"/>
      <c r="MPI82" s="0"/>
      <c r="MPJ82" s="0"/>
      <c r="MPK82" s="0"/>
      <c r="MPL82" s="0"/>
      <c r="MPM82" s="0"/>
      <c r="MPN82" s="0"/>
      <c r="MPO82" s="0"/>
      <c r="MPP82" s="0"/>
      <c r="MPQ82" s="0"/>
      <c r="MPR82" s="0"/>
      <c r="MPS82" s="0"/>
      <c r="MPT82" s="0"/>
      <c r="MPU82" s="0"/>
      <c r="MPV82" s="0"/>
      <c r="MPW82" s="0"/>
      <c r="MPX82" s="0"/>
      <c r="MPY82" s="0"/>
      <c r="MPZ82" s="0"/>
      <c r="MQA82" s="0"/>
      <c r="MQB82" s="0"/>
      <c r="MQC82" s="0"/>
      <c r="MQD82" s="0"/>
      <c r="MQE82" s="0"/>
      <c r="MQF82" s="0"/>
      <c r="MQG82" s="0"/>
      <c r="MQH82" s="0"/>
      <c r="MQI82" s="0"/>
      <c r="MQJ82" s="0"/>
      <c r="MQK82" s="0"/>
      <c r="MQL82" s="0"/>
      <c r="MQM82" s="0"/>
      <c r="MQN82" s="0"/>
      <c r="MQO82" s="0"/>
      <c r="MQP82" s="0"/>
      <c r="MQQ82" s="0"/>
      <c r="MQR82" s="0"/>
      <c r="MQS82" s="0"/>
      <c r="MQT82" s="0"/>
      <c r="MQU82" s="0"/>
      <c r="MQV82" s="0"/>
      <c r="MQW82" s="0"/>
      <c r="MQX82" s="0"/>
      <c r="MQY82" s="0"/>
      <c r="MQZ82" s="0"/>
      <c r="MRA82" s="0"/>
      <c r="MRB82" s="0"/>
      <c r="MRC82" s="0"/>
      <c r="MRD82" s="0"/>
      <c r="MRE82" s="0"/>
      <c r="MRF82" s="0"/>
      <c r="MRG82" s="0"/>
      <c r="MRH82" s="0"/>
      <c r="MRI82" s="0"/>
      <c r="MRJ82" s="0"/>
      <c r="MRK82" s="0"/>
      <c r="MRL82" s="0"/>
      <c r="MRM82" s="0"/>
      <c r="MRN82" s="0"/>
      <c r="MRO82" s="0"/>
      <c r="MRP82" s="0"/>
      <c r="MRQ82" s="0"/>
      <c r="MRR82" s="0"/>
      <c r="MRS82" s="0"/>
      <c r="MRT82" s="0"/>
      <c r="MRU82" s="0"/>
      <c r="MRV82" s="0"/>
      <c r="MRW82" s="0"/>
      <c r="MRX82" s="0"/>
      <c r="MRY82" s="0"/>
      <c r="MRZ82" s="0"/>
      <c r="MSA82" s="0"/>
      <c r="MSB82" s="0"/>
      <c r="MSC82" s="0"/>
      <c r="MSD82" s="0"/>
      <c r="MSE82" s="0"/>
      <c r="MSF82" s="0"/>
      <c r="MSG82" s="0"/>
      <c r="MSH82" s="0"/>
      <c r="MSI82" s="0"/>
      <c r="MSJ82" s="0"/>
      <c r="MSK82" s="0"/>
      <c r="MSL82" s="0"/>
      <c r="MSM82" s="0"/>
      <c r="MSN82" s="0"/>
      <c r="MSO82" s="0"/>
      <c r="MSP82" s="0"/>
      <c r="MSQ82" s="0"/>
      <c r="MSR82" s="0"/>
      <c r="MSS82" s="0"/>
      <c r="MST82" s="0"/>
      <c r="MSU82" s="0"/>
      <c r="MSV82" s="0"/>
      <c r="MSW82" s="0"/>
      <c r="MSX82" s="0"/>
      <c r="MSY82" s="0"/>
      <c r="MSZ82" s="0"/>
      <c r="MTA82" s="0"/>
      <c r="MTB82" s="0"/>
      <c r="MTC82" s="0"/>
      <c r="MTD82" s="0"/>
      <c r="MTE82" s="0"/>
      <c r="MTF82" s="0"/>
      <c r="MTG82" s="0"/>
      <c r="MTH82" s="0"/>
      <c r="MTI82" s="0"/>
      <c r="MTJ82" s="0"/>
      <c r="MTK82" s="0"/>
      <c r="MTL82" s="0"/>
      <c r="MTM82" s="0"/>
      <c r="MTN82" s="0"/>
      <c r="MTO82" s="0"/>
      <c r="MTP82" s="0"/>
      <c r="MTQ82" s="0"/>
      <c r="MTR82" s="0"/>
      <c r="MTS82" s="0"/>
      <c r="MTT82" s="0"/>
      <c r="MTU82" s="0"/>
      <c r="MTV82" s="0"/>
      <c r="MTW82" s="0"/>
      <c r="MTX82" s="0"/>
      <c r="MTY82" s="0"/>
      <c r="MTZ82" s="0"/>
      <c r="MUA82" s="0"/>
      <c r="MUB82" s="0"/>
      <c r="MUC82" s="0"/>
      <c r="MUD82" s="0"/>
      <c r="MUE82" s="0"/>
      <c r="MUF82" s="0"/>
      <c r="MUG82" s="0"/>
      <c r="MUH82" s="0"/>
      <c r="MUI82" s="0"/>
      <c r="MUJ82" s="0"/>
      <c r="MUK82" s="0"/>
      <c r="MUL82" s="0"/>
      <c r="MUM82" s="0"/>
      <c r="MUN82" s="0"/>
      <c r="MUO82" s="0"/>
      <c r="MUP82" s="0"/>
      <c r="MUQ82" s="0"/>
      <c r="MUR82" s="0"/>
      <c r="MUS82" s="0"/>
      <c r="MUT82" s="0"/>
      <c r="MUU82" s="0"/>
      <c r="MUV82" s="0"/>
      <c r="MUW82" s="0"/>
      <c r="MUX82" s="0"/>
      <c r="MUY82" s="0"/>
      <c r="MUZ82" s="0"/>
      <c r="MVA82" s="0"/>
      <c r="MVB82" s="0"/>
      <c r="MVC82" s="0"/>
      <c r="MVD82" s="0"/>
      <c r="MVE82" s="0"/>
      <c r="MVF82" s="0"/>
      <c r="MVG82" s="0"/>
      <c r="MVH82" s="0"/>
      <c r="MVI82" s="0"/>
      <c r="MVJ82" s="0"/>
      <c r="MVK82" s="0"/>
      <c r="MVL82" s="0"/>
      <c r="MVM82" s="0"/>
      <c r="MVN82" s="0"/>
      <c r="MVO82" s="0"/>
      <c r="MVP82" s="0"/>
      <c r="MVQ82" s="0"/>
      <c r="MVR82" s="0"/>
      <c r="MVS82" s="0"/>
      <c r="MVT82" s="0"/>
      <c r="MVU82" s="0"/>
      <c r="MVV82" s="0"/>
      <c r="MVW82" s="0"/>
      <c r="MVX82" s="0"/>
      <c r="MVY82" s="0"/>
      <c r="MVZ82" s="0"/>
      <c r="MWA82" s="0"/>
      <c r="MWB82" s="0"/>
      <c r="MWC82" s="0"/>
      <c r="MWD82" s="0"/>
      <c r="MWE82" s="0"/>
      <c r="MWF82" s="0"/>
      <c r="MWG82" s="0"/>
      <c r="MWH82" s="0"/>
      <c r="MWI82" s="0"/>
      <c r="MWJ82" s="0"/>
      <c r="MWK82" s="0"/>
      <c r="MWL82" s="0"/>
      <c r="MWM82" s="0"/>
      <c r="MWN82" s="0"/>
      <c r="MWO82" s="0"/>
      <c r="MWP82" s="0"/>
      <c r="MWQ82" s="0"/>
      <c r="MWR82" s="0"/>
      <c r="MWS82" s="0"/>
      <c r="MWT82" s="0"/>
      <c r="MWU82" s="0"/>
      <c r="MWV82" s="0"/>
      <c r="MWW82" s="0"/>
      <c r="MWX82" s="0"/>
      <c r="MWY82" s="0"/>
      <c r="MWZ82" s="0"/>
      <c r="MXA82" s="0"/>
      <c r="MXB82" s="0"/>
      <c r="MXC82" s="0"/>
      <c r="MXD82" s="0"/>
      <c r="MXE82" s="0"/>
      <c r="MXF82" s="0"/>
      <c r="MXG82" s="0"/>
      <c r="MXH82" s="0"/>
      <c r="MXI82" s="0"/>
      <c r="MXJ82" s="0"/>
      <c r="MXK82" s="0"/>
      <c r="MXL82" s="0"/>
      <c r="MXM82" s="0"/>
      <c r="MXN82" s="0"/>
      <c r="MXO82" s="0"/>
      <c r="MXP82" s="0"/>
      <c r="MXQ82" s="0"/>
      <c r="MXR82" s="0"/>
      <c r="MXS82" s="0"/>
      <c r="MXT82" s="0"/>
      <c r="MXU82" s="0"/>
      <c r="MXV82" s="0"/>
      <c r="MXW82" s="0"/>
      <c r="MXX82" s="0"/>
      <c r="MXY82" s="0"/>
      <c r="MXZ82" s="0"/>
      <c r="MYA82" s="0"/>
      <c r="MYB82" s="0"/>
      <c r="MYC82" s="0"/>
      <c r="MYD82" s="0"/>
      <c r="MYE82" s="0"/>
      <c r="MYF82" s="0"/>
      <c r="MYG82" s="0"/>
      <c r="MYH82" s="0"/>
      <c r="MYI82" s="0"/>
      <c r="MYJ82" s="0"/>
      <c r="MYK82" s="0"/>
      <c r="MYL82" s="0"/>
      <c r="MYM82" s="0"/>
      <c r="MYN82" s="0"/>
      <c r="MYO82" s="0"/>
      <c r="MYP82" s="0"/>
      <c r="MYQ82" s="0"/>
      <c r="MYR82" s="0"/>
      <c r="MYS82" s="0"/>
      <c r="MYT82" s="0"/>
      <c r="MYU82" s="0"/>
      <c r="MYV82" s="0"/>
      <c r="MYW82" s="0"/>
      <c r="MYX82" s="0"/>
      <c r="MYY82" s="0"/>
      <c r="MYZ82" s="0"/>
      <c r="MZA82" s="0"/>
      <c r="MZB82" s="0"/>
      <c r="MZC82" s="0"/>
      <c r="MZD82" s="0"/>
      <c r="MZE82" s="0"/>
      <c r="MZF82" s="0"/>
      <c r="MZG82" s="0"/>
      <c r="MZH82" s="0"/>
      <c r="MZI82" s="0"/>
      <c r="MZJ82" s="0"/>
      <c r="MZK82" s="0"/>
      <c r="MZL82" s="0"/>
      <c r="MZM82" s="0"/>
      <c r="MZN82" s="0"/>
      <c r="MZO82" s="0"/>
      <c r="MZP82" s="0"/>
      <c r="MZQ82" s="0"/>
      <c r="MZR82" s="0"/>
      <c r="MZS82" s="0"/>
      <c r="MZT82" s="0"/>
      <c r="MZU82" s="0"/>
      <c r="MZV82" s="0"/>
      <c r="MZW82" s="0"/>
      <c r="MZX82" s="0"/>
      <c r="MZY82" s="0"/>
      <c r="MZZ82" s="0"/>
      <c r="NAA82" s="0"/>
      <c r="NAB82" s="0"/>
      <c r="NAC82" s="0"/>
      <c r="NAD82" s="0"/>
      <c r="NAE82" s="0"/>
      <c r="NAF82" s="0"/>
      <c r="NAG82" s="0"/>
      <c r="NAH82" s="0"/>
      <c r="NAI82" s="0"/>
      <c r="NAJ82" s="0"/>
      <c r="NAK82" s="0"/>
      <c r="NAL82" s="0"/>
      <c r="NAM82" s="0"/>
      <c r="NAN82" s="0"/>
      <c r="NAO82" s="0"/>
      <c r="NAP82" s="0"/>
      <c r="NAQ82" s="0"/>
      <c r="NAR82" s="0"/>
      <c r="NAS82" s="0"/>
      <c r="NAT82" s="0"/>
      <c r="NAU82" s="0"/>
      <c r="NAV82" s="0"/>
      <c r="NAW82" s="0"/>
      <c r="NAX82" s="0"/>
      <c r="NAY82" s="0"/>
      <c r="NAZ82" s="0"/>
      <c r="NBA82" s="0"/>
      <c r="NBB82" s="0"/>
      <c r="NBC82" s="0"/>
      <c r="NBD82" s="0"/>
      <c r="NBE82" s="0"/>
      <c r="NBF82" s="0"/>
      <c r="NBG82" s="0"/>
      <c r="NBH82" s="0"/>
      <c r="NBI82" s="0"/>
      <c r="NBJ82" s="0"/>
      <c r="NBK82" s="0"/>
      <c r="NBL82" s="0"/>
      <c r="NBM82" s="0"/>
      <c r="NBN82" s="0"/>
      <c r="NBO82" s="0"/>
      <c r="NBP82" s="0"/>
      <c r="NBQ82" s="0"/>
      <c r="NBR82" s="0"/>
      <c r="NBS82" s="0"/>
      <c r="NBT82" s="0"/>
      <c r="NBU82" s="0"/>
      <c r="NBV82" s="0"/>
      <c r="NBW82" s="0"/>
      <c r="NBX82" s="0"/>
      <c r="NBY82" s="0"/>
      <c r="NBZ82" s="0"/>
      <c r="NCA82" s="0"/>
      <c r="NCB82" s="0"/>
      <c r="NCC82" s="0"/>
      <c r="NCD82" s="0"/>
      <c r="NCE82" s="0"/>
      <c r="NCF82" s="0"/>
      <c r="NCG82" s="0"/>
      <c r="NCH82" s="0"/>
      <c r="NCI82" s="0"/>
      <c r="NCJ82" s="0"/>
      <c r="NCK82" s="0"/>
      <c r="NCL82" s="0"/>
      <c r="NCM82" s="0"/>
      <c r="NCN82" s="0"/>
      <c r="NCO82" s="0"/>
      <c r="NCP82" s="0"/>
      <c r="NCQ82" s="0"/>
      <c r="NCR82" s="0"/>
      <c r="NCS82" s="0"/>
      <c r="NCT82" s="0"/>
      <c r="NCU82" s="0"/>
      <c r="NCV82" s="0"/>
      <c r="NCW82" s="0"/>
      <c r="NCX82" s="0"/>
      <c r="NCY82" s="0"/>
      <c r="NCZ82" s="0"/>
      <c r="NDA82" s="0"/>
      <c r="NDB82" s="0"/>
      <c r="NDC82" s="0"/>
      <c r="NDD82" s="0"/>
      <c r="NDE82" s="0"/>
      <c r="NDF82" s="0"/>
      <c r="NDG82" s="0"/>
      <c r="NDH82" s="0"/>
      <c r="NDI82" s="0"/>
      <c r="NDJ82" s="0"/>
      <c r="NDK82" s="0"/>
      <c r="NDL82" s="0"/>
      <c r="NDM82" s="0"/>
      <c r="NDN82" s="0"/>
      <c r="NDO82" s="0"/>
      <c r="NDP82" s="0"/>
      <c r="NDQ82" s="0"/>
      <c r="NDR82" s="0"/>
      <c r="NDS82" s="0"/>
      <c r="NDT82" s="0"/>
      <c r="NDU82" s="0"/>
      <c r="NDV82" s="0"/>
      <c r="NDW82" s="0"/>
      <c r="NDX82" s="0"/>
      <c r="NDY82" s="0"/>
      <c r="NDZ82" s="0"/>
      <c r="NEA82" s="0"/>
      <c r="NEB82" s="0"/>
      <c r="NEC82" s="0"/>
      <c r="NED82" s="0"/>
      <c r="NEE82" s="0"/>
      <c r="NEF82" s="0"/>
      <c r="NEG82" s="0"/>
      <c r="NEH82" s="0"/>
      <c r="NEI82" s="0"/>
      <c r="NEJ82" s="0"/>
      <c r="NEK82" s="0"/>
      <c r="NEL82" s="0"/>
      <c r="NEM82" s="0"/>
      <c r="NEN82" s="0"/>
      <c r="NEO82" s="0"/>
      <c r="NEP82" s="0"/>
      <c r="NEQ82" s="0"/>
      <c r="NER82" s="0"/>
      <c r="NES82" s="0"/>
      <c r="NET82" s="0"/>
      <c r="NEU82" s="0"/>
      <c r="NEV82" s="0"/>
      <c r="NEW82" s="0"/>
      <c r="NEX82" s="0"/>
      <c r="NEY82" s="0"/>
      <c r="NEZ82" s="0"/>
      <c r="NFA82" s="0"/>
      <c r="NFB82" s="0"/>
      <c r="NFC82" s="0"/>
      <c r="NFD82" s="0"/>
      <c r="NFE82" s="0"/>
      <c r="NFF82" s="0"/>
      <c r="NFG82" s="0"/>
      <c r="NFH82" s="0"/>
      <c r="NFI82" s="0"/>
      <c r="NFJ82" s="0"/>
      <c r="NFK82" s="0"/>
      <c r="NFL82" s="0"/>
      <c r="NFM82" s="0"/>
      <c r="NFN82" s="0"/>
      <c r="NFO82" s="0"/>
      <c r="NFP82" s="0"/>
      <c r="NFQ82" s="0"/>
      <c r="NFR82" s="0"/>
      <c r="NFS82" s="0"/>
      <c r="NFT82" s="0"/>
      <c r="NFU82" s="0"/>
      <c r="NFV82" s="0"/>
      <c r="NFW82" s="0"/>
      <c r="NFX82" s="0"/>
      <c r="NFY82" s="0"/>
      <c r="NFZ82" s="0"/>
      <c r="NGA82" s="0"/>
      <c r="NGB82" s="0"/>
      <c r="NGC82" s="0"/>
      <c r="NGD82" s="0"/>
      <c r="NGE82" s="0"/>
      <c r="NGF82" s="0"/>
      <c r="NGG82" s="0"/>
      <c r="NGH82" s="0"/>
      <c r="NGI82" s="0"/>
      <c r="NGJ82" s="0"/>
      <c r="NGK82" s="0"/>
      <c r="NGL82" s="0"/>
      <c r="NGM82" s="0"/>
      <c r="NGN82" s="0"/>
      <c r="NGO82" s="0"/>
      <c r="NGP82" s="0"/>
      <c r="NGQ82" s="0"/>
      <c r="NGR82" s="0"/>
      <c r="NGS82" s="0"/>
      <c r="NGT82" s="0"/>
      <c r="NGU82" s="0"/>
      <c r="NGV82" s="0"/>
      <c r="NGW82" s="0"/>
      <c r="NGX82" s="0"/>
      <c r="NGY82" s="0"/>
      <c r="NGZ82" s="0"/>
      <c r="NHA82" s="0"/>
      <c r="NHB82" s="0"/>
      <c r="NHC82" s="0"/>
      <c r="NHD82" s="0"/>
      <c r="NHE82" s="0"/>
      <c r="NHF82" s="0"/>
      <c r="NHG82" s="0"/>
      <c r="NHH82" s="0"/>
      <c r="NHI82" s="0"/>
      <c r="NHJ82" s="0"/>
      <c r="NHK82" s="0"/>
      <c r="NHL82" s="0"/>
      <c r="NHM82" s="0"/>
      <c r="NHN82" s="0"/>
      <c r="NHO82" s="0"/>
      <c r="NHP82" s="0"/>
      <c r="NHQ82" s="0"/>
      <c r="NHR82" s="0"/>
      <c r="NHS82" s="0"/>
      <c r="NHT82" s="0"/>
      <c r="NHU82" s="0"/>
      <c r="NHV82" s="0"/>
      <c r="NHW82" s="0"/>
      <c r="NHX82" s="0"/>
      <c r="NHY82" s="0"/>
      <c r="NHZ82" s="0"/>
      <c r="NIA82" s="0"/>
      <c r="NIB82" s="0"/>
      <c r="NIC82" s="0"/>
      <c r="NID82" s="0"/>
      <c r="NIE82" s="0"/>
      <c r="NIF82" s="0"/>
      <c r="NIG82" s="0"/>
      <c r="NIH82" s="0"/>
      <c r="NII82" s="0"/>
      <c r="NIJ82" s="0"/>
      <c r="NIK82" s="0"/>
      <c r="NIL82" s="0"/>
      <c r="NIM82" s="0"/>
      <c r="NIN82" s="0"/>
      <c r="NIO82" s="0"/>
      <c r="NIP82" s="0"/>
      <c r="NIQ82" s="0"/>
      <c r="NIR82" s="0"/>
      <c r="NIS82" s="0"/>
      <c r="NIT82" s="0"/>
      <c r="NIU82" s="0"/>
      <c r="NIV82" s="0"/>
      <c r="NIW82" s="0"/>
      <c r="NIX82" s="0"/>
      <c r="NIY82" s="0"/>
      <c r="NIZ82" s="0"/>
      <c r="NJA82" s="0"/>
      <c r="NJB82" s="0"/>
      <c r="NJC82" s="0"/>
      <c r="NJD82" s="0"/>
      <c r="NJE82" s="0"/>
      <c r="NJF82" s="0"/>
      <c r="NJG82" s="0"/>
      <c r="NJH82" s="0"/>
      <c r="NJI82" s="0"/>
      <c r="NJJ82" s="0"/>
      <c r="NJK82" s="0"/>
      <c r="NJL82" s="0"/>
      <c r="NJM82" s="0"/>
      <c r="NJN82" s="0"/>
      <c r="NJO82" s="0"/>
      <c r="NJP82" s="0"/>
      <c r="NJQ82" s="0"/>
      <c r="NJR82" s="0"/>
      <c r="NJS82" s="0"/>
      <c r="NJT82" s="0"/>
      <c r="NJU82" s="0"/>
      <c r="NJV82" s="0"/>
      <c r="NJW82" s="0"/>
      <c r="NJX82" s="0"/>
      <c r="NJY82" s="0"/>
      <c r="NJZ82" s="0"/>
      <c r="NKA82" s="0"/>
      <c r="NKB82" s="0"/>
      <c r="NKC82" s="0"/>
      <c r="NKD82" s="0"/>
      <c r="NKE82" s="0"/>
      <c r="NKF82" s="0"/>
      <c r="NKG82" s="0"/>
      <c r="NKH82" s="0"/>
      <c r="NKI82" s="0"/>
      <c r="NKJ82" s="0"/>
      <c r="NKK82" s="0"/>
      <c r="NKL82" s="0"/>
      <c r="NKM82" s="0"/>
      <c r="NKN82" s="0"/>
      <c r="NKO82" s="0"/>
      <c r="NKP82" s="0"/>
      <c r="NKQ82" s="0"/>
      <c r="NKR82" s="0"/>
      <c r="NKS82" s="0"/>
      <c r="NKT82" s="0"/>
      <c r="NKU82" s="0"/>
      <c r="NKV82" s="0"/>
      <c r="NKW82" s="0"/>
      <c r="NKX82" s="0"/>
      <c r="NKY82" s="0"/>
      <c r="NKZ82" s="0"/>
      <c r="NLA82" s="0"/>
      <c r="NLB82" s="0"/>
      <c r="NLC82" s="0"/>
      <c r="NLD82" s="0"/>
      <c r="NLE82" s="0"/>
      <c r="NLF82" s="0"/>
      <c r="NLG82" s="0"/>
      <c r="NLH82" s="0"/>
      <c r="NLI82" s="0"/>
      <c r="NLJ82" s="0"/>
      <c r="NLK82" s="0"/>
      <c r="NLL82" s="0"/>
      <c r="NLM82" s="0"/>
      <c r="NLN82" s="0"/>
      <c r="NLO82" s="0"/>
      <c r="NLP82" s="0"/>
      <c r="NLQ82" s="0"/>
      <c r="NLR82" s="0"/>
      <c r="NLS82" s="0"/>
      <c r="NLT82" s="0"/>
      <c r="NLU82" s="0"/>
      <c r="NLV82" s="0"/>
      <c r="NLW82" s="0"/>
      <c r="NLX82" s="0"/>
      <c r="NLY82" s="0"/>
      <c r="NLZ82" s="0"/>
      <c r="NMA82" s="0"/>
      <c r="NMB82" s="0"/>
      <c r="NMC82" s="0"/>
      <c r="NMD82" s="0"/>
      <c r="NME82" s="0"/>
      <c r="NMF82" s="0"/>
      <c r="NMG82" s="0"/>
      <c r="NMH82" s="0"/>
      <c r="NMI82" s="0"/>
      <c r="NMJ82" s="0"/>
      <c r="NMK82" s="0"/>
      <c r="NML82" s="0"/>
      <c r="NMM82" s="0"/>
      <c r="NMN82" s="0"/>
      <c r="NMO82" s="0"/>
      <c r="NMP82" s="0"/>
      <c r="NMQ82" s="0"/>
      <c r="NMR82" s="0"/>
      <c r="NMS82" s="0"/>
      <c r="NMT82" s="0"/>
      <c r="NMU82" s="0"/>
      <c r="NMV82" s="0"/>
      <c r="NMW82" s="0"/>
      <c r="NMX82" s="0"/>
      <c r="NMY82" s="0"/>
      <c r="NMZ82" s="0"/>
      <c r="NNA82" s="0"/>
      <c r="NNB82" s="0"/>
      <c r="NNC82" s="0"/>
      <c r="NND82" s="0"/>
      <c r="NNE82" s="0"/>
      <c r="NNF82" s="0"/>
      <c r="NNG82" s="0"/>
      <c r="NNH82" s="0"/>
      <c r="NNI82" s="0"/>
      <c r="NNJ82" s="0"/>
      <c r="NNK82" s="0"/>
      <c r="NNL82" s="0"/>
      <c r="NNM82" s="0"/>
      <c r="NNN82" s="0"/>
      <c r="NNO82" s="0"/>
      <c r="NNP82" s="0"/>
      <c r="NNQ82" s="0"/>
      <c r="NNR82" s="0"/>
      <c r="NNS82" s="0"/>
      <c r="NNT82" s="0"/>
      <c r="NNU82" s="0"/>
      <c r="NNV82" s="0"/>
      <c r="NNW82" s="0"/>
      <c r="NNX82" s="0"/>
      <c r="NNY82" s="0"/>
      <c r="NNZ82" s="0"/>
      <c r="NOA82" s="0"/>
      <c r="NOB82" s="0"/>
      <c r="NOC82" s="0"/>
      <c r="NOD82" s="0"/>
      <c r="NOE82" s="0"/>
      <c r="NOF82" s="0"/>
      <c r="NOG82" s="0"/>
      <c r="NOH82" s="0"/>
      <c r="NOI82" s="0"/>
      <c r="NOJ82" s="0"/>
      <c r="NOK82" s="0"/>
      <c r="NOL82" s="0"/>
      <c r="NOM82" s="0"/>
      <c r="NON82" s="0"/>
      <c r="NOO82" s="0"/>
      <c r="NOP82" s="0"/>
      <c r="NOQ82" s="0"/>
      <c r="NOR82" s="0"/>
      <c r="NOS82" s="0"/>
      <c r="NOT82" s="0"/>
      <c r="NOU82" s="0"/>
      <c r="NOV82" s="0"/>
      <c r="NOW82" s="0"/>
      <c r="NOX82" s="0"/>
      <c r="NOY82" s="0"/>
      <c r="NOZ82" s="0"/>
      <c r="NPA82" s="0"/>
      <c r="NPB82" s="0"/>
      <c r="NPC82" s="0"/>
      <c r="NPD82" s="0"/>
      <c r="NPE82" s="0"/>
      <c r="NPF82" s="0"/>
      <c r="NPG82" s="0"/>
      <c r="NPH82" s="0"/>
      <c r="NPI82" s="0"/>
      <c r="NPJ82" s="0"/>
      <c r="NPK82" s="0"/>
      <c r="NPL82" s="0"/>
      <c r="NPM82" s="0"/>
      <c r="NPN82" s="0"/>
      <c r="NPO82" s="0"/>
      <c r="NPP82" s="0"/>
      <c r="NPQ82" s="0"/>
      <c r="NPR82" s="0"/>
      <c r="NPS82" s="0"/>
      <c r="NPT82" s="0"/>
      <c r="NPU82" s="0"/>
      <c r="NPV82" s="0"/>
      <c r="NPW82" s="0"/>
      <c r="NPX82" s="0"/>
      <c r="NPY82" s="0"/>
      <c r="NPZ82" s="0"/>
      <c r="NQA82" s="0"/>
      <c r="NQB82" s="0"/>
      <c r="NQC82" s="0"/>
      <c r="NQD82" s="0"/>
      <c r="NQE82" s="0"/>
      <c r="NQF82" s="0"/>
      <c r="NQG82" s="0"/>
      <c r="NQH82" s="0"/>
      <c r="NQI82" s="0"/>
      <c r="NQJ82" s="0"/>
      <c r="NQK82" s="0"/>
      <c r="NQL82" s="0"/>
      <c r="NQM82" s="0"/>
      <c r="NQN82" s="0"/>
      <c r="NQO82" s="0"/>
      <c r="NQP82" s="0"/>
      <c r="NQQ82" s="0"/>
      <c r="NQR82" s="0"/>
      <c r="NQS82" s="0"/>
      <c r="NQT82" s="0"/>
      <c r="NQU82" s="0"/>
      <c r="NQV82" s="0"/>
      <c r="NQW82" s="0"/>
      <c r="NQX82" s="0"/>
      <c r="NQY82" s="0"/>
      <c r="NQZ82" s="0"/>
      <c r="NRA82" s="0"/>
      <c r="NRB82" s="0"/>
      <c r="NRC82" s="0"/>
      <c r="NRD82" s="0"/>
      <c r="NRE82" s="0"/>
      <c r="NRF82" s="0"/>
      <c r="NRG82" s="0"/>
      <c r="NRH82" s="0"/>
      <c r="NRI82" s="0"/>
      <c r="NRJ82" s="0"/>
      <c r="NRK82" s="0"/>
      <c r="NRL82" s="0"/>
      <c r="NRM82" s="0"/>
      <c r="NRN82" s="0"/>
      <c r="NRO82" s="0"/>
      <c r="NRP82" s="0"/>
      <c r="NRQ82" s="0"/>
      <c r="NRR82" s="0"/>
      <c r="NRS82" s="0"/>
      <c r="NRT82" s="0"/>
      <c r="NRU82" s="0"/>
      <c r="NRV82" s="0"/>
      <c r="NRW82" s="0"/>
      <c r="NRX82" s="0"/>
      <c r="NRY82" s="0"/>
      <c r="NRZ82" s="0"/>
      <c r="NSA82" s="0"/>
      <c r="NSB82" s="0"/>
      <c r="NSC82" s="0"/>
      <c r="NSD82" s="0"/>
      <c r="NSE82" s="0"/>
      <c r="NSF82" s="0"/>
      <c r="NSG82" s="0"/>
      <c r="NSH82" s="0"/>
      <c r="NSI82" s="0"/>
      <c r="NSJ82" s="0"/>
      <c r="NSK82" s="0"/>
      <c r="NSL82" s="0"/>
      <c r="NSM82" s="0"/>
      <c r="NSN82" s="0"/>
      <c r="NSO82" s="0"/>
      <c r="NSP82" s="0"/>
      <c r="NSQ82" s="0"/>
      <c r="NSR82" s="0"/>
      <c r="NSS82" s="0"/>
      <c r="NST82" s="0"/>
      <c r="NSU82" s="0"/>
      <c r="NSV82" s="0"/>
      <c r="NSW82" s="0"/>
      <c r="NSX82" s="0"/>
      <c r="NSY82" s="0"/>
      <c r="NSZ82" s="0"/>
      <c r="NTA82" s="0"/>
      <c r="NTB82" s="0"/>
      <c r="NTC82" s="0"/>
      <c r="NTD82" s="0"/>
      <c r="NTE82" s="0"/>
      <c r="NTF82" s="0"/>
      <c r="NTG82" s="0"/>
      <c r="NTH82" s="0"/>
      <c r="NTI82" s="0"/>
      <c r="NTJ82" s="0"/>
      <c r="NTK82" s="0"/>
      <c r="NTL82" s="0"/>
      <c r="NTM82" s="0"/>
      <c r="NTN82" s="0"/>
      <c r="NTO82" s="0"/>
      <c r="NTP82" s="0"/>
      <c r="NTQ82" s="0"/>
      <c r="NTR82" s="0"/>
      <c r="NTS82" s="0"/>
      <c r="NTT82" s="0"/>
      <c r="NTU82" s="0"/>
      <c r="NTV82" s="0"/>
      <c r="NTW82" s="0"/>
      <c r="NTX82" s="0"/>
      <c r="NTY82" s="0"/>
      <c r="NTZ82" s="0"/>
      <c r="NUA82" s="0"/>
      <c r="NUB82" s="0"/>
      <c r="NUC82" s="0"/>
      <c r="NUD82" s="0"/>
      <c r="NUE82" s="0"/>
      <c r="NUF82" s="0"/>
      <c r="NUG82" s="0"/>
      <c r="NUH82" s="0"/>
      <c r="NUI82" s="0"/>
      <c r="NUJ82" s="0"/>
      <c r="NUK82" s="0"/>
      <c r="NUL82" s="0"/>
      <c r="NUM82" s="0"/>
      <c r="NUN82" s="0"/>
      <c r="NUO82" s="0"/>
      <c r="NUP82" s="0"/>
      <c r="NUQ82" s="0"/>
      <c r="NUR82" s="0"/>
      <c r="NUS82" s="0"/>
      <c r="NUT82" s="0"/>
      <c r="NUU82" s="0"/>
      <c r="NUV82" s="0"/>
      <c r="NUW82" s="0"/>
      <c r="NUX82" s="0"/>
      <c r="NUY82" s="0"/>
      <c r="NUZ82" s="0"/>
      <c r="NVA82" s="0"/>
      <c r="NVB82" s="0"/>
      <c r="NVC82" s="0"/>
      <c r="NVD82" s="0"/>
      <c r="NVE82" s="0"/>
      <c r="NVF82" s="0"/>
      <c r="NVG82" s="0"/>
      <c r="NVH82" s="0"/>
      <c r="NVI82" s="0"/>
      <c r="NVJ82" s="0"/>
      <c r="NVK82" s="0"/>
      <c r="NVL82" s="0"/>
      <c r="NVM82" s="0"/>
      <c r="NVN82" s="0"/>
      <c r="NVO82" s="0"/>
      <c r="NVP82" s="0"/>
      <c r="NVQ82" s="0"/>
      <c r="NVR82" s="0"/>
      <c r="NVS82" s="0"/>
      <c r="NVT82" s="0"/>
      <c r="NVU82" s="0"/>
      <c r="NVV82" s="0"/>
      <c r="NVW82" s="0"/>
      <c r="NVX82" s="0"/>
      <c r="NVY82" s="0"/>
      <c r="NVZ82" s="0"/>
      <c r="NWA82" s="0"/>
      <c r="NWB82" s="0"/>
      <c r="NWC82" s="0"/>
      <c r="NWD82" s="0"/>
      <c r="NWE82" s="0"/>
      <c r="NWF82" s="0"/>
      <c r="NWG82" s="0"/>
      <c r="NWH82" s="0"/>
      <c r="NWI82" s="0"/>
      <c r="NWJ82" s="0"/>
      <c r="NWK82" s="0"/>
      <c r="NWL82" s="0"/>
      <c r="NWM82" s="0"/>
      <c r="NWN82" s="0"/>
      <c r="NWO82" s="0"/>
      <c r="NWP82" s="0"/>
      <c r="NWQ82" s="0"/>
      <c r="NWR82" s="0"/>
      <c r="NWS82" s="0"/>
      <c r="NWT82" s="0"/>
      <c r="NWU82" s="0"/>
      <c r="NWV82" s="0"/>
      <c r="NWW82" s="0"/>
      <c r="NWX82" s="0"/>
      <c r="NWY82" s="0"/>
      <c r="NWZ82" s="0"/>
      <c r="NXA82" s="0"/>
      <c r="NXB82" s="0"/>
      <c r="NXC82" s="0"/>
      <c r="NXD82" s="0"/>
      <c r="NXE82" s="0"/>
      <c r="NXF82" s="0"/>
      <c r="NXG82" s="0"/>
      <c r="NXH82" s="0"/>
      <c r="NXI82" s="0"/>
      <c r="NXJ82" s="0"/>
      <c r="NXK82" s="0"/>
      <c r="NXL82" s="0"/>
      <c r="NXM82" s="0"/>
      <c r="NXN82" s="0"/>
      <c r="NXO82" s="0"/>
      <c r="NXP82" s="0"/>
      <c r="NXQ82" s="0"/>
      <c r="NXR82" s="0"/>
      <c r="NXS82" s="0"/>
      <c r="NXT82" s="0"/>
      <c r="NXU82" s="0"/>
      <c r="NXV82" s="0"/>
      <c r="NXW82" s="0"/>
      <c r="NXX82" s="0"/>
      <c r="NXY82" s="0"/>
      <c r="NXZ82" s="0"/>
      <c r="NYA82" s="0"/>
      <c r="NYB82" s="0"/>
      <c r="NYC82" s="0"/>
      <c r="NYD82" s="0"/>
      <c r="NYE82" s="0"/>
      <c r="NYF82" s="0"/>
      <c r="NYG82" s="0"/>
      <c r="NYH82" s="0"/>
      <c r="NYI82" s="0"/>
      <c r="NYJ82" s="0"/>
      <c r="NYK82" s="0"/>
      <c r="NYL82" s="0"/>
      <c r="NYM82" s="0"/>
      <c r="NYN82" s="0"/>
      <c r="NYO82" s="0"/>
      <c r="NYP82" s="0"/>
      <c r="NYQ82" s="0"/>
      <c r="NYR82" s="0"/>
      <c r="NYS82" s="0"/>
      <c r="NYT82" s="0"/>
      <c r="NYU82" s="0"/>
      <c r="NYV82" s="0"/>
      <c r="NYW82" s="0"/>
      <c r="NYX82" s="0"/>
      <c r="NYY82" s="0"/>
      <c r="NYZ82" s="0"/>
      <c r="NZA82" s="0"/>
      <c r="NZB82" s="0"/>
      <c r="NZC82" s="0"/>
      <c r="NZD82" s="0"/>
      <c r="NZE82" s="0"/>
      <c r="NZF82" s="0"/>
      <c r="NZG82" s="0"/>
      <c r="NZH82" s="0"/>
      <c r="NZI82" s="0"/>
      <c r="NZJ82" s="0"/>
      <c r="NZK82" s="0"/>
      <c r="NZL82" s="0"/>
      <c r="NZM82" s="0"/>
      <c r="NZN82" s="0"/>
      <c r="NZO82" s="0"/>
      <c r="NZP82" s="0"/>
      <c r="NZQ82" s="0"/>
      <c r="NZR82" s="0"/>
      <c r="NZS82" s="0"/>
      <c r="NZT82" s="0"/>
      <c r="NZU82" s="0"/>
      <c r="NZV82" s="0"/>
      <c r="NZW82" s="0"/>
      <c r="NZX82" s="0"/>
      <c r="NZY82" s="0"/>
      <c r="NZZ82" s="0"/>
      <c r="OAA82" s="0"/>
      <c r="OAB82" s="0"/>
      <c r="OAC82" s="0"/>
      <c r="OAD82" s="0"/>
      <c r="OAE82" s="0"/>
      <c r="OAF82" s="0"/>
      <c r="OAG82" s="0"/>
      <c r="OAH82" s="0"/>
      <c r="OAI82" s="0"/>
      <c r="OAJ82" s="0"/>
      <c r="OAK82" s="0"/>
      <c r="OAL82" s="0"/>
      <c r="OAM82" s="0"/>
      <c r="OAN82" s="0"/>
      <c r="OAO82" s="0"/>
      <c r="OAP82" s="0"/>
      <c r="OAQ82" s="0"/>
      <c r="OAR82" s="0"/>
      <c r="OAS82" s="0"/>
      <c r="OAT82" s="0"/>
      <c r="OAU82" s="0"/>
      <c r="OAV82" s="0"/>
      <c r="OAW82" s="0"/>
      <c r="OAX82" s="0"/>
      <c r="OAY82" s="0"/>
      <c r="OAZ82" s="0"/>
      <c r="OBA82" s="0"/>
      <c r="OBB82" s="0"/>
      <c r="OBC82" s="0"/>
      <c r="OBD82" s="0"/>
      <c r="OBE82" s="0"/>
      <c r="OBF82" s="0"/>
      <c r="OBG82" s="0"/>
      <c r="OBH82" s="0"/>
      <c r="OBI82" s="0"/>
      <c r="OBJ82" s="0"/>
      <c r="OBK82" s="0"/>
      <c r="OBL82" s="0"/>
      <c r="OBM82" s="0"/>
      <c r="OBN82" s="0"/>
      <c r="OBO82" s="0"/>
      <c r="OBP82" s="0"/>
      <c r="OBQ82" s="0"/>
      <c r="OBR82" s="0"/>
      <c r="OBS82" s="0"/>
      <c r="OBT82" s="0"/>
      <c r="OBU82" s="0"/>
      <c r="OBV82" s="0"/>
      <c r="OBW82" s="0"/>
      <c r="OBX82" s="0"/>
      <c r="OBY82" s="0"/>
      <c r="OBZ82" s="0"/>
      <c r="OCA82" s="0"/>
      <c r="OCB82" s="0"/>
      <c r="OCC82" s="0"/>
      <c r="OCD82" s="0"/>
      <c r="OCE82" s="0"/>
      <c r="OCF82" s="0"/>
      <c r="OCG82" s="0"/>
      <c r="OCH82" s="0"/>
      <c r="OCI82" s="0"/>
      <c r="OCJ82" s="0"/>
      <c r="OCK82" s="0"/>
      <c r="OCL82" s="0"/>
      <c r="OCM82" s="0"/>
      <c r="OCN82" s="0"/>
      <c r="OCO82" s="0"/>
      <c r="OCP82" s="0"/>
      <c r="OCQ82" s="0"/>
      <c r="OCR82" s="0"/>
      <c r="OCS82" s="0"/>
      <c r="OCT82" s="0"/>
      <c r="OCU82" s="0"/>
      <c r="OCV82" s="0"/>
      <c r="OCW82" s="0"/>
      <c r="OCX82" s="0"/>
      <c r="OCY82" s="0"/>
      <c r="OCZ82" s="0"/>
      <c r="ODA82" s="0"/>
      <c r="ODB82" s="0"/>
      <c r="ODC82" s="0"/>
      <c r="ODD82" s="0"/>
      <c r="ODE82" s="0"/>
      <c r="ODF82" s="0"/>
      <c r="ODG82" s="0"/>
      <c r="ODH82" s="0"/>
      <c r="ODI82" s="0"/>
      <c r="ODJ82" s="0"/>
      <c r="ODK82" s="0"/>
      <c r="ODL82" s="0"/>
      <c r="ODM82" s="0"/>
      <c r="ODN82" s="0"/>
      <c r="ODO82" s="0"/>
      <c r="ODP82" s="0"/>
      <c r="ODQ82" s="0"/>
      <c r="ODR82" s="0"/>
      <c r="ODS82" s="0"/>
      <c r="ODT82" s="0"/>
      <c r="ODU82" s="0"/>
      <c r="ODV82" s="0"/>
      <c r="ODW82" s="0"/>
      <c r="ODX82" s="0"/>
      <c r="ODY82" s="0"/>
      <c r="ODZ82" s="0"/>
      <c r="OEA82" s="0"/>
      <c r="OEB82" s="0"/>
      <c r="OEC82" s="0"/>
      <c r="OED82" s="0"/>
      <c r="OEE82" s="0"/>
      <c r="OEF82" s="0"/>
      <c r="OEG82" s="0"/>
      <c r="OEH82" s="0"/>
      <c r="OEI82" s="0"/>
      <c r="OEJ82" s="0"/>
      <c r="OEK82" s="0"/>
      <c r="OEL82" s="0"/>
      <c r="OEM82" s="0"/>
      <c r="OEN82" s="0"/>
      <c r="OEO82" s="0"/>
      <c r="OEP82" s="0"/>
      <c r="OEQ82" s="0"/>
      <c r="OER82" s="0"/>
      <c r="OES82" s="0"/>
      <c r="OET82" s="0"/>
      <c r="OEU82" s="0"/>
      <c r="OEV82" s="0"/>
      <c r="OEW82" s="0"/>
      <c r="OEX82" s="0"/>
      <c r="OEY82" s="0"/>
      <c r="OEZ82" s="0"/>
      <c r="OFA82" s="0"/>
      <c r="OFB82" s="0"/>
      <c r="OFC82" s="0"/>
      <c r="OFD82" s="0"/>
      <c r="OFE82" s="0"/>
      <c r="OFF82" s="0"/>
      <c r="OFG82" s="0"/>
      <c r="OFH82" s="0"/>
      <c r="OFI82" s="0"/>
      <c r="OFJ82" s="0"/>
      <c r="OFK82" s="0"/>
      <c r="OFL82" s="0"/>
      <c r="OFM82" s="0"/>
      <c r="OFN82" s="0"/>
      <c r="OFO82" s="0"/>
      <c r="OFP82" s="0"/>
      <c r="OFQ82" s="0"/>
      <c r="OFR82" s="0"/>
      <c r="OFS82" s="0"/>
      <c r="OFT82" s="0"/>
      <c r="OFU82" s="0"/>
      <c r="OFV82" s="0"/>
      <c r="OFW82" s="0"/>
      <c r="OFX82" s="0"/>
      <c r="OFY82" s="0"/>
      <c r="OFZ82" s="0"/>
      <c r="OGA82" s="0"/>
      <c r="OGB82" s="0"/>
      <c r="OGC82" s="0"/>
      <c r="OGD82" s="0"/>
      <c r="OGE82" s="0"/>
      <c r="OGF82" s="0"/>
      <c r="OGG82" s="0"/>
      <c r="OGH82" s="0"/>
      <c r="OGI82" s="0"/>
      <c r="OGJ82" s="0"/>
      <c r="OGK82" s="0"/>
      <c r="OGL82" s="0"/>
      <c r="OGM82" s="0"/>
      <c r="OGN82" s="0"/>
      <c r="OGO82" s="0"/>
      <c r="OGP82" s="0"/>
      <c r="OGQ82" s="0"/>
      <c r="OGR82" s="0"/>
      <c r="OGS82" s="0"/>
      <c r="OGT82" s="0"/>
      <c r="OGU82" s="0"/>
      <c r="OGV82" s="0"/>
      <c r="OGW82" s="0"/>
      <c r="OGX82" s="0"/>
      <c r="OGY82" s="0"/>
      <c r="OGZ82" s="0"/>
      <c r="OHA82" s="0"/>
      <c r="OHB82" s="0"/>
      <c r="OHC82" s="0"/>
      <c r="OHD82" s="0"/>
      <c r="OHE82" s="0"/>
      <c r="OHF82" s="0"/>
      <c r="OHG82" s="0"/>
      <c r="OHH82" s="0"/>
      <c r="OHI82" s="0"/>
      <c r="OHJ82" s="0"/>
      <c r="OHK82" s="0"/>
      <c r="OHL82" s="0"/>
      <c r="OHM82" s="0"/>
      <c r="OHN82" s="0"/>
      <c r="OHO82" s="0"/>
      <c r="OHP82" s="0"/>
      <c r="OHQ82" s="0"/>
      <c r="OHR82" s="0"/>
      <c r="OHS82" s="0"/>
      <c r="OHT82" s="0"/>
      <c r="OHU82" s="0"/>
      <c r="OHV82" s="0"/>
      <c r="OHW82" s="0"/>
      <c r="OHX82" s="0"/>
      <c r="OHY82" s="0"/>
      <c r="OHZ82" s="0"/>
      <c r="OIA82" s="0"/>
      <c r="OIB82" s="0"/>
      <c r="OIC82" s="0"/>
      <c r="OID82" s="0"/>
      <c r="OIE82" s="0"/>
      <c r="OIF82" s="0"/>
      <c r="OIG82" s="0"/>
      <c r="OIH82" s="0"/>
      <c r="OII82" s="0"/>
      <c r="OIJ82" s="0"/>
      <c r="OIK82" s="0"/>
      <c r="OIL82" s="0"/>
      <c r="OIM82" s="0"/>
      <c r="OIN82" s="0"/>
      <c r="OIO82" s="0"/>
      <c r="OIP82" s="0"/>
      <c r="OIQ82" s="0"/>
      <c r="OIR82" s="0"/>
      <c r="OIS82" s="0"/>
      <c r="OIT82" s="0"/>
      <c r="OIU82" s="0"/>
      <c r="OIV82" s="0"/>
      <c r="OIW82" s="0"/>
      <c r="OIX82" s="0"/>
      <c r="OIY82" s="0"/>
      <c r="OIZ82" s="0"/>
      <c r="OJA82" s="0"/>
      <c r="OJB82" s="0"/>
      <c r="OJC82" s="0"/>
      <c r="OJD82" s="0"/>
      <c r="OJE82" s="0"/>
      <c r="OJF82" s="0"/>
      <c r="OJG82" s="0"/>
      <c r="OJH82" s="0"/>
      <c r="OJI82" s="0"/>
      <c r="OJJ82" s="0"/>
      <c r="OJK82" s="0"/>
      <c r="OJL82" s="0"/>
      <c r="OJM82" s="0"/>
      <c r="OJN82" s="0"/>
      <c r="OJO82" s="0"/>
      <c r="OJP82" s="0"/>
      <c r="OJQ82" s="0"/>
      <c r="OJR82" s="0"/>
      <c r="OJS82" s="0"/>
      <c r="OJT82" s="0"/>
      <c r="OJU82" s="0"/>
      <c r="OJV82" s="0"/>
      <c r="OJW82" s="0"/>
      <c r="OJX82" s="0"/>
      <c r="OJY82" s="0"/>
      <c r="OJZ82" s="0"/>
      <c r="OKA82" s="0"/>
      <c r="OKB82" s="0"/>
      <c r="OKC82" s="0"/>
      <c r="OKD82" s="0"/>
      <c r="OKE82" s="0"/>
      <c r="OKF82" s="0"/>
      <c r="OKG82" s="0"/>
      <c r="OKH82" s="0"/>
      <c r="OKI82" s="0"/>
      <c r="OKJ82" s="0"/>
      <c r="OKK82" s="0"/>
      <c r="OKL82" s="0"/>
      <c r="OKM82" s="0"/>
      <c r="OKN82" s="0"/>
      <c r="OKO82" s="0"/>
      <c r="OKP82" s="0"/>
      <c r="OKQ82" s="0"/>
      <c r="OKR82" s="0"/>
      <c r="OKS82" s="0"/>
      <c r="OKT82" s="0"/>
      <c r="OKU82" s="0"/>
      <c r="OKV82" s="0"/>
      <c r="OKW82" s="0"/>
      <c r="OKX82" s="0"/>
      <c r="OKY82" s="0"/>
      <c r="OKZ82" s="0"/>
      <c r="OLA82" s="0"/>
      <c r="OLB82" s="0"/>
      <c r="OLC82" s="0"/>
      <c r="OLD82" s="0"/>
      <c r="OLE82" s="0"/>
      <c r="OLF82" s="0"/>
      <c r="OLG82" s="0"/>
      <c r="OLH82" s="0"/>
      <c r="OLI82" s="0"/>
      <c r="OLJ82" s="0"/>
      <c r="OLK82" s="0"/>
      <c r="OLL82" s="0"/>
      <c r="OLM82" s="0"/>
      <c r="OLN82" s="0"/>
      <c r="OLO82" s="0"/>
      <c r="OLP82" s="0"/>
      <c r="OLQ82" s="0"/>
      <c r="OLR82" s="0"/>
      <c r="OLS82" s="0"/>
      <c r="OLT82" s="0"/>
      <c r="OLU82" s="0"/>
      <c r="OLV82" s="0"/>
      <c r="OLW82" s="0"/>
      <c r="OLX82" s="0"/>
      <c r="OLY82" s="0"/>
      <c r="OLZ82" s="0"/>
      <c r="OMA82" s="0"/>
      <c r="OMB82" s="0"/>
      <c r="OMC82" s="0"/>
      <c r="OMD82" s="0"/>
      <c r="OME82" s="0"/>
      <c r="OMF82" s="0"/>
      <c r="OMG82" s="0"/>
      <c r="OMH82" s="0"/>
      <c r="OMI82" s="0"/>
      <c r="OMJ82" s="0"/>
      <c r="OMK82" s="0"/>
      <c r="OML82" s="0"/>
      <c r="OMM82" s="0"/>
      <c r="OMN82" s="0"/>
      <c r="OMO82" s="0"/>
      <c r="OMP82" s="0"/>
      <c r="OMQ82" s="0"/>
      <c r="OMR82" s="0"/>
      <c r="OMS82" s="0"/>
      <c r="OMT82" s="0"/>
      <c r="OMU82" s="0"/>
      <c r="OMV82" s="0"/>
      <c r="OMW82" s="0"/>
      <c r="OMX82" s="0"/>
      <c r="OMY82" s="0"/>
      <c r="OMZ82" s="0"/>
      <c r="ONA82" s="0"/>
      <c r="ONB82" s="0"/>
      <c r="ONC82" s="0"/>
      <c r="OND82" s="0"/>
      <c r="ONE82" s="0"/>
      <c r="ONF82" s="0"/>
      <c r="ONG82" s="0"/>
      <c r="ONH82" s="0"/>
      <c r="ONI82" s="0"/>
      <c r="ONJ82" s="0"/>
      <c r="ONK82" s="0"/>
      <c r="ONL82" s="0"/>
      <c r="ONM82" s="0"/>
      <c r="ONN82" s="0"/>
      <c r="ONO82" s="0"/>
      <c r="ONP82" s="0"/>
      <c r="ONQ82" s="0"/>
      <c r="ONR82" s="0"/>
      <c r="ONS82" s="0"/>
      <c r="ONT82" s="0"/>
      <c r="ONU82" s="0"/>
      <c r="ONV82" s="0"/>
      <c r="ONW82" s="0"/>
      <c r="ONX82" s="0"/>
      <c r="ONY82" s="0"/>
      <c r="ONZ82" s="0"/>
      <c r="OOA82" s="0"/>
      <c r="OOB82" s="0"/>
      <c r="OOC82" s="0"/>
      <c r="OOD82" s="0"/>
      <c r="OOE82" s="0"/>
      <c r="OOF82" s="0"/>
      <c r="OOG82" s="0"/>
      <c r="OOH82" s="0"/>
      <c r="OOI82" s="0"/>
      <c r="OOJ82" s="0"/>
      <c r="OOK82" s="0"/>
      <c r="OOL82" s="0"/>
      <c r="OOM82" s="0"/>
      <c r="OON82" s="0"/>
      <c r="OOO82" s="0"/>
      <c r="OOP82" s="0"/>
      <c r="OOQ82" s="0"/>
      <c r="OOR82" s="0"/>
      <c r="OOS82" s="0"/>
      <c r="OOT82" s="0"/>
      <c r="OOU82" s="0"/>
      <c r="OOV82" s="0"/>
      <c r="OOW82" s="0"/>
      <c r="OOX82" s="0"/>
      <c r="OOY82" s="0"/>
      <c r="OOZ82" s="0"/>
      <c r="OPA82" s="0"/>
      <c r="OPB82" s="0"/>
      <c r="OPC82" s="0"/>
      <c r="OPD82" s="0"/>
      <c r="OPE82" s="0"/>
      <c r="OPF82" s="0"/>
      <c r="OPG82" s="0"/>
      <c r="OPH82" s="0"/>
      <c r="OPI82" s="0"/>
      <c r="OPJ82" s="0"/>
      <c r="OPK82" s="0"/>
      <c r="OPL82" s="0"/>
      <c r="OPM82" s="0"/>
      <c r="OPN82" s="0"/>
      <c r="OPO82" s="0"/>
      <c r="OPP82" s="0"/>
      <c r="OPQ82" s="0"/>
      <c r="OPR82" s="0"/>
      <c r="OPS82" s="0"/>
      <c r="OPT82" s="0"/>
      <c r="OPU82" s="0"/>
      <c r="OPV82" s="0"/>
      <c r="OPW82" s="0"/>
      <c r="OPX82" s="0"/>
      <c r="OPY82" s="0"/>
      <c r="OPZ82" s="0"/>
      <c r="OQA82" s="0"/>
      <c r="OQB82" s="0"/>
      <c r="OQC82" s="0"/>
      <c r="OQD82" s="0"/>
      <c r="OQE82" s="0"/>
      <c r="OQF82" s="0"/>
      <c r="OQG82" s="0"/>
      <c r="OQH82" s="0"/>
      <c r="OQI82" s="0"/>
      <c r="OQJ82" s="0"/>
      <c r="OQK82" s="0"/>
      <c r="OQL82" s="0"/>
      <c r="OQM82" s="0"/>
      <c r="OQN82" s="0"/>
      <c r="OQO82" s="0"/>
      <c r="OQP82" s="0"/>
      <c r="OQQ82" s="0"/>
      <c r="OQR82" s="0"/>
      <c r="OQS82" s="0"/>
      <c r="OQT82" s="0"/>
      <c r="OQU82" s="0"/>
      <c r="OQV82" s="0"/>
      <c r="OQW82" s="0"/>
      <c r="OQX82" s="0"/>
      <c r="OQY82" s="0"/>
      <c r="OQZ82" s="0"/>
      <c r="ORA82" s="0"/>
      <c r="ORB82" s="0"/>
      <c r="ORC82" s="0"/>
      <c r="ORD82" s="0"/>
      <c r="ORE82" s="0"/>
      <c r="ORF82" s="0"/>
      <c r="ORG82" s="0"/>
      <c r="ORH82" s="0"/>
      <c r="ORI82" s="0"/>
      <c r="ORJ82" s="0"/>
      <c r="ORK82" s="0"/>
      <c r="ORL82" s="0"/>
      <c r="ORM82" s="0"/>
      <c r="ORN82" s="0"/>
      <c r="ORO82" s="0"/>
      <c r="ORP82" s="0"/>
      <c r="ORQ82" s="0"/>
      <c r="ORR82" s="0"/>
      <c r="ORS82" s="0"/>
      <c r="ORT82" s="0"/>
      <c r="ORU82" s="0"/>
      <c r="ORV82" s="0"/>
      <c r="ORW82" s="0"/>
      <c r="ORX82" s="0"/>
      <c r="ORY82" s="0"/>
      <c r="ORZ82" s="0"/>
      <c r="OSA82" s="0"/>
      <c r="OSB82" s="0"/>
      <c r="OSC82" s="0"/>
      <c r="OSD82" s="0"/>
      <c r="OSE82" s="0"/>
      <c r="OSF82" s="0"/>
      <c r="OSG82" s="0"/>
      <c r="OSH82" s="0"/>
      <c r="OSI82" s="0"/>
      <c r="OSJ82" s="0"/>
      <c r="OSK82" s="0"/>
      <c r="OSL82" s="0"/>
      <c r="OSM82" s="0"/>
      <c r="OSN82" s="0"/>
      <c r="OSO82" s="0"/>
      <c r="OSP82" s="0"/>
      <c r="OSQ82" s="0"/>
      <c r="OSR82" s="0"/>
      <c r="OSS82" s="0"/>
      <c r="OST82" s="0"/>
      <c r="OSU82" s="0"/>
      <c r="OSV82" s="0"/>
      <c r="OSW82" s="0"/>
      <c r="OSX82" s="0"/>
      <c r="OSY82" s="0"/>
      <c r="OSZ82" s="0"/>
      <c r="OTA82" s="0"/>
      <c r="OTB82" s="0"/>
      <c r="OTC82" s="0"/>
      <c r="OTD82" s="0"/>
      <c r="OTE82" s="0"/>
      <c r="OTF82" s="0"/>
      <c r="OTG82" s="0"/>
      <c r="OTH82" s="0"/>
      <c r="OTI82" s="0"/>
      <c r="OTJ82" s="0"/>
      <c r="OTK82" s="0"/>
      <c r="OTL82" s="0"/>
      <c r="OTM82" s="0"/>
      <c r="OTN82" s="0"/>
      <c r="OTO82" s="0"/>
      <c r="OTP82" s="0"/>
      <c r="OTQ82" s="0"/>
      <c r="OTR82" s="0"/>
      <c r="OTS82" s="0"/>
      <c r="OTT82" s="0"/>
      <c r="OTU82" s="0"/>
      <c r="OTV82" s="0"/>
      <c r="OTW82" s="0"/>
      <c r="OTX82" s="0"/>
      <c r="OTY82" s="0"/>
      <c r="OTZ82" s="0"/>
      <c r="OUA82" s="0"/>
      <c r="OUB82" s="0"/>
      <c r="OUC82" s="0"/>
      <c r="OUD82" s="0"/>
      <c r="OUE82" s="0"/>
      <c r="OUF82" s="0"/>
      <c r="OUG82" s="0"/>
      <c r="OUH82" s="0"/>
      <c r="OUI82" s="0"/>
      <c r="OUJ82" s="0"/>
      <c r="OUK82" s="0"/>
      <c r="OUL82" s="0"/>
      <c r="OUM82" s="0"/>
      <c r="OUN82" s="0"/>
      <c r="OUO82" s="0"/>
      <c r="OUP82" s="0"/>
      <c r="OUQ82" s="0"/>
      <c r="OUR82" s="0"/>
      <c r="OUS82" s="0"/>
      <c r="OUT82" s="0"/>
      <c r="OUU82" s="0"/>
      <c r="OUV82" s="0"/>
      <c r="OUW82" s="0"/>
      <c r="OUX82" s="0"/>
      <c r="OUY82" s="0"/>
      <c r="OUZ82" s="0"/>
      <c r="OVA82" s="0"/>
      <c r="OVB82" s="0"/>
      <c r="OVC82" s="0"/>
      <c r="OVD82" s="0"/>
      <c r="OVE82" s="0"/>
      <c r="OVF82" s="0"/>
      <c r="OVG82" s="0"/>
      <c r="OVH82" s="0"/>
      <c r="OVI82" s="0"/>
      <c r="OVJ82" s="0"/>
      <c r="OVK82" s="0"/>
      <c r="OVL82" s="0"/>
      <c r="OVM82" s="0"/>
      <c r="OVN82" s="0"/>
      <c r="OVO82" s="0"/>
      <c r="OVP82" s="0"/>
      <c r="OVQ82" s="0"/>
      <c r="OVR82" s="0"/>
      <c r="OVS82" s="0"/>
      <c r="OVT82" s="0"/>
      <c r="OVU82" s="0"/>
      <c r="OVV82" s="0"/>
      <c r="OVW82" s="0"/>
      <c r="OVX82" s="0"/>
      <c r="OVY82" s="0"/>
      <c r="OVZ82" s="0"/>
      <c r="OWA82" s="0"/>
      <c r="OWB82" s="0"/>
      <c r="OWC82" s="0"/>
      <c r="OWD82" s="0"/>
      <c r="OWE82" s="0"/>
      <c r="OWF82" s="0"/>
      <c r="OWG82" s="0"/>
      <c r="OWH82" s="0"/>
      <c r="OWI82" s="0"/>
      <c r="OWJ82" s="0"/>
      <c r="OWK82" s="0"/>
      <c r="OWL82" s="0"/>
      <c r="OWM82" s="0"/>
      <c r="OWN82" s="0"/>
      <c r="OWO82" s="0"/>
      <c r="OWP82" s="0"/>
      <c r="OWQ82" s="0"/>
      <c r="OWR82" s="0"/>
      <c r="OWS82" s="0"/>
      <c r="OWT82" s="0"/>
      <c r="OWU82" s="0"/>
      <c r="OWV82" s="0"/>
      <c r="OWW82" s="0"/>
      <c r="OWX82" s="0"/>
      <c r="OWY82" s="0"/>
      <c r="OWZ82" s="0"/>
      <c r="OXA82" s="0"/>
      <c r="OXB82" s="0"/>
      <c r="OXC82" s="0"/>
      <c r="OXD82" s="0"/>
      <c r="OXE82" s="0"/>
      <c r="OXF82" s="0"/>
      <c r="OXG82" s="0"/>
      <c r="OXH82" s="0"/>
      <c r="OXI82" s="0"/>
      <c r="OXJ82" s="0"/>
      <c r="OXK82" s="0"/>
      <c r="OXL82" s="0"/>
      <c r="OXM82" s="0"/>
      <c r="OXN82" s="0"/>
      <c r="OXO82" s="0"/>
      <c r="OXP82" s="0"/>
      <c r="OXQ82" s="0"/>
      <c r="OXR82" s="0"/>
      <c r="OXS82" s="0"/>
      <c r="OXT82" s="0"/>
      <c r="OXU82" s="0"/>
      <c r="OXV82" s="0"/>
      <c r="OXW82" s="0"/>
      <c r="OXX82" s="0"/>
      <c r="OXY82" s="0"/>
      <c r="OXZ82" s="0"/>
      <c r="OYA82" s="0"/>
      <c r="OYB82" s="0"/>
      <c r="OYC82" s="0"/>
      <c r="OYD82" s="0"/>
      <c r="OYE82" s="0"/>
      <c r="OYF82" s="0"/>
      <c r="OYG82" s="0"/>
      <c r="OYH82" s="0"/>
      <c r="OYI82" s="0"/>
      <c r="OYJ82" s="0"/>
      <c r="OYK82" s="0"/>
      <c r="OYL82" s="0"/>
      <c r="OYM82" s="0"/>
      <c r="OYN82" s="0"/>
      <c r="OYO82" s="0"/>
      <c r="OYP82" s="0"/>
      <c r="OYQ82" s="0"/>
      <c r="OYR82" s="0"/>
      <c r="OYS82" s="0"/>
      <c r="OYT82" s="0"/>
      <c r="OYU82" s="0"/>
      <c r="OYV82" s="0"/>
      <c r="OYW82" s="0"/>
      <c r="OYX82" s="0"/>
      <c r="OYY82" s="0"/>
      <c r="OYZ82" s="0"/>
      <c r="OZA82" s="0"/>
      <c r="OZB82" s="0"/>
      <c r="OZC82" s="0"/>
      <c r="OZD82" s="0"/>
      <c r="OZE82" s="0"/>
      <c r="OZF82" s="0"/>
      <c r="OZG82" s="0"/>
      <c r="OZH82" s="0"/>
      <c r="OZI82" s="0"/>
      <c r="OZJ82" s="0"/>
      <c r="OZK82" s="0"/>
      <c r="OZL82" s="0"/>
      <c r="OZM82" s="0"/>
      <c r="OZN82" s="0"/>
      <c r="OZO82" s="0"/>
      <c r="OZP82" s="0"/>
      <c r="OZQ82" s="0"/>
      <c r="OZR82" s="0"/>
      <c r="OZS82" s="0"/>
      <c r="OZT82" s="0"/>
      <c r="OZU82" s="0"/>
      <c r="OZV82" s="0"/>
      <c r="OZW82" s="0"/>
      <c r="OZX82" s="0"/>
      <c r="OZY82" s="0"/>
      <c r="OZZ82" s="0"/>
      <c r="PAA82" s="0"/>
      <c r="PAB82" s="0"/>
      <c r="PAC82" s="0"/>
      <c r="PAD82" s="0"/>
      <c r="PAE82" s="0"/>
      <c r="PAF82" s="0"/>
      <c r="PAG82" s="0"/>
      <c r="PAH82" s="0"/>
      <c r="PAI82" s="0"/>
      <c r="PAJ82" s="0"/>
      <c r="PAK82" s="0"/>
      <c r="PAL82" s="0"/>
      <c r="PAM82" s="0"/>
      <c r="PAN82" s="0"/>
      <c r="PAO82" s="0"/>
      <c r="PAP82" s="0"/>
      <c r="PAQ82" s="0"/>
      <c r="PAR82" s="0"/>
      <c r="PAS82" s="0"/>
      <c r="PAT82" s="0"/>
      <c r="PAU82" s="0"/>
      <c r="PAV82" s="0"/>
      <c r="PAW82" s="0"/>
      <c r="PAX82" s="0"/>
      <c r="PAY82" s="0"/>
      <c r="PAZ82" s="0"/>
      <c r="PBA82" s="0"/>
      <c r="PBB82" s="0"/>
      <c r="PBC82" s="0"/>
      <c r="PBD82" s="0"/>
      <c r="PBE82" s="0"/>
      <c r="PBF82" s="0"/>
      <c r="PBG82" s="0"/>
      <c r="PBH82" s="0"/>
      <c r="PBI82" s="0"/>
      <c r="PBJ82" s="0"/>
      <c r="PBK82" s="0"/>
      <c r="PBL82" s="0"/>
      <c r="PBM82" s="0"/>
      <c r="PBN82" s="0"/>
      <c r="PBO82" s="0"/>
      <c r="PBP82" s="0"/>
      <c r="PBQ82" s="0"/>
      <c r="PBR82" s="0"/>
      <c r="PBS82" s="0"/>
      <c r="PBT82" s="0"/>
      <c r="PBU82" s="0"/>
      <c r="PBV82" s="0"/>
      <c r="PBW82" s="0"/>
      <c r="PBX82" s="0"/>
      <c r="PBY82" s="0"/>
      <c r="PBZ82" s="0"/>
      <c r="PCA82" s="0"/>
      <c r="PCB82" s="0"/>
      <c r="PCC82" s="0"/>
      <c r="PCD82" s="0"/>
      <c r="PCE82" s="0"/>
      <c r="PCF82" s="0"/>
      <c r="PCG82" s="0"/>
      <c r="PCH82" s="0"/>
      <c r="PCI82" s="0"/>
      <c r="PCJ82" s="0"/>
      <c r="PCK82" s="0"/>
      <c r="PCL82" s="0"/>
      <c r="PCM82" s="0"/>
      <c r="PCN82" s="0"/>
      <c r="PCO82" s="0"/>
      <c r="PCP82" s="0"/>
      <c r="PCQ82" s="0"/>
      <c r="PCR82" s="0"/>
      <c r="PCS82" s="0"/>
      <c r="PCT82" s="0"/>
      <c r="PCU82" s="0"/>
      <c r="PCV82" s="0"/>
      <c r="PCW82" s="0"/>
      <c r="PCX82" s="0"/>
      <c r="PCY82" s="0"/>
      <c r="PCZ82" s="0"/>
      <c r="PDA82" s="0"/>
      <c r="PDB82" s="0"/>
      <c r="PDC82" s="0"/>
      <c r="PDD82" s="0"/>
      <c r="PDE82" s="0"/>
      <c r="PDF82" s="0"/>
      <c r="PDG82" s="0"/>
      <c r="PDH82" s="0"/>
      <c r="PDI82" s="0"/>
      <c r="PDJ82" s="0"/>
      <c r="PDK82" s="0"/>
      <c r="PDL82" s="0"/>
      <c r="PDM82" s="0"/>
      <c r="PDN82" s="0"/>
      <c r="PDO82" s="0"/>
      <c r="PDP82" s="0"/>
      <c r="PDQ82" s="0"/>
      <c r="PDR82" s="0"/>
      <c r="PDS82" s="0"/>
      <c r="PDT82" s="0"/>
      <c r="PDU82" s="0"/>
      <c r="PDV82" s="0"/>
      <c r="PDW82" s="0"/>
      <c r="PDX82" s="0"/>
      <c r="PDY82" s="0"/>
      <c r="PDZ82" s="0"/>
      <c r="PEA82" s="0"/>
      <c r="PEB82" s="0"/>
      <c r="PEC82" s="0"/>
      <c r="PED82" s="0"/>
      <c r="PEE82" s="0"/>
      <c r="PEF82" s="0"/>
      <c r="PEG82" s="0"/>
      <c r="PEH82" s="0"/>
      <c r="PEI82" s="0"/>
      <c r="PEJ82" s="0"/>
      <c r="PEK82" s="0"/>
      <c r="PEL82" s="0"/>
      <c r="PEM82" s="0"/>
      <c r="PEN82" s="0"/>
      <c r="PEO82" s="0"/>
      <c r="PEP82" s="0"/>
      <c r="PEQ82" s="0"/>
      <c r="PER82" s="0"/>
      <c r="PES82" s="0"/>
      <c r="PET82" s="0"/>
      <c r="PEU82" s="0"/>
      <c r="PEV82" s="0"/>
      <c r="PEW82" s="0"/>
      <c r="PEX82" s="0"/>
      <c r="PEY82" s="0"/>
      <c r="PEZ82" s="0"/>
      <c r="PFA82" s="0"/>
      <c r="PFB82" s="0"/>
      <c r="PFC82" s="0"/>
      <c r="PFD82" s="0"/>
      <c r="PFE82" s="0"/>
      <c r="PFF82" s="0"/>
      <c r="PFG82" s="0"/>
      <c r="PFH82" s="0"/>
      <c r="PFI82" s="0"/>
      <c r="PFJ82" s="0"/>
      <c r="PFK82" s="0"/>
      <c r="PFL82" s="0"/>
      <c r="PFM82" s="0"/>
      <c r="PFN82" s="0"/>
      <c r="PFO82" s="0"/>
      <c r="PFP82" s="0"/>
      <c r="PFQ82" s="0"/>
      <c r="PFR82" s="0"/>
      <c r="PFS82" s="0"/>
      <c r="PFT82" s="0"/>
      <c r="PFU82" s="0"/>
      <c r="PFV82" s="0"/>
      <c r="PFW82" s="0"/>
      <c r="PFX82" s="0"/>
      <c r="PFY82" s="0"/>
      <c r="PFZ82" s="0"/>
      <c r="PGA82" s="0"/>
      <c r="PGB82" s="0"/>
      <c r="PGC82" s="0"/>
      <c r="PGD82" s="0"/>
      <c r="PGE82" s="0"/>
      <c r="PGF82" s="0"/>
      <c r="PGG82" s="0"/>
      <c r="PGH82" s="0"/>
      <c r="PGI82" s="0"/>
      <c r="PGJ82" s="0"/>
      <c r="PGK82" s="0"/>
      <c r="PGL82" s="0"/>
      <c r="PGM82" s="0"/>
      <c r="PGN82" s="0"/>
      <c r="PGO82" s="0"/>
      <c r="PGP82" s="0"/>
      <c r="PGQ82" s="0"/>
      <c r="PGR82" s="0"/>
      <c r="PGS82" s="0"/>
      <c r="PGT82" s="0"/>
      <c r="PGU82" s="0"/>
      <c r="PGV82" s="0"/>
      <c r="PGW82" s="0"/>
      <c r="PGX82" s="0"/>
      <c r="PGY82" s="0"/>
      <c r="PGZ82" s="0"/>
      <c r="PHA82" s="0"/>
      <c r="PHB82" s="0"/>
      <c r="PHC82" s="0"/>
      <c r="PHD82" s="0"/>
      <c r="PHE82" s="0"/>
      <c r="PHF82" s="0"/>
      <c r="PHG82" s="0"/>
      <c r="PHH82" s="0"/>
      <c r="PHI82" s="0"/>
      <c r="PHJ82" s="0"/>
      <c r="PHK82" s="0"/>
      <c r="PHL82" s="0"/>
      <c r="PHM82" s="0"/>
      <c r="PHN82" s="0"/>
      <c r="PHO82" s="0"/>
      <c r="PHP82" s="0"/>
      <c r="PHQ82" s="0"/>
      <c r="PHR82" s="0"/>
      <c r="PHS82" s="0"/>
      <c r="PHT82" s="0"/>
      <c r="PHU82" s="0"/>
      <c r="PHV82" s="0"/>
      <c r="PHW82" s="0"/>
      <c r="PHX82" s="0"/>
      <c r="PHY82" s="0"/>
      <c r="PHZ82" s="0"/>
      <c r="PIA82" s="0"/>
      <c r="PIB82" s="0"/>
      <c r="PIC82" s="0"/>
      <c r="PID82" s="0"/>
      <c r="PIE82" s="0"/>
      <c r="PIF82" s="0"/>
      <c r="PIG82" s="0"/>
      <c r="PIH82" s="0"/>
      <c r="PII82" s="0"/>
      <c r="PIJ82" s="0"/>
      <c r="PIK82" s="0"/>
      <c r="PIL82" s="0"/>
      <c r="PIM82" s="0"/>
      <c r="PIN82" s="0"/>
      <c r="PIO82" s="0"/>
      <c r="PIP82" s="0"/>
      <c r="PIQ82" s="0"/>
      <c r="PIR82" s="0"/>
      <c r="PIS82" s="0"/>
      <c r="PIT82" s="0"/>
      <c r="PIU82" s="0"/>
      <c r="PIV82" s="0"/>
      <c r="PIW82" s="0"/>
      <c r="PIX82" s="0"/>
      <c r="PIY82" s="0"/>
      <c r="PIZ82" s="0"/>
      <c r="PJA82" s="0"/>
      <c r="PJB82" s="0"/>
      <c r="PJC82" s="0"/>
      <c r="PJD82" s="0"/>
      <c r="PJE82" s="0"/>
      <c r="PJF82" s="0"/>
      <c r="PJG82" s="0"/>
      <c r="PJH82" s="0"/>
      <c r="PJI82" s="0"/>
      <c r="PJJ82" s="0"/>
      <c r="PJK82" s="0"/>
      <c r="PJL82" s="0"/>
      <c r="PJM82" s="0"/>
      <c r="PJN82" s="0"/>
      <c r="PJO82" s="0"/>
      <c r="PJP82" s="0"/>
      <c r="PJQ82" s="0"/>
      <c r="PJR82" s="0"/>
      <c r="PJS82" s="0"/>
      <c r="PJT82" s="0"/>
      <c r="PJU82" s="0"/>
      <c r="PJV82" s="0"/>
      <c r="PJW82" s="0"/>
      <c r="PJX82" s="0"/>
      <c r="PJY82" s="0"/>
      <c r="PJZ82" s="0"/>
      <c r="PKA82" s="0"/>
      <c r="PKB82" s="0"/>
      <c r="PKC82" s="0"/>
      <c r="PKD82" s="0"/>
      <c r="PKE82" s="0"/>
      <c r="PKF82" s="0"/>
      <c r="PKG82" s="0"/>
      <c r="PKH82" s="0"/>
      <c r="PKI82" s="0"/>
      <c r="PKJ82" s="0"/>
      <c r="PKK82" s="0"/>
      <c r="PKL82" s="0"/>
      <c r="PKM82" s="0"/>
      <c r="PKN82" s="0"/>
      <c r="PKO82" s="0"/>
      <c r="PKP82" s="0"/>
      <c r="PKQ82" s="0"/>
      <c r="PKR82" s="0"/>
      <c r="PKS82" s="0"/>
      <c r="PKT82" s="0"/>
      <c r="PKU82" s="0"/>
      <c r="PKV82" s="0"/>
      <c r="PKW82" s="0"/>
      <c r="PKX82" s="0"/>
      <c r="PKY82" s="0"/>
      <c r="PKZ82" s="0"/>
      <c r="PLA82" s="0"/>
      <c r="PLB82" s="0"/>
      <c r="PLC82" s="0"/>
      <c r="PLD82" s="0"/>
      <c r="PLE82" s="0"/>
      <c r="PLF82" s="0"/>
      <c r="PLG82" s="0"/>
      <c r="PLH82" s="0"/>
      <c r="PLI82" s="0"/>
      <c r="PLJ82" s="0"/>
      <c r="PLK82" s="0"/>
      <c r="PLL82" s="0"/>
      <c r="PLM82" s="0"/>
      <c r="PLN82" s="0"/>
      <c r="PLO82" s="0"/>
      <c r="PLP82" s="0"/>
      <c r="PLQ82" s="0"/>
      <c r="PLR82" s="0"/>
      <c r="PLS82" s="0"/>
      <c r="PLT82" s="0"/>
      <c r="PLU82" s="0"/>
      <c r="PLV82" s="0"/>
      <c r="PLW82" s="0"/>
      <c r="PLX82" s="0"/>
      <c r="PLY82" s="0"/>
      <c r="PLZ82" s="0"/>
      <c r="PMA82" s="0"/>
      <c r="PMB82" s="0"/>
      <c r="PMC82" s="0"/>
      <c r="PMD82" s="0"/>
      <c r="PME82" s="0"/>
      <c r="PMF82" s="0"/>
      <c r="PMG82" s="0"/>
      <c r="PMH82" s="0"/>
      <c r="PMI82" s="0"/>
      <c r="PMJ82" s="0"/>
      <c r="PMK82" s="0"/>
      <c r="PML82" s="0"/>
      <c r="PMM82" s="0"/>
      <c r="PMN82" s="0"/>
      <c r="PMO82" s="0"/>
      <c r="PMP82" s="0"/>
      <c r="PMQ82" s="0"/>
      <c r="PMR82" s="0"/>
      <c r="PMS82" s="0"/>
      <c r="PMT82" s="0"/>
      <c r="PMU82" s="0"/>
      <c r="PMV82" s="0"/>
      <c r="PMW82" s="0"/>
      <c r="PMX82" s="0"/>
      <c r="PMY82" s="0"/>
      <c r="PMZ82" s="0"/>
      <c r="PNA82" s="0"/>
      <c r="PNB82" s="0"/>
      <c r="PNC82" s="0"/>
      <c r="PND82" s="0"/>
      <c r="PNE82" s="0"/>
      <c r="PNF82" s="0"/>
      <c r="PNG82" s="0"/>
      <c r="PNH82" s="0"/>
      <c r="PNI82" s="0"/>
      <c r="PNJ82" s="0"/>
      <c r="PNK82" s="0"/>
      <c r="PNL82" s="0"/>
      <c r="PNM82" s="0"/>
      <c r="PNN82" s="0"/>
      <c r="PNO82" s="0"/>
      <c r="PNP82" s="0"/>
      <c r="PNQ82" s="0"/>
      <c r="PNR82" s="0"/>
      <c r="PNS82" s="0"/>
      <c r="PNT82" s="0"/>
      <c r="PNU82" s="0"/>
      <c r="PNV82" s="0"/>
      <c r="PNW82" s="0"/>
      <c r="PNX82" s="0"/>
      <c r="PNY82" s="0"/>
      <c r="PNZ82" s="0"/>
      <c r="POA82" s="0"/>
      <c r="POB82" s="0"/>
      <c r="POC82" s="0"/>
      <c r="POD82" s="0"/>
      <c r="POE82" s="0"/>
      <c r="POF82" s="0"/>
      <c r="POG82" s="0"/>
      <c r="POH82" s="0"/>
      <c r="POI82" s="0"/>
      <c r="POJ82" s="0"/>
      <c r="POK82" s="0"/>
      <c r="POL82" s="0"/>
      <c r="POM82" s="0"/>
      <c r="PON82" s="0"/>
      <c r="POO82" s="0"/>
      <c r="POP82" s="0"/>
      <c r="POQ82" s="0"/>
      <c r="POR82" s="0"/>
      <c r="POS82" s="0"/>
      <c r="POT82" s="0"/>
      <c r="POU82" s="0"/>
      <c r="POV82" s="0"/>
      <c r="POW82" s="0"/>
      <c r="POX82" s="0"/>
      <c r="POY82" s="0"/>
      <c r="POZ82" s="0"/>
      <c r="PPA82" s="0"/>
      <c r="PPB82" s="0"/>
      <c r="PPC82" s="0"/>
      <c r="PPD82" s="0"/>
      <c r="PPE82" s="0"/>
      <c r="PPF82" s="0"/>
      <c r="PPG82" s="0"/>
      <c r="PPH82" s="0"/>
      <c r="PPI82" s="0"/>
      <c r="PPJ82" s="0"/>
      <c r="PPK82" s="0"/>
      <c r="PPL82" s="0"/>
      <c r="PPM82" s="0"/>
      <c r="PPN82" s="0"/>
      <c r="PPO82" s="0"/>
      <c r="PPP82" s="0"/>
      <c r="PPQ82" s="0"/>
      <c r="PPR82" s="0"/>
      <c r="PPS82" s="0"/>
      <c r="PPT82" s="0"/>
      <c r="PPU82" s="0"/>
      <c r="PPV82" s="0"/>
      <c r="PPW82" s="0"/>
      <c r="PPX82" s="0"/>
      <c r="PPY82" s="0"/>
      <c r="PPZ82" s="0"/>
      <c r="PQA82" s="0"/>
      <c r="PQB82" s="0"/>
      <c r="PQC82" s="0"/>
      <c r="PQD82" s="0"/>
      <c r="PQE82" s="0"/>
      <c r="PQF82" s="0"/>
      <c r="PQG82" s="0"/>
      <c r="PQH82" s="0"/>
      <c r="PQI82" s="0"/>
      <c r="PQJ82" s="0"/>
      <c r="PQK82" s="0"/>
      <c r="PQL82" s="0"/>
      <c r="PQM82" s="0"/>
      <c r="PQN82" s="0"/>
      <c r="PQO82" s="0"/>
      <c r="PQP82" s="0"/>
      <c r="PQQ82" s="0"/>
      <c r="PQR82" s="0"/>
      <c r="PQS82" s="0"/>
      <c r="PQT82" s="0"/>
      <c r="PQU82" s="0"/>
      <c r="PQV82" s="0"/>
      <c r="PQW82" s="0"/>
      <c r="PQX82" s="0"/>
      <c r="PQY82" s="0"/>
      <c r="PQZ82" s="0"/>
      <c r="PRA82" s="0"/>
      <c r="PRB82" s="0"/>
      <c r="PRC82" s="0"/>
      <c r="PRD82" s="0"/>
      <c r="PRE82" s="0"/>
      <c r="PRF82" s="0"/>
      <c r="PRG82" s="0"/>
      <c r="PRH82" s="0"/>
      <c r="PRI82" s="0"/>
      <c r="PRJ82" s="0"/>
      <c r="PRK82" s="0"/>
      <c r="PRL82" s="0"/>
      <c r="PRM82" s="0"/>
      <c r="PRN82" s="0"/>
      <c r="PRO82" s="0"/>
      <c r="PRP82" s="0"/>
      <c r="PRQ82" s="0"/>
      <c r="PRR82" s="0"/>
      <c r="PRS82" s="0"/>
      <c r="PRT82" s="0"/>
      <c r="PRU82" s="0"/>
      <c r="PRV82" s="0"/>
      <c r="PRW82" s="0"/>
      <c r="PRX82" s="0"/>
      <c r="PRY82" s="0"/>
      <c r="PRZ82" s="0"/>
      <c r="PSA82" s="0"/>
      <c r="PSB82" s="0"/>
      <c r="PSC82" s="0"/>
      <c r="PSD82" s="0"/>
      <c r="PSE82" s="0"/>
      <c r="PSF82" s="0"/>
      <c r="PSG82" s="0"/>
      <c r="PSH82" s="0"/>
      <c r="PSI82" s="0"/>
      <c r="PSJ82" s="0"/>
      <c r="PSK82" s="0"/>
      <c r="PSL82" s="0"/>
      <c r="PSM82" s="0"/>
      <c r="PSN82" s="0"/>
      <c r="PSO82" s="0"/>
      <c r="PSP82" s="0"/>
      <c r="PSQ82" s="0"/>
      <c r="PSR82" s="0"/>
      <c r="PSS82" s="0"/>
      <c r="PST82" s="0"/>
      <c r="PSU82" s="0"/>
      <c r="PSV82" s="0"/>
      <c r="PSW82" s="0"/>
      <c r="PSX82" s="0"/>
      <c r="PSY82" s="0"/>
      <c r="PSZ82" s="0"/>
      <c r="PTA82" s="0"/>
      <c r="PTB82" s="0"/>
      <c r="PTC82" s="0"/>
      <c r="PTD82" s="0"/>
      <c r="PTE82" s="0"/>
      <c r="PTF82" s="0"/>
      <c r="PTG82" s="0"/>
      <c r="PTH82" s="0"/>
      <c r="PTI82" s="0"/>
      <c r="PTJ82" s="0"/>
      <c r="PTK82" s="0"/>
      <c r="PTL82" s="0"/>
      <c r="PTM82" s="0"/>
      <c r="PTN82" s="0"/>
      <c r="PTO82" s="0"/>
      <c r="PTP82" s="0"/>
      <c r="PTQ82" s="0"/>
      <c r="PTR82" s="0"/>
      <c r="PTS82" s="0"/>
      <c r="PTT82" s="0"/>
      <c r="PTU82" s="0"/>
      <c r="PTV82" s="0"/>
      <c r="PTW82" s="0"/>
      <c r="PTX82" s="0"/>
      <c r="PTY82" s="0"/>
      <c r="PTZ82" s="0"/>
      <c r="PUA82" s="0"/>
      <c r="PUB82" s="0"/>
      <c r="PUC82" s="0"/>
      <c r="PUD82" s="0"/>
      <c r="PUE82" s="0"/>
      <c r="PUF82" s="0"/>
      <c r="PUG82" s="0"/>
      <c r="PUH82" s="0"/>
      <c r="PUI82" s="0"/>
      <c r="PUJ82" s="0"/>
      <c r="PUK82" s="0"/>
      <c r="PUL82" s="0"/>
      <c r="PUM82" s="0"/>
      <c r="PUN82" s="0"/>
      <c r="PUO82" s="0"/>
      <c r="PUP82" s="0"/>
      <c r="PUQ82" s="0"/>
      <c r="PUR82" s="0"/>
      <c r="PUS82" s="0"/>
      <c r="PUT82" s="0"/>
      <c r="PUU82" s="0"/>
      <c r="PUV82" s="0"/>
      <c r="PUW82" s="0"/>
      <c r="PUX82" s="0"/>
      <c r="PUY82" s="0"/>
      <c r="PUZ82" s="0"/>
      <c r="PVA82" s="0"/>
      <c r="PVB82" s="0"/>
      <c r="PVC82" s="0"/>
      <c r="PVD82" s="0"/>
      <c r="PVE82" s="0"/>
      <c r="PVF82" s="0"/>
      <c r="PVG82" s="0"/>
      <c r="PVH82" s="0"/>
      <c r="PVI82" s="0"/>
      <c r="PVJ82" s="0"/>
      <c r="PVK82" s="0"/>
      <c r="PVL82" s="0"/>
      <c r="PVM82" s="0"/>
      <c r="PVN82" s="0"/>
      <c r="PVO82" s="0"/>
      <c r="PVP82" s="0"/>
      <c r="PVQ82" s="0"/>
      <c r="PVR82" s="0"/>
      <c r="PVS82" s="0"/>
      <c r="PVT82" s="0"/>
      <c r="PVU82" s="0"/>
      <c r="PVV82" s="0"/>
      <c r="PVW82" s="0"/>
      <c r="PVX82" s="0"/>
      <c r="PVY82" s="0"/>
      <c r="PVZ82" s="0"/>
      <c r="PWA82" s="0"/>
      <c r="PWB82" s="0"/>
      <c r="PWC82" s="0"/>
      <c r="PWD82" s="0"/>
      <c r="PWE82" s="0"/>
      <c r="PWF82" s="0"/>
      <c r="PWG82" s="0"/>
      <c r="PWH82" s="0"/>
      <c r="PWI82" s="0"/>
      <c r="PWJ82" s="0"/>
      <c r="PWK82" s="0"/>
      <c r="PWL82" s="0"/>
      <c r="PWM82" s="0"/>
      <c r="PWN82" s="0"/>
      <c r="PWO82" s="0"/>
      <c r="PWP82" s="0"/>
      <c r="PWQ82" s="0"/>
      <c r="PWR82" s="0"/>
      <c r="PWS82" s="0"/>
      <c r="PWT82" s="0"/>
      <c r="PWU82" s="0"/>
      <c r="PWV82" s="0"/>
      <c r="PWW82" s="0"/>
      <c r="PWX82" s="0"/>
      <c r="PWY82" s="0"/>
      <c r="PWZ82" s="0"/>
      <c r="PXA82" s="0"/>
      <c r="PXB82" s="0"/>
      <c r="PXC82" s="0"/>
      <c r="PXD82" s="0"/>
      <c r="PXE82" s="0"/>
      <c r="PXF82" s="0"/>
      <c r="PXG82" s="0"/>
      <c r="PXH82" s="0"/>
      <c r="PXI82" s="0"/>
      <c r="PXJ82" s="0"/>
      <c r="PXK82" s="0"/>
      <c r="PXL82" s="0"/>
      <c r="PXM82" s="0"/>
      <c r="PXN82" s="0"/>
      <c r="PXO82" s="0"/>
      <c r="PXP82" s="0"/>
      <c r="PXQ82" s="0"/>
      <c r="PXR82" s="0"/>
      <c r="PXS82" s="0"/>
      <c r="PXT82" s="0"/>
      <c r="PXU82" s="0"/>
      <c r="PXV82" s="0"/>
      <c r="PXW82" s="0"/>
      <c r="PXX82" s="0"/>
      <c r="PXY82" s="0"/>
      <c r="PXZ82" s="0"/>
      <c r="PYA82" s="0"/>
      <c r="PYB82" s="0"/>
      <c r="PYC82" s="0"/>
      <c r="PYD82" s="0"/>
      <c r="PYE82" s="0"/>
      <c r="PYF82" s="0"/>
      <c r="PYG82" s="0"/>
      <c r="PYH82" s="0"/>
      <c r="PYI82" s="0"/>
      <c r="PYJ82" s="0"/>
      <c r="PYK82" s="0"/>
      <c r="PYL82" s="0"/>
      <c r="PYM82" s="0"/>
      <c r="PYN82" s="0"/>
      <c r="PYO82" s="0"/>
      <c r="PYP82" s="0"/>
      <c r="PYQ82" s="0"/>
      <c r="PYR82" s="0"/>
      <c r="PYS82" s="0"/>
      <c r="PYT82" s="0"/>
      <c r="PYU82" s="0"/>
      <c r="PYV82" s="0"/>
      <c r="PYW82" s="0"/>
      <c r="PYX82" s="0"/>
      <c r="PYY82" s="0"/>
      <c r="PYZ82" s="0"/>
      <c r="PZA82" s="0"/>
      <c r="PZB82" s="0"/>
      <c r="PZC82" s="0"/>
      <c r="PZD82" s="0"/>
      <c r="PZE82" s="0"/>
      <c r="PZF82" s="0"/>
      <c r="PZG82" s="0"/>
      <c r="PZH82" s="0"/>
      <c r="PZI82" s="0"/>
      <c r="PZJ82" s="0"/>
      <c r="PZK82" s="0"/>
      <c r="PZL82" s="0"/>
      <c r="PZM82" s="0"/>
      <c r="PZN82" s="0"/>
      <c r="PZO82" s="0"/>
      <c r="PZP82" s="0"/>
      <c r="PZQ82" s="0"/>
      <c r="PZR82" s="0"/>
      <c r="PZS82" s="0"/>
      <c r="PZT82" s="0"/>
      <c r="PZU82" s="0"/>
      <c r="PZV82" s="0"/>
      <c r="PZW82" s="0"/>
      <c r="PZX82" s="0"/>
      <c r="PZY82" s="0"/>
      <c r="PZZ82" s="0"/>
      <c r="QAA82" s="0"/>
      <c r="QAB82" s="0"/>
      <c r="QAC82" s="0"/>
      <c r="QAD82" s="0"/>
      <c r="QAE82" s="0"/>
      <c r="QAF82" s="0"/>
      <c r="QAG82" s="0"/>
      <c r="QAH82" s="0"/>
      <c r="QAI82" s="0"/>
      <c r="QAJ82" s="0"/>
      <c r="QAK82" s="0"/>
      <c r="QAL82" s="0"/>
      <c r="QAM82" s="0"/>
      <c r="QAN82" s="0"/>
      <c r="QAO82" s="0"/>
      <c r="QAP82" s="0"/>
      <c r="QAQ82" s="0"/>
      <c r="QAR82" s="0"/>
      <c r="QAS82" s="0"/>
      <c r="QAT82" s="0"/>
      <c r="QAU82" s="0"/>
      <c r="QAV82" s="0"/>
      <c r="QAW82" s="0"/>
      <c r="QAX82" s="0"/>
      <c r="QAY82" s="0"/>
      <c r="QAZ82" s="0"/>
      <c r="QBA82" s="0"/>
      <c r="QBB82" s="0"/>
      <c r="QBC82" s="0"/>
      <c r="QBD82" s="0"/>
      <c r="QBE82" s="0"/>
      <c r="QBF82" s="0"/>
      <c r="QBG82" s="0"/>
      <c r="QBH82" s="0"/>
      <c r="QBI82" s="0"/>
      <c r="QBJ82" s="0"/>
      <c r="QBK82" s="0"/>
      <c r="QBL82" s="0"/>
      <c r="QBM82" s="0"/>
      <c r="QBN82" s="0"/>
      <c r="QBO82" s="0"/>
      <c r="QBP82" s="0"/>
      <c r="QBQ82" s="0"/>
      <c r="QBR82" s="0"/>
      <c r="QBS82" s="0"/>
      <c r="QBT82" s="0"/>
      <c r="QBU82" s="0"/>
      <c r="QBV82" s="0"/>
      <c r="QBW82" s="0"/>
      <c r="QBX82" s="0"/>
      <c r="QBY82" s="0"/>
      <c r="QBZ82" s="0"/>
      <c r="QCA82" s="0"/>
      <c r="QCB82" s="0"/>
      <c r="QCC82" s="0"/>
      <c r="QCD82" s="0"/>
      <c r="QCE82" s="0"/>
      <c r="QCF82" s="0"/>
      <c r="QCG82" s="0"/>
      <c r="QCH82" s="0"/>
      <c r="QCI82" s="0"/>
      <c r="QCJ82" s="0"/>
      <c r="QCK82" s="0"/>
      <c r="QCL82" s="0"/>
      <c r="QCM82" s="0"/>
      <c r="QCN82" s="0"/>
      <c r="QCO82" s="0"/>
      <c r="QCP82" s="0"/>
      <c r="QCQ82" s="0"/>
      <c r="QCR82" s="0"/>
      <c r="QCS82" s="0"/>
      <c r="QCT82" s="0"/>
      <c r="QCU82" s="0"/>
      <c r="QCV82" s="0"/>
      <c r="QCW82" s="0"/>
      <c r="QCX82" s="0"/>
      <c r="QCY82" s="0"/>
      <c r="QCZ82" s="0"/>
      <c r="QDA82" s="0"/>
      <c r="QDB82" s="0"/>
      <c r="QDC82" s="0"/>
      <c r="QDD82" s="0"/>
      <c r="QDE82" s="0"/>
      <c r="QDF82" s="0"/>
      <c r="QDG82" s="0"/>
      <c r="QDH82" s="0"/>
      <c r="QDI82" s="0"/>
      <c r="QDJ82" s="0"/>
      <c r="QDK82" s="0"/>
      <c r="QDL82" s="0"/>
      <c r="QDM82" s="0"/>
      <c r="QDN82" s="0"/>
      <c r="QDO82" s="0"/>
      <c r="QDP82" s="0"/>
      <c r="QDQ82" s="0"/>
      <c r="QDR82" s="0"/>
      <c r="QDS82" s="0"/>
      <c r="QDT82" s="0"/>
      <c r="QDU82" s="0"/>
      <c r="QDV82" s="0"/>
      <c r="QDW82" s="0"/>
      <c r="QDX82" s="0"/>
      <c r="QDY82" s="0"/>
      <c r="QDZ82" s="0"/>
      <c r="QEA82" s="0"/>
      <c r="QEB82" s="0"/>
      <c r="QEC82" s="0"/>
      <c r="QED82" s="0"/>
      <c r="QEE82" s="0"/>
      <c r="QEF82" s="0"/>
      <c r="QEG82" s="0"/>
      <c r="QEH82" s="0"/>
      <c r="QEI82" s="0"/>
      <c r="QEJ82" s="0"/>
      <c r="QEK82" s="0"/>
      <c r="QEL82" s="0"/>
      <c r="QEM82" s="0"/>
      <c r="QEN82" s="0"/>
      <c r="QEO82" s="0"/>
      <c r="QEP82" s="0"/>
      <c r="QEQ82" s="0"/>
      <c r="QER82" s="0"/>
      <c r="QES82" s="0"/>
      <c r="QET82" s="0"/>
      <c r="QEU82" s="0"/>
      <c r="QEV82" s="0"/>
      <c r="QEW82" s="0"/>
      <c r="QEX82" s="0"/>
      <c r="QEY82" s="0"/>
      <c r="QEZ82" s="0"/>
      <c r="QFA82" s="0"/>
      <c r="QFB82" s="0"/>
      <c r="QFC82" s="0"/>
      <c r="QFD82" s="0"/>
      <c r="QFE82" s="0"/>
      <c r="QFF82" s="0"/>
      <c r="QFG82" s="0"/>
      <c r="QFH82" s="0"/>
      <c r="QFI82" s="0"/>
      <c r="QFJ82" s="0"/>
      <c r="QFK82" s="0"/>
      <c r="QFL82" s="0"/>
      <c r="QFM82" s="0"/>
      <c r="QFN82" s="0"/>
      <c r="QFO82" s="0"/>
      <c r="QFP82" s="0"/>
      <c r="QFQ82" s="0"/>
      <c r="QFR82" s="0"/>
      <c r="QFS82" s="0"/>
      <c r="QFT82" s="0"/>
      <c r="QFU82" s="0"/>
      <c r="QFV82" s="0"/>
      <c r="QFW82" s="0"/>
      <c r="QFX82" s="0"/>
      <c r="QFY82" s="0"/>
      <c r="QFZ82" s="0"/>
      <c r="QGA82" s="0"/>
      <c r="QGB82" s="0"/>
      <c r="QGC82" s="0"/>
      <c r="QGD82" s="0"/>
      <c r="QGE82" s="0"/>
      <c r="QGF82" s="0"/>
      <c r="QGG82" s="0"/>
      <c r="QGH82" s="0"/>
      <c r="QGI82" s="0"/>
      <c r="QGJ82" s="0"/>
      <c r="QGK82" s="0"/>
      <c r="QGL82" s="0"/>
      <c r="QGM82" s="0"/>
      <c r="QGN82" s="0"/>
      <c r="QGO82" s="0"/>
      <c r="QGP82" s="0"/>
      <c r="QGQ82" s="0"/>
      <c r="QGR82" s="0"/>
      <c r="QGS82" s="0"/>
      <c r="QGT82" s="0"/>
      <c r="QGU82" s="0"/>
      <c r="QGV82" s="0"/>
      <c r="QGW82" s="0"/>
      <c r="QGX82" s="0"/>
      <c r="QGY82" s="0"/>
      <c r="QGZ82" s="0"/>
      <c r="QHA82" s="0"/>
      <c r="QHB82" s="0"/>
      <c r="QHC82" s="0"/>
      <c r="QHD82" s="0"/>
      <c r="QHE82" s="0"/>
      <c r="QHF82" s="0"/>
      <c r="QHG82" s="0"/>
      <c r="QHH82" s="0"/>
      <c r="QHI82" s="0"/>
      <c r="QHJ82" s="0"/>
      <c r="QHK82" s="0"/>
      <c r="QHL82" s="0"/>
      <c r="QHM82" s="0"/>
      <c r="QHN82" s="0"/>
      <c r="QHO82" s="0"/>
      <c r="QHP82" s="0"/>
      <c r="QHQ82" s="0"/>
      <c r="QHR82" s="0"/>
      <c r="QHS82" s="0"/>
      <c r="QHT82" s="0"/>
      <c r="QHU82" s="0"/>
      <c r="QHV82" s="0"/>
      <c r="QHW82" s="0"/>
      <c r="QHX82" s="0"/>
      <c r="QHY82" s="0"/>
      <c r="QHZ82" s="0"/>
      <c r="QIA82" s="0"/>
      <c r="QIB82" s="0"/>
      <c r="QIC82" s="0"/>
      <c r="QID82" s="0"/>
      <c r="QIE82" s="0"/>
      <c r="QIF82" s="0"/>
      <c r="QIG82" s="0"/>
      <c r="QIH82" s="0"/>
      <c r="QII82" s="0"/>
      <c r="QIJ82" s="0"/>
      <c r="QIK82" s="0"/>
      <c r="QIL82" s="0"/>
      <c r="QIM82" s="0"/>
      <c r="QIN82" s="0"/>
      <c r="QIO82" s="0"/>
      <c r="QIP82" s="0"/>
      <c r="QIQ82" s="0"/>
      <c r="QIR82" s="0"/>
      <c r="QIS82" s="0"/>
      <c r="QIT82" s="0"/>
      <c r="QIU82" s="0"/>
      <c r="QIV82" s="0"/>
      <c r="QIW82" s="0"/>
      <c r="QIX82" s="0"/>
      <c r="QIY82" s="0"/>
      <c r="QIZ82" s="0"/>
      <c r="QJA82" s="0"/>
      <c r="QJB82" s="0"/>
      <c r="QJC82" s="0"/>
      <c r="QJD82" s="0"/>
      <c r="QJE82" s="0"/>
      <c r="QJF82" s="0"/>
      <c r="QJG82" s="0"/>
      <c r="QJH82" s="0"/>
      <c r="QJI82" s="0"/>
      <c r="QJJ82" s="0"/>
      <c r="QJK82" s="0"/>
      <c r="QJL82" s="0"/>
      <c r="QJM82" s="0"/>
      <c r="QJN82" s="0"/>
      <c r="QJO82" s="0"/>
      <c r="QJP82" s="0"/>
      <c r="QJQ82" s="0"/>
      <c r="QJR82" s="0"/>
      <c r="QJS82" s="0"/>
      <c r="QJT82" s="0"/>
      <c r="QJU82" s="0"/>
      <c r="QJV82" s="0"/>
      <c r="QJW82" s="0"/>
      <c r="QJX82" s="0"/>
      <c r="QJY82" s="0"/>
      <c r="QJZ82" s="0"/>
      <c r="QKA82" s="0"/>
      <c r="QKB82" s="0"/>
      <c r="QKC82" s="0"/>
      <c r="QKD82" s="0"/>
      <c r="QKE82" s="0"/>
      <c r="QKF82" s="0"/>
      <c r="QKG82" s="0"/>
      <c r="QKH82" s="0"/>
      <c r="QKI82" s="0"/>
      <c r="QKJ82" s="0"/>
      <c r="QKK82" s="0"/>
      <c r="QKL82" s="0"/>
      <c r="QKM82" s="0"/>
      <c r="QKN82" s="0"/>
      <c r="QKO82" s="0"/>
      <c r="QKP82" s="0"/>
      <c r="QKQ82" s="0"/>
      <c r="QKR82" s="0"/>
      <c r="QKS82" s="0"/>
      <c r="QKT82" s="0"/>
      <c r="QKU82" s="0"/>
      <c r="QKV82" s="0"/>
      <c r="QKW82" s="0"/>
      <c r="QKX82" s="0"/>
      <c r="QKY82" s="0"/>
      <c r="QKZ82" s="0"/>
      <c r="QLA82" s="0"/>
      <c r="QLB82" s="0"/>
      <c r="QLC82" s="0"/>
      <c r="QLD82" s="0"/>
      <c r="QLE82" s="0"/>
      <c r="QLF82" s="0"/>
      <c r="QLG82" s="0"/>
      <c r="QLH82" s="0"/>
      <c r="QLI82" s="0"/>
      <c r="QLJ82" s="0"/>
      <c r="QLK82" s="0"/>
      <c r="QLL82" s="0"/>
      <c r="QLM82" s="0"/>
      <c r="QLN82" s="0"/>
      <c r="QLO82" s="0"/>
      <c r="QLP82" s="0"/>
      <c r="QLQ82" s="0"/>
      <c r="QLR82" s="0"/>
      <c r="QLS82" s="0"/>
      <c r="QLT82" s="0"/>
      <c r="QLU82" s="0"/>
      <c r="QLV82" s="0"/>
      <c r="QLW82" s="0"/>
      <c r="QLX82" s="0"/>
      <c r="QLY82" s="0"/>
      <c r="QLZ82" s="0"/>
      <c r="QMA82" s="0"/>
      <c r="QMB82" s="0"/>
      <c r="QMC82" s="0"/>
      <c r="QMD82" s="0"/>
      <c r="QME82" s="0"/>
      <c r="QMF82" s="0"/>
      <c r="QMG82" s="0"/>
      <c r="QMH82" s="0"/>
      <c r="QMI82" s="0"/>
      <c r="QMJ82" s="0"/>
      <c r="QMK82" s="0"/>
      <c r="QML82" s="0"/>
      <c r="QMM82" s="0"/>
      <c r="QMN82" s="0"/>
      <c r="QMO82" s="0"/>
      <c r="QMP82" s="0"/>
      <c r="QMQ82" s="0"/>
      <c r="QMR82" s="0"/>
      <c r="QMS82" s="0"/>
      <c r="QMT82" s="0"/>
      <c r="QMU82" s="0"/>
      <c r="QMV82" s="0"/>
      <c r="QMW82" s="0"/>
      <c r="QMX82" s="0"/>
      <c r="QMY82" s="0"/>
      <c r="QMZ82" s="0"/>
      <c r="QNA82" s="0"/>
      <c r="QNB82" s="0"/>
      <c r="QNC82" s="0"/>
      <c r="QND82" s="0"/>
      <c r="QNE82" s="0"/>
      <c r="QNF82" s="0"/>
      <c r="QNG82" s="0"/>
      <c r="QNH82" s="0"/>
      <c r="QNI82" s="0"/>
      <c r="QNJ82" s="0"/>
      <c r="QNK82" s="0"/>
      <c r="QNL82" s="0"/>
      <c r="QNM82" s="0"/>
      <c r="QNN82" s="0"/>
      <c r="QNO82" s="0"/>
      <c r="QNP82" s="0"/>
      <c r="QNQ82" s="0"/>
      <c r="QNR82" s="0"/>
      <c r="QNS82" s="0"/>
      <c r="QNT82" s="0"/>
      <c r="QNU82" s="0"/>
      <c r="QNV82" s="0"/>
      <c r="QNW82" s="0"/>
      <c r="QNX82" s="0"/>
      <c r="QNY82" s="0"/>
      <c r="QNZ82" s="0"/>
      <c r="QOA82" s="0"/>
      <c r="QOB82" s="0"/>
      <c r="QOC82" s="0"/>
      <c r="QOD82" s="0"/>
      <c r="QOE82" s="0"/>
      <c r="QOF82" s="0"/>
      <c r="QOG82" s="0"/>
      <c r="QOH82" s="0"/>
      <c r="QOI82" s="0"/>
      <c r="QOJ82" s="0"/>
      <c r="QOK82" s="0"/>
      <c r="QOL82" s="0"/>
      <c r="QOM82" s="0"/>
      <c r="QON82" s="0"/>
      <c r="QOO82" s="0"/>
      <c r="QOP82" s="0"/>
      <c r="QOQ82" s="0"/>
      <c r="QOR82" s="0"/>
      <c r="QOS82" s="0"/>
      <c r="QOT82" s="0"/>
      <c r="QOU82" s="0"/>
      <c r="QOV82" s="0"/>
      <c r="QOW82" s="0"/>
      <c r="QOX82" s="0"/>
      <c r="QOY82" s="0"/>
      <c r="QOZ82" s="0"/>
      <c r="QPA82" s="0"/>
      <c r="QPB82" s="0"/>
      <c r="QPC82" s="0"/>
      <c r="QPD82" s="0"/>
      <c r="QPE82" s="0"/>
      <c r="QPF82" s="0"/>
      <c r="QPG82" s="0"/>
      <c r="QPH82" s="0"/>
      <c r="QPI82" s="0"/>
      <c r="QPJ82" s="0"/>
      <c r="QPK82" s="0"/>
      <c r="QPL82" s="0"/>
      <c r="QPM82" s="0"/>
      <c r="QPN82" s="0"/>
      <c r="QPO82" s="0"/>
      <c r="QPP82" s="0"/>
      <c r="QPQ82" s="0"/>
      <c r="QPR82" s="0"/>
      <c r="QPS82" s="0"/>
      <c r="QPT82" s="0"/>
      <c r="QPU82" s="0"/>
      <c r="QPV82" s="0"/>
      <c r="QPW82" s="0"/>
      <c r="QPX82" s="0"/>
      <c r="QPY82" s="0"/>
      <c r="QPZ82" s="0"/>
      <c r="QQA82" s="0"/>
      <c r="QQB82" s="0"/>
      <c r="QQC82" s="0"/>
      <c r="QQD82" s="0"/>
      <c r="QQE82" s="0"/>
      <c r="QQF82" s="0"/>
      <c r="QQG82" s="0"/>
      <c r="QQH82" s="0"/>
      <c r="QQI82" s="0"/>
      <c r="QQJ82" s="0"/>
      <c r="QQK82" s="0"/>
      <c r="QQL82" s="0"/>
      <c r="QQM82" s="0"/>
      <c r="QQN82" s="0"/>
      <c r="QQO82" s="0"/>
      <c r="QQP82" s="0"/>
      <c r="QQQ82" s="0"/>
      <c r="QQR82" s="0"/>
      <c r="QQS82" s="0"/>
      <c r="QQT82" s="0"/>
      <c r="QQU82" s="0"/>
      <c r="QQV82" s="0"/>
      <c r="QQW82" s="0"/>
      <c r="QQX82" s="0"/>
      <c r="QQY82" s="0"/>
      <c r="QQZ82" s="0"/>
      <c r="QRA82" s="0"/>
      <c r="QRB82" s="0"/>
      <c r="QRC82" s="0"/>
      <c r="QRD82" s="0"/>
      <c r="QRE82" s="0"/>
      <c r="QRF82" s="0"/>
      <c r="QRG82" s="0"/>
      <c r="QRH82" s="0"/>
      <c r="QRI82" s="0"/>
      <c r="QRJ82" s="0"/>
      <c r="QRK82" s="0"/>
      <c r="QRL82" s="0"/>
      <c r="QRM82" s="0"/>
      <c r="QRN82" s="0"/>
      <c r="QRO82" s="0"/>
      <c r="QRP82" s="0"/>
      <c r="QRQ82" s="0"/>
      <c r="QRR82" s="0"/>
      <c r="QRS82" s="0"/>
      <c r="QRT82" s="0"/>
      <c r="QRU82" s="0"/>
      <c r="QRV82" s="0"/>
      <c r="QRW82" s="0"/>
      <c r="QRX82" s="0"/>
      <c r="QRY82" s="0"/>
      <c r="QRZ82" s="0"/>
      <c r="QSA82" s="0"/>
      <c r="QSB82" s="0"/>
      <c r="QSC82" s="0"/>
      <c r="QSD82" s="0"/>
      <c r="QSE82" s="0"/>
      <c r="QSF82" s="0"/>
      <c r="QSG82" s="0"/>
      <c r="QSH82" s="0"/>
      <c r="QSI82" s="0"/>
      <c r="QSJ82" s="0"/>
      <c r="QSK82" s="0"/>
      <c r="QSL82" s="0"/>
      <c r="QSM82" s="0"/>
      <c r="QSN82" s="0"/>
      <c r="QSO82" s="0"/>
      <c r="QSP82" s="0"/>
      <c r="QSQ82" s="0"/>
      <c r="QSR82" s="0"/>
      <c r="QSS82" s="0"/>
      <c r="QST82" s="0"/>
      <c r="QSU82" s="0"/>
      <c r="QSV82" s="0"/>
      <c r="QSW82" s="0"/>
      <c r="QSX82" s="0"/>
      <c r="QSY82" s="0"/>
      <c r="QSZ82" s="0"/>
      <c r="QTA82" s="0"/>
      <c r="QTB82" s="0"/>
      <c r="QTC82" s="0"/>
      <c r="QTD82" s="0"/>
      <c r="QTE82" s="0"/>
      <c r="QTF82" s="0"/>
      <c r="QTG82" s="0"/>
      <c r="QTH82" s="0"/>
      <c r="QTI82" s="0"/>
      <c r="QTJ82" s="0"/>
      <c r="QTK82" s="0"/>
      <c r="QTL82" s="0"/>
      <c r="QTM82" s="0"/>
      <c r="QTN82" s="0"/>
      <c r="QTO82" s="0"/>
      <c r="QTP82" s="0"/>
      <c r="QTQ82" s="0"/>
      <c r="QTR82" s="0"/>
      <c r="QTS82" s="0"/>
      <c r="QTT82" s="0"/>
      <c r="QTU82" s="0"/>
      <c r="QTV82" s="0"/>
      <c r="QTW82" s="0"/>
      <c r="QTX82" s="0"/>
      <c r="QTY82" s="0"/>
      <c r="QTZ82" s="0"/>
      <c r="QUA82" s="0"/>
      <c r="QUB82" s="0"/>
      <c r="QUC82" s="0"/>
      <c r="QUD82" s="0"/>
      <c r="QUE82" s="0"/>
      <c r="QUF82" s="0"/>
      <c r="QUG82" s="0"/>
      <c r="QUH82" s="0"/>
      <c r="QUI82" s="0"/>
      <c r="QUJ82" s="0"/>
      <c r="QUK82" s="0"/>
      <c r="QUL82" s="0"/>
      <c r="QUM82" s="0"/>
      <c r="QUN82" s="0"/>
      <c r="QUO82" s="0"/>
      <c r="QUP82" s="0"/>
      <c r="QUQ82" s="0"/>
      <c r="QUR82" s="0"/>
      <c r="QUS82" s="0"/>
      <c r="QUT82" s="0"/>
      <c r="QUU82" s="0"/>
      <c r="QUV82" s="0"/>
      <c r="QUW82" s="0"/>
      <c r="QUX82" s="0"/>
      <c r="QUY82" s="0"/>
      <c r="QUZ82" s="0"/>
      <c r="QVA82" s="0"/>
      <c r="QVB82" s="0"/>
      <c r="QVC82" s="0"/>
      <c r="QVD82" s="0"/>
      <c r="QVE82" s="0"/>
      <c r="QVF82" s="0"/>
      <c r="QVG82" s="0"/>
      <c r="QVH82" s="0"/>
      <c r="QVI82" s="0"/>
      <c r="QVJ82" s="0"/>
      <c r="QVK82" s="0"/>
      <c r="QVL82" s="0"/>
      <c r="QVM82" s="0"/>
      <c r="QVN82" s="0"/>
      <c r="QVO82" s="0"/>
      <c r="QVP82" s="0"/>
      <c r="QVQ82" s="0"/>
      <c r="QVR82" s="0"/>
      <c r="QVS82" s="0"/>
      <c r="QVT82" s="0"/>
      <c r="QVU82" s="0"/>
      <c r="QVV82" s="0"/>
      <c r="QVW82" s="0"/>
      <c r="QVX82" s="0"/>
      <c r="QVY82" s="0"/>
      <c r="QVZ82" s="0"/>
      <c r="QWA82" s="0"/>
      <c r="QWB82" s="0"/>
      <c r="QWC82" s="0"/>
      <c r="QWD82" s="0"/>
      <c r="QWE82" s="0"/>
      <c r="QWF82" s="0"/>
      <c r="QWG82" s="0"/>
      <c r="QWH82" s="0"/>
      <c r="QWI82" s="0"/>
      <c r="QWJ82" s="0"/>
      <c r="QWK82" s="0"/>
      <c r="QWL82" s="0"/>
      <c r="QWM82" s="0"/>
      <c r="QWN82" s="0"/>
      <c r="QWO82" s="0"/>
      <c r="QWP82" s="0"/>
      <c r="QWQ82" s="0"/>
      <c r="QWR82" s="0"/>
      <c r="QWS82" s="0"/>
      <c r="QWT82" s="0"/>
      <c r="QWU82" s="0"/>
      <c r="QWV82" s="0"/>
      <c r="QWW82" s="0"/>
      <c r="QWX82" s="0"/>
      <c r="QWY82" s="0"/>
      <c r="QWZ82" s="0"/>
      <c r="QXA82" s="0"/>
      <c r="QXB82" s="0"/>
      <c r="QXC82" s="0"/>
      <c r="QXD82" s="0"/>
      <c r="QXE82" s="0"/>
      <c r="QXF82" s="0"/>
      <c r="QXG82" s="0"/>
      <c r="QXH82" s="0"/>
      <c r="QXI82" s="0"/>
      <c r="QXJ82" s="0"/>
      <c r="QXK82" s="0"/>
      <c r="QXL82" s="0"/>
      <c r="QXM82" s="0"/>
      <c r="QXN82" s="0"/>
      <c r="QXO82" s="0"/>
      <c r="QXP82" s="0"/>
      <c r="QXQ82" s="0"/>
      <c r="QXR82" s="0"/>
      <c r="QXS82" s="0"/>
      <c r="QXT82" s="0"/>
      <c r="QXU82" s="0"/>
      <c r="QXV82" s="0"/>
      <c r="QXW82" s="0"/>
      <c r="QXX82" s="0"/>
      <c r="QXY82" s="0"/>
      <c r="QXZ82" s="0"/>
      <c r="QYA82" s="0"/>
      <c r="QYB82" s="0"/>
      <c r="QYC82" s="0"/>
      <c r="QYD82" s="0"/>
      <c r="QYE82" s="0"/>
      <c r="QYF82" s="0"/>
      <c r="QYG82" s="0"/>
      <c r="QYH82" s="0"/>
      <c r="QYI82" s="0"/>
      <c r="QYJ82" s="0"/>
      <c r="QYK82" s="0"/>
      <c r="QYL82" s="0"/>
      <c r="QYM82" s="0"/>
      <c r="QYN82" s="0"/>
      <c r="QYO82" s="0"/>
      <c r="QYP82" s="0"/>
      <c r="QYQ82" s="0"/>
      <c r="QYR82" s="0"/>
      <c r="QYS82" s="0"/>
      <c r="QYT82" s="0"/>
      <c r="QYU82" s="0"/>
      <c r="QYV82" s="0"/>
      <c r="QYW82" s="0"/>
      <c r="QYX82" s="0"/>
      <c r="QYY82" s="0"/>
      <c r="QYZ82" s="0"/>
      <c r="QZA82" s="0"/>
      <c r="QZB82" s="0"/>
      <c r="QZC82" s="0"/>
      <c r="QZD82" s="0"/>
      <c r="QZE82" s="0"/>
      <c r="QZF82" s="0"/>
      <c r="QZG82" s="0"/>
      <c r="QZH82" s="0"/>
      <c r="QZI82" s="0"/>
      <c r="QZJ82" s="0"/>
      <c r="QZK82" s="0"/>
      <c r="QZL82" s="0"/>
      <c r="QZM82" s="0"/>
      <c r="QZN82" s="0"/>
      <c r="QZO82" s="0"/>
      <c r="QZP82" s="0"/>
      <c r="QZQ82" s="0"/>
      <c r="QZR82" s="0"/>
      <c r="QZS82" s="0"/>
      <c r="QZT82" s="0"/>
      <c r="QZU82" s="0"/>
      <c r="QZV82" s="0"/>
      <c r="QZW82" s="0"/>
      <c r="QZX82" s="0"/>
      <c r="QZY82" s="0"/>
      <c r="QZZ82" s="0"/>
      <c r="RAA82" s="0"/>
      <c r="RAB82" s="0"/>
      <c r="RAC82" s="0"/>
      <c r="RAD82" s="0"/>
      <c r="RAE82" s="0"/>
      <c r="RAF82" s="0"/>
      <c r="RAG82" s="0"/>
      <c r="RAH82" s="0"/>
      <c r="RAI82" s="0"/>
      <c r="RAJ82" s="0"/>
      <c r="RAK82" s="0"/>
      <c r="RAL82" s="0"/>
      <c r="RAM82" s="0"/>
      <c r="RAN82" s="0"/>
      <c r="RAO82" s="0"/>
      <c r="RAP82" s="0"/>
      <c r="RAQ82" s="0"/>
      <c r="RAR82" s="0"/>
      <c r="RAS82" s="0"/>
      <c r="RAT82" s="0"/>
      <c r="RAU82" s="0"/>
      <c r="RAV82" s="0"/>
      <c r="RAW82" s="0"/>
      <c r="RAX82" s="0"/>
      <c r="RAY82" s="0"/>
      <c r="RAZ82" s="0"/>
      <c r="RBA82" s="0"/>
      <c r="RBB82" s="0"/>
      <c r="RBC82" s="0"/>
      <c r="RBD82" s="0"/>
      <c r="RBE82" s="0"/>
      <c r="RBF82" s="0"/>
      <c r="RBG82" s="0"/>
      <c r="RBH82" s="0"/>
      <c r="RBI82" s="0"/>
      <c r="RBJ82" s="0"/>
      <c r="RBK82" s="0"/>
      <c r="RBL82" s="0"/>
      <c r="RBM82" s="0"/>
      <c r="RBN82" s="0"/>
      <c r="RBO82" s="0"/>
      <c r="RBP82" s="0"/>
      <c r="RBQ82" s="0"/>
      <c r="RBR82" s="0"/>
      <c r="RBS82" s="0"/>
      <c r="RBT82" s="0"/>
      <c r="RBU82" s="0"/>
      <c r="RBV82" s="0"/>
      <c r="RBW82" s="0"/>
      <c r="RBX82" s="0"/>
      <c r="RBY82" s="0"/>
      <c r="RBZ82" s="0"/>
      <c r="RCA82" s="0"/>
      <c r="RCB82" s="0"/>
      <c r="RCC82" s="0"/>
      <c r="RCD82" s="0"/>
      <c r="RCE82" s="0"/>
      <c r="RCF82" s="0"/>
      <c r="RCG82" s="0"/>
      <c r="RCH82" s="0"/>
      <c r="RCI82" s="0"/>
      <c r="RCJ82" s="0"/>
      <c r="RCK82" s="0"/>
      <c r="RCL82" s="0"/>
      <c r="RCM82" s="0"/>
      <c r="RCN82" s="0"/>
      <c r="RCO82" s="0"/>
      <c r="RCP82" s="0"/>
      <c r="RCQ82" s="0"/>
      <c r="RCR82" s="0"/>
      <c r="RCS82" s="0"/>
      <c r="RCT82" s="0"/>
      <c r="RCU82" s="0"/>
      <c r="RCV82" s="0"/>
      <c r="RCW82" s="0"/>
      <c r="RCX82" s="0"/>
      <c r="RCY82" s="0"/>
      <c r="RCZ82" s="0"/>
      <c r="RDA82" s="0"/>
      <c r="RDB82" s="0"/>
      <c r="RDC82" s="0"/>
      <c r="RDD82" s="0"/>
      <c r="RDE82" s="0"/>
      <c r="RDF82" s="0"/>
      <c r="RDG82" s="0"/>
      <c r="RDH82" s="0"/>
      <c r="RDI82" s="0"/>
      <c r="RDJ82" s="0"/>
      <c r="RDK82" s="0"/>
      <c r="RDL82" s="0"/>
      <c r="RDM82" s="0"/>
      <c r="RDN82" s="0"/>
      <c r="RDO82" s="0"/>
      <c r="RDP82" s="0"/>
      <c r="RDQ82" s="0"/>
      <c r="RDR82" s="0"/>
      <c r="RDS82" s="0"/>
      <c r="RDT82" s="0"/>
      <c r="RDU82" s="0"/>
      <c r="RDV82" s="0"/>
      <c r="RDW82" s="0"/>
      <c r="RDX82" s="0"/>
      <c r="RDY82" s="0"/>
      <c r="RDZ82" s="0"/>
      <c r="REA82" s="0"/>
      <c r="REB82" s="0"/>
      <c r="REC82" s="0"/>
      <c r="RED82" s="0"/>
      <c r="REE82" s="0"/>
      <c r="REF82" s="0"/>
      <c r="REG82" s="0"/>
      <c r="REH82" s="0"/>
      <c r="REI82" s="0"/>
      <c r="REJ82" s="0"/>
      <c r="REK82" s="0"/>
      <c r="REL82" s="0"/>
      <c r="REM82" s="0"/>
      <c r="REN82" s="0"/>
      <c r="REO82" s="0"/>
      <c r="REP82" s="0"/>
      <c r="REQ82" s="0"/>
      <c r="RER82" s="0"/>
      <c r="RES82" s="0"/>
      <c r="RET82" s="0"/>
      <c r="REU82" s="0"/>
      <c r="REV82" s="0"/>
      <c r="REW82" s="0"/>
      <c r="REX82" s="0"/>
      <c r="REY82" s="0"/>
      <c r="REZ82" s="0"/>
      <c r="RFA82" s="0"/>
      <c r="RFB82" s="0"/>
      <c r="RFC82" s="0"/>
      <c r="RFD82" s="0"/>
      <c r="RFE82" s="0"/>
      <c r="RFF82" s="0"/>
      <c r="RFG82" s="0"/>
      <c r="RFH82" s="0"/>
      <c r="RFI82" s="0"/>
      <c r="RFJ82" s="0"/>
      <c r="RFK82" s="0"/>
      <c r="RFL82" s="0"/>
      <c r="RFM82" s="0"/>
      <c r="RFN82" s="0"/>
      <c r="RFO82" s="0"/>
      <c r="RFP82" s="0"/>
      <c r="RFQ82" s="0"/>
      <c r="RFR82" s="0"/>
      <c r="RFS82" s="0"/>
      <c r="RFT82" s="0"/>
      <c r="RFU82" s="0"/>
      <c r="RFV82" s="0"/>
      <c r="RFW82" s="0"/>
      <c r="RFX82" s="0"/>
      <c r="RFY82" s="0"/>
      <c r="RFZ82" s="0"/>
      <c r="RGA82" s="0"/>
      <c r="RGB82" s="0"/>
      <c r="RGC82" s="0"/>
      <c r="RGD82" s="0"/>
      <c r="RGE82" s="0"/>
      <c r="RGF82" s="0"/>
      <c r="RGG82" s="0"/>
      <c r="RGH82" s="0"/>
      <c r="RGI82" s="0"/>
      <c r="RGJ82" s="0"/>
      <c r="RGK82" s="0"/>
      <c r="RGL82" s="0"/>
      <c r="RGM82" s="0"/>
      <c r="RGN82" s="0"/>
      <c r="RGO82" s="0"/>
      <c r="RGP82" s="0"/>
      <c r="RGQ82" s="0"/>
      <c r="RGR82" s="0"/>
      <c r="RGS82" s="0"/>
      <c r="RGT82" s="0"/>
      <c r="RGU82" s="0"/>
      <c r="RGV82" s="0"/>
      <c r="RGW82" s="0"/>
      <c r="RGX82" s="0"/>
      <c r="RGY82" s="0"/>
      <c r="RGZ82" s="0"/>
      <c r="RHA82" s="0"/>
      <c r="RHB82" s="0"/>
      <c r="RHC82" s="0"/>
      <c r="RHD82" s="0"/>
      <c r="RHE82" s="0"/>
      <c r="RHF82" s="0"/>
      <c r="RHG82" s="0"/>
      <c r="RHH82" s="0"/>
      <c r="RHI82" s="0"/>
      <c r="RHJ82" s="0"/>
      <c r="RHK82" s="0"/>
      <c r="RHL82" s="0"/>
      <c r="RHM82" s="0"/>
      <c r="RHN82" s="0"/>
      <c r="RHO82" s="0"/>
      <c r="RHP82" s="0"/>
      <c r="RHQ82" s="0"/>
      <c r="RHR82" s="0"/>
      <c r="RHS82" s="0"/>
      <c r="RHT82" s="0"/>
      <c r="RHU82" s="0"/>
      <c r="RHV82" s="0"/>
      <c r="RHW82" s="0"/>
      <c r="RHX82" s="0"/>
      <c r="RHY82" s="0"/>
      <c r="RHZ82" s="0"/>
      <c r="RIA82" s="0"/>
      <c r="RIB82" s="0"/>
      <c r="RIC82" s="0"/>
      <c r="RID82" s="0"/>
      <c r="RIE82" s="0"/>
      <c r="RIF82" s="0"/>
      <c r="RIG82" s="0"/>
      <c r="RIH82" s="0"/>
      <c r="RII82" s="0"/>
      <c r="RIJ82" s="0"/>
      <c r="RIK82" s="0"/>
      <c r="RIL82" s="0"/>
      <c r="RIM82" s="0"/>
      <c r="RIN82" s="0"/>
      <c r="RIO82" s="0"/>
      <c r="RIP82" s="0"/>
      <c r="RIQ82" s="0"/>
      <c r="RIR82" s="0"/>
      <c r="RIS82" s="0"/>
      <c r="RIT82" s="0"/>
      <c r="RIU82" s="0"/>
      <c r="RIV82" s="0"/>
      <c r="RIW82" s="0"/>
      <c r="RIX82" s="0"/>
      <c r="RIY82" s="0"/>
      <c r="RIZ82" s="0"/>
      <c r="RJA82" s="0"/>
      <c r="RJB82" s="0"/>
      <c r="RJC82" s="0"/>
      <c r="RJD82" s="0"/>
      <c r="RJE82" s="0"/>
      <c r="RJF82" s="0"/>
      <c r="RJG82" s="0"/>
      <c r="RJH82" s="0"/>
      <c r="RJI82" s="0"/>
      <c r="RJJ82" s="0"/>
      <c r="RJK82" s="0"/>
      <c r="RJL82" s="0"/>
      <c r="RJM82" s="0"/>
      <c r="RJN82" s="0"/>
      <c r="RJO82" s="0"/>
      <c r="RJP82" s="0"/>
      <c r="RJQ82" s="0"/>
      <c r="RJR82" s="0"/>
      <c r="RJS82" s="0"/>
      <c r="RJT82" s="0"/>
      <c r="RJU82" s="0"/>
      <c r="RJV82" s="0"/>
      <c r="RJW82" s="0"/>
      <c r="RJX82" s="0"/>
      <c r="RJY82" s="0"/>
      <c r="RJZ82" s="0"/>
      <c r="RKA82" s="0"/>
      <c r="RKB82" s="0"/>
      <c r="RKC82" s="0"/>
      <c r="RKD82" s="0"/>
      <c r="RKE82" s="0"/>
      <c r="RKF82" s="0"/>
      <c r="RKG82" s="0"/>
      <c r="RKH82" s="0"/>
      <c r="RKI82" s="0"/>
      <c r="RKJ82" s="0"/>
      <c r="RKK82" s="0"/>
      <c r="RKL82" s="0"/>
      <c r="RKM82" s="0"/>
      <c r="RKN82" s="0"/>
      <c r="RKO82" s="0"/>
      <c r="RKP82" s="0"/>
      <c r="RKQ82" s="0"/>
      <c r="RKR82" s="0"/>
      <c r="RKS82" s="0"/>
      <c r="RKT82" s="0"/>
      <c r="RKU82" s="0"/>
      <c r="RKV82" s="0"/>
      <c r="RKW82" s="0"/>
      <c r="RKX82" s="0"/>
      <c r="RKY82" s="0"/>
      <c r="RKZ82" s="0"/>
      <c r="RLA82" s="0"/>
      <c r="RLB82" s="0"/>
      <c r="RLC82" s="0"/>
      <c r="RLD82" s="0"/>
      <c r="RLE82" s="0"/>
      <c r="RLF82" s="0"/>
      <c r="RLG82" s="0"/>
      <c r="RLH82" s="0"/>
      <c r="RLI82" s="0"/>
      <c r="RLJ82" s="0"/>
      <c r="RLK82" s="0"/>
      <c r="RLL82" s="0"/>
      <c r="RLM82" s="0"/>
      <c r="RLN82" s="0"/>
      <c r="RLO82" s="0"/>
      <c r="RLP82" s="0"/>
      <c r="RLQ82" s="0"/>
      <c r="RLR82" s="0"/>
      <c r="RLS82" s="0"/>
      <c r="RLT82" s="0"/>
      <c r="RLU82" s="0"/>
      <c r="RLV82" s="0"/>
      <c r="RLW82" s="0"/>
      <c r="RLX82" s="0"/>
      <c r="RLY82" s="0"/>
      <c r="RLZ82" s="0"/>
      <c r="RMA82" s="0"/>
      <c r="RMB82" s="0"/>
      <c r="RMC82" s="0"/>
      <c r="RMD82" s="0"/>
      <c r="RME82" s="0"/>
      <c r="RMF82" s="0"/>
      <c r="RMG82" s="0"/>
      <c r="RMH82" s="0"/>
      <c r="RMI82" s="0"/>
      <c r="RMJ82" s="0"/>
      <c r="RMK82" s="0"/>
      <c r="RML82" s="0"/>
      <c r="RMM82" s="0"/>
      <c r="RMN82" s="0"/>
      <c r="RMO82" s="0"/>
      <c r="RMP82" s="0"/>
      <c r="RMQ82" s="0"/>
      <c r="RMR82" s="0"/>
      <c r="RMS82" s="0"/>
      <c r="RMT82" s="0"/>
      <c r="RMU82" s="0"/>
      <c r="RMV82" s="0"/>
      <c r="RMW82" s="0"/>
      <c r="RMX82" s="0"/>
      <c r="RMY82" s="0"/>
      <c r="RMZ82" s="0"/>
      <c r="RNA82" s="0"/>
      <c r="RNB82" s="0"/>
      <c r="RNC82" s="0"/>
      <c r="RND82" s="0"/>
      <c r="RNE82" s="0"/>
      <c r="RNF82" s="0"/>
      <c r="RNG82" s="0"/>
      <c r="RNH82" s="0"/>
      <c r="RNI82" s="0"/>
      <c r="RNJ82" s="0"/>
      <c r="RNK82" s="0"/>
      <c r="RNL82" s="0"/>
      <c r="RNM82" s="0"/>
      <c r="RNN82" s="0"/>
      <c r="RNO82" s="0"/>
      <c r="RNP82" s="0"/>
      <c r="RNQ82" s="0"/>
      <c r="RNR82" s="0"/>
      <c r="RNS82" s="0"/>
      <c r="RNT82" s="0"/>
      <c r="RNU82" s="0"/>
      <c r="RNV82" s="0"/>
      <c r="RNW82" s="0"/>
      <c r="RNX82" s="0"/>
      <c r="RNY82" s="0"/>
      <c r="RNZ82" s="0"/>
      <c r="ROA82" s="0"/>
      <c r="ROB82" s="0"/>
      <c r="ROC82" s="0"/>
      <c r="ROD82" s="0"/>
      <c r="ROE82" s="0"/>
      <c r="ROF82" s="0"/>
      <c r="ROG82" s="0"/>
      <c r="ROH82" s="0"/>
      <c r="ROI82" s="0"/>
      <c r="ROJ82" s="0"/>
      <c r="ROK82" s="0"/>
      <c r="ROL82" s="0"/>
      <c r="ROM82" s="0"/>
      <c r="RON82" s="0"/>
      <c r="ROO82" s="0"/>
      <c r="ROP82" s="0"/>
      <c r="ROQ82" s="0"/>
      <c r="ROR82" s="0"/>
      <c r="ROS82" s="0"/>
      <c r="ROT82" s="0"/>
      <c r="ROU82" s="0"/>
      <c r="ROV82" s="0"/>
      <c r="ROW82" s="0"/>
      <c r="ROX82" s="0"/>
      <c r="ROY82" s="0"/>
      <c r="ROZ82" s="0"/>
      <c r="RPA82" s="0"/>
      <c r="RPB82" s="0"/>
      <c r="RPC82" s="0"/>
      <c r="RPD82" s="0"/>
      <c r="RPE82" s="0"/>
      <c r="RPF82" s="0"/>
      <c r="RPG82" s="0"/>
      <c r="RPH82" s="0"/>
      <c r="RPI82" s="0"/>
      <c r="RPJ82" s="0"/>
      <c r="RPK82" s="0"/>
      <c r="RPL82" s="0"/>
      <c r="RPM82" s="0"/>
      <c r="RPN82" s="0"/>
      <c r="RPO82" s="0"/>
      <c r="RPP82" s="0"/>
      <c r="RPQ82" s="0"/>
      <c r="RPR82" s="0"/>
      <c r="RPS82" s="0"/>
      <c r="RPT82" s="0"/>
      <c r="RPU82" s="0"/>
      <c r="RPV82" s="0"/>
      <c r="RPW82" s="0"/>
      <c r="RPX82" s="0"/>
      <c r="RPY82" s="0"/>
      <c r="RPZ82" s="0"/>
      <c r="RQA82" s="0"/>
      <c r="RQB82" s="0"/>
      <c r="RQC82" s="0"/>
      <c r="RQD82" s="0"/>
      <c r="RQE82" s="0"/>
      <c r="RQF82" s="0"/>
      <c r="RQG82" s="0"/>
      <c r="RQH82" s="0"/>
      <c r="RQI82" s="0"/>
      <c r="RQJ82" s="0"/>
      <c r="RQK82" s="0"/>
      <c r="RQL82" s="0"/>
      <c r="RQM82" s="0"/>
      <c r="RQN82" s="0"/>
      <c r="RQO82" s="0"/>
      <c r="RQP82" s="0"/>
      <c r="RQQ82" s="0"/>
      <c r="RQR82" s="0"/>
      <c r="RQS82" s="0"/>
      <c r="RQT82" s="0"/>
      <c r="RQU82" s="0"/>
      <c r="RQV82" s="0"/>
      <c r="RQW82" s="0"/>
      <c r="RQX82" s="0"/>
      <c r="RQY82" s="0"/>
      <c r="RQZ82" s="0"/>
      <c r="RRA82" s="0"/>
      <c r="RRB82" s="0"/>
      <c r="RRC82" s="0"/>
      <c r="RRD82" s="0"/>
      <c r="RRE82" s="0"/>
      <c r="RRF82" s="0"/>
      <c r="RRG82" s="0"/>
      <c r="RRH82" s="0"/>
      <c r="RRI82" s="0"/>
      <c r="RRJ82" s="0"/>
      <c r="RRK82" s="0"/>
      <c r="RRL82" s="0"/>
      <c r="RRM82" s="0"/>
      <c r="RRN82" s="0"/>
      <c r="RRO82" s="0"/>
      <c r="RRP82" s="0"/>
      <c r="RRQ82" s="0"/>
      <c r="RRR82" s="0"/>
      <c r="RRS82" s="0"/>
      <c r="RRT82" s="0"/>
      <c r="RRU82" s="0"/>
      <c r="RRV82" s="0"/>
      <c r="RRW82" s="0"/>
      <c r="RRX82" s="0"/>
      <c r="RRY82" s="0"/>
      <c r="RRZ82" s="0"/>
      <c r="RSA82" s="0"/>
      <c r="RSB82" s="0"/>
      <c r="RSC82" s="0"/>
      <c r="RSD82" s="0"/>
      <c r="RSE82" s="0"/>
      <c r="RSF82" s="0"/>
      <c r="RSG82" s="0"/>
      <c r="RSH82" s="0"/>
      <c r="RSI82" s="0"/>
      <c r="RSJ82" s="0"/>
      <c r="RSK82" s="0"/>
      <c r="RSL82" s="0"/>
      <c r="RSM82" s="0"/>
      <c r="RSN82" s="0"/>
      <c r="RSO82" s="0"/>
      <c r="RSP82" s="0"/>
      <c r="RSQ82" s="0"/>
      <c r="RSR82" s="0"/>
      <c r="RSS82" s="0"/>
      <c r="RST82" s="0"/>
      <c r="RSU82" s="0"/>
      <c r="RSV82" s="0"/>
      <c r="RSW82" s="0"/>
      <c r="RSX82" s="0"/>
      <c r="RSY82" s="0"/>
      <c r="RSZ82" s="0"/>
      <c r="RTA82" s="0"/>
      <c r="RTB82" s="0"/>
      <c r="RTC82" s="0"/>
      <c r="RTD82" s="0"/>
      <c r="RTE82" s="0"/>
      <c r="RTF82" s="0"/>
      <c r="RTG82" s="0"/>
      <c r="RTH82" s="0"/>
      <c r="RTI82" s="0"/>
      <c r="RTJ82" s="0"/>
      <c r="RTK82" s="0"/>
      <c r="RTL82" s="0"/>
      <c r="RTM82" s="0"/>
      <c r="RTN82" s="0"/>
      <c r="RTO82" s="0"/>
      <c r="RTP82" s="0"/>
      <c r="RTQ82" s="0"/>
      <c r="RTR82" s="0"/>
      <c r="RTS82" s="0"/>
      <c r="RTT82" s="0"/>
      <c r="RTU82" s="0"/>
      <c r="RTV82" s="0"/>
      <c r="RTW82" s="0"/>
      <c r="RTX82" s="0"/>
      <c r="RTY82" s="0"/>
      <c r="RTZ82" s="0"/>
      <c r="RUA82" s="0"/>
      <c r="RUB82" s="0"/>
      <c r="RUC82" s="0"/>
      <c r="RUD82" s="0"/>
      <c r="RUE82" s="0"/>
      <c r="RUF82" s="0"/>
      <c r="RUG82" s="0"/>
      <c r="RUH82" s="0"/>
      <c r="RUI82" s="0"/>
      <c r="RUJ82" s="0"/>
      <c r="RUK82" s="0"/>
      <c r="RUL82" s="0"/>
      <c r="RUM82" s="0"/>
      <c r="RUN82" s="0"/>
      <c r="RUO82" s="0"/>
      <c r="RUP82" s="0"/>
      <c r="RUQ82" s="0"/>
      <c r="RUR82" s="0"/>
      <c r="RUS82" s="0"/>
      <c r="RUT82" s="0"/>
      <c r="RUU82" s="0"/>
      <c r="RUV82" s="0"/>
      <c r="RUW82" s="0"/>
      <c r="RUX82" s="0"/>
      <c r="RUY82" s="0"/>
      <c r="RUZ82" s="0"/>
      <c r="RVA82" s="0"/>
      <c r="RVB82" s="0"/>
      <c r="RVC82" s="0"/>
      <c r="RVD82" s="0"/>
      <c r="RVE82" s="0"/>
      <c r="RVF82" s="0"/>
      <c r="RVG82" s="0"/>
      <c r="RVH82" s="0"/>
      <c r="RVI82" s="0"/>
      <c r="RVJ82" s="0"/>
      <c r="RVK82" s="0"/>
      <c r="RVL82" s="0"/>
      <c r="RVM82" s="0"/>
      <c r="RVN82" s="0"/>
      <c r="RVO82" s="0"/>
      <c r="RVP82" s="0"/>
      <c r="RVQ82" s="0"/>
      <c r="RVR82" s="0"/>
      <c r="RVS82" s="0"/>
      <c r="RVT82" s="0"/>
      <c r="RVU82" s="0"/>
      <c r="RVV82" s="0"/>
      <c r="RVW82" s="0"/>
      <c r="RVX82" s="0"/>
      <c r="RVY82" s="0"/>
      <c r="RVZ82" s="0"/>
      <c r="RWA82" s="0"/>
      <c r="RWB82" s="0"/>
      <c r="RWC82" s="0"/>
      <c r="RWD82" s="0"/>
      <c r="RWE82" s="0"/>
      <c r="RWF82" s="0"/>
      <c r="RWG82" s="0"/>
      <c r="RWH82" s="0"/>
      <c r="RWI82" s="0"/>
      <c r="RWJ82" s="0"/>
      <c r="RWK82" s="0"/>
      <c r="RWL82" s="0"/>
      <c r="RWM82" s="0"/>
      <c r="RWN82" s="0"/>
      <c r="RWO82" s="0"/>
      <c r="RWP82" s="0"/>
      <c r="RWQ82" s="0"/>
      <c r="RWR82" s="0"/>
      <c r="RWS82" s="0"/>
      <c r="RWT82" s="0"/>
      <c r="RWU82" s="0"/>
      <c r="RWV82" s="0"/>
      <c r="RWW82" s="0"/>
      <c r="RWX82" s="0"/>
      <c r="RWY82" s="0"/>
      <c r="RWZ82" s="0"/>
      <c r="RXA82" s="0"/>
      <c r="RXB82" s="0"/>
      <c r="RXC82" s="0"/>
      <c r="RXD82" s="0"/>
      <c r="RXE82" s="0"/>
      <c r="RXF82" s="0"/>
      <c r="RXG82" s="0"/>
      <c r="RXH82" s="0"/>
      <c r="RXI82" s="0"/>
      <c r="RXJ82" s="0"/>
      <c r="RXK82" s="0"/>
      <c r="RXL82" s="0"/>
      <c r="RXM82" s="0"/>
      <c r="RXN82" s="0"/>
      <c r="RXO82" s="0"/>
      <c r="RXP82" s="0"/>
      <c r="RXQ82" s="0"/>
      <c r="RXR82" s="0"/>
      <c r="RXS82" s="0"/>
      <c r="RXT82" s="0"/>
      <c r="RXU82" s="0"/>
      <c r="RXV82" s="0"/>
      <c r="RXW82" s="0"/>
      <c r="RXX82" s="0"/>
      <c r="RXY82" s="0"/>
      <c r="RXZ82" s="0"/>
      <c r="RYA82" s="0"/>
      <c r="RYB82" s="0"/>
      <c r="RYC82" s="0"/>
      <c r="RYD82" s="0"/>
      <c r="RYE82" s="0"/>
      <c r="RYF82" s="0"/>
      <c r="RYG82" s="0"/>
      <c r="RYH82" s="0"/>
      <c r="RYI82" s="0"/>
      <c r="RYJ82" s="0"/>
      <c r="RYK82" s="0"/>
      <c r="RYL82" s="0"/>
      <c r="RYM82" s="0"/>
      <c r="RYN82" s="0"/>
      <c r="RYO82" s="0"/>
      <c r="RYP82" s="0"/>
      <c r="RYQ82" s="0"/>
      <c r="RYR82" s="0"/>
      <c r="RYS82" s="0"/>
      <c r="RYT82" s="0"/>
      <c r="RYU82" s="0"/>
      <c r="RYV82" s="0"/>
      <c r="RYW82" s="0"/>
      <c r="RYX82" s="0"/>
      <c r="RYY82" s="0"/>
      <c r="RYZ82" s="0"/>
      <c r="RZA82" s="0"/>
      <c r="RZB82" s="0"/>
      <c r="RZC82" s="0"/>
      <c r="RZD82" s="0"/>
      <c r="RZE82" s="0"/>
      <c r="RZF82" s="0"/>
      <c r="RZG82" s="0"/>
      <c r="RZH82" s="0"/>
      <c r="RZI82" s="0"/>
      <c r="RZJ82" s="0"/>
      <c r="RZK82" s="0"/>
      <c r="RZL82" s="0"/>
      <c r="RZM82" s="0"/>
      <c r="RZN82" s="0"/>
      <c r="RZO82" s="0"/>
      <c r="RZP82" s="0"/>
      <c r="RZQ82" s="0"/>
      <c r="RZR82" s="0"/>
      <c r="RZS82" s="0"/>
      <c r="RZT82" s="0"/>
      <c r="RZU82" s="0"/>
      <c r="RZV82" s="0"/>
      <c r="RZW82" s="0"/>
      <c r="RZX82" s="0"/>
      <c r="RZY82" s="0"/>
      <c r="RZZ82" s="0"/>
      <c r="SAA82" s="0"/>
      <c r="SAB82" s="0"/>
      <c r="SAC82" s="0"/>
      <c r="SAD82" s="0"/>
      <c r="SAE82" s="0"/>
      <c r="SAF82" s="0"/>
      <c r="SAG82" s="0"/>
      <c r="SAH82" s="0"/>
      <c r="SAI82" s="0"/>
      <c r="SAJ82" s="0"/>
      <c r="SAK82" s="0"/>
      <c r="SAL82" s="0"/>
      <c r="SAM82" s="0"/>
      <c r="SAN82" s="0"/>
      <c r="SAO82" s="0"/>
      <c r="SAP82" s="0"/>
      <c r="SAQ82" s="0"/>
      <c r="SAR82" s="0"/>
      <c r="SAS82" s="0"/>
      <c r="SAT82" s="0"/>
      <c r="SAU82" s="0"/>
      <c r="SAV82" s="0"/>
      <c r="SAW82" s="0"/>
      <c r="SAX82" s="0"/>
      <c r="SAY82" s="0"/>
      <c r="SAZ82" s="0"/>
      <c r="SBA82" s="0"/>
      <c r="SBB82" s="0"/>
      <c r="SBC82" s="0"/>
      <c r="SBD82" s="0"/>
      <c r="SBE82" s="0"/>
      <c r="SBF82" s="0"/>
      <c r="SBG82" s="0"/>
      <c r="SBH82" s="0"/>
      <c r="SBI82" s="0"/>
      <c r="SBJ82" s="0"/>
      <c r="SBK82" s="0"/>
      <c r="SBL82" s="0"/>
      <c r="SBM82" s="0"/>
      <c r="SBN82" s="0"/>
      <c r="SBO82" s="0"/>
      <c r="SBP82" s="0"/>
      <c r="SBQ82" s="0"/>
      <c r="SBR82" s="0"/>
      <c r="SBS82" s="0"/>
      <c r="SBT82" s="0"/>
      <c r="SBU82" s="0"/>
      <c r="SBV82" s="0"/>
      <c r="SBW82" s="0"/>
      <c r="SBX82" s="0"/>
      <c r="SBY82" s="0"/>
      <c r="SBZ82" s="0"/>
      <c r="SCA82" s="0"/>
      <c r="SCB82" s="0"/>
      <c r="SCC82" s="0"/>
      <c r="SCD82" s="0"/>
      <c r="SCE82" s="0"/>
      <c r="SCF82" s="0"/>
      <c r="SCG82" s="0"/>
      <c r="SCH82" s="0"/>
      <c r="SCI82" s="0"/>
      <c r="SCJ82" s="0"/>
      <c r="SCK82" s="0"/>
      <c r="SCL82" s="0"/>
      <c r="SCM82" s="0"/>
      <c r="SCN82" s="0"/>
      <c r="SCO82" s="0"/>
      <c r="SCP82" s="0"/>
      <c r="SCQ82" s="0"/>
      <c r="SCR82" s="0"/>
      <c r="SCS82" s="0"/>
      <c r="SCT82" s="0"/>
      <c r="SCU82" s="0"/>
      <c r="SCV82" s="0"/>
      <c r="SCW82" s="0"/>
      <c r="SCX82" s="0"/>
      <c r="SCY82" s="0"/>
      <c r="SCZ82" s="0"/>
      <c r="SDA82" s="0"/>
      <c r="SDB82" s="0"/>
      <c r="SDC82" s="0"/>
      <c r="SDD82" s="0"/>
      <c r="SDE82" s="0"/>
      <c r="SDF82" s="0"/>
      <c r="SDG82" s="0"/>
      <c r="SDH82" s="0"/>
      <c r="SDI82" s="0"/>
      <c r="SDJ82" s="0"/>
      <c r="SDK82" s="0"/>
      <c r="SDL82" s="0"/>
      <c r="SDM82" s="0"/>
      <c r="SDN82" s="0"/>
      <c r="SDO82" s="0"/>
      <c r="SDP82" s="0"/>
      <c r="SDQ82" s="0"/>
      <c r="SDR82" s="0"/>
      <c r="SDS82" s="0"/>
      <c r="SDT82" s="0"/>
      <c r="SDU82" s="0"/>
      <c r="SDV82" s="0"/>
      <c r="SDW82" s="0"/>
      <c r="SDX82" s="0"/>
      <c r="SDY82" s="0"/>
      <c r="SDZ82" s="0"/>
      <c r="SEA82" s="0"/>
      <c r="SEB82" s="0"/>
      <c r="SEC82" s="0"/>
      <c r="SED82" s="0"/>
      <c r="SEE82" s="0"/>
      <c r="SEF82" s="0"/>
      <c r="SEG82" s="0"/>
      <c r="SEH82" s="0"/>
      <c r="SEI82" s="0"/>
      <c r="SEJ82" s="0"/>
      <c r="SEK82" s="0"/>
      <c r="SEL82" s="0"/>
      <c r="SEM82" s="0"/>
      <c r="SEN82" s="0"/>
      <c r="SEO82" s="0"/>
      <c r="SEP82" s="0"/>
      <c r="SEQ82" s="0"/>
      <c r="SER82" s="0"/>
      <c r="SES82" s="0"/>
      <c r="SET82" s="0"/>
      <c r="SEU82" s="0"/>
      <c r="SEV82" s="0"/>
      <c r="SEW82" s="0"/>
      <c r="SEX82" s="0"/>
      <c r="SEY82" s="0"/>
      <c r="SEZ82" s="0"/>
      <c r="SFA82" s="0"/>
      <c r="SFB82" s="0"/>
      <c r="SFC82" s="0"/>
      <c r="SFD82" s="0"/>
      <c r="SFE82" s="0"/>
      <c r="SFF82" s="0"/>
      <c r="SFG82" s="0"/>
      <c r="SFH82" s="0"/>
      <c r="SFI82" s="0"/>
      <c r="SFJ82" s="0"/>
      <c r="SFK82" s="0"/>
      <c r="SFL82" s="0"/>
      <c r="SFM82" s="0"/>
      <c r="SFN82" s="0"/>
      <c r="SFO82" s="0"/>
      <c r="SFP82" s="0"/>
      <c r="SFQ82" s="0"/>
      <c r="SFR82" s="0"/>
      <c r="SFS82" s="0"/>
      <c r="SFT82" s="0"/>
      <c r="SFU82" s="0"/>
      <c r="SFV82" s="0"/>
      <c r="SFW82" s="0"/>
      <c r="SFX82" s="0"/>
      <c r="SFY82" s="0"/>
      <c r="SFZ82" s="0"/>
      <c r="SGA82" s="0"/>
      <c r="SGB82" s="0"/>
      <c r="SGC82" s="0"/>
      <c r="SGD82" s="0"/>
      <c r="SGE82" s="0"/>
      <c r="SGF82" s="0"/>
      <c r="SGG82" s="0"/>
      <c r="SGH82" s="0"/>
      <c r="SGI82" s="0"/>
      <c r="SGJ82" s="0"/>
      <c r="SGK82" s="0"/>
      <c r="SGL82" s="0"/>
      <c r="SGM82" s="0"/>
      <c r="SGN82" s="0"/>
      <c r="SGO82" s="0"/>
      <c r="SGP82" s="0"/>
      <c r="SGQ82" s="0"/>
      <c r="SGR82" s="0"/>
      <c r="SGS82" s="0"/>
      <c r="SGT82" s="0"/>
      <c r="SGU82" s="0"/>
      <c r="SGV82" s="0"/>
      <c r="SGW82" s="0"/>
      <c r="SGX82" s="0"/>
      <c r="SGY82" s="0"/>
      <c r="SGZ82" s="0"/>
      <c r="SHA82" s="0"/>
      <c r="SHB82" s="0"/>
      <c r="SHC82" s="0"/>
      <c r="SHD82" s="0"/>
      <c r="SHE82" s="0"/>
      <c r="SHF82" s="0"/>
      <c r="SHG82" s="0"/>
      <c r="SHH82" s="0"/>
      <c r="SHI82" s="0"/>
      <c r="SHJ82" s="0"/>
      <c r="SHK82" s="0"/>
      <c r="SHL82" s="0"/>
      <c r="SHM82" s="0"/>
      <c r="SHN82" s="0"/>
      <c r="SHO82" s="0"/>
      <c r="SHP82" s="0"/>
      <c r="SHQ82" s="0"/>
      <c r="SHR82" s="0"/>
      <c r="SHS82" s="0"/>
      <c r="SHT82" s="0"/>
      <c r="SHU82" s="0"/>
      <c r="SHV82" s="0"/>
      <c r="SHW82" s="0"/>
      <c r="SHX82" s="0"/>
      <c r="SHY82" s="0"/>
      <c r="SHZ82" s="0"/>
      <c r="SIA82" s="0"/>
      <c r="SIB82" s="0"/>
      <c r="SIC82" s="0"/>
      <c r="SID82" s="0"/>
      <c r="SIE82" s="0"/>
      <c r="SIF82" s="0"/>
      <c r="SIG82" s="0"/>
      <c r="SIH82" s="0"/>
      <c r="SII82" s="0"/>
      <c r="SIJ82" s="0"/>
      <c r="SIK82" s="0"/>
      <c r="SIL82" s="0"/>
      <c r="SIM82" s="0"/>
      <c r="SIN82" s="0"/>
      <c r="SIO82" s="0"/>
      <c r="SIP82" s="0"/>
      <c r="SIQ82" s="0"/>
      <c r="SIR82" s="0"/>
      <c r="SIS82" s="0"/>
      <c r="SIT82" s="0"/>
      <c r="SIU82" s="0"/>
      <c r="SIV82" s="0"/>
      <c r="SIW82" s="0"/>
      <c r="SIX82" s="0"/>
      <c r="SIY82" s="0"/>
      <c r="SIZ82" s="0"/>
      <c r="SJA82" s="0"/>
      <c r="SJB82" s="0"/>
      <c r="SJC82" s="0"/>
      <c r="SJD82" s="0"/>
      <c r="SJE82" s="0"/>
      <c r="SJF82" s="0"/>
      <c r="SJG82" s="0"/>
      <c r="SJH82" s="0"/>
      <c r="SJI82" s="0"/>
      <c r="SJJ82" s="0"/>
      <c r="SJK82" s="0"/>
      <c r="SJL82" s="0"/>
      <c r="SJM82" s="0"/>
      <c r="SJN82" s="0"/>
      <c r="SJO82" s="0"/>
      <c r="SJP82" s="0"/>
      <c r="SJQ82" s="0"/>
      <c r="SJR82" s="0"/>
      <c r="SJS82" s="0"/>
      <c r="SJT82" s="0"/>
      <c r="SJU82" s="0"/>
      <c r="SJV82" s="0"/>
      <c r="SJW82" s="0"/>
      <c r="SJX82" s="0"/>
      <c r="SJY82" s="0"/>
      <c r="SJZ82" s="0"/>
      <c r="SKA82" s="0"/>
      <c r="SKB82" s="0"/>
      <c r="SKC82" s="0"/>
      <c r="SKD82" s="0"/>
      <c r="SKE82" s="0"/>
      <c r="SKF82" s="0"/>
      <c r="SKG82" s="0"/>
      <c r="SKH82" s="0"/>
      <c r="SKI82" s="0"/>
      <c r="SKJ82" s="0"/>
      <c r="SKK82" s="0"/>
      <c r="SKL82" s="0"/>
      <c r="SKM82" s="0"/>
      <c r="SKN82" s="0"/>
      <c r="SKO82" s="0"/>
      <c r="SKP82" s="0"/>
      <c r="SKQ82" s="0"/>
      <c r="SKR82" s="0"/>
      <c r="SKS82" s="0"/>
      <c r="SKT82" s="0"/>
      <c r="SKU82" s="0"/>
      <c r="SKV82" s="0"/>
      <c r="SKW82" s="0"/>
      <c r="SKX82" s="0"/>
      <c r="SKY82" s="0"/>
      <c r="SKZ82" s="0"/>
      <c r="SLA82" s="0"/>
      <c r="SLB82" s="0"/>
      <c r="SLC82" s="0"/>
      <c r="SLD82" s="0"/>
      <c r="SLE82" s="0"/>
      <c r="SLF82" s="0"/>
      <c r="SLG82" s="0"/>
      <c r="SLH82" s="0"/>
      <c r="SLI82" s="0"/>
      <c r="SLJ82" s="0"/>
      <c r="SLK82" s="0"/>
      <c r="SLL82" s="0"/>
      <c r="SLM82" s="0"/>
      <c r="SLN82" s="0"/>
      <c r="SLO82" s="0"/>
      <c r="SLP82" s="0"/>
      <c r="SLQ82" s="0"/>
      <c r="SLR82" s="0"/>
      <c r="SLS82" s="0"/>
      <c r="SLT82" s="0"/>
      <c r="SLU82" s="0"/>
      <c r="SLV82" s="0"/>
      <c r="SLW82" s="0"/>
      <c r="SLX82" s="0"/>
      <c r="SLY82" s="0"/>
      <c r="SLZ82" s="0"/>
      <c r="SMA82" s="0"/>
      <c r="SMB82" s="0"/>
      <c r="SMC82" s="0"/>
      <c r="SMD82" s="0"/>
      <c r="SME82" s="0"/>
      <c r="SMF82" s="0"/>
      <c r="SMG82" s="0"/>
      <c r="SMH82" s="0"/>
      <c r="SMI82" s="0"/>
      <c r="SMJ82" s="0"/>
      <c r="SMK82" s="0"/>
      <c r="SML82" s="0"/>
      <c r="SMM82" s="0"/>
      <c r="SMN82" s="0"/>
      <c r="SMO82" s="0"/>
      <c r="SMP82" s="0"/>
      <c r="SMQ82" s="0"/>
      <c r="SMR82" s="0"/>
      <c r="SMS82" s="0"/>
      <c r="SMT82" s="0"/>
      <c r="SMU82" s="0"/>
      <c r="SMV82" s="0"/>
      <c r="SMW82" s="0"/>
      <c r="SMX82" s="0"/>
      <c r="SMY82" s="0"/>
      <c r="SMZ82" s="0"/>
      <c r="SNA82" s="0"/>
      <c r="SNB82" s="0"/>
      <c r="SNC82" s="0"/>
      <c r="SND82" s="0"/>
      <c r="SNE82" s="0"/>
      <c r="SNF82" s="0"/>
      <c r="SNG82" s="0"/>
      <c r="SNH82" s="0"/>
      <c r="SNI82" s="0"/>
      <c r="SNJ82" s="0"/>
      <c r="SNK82" s="0"/>
      <c r="SNL82" s="0"/>
      <c r="SNM82" s="0"/>
      <c r="SNN82" s="0"/>
      <c r="SNO82" s="0"/>
      <c r="SNP82" s="0"/>
      <c r="SNQ82" s="0"/>
      <c r="SNR82" s="0"/>
      <c r="SNS82" s="0"/>
      <c r="SNT82" s="0"/>
      <c r="SNU82" s="0"/>
      <c r="SNV82" s="0"/>
      <c r="SNW82" s="0"/>
      <c r="SNX82" s="0"/>
      <c r="SNY82" s="0"/>
      <c r="SNZ82" s="0"/>
      <c r="SOA82" s="0"/>
      <c r="SOB82" s="0"/>
      <c r="SOC82" s="0"/>
      <c r="SOD82" s="0"/>
      <c r="SOE82" s="0"/>
      <c r="SOF82" s="0"/>
      <c r="SOG82" s="0"/>
      <c r="SOH82" s="0"/>
      <c r="SOI82" s="0"/>
      <c r="SOJ82" s="0"/>
      <c r="SOK82" s="0"/>
      <c r="SOL82" s="0"/>
      <c r="SOM82" s="0"/>
      <c r="SON82" s="0"/>
      <c r="SOO82" s="0"/>
      <c r="SOP82" s="0"/>
      <c r="SOQ82" s="0"/>
      <c r="SOR82" s="0"/>
      <c r="SOS82" s="0"/>
      <c r="SOT82" s="0"/>
      <c r="SOU82" s="0"/>
      <c r="SOV82" s="0"/>
      <c r="SOW82" s="0"/>
      <c r="SOX82" s="0"/>
      <c r="SOY82" s="0"/>
      <c r="SOZ82" s="0"/>
      <c r="SPA82" s="0"/>
      <c r="SPB82" s="0"/>
      <c r="SPC82" s="0"/>
      <c r="SPD82" s="0"/>
      <c r="SPE82" s="0"/>
      <c r="SPF82" s="0"/>
      <c r="SPG82" s="0"/>
      <c r="SPH82" s="0"/>
      <c r="SPI82" s="0"/>
      <c r="SPJ82" s="0"/>
      <c r="SPK82" s="0"/>
      <c r="SPL82" s="0"/>
      <c r="SPM82" s="0"/>
      <c r="SPN82" s="0"/>
      <c r="SPO82" s="0"/>
      <c r="SPP82" s="0"/>
      <c r="SPQ82" s="0"/>
      <c r="SPR82" s="0"/>
      <c r="SPS82" s="0"/>
      <c r="SPT82" s="0"/>
      <c r="SPU82" s="0"/>
      <c r="SPV82" s="0"/>
      <c r="SPW82" s="0"/>
      <c r="SPX82" s="0"/>
      <c r="SPY82" s="0"/>
      <c r="SPZ82" s="0"/>
      <c r="SQA82" s="0"/>
      <c r="SQB82" s="0"/>
      <c r="SQC82" s="0"/>
      <c r="SQD82" s="0"/>
      <c r="SQE82" s="0"/>
      <c r="SQF82" s="0"/>
      <c r="SQG82" s="0"/>
      <c r="SQH82" s="0"/>
      <c r="SQI82" s="0"/>
      <c r="SQJ82" s="0"/>
      <c r="SQK82" s="0"/>
      <c r="SQL82" s="0"/>
      <c r="SQM82" s="0"/>
      <c r="SQN82" s="0"/>
      <c r="SQO82" s="0"/>
      <c r="SQP82" s="0"/>
      <c r="SQQ82" s="0"/>
      <c r="SQR82" s="0"/>
      <c r="SQS82" s="0"/>
      <c r="SQT82" s="0"/>
      <c r="SQU82" s="0"/>
      <c r="SQV82" s="0"/>
      <c r="SQW82" s="0"/>
      <c r="SQX82" s="0"/>
      <c r="SQY82" s="0"/>
      <c r="SQZ82" s="0"/>
      <c r="SRA82" s="0"/>
      <c r="SRB82" s="0"/>
      <c r="SRC82" s="0"/>
      <c r="SRD82" s="0"/>
      <c r="SRE82" s="0"/>
      <c r="SRF82" s="0"/>
      <c r="SRG82" s="0"/>
      <c r="SRH82" s="0"/>
      <c r="SRI82" s="0"/>
      <c r="SRJ82" s="0"/>
      <c r="SRK82" s="0"/>
      <c r="SRL82" s="0"/>
      <c r="SRM82" s="0"/>
      <c r="SRN82" s="0"/>
      <c r="SRO82" s="0"/>
      <c r="SRP82" s="0"/>
      <c r="SRQ82" s="0"/>
      <c r="SRR82" s="0"/>
      <c r="SRS82" s="0"/>
      <c r="SRT82" s="0"/>
      <c r="SRU82" s="0"/>
      <c r="SRV82" s="0"/>
      <c r="SRW82" s="0"/>
      <c r="SRX82" s="0"/>
      <c r="SRY82" s="0"/>
      <c r="SRZ82" s="0"/>
      <c r="SSA82" s="0"/>
      <c r="SSB82" s="0"/>
      <c r="SSC82" s="0"/>
      <c r="SSD82" s="0"/>
      <c r="SSE82" s="0"/>
      <c r="SSF82" s="0"/>
      <c r="SSG82" s="0"/>
      <c r="SSH82" s="0"/>
      <c r="SSI82" s="0"/>
      <c r="SSJ82" s="0"/>
      <c r="SSK82" s="0"/>
      <c r="SSL82" s="0"/>
      <c r="SSM82" s="0"/>
      <c r="SSN82" s="0"/>
      <c r="SSO82" s="0"/>
      <c r="SSP82" s="0"/>
      <c r="SSQ82" s="0"/>
      <c r="SSR82" s="0"/>
      <c r="SSS82" s="0"/>
      <c r="SST82" s="0"/>
      <c r="SSU82" s="0"/>
      <c r="SSV82" s="0"/>
      <c r="SSW82" s="0"/>
      <c r="SSX82" s="0"/>
      <c r="SSY82" s="0"/>
      <c r="SSZ82" s="0"/>
      <c r="STA82" s="0"/>
      <c r="STB82" s="0"/>
      <c r="STC82" s="0"/>
      <c r="STD82" s="0"/>
      <c r="STE82" s="0"/>
      <c r="STF82" s="0"/>
      <c r="STG82" s="0"/>
      <c r="STH82" s="0"/>
      <c r="STI82" s="0"/>
      <c r="STJ82" s="0"/>
      <c r="STK82" s="0"/>
      <c r="STL82" s="0"/>
      <c r="STM82" s="0"/>
      <c r="STN82" s="0"/>
      <c r="STO82" s="0"/>
      <c r="STP82" s="0"/>
      <c r="STQ82" s="0"/>
      <c r="STR82" s="0"/>
      <c r="STS82" s="0"/>
      <c r="STT82" s="0"/>
      <c r="STU82" s="0"/>
      <c r="STV82" s="0"/>
      <c r="STW82" s="0"/>
      <c r="STX82" s="0"/>
      <c r="STY82" s="0"/>
      <c r="STZ82" s="0"/>
      <c r="SUA82" s="0"/>
      <c r="SUB82" s="0"/>
      <c r="SUC82" s="0"/>
      <c r="SUD82" s="0"/>
      <c r="SUE82" s="0"/>
      <c r="SUF82" s="0"/>
      <c r="SUG82" s="0"/>
      <c r="SUH82" s="0"/>
      <c r="SUI82" s="0"/>
      <c r="SUJ82" s="0"/>
      <c r="SUK82" s="0"/>
      <c r="SUL82" s="0"/>
      <c r="SUM82" s="0"/>
      <c r="SUN82" s="0"/>
      <c r="SUO82" s="0"/>
      <c r="SUP82" s="0"/>
      <c r="SUQ82" s="0"/>
      <c r="SUR82" s="0"/>
      <c r="SUS82" s="0"/>
      <c r="SUT82" s="0"/>
      <c r="SUU82" s="0"/>
      <c r="SUV82" s="0"/>
      <c r="SUW82" s="0"/>
      <c r="SUX82" s="0"/>
      <c r="SUY82" s="0"/>
      <c r="SUZ82" s="0"/>
      <c r="SVA82" s="0"/>
      <c r="SVB82" s="0"/>
      <c r="SVC82" s="0"/>
      <c r="SVD82" s="0"/>
      <c r="SVE82" s="0"/>
      <c r="SVF82" s="0"/>
      <c r="SVG82" s="0"/>
      <c r="SVH82" s="0"/>
      <c r="SVI82" s="0"/>
      <c r="SVJ82" s="0"/>
      <c r="SVK82" s="0"/>
      <c r="SVL82" s="0"/>
      <c r="SVM82" s="0"/>
      <c r="SVN82" s="0"/>
      <c r="SVO82" s="0"/>
      <c r="SVP82" s="0"/>
      <c r="SVQ82" s="0"/>
      <c r="SVR82" s="0"/>
      <c r="SVS82" s="0"/>
      <c r="SVT82" s="0"/>
      <c r="SVU82" s="0"/>
      <c r="SVV82" s="0"/>
      <c r="SVW82" s="0"/>
      <c r="SVX82" s="0"/>
      <c r="SVY82" s="0"/>
      <c r="SVZ82" s="0"/>
      <c r="SWA82" s="0"/>
      <c r="SWB82" s="0"/>
      <c r="SWC82" s="0"/>
      <c r="SWD82" s="0"/>
      <c r="SWE82" s="0"/>
      <c r="SWF82" s="0"/>
      <c r="SWG82" s="0"/>
      <c r="SWH82" s="0"/>
      <c r="SWI82" s="0"/>
      <c r="SWJ82" s="0"/>
      <c r="SWK82" s="0"/>
      <c r="SWL82" s="0"/>
      <c r="SWM82" s="0"/>
      <c r="SWN82" s="0"/>
      <c r="SWO82" s="0"/>
      <c r="SWP82" s="0"/>
      <c r="SWQ82" s="0"/>
      <c r="SWR82" s="0"/>
      <c r="SWS82" s="0"/>
      <c r="SWT82" s="0"/>
      <c r="SWU82" s="0"/>
      <c r="SWV82" s="0"/>
      <c r="SWW82" s="0"/>
      <c r="SWX82" s="0"/>
      <c r="SWY82" s="0"/>
      <c r="SWZ82" s="0"/>
      <c r="SXA82" s="0"/>
      <c r="SXB82" s="0"/>
      <c r="SXC82" s="0"/>
      <c r="SXD82" s="0"/>
      <c r="SXE82" s="0"/>
      <c r="SXF82" s="0"/>
      <c r="SXG82" s="0"/>
      <c r="SXH82" s="0"/>
      <c r="SXI82" s="0"/>
      <c r="SXJ82" s="0"/>
      <c r="SXK82" s="0"/>
      <c r="SXL82" s="0"/>
      <c r="SXM82" s="0"/>
      <c r="SXN82" s="0"/>
      <c r="SXO82" s="0"/>
      <c r="SXP82" s="0"/>
      <c r="SXQ82" s="0"/>
      <c r="SXR82" s="0"/>
      <c r="SXS82" s="0"/>
      <c r="SXT82" s="0"/>
      <c r="SXU82" s="0"/>
      <c r="SXV82" s="0"/>
      <c r="SXW82" s="0"/>
      <c r="SXX82" s="0"/>
      <c r="SXY82" s="0"/>
      <c r="SXZ82" s="0"/>
      <c r="SYA82" s="0"/>
      <c r="SYB82" s="0"/>
      <c r="SYC82" s="0"/>
      <c r="SYD82" s="0"/>
      <c r="SYE82" s="0"/>
      <c r="SYF82" s="0"/>
      <c r="SYG82" s="0"/>
      <c r="SYH82" s="0"/>
      <c r="SYI82" s="0"/>
      <c r="SYJ82" s="0"/>
      <c r="SYK82" s="0"/>
      <c r="SYL82" s="0"/>
      <c r="SYM82" s="0"/>
      <c r="SYN82" s="0"/>
      <c r="SYO82" s="0"/>
      <c r="SYP82" s="0"/>
      <c r="SYQ82" s="0"/>
      <c r="SYR82" s="0"/>
      <c r="SYS82" s="0"/>
      <c r="SYT82" s="0"/>
      <c r="SYU82" s="0"/>
      <c r="SYV82" s="0"/>
      <c r="SYW82" s="0"/>
      <c r="SYX82" s="0"/>
      <c r="SYY82" s="0"/>
      <c r="SYZ82" s="0"/>
      <c r="SZA82" s="0"/>
      <c r="SZB82" s="0"/>
      <c r="SZC82" s="0"/>
      <c r="SZD82" s="0"/>
      <c r="SZE82" s="0"/>
      <c r="SZF82" s="0"/>
      <c r="SZG82" s="0"/>
      <c r="SZH82" s="0"/>
      <c r="SZI82" s="0"/>
      <c r="SZJ82" s="0"/>
      <c r="SZK82" s="0"/>
      <c r="SZL82" s="0"/>
      <c r="SZM82" s="0"/>
      <c r="SZN82" s="0"/>
      <c r="SZO82" s="0"/>
      <c r="SZP82" s="0"/>
      <c r="SZQ82" s="0"/>
      <c r="SZR82" s="0"/>
      <c r="SZS82" s="0"/>
      <c r="SZT82" s="0"/>
      <c r="SZU82" s="0"/>
      <c r="SZV82" s="0"/>
      <c r="SZW82" s="0"/>
      <c r="SZX82" s="0"/>
      <c r="SZY82" s="0"/>
      <c r="SZZ82" s="0"/>
      <c r="TAA82" s="0"/>
      <c r="TAB82" s="0"/>
      <c r="TAC82" s="0"/>
      <c r="TAD82" s="0"/>
      <c r="TAE82" s="0"/>
      <c r="TAF82" s="0"/>
      <c r="TAG82" s="0"/>
      <c r="TAH82" s="0"/>
      <c r="TAI82" s="0"/>
      <c r="TAJ82" s="0"/>
      <c r="TAK82" s="0"/>
      <c r="TAL82" s="0"/>
      <c r="TAM82" s="0"/>
      <c r="TAN82" s="0"/>
      <c r="TAO82" s="0"/>
      <c r="TAP82" s="0"/>
      <c r="TAQ82" s="0"/>
      <c r="TAR82" s="0"/>
      <c r="TAS82" s="0"/>
      <c r="TAT82" s="0"/>
      <c r="TAU82" s="0"/>
      <c r="TAV82" s="0"/>
      <c r="TAW82" s="0"/>
      <c r="TAX82" s="0"/>
      <c r="TAY82" s="0"/>
      <c r="TAZ82" s="0"/>
      <c r="TBA82" s="0"/>
      <c r="TBB82" s="0"/>
      <c r="TBC82" s="0"/>
      <c r="TBD82" s="0"/>
      <c r="TBE82" s="0"/>
      <c r="TBF82" s="0"/>
      <c r="TBG82" s="0"/>
      <c r="TBH82" s="0"/>
      <c r="TBI82" s="0"/>
      <c r="TBJ82" s="0"/>
      <c r="TBK82" s="0"/>
      <c r="TBL82" s="0"/>
      <c r="TBM82" s="0"/>
      <c r="TBN82" s="0"/>
      <c r="TBO82" s="0"/>
      <c r="TBP82" s="0"/>
      <c r="TBQ82" s="0"/>
      <c r="TBR82" s="0"/>
      <c r="TBS82" s="0"/>
      <c r="TBT82" s="0"/>
      <c r="TBU82" s="0"/>
      <c r="TBV82" s="0"/>
      <c r="TBW82" s="0"/>
      <c r="TBX82" s="0"/>
      <c r="TBY82" s="0"/>
      <c r="TBZ82" s="0"/>
      <c r="TCA82" s="0"/>
      <c r="TCB82" s="0"/>
      <c r="TCC82" s="0"/>
      <c r="TCD82" s="0"/>
      <c r="TCE82" s="0"/>
      <c r="TCF82" s="0"/>
      <c r="TCG82" s="0"/>
      <c r="TCH82" s="0"/>
      <c r="TCI82" s="0"/>
      <c r="TCJ82" s="0"/>
      <c r="TCK82" s="0"/>
      <c r="TCL82" s="0"/>
      <c r="TCM82" s="0"/>
      <c r="TCN82" s="0"/>
      <c r="TCO82" s="0"/>
      <c r="TCP82" s="0"/>
      <c r="TCQ82" s="0"/>
      <c r="TCR82" s="0"/>
      <c r="TCS82" s="0"/>
      <c r="TCT82" s="0"/>
      <c r="TCU82" s="0"/>
      <c r="TCV82" s="0"/>
      <c r="TCW82" s="0"/>
      <c r="TCX82" s="0"/>
      <c r="TCY82" s="0"/>
      <c r="TCZ82" s="0"/>
      <c r="TDA82" s="0"/>
      <c r="TDB82" s="0"/>
      <c r="TDC82" s="0"/>
      <c r="TDD82" s="0"/>
      <c r="TDE82" s="0"/>
      <c r="TDF82" s="0"/>
      <c r="TDG82" s="0"/>
      <c r="TDH82" s="0"/>
      <c r="TDI82" s="0"/>
      <c r="TDJ82" s="0"/>
      <c r="TDK82" s="0"/>
      <c r="TDL82" s="0"/>
      <c r="TDM82" s="0"/>
      <c r="TDN82" s="0"/>
      <c r="TDO82" s="0"/>
      <c r="TDP82" s="0"/>
      <c r="TDQ82" s="0"/>
      <c r="TDR82" s="0"/>
      <c r="TDS82" s="0"/>
      <c r="TDT82" s="0"/>
      <c r="TDU82" s="0"/>
      <c r="TDV82" s="0"/>
      <c r="TDW82" s="0"/>
      <c r="TDX82" s="0"/>
      <c r="TDY82" s="0"/>
      <c r="TDZ82" s="0"/>
      <c r="TEA82" s="0"/>
      <c r="TEB82" s="0"/>
      <c r="TEC82" s="0"/>
      <c r="TED82" s="0"/>
      <c r="TEE82" s="0"/>
      <c r="TEF82" s="0"/>
      <c r="TEG82" s="0"/>
      <c r="TEH82" s="0"/>
      <c r="TEI82" s="0"/>
      <c r="TEJ82" s="0"/>
      <c r="TEK82" s="0"/>
      <c r="TEL82" s="0"/>
      <c r="TEM82" s="0"/>
      <c r="TEN82" s="0"/>
      <c r="TEO82" s="0"/>
      <c r="TEP82" s="0"/>
      <c r="TEQ82" s="0"/>
      <c r="TER82" s="0"/>
      <c r="TES82" s="0"/>
      <c r="TET82" s="0"/>
      <c r="TEU82" s="0"/>
      <c r="TEV82" s="0"/>
      <c r="TEW82" s="0"/>
      <c r="TEX82" s="0"/>
      <c r="TEY82" s="0"/>
      <c r="TEZ82" s="0"/>
      <c r="TFA82" s="0"/>
      <c r="TFB82" s="0"/>
      <c r="TFC82" s="0"/>
      <c r="TFD82" s="0"/>
      <c r="TFE82" s="0"/>
      <c r="TFF82" s="0"/>
      <c r="TFG82" s="0"/>
      <c r="TFH82" s="0"/>
      <c r="TFI82" s="0"/>
      <c r="TFJ82" s="0"/>
      <c r="TFK82" s="0"/>
      <c r="TFL82" s="0"/>
      <c r="TFM82" s="0"/>
      <c r="TFN82" s="0"/>
      <c r="TFO82" s="0"/>
      <c r="TFP82" s="0"/>
      <c r="TFQ82" s="0"/>
      <c r="TFR82" s="0"/>
      <c r="TFS82" s="0"/>
      <c r="TFT82" s="0"/>
      <c r="TFU82" s="0"/>
      <c r="TFV82" s="0"/>
      <c r="TFW82" s="0"/>
      <c r="TFX82" s="0"/>
      <c r="TFY82" s="0"/>
      <c r="TFZ82" s="0"/>
      <c r="TGA82" s="0"/>
      <c r="TGB82" s="0"/>
      <c r="TGC82" s="0"/>
      <c r="TGD82" s="0"/>
      <c r="TGE82" s="0"/>
      <c r="TGF82" s="0"/>
      <c r="TGG82" s="0"/>
      <c r="TGH82" s="0"/>
      <c r="TGI82" s="0"/>
      <c r="TGJ82" s="0"/>
      <c r="TGK82" s="0"/>
      <c r="TGL82" s="0"/>
      <c r="TGM82" s="0"/>
      <c r="TGN82" s="0"/>
      <c r="TGO82" s="0"/>
      <c r="TGP82" s="0"/>
      <c r="TGQ82" s="0"/>
      <c r="TGR82" s="0"/>
      <c r="TGS82" s="0"/>
      <c r="TGT82" s="0"/>
      <c r="TGU82" s="0"/>
      <c r="TGV82" s="0"/>
      <c r="TGW82" s="0"/>
      <c r="TGX82" s="0"/>
      <c r="TGY82" s="0"/>
      <c r="TGZ82" s="0"/>
      <c r="THA82" s="0"/>
      <c r="THB82" s="0"/>
      <c r="THC82" s="0"/>
      <c r="THD82" s="0"/>
      <c r="THE82" s="0"/>
      <c r="THF82" s="0"/>
      <c r="THG82" s="0"/>
      <c r="THH82" s="0"/>
      <c r="THI82" s="0"/>
      <c r="THJ82" s="0"/>
      <c r="THK82" s="0"/>
      <c r="THL82" s="0"/>
      <c r="THM82" s="0"/>
      <c r="THN82" s="0"/>
      <c r="THO82" s="0"/>
      <c r="THP82" s="0"/>
      <c r="THQ82" s="0"/>
      <c r="THR82" s="0"/>
      <c r="THS82" s="0"/>
      <c r="THT82" s="0"/>
      <c r="THU82" s="0"/>
      <c r="THV82" s="0"/>
      <c r="THW82" s="0"/>
      <c r="THX82" s="0"/>
      <c r="THY82" s="0"/>
      <c r="THZ82" s="0"/>
      <c r="TIA82" s="0"/>
      <c r="TIB82" s="0"/>
      <c r="TIC82" s="0"/>
      <c r="TID82" s="0"/>
      <c r="TIE82" s="0"/>
      <c r="TIF82" s="0"/>
      <c r="TIG82" s="0"/>
      <c r="TIH82" s="0"/>
      <c r="TII82" s="0"/>
      <c r="TIJ82" s="0"/>
      <c r="TIK82" s="0"/>
      <c r="TIL82" s="0"/>
      <c r="TIM82" s="0"/>
      <c r="TIN82" s="0"/>
      <c r="TIO82" s="0"/>
      <c r="TIP82" s="0"/>
      <c r="TIQ82" s="0"/>
      <c r="TIR82" s="0"/>
      <c r="TIS82" s="0"/>
      <c r="TIT82" s="0"/>
      <c r="TIU82" s="0"/>
      <c r="TIV82" s="0"/>
      <c r="TIW82" s="0"/>
      <c r="TIX82" s="0"/>
      <c r="TIY82" s="0"/>
      <c r="TIZ82" s="0"/>
      <c r="TJA82" s="0"/>
      <c r="TJB82" s="0"/>
      <c r="TJC82" s="0"/>
      <c r="TJD82" s="0"/>
      <c r="TJE82" s="0"/>
      <c r="TJF82" s="0"/>
      <c r="TJG82" s="0"/>
      <c r="TJH82" s="0"/>
      <c r="TJI82" s="0"/>
      <c r="TJJ82" s="0"/>
      <c r="TJK82" s="0"/>
      <c r="TJL82" s="0"/>
      <c r="TJM82" s="0"/>
      <c r="TJN82" s="0"/>
      <c r="TJO82" s="0"/>
      <c r="TJP82" s="0"/>
      <c r="TJQ82" s="0"/>
      <c r="TJR82" s="0"/>
      <c r="TJS82" s="0"/>
      <c r="TJT82" s="0"/>
      <c r="TJU82" s="0"/>
      <c r="TJV82" s="0"/>
      <c r="TJW82" s="0"/>
      <c r="TJX82" s="0"/>
      <c r="TJY82" s="0"/>
      <c r="TJZ82" s="0"/>
      <c r="TKA82" s="0"/>
      <c r="TKB82" s="0"/>
      <c r="TKC82" s="0"/>
      <c r="TKD82" s="0"/>
      <c r="TKE82" s="0"/>
      <c r="TKF82" s="0"/>
      <c r="TKG82" s="0"/>
      <c r="TKH82" s="0"/>
      <c r="TKI82" s="0"/>
      <c r="TKJ82" s="0"/>
      <c r="TKK82" s="0"/>
      <c r="TKL82" s="0"/>
      <c r="TKM82" s="0"/>
      <c r="TKN82" s="0"/>
      <c r="TKO82" s="0"/>
      <c r="TKP82" s="0"/>
      <c r="TKQ82" s="0"/>
      <c r="TKR82" s="0"/>
      <c r="TKS82" s="0"/>
      <c r="TKT82" s="0"/>
      <c r="TKU82" s="0"/>
      <c r="TKV82" s="0"/>
      <c r="TKW82" s="0"/>
      <c r="TKX82" s="0"/>
      <c r="TKY82" s="0"/>
      <c r="TKZ82" s="0"/>
      <c r="TLA82" s="0"/>
      <c r="TLB82" s="0"/>
      <c r="TLC82" s="0"/>
      <c r="TLD82" s="0"/>
      <c r="TLE82" s="0"/>
      <c r="TLF82" s="0"/>
      <c r="TLG82" s="0"/>
      <c r="TLH82" s="0"/>
      <c r="TLI82" s="0"/>
      <c r="TLJ82" s="0"/>
      <c r="TLK82" s="0"/>
      <c r="TLL82" s="0"/>
      <c r="TLM82" s="0"/>
      <c r="TLN82" s="0"/>
      <c r="TLO82" s="0"/>
      <c r="TLP82" s="0"/>
      <c r="TLQ82" s="0"/>
      <c r="TLR82" s="0"/>
      <c r="TLS82" s="0"/>
      <c r="TLT82" s="0"/>
      <c r="TLU82" s="0"/>
      <c r="TLV82" s="0"/>
      <c r="TLW82" s="0"/>
      <c r="TLX82" s="0"/>
      <c r="TLY82" s="0"/>
      <c r="TLZ82" s="0"/>
      <c r="TMA82" s="0"/>
      <c r="TMB82" s="0"/>
      <c r="TMC82" s="0"/>
      <c r="TMD82" s="0"/>
      <c r="TME82" s="0"/>
      <c r="TMF82" s="0"/>
      <c r="TMG82" s="0"/>
      <c r="TMH82" s="0"/>
      <c r="TMI82" s="0"/>
      <c r="TMJ82" s="0"/>
      <c r="TMK82" s="0"/>
      <c r="TML82" s="0"/>
      <c r="TMM82" s="0"/>
      <c r="TMN82" s="0"/>
      <c r="TMO82" s="0"/>
      <c r="TMP82" s="0"/>
      <c r="TMQ82" s="0"/>
      <c r="TMR82" s="0"/>
      <c r="TMS82" s="0"/>
      <c r="TMT82" s="0"/>
      <c r="TMU82" s="0"/>
      <c r="TMV82" s="0"/>
      <c r="TMW82" s="0"/>
      <c r="TMX82" s="0"/>
      <c r="TMY82" s="0"/>
      <c r="TMZ82" s="0"/>
      <c r="TNA82" s="0"/>
      <c r="TNB82" s="0"/>
      <c r="TNC82" s="0"/>
      <c r="TND82" s="0"/>
      <c r="TNE82" s="0"/>
      <c r="TNF82" s="0"/>
      <c r="TNG82" s="0"/>
      <c r="TNH82" s="0"/>
      <c r="TNI82" s="0"/>
      <c r="TNJ82" s="0"/>
      <c r="TNK82" s="0"/>
      <c r="TNL82" s="0"/>
      <c r="TNM82" s="0"/>
      <c r="TNN82" s="0"/>
      <c r="TNO82" s="0"/>
      <c r="TNP82" s="0"/>
      <c r="TNQ82" s="0"/>
      <c r="TNR82" s="0"/>
      <c r="TNS82" s="0"/>
      <c r="TNT82" s="0"/>
      <c r="TNU82" s="0"/>
      <c r="TNV82" s="0"/>
      <c r="TNW82" s="0"/>
      <c r="TNX82" s="0"/>
      <c r="TNY82" s="0"/>
      <c r="TNZ82" s="0"/>
      <c r="TOA82" s="0"/>
      <c r="TOB82" s="0"/>
      <c r="TOC82" s="0"/>
      <c r="TOD82" s="0"/>
      <c r="TOE82" s="0"/>
      <c r="TOF82" s="0"/>
      <c r="TOG82" s="0"/>
      <c r="TOH82" s="0"/>
      <c r="TOI82" s="0"/>
      <c r="TOJ82" s="0"/>
      <c r="TOK82" s="0"/>
      <c r="TOL82" s="0"/>
      <c r="TOM82" s="0"/>
      <c r="TON82" s="0"/>
      <c r="TOO82" s="0"/>
      <c r="TOP82" s="0"/>
      <c r="TOQ82" s="0"/>
      <c r="TOR82" s="0"/>
      <c r="TOS82" s="0"/>
      <c r="TOT82" s="0"/>
      <c r="TOU82" s="0"/>
      <c r="TOV82" s="0"/>
      <c r="TOW82" s="0"/>
      <c r="TOX82" s="0"/>
      <c r="TOY82" s="0"/>
      <c r="TOZ82" s="0"/>
      <c r="TPA82" s="0"/>
      <c r="TPB82" s="0"/>
      <c r="TPC82" s="0"/>
      <c r="TPD82" s="0"/>
      <c r="TPE82" s="0"/>
      <c r="TPF82" s="0"/>
      <c r="TPG82" s="0"/>
      <c r="TPH82" s="0"/>
      <c r="TPI82" s="0"/>
      <c r="TPJ82" s="0"/>
      <c r="TPK82" s="0"/>
      <c r="TPL82" s="0"/>
      <c r="TPM82" s="0"/>
      <c r="TPN82" s="0"/>
      <c r="TPO82" s="0"/>
      <c r="TPP82" s="0"/>
      <c r="TPQ82" s="0"/>
      <c r="TPR82" s="0"/>
      <c r="TPS82" s="0"/>
      <c r="TPT82" s="0"/>
      <c r="TPU82" s="0"/>
      <c r="TPV82" s="0"/>
      <c r="TPW82" s="0"/>
      <c r="TPX82" s="0"/>
      <c r="TPY82" s="0"/>
      <c r="TPZ82" s="0"/>
      <c r="TQA82" s="0"/>
      <c r="TQB82" s="0"/>
      <c r="TQC82" s="0"/>
      <c r="TQD82" s="0"/>
      <c r="TQE82" s="0"/>
      <c r="TQF82" s="0"/>
      <c r="TQG82" s="0"/>
      <c r="TQH82" s="0"/>
      <c r="TQI82" s="0"/>
      <c r="TQJ82" s="0"/>
      <c r="TQK82" s="0"/>
      <c r="TQL82" s="0"/>
      <c r="TQM82" s="0"/>
      <c r="TQN82" s="0"/>
      <c r="TQO82" s="0"/>
      <c r="TQP82" s="0"/>
      <c r="TQQ82" s="0"/>
      <c r="TQR82" s="0"/>
      <c r="TQS82" s="0"/>
      <c r="TQT82" s="0"/>
      <c r="TQU82" s="0"/>
      <c r="TQV82" s="0"/>
      <c r="TQW82" s="0"/>
      <c r="TQX82" s="0"/>
      <c r="TQY82" s="0"/>
      <c r="TQZ82" s="0"/>
      <c r="TRA82" s="0"/>
      <c r="TRB82" s="0"/>
      <c r="TRC82" s="0"/>
      <c r="TRD82" s="0"/>
      <c r="TRE82" s="0"/>
      <c r="TRF82" s="0"/>
      <c r="TRG82" s="0"/>
      <c r="TRH82" s="0"/>
      <c r="TRI82" s="0"/>
      <c r="TRJ82" s="0"/>
      <c r="TRK82" s="0"/>
      <c r="TRL82" s="0"/>
      <c r="TRM82" s="0"/>
      <c r="TRN82" s="0"/>
      <c r="TRO82" s="0"/>
      <c r="TRP82" s="0"/>
      <c r="TRQ82" s="0"/>
      <c r="TRR82" s="0"/>
      <c r="TRS82" s="0"/>
      <c r="TRT82" s="0"/>
      <c r="TRU82" s="0"/>
      <c r="TRV82" s="0"/>
      <c r="TRW82" s="0"/>
      <c r="TRX82" s="0"/>
      <c r="TRY82" s="0"/>
      <c r="TRZ82" s="0"/>
      <c r="TSA82" s="0"/>
      <c r="TSB82" s="0"/>
      <c r="TSC82" s="0"/>
      <c r="TSD82" s="0"/>
      <c r="TSE82" s="0"/>
      <c r="TSF82" s="0"/>
      <c r="TSG82" s="0"/>
      <c r="TSH82" s="0"/>
      <c r="TSI82" s="0"/>
      <c r="TSJ82" s="0"/>
      <c r="TSK82" s="0"/>
      <c r="TSL82" s="0"/>
      <c r="TSM82" s="0"/>
      <c r="TSN82" s="0"/>
      <c r="TSO82" s="0"/>
      <c r="TSP82" s="0"/>
      <c r="TSQ82" s="0"/>
      <c r="TSR82" s="0"/>
      <c r="TSS82" s="0"/>
      <c r="TST82" s="0"/>
      <c r="TSU82" s="0"/>
      <c r="TSV82" s="0"/>
      <c r="TSW82" s="0"/>
      <c r="TSX82" s="0"/>
      <c r="TSY82" s="0"/>
      <c r="TSZ82" s="0"/>
      <c r="TTA82" s="0"/>
      <c r="TTB82" s="0"/>
      <c r="TTC82" s="0"/>
      <c r="TTD82" s="0"/>
      <c r="TTE82" s="0"/>
      <c r="TTF82" s="0"/>
      <c r="TTG82" s="0"/>
      <c r="TTH82" s="0"/>
      <c r="TTI82" s="0"/>
      <c r="TTJ82" s="0"/>
      <c r="TTK82" s="0"/>
      <c r="TTL82" s="0"/>
      <c r="TTM82" s="0"/>
      <c r="TTN82" s="0"/>
      <c r="TTO82" s="0"/>
      <c r="TTP82" s="0"/>
      <c r="TTQ82" s="0"/>
      <c r="TTR82" s="0"/>
      <c r="TTS82" s="0"/>
      <c r="TTT82" s="0"/>
      <c r="TTU82" s="0"/>
      <c r="TTV82" s="0"/>
      <c r="TTW82" s="0"/>
      <c r="TTX82" s="0"/>
      <c r="TTY82" s="0"/>
      <c r="TTZ82" s="0"/>
      <c r="TUA82" s="0"/>
      <c r="TUB82" s="0"/>
      <c r="TUC82" s="0"/>
      <c r="TUD82" s="0"/>
      <c r="TUE82" s="0"/>
      <c r="TUF82" s="0"/>
      <c r="TUG82" s="0"/>
      <c r="TUH82" s="0"/>
      <c r="TUI82" s="0"/>
      <c r="TUJ82" s="0"/>
      <c r="TUK82" s="0"/>
      <c r="TUL82" s="0"/>
      <c r="TUM82" s="0"/>
      <c r="TUN82" s="0"/>
      <c r="TUO82" s="0"/>
      <c r="TUP82" s="0"/>
      <c r="TUQ82" s="0"/>
      <c r="TUR82" s="0"/>
      <c r="TUS82" s="0"/>
      <c r="TUT82" s="0"/>
      <c r="TUU82" s="0"/>
      <c r="TUV82" s="0"/>
      <c r="TUW82" s="0"/>
      <c r="TUX82" s="0"/>
      <c r="TUY82" s="0"/>
      <c r="TUZ82" s="0"/>
      <c r="TVA82" s="0"/>
      <c r="TVB82" s="0"/>
      <c r="TVC82" s="0"/>
      <c r="TVD82" s="0"/>
      <c r="TVE82" s="0"/>
      <c r="TVF82" s="0"/>
      <c r="TVG82" s="0"/>
      <c r="TVH82" s="0"/>
      <c r="TVI82" s="0"/>
      <c r="TVJ82" s="0"/>
      <c r="TVK82" s="0"/>
      <c r="TVL82" s="0"/>
      <c r="TVM82" s="0"/>
      <c r="TVN82" s="0"/>
      <c r="TVO82" s="0"/>
      <c r="TVP82" s="0"/>
      <c r="TVQ82" s="0"/>
      <c r="TVR82" s="0"/>
      <c r="TVS82" s="0"/>
      <c r="TVT82" s="0"/>
      <c r="TVU82" s="0"/>
      <c r="TVV82" s="0"/>
      <c r="TVW82" s="0"/>
      <c r="TVX82" s="0"/>
      <c r="TVY82" s="0"/>
      <c r="TVZ82" s="0"/>
      <c r="TWA82" s="0"/>
      <c r="TWB82" s="0"/>
      <c r="TWC82" s="0"/>
      <c r="TWD82" s="0"/>
      <c r="TWE82" s="0"/>
      <c r="TWF82" s="0"/>
      <c r="TWG82" s="0"/>
      <c r="TWH82" s="0"/>
      <c r="TWI82" s="0"/>
      <c r="TWJ82" s="0"/>
      <c r="TWK82" s="0"/>
      <c r="TWL82" s="0"/>
      <c r="TWM82" s="0"/>
      <c r="TWN82" s="0"/>
      <c r="TWO82" s="0"/>
      <c r="TWP82" s="0"/>
      <c r="TWQ82" s="0"/>
      <c r="TWR82" s="0"/>
      <c r="TWS82" s="0"/>
      <c r="TWT82" s="0"/>
      <c r="TWU82" s="0"/>
      <c r="TWV82" s="0"/>
      <c r="TWW82" s="0"/>
      <c r="TWX82" s="0"/>
      <c r="TWY82" s="0"/>
      <c r="TWZ82" s="0"/>
      <c r="TXA82" s="0"/>
      <c r="TXB82" s="0"/>
      <c r="TXC82" s="0"/>
      <c r="TXD82" s="0"/>
      <c r="TXE82" s="0"/>
      <c r="TXF82" s="0"/>
      <c r="TXG82" s="0"/>
      <c r="TXH82" s="0"/>
      <c r="TXI82" s="0"/>
      <c r="TXJ82" s="0"/>
      <c r="TXK82" s="0"/>
      <c r="TXL82" s="0"/>
      <c r="TXM82" s="0"/>
      <c r="TXN82" s="0"/>
      <c r="TXO82" s="0"/>
      <c r="TXP82" s="0"/>
      <c r="TXQ82" s="0"/>
      <c r="TXR82" s="0"/>
      <c r="TXS82" s="0"/>
      <c r="TXT82" s="0"/>
      <c r="TXU82" s="0"/>
      <c r="TXV82" s="0"/>
      <c r="TXW82" s="0"/>
      <c r="TXX82" s="0"/>
      <c r="TXY82" s="0"/>
      <c r="TXZ82" s="0"/>
      <c r="TYA82" s="0"/>
      <c r="TYB82" s="0"/>
      <c r="TYC82" s="0"/>
      <c r="TYD82" s="0"/>
      <c r="TYE82" s="0"/>
      <c r="TYF82" s="0"/>
      <c r="TYG82" s="0"/>
      <c r="TYH82" s="0"/>
      <c r="TYI82" s="0"/>
      <c r="TYJ82" s="0"/>
      <c r="TYK82" s="0"/>
      <c r="TYL82" s="0"/>
      <c r="TYM82" s="0"/>
      <c r="TYN82" s="0"/>
      <c r="TYO82" s="0"/>
      <c r="TYP82" s="0"/>
      <c r="TYQ82" s="0"/>
      <c r="TYR82" s="0"/>
      <c r="TYS82" s="0"/>
      <c r="TYT82" s="0"/>
      <c r="TYU82" s="0"/>
      <c r="TYV82" s="0"/>
      <c r="TYW82" s="0"/>
      <c r="TYX82" s="0"/>
      <c r="TYY82" s="0"/>
      <c r="TYZ82" s="0"/>
      <c r="TZA82" s="0"/>
      <c r="TZB82" s="0"/>
      <c r="TZC82" s="0"/>
      <c r="TZD82" s="0"/>
      <c r="TZE82" s="0"/>
      <c r="TZF82" s="0"/>
      <c r="TZG82" s="0"/>
      <c r="TZH82" s="0"/>
      <c r="TZI82" s="0"/>
      <c r="TZJ82" s="0"/>
      <c r="TZK82" s="0"/>
      <c r="TZL82" s="0"/>
      <c r="TZM82" s="0"/>
      <c r="TZN82" s="0"/>
      <c r="TZO82" s="0"/>
      <c r="TZP82" s="0"/>
      <c r="TZQ82" s="0"/>
      <c r="TZR82" s="0"/>
      <c r="TZS82" s="0"/>
      <c r="TZT82" s="0"/>
      <c r="TZU82" s="0"/>
      <c r="TZV82" s="0"/>
      <c r="TZW82" s="0"/>
      <c r="TZX82" s="0"/>
      <c r="TZY82" s="0"/>
      <c r="TZZ82" s="0"/>
      <c r="UAA82" s="0"/>
      <c r="UAB82" s="0"/>
      <c r="UAC82" s="0"/>
      <c r="UAD82" s="0"/>
      <c r="UAE82" s="0"/>
      <c r="UAF82" s="0"/>
      <c r="UAG82" s="0"/>
      <c r="UAH82" s="0"/>
      <c r="UAI82" s="0"/>
      <c r="UAJ82" s="0"/>
      <c r="UAK82" s="0"/>
      <c r="UAL82" s="0"/>
      <c r="UAM82" s="0"/>
      <c r="UAN82" s="0"/>
      <c r="UAO82" s="0"/>
      <c r="UAP82" s="0"/>
      <c r="UAQ82" s="0"/>
      <c r="UAR82" s="0"/>
      <c r="UAS82" s="0"/>
      <c r="UAT82" s="0"/>
      <c r="UAU82" s="0"/>
      <c r="UAV82" s="0"/>
      <c r="UAW82" s="0"/>
      <c r="UAX82" s="0"/>
      <c r="UAY82" s="0"/>
      <c r="UAZ82" s="0"/>
      <c r="UBA82" s="0"/>
      <c r="UBB82" s="0"/>
      <c r="UBC82" s="0"/>
      <c r="UBD82" s="0"/>
      <c r="UBE82" s="0"/>
      <c r="UBF82" s="0"/>
      <c r="UBG82" s="0"/>
      <c r="UBH82" s="0"/>
      <c r="UBI82" s="0"/>
      <c r="UBJ82" s="0"/>
      <c r="UBK82" s="0"/>
      <c r="UBL82" s="0"/>
      <c r="UBM82" s="0"/>
      <c r="UBN82" s="0"/>
      <c r="UBO82" s="0"/>
      <c r="UBP82" s="0"/>
      <c r="UBQ82" s="0"/>
      <c r="UBR82" s="0"/>
      <c r="UBS82" s="0"/>
      <c r="UBT82" s="0"/>
      <c r="UBU82" s="0"/>
      <c r="UBV82" s="0"/>
      <c r="UBW82" s="0"/>
      <c r="UBX82" s="0"/>
      <c r="UBY82" s="0"/>
      <c r="UBZ82" s="0"/>
      <c r="UCA82" s="0"/>
      <c r="UCB82" s="0"/>
      <c r="UCC82" s="0"/>
      <c r="UCD82" s="0"/>
      <c r="UCE82" s="0"/>
      <c r="UCF82" s="0"/>
      <c r="UCG82" s="0"/>
      <c r="UCH82" s="0"/>
      <c r="UCI82" s="0"/>
      <c r="UCJ82" s="0"/>
      <c r="UCK82" s="0"/>
      <c r="UCL82" s="0"/>
      <c r="UCM82" s="0"/>
      <c r="UCN82" s="0"/>
      <c r="UCO82" s="0"/>
      <c r="UCP82" s="0"/>
      <c r="UCQ82" s="0"/>
      <c r="UCR82" s="0"/>
      <c r="UCS82" s="0"/>
      <c r="UCT82" s="0"/>
      <c r="UCU82" s="0"/>
      <c r="UCV82" s="0"/>
      <c r="UCW82" s="0"/>
      <c r="UCX82" s="0"/>
      <c r="UCY82" s="0"/>
      <c r="UCZ82" s="0"/>
      <c r="UDA82" s="0"/>
      <c r="UDB82" s="0"/>
      <c r="UDC82" s="0"/>
      <c r="UDD82" s="0"/>
      <c r="UDE82" s="0"/>
      <c r="UDF82" s="0"/>
      <c r="UDG82" s="0"/>
      <c r="UDH82" s="0"/>
      <c r="UDI82" s="0"/>
      <c r="UDJ82" s="0"/>
      <c r="UDK82" s="0"/>
      <c r="UDL82" s="0"/>
      <c r="UDM82" s="0"/>
      <c r="UDN82" s="0"/>
      <c r="UDO82" s="0"/>
      <c r="UDP82" s="0"/>
      <c r="UDQ82" s="0"/>
      <c r="UDR82" s="0"/>
      <c r="UDS82" s="0"/>
      <c r="UDT82" s="0"/>
      <c r="UDU82" s="0"/>
      <c r="UDV82" s="0"/>
      <c r="UDW82" s="0"/>
      <c r="UDX82" s="0"/>
      <c r="UDY82" s="0"/>
      <c r="UDZ82" s="0"/>
      <c r="UEA82" s="0"/>
      <c r="UEB82" s="0"/>
      <c r="UEC82" s="0"/>
      <c r="UED82" s="0"/>
      <c r="UEE82" s="0"/>
      <c r="UEF82" s="0"/>
      <c r="UEG82" s="0"/>
      <c r="UEH82" s="0"/>
      <c r="UEI82" s="0"/>
      <c r="UEJ82" s="0"/>
      <c r="UEK82" s="0"/>
      <c r="UEL82" s="0"/>
      <c r="UEM82" s="0"/>
      <c r="UEN82" s="0"/>
      <c r="UEO82" s="0"/>
      <c r="UEP82" s="0"/>
      <c r="UEQ82" s="0"/>
      <c r="UER82" s="0"/>
      <c r="UES82" s="0"/>
      <c r="UET82" s="0"/>
      <c r="UEU82" s="0"/>
      <c r="UEV82" s="0"/>
      <c r="UEW82" s="0"/>
      <c r="UEX82" s="0"/>
      <c r="UEY82" s="0"/>
      <c r="UEZ82" s="0"/>
      <c r="UFA82" s="0"/>
      <c r="UFB82" s="0"/>
      <c r="UFC82" s="0"/>
      <c r="UFD82" s="0"/>
      <c r="UFE82" s="0"/>
      <c r="UFF82" s="0"/>
      <c r="UFG82" s="0"/>
      <c r="UFH82" s="0"/>
      <c r="UFI82" s="0"/>
      <c r="UFJ82" s="0"/>
      <c r="UFK82" s="0"/>
      <c r="UFL82" s="0"/>
      <c r="UFM82" s="0"/>
      <c r="UFN82" s="0"/>
      <c r="UFO82" s="0"/>
      <c r="UFP82" s="0"/>
      <c r="UFQ82" s="0"/>
      <c r="UFR82" s="0"/>
      <c r="UFS82" s="0"/>
      <c r="UFT82" s="0"/>
      <c r="UFU82" s="0"/>
      <c r="UFV82" s="0"/>
      <c r="UFW82" s="0"/>
      <c r="UFX82" s="0"/>
      <c r="UFY82" s="0"/>
      <c r="UFZ82" s="0"/>
      <c r="UGA82" s="0"/>
      <c r="UGB82" s="0"/>
      <c r="UGC82" s="0"/>
      <c r="UGD82" s="0"/>
      <c r="UGE82" s="0"/>
      <c r="UGF82" s="0"/>
      <c r="UGG82" s="0"/>
      <c r="UGH82" s="0"/>
      <c r="UGI82" s="0"/>
      <c r="UGJ82" s="0"/>
      <c r="UGK82" s="0"/>
      <c r="UGL82" s="0"/>
      <c r="UGM82" s="0"/>
      <c r="UGN82" s="0"/>
      <c r="UGO82" s="0"/>
      <c r="UGP82" s="0"/>
      <c r="UGQ82" s="0"/>
      <c r="UGR82" s="0"/>
      <c r="UGS82" s="0"/>
      <c r="UGT82" s="0"/>
      <c r="UGU82" s="0"/>
      <c r="UGV82" s="0"/>
      <c r="UGW82" s="0"/>
      <c r="UGX82" s="0"/>
      <c r="UGY82" s="0"/>
      <c r="UGZ82" s="0"/>
      <c r="UHA82" s="0"/>
      <c r="UHB82" s="0"/>
      <c r="UHC82" s="0"/>
      <c r="UHD82" s="0"/>
      <c r="UHE82" s="0"/>
      <c r="UHF82" s="0"/>
      <c r="UHG82" s="0"/>
      <c r="UHH82" s="0"/>
      <c r="UHI82" s="0"/>
      <c r="UHJ82" s="0"/>
      <c r="UHK82" s="0"/>
      <c r="UHL82" s="0"/>
      <c r="UHM82" s="0"/>
      <c r="UHN82" s="0"/>
      <c r="UHO82" s="0"/>
      <c r="UHP82" s="0"/>
      <c r="UHQ82" s="0"/>
      <c r="UHR82" s="0"/>
      <c r="UHS82" s="0"/>
      <c r="UHT82" s="0"/>
      <c r="UHU82" s="0"/>
      <c r="UHV82" s="0"/>
      <c r="UHW82" s="0"/>
      <c r="UHX82" s="0"/>
      <c r="UHY82" s="0"/>
      <c r="UHZ82" s="0"/>
      <c r="UIA82" s="0"/>
      <c r="UIB82" s="0"/>
      <c r="UIC82" s="0"/>
      <c r="UID82" s="0"/>
      <c r="UIE82" s="0"/>
      <c r="UIF82" s="0"/>
      <c r="UIG82" s="0"/>
      <c r="UIH82" s="0"/>
      <c r="UII82" s="0"/>
      <c r="UIJ82" s="0"/>
      <c r="UIK82" s="0"/>
      <c r="UIL82" s="0"/>
      <c r="UIM82" s="0"/>
      <c r="UIN82" s="0"/>
      <c r="UIO82" s="0"/>
      <c r="UIP82" s="0"/>
      <c r="UIQ82" s="0"/>
      <c r="UIR82" s="0"/>
      <c r="UIS82" s="0"/>
      <c r="UIT82" s="0"/>
      <c r="UIU82" s="0"/>
      <c r="UIV82" s="0"/>
      <c r="UIW82" s="0"/>
      <c r="UIX82" s="0"/>
      <c r="UIY82" s="0"/>
      <c r="UIZ82" s="0"/>
      <c r="UJA82" s="0"/>
      <c r="UJB82" s="0"/>
      <c r="UJC82" s="0"/>
      <c r="UJD82" s="0"/>
      <c r="UJE82" s="0"/>
      <c r="UJF82" s="0"/>
      <c r="UJG82" s="0"/>
      <c r="UJH82" s="0"/>
      <c r="UJI82" s="0"/>
      <c r="UJJ82" s="0"/>
      <c r="UJK82" s="0"/>
      <c r="UJL82" s="0"/>
      <c r="UJM82" s="0"/>
      <c r="UJN82" s="0"/>
      <c r="UJO82" s="0"/>
      <c r="UJP82" s="0"/>
      <c r="UJQ82" s="0"/>
      <c r="UJR82" s="0"/>
      <c r="UJS82" s="0"/>
      <c r="UJT82" s="0"/>
      <c r="UJU82" s="0"/>
      <c r="UJV82" s="0"/>
      <c r="UJW82" s="0"/>
      <c r="UJX82" s="0"/>
      <c r="UJY82" s="0"/>
      <c r="UJZ82" s="0"/>
      <c r="UKA82" s="0"/>
      <c r="UKB82" s="0"/>
      <c r="UKC82" s="0"/>
      <c r="UKD82" s="0"/>
      <c r="UKE82" s="0"/>
      <c r="UKF82" s="0"/>
      <c r="UKG82" s="0"/>
      <c r="UKH82" s="0"/>
      <c r="UKI82" s="0"/>
      <c r="UKJ82" s="0"/>
      <c r="UKK82" s="0"/>
      <c r="UKL82" s="0"/>
      <c r="UKM82" s="0"/>
      <c r="UKN82" s="0"/>
      <c r="UKO82" s="0"/>
      <c r="UKP82" s="0"/>
      <c r="UKQ82" s="0"/>
      <c r="UKR82" s="0"/>
      <c r="UKS82" s="0"/>
      <c r="UKT82" s="0"/>
      <c r="UKU82" s="0"/>
      <c r="UKV82" s="0"/>
      <c r="UKW82" s="0"/>
      <c r="UKX82" s="0"/>
      <c r="UKY82" s="0"/>
      <c r="UKZ82" s="0"/>
      <c r="ULA82" s="0"/>
      <c r="ULB82" s="0"/>
      <c r="ULC82" s="0"/>
      <c r="ULD82" s="0"/>
      <c r="ULE82" s="0"/>
      <c r="ULF82" s="0"/>
      <c r="ULG82" s="0"/>
      <c r="ULH82" s="0"/>
      <c r="ULI82" s="0"/>
      <c r="ULJ82" s="0"/>
      <c r="ULK82" s="0"/>
      <c r="ULL82" s="0"/>
      <c r="ULM82" s="0"/>
      <c r="ULN82" s="0"/>
      <c r="ULO82" s="0"/>
      <c r="ULP82" s="0"/>
      <c r="ULQ82" s="0"/>
      <c r="ULR82" s="0"/>
      <c r="ULS82" s="0"/>
      <c r="ULT82" s="0"/>
      <c r="ULU82" s="0"/>
      <c r="ULV82" s="0"/>
      <c r="ULW82" s="0"/>
      <c r="ULX82" s="0"/>
      <c r="ULY82" s="0"/>
      <c r="ULZ82" s="0"/>
      <c r="UMA82" s="0"/>
      <c r="UMB82" s="0"/>
      <c r="UMC82" s="0"/>
      <c r="UMD82" s="0"/>
      <c r="UME82" s="0"/>
      <c r="UMF82" s="0"/>
      <c r="UMG82" s="0"/>
      <c r="UMH82" s="0"/>
      <c r="UMI82" s="0"/>
      <c r="UMJ82" s="0"/>
      <c r="UMK82" s="0"/>
      <c r="UML82" s="0"/>
      <c r="UMM82" s="0"/>
      <c r="UMN82" s="0"/>
      <c r="UMO82" s="0"/>
      <c r="UMP82" s="0"/>
      <c r="UMQ82" s="0"/>
      <c r="UMR82" s="0"/>
      <c r="UMS82" s="0"/>
      <c r="UMT82" s="0"/>
      <c r="UMU82" s="0"/>
      <c r="UMV82" s="0"/>
      <c r="UMW82" s="0"/>
      <c r="UMX82" s="0"/>
      <c r="UMY82" s="0"/>
      <c r="UMZ82" s="0"/>
      <c r="UNA82" s="0"/>
      <c r="UNB82" s="0"/>
      <c r="UNC82" s="0"/>
      <c r="UND82" s="0"/>
      <c r="UNE82" s="0"/>
      <c r="UNF82" s="0"/>
      <c r="UNG82" s="0"/>
      <c r="UNH82" s="0"/>
      <c r="UNI82" s="0"/>
      <c r="UNJ82" s="0"/>
      <c r="UNK82" s="0"/>
      <c r="UNL82" s="0"/>
      <c r="UNM82" s="0"/>
      <c r="UNN82" s="0"/>
      <c r="UNO82" s="0"/>
      <c r="UNP82" s="0"/>
      <c r="UNQ82" s="0"/>
      <c r="UNR82" s="0"/>
      <c r="UNS82" s="0"/>
      <c r="UNT82" s="0"/>
      <c r="UNU82" s="0"/>
      <c r="UNV82" s="0"/>
      <c r="UNW82" s="0"/>
      <c r="UNX82" s="0"/>
      <c r="UNY82" s="0"/>
      <c r="UNZ82" s="0"/>
      <c r="UOA82" s="0"/>
      <c r="UOB82" s="0"/>
      <c r="UOC82" s="0"/>
      <c r="UOD82" s="0"/>
      <c r="UOE82" s="0"/>
      <c r="UOF82" s="0"/>
      <c r="UOG82" s="0"/>
      <c r="UOH82" s="0"/>
      <c r="UOI82" s="0"/>
      <c r="UOJ82" s="0"/>
      <c r="UOK82" s="0"/>
      <c r="UOL82" s="0"/>
      <c r="UOM82" s="0"/>
      <c r="UON82" s="0"/>
      <c r="UOO82" s="0"/>
      <c r="UOP82" s="0"/>
      <c r="UOQ82" s="0"/>
      <c r="UOR82" s="0"/>
      <c r="UOS82" s="0"/>
      <c r="UOT82" s="0"/>
      <c r="UOU82" s="0"/>
      <c r="UOV82" s="0"/>
      <c r="UOW82" s="0"/>
      <c r="UOX82" s="0"/>
      <c r="UOY82" s="0"/>
      <c r="UOZ82" s="0"/>
      <c r="UPA82" s="0"/>
      <c r="UPB82" s="0"/>
      <c r="UPC82" s="0"/>
      <c r="UPD82" s="0"/>
      <c r="UPE82" s="0"/>
      <c r="UPF82" s="0"/>
      <c r="UPG82" s="0"/>
      <c r="UPH82" s="0"/>
      <c r="UPI82" s="0"/>
      <c r="UPJ82" s="0"/>
      <c r="UPK82" s="0"/>
      <c r="UPL82" s="0"/>
      <c r="UPM82" s="0"/>
      <c r="UPN82" s="0"/>
      <c r="UPO82" s="0"/>
      <c r="UPP82" s="0"/>
      <c r="UPQ82" s="0"/>
      <c r="UPR82" s="0"/>
      <c r="UPS82" s="0"/>
      <c r="UPT82" s="0"/>
      <c r="UPU82" s="0"/>
      <c r="UPV82" s="0"/>
      <c r="UPW82" s="0"/>
      <c r="UPX82" s="0"/>
      <c r="UPY82" s="0"/>
      <c r="UPZ82" s="0"/>
      <c r="UQA82" s="0"/>
      <c r="UQB82" s="0"/>
      <c r="UQC82" s="0"/>
      <c r="UQD82" s="0"/>
      <c r="UQE82" s="0"/>
      <c r="UQF82" s="0"/>
      <c r="UQG82" s="0"/>
      <c r="UQH82" s="0"/>
      <c r="UQI82" s="0"/>
      <c r="UQJ82" s="0"/>
      <c r="UQK82" s="0"/>
      <c r="UQL82" s="0"/>
      <c r="UQM82" s="0"/>
      <c r="UQN82" s="0"/>
      <c r="UQO82" s="0"/>
      <c r="UQP82" s="0"/>
      <c r="UQQ82" s="0"/>
      <c r="UQR82" s="0"/>
      <c r="UQS82" s="0"/>
      <c r="UQT82" s="0"/>
      <c r="UQU82" s="0"/>
      <c r="UQV82" s="0"/>
      <c r="UQW82" s="0"/>
      <c r="UQX82" s="0"/>
      <c r="UQY82" s="0"/>
      <c r="UQZ82" s="0"/>
      <c r="URA82" s="0"/>
      <c r="URB82" s="0"/>
      <c r="URC82" s="0"/>
      <c r="URD82" s="0"/>
      <c r="URE82" s="0"/>
      <c r="URF82" s="0"/>
      <c r="URG82" s="0"/>
      <c r="URH82" s="0"/>
      <c r="URI82" s="0"/>
      <c r="URJ82" s="0"/>
      <c r="URK82" s="0"/>
      <c r="URL82" s="0"/>
      <c r="URM82" s="0"/>
      <c r="URN82" s="0"/>
      <c r="URO82" s="0"/>
      <c r="URP82" s="0"/>
      <c r="URQ82" s="0"/>
      <c r="URR82" s="0"/>
      <c r="URS82" s="0"/>
      <c r="URT82" s="0"/>
      <c r="URU82" s="0"/>
      <c r="URV82" s="0"/>
      <c r="URW82" s="0"/>
      <c r="URX82" s="0"/>
      <c r="URY82" s="0"/>
      <c r="URZ82" s="0"/>
      <c r="USA82" s="0"/>
      <c r="USB82" s="0"/>
      <c r="USC82" s="0"/>
      <c r="USD82" s="0"/>
      <c r="USE82" s="0"/>
      <c r="USF82" s="0"/>
      <c r="USG82" s="0"/>
      <c r="USH82" s="0"/>
      <c r="USI82" s="0"/>
      <c r="USJ82" s="0"/>
      <c r="USK82" s="0"/>
      <c r="USL82" s="0"/>
      <c r="USM82" s="0"/>
      <c r="USN82" s="0"/>
      <c r="USO82" s="0"/>
      <c r="USP82" s="0"/>
      <c r="USQ82" s="0"/>
      <c r="USR82" s="0"/>
      <c r="USS82" s="0"/>
      <c r="UST82" s="0"/>
      <c r="USU82" s="0"/>
      <c r="USV82" s="0"/>
      <c r="USW82" s="0"/>
      <c r="USX82" s="0"/>
      <c r="USY82" s="0"/>
      <c r="USZ82" s="0"/>
      <c r="UTA82" s="0"/>
      <c r="UTB82" s="0"/>
      <c r="UTC82" s="0"/>
      <c r="UTD82" s="0"/>
      <c r="UTE82" s="0"/>
      <c r="UTF82" s="0"/>
      <c r="UTG82" s="0"/>
      <c r="UTH82" s="0"/>
      <c r="UTI82" s="0"/>
      <c r="UTJ82" s="0"/>
      <c r="UTK82" s="0"/>
      <c r="UTL82" s="0"/>
      <c r="UTM82" s="0"/>
      <c r="UTN82" s="0"/>
      <c r="UTO82" s="0"/>
      <c r="UTP82" s="0"/>
      <c r="UTQ82" s="0"/>
      <c r="UTR82" s="0"/>
      <c r="UTS82" s="0"/>
      <c r="UTT82" s="0"/>
      <c r="UTU82" s="0"/>
      <c r="UTV82" s="0"/>
      <c r="UTW82" s="0"/>
      <c r="UTX82" s="0"/>
      <c r="UTY82" s="0"/>
      <c r="UTZ82" s="0"/>
      <c r="UUA82" s="0"/>
      <c r="UUB82" s="0"/>
      <c r="UUC82" s="0"/>
      <c r="UUD82" s="0"/>
      <c r="UUE82" s="0"/>
      <c r="UUF82" s="0"/>
      <c r="UUG82" s="0"/>
      <c r="UUH82" s="0"/>
      <c r="UUI82" s="0"/>
      <c r="UUJ82" s="0"/>
      <c r="UUK82" s="0"/>
      <c r="UUL82" s="0"/>
      <c r="UUM82" s="0"/>
      <c r="UUN82" s="0"/>
      <c r="UUO82" s="0"/>
      <c r="UUP82" s="0"/>
      <c r="UUQ82" s="0"/>
      <c r="UUR82" s="0"/>
      <c r="UUS82" s="0"/>
      <c r="UUT82" s="0"/>
      <c r="UUU82" s="0"/>
      <c r="UUV82" s="0"/>
      <c r="UUW82" s="0"/>
      <c r="UUX82" s="0"/>
      <c r="UUY82" s="0"/>
      <c r="UUZ82" s="0"/>
      <c r="UVA82" s="0"/>
      <c r="UVB82" s="0"/>
      <c r="UVC82" s="0"/>
      <c r="UVD82" s="0"/>
      <c r="UVE82" s="0"/>
      <c r="UVF82" s="0"/>
      <c r="UVG82" s="0"/>
      <c r="UVH82" s="0"/>
      <c r="UVI82" s="0"/>
      <c r="UVJ82" s="0"/>
      <c r="UVK82" s="0"/>
      <c r="UVL82" s="0"/>
      <c r="UVM82" s="0"/>
      <c r="UVN82" s="0"/>
      <c r="UVO82" s="0"/>
      <c r="UVP82" s="0"/>
      <c r="UVQ82" s="0"/>
      <c r="UVR82" s="0"/>
      <c r="UVS82" s="0"/>
      <c r="UVT82" s="0"/>
      <c r="UVU82" s="0"/>
      <c r="UVV82" s="0"/>
      <c r="UVW82" s="0"/>
      <c r="UVX82" s="0"/>
      <c r="UVY82" s="0"/>
      <c r="UVZ82" s="0"/>
      <c r="UWA82" s="0"/>
      <c r="UWB82" s="0"/>
      <c r="UWC82" s="0"/>
      <c r="UWD82" s="0"/>
      <c r="UWE82" s="0"/>
      <c r="UWF82" s="0"/>
      <c r="UWG82" s="0"/>
      <c r="UWH82" s="0"/>
      <c r="UWI82" s="0"/>
      <c r="UWJ82" s="0"/>
      <c r="UWK82" s="0"/>
      <c r="UWL82" s="0"/>
      <c r="UWM82" s="0"/>
      <c r="UWN82" s="0"/>
      <c r="UWO82" s="0"/>
      <c r="UWP82" s="0"/>
      <c r="UWQ82" s="0"/>
      <c r="UWR82" s="0"/>
      <c r="UWS82" s="0"/>
      <c r="UWT82" s="0"/>
      <c r="UWU82" s="0"/>
      <c r="UWV82" s="0"/>
      <c r="UWW82" s="0"/>
      <c r="UWX82" s="0"/>
      <c r="UWY82" s="0"/>
      <c r="UWZ82" s="0"/>
      <c r="UXA82" s="0"/>
      <c r="UXB82" s="0"/>
      <c r="UXC82" s="0"/>
      <c r="UXD82" s="0"/>
      <c r="UXE82" s="0"/>
      <c r="UXF82" s="0"/>
      <c r="UXG82" s="0"/>
      <c r="UXH82" s="0"/>
      <c r="UXI82" s="0"/>
      <c r="UXJ82" s="0"/>
      <c r="UXK82" s="0"/>
      <c r="UXL82" s="0"/>
      <c r="UXM82" s="0"/>
      <c r="UXN82" s="0"/>
      <c r="UXO82" s="0"/>
      <c r="UXP82" s="0"/>
      <c r="UXQ82" s="0"/>
      <c r="UXR82" s="0"/>
      <c r="UXS82" s="0"/>
      <c r="UXT82" s="0"/>
      <c r="UXU82" s="0"/>
      <c r="UXV82" s="0"/>
      <c r="UXW82" s="0"/>
      <c r="UXX82" s="0"/>
      <c r="UXY82" s="0"/>
      <c r="UXZ82" s="0"/>
      <c r="UYA82" s="0"/>
      <c r="UYB82" s="0"/>
      <c r="UYC82" s="0"/>
      <c r="UYD82" s="0"/>
      <c r="UYE82" s="0"/>
      <c r="UYF82" s="0"/>
      <c r="UYG82" s="0"/>
      <c r="UYH82" s="0"/>
      <c r="UYI82" s="0"/>
      <c r="UYJ82" s="0"/>
      <c r="UYK82" s="0"/>
      <c r="UYL82" s="0"/>
      <c r="UYM82" s="0"/>
      <c r="UYN82" s="0"/>
      <c r="UYO82" s="0"/>
      <c r="UYP82" s="0"/>
      <c r="UYQ82" s="0"/>
      <c r="UYR82" s="0"/>
      <c r="UYS82" s="0"/>
      <c r="UYT82" s="0"/>
      <c r="UYU82" s="0"/>
      <c r="UYV82" s="0"/>
      <c r="UYW82" s="0"/>
      <c r="UYX82" s="0"/>
      <c r="UYY82" s="0"/>
      <c r="UYZ82" s="0"/>
      <c r="UZA82" s="0"/>
      <c r="UZB82" s="0"/>
      <c r="UZC82" s="0"/>
      <c r="UZD82" s="0"/>
      <c r="UZE82" s="0"/>
      <c r="UZF82" s="0"/>
      <c r="UZG82" s="0"/>
      <c r="UZH82" s="0"/>
      <c r="UZI82" s="0"/>
      <c r="UZJ82" s="0"/>
      <c r="UZK82" s="0"/>
      <c r="UZL82" s="0"/>
      <c r="UZM82" s="0"/>
      <c r="UZN82" s="0"/>
      <c r="UZO82" s="0"/>
      <c r="UZP82" s="0"/>
      <c r="UZQ82" s="0"/>
      <c r="UZR82" s="0"/>
      <c r="UZS82" s="0"/>
      <c r="UZT82" s="0"/>
      <c r="UZU82" s="0"/>
      <c r="UZV82" s="0"/>
      <c r="UZW82" s="0"/>
      <c r="UZX82" s="0"/>
      <c r="UZY82" s="0"/>
      <c r="UZZ82" s="0"/>
      <c r="VAA82" s="0"/>
      <c r="VAB82" s="0"/>
      <c r="VAC82" s="0"/>
      <c r="VAD82" s="0"/>
      <c r="VAE82" s="0"/>
      <c r="VAF82" s="0"/>
      <c r="VAG82" s="0"/>
      <c r="VAH82" s="0"/>
      <c r="VAI82" s="0"/>
      <c r="VAJ82" s="0"/>
      <c r="VAK82" s="0"/>
      <c r="VAL82" s="0"/>
      <c r="VAM82" s="0"/>
      <c r="VAN82" s="0"/>
      <c r="VAO82" s="0"/>
      <c r="VAP82" s="0"/>
      <c r="VAQ82" s="0"/>
      <c r="VAR82" s="0"/>
      <c r="VAS82" s="0"/>
      <c r="VAT82" s="0"/>
      <c r="VAU82" s="0"/>
      <c r="VAV82" s="0"/>
      <c r="VAW82" s="0"/>
      <c r="VAX82" s="0"/>
      <c r="VAY82" s="0"/>
      <c r="VAZ82" s="0"/>
      <c r="VBA82" s="0"/>
      <c r="VBB82" s="0"/>
      <c r="VBC82" s="0"/>
      <c r="VBD82" s="0"/>
      <c r="VBE82" s="0"/>
      <c r="VBF82" s="0"/>
      <c r="VBG82" s="0"/>
      <c r="VBH82" s="0"/>
      <c r="VBI82" s="0"/>
      <c r="VBJ82" s="0"/>
      <c r="VBK82" s="0"/>
      <c r="VBL82" s="0"/>
      <c r="VBM82" s="0"/>
      <c r="VBN82" s="0"/>
      <c r="VBO82" s="0"/>
      <c r="VBP82" s="0"/>
      <c r="VBQ82" s="0"/>
      <c r="VBR82" s="0"/>
      <c r="VBS82" s="0"/>
      <c r="VBT82" s="0"/>
      <c r="VBU82" s="0"/>
      <c r="VBV82" s="0"/>
      <c r="VBW82" s="0"/>
      <c r="VBX82" s="0"/>
      <c r="VBY82" s="0"/>
      <c r="VBZ82" s="0"/>
      <c r="VCA82" s="0"/>
      <c r="VCB82" s="0"/>
      <c r="VCC82" s="0"/>
      <c r="VCD82" s="0"/>
      <c r="VCE82" s="0"/>
      <c r="VCF82" s="0"/>
      <c r="VCG82" s="0"/>
      <c r="VCH82" s="0"/>
      <c r="VCI82" s="0"/>
      <c r="VCJ82" s="0"/>
      <c r="VCK82" s="0"/>
      <c r="VCL82" s="0"/>
      <c r="VCM82" s="0"/>
      <c r="VCN82" s="0"/>
      <c r="VCO82" s="0"/>
      <c r="VCP82" s="0"/>
      <c r="VCQ82" s="0"/>
      <c r="VCR82" s="0"/>
      <c r="VCS82" s="0"/>
      <c r="VCT82" s="0"/>
      <c r="VCU82" s="0"/>
      <c r="VCV82" s="0"/>
      <c r="VCW82" s="0"/>
      <c r="VCX82" s="0"/>
      <c r="VCY82" s="0"/>
      <c r="VCZ82" s="0"/>
      <c r="VDA82" s="0"/>
      <c r="VDB82" s="0"/>
      <c r="VDC82" s="0"/>
      <c r="VDD82" s="0"/>
      <c r="VDE82" s="0"/>
      <c r="VDF82" s="0"/>
      <c r="VDG82" s="0"/>
      <c r="VDH82" s="0"/>
      <c r="VDI82" s="0"/>
      <c r="VDJ82" s="0"/>
      <c r="VDK82" s="0"/>
      <c r="VDL82" s="0"/>
      <c r="VDM82" s="0"/>
      <c r="VDN82" s="0"/>
      <c r="VDO82" s="0"/>
      <c r="VDP82" s="0"/>
      <c r="VDQ82" s="0"/>
      <c r="VDR82" s="0"/>
      <c r="VDS82" s="0"/>
      <c r="VDT82" s="0"/>
      <c r="VDU82" s="0"/>
      <c r="VDV82" s="0"/>
      <c r="VDW82" s="0"/>
      <c r="VDX82" s="0"/>
      <c r="VDY82" s="0"/>
      <c r="VDZ82" s="0"/>
      <c r="VEA82" s="0"/>
      <c r="VEB82" s="0"/>
      <c r="VEC82" s="0"/>
      <c r="VED82" s="0"/>
      <c r="VEE82" s="0"/>
      <c r="VEF82" s="0"/>
      <c r="VEG82" s="0"/>
      <c r="VEH82" s="0"/>
      <c r="VEI82" s="0"/>
      <c r="VEJ82" s="0"/>
      <c r="VEK82" s="0"/>
      <c r="VEL82" s="0"/>
      <c r="VEM82" s="0"/>
      <c r="VEN82" s="0"/>
      <c r="VEO82" s="0"/>
      <c r="VEP82" s="0"/>
      <c r="VEQ82" s="0"/>
      <c r="VER82" s="0"/>
      <c r="VES82" s="0"/>
      <c r="VET82" s="0"/>
      <c r="VEU82" s="0"/>
      <c r="VEV82" s="0"/>
      <c r="VEW82" s="0"/>
      <c r="VEX82" s="0"/>
      <c r="VEY82" s="0"/>
      <c r="VEZ82" s="0"/>
      <c r="VFA82" s="0"/>
      <c r="VFB82" s="0"/>
      <c r="VFC82" s="0"/>
      <c r="VFD82" s="0"/>
      <c r="VFE82" s="0"/>
      <c r="VFF82" s="0"/>
      <c r="VFG82" s="0"/>
      <c r="VFH82" s="0"/>
      <c r="VFI82" s="0"/>
      <c r="VFJ82" s="0"/>
      <c r="VFK82" s="0"/>
      <c r="VFL82" s="0"/>
      <c r="VFM82" s="0"/>
      <c r="VFN82" s="0"/>
      <c r="VFO82" s="0"/>
      <c r="VFP82" s="0"/>
      <c r="VFQ82" s="0"/>
      <c r="VFR82" s="0"/>
      <c r="VFS82" s="0"/>
      <c r="VFT82" s="0"/>
      <c r="VFU82" s="0"/>
      <c r="VFV82" s="0"/>
      <c r="VFW82" s="0"/>
      <c r="VFX82" s="0"/>
      <c r="VFY82" s="0"/>
      <c r="VFZ82" s="0"/>
      <c r="VGA82" s="0"/>
      <c r="VGB82" s="0"/>
      <c r="VGC82" s="0"/>
      <c r="VGD82" s="0"/>
      <c r="VGE82" s="0"/>
      <c r="VGF82" s="0"/>
      <c r="VGG82" s="0"/>
      <c r="VGH82" s="0"/>
      <c r="VGI82" s="0"/>
      <c r="VGJ82" s="0"/>
      <c r="VGK82" s="0"/>
      <c r="VGL82" s="0"/>
      <c r="VGM82" s="0"/>
      <c r="VGN82" s="0"/>
      <c r="VGO82" s="0"/>
      <c r="VGP82" s="0"/>
      <c r="VGQ82" s="0"/>
      <c r="VGR82" s="0"/>
      <c r="VGS82" s="0"/>
      <c r="VGT82" s="0"/>
      <c r="VGU82" s="0"/>
      <c r="VGV82" s="0"/>
      <c r="VGW82" s="0"/>
      <c r="VGX82" s="0"/>
      <c r="VGY82" s="0"/>
      <c r="VGZ82" s="0"/>
      <c r="VHA82" s="0"/>
      <c r="VHB82" s="0"/>
      <c r="VHC82" s="0"/>
      <c r="VHD82" s="0"/>
      <c r="VHE82" s="0"/>
      <c r="VHF82" s="0"/>
      <c r="VHG82" s="0"/>
      <c r="VHH82" s="0"/>
      <c r="VHI82" s="0"/>
      <c r="VHJ82" s="0"/>
      <c r="VHK82" s="0"/>
      <c r="VHL82" s="0"/>
      <c r="VHM82" s="0"/>
      <c r="VHN82" s="0"/>
      <c r="VHO82" s="0"/>
      <c r="VHP82" s="0"/>
      <c r="VHQ82" s="0"/>
      <c r="VHR82" s="0"/>
      <c r="VHS82" s="0"/>
      <c r="VHT82" s="0"/>
      <c r="VHU82" s="0"/>
      <c r="VHV82" s="0"/>
      <c r="VHW82" s="0"/>
      <c r="VHX82" s="0"/>
      <c r="VHY82" s="0"/>
      <c r="VHZ82" s="0"/>
      <c r="VIA82" s="0"/>
      <c r="VIB82" s="0"/>
      <c r="VIC82" s="0"/>
      <c r="VID82" s="0"/>
      <c r="VIE82" s="0"/>
      <c r="VIF82" s="0"/>
      <c r="VIG82" s="0"/>
      <c r="VIH82" s="0"/>
      <c r="VII82" s="0"/>
      <c r="VIJ82" s="0"/>
      <c r="VIK82" s="0"/>
      <c r="VIL82" s="0"/>
      <c r="VIM82" s="0"/>
      <c r="VIN82" s="0"/>
      <c r="VIO82" s="0"/>
      <c r="VIP82" s="0"/>
      <c r="VIQ82" s="0"/>
      <c r="VIR82" s="0"/>
      <c r="VIS82" s="0"/>
      <c r="VIT82" s="0"/>
      <c r="VIU82" s="0"/>
      <c r="VIV82" s="0"/>
      <c r="VIW82" s="0"/>
      <c r="VIX82" s="0"/>
      <c r="VIY82" s="0"/>
      <c r="VIZ82" s="0"/>
      <c r="VJA82" s="0"/>
      <c r="VJB82" s="0"/>
      <c r="VJC82" s="0"/>
      <c r="VJD82" s="0"/>
      <c r="VJE82" s="0"/>
      <c r="VJF82" s="0"/>
      <c r="VJG82" s="0"/>
      <c r="VJH82" s="0"/>
      <c r="VJI82" s="0"/>
      <c r="VJJ82" s="0"/>
      <c r="VJK82" s="0"/>
      <c r="VJL82" s="0"/>
      <c r="VJM82" s="0"/>
      <c r="VJN82" s="0"/>
      <c r="VJO82" s="0"/>
      <c r="VJP82" s="0"/>
      <c r="VJQ82" s="0"/>
      <c r="VJR82" s="0"/>
      <c r="VJS82" s="0"/>
      <c r="VJT82" s="0"/>
      <c r="VJU82" s="0"/>
      <c r="VJV82" s="0"/>
      <c r="VJW82" s="0"/>
      <c r="VJX82" s="0"/>
      <c r="VJY82" s="0"/>
      <c r="VJZ82" s="0"/>
      <c r="VKA82" s="0"/>
      <c r="VKB82" s="0"/>
      <c r="VKC82" s="0"/>
      <c r="VKD82" s="0"/>
      <c r="VKE82" s="0"/>
      <c r="VKF82" s="0"/>
      <c r="VKG82" s="0"/>
      <c r="VKH82" s="0"/>
      <c r="VKI82" s="0"/>
      <c r="VKJ82" s="0"/>
      <c r="VKK82" s="0"/>
      <c r="VKL82" s="0"/>
      <c r="VKM82" s="0"/>
      <c r="VKN82" s="0"/>
      <c r="VKO82" s="0"/>
      <c r="VKP82" s="0"/>
      <c r="VKQ82" s="0"/>
      <c r="VKR82" s="0"/>
      <c r="VKS82" s="0"/>
      <c r="VKT82" s="0"/>
      <c r="VKU82" s="0"/>
      <c r="VKV82" s="0"/>
      <c r="VKW82" s="0"/>
      <c r="VKX82" s="0"/>
      <c r="VKY82" s="0"/>
      <c r="VKZ82" s="0"/>
      <c r="VLA82" s="0"/>
      <c r="VLB82" s="0"/>
      <c r="VLC82" s="0"/>
      <c r="VLD82" s="0"/>
      <c r="VLE82" s="0"/>
      <c r="VLF82" s="0"/>
      <c r="VLG82" s="0"/>
      <c r="VLH82" s="0"/>
      <c r="VLI82" s="0"/>
      <c r="VLJ82" s="0"/>
      <c r="VLK82" s="0"/>
      <c r="VLL82" s="0"/>
      <c r="VLM82" s="0"/>
      <c r="VLN82" s="0"/>
      <c r="VLO82" s="0"/>
      <c r="VLP82" s="0"/>
      <c r="VLQ82" s="0"/>
      <c r="VLR82" s="0"/>
      <c r="VLS82" s="0"/>
      <c r="VLT82" s="0"/>
      <c r="VLU82" s="0"/>
      <c r="VLV82" s="0"/>
      <c r="VLW82" s="0"/>
      <c r="VLX82" s="0"/>
      <c r="VLY82" s="0"/>
      <c r="VLZ82" s="0"/>
      <c r="VMA82" s="0"/>
      <c r="VMB82" s="0"/>
      <c r="VMC82" s="0"/>
      <c r="VMD82" s="0"/>
      <c r="VME82" s="0"/>
      <c r="VMF82" s="0"/>
      <c r="VMG82" s="0"/>
      <c r="VMH82" s="0"/>
      <c r="VMI82" s="0"/>
      <c r="VMJ82" s="0"/>
      <c r="VMK82" s="0"/>
      <c r="VML82" s="0"/>
      <c r="VMM82" s="0"/>
      <c r="VMN82" s="0"/>
      <c r="VMO82" s="0"/>
      <c r="VMP82" s="0"/>
      <c r="VMQ82" s="0"/>
      <c r="VMR82" s="0"/>
      <c r="VMS82" s="0"/>
      <c r="VMT82" s="0"/>
      <c r="VMU82" s="0"/>
      <c r="VMV82" s="0"/>
      <c r="VMW82" s="0"/>
      <c r="VMX82" s="0"/>
      <c r="VMY82" s="0"/>
      <c r="VMZ82" s="0"/>
      <c r="VNA82" s="0"/>
      <c r="VNB82" s="0"/>
      <c r="VNC82" s="0"/>
      <c r="VND82" s="0"/>
      <c r="VNE82" s="0"/>
      <c r="VNF82" s="0"/>
      <c r="VNG82" s="0"/>
      <c r="VNH82" s="0"/>
      <c r="VNI82" s="0"/>
      <c r="VNJ82" s="0"/>
      <c r="VNK82" s="0"/>
      <c r="VNL82" s="0"/>
      <c r="VNM82" s="0"/>
      <c r="VNN82" s="0"/>
      <c r="VNO82" s="0"/>
      <c r="VNP82" s="0"/>
      <c r="VNQ82" s="0"/>
      <c r="VNR82" s="0"/>
      <c r="VNS82" s="0"/>
      <c r="VNT82" s="0"/>
      <c r="VNU82" s="0"/>
      <c r="VNV82" s="0"/>
      <c r="VNW82" s="0"/>
      <c r="VNX82" s="0"/>
      <c r="VNY82" s="0"/>
      <c r="VNZ82" s="0"/>
      <c r="VOA82" s="0"/>
      <c r="VOB82" s="0"/>
      <c r="VOC82" s="0"/>
      <c r="VOD82" s="0"/>
      <c r="VOE82" s="0"/>
      <c r="VOF82" s="0"/>
      <c r="VOG82" s="0"/>
      <c r="VOH82" s="0"/>
      <c r="VOI82" s="0"/>
      <c r="VOJ82" s="0"/>
      <c r="VOK82" s="0"/>
      <c r="VOL82" s="0"/>
      <c r="VOM82" s="0"/>
      <c r="VON82" s="0"/>
      <c r="VOO82" s="0"/>
      <c r="VOP82" s="0"/>
      <c r="VOQ82" s="0"/>
      <c r="VOR82" s="0"/>
      <c r="VOS82" s="0"/>
      <c r="VOT82" s="0"/>
      <c r="VOU82" s="0"/>
      <c r="VOV82" s="0"/>
      <c r="VOW82" s="0"/>
      <c r="VOX82" s="0"/>
      <c r="VOY82" s="0"/>
      <c r="VOZ82" s="0"/>
      <c r="VPA82" s="0"/>
      <c r="VPB82" s="0"/>
      <c r="VPC82" s="0"/>
      <c r="VPD82" s="0"/>
      <c r="VPE82" s="0"/>
      <c r="VPF82" s="0"/>
      <c r="VPG82" s="0"/>
      <c r="VPH82" s="0"/>
      <c r="VPI82" s="0"/>
      <c r="VPJ82" s="0"/>
      <c r="VPK82" s="0"/>
      <c r="VPL82" s="0"/>
      <c r="VPM82" s="0"/>
      <c r="VPN82" s="0"/>
      <c r="VPO82" s="0"/>
      <c r="VPP82" s="0"/>
      <c r="VPQ82" s="0"/>
      <c r="VPR82" s="0"/>
      <c r="VPS82" s="0"/>
      <c r="VPT82" s="0"/>
      <c r="VPU82" s="0"/>
      <c r="VPV82" s="0"/>
      <c r="VPW82" s="0"/>
      <c r="VPX82" s="0"/>
      <c r="VPY82" s="0"/>
      <c r="VPZ82" s="0"/>
      <c r="VQA82" s="0"/>
      <c r="VQB82" s="0"/>
      <c r="VQC82" s="0"/>
      <c r="VQD82" s="0"/>
      <c r="VQE82" s="0"/>
      <c r="VQF82" s="0"/>
      <c r="VQG82" s="0"/>
      <c r="VQH82" s="0"/>
      <c r="VQI82" s="0"/>
      <c r="VQJ82" s="0"/>
      <c r="VQK82" s="0"/>
      <c r="VQL82" s="0"/>
      <c r="VQM82" s="0"/>
      <c r="VQN82" s="0"/>
      <c r="VQO82" s="0"/>
      <c r="VQP82" s="0"/>
      <c r="VQQ82" s="0"/>
      <c r="VQR82" s="0"/>
      <c r="VQS82" s="0"/>
      <c r="VQT82" s="0"/>
      <c r="VQU82" s="0"/>
      <c r="VQV82" s="0"/>
      <c r="VQW82" s="0"/>
      <c r="VQX82" s="0"/>
      <c r="VQY82" s="0"/>
      <c r="VQZ82" s="0"/>
      <c r="VRA82" s="0"/>
      <c r="VRB82" s="0"/>
      <c r="VRC82" s="0"/>
      <c r="VRD82" s="0"/>
      <c r="VRE82" s="0"/>
      <c r="VRF82" s="0"/>
      <c r="VRG82" s="0"/>
      <c r="VRH82" s="0"/>
      <c r="VRI82" s="0"/>
      <c r="VRJ82" s="0"/>
      <c r="VRK82" s="0"/>
      <c r="VRL82" s="0"/>
      <c r="VRM82" s="0"/>
      <c r="VRN82" s="0"/>
      <c r="VRO82" s="0"/>
      <c r="VRP82" s="0"/>
      <c r="VRQ82" s="0"/>
      <c r="VRR82" s="0"/>
      <c r="VRS82" s="0"/>
      <c r="VRT82" s="0"/>
      <c r="VRU82" s="0"/>
      <c r="VRV82" s="0"/>
      <c r="VRW82" s="0"/>
      <c r="VRX82" s="0"/>
      <c r="VRY82" s="0"/>
      <c r="VRZ82" s="0"/>
      <c r="VSA82" s="0"/>
      <c r="VSB82" s="0"/>
      <c r="VSC82" s="0"/>
      <c r="VSD82" s="0"/>
      <c r="VSE82" s="0"/>
      <c r="VSF82" s="0"/>
      <c r="VSG82" s="0"/>
      <c r="VSH82" s="0"/>
      <c r="VSI82" s="0"/>
      <c r="VSJ82" s="0"/>
      <c r="VSK82" s="0"/>
      <c r="VSL82" s="0"/>
      <c r="VSM82" s="0"/>
      <c r="VSN82" s="0"/>
      <c r="VSO82" s="0"/>
      <c r="VSP82" s="0"/>
      <c r="VSQ82" s="0"/>
      <c r="VSR82" s="0"/>
      <c r="VSS82" s="0"/>
      <c r="VST82" s="0"/>
      <c r="VSU82" s="0"/>
      <c r="VSV82" s="0"/>
      <c r="VSW82" s="0"/>
      <c r="VSX82" s="0"/>
      <c r="VSY82" s="0"/>
      <c r="VSZ82" s="0"/>
      <c r="VTA82" s="0"/>
      <c r="VTB82" s="0"/>
      <c r="VTC82" s="0"/>
      <c r="VTD82" s="0"/>
      <c r="VTE82" s="0"/>
      <c r="VTF82" s="0"/>
      <c r="VTG82" s="0"/>
      <c r="VTH82" s="0"/>
      <c r="VTI82" s="0"/>
      <c r="VTJ82" s="0"/>
      <c r="VTK82" s="0"/>
      <c r="VTL82" s="0"/>
      <c r="VTM82" s="0"/>
      <c r="VTN82" s="0"/>
      <c r="VTO82" s="0"/>
      <c r="VTP82" s="0"/>
      <c r="VTQ82" s="0"/>
      <c r="VTR82" s="0"/>
      <c r="VTS82" s="0"/>
      <c r="VTT82" s="0"/>
      <c r="VTU82" s="0"/>
      <c r="VTV82" s="0"/>
      <c r="VTW82" s="0"/>
      <c r="VTX82" s="0"/>
      <c r="VTY82" s="0"/>
      <c r="VTZ82" s="0"/>
      <c r="VUA82" s="0"/>
      <c r="VUB82" s="0"/>
      <c r="VUC82" s="0"/>
      <c r="VUD82" s="0"/>
      <c r="VUE82" s="0"/>
      <c r="VUF82" s="0"/>
      <c r="VUG82" s="0"/>
      <c r="VUH82" s="0"/>
      <c r="VUI82" s="0"/>
      <c r="VUJ82" s="0"/>
      <c r="VUK82" s="0"/>
      <c r="VUL82" s="0"/>
      <c r="VUM82" s="0"/>
      <c r="VUN82" s="0"/>
      <c r="VUO82" s="0"/>
      <c r="VUP82" s="0"/>
      <c r="VUQ82" s="0"/>
      <c r="VUR82" s="0"/>
      <c r="VUS82" s="0"/>
      <c r="VUT82" s="0"/>
      <c r="VUU82" s="0"/>
      <c r="VUV82" s="0"/>
      <c r="VUW82" s="0"/>
      <c r="VUX82" s="0"/>
      <c r="VUY82" s="0"/>
      <c r="VUZ82" s="0"/>
      <c r="VVA82" s="0"/>
      <c r="VVB82" s="0"/>
      <c r="VVC82" s="0"/>
      <c r="VVD82" s="0"/>
      <c r="VVE82" s="0"/>
      <c r="VVF82" s="0"/>
      <c r="VVG82" s="0"/>
      <c r="VVH82" s="0"/>
      <c r="VVI82" s="0"/>
      <c r="VVJ82" s="0"/>
      <c r="VVK82" s="0"/>
      <c r="VVL82" s="0"/>
      <c r="VVM82" s="0"/>
      <c r="VVN82" s="0"/>
      <c r="VVO82" s="0"/>
      <c r="VVP82" s="0"/>
      <c r="VVQ82" s="0"/>
      <c r="VVR82" s="0"/>
      <c r="VVS82" s="0"/>
      <c r="VVT82" s="0"/>
      <c r="VVU82" s="0"/>
      <c r="VVV82" s="0"/>
      <c r="VVW82" s="0"/>
      <c r="VVX82" s="0"/>
      <c r="VVY82" s="0"/>
      <c r="VVZ82" s="0"/>
      <c r="VWA82" s="0"/>
      <c r="VWB82" s="0"/>
      <c r="VWC82" s="0"/>
      <c r="VWD82" s="0"/>
      <c r="VWE82" s="0"/>
      <c r="VWF82" s="0"/>
      <c r="VWG82" s="0"/>
      <c r="VWH82" s="0"/>
      <c r="VWI82" s="0"/>
      <c r="VWJ82" s="0"/>
      <c r="VWK82" s="0"/>
      <c r="VWL82" s="0"/>
      <c r="VWM82" s="0"/>
      <c r="VWN82" s="0"/>
      <c r="VWO82" s="0"/>
      <c r="VWP82" s="0"/>
      <c r="VWQ82" s="0"/>
      <c r="VWR82" s="0"/>
      <c r="VWS82" s="0"/>
      <c r="VWT82" s="0"/>
      <c r="VWU82" s="0"/>
      <c r="VWV82" s="0"/>
      <c r="VWW82" s="0"/>
      <c r="VWX82" s="0"/>
      <c r="VWY82" s="0"/>
      <c r="VWZ82" s="0"/>
      <c r="VXA82" s="0"/>
      <c r="VXB82" s="0"/>
      <c r="VXC82" s="0"/>
      <c r="VXD82" s="0"/>
      <c r="VXE82" s="0"/>
      <c r="VXF82" s="0"/>
      <c r="VXG82" s="0"/>
      <c r="VXH82" s="0"/>
      <c r="VXI82" s="0"/>
      <c r="VXJ82" s="0"/>
      <c r="VXK82" s="0"/>
      <c r="VXL82" s="0"/>
      <c r="VXM82" s="0"/>
      <c r="VXN82" s="0"/>
      <c r="VXO82" s="0"/>
      <c r="VXP82" s="0"/>
      <c r="VXQ82" s="0"/>
      <c r="VXR82" s="0"/>
      <c r="VXS82" s="0"/>
      <c r="VXT82" s="0"/>
      <c r="VXU82" s="0"/>
      <c r="VXV82" s="0"/>
      <c r="VXW82" s="0"/>
      <c r="VXX82" s="0"/>
      <c r="VXY82" s="0"/>
      <c r="VXZ82" s="0"/>
      <c r="VYA82" s="0"/>
      <c r="VYB82" s="0"/>
      <c r="VYC82" s="0"/>
      <c r="VYD82" s="0"/>
      <c r="VYE82" s="0"/>
      <c r="VYF82" s="0"/>
      <c r="VYG82" s="0"/>
      <c r="VYH82" s="0"/>
      <c r="VYI82" s="0"/>
      <c r="VYJ82" s="0"/>
      <c r="VYK82" s="0"/>
      <c r="VYL82" s="0"/>
      <c r="VYM82" s="0"/>
      <c r="VYN82" s="0"/>
      <c r="VYO82" s="0"/>
      <c r="VYP82" s="0"/>
      <c r="VYQ82" s="0"/>
      <c r="VYR82" s="0"/>
      <c r="VYS82" s="0"/>
      <c r="VYT82" s="0"/>
      <c r="VYU82" s="0"/>
      <c r="VYV82" s="0"/>
      <c r="VYW82" s="0"/>
      <c r="VYX82" s="0"/>
      <c r="VYY82" s="0"/>
      <c r="VYZ82" s="0"/>
      <c r="VZA82" s="0"/>
      <c r="VZB82" s="0"/>
      <c r="VZC82" s="0"/>
      <c r="VZD82" s="0"/>
      <c r="VZE82" s="0"/>
      <c r="VZF82" s="0"/>
      <c r="VZG82" s="0"/>
      <c r="VZH82" s="0"/>
      <c r="VZI82" s="0"/>
      <c r="VZJ82" s="0"/>
      <c r="VZK82" s="0"/>
      <c r="VZL82" s="0"/>
      <c r="VZM82" s="0"/>
      <c r="VZN82" s="0"/>
      <c r="VZO82" s="0"/>
      <c r="VZP82" s="0"/>
      <c r="VZQ82" s="0"/>
      <c r="VZR82" s="0"/>
      <c r="VZS82" s="0"/>
      <c r="VZT82" s="0"/>
      <c r="VZU82" s="0"/>
      <c r="VZV82" s="0"/>
      <c r="VZW82" s="0"/>
      <c r="VZX82" s="0"/>
      <c r="VZY82" s="0"/>
      <c r="VZZ82" s="0"/>
      <c r="WAA82" s="0"/>
      <c r="WAB82" s="0"/>
      <c r="WAC82" s="0"/>
      <c r="WAD82" s="0"/>
      <c r="WAE82" s="0"/>
      <c r="WAF82" s="0"/>
      <c r="WAG82" s="0"/>
      <c r="WAH82" s="0"/>
      <c r="WAI82" s="0"/>
      <c r="WAJ82" s="0"/>
      <c r="WAK82" s="0"/>
      <c r="WAL82" s="0"/>
      <c r="WAM82" s="0"/>
      <c r="WAN82" s="0"/>
      <c r="WAO82" s="0"/>
      <c r="WAP82" s="0"/>
      <c r="WAQ82" s="0"/>
      <c r="WAR82" s="0"/>
      <c r="WAS82" s="0"/>
      <c r="WAT82" s="0"/>
      <c r="WAU82" s="0"/>
      <c r="WAV82" s="0"/>
      <c r="WAW82" s="0"/>
      <c r="WAX82" s="0"/>
      <c r="WAY82" s="0"/>
      <c r="WAZ82" s="0"/>
      <c r="WBA82" s="0"/>
      <c r="WBB82" s="0"/>
      <c r="WBC82" s="0"/>
      <c r="WBD82" s="0"/>
      <c r="WBE82" s="0"/>
      <c r="WBF82" s="0"/>
      <c r="WBG82" s="0"/>
      <c r="WBH82" s="0"/>
      <c r="WBI82" s="0"/>
      <c r="WBJ82" s="0"/>
      <c r="WBK82" s="0"/>
      <c r="WBL82" s="0"/>
      <c r="WBM82" s="0"/>
      <c r="WBN82" s="0"/>
      <c r="WBO82" s="0"/>
      <c r="WBP82" s="0"/>
      <c r="WBQ82" s="0"/>
      <c r="WBR82" s="0"/>
      <c r="WBS82" s="0"/>
      <c r="WBT82" s="0"/>
      <c r="WBU82" s="0"/>
      <c r="WBV82" s="0"/>
      <c r="WBW82" s="0"/>
      <c r="WBX82" s="0"/>
      <c r="WBY82" s="0"/>
      <c r="WBZ82" s="0"/>
      <c r="WCA82" s="0"/>
      <c r="WCB82" s="0"/>
      <c r="WCC82" s="0"/>
      <c r="WCD82" s="0"/>
      <c r="WCE82" s="0"/>
      <c r="WCF82" s="0"/>
      <c r="WCG82" s="0"/>
      <c r="WCH82" s="0"/>
      <c r="WCI82" s="0"/>
      <c r="WCJ82" s="0"/>
      <c r="WCK82" s="0"/>
      <c r="WCL82" s="0"/>
      <c r="WCM82" s="0"/>
      <c r="WCN82" s="0"/>
      <c r="WCO82" s="0"/>
      <c r="WCP82" s="0"/>
      <c r="WCQ82" s="0"/>
      <c r="WCR82" s="0"/>
      <c r="WCS82" s="0"/>
      <c r="WCT82" s="0"/>
      <c r="WCU82" s="0"/>
      <c r="WCV82" s="0"/>
      <c r="WCW82" s="0"/>
      <c r="WCX82" s="0"/>
      <c r="WCY82" s="0"/>
      <c r="WCZ82" s="0"/>
      <c r="WDA82" s="0"/>
      <c r="WDB82" s="0"/>
      <c r="WDC82" s="0"/>
      <c r="WDD82" s="0"/>
      <c r="WDE82" s="0"/>
      <c r="WDF82" s="0"/>
      <c r="WDG82" s="0"/>
      <c r="WDH82" s="0"/>
      <c r="WDI82" s="0"/>
      <c r="WDJ82" s="0"/>
      <c r="WDK82" s="0"/>
      <c r="WDL82" s="0"/>
      <c r="WDM82" s="0"/>
      <c r="WDN82" s="0"/>
      <c r="WDO82" s="0"/>
      <c r="WDP82" s="0"/>
      <c r="WDQ82" s="0"/>
      <c r="WDR82" s="0"/>
      <c r="WDS82" s="0"/>
      <c r="WDT82" s="0"/>
      <c r="WDU82" s="0"/>
      <c r="WDV82" s="0"/>
      <c r="WDW82" s="0"/>
      <c r="WDX82" s="0"/>
      <c r="WDY82" s="0"/>
      <c r="WDZ82" s="0"/>
      <c r="WEA82" s="0"/>
      <c r="WEB82" s="0"/>
      <c r="WEC82" s="0"/>
      <c r="WED82" s="0"/>
      <c r="WEE82" s="0"/>
      <c r="WEF82" s="0"/>
      <c r="WEG82" s="0"/>
      <c r="WEH82" s="0"/>
      <c r="WEI82" s="0"/>
      <c r="WEJ82" s="0"/>
      <c r="WEK82" s="0"/>
      <c r="WEL82" s="0"/>
      <c r="WEM82" s="0"/>
      <c r="WEN82" s="0"/>
      <c r="WEO82" s="0"/>
      <c r="WEP82" s="0"/>
      <c r="WEQ82" s="0"/>
      <c r="WER82" s="0"/>
      <c r="WES82" s="0"/>
      <c r="WET82" s="0"/>
      <c r="WEU82" s="0"/>
      <c r="WEV82" s="0"/>
      <c r="WEW82" s="0"/>
      <c r="WEX82" s="0"/>
      <c r="WEY82" s="0"/>
      <c r="WEZ82" s="0"/>
      <c r="WFA82" s="0"/>
      <c r="WFB82" s="0"/>
      <c r="WFC82" s="0"/>
      <c r="WFD82" s="0"/>
      <c r="WFE82" s="0"/>
      <c r="WFF82" s="0"/>
      <c r="WFG82" s="0"/>
      <c r="WFH82" s="0"/>
      <c r="WFI82" s="0"/>
      <c r="WFJ82" s="0"/>
      <c r="WFK82" s="0"/>
      <c r="WFL82" s="0"/>
      <c r="WFM82" s="0"/>
      <c r="WFN82" s="0"/>
      <c r="WFO82" s="0"/>
      <c r="WFP82" s="0"/>
      <c r="WFQ82" s="0"/>
      <c r="WFR82" s="0"/>
      <c r="WFS82" s="0"/>
      <c r="WFT82" s="0"/>
      <c r="WFU82" s="0"/>
      <c r="WFV82" s="0"/>
      <c r="WFW82" s="0"/>
      <c r="WFX82" s="0"/>
      <c r="WFY82" s="0"/>
      <c r="WFZ82" s="0"/>
      <c r="WGA82" s="0"/>
      <c r="WGB82" s="0"/>
      <c r="WGC82" s="0"/>
      <c r="WGD82" s="0"/>
      <c r="WGE82" s="0"/>
      <c r="WGF82" s="0"/>
      <c r="WGG82" s="0"/>
      <c r="WGH82" s="0"/>
      <c r="WGI82" s="0"/>
      <c r="WGJ82" s="0"/>
      <c r="WGK82" s="0"/>
      <c r="WGL82" s="0"/>
      <c r="WGM82" s="0"/>
      <c r="WGN82" s="0"/>
      <c r="WGO82" s="0"/>
      <c r="WGP82" s="0"/>
      <c r="WGQ82" s="0"/>
      <c r="WGR82" s="0"/>
      <c r="WGS82" s="0"/>
      <c r="WGT82" s="0"/>
      <c r="WGU82" s="0"/>
      <c r="WGV82" s="0"/>
      <c r="WGW82" s="0"/>
      <c r="WGX82" s="0"/>
      <c r="WGY82" s="0"/>
      <c r="WGZ82" s="0"/>
      <c r="WHA82" s="0"/>
      <c r="WHB82" s="0"/>
      <c r="WHC82" s="0"/>
      <c r="WHD82" s="0"/>
      <c r="WHE82" s="0"/>
      <c r="WHF82" s="0"/>
      <c r="WHG82" s="0"/>
      <c r="WHH82" s="0"/>
      <c r="WHI82" s="0"/>
      <c r="WHJ82" s="0"/>
      <c r="WHK82" s="0"/>
      <c r="WHL82" s="0"/>
      <c r="WHM82" s="0"/>
      <c r="WHN82" s="0"/>
      <c r="WHO82" s="0"/>
      <c r="WHP82" s="0"/>
      <c r="WHQ82" s="0"/>
      <c r="WHR82" s="0"/>
      <c r="WHS82" s="0"/>
      <c r="WHT82" s="0"/>
      <c r="WHU82" s="0"/>
      <c r="WHV82" s="0"/>
      <c r="WHW82" s="0"/>
      <c r="WHX82" s="0"/>
      <c r="WHY82" s="0"/>
      <c r="WHZ82" s="0"/>
      <c r="WIA82" s="0"/>
      <c r="WIB82" s="0"/>
      <c r="WIC82" s="0"/>
      <c r="WID82" s="0"/>
      <c r="WIE82" s="0"/>
      <c r="WIF82" s="0"/>
      <c r="WIG82" s="0"/>
      <c r="WIH82" s="0"/>
      <c r="WII82" s="0"/>
      <c r="WIJ82" s="0"/>
      <c r="WIK82" s="0"/>
      <c r="WIL82" s="0"/>
      <c r="WIM82" s="0"/>
      <c r="WIN82" s="0"/>
      <c r="WIO82" s="0"/>
      <c r="WIP82" s="0"/>
      <c r="WIQ82" s="0"/>
      <c r="WIR82" s="0"/>
      <c r="WIS82" s="0"/>
      <c r="WIT82" s="0"/>
      <c r="WIU82" s="0"/>
      <c r="WIV82" s="0"/>
      <c r="WIW82" s="0"/>
      <c r="WIX82" s="0"/>
      <c r="WIY82" s="0"/>
      <c r="WIZ82" s="0"/>
      <c r="WJA82" s="0"/>
      <c r="WJB82" s="0"/>
      <c r="WJC82" s="0"/>
      <c r="WJD82" s="0"/>
      <c r="WJE82" s="0"/>
      <c r="WJF82" s="0"/>
      <c r="WJG82" s="0"/>
      <c r="WJH82" s="0"/>
      <c r="WJI82" s="0"/>
      <c r="WJJ82" s="0"/>
      <c r="WJK82" s="0"/>
      <c r="WJL82" s="0"/>
      <c r="WJM82" s="0"/>
      <c r="WJN82" s="0"/>
      <c r="WJO82" s="0"/>
      <c r="WJP82" s="0"/>
      <c r="WJQ82" s="0"/>
      <c r="WJR82" s="0"/>
      <c r="WJS82" s="0"/>
      <c r="WJT82" s="0"/>
      <c r="WJU82" s="0"/>
      <c r="WJV82" s="0"/>
      <c r="WJW82" s="0"/>
      <c r="WJX82" s="0"/>
      <c r="WJY82" s="0"/>
      <c r="WJZ82" s="0"/>
      <c r="WKA82" s="0"/>
      <c r="WKB82" s="0"/>
      <c r="WKC82" s="0"/>
      <c r="WKD82" s="0"/>
      <c r="WKE82" s="0"/>
      <c r="WKF82" s="0"/>
      <c r="WKG82" s="0"/>
      <c r="WKH82" s="0"/>
      <c r="WKI82" s="0"/>
      <c r="WKJ82" s="0"/>
      <c r="WKK82" s="0"/>
      <c r="WKL82" s="0"/>
      <c r="WKM82" s="0"/>
      <c r="WKN82" s="0"/>
      <c r="WKO82" s="0"/>
      <c r="WKP82" s="0"/>
      <c r="WKQ82" s="0"/>
      <c r="WKR82" s="0"/>
      <c r="WKS82" s="0"/>
      <c r="WKT82" s="0"/>
      <c r="WKU82" s="0"/>
      <c r="WKV82" s="0"/>
      <c r="WKW82" s="0"/>
      <c r="WKX82" s="0"/>
      <c r="WKY82" s="0"/>
      <c r="WKZ82" s="0"/>
      <c r="WLA82" s="0"/>
      <c r="WLB82" s="0"/>
      <c r="WLC82" s="0"/>
      <c r="WLD82" s="0"/>
      <c r="WLE82" s="0"/>
      <c r="WLF82" s="0"/>
      <c r="WLG82" s="0"/>
      <c r="WLH82" s="0"/>
      <c r="WLI82" s="0"/>
      <c r="WLJ82" s="0"/>
      <c r="WLK82" s="0"/>
      <c r="WLL82" s="0"/>
      <c r="WLM82" s="0"/>
      <c r="WLN82" s="0"/>
      <c r="WLO82" s="0"/>
      <c r="WLP82" s="0"/>
      <c r="WLQ82" s="0"/>
      <c r="WLR82" s="0"/>
      <c r="WLS82" s="0"/>
      <c r="WLT82" s="0"/>
      <c r="WLU82" s="0"/>
      <c r="WLV82" s="0"/>
      <c r="WLW82" s="0"/>
      <c r="WLX82" s="0"/>
      <c r="WLY82" s="0"/>
      <c r="WLZ82" s="0"/>
      <c r="WMA82" s="0"/>
      <c r="WMB82" s="0"/>
      <c r="WMC82" s="0"/>
      <c r="WMD82" s="0"/>
      <c r="WME82" s="0"/>
      <c r="WMF82" s="0"/>
      <c r="WMG82" s="0"/>
      <c r="WMH82" s="0"/>
      <c r="WMI82" s="0"/>
      <c r="WMJ82" s="0"/>
      <c r="WMK82" s="0"/>
      <c r="WML82" s="0"/>
      <c r="WMM82" s="0"/>
      <c r="WMN82" s="0"/>
      <c r="WMO82" s="0"/>
      <c r="WMP82" s="0"/>
      <c r="WMQ82" s="0"/>
      <c r="WMR82" s="0"/>
      <c r="WMS82" s="0"/>
      <c r="WMT82" s="0"/>
      <c r="WMU82" s="0"/>
      <c r="WMV82" s="0"/>
      <c r="WMW82" s="0"/>
      <c r="WMX82" s="0"/>
      <c r="WMY82" s="0"/>
      <c r="WMZ82" s="0"/>
      <c r="WNA82" s="0"/>
      <c r="WNB82" s="0"/>
      <c r="WNC82" s="0"/>
      <c r="WND82" s="0"/>
      <c r="WNE82" s="0"/>
      <c r="WNF82" s="0"/>
      <c r="WNG82" s="0"/>
      <c r="WNH82" s="0"/>
      <c r="WNI82" s="0"/>
      <c r="WNJ82" s="0"/>
      <c r="WNK82" s="0"/>
      <c r="WNL82" s="0"/>
      <c r="WNM82" s="0"/>
      <c r="WNN82" s="0"/>
      <c r="WNO82" s="0"/>
      <c r="WNP82" s="0"/>
      <c r="WNQ82" s="0"/>
      <c r="WNR82" s="0"/>
      <c r="WNS82" s="0"/>
      <c r="WNT82" s="0"/>
      <c r="WNU82" s="0"/>
      <c r="WNV82" s="0"/>
      <c r="WNW82" s="0"/>
      <c r="WNX82" s="0"/>
      <c r="WNY82" s="0"/>
      <c r="WNZ82" s="0"/>
      <c r="WOA82" s="0"/>
      <c r="WOB82" s="0"/>
      <c r="WOC82" s="0"/>
      <c r="WOD82" s="0"/>
      <c r="WOE82" s="0"/>
      <c r="WOF82" s="0"/>
      <c r="WOG82" s="0"/>
      <c r="WOH82" s="0"/>
      <c r="WOI82" s="0"/>
      <c r="WOJ82" s="0"/>
      <c r="WOK82" s="0"/>
      <c r="WOL82" s="0"/>
      <c r="WOM82" s="0"/>
      <c r="WON82" s="0"/>
      <c r="WOO82" s="0"/>
      <c r="WOP82" s="0"/>
      <c r="WOQ82" s="0"/>
      <c r="WOR82" s="0"/>
      <c r="WOS82" s="0"/>
      <c r="WOT82" s="0"/>
      <c r="WOU82" s="0"/>
      <c r="WOV82" s="0"/>
      <c r="WOW82" s="0"/>
      <c r="WOX82" s="0"/>
      <c r="WOY82" s="0"/>
      <c r="WOZ82" s="0"/>
      <c r="WPA82" s="0"/>
      <c r="WPB82" s="0"/>
      <c r="WPC82" s="0"/>
      <c r="WPD82" s="0"/>
      <c r="WPE82" s="0"/>
      <c r="WPF82" s="0"/>
      <c r="WPG82" s="0"/>
      <c r="WPH82" s="0"/>
      <c r="WPI82" s="0"/>
      <c r="WPJ82" s="0"/>
      <c r="WPK82" s="0"/>
      <c r="WPL82" s="0"/>
      <c r="WPM82" s="0"/>
      <c r="WPN82" s="0"/>
      <c r="WPO82" s="0"/>
      <c r="WPP82" s="0"/>
      <c r="WPQ82" s="0"/>
      <c r="WPR82" s="0"/>
      <c r="WPS82" s="0"/>
      <c r="WPT82" s="0"/>
      <c r="WPU82" s="0"/>
      <c r="WPV82" s="0"/>
      <c r="WPW82" s="0"/>
      <c r="WPX82" s="0"/>
      <c r="WPY82" s="0"/>
      <c r="WPZ82" s="0"/>
      <c r="WQA82" s="0"/>
      <c r="WQB82" s="0"/>
      <c r="WQC82" s="0"/>
      <c r="WQD82" s="0"/>
      <c r="WQE82" s="0"/>
      <c r="WQF82" s="0"/>
      <c r="WQG82" s="0"/>
      <c r="WQH82" s="0"/>
      <c r="WQI82" s="0"/>
      <c r="WQJ82" s="0"/>
      <c r="WQK82" s="0"/>
      <c r="WQL82" s="0"/>
      <c r="WQM82" s="0"/>
      <c r="WQN82" s="0"/>
      <c r="WQO82" s="0"/>
      <c r="WQP82" s="0"/>
      <c r="WQQ82" s="0"/>
      <c r="WQR82" s="0"/>
      <c r="WQS82" s="0"/>
      <c r="WQT82" s="0"/>
      <c r="WQU82" s="0"/>
      <c r="WQV82" s="0"/>
      <c r="WQW82" s="0"/>
      <c r="WQX82" s="0"/>
      <c r="WQY82" s="0"/>
      <c r="WQZ82" s="0"/>
      <c r="WRA82" s="0"/>
      <c r="WRB82" s="0"/>
      <c r="WRC82" s="0"/>
      <c r="WRD82" s="0"/>
      <c r="WRE82" s="0"/>
      <c r="WRF82" s="0"/>
      <c r="WRG82" s="0"/>
      <c r="WRH82" s="0"/>
      <c r="WRI82" s="0"/>
      <c r="WRJ82" s="0"/>
      <c r="WRK82" s="0"/>
      <c r="WRL82" s="0"/>
      <c r="WRM82" s="0"/>
      <c r="WRN82" s="0"/>
      <c r="WRO82" s="0"/>
      <c r="WRP82" s="0"/>
      <c r="WRQ82" s="0"/>
      <c r="WRR82" s="0"/>
      <c r="WRS82" s="0"/>
      <c r="WRT82" s="0"/>
      <c r="WRU82" s="0"/>
      <c r="WRV82" s="0"/>
      <c r="WRW82" s="0"/>
      <c r="WRX82" s="0"/>
      <c r="WRY82" s="0"/>
      <c r="WRZ82" s="0"/>
      <c r="WSA82" s="0"/>
      <c r="WSB82" s="0"/>
      <c r="WSC82" s="0"/>
      <c r="WSD82" s="0"/>
      <c r="WSE82" s="0"/>
      <c r="WSF82" s="0"/>
      <c r="WSG82" s="0"/>
      <c r="WSH82" s="0"/>
      <c r="WSI82" s="0"/>
      <c r="WSJ82" s="0"/>
      <c r="WSK82" s="0"/>
      <c r="WSL82" s="0"/>
      <c r="WSM82" s="0"/>
      <c r="WSN82" s="0"/>
      <c r="WSO82" s="0"/>
      <c r="WSP82" s="0"/>
      <c r="WSQ82" s="0"/>
      <c r="WSR82" s="0"/>
      <c r="WSS82" s="0"/>
      <c r="WST82" s="0"/>
      <c r="WSU82" s="0"/>
      <c r="WSV82" s="0"/>
      <c r="WSW82" s="0"/>
      <c r="WSX82" s="0"/>
      <c r="WSY82" s="0"/>
      <c r="WSZ82" s="0"/>
      <c r="WTA82" s="0"/>
      <c r="WTB82" s="0"/>
      <c r="WTC82" s="0"/>
      <c r="WTD82" s="0"/>
      <c r="WTE82" s="0"/>
      <c r="WTF82" s="0"/>
      <c r="WTG82" s="0"/>
      <c r="WTH82" s="0"/>
      <c r="WTI82" s="0"/>
      <c r="WTJ82" s="0"/>
      <c r="WTK82" s="0"/>
      <c r="WTL82" s="0"/>
      <c r="WTM82" s="0"/>
      <c r="WTN82" s="0"/>
      <c r="WTO82" s="0"/>
      <c r="WTP82" s="0"/>
      <c r="WTQ82" s="0"/>
      <c r="WTR82" s="0"/>
      <c r="WTS82" s="0"/>
      <c r="WTT82" s="0"/>
      <c r="WTU82" s="0"/>
      <c r="WTV82" s="0"/>
      <c r="WTW82" s="0"/>
      <c r="WTX82" s="0"/>
      <c r="WTY82" s="0"/>
      <c r="WTZ82" s="0"/>
      <c r="WUA82" s="0"/>
      <c r="WUB82" s="0"/>
      <c r="WUC82" s="0"/>
      <c r="WUD82" s="0"/>
      <c r="WUE82" s="0"/>
      <c r="WUF82" s="0"/>
      <c r="WUG82" s="0"/>
      <c r="WUH82" s="0"/>
      <c r="WUI82" s="0"/>
      <c r="WUJ82" s="0"/>
      <c r="WUK82" s="0"/>
      <c r="WUL82" s="0"/>
      <c r="WUM82" s="0"/>
      <c r="WUN82" s="0"/>
      <c r="WUO82" s="0"/>
      <c r="WUP82" s="0"/>
      <c r="WUQ82" s="0"/>
      <c r="WUR82" s="0"/>
      <c r="WUS82" s="0"/>
      <c r="WUT82" s="0"/>
      <c r="WUU82" s="0"/>
      <c r="WUV82" s="0"/>
      <c r="WUW82" s="0"/>
      <c r="WUX82" s="0"/>
      <c r="WUY82" s="0"/>
      <c r="WUZ82" s="0"/>
      <c r="WVA82" s="0"/>
      <c r="WVB82" s="0"/>
      <c r="WVC82" s="0"/>
      <c r="WVD82" s="0"/>
      <c r="WVE82" s="0"/>
      <c r="WVF82" s="0"/>
      <c r="WVG82" s="0"/>
      <c r="WVH82" s="0"/>
      <c r="WVI82" s="0"/>
      <c r="WVJ82" s="0"/>
      <c r="WVK82" s="0"/>
      <c r="WVL82" s="0"/>
      <c r="WVM82" s="0"/>
      <c r="WVN82" s="0"/>
      <c r="WVO82" s="0"/>
      <c r="WVP82" s="0"/>
      <c r="WVQ82" s="0"/>
      <c r="WVR82" s="0"/>
      <c r="WVS82" s="0"/>
      <c r="WVT82" s="0"/>
      <c r="WVU82" s="0"/>
      <c r="WVV82" s="0"/>
      <c r="WVW82" s="0"/>
      <c r="WVX82" s="0"/>
      <c r="WVY82" s="0"/>
      <c r="WVZ82" s="0"/>
      <c r="WWA82" s="0"/>
      <c r="WWB82" s="0"/>
      <c r="WWC82" s="0"/>
      <c r="WWD82" s="0"/>
      <c r="WWE82" s="0"/>
      <c r="WWF82" s="0"/>
      <c r="WWG82" s="0"/>
      <c r="WWH82" s="0"/>
      <c r="WWI82" s="0"/>
      <c r="WWJ82" s="0"/>
      <c r="WWK82" s="0"/>
      <c r="WWL82" s="0"/>
      <c r="WWM82" s="0"/>
      <c r="WWN82" s="0"/>
      <c r="WWO82" s="0"/>
      <c r="WWP82" s="0"/>
      <c r="WWQ82" s="0"/>
      <c r="WWR82" s="0"/>
      <c r="WWS82" s="0"/>
      <c r="WWT82" s="0"/>
      <c r="WWU82" s="0"/>
      <c r="WWV82" s="0"/>
      <c r="WWW82" s="0"/>
      <c r="WWX82" s="0"/>
      <c r="WWY82" s="0"/>
      <c r="WWZ82" s="0"/>
      <c r="WXA82" s="0"/>
      <c r="WXB82" s="0"/>
      <c r="WXC82" s="0"/>
      <c r="WXD82" s="0"/>
      <c r="WXE82" s="0"/>
      <c r="WXF82" s="0"/>
      <c r="WXG82" s="0"/>
      <c r="WXH82" s="0"/>
      <c r="WXI82" s="0"/>
      <c r="WXJ82" s="0"/>
      <c r="WXK82" s="0"/>
      <c r="WXL82" s="0"/>
      <c r="WXM82" s="0"/>
      <c r="WXN82" s="0"/>
      <c r="WXO82" s="0"/>
      <c r="WXP82" s="0"/>
      <c r="WXQ82" s="0"/>
      <c r="WXR82" s="0"/>
      <c r="WXS82" s="0"/>
      <c r="WXT82" s="0"/>
      <c r="WXU82" s="0"/>
      <c r="WXV82" s="0"/>
      <c r="WXW82" s="0"/>
      <c r="WXX82" s="0"/>
      <c r="WXY82" s="0"/>
      <c r="WXZ82" s="0"/>
      <c r="WYA82" s="0"/>
      <c r="WYB82" s="0"/>
      <c r="WYC82" s="0"/>
      <c r="WYD82" s="0"/>
      <c r="WYE82" s="0"/>
      <c r="WYF82" s="0"/>
      <c r="WYG82" s="0"/>
      <c r="WYH82" s="0"/>
      <c r="WYI82" s="0"/>
      <c r="WYJ82" s="0"/>
      <c r="WYK82" s="0"/>
      <c r="WYL82" s="0"/>
      <c r="WYM82" s="0"/>
      <c r="WYN82" s="0"/>
      <c r="WYO82" s="0"/>
      <c r="WYP82" s="0"/>
      <c r="WYQ82" s="0"/>
      <c r="WYR82" s="0"/>
      <c r="WYS82" s="0"/>
      <c r="WYT82" s="0"/>
      <c r="WYU82" s="0"/>
      <c r="WYV82" s="0"/>
      <c r="WYW82" s="0"/>
      <c r="WYX82" s="0"/>
      <c r="WYY82" s="0"/>
      <c r="WYZ82" s="0"/>
      <c r="WZA82" s="0"/>
      <c r="WZB82" s="0"/>
      <c r="WZC82" s="0"/>
      <c r="WZD82" s="0"/>
      <c r="WZE82" s="0"/>
      <c r="WZF82" s="0"/>
      <c r="WZG82" s="0"/>
      <c r="WZH82" s="0"/>
      <c r="WZI82" s="0"/>
      <c r="WZJ82" s="0"/>
      <c r="WZK82" s="0"/>
      <c r="WZL82" s="0"/>
      <c r="WZM82" s="0"/>
      <c r="WZN82" s="0"/>
      <c r="WZO82" s="0"/>
      <c r="WZP82" s="0"/>
      <c r="WZQ82" s="0"/>
      <c r="WZR82" s="0"/>
      <c r="WZS82" s="0"/>
      <c r="WZT82" s="0"/>
      <c r="WZU82" s="0"/>
      <c r="WZV82" s="0"/>
      <c r="WZW82" s="0"/>
      <c r="WZX82" s="0"/>
      <c r="WZY82" s="0"/>
      <c r="WZZ82" s="0"/>
      <c r="XAA82" s="0"/>
      <c r="XAB82" s="0"/>
      <c r="XAC82" s="0"/>
      <c r="XAD82" s="0"/>
      <c r="XAE82" s="0"/>
      <c r="XAF82" s="0"/>
      <c r="XAG82" s="0"/>
      <c r="XAH82" s="0"/>
      <c r="XAI82" s="0"/>
      <c r="XAJ82" s="0"/>
      <c r="XAK82" s="0"/>
      <c r="XAL82" s="0"/>
      <c r="XAM82" s="0"/>
      <c r="XAN82" s="0"/>
      <c r="XAO82" s="0"/>
      <c r="XAP82" s="0"/>
      <c r="XAQ82" s="0"/>
      <c r="XAR82" s="0"/>
      <c r="XAS82" s="0"/>
      <c r="XAT82" s="0"/>
      <c r="XAU82" s="0"/>
      <c r="XAV82" s="0"/>
      <c r="XAW82" s="0"/>
      <c r="XAX82" s="0"/>
      <c r="XAY82" s="0"/>
      <c r="XAZ82" s="0"/>
      <c r="XBA82" s="0"/>
      <c r="XBB82" s="0"/>
      <c r="XBC82" s="0"/>
      <c r="XBD82" s="0"/>
      <c r="XBE82" s="0"/>
      <c r="XBF82" s="0"/>
      <c r="XBG82" s="0"/>
      <c r="XBH82" s="0"/>
      <c r="XBI82" s="0"/>
      <c r="XBJ82" s="0"/>
      <c r="XBK82" s="0"/>
      <c r="XBL82" s="0"/>
      <c r="XBM82" s="0"/>
      <c r="XBN82" s="0"/>
      <c r="XBO82" s="0"/>
      <c r="XBP82" s="0"/>
      <c r="XBQ82" s="0"/>
      <c r="XBR82" s="0"/>
      <c r="XBS82" s="0"/>
      <c r="XBT82" s="0"/>
      <c r="XBU82" s="0"/>
      <c r="XBV82" s="0"/>
      <c r="XBW82" s="0"/>
      <c r="XBX82" s="0"/>
      <c r="XBY82" s="0"/>
      <c r="XBZ82" s="0"/>
      <c r="XCA82" s="0"/>
      <c r="XCB82" s="0"/>
      <c r="XCC82" s="0"/>
      <c r="XCD82" s="0"/>
      <c r="XCE82" s="0"/>
      <c r="XCF82" s="0"/>
      <c r="XCG82" s="0"/>
      <c r="XCH82" s="0"/>
      <c r="XCI82" s="0"/>
      <c r="XCJ82" s="0"/>
      <c r="XCK82" s="0"/>
      <c r="XCL82" s="0"/>
      <c r="XCM82" s="0"/>
      <c r="XCN82" s="0"/>
      <c r="XCO82" s="0"/>
      <c r="XCP82" s="0"/>
      <c r="XCQ82" s="0"/>
      <c r="XCR82" s="0"/>
      <c r="XCS82" s="0"/>
      <c r="XCT82" s="0"/>
      <c r="XCU82" s="0"/>
      <c r="XCV82" s="0"/>
      <c r="XCW82" s="0"/>
      <c r="XCX82" s="0"/>
      <c r="XCY82" s="0"/>
      <c r="XCZ82" s="0"/>
      <c r="XDA82" s="0"/>
      <c r="XDB82" s="0"/>
      <c r="XDC82" s="0"/>
      <c r="XDD82" s="0"/>
      <c r="XDE82" s="0"/>
      <c r="XDF82" s="0"/>
      <c r="XDG82" s="0"/>
      <c r="XDH82" s="0"/>
      <c r="XDI82" s="0"/>
      <c r="XDJ82" s="0"/>
      <c r="XDK82" s="0"/>
      <c r="XDL82" s="0"/>
      <c r="XDM82" s="0"/>
      <c r="XDN82" s="0"/>
      <c r="XDO82" s="0"/>
      <c r="XDP82" s="0"/>
      <c r="XDQ82" s="0"/>
      <c r="XDR82" s="0"/>
      <c r="XDS82" s="0"/>
      <c r="XDT82" s="0"/>
      <c r="XDU82" s="0"/>
      <c r="XDV82" s="0"/>
      <c r="XDW82" s="0"/>
      <c r="XDX82" s="0"/>
      <c r="XDY82" s="0"/>
      <c r="XDZ82" s="0"/>
      <c r="XEA82" s="0"/>
      <c r="XEB82" s="0"/>
      <c r="XEC82" s="0"/>
      <c r="XED82" s="0"/>
      <c r="XEE82" s="0"/>
      <c r="XEF82" s="0"/>
      <c r="XEG82" s="0"/>
      <c r="XEH82" s="0"/>
      <c r="XEI82" s="0"/>
      <c r="XEJ82" s="0"/>
      <c r="XEK82" s="0"/>
      <c r="XEL82" s="0"/>
      <c r="XEM82" s="0"/>
      <c r="XEN82" s="0"/>
      <c r="XEO82" s="0"/>
      <c r="XEP82" s="0"/>
      <c r="XEQ82" s="0"/>
      <c r="XER82" s="0"/>
      <c r="XES82" s="0"/>
      <c r="XET82" s="0"/>
      <c r="XEU82" s="0"/>
      <c r="XEV82" s="0"/>
      <c r="XEW82" s="0"/>
      <c r="XEX82" s="0"/>
      <c r="XEY82" s="0"/>
      <c r="XEZ82" s="0"/>
      <c r="XFA82" s="0"/>
      <c r="XFB82" s="0"/>
      <c r="XFC82" s="0"/>
      <c r="XFD82" s="0"/>
    </row>
    <row r="83" customFormat="false" ht="13.8" hidden="false" customHeight="false" outlineLevel="0" collapsed="false">
      <c r="A83" s="36" t="s">
        <v>500</v>
      </c>
      <c r="B83" s="36" t="s">
        <v>501</v>
      </c>
      <c r="C83" s="0" t="n">
        <v>511</v>
      </c>
      <c r="D83" s="0" t="n">
        <v>509</v>
      </c>
      <c r="E83" s="0" t="n">
        <v>513</v>
      </c>
      <c r="F83" s="0" t="s">
        <v>89</v>
      </c>
      <c r="G83" s="0" t="s">
        <v>90</v>
      </c>
      <c r="H83" s="18" t="s">
        <v>91</v>
      </c>
      <c r="I83" s="36" t="s">
        <v>92</v>
      </c>
      <c r="J83" s="36" t="n">
        <v>2017</v>
      </c>
      <c r="K83" s="36"/>
      <c r="L83" s="36"/>
      <c r="M83" s="36" t="n">
        <v>5</v>
      </c>
      <c r="N83" s="36" t="n">
        <v>3200</v>
      </c>
      <c r="O83" s="37"/>
      <c r="P83" s="38"/>
      <c r="Q83" s="38"/>
      <c r="R83" s="38"/>
      <c r="S83" s="38"/>
      <c r="T83" s="38"/>
      <c r="U83" s="38"/>
      <c r="V83" s="38"/>
      <c r="W83" s="36" t="n">
        <v>233</v>
      </c>
      <c r="X83" s="37"/>
      <c r="Y83" s="36" t="n">
        <v>5</v>
      </c>
      <c r="Z83" s="36" t="n">
        <v>195</v>
      </c>
      <c r="AA83" s="39" t="n">
        <f aca="false">IF(AND(W83&gt;0,Z83&gt;0),(Z83/((W83+X83)*10)),"")</f>
        <v>0.0836909871244635</v>
      </c>
      <c r="AB83" s="36" t="n">
        <v>140</v>
      </c>
      <c r="AC83" s="36" t="n">
        <f aca="false">ROUND(AB83*1.6, 0)</f>
        <v>224</v>
      </c>
      <c r="AD83" s="36"/>
      <c r="AE83" s="36"/>
      <c r="AF83" s="36" t="n">
        <v>26</v>
      </c>
      <c r="AG83" s="36" t="n">
        <v>24</v>
      </c>
      <c r="AH83" s="36"/>
      <c r="AI83" s="36"/>
      <c r="AJ83" s="40" t="n">
        <v>66</v>
      </c>
      <c r="AK83" s="36" t="str">
        <f aca="false">CONCATENATE(VLOOKUP(AL83, '[1]Voxel Sizes'!$A$2:$B$18,2,FALSE()),"x",INT(AH83*15), "x", INT(AI83*15))</f>
        <v>238x0x0</v>
      </c>
      <c r="AL83" s="36" t="n">
        <f aca="false">ROUND(15*((AG83*10)/256),0)</f>
        <v>14</v>
      </c>
      <c r="AM83" s="36"/>
      <c r="AN83" s="36" t="str">
        <f aca="false">CONCATENATE(VLOOKUP(AL83,[1]Constants!$A$2:$C$16,IF(AM83&lt;&gt;"", 3, 2), FALSE()),IF(AM83&lt;&gt;"",CONCATENATE(",",VLOOKUP(AM83,$B:$AN,39,FALSE())),""))</f>
        <v>4,6,4</v>
      </c>
      <c r="AO83" s="36" t="n">
        <v>12</v>
      </c>
      <c r="AP83" s="41"/>
      <c r="AQ83" s="41"/>
      <c r="AR83" s="0" t="s">
        <v>494</v>
      </c>
      <c r="AS83" s="0" t="s">
        <v>495</v>
      </c>
      <c r="AT83" s="0" t="s">
        <v>130</v>
      </c>
      <c r="AU83" s="0" t="s">
        <v>493</v>
      </c>
      <c r="AV83" s="0"/>
      <c r="AW83" s="0"/>
      <c r="AX83" s="0" t="n">
        <v>30</v>
      </c>
      <c r="AY83" s="42" t="str">
        <f aca="false">IF(L83&lt;&gt;"",MAX(16,(L83-J83)+8),"")</f>
        <v/>
      </c>
      <c r="AZ83" s="36" t="n">
        <v>-15</v>
      </c>
      <c r="BA83" s="36" t="n">
        <v>-30</v>
      </c>
      <c r="BB83" s="36" t="n">
        <f aca="false">MIN(AB83/150, 1)*30</f>
        <v>28</v>
      </c>
      <c r="BC83" s="36" t="n">
        <f aca="false">MIN(N83/4000, 1)*20</f>
        <v>16</v>
      </c>
      <c r="BD83" s="36" t="n">
        <f aca="false">MIN(Z83/400,1)*20</f>
        <v>9.75</v>
      </c>
      <c r="BE83" s="39" t="n">
        <f aca="false">1-(MAX(J83-1900, 0)/750)</f>
        <v>0.844</v>
      </c>
      <c r="BF83" s="36" t="n">
        <f aca="false">((MAX($M83,1)*MIN($AJ83/300,1)))*IF(G83="Wagon",50,10)</f>
        <v>11</v>
      </c>
      <c r="BG83" s="1" t="n">
        <f aca="false">VLOOKUP($H83,Constants!$I:$K, 2, FALSE())</f>
        <v>0.85</v>
      </c>
      <c r="BH83" s="1" t="n">
        <f aca="false">VLOOKUP($H83,Constants!$I:$K, 3, FALSE())*IF(AND(G83="multiple_unit",AB83&lt;110),0.75,1)</f>
        <v>2.3</v>
      </c>
      <c r="BI83" s="36" t="n">
        <f aca="false">INT(POWER((([1]Constants!$G$2+$BB83+$BC83+$BD83+$BF83)*$BE83)*$BH83, 1.05))+$BA83</f>
        <v>143</v>
      </c>
      <c r="BJ83" s="36" t="n">
        <f aca="false">INT(POWER(((([1]Constants!$G$1+$BB83+$BC83+$BD83+$BF83)*($BE83))*$BG83),IF($G83="wagon",1,1.2)))+$AZ83</f>
        <v>113</v>
      </c>
      <c r="BK83" s="43" t="n">
        <f aca="false">BI83*IF($G83="wagon",62.5,781.25)</f>
        <v>111718.75</v>
      </c>
      <c r="BL83" s="43" t="n">
        <f aca="false">BJ83*IF($G83="wagon",2.73,81.25)</f>
        <v>9181.25</v>
      </c>
      <c r="BM83" s="36"/>
      <c r="BN83" s="36"/>
      <c r="BO83" s="36"/>
      <c r="BP83" s="36"/>
      <c r="BQ83" s="19" t="str">
        <f aca="false">_xlfn.ORG.LIBREOFFICE.REGEX(_xlfn.ORG.LIBREOFFICE.REGEX(IETMUVEHICLES, _xlfn.CONCAT(B83, ",?"), ""), ",$", "")</f>
        <v>class_800_azuma,class_800_9,class_801_9,class_802_5,class_802_9</v>
      </c>
      <c r="BR83" s="36"/>
      <c r="BS83" s="36"/>
      <c r="BT83" s="36" t="n">
        <v>10</v>
      </c>
      <c r="BU83" s="36" t="n">
        <v>222</v>
      </c>
      <c r="BV83" s="36"/>
      <c r="BW83" s="36"/>
      <c r="BX83" s="36" t="s">
        <v>95</v>
      </c>
      <c r="BY83" s="36" t="str">
        <f aca="false">VLOOKUP(J83,[1]Eras!$A$2:$C$10, 2, TRUE())</f>
        <v>mod</v>
      </c>
      <c r="BZ83" s="36" t="s">
        <v>226</v>
      </c>
      <c r="CA83" s="0" t="str">
        <f aca="false">CONCATENATE(BY83,"_",BZ83)</f>
        <v>mod_EMU (Express)</v>
      </c>
      <c r="CB83" s="0" t="str">
        <f aca="false">_xlfn.CONCAT(H83, "_",I83)</f>
        <v>electric_ELRL</v>
      </c>
      <c r="CC83" s="44" t="str">
        <f aca="false" t="array" ref="CC83:CC83">_xlfn.CONCAT("{BLACK}Length: {GOLD}", TEXT(ROUNDUP(IF(AQ83&lt;&gt;"",SUM(VALUE(_xlfn.TEXTSPLIT(AQ83, ","))), SUM(VALUE(_xlfn.TEXTSPLIT(AN83, ",")))*IF(M83, M83, 1))/16, 1), "#,##0.0"), " tiles{}")</f>
        <v>{BLACK}Length: {GOLD}4.4 tiles{}</v>
      </c>
      <c r="CD83" s="1" t="str">
        <f aca="false">VLOOKUP($CB83, Constants!$M:$N, 2, FALSE())</f>
        <v>{BLACK}Powered by: {GOLD}25kV AC</v>
      </c>
      <c r="CE83" s="0" t="str">
        <f aca="false">IF(M83&gt;1,_xlfn.CONCAT("{BLACK}Cars: {GOLD}", M83),"")</f>
        <v>{BLACK}Cars: {GOLD}5</v>
      </c>
      <c r="CF83" s="0" t="s">
        <v>502</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{YELLOW}20% bonus for long distance travel{}</v>
      </c>
      <c r="CH83" s="1" t="str">
        <f aca="false">_xlfn.CONCAT(CD83,IF(CD83 &lt;&gt; "", " ", ""),CE83,IF(OR(CE83&lt;&gt;"", CD83&lt;&gt;""), "{}",""), CC83, CG83,"{SILVER}", CF83)</f>
        <v>{BLACK}Powered by: {GOLD}25kV AC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c r="CI83" s="0"/>
      <c r="CJ83" s="0"/>
      <c r="CK83" s="0"/>
      <c r="CL83" s="0"/>
      <c r="CM83" s="0"/>
      <c r="CN83" s="0"/>
      <c r="CO83" s="0"/>
      <c r="CP83" s="0"/>
      <c r="CQ83" s="0"/>
      <c r="CR83" s="0"/>
      <c r="CS83" s="0"/>
      <c r="CT83" s="0"/>
      <c r="CU83" s="0"/>
      <c r="CV83" s="0"/>
      <c r="CW83" s="0"/>
      <c r="CX83" s="0"/>
      <c r="CY83" s="0"/>
      <c r="CZ83" s="0"/>
      <c r="DA83" s="0"/>
      <c r="DB83" s="0"/>
      <c r="DC83" s="0"/>
      <c r="DD83" s="0"/>
      <c r="DE83" s="0"/>
      <c r="DF83" s="0"/>
      <c r="DG83" s="0"/>
      <c r="DH83" s="0"/>
      <c r="DI83" s="0"/>
      <c r="DJ83" s="0"/>
      <c r="DK83" s="0"/>
      <c r="DL83" s="0"/>
      <c r="DM83" s="0"/>
      <c r="DN83" s="0"/>
      <c r="DO83" s="0"/>
      <c r="DP83" s="0"/>
      <c r="DQ83" s="0"/>
      <c r="DR83" s="0"/>
      <c r="DS83" s="0"/>
      <c r="DT83" s="0"/>
      <c r="DU83" s="0"/>
      <c r="DV83" s="0"/>
      <c r="DW83" s="0"/>
      <c r="DX83" s="0"/>
      <c r="DY83" s="0"/>
      <c r="DZ83" s="0"/>
      <c r="EA83" s="0"/>
      <c r="EB83" s="0"/>
      <c r="EC83" s="0"/>
      <c r="ED83" s="0"/>
      <c r="EE83" s="0"/>
      <c r="EF83" s="0"/>
      <c r="EG83" s="0"/>
      <c r="EH83" s="0"/>
      <c r="EI83" s="0"/>
      <c r="EJ83" s="0"/>
      <c r="EK83" s="0"/>
      <c r="EL83" s="0"/>
      <c r="EM83" s="0"/>
      <c r="EN83" s="0"/>
      <c r="EO83" s="0"/>
      <c r="EP83" s="0"/>
      <c r="EQ83" s="0"/>
      <c r="ER83" s="0"/>
      <c r="ES83" s="0"/>
      <c r="ET83" s="0"/>
      <c r="EU83" s="0"/>
      <c r="EV83" s="0"/>
      <c r="EW83" s="0"/>
      <c r="EX83" s="0"/>
      <c r="EY83" s="0"/>
      <c r="EZ83" s="0"/>
      <c r="FA83" s="0"/>
      <c r="FB83" s="0"/>
      <c r="FC83" s="0"/>
      <c r="FD83" s="0"/>
      <c r="FE83" s="0"/>
      <c r="FF83" s="0"/>
      <c r="FG83" s="0"/>
      <c r="FH83" s="0"/>
      <c r="FI83" s="0"/>
      <c r="FJ83" s="0"/>
      <c r="FK83" s="0"/>
      <c r="FL83" s="0"/>
      <c r="FM83" s="0"/>
      <c r="FN83" s="0"/>
      <c r="FO83" s="0"/>
      <c r="FP83" s="0"/>
      <c r="FQ83" s="0"/>
      <c r="FR83" s="0"/>
      <c r="FS83" s="0"/>
      <c r="FT83" s="0"/>
      <c r="FU83" s="0"/>
      <c r="FV83" s="0"/>
      <c r="FW83" s="0"/>
      <c r="FX83" s="0"/>
      <c r="FY83" s="0"/>
      <c r="FZ83" s="0"/>
      <c r="GA83" s="0"/>
      <c r="GB83" s="0"/>
      <c r="GC83" s="0"/>
      <c r="GD83" s="0"/>
      <c r="GE83" s="0"/>
      <c r="GF83" s="0"/>
      <c r="GG83" s="0"/>
      <c r="GH83" s="0"/>
      <c r="GI83" s="0"/>
      <c r="GJ83" s="0"/>
      <c r="GK83" s="0"/>
      <c r="GL83" s="0"/>
      <c r="GM83" s="0"/>
      <c r="GN83" s="0"/>
      <c r="GO83" s="0"/>
      <c r="GP83" s="0"/>
      <c r="GQ83" s="0"/>
      <c r="GR83" s="0"/>
      <c r="GS83" s="0"/>
      <c r="GT83" s="0"/>
      <c r="GU83" s="0"/>
      <c r="GV83" s="0"/>
      <c r="GW83" s="0"/>
      <c r="GX83" s="0"/>
      <c r="GY83" s="0"/>
      <c r="GZ83" s="0"/>
      <c r="HA83" s="0"/>
      <c r="HB83" s="0"/>
      <c r="HC83" s="0"/>
      <c r="HD83" s="0"/>
      <c r="HE83" s="0"/>
      <c r="HF83" s="0"/>
      <c r="HG83" s="0"/>
      <c r="HH83" s="0"/>
      <c r="HI83" s="0"/>
      <c r="HJ83" s="0"/>
      <c r="HK83" s="0"/>
      <c r="HL83" s="0"/>
      <c r="HM83" s="0"/>
      <c r="HN83" s="0"/>
      <c r="HO83" s="0"/>
      <c r="HP83" s="0"/>
      <c r="HQ83" s="0"/>
      <c r="HR83" s="0"/>
      <c r="HS83" s="0"/>
      <c r="HT83" s="0"/>
      <c r="HU83" s="0"/>
      <c r="HV83" s="0"/>
      <c r="HW83" s="0"/>
      <c r="HX83" s="0"/>
      <c r="HY83" s="0"/>
      <c r="HZ83" s="0"/>
      <c r="IA83" s="0"/>
      <c r="IB83" s="0"/>
      <c r="IC83" s="0"/>
      <c r="ID83" s="0"/>
      <c r="IE83" s="0"/>
      <c r="IF83" s="0"/>
      <c r="IG83" s="0"/>
      <c r="IH83" s="0"/>
      <c r="II83" s="0"/>
      <c r="IJ83" s="0"/>
      <c r="IK83" s="0"/>
      <c r="IL83" s="0"/>
      <c r="IM83" s="0"/>
      <c r="IN83" s="0"/>
      <c r="IO83" s="0"/>
      <c r="IP83" s="0"/>
      <c r="IQ83" s="0"/>
      <c r="IR83" s="0"/>
      <c r="IS83" s="0"/>
      <c r="IT83" s="0"/>
      <c r="IU83" s="0"/>
      <c r="IV83" s="0"/>
      <c r="IW83" s="0"/>
      <c r="IX83" s="0"/>
      <c r="IY83" s="0"/>
      <c r="IZ83" s="0"/>
      <c r="JA83" s="0"/>
      <c r="JB83" s="0"/>
      <c r="JC83" s="0"/>
      <c r="JD83" s="0"/>
      <c r="JE83" s="0"/>
      <c r="JF83" s="0"/>
      <c r="JG83" s="0"/>
      <c r="JH83" s="0"/>
      <c r="JI83" s="0"/>
      <c r="JJ83" s="0"/>
      <c r="JK83" s="0"/>
      <c r="JL83" s="0"/>
      <c r="JM83" s="0"/>
      <c r="JN83" s="0"/>
      <c r="JO83" s="0"/>
      <c r="JP83" s="0"/>
      <c r="JQ83" s="0"/>
      <c r="JR83" s="0"/>
      <c r="JS83" s="0"/>
      <c r="JT83" s="0"/>
      <c r="JU83" s="0"/>
      <c r="JV83" s="0"/>
      <c r="JW83" s="0"/>
      <c r="JX83" s="0"/>
      <c r="JY83" s="0"/>
      <c r="JZ83" s="0"/>
      <c r="KA83" s="0"/>
      <c r="KB83" s="0"/>
      <c r="KC83" s="0"/>
      <c r="KD83" s="0"/>
      <c r="KE83" s="0"/>
      <c r="KF83" s="0"/>
      <c r="KG83" s="0"/>
      <c r="KH83" s="0"/>
      <c r="KI83" s="0"/>
      <c r="KJ83" s="0"/>
      <c r="KK83" s="0"/>
      <c r="KL83" s="0"/>
      <c r="KM83" s="0"/>
      <c r="KN83" s="0"/>
      <c r="KO83" s="0"/>
      <c r="KP83" s="0"/>
      <c r="KQ83" s="0"/>
      <c r="KR83" s="0"/>
      <c r="KS83" s="0"/>
      <c r="KT83" s="0"/>
      <c r="KU83" s="0"/>
      <c r="KV83" s="0"/>
      <c r="KW83" s="0"/>
      <c r="KX83" s="0"/>
      <c r="KY83" s="0"/>
      <c r="KZ83" s="0"/>
      <c r="LA83" s="0"/>
      <c r="LB83" s="0"/>
      <c r="LC83" s="0"/>
      <c r="LD83" s="0"/>
      <c r="LE83" s="0"/>
      <c r="LF83" s="0"/>
      <c r="LG83" s="0"/>
      <c r="LH83" s="0"/>
      <c r="LI83" s="0"/>
      <c r="LJ83" s="0"/>
      <c r="LK83" s="0"/>
      <c r="LL83" s="0"/>
      <c r="LM83" s="0"/>
      <c r="LN83" s="0"/>
      <c r="LO83" s="0"/>
      <c r="LP83" s="0"/>
      <c r="LQ83" s="0"/>
      <c r="LR83" s="0"/>
      <c r="LS83" s="0"/>
      <c r="LT83" s="0"/>
      <c r="LU83" s="0"/>
      <c r="LV83" s="0"/>
      <c r="LW83" s="0"/>
      <c r="LX83" s="0"/>
      <c r="LY83" s="0"/>
      <c r="LZ83" s="0"/>
      <c r="MA83" s="0"/>
      <c r="MB83" s="0"/>
      <c r="MC83" s="0"/>
      <c r="MD83" s="0"/>
      <c r="ME83" s="0"/>
      <c r="MF83" s="0"/>
      <c r="MG83" s="0"/>
      <c r="MH83" s="0"/>
      <c r="MI83" s="0"/>
      <c r="MJ83" s="0"/>
      <c r="MK83" s="0"/>
      <c r="ML83" s="0"/>
      <c r="MM83" s="0"/>
      <c r="MN83" s="0"/>
      <c r="MO83" s="0"/>
      <c r="MP83" s="0"/>
      <c r="MQ83" s="0"/>
      <c r="MR83" s="0"/>
      <c r="MS83" s="0"/>
      <c r="MT83" s="0"/>
      <c r="MU83" s="0"/>
      <c r="MV83" s="0"/>
      <c r="MW83" s="0"/>
      <c r="MX83" s="0"/>
      <c r="MY83" s="0"/>
      <c r="MZ83" s="0"/>
      <c r="NA83" s="0"/>
      <c r="NB83" s="0"/>
      <c r="NC83" s="0"/>
      <c r="ND83" s="0"/>
      <c r="NE83" s="0"/>
      <c r="NF83" s="0"/>
      <c r="NG83" s="0"/>
      <c r="NH83" s="0"/>
      <c r="NI83" s="0"/>
      <c r="NJ83" s="0"/>
      <c r="NK83" s="0"/>
      <c r="NL83" s="0"/>
      <c r="NM83" s="0"/>
      <c r="NN83" s="0"/>
      <c r="NO83" s="0"/>
      <c r="NP83" s="0"/>
      <c r="NQ83" s="0"/>
      <c r="NR83" s="0"/>
      <c r="NS83" s="0"/>
      <c r="NT83" s="0"/>
      <c r="NU83" s="0"/>
      <c r="NV83" s="0"/>
      <c r="NW83" s="0"/>
      <c r="NX83" s="0"/>
      <c r="NY83" s="0"/>
      <c r="NZ83" s="0"/>
      <c r="OA83" s="0"/>
      <c r="OB83" s="0"/>
      <c r="OC83" s="0"/>
      <c r="OD83" s="0"/>
      <c r="OE83" s="0"/>
      <c r="OF83" s="0"/>
      <c r="OG83" s="0"/>
      <c r="OH83" s="0"/>
      <c r="OI83" s="0"/>
      <c r="OJ83" s="0"/>
      <c r="OK83" s="0"/>
      <c r="OL83" s="0"/>
      <c r="OM83" s="0"/>
      <c r="ON83" s="0"/>
      <c r="OO83" s="0"/>
      <c r="OP83" s="0"/>
      <c r="OQ83" s="0"/>
      <c r="OR83" s="0"/>
      <c r="OS83" s="0"/>
      <c r="OT83" s="0"/>
      <c r="OU83" s="0"/>
      <c r="OV83" s="0"/>
      <c r="OW83" s="0"/>
      <c r="OX83" s="0"/>
      <c r="OY83" s="0"/>
      <c r="OZ83" s="0"/>
      <c r="PA83" s="0"/>
      <c r="PB83" s="0"/>
      <c r="PC83" s="0"/>
      <c r="PD83" s="0"/>
      <c r="PE83" s="0"/>
      <c r="PF83" s="0"/>
      <c r="PG83" s="0"/>
      <c r="PH83" s="0"/>
      <c r="PI83" s="0"/>
      <c r="PJ83" s="0"/>
      <c r="PK83" s="0"/>
      <c r="PL83" s="0"/>
      <c r="PM83" s="0"/>
      <c r="PN83" s="0"/>
      <c r="PO83" s="0"/>
      <c r="PP83" s="0"/>
      <c r="PQ83" s="0"/>
      <c r="PR83" s="0"/>
      <c r="PS83" s="0"/>
      <c r="PT83" s="0"/>
      <c r="PU83" s="0"/>
      <c r="PV83" s="0"/>
      <c r="PW83" s="0"/>
      <c r="PX83" s="0"/>
      <c r="PY83" s="0"/>
      <c r="PZ83" s="0"/>
      <c r="QA83" s="0"/>
      <c r="QB83" s="0"/>
      <c r="QC83" s="0"/>
      <c r="QD83" s="0"/>
      <c r="QE83" s="0"/>
      <c r="QF83" s="0"/>
      <c r="QG83" s="0"/>
      <c r="QH83" s="0"/>
      <c r="QI83" s="0"/>
      <c r="QJ83" s="0"/>
      <c r="QK83" s="0"/>
      <c r="QL83" s="0"/>
      <c r="QM83" s="0"/>
      <c r="QN83" s="0"/>
      <c r="QO83" s="0"/>
      <c r="QP83" s="0"/>
      <c r="QQ83" s="0"/>
      <c r="QR83" s="0"/>
      <c r="QS83" s="0"/>
      <c r="QT83" s="0"/>
      <c r="QU83" s="0"/>
      <c r="QV83" s="0"/>
      <c r="QW83" s="0"/>
      <c r="QX83" s="0"/>
      <c r="QY83" s="0"/>
      <c r="QZ83" s="0"/>
      <c r="RA83" s="0"/>
      <c r="RB83" s="0"/>
      <c r="RC83" s="0"/>
      <c r="RD83" s="0"/>
      <c r="RE83" s="0"/>
      <c r="RF83" s="0"/>
      <c r="RG83" s="0"/>
      <c r="RH83" s="0"/>
      <c r="RI83" s="0"/>
      <c r="RJ83" s="0"/>
      <c r="RK83" s="0"/>
      <c r="RL83" s="0"/>
      <c r="RM83" s="0"/>
      <c r="RN83" s="0"/>
      <c r="RO83" s="0"/>
      <c r="RP83" s="0"/>
      <c r="RQ83" s="0"/>
      <c r="RR83" s="0"/>
      <c r="RS83" s="0"/>
      <c r="RT83" s="0"/>
      <c r="RU83" s="0"/>
      <c r="RV83" s="0"/>
      <c r="RW83" s="0"/>
      <c r="RX83" s="0"/>
      <c r="RY83" s="0"/>
      <c r="RZ83" s="0"/>
      <c r="SA83" s="0"/>
      <c r="SB83" s="0"/>
      <c r="SC83" s="0"/>
      <c r="SD83" s="0"/>
      <c r="SE83" s="0"/>
      <c r="SF83" s="0"/>
      <c r="SG83" s="0"/>
      <c r="SH83" s="0"/>
      <c r="SI83" s="0"/>
      <c r="SJ83" s="0"/>
      <c r="SK83" s="0"/>
      <c r="SL83" s="0"/>
      <c r="SM83" s="0"/>
      <c r="SN83" s="0"/>
      <c r="SO83" s="0"/>
      <c r="SP83" s="0"/>
      <c r="SQ83" s="0"/>
      <c r="SR83" s="0"/>
      <c r="SS83" s="0"/>
      <c r="ST83" s="0"/>
      <c r="SU83" s="0"/>
      <c r="SV83" s="0"/>
      <c r="SW83" s="0"/>
      <c r="SX83" s="0"/>
      <c r="SY83" s="0"/>
      <c r="SZ83" s="0"/>
      <c r="TA83" s="0"/>
      <c r="TB83" s="0"/>
      <c r="TC83" s="0"/>
      <c r="TD83" s="0"/>
      <c r="TE83" s="0"/>
      <c r="TF83" s="0"/>
      <c r="TG83" s="0"/>
      <c r="TH83" s="0"/>
      <c r="TI83" s="0"/>
      <c r="TJ83" s="0"/>
      <c r="TK83" s="0"/>
      <c r="TL83" s="0"/>
      <c r="TM83" s="0"/>
      <c r="TN83" s="0"/>
      <c r="TO83" s="0"/>
      <c r="TP83" s="0"/>
      <c r="TQ83" s="0"/>
      <c r="TR83" s="0"/>
      <c r="TS83" s="0"/>
      <c r="TT83" s="0"/>
      <c r="TU83" s="0"/>
      <c r="TV83" s="0"/>
      <c r="TW83" s="0"/>
      <c r="TX83" s="0"/>
      <c r="TY83" s="0"/>
      <c r="TZ83" s="0"/>
      <c r="UA83" s="0"/>
      <c r="UB83" s="0"/>
      <c r="UC83" s="0"/>
      <c r="UD83" s="0"/>
      <c r="UE83" s="0"/>
      <c r="UF83" s="0"/>
      <c r="UG83" s="0"/>
      <c r="UH83" s="0"/>
      <c r="UI83" s="0"/>
      <c r="UJ83" s="0"/>
      <c r="UK83" s="0"/>
      <c r="UL83" s="0"/>
      <c r="UM83" s="0"/>
      <c r="UN83" s="0"/>
      <c r="UO83" s="0"/>
      <c r="UP83" s="0"/>
      <c r="UQ83" s="0"/>
      <c r="UR83" s="0"/>
      <c r="US83" s="0"/>
      <c r="UT83" s="0"/>
      <c r="UU83" s="0"/>
      <c r="UV83" s="0"/>
      <c r="UW83" s="0"/>
      <c r="UX83" s="0"/>
      <c r="UY83" s="0"/>
      <c r="UZ83" s="0"/>
      <c r="VA83" s="0"/>
      <c r="VB83" s="0"/>
      <c r="VC83" s="0"/>
      <c r="VD83" s="0"/>
      <c r="VE83" s="0"/>
      <c r="VF83" s="0"/>
      <c r="VG83" s="0"/>
      <c r="VH83" s="0"/>
      <c r="VI83" s="0"/>
      <c r="VJ83" s="0"/>
      <c r="VK83" s="0"/>
      <c r="VL83" s="0"/>
      <c r="VM83" s="0"/>
      <c r="VN83" s="0"/>
      <c r="VO83" s="0"/>
      <c r="VP83" s="0"/>
      <c r="VQ83" s="0"/>
      <c r="VR83" s="0"/>
      <c r="VS83" s="0"/>
      <c r="VT83" s="0"/>
      <c r="VU83" s="0"/>
      <c r="VV83" s="0"/>
      <c r="VW83" s="0"/>
      <c r="VX83" s="0"/>
      <c r="VY83" s="0"/>
      <c r="VZ83" s="0"/>
      <c r="WA83" s="0"/>
      <c r="WB83" s="0"/>
      <c r="WC83" s="0"/>
      <c r="WD83" s="0"/>
      <c r="WE83" s="0"/>
      <c r="WF83" s="0"/>
      <c r="WG83" s="0"/>
      <c r="WH83" s="0"/>
      <c r="WI83" s="0"/>
      <c r="WJ83" s="0"/>
      <c r="WK83" s="0"/>
      <c r="WL83" s="0"/>
      <c r="WM83" s="0"/>
      <c r="WN83" s="0"/>
      <c r="WO83" s="0"/>
      <c r="WP83" s="0"/>
      <c r="WQ83" s="0"/>
      <c r="WR83" s="0"/>
      <c r="WS83" s="0"/>
      <c r="WT83" s="0"/>
      <c r="WU83" s="0"/>
      <c r="WV83" s="0"/>
      <c r="WW83" s="0"/>
      <c r="WX83" s="0"/>
      <c r="WY83" s="0"/>
      <c r="WZ83" s="0"/>
      <c r="XA83" s="0"/>
      <c r="XB83" s="0"/>
      <c r="XC83" s="0"/>
      <c r="XD83" s="0"/>
      <c r="XE83" s="0"/>
      <c r="XF83" s="0"/>
      <c r="XG83" s="0"/>
      <c r="XH83" s="0"/>
      <c r="XI83" s="0"/>
      <c r="XJ83" s="0"/>
      <c r="XK83" s="0"/>
      <c r="XL83" s="0"/>
      <c r="XM83" s="0"/>
      <c r="XN83" s="0"/>
      <c r="XO83" s="0"/>
      <c r="XP83" s="0"/>
      <c r="XQ83" s="0"/>
      <c r="XR83" s="0"/>
      <c r="XS83" s="0"/>
      <c r="XT83" s="0"/>
      <c r="XU83" s="0"/>
      <c r="XV83" s="0"/>
      <c r="XW83" s="0"/>
      <c r="XX83" s="0"/>
      <c r="XY83" s="0"/>
      <c r="XZ83" s="0"/>
      <c r="YA83" s="0"/>
      <c r="YB83" s="0"/>
      <c r="YC83" s="0"/>
      <c r="YD83" s="0"/>
      <c r="YE83" s="0"/>
      <c r="YF83" s="0"/>
      <c r="YG83" s="0"/>
      <c r="YH83" s="0"/>
      <c r="YI83" s="0"/>
      <c r="YJ83" s="0"/>
      <c r="YK83" s="0"/>
      <c r="YL83" s="0"/>
      <c r="YM83" s="0"/>
      <c r="YN83" s="0"/>
      <c r="YO83" s="0"/>
      <c r="YP83" s="0"/>
      <c r="YQ83" s="0"/>
      <c r="YR83" s="0"/>
      <c r="YS83" s="0"/>
      <c r="YT83" s="0"/>
      <c r="YU83" s="0"/>
      <c r="YV83" s="0"/>
      <c r="YW83" s="0"/>
      <c r="YX83" s="0"/>
      <c r="YY83" s="0"/>
      <c r="YZ83" s="0"/>
      <c r="ZA83" s="0"/>
      <c r="ZB83" s="0"/>
      <c r="ZC83" s="0"/>
      <c r="ZD83" s="0"/>
      <c r="ZE83" s="0"/>
      <c r="ZF83" s="0"/>
      <c r="ZG83" s="0"/>
      <c r="ZH83" s="0"/>
      <c r="ZI83" s="0"/>
      <c r="ZJ83" s="0"/>
      <c r="ZK83" s="0"/>
      <c r="ZL83" s="0"/>
      <c r="ZM83" s="0"/>
      <c r="ZN83" s="0"/>
      <c r="ZO83" s="0"/>
      <c r="ZP83" s="0"/>
      <c r="ZQ83" s="0"/>
      <c r="ZR83" s="0"/>
      <c r="ZS83" s="0"/>
      <c r="ZT83" s="0"/>
      <c r="ZU83" s="0"/>
      <c r="ZV83" s="0"/>
      <c r="ZW83" s="0"/>
      <c r="ZX83" s="0"/>
      <c r="ZY83" s="0"/>
      <c r="ZZ83" s="0"/>
      <c r="AAA83" s="0"/>
      <c r="AAB83" s="0"/>
      <c r="AAC83" s="0"/>
      <c r="AAD83" s="0"/>
      <c r="AAE83" s="0"/>
      <c r="AAF83" s="0"/>
      <c r="AAG83" s="0"/>
      <c r="AAH83" s="0"/>
      <c r="AAI83" s="0"/>
      <c r="AAJ83" s="0"/>
      <c r="AAK83" s="0"/>
      <c r="AAL83" s="0"/>
      <c r="AAM83" s="0"/>
      <c r="AAN83" s="0"/>
      <c r="AAO83" s="0"/>
      <c r="AAP83" s="0"/>
      <c r="AAQ83" s="0"/>
      <c r="AAR83" s="0"/>
      <c r="AAS83" s="0"/>
      <c r="AAT83" s="0"/>
      <c r="AAU83" s="0"/>
      <c r="AAV83" s="0"/>
      <c r="AAW83" s="0"/>
      <c r="AAX83" s="0"/>
      <c r="AAY83" s="0"/>
      <c r="AAZ83" s="0"/>
      <c r="ABA83" s="0"/>
      <c r="ABB83" s="0"/>
      <c r="ABC83" s="0"/>
      <c r="ABD83" s="0"/>
      <c r="ABE83" s="0"/>
      <c r="ABF83" s="0"/>
      <c r="ABG83" s="0"/>
      <c r="ABH83" s="0"/>
      <c r="ABI83" s="0"/>
      <c r="ABJ83" s="0"/>
      <c r="ABK83" s="0"/>
      <c r="ABL83" s="0"/>
      <c r="ABM83" s="0"/>
      <c r="ABN83" s="0"/>
      <c r="ABO83" s="0"/>
      <c r="ABP83" s="0"/>
      <c r="ABQ83" s="0"/>
      <c r="ABR83" s="0"/>
      <c r="ABS83" s="0"/>
      <c r="ABT83" s="0"/>
      <c r="ABU83" s="0"/>
      <c r="ABV83" s="0"/>
      <c r="ABW83" s="0"/>
      <c r="ABX83" s="0"/>
      <c r="ABY83" s="0"/>
      <c r="ABZ83" s="0"/>
      <c r="ACA83" s="0"/>
      <c r="ACB83" s="0"/>
      <c r="ACC83" s="0"/>
      <c r="ACD83" s="0"/>
      <c r="ACE83" s="0"/>
      <c r="ACF83" s="0"/>
      <c r="ACG83" s="0"/>
      <c r="ACH83" s="0"/>
      <c r="ACI83" s="0"/>
      <c r="ACJ83" s="0"/>
      <c r="ACK83" s="0"/>
      <c r="ACL83" s="0"/>
      <c r="ACM83" s="0"/>
      <c r="ACN83" s="0"/>
      <c r="ACO83" s="0"/>
      <c r="ACP83" s="0"/>
      <c r="ACQ83" s="0"/>
      <c r="ACR83" s="0"/>
      <c r="ACS83" s="0"/>
      <c r="ACT83" s="0"/>
      <c r="ACU83" s="0"/>
      <c r="ACV83" s="0"/>
      <c r="ACW83" s="0"/>
      <c r="ACX83" s="0"/>
      <c r="ACY83" s="0"/>
      <c r="ACZ83" s="0"/>
      <c r="ADA83" s="0"/>
      <c r="ADB83" s="0"/>
      <c r="ADC83" s="0"/>
      <c r="ADD83" s="0"/>
      <c r="ADE83" s="0"/>
      <c r="ADF83" s="0"/>
      <c r="ADG83" s="0"/>
      <c r="ADH83" s="0"/>
      <c r="ADI83" s="0"/>
      <c r="ADJ83" s="0"/>
      <c r="ADK83" s="0"/>
      <c r="ADL83" s="0"/>
      <c r="ADM83" s="0"/>
      <c r="ADN83" s="0"/>
      <c r="ADO83" s="0"/>
      <c r="ADP83" s="0"/>
      <c r="ADQ83" s="0"/>
      <c r="ADR83" s="0"/>
      <c r="ADS83" s="0"/>
      <c r="ADT83" s="0"/>
      <c r="ADU83" s="0"/>
      <c r="ADV83" s="0"/>
      <c r="ADW83" s="0"/>
      <c r="ADX83" s="0"/>
      <c r="ADY83" s="0"/>
      <c r="ADZ83" s="0"/>
      <c r="AEA83" s="0"/>
      <c r="AEB83" s="0"/>
      <c r="AEC83" s="0"/>
      <c r="AED83" s="0"/>
      <c r="AEE83" s="0"/>
      <c r="AEF83" s="0"/>
      <c r="AEG83" s="0"/>
      <c r="AEH83" s="0"/>
      <c r="AEI83" s="0"/>
      <c r="AEJ83" s="0"/>
      <c r="AEK83" s="0"/>
      <c r="AEL83" s="0"/>
      <c r="AEM83" s="0"/>
      <c r="AEN83" s="0"/>
      <c r="AEO83" s="0"/>
      <c r="AEP83" s="0"/>
      <c r="AEQ83" s="0"/>
      <c r="AER83" s="0"/>
      <c r="AES83" s="0"/>
      <c r="AET83" s="0"/>
      <c r="AEU83" s="0"/>
      <c r="AEV83" s="0"/>
      <c r="AEW83" s="0"/>
      <c r="AEX83" s="0"/>
      <c r="AEY83" s="0"/>
      <c r="AEZ83" s="0"/>
      <c r="AFA83" s="0"/>
      <c r="AFB83" s="0"/>
      <c r="AFC83" s="0"/>
      <c r="AFD83" s="0"/>
      <c r="AFE83" s="0"/>
      <c r="AFF83" s="0"/>
      <c r="AFG83" s="0"/>
      <c r="AFH83" s="0"/>
      <c r="AFI83" s="0"/>
      <c r="AFJ83" s="0"/>
      <c r="AFK83" s="0"/>
      <c r="AFL83" s="0"/>
      <c r="AFM83" s="0"/>
      <c r="AFN83" s="0"/>
      <c r="AFO83" s="0"/>
      <c r="AFP83" s="0"/>
      <c r="AFQ83" s="0"/>
      <c r="AFR83" s="0"/>
      <c r="AFS83" s="0"/>
      <c r="AFT83" s="0"/>
      <c r="AFU83" s="0"/>
      <c r="AFV83" s="0"/>
      <c r="AFW83" s="0"/>
      <c r="AFX83" s="0"/>
      <c r="AFY83" s="0"/>
      <c r="AFZ83" s="0"/>
      <c r="AGA83" s="0"/>
      <c r="AGB83" s="0"/>
      <c r="AGC83" s="0"/>
      <c r="AGD83" s="0"/>
      <c r="AGE83" s="0"/>
      <c r="AGF83" s="0"/>
      <c r="AGG83" s="0"/>
      <c r="AGH83" s="0"/>
      <c r="AGI83" s="0"/>
      <c r="AGJ83" s="0"/>
      <c r="AGK83" s="0"/>
      <c r="AGL83" s="0"/>
      <c r="AGM83" s="0"/>
      <c r="AGN83" s="0"/>
      <c r="AGO83" s="0"/>
      <c r="AGP83" s="0"/>
      <c r="AGQ83" s="0"/>
      <c r="AGR83" s="0"/>
      <c r="AGS83" s="0"/>
      <c r="AGT83" s="0"/>
      <c r="AGU83" s="0"/>
      <c r="AGV83" s="0"/>
      <c r="AGW83" s="0"/>
      <c r="AGX83" s="0"/>
      <c r="AGY83" s="0"/>
      <c r="AGZ83" s="0"/>
      <c r="AHA83" s="0"/>
      <c r="AHB83" s="0"/>
      <c r="AHC83" s="0"/>
      <c r="AHD83" s="0"/>
      <c r="AHE83" s="0"/>
      <c r="AHF83" s="0"/>
      <c r="AHG83" s="0"/>
      <c r="AHH83" s="0"/>
      <c r="AHI83" s="0"/>
      <c r="AHJ83" s="0"/>
      <c r="AHK83" s="0"/>
      <c r="AHL83" s="0"/>
      <c r="AHM83" s="0"/>
      <c r="AHN83" s="0"/>
      <c r="AHO83" s="0"/>
      <c r="AHP83" s="0"/>
      <c r="AHQ83" s="0"/>
      <c r="AHR83" s="0"/>
      <c r="AHS83" s="0"/>
      <c r="AHT83" s="0"/>
      <c r="AHU83" s="0"/>
      <c r="AHV83" s="0"/>
      <c r="AHW83" s="0"/>
      <c r="AHX83" s="0"/>
      <c r="AHY83" s="0"/>
      <c r="AHZ83" s="0"/>
      <c r="AIA83" s="0"/>
      <c r="AIB83" s="0"/>
      <c r="AIC83" s="0"/>
      <c r="AID83" s="0"/>
      <c r="AIE83" s="0"/>
      <c r="AIF83" s="0"/>
      <c r="AIG83" s="0"/>
      <c r="AIH83" s="0"/>
      <c r="AII83" s="0"/>
      <c r="AIJ83" s="0"/>
      <c r="AIK83" s="0"/>
      <c r="AIL83" s="0"/>
      <c r="AIM83" s="0"/>
      <c r="AIN83" s="0"/>
      <c r="AIO83" s="0"/>
      <c r="AIP83" s="0"/>
      <c r="AIQ83" s="0"/>
      <c r="AIR83" s="0"/>
      <c r="AIS83" s="0"/>
      <c r="AIT83" s="0"/>
      <c r="AIU83" s="0"/>
      <c r="AIV83" s="0"/>
      <c r="AIW83" s="0"/>
      <c r="AIX83" s="0"/>
      <c r="AIY83" s="0"/>
      <c r="AIZ83" s="0"/>
      <c r="AJA83" s="0"/>
      <c r="AJB83" s="0"/>
      <c r="AJC83" s="0"/>
      <c r="AJD83" s="0"/>
      <c r="AJE83" s="0"/>
      <c r="AJF83" s="0"/>
      <c r="AJG83" s="0"/>
      <c r="AJH83" s="0"/>
      <c r="AJI83" s="0"/>
      <c r="AJJ83" s="0"/>
      <c r="AJK83" s="0"/>
      <c r="AJL83" s="0"/>
      <c r="AJM83" s="0"/>
      <c r="AJN83" s="0"/>
      <c r="AJO83" s="0"/>
      <c r="AJP83" s="0"/>
      <c r="AJQ83" s="0"/>
      <c r="AJR83" s="0"/>
      <c r="AJS83" s="0"/>
      <c r="AJT83" s="0"/>
      <c r="AJU83" s="0"/>
      <c r="AJV83" s="0"/>
      <c r="AJW83" s="0"/>
      <c r="AJX83" s="0"/>
      <c r="AJY83" s="0"/>
      <c r="AJZ83" s="0"/>
      <c r="AKA83" s="0"/>
      <c r="AKB83" s="0"/>
      <c r="AKC83" s="0"/>
      <c r="AKD83" s="0"/>
      <c r="AKE83" s="0"/>
      <c r="AKF83" s="0"/>
      <c r="AKG83" s="0"/>
      <c r="AKH83" s="0"/>
      <c r="AKI83" s="0"/>
      <c r="AKJ83" s="0"/>
      <c r="AKK83" s="0"/>
      <c r="AKL83" s="0"/>
      <c r="AKM83" s="0"/>
      <c r="AKN83" s="0"/>
      <c r="AKO83" s="0"/>
      <c r="AKP83" s="0"/>
      <c r="AKQ83" s="0"/>
      <c r="AKR83" s="0"/>
      <c r="AKS83" s="0"/>
      <c r="AKT83" s="0"/>
      <c r="AKU83" s="0"/>
      <c r="AKV83" s="0"/>
      <c r="AKW83" s="0"/>
      <c r="AKX83" s="0"/>
      <c r="AKY83" s="0"/>
      <c r="AKZ83" s="0"/>
      <c r="ALA83" s="0"/>
      <c r="ALB83" s="0"/>
      <c r="ALC83" s="0"/>
      <c r="ALD83" s="0"/>
      <c r="ALE83" s="0"/>
      <c r="ALF83" s="0"/>
      <c r="ALG83" s="0"/>
      <c r="ALH83" s="0"/>
      <c r="ALI83" s="0"/>
      <c r="ALJ83" s="0"/>
      <c r="ALK83" s="0"/>
      <c r="ALL83" s="0"/>
      <c r="ALM83" s="0"/>
      <c r="ALN83" s="0"/>
      <c r="ALO83" s="0"/>
      <c r="ALP83" s="0"/>
      <c r="ALQ83" s="0"/>
      <c r="ALR83" s="0"/>
      <c r="ALS83" s="0"/>
      <c r="ALT83" s="0"/>
      <c r="ALU83" s="0"/>
      <c r="ALV83" s="0"/>
      <c r="ALW83" s="0"/>
      <c r="ALX83" s="0"/>
      <c r="ALY83" s="0"/>
      <c r="ALZ83" s="0"/>
      <c r="AMA83" s="0"/>
      <c r="AMB83" s="0"/>
      <c r="AMC83" s="0"/>
      <c r="AMD83" s="0"/>
      <c r="AME83" s="0"/>
      <c r="AMF83" s="0"/>
      <c r="AMG83" s="0"/>
      <c r="AMH83" s="0"/>
      <c r="AMI83" s="0"/>
      <c r="AMJ83" s="0"/>
      <c r="AMK83" s="0"/>
      <c r="AML83" s="0"/>
      <c r="AMM83" s="0"/>
      <c r="AMN83" s="0"/>
      <c r="AMO83" s="0"/>
      <c r="AMP83" s="0"/>
      <c r="AMQ83" s="0"/>
      <c r="AMR83" s="0"/>
      <c r="AMS83" s="0"/>
      <c r="AMT83" s="0"/>
      <c r="AMU83" s="0"/>
      <c r="AMV83" s="0"/>
      <c r="AMW83" s="0"/>
      <c r="AMX83" s="0"/>
      <c r="AMY83" s="0"/>
      <c r="AMZ83" s="0"/>
      <c r="ANA83" s="0"/>
      <c r="ANB83" s="0"/>
      <c r="ANC83" s="0"/>
      <c r="AND83" s="0"/>
      <c r="ANE83" s="0"/>
      <c r="ANF83" s="0"/>
      <c r="ANG83" s="0"/>
      <c r="ANH83" s="0"/>
      <c r="ANI83" s="0"/>
      <c r="ANJ83" s="0"/>
      <c r="ANK83" s="0"/>
      <c r="ANL83" s="0"/>
      <c r="ANM83" s="0"/>
      <c r="ANN83" s="0"/>
      <c r="ANO83" s="0"/>
      <c r="ANP83" s="0"/>
      <c r="ANQ83" s="0"/>
      <c r="ANR83" s="0"/>
      <c r="ANS83" s="0"/>
      <c r="ANT83" s="0"/>
      <c r="ANU83" s="0"/>
      <c r="ANV83" s="0"/>
      <c r="ANW83" s="0"/>
      <c r="ANX83" s="0"/>
      <c r="ANY83" s="0"/>
      <c r="ANZ83" s="0"/>
      <c r="AOA83" s="0"/>
      <c r="AOB83" s="0"/>
      <c r="AOC83" s="0"/>
      <c r="AOD83" s="0"/>
      <c r="AOE83" s="0"/>
      <c r="AOF83" s="0"/>
      <c r="AOG83" s="0"/>
      <c r="AOH83" s="0"/>
      <c r="AOI83" s="0"/>
      <c r="AOJ83" s="0"/>
      <c r="AOK83" s="0"/>
      <c r="AOL83" s="0"/>
      <c r="AOM83" s="0"/>
      <c r="AON83" s="0"/>
      <c r="AOO83" s="0"/>
      <c r="AOP83" s="0"/>
      <c r="AOQ83" s="0"/>
      <c r="AOR83" s="0"/>
      <c r="AOS83" s="0"/>
      <c r="AOT83" s="0"/>
      <c r="AOU83" s="0"/>
      <c r="AOV83" s="0"/>
      <c r="AOW83" s="0"/>
      <c r="AOX83" s="0"/>
      <c r="AOY83" s="0"/>
      <c r="AOZ83" s="0"/>
      <c r="APA83" s="0"/>
      <c r="APB83" s="0"/>
      <c r="APC83" s="0"/>
      <c r="APD83" s="0"/>
      <c r="APE83" s="0"/>
      <c r="APF83" s="0"/>
      <c r="APG83" s="0"/>
      <c r="APH83" s="0"/>
      <c r="API83" s="0"/>
      <c r="APJ83" s="0"/>
      <c r="APK83" s="0"/>
      <c r="APL83" s="0"/>
      <c r="APM83" s="0"/>
      <c r="APN83" s="0"/>
      <c r="APO83" s="0"/>
      <c r="APP83" s="0"/>
      <c r="APQ83" s="0"/>
      <c r="APR83" s="0"/>
      <c r="APS83" s="0"/>
      <c r="APT83" s="0"/>
      <c r="APU83" s="0"/>
      <c r="APV83" s="0"/>
      <c r="APW83" s="0"/>
      <c r="APX83" s="0"/>
      <c r="APY83" s="0"/>
      <c r="APZ83" s="0"/>
      <c r="AQA83" s="0"/>
      <c r="AQB83" s="0"/>
      <c r="AQC83" s="0"/>
      <c r="AQD83" s="0"/>
      <c r="AQE83" s="0"/>
      <c r="AQF83" s="0"/>
      <c r="AQG83" s="0"/>
      <c r="AQH83" s="0"/>
      <c r="AQI83" s="0"/>
      <c r="AQJ83" s="0"/>
      <c r="AQK83" s="0"/>
      <c r="AQL83" s="0"/>
      <c r="AQM83" s="0"/>
      <c r="AQN83" s="0"/>
      <c r="AQO83" s="0"/>
      <c r="AQP83" s="0"/>
      <c r="AQQ83" s="0"/>
      <c r="AQR83" s="0"/>
      <c r="AQS83" s="0"/>
      <c r="AQT83" s="0"/>
      <c r="AQU83" s="0"/>
      <c r="AQV83" s="0"/>
      <c r="AQW83" s="0"/>
      <c r="AQX83" s="0"/>
      <c r="AQY83" s="0"/>
      <c r="AQZ83" s="0"/>
      <c r="ARA83" s="0"/>
      <c r="ARB83" s="0"/>
      <c r="ARC83" s="0"/>
      <c r="ARD83" s="0"/>
      <c r="ARE83" s="0"/>
      <c r="ARF83" s="0"/>
      <c r="ARG83" s="0"/>
      <c r="ARH83" s="0"/>
      <c r="ARI83" s="0"/>
      <c r="ARJ83" s="0"/>
      <c r="ARK83" s="0"/>
      <c r="ARL83" s="0"/>
      <c r="ARM83" s="0"/>
      <c r="ARN83" s="0"/>
      <c r="ARO83" s="0"/>
      <c r="ARP83" s="0"/>
      <c r="ARQ83" s="0"/>
      <c r="ARR83" s="0"/>
      <c r="ARS83" s="0"/>
      <c r="ART83" s="0"/>
      <c r="ARU83" s="0"/>
      <c r="ARV83" s="0"/>
      <c r="ARW83" s="0"/>
      <c r="ARX83" s="0"/>
      <c r="ARY83" s="0"/>
      <c r="ARZ83" s="0"/>
      <c r="ASA83" s="0"/>
      <c r="ASB83" s="0"/>
      <c r="ASC83" s="0"/>
      <c r="ASD83" s="0"/>
      <c r="ASE83" s="0"/>
      <c r="ASF83" s="0"/>
      <c r="ASG83" s="0"/>
      <c r="ASH83" s="0"/>
      <c r="ASI83" s="0"/>
      <c r="ASJ83" s="0"/>
      <c r="ASK83" s="0"/>
      <c r="ASL83" s="0"/>
      <c r="ASM83" s="0"/>
      <c r="ASN83" s="0"/>
      <c r="ASO83" s="0"/>
      <c r="ASP83" s="0"/>
      <c r="ASQ83" s="0"/>
      <c r="ASR83" s="0"/>
      <c r="ASS83" s="0"/>
      <c r="AST83" s="0"/>
      <c r="ASU83" s="0"/>
      <c r="ASV83" s="0"/>
      <c r="ASW83" s="0"/>
      <c r="ASX83" s="0"/>
      <c r="ASY83" s="0"/>
      <c r="ASZ83" s="0"/>
      <c r="ATA83" s="0"/>
      <c r="ATB83" s="0"/>
      <c r="ATC83" s="0"/>
      <c r="ATD83" s="0"/>
      <c r="ATE83" s="0"/>
      <c r="ATF83" s="0"/>
      <c r="ATG83" s="0"/>
      <c r="ATH83" s="0"/>
      <c r="ATI83" s="0"/>
      <c r="ATJ83" s="0"/>
      <c r="ATK83" s="0"/>
      <c r="ATL83" s="0"/>
      <c r="ATM83" s="0"/>
      <c r="ATN83" s="0"/>
      <c r="ATO83" s="0"/>
      <c r="ATP83" s="0"/>
      <c r="ATQ83" s="0"/>
      <c r="ATR83" s="0"/>
      <c r="ATS83" s="0"/>
      <c r="ATT83" s="0"/>
      <c r="ATU83" s="0"/>
      <c r="ATV83" s="0"/>
      <c r="ATW83" s="0"/>
      <c r="ATX83" s="0"/>
      <c r="ATY83" s="0"/>
      <c r="ATZ83" s="0"/>
      <c r="AUA83" s="0"/>
      <c r="AUB83" s="0"/>
      <c r="AUC83" s="0"/>
      <c r="AUD83" s="0"/>
      <c r="AUE83" s="0"/>
      <c r="AUF83" s="0"/>
      <c r="AUG83" s="0"/>
      <c r="AUH83" s="0"/>
      <c r="AUI83" s="0"/>
      <c r="AUJ83" s="0"/>
      <c r="AUK83" s="0"/>
      <c r="AUL83" s="0"/>
      <c r="AUM83" s="0"/>
      <c r="AUN83" s="0"/>
      <c r="AUO83" s="0"/>
      <c r="AUP83" s="0"/>
      <c r="AUQ83" s="0"/>
      <c r="AUR83" s="0"/>
      <c r="AUS83" s="0"/>
      <c r="AUT83" s="0"/>
      <c r="AUU83" s="0"/>
      <c r="AUV83" s="0"/>
      <c r="AUW83" s="0"/>
      <c r="AUX83" s="0"/>
      <c r="AUY83" s="0"/>
      <c r="AUZ83" s="0"/>
      <c r="AVA83" s="0"/>
      <c r="AVB83" s="0"/>
      <c r="AVC83" s="0"/>
      <c r="AVD83" s="0"/>
      <c r="AVE83" s="0"/>
      <c r="AVF83" s="0"/>
      <c r="AVG83" s="0"/>
      <c r="AVH83" s="0"/>
      <c r="AVI83" s="0"/>
      <c r="AVJ83" s="0"/>
      <c r="AVK83" s="0"/>
      <c r="AVL83" s="0"/>
      <c r="AVM83" s="0"/>
      <c r="AVN83" s="0"/>
      <c r="AVO83" s="0"/>
      <c r="AVP83" s="0"/>
      <c r="AVQ83" s="0"/>
      <c r="AVR83" s="0"/>
      <c r="AVS83" s="0"/>
      <c r="AVT83" s="0"/>
      <c r="AVU83" s="0"/>
      <c r="AVV83" s="0"/>
      <c r="AVW83" s="0"/>
      <c r="AVX83" s="0"/>
      <c r="AVY83" s="0"/>
      <c r="AVZ83" s="0"/>
      <c r="AWA83" s="0"/>
      <c r="AWB83" s="0"/>
      <c r="AWC83" s="0"/>
      <c r="AWD83" s="0"/>
      <c r="AWE83" s="0"/>
      <c r="AWF83" s="0"/>
      <c r="AWG83" s="0"/>
      <c r="AWH83" s="0"/>
      <c r="AWI83" s="0"/>
      <c r="AWJ83" s="0"/>
      <c r="AWK83" s="0"/>
      <c r="AWL83" s="0"/>
      <c r="AWM83" s="0"/>
      <c r="AWN83" s="0"/>
      <c r="AWO83" s="0"/>
      <c r="AWP83" s="0"/>
      <c r="AWQ83" s="0"/>
      <c r="AWR83" s="0"/>
      <c r="AWS83" s="0"/>
      <c r="AWT83" s="0"/>
      <c r="AWU83" s="0"/>
      <c r="AWV83" s="0"/>
      <c r="AWW83" s="0"/>
      <c r="AWX83" s="0"/>
      <c r="AWY83" s="0"/>
      <c r="AWZ83" s="0"/>
      <c r="AXA83" s="0"/>
      <c r="AXB83" s="0"/>
      <c r="AXC83" s="0"/>
      <c r="AXD83" s="0"/>
      <c r="AXE83" s="0"/>
      <c r="AXF83" s="0"/>
      <c r="AXG83" s="0"/>
      <c r="AXH83" s="0"/>
      <c r="AXI83" s="0"/>
      <c r="AXJ83" s="0"/>
      <c r="AXK83" s="0"/>
      <c r="AXL83" s="0"/>
      <c r="AXM83" s="0"/>
      <c r="AXN83" s="0"/>
      <c r="AXO83" s="0"/>
      <c r="AXP83" s="0"/>
      <c r="AXQ83" s="0"/>
      <c r="AXR83" s="0"/>
      <c r="AXS83" s="0"/>
      <c r="AXT83" s="0"/>
      <c r="AXU83" s="0"/>
      <c r="AXV83" s="0"/>
      <c r="AXW83" s="0"/>
      <c r="AXX83" s="0"/>
      <c r="AXY83" s="0"/>
      <c r="AXZ83" s="0"/>
      <c r="AYA83" s="0"/>
      <c r="AYB83" s="0"/>
      <c r="AYC83" s="0"/>
      <c r="AYD83" s="0"/>
      <c r="AYE83" s="0"/>
      <c r="AYF83" s="0"/>
      <c r="AYG83" s="0"/>
      <c r="AYH83" s="0"/>
      <c r="AYI83" s="0"/>
      <c r="AYJ83" s="0"/>
      <c r="AYK83" s="0"/>
      <c r="AYL83" s="0"/>
      <c r="AYM83" s="0"/>
      <c r="AYN83" s="0"/>
      <c r="AYO83" s="0"/>
      <c r="AYP83" s="0"/>
      <c r="AYQ83" s="0"/>
      <c r="AYR83" s="0"/>
      <c r="AYS83" s="0"/>
      <c r="AYT83" s="0"/>
      <c r="AYU83" s="0"/>
      <c r="AYV83" s="0"/>
      <c r="AYW83" s="0"/>
      <c r="AYX83" s="0"/>
      <c r="AYY83" s="0"/>
      <c r="AYZ83" s="0"/>
      <c r="AZA83" s="0"/>
      <c r="AZB83" s="0"/>
      <c r="AZC83" s="0"/>
      <c r="AZD83" s="0"/>
      <c r="AZE83" s="0"/>
      <c r="AZF83" s="0"/>
      <c r="AZG83" s="0"/>
      <c r="AZH83" s="0"/>
      <c r="AZI83" s="0"/>
      <c r="AZJ83" s="0"/>
      <c r="AZK83" s="0"/>
      <c r="AZL83" s="0"/>
      <c r="AZM83" s="0"/>
      <c r="AZN83" s="0"/>
      <c r="AZO83" s="0"/>
      <c r="AZP83" s="0"/>
      <c r="AZQ83" s="0"/>
      <c r="AZR83" s="0"/>
      <c r="AZS83" s="0"/>
      <c r="AZT83" s="0"/>
      <c r="AZU83" s="0"/>
      <c r="AZV83" s="0"/>
      <c r="AZW83" s="0"/>
      <c r="AZX83" s="0"/>
      <c r="AZY83" s="0"/>
      <c r="AZZ83" s="0"/>
      <c r="BAA83" s="0"/>
      <c r="BAB83" s="0"/>
      <c r="BAC83" s="0"/>
      <c r="BAD83" s="0"/>
      <c r="BAE83" s="0"/>
      <c r="BAF83" s="0"/>
      <c r="BAG83" s="0"/>
      <c r="BAH83" s="0"/>
      <c r="BAI83" s="0"/>
      <c r="BAJ83" s="0"/>
      <c r="BAK83" s="0"/>
      <c r="BAL83" s="0"/>
      <c r="BAM83" s="0"/>
      <c r="BAN83" s="0"/>
      <c r="BAO83" s="0"/>
      <c r="BAP83" s="0"/>
      <c r="BAQ83" s="0"/>
      <c r="BAR83" s="0"/>
      <c r="BAS83" s="0"/>
      <c r="BAT83" s="0"/>
      <c r="BAU83" s="0"/>
      <c r="BAV83" s="0"/>
      <c r="BAW83" s="0"/>
      <c r="BAX83" s="0"/>
      <c r="BAY83" s="0"/>
      <c r="BAZ83" s="0"/>
      <c r="BBA83" s="0"/>
      <c r="BBB83" s="0"/>
      <c r="BBC83" s="0"/>
      <c r="BBD83" s="0"/>
      <c r="BBE83" s="0"/>
      <c r="BBF83" s="0"/>
      <c r="BBG83" s="0"/>
      <c r="BBH83" s="0"/>
      <c r="BBI83" s="0"/>
      <c r="BBJ83" s="0"/>
      <c r="BBK83" s="0"/>
      <c r="BBL83" s="0"/>
      <c r="BBM83" s="0"/>
      <c r="BBN83" s="0"/>
      <c r="BBO83" s="0"/>
      <c r="BBP83" s="0"/>
      <c r="BBQ83" s="0"/>
      <c r="BBR83" s="0"/>
      <c r="BBS83" s="0"/>
      <c r="BBT83" s="0"/>
      <c r="BBU83" s="0"/>
      <c r="BBV83" s="0"/>
      <c r="BBW83" s="0"/>
      <c r="BBX83" s="0"/>
      <c r="BBY83" s="0"/>
      <c r="BBZ83" s="0"/>
      <c r="BCA83" s="0"/>
      <c r="BCB83" s="0"/>
      <c r="BCC83" s="0"/>
      <c r="BCD83" s="0"/>
      <c r="BCE83" s="0"/>
      <c r="BCF83" s="0"/>
      <c r="BCG83" s="0"/>
      <c r="BCH83" s="0"/>
      <c r="BCI83" s="0"/>
      <c r="BCJ83" s="0"/>
      <c r="BCK83" s="0"/>
      <c r="BCL83" s="0"/>
      <c r="BCM83" s="0"/>
      <c r="BCN83" s="0"/>
      <c r="BCO83" s="0"/>
      <c r="BCP83" s="0"/>
      <c r="BCQ83" s="0"/>
      <c r="BCR83" s="0"/>
      <c r="BCS83" s="0"/>
      <c r="BCT83" s="0"/>
      <c r="BCU83" s="0"/>
      <c r="BCV83" s="0"/>
      <c r="BCW83" s="0"/>
      <c r="BCX83" s="0"/>
      <c r="BCY83" s="0"/>
      <c r="BCZ83" s="0"/>
      <c r="BDA83" s="0"/>
      <c r="BDB83" s="0"/>
      <c r="BDC83" s="0"/>
      <c r="BDD83" s="0"/>
      <c r="BDE83" s="0"/>
      <c r="BDF83" s="0"/>
      <c r="BDG83" s="0"/>
      <c r="BDH83" s="0"/>
      <c r="BDI83" s="0"/>
      <c r="BDJ83" s="0"/>
      <c r="BDK83" s="0"/>
      <c r="BDL83" s="0"/>
      <c r="BDM83" s="0"/>
      <c r="BDN83" s="0"/>
      <c r="BDO83" s="0"/>
      <c r="BDP83" s="0"/>
      <c r="BDQ83" s="0"/>
      <c r="BDR83" s="0"/>
      <c r="BDS83" s="0"/>
      <c r="BDT83" s="0"/>
      <c r="BDU83" s="0"/>
      <c r="BDV83" s="0"/>
      <c r="BDW83" s="0"/>
      <c r="BDX83" s="0"/>
      <c r="BDY83" s="0"/>
      <c r="BDZ83" s="0"/>
      <c r="BEA83" s="0"/>
      <c r="BEB83" s="0"/>
      <c r="BEC83" s="0"/>
      <c r="BED83" s="0"/>
      <c r="BEE83" s="0"/>
      <c r="BEF83" s="0"/>
      <c r="BEG83" s="0"/>
      <c r="BEH83" s="0"/>
      <c r="BEI83" s="0"/>
      <c r="BEJ83" s="0"/>
      <c r="BEK83" s="0"/>
      <c r="BEL83" s="0"/>
      <c r="BEM83" s="0"/>
      <c r="BEN83" s="0"/>
      <c r="BEO83" s="0"/>
      <c r="BEP83" s="0"/>
      <c r="BEQ83" s="0"/>
      <c r="BER83" s="0"/>
      <c r="BES83" s="0"/>
      <c r="BET83" s="0"/>
      <c r="BEU83" s="0"/>
      <c r="BEV83" s="0"/>
      <c r="BEW83" s="0"/>
      <c r="BEX83" s="0"/>
      <c r="BEY83" s="0"/>
      <c r="BEZ83" s="0"/>
      <c r="BFA83" s="0"/>
      <c r="BFB83" s="0"/>
      <c r="BFC83" s="0"/>
      <c r="BFD83" s="0"/>
      <c r="BFE83" s="0"/>
      <c r="BFF83" s="0"/>
      <c r="BFG83" s="0"/>
      <c r="BFH83" s="0"/>
      <c r="BFI83" s="0"/>
      <c r="BFJ83" s="0"/>
      <c r="BFK83" s="0"/>
      <c r="BFL83" s="0"/>
      <c r="BFM83" s="0"/>
      <c r="BFN83" s="0"/>
      <c r="BFO83" s="0"/>
      <c r="BFP83" s="0"/>
      <c r="BFQ83" s="0"/>
      <c r="BFR83" s="0"/>
      <c r="BFS83" s="0"/>
      <c r="BFT83" s="0"/>
      <c r="BFU83" s="0"/>
      <c r="BFV83" s="0"/>
      <c r="BFW83" s="0"/>
      <c r="BFX83" s="0"/>
      <c r="BFY83" s="0"/>
      <c r="BFZ83" s="0"/>
      <c r="BGA83" s="0"/>
      <c r="BGB83" s="0"/>
      <c r="BGC83" s="0"/>
      <c r="BGD83" s="0"/>
      <c r="BGE83" s="0"/>
      <c r="BGF83" s="0"/>
      <c r="BGG83" s="0"/>
      <c r="BGH83" s="0"/>
      <c r="BGI83" s="0"/>
      <c r="BGJ83" s="0"/>
      <c r="BGK83" s="0"/>
      <c r="BGL83" s="0"/>
      <c r="BGM83" s="0"/>
      <c r="BGN83" s="0"/>
      <c r="BGO83" s="0"/>
      <c r="BGP83" s="0"/>
      <c r="BGQ83" s="0"/>
      <c r="BGR83" s="0"/>
      <c r="BGS83" s="0"/>
      <c r="BGT83" s="0"/>
      <c r="BGU83" s="0"/>
      <c r="BGV83" s="0"/>
      <c r="BGW83" s="0"/>
      <c r="BGX83" s="0"/>
      <c r="BGY83" s="0"/>
      <c r="BGZ83" s="0"/>
      <c r="BHA83" s="0"/>
      <c r="BHB83" s="0"/>
      <c r="BHC83" s="0"/>
      <c r="BHD83" s="0"/>
      <c r="BHE83" s="0"/>
      <c r="BHF83" s="0"/>
      <c r="BHG83" s="0"/>
      <c r="BHH83" s="0"/>
      <c r="BHI83" s="0"/>
      <c r="BHJ83" s="0"/>
      <c r="BHK83" s="0"/>
      <c r="BHL83" s="0"/>
      <c r="BHM83" s="0"/>
      <c r="BHN83" s="0"/>
      <c r="BHO83" s="0"/>
      <c r="BHP83" s="0"/>
      <c r="BHQ83" s="0"/>
      <c r="BHR83" s="0"/>
      <c r="BHS83" s="0"/>
      <c r="BHT83" s="0"/>
      <c r="BHU83" s="0"/>
      <c r="BHV83" s="0"/>
      <c r="BHW83" s="0"/>
      <c r="BHX83" s="0"/>
      <c r="BHY83" s="0"/>
      <c r="BHZ83" s="0"/>
      <c r="BIA83" s="0"/>
      <c r="BIB83" s="0"/>
      <c r="BIC83" s="0"/>
      <c r="BID83" s="0"/>
      <c r="BIE83" s="0"/>
      <c r="BIF83" s="0"/>
      <c r="BIG83" s="0"/>
      <c r="BIH83" s="0"/>
      <c r="BII83" s="0"/>
      <c r="BIJ83" s="0"/>
      <c r="BIK83" s="0"/>
      <c r="BIL83" s="0"/>
      <c r="BIM83" s="0"/>
      <c r="BIN83" s="0"/>
      <c r="BIO83" s="0"/>
      <c r="BIP83" s="0"/>
      <c r="BIQ83" s="0"/>
      <c r="BIR83" s="0"/>
      <c r="BIS83" s="0"/>
      <c r="BIT83" s="0"/>
      <c r="BIU83" s="0"/>
      <c r="BIV83" s="0"/>
      <c r="BIW83" s="0"/>
      <c r="BIX83" s="0"/>
      <c r="BIY83" s="0"/>
      <c r="BIZ83" s="0"/>
      <c r="BJA83" s="0"/>
      <c r="BJB83" s="0"/>
      <c r="BJC83" s="0"/>
      <c r="BJD83" s="0"/>
      <c r="BJE83" s="0"/>
      <c r="BJF83" s="0"/>
      <c r="BJG83" s="0"/>
      <c r="BJH83" s="0"/>
      <c r="BJI83" s="0"/>
      <c r="BJJ83" s="0"/>
      <c r="BJK83" s="0"/>
      <c r="BJL83" s="0"/>
      <c r="BJM83" s="0"/>
      <c r="BJN83" s="0"/>
      <c r="BJO83" s="0"/>
      <c r="BJP83" s="0"/>
      <c r="BJQ83" s="0"/>
      <c r="BJR83" s="0"/>
      <c r="BJS83" s="0"/>
      <c r="BJT83" s="0"/>
      <c r="BJU83" s="0"/>
      <c r="BJV83" s="0"/>
      <c r="BJW83" s="0"/>
      <c r="BJX83" s="0"/>
      <c r="BJY83" s="0"/>
      <c r="BJZ83" s="0"/>
      <c r="BKA83" s="0"/>
      <c r="BKB83" s="0"/>
      <c r="BKC83" s="0"/>
      <c r="BKD83" s="0"/>
      <c r="BKE83" s="0"/>
      <c r="BKF83" s="0"/>
      <c r="BKG83" s="0"/>
      <c r="BKH83" s="0"/>
      <c r="BKI83" s="0"/>
      <c r="BKJ83" s="0"/>
      <c r="BKK83" s="0"/>
      <c r="BKL83" s="0"/>
      <c r="BKM83" s="0"/>
      <c r="BKN83" s="0"/>
      <c r="BKO83" s="0"/>
      <c r="BKP83" s="0"/>
      <c r="BKQ83" s="0"/>
      <c r="BKR83" s="0"/>
      <c r="BKS83" s="0"/>
      <c r="BKT83" s="0"/>
      <c r="BKU83" s="0"/>
      <c r="BKV83" s="0"/>
      <c r="BKW83" s="0"/>
      <c r="BKX83" s="0"/>
      <c r="BKY83" s="0"/>
      <c r="BKZ83" s="0"/>
      <c r="BLA83" s="0"/>
      <c r="BLB83" s="0"/>
      <c r="BLC83" s="0"/>
      <c r="BLD83" s="0"/>
      <c r="BLE83" s="0"/>
      <c r="BLF83" s="0"/>
      <c r="BLG83" s="0"/>
      <c r="BLH83" s="0"/>
      <c r="BLI83" s="0"/>
      <c r="BLJ83" s="0"/>
      <c r="BLK83" s="0"/>
      <c r="BLL83" s="0"/>
      <c r="BLM83" s="0"/>
      <c r="BLN83" s="0"/>
      <c r="BLO83" s="0"/>
      <c r="BLP83" s="0"/>
      <c r="BLQ83" s="0"/>
      <c r="BLR83" s="0"/>
      <c r="BLS83" s="0"/>
      <c r="BLT83" s="0"/>
      <c r="BLU83" s="0"/>
      <c r="BLV83" s="0"/>
      <c r="BLW83" s="0"/>
      <c r="BLX83" s="0"/>
      <c r="BLY83" s="0"/>
      <c r="BLZ83" s="0"/>
      <c r="BMA83" s="0"/>
      <c r="BMB83" s="0"/>
      <c r="BMC83" s="0"/>
      <c r="BMD83" s="0"/>
      <c r="BME83" s="0"/>
      <c r="BMF83" s="0"/>
      <c r="BMG83" s="0"/>
      <c r="BMH83" s="0"/>
      <c r="BMI83" s="0"/>
      <c r="BMJ83" s="0"/>
      <c r="BMK83" s="0"/>
      <c r="BML83" s="0"/>
      <c r="BMM83" s="0"/>
      <c r="BMN83" s="0"/>
      <c r="BMO83" s="0"/>
      <c r="BMP83" s="0"/>
      <c r="BMQ83" s="0"/>
      <c r="BMR83" s="0"/>
      <c r="BMS83" s="0"/>
      <c r="BMT83" s="0"/>
      <c r="BMU83" s="0"/>
      <c r="BMV83" s="0"/>
      <c r="BMW83" s="0"/>
      <c r="BMX83" s="0"/>
      <c r="BMY83" s="0"/>
      <c r="BMZ83" s="0"/>
      <c r="BNA83" s="0"/>
      <c r="BNB83" s="0"/>
      <c r="BNC83" s="0"/>
      <c r="BND83" s="0"/>
      <c r="BNE83" s="0"/>
      <c r="BNF83" s="0"/>
      <c r="BNG83" s="0"/>
      <c r="BNH83" s="0"/>
      <c r="BNI83" s="0"/>
      <c r="BNJ83" s="0"/>
      <c r="BNK83" s="0"/>
      <c r="BNL83" s="0"/>
      <c r="BNM83" s="0"/>
      <c r="BNN83" s="0"/>
      <c r="BNO83" s="0"/>
      <c r="BNP83" s="0"/>
      <c r="BNQ83" s="0"/>
      <c r="BNR83" s="0"/>
      <c r="BNS83" s="0"/>
      <c r="BNT83" s="0"/>
      <c r="BNU83" s="0"/>
      <c r="BNV83" s="0"/>
      <c r="BNW83" s="0"/>
      <c r="BNX83" s="0"/>
      <c r="BNY83" s="0"/>
      <c r="BNZ83" s="0"/>
      <c r="BOA83" s="0"/>
      <c r="BOB83" s="0"/>
      <c r="BOC83" s="0"/>
      <c r="BOD83" s="0"/>
      <c r="BOE83" s="0"/>
      <c r="BOF83" s="0"/>
      <c r="BOG83" s="0"/>
      <c r="BOH83" s="0"/>
      <c r="BOI83" s="0"/>
      <c r="BOJ83" s="0"/>
      <c r="BOK83" s="0"/>
      <c r="BOL83" s="0"/>
      <c r="BOM83" s="0"/>
      <c r="BON83" s="0"/>
      <c r="BOO83" s="0"/>
      <c r="BOP83" s="0"/>
      <c r="BOQ83" s="0"/>
      <c r="BOR83" s="0"/>
      <c r="BOS83" s="0"/>
      <c r="BOT83" s="0"/>
      <c r="BOU83" s="0"/>
      <c r="BOV83" s="0"/>
      <c r="BOW83" s="0"/>
      <c r="BOX83" s="0"/>
      <c r="BOY83" s="0"/>
      <c r="BOZ83" s="0"/>
      <c r="BPA83" s="0"/>
      <c r="BPB83" s="0"/>
      <c r="BPC83" s="0"/>
      <c r="BPD83" s="0"/>
      <c r="BPE83" s="0"/>
      <c r="BPF83" s="0"/>
      <c r="BPG83" s="0"/>
      <c r="BPH83" s="0"/>
      <c r="BPI83" s="0"/>
      <c r="BPJ83" s="0"/>
      <c r="BPK83" s="0"/>
      <c r="BPL83" s="0"/>
      <c r="BPM83" s="0"/>
      <c r="BPN83" s="0"/>
      <c r="BPO83" s="0"/>
      <c r="BPP83" s="0"/>
      <c r="BPQ83" s="0"/>
      <c r="BPR83" s="0"/>
      <c r="BPS83" s="0"/>
      <c r="BPT83" s="0"/>
      <c r="BPU83" s="0"/>
      <c r="BPV83" s="0"/>
      <c r="BPW83" s="0"/>
      <c r="BPX83" s="0"/>
      <c r="BPY83" s="0"/>
      <c r="BPZ83" s="0"/>
      <c r="BQA83" s="0"/>
      <c r="BQB83" s="0"/>
      <c r="BQC83" s="0"/>
      <c r="BQD83" s="0"/>
      <c r="BQE83" s="0"/>
      <c r="BQF83" s="0"/>
      <c r="BQG83" s="0"/>
      <c r="BQH83" s="0"/>
      <c r="BQI83" s="0"/>
      <c r="BQJ83" s="0"/>
      <c r="BQK83" s="0"/>
      <c r="BQL83" s="0"/>
      <c r="BQM83" s="0"/>
      <c r="BQN83" s="0"/>
      <c r="BQO83" s="0"/>
      <c r="BQP83" s="0"/>
      <c r="BQQ83" s="0"/>
      <c r="BQR83" s="0"/>
      <c r="BQS83" s="0"/>
      <c r="BQT83" s="0"/>
      <c r="BQU83" s="0"/>
      <c r="BQV83" s="0"/>
      <c r="BQW83" s="0"/>
      <c r="BQX83" s="0"/>
      <c r="BQY83" s="0"/>
      <c r="BQZ83" s="0"/>
      <c r="BRA83" s="0"/>
      <c r="BRB83" s="0"/>
      <c r="BRC83" s="0"/>
      <c r="BRD83" s="0"/>
      <c r="BRE83" s="0"/>
      <c r="BRF83" s="0"/>
      <c r="BRG83" s="0"/>
      <c r="BRH83" s="0"/>
      <c r="BRI83" s="0"/>
      <c r="BRJ83" s="0"/>
      <c r="BRK83" s="0"/>
      <c r="BRL83" s="0"/>
      <c r="BRM83" s="0"/>
      <c r="BRN83" s="0"/>
      <c r="BRO83" s="0"/>
      <c r="BRP83" s="0"/>
      <c r="BRQ83" s="0"/>
      <c r="BRR83" s="0"/>
      <c r="BRS83" s="0"/>
      <c r="BRT83" s="0"/>
      <c r="BRU83" s="0"/>
      <c r="BRV83" s="0"/>
      <c r="BRW83" s="0"/>
      <c r="BRX83" s="0"/>
      <c r="BRY83" s="0"/>
      <c r="BRZ83" s="0"/>
      <c r="BSA83" s="0"/>
      <c r="BSB83" s="0"/>
      <c r="BSC83" s="0"/>
      <c r="BSD83" s="0"/>
      <c r="BSE83" s="0"/>
      <c r="BSF83" s="0"/>
      <c r="BSG83" s="0"/>
      <c r="BSH83" s="0"/>
      <c r="BSI83" s="0"/>
      <c r="BSJ83" s="0"/>
      <c r="BSK83" s="0"/>
      <c r="BSL83" s="0"/>
      <c r="BSM83" s="0"/>
      <c r="BSN83" s="0"/>
      <c r="BSO83" s="0"/>
      <c r="BSP83" s="0"/>
      <c r="BSQ83" s="0"/>
      <c r="BSR83" s="0"/>
      <c r="BSS83" s="0"/>
      <c r="BST83" s="0"/>
      <c r="BSU83" s="0"/>
      <c r="BSV83" s="0"/>
      <c r="BSW83" s="0"/>
      <c r="BSX83" s="0"/>
      <c r="BSY83" s="0"/>
      <c r="BSZ83" s="0"/>
      <c r="BTA83" s="0"/>
      <c r="BTB83" s="0"/>
      <c r="BTC83" s="0"/>
      <c r="BTD83" s="0"/>
      <c r="BTE83" s="0"/>
      <c r="BTF83" s="0"/>
      <c r="BTG83" s="0"/>
      <c r="BTH83" s="0"/>
      <c r="BTI83" s="0"/>
      <c r="BTJ83" s="0"/>
      <c r="BTK83" s="0"/>
      <c r="BTL83" s="0"/>
      <c r="BTM83" s="0"/>
      <c r="BTN83" s="0"/>
      <c r="BTO83" s="0"/>
      <c r="BTP83" s="0"/>
      <c r="BTQ83" s="0"/>
      <c r="BTR83" s="0"/>
      <c r="BTS83" s="0"/>
      <c r="BTT83" s="0"/>
      <c r="BTU83" s="0"/>
      <c r="BTV83" s="0"/>
      <c r="BTW83" s="0"/>
      <c r="BTX83" s="0"/>
      <c r="BTY83" s="0"/>
      <c r="BTZ83" s="0"/>
      <c r="BUA83" s="0"/>
      <c r="BUB83" s="0"/>
      <c r="BUC83" s="0"/>
      <c r="BUD83" s="0"/>
      <c r="BUE83" s="0"/>
      <c r="BUF83" s="0"/>
      <c r="BUG83" s="0"/>
      <c r="BUH83" s="0"/>
      <c r="BUI83" s="0"/>
      <c r="BUJ83" s="0"/>
      <c r="BUK83" s="0"/>
      <c r="BUL83" s="0"/>
      <c r="BUM83" s="0"/>
      <c r="BUN83" s="0"/>
      <c r="BUO83" s="0"/>
      <c r="BUP83" s="0"/>
      <c r="BUQ83" s="0"/>
      <c r="BUR83" s="0"/>
      <c r="BUS83" s="0"/>
      <c r="BUT83" s="0"/>
      <c r="BUU83" s="0"/>
      <c r="BUV83" s="0"/>
      <c r="BUW83" s="0"/>
      <c r="BUX83" s="0"/>
      <c r="BUY83" s="0"/>
      <c r="BUZ83" s="0"/>
      <c r="BVA83" s="0"/>
      <c r="BVB83" s="0"/>
      <c r="BVC83" s="0"/>
      <c r="BVD83" s="0"/>
      <c r="BVE83" s="0"/>
      <c r="BVF83" s="0"/>
      <c r="BVG83" s="0"/>
      <c r="BVH83" s="0"/>
      <c r="BVI83" s="0"/>
      <c r="BVJ83" s="0"/>
      <c r="BVK83" s="0"/>
      <c r="BVL83" s="0"/>
      <c r="BVM83" s="0"/>
      <c r="BVN83" s="0"/>
      <c r="BVO83" s="0"/>
      <c r="BVP83" s="0"/>
      <c r="BVQ83" s="0"/>
      <c r="BVR83" s="0"/>
      <c r="BVS83" s="0"/>
      <c r="BVT83" s="0"/>
      <c r="BVU83" s="0"/>
      <c r="BVV83" s="0"/>
      <c r="BVW83" s="0"/>
      <c r="BVX83" s="0"/>
      <c r="BVY83" s="0"/>
      <c r="BVZ83" s="0"/>
      <c r="BWA83" s="0"/>
      <c r="BWB83" s="0"/>
      <c r="BWC83" s="0"/>
      <c r="BWD83" s="0"/>
      <c r="BWE83" s="0"/>
      <c r="BWF83" s="0"/>
      <c r="BWG83" s="0"/>
      <c r="BWH83" s="0"/>
      <c r="BWI83" s="0"/>
      <c r="BWJ83" s="0"/>
      <c r="BWK83" s="0"/>
      <c r="BWL83" s="0"/>
      <c r="BWM83" s="0"/>
      <c r="BWN83" s="0"/>
      <c r="BWO83" s="0"/>
      <c r="BWP83" s="0"/>
      <c r="BWQ83" s="0"/>
      <c r="BWR83" s="0"/>
      <c r="BWS83" s="0"/>
      <c r="BWT83" s="0"/>
      <c r="BWU83" s="0"/>
      <c r="BWV83" s="0"/>
      <c r="BWW83" s="0"/>
      <c r="BWX83" s="0"/>
      <c r="BWY83" s="0"/>
      <c r="BWZ83" s="0"/>
      <c r="BXA83" s="0"/>
      <c r="BXB83" s="0"/>
      <c r="BXC83" s="0"/>
      <c r="BXD83" s="0"/>
      <c r="BXE83" s="0"/>
      <c r="BXF83" s="0"/>
      <c r="BXG83" s="0"/>
      <c r="BXH83" s="0"/>
      <c r="BXI83" s="0"/>
      <c r="BXJ83" s="0"/>
      <c r="BXK83" s="0"/>
      <c r="BXL83" s="0"/>
      <c r="BXM83" s="0"/>
      <c r="BXN83" s="0"/>
      <c r="BXO83" s="0"/>
      <c r="BXP83" s="0"/>
      <c r="BXQ83" s="0"/>
      <c r="BXR83" s="0"/>
      <c r="BXS83" s="0"/>
      <c r="BXT83" s="0"/>
      <c r="BXU83" s="0"/>
      <c r="BXV83" s="0"/>
      <c r="BXW83" s="0"/>
      <c r="BXX83" s="0"/>
      <c r="BXY83" s="0"/>
      <c r="BXZ83" s="0"/>
      <c r="BYA83" s="0"/>
      <c r="BYB83" s="0"/>
      <c r="BYC83" s="0"/>
      <c r="BYD83" s="0"/>
      <c r="BYE83" s="0"/>
      <c r="BYF83" s="0"/>
      <c r="BYG83" s="0"/>
      <c r="BYH83" s="0"/>
      <c r="BYI83" s="0"/>
      <c r="BYJ83" s="0"/>
      <c r="BYK83" s="0"/>
      <c r="BYL83" s="0"/>
      <c r="BYM83" s="0"/>
      <c r="BYN83" s="0"/>
      <c r="BYO83" s="0"/>
      <c r="BYP83" s="0"/>
      <c r="BYQ83" s="0"/>
      <c r="BYR83" s="0"/>
      <c r="BYS83" s="0"/>
      <c r="BYT83" s="0"/>
      <c r="BYU83" s="0"/>
      <c r="BYV83" s="0"/>
      <c r="BYW83" s="0"/>
      <c r="BYX83" s="0"/>
      <c r="BYY83" s="0"/>
      <c r="BYZ83" s="0"/>
      <c r="BZA83" s="0"/>
      <c r="BZB83" s="0"/>
      <c r="BZC83" s="0"/>
      <c r="BZD83" s="0"/>
      <c r="BZE83" s="0"/>
      <c r="BZF83" s="0"/>
      <c r="BZG83" s="0"/>
      <c r="BZH83" s="0"/>
      <c r="BZI83" s="0"/>
      <c r="BZJ83" s="0"/>
      <c r="BZK83" s="0"/>
      <c r="BZL83" s="0"/>
      <c r="BZM83" s="0"/>
      <c r="BZN83" s="0"/>
      <c r="BZO83" s="0"/>
      <c r="BZP83" s="0"/>
      <c r="BZQ83" s="0"/>
      <c r="BZR83" s="0"/>
      <c r="BZS83" s="0"/>
      <c r="BZT83" s="0"/>
      <c r="BZU83" s="0"/>
      <c r="BZV83" s="0"/>
      <c r="BZW83" s="0"/>
      <c r="BZX83" s="0"/>
      <c r="BZY83" s="0"/>
      <c r="BZZ83" s="0"/>
      <c r="CAA83" s="0"/>
      <c r="CAB83" s="0"/>
      <c r="CAC83" s="0"/>
      <c r="CAD83" s="0"/>
      <c r="CAE83" s="0"/>
      <c r="CAF83" s="0"/>
      <c r="CAG83" s="0"/>
      <c r="CAH83" s="0"/>
      <c r="CAI83" s="0"/>
      <c r="CAJ83" s="0"/>
      <c r="CAK83" s="0"/>
      <c r="CAL83" s="0"/>
      <c r="CAM83" s="0"/>
      <c r="CAN83" s="0"/>
      <c r="CAO83" s="0"/>
      <c r="CAP83" s="0"/>
      <c r="CAQ83" s="0"/>
      <c r="CAR83" s="0"/>
      <c r="CAS83" s="0"/>
      <c r="CAT83" s="0"/>
      <c r="CAU83" s="0"/>
      <c r="CAV83" s="0"/>
      <c r="CAW83" s="0"/>
      <c r="CAX83" s="0"/>
      <c r="CAY83" s="0"/>
      <c r="CAZ83" s="0"/>
      <c r="CBA83" s="0"/>
      <c r="CBB83" s="0"/>
      <c r="CBC83" s="0"/>
      <c r="CBD83" s="0"/>
      <c r="CBE83" s="0"/>
      <c r="CBF83" s="0"/>
      <c r="CBG83" s="0"/>
      <c r="CBH83" s="0"/>
      <c r="CBI83" s="0"/>
      <c r="CBJ83" s="0"/>
      <c r="CBK83" s="0"/>
      <c r="CBL83" s="0"/>
      <c r="CBM83" s="0"/>
      <c r="CBN83" s="0"/>
      <c r="CBO83" s="0"/>
      <c r="CBP83" s="0"/>
      <c r="CBQ83" s="0"/>
      <c r="CBR83" s="0"/>
      <c r="CBS83" s="0"/>
      <c r="CBT83" s="0"/>
      <c r="CBU83" s="0"/>
      <c r="CBV83" s="0"/>
      <c r="CBW83" s="0"/>
      <c r="CBX83" s="0"/>
      <c r="CBY83" s="0"/>
      <c r="CBZ83" s="0"/>
      <c r="CCA83" s="0"/>
      <c r="CCB83" s="0"/>
      <c r="CCC83" s="0"/>
      <c r="CCD83" s="0"/>
      <c r="CCE83" s="0"/>
      <c r="CCF83" s="0"/>
      <c r="CCG83" s="0"/>
      <c r="CCH83" s="0"/>
      <c r="CCI83" s="0"/>
      <c r="CCJ83" s="0"/>
      <c r="CCK83" s="0"/>
      <c r="CCL83" s="0"/>
      <c r="CCM83" s="0"/>
      <c r="CCN83" s="0"/>
      <c r="CCO83" s="0"/>
      <c r="CCP83" s="0"/>
      <c r="CCQ83" s="0"/>
      <c r="CCR83" s="0"/>
      <c r="CCS83" s="0"/>
      <c r="CCT83" s="0"/>
      <c r="CCU83" s="0"/>
      <c r="CCV83" s="0"/>
      <c r="CCW83" s="0"/>
      <c r="CCX83" s="0"/>
      <c r="CCY83" s="0"/>
      <c r="CCZ83" s="0"/>
      <c r="CDA83" s="0"/>
      <c r="CDB83" s="0"/>
      <c r="CDC83" s="0"/>
      <c r="CDD83" s="0"/>
      <c r="CDE83" s="0"/>
      <c r="CDF83" s="0"/>
      <c r="CDG83" s="0"/>
      <c r="CDH83" s="0"/>
      <c r="CDI83" s="0"/>
      <c r="CDJ83" s="0"/>
      <c r="CDK83" s="0"/>
      <c r="CDL83" s="0"/>
      <c r="CDM83" s="0"/>
      <c r="CDN83" s="0"/>
      <c r="CDO83" s="0"/>
      <c r="CDP83" s="0"/>
      <c r="CDQ83" s="0"/>
      <c r="CDR83" s="0"/>
      <c r="CDS83" s="0"/>
      <c r="CDT83" s="0"/>
      <c r="CDU83" s="0"/>
      <c r="CDV83" s="0"/>
      <c r="CDW83" s="0"/>
      <c r="CDX83" s="0"/>
      <c r="CDY83" s="0"/>
      <c r="CDZ83" s="0"/>
      <c r="CEA83" s="0"/>
      <c r="CEB83" s="0"/>
      <c r="CEC83" s="0"/>
      <c r="CED83" s="0"/>
      <c r="CEE83" s="0"/>
      <c r="CEF83" s="0"/>
      <c r="CEG83" s="0"/>
      <c r="CEH83" s="0"/>
      <c r="CEI83" s="0"/>
      <c r="CEJ83" s="0"/>
      <c r="CEK83" s="0"/>
      <c r="CEL83" s="0"/>
      <c r="CEM83" s="0"/>
      <c r="CEN83" s="0"/>
      <c r="CEO83" s="0"/>
      <c r="CEP83" s="0"/>
      <c r="CEQ83" s="0"/>
      <c r="CER83" s="0"/>
      <c r="CES83" s="0"/>
      <c r="CET83" s="0"/>
      <c r="CEU83" s="0"/>
      <c r="CEV83" s="0"/>
      <c r="CEW83" s="0"/>
      <c r="CEX83" s="0"/>
      <c r="CEY83" s="0"/>
      <c r="CEZ83" s="0"/>
      <c r="CFA83" s="0"/>
      <c r="CFB83" s="0"/>
      <c r="CFC83" s="0"/>
      <c r="CFD83" s="0"/>
      <c r="CFE83" s="0"/>
      <c r="CFF83" s="0"/>
      <c r="CFG83" s="0"/>
      <c r="CFH83" s="0"/>
      <c r="CFI83" s="0"/>
      <c r="CFJ83" s="0"/>
      <c r="CFK83" s="0"/>
      <c r="CFL83" s="0"/>
      <c r="CFM83" s="0"/>
      <c r="CFN83" s="0"/>
      <c r="CFO83" s="0"/>
      <c r="CFP83" s="0"/>
      <c r="CFQ83" s="0"/>
      <c r="CFR83" s="0"/>
      <c r="CFS83" s="0"/>
      <c r="CFT83" s="0"/>
      <c r="CFU83" s="0"/>
      <c r="CFV83" s="0"/>
      <c r="CFW83" s="0"/>
      <c r="CFX83" s="0"/>
      <c r="CFY83" s="0"/>
      <c r="CFZ83" s="0"/>
      <c r="CGA83" s="0"/>
      <c r="CGB83" s="0"/>
      <c r="CGC83" s="0"/>
      <c r="CGD83" s="0"/>
      <c r="CGE83" s="0"/>
      <c r="CGF83" s="0"/>
      <c r="CGG83" s="0"/>
      <c r="CGH83" s="0"/>
      <c r="CGI83" s="0"/>
      <c r="CGJ83" s="0"/>
      <c r="CGK83" s="0"/>
      <c r="CGL83" s="0"/>
      <c r="CGM83" s="0"/>
      <c r="CGN83" s="0"/>
      <c r="CGO83" s="0"/>
      <c r="CGP83" s="0"/>
      <c r="CGQ83" s="0"/>
      <c r="CGR83" s="0"/>
      <c r="CGS83" s="0"/>
      <c r="CGT83" s="0"/>
      <c r="CGU83" s="0"/>
      <c r="CGV83" s="0"/>
      <c r="CGW83" s="0"/>
      <c r="CGX83" s="0"/>
      <c r="CGY83" s="0"/>
      <c r="CGZ83" s="0"/>
      <c r="CHA83" s="0"/>
      <c r="CHB83" s="0"/>
      <c r="CHC83" s="0"/>
      <c r="CHD83" s="0"/>
      <c r="CHE83" s="0"/>
      <c r="CHF83" s="0"/>
      <c r="CHG83" s="0"/>
      <c r="CHH83" s="0"/>
      <c r="CHI83" s="0"/>
      <c r="CHJ83" s="0"/>
      <c r="CHK83" s="0"/>
      <c r="CHL83" s="0"/>
      <c r="CHM83" s="0"/>
      <c r="CHN83" s="0"/>
      <c r="CHO83" s="0"/>
      <c r="CHP83" s="0"/>
      <c r="CHQ83" s="0"/>
      <c r="CHR83" s="0"/>
      <c r="CHS83" s="0"/>
      <c r="CHT83" s="0"/>
      <c r="CHU83" s="0"/>
      <c r="CHV83" s="0"/>
      <c r="CHW83" s="0"/>
      <c r="CHX83" s="0"/>
      <c r="CHY83" s="0"/>
      <c r="CHZ83" s="0"/>
      <c r="CIA83" s="0"/>
      <c r="CIB83" s="0"/>
      <c r="CIC83" s="0"/>
      <c r="CID83" s="0"/>
      <c r="CIE83" s="0"/>
      <c r="CIF83" s="0"/>
      <c r="CIG83" s="0"/>
      <c r="CIH83" s="0"/>
      <c r="CII83" s="0"/>
      <c r="CIJ83" s="0"/>
      <c r="CIK83" s="0"/>
      <c r="CIL83" s="0"/>
      <c r="CIM83" s="0"/>
      <c r="CIN83" s="0"/>
      <c r="CIO83" s="0"/>
      <c r="CIP83" s="0"/>
      <c r="CIQ83" s="0"/>
      <c r="CIR83" s="0"/>
      <c r="CIS83" s="0"/>
      <c r="CIT83" s="0"/>
      <c r="CIU83" s="0"/>
      <c r="CIV83" s="0"/>
      <c r="CIW83" s="0"/>
      <c r="CIX83" s="0"/>
      <c r="CIY83" s="0"/>
      <c r="CIZ83" s="0"/>
      <c r="CJA83" s="0"/>
      <c r="CJB83" s="0"/>
      <c r="CJC83" s="0"/>
      <c r="CJD83" s="0"/>
      <c r="CJE83" s="0"/>
      <c r="CJF83" s="0"/>
      <c r="CJG83" s="0"/>
      <c r="CJH83" s="0"/>
      <c r="CJI83" s="0"/>
      <c r="CJJ83" s="0"/>
      <c r="CJK83" s="0"/>
      <c r="CJL83" s="0"/>
      <c r="CJM83" s="0"/>
      <c r="CJN83" s="0"/>
      <c r="CJO83" s="0"/>
      <c r="CJP83" s="0"/>
      <c r="CJQ83" s="0"/>
      <c r="CJR83" s="0"/>
      <c r="CJS83" s="0"/>
      <c r="CJT83" s="0"/>
      <c r="CJU83" s="0"/>
      <c r="CJV83" s="0"/>
      <c r="CJW83" s="0"/>
      <c r="CJX83" s="0"/>
      <c r="CJY83" s="0"/>
      <c r="CJZ83" s="0"/>
      <c r="CKA83" s="0"/>
      <c r="CKB83" s="0"/>
      <c r="CKC83" s="0"/>
      <c r="CKD83" s="0"/>
      <c r="CKE83" s="0"/>
      <c r="CKF83" s="0"/>
      <c r="CKG83" s="0"/>
      <c r="CKH83" s="0"/>
      <c r="CKI83" s="0"/>
      <c r="CKJ83" s="0"/>
      <c r="CKK83" s="0"/>
      <c r="CKL83" s="0"/>
      <c r="CKM83" s="0"/>
      <c r="CKN83" s="0"/>
      <c r="CKO83" s="0"/>
      <c r="CKP83" s="0"/>
      <c r="CKQ83" s="0"/>
      <c r="CKR83" s="0"/>
      <c r="CKS83" s="0"/>
      <c r="CKT83" s="0"/>
      <c r="CKU83" s="0"/>
      <c r="CKV83" s="0"/>
      <c r="CKW83" s="0"/>
      <c r="CKX83" s="0"/>
      <c r="CKY83" s="0"/>
      <c r="CKZ83" s="0"/>
      <c r="CLA83" s="0"/>
      <c r="CLB83" s="0"/>
      <c r="CLC83" s="0"/>
      <c r="CLD83" s="0"/>
      <c r="CLE83" s="0"/>
      <c r="CLF83" s="0"/>
      <c r="CLG83" s="0"/>
      <c r="CLH83" s="0"/>
      <c r="CLI83" s="0"/>
      <c r="CLJ83" s="0"/>
      <c r="CLK83" s="0"/>
      <c r="CLL83" s="0"/>
      <c r="CLM83" s="0"/>
      <c r="CLN83" s="0"/>
      <c r="CLO83" s="0"/>
      <c r="CLP83" s="0"/>
      <c r="CLQ83" s="0"/>
      <c r="CLR83" s="0"/>
      <c r="CLS83" s="0"/>
      <c r="CLT83" s="0"/>
      <c r="CLU83" s="0"/>
      <c r="CLV83" s="0"/>
      <c r="CLW83" s="0"/>
      <c r="CLX83" s="0"/>
      <c r="CLY83" s="0"/>
      <c r="CLZ83" s="0"/>
      <c r="CMA83" s="0"/>
      <c r="CMB83" s="0"/>
      <c r="CMC83" s="0"/>
      <c r="CMD83" s="0"/>
      <c r="CME83" s="0"/>
      <c r="CMF83" s="0"/>
      <c r="CMG83" s="0"/>
      <c r="CMH83" s="0"/>
      <c r="CMI83" s="0"/>
      <c r="CMJ83" s="0"/>
      <c r="CMK83" s="0"/>
      <c r="CML83" s="0"/>
      <c r="CMM83" s="0"/>
      <c r="CMN83" s="0"/>
      <c r="CMO83" s="0"/>
      <c r="CMP83" s="0"/>
      <c r="CMQ83" s="0"/>
      <c r="CMR83" s="0"/>
      <c r="CMS83" s="0"/>
      <c r="CMT83" s="0"/>
      <c r="CMU83" s="0"/>
      <c r="CMV83" s="0"/>
      <c r="CMW83" s="0"/>
      <c r="CMX83" s="0"/>
      <c r="CMY83" s="0"/>
      <c r="CMZ83" s="0"/>
      <c r="CNA83" s="0"/>
      <c r="CNB83" s="0"/>
      <c r="CNC83" s="0"/>
      <c r="CND83" s="0"/>
      <c r="CNE83" s="0"/>
      <c r="CNF83" s="0"/>
      <c r="CNG83" s="0"/>
      <c r="CNH83" s="0"/>
      <c r="CNI83" s="0"/>
      <c r="CNJ83" s="0"/>
      <c r="CNK83" s="0"/>
      <c r="CNL83" s="0"/>
      <c r="CNM83" s="0"/>
      <c r="CNN83" s="0"/>
      <c r="CNO83" s="0"/>
      <c r="CNP83" s="0"/>
      <c r="CNQ83" s="0"/>
      <c r="CNR83" s="0"/>
      <c r="CNS83" s="0"/>
      <c r="CNT83" s="0"/>
      <c r="CNU83" s="0"/>
      <c r="CNV83" s="0"/>
      <c r="CNW83" s="0"/>
      <c r="CNX83" s="0"/>
      <c r="CNY83" s="0"/>
      <c r="CNZ83" s="0"/>
      <c r="COA83" s="0"/>
      <c r="COB83" s="0"/>
      <c r="COC83" s="0"/>
      <c r="COD83" s="0"/>
      <c r="COE83" s="0"/>
      <c r="COF83" s="0"/>
      <c r="COG83" s="0"/>
      <c r="COH83" s="0"/>
      <c r="COI83" s="0"/>
      <c r="COJ83" s="0"/>
      <c r="COK83" s="0"/>
      <c r="COL83" s="0"/>
      <c r="COM83" s="0"/>
      <c r="CON83" s="0"/>
      <c r="COO83" s="0"/>
      <c r="COP83" s="0"/>
      <c r="COQ83" s="0"/>
      <c r="COR83" s="0"/>
      <c r="COS83" s="0"/>
      <c r="COT83" s="0"/>
      <c r="COU83" s="0"/>
      <c r="COV83" s="0"/>
      <c r="COW83" s="0"/>
      <c r="COX83" s="0"/>
      <c r="COY83" s="0"/>
      <c r="COZ83" s="0"/>
      <c r="CPA83" s="0"/>
      <c r="CPB83" s="0"/>
      <c r="CPC83" s="0"/>
      <c r="CPD83" s="0"/>
      <c r="CPE83" s="0"/>
      <c r="CPF83" s="0"/>
      <c r="CPG83" s="0"/>
      <c r="CPH83" s="0"/>
      <c r="CPI83" s="0"/>
      <c r="CPJ83" s="0"/>
      <c r="CPK83" s="0"/>
      <c r="CPL83" s="0"/>
      <c r="CPM83" s="0"/>
      <c r="CPN83" s="0"/>
      <c r="CPO83" s="0"/>
      <c r="CPP83" s="0"/>
      <c r="CPQ83" s="0"/>
      <c r="CPR83" s="0"/>
      <c r="CPS83" s="0"/>
      <c r="CPT83" s="0"/>
      <c r="CPU83" s="0"/>
      <c r="CPV83" s="0"/>
      <c r="CPW83" s="0"/>
      <c r="CPX83" s="0"/>
      <c r="CPY83" s="0"/>
      <c r="CPZ83" s="0"/>
      <c r="CQA83" s="0"/>
      <c r="CQB83" s="0"/>
      <c r="CQC83" s="0"/>
      <c r="CQD83" s="0"/>
      <c r="CQE83" s="0"/>
      <c r="CQF83" s="0"/>
      <c r="CQG83" s="0"/>
      <c r="CQH83" s="0"/>
      <c r="CQI83" s="0"/>
      <c r="CQJ83" s="0"/>
      <c r="CQK83" s="0"/>
      <c r="CQL83" s="0"/>
      <c r="CQM83" s="0"/>
      <c r="CQN83" s="0"/>
      <c r="CQO83" s="0"/>
      <c r="CQP83" s="0"/>
      <c r="CQQ83" s="0"/>
      <c r="CQR83" s="0"/>
      <c r="CQS83" s="0"/>
      <c r="CQT83" s="0"/>
      <c r="CQU83" s="0"/>
      <c r="CQV83" s="0"/>
      <c r="CQW83" s="0"/>
      <c r="CQX83" s="0"/>
      <c r="CQY83" s="0"/>
      <c r="CQZ83" s="0"/>
      <c r="CRA83" s="0"/>
      <c r="CRB83" s="0"/>
      <c r="CRC83" s="0"/>
      <c r="CRD83" s="0"/>
      <c r="CRE83" s="0"/>
      <c r="CRF83" s="0"/>
      <c r="CRG83" s="0"/>
      <c r="CRH83" s="0"/>
      <c r="CRI83" s="0"/>
      <c r="CRJ83" s="0"/>
      <c r="CRK83" s="0"/>
      <c r="CRL83" s="0"/>
      <c r="CRM83" s="0"/>
      <c r="CRN83" s="0"/>
      <c r="CRO83" s="0"/>
      <c r="CRP83" s="0"/>
      <c r="CRQ83" s="0"/>
      <c r="CRR83" s="0"/>
      <c r="CRS83" s="0"/>
      <c r="CRT83" s="0"/>
      <c r="CRU83" s="0"/>
      <c r="CRV83" s="0"/>
      <c r="CRW83" s="0"/>
      <c r="CRX83" s="0"/>
      <c r="CRY83" s="0"/>
      <c r="CRZ83" s="0"/>
      <c r="CSA83" s="0"/>
      <c r="CSB83" s="0"/>
      <c r="CSC83" s="0"/>
      <c r="CSD83" s="0"/>
      <c r="CSE83" s="0"/>
      <c r="CSF83" s="0"/>
      <c r="CSG83" s="0"/>
      <c r="CSH83" s="0"/>
      <c r="CSI83" s="0"/>
      <c r="CSJ83" s="0"/>
      <c r="CSK83" s="0"/>
      <c r="CSL83" s="0"/>
      <c r="CSM83" s="0"/>
      <c r="CSN83" s="0"/>
      <c r="CSO83" s="0"/>
      <c r="CSP83" s="0"/>
      <c r="CSQ83" s="0"/>
      <c r="CSR83" s="0"/>
      <c r="CSS83" s="0"/>
      <c r="CST83" s="0"/>
      <c r="CSU83" s="0"/>
      <c r="CSV83" s="0"/>
      <c r="CSW83" s="0"/>
      <c r="CSX83" s="0"/>
      <c r="CSY83" s="0"/>
      <c r="CSZ83" s="0"/>
      <c r="CTA83" s="0"/>
      <c r="CTB83" s="0"/>
      <c r="CTC83" s="0"/>
      <c r="CTD83" s="0"/>
      <c r="CTE83" s="0"/>
      <c r="CTF83" s="0"/>
      <c r="CTG83" s="0"/>
      <c r="CTH83" s="0"/>
      <c r="CTI83" s="0"/>
      <c r="CTJ83" s="0"/>
      <c r="CTK83" s="0"/>
      <c r="CTL83" s="0"/>
      <c r="CTM83" s="0"/>
      <c r="CTN83" s="0"/>
      <c r="CTO83" s="0"/>
      <c r="CTP83" s="0"/>
      <c r="CTQ83" s="0"/>
      <c r="CTR83" s="0"/>
      <c r="CTS83" s="0"/>
      <c r="CTT83" s="0"/>
      <c r="CTU83" s="0"/>
      <c r="CTV83" s="0"/>
      <c r="CTW83" s="0"/>
      <c r="CTX83" s="0"/>
      <c r="CTY83" s="0"/>
      <c r="CTZ83" s="0"/>
      <c r="CUA83" s="0"/>
      <c r="CUB83" s="0"/>
      <c r="CUC83" s="0"/>
      <c r="CUD83" s="0"/>
      <c r="CUE83" s="0"/>
      <c r="CUF83" s="0"/>
      <c r="CUG83" s="0"/>
      <c r="CUH83" s="0"/>
      <c r="CUI83" s="0"/>
      <c r="CUJ83" s="0"/>
      <c r="CUK83" s="0"/>
      <c r="CUL83" s="0"/>
      <c r="CUM83" s="0"/>
      <c r="CUN83" s="0"/>
      <c r="CUO83" s="0"/>
      <c r="CUP83" s="0"/>
      <c r="CUQ83" s="0"/>
      <c r="CUR83" s="0"/>
      <c r="CUS83" s="0"/>
      <c r="CUT83" s="0"/>
      <c r="CUU83" s="0"/>
      <c r="CUV83" s="0"/>
      <c r="CUW83" s="0"/>
      <c r="CUX83" s="0"/>
      <c r="CUY83" s="0"/>
      <c r="CUZ83" s="0"/>
      <c r="CVA83" s="0"/>
      <c r="CVB83" s="0"/>
      <c r="CVC83" s="0"/>
      <c r="CVD83" s="0"/>
      <c r="CVE83" s="0"/>
      <c r="CVF83" s="0"/>
      <c r="CVG83" s="0"/>
      <c r="CVH83" s="0"/>
      <c r="CVI83" s="0"/>
      <c r="CVJ83" s="0"/>
      <c r="CVK83" s="0"/>
      <c r="CVL83" s="0"/>
      <c r="CVM83" s="0"/>
      <c r="CVN83" s="0"/>
      <c r="CVO83" s="0"/>
      <c r="CVP83" s="0"/>
      <c r="CVQ83" s="0"/>
      <c r="CVR83" s="0"/>
      <c r="CVS83" s="0"/>
      <c r="CVT83" s="0"/>
      <c r="CVU83" s="0"/>
      <c r="CVV83" s="0"/>
      <c r="CVW83" s="0"/>
      <c r="CVX83" s="0"/>
      <c r="CVY83" s="0"/>
      <c r="CVZ83" s="0"/>
      <c r="CWA83" s="0"/>
      <c r="CWB83" s="0"/>
      <c r="CWC83" s="0"/>
      <c r="CWD83" s="0"/>
      <c r="CWE83" s="0"/>
      <c r="CWF83" s="0"/>
      <c r="CWG83" s="0"/>
      <c r="CWH83" s="0"/>
      <c r="CWI83" s="0"/>
      <c r="CWJ83" s="0"/>
      <c r="CWK83" s="0"/>
      <c r="CWL83" s="0"/>
      <c r="CWM83" s="0"/>
      <c r="CWN83" s="0"/>
      <c r="CWO83" s="0"/>
      <c r="CWP83" s="0"/>
      <c r="CWQ83" s="0"/>
      <c r="CWR83" s="0"/>
      <c r="CWS83" s="0"/>
      <c r="CWT83" s="0"/>
      <c r="CWU83" s="0"/>
      <c r="CWV83" s="0"/>
      <c r="CWW83" s="0"/>
      <c r="CWX83" s="0"/>
      <c r="CWY83" s="0"/>
      <c r="CWZ83" s="0"/>
      <c r="CXA83" s="0"/>
      <c r="CXB83" s="0"/>
      <c r="CXC83" s="0"/>
      <c r="CXD83" s="0"/>
      <c r="CXE83" s="0"/>
      <c r="CXF83" s="0"/>
      <c r="CXG83" s="0"/>
      <c r="CXH83" s="0"/>
      <c r="CXI83" s="0"/>
      <c r="CXJ83" s="0"/>
      <c r="CXK83" s="0"/>
      <c r="CXL83" s="0"/>
      <c r="CXM83" s="0"/>
      <c r="CXN83" s="0"/>
      <c r="CXO83" s="0"/>
      <c r="CXP83" s="0"/>
      <c r="CXQ83" s="0"/>
      <c r="CXR83" s="0"/>
      <c r="CXS83" s="0"/>
      <c r="CXT83" s="0"/>
      <c r="CXU83" s="0"/>
      <c r="CXV83" s="0"/>
      <c r="CXW83" s="0"/>
      <c r="CXX83" s="0"/>
      <c r="CXY83" s="0"/>
      <c r="CXZ83" s="0"/>
      <c r="CYA83" s="0"/>
      <c r="CYB83" s="0"/>
      <c r="CYC83" s="0"/>
      <c r="CYD83" s="0"/>
      <c r="CYE83" s="0"/>
      <c r="CYF83" s="0"/>
      <c r="CYG83" s="0"/>
      <c r="CYH83" s="0"/>
      <c r="CYI83" s="0"/>
      <c r="CYJ83" s="0"/>
      <c r="CYK83" s="0"/>
      <c r="CYL83" s="0"/>
      <c r="CYM83" s="0"/>
      <c r="CYN83" s="0"/>
      <c r="CYO83" s="0"/>
      <c r="CYP83" s="0"/>
      <c r="CYQ83" s="0"/>
      <c r="CYR83" s="0"/>
      <c r="CYS83" s="0"/>
      <c r="CYT83" s="0"/>
      <c r="CYU83" s="0"/>
      <c r="CYV83" s="0"/>
      <c r="CYW83" s="0"/>
      <c r="CYX83" s="0"/>
      <c r="CYY83" s="0"/>
      <c r="CYZ83" s="0"/>
      <c r="CZA83" s="0"/>
      <c r="CZB83" s="0"/>
      <c r="CZC83" s="0"/>
      <c r="CZD83" s="0"/>
      <c r="CZE83" s="0"/>
      <c r="CZF83" s="0"/>
      <c r="CZG83" s="0"/>
      <c r="CZH83" s="0"/>
      <c r="CZI83" s="0"/>
      <c r="CZJ83" s="0"/>
      <c r="CZK83" s="0"/>
      <c r="CZL83" s="0"/>
      <c r="CZM83" s="0"/>
      <c r="CZN83" s="0"/>
      <c r="CZO83" s="0"/>
      <c r="CZP83" s="0"/>
      <c r="CZQ83" s="0"/>
      <c r="CZR83" s="0"/>
      <c r="CZS83" s="0"/>
      <c r="CZT83" s="0"/>
      <c r="CZU83" s="0"/>
      <c r="CZV83" s="0"/>
      <c r="CZW83" s="0"/>
      <c r="CZX83" s="0"/>
      <c r="CZY83" s="0"/>
      <c r="CZZ83" s="0"/>
      <c r="DAA83" s="0"/>
      <c r="DAB83" s="0"/>
      <c r="DAC83" s="0"/>
      <c r="DAD83" s="0"/>
      <c r="DAE83" s="0"/>
      <c r="DAF83" s="0"/>
      <c r="DAG83" s="0"/>
      <c r="DAH83" s="0"/>
      <c r="DAI83" s="0"/>
      <c r="DAJ83" s="0"/>
      <c r="DAK83" s="0"/>
      <c r="DAL83" s="0"/>
      <c r="DAM83" s="0"/>
      <c r="DAN83" s="0"/>
      <c r="DAO83" s="0"/>
      <c r="DAP83" s="0"/>
      <c r="DAQ83" s="0"/>
      <c r="DAR83" s="0"/>
      <c r="DAS83" s="0"/>
      <c r="DAT83" s="0"/>
      <c r="DAU83" s="0"/>
      <c r="DAV83" s="0"/>
      <c r="DAW83" s="0"/>
      <c r="DAX83" s="0"/>
      <c r="DAY83" s="0"/>
      <c r="DAZ83" s="0"/>
      <c r="DBA83" s="0"/>
      <c r="DBB83" s="0"/>
      <c r="DBC83" s="0"/>
      <c r="DBD83" s="0"/>
      <c r="DBE83" s="0"/>
      <c r="DBF83" s="0"/>
      <c r="DBG83" s="0"/>
      <c r="DBH83" s="0"/>
      <c r="DBI83" s="0"/>
      <c r="DBJ83" s="0"/>
      <c r="DBK83" s="0"/>
      <c r="DBL83" s="0"/>
      <c r="DBM83" s="0"/>
      <c r="DBN83" s="0"/>
      <c r="DBO83" s="0"/>
      <c r="DBP83" s="0"/>
      <c r="DBQ83" s="0"/>
      <c r="DBR83" s="0"/>
      <c r="DBS83" s="0"/>
      <c r="DBT83" s="0"/>
      <c r="DBU83" s="0"/>
      <c r="DBV83" s="0"/>
      <c r="DBW83" s="0"/>
      <c r="DBX83" s="0"/>
      <c r="DBY83" s="0"/>
      <c r="DBZ83" s="0"/>
      <c r="DCA83" s="0"/>
      <c r="DCB83" s="0"/>
      <c r="DCC83" s="0"/>
      <c r="DCD83" s="0"/>
      <c r="DCE83" s="0"/>
      <c r="DCF83" s="0"/>
      <c r="DCG83" s="0"/>
      <c r="DCH83" s="0"/>
      <c r="DCI83" s="0"/>
      <c r="DCJ83" s="0"/>
      <c r="DCK83" s="0"/>
      <c r="DCL83" s="0"/>
      <c r="DCM83" s="0"/>
      <c r="DCN83" s="0"/>
      <c r="DCO83" s="0"/>
      <c r="DCP83" s="0"/>
      <c r="DCQ83" s="0"/>
      <c r="DCR83" s="0"/>
      <c r="DCS83" s="0"/>
      <c r="DCT83" s="0"/>
      <c r="DCU83" s="0"/>
      <c r="DCV83" s="0"/>
      <c r="DCW83" s="0"/>
      <c r="DCX83" s="0"/>
      <c r="DCY83" s="0"/>
      <c r="DCZ83" s="0"/>
      <c r="DDA83" s="0"/>
      <c r="DDB83" s="0"/>
      <c r="DDC83" s="0"/>
      <c r="DDD83" s="0"/>
      <c r="DDE83" s="0"/>
      <c r="DDF83" s="0"/>
      <c r="DDG83" s="0"/>
      <c r="DDH83" s="0"/>
      <c r="DDI83" s="0"/>
      <c r="DDJ83" s="0"/>
      <c r="DDK83" s="0"/>
      <c r="DDL83" s="0"/>
      <c r="DDM83" s="0"/>
      <c r="DDN83" s="0"/>
      <c r="DDO83" s="0"/>
      <c r="DDP83" s="0"/>
      <c r="DDQ83" s="0"/>
      <c r="DDR83" s="0"/>
      <c r="DDS83" s="0"/>
      <c r="DDT83" s="0"/>
      <c r="DDU83" s="0"/>
      <c r="DDV83" s="0"/>
      <c r="DDW83" s="0"/>
      <c r="DDX83" s="0"/>
      <c r="DDY83" s="0"/>
      <c r="DDZ83" s="0"/>
      <c r="DEA83" s="0"/>
      <c r="DEB83" s="0"/>
      <c r="DEC83" s="0"/>
      <c r="DED83" s="0"/>
      <c r="DEE83" s="0"/>
      <c r="DEF83" s="0"/>
      <c r="DEG83" s="0"/>
      <c r="DEH83" s="0"/>
      <c r="DEI83" s="0"/>
      <c r="DEJ83" s="0"/>
      <c r="DEK83" s="0"/>
      <c r="DEL83" s="0"/>
      <c r="DEM83" s="0"/>
      <c r="DEN83" s="0"/>
      <c r="DEO83" s="0"/>
      <c r="DEP83" s="0"/>
      <c r="DEQ83" s="0"/>
      <c r="DER83" s="0"/>
      <c r="DES83" s="0"/>
      <c r="DET83" s="0"/>
      <c r="DEU83" s="0"/>
      <c r="DEV83" s="0"/>
      <c r="DEW83" s="0"/>
      <c r="DEX83" s="0"/>
      <c r="DEY83" s="0"/>
      <c r="DEZ83" s="0"/>
      <c r="DFA83" s="0"/>
      <c r="DFB83" s="0"/>
      <c r="DFC83" s="0"/>
      <c r="DFD83" s="0"/>
      <c r="DFE83" s="0"/>
      <c r="DFF83" s="0"/>
      <c r="DFG83" s="0"/>
      <c r="DFH83" s="0"/>
      <c r="DFI83" s="0"/>
      <c r="DFJ83" s="0"/>
      <c r="DFK83" s="0"/>
      <c r="DFL83" s="0"/>
      <c r="DFM83" s="0"/>
      <c r="DFN83" s="0"/>
      <c r="DFO83" s="0"/>
      <c r="DFP83" s="0"/>
      <c r="DFQ83" s="0"/>
      <c r="DFR83" s="0"/>
      <c r="DFS83" s="0"/>
      <c r="DFT83" s="0"/>
      <c r="DFU83" s="0"/>
      <c r="DFV83" s="0"/>
      <c r="DFW83" s="0"/>
      <c r="DFX83" s="0"/>
      <c r="DFY83" s="0"/>
      <c r="DFZ83" s="0"/>
      <c r="DGA83" s="0"/>
      <c r="DGB83" s="0"/>
      <c r="DGC83" s="0"/>
      <c r="DGD83" s="0"/>
      <c r="DGE83" s="0"/>
      <c r="DGF83" s="0"/>
      <c r="DGG83" s="0"/>
      <c r="DGH83" s="0"/>
      <c r="DGI83" s="0"/>
      <c r="DGJ83" s="0"/>
      <c r="DGK83" s="0"/>
      <c r="DGL83" s="0"/>
      <c r="DGM83" s="0"/>
      <c r="DGN83" s="0"/>
      <c r="DGO83" s="0"/>
      <c r="DGP83" s="0"/>
      <c r="DGQ83" s="0"/>
      <c r="DGR83" s="0"/>
      <c r="DGS83" s="0"/>
      <c r="DGT83" s="0"/>
      <c r="DGU83" s="0"/>
      <c r="DGV83" s="0"/>
      <c r="DGW83" s="0"/>
      <c r="DGX83" s="0"/>
      <c r="DGY83" s="0"/>
      <c r="DGZ83" s="0"/>
      <c r="DHA83" s="0"/>
      <c r="DHB83" s="0"/>
      <c r="DHC83" s="0"/>
      <c r="DHD83" s="0"/>
      <c r="DHE83" s="0"/>
      <c r="DHF83" s="0"/>
      <c r="DHG83" s="0"/>
      <c r="DHH83" s="0"/>
      <c r="DHI83" s="0"/>
      <c r="DHJ83" s="0"/>
      <c r="DHK83" s="0"/>
      <c r="DHL83" s="0"/>
      <c r="DHM83" s="0"/>
      <c r="DHN83" s="0"/>
      <c r="DHO83" s="0"/>
      <c r="DHP83" s="0"/>
      <c r="DHQ83" s="0"/>
      <c r="DHR83" s="0"/>
      <c r="DHS83" s="0"/>
      <c r="DHT83" s="0"/>
      <c r="DHU83" s="0"/>
      <c r="DHV83" s="0"/>
      <c r="DHW83" s="0"/>
      <c r="DHX83" s="0"/>
      <c r="DHY83" s="0"/>
      <c r="DHZ83" s="0"/>
      <c r="DIA83" s="0"/>
      <c r="DIB83" s="0"/>
      <c r="DIC83" s="0"/>
      <c r="DID83" s="0"/>
      <c r="DIE83" s="0"/>
      <c r="DIF83" s="0"/>
      <c r="DIG83" s="0"/>
      <c r="DIH83" s="0"/>
      <c r="DII83" s="0"/>
      <c r="DIJ83" s="0"/>
      <c r="DIK83" s="0"/>
      <c r="DIL83" s="0"/>
      <c r="DIM83" s="0"/>
      <c r="DIN83" s="0"/>
      <c r="DIO83" s="0"/>
      <c r="DIP83" s="0"/>
      <c r="DIQ83" s="0"/>
      <c r="DIR83" s="0"/>
      <c r="DIS83" s="0"/>
      <c r="DIT83" s="0"/>
      <c r="DIU83" s="0"/>
      <c r="DIV83" s="0"/>
      <c r="DIW83" s="0"/>
      <c r="DIX83" s="0"/>
      <c r="DIY83" s="0"/>
      <c r="DIZ83" s="0"/>
      <c r="DJA83" s="0"/>
      <c r="DJB83" s="0"/>
      <c r="DJC83" s="0"/>
      <c r="DJD83" s="0"/>
      <c r="DJE83" s="0"/>
      <c r="DJF83" s="0"/>
      <c r="DJG83" s="0"/>
      <c r="DJH83" s="0"/>
      <c r="DJI83" s="0"/>
      <c r="DJJ83" s="0"/>
      <c r="DJK83" s="0"/>
      <c r="DJL83" s="0"/>
      <c r="DJM83" s="0"/>
      <c r="DJN83" s="0"/>
      <c r="DJO83" s="0"/>
      <c r="DJP83" s="0"/>
      <c r="DJQ83" s="0"/>
      <c r="DJR83" s="0"/>
      <c r="DJS83" s="0"/>
      <c r="DJT83" s="0"/>
      <c r="DJU83" s="0"/>
      <c r="DJV83" s="0"/>
      <c r="DJW83" s="0"/>
      <c r="DJX83" s="0"/>
      <c r="DJY83" s="0"/>
      <c r="DJZ83" s="0"/>
      <c r="DKA83" s="0"/>
      <c r="DKB83" s="0"/>
      <c r="DKC83" s="0"/>
      <c r="DKD83" s="0"/>
      <c r="DKE83" s="0"/>
      <c r="DKF83" s="0"/>
      <c r="DKG83" s="0"/>
      <c r="DKH83" s="0"/>
      <c r="DKI83" s="0"/>
      <c r="DKJ83" s="0"/>
      <c r="DKK83" s="0"/>
      <c r="DKL83" s="0"/>
      <c r="DKM83" s="0"/>
      <c r="DKN83" s="0"/>
      <c r="DKO83" s="0"/>
      <c r="DKP83" s="0"/>
      <c r="DKQ83" s="0"/>
      <c r="DKR83" s="0"/>
      <c r="DKS83" s="0"/>
      <c r="DKT83" s="0"/>
      <c r="DKU83" s="0"/>
      <c r="DKV83" s="0"/>
      <c r="DKW83" s="0"/>
      <c r="DKX83" s="0"/>
      <c r="DKY83" s="0"/>
      <c r="DKZ83" s="0"/>
      <c r="DLA83" s="0"/>
      <c r="DLB83" s="0"/>
      <c r="DLC83" s="0"/>
      <c r="DLD83" s="0"/>
      <c r="DLE83" s="0"/>
      <c r="DLF83" s="0"/>
      <c r="DLG83" s="0"/>
      <c r="DLH83" s="0"/>
      <c r="DLI83" s="0"/>
      <c r="DLJ83" s="0"/>
      <c r="DLK83" s="0"/>
      <c r="DLL83" s="0"/>
      <c r="DLM83" s="0"/>
      <c r="DLN83" s="0"/>
      <c r="DLO83" s="0"/>
      <c r="DLP83" s="0"/>
      <c r="DLQ83" s="0"/>
      <c r="DLR83" s="0"/>
      <c r="DLS83" s="0"/>
      <c r="DLT83" s="0"/>
      <c r="DLU83" s="0"/>
      <c r="DLV83" s="0"/>
      <c r="DLW83" s="0"/>
      <c r="DLX83" s="0"/>
      <c r="DLY83" s="0"/>
      <c r="DLZ83" s="0"/>
      <c r="DMA83" s="0"/>
      <c r="DMB83" s="0"/>
      <c r="DMC83" s="0"/>
      <c r="DMD83" s="0"/>
      <c r="DME83" s="0"/>
      <c r="DMF83" s="0"/>
      <c r="DMG83" s="0"/>
      <c r="DMH83" s="0"/>
      <c r="DMI83" s="0"/>
      <c r="DMJ83" s="0"/>
      <c r="DMK83" s="0"/>
      <c r="DML83" s="0"/>
      <c r="DMM83" s="0"/>
      <c r="DMN83" s="0"/>
      <c r="DMO83" s="0"/>
      <c r="DMP83" s="0"/>
      <c r="DMQ83" s="0"/>
      <c r="DMR83" s="0"/>
      <c r="DMS83" s="0"/>
      <c r="DMT83" s="0"/>
      <c r="DMU83" s="0"/>
      <c r="DMV83" s="0"/>
      <c r="DMW83" s="0"/>
      <c r="DMX83" s="0"/>
      <c r="DMY83" s="0"/>
      <c r="DMZ83" s="0"/>
      <c r="DNA83" s="0"/>
      <c r="DNB83" s="0"/>
      <c r="DNC83" s="0"/>
      <c r="DND83" s="0"/>
      <c r="DNE83" s="0"/>
      <c r="DNF83" s="0"/>
      <c r="DNG83" s="0"/>
      <c r="DNH83" s="0"/>
      <c r="DNI83" s="0"/>
      <c r="DNJ83" s="0"/>
      <c r="DNK83" s="0"/>
      <c r="DNL83" s="0"/>
      <c r="DNM83" s="0"/>
      <c r="DNN83" s="0"/>
      <c r="DNO83" s="0"/>
      <c r="DNP83" s="0"/>
      <c r="DNQ83" s="0"/>
      <c r="DNR83" s="0"/>
      <c r="DNS83" s="0"/>
      <c r="DNT83" s="0"/>
      <c r="DNU83" s="0"/>
      <c r="DNV83" s="0"/>
      <c r="DNW83" s="0"/>
      <c r="DNX83" s="0"/>
      <c r="DNY83" s="0"/>
      <c r="DNZ83" s="0"/>
      <c r="DOA83" s="0"/>
      <c r="DOB83" s="0"/>
      <c r="DOC83" s="0"/>
      <c r="DOD83" s="0"/>
      <c r="DOE83" s="0"/>
      <c r="DOF83" s="0"/>
      <c r="DOG83" s="0"/>
      <c r="DOH83" s="0"/>
      <c r="DOI83" s="0"/>
      <c r="DOJ83" s="0"/>
      <c r="DOK83" s="0"/>
      <c r="DOL83" s="0"/>
      <c r="DOM83" s="0"/>
      <c r="DON83" s="0"/>
      <c r="DOO83" s="0"/>
      <c r="DOP83" s="0"/>
      <c r="DOQ83" s="0"/>
      <c r="DOR83" s="0"/>
      <c r="DOS83" s="0"/>
      <c r="DOT83" s="0"/>
      <c r="DOU83" s="0"/>
      <c r="DOV83" s="0"/>
      <c r="DOW83" s="0"/>
      <c r="DOX83" s="0"/>
      <c r="DOY83" s="0"/>
      <c r="DOZ83" s="0"/>
      <c r="DPA83" s="0"/>
      <c r="DPB83" s="0"/>
      <c r="DPC83" s="0"/>
      <c r="DPD83" s="0"/>
      <c r="DPE83" s="0"/>
      <c r="DPF83" s="0"/>
      <c r="DPG83" s="0"/>
      <c r="DPH83" s="0"/>
      <c r="DPI83" s="0"/>
      <c r="DPJ83" s="0"/>
      <c r="DPK83" s="0"/>
      <c r="DPL83" s="0"/>
      <c r="DPM83" s="0"/>
      <c r="DPN83" s="0"/>
      <c r="DPO83" s="0"/>
      <c r="DPP83" s="0"/>
      <c r="DPQ83" s="0"/>
      <c r="DPR83" s="0"/>
      <c r="DPS83" s="0"/>
      <c r="DPT83" s="0"/>
      <c r="DPU83" s="0"/>
      <c r="DPV83" s="0"/>
      <c r="DPW83" s="0"/>
      <c r="DPX83" s="0"/>
      <c r="DPY83" s="0"/>
      <c r="DPZ83" s="0"/>
      <c r="DQA83" s="0"/>
      <c r="DQB83" s="0"/>
      <c r="DQC83" s="0"/>
      <c r="DQD83" s="0"/>
      <c r="DQE83" s="0"/>
      <c r="DQF83" s="0"/>
      <c r="DQG83" s="0"/>
      <c r="DQH83" s="0"/>
      <c r="DQI83" s="0"/>
      <c r="DQJ83" s="0"/>
      <c r="DQK83" s="0"/>
      <c r="DQL83" s="0"/>
      <c r="DQM83" s="0"/>
      <c r="DQN83" s="0"/>
      <c r="DQO83" s="0"/>
      <c r="DQP83" s="0"/>
      <c r="DQQ83" s="0"/>
      <c r="DQR83" s="0"/>
      <c r="DQS83" s="0"/>
      <c r="DQT83" s="0"/>
      <c r="DQU83" s="0"/>
      <c r="DQV83" s="0"/>
      <c r="DQW83" s="0"/>
      <c r="DQX83" s="0"/>
      <c r="DQY83" s="0"/>
      <c r="DQZ83" s="0"/>
      <c r="DRA83" s="0"/>
      <c r="DRB83" s="0"/>
      <c r="DRC83" s="0"/>
      <c r="DRD83" s="0"/>
      <c r="DRE83" s="0"/>
      <c r="DRF83" s="0"/>
      <c r="DRG83" s="0"/>
      <c r="DRH83" s="0"/>
      <c r="DRI83" s="0"/>
      <c r="DRJ83" s="0"/>
      <c r="DRK83" s="0"/>
      <c r="DRL83" s="0"/>
      <c r="DRM83" s="0"/>
      <c r="DRN83" s="0"/>
      <c r="DRO83" s="0"/>
      <c r="DRP83" s="0"/>
      <c r="DRQ83" s="0"/>
      <c r="DRR83" s="0"/>
      <c r="DRS83" s="0"/>
      <c r="DRT83" s="0"/>
      <c r="DRU83" s="0"/>
      <c r="DRV83" s="0"/>
      <c r="DRW83" s="0"/>
      <c r="DRX83" s="0"/>
      <c r="DRY83" s="0"/>
      <c r="DRZ83" s="0"/>
      <c r="DSA83" s="0"/>
      <c r="DSB83" s="0"/>
      <c r="DSC83" s="0"/>
      <c r="DSD83" s="0"/>
      <c r="DSE83" s="0"/>
      <c r="DSF83" s="0"/>
      <c r="DSG83" s="0"/>
      <c r="DSH83" s="0"/>
      <c r="DSI83" s="0"/>
      <c r="DSJ83" s="0"/>
      <c r="DSK83" s="0"/>
      <c r="DSL83" s="0"/>
      <c r="DSM83" s="0"/>
      <c r="DSN83" s="0"/>
      <c r="DSO83" s="0"/>
      <c r="DSP83" s="0"/>
      <c r="DSQ83" s="0"/>
      <c r="DSR83" s="0"/>
      <c r="DSS83" s="0"/>
      <c r="DST83" s="0"/>
      <c r="DSU83" s="0"/>
      <c r="DSV83" s="0"/>
      <c r="DSW83" s="0"/>
      <c r="DSX83" s="0"/>
      <c r="DSY83" s="0"/>
      <c r="DSZ83" s="0"/>
      <c r="DTA83" s="0"/>
      <c r="DTB83" s="0"/>
      <c r="DTC83" s="0"/>
      <c r="DTD83" s="0"/>
      <c r="DTE83" s="0"/>
      <c r="DTF83" s="0"/>
      <c r="DTG83" s="0"/>
      <c r="DTH83" s="0"/>
      <c r="DTI83" s="0"/>
      <c r="DTJ83" s="0"/>
      <c r="DTK83" s="0"/>
      <c r="DTL83" s="0"/>
      <c r="DTM83" s="0"/>
      <c r="DTN83" s="0"/>
      <c r="DTO83" s="0"/>
      <c r="DTP83" s="0"/>
      <c r="DTQ83" s="0"/>
      <c r="DTR83" s="0"/>
      <c r="DTS83" s="0"/>
      <c r="DTT83" s="0"/>
      <c r="DTU83" s="0"/>
      <c r="DTV83" s="0"/>
      <c r="DTW83" s="0"/>
      <c r="DTX83" s="0"/>
      <c r="DTY83" s="0"/>
      <c r="DTZ83" s="0"/>
      <c r="DUA83" s="0"/>
      <c r="DUB83" s="0"/>
      <c r="DUC83" s="0"/>
      <c r="DUD83" s="0"/>
      <c r="DUE83" s="0"/>
      <c r="DUF83" s="0"/>
      <c r="DUG83" s="0"/>
      <c r="DUH83" s="0"/>
      <c r="DUI83" s="0"/>
      <c r="DUJ83" s="0"/>
      <c r="DUK83" s="0"/>
      <c r="DUL83" s="0"/>
      <c r="DUM83" s="0"/>
      <c r="DUN83" s="0"/>
      <c r="DUO83" s="0"/>
      <c r="DUP83" s="0"/>
      <c r="DUQ83" s="0"/>
      <c r="DUR83" s="0"/>
      <c r="DUS83" s="0"/>
      <c r="DUT83" s="0"/>
      <c r="DUU83" s="0"/>
      <c r="DUV83" s="0"/>
      <c r="DUW83" s="0"/>
      <c r="DUX83" s="0"/>
      <c r="DUY83" s="0"/>
      <c r="DUZ83" s="0"/>
      <c r="DVA83" s="0"/>
      <c r="DVB83" s="0"/>
      <c r="DVC83" s="0"/>
      <c r="DVD83" s="0"/>
      <c r="DVE83" s="0"/>
      <c r="DVF83" s="0"/>
      <c r="DVG83" s="0"/>
      <c r="DVH83" s="0"/>
      <c r="DVI83" s="0"/>
      <c r="DVJ83" s="0"/>
      <c r="DVK83" s="0"/>
      <c r="DVL83" s="0"/>
      <c r="DVM83" s="0"/>
      <c r="DVN83" s="0"/>
      <c r="DVO83" s="0"/>
      <c r="DVP83" s="0"/>
      <c r="DVQ83" s="0"/>
      <c r="DVR83" s="0"/>
      <c r="DVS83" s="0"/>
      <c r="DVT83" s="0"/>
      <c r="DVU83" s="0"/>
      <c r="DVV83" s="0"/>
      <c r="DVW83" s="0"/>
      <c r="DVX83" s="0"/>
      <c r="DVY83" s="0"/>
      <c r="DVZ83" s="0"/>
      <c r="DWA83" s="0"/>
      <c r="DWB83" s="0"/>
      <c r="DWC83" s="0"/>
      <c r="DWD83" s="0"/>
      <c r="DWE83" s="0"/>
      <c r="DWF83" s="0"/>
      <c r="DWG83" s="0"/>
      <c r="DWH83" s="0"/>
      <c r="DWI83" s="0"/>
      <c r="DWJ83" s="0"/>
      <c r="DWK83" s="0"/>
      <c r="DWL83" s="0"/>
      <c r="DWM83" s="0"/>
      <c r="DWN83" s="0"/>
      <c r="DWO83" s="0"/>
      <c r="DWP83" s="0"/>
      <c r="DWQ83" s="0"/>
      <c r="DWR83" s="0"/>
      <c r="DWS83" s="0"/>
      <c r="DWT83" s="0"/>
      <c r="DWU83" s="0"/>
      <c r="DWV83" s="0"/>
      <c r="DWW83" s="0"/>
      <c r="DWX83" s="0"/>
      <c r="DWY83" s="0"/>
      <c r="DWZ83" s="0"/>
      <c r="DXA83" s="0"/>
      <c r="DXB83" s="0"/>
      <c r="DXC83" s="0"/>
      <c r="DXD83" s="0"/>
      <c r="DXE83" s="0"/>
      <c r="DXF83" s="0"/>
      <c r="DXG83" s="0"/>
      <c r="DXH83" s="0"/>
      <c r="DXI83" s="0"/>
      <c r="DXJ83" s="0"/>
      <c r="DXK83" s="0"/>
      <c r="DXL83" s="0"/>
      <c r="DXM83" s="0"/>
      <c r="DXN83" s="0"/>
      <c r="DXO83" s="0"/>
      <c r="DXP83" s="0"/>
      <c r="DXQ83" s="0"/>
      <c r="DXR83" s="0"/>
      <c r="DXS83" s="0"/>
      <c r="DXT83" s="0"/>
      <c r="DXU83" s="0"/>
      <c r="DXV83" s="0"/>
      <c r="DXW83" s="0"/>
      <c r="DXX83" s="0"/>
      <c r="DXY83" s="0"/>
      <c r="DXZ83" s="0"/>
      <c r="DYA83" s="0"/>
      <c r="DYB83" s="0"/>
      <c r="DYC83" s="0"/>
      <c r="DYD83" s="0"/>
      <c r="DYE83" s="0"/>
      <c r="DYF83" s="0"/>
      <c r="DYG83" s="0"/>
      <c r="DYH83" s="0"/>
      <c r="DYI83" s="0"/>
      <c r="DYJ83" s="0"/>
      <c r="DYK83" s="0"/>
      <c r="DYL83" s="0"/>
      <c r="DYM83" s="0"/>
      <c r="DYN83" s="0"/>
      <c r="DYO83" s="0"/>
      <c r="DYP83" s="0"/>
      <c r="DYQ83" s="0"/>
      <c r="DYR83" s="0"/>
      <c r="DYS83" s="0"/>
      <c r="DYT83" s="0"/>
      <c r="DYU83" s="0"/>
      <c r="DYV83" s="0"/>
      <c r="DYW83" s="0"/>
      <c r="DYX83" s="0"/>
      <c r="DYY83" s="0"/>
      <c r="DYZ83" s="0"/>
      <c r="DZA83" s="0"/>
      <c r="DZB83" s="0"/>
      <c r="DZC83" s="0"/>
      <c r="DZD83" s="0"/>
      <c r="DZE83" s="0"/>
      <c r="DZF83" s="0"/>
      <c r="DZG83" s="0"/>
      <c r="DZH83" s="0"/>
      <c r="DZI83" s="0"/>
      <c r="DZJ83" s="0"/>
      <c r="DZK83" s="0"/>
      <c r="DZL83" s="0"/>
      <c r="DZM83" s="0"/>
      <c r="DZN83" s="0"/>
      <c r="DZO83" s="0"/>
      <c r="DZP83" s="0"/>
      <c r="DZQ83" s="0"/>
      <c r="DZR83" s="0"/>
      <c r="DZS83" s="0"/>
      <c r="DZT83" s="0"/>
      <c r="DZU83" s="0"/>
      <c r="DZV83" s="0"/>
      <c r="DZW83" s="0"/>
      <c r="DZX83" s="0"/>
      <c r="DZY83" s="0"/>
      <c r="DZZ83" s="0"/>
      <c r="EAA83" s="0"/>
      <c r="EAB83" s="0"/>
      <c r="EAC83" s="0"/>
      <c r="EAD83" s="0"/>
      <c r="EAE83" s="0"/>
      <c r="EAF83" s="0"/>
      <c r="EAG83" s="0"/>
      <c r="EAH83" s="0"/>
      <c r="EAI83" s="0"/>
      <c r="EAJ83" s="0"/>
      <c r="EAK83" s="0"/>
      <c r="EAL83" s="0"/>
      <c r="EAM83" s="0"/>
      <c r="EAN83" s="0"/>
      <c r="EAO83" s="0"/>
      <c r="EAP83" s="0"/>
      <c r="EAQ83" s="0"/>
      <c r="EAR83" s="0"/>
      <c r="EAS83" s="0"/>
      <c r="EAT83" s="0"/>
      <c r="EAU83" s="0"/>
      <c r="EAV83" s="0"/>
      <c r="EAW83" s="0"/>
      <c r="EAX83" s="0"/>
      <c r="EAY83" s="0"/>
      <c r="EAZ83" s="0"/>
      <c r="EBA83" s="0"/>
      <c r="EBB83" s="0"/>
      <c r="EBC83" s="0"/>
      <c r="EBD83" s="0"/>
      <c r="EBE83" s="0"/>
      <c r="EBF83" s="0"/>
      <c r="EBG83" s="0"/>
      <c r="EBH83" s="0"/>
      <c r="EBI83" s="0"/>
      <c r="EBJ83" s="0"/>
      <c r="EBK83" s="0"/>
      <c r="EBL83" s="0"/>
      <c r="EBM83" s="0"/>
      <c r="EBN83" s="0"/>
      <c r="EBO83" s="0"/>
      <c r="EBP83" s="0"/>
      <c r="EBQ83" s="0"/>
      <c r="EBR83" s="0"/>
      <c r="EBS83" s="0"/>
      <c r="EBT83" s="0"/>
      <c r="EBU83" s="0"/>
      <c r="EBV83" s="0"/>
      <c r="EBW83" s="0"/>
      <c r="EBX83" s="0"/>
      <c r="EBY83" s="0"/>
      <c r="EBZ83" s="0"/>
      <c r="ECA83" s="0"/>
      <c r="ECB83" s="0"/>
      <c r="ECC83" s="0"/>
      <c r="ECD83" s="0"/>
      <c r="ECE83" s="0"/>
      <c r="ECF83" s="0"/>
      <c r="ECG83" s="0"/>
      <c r="ECH83" s="0"/>
      <c r="ECI83" s="0"/>
      <c r="ECJ83" s="0"/>
      <c r="ECK83" s="0"/>
      <c r="ECL83" s="0"/>
      <c r="ECM83" s="0"/>
      <c r="ECN83" s="0"/>
      <c r="ECO83" s="0"/>
      <c r="ECP83" s="0"/>
      <c r="ECQ83" s="0"/>
      <c r="ECR83" s="0"/>
      <c r="ECS83" s="0"/>
      <c r="ECT83" s="0"/>
      <c r="ECU83" s="0"/>
      <c r="ECV83" s="0"/>
      <c r="ECW83" s="0"/>
      <c r="ECX83" s="0"/>
      <c r="ECY83" s="0"/>
      <c r="ECZ83" s="0"/>
      <c r="EDA83" s="0"/>
      <c r="EDB83" s="0"/>
      <c r="EDC83" s="0"/>
      <c r="EDD83" s="0"/>
      <c r="EDE83" s="0"/>
      <c r="EDF83" s="0"/>
      <c r="EDG83" s="0"/>
      <c r="EDH83" s="0"/>
      <c r="EDI83" s="0"/>
      <c r="EDJ83" s="0"/>
      <c r="EDK83" s="0"/>
      <c r="EDL83" s="0"/>
      <c r="EDM83" s="0"/>
      <c r="EDN83" s="0"/>
      <c r="EDO83" s="0"/>
      <c r="EDP83" s="0"/>
      <c r="EDQ83" s="0"/>
      <c r="EDR83" s="0"/>
      <c r="EDS83" s="0"/>
      <c r="EDT83" s="0"/>
      <c r="EDU83" s="0"/>
      <c r="EDV83" s="0"/>
      <c r="EDW83" s="0"/>
      <c r="EDX83" s="0"/>
      <c r="EDY83" s="0"/>
      <c r="EDZ83" s="0"/>
      <c r="EEA83" s="0"/>
      <c r="EEB83" s="0"/>
      <c r="EEC83" s="0"/>
      <c r="EED83" s="0"/>
      <c r="EEE83" s="0"/>
      <c r="EEF83" s="0"/>
      <c r="EEG83" s="0"/>
      <c r="EEH83" s="0"/>
      <c r="EEI83" s="0"/>
      <c r="EEJ83" s="0"/>
      <c r="EEK83" s="0"/>
      <c r="EEL83" s="0"/>
      <c r="EEM83" s="0"/>
      <c r="EEN83" s="0"/>
      <c r="EEO83" s="0"/>
      <c r="EEP83" s="0"/>
      <c r="EEQ83" s="0"/>
      <c r="EER83" s="0"/>
      <c r="EES83" s="0"/>
      <c r="EET83" s="0"/>
      <c r="EEU83" s="0"/>
      <c r="EEV83" s="0"/>
      <c r="EEW83" s="0"/>
      <c r="EEX83" s="0"/>
      <c r="EEY83" s="0"/>
      <c r="EEZ83" s="0"/>
      <c r="EFA83" s="0"/>
      <c r="EFB83" s="0"/>
      <c r="EFC83" s="0"/>
      <c r="EFD83" s="0"/>
      <c r="EFE83" s="0"/>
      <c r="EFF83" s="0"/>
      <c r="EFG83" s="0"/>
      <c r="EFH83" s="0"/>
      <c r="EFI83" s="0"/>
      <c r="EFJ83" s="0"/>
      <c r="EFK83" s="0"/>
      <c r="EFL83" s="0"/>
      <c r="EFM83" s="0"/>
      <c r="EFN83" s="0"/>
      <c r="EFO83" s="0"/>
      <c r="EFP83" s="0"/>
      <c r="EFQ83" s="0"/>
      <c r="EFR83" s="0"/>
      <c r="EFS83" s="0"/>
      <c r="EFT83" s="0"/>
      <c r="EFU83" s="0"/>
      <c r="EFV83" s="0"/>
      <c r="EFW83" s="0"/>
      <c r="EFX83" s="0"/>
      <c r="EFY83" s="0"/>
      <c r="EFZ83" s="0"/>
      <c r="EGA83" s="0"/>
      <c r="EGB83" s="0"/>
      <c r="EGC83" s="0"/>
      <c r="EGD83" s="0"/>
      <c r="EGE83" s="0"/>
      <c r="EGF83" s="0"/>
      <c r="EGG83" s="0"/>
      <c r="EGH83" s="0"/>
      <c r="EGI83" s="0"/>
      <c r="EGJ83" s="0"/>
      <c r="EGK83" s="0"/>
      <c r="EGL83" s="0"/>
      <c r="EGM83" s="0"/>
      <c r="EGN83" s="0"/>
      <c r="EGO83" s="0"/>
      <c r="EGP83" s="0"/>
      <c r="EGQ83" s="0"/>
      <c r="EGR83" s="0"/>
      <c r="EGS83" s="0"/>
      <c r="EGT83" s="0"/>
      <c r="EGU83" s="0"/>
      <c r="EGV83" s="0"/>
      <c r="EGW83" s="0"/>
      <c r="EGX83" s="0"/>
      <c r="EGY83" s="0"/>
      <c r="EGZ83" s="0"/>
      <c r="EHA83" s="0"/>
      <c r="EHB83" s="0"/>
      <c r="EHC83" s="0"/>
      <c r="EHD83" s="0"/>
      <c r="EHE83" s="0"/>
      <c r="EHF83" s="0"/>
      <c r="EHG83" s="0"/>
      <c r="EHH83" s="0"/>
      <c r="EHI83" s="0"/>
      <c r="EHJ83" s="0"/>
      <c r="EHK83" s="0"/>
      <c r="EHL83" s="0"/>
      <c r="EHM83" s="0"/>
      <c r="EHN83" s="0"/>
      <c r="EHO83" s="0"/>
      <c r="EHP83" s="0"/>
      <c r="EHQ83" s="0"/>
      <c r="EHR83" s="0"/>
      <c r="EHS83" s="0"/>
      <c r="EHT83" s="0"/>
      <c r="EHU83" s="0"/>
      <c r="EHV83" s="0"/>
      <c r="EHW83" s="0"/>
      <c r="EHX83" s="0"/>
      <c r="EHY83" s="0"/>
      <c r="EHZ83" s="0"/>
      <c r="EIA83" s="0"/>
      <c r="EIB83" s="0"/>
      <c r="EIC83" s="0"/>
      <c r="EID83" s="0"/>
      <c r="EIE83" s="0"/>
      <c r="EIF83" s="0"/>
      <c r="EIG83" s="0"/>
      <c r="EIH83" s="0"/>
      <c r="EII83" s="0"/>
      <c r="EIJ83" s="0"/>
      <c r="EIK83" s="0"/>
      <c r="EIL83" s="0"/>
      <c r="EIM83" s="0"/>
      <c r="EIN83" s="0"/>
      <c r="EIO83" s="0"/>
      <c r="EIP83" s="0"/>
      <c r="EIQ83" s="0"/>
      <c r="EIR83" s="0"/>
      <c r="EIS83" s="0"/>
      <c r="EIT83" s="0"/>
      <c r="EIU83" s="0"/>
      <c r="EIV83" s="0"/>
      <c r="EIW83" s="0"/>
      <c r="EIX83" s="0"/>
      <c r="EIY83" s="0"/>
      <c r="EIZ83" s="0"/>
      <c r="EJA83" s="0"/>
      <c r="EJB83" s="0"/>
      <c r="EJC83" s="0"/>
      <c r="EJD83" s="0"/>
      <c r="EJE83" s="0"/>
      <c r="EJF83" s="0"/>
      <c r="EJG83" s="0"/>
      <c r="EJH83" s="0"/>
      <c r="EJI83" s="0"/>
      <c r="EJJ83" s="0"/>
      <c r="EJK83" s="0"/>
      <c r="EJL83" s="0"/>
      <c r="EJM83" s="0"/>
      <c r="EJN83" s="0"/>
      <c r="EJO83" s="0"/>
      <c r="EJP83" s="0"/>
      <c r="EJQ83" s="0"/>
      <c r="EJR83" s="0"/>
      <c r="EJS83" s="0"/>
      <c r="EJT83" s="0"/>
      <c r="EJU83" s="0"/>
      <c r="EJV83" s="0"/>
      <c r="EJW83" s="0"/>
      <c r="EJX83" s="0"/>
      <c r="EJY83" s="0"/>
      <c r="EJZ83" s="0"/>
      <c r="EKA83" s="0"/>
      <c r="EKB83" s="0"/>
      <c r="EKC83" s="0"/>
      <c r="EKD83" s="0"/>
      <c r="EKE83" s="0"/>
      <c r="EKF83" s="0"/>
      <c r="EKG83" s="0"/>
      <c r="EKH83" s="0"/>
      <c r="EKI83" s="0"/>
      <c r="EKJ83" s="0"/>
      <c r="EKK83" s="0"/>
      <c r="EKL83" s="0"/>
      <c r="EKM83" s="0"/>
      <c r="EKN83" s="0"/>
      <c r="EKO83" s="0"/>
      <c r="EKP83" s="0"/>
      <c r="EKQ83" s="0"/>
      <c r="EKR83" s="0"/>
      <c r="EKS83" s="0"/>
      <c r="EKT83" s="0"/>
      <c r="EKU83" s="0"/>
      <c r="EKV83" s="0"/>
      <c r="EKW83" s="0"/>
      <c r="EKX83" s="0"/>
      <c r="EKY83" s="0"/>
      <c r="EKZ83" s="0"/>
      <c r="ELA83" s="0"/>
      <c r="ELB83" s="0"/>
      <c r="ELC83" s="0"/>
      <c r="ELD83" s="0"/>
      <c r="ELE83" s="0"/>
      <c r="ELF83" s="0"/>
      <c r="ELG83" s="0"/>
      <c r="ELH83" s="0"/>
      <c r="ELI83" s="0"/>
      <c r="ELJ83" s="0"/>
      <c r="ELK83" s="0"/>
      <c r="ELL83" s="0"/>
      <c r="ELM83" s="0"/>
      <c r="ELN83" s="0"/>
      <c r="ELO83" s="0"/>
      <c r="ELP83" s="0"/>
      <c r="ELQ83" s="0"/>
      <c r="ELR83" s="0"/>
      <c r="ELS83" s="0"/>
      <c r="ELT83" s="0"/>
      <c r="ELU83" s="0"/>
      <c r="ELV83" s="0"/>
      <c r="ELW83" s="0"/>
      <c r="ELX83" s="0"/>
      <c r="ELY83" s="0"/>
      <c r="ELZ83" s="0"/>
      <c r="EMA83" s="0"/>
      <c r="EMB83" s="0"/>
      <c r="EMC83" s="0"/>
      <c r="EMD83" s="0"/>
      <c r="EME83" s="0"/>
      <c r="EMF83" s="0"/>
      <c r="EMG83" s="0"/>
      <c r="EMH83" s="0"/>
      <c r="EMI83" s="0"/>
      <c r="EMJ83" s="0"/>
      <c r="EMK83" s="0"/>
      <c r="EML83" s="0"/>
      <c r="EMM83" s="0"/>
      <c r="EMN83" s="0"/>
      <c r="EMO83" s="0"/>
      <c r="EMP83" s="0"/>
      <c r="EMQ83" s="0"/>
      <c r="EMR83" s="0"/>
      <c r="EMS83" s="0"/>
      <c r="EMT83" s="0"/>
      <c r="EMU83" s="0"/>
      <c r="EMV83" s="0"/>
      <c r="EMW83" s="0"/>
      <c r="EMX83" s="0"/>
      <c r="EMY83" s="0"/>
      <c r="EMZ83" s="0"/>
      <c r="ENA83" s="0"/>
      <c r="ENB83" s="0"/>
      <c r="ENC83" s="0"/>
      <c r="END83" s="0"/>
      <c r="ENE83" s="0"/>
      <c r="ENF83" s="0"/>
      <c r="ENG83" s="0"/>
      <c r="ENH83" s="0"/>
      <c r="ENI83" s="0"/>
      <c r="ENJ83" s="0"/>
      <c r="ENK83" s="0"/>
      <c r="ENL83" s="0"/>
      <c r="ENM83" s="0"/>
      <c r="ENN83" s="0"/>
      <c r="ENO83" s="0"/>
      <c r="ENP83" s="0"/>
      <c r="ENQ83" s="0"/>
      <c r="ENR83" s="0"/>
      <c r="ENS83" s="0"/>
      <c r="ENT83" s="0"/>
      <c r="ENU83" s="0"/>
      <c r="ENV83" s="0"/>
      <c r="ENW83" s="0"/>
      <c r="ENX83" s="0"/>
      <c r="ENY83" s="0"/>
      <c r="ENZ83" s="0"/>
      <c r="EOA83" s="0"/>
      <c r="EOB83" s="0"/>
      <c r="EOC83" s="0"/>
      <c r="EOD83" s="0"/>
      <c r="EOE83" s="0"/>
      <c r="EOF83" s="0"/>
      <c r="EOG83" s="0"/>
      <c r="EOH83" s="0"/>
      <c r="EOI83" s="0"/>
      <c r="EOJ83" s="0"/>
      <c r="EOK83" s="0"/>
      <c r="EOL83" s="0"/>
      <c r="EOM83" s="0"/>
      <c r="EON83" s="0"/>
      <c r="EOO83" s="0"/>
      <c r="EOP83" s="0"/>
      <c r="EOQ83" s="0"/>
      <c r="EOR83" s="0"/>
      <c r="EOS83" s="0"/>
      <c r="EOT83" s="0"/>
      <c r="EOU83" s="0"/>
      <c r="EOV83" s="0"/>
      <c r="EOW83" s="0"/>
      <c r="EOX83" s="0"/>
      <c r="EOY83" s="0"/>
      <c r="EOZ83" s="0"/>
      <c r="EPA83" s="0"/>
      <c r="EPB83" s="0"/>
      <c r="EPC83" s="0"/>
      <c r="EPD83" s="0"/>
      <c r="EPE83" s="0"/>
      <c r="EPF83" s="0"/>
      <c r="EPG83" s="0"/>
      <c r="EPH83" s="0"/>
      <c r="EPI83" s="0"/>
      <c r="EPJ83" s="0"/>
      <c r="EPK83" s="0"/>
      <c r="EPL83" s="0"/>
      <c r="EPM83" s="0"/>
      <c r="EPN83" s="0"/>
      <c r="EPO83" s="0"/>
      <c r="EPP83" s="0"/>
      <c r="EPQ83" s="0"/>
      <c r="EPR83" s="0"/>
      <c r="EPS83" s="0"/>
      <c r="EPT83" s="0"/>
      <c r="EPU83" s="0"/>
      <c r="EPV83" s="0"/>
      <c r="EPW83" s="0"/>
      <c r="EPX83" s="0"/>
      <c r="EPY83" s="0"/>
      <c r="EPZ83" s="0"/>
      <c r="EQA83" s="0"/>
      <c r="EQB83" s="0"/>
      <c r="EQC83" s="0"/>
      <c r="EQD83" s="0"/>
      <c r="EQE83" s="0"/>
      <c r="EQF83" s="0"/>
      <c r="EQG83" s="0"/>
      <c r="EQH83" s="0"/>
      <c r="EQI83" s="0"/>
      <c r="EQJ83" s="0"/>
      <c r="EQK83" s="0"/>
      <c r="EQL83" s="0"/>
      <c r="EQM83" s="0"/>
      <c r="EQN83" s="0"/>
      <c r="EQO83" s="0"/>
      <c r="EQP83" s="0"/>
      <c r="EQQ83" s="0"/>
      <c r="EQR83" s="0"/>
      <c r="EQS83" s="0"/>
      <c r="EQT83" s="0"/>
      <c r="EQU83" s="0"/>
      <c r="EQV83" s="0"/>
      <c r="EQW83" s="0"/>
      <c r="EQX83" s="0"/>
      <c r="EQY83" s="0"/>
      <c r="EQZ83" s="0"/>
      <c r="ERA83" s="0"/>
      <c r="ERB83" s="0"/>
      <c r="ERC83" s="0"/>
      <c r="ERD83" s="0"/>
      <c r="ERE83" s="0"/>
      <c r="ERF83" s="0"/>
      <c r="ERG83" s="0"/>
      <c r="ERH83" s="0"/>
      <c r="ERI83" s="0"/>
      <c r="ERJ83" s="0"/>
      <c r="ERK83" s="0"/>
      <c r="ERL83" s="0"/>
      <c r="ERM83" s="0"/>
      <c r="ERN83" s="0"/>
      <c r="ERO83" s="0"/>
      <c r="ERP83" s="0"/>
      <c r="ERQ83" s="0"/>
      <c r="ERR83" s="0"/>
      <c r="ERS83" s="0"/>
      <c r="ERT83" s="0"/>
      <c r="ERU83" s="0"/>
      <c r="ERV83" s="0"/>
      <c r="ERW83" s="0"/>
      <c r="ERX83" s="0"/>
      <c r="ERY83" s="0"/>
      <c r="ERZ83" s="0"/>
      <c r="ESA83" s="0"/>
      <c r="ESB83" s="0"/>
      <c r="ESC83" s="0"/>
      <c r="ESD83" s="0"/>
      <c r="ESE83" s="0"/>
      <c r="ESF83" s="0"/>
      <c r="ESG83" s="0"/>
      <c r="ESH83" s="0"/>
      <c r="ESI83" s="0"/>
      <c r="ESJ83" s="0"/>
      <c r="ESK83" s="0"/>
      <c r="ESL83" s="0"/>
      <c r="ESM83" s="0"/>
      <c r="ESN83" s="0"/>
      <c r="ESO83" s="0"/>
      <c r="ESP83" s="0"/>
      <c r="ESQ83" s="0"/>
      <c r="ESR83" s="0"/>
      <c r="ESS83" s="0"/>
      <c r="EST83" s="0"/>
      <c r="ESU83" s="0"/>
      <c r="ESV83" s="0"/>
      <c r="ESW83" s="0"/>
      <c r="ESX83" s="0"/>
      <c r="ESY83" s="0"/>
      <c r="ESZ83" s="0"/>
      <c r="ETA83" s="0"/>
      <c r="ETB83" s="0"/>
      <c r="ETC83" s="0"/>
      <c r="ETD83" s="0"/>
      <c r="ETE83" s="0"/>
      <c r="ETF83" s="0"/>
      <c r="ETG83" s="0"/>
      <c r="ETH83" s="0"/>
      <c r="ETI83" s="0"/>
      <c r="ETJ83" s="0"/>
      <c r="ETK83" s="0"/>
      <c r="ETL83" s="0"/>
      <c r="ETM83" s="0"/>
      <c r="ETN83" s="0"/>
      <c r="ETO83" s="0"/>
      <c r="ETP83" s="0"/>
      <c r="ETQ83" s="0"/>
      <c r="ETR83" s="0"/>
      <c r="ETS83" s="0"/>
      <c r="ETT83" s="0"/>
      <c r="ETU83" s="0"/>
      <c r="ETV83" s="0"/>
      <c r="ETW83" s="0"/>
      <c r="ETX83" s="0"/>
      <c r="ETY83" s="0"/>
      <c r="ETZ83" s="0"/>
      <c r="EUA83" s="0"/>
      <c r="EUB83" s="0"/>
      <c r="EUC83" s="0"/>
      <c r="EUD83" s="0"/>
      <c r="EUE83" s="0"/>
      <c r="EUF83" s="0"/>
      <c r="EUG83" s="0"/>
      <c r="EUH83" s="0"/>
      <c r="EUI83" s="0"/>
      <c r="EUJ83" s="0"/>
      <c r="EUK83" s="0"/>
      <c r="EUL83" s="0"/>
      <c r="EUM83" s="0"/>
      <c r="EUN83" s="0"/>
      <c r="EUO83" s="0"/>
      <c r="EUP83" s="0"/>
      <c r="EUQ83" s="0"/>
      <c r="EUR83" s="0"/>
      <c r="EUS83" s="0"/>
      <c r="EUT83" s="0"/>
      <c r="EUU83" s="0"/>
      <c r="EUV83" s="0"/>
      <c r="EUW83" s="0"/>
      <c r="EUX83" s="0"/>
      <c r="EUY83" s="0"/>
      <c r="EUZ83" s="0"/>
      <c r="EVA83" s="0"/>
      <c r="EVB83" s="0"/>
      <c r="EVC83" s="0"/>
      <c r="EVD83" s="0"/>
      <c r="EVE83" s="0"/>
      <c r="EVF83" s="0"/>
      <c r="EVG83" s="0"/>
      <c r="EVH83" s="0"/>
      <c r="EVI83" s="0"/>
      <c r="EVJ83" s="0"/>
      <c r="EVK83" s="0"/>
      <c r="EVL83" s="0"/>
      <c r="EVM83" s="0"/>
      <c r="EVN83" s="0"/>
      <c r="EVO83" s="0"/>
      <c r="EVP83" s="0"/>
      <c r="EVQ83" s="0"/>
      <c r="EVR83" s="0"/>
      <c r="EVS83" s="0"/>
      <c r="EVT83" s="0"/>
      <c r="EVU83" s="0"/>
      <c r="EVV83" s="0"/>
      <c r="EVW83" s="0"/>
      <c r="EVX83" s="0"/>
      <c r="EVY83" s="0"/>
      <c r="EVZ83" s="0"/>
      <c r="EWA83" s="0"/>
      <c r="EWB83" s="0"/>
      <c r="EWC83" s="0"/>
      <c r="EWD83" s="0"/>
      <c r="EWE83" s="0"/>
      <c r="EWF83" s="0"/>
      <c r="EWG83" s="0"/>
      <c r="EWH83" s="0"/>
      <c r="EWI83" s="0"/>
      <c r="EWJ83" s="0"/>
      <c r="EWK83" s="0"/>
      <c r="EWL83" s="0"/>
      <c r="EWM83" s="0"/>
      <c r="EWN83" s="0"/>
      <c r="EWO83" s="0"/>
      <c r="EWP83" s="0"/>
      <c r="EWQ83" s="0"/>
      <c r="EWR83" s="0"/>
      <c r="EWS83" s="0"/>
      <c r="EWT83" s="0"/>
      <c r="EWU83" s="0"/>
      <c r="EWV83" s="0"/>
      <c r="EWW83" s="0"/>
      <c r="EWX83" s="0"/>
      <c r="EWY83" s="0"/>
      <c r="EWZ83" s="0"/>
      <c r="EXA83" s="0"/>
      <c r="EXB83" s="0"/>
      <c r="EXC83" s="0"/>
      <c r="EXD83" s="0"/>
      <c r="EXE83" s="0"/>
      <c r="EXF83" s="0"/>
      <c r="EXG83" s="0"/>
      <c r="EXH83" s="0"/>
      <c r="EXI83" s="0"/>
      <c r="EXJ83" s="0"/>
      <c r="EXK83" s="0"/>
      <c r="EXL83" s="0"/>
      <c r="EXM83" s="0"/>
      <c r="EXN83" s="0"/>
      <c r="EXO83" s="0"/>
      <c r="EXP83" s="0"/>
      <c r="EXQ83" s="0"/>
      <c r="EXR83" s="0"/>
      <c r="EXS83" s="0"/>
      <c r="EXT83" s="0"/>
      <c r="EXU83" s="0"/>
      <c r="EXV83" s="0"/>
      <c r="EXW83" s="0"/>
      <c r="EXX83" s="0"/>
      <c r="EXY83" s="0"/>
      <c r="EXZ83" s="0"/>
      <c r="EYA83" s="0"/>
      <c r="EYB83" s="0"/>
      <c r="EYC83" s="0"/>
      <c r="EYD83" s="0"/>
      <c r="EYE83" s="0"/>
      <c r="EYF83" s="0"/>
      <c r="EYG83" s="0"/>
      <c r="EYH83" s="0"/>
      <c r="EYI83" s="0"/>
      <c r="EYJ83" s="0"/>
      <c r="EYK83" s="0"/>
      <c r="EYL83" s="0"/>
      <c r="EYM83" s="0"/>
      <c r="EYN83" s="0"/>
      <c r="EYO83" s="0"/>
      <c r="EYP83" s="0"/>
      <c r="EYQ83" s="0"/>
      <c r="EYR83" s="0"/>
      <c r="EYS83" s="0"/>
      <c r="EYT83" s="0"/>
      <c r="EYU83" s="0"/>
      <c r="EYV83" s="0"/>
      <c r="EYW83" s="0"/>
      <c r="EYX83" s="0"/>
      <c r="EYY83" s="0"/>
      <c r="EYZ83" s="0"/>
      <c r="EZA83" s="0"/>
      <c r="EZB83" s="0"/>
      <c r="EZC83" s="0"/>
      <c r="EZD83" s="0"/>
      <c r="EZE83" s="0"/>
      <c r="EZF83" s="0"/>
      <c r="EZG83" s="0"/>
      <c r="EZH83" s="0"/>
      <c r="EZI83" s="0"/>
      <c r="EZJ83" s="0"/>
      <c r="EZK83" s="0"/>
      <c r="EZL83" s="0"/>
      <c r="EZM83" s="0"/>
      <c r="EZN83" s="0"/>
      <c r="EZO83" s="0"/>
      <c r="EZP83" s="0"/>
      <c r="EZQ83" s="0"/>
      <c r="EZR83" s="0"/>
      <c r="EZS83" s="0"/>
      <c r="EZT83" s="0"/>
      <c r="EZU83" s="0"/>
      <c r="EZV83" s="0"/>
      <c r="EZW83" s="0"/>
      <c r="EZX83" s="0"/>
      <c r="EZY83" s="0"/>
      <c r="EZZ83" s="0"/>
      <c r="FAA83" s="0"/>
      <c r="FAB83" s="0"/>
      <c r="FAC83" s="0"/>
      <c r="FAD83" s="0"/>
      <c r="FAE83" s="0"/>
      <c r="FAF83" s="0"/>
      <c r="FAG83" s="0"/>
      <c r="FAH83" s="0"/>
      <c r="FAI83" s="0"/>
      <c r="FAJ83" s="0"/>
      <c r="FAK83" s="0"/>
      <c r="FAL83" s="0"/>
      <c r="FAM83" s="0"/>
      <c r="FAN83" s="0"/>
      <c r="FAO83" s="0"/>
      <c r="FAP83" s="0"/>
      <c r="FAQ83" s="0"/>
      <c r="FAR83" s="0"/>
      <c r="FAS83" s="0"/>
      <c r="FAT83" s="0"/>
      <c r="FAU83" s="0"/>
      <c r="FAV83" s="0"/>
      <c r="FAW83" s="0"/>
      <c r="FAX83" s="0"/>
      <c r="FAY83" s="0"/>
      <c r="FAZ83" s="0"/>
      <c r="FBA83" s="0"/>
      <c r="FBB83" s="0"/>
      <c r="FBC83" s="0"/>
      <c r="FBD83" s="0"/>
      <c r="FBE83" s="0"/>
      <c r="FBF83" s="0"/>
      <c r="FBG83" s="0"/>
      <c r="FBH83" s="0"/>
      <c r="FBI83" s="0"/>
      <c r="FBJ83" s="0"/>
      <c r="FBK83" s="0"/>
      <c r="FBL83" s="0"/>
      <c r="FBM83" s="0"/>
      <c r="FBN83" s="0"/>
      <c r="FBO83" s="0"/>
      <c r="FBP83" s="0"/>
      <c r="FBQ83" s="0"/>
      <c r="FBR83" s="0"/>
      <c r="FBS83" s="0"/>
      <c r="FBT83" s="0"/>
      <c r="FBU83" s="0"/>
      <c r="FBV83" s="0"/>
      <c r="FBW83" s="0"/>
      <c r="FBX83" s="0"/>
      <c r="FBY83" s="0"/>
      <c r="FBZ83" s="0"/>
      <c r="FCA83" s="0"/>
      <c r="FCB83" s="0"/>
      <c r="FCC83" s="0"/>
      <c r="FCD83" s="0"/>
      <c r="FCE83" s="0"/>
      <c r="FCF83" s="0"/>
      <c r="FCG83" s="0"/>
      <c r="FCH83" s="0"/>
      <c r="FCI83" s="0"/>
      <c r="FCJ83" s="0"/>
      <c r="FCK83" s="0"/>
      <c r="FCL83" s="0"/>
      <c r="FCM83" s="0"/>
      <c r="FCN83" s="0"/>
      <c r="FCO83" s="0"/>
      <c r="FCP83" s="0"/>
      <c r="FCQ83" s="0"/>
      <c r="FCR83" s="0"/>
      <c r="FCS83" s="0"/>
      <c r="FCT83" s="0"/>
      <c r="FCU83" s="0"/>
      <c r="FCV83" s="0"/>
      <c r="FCW83" s="0"/>
      <c r="FCX83" s="0"/>
      <c r="FCY83" s="0"/>
      <c r="FCZ83" s="0"/>
      <c r="FDA83" s="0"/>
      <c r="FDB83" s="0"/>
      <c r="FDC83" s="0"/>
      <c r="FDD83" s="0"/>
      <c r="FDE83" s="0"/>
      <c r="FDF83" s="0"/>
      <c r="FDG83" s="0"/>
      <c r="FDH83" s="0"/>
      <c r="FDI83" s="0"/>
      <c r="FDJ83" s="0"/>
      <c r="FDK83" s="0"/>
      <c r="FDL83" s="0"/>
      <c r="FDM83" s="0"/>
      <c r="FDN83" s="0"/>
      <c r="FDO83" s="0"/>
      <c r="FDP83" s="0"/>
      <c r="FDQ83" s="0"/>
      <c r="FDR83" s="0"/>
      <c r="FDS83" s="0"/>
      <c r="FDT83" s="0"/>
      <c r="FDU83" s="0"/>
      <c r="FDV83" s="0"/>
      <c r="FDW83" s="0"/>
      <c r="FDX83" s="0"/>
      <c r="FDY83" s="0"/>
      <c r="FDZ83" s="0"/>
      <c r="FEA83" s="0"/>
      <c r="FEB83" s="0"/>
      <c r="FEC83" s="0"/>
      <c r="FED83" s="0"/>
      <c r="FEE83" s="0"/>
      <c r="FEF83" s="0"/>
      <c r="FEG83" s="0"/>
      <c r="FEH83" s="0"/>
      <c r="FEI83" s="0"/>
      <c r="FEJ83" s="0"/>
      <c r="FEK83" s="0"/>
      <c r="FEL83" s="0"/>
      <c r="FEM83" s="0"/>
      <c r="FEN83" s="0"/>
      <c r="FEO83" s="0"/>
      <c r="FEP83" s="0"/>
      <c r="FEQ83" s="0"/>
      <c r="FER83" s="0"/>
      <c r="FES83" s="0"/>
      <c r="FET83" s="0"/>
      <c r="FEU83" s="0"/>
      <c r="FEV83" s="0"/>
      <c r="FEW83" s="0"/>
      <c r="FEX83" s="0"/>
      <c r="FEY83" s="0"/>
      <c r="FEZ83" s="0"/>
      <c r="FFA83" s="0"/>
      <c r="FFB83" s="0"/>
      <c r="FFC83" s="0"/>
      <c r="FFD83" s="0"/>
      <c r="FFE83" s="0"/>
      <c r="FFF83" s="0"/>
      <c r="FFG83" s="0"/>
      <c r="FFH83" s="0"/>
      <c r="FFI83" s="0"/>
      <c r="FFJ83" s="0"/>
      <c r="FFK83" s="0"/>
      <c r="FFL83" s="0"/>
      <c r="FFM83" s="0"/>
      <c r="FFN83" s="0"/>
      <c r="FFO83" s="0"/>
      <c r="FFP83" s="0"/>
      <c r="FFQ83" s="0"/>
      <c r="FFR83" s="0"/>
      <c r="FFS83" s="0"/>
      <c r="FFT83" s="0"/>
      <c r="FFU83" s="0"/>
      <c r="FFV83" s="0"/>
      <c r="FFW83" s="0"/>
      <c r="FFX83" s="0"/>
      <c r="FFY83" s="0"/>
      <c r="FFZ83" s="0"/>
      <c r="FGA83" s="0"/>
      <c r="FGB83" s="0"/>
      <c r="FGC83" s="0"/>
      <c r="FGD83" s="0"/>
      <c r="FGE83" s="0"/>
      <c r="FGF83" s="0"/>
      <c r="FGG83" s="0"/>
      <c r="FGH83" s="0"/>
      <c r="FGI83" s="0"/>
      <c r="FGJ83" s="0"/>
      <c r="FGK83" s="0"/>
      <c r="FGL83" s="0"/>
      <c r="FGM83" s="0"/>
      <c r="FGN83" s="0"/>
      <c r="FGO83" s="0"/>
      <c r="FGP83" s="0"/>
      <c r="FGQ83" s="0"/>
      <c r="FGR83" s="0"/>
      <c r="FGS83" s="0"/>
      <c r="FGT83" s="0"/>
      <c r="FGU83" s="0"/>
      <c r="FGV83" s="0"/>
      <c r="FGW83" s="0"/>
      <c r="FGX83" s="0"/>
      <c r="FGY83" s="0"/>
      <c r="FGZ83" s="0"/>
      <c r="FHA83" s="0"/>
      <c r="FHB83" s="0"/>
      <c r="FHC83" s="0"/>
      <c r="FHD83" s="0"/>
      <c r="FHE83" s="0"/>
      <c r="FHF83" s="0"/>
      <c r="FHG83" s="0"/>
      <c r="FHH83" s="0"/>
      <c r="FHI83" s="0"/>
      <c r="FHJ83" s="0"/>
      <c r="FHK83" s="0"/>
      <c r="FHL83" s="0"/>
      <c r="FHM83" s="0"/>
      <c r="FHN83" s="0"/>
      <c r="FHO83" s="0"/>
      <c r="FHP83" s="0"/>
      <c r="FHQ83" s="0"/>
      <c r="FHR83" s="0"/>
      <c r="FHS83" s="0"/>
      <c r="FHT83" s="0"/>
      <c r="FHU83" s="0"/>
      <c r="FHV83" s="0"/>
      <c r="FHW83" s="0"/>
      <c r="FHX83" s="0"/>
      <c r="FHY83" s="0"/>
      <c r="FHZ83" s="0"/>
      <c r="FIA83" s="0"/>
      <c r="FIB83" s="0"/>
      <c r="FIC83" s="0"/>
      <c r="FID83" s="0"/>
      <c r="FIE83" s="0"/>
      <c r="FIF83" s="0"/>
      <c r="FIG83" s="0"/>
      <c r="FIH83" s="0"/>
      <c r="FII83" s="0"/>
      <c r="FIJ83" s="0"/>
      <c r="FIK83" s="0"/>
      <c r="FIL83" s="0"/>
      <c r="FIM83" s="0"/>
      <c r="FIN83" s="0"/>
      <c r="FIO83" s="0"/>
      <c r="FIP83" s="0"/>
      <c r="FIQ83" s="0"/>
      <c r="FIR83" s="0"/>
      <c r="FIS83" s="0"/>
      <c r="FIT83" s="0"/>
      <c r="FIU83" s="0"/>
      <c r="FIV83" s="0"/>
      <c r="FIW83" s="0"/>
      <c r="FIX83" s="0"/>
      <c r="FIY83" s="0"/>
      <c r="FIZ83" s="0"/>
      <c r="FJA83" s="0"/>
      <c r="FJB83" s="0"/>
      <c r="FJC83" s="0"/>
      <c r="FJD83" s="0"/>
      <c r="FJE83" s="0"/>
      <c r="FJF83" s="0"/>
      <c r="FJG83" s="0"/>
      <c r="FJH83" s="0"/>
      <c r="FJI83" s="0"/>
      <c r="FJJ83" s="0"/>
      <c r="FJK83" s="0"/>
      <c r="FJL83" s="0"/>
      <c r="FJM83" s="0"/>
      <c r="FJN83" s="0"/>
      <c r="FJO83" s="0"/>
      <c r="FJP83" s="0"/>
      <c r="FJQ83" s="0"/>
      <c r="FJR83" s="0"/>
      <c r="FJS83" s="0"/>
      <c r="FJT83" s="0"/>
      <c r="FJU83" s="0"/>
      <c r="FJV83" s="0"/>
      <c r="FJW83" s="0"/>
      <c r="FJX83" s="0"/>
      <c r="FJY83" s="0"/>
      <c r="FJZ83" s="0"/>
      <c r="FKA83" s="0"/>
      <c r="FKB83" s="0"/>
      <c r="FKC83" s="0"/>
      <c r="FKD83" s="0"/>
      <c r="FKE83" s="0"/>
      <c r="FKF83" s="0"/>
      <c r="FKG83" s="0"/>
      <c r="FKH83" s="0"/>
      <c r="FKI83" s="0"/>
      <c r="FKJ83" s="0"/>
      <c r="FKK83" s="0"/>
      <c r="FKL83" s="0"/>
      <c r="FKM83" s="0"/>
      <c r="FKN83" s="0"/>
      <c r="FKO83" s="0"/>
      <c r="FKP83" s="0"/>
      <c r="FKQ83" s="0"/>
      <c r="FKR83" s="0"/>
      <c r="FKS83" s="0"/>
      <c r="FKT83" s="0"/>
      <c r="FKU83" s="0"/>
      <c r="FKV83" s="0"/>
      <c r="FKW83" s="0"/>
      <c r="FKX83" s="0"/>
      <c r="FKY83" s="0"/>
      <c r="FKZ83" s="0"/>
      <c r="FLA83" s="0"/>
      <c r="FLB83" s="0"/>
      <c r="FLC83" s="0"/>
      <c r="FLD83" s="0"/>
      <c r="FLE83" s="0"/>
      <c r="FLF83" s="0"/>
      <c r="FLG83" s="0"/>
      <c r="FLH83" s="0"/>
      <c r="FLI83" s="0"/>
      <c r="FLJ83" s="0"/>
      <c r="FLK83" s="0"/>
      <c r="FLL83" s="0"/>
      <c r="FLM83" s="0"/>
      <c r="FLN83" s="0"/>
      <c r="FLO83" s="0"/>
      <c r="FLP83" s="0"/>
      <c r="FLQ83" s="0"/>
      <c r="FLR83" s="0"/>
      <c r="FLS83" s="0"/>
      <c r="FLT83" s="0"/>
      <c r="FLU83" s="0"/>
      <c r="FLV83" s="0"/>
      <c r="FLW83" s="0"/>
      <c r="FLX83" s="0"/>
      <c r="FLY83" s="0"/>
      <c r="FLZ83" s="0"/>
      <c r="FMA83" s="0"/>
      <c r="FMB83" s="0"/>
      <c r="FMC83" s="0"/>
      <c r="FMD83" s="0"/>
      <c r="FME83" s="0"/>
      <c r="FMF83" s="0"/>
      <c r="FMG83" s="0"/>
      <c r="FMH83" s="0"/>
      <c r="FMI83" s="0"/>
      <c r="FMJ83" s="0"/>
      <c r="FMK83" s="0"/>
      <c r="FML83" s="0"/>
      <c r="FMM83" s="0"/>
      <c r="FMN83" s="0"/>
      <c r="FMO83" s="0"/>
      <c r="FMP83" s="0"/>
      <c r="FMQ83" s="0"/>
      <c r="FMR83" s="0"/>
      <c r="FMS83" s="0"/>
      <c r="FMT83" s="0"/>
      <c r="FMU83" s="0"/>
      <c r="FMV83" s="0"/>
      <c r="FMW83" s="0"/>
      <c r="FMX83" s="0"/>
      <c r="FMY83" s="0"/>
      <c r="FMZ83" s="0"/>
      <c r="FNA83" s="0"/>
      <c r="FNB83" s="0"/>
      <c r="FNC83" s="0"/>
      <c r="FND83" s="0"/>
      <c r="FNE83" s="0"/>
      <c r="FNF83" s="0"/>
      <c r="FNG83" s="0"/>
      <c r="FNH83" s="0"/>
      <c r="FNI83" s="0"/>
      <c r="FNJ83" s="0"/>
      <c r="FNK83" s="0"/>
      <c r="FNL83" s="0"/>
      <c r="FNM83" s="0"/>
      <c r="FNN83" s="0"/>
      <c r="FNO83" s="0"/>
      <c r="FNP83" s="0"/>
      <c r="FNQ83" s="0"/>
      <c r="FNR83" s="0"/>
      <c r="FNS83" s="0"/>
      <c r="FNT83" s="0"/>
      <c r="FNU83" s="0"/>
      <c r="FNV83" s="0"/>
      <c r="FNW83" s="0"/>
      <c r="FNX83" s="0"/>
      <c r="FNY83" s="0"/>
      <c r="FNZ83" s="0"/>
      <c r="FOA83" s="0"/>
      <c r="FOB83" s="0"/>
      <c r="FOC83" s="0"/>
      <c r="FOD83" s="0"/>
      <c r="FOE83" s="0"/>
      <c r="FOF83" s="0"/>
      <c r="FOG83" s="0"/>
      <c r="FOH83" s="0"/>
      <c r="FOI83" s="0"/>
      <c r="FOJ83" s="0"/>
      <c r="FOK83" s="0"/>
      <c r="FOL83" s="0"/>
      <c r="FOM83" s="0"/>
      <c r="FON83" s="0"/>
      <c r="FOO83" s="0"/>
      <c r="FOP83" s="0"/>
      <c r="FOQ83" s="0"/>
      <c r="FOR83" s="0"/>
      <c r="FOS83" s="0"/>
      <c r="FOT83" s="0"/>
      <c r="FOU83" s="0"/>
      <c r="FOV83" s="0"/>
      <c r="FOW83" s="0"/>
      <c r="FOX83" s="0"/>
      <c r="FOY83" s="0"/>
      <c r="FOZ83" s="0"/>
      <c r="FPA83" s="0"/>
      <c r="FPB83" s="0"/>
      <c r="FPC83" s="0"/>
      <c r="FPD83" s="0"/>
      <c r="FPE83" s="0"/>
      <c r="FPF83" s="0"/>
      <c r="FPG83" s="0"/>
      <c r="FPH83" s="0"/>
      <c r="FPI83" s="0"/>
      <c r="FPJ83" s="0"/>
      <c r="FPK83" s="0"/>
      <c r="FPL83" s="0"/>
      <c r="FPM83" s="0"/>
      <c r="FPN83" s="0"/>
      <c r="FPO83" s="0"/>
      <c r="FPP83" s="0"/>
      <c r="FPQ83" s="0"/>
      <c r="FPR83" s="0"/>
      <c r="FPS83" s="0"/>
      <c r="FPT83" s="0"/>
      <c r="FPU83" s="0"/>
      <c r="FPV83" s="0"/>
      <c r="FPW83" s="0"/>
      <c r="FPX83" s="0"/>
      <c r="FPY83" s="0"/>
      <c r="FPZ83" s="0"/>
      <c r="FQA83" s="0"/>
      <c r="FQB83" s="0"/>
      <c r="FQC83" s="0"/>
      <c r="FQD83" s="0"/>
      <c r="FQE83" s="0"/>
      <c r="FQF83" s="0"/>
      <c r="FQG83" s="0"/>
      <c r="FQH83" s="0"/>
      <c r="FQI83" s="0"/>
      <c r="FQJ83" s="0"/>
      <c r="FQK83" s="0"/>
      <c r="FQL83" s="0"/>
      <c r="FQM83" s="0"/>
      <c r="FQN83" s="0"/>
      <c r="FQO83" s="0"/>
      <c r="FQP83" s="0"/>
      <c r="FQQ83" s="0"/>
      <c r="FQR83" s="0"/>
      <c r="FQS83" s="0"/>
      <c r="FQT83" s="0"/>
      <c r="FQU83" s="0"/>
      <c r="FQV83" s="0"/>
      <c r="FQW83" s="0"/>
      <c r="FQX83" s="0"/>
      <c r="FQY83" s="0"/>
      <c r="FQZ83" s="0"/>
      <c r="FRA83" s="0"/>
      <c r="FRB83" s="0"/>
      <c r="FRC83" s="0"/>
      <c r="FRD83" s="0"/>
      <c r="FRE83" s="0"/>
      <c r="FRF83" s="0"/>
      <c r="FRG83" s="0"/>
      <c r="FRH83" s="0"/>
      <c r="FRI83" s="0"/>
      <c r="FRJ83" s="0"/>
      <c r="FRK83" s="0"/>
      <c r="FRL83" s="0"/>
      <c r="FRM83" s="0"/>
      <c r="FRN83" s="0"/>
      <c r="FRO83" s="0"/>
      <c r="FRP83" s="0"/>
      <c r="FRQ83" s="0"/>
      <c r="FRR83" s="0"/>
      <c r="FRS83" s="0"/>
      <c r="FRT83" s="0"/>
      <c r="FRU83" s="0"/>
      <c r="FRV83" s="0"/>
      <c r="FRW83" s="0"/>
      <c r="FRX83" s="0"/>
      <c r="FRY83" s="0"/>
      <c r="FRZ83" s="0"/>
      <c r="FSA83" s="0"/>
      <c r="FSB83" s="0"/>
      <c r="FSC83" s="0"/>
      <c r="FSD83" s="0"/>
      <c r="FSE83" s="0"/>
      <c r="FSF83" s="0"/>
      <c r="FSG83" s="0"/>
      <c r="FSH83" s="0"/>
      <c r="FSI83" s="0"/>
      <c r="FSJ83" s="0"/>
      <c r="FSK83" s="0"/>
      <c r="FSL83" s="0"/>
      <c r="FSM83" s="0"/>
      <c r="FSN83" s="0"/>
      <c r="FSO83" s="0"/>
      <c r="FSP83" s="0"/>
      <c r="FSQ83" s="0"/>
      <c r="FSR83" s="0"/>
      <c r="FSS83" s="0"/>
      <c r="FST83" s="0"/>
      <c r="FSU83" s="0"/>
      <c r="FSV83" s="0"/>
      <c r="FSW83" s="0"/>
      <c r="FSX83" s="0"/>
      <c r="FSY83" s="0"/>
      <c r="FSZ83" s="0"/>
      <c r="FTA83" s="0"/>
      <c r="FTB83" s="0"/>
      <c r="FTC83" s="0"/>
      <c r="FTD83" s="0"/>
      <c r="FTE83" s="0"/>
      <c r="FTF83" s="0"/>
      <c r="FTG83" s="0"/>
      <c r="FTH83" s="0"/>
      <c r="FTI83" s="0"/>
      <c r="FTJ83" s="0"/>
      <c r="FTK83" s="0"/>
      <c r="FTL83" s="0"/>
      <c r="FTM83" s="0"/>
      <c r="FTN83" s="0"/>
      <c r="FTO83" s="0"/>
      <c r="FTP83" s="0"/>
      <c r="FTQ83" s="0"/>
      <c r="FTR83" s="0"/>
      <c r="FTS83" s="0"/>
      <c r="FTT83" s="0"/>
      <c r="FTU83" s="0"/>
      <c r="FTV83" s="0"/>
      <c r="FTW83" s="0"/>
      <c r="FTX83" s="0"/>
      <c r="FTY83" s="0"/>
      <c r="FTZ83" s="0"/>
      <c r="FUA83" s="0"/>
      <c r="FUB83" s="0"/>
      <c r="FUC83" s="0"/>
      <c r="FUD83" s="0"/>
      <c r="FUE83" s="0"/>
      <c r="FUF83" s="0"/>
      <c r="FUG83" s="0"/>
      <c r="FUH83" s="0"/>
      <c r="FUI83" s="0"/>
      <c r="FUJ83" s="0"/>
      <c r="FUK83" s="0"/>
      <c r="FUL83" s="0"/>
      <c r="FUM83" s="0"/>
      <c r="FUN83" s="0"/>
      <c r="FUO83" s="0"/>
      <c r="FUP83" s="0"/>
      <c r="FUQ83" s="0"/>
      <c r="FUR83" s="0"/>
      <c r="FUS83" s="0"/>
      <c r="FUT83" s="0"/>
      <c r="FUU83" s="0"/>
      <c r="FUV83" s="0"/>
      <c r="FUW83" s="0"/>
      <c r="FUX83" s="0"/>
      <c r="FUY83" s="0"/>
      <c r="FUZ83" s="0"/>
      <c r="FVA83" s="0"/>
      <c r="FVB83" s="0"/>
      <c r="FVC83" s="0"/>
      <c r="FVD83" s="0"/>
      <c r="FVE83" s="0"/>
      <c r="FVF83" s="0"/>
      <c r="FVG83" s="0"/>
      <c r="FVH83" s="0"/>
      <c r="FVI83" s="0"/>
      <c r="FVJ83" s="0"/>
      <c r="FVK83" s="0"/>
      <c r="FVL83" s="0"/>
      <c r="FVM83" s="0"/>
      <c r="FVN83" s="0"/>
      <c r="FVO83" s="0"/>
      <c r="FVP83" s="0"/>
      <c r="FVQ83" s="0"/>
      <c r="FVR83" s="0"/>
      <c r="FVS83" s="0"/>
      <c r="FVT83" s="0"/>
      <c r="FVU83" s="0"/>
      <c r="FVV83" s="0"/>
      <c r="FVW83" s="0"/>
      <c r="FVX83" s="0"/>
      <c r="FVY83" s="0"/>
      <c r="FVZ83" s="0"/>
      <c r="FWA83" s="0"/>
      <c r="FWB83" s="0"/>
      <c r="FWC83" s="0"/>
      <c r="FWD83" s="0"/>
      <c r="FWE83" s="0"/>
      <c r="FWF83" s="0"/>
      <c r="FWG83" s="0"/>
      <c r="FWH83" s="0"/>
      <c r="FWI83" s="0"/>
      <c r="FWJ83" s="0"/>
      <c r="FWK83" s="0"/>
      <c r="FWL83" s="0"/>
      <c r="FWM83" s="0"/>
      <c r="FWN83" s="0"/>
      <c r="FWO83" s="0"/>
      <c r="FWP83" s="0"/>
      <c r="FWQ83" s="0"/>
      <c r="FWR83" s="0"/>
      <c r="FWS83" s="0"/>
      <c r="FWT83" s="0"/>
      <c r="FWU83" s="0"/>
      <c r="FWV83" s="0"/>
      <c r="FWW83" s="0"/>
      <c r="FWX83" s="0"/>
      <c r="FWY83" s="0"/>
      <c r="FWZ83" s="0"/>
      <c r="FXA83" s="0"/>
      <c r="FXB83" s="0"/>
      <c r="FXC83" s="0"/>
      <c r="FXD83" s="0"/>
      <c r="FXE83" s="0"/>
      <c r="FXF83" s="0"/>
      <c r="FXG83" s="0"/>
      <c r="FXH83" s="0"/>
      <c r="FXI83" s="0"/>
      <c r="FXJ83" s="0"/>
      <c r="FXK83" s="0"/>
      <c r="FXL83" s="0"/>
      <c r="FXM83" s="0"/>
      <c r="FXN83" s="0"/>
      <c r="FXO83" s="0"/>
      <c r="FXP83" s="0"/>
      <c r="FXQ83" s="0"/>
      <c r="FXR83" s="0"/>
      <c r="FXS83" s="0"/>
      <c r="FXT83" s="0"/>
      <c r="FXU83" s="0"/>
      <c r="FXV83" s="0"/>
      <c r="FXW83" s="0"/>
      <c r="FXX83" s="0"/>
      <c r="FXY83" s="0"/>
      <c r="FXZ83" s="0"/>
      <c r="FYA83" s="0"/>
      <c r="FYB83" s="0"/>
      <c r="FYC83" s="0"/>
      <c r="FYD83" s="0"/>
      <c r="FYE83" s="0"/>
      <c r="FYF83" s="0"/>
      <c r="FYG83" s="0"/>
      <c r="FYH83" s="0"/>
      <c r="FYI83" s="0"/>
      <c r="FYJ83" s="0"/>
      <c r="FYK83" s="0"/>
      <c r="FYL83" s="0"/>
      <c r="FYM83" s="0"/>
      <c r="FYN83" s="0"/>
      <c r="FYO83" s="0"/>
      <c r="FYP83" s="0"/>
      <c r="FYQ83" s="0"/>
      <c r="FYR83" s="0"/>
      <c r="FYS83" s="0"/>
      <c r="FYT83" s="0"/>
      <c r="FYU83" s="0"/>
      <c r="FYV83" s="0"/>
      <c r="FYW83" s="0"/>
      <c r="FYX83" s="0"/>
      <c r="FYY83" s="0"/>
      <c r="FYZ83" s="0"/>
      <c r="FZA83" s="0"/>
      <c r="FZB83" s="0"/>
      <c r="FZC83" s="0"/>
      <c r="FZD83" s="0"/>
      <c r="FZE83" s="0"/>
      <c r="FZF83" s="0"/>
      <c r="FZG83" s="0"/>
      <c r="FZH83" s="0"/>
      <c r="FZI83" s="0"/>
      <c r="FZJ83" s="0"/>
      <c r="FZK83" s="0"/>
      <c r="FZL83" s="0"/>
      <c r="FZM83" s="0"/>
      <c r="FZN83" s="0"/>
      <c r="FZO83" s="0"/>
      <c r="FZP83" s="0"/>
      <c r="FZQ83" s="0"/>
      <c r="FZR83" s="0"/>
      <c r="FZS83" s="0"/>
      <c r="FZT83" s="0"/>
      <c r="FZU83" s="0"/>
      <c r="FZV83" s="0"/>
      <c r="FZW83" s="0"/>
      <c r="FZX83" s="0"/>
      <c r="FZY83" s="0"/>
      <c r="FZZ83" s="0"/>
      <c r="GAA83" s="0"/>
      <c r="GAB83" s="0"/>
      <c r="GAC83" s="0"/>
      <c r="GAD83" s="0"/>
      <c r="GAE83" s="0"/>
      <c r="GAF83" s="0"/>
      <c r="GAG83" s="0"/>
      <c r="GAH83" s="0"/>
      <c r="GAI83" s="0"/>
      <c r="GAJ83" s="0"/>
      <c r="GAK83" s="0"/>
      <c r="GAL83" s="0"/>
      <c r="GAM83" s="0"/>
      <c r="GAN83" s="0"/>
      <c r="GAO83" s="0"/>
      <c r="GAP83" s="0"/>
      <c r="GAQ83" s="0"/>
      <c r="GAR83" s="0"/>
      <c r="GAS83" s="0"/>
      <c r="GAT83" s="0"/>
      <c r="GAU83" s="0"/>
      <c r="GAV83" s="0"/>
      <c r="GAW83" s="0"/>
      <c r="GAX83" s="0"/>
      <c r="GAY83" s="0"/>
      <c r="GAZ83" s="0"/>
      <c r="GBA83" s="0"/>
      <c r="GBB83" s="0"/>
      <c r="GBC83" s="0"/>
      <c r="GBD83" s="0"/>
      <c r="GBE83" s="0"/>
      <c r="GBF83" s="0"/>
      <c r="GBG83" s="0"/>
      <c r="GBH83" s="0"/>
      <c r="GBI83" s="0"/>
      <c r="GBJ83" s="0"/>
      <c r="GBK83" s="0"/>
      <c r="GBL83" s="0"/>
      <c r="GBM83" s="0"/>
      <c r="GBN83" s="0"/>
      <c r="GBO83" s="0"/>
      <c r="GBP83" s="0"/>
      <c r="GBQ83" s="0"/>
      <c r="GBR83" s="0"/>
      <c r="GBS83" s="0"/>
      <c r="GBT83" s="0"/>
      <c r="GBU83" s="0"/>
      <c r="GBV83" s="0"/>
      <c r="GBW83" s="0"/>
      <c r="GBX83" s="0"/>
      <c r="GBY83" s="0"/>
      <c r="GBZ83" s="0"/>
      <c r="GCA83" s="0"/>
      <c r="GCB83" s="0"/>
      <c r="GCC83" s="0"/>
      <c r="GCD83" s="0"/>
      <c r="GCE83" s="0"/>
      <c r="GCF83" s="0"/>
      <c r="GCG83" s="0"/>
      <c r="GCH83" s="0"/>
      <c r="GCI83" s="0"/>
      <c r="GCJ83" s="0"/>
      <c r="GCK83" s="0"/>
      <c r="GCL83" s="0"/>
      <c r="GCM83" s="0"/>
      <c r="GCN83" s="0"/>
      <c r="GCO83" s="0"/>
      <c r="GCP83" s="0"/>
      <c r="GCQ83" s="0"/>
      <c r="GCR83" s="0"/>
      <c r="GCS83" s="0"/>
      <c r="GCT83" s="0"/>
      <c r="GCU83" s="0"/>
      <c r="GCV83" s="0"/>
      <c r="GCW83" s="0"/>
      <c r="GCX83" s="0"/>
      <c r="GCY83" s="0"/>
      <c r="GCZ83" s="0"/>
      <c r="GDA83" s="0"/>
      <c r="GDB83" s="0"/>
      <c r="GDC83" s="0"/>
      <c r="GDD83" s="0"/>
      <c r="GDE83" s="0"/>
      <c r="GDF83" s="0"/>
      <c r="GDG83" s="0"/>
      <c r="GDH83" s="0"/>
      <c r="GDI83" s="0"/>
      <c r="GDJ83" s="0"/>
      <c r="GDK83" s="0"/>
      <c r="GDL83" s="0"/>
      <c r="GDM83" s="0"/>
      <c r="GDN83" s="0"/>
      <c r="GDO83" s="0"/>
      <c r="GDP83" s="0"/>
      <c r="GDQ83" s="0"/>
      <c r="GDR83" s="0"/>
      <c r="GDS83" s="0"/>
      <c r="GDT83" s="0"/>
      <c r="GDU83" s="0"/>
      <c r="GDV83" s="0"/>
      <c r="GDW83" s="0"/>
      <c r="GDX83" s="0"/>
      <c r="GDY83" s="0"/>
      <c r="GDZ83" s="0"/>
      <c r="GEA83" s="0"/>
      <c r="GEB83" s="0"/>
      <c r="GEC83" s="0"/>
      <c r="GED83" s="0"/>
      <c r="GEE83" s="0"/>
      <c r="GEF83" s="0"/>
      <c r="GEG83" s="0"/>
      <c r="GEH83" s="0"/>
      <c r="GEI83" s="0"/>
      <c r="GEJ83" s="0"/>
      <c r="GEK83" s="0"/>
      <c r="GEL83" s="0"/>
      <c r="GEM83" s="0"/>
      <c r="GEN83" s="0"/>
      <c r="GEO83" s="0"/>
      <c r="GEP83" s="0"/>
      <c r="GEQ83" s="0"/>
      <c r="GER83" s="0"/>
      <c r="GES83" s="0"/>
      <c r="GET83" s="0"/>
      <c r="GEU83" s="0"/>
      <c r="GEV83" s="0"/>
      <c r="GEW83" s="0"/>
      <c r="GEX83" s="0"/>
      <c r="GEY83" s="0"/>
      <c r="GEZ83" s="0"/>
      <c r="GFA83" s="0"/>
      <c r="GFB83" s="0"/>
      <c r="GFC83" s="0"/>
      <c r="GFD83" s="0"/>
      <c r="GFE83" s="0"/>
      <c r="GFF83" s="0"/>
      <c r="GFG83" s="0"/>
      <c r="GFH83" s="0"/>
      <c r="GFI83" s="0"/>
      <c r="GFJ83" s="0"/>
      <c r="GFK83" s="0"/>
      <c r="GFL83" s="0"/>
      <c r="GFM83" s="0"/>
      <c r="GFN83" s="0"/>
      <c r="GFO83" s="0"/>
      <c r="GFP83" s="0"/>
      <c r="GFQ83" s="0"/>
      <c r="GFR83" s="0"/>
      <c r="GFS83" s="0"/>
      <c r="GFT83" s="0"/>
      <c r="GFU83" s="0"/>
      <c r="GFV83" s="0"/>
      <c r="GFW83" s="0"/>
      <c r="GFX83" s="0"/>
      <c r="GFY83" s="0"/>
      <c r="GFZ83" s="0"/>
      <c r="GGA83" s="0"/>
      <c r="GGB83" s="0"/>
      <c r="GGC83" s="0"/>
      <c r="GGD83" s="0"/>
      <c r="GGE83" s="0"/>
      <c r="GGF83" s="0"/>
      <c r="GGG83" s="0"/>
      <c r="GGH83" s="0"/>
      <c r="GGI83" s="0"/>
      <c r="GGJ83" s="0"/>
      <c r="GGK83" s="0"/>
      <c r="GGL83" s="0"/>
      <c r="GGM83" s="0"/>
      <c r="GGN83" s="0"/>
      <c r="GGO83" s="0"/>
      <c r="GGP83" s="0"/>
      <c r="GGQ83" s="0"/>
      <c r="GGR83" s="0"/>
      <c r="GGS83" s="0"/>
      <c r="GGT83" s="0"/>
      <c r="GGU83" s="0"/>
      <c r="GGV83" s="0"/>
      <c r="GGW83" s="0"/>
      <c r="GGX83" s="0"/>
      <c r="GGY83" s="0"/>
      <c r="GGZ83" s="0"/>
      <c r="GHA83" s="0"/>
      <c r="GHB83" s="0"/>
      <c r="GHC83" s="0"/>
      <c r="GHD83" s="0"/>
      <c r="GHE83" s="0"/>
      <c r="GHF83" s="0"/>
      <c r="GHG83" s="0"/>
      <c r="GHH83" s="0"/>
      <c r="GHI83" s="0"/>
      <c r="GHJ83" s="0"/>
      <c r="GHK83" s="0"/>
      <c r="GHL83" s="0"/>
      <c r="GHM83" s="0"/>
      <c r="GHN83" s="0"/>
      <c r="GHO83" s="0"/>
      <c r="GHP83" s="0"/>
      <c r="GHQ83" s="0"/>
      <c r="GHR83" s="0"/>
      <c r="GHS83" s="0"/>
      <c r="GHT83" s="0"/>
      <c r="GHU83" s="0"/>
      <c r="GHV83" s="0"/>
      <c r="GHW83" s="0"/>
      <c r="GHX83" s="0"/>
      <c r="GHY83" s="0"/>
      <c r="GHZ83" s="0"/>
      <c r="GIA83" s="0"/>
      <c r="GIB83" s="0"/>
      <c r="GIC83" s="0"/>
      <c r="GID83" s="0"/>
      <c r="GIE83" s="0"/>
      <c r="GIF83" s="0"/>
      <c r="GIG83" s="0"/>
      <c r="GIH83" s="0"/>
      <c r="GII83" s="0"/>
      <c r="GIJ83" s="0"/>
      <c r="GIK83" s="0"/>
      <c r="GIL83" s="0"/>
      <c r="GIM83" s="0"/>
      <c r="GIN83" s="0"/>
      <c r="GIO83" s="0"/>
      <c r="GIP83" s="0"/>
      <c r="GIQ83" s="0"/>
      <c r="GIR83" s="0"/>
      <c r="GIS83" s="0"/>
      <c r="GIT83" s="0"/>
      <c r="GIU83" s="0"/>
      <c r="GIV83" s="0"/>
      <c r="GIW83" s="0"/>
      <c r="GIX83" s="0"/>
      <c r="GIY83" s="0"/>
      <c r="GIZ83" s="0"/>
      <c r="GJA83" s="0"/>
      <c r="GJB83" s="0"/>
      <c r="GJC83" s="0"/>
      <c r="GJD83" s="0"/>
      <c r="GJE83" s="0"/>
      <c r="GJF83" s="0"/>
      <c r="GJG83" s="0"/>
      <c r="GJH83" s="0"/>
      <c r="GJI83" s="0"/>
      <c r="GJJ83" s="0"/>
      <c r="GJK83" s="0"/>
      <c r="GJL83" s="0"/>
      <c r="GJM83" s="0"/>
      <c r="GJN83" s="0"/>
      <c r="GJO83" s="0"/>
      <c r="GJP83" s="0"/>
      <c r="GJQ83" s="0"/>
      <c r="GJR83" s="0"/>
      <c r="GJS83" s="0"/>
      <c r="GJT83" s="0"/>
      <c r="GJU83" s="0"/>
      <c r="GJV83" s="0"/>
      <c r="GJW83" s="0"/>
      <c r="GJX83" s="0"/>
      <c r="GJY83" s="0"/>
      <c r="GJZ83" s="0"/>
      <c r="GKA83" s="0"/>
      <c r="GKB83" s="0"/>
      <c r="GKC83" s="0"/>
      <c r="GKD83" s="0"/>
      <c r="GKE83" s="0"/>
      <c r="GKF83" s="0"/>
      <c r="GKG83" s="0"/>
      <c r="GKH83" s="0"/>
      <c r="GKI83" s="0"/>
      <c r="GKJ83" s="0"/>
      <c r="GKK83" s="0"/>
      <c r="GKL83" s="0"/>
      <c r="GKM83" s="0"/>
      <c r="GKN83" s="0"/>
      <c r="GKO83" s="0"/>
      <c r="GKP83" s="0"/>
      <c r="GKQ83" s="0"/>
      <c r="GKR83" s="0"/>
      <c r="GKS83" s="0"/>
      <c r="GKT83" s="0"/>
      <c r="GKU83" s="0"/>
      <c r="GKV83" s="0"/>
      <c r="GKW83" s="0"/>
      <c r="GKX83" s="0"/>
      <c r="GKY83" s="0"/>
      <c r="GKZ83" s="0"/>
      <c r="GLA83" s="0"/>
      <c r="GLB83" s="0"/>
      <c r="GLC83" s="0"/>
      <c r="GLD83" s="0"/>
      <c r="GLE83" s="0"/>
      <c r="GLF83" s="0"/>
      <c r="GLG83" s="0"/>
      <c r="GLH83" s="0"/>
      <c r="GLI83" s="0"/>
      <c r="GLJ83" s="0"/>
      <c r="GLK83" s="0"/>
      <c r="GLL83" s="0"/>
      <c r="GLM83" s="0"/>
      <c r="GLN83" s="0"/>
      <c r="GLO83" s="0"/>
      <c r="GLP83" s="0"/>
      <c r="GLQ83" s="0"/>
      <c r="GLR83" s="0"/>
      <c r="GLS83" s="0"/>
      <c r="GLT83" s="0"/>
      <c r="GLU83" s="0"/>
      <c r="GLV83" s="0"/>
      <c r="GLW83" s="0"/>
      <c r="GLX83" s="0"/>
      <c r="GLY83" s="0"/>
      <c r="GLZ83" s="0"/>
      <c r="GMA83" s="0"/>
      <c r="GMB83" s="0"/>
      <c r="GMC83" s="0"/>
      <c r="GMD83" s="0"/>
      <c r="GME83" s="0"/>
      <c r="GMF83" s="0"/>
      <c r="GMG83" s="0"/>
      <c r="GMH83" s="0"/>
      <c r="GMI83" s="0"/>
      <c r="GMJ83" s="0"/>
      <c r="GMK83" s="0"/>
      <c r="GML83" s="0"/>
      <c r="GMM83" s="0"/>
      <c r="GMN83" s="0"/>
      <c r="GMO83" s="0"/>
      <c r="GMP83" s="0"/>
      <c r="GMQ83" s="0"/>
      <c r="GMR83" s="0"/>
      <c r="GMS83" s="0"/>
      <c r="GMT83" s="0"/>
      <c r="GMU83" s="0"/>
      <c r="GMV83" s="0"/>
      <c r="GMW83" s="0"/>
      <c r="GMX83" s="0"/>
      <c r="GMY83" s="0"/>
      <c r="GMZ83" s="0"/>
      <c r="GNA83" s="0"/>
      <c r="GNB83" s="0"/>
      <c r="GNC83" s="0"/>
      <c r="GND83" s="0"/>
      <c r="GNE83" s="0"/>
      <c r="GNF83" s="0"/>
      <c r="GNG83" s="0"/>
      <c r="GNH83" s="0"/>
      <c r="GNI83" s="0"/>
      <c r="GNJ83" s="0"/>
      <c r="GNK83" s="0"/>
      <c r="GNL83" s="0"/>
      <c r="GNM83" s="0"/>
      <c r="GNN83" s="0"/>
      <c r="GNO83" s="0"/>
      <c r="GNP83" s="0"/>
      <c r="GNQ83" s="0"/>
      <c r="GNR83" s="0"/>
      <c r="GNS83" s="0"/>
      <c r="GNT83" s="0"/>
      <c r="GNU83" s="0"/>
      <c r="GNV83" s="0"/>
      <c r="GNW83" s="0"/>
      <c r="GNX83" s="0"/>
      <c r="GNY83" s="0"/>
      <c r="GNZ83" s="0"/>
      <c r="GOA83" s="0"/>
      <c r="GOB83" s="0"/>
      <c r="GOC83" s="0"/>
      <c r="GOD83" s="0"/>
      <c r="GOE83" s="0"/>
      <c r="GOF83" s="0"/>
      <c r="GOG83" s="0"/>
      <c r="GOH83" s="0"/>
      <c r="GOI83" s="0"/>
      <c r="GOJ83" s="0"/>
      <c r="GOK83" s="0"/>
      <c r="GOL83" s="0"/>
      <c r="GOM83" s="0"/>
      <c r="GON83" s="0"/>
      <c r="GOO83" s="0"/>
      <c r="GOP83" s="0"/>
      <c r="GOQ83" s="0"/>
      <c r="GOR83" s="0"/>
      <c r="GOS83" s="0"/>
      <c r="GOT83" s="0"/>
      <c r="GOU83" s="0"/>
      <c r="GOV83" s="0"/>
      <c r="GOW83" s="0"/>
      <c r="GOX83" s="0"/>
      <c r="GOY83" s="0"/>
      <c r="GOZ83" s="0"/>
      <c r="GPA83" s="0"/>
      <c r="GPB83" s="0"/>
      <c r="GPC83" s="0"/>
      <c r="GPD83" s="0"/>
      <c r="GPE83" s="0"/>
      <c r="GPF83" s="0"/>
      <c r="GPG83" s="0"/>
      <c r="GPH83" s="0"/>
      <c r="GPI83" s="0"/>
      <c r="GPJ83" s="0"/>
      <c r="GPK83" s="0"/>
      <c r="GPL83" s="0"/>
      <c r="GPM83" s="0"/>
      <c r="GPN83" s="0"/>
      <c r="GPO83" s="0"/>
      <c r="GPP83" s="0"/>
      <c r="GPQ83" s="0"/>
      <c r="GPR83" s="0"/>
      <c r="GPS83" s="0"/>
      <c r="GPT83" s="0"/>
      <c r="GPU83" s="0"/>
      <c r="GPV83" s="0"/>
      <c r="GPW83" s="0"/>
      <c r="GPX83" s="0"/>
      <c r="GPY83" s="0"/>
      <c r="GPZ83" s="0"/>
      <c r="GQA83" s="0"/>
      <c r="GQB83" s="0"/>
      <c r="GQC83" s="0"/>
      <c r="GQD83" s="0"/>
      <c r="GQE83" s="0"/>
      <c r="GQF83" s="0"/>
      <c r="GQG83" s="0"/>
      <c r="GQH83" s="0"/>
      <c r="GQI83" s="0"/>
      <c r="GQJ83" s="0"/>
      <c r="GQK83" s="0"/>
      <c r="GQL83" s="0"/>
      <c r="GQM83" s="0"/>
      <c r="GQN83" s="0"/>
      <c r="GQO83" s="0"/>
      <c r="GQP83" s="0"/>
      <c r="GQQ83" s="0"/>
      <c r="GQR83" s="0"/>
      <c r="GQS83" s="0"/>
      <c r="GQT83" s="0"/>
      <c r="GQU83" s="0"/>
      <c r="GQV83" s="0"/>
      <c r="GQW83" s="0"/>
      <c r="GQX83" s="0"/>
      <c r="GQY83" s="0"/>
      <c r="GQZ83" s="0"/>
      <c r="GRA83" s="0"/>
      <c r="GRB83" s="0"/>
      <c r="GRC83" s="0"/>
      <c r="GRD83" s="0"/>
      <c r="GRE83" s="0"/>
      <c r="GRF83" s="0"/>
      <c r="GRG83" s="0"/>
      <c r="GRH83" s="0"/>
      <c r="GRI83" s="0"/>
      <c r="GRJ83" s="0"/>
      <c r="GRK83" s="0"/>
      <c r="GRL83" s="0"/>
      <c r="GRM83" s="0"/>
      <c r="GRN83" s="0"/>
      <c r="GRO83" s="0"/>
      <c r="GRP83" s="0"/>
      <c r="GRQ83" s="0"/>
      <c r="GRR83" s="0"/>
      <c r="GRS83" s="0"/>
      <c r="GRT83" s="0"/>
      <c r="GRU83" s="0"/>
      <c r="GRV83" s="0"/>
      <c r="GRW83" s="0"/>
      <c r="GRX83" s="0"/>
      <c r="GRY83" s="0"/>
      <c r="GRZ83" s="0"/>
      <c r="GSA83" s="0"/>
      <c r="GSB83" s="0"/>
      <c r="GSC83" s="0"/>
      <c r="GSD83" s="0"/>
      <c r="GSE83" s="0"/>
      <c r="GSF83" s="0"/>
      <c r="GSG83" s="0"/>
      <c r="GSH83" s="0"/>
      <c r="GSI83" s="0"/>
      <c r="GSJ83" s="0"/>
      <c r="GSK83" s="0"/>
      <c r="GSL83" s="0"/>
      <c r="GSM83" s="0"/>
      <c r="GSN83" s="0"/>
      <c r="GSO83" s="0"/>
      <c r="GSP83" s="0"/>
      <c r="GSQ83" s="0"/>
      <c r="GSR83" s="0"/>
      <c r="GSS83" s="0"/>
      <c r="GST83" s="0"/>
      <c r="GSU83" s="0"/>
      <c r="GSV83" s="0"/>
      <c r="GSW83" s="0"/>
      <c r="GSX83" s="0"/>
      <c r="GSY83" s="0"/>
      <c r="GSZ83" s="0"/>
      <c r="GTA83" s="0"/>
      <c r="GTB83" s="0"/>
      <c r="GTC83" s="0"/>
      <c r="GTD83" s="0"/>
      <c r="GTE83" s="0"/>
      <c r="GTF83" s="0"/>
      <c r="GTG83" s="0"/>
      <c r="GTH83" s="0"/>
      <c r="GTI83" s="0"/>
      <c r="GTJ83" s="0"/>
      <c r="GTK83" s="0"/>
      <c r="GTL83" s="0"/>
      <c r="GTM83" s="0"/>
      <c r="GTN83" s="0"/>
      <c r="GTO83" s="0"/>
      <c r="GTP83" s="0"/>
      <c r="GTQ83" s="0"/>
      <c r="GTR83" s="0"/>
      <c r="GTS83" s="0"/>
      <c r="GTT83" s="0"/>
      <c r="GTU83" s="0"/>
      <c r="GTV83" s="0"/>
      <c r="GTW83" s="0"/>
      <c r="GTX83" s="0"/>
      <c r="GTY83" s="0"/>
      <c r="GTZ83" s="0"/>
      <c r="GUA83" s="0"/>
      <c r="GUB83" s="0"/>
      <c r="GUC83" s="0"/>
      <c r="GUD83" s="0"/>
      <c r="GUE83" s="0"/>
      <c r="GUF83" s="0"/>
      <c r="GUG83" s="0"/>
      <c r="GUH83" s="0"/>
      <c r="GUI83" s="0"/>
      <c r="GUJ83" s="0"/>
      <c r="GUK83" s="0"/>
      <c r="GUL83" s="0"/>
      <c r="GUM83" s="0"/>
      <c r="GUN83" s="0"/>
      <c r="GUO83" s="0"/>
      <c r="GUP83" s="0"/>
      <c r="GUQ83" s="0"/>
      <c r="GUR83" s="0"/>
      <c r="GUS83" s="0"/>
      <c r="GUT83" s="0"/>
      <c r="GUU83" s="0"/>
      <c r="GUV83" s="0"/>
      <c r="GUW83" s="0"/>
      <c r="GUX83" s="0"/>
      <c r="GUY83" s="0"/>
      <c r="GUZ83" s="0"/>
      <c r="GVA83" s="0"/>
      <c r="GVB83" s="0"/>
      <c r="GVC83" s="0"/>
      <c r="GVD83" s="0"/>
      <c r="GVE83" s="0"/>
      <c r="GVF83" s="0"/>
      <c r="GVG83" s="0"/>
      <c r="GVH83" s="0"/>
      <c r="GVI83" s="0"/>
      <c r="GVJ83" s="0"/>
      <c r="GVK83" s="0"/>
      <c r="GVL83" s="0"/>
      <c r="GVM83" s="0"/>
      <c r="GVN83" s="0"/>
      <c r="GVO83" s="0"/>
      <c r="GVP83" s="0"/>
      <c r="GVQ83" s="0"/>
      <c r="GVR83" s="0"/>
      <c r="GVS83" s="0"/>
      <c r="GVT83" s="0"/>
      <c r="GVU83" s="0"/>
      <c r="GVV83" s="0"/>
      <c r="GVW83" s="0"/>
      <c r="GVX83" s="0"/>
      <c r="GVY83" s="0"/>
      <c r="GVZ83" s="0"/>
      <c r="GWA83" s="0"/>
      <c r="GWB83" s="0"/>
      <c r="GWC83" s="0"/>
      <c r="GWD83" s="0"/>
      <c r="GWE83" s="0"/>
      <c r="GWF83" s="0"/>
      <c r="GWG83" s="0"/>
      <c r="GWH83" s="0"/>
      <c r="GWI83" s="0"/>
      <c r="GWJ83" s="0"/>
      <c r="GWK83" s="0"/>
      <c r="GWL83" s="0"/>
      <c r="GWM83" s="0"/>
      <c r="GWN83" s="0"/>
      <c r="GWO83" s="0"/>
      <c r="GWP83" s="0"/>
      <c r="GWQ83" s="0"/>
      <c r="GWR83" s="0"/>
      <c r="GWS83" s="0"/>
      <c r="GWT83" s="0"/>
      <c r="GWU83" s="0"/>
      <c r="GWV83" s="0"/>
      <c r="GWW83" s="0"/>
      <c r="GWX83" s="0"/>
      <c r="GWY83" s="0"/>
      <c r="GWZ83" s="0"/>
      <c r="GXA83" s="0"/>
      <c r="GXB83" s="0"/>
      <c r="GXC83" s="0"/>
      <c r="GXD83" s="0"/>
      <c r="GXE83" s="0"/>
      <c r="GXF83" s="0"/>
      <c r="GXG83" s="0"/>
      <c r="GXH83" s="0"/>
      <c r="GXI83" s="0"/>
      <c r="GXJ83" s="0"/>
      <c r="GXK83" s="0"/>
      <c r="GXL83" s="0"/>
      <c r="GXM83" s="0"/>
      <c r="GXN83" s="0"/>
      <c r="GXO83" s="0"/>
      <c r="GXP83" s="0"/>
      <c r="GXQ83" s="0"/>
      <c r="GXR83" s="0"/>
      <c r="GXS83" s="0"/>
      <c r="GXT83" s="0"/>
      <c r="GXU83" s="0"/>
      <c r="GXV83" s="0"/>
      <c r="GXW83" s="0"/>
      <c r="GXX83" s="0"/>
      <c r="GXY83" s="0"/>
      <c r="GXZ83" s="0"/>
      <c r="GYA83" s="0"/>
      <c r="GYB83" s="0"/>
      <c r="GYC83" s="0"/>
      <c r="GYD83" s="0"/>
      <c r="GYE83" s="0"/>
      <c r="GYF83" s="0"/>
      <c r="GYG83" s="0"/>
      <c r="GYH83" s="0"/>
      <c r="GYI83" s="0"/>
      <c r="GYJ83" s="0"/>
      <c r="GYK83" s="0"/>
      <c r="GYL83" s="0"/>
      <c r="GYM83" s="0"/>
      <c r="GYN83" s="0"/>
      <c r="GYO83" s="0"/>
      <c r="GYP83" s="0"/>
      <c r="GYQ83" s="0"/>
      <c r="GYR83" s="0"/>
      <c r="GYS83" s="0"/>
      <c r="GYT83" s="0"/>
      <c r="GYU83" s="0"/>
      <c r="GYV83" s="0"/>
      <c r="GYW83" s="0"/>
      <c r="GYX83" s="0"/>
      <c r="GYY83" s="0"/>
      <c r="GYZ83" s="0"/>
      <c r="GZA83" s="0"/>
      <c r="GZB83" s="0"/>
      <c r="GZC83" s="0"/>
      <c r="GZD83" s="0"/>
      <c r="GZE83" s="0"/>
      <c r="GZF83" s="0"/>
      <c r="GZG83" s="0"/>
      <c r="GZH83" s="0"/>
      <c r="GZI83" s="0"/>
      <c r="GZJ83" s="0"/>
      <c r="GZK83" s="0"/>
      <c r="GZL83" s="0"/>
      <c r="GZM83" s="0"/>
      <c r="GZN83" s="0"/>
      <c r="GZO83" s="0"/>
      <c r="GZP83" s="0"/>
      <c r="GZQ83" s="0"/>
      <c r="GZR83" s="0"/>
      <c r="GZS83" s="0"/>
      <c r="GZT83" s="0"/>
      <c r="GZU83" s="0"/>
      <c r="GZV83" s="0"/>
      <c r="GZW83" s="0"/>
      <c r="GZX83" s="0"/>
      <c r="GZY83" s="0"/>
      <c r="GZZ83" s="0"/>
      <c r="HAA83" s="0"/>
      <c r="HAB83" s="0"/>
      <c r="HAC83" s="0"/>
      <c r="HAD83" s="0"/>
      <c r="HAE83" s="0"/>
      <c r="HAF83" s="0"/>
      <c r="HAG83" s="0"/>
      <c r="HAH83" s="0"/>
      <c r="HAI83" s="0"/>
      <c r="HAJ83" s="0"/>
      <c r="HAK83" s="0"/>
      <c r="HAL83" s="0"/>
      <c r="HAM83" s="0"/>
      <c r="HAN83" s="0"/>
      <c r="HAO83" s="0"/>
      <c r="HAP83" s="0"/>
      <c r="HAQ83" s="0"/>
      <c r="HAR83" s="0"/>
      <c r="HAS83" s="0"/>
      <c r="HAT83" s="0"/>
      <c r="HAU83" s="0"/>
      <c r="HAV83" s="0"/>
      <c r="HAW83" s="0"/>
      <c r="HAX83" s="0"/>
      <c r="HAY83" s="0"/>
      <c r="HAZ83" s="0"/>
      <c r="HBA83" s="0"/>
      <c r="HBB83" s="0"/>
      <c r="HBC83" s="0"/>
      <c r="HBD83" s="0"/>
      <c r="HBE83" s="0"/>
      <c r="HBF83" s="0"/>
      <c r="HBG83" s="0"/>
      <c r="HBH83" s="0"/>
      <c r="HBI83" s="0"/>
      <c r="HBJ83" s="0"/>
      <c r="HBK83" s="0"/>
      <c r="HBL83" s="0"/>
      <c r="HBM83" s="0"/>
      <c r="HBN83" s="0"/>
      <c r="HBO83" s="0"/>
      <c r="HBP83" s="0"/>
      <c r="HBQ83" s="0"/>
      <c r="HBR83" s="0"/>
      <c r="HBS83" s="0"/>
      <c r="HBT83" s="0"/>
      <c r="HBU83" s="0"/>
      <c r="HBV83" s="0"/>
      <c r="HBW83" s="0"/>
      <c r="HBX83" s="0"/>
      <c r="HBY83" s="0"/>
      <c r="HBZ83" s="0"/>
      <c r="HCA83" s="0"/>
      <c r="HCB83" s="0"/>
      <c r="HCC83" s="0"/>
      <c r="HCD83" s="0"/>
      <c r="HCE83" s="0"/>
      <c r="HCF83" s="0"/>
      <c r="HCG83" s="0"/>
      <c r="HCH83" s="0"/>
      <c r="HCI83" s="0"/>
      <c r="HCJ83" s="0"/>
      <c r="HCK83" s="0"/>
      <c r="HCL83" s="0"/>
      <c r="HCM83" s="0"/>
      <c r="HCN83" s="0"/>
      <c r="HCO83" s="0"/>
      <c r="HCP83" s="0"/>
      <c r="HCQ83" s="0"/>
      <c r="HCR83" s="0"/>
      <c r="HCS83" s="0"/>
      <c r="HCT83" s="0"/>
      <c r="HCU83" s="0"/>
      <c r="HCV83" s="0"/>
      <c r="HCW83" s="0"/>
      <c r="HCX83" s="0"/>
      <c r="HCY83" s="0"/>
      <c r="HCZ83" s="0"/>
      <c r="HDA83" s="0"/>
      <c r="HDB83" s="0"/>
      <c r="HDC83" s="0"/>
      <c r="HDD83" s="0"/>
      <c r="HDE83" s="0"/>
      <c r="HDF83" s="0"/>
      <c r="HDG83" s="0"/>
      <c r="HDH83" s="0"/>
      <c r="HDI83" s="0"/>
      <c r="HDJ83" s="0"/>
      <c r="HDK83" s="0"/>
      <c r="HDL83" s="0"/>
      <c r="HDM83" s="0"/>
      <c r="HDN83" s="0"/>
      <c r="HDO83" s="0"/>
      <c r="HDP83" s="0"/>
      <c r="HDQ83" s="0"/>
      <c r="HDR83" s="0"/>
      <c r="HDS83" s="0"/>
      <c r="HDT83" s="0"/>
      <c r="HDU83" s="0"/>
      <c r="HDV83" s="0"/>
      <c r="HDW83" s="0"/>
      <c r="HDX83" s="0"/>
      <c r="HDY83" s="0"/>
      <c r="HDZ83" s="0"/>
      <c r="HEA83" s="0"/>
      <c r="HEB83" s="0"/>
      <c r="HEC83" s="0"/>
      <c r="HED83" s="0"/>
      <c r="HEE83" s="0"/>
      <c r="HEF83" s="0"/>
      <c r="HEG83" s="0"/>
      <c r="HEH83" s="0"/>
      <c r="HEI83" s="0"/>
      <c r="HEJ83" s="0"/>
      <c r="HEK83" s="0"/>
      <c r="HEL83" s="0"/>
      <c r="HEM83" s="0"/>
      <c r="HEN83" s="0"/>
      <c r="HEO83" s="0"/>
      <c r="HEP83" s="0"/>
      <c r="HEQ83" s="0"/>
      <c r="HER83" s="0"/>
      <c r="HES83" s="0"/>
      <c r="HET83" s="0"/>
      <c r="HEU83" s="0"/>
      <c r="HEV83" s="0"/>
      <c r="HEW83" s="0"/>
      <c r="HEX83" s="0"/>
      <c r="HEY83" s="0"/>
      <c r="HEZ83" s="0"/>
      <c r="HFA83" s="0"/>
      <c r="HFB83" s="0"/>
      <c r="HFC83" s="0"/>
      <c r="HFD83" s="0"/>
      <c r="HFE83" s="0"/>
      <c r="HFF83" s="0"/>
      <c r="HFG83" s="0"/>
      <c r="HFH83" s="0"/>
      <c r="HFI83" s="0"/>
      <c r="HFJ83" s="0"/>
      <c r="HFK83" s="0"/>
      <c r="HFL83" s="0"/>
      <c r="HFM83" s="0"/>
      <c r="HFN83" s="0"/>
      <c r="HFO83" s="0"/>
      <c r="HFP83" s="0"/>
      <c r="HFQ83" s="0"/>
      <c r="HFR83" s="0"/>
      <c r="HFS83" s="0"/>
      <c r="HFT83" s="0"/>
      <c r="HFU83" s="0"/>
      <c r="HFV83" s="0"/>
      <c r="HFW83" s="0"/>
      <c r="HFX83" s="0"/>
      <c r="HFY83" s="0"/>
      <c r="HFZ83" s="0"/>
      <c r="HGA83" s="0"/>
      <c r="HGB83" s="0"/>
      <c r="HGC83" s="0"/>
      <c r="HGD83" s="0"/>
      <c r="HGE83" s="0"/>
      <c r="HGF83" s="0"/>
      <c r="HGG83" s="0"/>
      <c r="HGH83" s="0"/>
      <c r="HGI83" s="0"/>
      <c r="HGJ83" s="0"/>
      <c r="HGK83" s="0"/>
      <c r="HGL83" s="0"/>
      <c r="HGM83" s="0"/>
      <c r="HGN83" s="0"/>
      <c r="HGO83" s="0"/>
      <c r="HGP83" s="0"/>
      <c r="HGQ83" s="0"/>
      <c r="HGR83" s="0"/>
      <c r="HGS83" s="0"/>
      <c r="HGT83" s="0"/>
      <c r="HGU83" s="0"/>
      <c r="HGV83" s="0"/>
      <c r="HGW83" s="0"/>
      <c r="HGX83" s="0"/>
      <c r="HGY83" s="0"/>
      <c r="HGZ83" s="0"/>
      <c r="HHA83" s="0"/>
      <c r="HHB83" s="0"/>
      <c r="HHC83" s="0"/>
      <c r="HHD83" s="0"/>
      <c r="HHE83" s="0"/>
      <c r="HHF83" s="0"/>
      <c r="HHG83" s="0"/>
      <c r="HHH83" s="0"/>
      <c r="HHI83" s="0"/>
      <c r="HHJ83" s="0"/>
      <c r="HHK83" s="0"/>
      <c r="HHL83" s="0"/>
      <c r="HHM83" s="0"/>
      <c r="HHN83" s="0"/>
      <c r="HHO83" s="0"/>
      <c r="HHP83" s="0"/>
      <c r="HHQ83" s="0"/>
      <c r="HHR83" s="0"/>
      <c r="HHS83" s="0"/>
      <c r="HHT83" s="0"/>
      <c r="HHU83" s="0"/>
      <c r="HHV83" s="0"/>
      <c r="HHW83" s="0"/>
      <c r="HHX83" s="0"/>
      <c r="HHY83" s="0"/>
      <c r="HHZ83" s="0"/>
      <c r="HIA83" s="0"/>
      <c r="HIB83" s="0"/>
      <c r="HIC83" s="0"/>
      <c r="HID83" s="0"/>
      <c r="HIE83" s="0"/>
      <c r="HIF83" s="0"/>
      <c r="HIG83" s="0"/>
      <c r="HIH83" s="0"/>
      <c r="HII83" s="0"/>
      <c r="HIJ83" s="0"/>
      <c r="HIK83" s="0"/>
      <c r="HIL83" s="0"/>
      <c r="HIM83" s="0"/>
      <c r="HIN83" s="0"/>
      <c r="HIO83" s="0"/>
      <c r="HIP83" s="0"/>
      <c r="HIQ83" s="0"/>
      <c r="HIR83" s="0"/>
      <c r="HIS83" s="0"/>
      <c r="HIT83" s="0"/>
      <c r="HIU83" s="0"/>
      <c r="HIV83" s="0"/>
      <c r="HIW83" s="0"/>
      <c r="HIX83" s="0"/>
      <c r="HIY83" s="0"/>
      <c r="HIZ83" s="0"/>
      <c r="HJA83" s="0"/>
      <c r="HJB83" s="0"/>
      <c r="HJC83" s="0"/>
      <c r="HJD83" s="0"/>
      <c r="HJE83" s="0"/>
      <c r="HJF83" s="0"/>
      <c r="HJG83" s="0"/>
      <c r="HJH83" s="0"/>
      <c r="HJI83" s="0"/>
      <c r="HJJ83" s="0"/>
      <c r="HJK83" s="0"/>
      <c r="HJL83" s="0"/>
      <c r="HJM83" s="0"/>
      <c r="HJN83" s="0"/>
      <c r="HJO83" s="0"/>
      <c r="HJP83" s="0"/>
      <c r="HJQ83" s="0"/>
      <c r="HJR83" s="0"/>
      <c r="HJS83" s="0"/>
      <c r="HJT83" s="0"/>
      <c r="HJU83" s="0"/>
      <c r="HJV83" s="0"/>
      <c r="HJW83" s="0"/>
      <c r="HJX83" s="0"/>
      <c r="HJY83" s="0"/>
      <c r="HJZ83" s="0"/>
      <c r="HKA83" s="0"/>
      <c r="HKB83" s="0"/>
      <c r="HKC83" s="0"/>
      <c r="HKD83" s="0"/>
      <c r="HKE83" s="0"/>
      <c r="HKF83" s="0"/>
      <c r="HKG83" s="0"/>
      <c r="HKH83" s="0"/>
      <c r="HKI83" s="0"/>
      <c r="HKJ83" s="0"/>
      <c r="HKK83" s="0"/>
      <c r="HKL83" s="0"/>
      <c r="HKM83" s="0"/>
      <c r="HKN83" s="0"/>
      <c r="HKO83" s="0"/>
      <c r="HKP83" s="0"/>
      <c r="HKQ83" s="0"/>
      <c r="HKR83" s="0"/>
      <c r="HKS83" s="0"/>
      <c r="HKT83" s="0"/>
      <c r="HKU83" s="0"/>
      <c r="HKV83" s="0"/>
      <c r="HKW83" s="0"/>
      <c r="HKX83" s="0"/>
      <c r="HKY83" s="0"/>
      <c r="HKZ83" s="0"/>
      <c r="HLA83" s="0"/>
      <c r="HLB83" s="0"/>
      <c r="HLC83" s="0"/>
      <c r="HLD83" s="0"/>
      <c r="HLE83" s="0"/>
      <c r="HLF83" s="0"/>
      <c r="HLG83" s="0"/>
      <c r="HLH83" s="0"/>
      <c r="HLI83" s="0"/>
      <c r="HLJ83" s="0"/>
      <c r="HLK83" s="0"/>
      <c r="HLL83" s="0"/>
      <c r="HLM83" s="0"/>
      <c r="HLN83" s="0"/>
      <c r="HLO83" s="0"/>
      <c r="HLP83" s="0"/>
      <c r="HLQ83" s="0"/>
      <c r="HLR83" s="0"/>
      <c r="HLS83" s="0"/>
      <c r="HLT83" s="0"/>
      <c r="HLU83" s="0"/>
      <c r="HLV83" s="0"/>
      <c r="HLW83" s="0"/>
      <c r="HLX83" s="0"/>
      <c r="HLY83" s="0"/>
      <c r="HLZ83" s="0"/>
      <c r="HMA83" s="0"/>
      <c r="HMB83" s="0"/>
      <c r="HMC83" s="0"/>
      <c r="HMD83" s="0"/>
      <c r="HME83" s="0"/>
      <c r="HMF83" s="0"/>
      <c r="HMG83" s="0"/>
      <c r="HMH83" s="0"/>
      <c r="HMI83" s="0"/>
      <c r="HMJ83" s="0"/>
      <c r="HMK83" s="0"/>
      <c r="HML83" s="0"/>
      <c r="HMM83" s="0"/>
      <c r="HMN83" s="0"/>
      <c r="HMO83" s="0"/>
      <c r="HMP83" s="0"/>
      <c r="HMQ83" s="0"/>
      <c r="HMR83" s="0"/>
      <c r="HMS83" s="0"/>
      <c r="HMT83" s="0"/>
      <c r="HMU83" s="0"/>
      <c r="HMV83" s="0"/>
      <c r="HMW83" s="0"/>
      <c r="HMX83" s="0"/>
      <c r="HMY83" s="0"/>
      <c r="HMZ83" s="0"/>
      <c r="HNA83" s="0"/>
      <c r="HNB83" s="0"/>
      <c r="HNC83" s="0"/>
      <c r="HND83" s="0"/>
      <c r="HNE83" s="0"/>
      <c r="HNF83" s="0"/>
      <c r="HNG83" s="0"/>
      <c r="HNH83" s="0"/>
      <c r="HNI83" s="0"/>
      <c r="HNJ83" s="0"/>
      <c r="HNK83" s="0"/>
      <c r="HNL83" s="0"/>
      <c r="HNM83" s="0"/>
      <c r="HNN83" s="0"/>
      <c r="HNO83" s="0"/>
      <c r="HNP83" s="0"/>
      <c r="HNQ83" s="0"/>
      <c r="HNR83" s="0"/>
      <c r="HNS83" s="0"/>
      <c r="HNT83" s="0"/>
      <c r="HNU83" s="0"/>
      <c r="HNV83" s="0"/>
      <c r="HNW83" s="0"/>
      <c r="HNX83" s="0"/>
      <c r="HNY83" s="0"/>
      <c r="HNZ83" s="0"/>
      <c r="HOA83" s="0"/>
      <c r="HOB83" s="0"/>
      <c r="HOC83" s="0"/>
      <c r="HOD83" s="0"/>
      <c r="HOE83" s="0"/>
      <c r="HOF83" s="0"/>
      <c r="HOG83" s="0"/>
      <c r="HOH83" s="0"/>
      <c r="HOI83" s="0"/>
      <c r="HOJ83" s="0"/>
      <c r="HOK83" s="0"/>
      <c r="HOL83" s="0"/>
      <c r="HOM83" s="0"/>
      <c r="HON83" s="0"/>
      <c r="HOO83" s="0"/>
      <c r="HOP83" s="0"/>
      <c r="HOQ83" s="0"/>
      <c r="HOR83" s="0"/>
      <c r="HOS83" s="0"/>
      <c r="HOT83" s="0"/>
      <c r="HOU83" s="0"/>
      <c r="HOV83" s="0"/>
      <c r="HOW83" s="0"/>
      <c r="HOX83" s="0"/>
      <c r="HOY83" s="0"/>
      <c r="HOZ83" s="0"/>
      <c r="HPA83" s="0"/>
      <c r="HPB83" s="0"/>
      <c r="HPC83" s="0"/>
      <c r="HPD83" s="0"/>
      <c r="HPE83" s="0"/>
      <c r="HPF83" s="0"/>
      <c r="HPG83" s="0"/>
      <c r="HPH83" s="0"/>
      <c r="HPI83" s="0"/>
      <c r="HPJ83" s="0"/>
      <c r="HPK83" s="0"/>
      <c r="HPL83" s="0"/>
      <c r="HPM83" s="0"/>
      <c r="HPN83" s="0"/>
      <c r="HPO83" s="0"/>
      <c r="HPP83" s="0"/>
      <c r="HPQ83" s="0"/>
      <c r="HPR83" s="0"/>
      <c r="HPS83" s="0"/>
      <c r="HPT83" s="0"/>
      <c r="HPU83" s="0"/>
      <c r="HPV83" s="0"/>
      <c r="HPW83" s="0"/>
      <c r="HPX83" s="0"/>
      <c r="HPY83" s="0"/>
      <c r="HPZ83" s="0"/>
      <c r="HQA83" s="0"/>
      <c r="HQB83" s="0"/>
      <c r="HQC83" s="0"/>
      <c r="HQD83" s="0"/>
      <c r="HQE83" s="0"/>
      <c r="HQF83" s="0"/>
      <c r="HQG83" s="0"/>
      <c r="HQH83" s="0"/>
      <c r="HQI83" s="0"/>
      <c r="HQJ83" s="0"/>
      <c r="HQK83" s="0"/>
      <c r="HQL83" s="0"/>
      <c r="HQM83" s="0"/>
      <c r="HQN83" s="0"/>
      <c r="HQO83" s="0"/>
      <c r="HQP83" s="0"/>
      <c r="HQQ83" s="0"/>
      <c r="HQR83" s="0"/>
      <c r="HQS83" s="0"/>
      <c r="HQT83" s="0"/>
      <c r="HQU83" s="0"/>
      <c r="HQV83" s="0"/>
      <c r="HQW83" s="0"/>
      <c r="HQX83" s="0"/>
      <c r="HQY83" s="0"/>
      <c r="HQZ83" s="0"/>
      <c r="HRA83" s="0"/>
      <c r="HRB83" s="0"/>
      <c r="HRC83" s="0"/>
      <c r="HRD83" s="0"/>
      <c r="HRE83" s="0"/>
      <c r="HRF83" s="0"/>
      <c r="HRG83" s="0"/>
      <c r="HRH83" s="0"/>
      <c r="HRI83" s="0"/>
      <c r="HRJ83" s="0"/>
      <c r="HRK83" s="0"/>
      <c r="HRL83" s="0"/>
      <c r="HRM83" s="0"/>
      <c r="HRN83" s="0"/>
      <c r="HRO83" s="0"/>
      <c r="HRP83" s="0"/>
      <c r="HRQ83" s="0"/>
      <c r="HRR83" s="0"/>
      <c r="HRS83" s="0"/>
      <c r="HRT83" s="0"/>
      <c r="HRU83" s="0"/>
      <c r="HRV83" s="0"/>
      <c r="HRW83" s="0"/>
      <c r="HRX83" s="0"/>
      <c r="HRY83" s="0"/>
      <c r="HRZ83" s="0"/>
      <c r="HSA83" s="0"/>
      <c r="HSB83" s="0"/>
      <c r="HSC83" s="0"/>
      <c r="HSD83" s="0"/>
      <c r="HSE83" s="0"/>
      <c r="HSF83" s="0"/>
      <c r="HSG83" s="0"/>
      <c r="HSH83" s="0"/>
      <c r="HSI83" s="0"/>
      <c r="HSJ83" s="0"/>
      <c r="HSK83" s="0"/>
      <c r="HSL83" s="0"/>
      <c r="HSM83" s="0"/>
      <c r="HSN83" s="0"/>
      <c r="HSO83" s="0"/>
      <c r="HSP83" s="0"/>
      <c r="HSQ83" s="0"/>
      <c r="HSR83" s="0"/>
      <c r="HSS83" s="0"/>
      <c r="HST83" s="0"/>
      <c r="HSU83" s="0"/>
      <c r="HSV83" s="0"/>
      <c r="HSW83" s="0"/>
      <c r="HSX83" s="0"/>
      <c r="HSY83" s="0"/>
      <c r="HSZ83" s="0"/>
      <c r="HTA83" s="0"/>
      <c r="HTB83" s="0"/>
      <c r="HTC83" s="0"/>
      <c r="HTD83" s="0"/>
      <c r="HTE83" s="0"/>
      <c r="HTF83" s="0"/>
      <c r="HTG83" s="0"/>
      <c r="HTH83" s="0"/>
      <c r="HTI83" s="0"/>
      <c r="HTJ83" s="0"/>
      <c r="HTK83" s="0"/>
      <c r="HTL83" s="0"/>
      <c r="HTM83" s="0"/>
      <c r="HTN83" s="0"/>
      <c r="HTO83" s="0"/>
      <c r="HTP83" s="0"/>
      <c r="HTQ83" s="0"/>
      <c r="HTR83" s="0"/>
      <c r="HTS83" s="0"/>
      <c r="HTT83" s="0"/>
      <c r="HTU83" s="0"/>
      <c r="HTV83" s="0"/>
      <c r="HTW83" s="0"/>
      <c r="HTX83" s="0"/>
      <c r="HTY83" s="0"/>
      <c r="HTZ83" s="0"/>
      <c r="HUA83" s="0"/>
      <c r="HUB83" s="0"/>
      <c r="HUC83" s="0"/>
      <c r="HUD83" s="0"/>
      <c r="HUE83" s="0"/>
      <c r="HUF83" s="0"/>
      <c r="HUG83" s="0"/>
      <c r="HUH83" s="0"/>
      <c r="HUI83" s="0"/>
      <c r="HUJ83" s="0"/>
      <c r="HUK83" s="0"/>
      <c r="HUL83" s="0"/>
      <c r="HUM83" s="0"/>
      <c r="HUN83" s="0"/>
      <c r="HUO83" s="0"/>
      <c r="HUP83" s="0"/>
      <c r="HUQ83" s="0"/>
      <c r="HUR83" s="0"/>
      <c r="HUS83" s="0"/>
      <c r="HUT83" s="0"/>
      <c r="HUU83" s="0"/>
      <c r="HUV83" s="0"/>
      <c r="HUW83" s="0"/>
      <c r="HUX83" s="0"/>
      <c r="HUY83" s="0"/>
      <c r="HUZ83" s="0"/>
      <c r="HVA83" s="0"/>
      <c r="HVB83" s="0"/>
      <c r="HVC83" s="0"/>
      <c r="HVD83" s="0"/>
      <c r="HVE83" s="0"/>
      <c r="HVF83" s="0"/>
      <c r="HVG83" s="0"/>
      <c r="HVH83" s="0"/>
      <c r="HVI83" s="0"/>
      <c r="HVJ83" s="0"/>
      <c r="HVK83" s="0"/>
      <c r="HVL83" s="0"/>
      <c r="HVM83" s="0"/>
      <c r="HVN83" s="0"/>
      <c r="HVO83" s="0"/>
      <c r="HVP83" s="0"/>
      <c r="HVQ83" s="0"/>
      <c r="HVR83" s="0"/>
      <c r="HVS83" s="0"/>
      <c r="HVT83" s="0"/>
      <c r="HVU83" s="0"/>
      <c r="HVV83" s="0"/>
      <c r="HVW83" s="0"/>
      <c r="HVX83" s="0"/>
      <c r="HVY83" s="0"/>
      <c r="HVZ83" s="0"/>
      <c r="HWA83" s="0"/>
      <c r="HWB83" s="0"/>
      <c r="HWC83" s="0"/>
      <c r="HWD83" s="0"/>
      <c r="HWE83" s="0"/>
      <c r="HWF83" s="0"/>
      <c r="HWG83" s="0"/>
      <c r="HWH83" s="0"/>
      <c r="HWI83" s="0"/>
      <c r="HWJ83" s="0"/>
      <c r="HWK83" s="0"/>
      <c r="HWL83" s="0"/>
      <c r="HWM83" s="0"/>
      <c r="HWN83" s="0"/>
      <c r="HWO83" s="0"/>
      <c r="HWP83" s="0"/>
      <c r="HWQ83" s="0"/>
      <c r="HWR83" s="0"/>
      <c r="HWS83" s="0"/>
      <c r="HWT83" s="0"/>
      <c r="HWU83" s="0"/>
      <c r="HWV83" s="0"/>
      <c r="HWW83" s="0"/>
      <c r="HWX83" s="0"/>
      <c r="HWY83" s="0"/>
      <c r="HWZ83" s="0"/>
      <c r="HXA83" s="0"/>
      <c r="HXB83" s="0"/>
      <c r="HXC83" s="0"/>
      <c r="HXD83" s="0"/>
      <c r="HXE83" s="0"/>
      <c r="HXF83" s="0"/>
      <c r="HXG83" s="0"/>
      <c r="HXH83" s="0"/>
      <c r="HXI83" s="0"/>
      <c r="HXJ83" s="0"/>
      <c r="HXK83" s="0"/>
      <c r="HXL83" s="0"/>
      <c r="HXM83" s="0"/>
      <c r="HXN83" s="0"/>
      <c r="HXO83" s="0"/>
      <c r="HXP83" s="0"/>
      <c r="HXQ83" s="0"/>
      <c r="HXR83" s="0"/>
      <c r="HXS83" s="0"/>
      <c r="HXT83" s="0"/>
      <c r="HXU83" s="0"/>
      <c r="HXV83" s="0"/>
      <c r="HXW83" s="0"/>
      <c r="HXX83" s="0"/>
      <c r="HXY83" s="0"/>
      <c r="HXZ83" s="0"/>
      <c r="HYA83" s="0"/>
      <c r="HYB83" s="0"/>
      <c r="HYC83" s="0"/>
      <c r="HYD83" s="0"/>
      <c r="HYE83" s="0"/>
      <c r="HYF83" s="0"/>
      <c r="HYG83" s="0"/>
      <c r="HYH83" s="0"/>
      <c r="HYI83" s="0"/>
      <c r="HYJ83" s="0"/>
      <c r="HYK83" s="0"/>
      <c r="HYL83" s="0"/>
      <c r="HYM83" s="0"/>
      <c r="HYN83" s="0"/>
      <c r="HYO83" s="0"/>
      <c r="HYP83" s="0"/>
      <c r="HYQ83" s="0"/>
      <c r="HYR83" s="0"/>
      <c r="HYS83" s="0"/>
      <c r="HYT83" s="0"/>
      <c r="HYU83" s="0"/>
      <c r="HYV83" s="0"/>
      <c r="HYW83" s="0"/>
      <c r="HYX83" s="0"/>
      <c r="HYY83" s="0"/>
      <c r="HYZ83" s="0"/>
      <c r="HZA83" s="0"/>
      <c r="HZB83" s="0"/>
      <c r="HZC83" s="0"/>
      <c r="HZD83" s="0"/>
      <c r="HZE83" s="0"/>
      <c r="HZF83" s="0"/>
      <c r="HZG83" s="0"/>
      <c r="HZH83" s="0"/>
      <c r="HZI83" s="0"/>
      <c r="HZJ83" s="0"/>
      <c r="HZK83" s="0"/>
      <c r="HZL83" s="0"/>
      <c r="HZM83" s="0"/>
      <c r="HZN83" s="0"/>
      <c r="HZO83" s="0"/>
      <c r="HZP83" s="0"/>
      <c r="HZQ83" s="0"/>
      <c r="HZR83" s="0"/>
      <c r="HZS83" s="0"/>
      <c r="HZT83" s="0"/>
      <c r="HZU83" s="0"/>
      <c r="HZV83" s="0"/>
      <c r="HZW83" s="0"/>
      <c r="HZX83" s="0"/>
      <c r="HZY83" s="0"/>
      <c r="HZZ83" s="0"/>
      <c r="IAA83" s="0"/>
      <c r="IAB83" s="0"/>
      <c r="IAC83" s="0"/>
      <c r="IAD83" s="0"/>
      <c r="IAE83" s="0"/>
      <c r="IAF83" s="0"/>
      <c r="IAG83" s="0"/>
      <c r="IAH83" s="0"/>
      <c r="IAI83" s="0"/>
      <c r="IAJ83" s="0"/>
      <c r="IAK83" s="0"/>
      <c r="IAL83" s="0"/>
      <c r="IAM83" s="0"/>
      <c r="IAN83" s="0"/>
      <c r="IAO83" s="0"/>
      <c r="IAP83" s="0"/>
      <c r="IAQ83" s="0"/>
      <c r="IAR83" s="0"/>
      <c r="IAS83" s="0"/>
      <c r="IAT83" s="0"/>
      <c r="IAU83" s="0"/>
      <c r="IAV83" s="0"/>
      <c r="IAW83" s="0"/>
      <c r="IAX83" s="0"/>
      <c r="IAY83" s="0"/>
      <c r="IAZ83" s="0"/>
      <c r="IBA83" s="0"/>
      <c r="IBB83" s="0"/>
      <c r="IBC83" s="0"/>
      <c r="IBD83" s="0"/>
      <c r="IBE83" s="0"/>
      <c r="IBF83" s="0"/>
      <c r="IBG83" s="0"/>
      <c r="IBH83" s="0"/>
      <c r="IBI83" s="0"/>
      <c r="IBJ83" s="0"/>
      <c r="IBK83" s="0"/>
      <c r="IBL83" s="0"/>
      <c r="IBM83" s="0"/>
      <c r="IBN83" s="0"/>
      <c r="IBO83" s="0"/>
      <c r="IBP83" s="0"/>
      <c r="IBQ83" s="0"/>
      <c r="IBR83" s="0"/>
      <c r="IBS83" s="0"/>
      <c r="IBT83" s="0"/>
      <c r="IBU83" s="0"/>
      <c r="IBV83" s="0"/>
      <c r="IBW83" s="0"/>
      <c r="IBX83" s="0"/>
      <c r="IBY83" s="0"/>
      <c r="IBZ83" s="0"/>
      <c r="ICA83" s="0"/>
      <c r="ICB83" s="0"/>
      <c r="ICC83" s="0"/>
      <c r="ICD83" s="0"/>
      <c r="ICE83" s="0"/>
      <c r="ICF83" s="0"/>
      <c r="ICG83" s="0"/>
      <c r="ICH83" s="0"/>
      <c r="ICI83" s="0"/>
      <c r="ICJ83" s="0"/>
      <c r="ICK83" s="0"/>
      <c r="ICL83" s="0"/>
      <c r="ICM83" s="0"/>
      <c r="ICN83" s="0"/>
      <c r="ICO83" s="0"/>
      <c r="ICP83" s="0"/>
      <c r="ICQ83" s="0"/>
      <c r="ICR83" s="0"/>
      <c r="ICS83" s="0"/>
      <c r="ICT83" s="0"/>
      <c r="ICU83" s="0"/>
      <c r="ICV83" s="0"/>
      <c r="ICW83" s="0"/>
      <c r="ICX83" s="0"/>
      <c r="ICY83" s="0"/>
      <c r="ICZ83" s="0"/>
      <c r="IDA83" s="0"/>
      <c r="IDB83" s="0"/>
      <c r="IDC83" s="0"/>
      <c r="IDD83" s="0"/>
      <c r="IDE83" s="0"/>
      <c r="IDF83" s="0"/>
      <c r="IDG83" s="0"/>
      <c r="IDH83" s="0"/>
      <c r="IDI83" s="0"/>
      <c r="IDJ83" s="0"/>
      <c r="IDK83" s="0"/>
      <c r="IDL83" s="0"/>
      <c r="IDM83" s="0"/>
      <c r="IDN83" s="0"/>
      <c r="IDO83" s="0"/>
      <c r="IDP83" s="0"/>
      <c r="IDQ83" s="0"/>
      <c r="IDR83" s="0"/>
      <c r="IDS83" s="0"/>
      <c r="IDT83" s="0"/>
      <c r="IDU83" s="0"/>
      <c r="IDV83" s="0"/>
      <c r="IDW83" s="0"/>
      <c r="IDX83" s="0"/>
      <c r="IDY83" s="0"/>
      <c r="IDZ83" s="0"/>
      <c r="IEA83" s="0"/>
      <c r="IEB83" s="0"/>
      <c r="IEC83" s="0"/>
      <c r="IED83" s="0"/>
      <c r="IEE83" s="0"/>
      <c r="IEF83" s="0"/>
      <c r="IEG83" s="0"/>
      <c r="IEH83" s="0"/>
      <c r="IEI83" s="0"/>
      <c r="IEJ83" s="0"/>
      <c r="IEK83" s="0"/>
      <c r="IEL83" s="0"/>
      <c r="IEM83" s="0"/>
      <c r="IEN83" s="0"/>
      <c r="IEO83" s="0"/>
      <c r="IEP83" s="0"/>
      <c r="IEQ83" s="0"/>
      <c r="IER83" s="0"/>
      <c r="IES83" s="0"/>
      <c r="IET83" s="0"/>
      <c r="IEU83" s="0"/>
      <c r="IEV83" s="0"/>
      <c r="IEW83" s="0"/>
      <c r="IEX83" s="0"/>
      <c r="IEY83" s="0"/>
      <c r="IEZ83" s="0"/>
      <c r="IFA83" s="0"/>
      <c r="IFB83" s="0"/>
      <c r="IFC83" s="0"/>
      <c r="IFD83" s="0"/>
      <c r="IFE83" s="0"/>
      <c r="IFF83" s="0"/>
      <c r="IFG83" s="0"/>
      <c r="IFH83" s="0"/>
      <c r="IFI83" s="0"/>
      <c r="IFJ83" s="0"/>
      <c r="IFK83" s="0"/>
      <c r="IFL83" s="0"/>
      <c r="IFM83" s="0"/>
      <c r="IFN83" s="0"/>
      <c r="IFO83" s="0"/>
      <c r="IFP83" s="0"/>
      <c r="IFQ83" s="0"/>
      <c r="IFR83" s="0"/>
      <c r="IFS83" s="0"/>
      <c r="IFT83" s="0"/>
      <c r="IFU83" s="0"/>
      <c r="IFV83" s="0"/>
      <c r="IFW83" s="0"/>
      <c r="IFX83" s="0"/>
      <c r="IFY83" s="0"/>
      <c r="IFZ83" s="0"/>
      <c r="IGA83" s="0"/>
      <c r="IGB83" s="0"/>
      <c r="IGC83" s="0"/>
      <c r="IGD83" s="0"/>
      <c r="IGE83" s="0"/>
      <c r="IGF83" s="0"/>
      <c r="IGG83" s="0"/>
      <c r="IGH83" s="0"/>
      <c r="IGI83" s="0"/>
      <c r="IGJ83" s="0"/>
      <c r="IGK83" s="0"/>
      <c r="IGL83" s="0"/>
      <c r="IGM83" s="0"/>
      <c r="IGN83" s="0"/>
      <c r="IGO83" s="0"/>
      <c r="IGP83" s="0"/>
      <c r="IGQ83" s="0"/>
      <c r="IGR83" s="0"/>
      <c r="IGS83" s="0"/>
      <c r="IGT83" s="0"/>
      <c r="IGU83" s="0"/>
      <c r="IGV83" s="0"/>
      <c r="IGW83" s="0"/>
      <c r="IGX83" s="0"/>
      <c r="IGY83" s="0"/>
      <c r="IGZ83" s="0"/>
      <c r="IHA83" s="0"/>
      <c r="IHB83" s="0"/>
      <c r="IHC83" s="0"/>
      <c r="IHD83" s="0"/>
      <c r="IHE83" s="0"/>
      <c r="IHF83" s="0"/>
      <c r="IHG83" s="0"/>
      <c r="IHH83" s="0"/>
      <c r="IHI83" s="0"/>
      <c r="IHJ83" s="0"/>
      <c r="IHK83" s="0"/>
      <c r="IHL83" s="0"/>
      <c r="IHM83" s="0"/>
      <c r="IHN83" s="0"/>
      <c r="IHO83" s="0"/>
      <c r="IHP83" s="0"/>
      <c r="IHQ83" s="0"/>
      <c r="IHR83" s="0"/>
      <c r="IHS83" s="0"/>
      <c r="IHT83" s="0"/>
      <c r="IHU83" s="0"/>
      <c r="IHV83" s="0"/>
      <c r="IHW83" s="0"/>
      <c r="IHX83" s="0"/>
      <c r="IHY83" s="0"/>
      <c r="IHZ83" s="0"/>
      <c r="IIA83" s="0"/>
      <c r="IIB83" s="0"/>
      <c r="IIC83" s="0"/>
      <c r="IID83" s="0"/>
      <c r="IIE83" s="0"/>
      <c r="IIF83" s="0"/>
      <c r="IIG83" s="0"/>
      <c r="IIH83" s="0"/>
      <c r="III83" s="0"/>
      <c r="IIJ83" s="0"/>
      <c r="IIK83" s="0"/>
      <c r="IIL83" s="0"/>
      <c r="IIM83" s="0"/>
      <c r="IIN83" s="0"/>
      <c r="IIO83" s="0"/>
      <c r="IIP83" s="0"/>
      <c r="IIQ83" s="0"/>
      <c r="IIR83" s="0"/>
      <c r="IIS83" s="0"/>
      <c r="IIT83" s="0"/>
      <c r="IIU83" s="0"/>
      <c r="IIV83" s="0"/>
      <c r="IIW83" s="0"/>
      <c r="IIX83" s="0"/>
      <c r="IIY83" s="0"/>
      <c r="IIZ83" s="0"/>
      <c r="IJA83" s="0"/>
      <c r="IJB83" s="0"/>
      <c r="IJC83" s="0"/>
      <c r="IJD83" s="0"/>
      <c r="IJE83" s="0"/>
      <c r="IJF83" s="0"/>
      <c r="IJG83" s="0"/>
      <c r="IJH83" s="0"/>
      <c r="IJI83" s="0"/>
      <c r="IJJ83" s="0"/>
      <c r="IJK83" s="0"/>
      <c r="IJL83" s="0"/>
      <c r="IJM83" s="0"/>
      <c r="IJN83" s="0"/>
      <c r="IJO83" s="0"/>
      <c r="IJP83" s="0"/>
      <c r="IJQ83" s="0"/>
      <c r="IJR83" s="0"/>
      <c r="IJS83" s="0"/>
      <c r="IJT83" s="0"/>
      <c r="IJU83" s="0"/>
      <c r="IJV83" s="0"/>
      <c r="IJW83" s="0"/>
      <c r="IJX83" s="0"/>
      <c r="IJY83" s="0"/>
      <c r="IJZ83" s="0"/>
      <c r="IKA83" s="0"/>
      <c r="IKB83" s="0"/>
      <c r="IKC83" s="0"/>
      <c r="IKD83" s="0"/>
      <c r="IKE83" s="0"/>
      <c r="IKF83" s="0"/>
      <c r="IKG83" s="0"/>
      <c r="IKH83" s="0"/>
      <c r="IKI83" s="0"/>
      <c r="IKJ83" s="0"/>
      <c r="IKK83" s="0"/>
      <c r="IKL83" s="0"/>
      <c r="IKM83" s="0"/>
      <c r="IKN83" s="0"/>
      <c r="IKO83" s="0"/>
      <c r="IKP83" s="0"/>
      <c r="IKQ83" s="0"/>
      <c r="IKR83" s="0"/>
      <c r="IKS83" s="0"/>
      <c r="IKT83" s="0"/>
      <c r="IKU83" s="0"/>
      <c r="IKV83" s="0"/>
      <c r="IKW83" s="0"/>
      <c r="IKX83" s="0"/>
      <c r="IKY83" s="0"/>
      <c r="IKZ83" s="0"/>
      <c r="ILA83" s="0"/>
      <c r="ILB83" s="0"/>
      <c r="ILC83" s="0"/>
      <c r="ILD83" s="0"/>
      <c r="ILE83" s="0"/>
      <c r="ILF83" s="0"/>
      <c r="ILG83" s="0"/>
      <c r="ILH83" s="0"/>
      <c r="ILI83" s="0"/>
      <c r="ILJ83" s="0"/>
      <c r="ILK83" s="0"/>
      <c r="ILL83" s="0"/>
      <c r="ILM83" s="0"/>
      <c r="ILN83" s="0"/>
      <c r="ILO83" s="0"/>
      <c r="ILP83" s="0"/>
      <c r="ILQ83" s="0"/>
      <c r="ILR83" s="0"/>
      <c r="ILS83" s="0"/>
      <c r="ILT83" s="0"/>
      <c r="ILU83" s="0"/>
      <c r="ILV83" s="0"/>
      <c r="ILW83" s="0"/>
      <c r="ILX83" s="0"/>
      <c r="ILY83" s="0"/>
      <c r="ILZ83" s="0"/>
      <c r="IMA83" s="0"/>
      <c r="IMB83" s="0"/>
      <c r="IMC83" s="0"/>
      <c r="IMD83" s="0"/>
      <c r="IME83" s="0"/>
      <c r="IMF83" s="0"/>
      <c r="IMG83" s="0"/>
      <c r="IMH83" s="0"/>
      <c r="IMI83" s="0"/>
      <c r="IMJ83" s="0"/>
      <c r="IMK83" s="0"/>
      <c r="IML83" s="0"/>
      <c r="IMM83" s="0"/>
      <c r="IMN83" s="0"/>
      <c r="IMO83" s="0"/>
      <c r="IMP83" s="0"/>
      <c r="IMQ83" s="0"/>
      <c r="IMR83" s="0"/>
      <c r="IMS83" s="0"/>
      <c r="IMT83" s="0"/>
      <c r="IMU83" s="0"/>
      <c r="IMV83" s="0"/>
      <c r="IMW83" s="0"/>
      <c r="IMX83" s="0"/>
      <c r="IMY83" s="0"/>
      <c r="IMZ83" s="0"/>
      <c r="INA83" s="0"/>
      <c r="INB83" s="0"/>
      <c r="INC83" s="0"/>
      <c r="IND83" s="0"/>
      <c r="INE83" s="0"/>
      <c r="INF83" s="0"/>
      <c r="ING83" s="0"/>
      <c r="INH83" s="0"/>
      <c r="INI83" s="0"/>
      <c r="INJ83" s="0"/>
      <c r="INK83" s="0"/>
      <c r="INL83" s="0"/>
      <c r="INM83" s="0"/>
      <c r="INN83" s="0"/>
      <c r="INO83" s="0"/>
      <c r="INP83" s="0"/>
      <c r="INQ83" s="0"/>
      <c r="INR83" s="0"/>
      <c r="INS83" s="0"/>
      <c r="INT83" s="0"/>
      <c r="INU83" s="0"/>
      <c r="INV83" s="0"/>
      <c r="INW83" s="0"/>
      <c r="INX83" s="0"/>
      <c r="INY83" s="0"/>
      <c r="INZ83" s="0"/>
      <c r="IOA83" s="0"/>
      <c r="IOB83" s="0"/>
      <c r="IOC83" s="0"/>
      <c r="IOD83" s="0"/>
      <c r="IOE83" s="0"/>
      <c r="IOF83" s="0"/>
      <c r="IOG83" s="0"/>
      <c r="IOH83" s="0"/>
      <c r="IOI83" s="0"/>
      <c r="IOJ83" s="0"/>
      <c r="IOK83" s="0"/>
      <c r="IOL83" s="0"/>
      <c r="IOM83" s="0"/>
      <c r="ION83" s="0"/>
      <c r="IOO83" s="0"/>
      <c r="IOP83" s="0"/>
      <c r="IOQ83" s="0"/>
      <c r="IOR83" s="0"/>
      <c r="IOS83" s="0"/>
      <c r="IOT83" s="0"/>
      <c r="IOU83" s="0"/>
      <c r="IOV83" s="0"/>
      <c r="IOW83" s="0"/>
      <c r="IOX83" s="0"/>
      <c r="IOY83" s="0"/>
      <c r="IOZ83" s="0"/>
      <c r="IPA83" s="0"/>
      <c r="IPB83" s="0"/>
      <c r="IPC83" s="0"/>
      <c r="IPD83" s="0"/>
      <c r="IPE83" s="0"/>
      <c r="IPF83" s="0"/>
      <c r="IPG83" s="0"/>
      <c r="IPH83" s="0"/>
      <c r="IPI83" s="0"/>
      <c r="IPJ83" s="0"/>
      <c r="IPK83" s="0"/>
      <c r="IPL83" s="0"/>
      <c r="IPM83" s="0"/>
      <c r="IPN83" s="0"/>
      <c r="IPO83" s="0"/>
      <c r="IPP83" s="0"/>
      <c r="IPQ83" s="0"/>
      <c r="IPR83" s="0"/>
      <c r="IPS83" s="0"/>
      <c r="IPT83" s="0"/>
      <c r="IPU83" s="0"/>
      <c r="IPV83" s="0"/>
      <c r="IPW83" s="0"/>
      <c r="IPX83" s="0"/>
      <c r="IPY83" s="0"/>
      <c r="IPZ83" s="0"/>
      <c r="IQA83" s="0"/>
      <c r="IQB83" s="0"/>
      <c r="IQC83" s="0"/>
      <c r="IQD83" s="0"/>
      <c r="IQE83" s="0"/>
      <c r="IQF83" s="0"/>
      <c r="IQG83" s="0"/>
      <c r="IQH83" s="0"/>
      <c r="IQI83" s="0"/>
      <c r="IQJ83" s="0"/>
      <c r="IQK83" s="0"/>
      <c r="IQL83" s="0"/>
      <c r="IQM83" s="0"/>
      <c r="IQN83" s="0"/>
      <c r="IQO83" s="0"/>
      <c r="IQP83" s="0"/>
      <c r="IQQ83" s="0"/>
      <c r="IQR83" s="0"/>
      <c r="IQS83" s="0"/>
      <c r="IQT83" s="0"/>
      <c r="IQU83" s="0"/>
      <c r="IQV83" s="0"/>
      <c r="IQW83" s="0"/>
      <c r="IQX83" s="0"/>
      <c r="IQY83" s="0"/>
      <c r="IQZ83" s="0"/>
      <c r="IRA83" s="0"/>
      <c r="IRB83" s="0"/>
      <c r="IRC83" s="0"/>
      <c r="IRD83" s="0"/>
      <c r="IRE83" s="0"/>
      <c r="IRF83" s="0"/>
      <c r="IRG83" s="0"/>
      <c r="IRH83" s="0"/>
      <c r="IRI83" s="0"/>
      <c r="IRJ83" s="0"/>
      <c r="IRK83" s="0"/>
      <c r="IRL83" s="0"/>
      <c r="IRM83" s="0"/>
      <c r="IRN83" s="0"/>
      <c r="IRO83" s="0"/>
      <c r="IRP83" s="0"/>
      <c r="IRQ83" s="0"/>
      <c r="IRR83" s="0"/>
      <c r="IRS83" s="0"/>
      <c r="IRT83" s="0"/>
      <c r="IRU83" s="0"/>
      <c r="IRV83" s="0"/>
      <c r="IRW83" s="0"/>
      <c r="IRX83" s="0"/>
      <c r="IRY83" s="0"/>
      <c r="IRZ83" s="0"/>
      <c r="ISA83" s="0"/>
      <c r="ISB83" s="0"/>
      <c r="ISC83" s="0"/>
      <c r="ISD83" s="0"/>
      <c r="ISE83" s="0"/>
      <c r="ISF83" s="0"/>
      <c r="ISG83" s="0"/>
      <c r="ISH83" s="0"/>
      <c r="ISI83" s="0"/>
      <c r="ISJ83" s="0"/>
      <c r="ISK83" s="0"/>
      <c r="ISL83" s="0"/>
      <c r="ISM83" s="0"/>
      <c r="ISN83" s="0"/>
      <c r="ISO83" s="0"/>
      <c r="ISP83" s="0"/>
      <c r="ISQ83" s="0"/>
      <c r="ISR83" s="0"/>
      <c r="ISS83" s="0"/>
      <c r="IST83" s="0"/>
      <c r="ISU83" s="0"/>
      <c r="ISV83" s="0"/>
      <c r="ISW83" s="0"/>
      <c r="ISX83" s="0"/>
      <c r="ISY83" s="0"/>
      <c r="ISZ83" s="0"/>
      <c r="ITA83" s="0"/>
      <c r="ITB83" s="0"/>
      <c r="ITC83" s="0"/>
      <c r="ITD83" s="0"/>
      <c r="ITE83" s="0"/>
      <c r="ITF83" s="0"/>
      <c r="ITG83" s="0"/>
      <c r="ITH83" s="0"/>
      <c r="ITI83" s="0"/>
      <c r="ITJ83" s="0"/>
      <c r="ITK83" s="0"/>
      <c r="ITL83" s="0"/>
      <c r="ITM83" s="0"/>
      <c r="ITN83" s="0"/>
      <c r="ITO83" s="0"/>
      <c r="ITP83" s="0"/>
      <c r="ITQ83" s="0"/>
      <c r="ITR83" s="0"/>
      <c r="ITS83" s="0"/>
      <c r="ITT83" s="0"/>
      <c r="ITU83" s="0"/>
      <c r="ITV83" s="0"/>
      <c r="ITW83" s="0"/>
      <c r="ITX83" s="0"/>
      <c r="ITY83" s="0"/>
      <c r="ITZ83" s="0"/>
      <c r="IUA83" s="0"/>
      <c r="IUB83" s="0"/>
      <c r="IUC83" s="0"/>
      <c r="IUD83" s="0"/>
      <c r="IUE83" s="0"/>
      <c r="IUF83" s="0"/>
      <c r="IUG83" s="0"/>
      <c r="IUH83" s="0"/>
      <c r="IUI83" s="0"/>
      <c r="IUJ83" s="0"/>
      <c r="IUK83" s="0"/>
      <c r="IUL83" s="0"/>
      <c r="IUM83" s="0"/>
      <c r="IUN83" s="0"/>
      <c r="IUO83" s="0"/>
      <c r="IUP83" s="0"/>
      <c r="IUQ83" s="0"/>
      <c r="IUR83" s="0"/>
      <c r="IUS83" s="0"/>
      <c r="IUT83" s="0"/>
      <c r="IUU83" s="0"/>
      <c r="IUV83" s="0"/>
      <c r="IUW83" s="0"/>
      <c r="IUX83" s="0"/>
      <c r="IUY83" s="0"/>
      <c r="IUZ83" s="0"/>
      <c r="IVA83" s="0"/>
      <c r="IVB83" s="0"/>
      <c r="IVC83" s="0"/>
      <c r="IVD83" s="0"/>
      <c r="IVE83" s="0"/>
      <c r="IVF83" s="0"/>
      <c r="IVG83" s="0"/>
      <c r="IVH83" s="0"/>
      <c r="IVI83" s="0"/>
      <c r="IVJ83" s="0"/>
      <c r="IVK83" s="0"/>
      <c r="IVL83" s="0"/>
      <c r="IVM83" s="0"/>
      <c r="IVN83" s="0"/>
      <c r="IVO83" s="0"/>
      <c r="IVP83" s="0"/>
      <c r="IVQ83" s="0"/>
      <c r="IVR83" s="0"/>
      <c r="IVS83" s="0"/>
      <c r="IVT83" s="0"/>
      <c r="IVU83" s="0"/>
      <c r="IVV83" s="0"/>
      <c r="IVW83" s="0"/>
      <c r="IVX83" s="0"/>
      <c r="IVY83" s="0"/>
      <c r="IVZ83" s="0"/>
      <c r="IWA83" s="0"/>
      <c r="IWB83" s="0"/>
      <c r="IWC83" s="0"/>
      <c r="IWD83" s="0"/>
      <c r="IWE83" s="0"/>
      <c r="IWF83" s="0"/>
      <c r="IWG83" s="0"/>
      <c r="IWH83" s="0"/>
      <c r="IWI83" s="0"/>
      <c r="IWJ83" s="0"/>
      <c r="IWK83" s="0"/>
      <c r="IWL83" s="0"/>
      <c r="IWM83" s="0"/>
      <c r="IWN83" s="0"/>
      <c r="IWO83" s="0"/>
      <c r="IWP83" s="0"/>
      <c r="IWQ83" s="0"/>
      <c r="IWR83" s="0"/>
      <c r="IWS83" s="0"/>
      <c r="IWT83" s="0"/>
      <c r="IWU83" s="0"/>
      <c r="IWV83" s="0"/>
      <c r="IWW83" s="0"/>
      <c r="IWX83" s="0"/>
      <c r="IWY83" s="0"/>
      <c r="IWZ83" s="0"/>
      <c r="IXA83" s="0"/>
      <c r="IXB83" s="0"/>
      <c r="IXC83" s="0"/>
      <c r="IXD83" s="0"/>
      <c r="IXE83" s="0"/>
      <c r="IXF83" s="0"/>
      <c r="IXG83" s="0"/>
      <c r="IXH83" s="0"/>
      <c r="IXI83" s="0"/>
      <c r="IXJ83" s="0"/>
      <c r="IXK83" s="0"/>
      <c r="IXL83" s="0"/>
      <c r="IXM83" s="0"/>
      <c r="IXN83" s="0"/>
      <c r="IXO83" s="0"/>
      <c r="IXP83" s="0"/>
      <c r="IXQ83" s="0"/>
      <c r="IXR83" s="0"/>
      <c r="IXS83" s="0"/>
      <c r="IXT83" s="0"/>
      <c r="IXU83" s="0"/>
      <c r="IXV83" s="0"/>
      <c r="IXW83" s="0"/>
      <c r="IXX83" s="0"/>
      <c r="IXY83" s="0"/>
      <c r="IXZ83" s="0"/>
      <c r="IYA83" s="0"/>
      <c r="IYB83" s="0"/>
      <c r="IYC83" s="0"/>
      <c r="IYD83" s="0"/>
      <c r="IYE83" s="0"/>
      <c r="IYF83" s="0"/>
      <c r="IYG83" s="0"/>
      <c r="IYH83" s="0"/>
      <c r="IYI83" s="0"/>
      <c r="IYJ83" s="0"/>
      <c r="IYK83" s="0"/>
      <c r="IYL83" s="0"/>
      <c r="IYM83" s="0"/>
      <c r="IYN83" s="0"/>
      <c r="IYO83" s="0"/>
      <c r="IYP83" s="0"/>
      <c r="IYQ83" s="0"/>
      <c r="IYR83" s="0"/>
      <c r="IYS83" s="0"/>
      <c r="IYT83" s="0"/>
      <c r="IYU83" s="0"/>
      <c r="IYV83" s="0"/>
      <c r="IYW83" s="0"/>
      <c r="IYX83" s="0"/>
      <c r="IYY83" s="0"/>
      <c r="IYZ83" s="0"/>
      <c r="IZA83" s="0"/>
      <c r="IZB83" s="0"/>
      <c r="IZC83" s="0"/>
      <c r="IZD83" s="0"/>
      <c r="IZE83" s="0"/>
      <c r="IZF83" s="0"/>
      <c r="IZG83" s="0"/>
      <c r="IZH83" s="0"/>
      <c r="IZI83" s="0"/>
      <c r="IZJ83" s="0"/>
      <c r="IZK83" s="0"/>
      <c r="IZL83" s="0"/>
      <c r="IZM83" s="0"/>
      <c r="IZN83" s="0"/>
      <c r="IZO83" s="0"/>
      <c r="IZP83" s="0"/>
      <c r="IZQ83" s="0"/>
      <c r="IZR83" s="0"/>
      <c r="IZS83" s="0"/>
      <c r="IZT83" s="0"/>
      <c r="IZU83" s="0"/>
      <c r="IZV83" s="0"/>
      <c r="IZW83" s="0"/>
      <c r="IZX83" s="0"/>
      <c r="IZY83" s="0"/>
      <c r="IZZ83" s="0"/>
      <c r="JAA83" s="0"/>
      <c r="JAB83" s="0"/>
      <c r="JAC83" s="0"/>
      <c r="JAD83" s="0"/>
      <c r="JAE83" s="0"/>
      <c r="JAF83" s="0"/>
      <c r="JAG83" s="0"/>
      <c r="JAH83" s="0"/>
      <c r="JAI83" s="0"/>
      <c r="JAJ83" s="0"/>
      <c r="JAK83" s="0"/>
      <c r="JAL83" s="0"/>
      <c r="JAM83" s="0"/>
      <c r="JAN83" s="0"/>
      <c r="JAO83" s="0"/>
      <c r="JAP83" s="0"/>
      <c r="JAQ83" s="0"/>
      <c r="JAR83" s="0"/>
      <c r="JAS83" s="0"/>
      <c r="JAT83" s="0"/>
      <c r="JAU83" s="0"/>
      <c r="JAV83" s="0"/>
      <c r="JAW83" s="0"/>
      <c r="JAX83" s="0"/>
      <c r="JAY83" s="0"/>
      <c r="JAZ83" s="0"/>
      <c r="JBA83" s="0"/>
      <c r="JBB83" s="0"/>
      <c r="JBC83" s="0"/>
      <c r="JBD83" s="0"/>
      <c r="JBE83" s="0"/>
      <c r="JBF83" s="0"/>
      <c r="JBG83" s="0"/>
      <c r="JBH83" s="0"/>
      <c r="JBI83" s="0"/>
      <c r="JBJ83" s="0"/>
      <c r="JBK83" s="0"/>
      <c r="JBL83" s="0"/>
      <c r="JBM83" s="0"/>
      <c r="JBN83" s="0"/>
      <c r="JBO83" s="0"/>
      <c r="JBP83" s="0"/>
      <c r="JBQ83" s="0"/>
      <c r="JBR83" s="0"/>
      <c r="JBS83" s="0"/>
      <c r="JBT83" s="0"/>
      <c r="JBU83" s="0"/>
      <c r="JBV83" s="0"/>
      <c r="JBW83" s="0"/>
      <c r="JBX83" s="0"/>
      <c r="JBY83" s="0"/>
      <c r="JBZ83" s="0"/>
      <c r="JCA83" s="0"/>
      <c r="JCB83" s="0"/>
      <c r="JCC83" s="0"/>
      <c r="JCD83" s="0"/>
      <c r="JCE83" s="0"/>
      <c r="JCF83" s="0"/>
      <c r="JCG83" s="0"/>
      <c r="JCH83" s="0"/>
      <c r="JCI83" s="0"/>
      <c r="JCJ83" s="0"/>
      <c r="JCK83" s="0"/>
      <c r="JCL83" s="0"/>
      <c r="JCM83" s="0"/>
      <c r="JCN83" s="0"/>
      <c r="JCO83" s="0"/>
      <c r="JCP83" s="0"/>
      <c r="JCQ83" s="0"/>
      <c r="JCR83" s="0"/>
      <c r="JCS83" s="0"/>
      <c r="JCT83" s="0"/>
      <c r="JCU83" s="0"/>
      <c r="JCV83" s="0"/>
      <c r="JCW83" s="0"/>
      <c r="JCX83" s="0"/>
      <c r="JCY83" s="0"/>
      <c r="JCZ83" s="0"/>
      <c r="JDA83" s="0"/>
      <c r="JDB83" s="0"/>
      <c r="JDC83" s="0"/>
      <c r="JDD83" s="0"/>
      <c r="JDE83" s="0"/>
      <c r="JDF83" s="0"/>
      <c r="JDG83" s="0"/>
      <c r="JDH83" s="0"/>
      <c r="JDI83" s="0"/>
      <c r="JDJ83" s="0"/>
      <c r="JDK83" s="0"/>
      <c r="JDL83" s="0"/>
      <c r="JDM83" s="0"/>
      <c r="JDN83" s="0"/>
      <c r="JDO83" s="0"/>
      <c r="JDP83" s="0"/>
      <c r="JDQ83" s="0"/>
      <c r="JDR83" s="0"/>
      <c r="JDS83" s="0"/>
      <c r="JDT83" s="0"/>
      <c r="JDU83" s="0"/>
      <c r="JDV83" s="0"/>
      <c r="JDW83" s="0"/>
      <c r="JDX83" s="0"/>
      <c r="JDY83" s="0"/>
      <c r="JDZ83" s="0"/>
      <c r="JEA83" s="0"/>
      <c r="JEB83" s="0"/>
      <c r="JEC83" s="0"/>
      <c r="JED83" s="0"/>
      <c r="JEE83" s="0"/>
      <c r="JEF83" s="0"/>
      <c r="JEG83" s="0"/>
      <c r="JEH83" s="0"/>
      <c r="JEI83" s="0"/>
      <c r="JEJ83" s="0"/>
      <c r="JEK83" s="0"/>
      <c r="JEL83" s="0"/>
      <c r="JEM83" s="0"/>
      <c r="JEN83" s="0"/>
      <c r="JEO83" s="0"/>
      <c r="JEP83" s="0"/>
      <c r="JEQ83" s="0"/>
      <c r="JER83" s="0"/>
      <c r="JES83" s="0"/>
      <c r="JET83" s="0"/>
      <c r="JEU83" s="0"/>
      <c r="JEV83" s="0"/>
      <c r="JEW83" s="0"/>
      <c r="JEX83" s="0"/>
      <c r="JEY83" s="0"/>
      <c r="JEZ83" s="0"/>
      <c r="JFA83" s="0"/>
      <c r="JFB83" s="0"/>
      <c r="JFC83" s="0"/>
      <c r="JFD83" s="0"/>
      <c r="JFE83" s="0"/>
      <c r="JFF83" s="0"/>
      <c r="JFG83" s="0"/>
      <c r="JFH83" s="0"/>
      <c r="JFI83" s="0"/>
      <c r="JFJ83" s="0"/>
      <c r="JFK83" s="0"/>
      <c r="JFL83" s="0"/>
      <c r="JFM83" s="0"/>
      <c r="JFN83" s="0"/>
      <c r="JFO83" s="0"/>
      <c r="JFP83" s="0"/>
      <c r="JFQ83" s="0"/>
      <c r="JFR83" s="0"/>
      <c r="JFS83" s="0"/>
      <c r="JFT83" s="0"/>
      <c r="JFU83" s="0"/>
      <c r="JFV83" s="0"/>
      <c r="JFW83" s="0"/>
      <c r="JFX83" s="0"/>
      <c r="JFY83" s="0"/>
      <c r="JFZ83" s="0"/>
      <c r="JGA83" s="0"/>
      <c r="JGB83" s="0"/>
      <c r="JGC83" s="0"/>
      <c r="JGD83" s="0"/>
      <c r="JGE83" s="0"/>
      <c r="JGF83" s="0"/>
      <c r="JGG83" s="0"/>
      <c r="JGH83" s="0"/>
      <c r="JGI83" s="0"/>
      <c r="JGJ83" s="0"/>
      <c r="JGK83" s="0"/>
      <c r="JGL83" s="0"/>
      <c r="JGM83" s="0"/>
      <c r="JGN83" s="0"/>
      <c r="JGO83" s="0"/>
      <c r="JGP83" s="0"/>
      <c r="JGQ83" s="0"/>
      <c r="JGR83" s="0"/>
      <c r="JGS83" s="0"/>
      <c r="JGT83" s="0"/>
      <c r="JGU83" s="0"/>
      <c r="JGV83" s="0"/>
      <c r="JGW83" s="0"/>
      <c r="JGX83" s="0"/>
      <c r="JGY83" s="0"/>
      <c r="JGZ83" s="0"/>
      <c r="JHA83" s="0"/>
      <c r="JHB83" s="0"/>
      <c r="JHC83" s="0"/>
      <c r="JHD83" s="0"/>
      <c r="JHE83" s="0"/>
      <c r="JHF83" s="0"/>
      <c r="JHG83" s="0"/>
      <c r="JHH83" s="0"/>
      <c r="JHI83" s="0"/>
      <c r="JHJ83" s="0"/>
      <c r="JHK83" s="0"/>
      <c r="JHL83" s="0"/>
      <c r="JHM83" s="0"/>
      <c r="JHN83" s="0"/>
      <c r="JHO83" s="0"/>
      <c r="JHP83" s="0"/>
      <c r="JHQ83" s="0"/>
      <c r="JHR83" s="0"/>
      <c r="JHS83" s="0"/>
      <c r="JHT83" s="0"/>
      <c r="JHU83" s="0"/>
      <c r="JHV83" s="0"/>
      <c r="JHW83" s="0"/>
      <c r="JHX83" s="0"/>
      <c r="JHY83" s="0"/>
      <c r="JHZ83" s="0"/>
      <c r="JIA83" s="0"/>
      <c r="JIB83" s="0"/>
      <c r="JIC83" s="0"/>
      <c r="JID83" s="0"/>
      <c r="JIE83" s="0"/>
      <c r="JIF83" s="0"/>
      <c r="JIG83" s="0"/>
      <c r="JIH83" s="0"/>
      <c r="JII83" s="0"/>
      <c r="JIJ83" s="0"/>
      <c r="JIK83" s="0"/>
      <c r="JIL83" s="0"/>
      <c r="JIM83" s="0"/>
      <c r="JIN83" s="0"/>
      <c r="JIO83" s="0"/>
      <c r="JIP83" s="0"/>
      <c r="JIQ83" s="0"/>
      <c r="JIR83" s="0"/>
      <c r="JIS83" s="0"/>
      <c r="JIT83" s="0"/>
      <c r="JIU83" s="0"/>
      <c r="JIV83" s="0"/>
      <c r="JIW83" s="0"/>
      <c r="JIX83" s="0"/>
      <c r="JIY83" s="0"/>
      <c r="JIZ83" s="0"/>
      <c r="JJA83" s="0"/>
      <c r="JJB83" s="0"/>
      <c r="JJC83" s="0"/>
      <c r="JJD83" s="0"/>
      <c r="JJE83" s="0"/>
      <c r="JJF83" s="0"/>
      <c r="JJG83" s="0"/>
      <c r="JJH83" s="0"/>
      <c r="JJI83" s="0"/>
      <c r="JJJ83" s="0"/>
      <c r="JJK83" s="0"/>
      <c r="JJL83" s="0"/>
      <c r="JJM83" s="0"/>
      <c r="JJN83" s="0"/>
      <c r="JJO83" s="0"/>
      <c r="JJP83" s="0"/>
      <c r="JJQ83" s="0"/>
      <c r="JJR83" s="0"/>
      <c r="JJS83" s="0"/>
      <c r="JJT83" s="0"/>
      <c r="JJU83" s="0"/>
      <c r="JJV83" s="0"/>
      <c r="JJW83" s="0"/>
      <c r="JJX83" s="0"/>
      <c r="JJY83" s="0"/>
      <c r="JJZ83" s="0"/>
      <c r="JKA83" s="0"/>
      <c r="JKB83" s="0"/>
      <c r="JKC83" s="0"/>
      <c r="JKD83" s="0"/>
      <c r="JKE83" s="0"/>
      <c r="JKF83" s="0"/>
      <c r="JKG83" s="0"/>
      <c r="JKH83" s="0"/>
      <c r="JKI83" s="0"/>
      <c r="JKJ83" s="0"/>
      <c r="JKK83" s="0"/>
      <c r="JKL83" s="0"/>
      <c r="JKM83" s="0"/>
      <c r="JKN83" s="0"/>
      <c r="JKO83" s="0"/>
      <c r="JKP83" s="0"/>
      <c r="JKQ83" s="0"/>
      <c r="JKR83" s="0"/>
      <c r="JKS83" s="0"/>
      <c r="JKT83" s="0"/>
      <c r="JKU83" s="0"/>
      <c r="JKV83" s="0"/>
      <c r="JKW83" s="0"/>
      <c r="JKX83" s="0"/>
      <c r="JKY83" s="0"/>
      <c r="JKZ83" s="0"/>
      <c r="JLA83" s="0"/>
      <c r="JLB83" s="0"/>
      <c r="JLC83" s="0"/>
      <c r="JLD83" s="0"/>
      <c r="JLE83" s="0"/>
      <c r="JLF83" s="0"/>
      <c r="JLG83" s="0"/>
      <c r="JLH83" s="0"/>
      <c r="JLI83" s="0"/>
      <c r="JLJ83" s="0"/>
      <c r="JLK83" s="0"/>
      <c r="JLL83" s="0"/>
      <c r="JLM83" s="0"/>
      <c r="JLN83" s="0"/>
      <c r="JLO83" s="0"/>
      <c r="JLP83" s="0"/>
      <c r="JLQ83" s="0"/>
      <c r="JLR83" s="0"/>
      <c r="JLS83" s="0"/>
      <c r="JLT83" s="0"/>
      <c r="JLU83" s="0"/>
      <c r="JLV83" s="0"/>
      <c r="JLW83" s="0"/>
      <c r="JLX83" s="0"/>
      <c r="JLY83" s="0"/>
      <c r="JLZ83" s="0"/>
      <c r="JMA83" s="0"/>
      <c r="JMB83" s="0"/>
      <c r="JMC83" s="0"/>
      <c r="JMD83" s="0"/>
      <c r="JME83" s="0"/>
      <c r="JMF83" s="0"/>
      <c r="JMG83" s="0"/>
      <c r="JMH83" s="0"/>
      <c r="JMI83" s="0"/>
      <c r="JMJ83" s="0"/>
      <c r="JMK83" s="0"/>
      <c r="JML83" s="0"/>
      <c r="JMM83" s="0"/>
      <c r="JMN83" s="0"/>
      <c r="JMO83" s="0"/>
      <c r="JMP83" s="0"/>
      <c r="JMQ83" s="0"/>
      <c r="JMR83" s="0"/>
      <c r="JMS83" s="0"/>
      <c r="JMT83" s="0"/>
      <c r="JMU83" s="0"/>
      <c r="JMV83" s="0"/>
      <c r="JMW83" s="0"/>
      <c r="JMX83" s="0"/>
      <c r="JMY83" s="0"/>
      <c r="JMZ83" s="0"/>
      <c r="JNA83" s="0"/>
      <c r="JNB83" s="0"/>
      <c r="JNC83" s="0"/>
      <c r="JND83" s="0"/>
      <c r="JNE83" s="0"/>
      <c r="JNF83" s="0"/>
      <c r="JNG83" s="0"/>
      <c r="JNH83" s="0"/>
      <c r="JNI83" s="0"/>
      <c r="JNJ83" s="0"/>
      <c r="JNK83" s="0"/>
      <c r="JNL83" s="0"/>
      <c r="JNM83" s="0"/>
      <c r="JNN83" s="0"/>
      <c r="JNO83" s="0"/>
      <c r="JNP83" s="0"/>
      <c r="JNQ83" s="0"/>
      <c r="JNR83" s="0"/>
      <c r="JNS83" s="0"/>
      <c r="JNT83" s="0"/>
      <c r="JNU83" s="0"/>
      <c r="JNV83" s="0"/>
      <c r="JNW83" s="0"/>
      <c r="JNX83" s="0"/>
      <c r="JNY83" s="0"/>
      <c r="JNZ83" s="0"/>
      <c r="JOA83" s="0"/>
      <c r="JOB83" s="0"/>
      <c r="JOC83" s="0"/>
      <c r="JOD83" s="0"/>
      <c r="JOE83" s="0"/>
      <c r="JOF83" s="0"/>
      <c r="JOG83" s="0"/>
      <c r="JOH83" s="0"/>
      <c r="JOI83" s="0"/>
      <c r="JOJ83" s="0"/>
      <c r="JOK83" s="0"/>
      <c r="JOL83" s="0"/>
      <c r="JOM83" s="0"/>
      <c r="JON83" s="0"/>
      <c r="JOO83" s="0"/>
      <c r="JOP83" s="0"/>
      <c r="JOQ83" s="0"/>
      <c r="JOR83" s="0"/>
      <c r="JOS83" s="0"/>
      <c r="JOT83" s="0"/>
      <c r="JOU83" s="0"/>
      <c r="JOV83" s="0"/>
      <c r="JOW83" s="0"/>
      <c r="JOX83" s="0"/>
      <c r="JOY83" s="0"/>
      <c r="JOZ83" s="0"/>
      <c r="JPA83" s="0"/>
      <c r="JPB83" s="0"/>
      <c r="JPC83" s="0"/>
      <c r="JPD83" s="0"/>
      <c r="JPE83" s="0"/>
      <c r="JPF83" s="0"/>
      <c r="JPG83" s="0"/>
      <c r="JPH83" s="0"/>
      <c r="JPI83" s="0"/>
      <c r="JPJ83" s="0"/>
      <c r="JPK83" s="0"/>
      <c r="JPL83" s="0"/>
      <c r="JPM83" s="0"/>
      <c r="JPN83" s="0"/>
      <c r="JPO83" s="0"/>
      <c r="JPP83" s="0"/>
      <c r="JPQ83" s="0"/>
      <c r="JPR83" s="0"/>
      <c r="JPS83" s="0"/>
      <c r="JPT83" s="0"/>
      <c r="JPU83" s="0"/>
      <c r="JPV83" s="0"/>
      <c r="JPW83" s="0"/>
      <c r="JPX83" s="0"/>
      <c r="JPY83" s="0"/>
      <c r="JPZ83" s="0"/>
      <c r="JQA83" s="0"/>
      <c r="JQB83" s="0"/>
      <c r="JQC83" s="0"/>
      <c r="JQD83" s="0"/>
      <c r="JQE83" s="0"/>
      <c r="JQF83" s="0"/>
      <c r="JQG83" s="0"/>
      <c r="JQH83" s="0"/>
      <c r="JQI83" s="0"/>
      <c r="JQJ83" s="0"/>
      <c r="JQK83" s="0"/>
      <c r="JQL83" s="0"/>
      <c r="JQM83" s="0"/>
      <c r="JQN83" s="0"/>
      <c r="JQO83" s="0"/>
      <c r="JQP83" s="0"/>
      <c r="JQQ83" s="0"/>
      <c r="JQR83" s="0"/>
      <c r="JQS83" s="0"/>
      <c r="JQT83" s="0"/>
      <c r="JQU83" s="0"/>
      <c r="JQV83" s="0"/>
      <c r="JQW83" s="0"/>
      <c r="JQX83" s="0"/>
      <c r="JQY83" s="0"/>
      <c r="JQZ83" s="0"/>
      <c r="JRA83" s="0"/>
      <c r="JRB83" s="0"/>
      <c r="JRC83" s="0"/>
      <c r="JRD83" s="0"/>
      <c r="JRE83" s="0"/>
      <c r="JRF83" s="0"/>
      <c r="JRG83" s="0"/>
      <c r="JRH83" s="0"/>
      <c r="JRI83" s="0"/>
      <c r="JRJ83" s="0"/>
      <c r="JRK83" s="0"/>
      <c r="JRL83" s="0"/>
      <c r="JRM83" s="0"/>
      <c r="JRN83" s="0"/>
      <c r="JRO83" s="0"/>
      <c r="JRP83" s="0"/>
      <c r="JRQ83" s="0"/>
      <c r="JRR83" s="0"/>
      <c r="JRS83" s="0"/>
      <c r="JRT83" s="0"/>
      <c r="JRU83" s="0"/>
      <c r="JRV83" s="0"/>
      <c r="JRW83" s="0"/>
      <c r="JRX83" s="0"/>
      <c r="JRY83" s="0"/>
      <c r="JRZ83" s="0"/>
      <c r="JSA83" s="0"/>
      <c r="JSB83" s="0"/>
      <c r="JSC83" s="0"/>
      <c r="JSD83" s="0"/>
      <c r="JSE83" s="0"/>
      <c r="JSF83" s="0"/>
      <c r="JSG83" s="0"/>
      <c r="JSH83" s="0"/>
      <c r="JSI83" s="0"/>
      <c r="JSJ83" s="0"/>
      <c r="JSK83" s="0"/>
      <c r="JSL83" s="0"/>
      <c r="JSM83" s="0"/>
      <c r="JSN83" s="0"/>
      <c r="JSO83" s="0"/>
      <c r="JSP83" s="0"/>
      <c r="JSQ83" s="0"/>
      <c r="JSR83" s="0"/>
      <c r="JSS83" s="0"/>
      <c r="JST83" s="0"/>
      <c r="JSU83" s="0"/>
      <c r="JSV83" s="0"/>
      <c r="JSW83" s="0"/>
      <c r="JSX83" s="0"/>
      <c r="JSY83" s="0"/>
      <c r="JSZ83" s="0"/>
      <c r="JTA83" s="0"/>
      <c r="JTB83" s="0"/>
      <c r="JTC83" s="0"/>
      <c r="JTD83" s="0"/>
      <c r="JTE83" s="0"/>
      <c r="JTF83" s="0"/>
      <c r="JTG83" s="0"/>
      <c r="JTH83" s="0"/>
      <c r="JTI83" s="0"/>
      <c r="JTJ83" s="0"/>
      <c r="JTK83" s="0"/>
      <c r="JTL83" s="0"/>
      <c r="JTM83" s="0"/>
      <c r="JTN83" s="0"/>
      <c r="JTO83" s="0"/>
      <c r="JTP83" s="0"/>
      <c r="JTQ83" s="0"/>
      <c r="JTR83" s="0"/>
      <c r="JTS83" s="0"/>
      <c r="JTT83" s="0"/>
      <c r="JTU83" s="0"/>
      <c r="JTV83" s="0"/>
      <c r="JTW83" s="0"/>
      <c r="JTX83" s="0"/>
      <c r="JTY83" s="0"/>
      <c r="JTZ83" s="0"/>
      <c r="JUA83" s="0"/>
      <c r="JUB83" s="0"/>
      <c r="JUC83" s="0"/>
      <c r="JUD83" s="0"/>
      <c r="JUE83" s="0"/>
      <c r="JUF83" s="0"/>
      <c r="JUG83" s="0"/>
      <c r="JUH83" s="0"/>
      <c r="JUI83" s="0"/>
      <c r="JUJ83" s="0"/>
      <c r="JUK83" s="0"/>
      <c r="JUL83" s="0"/>
      <c r="JUM83" s="0"/>
      <c r="JUN83" s="0"/>
      <c r="JUO83" s="0"/>
      <c r="JUP83" s="0"/>
      <c r="JUQ83" s="0"/>
      <c r="JUR83" s="0"/>
      <c r="JUS83" s="0"/>
      <c r="JUT83" s="0"/>
      <c r="JUU83" s="0"/>
      <c r="JUV83" s="0"/>
      <c r="JUW83" s="0"/>
      <c r="JUX83" s="0"/>
      <c r="JUY83" s="0"/>
      <c r="JUZ83" s="0"/>
      <c r="JVA83" s="0"/>
      <c r="JVB83" s="0"/>
      <c r="JVC83" s="0"/>
      <c r="JVD83" s="0"/>
      <c r="JVE83" s="0"/>
      <c r="JVF83" s="0"/>
      <c r="JVG83" s="0"/>
      <c r="JVH83" s="0"/>
      <c r="JVI83" s="0"/>
      <c r="JVJ83" s="0"/>
      <c r="JVK83" s="0"/>
      <c r="JVL83" s="0"/>
      <c r="JVM83" s="0"/>
      <c r="JVN83" s="0"/>
      <c r="JVO83" s="0"/>
      <c r="JVP83" s="0"/>
      <c r="JVQ83" s="0"/>
      <c r="JVR83" s="0"/>
      <c r="JVS83" s="0"/>
      <c r="JVT83" s="0"/>
      <c r="JVU83" s="0"/>
      <c r="JVV83" s="0"/>
      <c r="JVW83" s="0"/>
      <c r="JVX83" s="0"/>
      <c r="JVY83" s="0"/>
      <c r="JVZ83" s="0"/>
      <c r="JWA83" s="0"/>
      <c r="JWB83" s="0"/>
      <c r="JWC83" s="0"/>
      <c r="JWD83" s="0"/>
      <c r="JWE83" s="0"/>
      <c r="JWF83" s="0"/>
      <c r="JWG83" s="0"/>
      <c r="JWH83" s="0"/>
      <c r="JWI83" s="0"/>
      <c r="JWJ83" s="0"/>
      <c r="JWK83" s="0"/>
      <c r="JWL83" s="0"/>
      <c r="JWM83" s="0"/>
      <c r="JWN83" s="0"/>
      <c r="JWO83" s="0"/>
      <c r="JWP83" s="0"/>
      <c r="JWQ83" s="0"/>
      <c r="JWR83" s="0"/>
      <c r="JWS83" s="0"/>
      <c r="JWT83" s="0"/>
      <c r="JWU83" s="0"/>
      <c r="JWV83" s="0"/>
      <c r="JWW83" s="0"/>
      <c r="JWX83" s="0"/>
      <c r="JWY83" s="0"/>
      <c r="JWZ83" s="0"/>
      <c r="JXA83" s="0"/>
      <c r="JXB83" s="0"/>
      <c r="JXC83" s="0"/>
      <c r="JXD83" s="0"/>
      <c r="JXE83" s="0"/>
      <c r="JXF83" s="0"/>
      <c r="JXG83" s="0"/>
      <c r="JXH83" s="0"/>
      <c r="JXI83" s="0"/>
      <c r="JXJ83" s="0"/>
      <c r="JXK83" s="0"/>
      <c r="JXL83" s="0"/>
      <c r="JXM83" s="0"/>
      <c r="JXN83" s="0"/>
      <c r="JXO83" s="0"/>
      <c r="JXP83" s="0"/>
      <c r="JXQ83" s="0"/>
      <c r="JXR83" s="0"/>
      <c r="JXS83" s="0"/>
      <c r="JXT83" s="0"/>
      <c r="JXU83" s="0"/>
      <c r="JXV83" s="0"/>
      <c r="JXW83" s="0"/>
      <c r="JXX83" s="0"/>
      <c r="JXY83" s="0"/>
      <c r="JXZ83" s="0"/>
      <c r="JYA83" s="0"/>
      <c r="JYB83" s="0"/>
      <c r="JYC83" s="0"/>
      <c r="JYD83" s="0"/>
      <c r="JYE83" s="0"/>
      <c r="JYF83" s="0"/>
      <c r="JYG83" s="0"/>
      <c r="JYH83" s="0"/>
      <c r="JYI83" s="0"/>
      <c r="JYJ83" s="0"/>
      <c r="JYK83" s="0"/>
      <c r="JYL83" s="0"/>
      <c r="JYM83" s="0"/>
      <c r="JYN83" s="0"/>
      <c r="JYO83" s="0"/>
      <c r="JYP83" s="0"/>
      <c r="JYQ83" s="0"/>
      <c r="JYR83" s="0"/>
      <c r="JYS83" s="0"/>
      <c r="JYT83" s="0"/>
      <c r="JYU83" s="0"/>
      <c r="JYV83" s="0"/>
      <c r="JYW83" s="0"/>
      <c r="JYX83" s="0"/>
      <c r="JYY83" s="0"/>
      <c r="JYZ83" s="0"/>
      <c r="JZA83" s="0"/>
      <c r="JZB83" s="0"/>
      <c r="JZC83" s="0"/>
      <c r="JZD83" s="0"/>
      <c r="JZE83" s="0"/>
      <c r="JZF83" s="0"/>
      <c r="JZG83" s="0"/>
      <c r="JZH83" s="0"/>
      <c r="JZI83" s="0"/>
      <c r="JZJ83" s="0"/>
      <c r="JZK83" s="0"/>
      <c r="JZL83" s="0"/>
      <c r="JZM83" s="0"/>
      <c r="JZN83" s="0"/>
      <c r="JZO83" s="0"/>
      <c r="JZP83" s="0"/>
      <c r="JZQ83" s="0"/>
      <c r="JZR83" s="0"/>
      <c r="JZS83" s="0"/>
      <c r="JZT83" s="0"/>
      <c r="JZU83" s="0"/>
      <c r="JZV83" s="0"/>
      <c r="JZW83" s="0"/>
      <c r="JZX83" s="0"/>
      <c r="JZY83" s="0"/>
      <c r="JZZ83" s="0"/>
      <c r="KAA83" s="0"/>
      <c r="KAB83" s="0"/>
      <c r="KAC83" s="0"/>
      <c r="KAD83" s="0"/>
      <c r="KAE83" s="0"/>
      <c r="KAF83" s="0"/>
      <c r="KAG83" s="0"/>
      <c r="KAH83" s="0"/>
      <c r="KAI83" s="0"/>
      <c r="KAJ83" s="0"/>
      <c r="KAK83" s="0"/>
      <c r="KAL83" s="0"/>
      <c r="KAM83" s="0"/>
      <c r="KAN83" s="0"/>
      <c r="KAO83" s="0"/>
      <c r="KAP83" s="0"/>
      <c r="KAQ83" s="0"/>
      <c r="KAR83" s="0"/>
      <c r="KAS83" s="0"/>
      <c r="KAT83" s="0"/>
      <c r="KAU83" s="0"/>
      <c r="KAV83" s="0"/>
      <c r="KAW83" s="0"/>
      <c r="KAX83" s="0"/>
      <c r="KAY83" s="0"/>
      <c r="KAZ83" s="0"/>
      <c r="KBA83" s="0"/>
      <c r="KBB83" s="0"/>
      <c r="KBC83" s="0"/>
      <c r="KBD83" s="0"/>
      <c r="KBE83" s="0"/>
      <c r="KBF83" s="0"/>
      <c r="KBG83" s="0"/>
      <c r="KBH83" s="0"/>
      <c r="KBI83" s="0"/>
      <c r="KBJ83" s="0"/>
      <c r="KBK83" s="0"/>
      <c r="KBL83" s="0"/>
      <c r="KBM83" s="0"/>
      <c r="KBN83" s="0"/>
      <c r="KBO83" s="0"/>
      <c r="KBP83" s="0"/>
      <c r="KBQ83" s="0"/>
      <c r="KBR83" s="0"/>
      <c r="KBS83" s="0"/>
      <c r="KBT83" s="0"/>
      <c r="KBU83" s="0"/>
      <c r="KBV83" s="0"/>
      <c r="KBW83" s="0"/>
      <c r="KBX83" s="0"/>
      <c r="KBY83" s="0"/>
      <c r="KBZ83" s="0"/>
      <c r="KCA83" s="0"/>
      <c r="KCB83" s="0"/>
      <c r="KCC83" s="0"/>
      <c r="KCD83" s="0"/>
      <c r="KCE83" s="0"/>
      <c r="KCF83" s="0"/>
      <c r="KCG83" s="0"/>
      <c r="KCH83" s="0"/>
      <c r="KCI83" s="0"/>
      <c r="KCJ83" s="0"/>
      <c r="KCK83" s="0"/>
      <c r="KCL83" s="0"/>
      <c r="KCM83" s="0"/>
      <c r="KCN83" s="0"/>
      <c r="KCO83" s="0"/>
      <c r="KCP83" s="0"/>
      <c r="KCQ83" s="0"/>
      <c r="KCR83" s="0"/>
      <c r="KCS83" s="0"/>
      <c r="KCT83" s="0"/>
      <c r="KCU83" s="0"/>
      <c r="KCV83" s="0"/>
      <c r="KCW83" s="0"/>
      <c r="KCX83" s="0"/>
      <c r="KCY83" s="0"/>
      <c r="KCZ83" s="0"/>
      <c r="KDA83" s="0"/>
      <c r="KDB83" s="0"/>
      <c r="KDC83" s="0"/>
      <c r="KDD83" s="0"/>
      <c r="KDE83" s="0"/>
      <c r="KDF83" s="0"/>
      <c r="KDG83" s="0"/>
      <c r="KDH83" s="0"/>
      <c r="KDI83" s="0"/>
      <c r="KDJ83" s="0"/>
      <c r="KDK83" s="0"/>
      <c r="KDL83" s="0"/>
      <c r="KDM83" s="0"/>
      <c r="KDN83" s="0"/>
      <c r="KDO83" s="0"/>
      <c r="KDP83" s="0"/>
      <c r="KDQ83" s="0"/>
      <c r="KDR83" s="0"/>
      <c r="KDS83" s="0"/>
      <c r="KDT83" s="0"/>
      <c r="KDU83" s="0"/>
      <c r="KDV83" s="0"/>
      <c r="KDW83" s="0"/>
      <c r="KDX83" s="0"/>
      <c r="KDY83" s="0"/>
      <c r="KDZ83" s="0"/>
      <c r="KEA83" s="0"/>
      <c r="KEB83" s="0"/>
      <c r="KEC83" s="0"/>
      <c r="KED83" s="0"/>
      <c r="KEE83" s="0"/>
      <c r="KEF83" s="0"/>
      <c r="KEG83" s="0"/>
      <c r="KEH83" s="0"/>
      <c r="KEI83" s="0"/>
      <c r="KEJ83" s="0"/>
      <c r="KEK83" s="0"/>
      <c r="KEL83" s="0"/>
      <c r="KEM83" s="0"/>
      <c r="KEN83" s="0"/>
      <c r="KEO83" s="0"/>
      <c r="KEP83" s="0"/>
      <c r="KEQ83" s="0"/>
      <c r="KER83" s="0"/>
      <c r="KES83" s="0"/>
      <c r="KET83" s="0"/>
      <c r="KEU83" s="0"/>
      <c r="KEV83" s="0"/>
      <c r="KEW83" s="0"/>
      <c r="KEX83" s="0"/>
      <c r="KEY83" s="0"/>
      <c r="KEZ83" s="0"/>
      <c r="KFA83" s="0"/>
      <c r="KFB83" s="0"/>
      <c r="KFC83" s="0"/>
      <c r="KFD83" s="0"/>
      <c r="KFE83" s="0"/>
      <c r="KFF83" s="0"/>
      <c r="KFG83" s="0"/>
      <c r="KFH83" s="0"/>
      <c r="KFI83" s="0"/>
      <c r="KFJ83" s="0"/>
      <c r="KFK83" s="0"/>
      <c r="KFL83" s="0"/>
      <c r="KFM83" s="0"/>
      <c r="KFN83" s="0"/>
      <c r="KFO83" s="0"/>
      <c r="KFP83" s="0"/>
      <c r="KFQ83" s="0"/>
      <c r="KFR83" s="0"/>
      <c r="KFS83" s="0"/>
      <c r="KFT83" s="0"/>
      <c r="KFU83" s="0"/>
      <c r="KFV83" s="0"/>
      <c r="KFW83" s="0"/>
      <c r="KFX83" s="0"/>
      <c r="KFY83" s="0"/>
      <c r="KFZ83" s="0"/>
      <c r="KGA83" s="0"/>
      <c r="KGB83" s="0"/>
      <c r="KGC83" s="0"/>
      <c r="KGD83" s="0"/>
      <c r="KGE83" s="0"/>
      <c r="KGF83" s="0"/>
      <c r="KGG83" s="0"/>
      <c r="KGH83" s="0"/>
      <c r="KGI83" s="0"/>
      <c r="KGJ83" s="0"/>
      <c r="KGK83" s="0"/>
      <c r="KGL83" s="0"/>
      <c r="KGM83" s="0"/>
      <c r="KGN83" s="0"/>
      <c r="KGO83" s="0"/>
      <c r="KGP83" s="0"/>
      <c r="KGQ83" s="0"/>
      <c r="KGR83" s="0"/>
      <c r="KGS83" s="0"/>
      <c r="KGT83" s="0"/>
      <c r="KGU83" s="0"/>
      <c r="KGV83" s="0"/>
      <c r="KGW83" s="0"/>
      <c r="KGX83" s="0"/>
      <c r="KGY83" s="0"/>
      <c r="KGZ83" s="0"/>
      <c r="KHA83" s="0"/>
      <c r="KHB83" s="0"/>
      <c r="KHC83" s="0"/>
      <c r="KHD83" s="0"/>
      <c r="KHE83" s="0"/>
      <c r="KHF83" s="0"/>
      <c r="KHG83" s="0"/>
      <c r="KHH83" s="0"/>
      <c r="KHI83" s="0"/>
      <c r="KHJ83" s="0"/>
      <c r="KHK83" s="0"/>
      <c r="KHL83" s="0"/>
      <c r="KHM83" s="0"/>
      <c r="KHN83" s="0"/>
      <c r="KHO83" s="0"/>
      <c r="KHP83" s="0"/>
      <c r="KHQ83" s="0"/>
      <c r="KHR83" s="0"/>
      <c r="KHS83" s="0"/>
      <c r="KHT83" s="0"/>
      <c r="KHU83" s="0"/>
      <c r="KHV83" s="0"/>
      <c r="KHW83" s="0"/>
      <c r="KHX83" s="0"/>
      <c r="KHY83" s="0"/>
      <c r="KHZ83" s="0"/>
      <c r="KIA83" s="0"/>
      <c r="KIB83" s="0"/>
      <c r="KIC83" s="0"/>
      <c r="KID83" s="0"/>
      <c r="KIE83" s="0"/>
      <c r="KIF83" s="0"/>
      <c r="KIG83" s="0"/>
      <c r="KIH83" s="0"/>
      <c r="KII83" s="0"/>
      <c r="KIJ83" s="0"/>
      <c r="KIK83" s="0"/>
      <c r="KIL83" s="0"/>
      <c r="KIM83" s="0"/>
      <c r="KIN83" s="0"/>
      <c r="KIO83" s="0"/>
      <c r="KIP83" s="0"/>
      <c r="KIQ83" s="0"/>
      <c r="KIR83" s="0"/>
      <c r="KIS83" s="0"/>
      <c r="KIT83" s="0"/>
      <c r="KIU83" s="0"/>
      <c r="KIV83" s="0"/>
      <c r="KIW83" s="0"/>
      <c r="KIX83" s="0"/>
      <c r="KIY83" s="0"/>
      <c r="KIZ83" s="0"/>
      <c r="KJA83" s="0"/>
      <c r="KJB83" s="0"/>
      <c r="KJC83" s="0"/>
      <c r="KJD83" s="0"/>
      <c r="KJE83" s="0"/>
      <c r="KJF83" s="0"/>
      <c r="KJG83" s="0"/>
      <c r="KJH83" s="0"/>
      <c r="KJI83" s="0"/>
      <c r="KJJ83" s="0"/>
      <c r="KJK83" s="0"/>
      <c r="KJL83" s="0"/>
      <c r="KJM83" s="0"/>
      <c r="KJN83" s="0"/>
      <c r="KJO83" s="0"/>
      <c r="KJP83" s="0"/>
      <c r="KJQ83" s="0"/>
      <c r="KJR83" s="0"/>
      <c r="KJS83" s="0"/>
      <c r="KJT83" s="0"/>
      <c r="KJU83" s="0"/>
      <c r="KJV83" s="0"/>
      <c r="KJW83" s="0"/>
      <c r="KJX83" s="0"/>
      <c r="KJY83" s="0"/>
      <c r="KJZ83" s="0"/>
      <c r="KKA83" s="0"/>
      <c r="KKB83" s="0"/>
      <c r="KKC83" s="0"/>
      <c r="KKD83" s="0"/>
      <c r="KKE83" s="0"/>
      <c r="KKF83" s="0"/>
      <c r="KKG83" s="0"/>
      <c r="KKH83" s="0"/>
      <c r="KKI83" s="0"/>
      <c r="KKJ83" s="0"/>
      <c r="KKK83" s="0"/>
      <c r="KKL83" s="0"/>
      <c r="KKM83" s="0"/>
      <c r="KKN83" s="0"/>
      <c r="KKO83" s="0"/>
      <c r="KKP83" s="0"/>
      <c r="KKQ83" s="0"/>
      <c r="KKR83" s="0"/>
      <c r="KKS83" s="0"/>
      <c r="KKT83" s="0"/>
      <c r="KKU83" s="0"/>
      <c r="KKV83" s="0"/>
      <c r="KKW83" s="0"/>
      <c r="KKX83" s="0"/>
      <c r="KKY83" s="0"/>
      <c r="KKZ83" s="0"/>
      <c r="KLA83" s="0"/>
      <c r="KLB83" s="0"/>
      <c r="KLC83" s="0"/>
      <c r="KLD83" s="0"/>
      <c r="KLE83" s="0"/>
      <c r="KLF83" s="0"/>
      <c r="KLG83" s="0"/>
      <c r="KLH83" s="0"/>
      <c r="KLI83" s="0"/>
      <c r="KLJ83" s="0"/>
      <c r="KLK83" s="0"/>
      <c r="KLL83" s="0"/>
      <c r="KLM83" s="0"/>
      <c r="KLN83" s="0"/>
      <c r="KLO83" s="0"/>
      <c r="KLP83" s="0"/>
      <c r="KLQ83" s="0"/>
      <c r="KLR83" s="0"/>
      <c r="KLS83" s="0"/>
      <c r="KLT83" s="0"/>
      <c r="KLU83" s="0"/>
      <c r="KLV83" s="0"/>
      <c r="KLW83" s="0"/>
      <c r="KLX83" s="0"/>
      <c r="KLY83" s="0"/>
      <c r="KLZ83" s="0"/>
      <c r="KMA83" s="0"/>
      <c r="KMB83" s="0"/>
      <c r="KMC83" s="0"/>
      <c r="KMD83" s="0"/>
      <c r="KME83" s="0"/>
      <c r="KMF83" s="0"/>
      <c r="KMG83" s="0"/>
      <c r="KMH83" s="0"/>
      <c r="KMI83" s="0"/>
      <c r="KMJ83" s="0"/>
      <c r="KMK83" s="0"/>
      <c r="KML83" s="0"/>
      <c r="KMM83" s="0"/>
      <c r="KMN83" s="0"/>
      <c r="KMO83" s="0"/>
      <c r="KMP83" s="0"/>
      <c r="KMQ83" s="0"/>
      <c r="KMR83" s="0"/>
      <c r="KMS83" s="0"/>
      <c r="KMT83" s="0"/>
      <c r="KMU83" s="0"/>
      <c r="KMV83" s="0"/>
      <c r="KMW83" s="0"/>
      <c r="KMX83" s="0"/>
      <c r="KMY83" s="0"/>
      <c r="KMZ83" s="0"/>
      <c r="KNA83" s="0"/>
      <c r="KNB83" s="0"/>
      <c r="KNC83" s="0"/>
      <c r="KND83" s="0"/>
      <c r="KNE83" s="0"/>
      <c r="KNF83" s="0"/>
      <c r="KNG83" s="0"/>
      <c r="KNH83" s="0"/>
      <c r="KNI83" s="0"/>
      <c r="KNJ83" s="0"/>
      <c r="KNK83" s="0"/>
      <c r="KNL83" s="0"/>
      <c r="KNM83" s="0"/>
      <c r="KNN83" s="0"/>
      <c r="KNO83" s="0"/>
      <c r="KNP83" s="0"/>
      <c r="KNQ83" s="0"/>
      <c r="KNR83" s="0"/>
      <c r="KNS83" s="0"/>
      <c r="KNT83" s="0"/>
      <c r="KNU83" s="0"/>
      <c r="KNV83" s="0"/>
      <c r="KNW83" s="0"/>
      <c r="KNX83" s="0"/>
      <c r="KNY83" s="0"/>
      <c r="KNZ83" s="0"/>
      <c r="KOA83" s="0"/>
      <c r="KOB83" s="0"/>
      <c r="KOC83" s="0"/>
      <c r="KOD83" s="0"/>
      <c r="KOE83" s="0"/>
      <c r="KOF83" s="0"/>
      <c r="KOG83" s="0"/>
      <c r="KOH83" s="0"/>
      <c r="KOI83" s="0"/>
      <c r="KOJ83" s="0"/>
      <c r="KOK83" s="0"/>
      <c r="KOL83" s="0"/>
      <c r="KOM83" s="0"/>
      <c r="KON83" s="0"/>
      <c r="KOO83" s="0"/>
      <c r="KOP83" s="0"/>
      <c r="KOQ83" s="0"/>
      <c r="KOR83" s="0"/>
      <c r="KOS83" s="0"/>
      <c r="KOT83" s="0"/>
      <c r="KOU83" s="0"/>
      <c r="KOV83" s="0"/>
      <c r="KOW83" s="0"/>
      <c r="KOX83" s="0"/>
      <c r="KOY83" s="0"/>
      <c r="KOZ83" s="0"/>
      <c r="KPA83" s="0"/>
      <c r="KPB83" s="0"/>
      <c r="KPC83" s="0"/>
      <c r="KPD83" s="0"/>
      <c r="KPE83" s="0"/>
      <c r="KPF83" s="0"/>
      <c r="KPG83" s="0"/>
      <c r="KPH83" s="0"/>
      <c r="KPI83" s="0"/>
      <c r="KPJ83" s="0"/>
      <c r="KPK83" s="0"/>
      <c r="KPL83" s="0"/>
      <c r="KPM83" s="0"/>
      <c r="KPN83" s="0"/>
      <c r="KPO83" s="0"/>
      <c r="KPP83" s="0"/>
      <c r="KPQ83" s="0"/>
      <c r="KPR83" s="0"/>
      <c r="KPS83" s="0"/>
      <c r="KPT83" s="0"/>
      <c r="KPU83" s="0"/>
      <c r="KPV83" s="0"/>
      <c r="KPW83" s="0"/>
      <c r="KPX83" s="0"/>
      <c r="KPY83" s="0"/>
      <c r="KPZ83" s="0"/>
      <c r="KQA83" s="0"/>
      <c r="KQB83" s="0"/>
      <c r="KQC83" s="0"/>
      <c r="KQD83" s="0"/>
      <c r="KQE83" s="0"/>
      <c r="KQF83" s="0"/>
      <c r="KQG83" s="0"/>
      <c r="KQH83" s="0"/>
      <c r="KQI83" s="0"/>
      <c r="KQJ83" s="0"/>
      <c r="KQK83" s="0"/>
      <c r="KQL83" s="0"/>
      <c r="KQM83" s="0"/>
      <c r="KQN83" s="0"/>
      <c r="KQO83" s="0"/>
      <c r="KQP83" s="0"/>
      <c r="KQQ83" s="0"/>
      <c r="KQR83" s="0"/>
      <c r="KQS83" s="0"/>
      <c r="KQT83" s="0"/>
      <c r="KQU83" s="0"/>
      <c r="KQV83" s="0"/>
      <c r="KQW83" s="0"/>
      <c r="KQX83" s="0"/>
      <c r="KQY83" s="0"/>
      <c r="KQZ83" s="0"/>
      <c r="KRA83" s="0"/>
      <c r="KRB83" s="0"/>
      <c r="KRC83" s="0"/>
      <c r="KRD83" s="0"/>
      <c r="KRE83" s="0"/>
      <c r="KRF83" s="0"/>
      <c r="KRG83" s="0"/>
      <c r="KRH83" s="0"/>
      <c r="KRI83" s="0"/>
      <c r="KRJ83" s="0"/>
      <c r="KRK83" s="0"/>
      <c r="KRL83" s="0"/>
      <c r="KRM83" s="0"/>
      <c r="KRN83" s="0"/>
      <c r="KRO83" s="0"/>
      <c r="KRP83" s="0"/>
      <c r="KRQ83" s="0"/>
      <c r="KRR83" s="0"/>
      <c r="KRS83" s="0"/>
      <c r="KRT83" s="0"/>
      <c r="KRU83" s="0"/>
      <c r="KRV83" s="0"/>
      <c r="KRW83" s="0"/>
      <c r="KRX83" s="0"/>
      <c r="KRY83" s="0"/>
      <c r="KRZ83" s="0"/>
      <c r="KSA83" s="0"/>
      <c r="KSB83" s="0"/>
      <c r="KSC83" s="0"/>
      <c r="KSD83" s="0"/>
      <c r="KSE83" s="0"/>
      <c r="KSF83" s="0"/>
      <c r="KSG83" s="0"/>
      <c r="KSH83" s="0"/>
      <c r="KSI83" s="0"/>
      <c r="KSJ83" s="0"/>
      <c r="KSK83" s="0"/>
      <c r="KSL83" s="0"/>
      <c r="KSM83" s="0"/>
      <c r="KSN83" s="0"/>
      <c r="KSO83" s="0"/>
      <c r="KSP83" s="0"/>
      <c r="KSQ83" s="0"/>
      <c r="KSR83" s="0"/>
      <c r="KSS83" s="0"/>
      <c r="KST83" s="0"/>
      <c r="KSU83" s="0"/>
      <c r="KSV83" s="0"/>
      <c r="KSW83" s="0"/>
      <c r="KSX83" s="0"/>
      <c r="KSY83" s="0"/>
      <c r="KSZ83" s="0"/>
      <c r="KTA83" s="0"/>
      <c r="KTB83" s="0"/>
      <c r="KTC83" s="0"/>
      <c r="KTD83" s="0"/>
      <c r="KTE83" s="0"/>
      <c r="KTF83" s="0"/>
      <c r="KTG83" s="0"/>
      <c r="KTH83" s="0"/>
      <c r="KTI83" s="0"/>
      <c r="KTJ83" s="0"/>
      <c r="KTK83" s="0"/>
      <c r="KTL83" s="0"/>
      <c r="KTM83" s="0"/>
      <c r="KTN83" s="0"/>
      <c r="KTO83" s="0"/>
      <c r="KTP83" s="0"/>
      <c r="KTQ83" s="0"/>
      <c r="KTR83" s="0"/>
      <c r="KTS83" s="0"/>
      <c r="KTT83" s="0"/>
      <c r="KTU83" s="0"/>
      <c r="KTV83" s="0"/>
      <c r="KTW83" s="0"/>
      <c r="KTX83" s="0"/>
      <c r="KTY83" s="0"/>
      <c r="KTZ83" s="0"/>
      <c r="KUA83" s="0"/>
      <c r="KUB83" s="0"/>
      <c r="KUC83" s="0"/>
      <c r="KUD83" s="0"/>
      <c r="KUE83" s="0"/>
      <c r="KUF83" s="0"/>
      <c r="KUG83" s="0"/>
      <c r="KUH83" s="0"/>
      <c r="KUI83" s="0"/>
      <c r="KUJ83" s="0"/>
      <c r="KUK83" s="0"/>
      <c r="KUL83" s="0"/>
      <c r="KUM83" s="0"/>
      <c r="KUN83" s="0"/>
      <c r="KUO83" s="0"/>
      <c r="KUP83" s="0"/>
      <c r="KUQ83" s="0"/>
      <c r="KUR83" s="0"/>
      <c r="KUS83" s="0"/>
      <c r="KUT83" s="0"/>
      <c r="KUU83" s="0"/>
      <c r="KUV83" s="0"/>
      <c r="KUW83" s="0"/>
      <c r="KUX83" s="0"/>
      <c r="KUY83" s="0"/>
      <c r="KUZ83" s="0"/>
      <c r="KVA83" s="0"/>
      <c r="KVB83" s="0"/>
      <c r="KVC83" s="0"/>
      <c r="KVD83" s="0"/>
      <c r="KVE83" s="0"/>
      <c r="KVF83" s="0"/>
      <c r="KVG83" s="0"/>
      <c r="KVH83" s="0"/>
      <c r="KVI83" s="0"/>
      <c r="KVJ83" s="0"/>
      <c r="KVK83" s="0"/>
      <c r="KVL83" s="0"/>
      <c r="KVM83" s="0"/>
      <c r="KVN83" s="0"/>
      <c r="KVO83" s="0"/>
      <c r="KVP83" s="0"/>
      <c r="KVQ83" s="0"/>
      <c r="KVR83" s="0"/>
      <c r="KVS83" s="0"/>
      <c r="KVT83" s="0"/>
      <c r="KVU83" s="0"/>
      <c r="KVV83" s="0"/>
      <c r="KVW83" s="0"/>
      <c r="KVX83" s="0"/>
      <c r="KVY83" s="0"/>
      <c r="KVZ83" s="0"/>
      <c r="KWA83" s="0"/>
      <c r="KWB83" s="0"/>
      <c r="KWC83" s="0"/>
      <c r="KWD83" s="0"/>
      <c r="KWE83" s="0"/>
      <c r="KWF83" s="0"/>
      <c r="KWG83" s="0"/>
      <c r="KWH83" s="0"/>
      <c r="KWI83" s="0"/>
      <c r="KWJ83" s="0"/>
      <c r="KWK83" s="0"/>
      <c r="KWL83" s="0"/>
      <c r="KWM83" s="0"/>
      <c r="KWN83" s="0"/>
      <c r="KWO83" s="0"/>
      <c r="KWP83" s="0"/>
      <c r="KWQ83" s="0"/>
      <c r="KWR83" s="0"/>
      <c r="KWS83" s="0"/>
      <c r="KWT83" s="0"/>
      <c r="KWU83" s="0"/>
      <c r="KWV83" s="0"/>
      <c r="KWW83" s="0"/>
      <c r="KWX83" s="0"/>
      <c r="KWY83" s="0"/>
      <c r="KWZ83" s="0"/>
      <c r="KXA83" s="0"/>
      <c r="KXB83" s="0"/>
      <c r="KXC83" s="0"/>
      <c r="KXD83" s="0"/>
      <c r="KXE83" s="0"/>
      <c r="KXF83" s="0"/>
      <c r="KXG83" s="0"/>
      <c r="KXH83" s="0"/>
      <c r="KXI83" s="0"/>
      <c r="KXJ83" s="0"/>
      <c r="KXK83" s="0"/>
      <c r="KXL83" s="0"/>
      <c r="KXM83" s="0"/>
      <c r="KXN83" s="0"/>
      <c r="KXO83" s="0"/>
      <c r="KXP83" s="0"/>
      <c r="KXQ83" s="0"/>
      <c r="KXR83" s="0"/>
      <c r="KXS83" s="0"/>
      <c r="KXT83" s="0"/>
      <c r="KXU83" s="0"/>
      <c r="KXV83" s="0"/>
      <c r="KXW83" s="0"/>
      <c r="KXX83" s="0"/>
      <c r="KXY83" s="0"/>
      <c r="KXZ83" s="0"/>
      <c r="KYA83" s="0"/>
      <c r="KYB83" s="0"/>
      <c r="KYC83" s="0"/>
      <c r="KYD83" s="0"/>
      <c r="KYE83" s="0"/>
      <c r="KYF83" s="0"/>
      <c r="KYG83" s="0"/>
      <c r="KYH83" s="0"/>
      <c r="KYI83" s="0"/>
      <c r="KYJ83" s="0"/>
      <c r="KYK83" s="0"/>
      <c r="KYL83" s="0"/>
      <c r="KYM83" s="0"/>
      <c r="KYN83" s="0"/>
      <c r="KYO83" s="0"/>
      <c r="KYP83" s="0"/>
      <c r="KYQ83" s="0"/>
      <c r="KYR83" s="0"/>
      <c r="KYS83" s="0"/>
      <c r="KYT83" s="0"/>
      <c r="KYU83" s="0"/>
      <c r="KYV83" s="0"/>
      <c r="KYW83" s="0"/>
      <c r="KYX83" s="0"/>
      <c r="KYY83" s="0"/>
      <c r="KYZ83" s="0"/>
      <c r="KZA83" s="0"/>
      <c r="KZB83" s="0"/>
      <c r="KZC83" s="0"/>
      <c r="KZD83" s="0"/>
      <c r="KZE83" s="0"/>
      <c r="KZF83" s="0"/>
      <c r="KZG83" s="0"/>
      <c r="KZH83" s="0"/>
      <c r="KZI83" s="0"/>
      <c r="KZJ83" s="0"/>
      <c r="KZK83" s="0"/>
      <c r="KZL83" s="0"/>
      <c r="KZM83" s="0"/>
      <c r="KZN83" s="0"/>
      <c r="KZO83" s="0"/>
      <c r="KZP83" s="0"/>
      <c r="KZQ83" s="0"/>
      <c r="KZR83" s="0"/>
      <c r="KZS83" s="0"/>
      <c r="KZT83" s="0"/>
      <c r="KZU83" s="0"/>
      <c r="KZV83" s="0"/>
      <c r="KZW83" s="0"/>
      <c r="KZX83" s="0"/>
      <c r="KZY83" s="0"/>
      <c r="KZZ83" s="0"/>
      <c r="LAA83" s="0"/>
      <c r="LAB83" s="0"/>
      <c r="LAC83" s="0"/>
      <c r="LAD83" s="0"/>
      <c r="LAE83" s="0"/>
      <c r="LAF83" s="0"/>
      <c r="LAG83" s="0"/>
      <c r="LAH83" s="0"/>
      <c r="LAI83" s="0"/>
      <c r="LAJ83" s="0"/>
      <c r="LAK83" s="0"/>
      <c r="LAL83" s="0"/>
      <c r="LAM83" s="0"/>
      <c r="LAN83" s="0"/>
      <c r="LAO83" s="0"/>
      <c r="LAP83" s="0"/>
      <c r="LAQ83" s="0"/>
      <c r="LAR83" s="0"/>
      <c r="LAS83" s="0"/>
      <c r="LAT83" s="0"/>
      <c r="LAU83" s="0"/>
      <c r="LAV83" s="0"/>
      <c r="LAW83" s="0"/>
      <c r="LAX83" s="0"/>
      <c r="LAY83" s="0"/>
      <c r="LAZ83" s="0"/>
      <c r="LBA83" s="0"/>
      <c r="LBB83" s="0"/>
      <c r="LBC83" s="0"/>
      <c r="LBD83" s="0"/>
      <c r="LBE83" s="0"/>
      <c r="LBF83" s="0"/>
      <c r="LBG83" s="0"/>
      <c r="LBH83" s="0"/>
      <c r="LBI83" s="0"/>
      <c r="LBJ83" s="0"/>
      <c r="LBK83" s="0"/>
      <c r="LBL83" s="0"/>
      <c r="LBM83" s="0"/>
      <c r="LBN83" s="0"/>
      <c r="LBO83" s="0"/>
      <c r="LBP83" s="0"/>
      <c r="LBQ83" s="0"/>
      <c r="LBR83" s="0"/>
      <c r="LBS83" s="0"/>
      <c r="LBT83" s="0"/>
      <c r="LBU83" s="0"/>
      <c r="LBV83" s="0"/>
      <c r="LBW83" s="0"/>
      <c r="LBX83" s="0"/>
      <c r="LBY83" s="0"/>
      <c r="LBZ83" s="0"/>
      <c r="LCA83" s="0"/>
      <c r="LCB83" s="0"/>
      <c r="LCC83" s="0"/>
      <c r="LCD83" s="0"/>
      <c r="LCE83" s="0"/>
      <c r="LCF83" s="0"/>
      <c r="LCG83" s="0"/>
      <c r="LCH83" s="0"/>
      <c r="LCI83" s="0"/>
      <c r="LCJ83" s="0"/>
      <c r="LCK83" s="0"/>
      <c r="LCL83" s="0"/>
      <c r="LCM83" s="0"/>
      <c r="LCN83" s="0"/>
      <c r="LCO83" s="0"/>
      <c r="LCP83" s="0"/>
      <c r="LCQ83" s="0"/>
      <c r="LCR83" s="0"/>
      <c r="LCS83" s="0"/>
      <c r="LCT83" s="0"/>
      <c r="LCU83" s="0"/>
      <c r="LCV83" s="0"/>
      <c r="LCW83" s="0"/>
      <c r="LCX83" s="0"/>
      <c r="LCY83" s="0"/>
      <c r="LCZ83" s="0"/>
      <c r="LDA83" s="0"/>
      <c r="LDB83" s="0"/>
      <c r="LDC83" s="0"/>
      <c r="LDD83" s="0"/>
      <c r="LDE83" s="0"/>
      <c r="LDF83" s="0"/>
      <c r="LDG83" s="0"/>
      <c r="LDH83" s="0"/>
      <c r="LDI83" s="0"/>
      <c r="LDJ83" s="0"/>
      <c r="LDK83" s="0"/>
      <c r="LDL83" s="0"/>
      <c r="LDM83" s="0"/>
      <c r="LDN83" s="0"/>
      <c r="LDO83" s="0"/>
      <c r="LDP83" s="0"/>
      <c r="LDQ83" s="0"/>
      <c r="LDR83" s="0"/>
      <c r="LDS83" s="0"/>
      <c r="LDT83" s="0"/>
      <c r="LDU83" s="0"/>
      <c r="LDV83" s="0"/>
      <c r="LDW83" s="0"/>
      <c r="LDX83" s="0"/>
      <c r="LDY83" s="0"/>
      <c r="LDZ83" s="0"/>
      <c r="LEA83" s="0"/>
      <c r="LEB83" s="0"/>
      <c r="LEC83" s="0"/>
      <c r="LED83" s="0"/>
      <c r="LEE83" s="0"/>
      <c r="LEF83" s="0"/>
      <c r="LEG83" s="0"/>
      <c r="LEH83" s="0"/>
      <c r="LEI83" s="0"/>
      <c r="LEJ83" s="0"/>
      <c r="LEK83" s="0"/>
      <c r="LEL83" s="0"/>
      <c r="LEM83" s="0"/>
      <c r="LEN83" s="0"/>
      <c r="LEO83" s="0"/>
      <c r="LEP83" s="0"/>
      <c r="LEQ83" s="0"/>
      <c r="LER83" s="0"/>
      <c r="LES83" s="0"/>
      <c r="LET83" s="0"/>
      <c r="LEU83" s="0"/>
      <c r="LEV83" s="0"/>
      <c r="LEW83" s="0"/>
      <c r="LEX83" s="0"/>
      <c r="LEY83" s="0"/>
      <c r="LEZ83" s="0"/>
      <c r="LFA83" s="0"/>
      <c r="LFB83" s="0"/>
      <c r="LFC83" s="0"/>
      <c r="LFD83" s="0"/>
      <c r="LFE83" s="0"/>
      <c r="LFF83" s="0"/>
      <c r="LFG83" s="0"/>
      <c r="LFH83" s="0"/>
      <c r="LFI83" s="0"/>
      <c r="LFJ83" s="0"/>
      <c r="LFK83" s="0"/>
      <c r="LFL83" s="0"/>
      <c r="LFM83" s="0"/>
      <c r="LFN83" s="0"/>
      <c r="LFO83" s="0"/>
      <c r="LFP83" s="0"/>
      <c r="LFQ83" s="0"/>
      <c r="LFR83" s="0"/>
      <c r="LFS83" s="0"/>
      <c r="LFT83" s="0"/>
      <c r="LFU83" s="0"/>
      <c r="LFV83" s="0"/>
      <c r="LFW83" s="0"/>
      <c r="LFX83" s="0"/>
      <c r="LFY83" s="0"/>
      <c r="LFZ83" s="0"/>
      <c r="LGA83" s="0"/>
      <c r="LGB83" s="0"/>
      <c r="LGC83" s="0"/>
      <c r="LGD83" s="0"/>
      <c r="LGE83" s="0"/>
      <c r="LGF83" s="0"/>
      <c r="LGG83" s="0"/>
      <c r="LGH83" s="0"/>
      <c r="LGI83" s="0"/>
      <c r="LGJ83" s="0"/>
      <c r="LGK83" s="0"/>
      <c r="LGL83" s="0"/>
      <c r="LGM83" s="0"/>
      <c r="LGN83" s="0"/>
      <c r="LGO83" s="0"/>
      <c r="LGP83" s="0"/>
      <c r="LGQ83" s="0"/>
      <c r="LGR83" s="0"/>
      <c r="LGS83" s="0"/>
      <c r="LGT83" s="0"/>
      <c r="LGU83" s="0"/>
      <c r="LGV83" s="0"/>
      <c r="LGW83" s="0"/>
      <c r="LGX83" s="0"/>
      <c r="LGY83" s="0"/>
      <c r="LGZ83" s="0"/>
      <c r="LHA83" s="0"/>
      <c r="LHB83" s="0"/>
      <c r="LHC83" s="0"/>
      <c r="LHD83" s="0"/>
      <c r="LHE83" s="0"/>
      <c r="LHF83" s="0"/>
      <c r="LHG83" s="0"/>
      <c r="LHH83" s="0"/>
      <c r="LHI83" s="0"/>
      <c r="LHJ83" s="0"/>
      <c r="LHK83" s="0"/>
      <c r="LHL83" s="0"/>
      <c r="LHM83" s="0"/>
      <c r="LHN83" s="0"/>
      <c r="LHO83" s="0"/>
      <c r="LHP83" s="0"/>
      <c r="LHQ83" s="0"/>
      <c r="LHR83" s="0"/>
      <c r="LHS83" s="0"/>
      <c r="LHT83" s="0"/>
      <c r="LHU83" s="0"/>
      <c r="LHV83" s="0"/>
      <c r="LHW83" s="0"/>
      <c r="LHX83" s="0"/>
      <c r="LHY83" s="0"/>
      <c r="LHZ83" s="0"/>
      <c r="LIA83" s="0"/>
      <c r="LIB83" s="0"/>
      <c r="LIC83" s="0"/>
      <c r="LID83" s="0"/>
      <c r="LIE83" s="0"/>
      <c r="LIF83" s="0"/>
      <c r="LIG83" s="0"/>
      <c r="LIH83" s="0"/>
      <c r="LII83" s="0"/>
      <c r="LIJ83" s="0"/>
      <c r="LIK83" s="0"/>
      <c r="LIL83" s="0"/>
      <c r="LIM83" s="0"/>
      <c r="LIN83" s="0"/>
      <c r="LIO83" s="0"/>
      <c r="LIP83" s="0"/>
      <c r="LIQ83" s="0"/>
      <c r="LIR83" s="0"/>
      <c r="LIS83" s="0"/>
      <c r="LIT83" s="0"/>
      <c r="LIU83" s="0"/>
      <c r="LIV83" s="0"/>
      <c r="LIW83" s="0"/>
      <c r="LIX83" s="0"/>
      <c r="LIY83" s="0"/>
      <c r="LIZ83" s="0"/>
      <c r="LJA83" s="0"/>
      <c r="LJB83" s="0"/>
      <c r="LJC83" s="0"/>
      <c r="LJD83" s="0"/>
      <c r="LJE83" s="0"/>
      <c r="LJF83" s="0"/>
      <c r="LJG83" s="0"/>
      <c r="LJH83" s="0"/>
      <c r="LJI83" s="0"/>
      <c r="LJJ83" s="0"/>
      <c r="LJK83" s="0"/>
      <c r="LJL83" s="0"/>
      <c r="LJM83" s="0"/>
      <c r="LJN83" s="0"/>
      <c r="LJO83" s="0"/>
      <c r="LJP83" s="0"/>
      <c r="LJQ83" s="0"/>
      <c r="LJR83" s="0"/>
      <c r="LJS83" s="0"/>
      <c r="LJT83" s="0"/>
      <c r="LJU83" s="0"/>
      <c r="LJV83" s="0"/>
      <c r="LJW83" s="0"/>
      <c r="LJX83" s="0"/>
      <c r="LJY83" s="0"/>
      <c r="LJZ83" s="0"/>
      <c r="LKA83" s="0"/>
      <c r="LKB83" s="0"/>
      <c r="LKC83" s="0"/>
      <c r="LKD83" s="0"/>
      <c r="LKE83" s="0"/>
      <c r="LKF83" s="0"/>
      <c r="LKG83" s="0"/>
      <c r="LKH83" s="0"/>
      <c r="LKI83" s="0"/>
      <c r="LKJ83" s="0"/>
      <c r="LKK83" s="0"/>
      <c r="LKL83" s="0"/>
      <c r="LKM83" s="0"/>
      <c r="LKN83" s="0"/>
      <c r="LKO83" s="0"/>
      <c r="LKP83" s="0"/>
      <c r="LKQ83" s="0"/>
      <c r="LKR83" s="0"/>
      <c r="LKS83" s="0"/>
      <c r="LKT83" s="0"/>
      <c r="LKU83" s="0"/>
      <c r="LKV83" s="0"/>
      <c r="LKW83" s="0"/>
      <c r="LKX83" s="0"/>
      <c r="LKY83" s="0"/>
      <c r="LKZ83" s="0"/>
      <c r="LLA83" s="0"/>
      <c r="LLB83" s="0"/>
      <c r="LLC83" s="0"/>
      <c r="LLD83" s="0"/>
      <c r="LLE83" s="0"/>
      <c r="LLF83" s="0"/>
      <c r="LLG83" s="0"/>
      <c r="LLH83" s="0"/>
      <c r="LLI83" s="0"/>
      <c r="LLJ83" s="0"/>
      <c r="LLK83" s="0"/>
      <c r="LLL83" s="0"/>
      <c r="LLM83" s="0"/>
      <c r="LLN83" s="0"/>
      <c r="LLO83" s="0"/>
      <c r="LLP83" s="0"/>
      <c r="LLQ83" s="0"/>
      <c r="LLR83" s="0"/>
      <c r="LLS83" s="0"/>
      <c r="LLT83" s="0"/>
      <c r="LLU83" s="0"/>
      <c r="LLV83" s="0"/>
      <c r="LLW83" s="0"/>
      <c r="LLX83" s="0"/>
      <c r="LLY83" s="0"/>
      <c r="LLZ83" s="0"/>
      <c r="LMA83" s="0"/>
      <c r="LMB83" s="0"/>
      <c r="LMC83" s="0"/>
      <c r="LMD83" s="0"/>
      <c r="LME83" s="0"/>
      <c r="LMF83" s="0"/>
      <c r="LMG83" s="0"/>
      <c r="LMH83" s="0"/>
      <c r="LMI83" s="0"/>
      <c r="LMJ83" s="0"/>
      <c r="LMK83" s="0"/>
      <c r="LML83" s="0"/>
      <c r="LMM83" s="0"/>
      <c r="LMN83" s="0"/>
      <c r="LMO83" s="0"/>
      <c r="LMP83" s="0"/>
      <c r="LMQ83" s="0"/>
      <c r="LMR83" s="0"/>
      <c r="LMS83" s="0"/>
      <c r="LMT83" s="0"/>
      <c r="LMU83" s="0"/>
      <c r="LMV83" s="0"/>
      <c r="LMW83" s="0"/>
      <c r="LMX83" s="0"/>
      <c r="LMY83" s="0"/>
      <c r="LMZ83" s="0"/>
      <c r="LNA83" s="0"/>
      <c r="LNB83" s="0"/>
      <c r="LNC83" s="0"/>
      <c r="LND83" s="0"/>
      <c r="LNE83" s="0"/>
      <c r="LNF83" s="0"/>
      <c r="LNG83" s="0"/>
      <c r="LNH83" s="0"/>
      <c r="LNI83" s="0"/>
      <c r="LNJ83" s="0"/>
      <c r="LNK83" s="0"/>
      <c r="LNL83" s="0"/>
      <c r="LNM83" s="0"/>
      <c r="LNN83" s="0"/>
      <c r="LNO83" s="0"/>
      <c r="LNP83" s="0"/>
      <c r="LNQ83" s="0"/>
      <c r="LNR83" s="0"/>
      <c r="LNS83" s="0"/>
      <c r="LNT83" s="0"/>
      <c r="LNU83" s="0"/>
      <c r="LNV83" s="0"/>
      <c r="LNW83" s="0"/>
      <c r="LNX83" s="0"/>
      <c r="LNY83" s="0"/>
      <c r="LNZ83" s="0"/>
      <c r="LOA83" s="0"/>
      <c r="LOB83" s="0"/>
      <c r="LOC83" s="0"/>
      <c r="LOD83" s="0"/>
      <c r="LOE83" s="0"/>
      <c r="LOF83" s="0"/>
      <c r="LOG83" s="0"/>
      <c r="LOH83" s="0"/>
      <c r="LOI83" s="0"/>
      <c r="LOJ83" s="0"/>
      <c r="LOK83" s="0"/>
      <c r="LOL83" s="0"/>
      <c r="LOM83" s="0"/>
      <c r="LON83" s="0"/>
      <c r="LOO83" s="0"/>
      <c r="LOP83" s="0"/>
      <c r="LOQ83" s="0"/>
      <c r="LOR83" s="0"/>
      <c r="LOS83" s="0"/>
      <c r="LOT83" s="0"/>
      <c r="LOU83" s="0"/>
      <c r="LOV83" s="0"/>
      <c r="LOW83" s="0"/>
      <c r="LOX83" s="0"/>
      <c r="LOY83" s="0"/>
      <c r="LOZ83" s="0"/>
      <c r="LPA83" s="0"/>
      <c r="LPB83" s="0"/>
      <c r="LPC83" s="0"/>
      <c r="LPD83" s="0"/>
      <c r="LPE83" s="0"/>
      <c r="LPF83" s="0"/>
      <c r="LPG83" s="0"/>
      <c r="LPH83" s="0"/>
      <c r="LPI83" s="0"/>
      <c r="LPJ83" s="0"/>
      <c r="LPK83" s="0"/>
      <c r="LPL83" s="0"/>
      <c r="LPM83" s="0"/>
      <c r="LPN83" s="0"/>
      <c r="LPO83" s="0"/>
      <c r="LPP83" s="0"/>
      <c r="LPQ83" s="0"/>
      <c r="LPR83" s="0"/>
      <c r="LPS83" s="0"/>
      <c r="LPT83" s="0"/>
      <c r="LPU83" s="0"/>
      <c r="LPV83" s="0"/>
      <c r="LPW83" s="0"/>
      <c r="LPX83" s="0"/>
      <c r="LPY83" s="0"/>
      <c r="LPZ83" s="0"/>
      <c r="LQA83" s="0"/>
      <c r="LQB83" s="0"/>
      <c r="LQC83" s="0"/>
      <c r="LQD83" s="0"/>
      <c r="LQE83" s="0"/>
      <c r="LQF83" s="0"/>
      <c r="LQG83" s="0"/>
      <c r="LQH83" s="0"/>
      <c r="LQI83" s="0"/>
      <c r="LQJ83" s="0"/>
      <c r="LQK83" s="0"/>
      <c r="LQL83" s="0"/>
      <c r="LQM83" s="0"/>
      <c r="LQN83" s="0"/>
      <c r="LQO83" s="0"/>
      <c r="LQP83" s="0"/>
      <c r="LQQ83" s="0"/>
      <c r="LQR83" s="0"/>
      <c r="LQS83" s="0"/>
      <c r="LQT83" s="0"/>
      <c r="LQU83" s="0"/>
      <c r="LQV83" s="0"/>
      <c r="LQW83" s="0"/>
      <c r="LQX83" s="0"/>
      <c r="LQY83" s="0"/>
      <c r="LQZ83" s="0"/>
      <c r="LRA83" s="0"/>
      <c r="LRB83" s="0"/>
      <c r="LRC83" s="0"/>
      <c r="LRD83" s="0"/>
      <c r="LRE83" s="0"/>
      <c r="LRF83" s="0"/>
      <c r="LRG83" s="0"/>
      <c r="LRH83" s="0"/>
      <c r="LRI83" s="0"/>
      <c r="LRJ83" s="0"/>
      <c r="LRK83" s="0"/>
      <c r="LRL83" s="0"/>
      <c r="LRM83" s="0"/>
      <c r="LRN83" s="0"/>
      <c r="LRO83" s="0"/>
      <c r="LRP83" s="0"/>
      <c r="LRQ83" s="0"/>
      <c r="LRR83" s="0"/>
      <c r="LRS83" s="0"/>
      <c r="LRT83" s="0"/>
      <c r="LRU83" s="0"/>
      <c r="LRV83" s="0"/>
      <c r="LRW83" s="0"/>
      <c r="LRX83" s="0"/>
      <c r="LRY83" s="0"/>
      <c r="LRZ83" s="0"/>
      <c r="LSA83" s="0"/>
      <c r="LSB83" s="0"/>
      <c r="LSC83" s="0"/>
      <c r="LSD83" s="0"/>
      <c r="LSE83" s="0"/>
      <c r="LSF83" s="0"/>
      <c r="LSG83" s="0"/>
      <c r="LSH83" s="0"/>
      <c r="LSI83" s="0"/>
      <c r="LSJ83" s="0"/>
      <c r="LSK83" s="0"/>
      <c r="LSL83" s="0"/>
      <c r="LSM83" s="0"/>
      <c r="LSN83" s="0"/>
      <c r="LSO83" s="0"/>
      <c r="LSP83" s="0"/>
      <c r="LSQ83" s="0"/>
      <c r="LSR83" s="0"/>
      <c r="LSS83" s="0"/>
      <c r="LST83" s="0"/>
      <c r="LSU83" s="0"/>
      <c r="LSV83" s="0"/>
      <c r="LSW83" s="0"/>
      <c r="LSX83" s="0"/>
      <c r="LSY83" s="0"/>
      <c r="LSZ83" s="0"/>
      <c r="LTA83" s="0"/>
      <c r="LTB83" s="0"/>
      <c r="LTC83" s="0"/>
      <c r="LTD83" s="0"/>
      <c r="LTE83" s="0"/>
      <c r="LTF83" s="0"/>
      <c r="LTG83" s="0"/>
      <c r="LTH83" s="0"/>
      <c r="LTI83" s="0"/>
      <c r="LTJ83" s="0"/>
      <c r="LTK83" s="0"/>
      <c r="LTL83" s="0"/>
      <c r="LTM83" s="0"/>
      <c r="LTN83" s="0"/>
      <c r="LTO83" s="0"/>
      <c r="LTP83" s="0"/>
      <c r="LTQ83" s="0"/>
      <c r="LTR83" s="0"/>
      <c r="LTS83" s="0"/>
      <c r="LTT83" s="0"/>
      <c r="LTU83" s="0"/>
      <c r="LTV83" s="0"/>
      <c r="LTW83" s="0"/>
      <c r="LTX83" s="0"/>
      <c r="LTY83" s="0"/>
      <c r="LTZ83" s="0"/>
      <c r="LUA83" s="0"/>
      <c r="LUB83" s="0"/>
      <c r="LUC83" s="0"/>
      <c r="LUD83" s="0"/>
      <c r="LUE83" s="0"/>
      <c r="LUF83" s="0"/>
      <c r="LUG83" s="0"/>
      <c r="LUH83" s="0"/>
      <c r="LUI83" s="0"/>
      <c r="LUJ83" s="0"/>
      <c r="LUK83" s="0"/>
      <c r="LUL83" s="0"/>
      <c r="LUM83" s="0"/>
      <c r="LUN83" s="0"/>
      <c r="LUO83" s="0"/>
      <c r="LUP83" s="0"/>
      <c r="LUQ83" s="0"/>
      <c r="LUR83" s="0"/>
      <c r="LUS83" s="0"/>
      <c r="LUT83" s="0"/>
      <c r="LUU83" s="0"/>
      <c r="LUV83" s="0"/>
      <c r="LUW83" s="0"/>
      <c r="LUX83" s="0"/>
      <c r="LUY83" s="0"/>
      <c r="LUZ83" s="0"/>
      <c r="LVA83" s="0"/>
      <c r="LVB83" s="0"/>
      <c r="LVC83" s="0"/>
      <c r="LVD83" s="0"/>
      <c r="LVE83" s="0"/>
      <c r="LVF83" s="0"/>
      <c r="LVG83" s="0"/>
      <c r="LVH83" s="0"/>
      <c r="LVI83" s="0"/>
      <c r="LVJ83" s="0"/>
      <c r="LVK83" s="0"/>
      <c r="LVL83" s="0"/>
      <c r="LVM83" s="0"/>
      <c r="LVN83" s="0"/>
      <c r="LVO83" s="0"/>
      <c r="LVP83" s="0"/>
      <c r="LVQ83" s="0"/>
      <c r="LVR83" s="0"/>
      <c r="LVS83" s="0"/>
      <c r="LVT83" s="0"/>
      <c r="LVU83" s="0"/>
      <c r="LVV83" s="0"/>
      <c r="LVW83" s="0"/>
      <c r="LVX83" s="0"/>
      <c r="LVY83" s="0"/>
      <c r="LVZ83" s="0"/>
      <c r="LWA83" s="0"/>
      <c r="LWB83" s="0"/>
      <c r="LWC83" s="0"/>
      <c r="LWD83" s="0"/>
      <c r="LWE83" s="0"/>
      <c r="LWF83" s="0"/>
      <c r="LWG83" s="0"/>
      <c r="LWH83" s="0"/>
      <c r="LWI83" s="0"/>
      <c r="LWJ83" s="0"/>
      <c r="LWK83" s="0"/>
      <c r="LWL83" s="0"/>
      <c r="LWM83" s="0"/>
      <c r="LWN83" s="0"/>
      <c r="LWO83" s="0"/>
      <c r="LWP83" s="0"/>
      <c r="LWQ83" s="0"/>
      <c r="LWR83" s="0"/>
      <c r="LWS83" s="0"/>
      <c r="LWT83" s="0"/>
      <c r="LWU83" s="0"/>
      <c r="LWV83" s="0"/>
      <c r="LWW83" s="0"/>
      <c r="LWX83" s="0"/>
      <c r="LWY83" s="0"/>
      <c r="LWZ83" s="0"/>
      <c r="LXA83" s="0"/>
      <c r="LXB83" s="0"/>
      <c r="LXC83" s="0"/>
      <c r="LXD83" s="0"/>
      <c r="LXE83" s="0"/>
      <c r="LXF83" s="0"/>
      <c r="LXG83" s="0"/>
      <c r="LXH83" s="0"/>
      <c r="LXI83" s="0"/>
      <c r="LXJ83" s="0"/>
      <c r="LXK83" s="0"/>
      <c r="LXL83" s="0"/>
      <c r="LXM83" s="0"/>
      <c r="LXN83" s="0"/>
      <c r="LXO83" s="0"/>
      <c r="LXP83" s="0"/>
      <c r="LXQ83" s="0"/>
      <c r="LXR83" s="0"/>
      <c r="LXS83" s="0"/>
      <c r="LXT83" s="0"/>
      <c r="LXU83" s="0"/>
      <c r="LXV83" s="0"/>
      <c r="LXW83" s="0"/>
      <c r="LXX83" s="0"/>
      <c r="LXY83" s="0"/>
      <c r="LXZ83" s="0"/>
      <c r="LYA83" s="0"/>
      <c r="LYB83" s="0"/>
      <c r="LYC83" s="0"/>
      <c r="LYD83" s="0"/>
      <c r="LYE83" s="0"/>
      <c r="LYF83" s="0"/>
      <c r="LYG83" s="0"/>
      <c r="LYH83" s="0"/>
      <c r="LYI83" s="0"/>
      <c r="LYJ83" s="0"/>
      <c r="LYK83" s="0"/>
      <c r="LYL83" s="0"/>
      <c r="LYM83" s="0"/>
      <c r="LYN83" s="0"/>
      <c r="LYO83" s="0"/>
      <c r="LYP83" s="0"/>
      <c r="LYQ83" s="0"/>
      <c r="LYR83" s="0"/>
      <c r="LYS83" s="0"/>
      <c r="LYT83" s="0"/>
      <c r="LYU83" s="0"/>
      <c r="LYV83" s="0"/>
      <c r="LYW83" s="0"/>
      <c r="LYX83" s="0"/>
      <c r="LYY83" s="0"/>
      <c r="LYZ83" s="0"/>
      <c r="LZA83" s="0"/>
      <c r="LZB83" s="0"/>
      <c r="LZC83" s="0"/>
      <c r="LZD83" s="0"/>
      <c r="LZE83" s="0"/>
      <c r="LZF83" s="0"/>
      <c r="LZG83" s="0"/>
      <c r="LZH83" s="0"/>
      <c r="LZI83" s="0"/>
      <c r="LZJ83" s="0"/>
      <c r="LZK83" s="0"/>
      <c r="LZL83" s="0"/>
      <c r="LZM83" s="0"/>
      <c r="LZN83" s="0"/>
      <c r="LZO83" s="0"/>
      <c r="LZP83" s="0"/>
      <c r="LZQ83" s="0"/>
      <c r="LZR83" s="0"/>
      <c r="LZS83" s="0"/>
      <c r="LZT83" s="0"/>
      <c r="LZU83" s="0"/>
      <c r="LZV83" s="0"/>
      <c r="LZW83" s="0"/>
      <c r="LZX83" s="0"/>
      <c r="LZY83" s="0"/>
      <c r="LZZ83" s="0"/>
      <c r="MAA83" s="0"/>
      <c r="MAB83" s="0"/>
      <c r="MAC83" s="0"/>
      <c r="MAD83" s="0"/>
      <c r="MAE83" s="0"/>
      <c r="MAF83" s="0"/>
      <c r="MAG83" s="0"/>
      <c r="MAH83" s="0"/>
      <c r="MAI83" s="0"/>
      <c r="MAJ83" s="0"/>
      <c r="MAK83" s="0"/>
      <c r="MAL83" s="0"/>
      <c r="MAM83" s="0"/>
      <c r="MAN83" s="0"/>
      <c r="MAO83" s="0"/>
      <c r="MAP83" s="0"/>
      <c r="MAQ83" s="0"/>
      <c r="MAR83" s="0"/>
      <c r="MAS83" s="0"/>
      <c r="MAT83" s="0"/>
      <c r="MAU83" s="0"/>
      <c r="MAV83" s="0"/>
      <c r="MAW83" s="0"/>
      <c r="MAX83" s="0"/>
      <c r="MAY83" s="0"/>
      <c r="MAZ83" s="0"/>
      <c r="MBA83" s="0"/>
      <c r="MBB83" s="0"/>
      <c r="MBC83" s="0"/>
      <c r="MBD83" s="0"/>
      <c r="MBE83" s="0"/>
      <c r="MBF83" s="0"/>
      <c r="MBG83" s="0"/>
      <c r="MBH83" s="0"/>
      <c r="MBI83" s="0"/>
      <c r="MBJ83" s="0"/>
      <c r="MBK83" s="0"/>
      <c r="MBL83" s="0"/>
      <c r="MBM83" s="0"/>
      <c r="MBN83" s="0"/>
      <c r="MBO83" s="0"/>
      <c r="MBP83" s="0"/>
      <c r="MBQ83" s="0"/>
      <c r="MBR83" s="0"/>
      <c r="MBS83" s="0"/>
      <c r="MBT83" s="0"/>
      <c r="MBU83" s="0"/>
      <c r="MBV83" s="0"/>
      <c r="MBW83" s="0"/>
      <c r="MBX83" s="0"/>
      <c r="MBY83" s="0"/>
      <c r="MBZ83" s="0"/>
      <c r="MCA83" s="0"/>
      <c r="MCB83" s="0"/>
      <c r="MCC83" s="0"/>
      <c r="MCD83" s="0"/>
      <c r="MCE83" s="0"/>
      <c r="MCF83" s="0"/>
      <c r="MCG83" s="0"/>
      <c r="MCH83" s="0"/>
      <c r="MCI83" s="0"/>
      <c r="MCJ83" s="0"/>
      <c r="MCK83" s="0"/>
      <c r="MCL83" s="0"/>
      <c r="MCM83" s="0"/>
      <c r="MCN83" s="0"/>
      <c r="MCO83" s="0"/>
      <c r="MCP83" s="0"/>
      <c r="MCQ83" s="0"/>
      <c r="MCR83" s="0"/>
      <c r="MCS83" s="0"/>
      <c r="MCT83" s="0"/>
      <c r="MCU83" s="0"/>
      <c r="MCV83" s="0"/>
      <c r="MCW83" s="0"/>
      <c r="MCX83" s="0"/>
      <c r="MCY83" s="0"/>
      <c r="MCZ83" s="0"/>
      <c r="MDA83" s="0"/>
      <c r="MDB83" s="0"/>
      <c r="MDC83" s="0"/>
      <c r="MDD83" s="0"/>
      <c r="MDE83" s="0"/>
      <c r="MDF83" s="0"/>
      <c r="MDG83" s="0"/>
      <c r="MDH83" s="0"/>
      <c r="MDI83" s="0"/>
      <c r="MDJ83" s="0"/>
      <c r="MDK83" s="0"/>
      <c r="MDL83" s="0"/>
      <c r="MDM83" s="0"/>
      <c r="MDN83" s="0"/>
      <c r="MDO83" s="0"/>
      <c r="MDP83" s="0"/>
      <c r="MDQ83" s="0"/>
      <c r="MDR83" s="0"/>
      <c r="MDS83" s="0"/>
      <c r="MDT83" s="0"/>
      <c r="MDU83" s="0"/>
      <c r="MDV83" s="0"/>
      <c r="MDW83" s="0"/>
      <c r="MDX83" s="0"/>
      <c r="MDY83" s="0"/>
      <c r="MDZ83" s="0"/>
      <c r="MEA83" s="0"/>
      <c r="MEB83" s="0"/>
      <c r="MEC83" s="0"/>
      <c r="MED83" s="0"/>
      <c r="MEE83" s="0"/>
      <c r="MEF83" s="0"/>
      <c r="MEG83" s="0"/>
      <c r="MEH83" s="0"/>
      <c r="MEI83" s="0"/>
      <c r="MEJ83" s="0"/>
      <c r="MEK83" s="0"/>
      <c r="MEL83" s="0"/>
      <c r="MEM83" s="0"/>
      <c r="MEN83" s="0"/>
      <c r="MEO83" s="0"/>
      <c r="MEP83" s="0"/>
      <c r="MEQ83" s="0"/>
      <c r="MER83" s="0"/>
      <c r="MES83" s="0"/>
      <c r="MET83" s="0"/>
      <c r="MEU83" s="0"/>
      <c r="MEV83" s="0"/>
      <c r="MEW83" s="0"/>
      <c r="MEX83" s="0"/>
      <c r="MEY83" s="0"/>
      <c r="MEZ83" s="0"/>
      <c r="MFA83" s="0"/>
      <c r="MFB83" s="0"/>
      <c r="MFC83" s="0"/>
      <c r="MFD83" s="0"/>
      <c r="MFE83" s="0"/>
      <c r="MFF83" s="0"/>
      <c r="MFG83" s="0"/>
      <c r="MFH83" s="0"/>
      <c r="MFI83" s="0"/>
      <c r="MFJ83" s="0"/>
      <c r="MFK83" s="0"/>
      <c r="MFL83" s="0"/>
      <c r="MFM83" s="0"/>
      <c r="MFN83" s="0"/>
      <c r="MFO83" s="0"/>
      <c r="MFP83" s="0"/>
      <c r="MFQ83" s="0"/>
      <c r="MFR83" s="0"/>
      <c r="MFS83" s="0"/>
      <c r="MFT83" s="0"/>
      <c r="MFU83" s="0"/>
      <c r="MFV83" s="0"/>
      <c r="MFW83" s="0"/>
      <c r="MFX83" s="0"/>
      <c r="MFY83" s="0"/>
      <c r="MFZ83" s="0"/>
      <c r="MGA83" s="0"/>
      <c r="MGB83" s="0"/>
      <c r="MGC83" s="0"/>
      <c r="MGD83" s="0"/>
      <c r="MGE83" s="0"/>
      <c r="MGF83" s="0"/>
      <c r="MGG83" s="0"/>
      <c r="MGH83" s="0"/>
      <c r="MGI83" s="0"/>
      <c r="MGJ83" s="0"/>
      <c r="MGK83" s="0"/>
      <c r="MGL83" s="0"/>
      <c r="MGM83" s="0"/>
      <c r="MGN83" s="0"/>
      <c r="MGO83" s="0"/>
      <c r="MGP83" s="0"/>
      <c r="MGQ83" s="0"/>
      <c r="MGR83" s="0"/>
      <c r="MGS83" s="0"/>
      <c r="MGT83" s="0"/>
      <c r="MGU83" s="0"/>
      <c r="MGV83" s="0"/>
      <c r="MGW83" s="0"/>
      <c r="MGX83" s="0"/>
      <c r="MGY83" s="0"/>
      <c r="MGZ83" s="0"/>
      <c r="MHA83" s="0"/>
      <c r="MHB83" s="0"/>
      <c r="MHC83" s="0"/>
      <c r="MHD83" s="0"/>
      <c r="MHE83" s="0"/>
      <c r="MHF83" s="0"/>
      <c r="MHG83" s="0"/>
      <c r="MHH83" s="0"/>
      <c r="MHI83" s="0"/>
      <c r="MHJ83" s="0"/>
      <c r="MHK83" s="0"/>
      <c r="MHL83" s="0"/>
      <c r="MHM83" s="0"/>
      <c r="MHN83" s="0"/>
      <c r="MHO83" s="0"/>
      <c r="MHP83" s="0"/>
      <c r="MHQ83" s="0"/>
      <c r="MHR83" s="0"/>
      <c r="MHS83" s="0"/>
      <c r="MHT83" s="0"/>
      <c r="MHU83" s="0"/>
      <c r="MHV83" s="0"/>
      <c r="MHW83" s="0"/>
      <c r="MHX83" s="0"/>
      <c r="MHY83" s="0"/>
      <c r="MHZ83" s="0"/>
      <c r="MIA83" s="0"/>
      <c r="MIB83" s="0"/>
      <c r="MIC83" s="0"/>
      <c r="MID83" s="0"/>
      <c r="MIE83" s="0"/>
      <c r="MIF83" s="0"/>
      <c r="MIG83" s="0"/>
      <c r="MIH83" s="0"/>
      <c r="MII83" s="0"/>
      <c r="MIJ83" s="0"/>
      <c r="MIK83" s="0"/>
      <c r="MIL83" s="0"/>
      <c r="MIM83" s="0"/>
      <c r="MIN83" s="0"/>
      <c r="MIO83" s="0"/>
      <c r="MIP83" s="0"/>
      <c r="MIQ83" s="0"/>
      <c r="MIR83" s="0"/>
      <c r="MIS83" s="0"/>
      <c r="MIT83" s="0"/>
      <c r="MIU83" s="0"/>
      <c r="MIV83" s="0"/>
      <c r="MIW83" s="0"/>
      <c r="MIX83" s="0"/>
      <c r="MIY83" s="0"/>
      <c r="MIZ83" s="0"/>
      <c r="MJA83" s="0"/>
      <c r="MJB83" s="0"/>
      <c r="MJC83" s="0"/>
      <c r="MJD83" s="0"/>
      <c r="MJE83" s="0"/>
      <c r="MJF83" s="0"/>
      <c r="MJG83" s="0"/>
      <c r="MJH83" s="0"/>
      <c r="MJI83" s="0"/>
      <c r="MJJ83" s="0"/>
      <c r="MJK83" s="0"/>
      <c r="MJL83" s="0"/>
      <c r="MJM83" s="0"/>
      <c r="MJN83" s="0"/>
      <c r="MJO83" s="0"/>
      <c r="MJP83" s="0"/>
      <c r="MJQ83" s="0"/>
      <c r="MJR83" s="0"/>
      <c r="MJS83" s="0"/>
      <c r="MJT83" s="0"/>
      <c r="MJU83" s="0"/>
      <c r="MJV83" s="0"/>
      <c r="MJW83" s="0"/>
      <c r="MJX83" s="0"/>
      <c r="MJY83" s="0"/>
      <c r="MJZ83" s="0"/>
      <c r="MKA83" s="0"/>
      <c r="MKB83" s="0"/>
      <c r="MKC83" s="0"/>
      <c r="MKD83" s="0"/>
      <c r="MKE83" s="0"/>
      <c r="MKF83" s="0"/>
      <c r="MKG83" s="0"/>
      <c r="MKH83" s="0"/>
      <c r="MKI83" s="0"/>
      <c r="MKJ83" s="0"/>
      <c r="MKK83" s="0"/>
      <c r="MKL83" s="0"/>
      <c r="MKM83" s="0"/>
      <c r="MKN83" s="0"/>
      <c r="MKO83" s="0"/>
      <c r="MKP83" s="0"/>
      <c r="MKQ83" s="0"/>
      <c r="MKR83" s="0"/>
      <c r="MKS83" s="0"/>
      <c r="MKT83" s="0"/>
      <c r="MKU83" s="0"/>
      <c r="MKV83" s="0"/>
      <c r="MKW83" s="0"/>
      <c r="MKX83" s="0"/>
      <c r="MKY83" s="0"/>
      <c r="MKZ83" s="0"/>
      <c r="MLA83" s="0"/>
      <c r="MLB83" s="0"/>
      <c r="MLC83" s="0"/>
      <c r="MLD83" s="0"/>
      <c r="MLE83" s="0"/>
      <c r="MLF83" s="0"/>
      <c r="MLG83" s="0"/>
      <c r="MLH83" s="0"/>
      <c r="MLI83" s="0"/>
      <c r="MLJ83" s="0"/>
      <c r="MLK83" s="0"/>
      <c r="MLL83" s="0"/>
      <c r="MLM83" s="0"/>
      <c r="MLN83" s="0"/>
      <c r="MLO83" s="0"/>
      <c r="MLP83" s="0"/>
      <c r="MLQ83" s="0"/>
      <c r="MLR83" s="0"/>
      <c r="MLS83" s="0"/>
      <c r="MLT83" s="0"/>
      <c r="MLU83" s="0"/>
      <c r="MLV83" s="0"/>
      <c r="MLW83" s="0"/>
      <c r="MLX83" s="0"/>
      <c r="MLY83" s="0"/>
      <c r="MLZ83" s="0"/>
      <c r="MMA83" s="0"/>
      <c r="MMB83" s="0"/>
      <c r="MMC83" s="0"/>
      <c r="MMD83" s="0"/>
      <c r="MME83" s="0"/>
      <c r="MMF83" s="0"/>
      <c r="MMG83" s="0"/>
      <c r="MMH83" s="0"/>
      <c r="MMI83" s="0"/>
      <c r="MMJ83" s="0"/>
      <c r="MMK83" s="0"/>
      <c r="MML83" s="0"/>
      <c r="MMM83" s="0"/>
      <c r="MMN83" s="0"/>
      <c r="MMO83" s="0"/>
      <c r="MMP83" s="0"/>
      <c r="MMQ83" s="0"/>
      <c r="MMR83" s="0"/>
      <c r="MMS83" s="0"/>
      <c r="MMT83" s="0"/>
      <c r="MMU83" s="0"/>
      <c r="MMV83" s="0"/>
      <c r="MMW83" s="0"/>
      <c r="MMX83" s="0"/>
      <c r="MMY83" s="0"/>
      <c r="MMZ83" s="0"/>
      <c r="MNA83" s="0"/>
      <c r="MNB83" s="0"/>
      <c r="MNC83" s="0"/>
      <c r="MND83" s="0"/>
      <c r="MNE83" s="0"/>
      <c r="MNF83" s="0"/>
      <c r="MNG83" s="0"/>
      <c r="MNH83" s="0"/>
      <c r="MNI83" s="0"/>
      <c r="MNJ83" s="0"/>
      <c r="MNK83" s="0"/>
      <c r="MNL83" s="0"/>
      <c r="MNM83" s="0"/>
      <c r="MNN83" s="0"/>
      <c r="MNO83" s="0"/>
      <c r="MNP83" s="0"/>
      <c r="MNQ83" s="0"/>
      <c r="MNR83" s="0"/>
      <c r="MNS83" s="0"/>
      <c r="MNT83" s="0"/>
      <c r="MNU83" s="0"/>
      <c r="MNV83" s="0"/>
      <c r="MNW83" s="0"/>
      <c r="MNX83" s="0"/>
      <c r="MNY83" s="0"/>
      <c r="MNZ83" s="0"/>
      <c r="MOA83" s="0"/>
      <c r="MOB83" s="0"/>
      <c r="MOC83" s="0"/>
      <c r="MOD83" s="0"/>
      <c r="MOE83" s="0"/>
      <c r="MOF83" s="0"/>
      <c r="MOG83" s="0"/>
      <c r="MOH83" s="0"/>
      <c r="MOI83" s="0"/>
      <c r="MOJ83" s="0"/>
      <c r="MOK83" s="0"/>
      <c r="MOL83" s="0"/>
      <c r="MOM83" s="0"/>
      <c r="MON83" s="0"/>
      <c r="MOO83" s="0"/>
      <c r="MOP83" s="0"/>
      <c r="MOQ83" s="0"/>
      <c r="MOR83" s="0"/>
      <c r="MOS83" s="0"/>
      <c r="MOT83" s="0"/>
      <c r="MOU83" s="0"/>
      <c r="MOV83" s="0"/>
      <c r="MOW83" s="0"/>
      <c r="MOX83" s="0"/>
      <c r="MOY83" s="0"/>
      <c r="MOZ83" s="0"/>
      <c r="MPA83" s="0"/>
      <c r="MPB83" s="0"/>
      <c r="MPC83" s="0"/>
      <c r="MPD83" s="0"/>
      <c r="MPE83" s="0"/>
      <c r="MPF83" s="0"/>
      <c r="MPG83" s="0"/>
      <c r="MPH83" s="0"/>
      <c r="MPI83" s="0"/>
      <c r="MPJ83" s="0"/>
      <c r="MPK83" s="0"/>
      <c r="MPL83" s="0"/>
      <c r="MPM83" s="0"/>
      <c r="MPN83" s="0"/>
      <c r="MPO83" s="0"/>
      <c r="MPP83" s="0"/>
      <c r="MPQ83" s="0"/>
      <c r="MPR83" s="0"/>
      <c r="MPS83" s="0"/>
      <c r="MPT83" s="0"/>
      <c r="MPU83" s="0"/>
      <c r="MPV83" s="0"/>
      <c r="MPW83" s="0"/>
      <c r="MPX83" s="0"/>
      <c r="MPY83" s="0"/>
      <c r="MPZ83" s="0"/>
      <c r="MQA83" s="0"/>
      <c r="MQB83" s="0"/>
      <c r="MQC83" s="0"/>
      <c r="MQD83" s="0"/>
      <c r="MQE83" s="0"/>
      <c r="MQF83" s="0"/>
      <c r="MQG83" s="0"/>
      <c r="MQH83" s="0"/>
      <c r="MQI83" s="0"/>
      <c r="MQJ83" s="0"/>
      <c r="MQK83" s="0"/>
      <c r="MQL83" s="0"/>
      <c r="MQM83" s="0"/>
      <c r="MQN83" s="0"/>
      <c r="MQO83" s="0"/>
      <c r="MQP83" s="0"/>
      <c r="MQQ83" s="0"/>
      <c r="MQR83" s="0"/>
      <c r="MQS83" s="0"/>
      <c r="MQT83" s="0"/>
      <c r="MQU83" s="0"/>
      <c r="MQV83" s="0"/>
      <c r="MQW83" s="0"/>
      <c r="MQX83" s="0"/>
      <c r="MQY83" s="0"/>
      <c r="MQZ83" s="0"/>
      <c r="MRA83" s="0"/>
      <c r="MRB83" s="0"/>
      <c r="MRC83" s="0"/>
      <c r="MRD83" s="0"/>
      <c r="MRE83" s="0"/>
      <c r="MRF83" s="0"/>
      <c r="MRG83" s="0"/>
      <c r="MRH83" s="0"/>
      <c r="MRI83" s="0"/>
      <c r="MRJ83" s="0"/>
      <c r="MRK83" s="0"/>
      <c r="MRL83" s="0"/>
      <c r="MRM83" s="0"/>
      <c r="MRN83" s="0"/>
      <c r="MRO83" s="0"/>
      <c r="MRP83" s="0"/>
      <c r="MRQ83" s="0"/>
      <c r="MRR83" s="0"/>
      <c r="MRS83" s="0"/>
      <c r="MRT83" s="0"/>
      <c r="MRU83" s="0"/>
      <c r="MRV83" s="0"/>
      <c r="MRW83" s="0"/>
      <c r="MRX83" s="0"/>
      <c r="MRY83" s="0"/>
      <c r="MRZ83" s="0"/>
      <c r="MSA83" s="0"/>
      <c r="MSB83" s="0"/>
      <c r="MSC83" s="0"/>
      <c r="MSD83" s="0"/>
      <c r="MSE83" s="0"/>
      <c r="MSF83" s="0"/>
      <c r="MSG83" s="0"/>
      <c r="MSH83" s="0"/>
      <c r="MSI83" s="0"/>
      <c r="MSJ83" s="0"/>
      <c r="MSK83" s="0"/>
      <c r="MSL83" s="0"/>
      <c r="MSM83" s="0"/>
      <c r="MSN83" s="0"/>
      <c r="MSO83" s="0"/>
      <c r="MSP83" s="0"/>
      <c r="MSQ83" s="0"/>
      <c r="MSR83" s="0"/>
      <c r="MSS83" s="0"/>
      <c r="MST83" s="0"/>
      <c r="MSU83" s="0"/>
      <c r="MSV83" s="0"/>
      <c r="MSW83" s="0"/>
      <c r="MSX83" s="0"/>
      <c r="MSY83" s="0"/>
      <c r="MSZ83" s="0"/>
      <c r="MTA83" s="0"/>
      <c r="MTB83" s="0"/>
      <c r="MTC83" s="0"/>
      <c r="MTD83" s="0"/>
      <c r="MTE83" s="0"/>
      <c r="MTF83" s="0"/>
      <c r="MTG83" s="0"/>
      <c r="MTH83" s="0"/>
      <c r="MTI83" s="0"/>
      <c r="MTJ83" s="0"/>
      <c r="MTK83" s="0"/>
      <c r="MTL83" s="0"/>
      <c r="MTM83" s="0"/>
      <c r="MTN83" s="0"/>
      <c r="MTO83" s="0"/>
      <c r="MTP83" s="0"/>
      <c r="MTQ83" s="0"/>
      <c r="MTR83" s="0"/>
      <c r="MTS83" s="0"/>
      <c r="MTT83" s="0"/>
      <c r="MTU83" s="0"/>
      <c r="MTV83" s="0"/>
      <c r="MTW83" s="0"/>
      <c r="MTX83" s="0"/>
      <c r="MTY83" s="0"/>
      <c r="MTZ83" s="0"/>
      <c r="MUA83" s="0"/>
      <c r="MUB83" s="0"/>
      <c r="MUC83" s="0"/>
      <c r="MUD83" s="0"/>
      <c r="MUE83" s="0"/>
      <c r="MUF83" s="0"/>
      <c r="MUG83" s="0"/>
      <c r="MUH83" s="0"/>
      <c r="MUI83" s="0"/>
      <c r="MUJ83" s="0"/>
      <c r="MUK83" s="0"/>
      <c r="MUL83" s="0"/>
      <c r="MUM83" s="0"/>
      <c r="MUN83" s="0"/>
      <c r="MUO83" s="0"/>
      <c r="MUP83" s="0"/>
      <c r="MUQ83" s="0"/>
      <c r="MUR83" s="0"/>
      <c r="MUS83" s="0"/>
      <c r="MUT83" s="0"/>
      <c r="MUU83" s="0"/>
      <c r="MUV83" s="0"/>
      <c r="MUW83" s="0"/>
      <c r="MUX83" s="0"/>
      <c r="MUY83" s="0"/>
      <c r="MUZ83" s="0"/>
      <c r="MVA83" s="0"/>
      <c r="MVB83" s="0"/>
      <c r="MVC83" s="0"/>
      <c r="MVD83" s="0"/>
      <c r="MVE83" s="0"/>
      <c r="MVF83" s="0"/>
      <c r="MVG83" s="0"/>
      <c r="MVH83" s="0"/>
      <c r="MVI83" s="0"/>
      <c r="MVJ83" s="0"/>
      <c r="MVK83" s="0"/>
      <c r="MVL83" s="0"/>
      <c r="MVM83" s="0"/>
      <c r="MVN83" s="0"/>
      <c r="MVO83" s="0"/>
      <c r="MVP83" s="0"/>
      <c r="MVQ83" s="0"/>
      <c r="MVR83" s="0"/>
      <c r="MVS83" s="0"/>
      <c r="MVT83" s="0"/>
      <c r="MVU83" s="0"/>
      <c r="MVV83" s="0"/>
      <c r="MVW83" s="0"/>
      <c r="MVX83" s="0"/>
      <c r="MVY83" s="0"/>
      <c r="MVZ83" s="0"/>
      <c r="MWA83" s="0"/>
      <c r="MWB83" s="0"/>
      <c r="MWC83" s="0"/>
      <c r="MWD83" s="0"/>
      <c r="MWE83" s="0"/>
      <c r="MWF83" s="0"/>
      <c r="MWG83" s="0"/>
      <c r="MWH83" s="0"/>
      <c r="MWI83" s="0"/>
      <c r="MWJ83" s="0"/>
      <c r="MWK83" s="0"/>
      <c r="MWL83" s="0"/>
      <c r="MWM83" s="0"/>
      <c r="MWN83" s="0"/>
      <c r="MWO83" s="0"/>
      <c r="MWP83" s="0"/>
      <c r="MWQ83" s="0"/>
      <c r="MWR83" s="0"/>
      <c r="MWS83" s="0"/>
      <c r="MWT83" s="0"/>
      <c r="MWU83" s="0"/>
      <c r="MWV83" s="0"/>
      <c r="MWW83" s="0"/>
      <c r="MWX83" s="0"/>
      <c r="MWY83" s="0"/>
      <c r="MWZ83" s="0"/>
      <c r="MXA83" s="0"/>
      <c r="MXB83" s="0"/>
      <c r="MXC83" s="0"/>
      <c r="MXD83" s="0"/>
      <c r="MXE83" s="0"/>
      <c r="MXF83" s="0"/>
      <c r="MXG83" s="0"/>
      <c r="MXH83" s="0"/>
      <c r="MXI83" s="0"/>
      <c r="MXJ83" s="0"/>
      <c r="MXK83" s="0"/>
      <c r="MXL83" s="0"/>
      <c r="MXM83" s="0"/>
      <c r="MXN83" s="0"/>
      <c r="MXO83" s="0"/>
      <c r="MXP83" s="0"/>
      <c r="MXQ83" s="0"/>
      <c r="MXR83" s="0"/>
      <c r="MXS83" s="0"/>
      <c r="MXT83" s="0"/>
      <c r="MXU83" s="0"/>
      <c r="MXV83" s="0"/>
      <c r="MXW83" s="0"/>
      <c r="MXX83" s="0"/>
      <c r="MXY83" s="0"/>
      <c r="MXZ83" s="0"/>
      <c r="MYA83" s="0"/>
      <c r="MYB83" s="0"/>
      <c r="MYC83" s="0"/>
      <c r="MYD83" s="0"/>
      <c r="MYE83" s="0"/>
      <c r="MYF83" s="0"/>
      <c r="MYG83" s="0"/>
      <c r="MYH83" s="0"/>
      <c r="MYI83" s="0"/>
      <c r="MYJ83" s="0"/>
      <c r="MYK83" s="0"/>
      <c r="MYL83" s="0"/>
      <c r="MYM83" s="0"/>
      <c r="MYN83" s="0"/>
      <c r="MYO83" s="0"/>
      <c r="MYP83" s="0"/>
      <c r="MYQ83" s="0"/>
      <c r="MYR83" s="0"/>
      <c r="MYS83" s="0"/>
      <c r="MYT83" s="0"/>
      <c r="MYU83" s="0"/>
      <c r="MYV83" s="0"/>
      <c r="MYW83" s="0"/>
      <c r="MYX83" s="0"/>
      <c r="MYY83" s="0"/>
      <c r="MYZ83" s="0"/>
      <c r="MZA83" s="0"/>
      <c r="MZB83" s="0"/>
      <c r="MZC83" s="0"/>
      <c r="MZD83" s="0"/>
      <c r="MZE83" s="0"/>
      <c r="MZF83" s="0"/>
      <c r="MZG83" s="0"/>
      <c r="MZH83" s="0"/>
      <c r="MZI83" s="0"/>
      <c r="MZJ83" s="0"/>
      <c r="MZK83" s="0"/>
      <c r="MZL83" s="0"/>
      <c r="MZM83" s="0"/>
      <c r="MZN83" s="0"/>
      <c r="MZO83" s="0"/>
      <c r="MZP83" s="0"/>
      <c r="MZQ83" s="0"/>
      <c r="MZR83" s="0"/>
      <c r="MZS83" s="0"/>
      <c r="MZT83" s="0"/>
      <c r="MZU83" s="0"/>
      <c r="MZV83" s="0"/>
      <c r="MZW83" s="0"/>
      <c r="MZX83" s="0"/>
      <c r="MZY83" s="0"/>
      <c r="MZZ83" s="0"/>
      <c r="NAA83" s="0"/>
      <c r="NAB83" s="0"/>
      <c r="NAC83" s="0"/>
      <c r="NAD83" s="0"/>
      <c r="NAE83" s="0"/>
      <c r="NAF83" s="0"/>
      <c r="NAG83" s="0"/>
      <c r="NAH83" s="0"/>
      <c r="NAI83" s="0"/>
      <c r="NAJ83" s="0"/>
      <c r="NAK83" s="0"/>
      <c r="NAL83" s="0"/>
      <c r="NAM83" s="0"/>
      <c r="NAN83" s="0"/>
      <c r="NAO83" s="0"/>
      <c r="NAP83" s="0"/>
      <c r="NAQ83" s="0"/>
      <c r="NAR83" s="0"/>
      <c r="NAS83" s="0"/>
      <c r="NAT83" s="0"/>
      <c r="NAU83" s="0"/>
      <c r="NAV83" s="0"/>
      <c r="NAW83" s="0"/>
      <c r="NAX83" s="0"/>
      <c r="NAY83" s="0"/>
      <c r="NAZ83" s="0"/>
      <c r="NBA83" s="0"/>
      <c r="NBB83" s="0"/>
      <c r="NBC83" s="0"/>
      <c r="NBD83" s="0"/>
      <c r="NBE83" s="0"/>
      <c r="NBF83" s="0"/>
      <c r="NBG83" s="0"/>
      <c r="NBH83" s="0"/>
      <c r="NBI83" s="0"/>
      <c r="NBJ83" s="0"/>
      <c r="NBK83" s="0"/>
      <c r="NBL83" s="0"/>
      <c r="NBM83" s="0"/>
      <c r="NBN83" s="0"/>
      <c r="NBO83" s="0"/>
      <c r="NBP83" s="0"/>
      <c r="NBQ83" s="0"/>
      <c r="NBR83" s="0"/>
      <c r="NBS83" s="0"/>
      <c r="NBT83" s="0"/>
      <c r="NBU83" s="0"/>
      <c r="NBV83" s="0"/>
      <c r="NBW83" s="0"/>
      <c r="NBX83" s="0"/>
      <c r="NBY83" s="0"/>
      <c r="NBZ83" s="0"/>
      <c r="NCA83" s="0"/>
      <c r="NCB83" s="0"/>
      <c r="NCC83" s="0"/>
      <c r="NCD83" s="0"/>
      <c r="NCE83" s="0"/>
      <c r="NCF83" s="0"/>
      <c r="NCG83" s="0"/>
      <c r="NCH83" s="0"/>
      <c r="NCI83" s="0"/>
      <c r="NCJ83" s="0"/>
      <c r="NCK83" s="0"/>
      <c r="NCL83" s="0"/>
      <c r="NCM83" s="0"/>
      <c r="NCN83" s="0"/>
      <c r="NCO83" s="0"/>
      <c r="NCP83" s="0"/>
      <c r="NCQ83" s="0"/>
      <c r="NCR83" s="0"/>
      <c r="NCS83" s="0"/>
      <c r="NCT83" s="0"/>
      <c r="NCU83" s="0"/>
      <c r="NCV83" s="0"/>
      <c r="NCW83" s="0"/>
      <c r="NCX83" s="0"/>
      <c r="NCY83" s="0"/>
      <c r="NCZ83" s="0"/>
      <c r="NDA83" s="0"/>
      <c r="NDB83" s="0"/>
      <c r="NDC83" s="0"/>
      <c r="NDD83" s="0"/>
      <c r="NDE83" s="0"/>
      <c r="NDF83" s="0"/>
      <c r="NDG83" s="0"/>
      <c r="NDH83" s="0"/>
      <c r="NDI83" s="0"/>
      <c r="NDJ83" s="0"/>
      <c r="NDK83" s="0"/>
      <c r="NDL83" s="0"/>
      <c r="NDM83" s="0"/>
      <c r="NDN83" s="0"/>
      <c r="NDO83" s="0"/>
      <c r="NDP83" s="0"/>
      <c r="NDQ83" s="0"/>
      <c r="NDR83" s="0"/>
      <c r="NDS83" s="0"/>
      <c r="NDT83" s="0"/>
      <c r="NDU83" s="0"/>
      <c r="NDV83" s="0"/>
      <c r="NDW83" s="0"/>
      <c r="NDX83" s="0"/>
      <c r="NDY83" s="0"/>
      <c r="NDZ83" s="0"/>
      <c r="NEA83" s="0"/>
      <c r="NEB83" s="0"/>
      <c r="NEC83" s="0"/>
      <c r="NED83" s="0"/>
      <c r="NEE83" s="0"/>
      <c r="NEF83" s="0"/>
      <c r="NEG83" s="0"/>
      <c r="NEH83" s="0"/>
      <c r="NEI83" s="0"/>
      <c r="NEJ83" s="0"/>
      <c r="NEK83" s="0"/>
      <c r="NEL83" s="0"/>
      <c r="NEM83" s="0"/>
      <c r="NEN83" s="0"/>
      <c r="NEO83" s="0"/>
      <c r="NEP83" s="0"/>
      <c r="NEQ83" s="0"/>
      <c r="NER83" s="0"/>
      <c r="NES83" s="0"/>
      <c r="NET83" s="0"/>
      <c r="NEU83" s="0"/>
      <c r="NEV83" s="0"/>
      <c r="NEW83" s="0"/>
      <c r="NEX83" s="0"/>
      <c r="NEY83" s="0"/>
      <c r="NEZ83" s="0"/>
      <c r="NFA83" s="0"/>
      <c r="NFB83" s="0"/>
      <c r="NFC83" s="0"/>
      <c r="NFD83" s="0"/>
      <c r="NFE83" s="0"/>
      <c r="NFF83" s="0"/>
      <c r="NFG83" s="0"/>
      <c r="NFH83" s="0"/>
      <c r="NFI83" s="0"/>
      <c r="NFJ83" s="0"/>
      <c r="NFK83" s="0"/>
      <c r="NFL83" s="0"/>
      <c r="NFM83" s="0"/>
      <c r="NFN83" s="0"/>
      <c r="NFO83" s="0"/>
      <c r="NFP83" s="0"/>
      <c r="NFQ83" s="0"/>
      <c r="NFR83" s="0"/>
      <c r="NFS83" s="0"/>
      <c r="NFT83" s="0"/>
      <c r="NFU83" s="0"/>
      <c r="NFV83" s="0"/>
      <c r="NFW83" s="0"/>
      <c r="NFX83" s="0"/>
      <c r="NFY83" s="0"/>
      <c r="NFZ83" s="0"/>
      <c r="NGA83" s="0"/>
      <c r="NGB83" s="0"/>
      <c r="NGC83" s="0"/>
      <c r="NGD83" s="0"/>
      <c r="NGE83" s="0"/>
      <c r="NGF83" s="0"/>
      <c r="NGG83" s="0"/>
      <c r="NGH83" s="0"/>
      <c r="NGI83" s="0"/>
      <c r="NGJ83" s="0"/>
      <c r="NGK83" s="0"/>
      <c r="NGL83" s="0"/>
      <c r="NGM83" s="0"/>
      <c r="NGN83" s="0"/>
      <c r="NGO83" s="0"/>
      <c r="NGP83" s="0"/>
      <c r="NGQ83" s="0"/>
      <c r="NGR83" s="0"/>
      <c r="NGS83" s="0"/>
      <c r="NGT83" s="0"/>
      <c r="NGU83" s="0"/>
      <c r="NGV83" s="0"/>
      <c r="NGW83" s="0"/>
      <c r="NGX83" s="0"/>
      <c r="NGY83" s="0"/>
      <c r="NGZ83" s="0"/>
      <c r="NHA83" s="0"/>
      <c r="NHB83" s="0"/>
      <c r="NHC83" s="0"/>
      <c r="NHD83" s="0"/>
      <c r="NHE83" s="0"/>
      <c r="NHF83" s="0"/>
      <c r="NHG83" s="0"/>
      <c r="NHH83" s="0"/>
      <c r="NHI83" s="0"/>
      <c r="NHJ83" s="0"/>
      <c r="NHK83" s="0"/>
      <c r="NHL83" s="0"/>
      <c r="NHM83" s="0"/>
      <c r="NHN83" s="0"/>
      <c r="NHO83" s="0"/>
      <c r="NHP83" s="0"/>
      <c r="NHQ83" s="0"/>
      <c r="NHR83" s="0"/>
      <c r="NHS83" s="0"/>
      <c r="NHT83" s="0"/>
      <c r="NHU83" s="0"/>
      <c r="NHV83" s="0"/>
      <c r="NHW83" s="0"/>
      <c r="NHX83" s="0"/>
      <c r="NHY83" s="0"/>
      <c r="NHZ83" s="0"/>
      <c r="NIA83" s="0"/>
      <c r="NIB83" s="0"/>
      <c r="NIC83" s="0"/>
      <c r="NID83" s="0"/>
      <c r="NIE83" s="0"/>
      <c r="NIF83" s="0"/>
      <c r="NIG83" s="0"/>
      <c r="NIH83" s="0"/>
      <c r="NII83" s="0"/>
      <c r="NIJ83" s="0"/>
      <c r="NIK83" s="0"/>
      <c r="NIL83" s="0"/>
      <c r="NIM83" s="0"/>
      <c r="NIN83" s="0"/>
      <c r="NIO83" s="0"/>
      <c r="NIP83" s="0"/>
      <c r="NIQ83" s="0"/>
      <c r="NIR83" s="0"/>
      <c r="NIS83" s="0"/>
      <c r="NIT83" s="0"/>
      <c r="NIU83" s="0"/>
      <c r="NIV83" s="0"/>
      <c r="NIW83" s="0"/>
      <c r="NIX83" s="0"/>
      <c r="NIY83" s="0"/>
      <c r="NIZ83" s="0"/>
      <c r="NJA83" s="0"/>
      <c r="NJB83" s="0"/>
      <c r="NJC83" s="0"/>
      <c r="NJD83" s="0"/>
      <c r="NJE83" s="0"/>
      <c r="NJF83" s="0"/>
      <c r="NJG83" s="0"/>
      <c r="NJH83" s="0"/>
      <c r="NJI83" s="0"/>
      <c r="NJJ83" s="0"/>
      <c r="NJK83" s="0"/>
      <c r="NJL83" s="0"/>
      <c r="NJM83" s="0"/>
      <c r="NJN83" s="0"/>
      <c r="NJO83" s="0"/>
      <c r="NJP83" s="0"/>
      <c r="NJQ83" s="0"/>
      <c r="NJR83" s="0"/>
      <c r="NJS83" s="0"/>
      <c r="NJT83" s="0"/>
      <c r="NJU83" s="0"/>
      <c r="NJV83" s="0"/>
      <c r="NJW83" s="0"/>
      <c r="NJX83" s="0"/>
      <c r="NJY83" s="0"/>
      <c r="NJZ83" s="0"/>
      <c r="NKA83" s="0"/>
      <c r="NKB83" s="0"/>
      <c r="NKC83" s="0"/>
      <c r="NKD83" s="0"/>
      <c r="NKE83" s="0"/>
      <c r="NKF83" s="0"/>
      <c r="NKG83" s="0"/>
      <c r="NKH83" s="0"/>
      <c r="NKI83" s="0"/>
      <c r="NKJ83" s="0"/>
      <c r="NKK83" s="0"/>
      <c r="NKL83" s="0"/>
      <c r="NKM83" s="0"/>
      <c r="NKN83" s="0"/>
      <c r="NKO83" s="0"/>
      <c r="NKP83" s="0"/>
      <c r="NKQ83" s="0"/>
      <c r="NKR83" s="0"/>
      <c r="NKS83" s="0"/>
      <c r="NKT83" s="0"/>
      <c r="NKU83" s="0"/>
      <c r="NKV83" s="0"/>
      <c r="NKW83" s="0"/>
      <c r="NKX83" s="0"/>
      <c r="NKY83" s="0"/>
      <c r="NKZ83" s="0"/>
      <c r="NLA83" s="0"/>
      <c r="NLB83" s="0"/>
      <c r="NLC83" s="0"/>
      <c r="NLD83" s="0"/>
      <c r="NLE83" s="0"/>
      <c r="NLF83" s="0"/>
      <c r="NLG83" s="0"/>
      <c r="NLH83" s="0"/>
      <c r="NLI83" s="0"/>
      <c r="NLJ83" s="0"/>
      <c r="NLK83" s="0"/>
      <c r="NLL83" s="0"/>
      <c r="NLM83" s="0"/>
      <c r="NLN83" s="0"/>
      <c r="NLO83" s="0"/>
      <c r="NLP83" s="0"/>
      <c r="NLQ83" s="0"/>
      <c r="NLR83" s="0"/>
      <c r="NLS83" s="0"/>
      <c r="NLT83" s="0"/>
      <c r="NLU83" s="0"/>
      <c r="NLV83" s="0"/>
      <c r="NLW83" s="0"/>
      <c r="NLX83" s="0"/>
      <c r="NLY83" s="0"/>
      <c r="NLZ83" s="0"/>
      <c r="NMA83" s="0"/>
      <c r="NMB83" s="0"/>
      <c r="NMC83" s="0"/>
      <c r="NMD83" s="0"/>
      <c r="NME83" s="0"/>
      <c r="NMF83" s="0"/>
      <c r="NMG83" s="0"/>
      <c r="NMH83" s="0"/>
      <c r="NMI83" s="0"/>
      <c r="NMJ83" s="0"/>
      <c r="NMK83" s="0"/>
      <c r="NML83" s="0"/>
      <c r="NMM83" s="0"/>
      <c r="NMN83" s="0"/>
      <c r="NMO83" s="0"/>
      <c r="NMP83" s="0"/>
      <c r="NMQ83" s="0"/>
      <c r="NMR83" s="0"/>
      <c r="NMS83" s="0"/>
      <c r="NMT83" s="0"/>
      <c r="NMU83" s="0"/>
      <c r="NMV83" s="0"/>
      <c r="NMW83" s="0"/>
      <c r="NMX83" s="0"/>
      <c r="NMY83" s="0"/>
      <c r="NMZ83" s="0"/>
      <c r="NNA83" s="0"/>
      <c r="NNB83" s="0"/>
      <c r="NNC83" s="0"/>
      <c r="NND83" s="0"/>
      <c r="NNE83" s="0"/>
      <c r="NNF83" s="0"/>
      <c r="NNG83" s="0"/>
      <c r="NNH83" s="0"/>
      <c r="NNI83" s="0"/>
      <c r="NNJ83" s="0"/>
      <c r="NNK83" s="0"/>
      <c r="NNL83" s="0"/>
      <c r="NNM83" s="0"/>
      <c r="NNN83" s="0"/>
      <c r="NNO83" s="0"/>
      <c r="NNP83" s="0"/>
      <c r="NNQ83" s="0"/>
      <c r="NNR83" s="0"/>
      <c r="NNS83" s="0"/>
      <c r="NNT83" s="0"/>
      <c r="NNU83" s="0"/>
      <c r="NNV83" s="0"/>
      <c r="NNW83" s="0"/>
      <c r="NNX83" s="0"/>
      <c r="NNY83" s="0"/>
      <c r="NNZ83" s="0"/>
      <c r="NOA83" s="0"/>
      <c r="NOB83" s="0"/>
      <c r="NOC83" s="0"/>
      <c r="NOD83" s="0"/>
      <c r="NOE83" s="0"/>
      <c r="NOF83" s="0"/>
      <c r="NOG83" s="0"/>
      <c r="NOH83" s="0"/>
      <c r="NOI83" s="0"/>
      <c r="NOJ83" s="0"/>
      <c r="NOK83" s="0"/>
      <c r="NOL83" s="0"/>
      <c r="NOM83" s="0"/>
      <c r="NON83" s="0"/>
      <c r="NOO83" s="0"/>
      <c r="NOP83" s="0"/>
      <c r="NOQ83" s="0"/>
      <c r="NOR83" s="0"/>
      <c r="NOS83" s="0"/>
      <c r="NOT83" s="0"/>
      <c r="NOU83" s="0"/>
      <c r="NOV83" s="0"/>
      <c r="NOW83" s="0"/>
      <c r="NOX83" s="0"/>
      <c r="NOY83" s="0"/>
      <c r="NOZ83" s="0"/>
      <c r="NPA83" s="0"/>
      <c r="NPB83" s="0"/>
      <c r="NPC83" s="0"/>
      <c r="NPD83" s="0"/>
      <c r="NPE83" s="0"/>
      <c r="NPF83" s="0"/>
      <c r="NPG83" s="0"/>
      <c r="NPH83" s="0"/>
      <c r="NPI83" s="0"/>
      <c r="NPJ83" s="0"/>
      <c r="NPK83" s="0"/>
      <c r="NPL83" s="0"/>
      <c r="NPM83" s="0"/>
      <c r="NPN83" s="0"/>
      <c r="NPO83" s="0"/>
      <c r="NPP83" s="0"/>
      <c r="NPQ83" s="0"/>
      <c r="NPR83" s="0"/>
      <c r="NPS83" s="0"/>
      <c r="NPT83" s="0"/>
      <c r="NPU83" s="0"/>
      <c r="NPV83" s="0"/>
      <c r="NPW83" s="0"/>
      <c r="NPX83" s="0"/>
      <c r="NPY83" s="0"/>
      <c r="NPZ83" s="0"/>
      <c r="NQA83" s="0"/>
      <c r="NQB83" s="0"/>
      <c r="NQC83" s="0"/>
      <c r="NQD83" s="0"/>
      <c r="NQE83" s="0"/>
      <c r="NQF83" s="0"/>
      <c r="NQG83" s="0"/>
      <c r="NQH83" s="0"/>
      <c r="NQI83" s="0"/>
      <c r="NQJ83" s="0"/>
      <c r="NQK83" s="0"/>
      <c r="NQL83" s="0"/>
      <c r="NQM83" s="0"/>
      <c r="NQN83" s="0"/>
      <c r="NQO83" s="0"/>
      <c r="NQP83" s="0"/>
      <c r="NQQ83" s="0"/>
      <c r="NQR83" s="0"/>
      <c r="NQS83" s="0"/>
      <c r="NQT83" s="0"/>
      <c r="NQU83" s="0"/>
      <c r="NQV83" s="0"/>
      <c r="NQW83" s="0"/>
      <c r="NQX83" s="0"/>
      <c r="NQY83" s="0"/>
      <c r="NQZ83" s="0"/>
      <c r="NRA83" s="0"/>
      <c r="NRB83" s="0"/>
      <c r="NRC83" s="0"/>
      <c r="NRD83" s="0"/>
      <c r="NRE83" s="0"/>
      <c r="NRF83" s="0"/>
      <c r="NRG83" s="0"/>
      <c r="NRH83" s="0"/>
      <c r="NRI83" s="0"/>
      <c r="NRJ83" s="0"/>
      <c r="NRK83" s="0"/>
      <c r="NRL83" s="0"/>
      <c r="NRM83" s="0"/>
      <c r="NRN83" s="0"/>
      <c r="NRO83" s="0"/>
      <c r="NRP83" s="0"/>
      <c r="NRQ83" s="0"/>
      <c r="NRR83" s="0"/>
      <c r="NRS83" s="0"/>
      <c r="NRT83" s="0"/>
      <c r="NRU83" s="0"/>
      <c r="NRV83" s="0"/>
      <c r="NRW83" s="0"/>
      <c r="NRX83" s="0"/>
      <c r="NRY83" s="0"/>
      <c r="NRZ83" s="0"/>
      <c r="NSA83" s="0"/>
      <c r="NSB83" s="0"/>
      <c r="NSC83" s="0"/>
      <c r="NSD83" s="0"/>
      <c r="NSE83" s="0"/>
      <c r="NSF83" s="0"/>
      <c r="NSG83" s="0"/>
      <c r="NSH83" s="0"/>
      <c r="NSI83" s="0"/>
      <c r="NSJ83" s="0"/>
      <c r="NSK83" s="0"/>
      <c r="NSL83" s="0"/>
      <c r="NSM83" s="0"/>
      <c r="NSN83" s="0"/>
      <c r="NSO83" s="0"/>
      <c r="NSP83" s="0"/>
      <c r="NSQ83" s="0"/>
      <c r="NSR83" s="0"/>
      <c r="NSS83" s="0"/>
      <c r="NST83" s="0"/>
      <c r="NSU83" s="0"/>
      <c r="NSV83" s="0"/>
      <c r="NSW83" s="0"/>
      <c r="NSX83" s="0"/>
      <c r="NSY83" s="0"/>
      <c r="NSZ83" s="0"/>
      <c r="NTA83" s="0"/>
      <c r="NTB83" s="0"/>
      <c r="NTC83" s="0"/>
      <c r="NTD83" s="0"/>
      <c r="NTE83" s="0"/>
      <c r="NTF83" s="0"/>
      <c r="NTG83" s="0"/>
      <c r="NTH83" s="0"/>
      <c r="NTI83" s="0"/>
      <c r="NTJ83" s="0"/>
      <c r="NTK83" s="0"/>
      <c r="NTL83" s="0"/>
      <c r="NTM83" s="0"/>
      <c r="NTN83" s="0"/>
      <c r="NTO83" s="0"/>
      <c r="NTP83" s="0"/>
      <c r="NTQ83" s="0"/>
      <c r="NTR83" s="0"/>
      <c r="NTS83" s="0"/>
      <c r="NTT83" s="0"/>
      <c r="NTU83" s="0"/>
      <c r="NTV83" s="0"/>
      <c r="NTW83" s="0"/>
      <c r="NTX83" s="0"/>
      <c r="NTY83" s="0"/>
      <c r="NTZ83" s="0"/>
      <c r="NUA83" s="0"/>
      <c r="NUB83" s="0"/>
      <c r="NUC83" s="0"/>
      <c r="NUD83" s="0"/>
      <c r="NUE83" s="0"/>
      <c r="NUF83" s="0"/>
      <c r="NUG83" s="0"/>
      <c r="NUH83" s="0"/>
      <c r="NUI83" s="0"/>
      <c r="NUJ83" s="0"/>
      <c r="NUK83" s="0"/>
      <c r="NUL83" s="0"/>
      <c r="NUM83" s="0"/>
      <c r="NUN83" s="0"/>
      <c r="NUO83" s="0"/>
      <c r="NUP83" s="0"/>
      <c r="NUQ83" s="0"/>
      <c r="NUR83" s="0"/>
      <c r="NUS83" s="0"/>
      <c r="NUT83" s="0"/>
      <c r="NUU83" s="0"/>
      <c r="NUV83" s="0"/>
      <c r="NUW83" s="0"/>
      <c r="NUX83" s="0"/>
      <c r="NUY83" s="0"/>
      <c r="NUZ83" s="0"/>
      <c r="NVA83" s="0"/>
      <c r="NVB83" s="0"/>
      <c r="NVC83" s="0"/>
      <c r="NVD83" s="0"/>
      <c r="NVE83" s="0"/>
      <c r="NVF83" s="0"/>
      <c r="NVG83" s="0"/>
      <c r="NVH83" s="0"/>
      <c r="NVI83" s="0"/>
      <c r="NVJ83" s="0"/>
      <c r="NVK83" s="0"/>
      <c r="NVL83" s="0"/>
      <c r="NVM83" s="0"/>
      <c r="NVN83" s="0"/>
      <c r="NVO83" s="0"/>
      <c r="NVP83" s="0"/>
      <c r="NVQ83" s="0"/>
      <c r="NVR83" s="0"/>
      <c r="NVS83" s="0"/>
      <c r="NVT83" s="0"/>
      <c r="NVU83" s="0"/>
      <c r="NVV83" s="0"/>
      <c r="NVW83" s="0"/>
      <c r="NVX83" s="0"/>
      <c r="NVY83" s="0"/>
      <c r="NVZ83" s="0"/>
      <c r="NWA83" s="0"/>
      <c r="NWB83" s="0"/>
      <c r="NWC83" s="0"/>
      <c r="NWD83" s="0"/>
      <c r="NWE83" s="0"/>
      <c r="NWF83" s="0"/>
      <c r="NWG83" s="0"/>
      <c r="NWH83" s="0"/>
      <c r="NWI83" s="0"/>
      <c r="NWJ83" s="0"/>
      <c r="NWK83" s="0"/>
      <c r="NWL83" s="0"/>
      <c r="NWM83" s="0"/>
      <c r="NWN83" s="0"/>
      <c r="NWO83" s="0"/>
      <c r="NWP83" s="0"/>
      <c r="NWQ83" s="0"/>
      <c r="NWR83" s="0"/>
      <c r="NWS83" s="0"/>
      <c r="NWT83" s="0"/>
      <c r="NWU83" s="0"/>
      <c r="NWV83" s="0"/>
      <c r="NWW83" s="0"/>
      <c r="NWX83" s="0"/>
      <c r="NWY83" s="0"/>
      <c r="NWZ83" s="0"/>
      <c r="NXA83" s="0"/>
      <c r="NXB83" s="0"/>
      <c r="NXC83" s="0"/>
      <c r="NXD83" s="0"/>
      <c r="NXE83" s="0"/>
      <c r="NXF83" s="0"/>
      <c r="NXG83" s="0"/>
      <c r="NXH83" s="0"/>
      <c r="NXI83" s="0"/>
      <c r="NXJ83" s="0"/>
      <c r="NXK83" s="0"/>
      <c r="NXL83" s="0"/>
      <c r="NXM83" s="0"/>
      <c r="NXN83" s="0"/>
      <c r="NXO83" s="0"/>
      <c r="NXP83" s="0"/>
      <c r="NXQ83" s="0"/>
      <c r="NXR83" s="0"/>
      <c r="NXS83" s="0"/>
      <c r="NXT83" s="0"/>
      <c r="NXU83" s="0"/>
      <c r="NXV83" s="0"/>
      <c r="NXW83" s="0"/>
      <c r="NXX83" s="0"/>
      <c r="NXY83" s="0"/>
      <c r="NXZ83" s="0"/>
      <c r="NYA83" s="0"/>
      <c r="NYB83" s="0"/>
      <c r="NYC83" s="0"/>
      <c r="NYD83" s="0"/>
      <c r="NYE83" s="0"/>
      <c r="NYF83" s="0"/>
      <c r="NYG83" s="0"/>
      <c r="NYH83" s="0"/>
      <c r="NYI83" s="0"/>
      <c r="NYJ83" s="0"/>
      <c r="NYK83" s="0"/>
      <c r="NYL83" s="0"/>
      <c r="NYM83" s="0"/>
      <c r="NYN83" s="0"/>
      <c r="NYO83" s="0"/>
      <c r="NYP83" s="0"/>
      <c r="NYQ83" s="0"/>
      <c r="NYR83" s="0"/>
      <c r="NYS83" s="0"/>
      <c r="NYT83" s="0"/>
      <c r="NYU83" s="0"/>
      <c r="NYV83" s="0"/>
      <c r="NYW83" s="0"/>
      <c r="NYX83" s="0"/>
      <c r="NYY83" s="0"/>
      <c r="NYZ83" s="0"/>
      <c r="NZA83" s="0"/>
      <c r="NZB83" s="0"/>
      <c r="NZC83" s="0"/>
      <c r="NZD83" s="0"/>
      <c r="NZE83" s="0"/>
      <c r="NZF83" s="0"/>
      <c r="NZG83" s="0"/>
      <c r="NZH83" s="0"/>
      <c r="NZI83" s="0"/>
      <c r="NZJ83" s="0"/>
      <c r="NZK83" s="0"/>
      <c r="NZL83" s="0"/>
      <c r="NZM83" s="0"/>
      <c r="NZN83" s="0"/>
      <c r="NZO83" s="0"/>
      <c r="NZP83" s="0"/>
      <c r="NZQ83" s="0"/>
      <c r="NZR83" s="0"/>
      <c r="NZS83" s="0"/>
      <c r="NZT83" s="0"/>
      <c r="NZU83" s="0"/>
      <c r="NZV83" s="0"/>
      <c r="NZW83" s="0"/>
      <c r="NZX83" s="0"/>
      <c r="NZY83" s="0"/>
      <c r="NZZ83" s="0"/>
      <c r="OAA83" s="0"/>
      <c r="OAB83" s="0"/>
      <c r="OAC83" s="0"/>
      <c r="OAD83" s="0"/>
      <c r="OAE83" s="0"/>
      <c r="OAF83" s="0"/>
      <c r="OAG83" s="0"/>
      <c r="OAH83" s="0"/>
      <c r="OAI83" s="0"/>
      <c r="OAJ83" s="0"/>
      <c r="OAK83" s="0"/>
      <c r="OAL83" s="0"/>
      <c r="OAM83" s="0"/>
      <c r="OAN83" s="0"/>
      <c r="OAO83" s="0"/>
      <c r="OAP83" s="0"/>
      <c r="OAQ83" s="0"/>
      <c r="OAR83" s="0"/>
      <c r="OAS83" s="0"/>
      <c r="OAT83" s="0"/>
      <c r="OAU83" s="0"/>
      <c r="OAV83" s="0"/>
      <c r="OAW83" s="0"/>
      <c r="OAX83" s="0"/>
      <c r="OAY83" s="0"/>
      <c r="OAZ83" s="0"/>
      <c r="OBA83" s="0"/>
      <c r="OBB83" s="0"/>
      <c r="OBC83" s="0"/>
      <c r="OBD83" s="0"/>
      <c r="OBE83" s="0"/>
      <c r="OBF83" s="0"/>
      <c r="OBG83" s="0"/>
      <c r="OBH83" s="0"/>
      <c r="OBI83" s="0"/>
      <c r="OBJ83" s="0"/>
      <c r="OBK83" s="0"/>
      <c r="OBL83" s="0"/>
      <c r="OBM83" s="0"/>
      <c r="OBN83" s="0"/>
      <c r="OBO83" s="0"/>
      <c r="OBP83" s="0"/>
      <c r="OBQ83" s="0"/>
      <c r="OBR83" s="0"/>
      <c r="OBS83" s="0"/>
      <c r="OBT83" s="0"/>
      <c r="OBU83" s="0"/>
      <c r="OBV83" s="0"/>
      <c r="OBW83" s="0"/>
      <c r="OBX83" s="0"/>
      <c r="OBY83" s="0"/>
      <c r="OBZ83" s="0"/>
      <c r="OCA83" s="0"/>
      <c r="OCB83" s="0"/>
      <c r="OCC83" s="0"/>
      <c r="OCD83" s="0"/>
      <c r="OCE83" s="0"/>
      <c r="OCF83" s="0"/>
      <c r="OCG83" s="0"/>
      <c r="OCH83" s="0"/>
      <c r="OCI83" s="0"/>
      <c r="OCJ83" s="0"/>
      <c r="OCK83" s="0"/>
      <c r="OCL83" s="0"/>
      <c r="OCM83" s="0"/>
      <c r="OCN83" s="0"/>
      <c r="OCO83" s="0"/>
      <c r="OCP83" s="0"/>
      <c r="OCQ83" s="0"/>
      <c r="OCR83" s="0"/>
      <c r="OCS83" s="0"/>
      <c r="OCT83" s="0"/>
      <c r="OCU83" s="0"/>
      <c r="OCV83" s="0"/>
      <c r="OCW83" s="0"/>
      <c r="OCX83" s="0"/>
      <c r="OCY83" s="0"/>
      <c r="OCZ83" s="0"/>
      <c r="ODA83" s="0"/>
      <c r="ODB83" s="0"/>
      <c r="ODC83" s="0"/>
      <c r="ODD83" s="0"/>
      <c r="ODE83" s="0"/>
      <c r="ODF83" s="0"/>
      <c r="ODG83" s="0"/>
      <c r="ODH83" s="0"/>
      <c r="ODI83" s="0"/>
      <c r="ODJ83" s="0"/>
      <c r="ODK83" s="0"/>
      <c r="ODL83" s="0"/>
      <c r="ODM83" s="0"/>
      <c r="ODN83" s="0"/>
      <c r="ODO83" s="0"/>
      <c r="ODP83" s="0"/>
      <c r="ODQ83" s="0"/>
      <c r="ODR83" s="0"/>
      <c r="ODS83" s="0"/>
      <c r="ODT83" s="0"/>
      <c r="ODU83" s="0"/>
      <c r="ODV83" s="0"/>
      <c r="ODW83" s="0"/>
      <c r="ODX83" s="0"/>
      <c r="ODY83" s="0"/>
      <c r="ODZ83" s="0"/>
      <c r="OEA83" s="0"/>
      <c r="OEB83" s="0"/>
      <c r="OEC83" s="0"/>
      <c r="OED83" s="0"/>
      <c r="OEE83" s="0"/>
      <c r="OEF83" s="0"/>
      <c r="OEG83" s="0"/>
      <c r="OEH83" s="0"/>
      <c r="OEI83" s="0"/>
      <c r="OEJ83" s="0"/>
      <c r="OEK83" s="0"/>
      <c r="OEL83" s="0"/>
      <c r="OEM83" s="0"/>
      <c r="OEN83" s="0"/>
      <c r="OEO83" s="0"/>
      <c r="OEP83" s="0"/>
      <c r="OEQ83" s="0"/>
      <c r="OER83" s="0"/>
      <c r="OES83" s="0"/>
      <c r="OET83" s="0"/>
      <c r="OEU83" s="0"/>
      <c r="OEV83" s="0"/>
      <c r="OEW83" s="0"/>
      <c r="OEX83" s="0"/>
      <c r="OEY83" s="0"/>
      <c r="OEZ83" s="0"/>
      <c r="OFA83" s="0"/>
      <c r="OFB83" s="0"/>
      <c r="OFC83" s="0"/>
      <c r="OFD83" s="0"/>
      <c r="OFE83" s="0"/>
      <c r="OFF83" s="0"/>
      <c r="OFG83" s="0"/>
      <c r="OFH83" s="0"/>
      <c r="OFI83" s="0"/>
      <c r="OFJ83" s="0"/>
      <c r="OFK83" s="0"/>
      <c r="OFL83" s="0"/>
      <c r="OFM83" s="0"/>
      <c r="OFN83" s="0"/>
      <c r="OFO83" s="0"/>
      <c r="OFP83" s="0"/>
      <c r="OFQ83" s="0"/>
      <c r="OFR83" s="0"/>
      <c r="OFS83" s="0"/>
      <c r="OFT83" s="0"/>
      <c r="OFU83" s="0"/>
      <c r="OFV83" s="0"/>
      <c r="OFW83" s="0"/>
      <c r="OFX83" s="0"/>
      <c r="OFY83" s="0"/>
      <c r="OFZ83" s="0"/>
      <c r="OGA83" s="0"/>
      <c r="OGB83" s="0"/>
      <c r="OGC83" s="0"/>
      <c r="OGD83" s="0"/>
      <c r="OGE83" s="0"/>
      <c r="OGF83" s="0"/>
      <c r="OGG83" s="0"/>
      <c r="OGH83" s="0"/>
      <c r="OGI83" s="0"/>
      <c r="OGJ83" s="0"/>
      <c r="OGK83" s="0"/>
      <c r="OGL83" s="0"/>
      <c r="OGM83" s="0"/>
      <c r="OGN83" s="0"/>
      <c r="OGO83" s="0"/>
      <c r="OGP83" s="0"/>
      <c r="OGQ83" s="0"/>
      <c r="OGR83" s="0"/>
      <c r="OGS83" s="0"/>
      <c r="OGT83" s="0"/>
      <c r="OGU83" s="0"/>
      <c r="OGV83" s="0"/>
      <c r="OGW83" s="0"/>
      <c r="OGX83" s="0"/>
      <c r="OGY83" s="0"/>
      <c r="OGZ83" s="0"/>
      <c r="OHA83" s="0"/>
      <c r="OHB83" s="0"/>
      <c r="OHC83" s="0"/>
      <c r="OHD83" s="0"/>
      <c r="OHE83" s="0"/>
      <c r="OHF83" s="0"/>
      <c r="OHG83" s="0"/>
      <c r="OHH83" s="0"/>
      <c r="OHI83" s="0"/>
      <c r="OHJ83" s="0"/>
      <c r="OHK83" s="0"/>
      <c r="OHL83" s="0"/>
      <c r="OHM83" s="0"/>
      <c r="OHN83" s="0"/>
      <c r="OHO83" s="0"/>
      <c r="OHP83" s="0"/>
      <c r="OHQ83" s="0"/>
      <c r="OHR83" s="0"/>
      <c r="OHS83" s="0"/>
      <c r="OHT83" s="0"/>
      <c r="OHU83" s="0"/>
      <c r="OHV83" s="0"/>
      <c r="OHW83" s="0"/>
      <c r="OHX83" s="0"/>
      <c r="OHY83" s="0"/>
      <c r="OHZ83" s="0"/>
      <c r="OIA83" s="0"/>
      <c r="OIB83" s="0"/>
      <c r="OIC83" s="0"/>
      <c r="OID83" s="0"/>
      <c r="OIE83" s="0"/>
      <c r="OIF83" s="0"/>
      <c r="OIG83" s="0"/>
      <c r="OIH83" s="0"/>
      <c r="OII83" s="0"/>
      <c r="OIJ83" s="0"/>
      <c r="OIK83" s="0"/>
      <c r="OIL83" s="0"/>
      <c r="OIM83" s="0"/>
      <c r="OIN83" s="0"/>
      <c r="OIO83" s="0"/>
      <c r="OIP83" s="0"/>
      <c r="OIQ83" s="0"/>
      <c r="OIR83" s="0"/>
      <c r="OIS83" s="0"/>
      <c r="OIT83" s="0"/>
      <c r="OIU83" s="0"/>
      <c r="OIV83" s="0"/>
      <c r="OIW83" s="0"/>
      <c r="OIX83" s="0"/>
      <c r="OIY83" s="0"/>
      <c r="OIZ83" s="0"/>
      <c r="OJA83" s="0"/>
      <c r="OJB83" s="0"/>
      <c r="OJC83" s="0"/>
      <c r="OJD83" s="0"/>
      <c r="OJE83" s="0"/>
      <c r="OJF83" s="0"/>
      <c r="OJG83" s="0"/>
      <c r="OJH83" s="0"/>
      <c r="OJI83" s="0"/>
      <c r="OJJ83" s="0"/>
      <c r="OJK83" s="0"/>
      <c r="OJL83" s="0"/>
      <c r="OJM83" s="0"/>
      <c r="OJN83" s="0"/>
      <c r="OJO83" s="0"/>
      <c r="OJP83" s="0"/>
      <c r="OJQ83" s="0"/>
      <c r="OJR83" s="0"/>
      <c r="OJS83" s="0"/>
      <c r="OJT83" s="0"/>
      <c r="OJU83" s="0"/>
      <c r="OJV83" s="0"/>
      <c r="OJW83" s="0"/>
      <c r="OJX83" s="0"/>
      <c r="OJY83" s="0"/>
      <c r="OJZ83" s="0"/>
      <c r="OKA83" s="0"/>
      <c r="OKB83" s="0"/>
      <c r="OKC83" s="0"/>
      <c r="OKD83" s="0"/>
      <c r="OKE83" s="0"/>
      <c r="OKF83" s="0"/>
      <c r="OKG83" s="0"/>
      <c r="OKH83" s="0"/>
      <c r="OKI83" s="0"/>
      <c r="OKJ83" s="0"/>
      <c r="OKK83" s="0"/>
      <c r="OKL83" s="0"/>
      <c r="OKM83" s="0"/>
      <c r="OKN83" s="0"/>
      <c r="OKO83" s="0"/>
      <c r="OKP83" s="0"/>
      <c r="OKQ83" s="0"/>
      <c r="OKR83" s="0"/>
      <c r="OKS83" s="0"/>
      <c r="OKT83" s="0"/>
      <c r="OKU83" s="0"/>
      <c r="OKV83" s="0"/>
      <c r="OKW83" s="0"/>
      <c r="OKX83" s="0"/>
      <c r="OKY83" s="0"/>
      <c r="OKZ83" s="0"/>
      <c r="OLA83" s="0"/>
      <c r="OLB83" s="0"/>
      <c r="OLC83" s="0"/>
      <c r="OLD83" s="0"/>
      <c r="OLE83" s="0"/>
      <c r="OLF83" s="0"/>
      <c r="OLG83" s="0"/>
      <c r="OLH83" s="0"/>
      <c r="OLI83" s="0"/>
      <c r="OLJ83" s="0"/>
      <c r="OLK83" s="0"/>
      <c r="OLL83" s="0"/>
      <c r="OLM83" s="0"/>
      <c r="OLN83" s="0"/>
      <c r="OLO83" s="0"/>
      <c r="OLP83" s="0"/>
      <c r="OLQ83" s="0"/>
      <c r="OLR83" s="0"/>
      <c r="OLS83" s="0"/>
      <c r="OLT83" s="0"/>
      <c r="OLU83" s="0"/>
      <c r="OLV83" s="0"/>
      <c r="OLW83" s="0"/>
      <c r="OLX83" s="0"/>
      <c r="OLY83" s="0"/>
      <c r="OLZ83" s="0"/>
      <c r="OMA83" s="0"/>
      <c r="OMB83" s="0"/>
      <c r="OMC83" s="0"/>
      <c r="OMD83" s="0"/>
      <c r="OME83" s="0"/>
      <c r="OMF83" s="0"/>
      <c r="OMG83" s="0"/>
      <c r="OMH83" s="0"/>
      <c r="OMI83" s="0"/>
      <c r="OMJ83" s="0"/>
      <c r="OMK83" s="0"/>
      <c r="OML83" s="0"/>
      <c r="OMM83" s="0"/>
      <c r="OMN83" s="0"/>
      <c r="OMO83" s="0"/>
      <c r="OMP83" s="0"/>
      <c r="OMQ83" s="0"/>
      <c r="OMR83" s="0"/>
      <c r="OMS83" s="0"/>
      <c r="OMT83" s="0"/>
      <c r="OMU83" s="0"/>
      <c r="OMV83" s="0"/>
      <c r="OMW83" s="0"/>
      <c r="OMX83" s="0"/>
      <c r="OMY83" s="0"/>
      <c r="OMZ83" s="0"/>
      <c r="ONA83" s="0"/>
      <c r="ONB83" s="0"/>
      <c r="ONC83" s="0"/>
      <c r="OND83" s="0"/>
      <c r="ONE83" s="0"/>
      <c r="ONF83" s="0"/>
      <c r="ONG83" s="0"/>
      <c r="ONH83" s="0"/>
      <c r="ONI83" s="0"/>
      <c r="ONJ83" s="0"/>
      <c r="ONK83" s="0"/>
      <c r="ONL83" s="0"/>
      <c r="ONM83" s="0"/>
      <c r="ONN83" s="0"/>
      <c r="ONO83" s="0"/>
      <c r="ONP83" s="0"/>
      <c r="ONQ83" s="0"/>
      <c r="ONR83" s="0"/>
      <c r="ONS83" s="0"/>
      <c r="ONT83" s="0"/>
      <c r="ONU83" s="0"/>
      <c r="ONV83" s="0"/>
      <c r="ONW83" s="0"/>
      <c r="ONX83" s="0"/>
      <c r="ONY83" s="0"/>
      <c r="ONZ83" s="0"/>
      <c r="OOA83" s="0"/>
      <c r="OOB83" s="0"/>
      <c r="OOC83" s="0"/>
      <c r="OOD83" s="0"/>
      <c r="OOE83" s="0"/>
      <c r="OOF83" s="0"/>
      <c r="OOG83" s="0"/>
      <c r="OOH83" s="0"/>
      <c r="OOI83" s="0"/>
      <c r="OOJ83" s="0"/>
      <c r="OOK83" s="0"/>
      <c r="OOL83" s="0"/>
      <c r="OOM83" s="0"/>
      <c r="OON83" s="0"/>
      <c r="OOO83" s="0"/>
      <c r="OOP83" s="0"/>
      <c r="OOQ83" s="0"/>
      <c r="OOR83" s="0"/>
      <c r="OOS83" s="0"/>
      <c r="OOT83" s="0"/>
      <c r="OOU83" s="0"/>
      <c r="OOV83" s="0"/>
      <c r="OOW83" s="0"/>
      <c r="OOX83" s="0"/>
      <c r="OOY83" s="0"/>
      <c r="OOZ83" s="0"/>
      <c r="OPA83" s="0"/>
      <c r="OPB83" s="0"/>
      <c r="OPC83" s="0"/>
      <c r="OPD83" s="0"/>
      <c r="OPE83" s="0"/>
      <c r="OPF83" s="0"/>
      <c r="OPG83" s="0"/>
      <c r="OPH83" s="0"/>
      <c r="OPI83" s="0"/>
      <c r="OPJ83" s="0"/>
      <c r="OPK83" s="0"/>
      <c r="OPL83" s="0"/>
      <c r="OPM83" s="0"/>
      <c r="OPN83" s="0"/>
      <c r="OPO83" s="0"/>
      <c r="OPP83" s="0"/>
      <c r="OPQ83" s="0"/>
      <c r="OPR83" s="0"/>
      <c r="OPS83" s="0"/>
      <c r="OPT83" s="0"/>
      <c r="OPU83" s="0"/>
      <c r="OPV83" s="0"/>
      <c r="OPW83" s="0"/>
      <c r="OPX83" s="0"/>
      <c r="OPY83" s="0"/>
      <c r="OPZ83" s="0"/>
      <c r="OQA83" s="0"/>
      <c r="OQB83" s="0"/>
      <c r="OQC83" s="0"/>
      <c r="OQD83" s="0"/>
      <c r="OQE83" s="0"/>
      <c r="OQF83" s="0"/>
      <c r="OQG83" s="0"/>
      <c r="OQH83" s="0"/>
      <c r="OQI83" s="0"/>
      <c r="OQJ83" s="0"/>
      <c r="OQK83" s="0"/>
      <c r="OQL83" s="0"/>
      <c r="OQM83" s="0"/>
      <c r="OQN83" s="0"/>
      <c r="OQO83" s="0"/>
      <c r="OQP83" s="0"/>
      <c r="OQQ83" s="0"/>
      <c r="OQR83" s="0"/>
      <c r="OQS83" s="0"/>
      <c r="OQT83" s="0"/>
      <c r="OQU83" s="0"/>
      <c r="OQV83" s="0"/>
      <c r="OQW83" s="0"/>
      <c r="OQX83" s="0"/>
      <c r="OQY83" s="0"/>
      <c r="OQZ83" s="0"/>
      <c r="ORA83" s="0"/>
      <c r="ORB83" s="0"/>
      <c r="ORC83" s="0"/>
      <c r="ORD83" s="0"/>
      <c r="ORE83" s="0"/>
      <c r="ORF83" s="0"/>
      <c r="ORG83" s="0"/>
      <c r="ORH83" s="0"/>
      <c r="ORI83" s="0"/>
      <c r="ORJ83" s="0"/>
      <c r="ORK83" s="0"/>
      <c r="ORL83" s="0"/>
      <c r="ORM83" s="0"/>
      <c r="ORN83" s="0"/>
      <c r="ORO83" s="0"/>
      <c r="ORP83" s="0"/>
      <c r="ORQ83" s="0"/>
      <c r="ORR83" s="0"/>
      <c r="ORS83" s="0"/>
      <c r="ORT83" s="0"/>
      <c r="ORU83" s="0"/>
      <c r="ORV83" s="0"/>
      <c r="ORW83" s="0"/>
      <c r="ORX83" s="0"/>
      <c r="ORY83" s="0"/>
      <c r="ORZ83" s="0"/>
      <c r="OSA83" s="0"/>
      <c r="OSB83" s="0"/>
      <c r="OSC83" s="0"/>
      <c r="OSD83" s="0"/>
      <c r="OSE83" s="0"/>
      <c r="OSF83" s="0"/>
      <c r="OSG83" s="0"/>
      <c r="OSH83" s="0"/>
      <c r="OSI83" s="0"/>
      <c r="OSJ83" s="0"/>
      <c r="OSK83" s="0"/>
      <c r="OSL83" s="0"/>
      <c r="OSM83" s="0"/>
      <c r="OSN83" s="0"/>
      <c r="OSO83" s="0"/>
      <c r="OSP83" s="0"/>
      <c r="OSQ83" s="0"/>
      <c r="OSR83" s="0"/>
      <c r="OSS83" s="0"/>
      <c r="OST83" s="0"/>
      <c r="OSU83" s="0"/>
      <c r="OSV83" s="0"/>
      <c r="OSW83" s="0"/>
      <c r="OSX83" s="0"/>
      <c r="OSY83" s="0"/>
      <c r="OSZ83" s="0"/>
      <c r="OTA83" s="0"/>
      <c r="OTB83" s="0"/>
      <c r="OTC83" s="0"/>
      <c r="OTD83" s="0"/>
      <c r="OTE83" s="0"/>
      <c r="OTF83" s="0"/>
      <c r="OTG83" s="0"/>
      <c r="OTH83" s="0"/>
      <c r="OTI83" s="0"/>
      <c r="OTJ83" s="0"/>
      <c r="OTK83" s="0"/>
      <c r="OTL83" s="0"/>
      <c r="OTM83" s="0"/>
      <c r="OTN83" s="0"/>
      <c r="OTO83" s="0"/>
      <c r="OTP83" s="0"/>
      <c r="OTQ83" s="0"/>
      <c r="OTR83" s="0"/>
      <c r="OTS83" s="0"/>
      <c r="OTT83" s="0"/>
      <c r="OTU83" s="0"/>
      <c r="OTV83" s="0"/>
      <c r="OTW83" s="0"/>
      <c r="OTX83" s="0"/>
      <c r="OTY83" s="0"/>
      <c r="OTZ83" s="0"/>
      <c r="OUA83" s="0"/>
      <c r="OUB83" s="0"/>
      <c r="OUC83" s="0"/>
      <c r="OUD83" s="0"/>
      <c r="OUE83" s="0"/>
      <c r="OUF83" s="0"/>
      <c r="OUG83" s="0"/>
      <c r="OUH83" s="0"/>
      <c r="OUI83" s="0"/>
      <c r="OUJ83" s="0"/>
      <c r="OUK83" s="0"/>
      <c r="OUL83" s="0"/>
      <c r="OUM83" s="0"/>
      <c r="OUN83" s="0"/>
      <c r="OUO83" s="0"/>
      <c r="OUP83" s="0"/>
      <c r="OUQ83" s="0"/>
      <c r="OUR83" s="0"/>
      <c r="OUS83" s="0"/>
      <c r="OUT83" s="0"/>
      <c r="OUU83" s="0"/>
      <c r="OUV83" s="0"/>
      <c r="OUW83" s="0"/>
      <c r="OUX83" s="0"/>
      <c r="OUY83" s="0"/>
      <c r="OUZ83" s="0"/>
      <c r="OVA83" s="0"/>
      <c r="OVB83" s="0"/>
      <c r="OVC83" s="0"/>
      <c r="OVD83" s="0"/>
      <c r="OVE83" s="0"/>
      <c r="OVF83" s="0"/>
      <c r="OVG83" s="0"/>
      <c r="OVH83" s="0"/>
      <c r="OVI83" s="0"/>
      <c r="OVJ83" s="0"/>
      <c r="OVK83" s="0"/>
      <c r="OVL83" s="0"/>
      <c r="OVM83" s="0"/>
      <c r="OVN83" s="0"/>
      <c r="OVO83" s="0"/>
      <c r="OVP83" s="0"/>
      <c r="OVQ83" s="0"/>
      <c r="OVR83" s="0"/>
      <c r="OVS83" s="0"/>
      <c r="OVT83" s="0"/>
      <c r="OVU83" s="0"/>
      <c r="OVV83" s="0"/>
      <c r="OVW83" s="0"/>
      <c r="OVX83" s="0"/>
      <c r="OVY83" s="0"/>
      <c r="OVZ83" s="0"/>
      <c r="OWA83" s="0"/>
      <c r="OWB83" s="0"/>
      <c r="OWC83" s="0"/>
      <c r="OWD83" s="0"/>
      <c r="OWE83" s="0"/>
      <c r="OWF83" s="0"/>
      <c r="OWG83" s="0"/>
      <c r="OWH83" s="0"/>
      <c r="OWI83" s="0"/>
      <c r="OWJ83" s="0"/>
      <c r="OWK83" s="0"/>
      <c r="OWL83" s="0"/>
      <c r="OWM83" s="0"/>
      <c r="OWN83" s="0"/>
      <c r="OWO83" s="0"/>
      <c r="OWP83" s="0"/>
      <c r="OWQ83" s="0"/>
      <c r="OWR83" s="0"/>
      <c r="OWS83" s="0"/>
      <c r="OWT83" s="0"/>
      <c r="OWU83" s="0"/>
      <c r="OWV83" s="0"/>
      <c r="OWW83" s="0"/>
      <c r="OWX83" s="0"/>
      <c r="OWY83" s="0"/>
      <c r="OWZ83" s="0"/>
      <c r="OXA83" s="0"/>
      <c r="OXB83" s="0"/>
      <c r="OXC83" s="0"/>
      <c r="OXD83" s="0"/>
      <c r="OXE83" s="0"/>
      <c r="OXF83" s="0"/>
      <c r="OXG83" s="0"/>
      <c r="OXH83" s="0"/>
      <c r="OXI83" s="0"/>
      <c r="OXJ83" s="0"/>
      <c r="OXK83" s="0"/>
      <c r="OXL83" s="0"/>
      <c r="OXM83" s="0"/>
      <c r="OXN83" s="0"/>
      <c r="OXO83" s="0"/>
      <c r="OXP83" s="0"/>
      <c r="OXQ83" s="0"/>
      <c r="OXR83" s="0"/>
      <c r="OXS83" s="0"/>
      <c r="OXT83" s="0"/>
      <c r="OXU83" s="0"/>
      <c r="OXV83" s="0"/>
      <c r="OXW83" s="0"/>
      <c r="OXX83" s="0"/>
      <c r="OXY83" s="0"/>
      <c r="OXZ83" s="0"/>
      <c r="OYA83" s="0"/>
      <c r="OYB83" s="0"/>
      <c r="OYC83" s="0"/>
      <c r="OYD83" s="0"/>
      <c r="OYE83" s="0"/>
      <c r="OYF83" s="0"/>
      <c r="OYG83" s="0"/>
      <c r="OYH83" s="0"/>
      <c r="OYI83" s="0"/>
      <c r="OYJ83" s="0"/>
      <c r="OYK83" s="0"/>
      <c r="OYL83" s="0"/>
      <c r="OYM83" s="0"/>
      <c r="OYN83" s="0"/>
      <c r="OYO83" s="0"/>
      <c r="OYP83" s="0"/>
      <c r="OYQ83" s="0"/>
      <c r="OYR83" s="0"/>
      <c r="OYS83" s="0"/>
      <c r="OYT83" s="0"/>
      <c r="OYU83" s="0"/>
      <c r="OYV83" s="0"/>
      <c r="OYW83" s="0"/>
      <c r="OYX83" s="0"/>
      <c r="OYY83" s="0"/>
      <c r="OYZ83" s="0"/>
      <c r="OZA83" s="0"/>
      <c r="OZB83" s="0"/>
      <c r="OZC83" s="0"/>
      <c r="OZD83" s="0"/>
      <c r="OZE83" s="0"/>
      <c r="OZF83" s="0"/>
      <c r="OZG83" s="0"/>
      <c r="OZH83" s="0"/>
      <c r="OZI83" s="0"/>
      <c r="OZJ83" s="0"/>
      <c r="OZK83" s="0"/>
      <c r="OZL83" s="0"/>
      <c r="OZM83" s="0"/>
      <c r="OZN83" s="0"/>
      <c r="OZO83" s="0"/>
      <c r="OZP83" s="0"/>
      <c r="OZQ83" s="0"/>
      <c r="OZR83" s="0"/>
      <c r="OZS83" s="0"/>
      <c r="OZT83" s="0"/>
      <c r="OZU83" s="0"/>
      <c r="OZV83" s="0"/>
      <c r="OZW83" s="0"/>
      <c r="OZX83" s="0"/>
      <c r="OZY83" s="0"/>
      <c r="OZZ83" s="0"/>
      <c r="PAA83" s="0"/>
      <c r="PAB83" s="0"/>
      <c r="PAC83" s="0"/>
      <c r="PAD83" s="0"/>
      <c r="PAE83" s="0"/>
      <c r="PAF83" s="0"/>
      <c r="PAG83" s="0"/>
      <c r="PAH83" s="0"/>
      <c r="PAI83" s="0"/>
      <c r="PAJ83" s="0"/>
      <c r="PAK83" s="0"/>
      <c r="PAL83" s="0"/>
      <c r="PAM83" s="0"/>
      <c r="PAN83" s="0"/>
      <c r="PAO83" s="0"/>
      <c r="PAP83" s="0"/>
      <c r="PAQ83" s="0"/>
      <c r="PAR83" s="0"/>
      <c r="PAS83" s="0"/>
      <c r="PAT83" s="0"/>
      <c r="PAU83" s="0"/>
      <c r="PAV83" s="0"/>
      <c r="PAW83" s="0"/>
      <c r="PAX83" s="0"/>
      <c r="PAY83" s="0"/>
      <c r="PAZ83" s="0"/>
      <c r="PBA83" s="0"/>
      <c r="PBB83" s="0"/>
      <c r="PBC83" s="0"/>
      <c r="PBD83" s="0"/>
      <c r="PBE83" s="0"/>
      <c r="PBF83" s="0"/>
      <c r="PBG83" s="0"/>
      <c r="PBH83" s="0"/>
      <c r="PBI83" s="0"/>
      <c r="PBJ83" s="0"/>
      <c r="PBK83" s="0"/>
      <c r="PBL83" s="0"/>
      <c r="PBM83" s="0"/>
      <c r="PBN83" s="0"/>
      <c r="PBO83" s="0"/>
      <c r="PBP83" s="0"/>
      <c r="PBQ83" s="0"/>
      <c r="PBR83" s="0"/>
      <c r="PBS83" s="0"/>
      <c r="PBT83" s="0"/>
      <c r="PBU83" s="0"/>
      <c r="PBV83" s="0"/>
      <c r="PBW83" s="0"/>
      <c r="PBX83" s="0"/>
      <c r="PBY83" s="0"/>
      <c r="PBZ83" s="0"/>
      <c r="PCA83" s="0"/>
      <c r="PCB83" s="0"/>
      <c r="PCC83" s="0"/>
      <c r="PCD83" s="0"/>
      <c r="PCE83" s="0"/>
      <c r="PCF83" s="0"/>
      <c r="PCG83" s="0"/>
      <c r="PCH83" s="0"/>
      <c r="PCI83" s="0"/>
      <c r="PCJ83" s="0"/>
      <c r="PCK83" s="0"/>
      <c r="PCL83" s="0"/>
      <c r="PCM83" s="0"/>
      <c r="PCN83" s="0"/>
      <c r="PCO83" s="0"/>
      <c r="PCP83" s="0"/>
      <c r="PCQ83" s="0"/>
      <c r="PCR83" s="0"/>
      <c r="PCS83" s="0"/>
      <c r="PCT83" s="0"/>
      <c r="PCU83" s="0"/>
      <c r="PCV83" s="0"/>
      <c r="PCW83" s="0"/>
      <c r="PCX83" s="0"/>
      <c r="PCY83" s="0"/>
      <c r="PCZ83" s="0"/>
      <c r="PDA83" s="0"/>
      <c r="PDB83" s="0"/>
      <c r="PDC83" s="0"/>
      <c r="PDD83" s="0"/>
      <c r="PDE83" s="0"/>
      <c r="PDF83" s="0"/>
      <c r="PDG83" s="0"/>
      <c r="PDH83" s="0"/>
      <c r="PDI83" s="0"/>
      <c r="PDJ83" s="0"/>
      <c r="PDK83" s="0"/>
      <c r="PDL83" s="0"/>
      <c r="PDM83" s="0"/>
      <c r="PDN83" s="0"/>
      <c r="PDO83" s="0"/>
      <c r="PDP83" s="0"/>
      <c r="PDQ83" s="0"/>
      <c r="PDR83" s="0"/>
      <c r="PDS83" s="0"/>
      <c r="PDT83" s="0"/>
      <c r="PDU83" s="0"/>
      <c r="PDV83" s="0"/>
      <c r="PDW83" s="0"/>
      <c r="PDX83" s="0"/>
      <c r="PDY83" s="0"/>
      <c r="PDZ83" s="0"/>
      <c r="PEA83" s="0"/>
      <c r="PEB83" s="0"/>
      <c r="PEC83" s="0"/>
      <c r="PED83" s="0"/>
      <c r="PEE83" s="0"/>
      <c r="PEF83" s="0"/>
      <c r="PEG83" s="0"/>
      <c r="PEH83" s="0"/>
      <c r="PEI83" s="0"/>
      <c r="PEJ83" s="0"/>
      <c r="PEK83" s="0"/>
      <c r="PEL83" s="0"/>
      <c r="PEM83" s="0"/>
      <c r="PEN83" s="0"/>
      <c r="PEO83" s="0"/>
      <c r="PEP83" s="0"/>
      <c r="PEQ83" s="0"/>
      <c r="PER83" s="0"/>
      <c r="PES83" s="0"/>
      <c r="PET83" s="0"/>
      <c r="PEU83" s="0"/>
      <c r="PEV83" s="0"/>
      <c r="PEW83" s="0"/>
      <c r="PEX83" s="0"/>
      <c r="PEY83" s="0"/>
      <c r="PEZ83" s="0"/>
      <c r="PFA83" s="0"/>
      <c r="PFB83" s="0"/>
      <c r="PFC83" s="0"/>
      <c r="PFD83" s="0"/>
      <c r="PFE83" s="0"/>
      <c r="PFF83" s="0"/>
      <c r="PFG83" s="0"/>
      <c r="PFH83" s="0"/>
      <c r="PFI83" s="0"/>
      <c r="PFJ83" s="0"/>
      <c r="PFK83" s="0"/>
      <c r="PFL83" s="0"/>
      <c r="PFM83" s="0"/>
      <c r="PFN83" s="0"/>
      <c r="PFO83" s="0"/>
      <c r="PFP83" s="0"/>
      <c r="PFQ83" s="0"/>
      <c r="PFR83" s="0"/>
      <c r="PFS83" s="0"/>
      <c r="PFT83" s="0"/>
      <c r="PFU83" s="0"/>
      <c r="PFV83" s="0"/>
      <c r="PFW83" s="0"/>
      <c r="PFX83" s="0"/>
      <c r="PFY83" s="0"/>
      <c r="PFZ83" s="0"/>
      <c r="PGA83" s="0"/>
      <c r="PGB83" s="0"/>
      <c r="PGC83" s="0"/>
      <c r="PGD83" s="0"/>
      <c r="PGE83" s="0"/>
      <c r="PGF83" s="0"/>
      <c r="PGG83" s="0"/>
      <c r="PGH83" s="0"/>
      <c r="PGI83" s="0"/>
      <c r="PGJ83" s="0"/>
      <c r="PGK83" s="0"/>
      <c r="PGL83" s="0"/>
      <c r="PGM83" s="0"/>
      <c r="PGN83" s="0"/>
      <c r="PGO83" s="0"/>
      <c r="PGP83" s="0"/>
      <c r="PGQ83" s="0"/>
      <c r="PGR83" s="0"/>
      <c r="PGS83" s="0"/>
      <c r="PGT83" s="0"/>
      <c r="PGU83" s="0"/>
      <c r="PGV83" s="0"/>
      <c r="PGW83" s="0"/>
      <c r="PGX83" s="0"/>
      <c r="PGY83" s="0"/>
      <c r="PGZ83" s="0"/>
      <c r="PHA83" s="0"/>
      <c r="PHB83" s="0"/>
      <c r="PHC83" s="0"/>
      <c r="PHD83" s="0"/>
      <c r="PHE83" s="0"/>
      <c r="PHF83" s="0"/>
      <c r="PHG83" s="0"/>
      <c r="PHH83" s="0"/>
      <c r="PHI83" s="0"/>
      <c r="PHJ83" s="0"/>
      <c r="PHK83" s="0"/>
      <c r="PHL83" s="0"/>
      <c r="PHM83" s="0"/>
      <c r="PHN83" s="0"/>
      <c r="PHO83" s="0"/>
      <c r="PHP83" s="0"/>
      <c r="PHQ83" s="0"/>
      <c r="PHR83" s="0"/>
      <c r="PHS83" s="0"/>
      <c r="PHT83" s="0"/>
      <c r="PHU83" s="0"/>
      <c r="PHV83" s="0"/>
      <c r="PHW83" s="0"/>
      <c r="PHX83" s="0"/>
      <c r="PHY83" s="0"/>
      <c r="PHZ83" s="0"/>
      <c r="PIA83" s="0"/>
      <c r="PIB83" s="0"/>
      <c r="PIC83" s="0"/>
      <c r="PID83" s="0"/>
      <c r="PIE83" s="0"/>
      <c r="PIF83" s="0"/>
      <c r="PIG83" s="0"/>
      <c r="PIH83" s="0"/>
      <c r="PII83" s="0"/>
      <c r="PIJ83" s="0"/>
      <c r="PIK83" s="0"/>
      <c r="PIL83" s="0"/>
      <c r="PIM83" s="0"/>
      <c r="PIN83" s="0"/>
      <c r="PIO83" s="0"/>
      <c r="PIP83" s="0"/>
      <c r="PIQ83" s="0"/>
      <c r="PIR83" s="0"/>
      <c r="PIS83" s="0"/>
      <c r="PIT83" s="0"/>
      <c r="PIU83" s="0"/>
      <c r="PIV83" s="0"/>
      <c r="PIW83" s="0"/>
      <c r="PIX83" s="0"/>
      <c r="PIY83" s="0"/>
      <c r="PIZ83" s="0"/>
      <c r="PJA83" s="0"/>
      <c r="PJB83" s="0"/>
      <c r="PJC83" s="0"/>
      <c r="PJD83" s="0"/>
      <c r="PJE83" s="0"/>
      <c r="PJF83" s="0"/>
      <c r="PJG83" s="0"/>
      <c r="PJH83" s="0"/>
      <c r="PJI83" s="0"/>
      <c r="PJJ83" s="0"/>
      <c r="PJK83" s="0"/>
      <c r="PJL83" s="0"/>
      <c r="PJM83" s="0"/>
      <c r="PJN83" s="0"/>
      <c r="PJO83" s="0"/>
      <c r="PJP83" s="0"/>
      <c r="PJQ83" s="0"/>
      <c r="PJR83" s="0"/>
      <c r="PJS83" s="0"/>
      <c r="PJT83" s="0"/>
      <c r="PJU83" s="0"/>
      <c r="PJV83" s="0"/>
      <c r="PJW83" s="0"/>
      <c r="PJX83" s="0"/>
      <c r="PJY83" s="0"/>
      <c r="PJZ83" s="0"/>
      <c r="PKA83" s="0"/>
      <c r="PKB83" s="0"/>
      <c r="PKC83" s="0"/>
      <c r="PKD83" s="0"/>
      <c r="PKE83" s="0"/>
      <c r="PKF83" s="0"/>
      <c r="PKG83" s="0"/>
      <c r="PKH83" s="0"/>
      <c r="PKI83" s="0"/>
      <c r="PKJ83" s="0"/>
      <c r="PKK83" s="0"/>
      <c r="PKL83" s="0"/>
      <c r="PKM83" s="0"/>
      <c r="PKN83" s="0"/>
      <c r="PKO83" s="0"/>
      <c r="PKP83" s="0"/>
      <c r="PKQ83" s="0"/>
      <c r="PKR83" s="0"/>
      <c r="PKS83" s="0"/>
      <c r="PKT83" s="0"/>
      <c r="PKU83" s="0"/>
      <c r="PKV83" s="0"/>
      <c r="PKW83" s="0"/>
      <c r="PKX83" s="0"/>
      <c r="PKY83" s="0"/>
      <c r="PKZ83" s="0"/>
      <c r="PLA83" s="0"/>
      <c r="PLB83" s="0"/>
      <c r="PLC83" s="0"/>
      <c r="PLD83" s="0"/>
      <c r="PLE83" s="0"/>
      <c r="PLF83" s="0"/>
      <c r="PLG83" s="0"/>
      <c r="PLH83" s="0"/>
      <c r="PLI83" s="0"/>
      <c r="PLJ83" s="0"/>
      <c r="PLK83" s="0"/>
      <c r="PLL83" s="0"/>
      <c r="PLM83" s="0"/>
      <c r="PLN83" s="0"/>
      <c r="PLO83" s="0"/>
      <c r="PLP83" s="0"/>
      <c r="PLQ83" s="0"/>
      <c r="PLR83" s="0"/>
      <c r="PLS83" s="0"/>
      <c r="PLT83" s="0"/>
      <c r="PLU83" s="0"/>
      <c r="PLV83" s="0"/>
      <c r="PLW83" s="0"/>
      <c r="PLX83" s="0"/>
      <c r="PLY83" s="0"/>
      <c r="PLZ83" s="0"/>
      <c r="PMA83" s="0"/>
      <c r="PMB83" s="0"/>
      <c r="PMC83" s="0"/>
      <c r="PMD83" s="0"/>
      <c r="PME83" s="0"/>
      <c r="PMF83" s="0"/>
      <c r="PMG83" s="0"/>
      <c r="PMH83" s="0"/>
      <c r="PMI83" s="0"/>
      <c r="PMJ83" s="0"/>
      <c r="PMK83" s="0"/>
      <c r="PML83" s="0"/>
      <c r="PMM83" s="0"/>
      <c r="PMN83" s="0"/>
      <c r="PMO83" s="0"/>
      <c r="PMP83" s="0"/>
      <c r="PMQ83" s="0"/>
      <c r="PMR83" s="0"/>
      <c r="PMS83" s="0"/>
      <c r="PMT83" s="0"/>
      <c r="PMU83" s="0"/>
      <c r="PMV83" s="0"/>
      <c r="PMW83" s="0"/>
      <c r="PMX83" s="0"/>
      <c r="PMY83" s="0"/>
      <c r="PMZ83" s="0"/>
      <c r="PNA83" s="0"/>
      <c r="PNB83" s="0"/>
      <c r="PNC83" s="0"/>
      <c r="PND83" s="0"/>
      <c r="PNE83" s="0"/>
      <c r="PNF83" s="0"/>
      <c r="PNG83" s="0"/>
      <c r="PNH83" s="0"/>
      <c r="PNI83" s="0"/>
      <c r="PNJ83" s="0"/>
      <c r="PNK83" s="0"/>
      <c r="PNL83" s="0"/>
      <c r="PNM83" s="0"/>
      <c r="PNN83" s="0"/>
      <c r="PNO83" s="0"/>
      <c r="PNP83" s="0"/>
      <c r="PNQ83" s="0"/>
      <c r="PNR83" s="0"/>
      <c r="PNS83" s="0"/>
      <c r="PNT83" s="0"/>
      <c r="PNU83" s="0"/>
      <c r="PNV83" s="0"/>
      <c r="PNW83" s="0"/>
      <c r="PNX83" s="0"/>
      <c r="PNY83" s="0"/>
      <c r="PNZ83" s="0"/>
      <c r="POA83" s="0"/>
      <c r="POB83" s="0"/>
      <c r="POC83" s="0"/>
      <c r="POD83" s="0"/>
      <c r="POE83" s="0"/>
      <c r="POF83" s="0"/>
      <c r="POG83" s="0"/>
      <c r="POH83" s="0"/>
      <c r="POI83" s="0"/>
      <c r="POJ83" s="0"/>
      <c r="POK83" s="0"/>
      <c r="POL83" s="0"/>
      <c r="POM83" s="0"/>
      <c r="PON83" s="0"/>
      <c r="POO83" s="0"/>
      <c r="POP83" s="0"/>
      <c r="POQ83" s="0"/>
      <c r="POR83" s="0"/>
      <c r="POS83" s="0"/>
      <c r="POT83" s="0"/>
      <c r="POU83" s="0"/>
      <c r="POV83" s="0"/>
      <c r="POW83" s="0"/>
      <c r="POX83" s="0"/>
      <c r="POY83" s="0"/>
      <c r="POZ83" s="0"/>
      <c r="PPA83" s="0"/>
      <c r="PPB83" s="0"/>
      <c r="PPC83" s="0"/>
      <c r="PPD83" s="0"/>
      <c r="PPE83" s="0"/>
      <c r="PPF83" s="0"/>
      <c r="PPG83" s="0"/>
      <c r="PPH83" s="0"/>
      <c r="PPI83" s="0"/>
      <c r="PPJ83" s="0"/>
      <c r="PPK83" s="0"/>
      <c r="PPL83" s="0"/>
      <c r="PPM83" s="0"/>
      <c r="PPN83" s="0"/>
      <c r="PPO83" s="0"/>
      <c r="PPP83" s="0"/>
      <c r="PPQ83" s="0"/>
      <c r="PPR83" s="0"/>
      <c r="PPS83" s="0"/>
      <c r="PPT83" s="0"/>
      <c r="PPU83" s="0"/>
      <c r="PPV83" s="0"/>
      <c r="PPW83" s="0"/>
      <c r="PPX83" s="0"/>
      <c r="PPY83" s="0"/>
      <c r="PPZ83" s="0"/>
      <c r="PQA83" s="0"/>
      <c r="PQB83" s="0"/>
      <c r="PQC83" s="0"/>
      <c r="PQD83" s="0"/>
      <c r="PQE83" s="0"/>
      <c r="PQF83" s="0"/>
      <c r="PQG83" s="0"/>
      <c r="PQH83" s="0"/>
      <c r="PQI83" s="0"/>
      <c r="PQJ83" s="0"/>
      <c r="PQK83" s="0"/>
      <c r="PQL83" s="0"/>
      <c r="PQM83" s="0"/>
      <c r="PQN83" s="0"/>
      <c r="PQO83" s="0"/>
      <c r="PQP83" s="0"/>
      <c r="PQQ83" s="0"/>
      <c r="PQR83" s="0"/>
      <c r="PQS83" s="0"/>
      <c r="PQT83" s="0"/>
      <c r="PQU83" s="0"/>
      <c r="PQV83" s="0"/>
      <c r="PQW83" s="0"/>
      <c r="PQX83" s="0"/>
      <c r="PQY83" s="0"/>
      <c r="PQZ83" s="0"/>
      <c r="PRA83" s="0"/>
      <c r="PRB83" s="0"/>
      <c r="PRC83" s="0"/>
      <c r="PRD83" s="0"/>
      <c r="PRE83" s="0"/>
      <c r="PRF83" s="0"/>
      <c r="PRG83" s="0"/>
      <c r="PRH83" s="0"/>
      <c r="PRI83" s="0"/>
      <c r="PRJ83" s="0"/>
      <c r="PRK83" s="0"/>
      <c r="PRL83" s="0"/>
      <c r="PRM83" s="0"/>
      <c r="PRN83" s="0"/>
      <c r="PRO83" s="0"/>
      <c r="PRP83" s="0"/>
      <c r="PRQ83" s="0"/>
      <c r="PRR83" s="0"/>
      <c r="PRS83" s="0"/>
      <c r="PRT83" s="0"/>
      <c r="PRU83" s="0"/>
      <c r="PRV83" s="0"/>
      <c r="PRW83" s="0"/>
      <c r="PRX83" s="0"/>
      <c r="PRY83" s="0"/>
      <c r="PRZ83" s="0"/>
      <c r="PSA83" s="0"/>
      <c r="PSB83" s="0"/>
      <c r="PSC83" s="0"/>
      <c r="PSD83" s="0"/>
      <c r="PSE83" s="0"/>
      <c r="PSF83" s="0"/>
      <c r="PSG83" s="0"/>
      <c r="PSH83" s="0"/>
      <c r="PSI83" s="0"/>
      <c r="PSJ83" s="0"/>
      <c r="PSK83" s="0"/>
      <c r="PSL83" s="0"/>
      <c r="PSM83" s="0"/>
      <c r="PSN83" s="0"/>
      <c r="PSO83" s="0"/>
      <c r="PSP83" s="0"/>
      <c r="PSQ83" s="0"/>
      <c r="PSR83" s="0"/>
      <c r="PSS83" s="0"/>
      <c r="PST83" s="0"/>
      <c r="PSU83" s="0"/>
      <c r="PSV83" s="0"/>
      <c r="PSW83" s="0"/>
      <c r="PSX83" s="0"/>
      <c r="PSY83" s="0"/>
      <c r="PSZ83" s="0"/>
      <c r="PTA83" s="0"/>
      <c r="PTB83" s="0"/>
      <c r="PTC83" s="0"/>
      <c r="PTD83" s="0"/>
      <c r="PTE83" s="0"/>
      <c r="PTF83" s="0"/>
      <c r="PTG83" s="0"/>
      <c r="PTH83" s="0"/>
      <c r="PTI83" s="0"/>
      <c r="PTJ83" s="0"/>
      <c r="PTK83" s="0"/>
      <c r="PTL83" s="0"/>
      <c r="PTM83" s="0"/>
      <c r="PTN83" s="0"/>
      <c r="PTO83" s="0"/>
      <c r="PTP83" s="0"/>
      <c r="PTQ83" s="0"/>
      <c r="PTR83" s="0"/>
      <c r="PTS83" s="0"/>
      <c r="PTT83" s="0"/>
      <c r="PTU83" s="0"/>
      <c r="PTV83" s="0"/>
      <c r="PTW83" s="0"/>
      <c r="PTX83" s="0"/>
      <c r="PTY83" s="0"/>
      <c r="PTZ83" s="0"/>
      <c r="PUA83" s="0"/>
      <c r="PUB83" s="0"/>
      <c r="PUC83" s="0"/>
      <c r="PUD83" s="0"/>
      <c r="PUE83" s="0"/>
      <c r="PUF83" s="0"/>
      <c r="PUG83" s="0"/>
      <c r="PUH83" s="0"/>
      <c r="PUI83" s="0"/>
      <c r="PUJ83" s="0"/>
      <c r="PUK83" s="0"/>
      <c r="PUL83" s="0"/>
      <c r="PUM83" s="0"/>
      <c r="PUN83" s="0"/>
      <c r="PUO83" s="0"/>
      <c r="PUP83" s="0"/>
      <c r="PUQ83" s="0"/>
      <c r="PUR83" s="0"/>
      <c r="PUS83" s="0"/>
      <c r="PUT83" s="0"/>
      <c r="PUU83" s="0"/>
      <c r="PUV83" s="0"/>
      <c r="PUW83" s="0"/>
      <c r="PUX83" s="0"/>
      <c r="PUY83" s="0"/>
      <c r="PUZ83" s="0"/>
      <c r="PVA83" s="0"/>
      <c r="PVB83" s="0"/>
      <c r="PVC83" s="0"/>
      <c r="PVD83" s="0"/>
      <c r="PVE83" s="0"/>
      <c r="PVF83" s="0"/>
      <c r="PVG83" s="0"/>
      <c r="PVH83" s="0"/>
      <c r="PVI83" s="0"/>
      <c r="PVJ83" s="0"/>
      <c r="PVK83" s="0"/>
      <c r="PVL83" s="0"/>
      <c r="PVM83" s="0"/>
      <c r="PVN83" s="0"/>
      <c r="PVO83" s="0"/>
      <c r="PVP83" s="0"/>
      <c r="PVQ83" s="0"/>
      <c r="PVR83" s="0"/>
      <c r="PVS83" s="0"/>
      <c r="PVT83" s="0"/>
      <c r="PVU83" s="0"/>
      <c r="PVV83" s="0"/>
      <c r="PVW83" s="0"/>
      <c r="PVX83" s="0"/>
      <c r="PVY83" s="0"/>
      <c r="PVZ83" s="0"/>
      <c r="PWA83" s="0"/>
      <c r="PWB83" s="0"/>
      <c r="PWC83" s="0"/>
      <c r="PWD83" s="0"/>
      <c r="PWE83" s="0"/>
      <c r="PWF83" s="0"/>
      <c r="PWG83" s="0"/>
      <c r="PWH83" s="0"/>
      <c r="PWI83" s="0"/>
      <c r="PWJ83" s="0"/>
      <c r="PWK83" s="0"/>
      <c r="PWL83" s="0"/>
      <c r="PWM83" s="0"/>
      <c r="PWN83" s="0"/>
      <c r="PWO83" s="0"/>
      <c r="PWP83" s="0"/>
      <c r="PWQ83" s="0"/>
      <c r="PWR83" s="0"/>
      <c r="PWS83" s="0"/>
      <c r="PWT83" s="0"/>
      <c r="PWU83" s="0"/>
      <c r="PWV83" s="0"/>
      <c r="PWW83" s="0"/>
      <c r="PWX83" s="0"/>
      <c r="PWY83" s="0"/>
      <c r="PWZ83" s="0"/>
      <c r="PXA83" s="0"/>
      <c r="PXB83" s="0"/>
      <c r="PXC83" s="0"/>
      <c r="PXD83" s="0"/>
      <c r="PXE83" s="0"/>
      <c r="PXF83" s="0"/>
      <c r="PXG83" s="0"/>
      <c r="PXH83" s="0"/>
      <c r="PXI83" s="0"/>
      <c r="PXJ83" s="0"/>
      <c r="PXK83" s="0"/>
      <c r="PXL83" s="0"/>
      <c r="PXM83" s="0"/>
      <c r="PXN83" s="0"/>
      <c r="PXO83" s="0"/>
      <c r="PXP83" s="0"/>
      <c r="PXQ83" s="0"/>
      <c r="PXR83" s="0"/>
      <c r="PXS83" s="0"/>
      <c r="PXT83" s="0"/>
      <c r="PXU83" s="0"/>
      <c r="PXV83" s="0"/>
      <c r="PXW83" s="0"/>
      <c r="PXX83" s="0"/>
      <c r="PXY83" s="0"/>
      <c r="PXZ83" s="0"/>
      <c r="PYA83" s="0"/>
      <c r="PYB83" s="0"/>
      <c r="PYC83" s="0"/>
      <c r="PYD83" s="0"/>
      <c r="PYE83" s="0"/>
      <c r="PYF83" s="0"/>
      <c r="PYG83" s="0"/>
      <c r="PYH83" s="0"/>
      <c r="PYI83" s="0"/>
      <c r="PYJ83" s="0"/>
      <c r="PYK83" s="0"/>
      <c r="PYL83" s="0"/>
      <c r="PYM83" s="0"/>
      <c r="PYN83" s="0"/>
      <c r="PYO83" s="0"/>
      <c r="PYP83" s="0"/>
      <c r="PYQ83" s="0"/>
      <c r="PYR83" s="0"/>
      <c r="PYS83" s="0"/>
      <c r="PYT83" s="0"/>
      <c r="PYU83" s="0"/>
      <c r="PYV83" s="0"/>
      <c r="PYW83" s="0"/>
      <c r="PYX83" s="0"/>
      <c r="PYY83" s="0"/>
      <c r="PYZ83" s="0"/>
      <c r="PZA83" s="0"/>
      <c r="PZB83" s="0"/>
      <c r="PZC83" s="0"/>
      <c r="PZD83" s="0"/>
      <c r="PZE83" s="0"/>
      <c r="PZF83" s="0"/>
      <c r="PZG83" s="0"/>
      <c r="PZH83" s="0"/>
      <c r="PZI83" s="0"/>
      <c r="PZJ83" s="0"/>
      <c r="PZK83" s="0"/>
      <c r="PZL83" s="0"/>
      <c r="PZM83" s="0"/>
      <c r="PZN83" s="0"/>
      <c r="PZO83" s="0"/>
      <c r="PZP83" s="0"/>
      <c r="PZQ83" s="0"/>
      <c r="PZR83" s="0"/>
      <c r="PZS83" s="0"/>
      <c r="PZT83" s="0"/>
      <c r="PZU83" s="0"/>
      <c r="PZV83" s="0"/>
      <c r="PZW83" s="0"/>
      <c r="PZX83" s="0"/>
      <c r="PZY83" s="0"/>
      <c r="PZZ83" s="0"/>
      <c r="QAA83" s="0"/>
      <c r="QAB83" s="0"/>
      <c r="QAC83" s="0"/>
      <c r="QAD83" s="0"/>
      <c r="QAE83" s="0"/>
      <c r="QAF83" s="0"/>
      <c r="QAG83" s="0"/>
      <c r="QAH83" s="0"/>
      <c r="QAI83" s="0"/>
      <c r="QAJ83" s="0"/>
      <c r="QAK83" s="0"/>
      <c r="QAL83" s="0"/>
      <c r="QAM83" s="0"/>
      <c r="QAN83" s="0"/>
      <c r="QAO83" s="0"/>
      <c r="QAP83" s="0"/>
      <c r="QAQ83" s="0"/>
      <c r="QAR83" s="0"/>
      <c r="QAS83" s="0"/>
      <c r="QAT83" s="0"/>
      <c r="QAU83" s="0"/>
      <c r="QAV83" s="0"/>
      <c r="QAW83" s="0"/>
      <c r="QAX83" s="0"/>
      <c r="QAY83" s="0"/>
      <c r="QAZ83" s="0"/>
      <c r="QBA83" s="0"/>
      <c r="QBB83" s="0"/>
      <c r="QBC83" s="0"/>
      <c r="QBD83" s="0"/>
      <c r="QBE83" s="0"/>
      <c r="QBF83" s="0"/>
      <c r="QBG83" s="0"/>
      <c r="QBH83" s="0"/>
      <c r="QBI83" s="0"/>
      <c r="QBJ83" s="0"/>
      <c r="QBK83" s="0"/>
      <c r="QBL83" s="0"/>
      <c r="QBM83" s="0"/>
      <c r="QBN83" s="0"/>
      <c r="QBO83" s="0"/>
      <c r="QBP83" s="0"/>
      <c r="QBQ83" s="0"/>
      <c r="QBR83" s="0"/>
      <c r="QBS83" s="0"/>
      <c r="QBT83" s="0"/>
      <c r="QBU83" s="0"/>
      <c r="QBV83" s="0"/>
      <c r="QBW83" s="0"/>
      <c r="QBX83" s="0"/>
      <c r="QBY83" s="0"/>
      <c r="QBZ83" s="0"/>
      <c r="QCA83" s="0"/>
      <c r="QCB83" s="0"/>
      <c r="QCC83" s="0"/>
      <c r="QCD83" s="0"/>
      <c r="QCE83" s="0"/>
      <c r="QCF83" s="0"/>
      <c r="QCG83" s="0"/>
      <c r="QCH83" s="0"/>
      <c r="QCI83" s="0"/>
      <c r="QCJ83" s="0"/>
      <c r="QCK83" s="0"/>
      <c r="QCL83" s="0"/>
      <c r="QCM83" s="0"/>
      <c r="QCN83" s="0"/>
      <c r="QCO83" s="0"/>
      <c r="QCP83" s="0"/>
      <c r="QCQ83" s="0"/>
      <c r="QCR83" s="0"/>
      <c r="QCS83" s="0"/>
      <c r="QCT83" s="0"/>
      <c r="QCU83" s="0"/>
      <c r="QCV83" s="0"/>
      <c r="QCW83" s="0"/>
      <c r="QCX83" s="0"/>
      <c r="QCY83" s="0"/>
      <c r="QCZ83" s="0"/>
      <c r="QDA83" s="0"/>
      <c r="QDB83" s="0"/>
      <c r="QDC83" s="0"/>
      <c r="QDD83" s="0"/>
      <c r="QDE83" s="0"/>
      <c r="QDF83" s="0"/>
      <c r="QDG83" s="0"/>
      <c r="QDH83" s="0"/>
      <c r="QDI83" s="0"/>
      <c r="QDJ83" s="0"/>
      <c r="QDK83" s="0"/>
      <c r="QDL83" s="0"/>
      <c r="QDM83" s="0"/>
      <c r="QDN83" s="0"/>
      <c r="QDO83" s="0"/>
      <c r="QDP83" s="0"/>
      <c r="QDQ83" s="0"/>
      <c r="QDR83" s="0"/>
      <c r="QDS83" s="0"/>
      <c r="QDT83" s="0"/>
      <c r="QDU83" s="0"/>
      <c r="QDV83" s="0"/>
      <c r="QDW83" s="0"/>
      <c r="QDX83" s="0"/>
      <c r="QDY83" s="0"/>
      <c r="QDZ83" s="0"/>
      <c r="QEA83" s="0"/>
      <c r="QEB83" s="0"/>
      <c r="QEC83" s="0"/>
      <c r="QED83" s="0"/>
      <c r="QEE83" s="0"/>
      <c r="QEF83" s="0"/>
      <c r="QEG83" s="0"/>
      <c r="QEH83" s="0"/>
      <c r="QEI83" s="0"/>
      <c r="QEJ83" s="0"/>
      <c r="QEK83" s="0"/>
      <c r="QEL83" s="0"/>
      <c r="QEM83" s="0"/>
      <c r="QEN83" s="0"/>
      <c r="QEO83" s="0"/>
      <c r="QEP83" s="0"/>
      <c r="QEQ83" s="0"/>
      <c r="QER83" s="0"/>
      <c r="QES83" s="0"/>
      <c r="QET83" s="0"/>
      <c r="QEU83" s="0"/>
      <c r="QEV83" s="0"/>
      <c r="QEW83" s="0"/>
      <c r="QEX83" s="0"/>
      <c r="QEY83" s="0"/>
      <c r="QEZ83" s="0"/>
      <c r="QFA83" s="0"/>
      <c r="QFB83" s="0"/>
      <c r="QFC83" s="0"/>
      <c r="QFD83" s="0"/>
      <c r="QFE83" s="0"/>
      <c r="QFF83" s="0"/>
      <c r="QFG83" s="0"/>
      <c r="QFH83" s="0"/>
      <c r="QFI83" s="0"/>
      <c r="QFJ83" s="0"/>
      <c r="QFK83" s="0"/>
      <c r="QFL83" s="0"/>
      <c r="QFM83" s="0"/>
      <c r="QFN83" s="0"/>
      <c r="QFO83" s="0"/>
      <c r="QFP83" s="0"/>
      <c r="QFQ83" s="0"/>
      <c r="QFR83" s="0"/>
      <c r="QFS83" s="0"/>
      <c r="QFT83" s="0"/>
      <c r="QFU83" s="0"/>
      <c r="QFV83" s="0"/>
      <c r="QFW83" s="0"/>
      <c r="QFX83" s="0"/>
      <c r="QFY83" s="0"/>
      <c r="QFZ83" s="0"/>
      <c r="QGA83" s="0"/>
      <c r="QGB83" s="0"/>
      <c r="QGC83" s="0"/>
      <c r="QGD83" s="0"/>
      <c r="QGE83" s="0"/>
      <c r="QGF83" s="0"/>
      <c r="QGG83" s="0"/>
      <c r="QGH83" s="0"/>
      <c r="QGI83" s="0"/>
      <c r="QGJ83" s="0"/>
      <c r="QGK83" s="0"/>
      <c r="QGL83" s="0"/>
      <c r="QGM83" s="0"/>
      <c r="QGN83" s="0"/>
      <c r="QGO83" s="0"/>
      <c r="QGP83" s="0"/>
      <c r="QGQ83" s="0"/>
      <c r="QGR83" s="0"/>
      <c r="QGS83" s="0"/>
      <c r="QGT83" s="0"/>
      <c r="QGU83" s="0"/>
      <c r="QGV83" s="0"/>
      <c r="QGW83" s="0"/>
      <c r="QGX83" s="0"/>
      <c r="QGY83" s="0"/>
      <c r="QGZ83" s="0"/>
      <c r="QHA83" s="0"/>
      <c r="QHB83" s="0"/>
      <c r="QHC83" s="0"/>
      <c r="QHD83" s="0"/>
      <c r="QHE83" s="0"/>
      <c r="QHF83" s="0"/>
      <c r="QHG83" s="0"/>
      <c r="QHH83" s="0"/>
      <c r="QHI83" s="0"/>
      <c r="QHJ83" s="0"/>
      <c r="QHK83" s="0"/>
      <c r="QHL83" s="0"/>
      <c r="QHM83" s="0"/>
      <c r="QHN83" s="0"/>
      <c r="QHO83" s="0"/>
      <c r="QHP83" s="0"/>
      <c r="QHQ83" s="0"/>
      <c r="QHR83" s="0"/>
      <c r="QHS83" s="0"/>
      <c r="QHT83" s="0"/>
      <c r="QHU83" s="0"/>
      <c r="QHV83" s="0"/>
      <c r="QHW83" s="0"/>
      <c r="QHX83" s="0"/>
      <c r="QHY83" s="0"/>
      <c r="QHZ83" s="0"/>
      <c r="QIA83" s="0"/>
      <c r="QIB83" s="0"/>
      <c r="QIC83" s="0"/>
      <c r="QID83" s="0"/>
      <c r="QIE83" s="0"/>
      <c r="QIF83" s="0"/>
      <c r="QIG83" s="0"/>
      <c r="QIH83" s="0"/>
      <c r="QII83" s="0"/>
      <c r="QIJ83" s="0"/>
      <c r="QIK83" s="0"/>
      <c r="QIL83" s="0"/>
      <c r="QIM83" s="0"/>
      <c r="QIN83" s="0"/>
      <c r="QIO83" s="0"/>
      <c r="QIP83" s="0"/>
      <c r="QIQ83" s="0"/>
      <c r="QIR83" s="0"/>
      <c r="QIS83" s="0"/>
      <c r="QIT83" s="0"/>
      <c r="QIU83" s="0"/>
      <c r="QIV83" s="0"/>
      <c r="QIW83" s="0"/>
      <c r="QIX83" s="0"/>
      <c r="QIY83" s="0"/>
      <c r="QIZ83" s="0"/>
      <c r="QJA83" s="0"/>
      <c r="QJB83" s="0"/>
      <c r="QJC83" s="0"/>
      <c r="QJD83" s="0"/>
      <c r="QJE83" s="0"/>
      <c r="QJF83" s="0"/>
      <c r="QJG83" s="0"/>
      <c r="QJH83" s="0"/>
      <c r="QJI83" s="0"/>
      <c r="QJJ83" s="0"/>
      <c r="QJK83" s="0"/>
      <c r="QJL83" s="0"/>
      <c r="QJM83" s="0"/>
      <c r="QJN83" s="0"/>
      <c r="QJO83" s="0"/>
      <c r="QJP83" s="0"/>
      <c r="QJQ83" s="0"/>
      <c r="QJR83" s="0"/>
      <c r="QJS83" s="0"/>
      <c r="QJT83" s="0"/>
      <c r="QJU83" s="0"/>
      <c r="QJV83" s="0"/>
      <c r="QJW83" s="0"/>
      <c r="QJX83" s="0"/>
      <c r="QJY83" s="0"/>
      <c r="QJZ83" s="0"/>
      <c r="QKA83" s="0"/>
      <c r="QKB83" s="0"/>
      <c r="QKC83" s="0"/>
      <c r="QKD83" s="0"/>
      <c r="QKE83" s="0"/>
      <c r="QKF83" s="0"/>
      <c r="QKG83" s="0"/>
      <c r="QKH83" s="0"/>
      <c r="QKI83" s="0"/>
      <c r="QKJ83" s="0"/>
      <c r="QKK83" s="0"/>
      <c r="QKL83" s="0"/>
      <c r="QKM83" s="0"/>
      <c r="QKN83" s="0"/>
      <c r="QKO83" s="0"/>
      <c r="QKP83" s="0"/>
      <c r="QKQ83" s="0"/>
      <c r="QKR83" s="0"/>
      <c r="QKS83" s="0"/>
      <c r="QKT83" s="0"/>
      <c r="QKU83" s="0"/>
      <c r="QKV83" s="0"/>
      <c r="QKW83" s="0"/>
      <c r="QKX83" s="0"/>
      <c r="QKY83" s="0"/>
      <c r="QKZ83" s="0"/>
      <c r="QLA83" s="0"/>
      <c r="QLB83" s="0"/>
      <c r="QLC83" s="0"/>
      <c r="QLD83" s="0"/>
      <c r="QLE83" s="0"/>
      <c r="QLF83" s="0"/>
      <c r="QLG83" s="0"/>
      <c r="QLH83" s="0"/>
      <c r="QLI83" s="0"/>
      <c r="QLJ83" s="0"/>
      <c r="QLK83" s="0"/>
      <c r="QLL83" s="0"/>
      <c r="QLM83" s="0"/>
      <c r="QLN83" s="0"/>
      <c r="QLO83" s="0"/>
      <c r="QLP83" s="0"/>
      <c r="QLQ83" s="0"/>
      <c r="QLR83" s="0"/>
      <c r="QLS83" s="0"/>
      <c r="QLT83" s="0"/>
      <c r="QLU83" s="0"/>
      <c r="QLV83" s="0"/>
      <c r="QLW83" s="0"/>
      <c r="QLX83" s="0"/>
      <c r="QLY83" s="0"/>
      <c r="QLZ83" s="0"/>
      <c r="QMA83" s="0"/>
      <c r="QMB83" s="0"/>
      <c r="QMC83" s="0"/>
      <c r="QMD83" s="0"/>
      <c r="QME83" s="0"/>
      <c r="QMF83" s="0"/>
      <c r="QMG83" s="0"/>
      <c r="QMH83" s="0"/>
      <c r="QMI83" s="0"/>
      <c r="QMJ83" s="0"/>
      <c r="QMK83" s="0"/>
      <c r="QML83" s="0"/>
      <c r="QMM83" s="0"/>
      <c r="QMN83" s="0"/>
      <c r="QMO83" s="0"/>
      <c r="QMP83" s="0"/>
      <c r="QMQ83" s="0"/>
      <c r="QMR83" s="0"/>
      <c r="QMS83" s="0"/>
      <c r="QMT83" s="0"/>
      <c r="QMU83" s="0"/>
      <c r="QMV83" s="0"/>
      <c r="QMW83" s="0"/>
      <c r="QMX83" s="0"/>
      <c r="QMY83" s="0"/>
      <c r="QMZ83" s="0"/>
      <c r="QNA83" s="0"/>
      <c r="QNB83" s="0"/>
      <c r="QNC83" s="0"/>
      <c r="QND83" s="0"/>
      <c r="QNE83" s="0"/>
      <c r="QNF83" s="0"/>
      <c r="QNG83" s="0"/>
      <c r="QNH83" s="0"/>
      <c r="QNI83" s="0"/>
      <c r="QNJ83" s="0"/>
      <c r="QNK83" s="0"/>
      <c r="QNL83" s="0"/>
      <c r="QNM83" s="0"/>
      <c r="QNN83" s="0"/>
      <c r="QNO83" s="0"/>
      <c r="QNP83" s="0"/>
      <c r="QNQ83" s="0"/>
      <c r="QNR83" s="0"/>
      <c r="QNS83" s="0"/>
      <c r="QNT83" s="0"/>
      <c r="QNU83" s="0"/>
      <c r="QNV83" s="0"/>
      <c r="QNW83" s="0"/>
      <c r="QNX83" s="0"/>
      <c r="QNY83" s="0"/>
      <c r="QNZ83" s="0"/>
      <c r="QOA83" s="0"/>
      <c r="QOB83" s="0"/>
      <c r="QOC83" s="0"/>
      <c r="QOD83" s="0"/>
      <c r="QOE83" s="0"/>
      <c r="QOF83" s="0"/>
      <c r="QOG83" s="0"/>
      <c r="QOH83" s="0"/>
      <c r="QOI83" s="0"/>
      <c r="QOJ83" s="0"/>
      <c r="QOK83" s="0"/>
      <c r="QOL83" s="0"/>
      <c r="QOM83" s="0"/>
      <c r="QON83" s="0"/>
      <c r="QOO83" s="0"/>
      <c r="QOP83" s="0"/>
      <c r="QOQ83" s="0"/>
      <c r="QOR83" s="0"/>
      <c r="QOS83" s="0"/>
      <c r="QOT83" s="0"/>
      <c r="QOU83" s="0"/>
      <c r="QOV83" s="0"/>
      <c r="QOW83" s="0"/>
      <c r="QOX83" s="0"/>
      <c r="QOY83" s="0"/>
      <c r="QOZ83" s="0"/>
      <c r="QPA83" s="0"/>
      <c r="QPB83" s="0"/>
      <c r="QPC83" s="0"/>
      <c r="QPD83" s="0"/>
      <c r="QPE83" s="0"/>
      <c r="QPF83" s="0"/>
      <c r="QPG83" s="0"/>
      <c r="QPH83" s="0"/>
      <c r="QPI83" s="0"/>
      <c r="QPJ83" s="0"/>
      <c r="QPK83" s="0"/>
      <c r="QPL83" s="0"/>
      <c r="QPM83" s="0"/>
      <c r="QPN83" s="0"/>
      <c r="QPO83" s="0"/>
      <c r="QPP83" s="0"/>
      <c r="QPQ83" s="0"/>
      <c r="QPR83" s="0"/>
      <c r="QPS83" s="0"/>
      <c r="QPT83" s="0"/>
      <c r="QPU83" s="0"/>
      <c r="QPV83" s="0"/>
      <c r="QPW83" s="0"/>
      <c r="QPX83" s="0"/>
      <c r="QPY83" s="0"/>
      <c r="QPZ83" s="0"/>
      <c r="QQA83" s="0"/>
      <c r="QQB83" s="0"/>
      <c r="QQC83" s="0"/>
      <c r="QQD83" s="0"/>
      <c r="QQE83" s="0"/>
      <c r="QQF83" s="0"/>
      <c r="QQG83" s="0"/>
      <c r="QQH83" s="0"/>
      <c r="QQI83" s="0"/>
      <c r="QQJ83" s="0"/>
      <c r="QQK83" s="0"/>
      <c r="QQL83" s="0"/>
      <c r="QQM83" s="0"/>
      <c r="QQN83" s="0"/>
      <c r="QQO83" s="0"/>
      <c r="QQP83" s="0"/>
      <c r="QQQ83" s="0"/>
      <c r="QQR83" s="0"/>
      <c r="QQS83" s="0"/>
      <c r="QQT83" s="0"/>
      <c r="QQU83" s="0"/>
      <c r="QQV83" s="0"/>
      <c r="QQW83" s="0"/>
      <c r="QQX83" s="0"/>
      <c r="QQY83" s="0"/>
      <c r="QQZ83" s="0"/>
      <c r="QRA83" s="0"/>
      <c r="QRB83" s="0"/>
      <c r="QRC83" s="0"/>
      <c r="QRD83" s="0"/>
      <c r="QRE83" s="0"/>
      <c r="QRF83" s="0"/>
      <c r="QRG83" s="0"/>
      <c r="QRH83" s="0"/>
      <c r="QRI83" s="0"/>
      <c r="QRJ83" s="0"/>
      <c r="QRK83" s="0"/>
      <c r="QRL83" s="0"/>
      <c r="QRM83" s="0"/>
      <c r="QRN83" s="0"/>
      <c r="QRO83" s="0"/>
      <c r="QRP83" s="0"/>
      <c r="QRQ83" s="0"/>
      <c r="QRR83" s="0"/>
      <c r="QRS83" s="0"/>
      <c r="QRT83" s="0"/>
      <c r="QRU83" s="0"/>
      <c r="QRV83" s="0"/>
      <c r="QRW83" s="0"/>
      <c r="QRX83" s="0"/>
      <c r="QRY83" s="0"/>
      <c r="QRZ83" s="0"/>
      <c r="QSA83" s="0"/>
      <c r="QSB83" s="0"/>
      <c r="QSC83" s="0"/>
      <c r="QSD83" s="0"/>
      <c r="QSE83" s="0"/>
      <c r="QSF83" s="0"/>
      <c r="QSG83" s="0"/>
      <c r="QSH83" s="0"/>
      <c r="QSI83" s="0"/>
      <c r="QSJ83" s="0"/>
      <c r="QSK83" s="0"/>
      <c r="QSL83" s="0"/>
      <c r="QSM83" s="0"/>
      <c r="QSN83" s="0"/>
      <c r="QSO83" s="0"/>
      <c r="QSP83" s="0"/>
      <c r="QSQ83" s="0"/>
      <c r="QSR83" s="0"/>
      <c r="QSS83" s="0"/>
      <c r="QST83" s="0"/>
      <c r="QSU83" s="0"/>
      <c r="QSV83" s="0"/>
      <c r="QSW83" s="0"/>
      <c r="QSX83" s="0"/>
      <c r="QSY83" s="0"/>
      <c r="QSZ83" s="0"/>
      <c r="QTA83" s="0"/>
      <c r="QTB83" s="0"/>
      <c r="QTC83" s="0"/>
      <c r="QTD83" s="0"/>
      <c r="QTE83" s="0"/>
      <c r="QTF83" s="0"/>
      <c r="QTG83" s="0"/>
      <c r="QTH83" s="0"/>
      <c r="QTI83" s="0"/>
      <c r="QTJ83" s="0"/>
      <c r="QTK83" s="0"/>
      <c r="QTL83" s="0"/>
      <c r="QTM83" s="0"/>
      <c r="QTN83" s="0"/>
      <c r="QTO83" s="0"/>
      <c r="QTP83" s="0"/>
      <c r="QTQ83" s="0"/>
      <c r="QTR83" s="0"/>
      <c r="QTS83" s="0"/>
      <c r="QTT83" s="0"/>
      <c r="QTU83" s="0"/>
      <c r="QTV83" s="0"/>
      <c r="QTW83" s="0"/>
      <c r="QTX83" s="0"/>
      <c r="QTY83" s="0"/>
      <c r="QTZ83" s="0"/>
      <c r="QUA83" s="0"/>
      <c r="QUB83" s="0"/>
      <c r="QUC83" s="0"/>
      <c r="QUD83" s="0"/>
      <c r="QUE83" s="0"/>
      <c r="QUF83" s="0"/>
      <c r="QUG83" s="0"/>
      <c r="QUH83" s="0"/>
      <c r="QUI83" s="0"/>
      <c r="QUJ83" s="0"/>
      <c r="QUK83" s="0"/>
      <c r="QUL83" s="0"/>
      <c r="QUM83" s="0"/>
      <c r="QUN83" s="0"/>
      <c r="QUO83" s="0"/>
      <c r="QUP83" s="0"/>
      <c r="QUQ83" s="0"/>
      <c r="QUR83" s="0"/>
      <c r="QUS83" s="0"/>
      <c r="QUT83" s="0"/>
      <c r="QUU83" s="0"/>
      <c r="QUV83" s="0"/>
      <c r="QUW83" s="0"/>
      <c r="QUX83" s="0"/>
      <c r="QUY83" s="0"/>
      <c r="QUZ83" s="0"/>
      <c r="QVA83" s="0"/>
      <c r="QVB83" s="0"/>
      <c r="QVC83" s="0"/>
      <c r="QVD83" s="0"/>
      <c r="QVE83" s="0"/>
      <c r="QVF83" s="0"/>
      <c r="QVG83" s="0"/>
      <c r="QVH83" s="0"/>
      <c r="QVI83" s="0"/>
      <c r="QVJ83" s="0"/>
      <c r="QVK83" s="0"/>
      <c r="QVL83" s="0"/>
      <c r="QVM83" s="0"/>
      <c r="QVN83" s="0"/>
      <c r="QVO83" s="0"/>
      <c r="QVP83" s="0"/>
      <c r="QVQ83" s="0"/>
      <c r="QVR83" s="0"/>
      <c r="QVS83" s="0"/>
      <c r="QVT83" s="0"/>
      <c r="QVU83" s="0"/>
      <c r="QVV83" s="0"/>
      <c r="QVW83" s="0"/>
      <c r="QVX83" s="0"/>
      <c r="QVY83" s="0"/>
      <c r="QVZ83" s="0"/>
      <c r="QWA83" s="0"/>
      <c r="QWB83" s="0"/>
      <c r="QWC83" s="0"/>
      <c r="QWD83" s="0"/>
      <c r="QWE83" s="0"/>
      <c r="QWF83" s="0"/>
      <c r="QWG83" s="0"/>
      <c r="QWH83" s="0"/>
      <c r="QWI83" s="0"/>
      <c r="QWJ83" s="0"/>
      <c r="QWK83" s="0"/>
      <c r="QWL83" s="0"/>
      <c r="QWM83" s="0"/>
      <c r="QWN83" s="0"/>
      <c r="QWO83" s="0"/>
      <c r="QWP83" s="0"/>
      <c r="QWQ83" s="0"/>
      <c r="QWR83" s="0"/>
      <c r="QWS83" s="0"/>
      <c r="QWT83" s="0"/>
      <c r="QWU83" s="0"/>
      <c r="QWV83" s="0"/>
      <c r="QWW83" s="0"/>
      <c r="QWX83" s="0"/>
      <c r="QWY83" s="0"/>
      <c r="QWZ83" s="0"/>
      <c r="QXA83" s="0"/>
      <c r="QXB83" s="0"/>
      <c r="QXC83" s="0"/>
      <c r="QXD83" s="0"/>
      <c r="QXE83" s="0"/>
      <c r="QXF83" s="0"/>
      <c r="QXG83" s="0"/>
      <c r="QXH83" s="0"/>
      <c r="QXI83" s="0"/>
      <c r="QXJ83" s="0"/>
      <c r="QXK83" s="0"/>
      <c r="QXL83" s="0"/>
      <c r="QXM83" s="0"/>
      <c r="QXN83" s="0"/>
      <c r="QXO83" s="0"/>
      <c r="QXP83" s="0"/>
      <c r="QXQ83" s="0"/>
      <c r="QXR83" s="0"/>
      <c r="QXS83" s="0"/>
      <c r="QXT83" s="0"/>
      <c r="QXU83" s="0"/>
      <c r="QXV83" s="0"/>
      <c r="QXW83" s="0"/>
      <c r="QXX83" s="0"/>
      <c r="QXY83" s="0"/>
      <c r="QXZ83" s="0"/>
      <c r="QYA83" s="0"/>
      <c r="QYB83" s="0"/>
      <c r="QYC83" s="0"/>
      <c r="QYD83" s="0"/>
      <c r="QYE83" s="0"/>
      <c r="QYF83" s="0"/>
      <c r="QYG83" s="0"/>
      <c r="QYH83" s="0"/>
      <c r="QYI83" s="0"/>
      <c r="QYJ83" s="0"/>
      <c r="QYK83" s="0"/>
      <c r="QYL83" s="0"/>
      <c r="QYM83" s="0"/>
      <c r="QYN83" s="0"/>
      <c r="QYO83" s="0"/>
      <c r="QYP83" s="0"/>
      <c r="QYQ83" s="0"/>
      <c r="QYR83" s="0"/>
      <c r="QYS83" s="0"/>
      <c r="QYT83" s="0"/>
      <c r="QYU83" s="0"/>
      <c r="QYV83" s="0"/>
      <c r="QYW83" s="0"/>
      <c r="QYX83" s="0"/>
      <c r="QYY83" s="0"/>
      <c r="QYZ83" s="0"/>
      <c r="QZA83" s="0"/>
      <c r="QZB83" s="0"/>
      <c r="QZC83" s="0"/>
      <c r="QZD83" s="0"/>
      <c r="QZE83" s="0"/>
      <c r="QZF83" s="0"/>
      <c r="QZG83" s="0"/>
      <c r="QZH83" s="0"/>
      <c r="QZI83" s="0"/>
      <c r="QZJ83" s="0"/>
      <c r="QZK83" s="0"/>
      <c r="QZL83" s="0"/>
      <c r="QZM83" s="0"/>
      <c r="QZN83" s="0"/>
      <c r="QZO83" s="0"/>
      <c r="QZP83" s="0"/>
      <c r="QZQ83" s="0"/>
      <c r="QZR83" s="0"/>
      <c r="QZS83" s="0"/>
      <c r="QZT83" s="0"/>
      <c r="QZU83" s="0"/>
      <c r="QZV83" s="0"/>
      <c r="QZW83" s="0"/>
      <c r="QZX83" s="0"/>
      <c r="QZY83" s="0"/>
      <c r="QZZ83" s="0"/>
      <c r="RAA83" s="0"/>
      <c r="RAB83" s="0"/>
      <c r="RAC83" s="0"/>
      <c r="RAD83" s="0"/>
      <c r="RAE83" s="0"/>
      <c r="RAF83" s="0"/>
      <c r="RAG83" s="0"/>
      <c r="RAH83" s="0"/>
      <c r="RAI83" s="0"/>
      <c r="RAJ83" s="0"/>
      <c r="RAK83" s="0"/>
      <c r="RAL83" s="0"/>
      <c r="RAM83" s="0"/>
      <c r="RAN83" s="0"/>
      <c r="RAO83" s="0"/>
      <c r="RAP83" s="0"/>
      <c r="RAQ83" s="0"/>
      <c r="RAR83" s="0"/>
      <c r="RAS83" s="0"/>
      <c r="RAT83" s="0"/>
      <c r="RAU83" s="0"/>
      <c r="RAV83" s="0"/>
      <c r="RAW83" s="0"/>
      <c r="RAX83" s="0"/>
      <c r="RAY83" s="0"/>
      <c r="RAZ83" s="0"/>
      <c r="RBA83" s="0"/>
      <c r="RBB83" s="0"/>
      <c r="RBC83" s="0"/>
      <c r="RBD83" s="0"/>
      <c r="RBE83" s="0"/>
      <c r="RBF83" s="0"/>
      <c r="RBG83" s="0"/>
      <c r="RBH83" s="0"/>
      <c r="RBI83" s="0"/>
      <c r="RBJ83" s="0"/>
      <c r="RBK83" s="0"/>
      <c r="RBL83" s="0"/>
      <c r="RBM83" s="0"/>
      <c r="RBN83" s="0"/>
      <c r="RBO83" s="0"/>
      <c r="RBP83" s="0"/>
      <c r="RBQ83" s="0"/>
      <c r="RBR83" s="0"/>
      <c r="RBS83" s="0"/>
      <c r="RBT83" s="0"/>
      <c r="RBU83" s="0"/>
      <c r="RBV83" s="0"/>
      <c r="RBW83" s="0"/>
      <c r="RBX83" s="0"/>
      <c r="RBY83" s="0"/>
      <c r="RBZ83" s="0"/>
      <c r="RCA83" s="0"/>
      <c r="RCB83" s="0"/>
      <c r="RCC83" s="0"/>
      <c r="RCD83" s="0"/>
      <c r="RCE83" s="0"/>
      <c r="RCF83" s="0"/>
      <c r="RCG83" s="0"/>
      <c r="RCH83" s="0"/>
      <c r="RCI83" s="0"/>
      <c r="RCJ83" s="0"/>
      <c r="RCK83" s="0"/>
      <c r="RCL83" s="0"/>
      <c r="RCM83" s="0"/>
      <c r="RCN83" s="0"/>
      <c r="RCO83" s="0"/>
      <c r="RCP83" s="0"/>
      <c r="RCQ83" s="0"/>
      <c r="RCR83" s="0"/>
      <c r="RCS83" s="0"/>
      <c r="RCT83" s="0"/>
      <c r="RCU83" s="0"/>
      <c r="RCV83" s="0"/>
      <c r="RCW83" s="0"/>
      <c r="RCX83" s="0"/>
      <c r="RCY83" s="0"/>
      <c r="RCZ83" s="0"/>
      <c r="RDA83" s="0"/>
      <c r="RDB83" s="0"/>
      <c r="RDC83" s="0"/>
      <c r="RDD83" s="0"/>
      <c r="RDE83" s="0"/>
      <c r="RDF83" s="0"/>
      <c r="RDG83" s="0"/>
      <c r="RDH83" s="0"/>
      <c r="RDI83" s="0"/>
      <c r="RDJ83" s="0"/>
      <c r="RDK83" s="0"/>
      <c r="RDL83" s="0"/>
      <c r="RDM83" s="0"/>
      <c r="RDN83" s="0"/>
      <c r="RDO83" s="0"/>
      <c r="RDP83" s="0"/>
      <c r="RDQ83" s="0"/>
      <c r="RDR83" s="0"/>
      <c r="RDS83" s="0"/>
      <c r="RDT83" s="0"/>
      <c r="RDU83" s="0"/>
      <c r="RDV83" s="0"/>
      <c r="RDW83" s="0"/>
      <c r="RDX83" s="0"/>
      <c r="RDY83" s="0"/>
      <c r="RDZ83" s="0"/>
      <c r="REA83" s="0"/>
      <c r="REB83" s="0"/>
      <c r="REC83" s="0"/>
      <c r="RED83" s="0"/>
      <c r="REE83" s="0"/>
      <c r="REF83" s="0"/>
      <c r="REG83" s="0"/>
      <c r="REH83" s="0"/>
      <c r="REI83" s="0"/>
      <c r="REJ83" s="0"/>
      <c r="REK83" s="0"/>
      <c r="REL83" s="0"/>
      <c r="REM83" s="0"/>
      <c r="REN83" s="0"/>
      <c r="REO83" s="0"/>
      <c r="REP83" s="0"/>
      <c r="REQ83" s="0"/>
      <c r="RER83" s="0"/>
      <c r="RES83" s="0"/>
      <c r="RET83" s="0"/>
      <c r="REU83" s="0"/>
      <c r="REV83" s="0"/>
      <c r="REW83" s="0"/>
      <c r="REX83" s="0"/>
      <c r="REY83" s="0"/>
      <c r="REZ83" s="0"/>
      <c r="RFA83" s="0"/>
      <c r="RFB83" s="0"/>
      <c r="RFC83" s="0"/>
      <c r="RFD83" s="0"/>
      <c r="RFE83" s="0"/>
      <c r="RFF83" s="0"/>
      <c r="RFG83" s="0"/>
      <c r="RFH83" s="0"/>
      <c r="RFI83" s="0"/>
      <c r="RFJ83" s="0"/>
      <c r="RFK83" s="0"/>
      <c r="RFL83" s="0"/>
      <c r="RFM83" s="0"/>
      <c r="RFN83" s="0"/>
      <c r="RFO83" s="0"/>
      <c r="RFP83" s="0"/>
      <c r="RFQ83" s="0"/>
      <c r="RFR83" s="0"/>
      <c r="RFS83" s="0"/>
      <c r="RFT83" s="0"/>
      <c r="RFU83" s="0"/>
      <c r="RFV83" s="0"/>
      <c r="RFW83" s="0"/>
      <c r="RFX83" s="0"/>
      <c r="RFY83" s="0"/>
      <c r="RFZ83" s="0"/>
      <c r="RGA83" s="0"/>
      <c r="RGB83" s="0"/>
      <c r="RGC83" s="0"/>
      <c r="RGD83" s="0"/>
      <c r="RGE83" s="0"/>
      <c r="RGF83" s="0"/>
      <c r="RGG83" s="0"/>
      <c r="RGH83" s="0"/>
      <c r="RGI83" s="0"/>
      <c r="RGJ83" s="0"/>
      <c r="RGK83" s="0"/>
      <c r="RGL83" s="0"/>
      <c r="RGM83" s="0"/>
      <c r="RGN83" s="0"/>
      <c r="RGO83" s="0"/>
      <c r="RGP83" s="0"/>
      <c r="RGQ83" s="0"/>
      <c r="RGR83" s="0"/>
      <c r="RGS83" s="0"/>
      <c r="RGT83" s="0"/>
      <c r="RGU83" s="0"/>
      <c r="RGV83" s="0"/>
      <c r="RGW83" s="0"/>
      <c r="RGX83" s="0"/>
      <c r="RGY83" s="0"/>
      <c r="RGZ83" s="0"/>
      <c r="RHA83" s="0"/>
      <c r="RHB83" s="0"/>
      <c r="RHC83" s="0"/>
      <c r="RHD83" s="0"/>
      <c r="RHE83" s="0"/>
      <c r="RHF83" s="0"/>
      <c r="RHG83" s="0"/>
      <c r="RHH83" s="0"/>
      <c r="RHI83" s="0"/>
      <c r="RHJ83" s="0"/>
      <c r="RHK83" s="0"/>
      <c r="RHL83" s="0"/>
      <c r="RHM83" s="0"/>
      <c r="RHN83" s="0"/>
      <c r="RHO83" s="0"/>
      <c r="RHP83" s="0"/>
      <c r="RHQ83" s="0"/>
      <c r="RHR83" s="0"/>
      <c r="RHS83" s="0"/>
      <c r="RHT83" s="0"/>
      <c r="RHU83" s="0"/>
      <c r="RHV83" s="0"/>
      <c r="RHW83" s="0"/>
      <c r="RHX83" s="0"/>
      <c r="RHY83" s="0"/>
      <c r="RHZ83" s="0"/>
      <c r="RIA83" s="0"/>
      <c r="RIB83" s="0"/>
      <c r="RIC83" s="0"/>
      <c r="RID83" s="0"/>
      <c r="RIE83" s="0"/>
      <c r="RIF83" s="0"/>
      <c r="RIG83" s="0"/>
      <c r="RIH83" s="0"/>
      <c r="RII83" s="0"/>
      <c r="RIJ83" s="0"/>
      <c r="RIK83" s="0"/>
      <c r="RIL83" s="0"/>
      <c r="RIM83" s="0"/>
      <c r="RIN83" s="0"/>
      <c r="RIO83" s="0"/>
      <c r="RIP83" s="0"/>
      <c r="RIQ83" s="0"/>
      <c r="RIR83" s="0"/>
      <c r="RIS83" s="0"/>
      <c r="RIT83" s="0"/>
      <c r="RIU83" s="0"/>
      <c r="RIV83" s="0"/>
      <c r="RIW83" s="0"/>
      <c r="RIX83" s="0"/>
      <c r="RIY83" s="0"/>
      <c r="RIZ83" s="0"/>
      <c r="RJA83" s="0"/>
      <c r="RJB83" s="0"/>
      <c r="RJC83" s="0"/>
      <c r="RJD83" s="0"/>
      <c r="RJE83" s="0"/>
      <c r="RJF83" s="0"/>
      <c r="RJG83" s="0"/>
      <c r="RJH83" s="0"/>
      <c r="RJI83" s="0"/>
      <c r="RJJ83" s="0"/>
      <c r="RJK83" s="0"/>
      <c r="RJL83" s="0"/>
      <c r="RJM83" s="0"/>
      <c r="RJN83" s="0"/>
      <c r="RJO83" s="0"/>
      <c r="RJP83" s="0"/>
      <c r="RJQ83" s="0"/>
      <c r="RJR83" s="0"/>
      <c r="RJS83" s="0"/>
      <c r="RJT83" s="0"/>
      <c r="RJU83" s="0"/>
      <c r="RJV83" s="0"/>
      <c r="RJW83" s="0"/>
      <c r="RJX83" s="0"/>
      <c r="RJY83" s="0"/>
      <c r="RJZ83" s="0"/>
      <c r="RKA83" s="0"/>
      <c r="RKB83" s="0"/>
      <c r="RKC83" s="0"/>
      <c r="RKD83" s="0"/>
      <c r="RKE83" s="0"/>
      <c r="RKF83" s="0"/>
      <c r="RKG83" s="0"/>
      <c r="RKH83" s="0"/>
      <c r="RKI83" s="0"/>
      <c r="RKJ83" s="0"/>
      <c r="RKK83" s="0"/>
      <c r="RKL83" s="0"/>
      <c r="RKM83" s="0"/>
      <c r="RKN83" s="0"/>
      <c r="RKO83" s="0"/>
      <c r="RKP83" s="0"/>
      <c r="RKQ83" s="0"/>
      <c r="RKR83" s="0"/>
      <c r="RKS83" s="0"/>
      <c r="RKT83" s="0"/>
      <c r="RKU83" s="0"/>
      <c r="RKV83" s="0"/>
      <c r="RKW83" s="0"/>
      <c r="RKX83" s="0"/>
      <c r="RKY83" s="0"/>
      <c r="RKZ83" s="0"/>
      <c r="RLA83" s="0"/>
      <c r="RLB83" s="0"/>
      <c r="RLC83" s="0"/>
      <c r="RLD83" s="0"/>
      <c r="RLE83" s="0"/>
      <c r="RLF83" s="0"/>
      <c r="RLG83" s="0"/>
      <c r="RLH83" s="0"/>
      <c r="RLI83" s="0"/>
      <c r="RLJ83" s="0"/>
      <c r="RLK83" s="0"/>
      <c r="RLL83" s="0"/>
      <c r="RLM83" s="0"/>
      <c r="RLN83" s="0"/>
      <c r="RLO83" s="0"/>
      <c r="RLP83" s="0"/>
      <c r="RLQ83" s="0"/>
      <c r="RLR83" s="0"/>
      <c r="RLS83" s="0"/>
      <c r="RLT83" s="0"/>
      <c r="RLU83" s="0"/>
      <c r="RLV83" s="0"/>
      <c r="RLW83" s="0"/>
      <c r="RLX83" s="0"/>
      <c r="RLY83" s="0"/>
      <c r="RLZ83" s="0"/>
      <c r="RMA83" s="0"/>
      <c r="RMB83" s="0"/>
      <c r="RMC83" s="0"/>
      <c r="RMD83" s="0"/>
      <c r="RME83" s="0"/>
      <c r="RMF83" s="0"/>
      <c r="RMG83" s="0"/>
      <c r="RMH83" s="0"/>
      <c r="RMI83" s="0"/>
      <c r="RMJ83" s="0"/>
      <c r="RMK83" s="0"/>
      <c r="RML83" s="0"/>
      <c r="RMM83" s="0"/>
      <c r="RMN83" s="0"/>
      <c r="RMO83" s="0"/>
      <c r="RMP83" s="0"/>
      <c r="RMQ83" s="0"/>
      <c r="RMR83" s="0"/>
      <c r="RMS83" s="0"/>
      <c r="RMT83" s="0"/>
      <c r="RMU83" s="0"/>
      <c r="RMV83" s="0"/>
      <c r="RMW83" s="0"/>
      <c r="RMX83" s="0"/>
      <c r="RMY83" s="0"/>
      <c r="RMZ83" s="0"/>
      <c r="RNA83" s="0"/>
      <c r="RNB83" s="0"/>
      <c r="RNC83" s="0"/>
      <c r="RND83" s="0"/>
      <c r="RNE83" s="0"/>
      <c r="RNF83" s="0"/>
      <c r="RNG83" s="0"/>
      <c r="RNH83" s="0"/>
      <c r="RNI83" s="0"/>
      <c r="RNJ83" s="0"/>
      <c r="RNK83" s="0"/>
      <c r="RNL83" s="0"/>
      <c r="RNM83" s="0"/>
      <c r="RNN83" s="0"/>
      <c r="RNO83" s="0"/>
      <c r="RNP83" s="0"/>
      <c r="RNQ83" s="0"/>
      <c r="RNR83" s="0"/>
      <c r="RNS83" s="0"/>
      <c r="RNT83" s="0"/>
      <c r="RNU83" s="0"/>
      <c r="RNV83" s="0"/>
      <c r="RNW83" s="0"/>
      <c r="RNX83" s="0"/>
      <c r="RNY83" s="0"/>
      <c r="RNZ83" s="0"/>
      <c r="ROA83" s="0"/>
      <c r="ROB83" s="0"/>
      <c r="ROC83" s="0"/>
      <c r="ROD83" s="0"/>
      <c r="ROE83" s="0"/>
      <c r="ROF83" s="0"/>
      <c r="ROG83" s="0"/>
      <c r="ROH83" s="0"/>
      <c r="ROI83" s="0"/>
      <c r="ROJ83" s="0"/>
      <c r="ROK83" s="0"/>
      <c r="ROL83" s="0"/>
      <c r="ROM83" s="0"/>
      <c r="RON83" s="0"/>
      <c r="ROO83" s="0"/>
      <c r="ROP83" s="0"/>
      <c r="ROQ83" s="0"/>
      <c r="ROR83" s="0"/>
      <c r="ROS83" s="0"/>
      <c r="ROT83" s="0"/>
      <c r="ROU83" s="0"/>
      <c r="ROV83" s="0"/>
      <c r="ROW83" s="0"/>
      <c r="ROX83" s="0"/>
      <c r="ROY83" s="0"/>
      <c r="ROZ83" s="0"/>
      <c r="RPA83" s="0"/>
      <c r="RPB83" s="0"/>
      <c r="RPC83" s="0"/>
      <c r="RPD83" s="0"/>
      <c r="RPE83" s="0"/>
      <c r="RPF83" s="0"/>
      <c r="RPG83" s="0"/>
      <c r="RPH83" s="0"/>
      <c r="RPI83" s="0"/>
      <c r="RPJ83" s="0"/>
      <c r="RPK83" s="0"/>
      <c r="RPL83" s="0"/>
      <c r="RPM83" s="0"/>
      <c r="RPN83" s="0"/>
      <c r="RPO83" s="0"/>
      <c r="RPP83" s="0"/>
      <c r="RPQ83" s="0"/>
      <c r="RPR83" s="0"/>
      <c r="RPS83" s="0"/>
      <c r="RPT83" s="0"/>
      <c r="RPU83" s="0"/>
      <c r="RPV83" s="0"/>
      <c r="RPW83" s="0"/>
      <c r="RPX83" s="0"/>
      <c r="RPY83" s="0"/>
      <c r="RPZ83" s="0"/>
      <c r="RQA83" s="0"/>
      <c r="RQB83" s="0"/>
      <c r="RQC83" s="0"/>
      <c r="RQD83" s="0"/>
      <c r="RQE83" s="0"/>
      <c r="RQF83" s="0"/>
      <c r="RQG83" s="0"/>
      <c r="RQH83" s="0"/>
      <c r="RQI83" s="0"/>
      <c r="RQJ83" s="0"/>
      <c r="RQK83" s="0"/>
      <c r="RQL83" s="0"/>
      <c r="RQM83" s="0"/>
      <c r="RQN83" s="0"/>
      <c r="RQO83" s="0"/>
      <c r="RQP83" s="0"/>
      <c r="RQQ83" s="0"/>
      <c r="RQR83" s="0"/>
      <c r="RQS83" s="0"/>
      <c r="RQT83" s="0"/>
      <c r="RQU83" s="0"/>
      <c r="RQV83" s="0"/>
      <c r="RQW83" s="0"/>
      <c r="RQX83" s="0"/>
      <c r="RQY83" s="0"/>
      <c r="RQZ83" s="0"/>
      <c r="RRA83" s="0"/>
      <c r="RRB83" s="0"/>
      <c r="RRC83" s="0"/>
      <c r="RRD83" s="0"/>
      <c r="RRE83" s="0"/>
      <c r="RRF83" s="0"/>
      <c r="RRG83" s="0"/>
      <c r="RRH83" s="0"/>
      <c r="RRI83" s="0"/>
      <c r="RRJ83" s="0"/>
      <c r="RRK83" s="0"/>
      <c r="RRL83" s="0"/>
      <c r="RRM83" s="0"/>
      <c r="RRN83" s="0"/>
      <c r="RRO83" s="0"/>
      <c r="RRP83" s="0"/>
      <c r="RRQ83" s="0"/>
      <c r="RRR83" s="0"/>
      <c r="RRS83" s="0"/>
      <c r="RRT83" s="0"/>
      <c r="RRU83" s="0"/>
      <c r="RRV83" s="0"/>
      <c r="RRW83" s="0"/>
      <c r="RRX83" s="0"/>
      <c r="RRY83" s="0"/>
      <c r="RRZ83" s="0"/>
      <c r="RSA83" s="0"/>
      <c r="RSB83" s="0"/>
      <c r="RSC83" s="0"/>
      <c r="RSD83" s="0"/>
      <c r="RSE83" s="0"/>
      <c r="RSF83" s="0"/>
      <c r="RSG83" s="0"/>
      <c r="RSH83" s="0"/>
      <c r="RSI83" s="0"/>
      <c r="RSJ83" s="0"/>
      <c r="RSK83" s="0"/>
      <c r="RSL83" s="0"/>
      <c r="RSM83" s="0"/>
      <c r="RSN83" s="0"/>
      <c r="RSO83" s="0"/>
      <c r="RSP83" s="0"/>
      <c r="RSQ83" s="0"/>
      <c r="RSR83" s="0"/>
      <c r="RSS83" s="0"/>
      <c r="RST83" s="0"/>
      <c r="RSU83" s="0"/>
      <c r="RSV83" s="0"/>
      <c r="RSW83" s="0"/>
      <c r="RSX83" s="0"/>
      <c r="RSY83" s="0"/>
      <c r="RSZ83" s="0"/>
      <c r="RTA83" s="0"/>
      <c r="RTB83" s="0"/>
      <c r="RTC83" s="0"/>
      <c r="RTD83" s="0"/>
      <c r="RTE83" s="0"/>
      <c r="RTF83" s="0"/>
      <c r="RTG83" s="0"/>
      <c r="RTH83" s="0"/>
      <c r="RTI83" s="0"/>
      <c r="RTJ83" s="0"/>
      <c r="RTK83" s="0"/>
      <c r="RTL83" s="0"/>
      <c r="RTM83" s="0"/>
      <c r="RTN83" s="0"/>
      <c r="RTO83" s="0"/>
      <c r="RTP83" s="0"/>
      <c r="RTQ83" s="0"/>
      <c r="RTR83" s="0"/>
      <c r="RTS83" s="0"/>
      <c r="RTT83" s="0"/>
      <c r="RTU83" s="0"/>
      <c r="RTV83" s="0"/>
      <c r="RTW83" s="0"/>
      <c r="RTX83" s="0"/>
      <c r="RTY83" s="0"/>
      <c r="RTZ83" s="0"/>
      <c r="RUA83" s="0"/>
      <c r="RUB83" s="0"/>
      <c r="RUC83" s="0"/>
      <c r="RUD83" s="0"/>
      <c r="RUE83" s="0"/>
      <c r="RUF83" s="0"/>
      <c r="RUG83" s="0"/>
      <c r="RUH83" s="0"/>
      <c r="RUI83" s="0"/>
      <c r="RUJ83" s="0"/>
      <c r="RUK83" s="0"/>
      <c r="RUL83" s="0"/>
      <c r="RUM83" s="0"/>
      <c r="RUN83" s="0"/>
      <c r="RUO83" s="0"/>
      <c r="RUP83" s="0"/>
      <c r="RUQ83" s="0"/>
      <c r="RUR83" s="0"/>
      <c r="RUS83" s="0"/>
      <c r="RUT83" s="0"/>
      <c r="RUU83" s="0"/>
      <c r="RUV83" s="0"/>
      <c r="RUW83" s="0"/>
      <c r="RUX83" s="0"/>
      <c r="RUY83" s="0"/>
      <c r="RUZ83" s="0"/>
      <c r="RVA83" s="0"/>
      <c r="RVB83" s="0"/>
      <c r="RVC83" s="0"/>
      <c r="RVD83" s="0"/>
      <c r="RVE83" s="0"/>
      <c r="RVF83" s="0"/>
      <c r="RVG83" s="0"/>
      <c r="RVH83" s="0"/>
      <c r="RVI83" s="0"/>
      <c r="RVJ83" s="0"/>
      <c r="RVK83" s="0"/>
      <c r="RVL83" s="0"/>
      <c r="RVM83" s="0"/>
      <c r="RVN83" s="0"/>
      <c r="RVO83" s="0"/>
      <c r="RVP83" s="0"/>
      <c r="RVQ83" s="0"/>
      <c r="RVR83" s="0"/>
      <c r="RVS83" s="0"/>
      <c r="RVT83" s="0"/>
      <c r="RVU83" s="0"/>
      <c r="RVV83" s="0"/>
      <c r="RVW83" s="0"/>
      <c r="RVX83" s="0"/>
      <c r="RVY83" s="0"/>
      <c r="RVZ83" s="0"/>
      <c r="RWA83" s="0"/>
      <c r="RWB83" s="0"/>
      <c r="RWC83" s="0"/>
      <c r="RWD83" s="0"/>
      <c r="RWE83" s="0"/>
      <c r="RWF83" s="0"/>
      <c r="RWG83" s="0"/>
      <c r="RWH83" s="0"/>
      <c r="RWI83" s="0"/>
      <c r="RWJ83" s="0"/>
      <c r="RWK83" s="0"/>
      <c r="RWL83" s="0"/>
      <c r="RWM83" s="0"/>
      <c r="RWN83" s="0"/>
      <c r="RWO83" s="0"/>
      <c r="RWP83" s="0"/>
      <c r="RWQ83" s="0"/>
      <c r="RWR83" s="0"/>
      <c r="RWS83" s="0"/>
      <c r="RWT83" s="0"/>
      <c r="RWU83" s="0"/>
      <c r="RWV83" s="0"/>
      <c r="RWW83" s="0"/>
      <c r="RWX83" s="0"/>
      <c r="RWY83" s="0"/>
      <c r="RWZ83" s="0"/>
      <c r="RXA83" s="0"/>
      <c r="RXB83" s="0"/>
      <c r="RXC83" s="0"/>
      <c r="RXD83" s="0"/>
      <c r="RXE83" s="0"/>
      <c r="RXF83" s="0"/>
      <c r="RXG83" s="0"/>
      <c r="RXH83" s="0"/>
      <c r="RXI83" s="0"/>
      <c r="RXJ83" s="0"/>
      <c r="RXK83" s="0"/>
      <c r="RXL83" s="0"/>
      <c r="RXM83" s="0"/>
      <c r="RXN83" s="0"/>
      <c r="RXO83" s="0"/>
      <c r="RXP83" s="0"/>
      <c r="RXQ83" s="0"/>
      <c r="RXR83" s="0"/>
      <c r="RXS83" s="0"/>
      <c r="RXT83" s="0"/>
      <c r="RXU83" s="0"/>
      <c r="RXV83" s="0"/>
      <c r="RXW83" s="0"/>
      <c r="RXX83" s="0"/>
      <c r="RXY83" s="0"/>
      <c r="RXZ83" s="0"/>
      <c r="RYA83" s="0"/>
      <c r="RYB83" s="0"/>
      <c r="RYC83" s="0"/>
      <c r="RYD83" s="0"/>
      <c r="RYE83" s="0"/>
      <c r="RYF83" s="0"/>
      <c r="RYG83" s="0"/>
      <c r="RYH83" s="0"/>
      <c r="RYI83" s="0"/>
      <c r="RYJ83" s="0"/>
      <c r="RYK83" s="0"/>
      <c r="RYL83" s="0"/>
      <c r="RYM83" s="0"/>
      <c r="RYN83" s="0"/>
      <c r="RYO83" s="0"/>
      <c r="RYP83" s="0"/>
      <c r="RYQ83" s="0"/>
      <c r="RYR83" s="0"/>
      <c r="RYS83" s="0"/>
      <c r="RYT83" s="0"/>
      <c r="RYU83" s="0"/>
      <c r="RYV83" s="0"/>
      <c r="RYW83" s="0"/>
      <c r="RYX83" s="0"/>
      <c r="RYY83" s="0"/>
      <c r="RYZ83" s="0"/>
      <c r="RZA83" s="0"/>
      <c r="RZB83" s="0"/>
      <c r="RZC83" s="0"/>
      <c r="RZD83" s="0"/>
      <c r="RZE83" s="0"/>
      <c r="RZF83" s="0"/>
      <c r="RZG83" s="0"/>
      <c r="RZH83" s="0"/>
      <c r="RZI83" s="0"/>
      <c r="RZJ83" s="0"/>
      <c r="RZK83" s="0"/>
      <c r="RZL83" s="0"/>
      <c r="RZM83" s="0"/>
      <c r="RZN83" s="0"/>
      <c r="RZO83" s="0"/>
      <c r="RZP83" s="0"/>
      <c r="RZQ83" s="0"/>
      <c r="RZR83" s="0"/>
      <c r="RZS83" s="0"/>
      <c r="RZT83" s="0"/>
      <c r="RZU83" s="0"/>
      <c r="RZV83" s="0"/>
      <c r="RZW83" s="0"/>
      <c r="RZX83" s="0"/>
      <c r="RZY83" s="0"/>
      <c r="RZZ83" s="0"/>
      <c r="SAA83" s="0"/>
      <c r="SAB83" s="0"/>
      <c r="SAC83" s="0"/>
      <c r="SAD83" s="0"/>
      <c r="SAE83" s="0"/>
      <c r="SAF83" s="0"/>
      <c r="SAG83" s="0"/>
      <c r="SAH83" s="0"/>
      <c r="SAI83" s="0"/>
      <c r="SAJ83" s="0"/>
      <c r="SAK83" s="0"/>
      <c r="SAL83" s="0"/>
      <c r="SAM83" s="0"/>
      <c r="SAN83" s="0"/>
      <c r="SAO83" s="0"/>
      <c r="SAP83" s="0"/>
      <c r="SAQ83" s="0"/>
      <c r="SAR83" s="0"/>
      <c r="SAS83" s="0"/>
      <c r="SAT83" s="0"/>
      <c r="SAU83" s="0"/>
      <c r="SAV83" s="0"/>
      <c r="SAW83" s="0"/>
      <c r="SAX83" s="0"/>
      <c r="SAY83" s="0"/>
      <c r="SAZ83" s="0"/>
      <c r="SBA83" s="0"/>
      <c r="SBB83" s="0"/>
      <c r="SBC83" s="0"/>
      <c r="SBD83" s="0"/>
      <c r="SBE83" s="0"/>
      <c r="SBF83" s="0"/>
      <c r="SBG83" s="0"/>
      <c r="SBH83" s="0"/>
      <c r="SBI83" s="0"/>
      <c r="SBJ83" s="0"/>
      <c r="SBK83" s="0"/>
      <c r="SBL83" s="0"/>
      <c r="SBM83" s="0"/>
      <c r="SBN83" s="0"/>
      <c r="SBO83" s="0"/>
      <c r="SBP83" s="0"/>
      <c r="SBQ83" s="0"/>
      <c r="SBR83" s="0"/>
      <c r="SBS83" s="0"/>
      <c r="SBT83" s="0"/>
      <c r="SBU83" s="0"/>
      <c r="SBV83" s="0"/>
      <c r="SBW83" s="0"/>
      <c r="SBX83" s="0"/>
      <c r="SBY83" s="0"/>
      <c r="SBZ83" s="0"/>
      <c r="SCA83" s="0"/>
      <c r="SCB83" s="0"/>
      <c r="SCC83" s="0"/>
      <c r="SCD83" s="0"/>
      <c r="SCE83" s="0"/>
      <c r="SCF83" s="0"/>
      <c r="SCG83" s="0"/>
      <c r="SCH83" s="0"/>
      <c r="SCI83" s="0"/>
      <c r="SCJ83" s="0"/>
      <c r="SCK83" s="0"/>
      <c r="SCL83" s="0"/>
      <c r="SCM83" s="0"/>
      <c r="SCN83" s="0"/>
      <c r="SCO83" s="0"/>
      <c r="SCP83" s="0"/>
      <c r="SCQ83" s="0"/>
      <c r="SCR83" s="0"/>
      <c r="SCS83" s="0"/>
      <c r="SCT83" s="0"/>
      <c r="SCU83" s="0"/>
      <c r="SCV83" s="0"/>
      <c r="SCW83" s="0"/>
      <c r="SCX83" s="0"/>
      <c r="SCY83" s="0"/>
      <c r="SCZ83" s="0"/>
      <c r="SDA83" s="0"/>
      <c r="SDB83" s="0"/>
      <c r="SDC83" s="0"/>
      <c r="SDD83" s="0"/>
      <c r="SDE83" s="0"/>
      <c r="SDF83" s="0"/>
      <c r="SDG83" s="0"/>
      <c r="SDH83" s="0"/>
      <c r="SDI83" s="0"/>
      <c r="SDJ83" s="0"/>
      <c r="SDK83" s="0"/>
      <c r="SDL83" s="0"/>
      <c r="SDM83" s="0"/>
      <c r="SDN83" s="0"/>
      <c r="SDO83" s="0"/>
      <c r="SDP83" s="0"/>
      <c r="SDQ83" s="0"/>
      <c r="SDR83" s="0"/>
      <c r="SDS83" s="0"/>
      <c r="SDT83" s="0"/>
      <c r="SDU83" s="0"/>
      <c r="SDV83" s="0"/>
      <c r="SDW83" s="0"/>
      <c r="SDX83" s="0"/>
      <c r="SDY83" s="0"/>
      <c r="SDZ83" s="0"/>
      <c r="SEA83" s="0"/>
      <c r="SEB83" s="0"/>
      <c r="SEC83" s="0"/>
      <c r="SED83" s="0"/>
      <c r="SEE83" s="0"/>
      <c r="SEF83" s="0"/>
      <c r="SEG83" s="0"/>
      <c r="SEH83" s="0"/>
      <c r="SEI83" s="0"/>
      <c r="SEJ83" s="0"/>
      <c r="SEK83" s="0"/>
      <c r="SEL83" s="0"/>
      <c r="SEM83" s="0"/>
      <c r="SEN83" s="0"/>
      <c r="SEO83" s="0"/>
      <c r="SEP83" s="0"/>
      <c r="SEQ83" s="0"/>
      <c r="SER83" s="0"/>
      <c r="SES83" s="0"/>
      <c r="SET83" s="0"/>
      <c r="SEU83" s="0"/>
      <c r="SEV83" s="0"/>
      <c r="SEW83" s="0"/>
      <c r="SEX83" s="0"/>
      <c r="SEY83" s="0"/>
      <c r="SEZ83" s="0"/>
      <c r="SFA83" s="0"/>
      <c r="SFB83" s="0"/>
      <c r="SFC83" s="0"/>
      <c r="SFD83" s="0"/>
      <c r="SFE83" s="0"/>
      <c r="SFF83" s="0"/>
      <c r="SFG83" s="0"/>
      <c r="SFH83" s="0"/>
      <c r="SFI83" s="0"/>
      <c r="SFJ83" s="0"/>
      <c r="SFK83" s="0"/>
      <c r="SFL83" s="0"/>
      <c r="SFM83" s="0"/>
      <c r="SFN83" s="0"/>
      <c r="SFO83" s="0"/>
      <c r="SFP83" s="0"/>
      <c r="SFQ83" s="0"/>
      <c r="SFR83" s="0"/>
      <c r="SFS83" s="0"/>
      <c r="SFT83" s="0"/>
      <c r="SFU83" s="0"/>
      <c r="SFV83" s="0"/>
      <c r="SFW83" s="0"/>
      <c r="SFX83" s="0"/>
      <c r="SFY83" s="0"/>
      <c r="SFZ83" s="0"/>
      <c r="SGA83" s="0"/>
      <c r="SGB83" s="0"/>
      <c r="SGC83" s="0"/>
      <c r="SGD83" s="0"/>
      <c r="SGE83" s="0"/>
      <c r="SGF83" s="0"/>
      <c r="SGG83" s="0"/>
      <c r="SGH83" s="0"/>
      <c r="SGI83" s="0"/>
      <c r="SGJ83" s="0"/>
      <c r="SGK83" s="0"/>
      <c r="SGL83" s="0"/>
      <c r="SGM83" s="0"/>
      <c r="SGN83" s="0"/>
      <c r="SGO83" s="0"/>
      <c r="SGP83" s="0"/>
      <c r="SGQ83" s="0"/>
      <c r="SGR83" s="0"/>
      <c r="SGS83" s="0"/>
      <c r="SGT83" s="0"/>
      <c r="SGU83" s="0"/>
      <c r="SGV83" s="0"/>
      <c r="SGW83" s="0"/>
      <c r="SGX83" s="0"/>
      <c r="SGY83" s="0"/>
      <c r="SGZ83" s="0"/>
      <c r="SHA83" s="0"/>
      <c r="SHB83" s="0"/>
      <c r="SHC83" s="0"/>
      <c r="SHD83" s="0"/>
      <c r="SHE83" s="0"/>
      <c r="SHF83" s="0"/>
      <c r="SHG83" s="0"/>
      <c r="SHH83" s="0"/>
      <c r="SHI83" s="0"/>
      <c r="SHJ83" s="0"/>
      <c r="SHK83" s="0"/>
      <c r="SHL83" s="0"/>
      <c r="SHM83" s="0"/>
      <c r="SHN83" s="0"/>
      <c r="SHO83" s="0"/>
      <c r="SHP83" s="0"/>
      <c r="SHQ83" s="0"/>
      <c r="SHR83" s="0"/>
      <c r="SHS83" s="0"/>
      <c r="SHT83" s="0"/>
      <c r="SHU83" s="0"/>
      <c r="SHV83" s="0"/>
      <c r="SHW83" s="0"/>
      <c r="SHX83" s="0"/>
      <c r="SHY83" s="0"/>
      <c r="SHZ83" s="0"/>
      <c r="SIA83" s="0"/>
      <c r="SIB83" s="0"/>
      <c r="SIC83" s="0"/>
      <c r="SID83" s="0"/>
      <c r="SIE83" s="0"/>
      <c r="SIF83" s="0"/>
      <c r="SIG83" s="0"/>
      <c r="SIH83" s="0"/>
      <c r="SII83" s="0"/>
      <c r="SIJ83" s="0"/>
      <c r="SIK83" s="0"/>
      <c r="SIL83" s="0"/>
      <c r="SIM83" s="0"/>
      <c r="SIN83" s="0"/>
      <c r="SIO83" s="0"/>
      <c r="SIP83" s="0"/>
      <c r="SIQ83" s="0"/>
      <c r="SIR83" s="0"/>
      <c r="SIS83" s="0"/>
      <c r="SIT83" s="0"/>
      <c r="SIU83" s="0"/>
      <c r="SIV83" s="0"/>
      <c r="SIW83" s="0"/>
      <c r="SIX83" s="0"/>
      <c r="SIY83" s="0"/>
      <c r="SIZ83" s="0"/>
      <c r="SJA83" s="0"/>
      <c r="SJB83" s="0"/>
      <c r="SJC83" s="0"/>
      <c r="SJD83" s="0"/>
      <c r="SJE83" s="0"/>
      <c r="SJF83" s="0"/>
      <c r="SJG83" s="0"/>
      <c r="SJH83" s="0"/>
      <c r="SJI83" s="0"/>
      <c r="SJJ83" s="0"/>
      <c r="SJK83" s="0"/>
      <c r="SJL83" s="0"/>
      <c r="SJM83" s="0"/>
      <c r="SJN83" s="0"/>
      <c r="SJO83" s="0"/>
      <c r="SJP83" s="0"/>
      <c r="SJQ83" s="0"/>
      <c r="SJR83" s="0"/>
      <c r="SJS83" s="0"/>
      <c r="SJT83" s="0"/>
      <c r="SJU83" s="0"/>
      <c r="SJV83" s="0"/>
      <c r="SJW83" s="0"/>
      <c r="SJX83" s="0"/>
      <c r="SJY83" s="0"/>
      <c r="SJZ83" s="0"/>
      <c r="SKA83" s="0"/>
      <c r="SKB83" s="0"/>
      <c r="SKC83" s="0"/>
      <c r="SKD83" s="0"/>
      <c r="SKE83" s="0"/>
      <c r="SKF83" s="0"/>
      <c r="SKG83" s="0"/>
      <c r="SKH83" s="0"/>
      <c r="SKI83" s="0"/>
      <c r="SKJ83" s="0"/>
      <c r="SKK83" s="0"/>
      <c r="SKL83" s="0"/>
      <c r="SKM83" s="0"/>
      <c r="SKN83" s="0"/>
      <c r="SKO83" s="0"/>
      <c r="SKP83" s="0"/>
      <c r="SKQ83" s="0"/>
      <c r="SKR83" s="0"/>
      <c r="SKS83" s="0"/>
      <c r="SKT83" s="0"/>
      <c r="SKU83" s="0"/>
      <c r="SKV83" s="0"/>
      <c r="SKW83" s="0"/>
      <c r="SKX83" s="0"/>
      <c r="SKY83" s="0"/>
      <c r="SKZ83" s="0"/>
      <c r="SLA83" s="0"/>
      <c r="SLB83" s="0"/>
      <c r="SLC83" s="0"/>
      <c r="SLD83" s="0"/>
      <c r="SLE83" s="0"/>
      <c r="SLF83" s="0"/>
      <c r="SLG83" s="0"/>
      <c r="SLH83" s="0"/>
      <c r="SLI83" s="0"/>
      <c r="SLJ83" s="0"/>
      <c r="SLK83" s="0"/>
      <c r="SLL83" s="0"/>
      <c r="SLM83" s="0"/>
      <c r="SLN83" s="0"/>
      <c r="SLO83" s="0"/>
      <c r="SLP83" s="0"/>
      <c r="SLQ83" s="0"/>
      <c r="SLR83" s="0"/>
      <c r="SLS83" s="0"/>
      <c r="SLT83" s="0"/>
      <c r="SLU83" s="0"/>
      <c r="SLV83" s="0"/>
      <c r="SLW83" s="0"/>
      <c r="SLX83" s="0"/>
      <c r="SLY83" s="0"/>
      <c r="SLZ83" s="0"/>
      <c r="SMA83" s="0"/>
      <c r="SMB83" s="0"/>
      <c r="SMC83" s="0"/>
      <c r="SMD83" s="0"/>
      <c r="SME83" s="0"/>
      <c r="SMF83" s="0"/>
      <c r="SMG83" s="0"/>
      <c r="SMH83" s="0"/>
      <c r="SMI83" s="0"/>
      <c r="SMJ83" s="0"/>
      <c r="SMK83" s="0"/>
      <c r="SML83" s="0"/>
      <c r="SMM83" s="0"/>
      <c r="SMN83" s="0"/>
      <c r="SMO83" s="0"/>
      <c r="SMP83" s="0"/>
      <c r="SMQ83" s="0"/>
      <c r="SMR83" s="0"/>
      <c r="SMS83" s="0"/>
      <c r="SMT83" s="0"/>
      <c r="SMU83" s="0"/>
      <c r="SMV83" s="0"/>
      <c r="SMW83" s="0"/>
      <c r="SMX83" s="0"/>
      <c r="SMY83" s="0"/>
      <c r="SMZ83" s="0"/>
      <c r="SNA83" s="0"/>
      <c r="SNB83" s="0"/>
      <c r="SNC83" s="0"/>
      <c r="SND83" s="0"/>
      <c r="SNE83" s="0"/>
      <c r="SNF83" s="0"/>
      <c r="SNG83" s="0"/>
      <c r="SNH83" s="0"/>
      <c r="SNI83" s="0"/>
      <c r="SNJ83" s="0"/>
      <c r="SNK83" s="0"/>
      <c r="SNL83" s="0"/>
      <c r="SNM83" s="0"/>
      <c r="SNN83" s="0"/>
      <c r="SNO83" s="0"/>
      <c r="SNP83" s="0"/>
      <c r="SNQ83" s="0"/>
      <c r="SNR83" s="0"/>
      <c r="SNS83" s="0"/>
      <c r="SNT83" s="0"/>
      <c r="SNU83" s="0"/>
      <c r="SNV83" s="0"/>
      <c r="SNW83" s="0"/>
      <c r="SNX83" s="0"/>
      <c r="SNY83" s="0"/>
      <c r="SNZ83" s="0"/>
      <c r="SOA83" s="0"/>
      <c r="SOB83" s="0"/>
      <c r="SOC83" s="0"/>
      <c r="SOD83" s="0"/>
      <c r="SOE83" s="0"/>
      <c r="SOF83" s="0"/>
      <c r="SOG83" s="0"/>
      <c r="SOH83" s="0"/>
      <c r="SOI83" s="0"/>
      <c r="SOJ83" s="0"/>
      <c r="SOK83" s="0"/>
      <c r="SOL83" s="0"/>
      <c r="SOM83" s="0"/>
      <c r="SON83" s="0"/>
      <c r="SOO83" s="0"/>
      <c r="SOP83" s="0"/>
      <c r="SOQ83" s="0"/>
      <c r="SOR83" s="0"/>
      <c r="SOS83" s="0"/>
      <c r="SOT83" s="0"/>
      <c r="SOU83" s="0"/>
      <c r="SOV83" s="0"/>
      <c r="SOW83" s="0"/>
      <c r="SOX83" s="0"/>
      <c r="SOY83" s="0"/>
      <c r="SOZ83" s="0"/>
      <c r="SPA83" s="0"/>
      <c r="SPB83" s="0"/>
      <c r="SPC83" s="0"/>
      <c r="SPD83" s="0"/>
      <c r="SPE83" s="0"/>
      <c r="SPF83" s="0"/>
      <c r="SPG83" s="0"/>
      <c r="SPH83" s="0"/>
      <c r="SPI83" s="0"/>
      <c r="SPJ83" s="0"/>
      <c r="SPK83" s="0"/>
      <c r="SPL83" s="0"/>
      <c r="SPM83" s="0"/>
      <c r="SPN83" s="0"/>
      <c r="SPO83" s="0"/>
      <c r="SPP83" s="0"/>
      <c r="SPQ83" s="0"/>
      <c r="SPR83" s="0"/>
      <c r="SPS83" s="0"/>
      <c r="SPT83" s="0"/>
      <c r="SPU83" s="0"/>
      <c r="SPV83" s="0"/>
      <c r="SPW83" s="0"/>
      <c r="SPX83" s="0"/>
      <c r="SPY83" s="0"/>
      <c r="SPZ83" s="0"/>
      <c r="SQA83" s="0"/>
      <c r="SQB83" s="0"/>
      <c r="SQC83" s="0"/>
      <c r="SQD83" s="0"/>
      <c r="SQE83" s="0"/>
      <c r="SQF83" s="0"/>
      <c r="SQG83" s="0"/>
      <c r="SQH83" s="0"/>
      <c r="SQI83" s="0"/>
      <c r="SQJ83" s="0"/>
      <c r="SQK83" s="0"/>
      <c r="SQL83" s="0"/>
      <c r="SQM83" s="0"/>
      <c r="SQN83" s="0"/>
      <c r="SQO83" s="0"/>
      <c r="SQP83" s="0"/>
      <c r="SQQ83" s="0"/>
      <c r="SQR83" s="0"/>
      <c r="SQS83" s="0"/>
      <c r="SQT83" s="0"/>
      <c r="SQU83" s="0"/>
      <c r="SQV83" s="0"/>
      <c r="SQW83" s="0"/>
      <c r="SQX83" s="0"/>
      <c r="SQY83" s="0"/>
      <c r="SQZ83" s="0"/>
      <c r="SRA83" s="0"/>
      <c r="SRB83" s="0"/>
      <c r="SRC83" s="0"/>
      <c r="SRD83" s="0"/>
      <c r="SRE83" s="0"/>
      <c r="SRF83" s="0"/>
      <c r="SRG83" s="0"/>
      <c r="SRH83" s="0"/>
      <c r="SRI83" s="0"/>
      <c r="SRJ83" s="0"/>
      <c r="SRK83" s="0"/>
      <c r="SRL83" s="0"/>
      <c r="SRM83" s="0"/>
      <c r="SRN83" s="0"/>
      <c r="SRO83" s="0"/>
      <c r="SRP83" s="0"/>
      <c r="SRQ83" s="0"/>
      <c r="SRR83" s="0"/>
      <c r="SRS83" s="0"/>
      <c r="SRT83" s="0"/>
      <c r="SRU83" s="0"/>
      <c r="SRV83" s="0"/>
      <c r="SRW83" s="0"/>
      <c r="SRX83" s="0"/>
      <c r="SRY83" s="0"/>
      <c r="SRZ83" s="0"/>
      <c r="SSA83" s="0"/>
      <c r="SSB83" s="0"/>
      <c r="SSC83" s="0"/>
      <c r="SSD83" s="0"/>
      <c r="SSE83" s="0"/>
      <c r="SSF83" s="0"/>
      <c r="SSG83" s="0"/>
      <c r="SSH83" s="0"/>
      <c r="SSI83" s="0"/>
      <c r="SSJ83" s="0"/>
      <c r="SSK83" s="0"/>
      <c r="SSL83" s="0"/>
      <c r="SSM83" s="0"/>
      <c r="SSN83" s="0"/>
      <c r="SSO83" s="0"/>
      <c r="SSP83" s="0"/>
      <c r="SSQ83" s="0"/>
      <c r="SSR83" s="0"/>
      <c r="SSS83" s="0"/>
      <c r="SST83" s="0"/>
      <c r="SSU83" s="0"/>
      <c r="SSV83" s="0"/>
      <c r="SSW83" s="0"/>
      <c r="SSX83" s="0"/>
      <c r="SSY83" s="0"/>
      <c r="SSZ83" s="0"/>
      <c r="STA83" s="0"/>
      <c r="STB83" s="0"/>
      <c r="STC83" s="0"/>
      <c r="STD83" s="0"/>
      <c r="STE83" s="0"/>
      <c r="STF83" s="0"/>
      <c r="STG83" s="0"/>
      <c r="STH83" s="0"/>
      <c r="STI83" s="0"/>
      <c r="STJ83" s="0"/>
      <c r="STK83" s="0"/>
      <c r="STL83" s="0"/>
      <c r="STM83" s="0"/>
      <c r="STN83" s="0"/>
      <c r="STO83" s="0"/>
      <c r="STP83" s="0"/>
      <c r="STQ83" s="0"/>
      <c r="STR83" s="0"/>
      <c r="STS83" s="0"/>
      <c r="STT83" s="0"/>
      <c r="STU83" s="0"/>
      <c r="STV83" s="0"/>
      <c r="STW83" s="0"/>
      <c r="STX83" s="0"/>
      <c r="STY83" s="0"/>
      <c r="STZ83" s="0"/>
      <c r="SUA83" s="0"/>
      <c r="SUB83" s="0"/>
      <c r="SUC83" s="0"/>
      <c r="SUD83" s="0"/>
      <c r="SUE83" s="0"/>
      <c r="SUF83" s="0"/>
      <c r="SUG83" s="0"/>
      <c r="SUH83" s="0"/>
      <c r="SUI83" s="0"/>
      <c r="SUJ83" s="0"/>
      <c r="SUK83" s="0"/>
      <c r="SUL83" s="0"/>
      <c r="SUM83" s="0"/>
      <c r="SUN83" s="0"/>
      <c r="SUO83" s="0"/>
      <c r="SUP83" s="0"/>
      <c r="SUQ83" s="0"/>
      <c r="SUR83" s="0"/>
      <c r="SUS83" s="0"/>
      <c r="SUT83" s="0"/>
      <c r="SUU83" s="0"/>
      <c r="SUV83" s="0"/>
      <c r="SUW83" s="0"/>
      <c r="SUX83" s="0"/>
      <c r="SUY83" s="0"/>
      <c r="SUZ83" s="0"/>
      <c r="SVA83" s="0"/>
      <c r="SVB83" s="0"/>
      <c r="SVC83" s="0"/>
      <c r="SVD83" s="0"/>
      <c r="SVE83" s="0"/>
      <c r="SVF83" s="0"/>
      <c r="SVG83" s="0"/>
      <c r="SVH83" s="0"/>
      <c r="SVI83" s="0"/>
      <c r="SVJ83" s="0"/>
      <c r="SVK83" s="0"/>
      <c r="SVL83" s="0"/>
      <c r="SVM83" s="0"/>
      <c r="SVN83" s="0"/>
      <c r="SVO83" s="0"/>
      <c r="SVP83" s="0"/>
      <c r="SVQ83" s="0"/>
      <c r="SVR83" s="0"/>
      <c r="SVS83" s="0"/>
      <c r="SVT83" s="0"/>
      <c r="SVU83" s="0"/>
      <c r="SVV83" s="0"/>
      <c r="SVW83" s="0"/>
      <c r="SVX83" s="0"/>
      <c r="SVY83" s="0"/>
      <c r="SVZ83" s="0"/>
      <c r="SWA83" s="0"/>
      <c r="SWB83" s="0"/>
      <c r="SWC83" s="0"/>
      <c r="SWD83" s="0"/>
      <c r="SWE83" s="0"/>
      <c r="SWF83" s="0"/>
      <c r="SWG83" s="0"/>
      <c r="SWH83" s="0"/>
      <c r="SWI83" s="0"/>
      <c r="SWJ83" s="0"/>
      <c r="SWK83" s="0"/>
      <c r="SWL83" s="0"/>
      <c r="SWM83" s="0"/>
      <c r="SWN83" s="0"/>
      <c r="SWO83" s="0"/>
      <c r="SWP83" s="0"/>
      <c r="SWQ83" s="0"/>
      <c r="SWR83" s="0"/>
      <c r="SWS83" s="0"/>
      <c r="SWT83" s="0"/>
      <c r="SWU83" s="0"/>
      <c r="SWV83" s="0"/>
      <c r="SWW83" s="0"/>
      <c r="SWX83" s="0"/>
      <c r="SWY83" s="0"/>
      <c r="SWZ83" s="0"/>
      <c r="SXA83" s="0"/>
      <c r="SXB83" s="0"/>
      <c r="SXC83" s="0"/>
      <c r="SXD83" s="0"/>
      <c r="SXE83" s="0"/>
      <c r="SXF83" s="0"/>
      <c r="SXG83" s="0"/>
      <c r="SXH83" s="0"/>
      <c r="SXI83" s="0"/>
      <c r="SXJ83" s="0"/>
      <c r="SXK83" s="0"/>
      <c r="SXL83" s="0"/>
      <c r="SXM83" s="0"/>
      <c r="SXN83" s="0"/>
      <c r="SXO83" s="0"/>
      <c r="SXP83" s="0"/>
      <c r="SXQ83" s="0"/>
      <c r="SXR83" s="0"/>
      <c r="SXS83" s="0"/>
      <c r="SXT83" s="0"/>
      <c r="SXU83" s="0"/>
      <c r="SXV83" s="0"/>
      <c r="SXW83" s="0"/>
      <c r="SXX83" s="0"/>
      <c r="SXY83" s="0"/>
      <c r="SXZ83" s="0"/>
      <c r="SYA83" s="0"/>
      <c r="SYB83" s="0"/>
      <c r="SYC83" s="0"/>
      <c r="SYD83" s="0"/>
      <c r="SYE83" s="0"/>
      <c r="SYF83" s="0"/>
      <c r="SYG83" s="0"/>
      <c r="SYH83" s="0"/>
      <c r="SYI83" s="0"/>
      <c r="SYJ83" s="0"/>
      <c r="SYK83" s="0"/>
      <c r="SYL83" s="0"/>
      <c r="SYM83" s="0"/>
      <c r="SYN83" s="0"/>
      <c r="SYO83" s="0"/>
      <c r="SYP83" s="0"/>
      <c r="SYQ83" s="0"/>
      <c r="SYR83" s="0"/>
      <c r="SYS83" s="0"/>
      <c r="SYT83" s="0"/>
      <c r="SYU83" s="0"/>
      <c r="SYV83" s="0"/>
      <c r="SYW83" s="0"/>
      <c r="SYX83" s="0"/>
      <c r="SYY83" s="0"/>
      <c r="SYZ83" s="0"/>
      <c r="SZA83" s="0"/>
      <c r="SZB83" s="0"/>
      <c r="SZC83" s="0"/>
      <c r="SZD83" s="0"/>
      <c r="SZE83" s="0"/>
      <c r="SZF83" s="0"/>
      <c r="SZG83" s="0"/>
      <c r="SZH83" s="0"/>
      <c r="SZI83" s="0"/>
      <c r="SZJ83" s="0"/>
      <c r="SZK83" s="0"/>
      <c r="SZL83" s="0"/>
      <c r="SZM83" s="0"/>
      <c r="SZN83" s="0"/>
      <c r="SZO83" s="0"/>
      <c r="SZP83" s="0"/>
      <c r="SZQ83" s="0"/>
      <c r="SZR83" s="0"/>
      <c r="SZS83" s="0"/>
      <c r="SZT83" s="0"/>
      <c r="SZU83" s="0"/>
      <c r="SZV83" s="0"/>
      <c r="SZW83" s="0"/>
      <c r="SZX83" s="0"/>
      <c r="SZY83" s="0"/>
      <c r="SZZ83" s="0"/>
      <c r="TAA83" s="0"/>
      <c r="TAB83" s="0"/>
      <c r="TAC83" s="0"/>
      <c r="TAD83" s="0"/>
      <c r="TAE83" s="0"/>
      <c r="TAF83" s="0"/>
      <c r="TAG83" s="0"/>
      <c r="TAH83" s="0"/>
      <c r="TAI83" s="0"/>
      <c r="TAJ83" s="0"/>
      <c r="TAK83" s="0"/>
      <c r="TAL83" s="0"/>
      <c r="TAM83" s="0"/>
      <c r="TAN83" s="0"/>
      <c r="TAO83" s="0"/>
      <c r="TAP83" s="0"/>
      <c r="TAQ83" s="0"/>
      <c r="TAR83" s="0"/>
      <c r="TAS83" s="0"/>
      <c r="TAT83" s="0"/>
      <c r="TAU83" s="0"/>
      <c r="TAV83" s="0"/>
      <c r="TAW83" s="0"/>
      <c r="TAX83" s="0"/>
      <c r="TAY83" s="0"/>
      <c r="TAZ83" s="0"/>
      <c r="TBA83" s="0"/>
      <c r="TBB83" s="0"/>
      <c r="TBC83" s="0"/>
      <c r="TBD83" s="0"/>
      <c r="TBE83" s="0"/>
      <c r="TBF83" s="0"/>
      <c r="TBG83" s="0"/>
      <c r="TBH83" s="0"/>
      <c r="TBI83" s="0"/>
      <c r="TBJ83" s="0"/>
      <c r="TBK83" s="0"/>
      <c r="TBL83" s="0"/>
      <c r="TBM83" s="0"/>
      <c r="TBN83" s="0"/>
      <c r="TBO83" s="0"/>
      <c r="TBP83" s="0"/>
      <c r="TBQ83" s="0"/>
      <c r="TBR83" s="0"/>
      <c r="TBS83" s="0"/>
      <c r="TBT83" s="0"/>
      <c r="TBU83" s="0"/>
      <c r="TBV83" s="0"/>
      <c r="TBW83" s="0"/>
      <c r="TBX83" s="0"/>
      <c r="TBY83" s="0"/>
      <c r="TBZ83" s="0"/>
      <c r="TCA83" s="0"/>
      <c r="TCB83" s="0"/>
      <c r="TCC83" s="0"/>
      <c r="TCD83" s="0"/>
      <c r="TCE83" s="0"/>
      <c r="TCF83" s="0"/>
      <c r="TCG83" s="0"/>
      <c r="TCH83" s="0"/>
      <c r="TCI83" s="0"/>
      <c r="TCJ83" s="0"/>
      <c r="TCK83" s="0"/>
      <c r="TCL83" s="0"/>
      <c r="TCM83" s="0"/>
      <c r="TCN83" s="0"/>
      <c r="TCO83" s="0"/>
      <c r="TCP83" s="0"/>
      <c r="TCQ83" s="0"/>
      <c r="TCR83" s="0"/>
      <c r="TCS83" s="0"/>
      <c r="TCT83" s="0"/>
      <c r="TCU83" s="0"/>
      <c r="TCV83" s="0"/>
      <c r="TCW83" s="0"/>
      <c r="TCX83" s="0"/>
      <c r="TCY83" s="0"/>
      <c r="TCZ83" s="0"/>
      <c r="TDA83" s="0"/>
      <c r="TDB83" s="0"/>
      <c r="TDC83" s="0"/>
      <c r="TDD83" s="0"/>
      <c r="TDE83" s="0"/>
      <c r="TDF83" s="0"/>
      <c r="TDG83" s="0"/>
      <c r="TDH83" s="0"/>
      <c r="TDI83" s="0"/>
      <c r="TDJ83" s="0"/>
      <c r="TDK83" s="0"/>
      <c r="TDL83" s="0"/>
      <c r="TDM83" s="0"/>
      <c r="TDN83" s="0"/>
      <c r="TDO83" s="0"/>
      <c r="TDP83" s="0"/>
      <c r="TDQ83" s="0"/>
      <c r="TDR83" s="0"/>
      <c r="TDS83" s="0"/>
      <c r="TDT83" s="0"/>
      <c r="TDU83" s="0"/>
      <c r="TDV83" s="0"/>
      <c r="TDW83" s="0"/>
      <c r="TDX83" s="0"/>
      <c r="TDY83" s="0"/>
      <c r="TDZ83" s="0"/>
      <c r="TEA83" s="0"/>
      <c r="TEB83" s="0"/>
      <c r="TEC83" s="0"/>
      <c r="TED83" s="0"/>
      <c r="TEE83" s="0"/>
      <c r="TEF83" s="0"/>
      <c r="TEG83" s="0"/>
      <c r="TEH83" s="0"/>
      <c r="TEI83" s="0"/>
      <c r="TEJ83" s="0"/>
      <c r="TEK83" s="0"/>
      <c r="TEL83" s="0"/>
      <c r="TEM83" s="0"/>
      <c r="TEN83" s="0"/>
      <c r="TEO83" s="0"/>
      <c r="TEP83" s="0"/>
      <c r="TEQ83" s="0"/>
      <c r="TER83" s="0"/>
      <c r="TES83" s="0"/>
      <c r="TET83" s="0"/>
      <c r="TEU83" s="0"/>
      <c r="TEV83" s="0"/>
      <c r="TEW83" s="0"/>
      <c r="TEX83" s="0"/>
      <c r="TEY83" s="0"/>
      <c r="TEZ83" s="0"/>
      <c r="TFA83" s="0"/>
      <c r="TFB83" s="0"/>
      <c r="TFC83" s="0"/>
      <c r="TFD83" s="0"/>
      <c r="TFE83" s="0"/>
      <c r="TFF83" s="0"/>
      <c r="TFG83" s="0"/>
      <c r="TFH83" s="0"/>
      <c r="TFI83" s="0"/>
      <c r="TFJ83" s="0"/>
      <c r="TFK83" s="0"/>
      <c r="TFL83" s="0"/>
      <c r="TFM83" s="0"/>
      <c r="TFN83" s="0"/>
      <c r="TFO83" s="0"/>
      <c r="TFP83" s="0"/>
      <c r="TFQ83" s="0"/>
      <c r="TFR83" s="0"/>
      <c r="TFS83" s="0"/>
      <c r="TFT83" s="0"/>
      <c r="TFU83" s="0"/>
      <c r="TFV83" s="0"/>
      <c r="TFW83" s="0"/>
      <c r="TFX83" s="0"/>
      <c r="TFY83" s="0"/>
      <c r="TFZ83" s="0"/>
      <c r="TGA83" s="0"/>
      <c r="TGB83" s="0"/>
      <c r="TGC83" s="0"/>
      <c r="TGD83" s="0"/>
      <c r="TGE83" s="0"/>
      <c r="TGF83" s="0"/>
      <c r="TGG83" s="0"/>
      <c r="TGH83" s="0"/>
      <c r="TGI83" s="0"/>
      <c r="TGJ83" s="0"/>
      <c r="TGK83" s="0"/>
      <c r="TGL83" s="0"/>
      <c r="TGM83" s="0"/>
      <c r="TGN83" s="0"/>
      <c r="TGO83" s="0"/>
      <c r="TGP83" s="0"/>
      <c r="TGQ83" s="0"/>
      <c r="TGR83" s="0"/>
      <c r="TGS83" s="0"/>
      <c r="TGT83" s="0"/>
      <c r="TGU83" s="0"/>
      <c r="TGV83" s="0"/>
      <c r="TGW83" s="0"/>
      <c r="TGX83" s="0"/>
      <c r="TGY83" s="0"/>
      <c r="TGZ83" s="0"/>
      <c r="THA83" s="0"/>
      <c r="THB83" s="0"/>
      <c r="THC83" s="0"/>
      <c r="THD83" s="0"/>
      <c r="THE83" s="0"/>
      <c r="THF83" s="0"/>
      <c r="THG83" s="0"/>
      <c r="THH83" s="0"/>
      <c r="THI83" s="0"/>
      <c r="THJ83" s="0"/>
      <c r="THK83" s="0"/>
      <c r="THL83" s="0"/>
      <c r="THM83" s="0"/>
      <c r="THN83" s="0"/>
      <c r="THO83" s="0"/>
      <c r="THP83" s="0"/>
      <c r="THQ83" s="0"/>
      <c r="THR83" s="0"/>
      <c r="THS83" s="0"/>
      <c r="THT83" s="0"/>
      <c r="THU83" s="0"/>
      <c r="THV83" s="0"/>
      <c r="THW83" s="0"/>
      <c r="THX83" s="0"/>
      <c r="THY83" s="0"/>
      <c r="THZ83" s="0"/>
      <c r="TIA83" s="0"/>
      <c r="TIB83" s="0"/>
      <c r="TIC83" s="0"/>
      <c r="TID83" s="0"/>
      <c r="TIE83" s="0"/>
      <c r="TIF83" s="0"/>
      <c r="TIG83" s="0"/>
      <c r="TIH83" s="0"/>
      <c r="TII83" s="0"/>
      <c r="TIJ83" s="0"/>
      <c r="TIK83" s="0"/>
      <c r="TIL83" s="0"/>
      <c r="TIM83" s="0"/>
      <c r="TIN83" s="0"/>
      <c r="TIO83" s="0"/>
      <c r="TIP83" s="0"/>
      <c r="TIQ83" s="0"/>
      <c r="TIR83" s="0"/>
      <c r="TIS83" s="0"/>
      <c r="TIT83" s="0"/>
      <c r="TIU83" s="0"/>
      <c r="TIV83" s="0"/>
      <c r="TIW83" s="0"/>
      <c r="TIX83" s="0"/>
      <c r="TIY83" s="0"/>
      <c r="TIZ83" s="0"/>
      <c r="TJA83" s="0"/>
      <c r="TJB83" s="0"/>
      <c r="TJC83" s="0"/>
      <c r="TJD83" s="0"/>
      <c r="TJE83" s="0"/>
      <c r="TJF83" s="0"/>
      <c r="TJG83" s="0"/>
      <c r="TJH83" s="0"/>
      <c r="TJI83" s="0"/>
      <c r="TJJ83" s="0"/>
      <c r="TJK83" s="0"/>
      <c r="TJL83" s="0"/>
      <c r="TJM83" s="0"/>
      <c r="TJN83" s="0"/>
      <c r="TJO83" s="0"/>
      <c r="TJP83" s="0"/>
      <c r="TJQ83" s="0"/>
      <c r="TJR83" s="0"/>
      <c r="TJS83" s="0"/>
      <c r="TJT83" s="0"/>
      <c r="TJU83" s="0"/>
      <c r="TJV83" s="0"/>
      <c r="TJW83" s="0"/>
      <c r="TJX83" s="0"/>
      <c r="TJY83" s="0"/>
      <c r="TJZ83" s="0"/>
      <c r="TKA83" s="0"/>
      <c r="TKB83" s="0"/>
      <c r="TKC83" s="0"/>
      <c r="TKD83" s="0"/>
      <c r="TKE83" s="0"/>
      <c r="TKF83" s="0"/>
      <c r="TKG83" s="0"/>
      <c r="TKH83" s="0"/>
      <c r="TKI83" s="0"/>
      <c r="TKJ83" s="0"/>
      <c r="TKK83" s="0"/>
      <c r="TKL83" s="0"/>
      <c r="TKM83" s="0"/>
      <c r="TKN83" s="0"/>
      <c r="TKO83" s="0"/>
      <c r="TKP83" s="0"/>
      <c r="TKQ83" s="0"/>
      <c r="TKR83" s="0"/>
      <c r="TKS83" s="0"/>
      <c r="TKT83" s="0"/>
      <c r="TKU83" s="0"/>
      <c r="TKV83" s="0"/>
      <c r="TKW83" s="0"/>
      <c r="TKX83" s="0"/>
      <c r="TKY83" s="0"/>
      <c r="TKZ83" s="0"/>
      <c r="TLA83" s="0"/>
      <c r="TLB83" s="0"/>
      <c r="TLC83" s="0"/>
      <c r="TLD83" s="0"/>
      <c r="TLE83" s="0"/>
      <c r="TLF83" s="0"/>
      <c r="TLG83" s="0"/>
      <c r="TLH83" s="0"/>
      <c r="TLI83" s="0"/>
      <c r="TLJ83" s="0"/>
      <c r="TLK83" s="0"/>
      <c r="TLL83" s="0"/>
      <c r="TLM83" s="0"/>
      <c r="TLN83" s="0"/>
      <c r="TLO83" s="0"/>
      <c r="TLP83" s="0"/>
      <c r="TLQ83" s="0"/>
      <c r="TLR83" s="0"/>
      <c r="TLS83" s="0"/>
      <c r="TLT83" s="0"/>
      <c r="TLU83" s="0"/>
      <c r="TLV83" s="0"/>
      <c r="TLW83" s="0"/>
      <c r="TLX83" s="0"/>
      <c r="TLY83" s="0"/>
      <c r="TLZ83" s="0"/>
      <c r="TMA83" s="0"/>
      <c r="TMB83" s="0"/>
      <c r="TMC83" s="0"/>
      <c r="TMD83" s="0"/>
      <c r="TME83" s="0"/>
      <c r="TMF83" s="0"/>
      <c r="TMG83" s="0"/>
      <c r="TMH83" s="0"/>
      <c r="TMI83" s="0"/>
      <c r="TMJ83" s="0"/>
      <c r="TMK83" s="0"/>
      <c r="TML83" s="0"/>
      <c r="TMM83" s="0"/>
      <c r="TMN83" s="0"/>
      <c r="TMO83" s="0"/>
      <c r="TMP83" s="0"/>
      <c r="TMQ83" s="0"/>
      <c r="TMR83" s="0"/>
      <c r="TMS83" s="0"/>
      <c r="TMT83" s="0"/>
      <c r="TMU83" s="0"/>
      <c r="TMV83" s="0"/>
      <c r="TMW83" s="0"/>
      <c r="TMX83" s="0"/>
      <c r="TMY83" s="0"/>
      <c r="TMZ83" s="0"/>
      <c r="TNA83" s="0"/>
      <c r="TNB83" s="0"/>
      <c r="TNC83" s="0"/>
      <c r="TND83" s="0"/>
      <c r="TNE83" s="0"/>
      <c r="TNF83" s="0"/>
      <c r="TNG83" s="0"/>
      <c r="TNH83" s="0"/>
      <c r="TNI83" s="0"/>
      <c r="TNJ83" s="0"/>
      <c r="TNK83" s="0"/>
      <c r="TNL83" s="0"/>
      <c r="TNM83" s="0"/>
      <c r="TNN83" s="0"/>
      <c r="TNO83" s="0"/>
      <c r="TNP83" s="0"/>
      <c r="TNQ83" s="0"/>
      <c r="TNR83" s="0"/>
      <c r="TNS83" s="0"/>
      <c r="TNT83" s="0"/>
      <c r="TNU83" s="0"/>
      <c r="TNV83" s="0"/>
      <c r="TNW83" s="0"/>
      <c r="TNX83" s="0"/>
      <c r="TNY83" s="0"/>
      <c r="TNZ83" s="0"/>
      <c r="TOA83" s="0"/>
      <c r="TOB83" s="0"/>
      <c r="TOC83" s="0"/>
      <c r="TOD83" s="0"/>
      <c r="TOE83" s="0"/>
      <c r="TOF83" s="0"/>
      <c r="TOG83" s="0"/>
      <c r="TOH83" s="0"/>
      <c r="TOI83" s="0"/>
      <c r="TOJ83" s="0"/>
      <c r="TOK83" s="0"/>
      <c r="TOL83" s="0"/>
      <c r="TOM83" s="0"/>
      <c r="TON83" s="0"/>
      <c r="TOO83" s="0"/>
      <c r="TOP83" s="0"/>
      <c r="TOQ83" s="0"/>
      <c r="TOR83" s="0"/>
      <c r="TOS83" s="0"/>
      <c r="TOT83" s="0"/>
      <c r="TOU83" s="0"/>
      <c r="TOV83" s="0"/>
      <c r="TOW83" s="0"/>
      <c r="TOX83" s="0"/>
      <c r="TOY83" s="0"/>
      <c r="TOZ83" s="0"/>
      <c r="TPA83" s="0"/>
      <c r="TPB83" s="0"/>
      <c r="TPC83" s="0"/>
      <c r="TPD83" s="0"/>
      <c r="TPE83" s="0"/>
      <c r="TPF83" s="0"/>
      <c r="TPG83" s="0"/>
      <c r="TPH83" s="0"/>
      <c r="TPI83" s="0"/>
      <c r="TPJ83" s="0"/>
      <c r="TPK83" s="0"/>
      <c r="TPL83" s="0"/>
      <c r="TPM83" s="0"/>
      <c r="TPN83" s="0"/>
      <c r="TPO83" s="0"/>
      <c r="TPP83" s="0"/>
      <c r="TPQ83" s="0"/>
      <c r="TPR83" s="0"/>
      <c r="TPS83" s="0"/>
      <c r="TPT83" s="0"/>
      <c r="TPU83" s="0"/>
      <c r="TPV83" s="0"/>
      <c r="TPW83" s="0"/>
      <c r="TPX83" s="0"/>
      <c r="TPY83" s="0"/>
      <c r="TPZ83" s="0"/>
      <c r="TQA83" s="0"/>
      <c r="TQB83" s="0"/>
      <c r="TQC83" s="0"/>
      <c r="TQD83" s="0"/>
      <c r="TQE83" s="0"/>
      <c r="TQF83" s="0"/>
      <c r="TQG83" s="0"/>
      <c r="TQH83" s="0"/>
      <c r="TQI83" s="0"/>
      <c r="TQJ83" s="0"/>
      <c r="TQK83" s="0"/>
      <c r="TQL83" s="0"/>
      <c r="TQM83" s="0"/>
      <c r="TQN83" s="0"/>
      <c r="TQO83" s="0"/>
      <c r="TQP83" s="0"/>
      <c r="TQQ83" s="0"/>
      <c r="TQR83" s="0"/>
      <c r="TQS83" s="0"/>
      <c r="TQT83" s="0"/>
      <c r="TQU83" s="0"/>
      <c r="TQV83" s="0"/>
      <c r="TQW83" s="0"/>
      <c r="TQX83" s="0"/>
      <c r="TQY83" s="0"/>
      <c r="TQZ83" s="0"/>
      <c r="TRA83" s="0"/>
      <c r="TRB83" s="0"/>
      <c r="TRC83" s="0"/>
      <c r="TRD83" s="0"/>
      <c r="TRE83" s="0"/>
      <c r="TRF83" s="0"/>
      <c r="TRG83" s="0"/>
      <c r="TRH83" s="0"/>
      <c r="TRI83" s="0"/>
      <c r="TRJ83" s="0"/>
      <c r="TRK83" s="0"/>
      <c r="TRL83" s="0"/>
      <c r="TRM83" s="0"/>
      <c r="TRN83" s="0"/>
      <c r="TRO83" s="0"/>
      <c r="TRP83" s="0"/>
      <c r="TRQ83" s="0"/>
      <c r="TRR83" s="0"/>
      <c r="TRS83" s="0"/>
      <c r="TRT83" s="0"/>
      <c r="TRU83" s="0"/>
      <c r="TRV83" s="0"/>
      <c r="TRW83" s="0"/>
      <c r="TRX83" s="0"/>
      <c r="TRY83" s="0"/>
      <c r="TRZ83" s="0"/>
      <c r="TSA83" s="0"/>
      <c r="TSB83" s="0"/>
      <c r="TSC83" s="0"/>
      <c r="TSD83" s="0"/>
      <c r="TSE83" s="0"/>
      <c r="TSF83" s="0"/>
      <c r="TSG83" s="0"/>
      <c r="TSH83" s="0"/>
      <c r="TSI83" s="0"/>
      <c r="TSJ83" s="0"/>
      <c r="TSK83" s="0"/>
      <c r="TSL83" s="0"/>
      <c r="TSM83" s="0"/>
      <c r="TSN83" s="0"/>
      <c r="TSO83" s="0"/>
      <c r="TSP83" s="0"/>
      <c r="TSQ83" s="0"/>
      <c r="TSR83" s="0"/>
      <c r="TSS83" s="0"/>
      <c r="TST83" s="0"/>
      <c r="TSU83" s="0"/>
      <c r="TSV83" s="0"/>
      <c r="TSW83" s="0"/>
      <c r="TSX83" s="0"/>
      <c r="TSY83" s="0"/>
      <c r="TSZ83" s="0"/>
      <c r="TTA83" s="0"/>
      <c r="TTB83" s="0"/>
      <c r="TTC83" s="0"/>
      <c r="TTD83" s="0"/>
      <c r="TTE83" s="0"/>
      <c r="TTF83" s="0"/>
      <c r="TTG83" s="0"/>
      <c r="TTH83" s="0"/>
      <c r="TTI83" s="0"/>
      <c r="TTJ83" s="0"/>
      <c r="TTK83" s="0"/>
      <c r="TTL83" s="0"/>
      <c r="TTM83" s="0"/>
      <c r="TTN83" s="0"/>
      <c r="TTO83" s="0"/>
      <c r="TTP83" s="0"/>
      <c r="TTQ83" s="0"/>
      <c r="TTR83" s="0"/>
      <c r="TTS83" s="0"/>
      <c r="TTT83" s="0"/>
      <c r="TTU83" s="0"/>
      <c r="TTV83" s="0"/>
      <c r="TTW83" s="0"/>
      <c r="TTX83" s="0"/>
      <c r="TTY83" s="0"/>
      <c r="TTZ83" s="0"/>
      <c r="TUA83" s="0"/>
      <c r="TUB83" s="0"/>
      <c r="TUC83" s="0"/>
      <c r="TUD83" s="0"/>
      <c r="TUE83" s="0"/>
      <c r="TUF83" s="0"/>
      <c r="TUG83" s="0"/>
      <c r="TUH83" s="0"/>
      <c r="TUI83" s="0"/>
      <c r="TUJ83" s="0"/>
      <c r="TUK83" s="0"/>
      <c r="TUL83" s="0"/>
      <c r="TUM83" s="0"/>
      <c r="TUN83" s="0"/>
      <c r="TUO83" s="0"/>
      <c r="TUP83" s="0"/>
      <c r="TUQ83" s="0"/>
      <c r="TUR83" s="0"/>
      <c r="TUS83" s="0"/>
      <c r="TUT83" s="0"/>
      <c r="TUU83" s="0"/>
      <c r="TUV83" s="0"/>
      <c r="TUW83" s="0"/>
      <c r="TUX83" s="0"/>
      <c r="TUY83" s="0"/>
      <c r="TUZ83" s="0"/>
      <c r="TVA83" s="0"/>
      <c r="TVB83" s="0"/>
      <c r="TVC83" s="0"/>
      <c r="TVD83" s="0"/>
      <c r="TVE83" s="0"/>
      <c r="TVF83" s="0"/>
      <c r="TVG83" s="0"/>
      <c r="TVH83" s="0"/>
      <c r="TVI83" s="0"/>
      <c r="TVJ83" s="0"/>
      <c r="TVK83" s="0"/>
      <c r="TVL83" s="0"/>
      <c r="TVM83" s="0"/>
      <c r="TVN83" s="0"/>
      <c r="TVO83" s="0"/>
      <c r="TVP83" s="0"/>
      <c r="TVQ83" s="0"/>
      <c r="TVR83" s="0"/>
      <c r="TVS83" s="0"/>
      <c r="TVT83" s="0"/>
      <c r="TVU83" s="0"/>
      <c r="TVV83" s="0"/>
      <c r="TVW83" s="0"/>
      <c r="TVX83" s="0"/>
      <c r="TVY83" s="0"/>
      <c r="TVZ83" s="0"/>
      <c r="TWA83" s="0"/>
      <c r="TWB83" s="0"/>
      <c r="TWC83" s="0"/>
      <c r="TWD83" s="0"/>
      <c r="TWE83" s="0"/>
      <c r="TWF83" s="0"/>
      <c r="TWG83" s="0"/>
      <c r="TWH83" s="0"/>
      <c r="TWI83" s="0"/>
      <c r="TWJ83" s="0"/>
      <c r="TWK83" s="0"/>
      <c r="TWL83" s="0"/>
      <c r="TWM83" s="0"/>
      <c r="TWN83" s="0"/>
      <c r="TWO83" s="0"/>
      <c r="TWP83" s="0"/>
      <c r="TWQ83" s="0"/>
      <c r="TWR83" s="0"/>
      <c r="TWS83" s="0"/>
      <c r="TWT83" s="0"/>
      <c r="TWU83" s="0"/>
      <c r="TWV83" s="0"/>
      <c r="TWW83" s="0"/>
      <c r="TWX83" s="0"/>
      <c r="TWY83" s="0"/>
      <c r="TWZ83" s="0"/>
      <c r="TXA83" s="0"/>
      <c r="TXB83" s="0"/>
      <c r="TXC83" s="0"/>
      <c r="TXD83" s="0"/>
      <c r="TXE83" s="0"/>
      <c r="TXF83" s="0"/>
      <c r="TXG83" s="0"/>
      <c r="TXH83" s="0"/>
      <c r="TXI83" s="0"/>
      <c r="TXJ83" s="0"/>
      <c r="TXK83" s="0"/>
      <c r="TXL83" s="0"/>
      <c r="TXM83" s="0"/>
      <c r="TXN83" s="0"/>
      <c r="TXO83" s="0"/>
      <c r="TXP83" s="0"/>
      <c r="TXQ83" s="0"/>
      <c r="TXR83" s="0"/>
      <c r="TXS83" s="0"/>
      <c r="TXT83" s="0"/>
      <c r="TXU83" s="0"/>
      <c r="TXV83" s="0"/>
      <c r="TXW83" s="0"/>
      <c r="TXX83" s="0"/>
      <c r="TXY83" s="0"/>
      <c r="TXZ83" s="0"/>
      <c r="TYA83" s="0"/>
      <c r="TYB83" s="0"/>
      <c r="TYC83" s="0"/>
      <c r="TYD83" s="0"/>
      <c r="TYE83" s="0"/>
      <c r="TYF83" s="0"/>
      <c r="TYG83" s="0"/>
      <c r="TYH83" s="0"/>
      <c r="TYI83" s="0"/>
      <c r="TYJ83" s="0"/>
      <c r="TYK83" s="0"/>
      <c r="TYL83" s="0"/>
      <c r="TYM83" s="0"/>
      <c r="TYN83" s="0"/>
      <c r="TYO83" s="0"/>
      <c r="TYP83" s="0"/>
      <c r="TYQ83" s="0"/>
      <c r="TYR83" s="0"/>
      <c r="TYS83" s="0"/>
      <c r="TYT83" s="0"/>
      <c r="TYU83" s="0"/>
      <c r="TYV83" s="0"/>
      <c r="TYW83" s="0"/>
      <c r="TYX83" s="0"/>
      <c r="TYY83" s="0"/>
      <c r="TYZ83" s="0"/>
      <c r="TZA83" s="0"/>
      <c r="TZB83" s="0"/>
      <c r="TZC83" s="0"/>
      <c r="TZD83" s="0"/>
      <c r="TZE83" s="0"/>
      <c r="TZF83" s="0"/>
      <c r="TZG83" s="0"/>
      <c r="TZH83" s="0"/>
      <c r="TZI83" s="0"/>
      <c r="TZJ83" s="0"/>
      <c r="TZK83" s="0"/>
      <c r="TZL83" s="0"/>
      <c r="TZM83" s="0"/>
      <c r="TZN83" s="0"/>
      <c r="TZO83" s="0"/>
      <c r="TZP83" s="0"/>
      <c r="TZQ83" s="0"/>
      <c r="TZR83" s="0"/>
      <c r="TZS83" s="0"/>
      <c r="TZT83" s="0"/>
      <c r="TZU83" s="0"/>
      <c r="TZV83" s="0"/>
      <c r="TZW83" s="0"/>
      <c r="TZX83" s="0"/>
      <c r="TZY83" s="0"/>
      <c r="TZZ83" s="0"/>
      <c r="UAA83" s="0"/>
      <c r="UAB83" s="0"/>
      <c r="UAC83" s="0"/>
      <c r="UAD83" s="0"/>
      <c r="UAE83" s="0"/>
      <c r="UAF83" s="0"/>
      <c r="UAG83" s="0"/>
      <c r="UAH83" s="0"/>
      <c r="UAI83" s="0"/>
      <c r="UAJ83" s="0"/>
      <c r="UAK83" s="0"/>
      <c r="UAL83" s="0"/>
      <c r="UAM83" s="0"/>
      <c r="UAN83" s="0"/>
      <c r="UAO83" s="0"/>
      <c r="UAP83" s="0"/>
      <c r="UAQ83" s="0"/>
      <c r="UAR83" s="0"/>
      <c r="UAS83" s="0"/>
      <c r="UAT83" s="0"/>
      <c r="UAU83" s="0"/>
      <c r="UAV83" s="0"/>
      <c r="UAW83" s="0"/>
      <c r="UAX83" s="0"/>
      <c r="UAY83" s="0"/>
      <c r="UAZ83" s="0"/>
      <c r="UBA83" s="0"/>
      <c r="UBB83" s="0"/>
      <c r="UBC83" s="0"/>
      <c r="UBD83" s="0"/>
      <c r="UBE83" s="0"/>
      <c r="UBF83" s="0"/>
      <c r="UBG83" s="0"/>
      <c r="UBH83" s="0"/>
      <c r="UBI83" s="0"/>
      <c r="UBJ83" s="0"/>
      <c r="UBK83" s="0"/>
      <c r="UBL83" s="0"/>
      <c r="UBM83" s="0"/>
      <c r="UBN83" s="0"/>
      <c r="UBO83" s="0"/>
      <c r="UBP83" s="0"/>
      <c r="UBQ83" s="0"/>
      <c r="UBR83" s="0"/>
      <c r="UBS83" s="0"/>
      <c r="UBT83" s="0"/>
      <c r="UBU83" s="0"/>
      <c r="UBV83" s="0"/>
      <c r="UBW83" s="0"/>
      <c r="UBX83" s="0"/>
      <c r="UBY83" s="0"/>
      <c r="UBZ83" s="0"/>
      <c r="UCA83" s="0"/>
      <c r="UCB83" s="0"/>
      <c r="UCC83" s="0"/>
      <c r="UCD83" s="0"/>
      <c r="UCE83" s="0"/>
      <c r="UCF83" s="0"/>
      <c r="UCG83" s="0"/>
      <c r="UCH83" s="0"/>
      <c r="UCI83" s="0"/>
      <c r="UCJ83" s="0"/>
      <c r="UCK83" s="0"/>
      <c r="UCL83" s="0"/>
      <c r="UCM83" s="0"/>
      <c r="UCN83" s="0"/>
      <c r="UCO83" s="0"/>
      <c r="UCP83" s="0"/>
      <c r="UCQ83" s="0"/>
      <c r="UCR83" s="0"/>
      <c r="UCS83" s="0"/>
      <c r="UCT83" s="0"/>
      <c r="UCU83" s="0"/>
      <c r="UCV83" s="0"/>
      <c r="UCW83" s="0"/>
      <c r="UCX83" s="0"/>
      <c r="UCY83" s="0"/>
      <c r="UCZ83" s="0"/>
      <c r="UDA83" s="0"/>
      <c r="UDB83" s="0"/>
      <c r="UDC83" s="0"/>
      <c r="UDD83" s="0"/>
      <c r="UDE83" s="0"/>
      <c r="UDF83" s="0"/>
      <c r="UDG83" s="0"/>
      <c r="UDH83" s="0"/>
      <c r="UDI83" s="0"/>
      <c r="UDJ83" s="0"/>
      <c r="UDK83" s="0"/>
      <c r="UDL83" s="0"/>
      <c r="UDM83" s="0"/>
      <c r="UDN83" s="0"/>
      <c r="UDO83" s="0"/>
      <c r="UDP83" s="0"/>
      <c r="UDQ83" s="0"/>
      <c r="UDR83" s="0"/>
      <c r="UDS83" s="0"/>
      <c r="UDT83" s="0"/>
      <c r="UDU83" s="0"/>
      <c r="UDV83" s="0"/>
      <c r="UDW83" s="0"/>
      <c r="UDX83" s="0"/>
      <c r="UDY83" s="0"/>
      <c r="UDZ83" s="0"/>
      <c r="UEA83" s="0"/>
      <c r="UEB83" s="0"/>
      <c r="UEC83" s="0"/>
      <c r="UED83" s="0"/>
      <c r="UEE83" s="0"/>
      <c r="UEF83" s="0"/>
      <c r="UEG83" s="0"/>
      <c r="UEH83" s="0"/>
      <c r="UEI83" s="0"/>
      <c r="UEJ83" s="0"/>
      <c r="UEK83" s="0"/>
      <c r="UEL83" s="0"/>
      <c r="UEM83" s="0"/>
      <c r="UEN83" s="0"/>
      <c r="UEO83" s="0"/>
      <c r="UEP83" s="0"/>
      <c r="UEQ83" s="0"/>
      <c r="UER83" s="0"/>
      <c r="UES83" s="0"/>
      <c r="UET83" s="0"/>
      <c r="UEU83" s="0"/>
      <c r="UEV83" s="0"/>
      <c r="UEW83" s="0"/>
      <c r="UEX83" s="0"/>
      <c r="UEY83" s="0"/>
      <c r="UEZ83" s="0"/>
      <c r="UFA83" s="0"/>
      <c r="UFB83" s="0"/>
      <c r="UFC83" s="0"/>
      <c r="UFD83" s="0"/>
      <c r="UFE83" s="0"/>
      <c r="UFF83" s="0"/>
      <c r="UFG83" s="0"/>
      <c r="UFH83" s="0"/>
      <c r="UFI83" s="0"/>
      <c r="UFJ83" s="0"/>
      <c r="UFK83" s="0"/>
      <c r="UFL83" s="0"/>
      <c r="UFM83" s="0"/>
      <c r="UFN83" s="0"/>
      <c r="UFO83" s="0"/>
      <c r="UFP83" s="0"/>
      <c r="UFQ83" s="0"/>
      <c r="UFR83" s="0"/>
      <c r="UFS83" s="0"/>
      <c r="UFT83" s="0"/>
      <c r="UFU83" s="0"/>
      <c r="UFV83" s="0"/>
      <c r="UFW83" s="0"/>
      <c r="UFX83" s="0"/>
      <c r="UFY83" s="0"/>
      <c r="UFZ83" s="0"/>
      <c r="UGA83" s="0"/>
      <c r="UGB83" s="0"/>
      <c r="UGC83" s="0"/>
      <c r="UGD83" s="0"/>
      <c r="UGE83" s="0"/>
      <c r="UGF83" s="0"/>
      <c r="UGG83" s="0"/>
      <c r="UGH83" s="0"/>
      <c r="UGI83" s="0"/>
      <c r="UGJ83" s="0"/>
      <c r="UGK83" s="0"/>
      <c r="UGL83" s="0"/>
      <c r="UGM83" s="0"/>
      <c r="UGN83" s="0"/>
      <c r="UGO83" s="0"/>
      <c r="UGP83" s="0"/>
      <c r="UGQ83" s="0"/>
      <c r="UGR83" s="0"/>
      <c r="UGS83" s="0"/>
      <c r="UGT83" s="0"/>
      <c r="UGU83" s="0"/>
      <c r="UGV83" s="0"/>
      <c r="UGW83" s="0"/>
      <c r="UGX83" s="0"/>
      <c r="UGY83" s="0"/>
      <c r="UGZ83" s="0"/>
      <c r="UHA83" s="0"/>
      <c r="UHB83" s="0"/>
      <c r="UHC83" s="0"/>
      <c r="UHD83" s="0"/>
      <c r="UHE83" s="0"/>
      <c r="UHF83" s="0"/>
      <c r="UHG83" s="0"/>
      <c r="UHH83" s="0"/>
      <c r="UHI83" s="0"/>
      <c r="UHJ83" s="0"/>
      <c r="UHK83" s="0"/>
      <c r="UHL83" s="0"/>
      <c r="UHM83" s="0"/>
      <c r="UHN83" s="0"/>
      <c r="UHO83" s="0"/>
      <c r="UHP83" s="0"/>
      <c r="UHQ83" s="0"/>
      <c r="UHR83" s="0"/>
      <c r="UHS83" s="0"/>
      <c r="UHT83" s="0"/>
      <c r="UHU83" s="0"/>
      <c r="UHV83" s="0"/>
      <c r="UHW83" s="0"/>
      <c r="UHX83" s="0"/>
      <c r="UHY83" s="0"/>
      <c r="UHZ83" s="0"/>
      <c r="UIA83" s="0"/>
      <c r="UIB83" s="0"/>
      <c r="UIC83" s="0"/>
      <c r="UID83" s="0"/>
      <c r="UIE83" s="0"/>
      <c r="UIF83" s="0"/>
      <c r="UIG83" s="0"/>
      <c r="UIH83" s="0"/>
      <c r="UII83" s="0"/>
      <c r="UIJ83" s="0"/>
      <c r="UIK83" s="0"/>
      <c r="UIL83" s="0"/>
      <c r="UIM83" s="0"/>
      <c r="UIN83" s="0"/>
      <c r="UIO83" s="0"/>
      <c r="UIP83" s="0"/>
      <c r="UIQ83" s="0"/>
      <c r="UIR83" s="0"/>
      <c r="UIS83" s="0"/>
      <c r="UIT83" s="0"/>
      <c r="UIU83" s="0"/>
      <c r="UIV83" s="0"/>
      <c r="UIW83" s="0"/>
      <c r="UIX83" s="0"/>
      <c r="UIY83" s="0"/>
      <c r="UIZ83" s="0"/>
      <c r="UJA83" s="0"/>
      <c r="UJB83" s="0"/>
      <c r="UJC83" s="0"/>
      <c r="UJD83" s="0"/>
      <c r="UJE83" s="0"/>
      <c r="UJF83" s="0"/>
      <c r="UJG83" s="0"/>
      <c r="UJH83" s="0"/>
      <c r="UJI83" s="0"/>
      <c r="UJJ83" s="0"/>
      <c r="UJK83" s="0"/>
      <c r="UJL83" s="0"/>
      <c r="UJM83" s="0"/>
      <c r="UJN83" s="0"/>
      <c r="UJO83" s="0"/>
      <c r="UJP83" s="0"/>
      <c r="UJQ83" s="0"/>
      <c r="UJR83" s="0"/>
      <c r="UJS83" s="0"/>
      <c r="UJT83" s="0"/>
      <c r="UJU83" s="0"/>
      <c r="UJV83" s="0"/>
      <c r="UJW83" s="0"/>
      <c r="UJX83" s="0"/>
      <c r="UJY83" s="0"/>
      <c r="UJZ83" s="0"/>
      <c r="UKA83" s="0"/>
      <c r="UKB83" s="0"/>
      <c r="UKC83" s="0"/>
      <c r="UKD83" s="0"/>
      <c r="UKE83" s="0"/>
      <c r="UKF83" s="0"/>
      <c r="UKG83" s="0"/>
      <c r="UKH83" s="0"/>
      <c r="UKI83" s="0"/>
      <c r="UKJ83" s="0"/>
      <c r="UKK83" s="0"/>
      <c r="UKL83" s="0"/>
      <c r="UKM83" s="0"/>
      <c r="UKN83" s="0"/>
      <c r="UKO83" s="0"/>
      <c r="UKP83" s="0"/>
      <c r="UKQ83" s="0"/>
      <c r="UKR83" s="0"/>
      <c r="UKS83" s="0"/>
      <c r="UKT83" s="0"/>
      <c r="UKU83" s="0"/>
      <c r="UKV83" s="0"/>
      <c r="UKW83" s="0"/>
      <c r="UKX83" s="0"/>
      <c r="UKY83" s="0"/>
      <c r="UKZ83" s="0"/>
      <c r="ULA83" s="0"/>
      <c r="ULB83" s="0"/>
      <c r="ULC83" s="0"/>
      <c r="ULD83" s="0"/>
      <c r="ULE83" s="0"/>
      <c r="ULF83" s="0"/>
      <c r="ULG83" s="0"/>
      <c r="ULH83" s="0"/>
      <c r="ULI83" s="0"/>
      <c r="ULJ83" s="0"/>
      <c r="ULK83" s="0"/>
      <c r="ULL83" s="0"/>
      <c r="ULM83" s="0"/>
      <c r="ULN83" s="0"/>
      <c r="ULO83" s="0"/>
      <c r="ULP83" s="0"/>
      <c r="ULQ83" s="0"/>
      <c r="ULR83" s="0"/>
      <c r="ULS83" s="0"/>
      <c r="ULT83" s="0"/>
      <c r="ULU83" s="0"/>
      <c r="ULV83" s="0"/>
      <c r="ULW83" s="0"/>
      <c r="ULX83" s="0"/>
      <c r="ULY83" s="0"/>
      <c r="ULZ83" s="0"/>
      <c r="UMA83" s="0"/>
      <c r="UMB83" s="0"/>
      <c r="UMC83" s="0"/>
      <c r="UMD83" s="0"/>
      <c r="UME83" s="0"/>
      <c r="UMF83" s="0"/>
      <c r="UMG83" s="0"/>
      <c r="UMH83" s="0"/>
      <c r="UMI83" s="0"/>
      <c r="UMJ83" s="0"/>
      <c r="UMK83" s="0"/>
      <c r="UML83" s="0"/>
      <c r="UMM83" s="0"/>
      <c r="UMN83" s="0"/>
      <c r="UMO83" s="0"/>
      <c r="UMP83" s="0"/>
      <c r="UMQ83" s="0"/>
      <c r="UMR83" s="0"/>
      <c r="UMS83" s="0"/>
      <c r="UMT83" s="0"/>
      <c r="UMU83" s="0"/>
      <c r="UMV83" s="0"/>
      <c r="UMW83" s="0"/>
      <c r="UMX83" s="0"/>
      <c r="UMY83" s="0"/>
      <c r="UMZ83" s="0"/>
      <c r="UNA83" s="0"/>
      <c r="UNB83" s="0"/>
      <c r="UNC83" s="0"/>
      <c r="UND83" s="0"/>
      <c r="UNE83" s="0"/>
      <c r="UNF83" s="0"/>
      <c r="UNG83" s="0"/>
      <c r="UNH83" s="0"/>
      <c r="UNI83" s="0"/>
      <c r="UNJ83" s="0"/>
      <c r="UNK83" s="0"/>
      <c r="UNL83" s="0"/>
      <c r="UNM83" s="0"/>
      <c r="UNN83" s="0"/>
      <c r="UNO83" s="0"/>
      <c r="UNP83" s="0"/>
      <c r="UNQ83" s="0"/>
      <c r="UNR83" s="0"/>
      <c r="UNS83" s="0"/>
      <c r="UNT83" s="0"/>
      <c r="UNU83" s="0"/>
      <c r="UNV83" s="0"/>
      <c r="UNW83" s="0"/>
      <c r="UNX83" s="0"/>
      <c r="UNY83" s="0"/>
      <c r="UNZ83" s="0"/>
      <c r="UOA83" s="0"/>
      <c r="UOB83" s="0"/>
      <c r="UOC83" s="0"/>
      <c r="UOD83" s="0"/>
      <c r="UOE83" s="0"/>
      <c r="UOF83" s="0"/>
      <c r="UOG83" s="0"/>
      <c r="UOH83" s="0"/>
      <c r="UOI83" s="0"/>
      <c r="UOJ83" s="0"/>
      <c r="UOK83" s="0"/>
      <c r="UOL83" s="0"/>
      <c r="UOM83" s="0"/>
      <c r="UON83" s="0"/>
      <c r="UOO83" s="0"/>
      <c r="UOP83" s="0"/>
      <c r="UOQ83" s="0"/>
      <c r="UOR83" s="0"/>
      <c r="UOS83" s="0"/>
      <c r="UOT83" s="0"/>
      <c r="UOU83" s="0"/>
      <c r="UOV83" s="0"/>
      <c r="UOW83" s="0"/>
      <c r="UOX83" s="0"/>
      <c r="UOY83" s="0"/>
      <c r="UOZ83" s="0"/>
      <c r="UPA83" s="0"/>
      <c r="UPB83" s="0"/>
      <c r="UPC83" s="0"/>
      <c r="UPD83" s="0"/>
      <c r="UPE83" s="0"/>
      <c r="UPF83" s="0"/>
      <c r="UPG83" s="0"/>
      <c r="UPH83" s="0"/>
      <c r="UPI83" s="0"/>
      <c r="UPJ83" s="0"/>
      <c r="UPK83" s="0"/>
      <c r="UPL83" s="0"/>
      <c r="UPM83" s="0"/>
      <c r="UPN83" s="0"/>
      <c r="UPO83" s="0"/>
      <c r="UPP83" s="0"/>
      <c r="UPQ83" s="0"/>
      <c r="UPR83" s="0"/>
      <c r="UPS83" s="0"/>
      <c r="UPT83" s="0"/>
      <c r="UPU83" s="0"/>
      <c r="UPV83" s="0"/>
      <c r="UPW83" s="0"/>
      <c r="UPX83" s="0"/>
      <c r="UPY83" s="0"/>
      <c r="UPZ83" s="0"/>
      <c r="UQA83" s="0"/>
      <c r="UQB83" s="0"/>
      <c r="UQC83" s="0"/>
      <c r="UQD83" s="0"/>
      <c r="UQE83" s="0"/>
      <c r="UQF83" s="0"/>
      <c r="UQG83" s="0"/>
      <c r="UQH83" s="0"/>
      <c r="UQI83" s="0"/>
      <c r="UQJ83" s="0"/>
      <c r="UQK83" s="0"/>
      <c r="UQL83" s="0"/>
      <c r="UQM83" s="0"/>
      <c r="UQN83" s="0"/>
      <c r="UQO83" s="0"/>
      <c r="UQP83" s="0"/>
      <c r="UQQ83" s="0"/>
      <c r="UQR83" s="0"/>
      <c r="UQS83" s="0"/>
      <c r="UQT83" s="0"/>
      <c r="UQU83" s="0"/>
      <c r="UQV83" s="0"/>
      <c r="UQW83" s="0"/>
      <c r="UQX83" s="0"/>
      <c r="UQY83" s="0"/>
      <c r="UQZ83" s="0"/>
      <c r="URA83" s="0"/>
      <c r="URB83" s="0"/>
      <c r="URC83" s="0"/>
      <c r="URD83" s="0"/>
      <c r="URE83" s="0"/>
      <c r="URF83" s="0"/>
      <c r="URG83" s="0"/>
      <c r="URH83" s="0"/>
      <c r="URI83" s="0"/>
      <c r="URJ83" s="0"/>
      <c r="URK83" s="0"/>
      <c r="URL83" s="0"/>
      <c r="URM83" s="0"/>
      <c r="URN83" s="0"/>
      <c r="URO83" s="0"/>
      <c r="URP83" s="0"/>
      <c r="URQ83" s="0"/>
      <c r="URR83" s="0"/>
      <c r="URS83" s="0"/>
      <c r="URT83" s="0"/>
      <c r="URU83" s="0"/>
      <c r="URV83" s="0"/>
      <c r="URW83" s="0"/>
      <c r="URX83" s="0"/>
      <c r="URY83" s="0"/>
      <c r="URZ83" s="0"/>
      <c r="USA83" s="0"/>
      <c r="USB83" s="0"/>
      <c r="USC83" s="0"/>
      <c r="USD83" s="0"/>
      <c r="USE83" s="0"/>
      <c r="USF83" s="0"/>
      <c r="USG83" s="0"/>
      <c r="USH83" s="0"/>
      <c r="USI83" s="0"/>
      <c r="USJ83" s="0"/>
      <c r="USK83" s="0"/>
      <c r="USL83" s="0"/>
      <c r="USM83" s="0"/>
      <c r="USN83" s="0"/>
      <c r="USO83" s="0"/>
      <c r="USP83" s="0"/>
      <c r="USQ83" s="0"/>
      <c r="USR83" s="0"/>
      <c r="USS83" s="0"/>
      <c r="UST83" s="0"/>
      <c r="USU83" s="0"/>
      <c r="USV83" s="0"/>
      <c r="USW83" s="0"/>
      <c r="USX83" s="0"/>
      <c r="USY83" s="0"/>
      <c r="USZ83" s="0"/>
      <c r="UTA83" s="0"/>
      <c r="UTB83" s="0"/>
      <c r="UTC83" s="0"/>
      <c r="UTD83" s="0"/>
      <c r="UTE83" s="0"/>
      <c r="UTF83" s="0"/>
      <c r="UTG83" s="0"/>
      <c r="UTH83" s="0"/>
      <c r="UTI83" s="0"/>
      <c r="UTJ83" s="0"/>
      <c r="UTK83" s="0"/>
      <c r="UTL83" s="0"/>
      <c r="UTM83" s="0"/>
      <c r="UTN83" s="0"/>
      <c r="UTO83" s="0"/>
      <c r="UTP83" s="0"/>
      <c r="UTQ83" s="0"/>
      <c r="UTR83" s="0"/>
      <c r="UTS83" s="0"/>
      <c r="UTT83" s="0"/>
      <c r="UTU83" s="0"/>
      <c r="UTV83" s="0"/>
      <c r="UTW83" s="0"/>
      <c r="UTX83" s="0"/>
      <c r="UTY83" s="0"/>
      <c r="UTZ83" s="0"/>
      <c r="UUA83" s="0"/>
      <c r="UUB83" s="0"/>
      <c r="UUC83" s="0"/>
      <c r="UUD83" s="0"/>
      <c r="UUE83" s="0"/>
      <c r="UUF83" s="0"/>
      <c r="UUG83" s="0"/>
      <c r="UUH83" s="0"/>
      <c r="UUI83" s="0"/>
      <c r="UUJ83" s="0"/>
      <c r="UUK83" s="0"/>
      <c r="UUL83" s="0"/>
      <c r="UUM83" s="0"/>
      <c r="UUN83" s="0"/>
      <c r="UUO83" s="0"/>
      <c r="UUP83" s="0"/>
      <c r="UUQ83" s="0"/>
      <c r="UUR83" s="0"/>
      <c r="UUS83" s="0"/>
      <c r="UUT83" s="0"/>
      <c r="UUU83" s="0"/>
      <c r="UUV83" s="0"/>
      <c r="UUW83" s="0"/>
      <c r="UUX83" s="0"/>
      <c r="UUY83" s="0"/>
      <c r="UUZ83" s="0"/>
      <c r="UVA83" s="0"/>
      <c r="UVB83" s="0"/>
      <c r="UVC83" s="0"/>
      <c r="UVD83" s="0"/>
      <c r="UVE83" s="0"/>
      <c r="UVF83" s="0"/>
      <c r="UVG83" s="0"/>
      <c r="UVH83" s="0"/>
      <c r="UVI83" s="0"/>
      <c r="UVJ83" s="0"/>
      <c r="UVK83" s="0"/>
      <c r="UVL83" s="0"/>
      <c r="UVM83" s="0"/>
      <c r="UVN83" s="0"/>
      <c r="UVO83" s="0"/>
      <c r="UVP83" s="0"/>
      <c r="UVQ83" s="0"/>
      <c r="UVR83" s="0"/>
      <c r="UVS83" s="0"/>
      <c r="UVT83" s="0"/>
      <c r="UVU83" s="0"/>
      <c r="UVV83" s="0"/>
      <c r="UVW83" s="0"/>
      <c r="UVX83" s="0"/>
      <c r="UVY83" s="0"/>
      <c r="UVZ83" s="0"/>
      <c r="UWA83" s="0"/>
      <c r="UWB83" s="0"/>
      <c r="UWC83" s="0"/>
      <c r="UWD83" s="0"/>
      <c r="UWE83" s="0"/>
      <c r="UWF83" s="0"/>
      <c r="UWG83" s="0"/>
      <c r="UWH83" s="0"/>
      <c r="UWI83" s="0"/>
      <c r="UWJ83" s="0"/>
      <c r="UWK83" s="0"/>
      <c r="UWL83" s="0"/>
      <c r="UWM83" s="0"/>
      <c r="UWN83" s="0"/>
      <c r="UWO83" s="0"/>
      <c r="UWP83" s="0"/>
      <c r="UWQ83" s="0"/>
      <c r="UWR83" s="0"/>
      <c r="UWS83" s="0"/>
      <c r="UWT83" s="0"/>
      <c r="UWU83" s="0"/>
      <c r="UWV83" s="0"/>
      <c r="UWW83" s="0"/>
      <c r="UWX83" s="0"/>
      <c r="UWY83" s="0"/>
      <c r="UWZ83" s="0"/>
      <c r="UXA83" s="0"/>
      <c r="UXB83" s="0"/>
      <c r="UXC83" s="0"/>
      <c r="UXD83" s="0"/>
      <c r="UXE83" s="0"/>
      <c r="UXF83" s="0"/>
      <c r="UXG83" s="0"/>
      <c r="UXH83" s="0"/>
      <c r="UXI83" s="0"/>
      <c r="UXJ83" s="0"/>
      <c r="UXK83" s="0"/>
      <c r="UXL83" s="0"/>
      <c r="UXM83" s="0"/>
      <c r="UXN83" s="0"/>
      <c r="UXO83" s="0"/>
      <c r="UXP83" s="0"/>
      <c r="UXQ83" s="0"/>
      <c r="UXR83" s="0"/>
      <c r="UXS83" s="0"/>
      <c r="UXT83" s="0"/>
      <c r="UXU83" s="0"/>
      <c r="UXV83" s="0"/>
      <c r="UXW83" s="0"/>
      <c r="UXX83" s="0"/>
      <c r="UXY83" s="0"/>
      <c r="UXZ83" s="0"/>
      <c r="UYA83" s="0"/>
      <c r="UYB83" s="0"/>
      <c r="UYC83" s="0"/>
      <c r="UYD83" s="0"/>
      <c r="UYE83" s="0"/>
      <c r="UYF83" s="0"/>
      <c r="UYG83" s="0"/>
      <c r="UYH83" s="0"/>
      <c r="UYI83" s="0"/>
      <c r="UYJ83" s="0"/>
      <c r="UYK83" s="0"/>
      <c r="UYL83" s="0"/>
      <c r="UYM83" s="0"/>
      <c r="UYN83" s="0"/>
      <c r="UYO83" s="0"/>
      <c r="UYP83" s="0"/>
      <c r="UYQ83" s="0"/>
      <c r="UYR83" s="0"/>
      <c r="UYS83" s="0"/>
      <c r="UYT83" s="0"/>
      <c r="UYU83" s="0"/>
      <c r="UYV83" s="0"/>
      <c r="UYW83" s="0"/>
      <c r="UYX83" s="0"/>
      <c r="UYY83" s="0"/>
      <c r="UYZ83" s="0"/>
      <c r="UZA83" s="0"/>
      <c r="UZB83" s="0"/>
      <c r="UZC83" s="0"/>
      <c r="UZD83" s="0"/>
      <c r="UZE83" s="0"/>
      <c r="UZF83" s="0"/>
      <c r="UZG83" s="0"/>
      <c r="UZH83" s="0"/>
      <c r="UZI83" s="0"/>
      <c r="UZJ83" s="0"/>
      <c r="UZK83" s="0"/>
      <c r="UZL83" s="0"/>
      <c r="UZM83" s="0"/>
      <c r="UZN83" s="0"/>
      <c r="UZO83" s="0"/>
      <c r="UZP83" s="0"/>
      <c r="UZQ83" s="0"/>
      <c r="UZR83" s="0"/>
      <c r="UZS83" s="0"/>
      <c r="UZT83" s="0"/>
      <c r="UZU83" s="0"/>
      <c r="UZV83" s="0"/>
      <c r="UZW83" s="0"/>
      <c r="UZX83" s="0"/>
      <c r="UZY83" s="0"/>
      <c r="UZZ83" s="0"/>
      <c r="VAA83" s="0"/>
      <c r="VAB83" s="0"/>
      <c r="VAC83" s="0"/>
      <c r="VAD83" s="0"/>
      <c r="VAE83" s="0"/>
      <c r="VAF83" s="0"/>
      <c r="VAG83" s="0"/>
      <c r="VAH83" s="0"/>
      <c r="VAI83" s="0"/>
      <c r="VAJ83" s="0"/>
      <c r="VAK83" s="0"/>
      <c r="VAL83" s="0"/>
      <c r="VAM83" s="0"/>
      <c r="VAN83" s="0"/>
      <c r="VAO83" s="0"/>
      <c r="VAP83" s="0"/>
      <c r="VAQ83" s="0"/>
      <c r="VAR83" s="0"/>
      <c r="VAS83" s="0"/>
      <c r="VAT83" s="0"/>
      <c r="VAU83" s="0"/>
      <c r="VAV83" s="0"/>
      <c r="VAW83" s="0"/>
      <c r="VAX83" s="0"/>
      <c r="VAY83" s="0"/>
      <c r="VAZ83" s="0"/>
      <c r="VBA83" s="0"/>
      <c r="VBB83" s="0"/>
      <c r="VBC83" s="0"/>
      <c r="VBD83" s="0"/>
      <c r="VBE83" s="0"/>
      <c r="VBF83" s="0"/>
      <c r="VBG83" s="0"/>
      <c r="VBH83" s="0"/>
      <c r="VBI83" s="0"/>
      <c r="VBJ83" s="0"/>
      <c r="VBK83" s="0"/>
      <c r="VBL83" s="0"/>
      <c r="VBM83" s="0"/>
      <c r="VBN83" s="0"/>
      <c r="VBO83" s="0"/>
      <c r="VBP83" s="0"/>
      <c r="VBQ83" s="0"/>
      <c r="VBR83" s="0"/>
      <c r="VBS83" s="0"/>
      <c r="VBT83" s="0"/>
      <c r="VBU83" s="0"/>
      <c r="VBV83" s="0"/>
      <c r="VBW83" s="0"/>
      <c r="VBX83" s="0"/>
      <c r="VBY83" s="0"/>
      <c r="VBZ83" s="0"/>
      <c r="VCA83" s="0"/>
      <c r="VCB83" s="0"/>
      <c r="VCC83" s="0"/>
      <c r="VCD83" s="0"/>
      <c r="VCE83" s="0"/>
      <c r="VCF83" s="0"/>
      <c r="VCG83" s="0"/>
      <c r="VCH83" s="0"/>
      <c r="VCI83" s="0"/>
      <c r="VCJ83" s="0"/>
      <c r="VCK83" s="0"/>
      <c r="VCL83" s="0"/>
      <c r="VCM83" s="0"/>
      <c r="VCN83" s="0"/>
      <c r="VCO83" s="0"/>
      <c r="VCP83" s="0"/>
      <c r="VCQ83" s="0"/>
      <c r="VCR83" s="0"/>
      <c r="VCS83" s="0"/>
      <c r="VCT83" s="0"/>
      <c r="VCU83" s="0"/>
      <c r="VCV83" s="0"/>
      <c r="VCW83" s="0"/>
      <c r="VCX83" s="0"/>
      <c r="VCY83" s="0"/>
      <c r="VCZ83" s="0"/>
      <c r="VDA83" s="0"/>
      <c r="VDB83" s="0"/>
      <c r="VDC83" s="0"/>
      <c r="VDD83" s="0"/>
      <c r="VDE83" s="0"/>
      <c r="VDF83" s="0"/>
      <c r="VDG83" s="0"/>
      <c r="VDH83" s="0"/>
      <c r="VDI83" s="0"/>
      <c r="VDJ83" s="0"/>
      <c r="VDK83" s="0"/>
      <c r="VDL83" s="0"/>
      <c r="VDM83" s="0"/>
      <c r="VDN83" s="0"/>
      <c r="VDO83" s="0"/>
      <c r="VDP83" s="0"/>
      <c r="VDQ83" s="0"/>
      <c r="VDR83" s="0"/>
      <c r="VDS83" s="0"/>
      <c r="VDT83" s="0"/>
      <c r="VDU83" s="0"/>
      <c r="VDV83" s="0"/>
      <c r="VDW83" s="0"/>
      <c r="VDX83" s="0"/>
      <c r="VDY83" s="0"/>
      <c r="VDZ83" s="0"/>
      <c r="VEA83" s="0"/>
      <c r="VEB83" s="0"/>
      <c r="VEC83" s="0"/>
      <c r="VED83" s="0"/>
      <c r="VEE83" s="0"/>
      <c r="VEF83" s="0"/>
      <c r="VEG83" s="0"/>
      <c r="VEH83" s="0"/>
      <c r="VEI83" s="0"/>
      <c r="VEJ83" s="0"/>
      <c r="VEK83" s="0"/>
      <c r="VEL83" s="0"/>
      <c r="VEM83" s="0"/>
      <c r="VEN83" s="0"/>
      <c r="VEO83" s="0"/>
      <c r="VEP83" s="0"/>
      <c r="VEQ83" s="0"/>
      <c r="VER83" s="0"/>
      <c r="VES83" s="0"/>
      <c r="VET83" s="0"/>
      <c r="VEU83" s="0"/>
      <c r="VEV83" s="0"/>
      <c r="VEW83" s="0"/>
      <c r="VEX83" s="0"/>
      <c r="VEY83" s="0"/>
      <c r="VEZ83" s="0"/>
      <c r="VFA83" s="0"/>
      <c r="VFB83" s="0"/>
      <c r="VFC83" s="0"/>
      <c r="VFD83" s="0"/>
      <c r="VFE83" s="0"/>
      <c r="VFF83" s="0"/>
      <c r="VFG83" s="0"/>
      <c r="VFH83" s="0"/>
      <c r="VFI83" s="0"/>
      <c r="VFJ83" s="0"/>
      <c r="VFK83" s="0"/>
      <c r="VFL83" s="0"/>
      <c r="VFM83" s="0"/>
      <c r="VFN83" s="0"/>
      <c r="VFO83" s="0"/>
      <c r="VFP83" s="0"/>
      <c r="VFQ83" s="0"/>
      <c r="VFR83" s="0"/>
      <c r="VFS83" s="0"/>
      <c r="VFT83" s="0"/>
      <c r="VFU83" s="0"/>
      <c r="VFV83" s="0"/>
      <c r="VFW83" s="0"/>
      <c r="VFX83" s="0"/>
      <c r="VFY83" s="0"/>
      <c r="VFZ83" s="0"/>
      <c r="VGA83" s="0"/>
      <c r="VGB83" s="0"/>
      <c r="VGC83" s="0"/>
      <c r="VGD83" s="0"/>
      <c r="VGE83" s="0"/>
      <c r="VGF83" s="0"/>
      <c r="VGG83" s="0"/>
      <c r="VGH83" s="0"/>
      <c r="VGI83" s="0"/>
      <c r="VGJ83" s="0"/>
      <c r="VGK83" s="0"/>
      <c r="VGL83" s="0"/>
      <c r="VGM83" s="0"/>
      <c r="VGN83" s="0"/>
      <c r="VGO83" s="0"/>
      <c r="VGP83" s="0"/>
      <c r="VGQ83" s="0"/>
      <c r="VGR83" s="0"/>
      <c r="VGS83" s="0"/>
      <c r="VGT83" s="0"/>
      <c r="VGU83" s="0"/>
      <c r="VGV83" s="0"/>
      <c r="VGW83" s="0"/>
      <c r="VGX83" s="0"/>
      <c r="VGY83" s="0"/>
      <c r="VGZ83" s="0"/>
      <c r="VHA83" s="0"/>
      <c r="VHB83" s="0"/>
      <c r="VHC83" s="0"/>
      <c r="VHD83" s="0"/>
      <c r="VHE83" s="0"/>
      <c r="VHF83" s="0"/>
      <c r="VHG83" s="0"/>
      <c r="VHH83" s="0"/>
      <c r="VHI83" s="0"/>
      <c r="VHJ83" s="0"/>
      <c r="VHK83" s="0"/>
      <c r="VHL83" s="0"/>
      <c r="VHM83" s="0"/>
      <c r="VHN83" s="0"/>
      <c r="VHO83" s="0"/>
      <c r="VHP83" s="0"/>
      <c r="VHQ83" s="0"/>
      <c r="VHR83" s="0"/>
      <c r="VHS83" s="0"/>
      <c r="VHT83" s="0"/>
      <c r="VHU83" s="0"/>
      <c r="VHV83" s="0"/>
      <c r="VHW83" s="0"/>
      <c r="VHX83" s="0"/>
      <c r="VHY83" s="0"/>
      <c r="VHZ83" s="0"/>
      <c r="VIA83" s="0"/>
      <c r="VIB83" s="0"/>
      <c r="VIC83" s="0"/>
      <c r="VID83" s="0"/>
      <c r="VIE83" s="0"/>
      <c r="VIF83" s="0"/>
      <c r="VIG83" s="0"/>
      <c r="VIH83" s="0"/>
      <c r="VII83" s="0"/>
      <c r="VIJ83" s="0"/>
      <c r="VIK83" s="0"/>
      <c r="VIL83" s="0"/>
      <c r="VIM83" s="0"/>
      <c r="VIN83" s="0"/>
      <c r="VIO83" s="0"/>
      <c r="VIP83" s="0"/>
      <c r="VIQ83" s="0"/>
      <c r="VIR83" s="0"/>
      <c r="VIS83" s="0"/>
      <c r="VIT83" s="0"/>
      <c r="VIU83" s="0"/>
      <c r="VIV83" s="0"/>
      <c r="VIW83" s="0"/>
      <c r="VIX83" s="0"/>
      <c r="VIY83" s="0"/>
      <c r="VIZ83" s="0"/>
      <c r="VJA83" s="0"/>
      <c r="VJB83" s="0"/>
      <c r="VJC83" s="0"/>
      <c r="VJD83" s="0"/>
      <c r="VJE83" s="0"/>
      <c r="VJF83" s="0"/>
      <c r="VJG83" s="0"/>
      <c r="VJH83" s="0"/>
      <c r="VJI83" s="0"/>
      <c r="VJJ83" s="0"/>
      <c r="VJK83" s="0"/>
      <c r="VJL83" s="0"/>
      <c r="VJM83" s="0"/>
      <c r="VJN83" s="0"/>
      <c r="VJO83" s="0"/>
      <c r="VJP83" s="0"/>
      <c r="VJQ83" s="0"/>
      <c r="VJR83" s="0"/>
      <c r="VJS83" s="0"/>
      <c r="VJT83" s="0"/>
      <c r="VJU83" s="0"/>
      <c r="VJV83" s="0"/>
      <c r="VJW83" s="0"/>
      <c r="VJX83" s="0"/>
      <c r="VJY83" s="0"/>
      <c r="VJZ83" s="0"/>
      <c r="VKA83" s="0"/>
      <c r="VKB83" s="0"/>
      <c r="VKC83" s="0"/>
      <c r="VKD83" s="0"/>
      <c r="VKE83" s="0"/>
      <c r="VKF83" s="0"/>
      <c r="VKG83" s="0"/>
      <c r="VKH83" s="0"/>
      <c r="VKI83" s="0"/>
      <c r="VKJ83" s="0"/>
      <c r="VKK83" s="0"/>
      <c r="VKL83" s="0"/>
      <c r="VKM83" s="0"/>
      <c r="VKN83" s="0"/>
      <c r="VKO83" s="0"/>
      <c r="VKP83" s="0"/>
      <c r="VKQ83" s="0"/>
      <c r="VKR83" s="0"/>
      <c r="VKS83" s="0"/>
      <c r="VKT83" s="0"/>
      <c r="VKU83" s="0"/>
      <c r="VKV83" s="0"/>
      <c r="VKW83" s="0"/>
      <c r="VKX83" s="0"/>
      <c r="VKY83" s="0"/>
      <c r="VKZ83" s="0"/>
      <c r="VLA83" s="0"/>
      <c r="VLB83" s="0"/>
      <c r="VLC83" s="0"/>
      <c r="VLD83" s="0"/>
      <c r="VLE83" s="0"/>
      <c r="VLF83" s="0"/>
      <c r="VLG83" s="0"/>
      <c r="VLH83" s="0"/>
      <c r="VLI83" s="0"/>
      <c r="VLJ83" s="0"/>
      <c r="VLK83" s="0"/>
      <c r="VLL83" s="0"/>
      <c r="VLM83" s="0"/>
      <c r="VLN83" s="0"/>
      <c r="VLO83" s="0"/>
      <c r="VLP83" s="0"/>
      <c r="VLQ83" s="0"/>
      <c r="VLR83" s="0"/>
      <c r="VLS83" s="0"/>
      <c r="VLT83" s="0"/>
      <c r="VLU83" s="0"/>
      <c r="VLV83" s="0"/>
      <c r="VLW83" s="0"/>
      <c r="VLX83" s="0"/>
      <c r="VLY83" s="0"/>
      <c r="VLZ83" s="0"/>
      <c r="VMA83" s="0"/>
      <c r="VMB83" s="0"/>
      <c r="VMC83" s="0"/>
      <c r="VMD83" s="0"/>
      <c r="VME83" s="0"/>
      <c r="VMF83" s="0"/>
      <c r="VMG83" s="0"/>
      <c r="VMH83" s="0"/>
      <c r="VMI83" s="0"/>
      <c r="VMJ83" s="0"/>
      <c r="VMK83" s="0"/>
      <c r="VML83" s="0"/>
      <c r="VMM83" s="0"/>
      <c r="VMN83" s="0"/>
      <c r="VMO83" s="0"/>
      <c r="VMP83" s="0"/>
      <c r="VMQ83" s="0"/>
      <c r="VMR83" s="0"/>
      <c r="VMS83" s="0"/>
      <c r="VMT83" s="0"/>
      <c r="VMU83" s="0"/>
      <c r="VMV83" s="0"/>
      <c r="VMW83" s="0"/>
      <c r="VMX83" s="0"/>
      <c r="VMY83" s="0"/>
      <c r="VMZ83" s="0"/>
      <c r="VNA83" s="0"/>
      <c r="VNB83" s="0"/>
      <c r="VNC83" s="0"/>
      <c r="VND83" s="0"/>
      <c r="VNE83" s="0"/>
      <c r="VNF83" s="0"/>
      <c r="VNG83" s="0"/>
      <c r="VNH83" s="0"/>
      <c r="VNI83" s="0"/>
      <c r="VNJ83" s="0"/>
      <c r="VNK83" s="0"/>
      <c r="VNL83" s="0"/>
      <c r="VNM83" s="0"/>
      <c r="VNN83" s="0"/>
      <c r="VNO83" s="0"/>
      <c r="VNP83" s="0"/>
      <c r="VNQ83" s="0"/>
      <c r="VNR83" s="0"/>
      <c r="VNS83" s="0"/>
      <c r="VNT83" s="0"/>
      <c r="VNU83" s="0"/>
      <c r="VNV83" s="0"/>
      <c r="VNW83" s="0"/>
      <c r="VNX83" s="0"/>
      <c r="VNY83" s="0"/>
      <c r="VNZ83" s="0"/>
      <c r="VOA83" s="0"/>
      <c r="VOB83" s="0"/>
      <c r="VOC83" s="0"/>
      <c r="VOD83" s="0"/>
      <c r="VOE83" s="0"/>
      <c r="VOF83" s="0"/>
      <c r="VOG83" s="0"/>
      <c r="VOH83" s="0"/>
      <c r="VOI83" s="0"/>
      <c r="VOJ83" s="0"/>
      <c r="VOK83" s="0"/>
      <c r="VOL83" s="0"/>
      <c r="VOM83" s="0"/>
      <c r="VON83" s="0"/>
      <c r="VOO83" s="0"/>
      <c r="VOP83" s="0"/>
      <c r="VOQ83" s="0"/>
      <c r="VOR83" s="0"/>
      <c r="VOS83" s="0"/>
      <c r="VOT83" s="0"/>
      <c r="VOU83" s="0"/>
      <c r="VOV83" s="0"/>
      <c r="VOW83" s="0"/>
      <c r="VOX83" s="0"/>
      <c r="VOY83" s="0"/>
      <c r="VOZ83" s="0"/>
      <c r="VPA83" s="0"/>
      <c r="VPB83" s="0"/>
      <c r="VPC83" s="0"/>
      <c r="VPD83" s="0"/>
      <c r="VPE83" s="0"/>
      <c r="VPF83" s="0"/>
      <c r="VPG83" s="0"/>
      <c r="VPH83" s="0"/>
      <c r="VPI83" s="0"/>
      <c r="VPJ83" s="0"/>
      <c r="VPK83" s="0"/>
      <c r="VPL83" s="0"/>
      <c r="VPM83" s="0"/>
      <c r="VPN83" s="0"/>
      <c r="VPO83" s="0"/>
      <c r="VPP83" s="0"/>
      <c r="VPQ83" s="0"/>
      <c r="VPR83" s="0"/>
      <c r="VPS83" s="0"/>
      <c r="VPT83" s="0"/>
      <c r="VPU83" s="0"/>
      <c r="VPV83" s="0"/>
      <c r="VPW83" s="0"/>
      <c r="VPX83" s="0"/>
      <c r="VPY83" s="0"/>
      <c r="VPZ83" s="0"/>
      <c r="VQA83" s="0"/>
      <c r="VQB83" s="0"/>
      <c r="VQC83" s="0"/>
      <c r="VQD83" s="0"/>
      <c r="VQE83" s="0"/>
      <c r="VQF83" s="0"/>
      <c r="VQG83" s="0"/>
      <c r="VQH83" s="0"/>
      <c r="VQI83" s="0"/>
      <c r="VQJ83" s="0"/>
      <c r="VQK83" s="0"/>
      <c r="VQL83" s="0"/>
      <c r="VQM83" s="0"/>
      <c r="VQN83" s="0"/>
      <c r="VQO83" s="0"/>
      <c r="VQP83" s="0"/>
      <c r="VQQ83" s="0"/>
      <c r="VQR83" s="0"/>
      <c r="VQS83" s="0"/>
      <c r="VQT83" s="0"/>
      <c r="VQU83" s="0"/>
      <c r="VQV83" s="0"/>
      <c r="VQW83" s="0"/>
      <c r="VQX83" s="0"/>
      <c r="VQY83" s="0"/>
      <c r="VQZ83" s="0"/>
      <c r="VRA83" s="0"/>
      <c r="VRB83" s="0"/>
      <c r="VRC83" s="0"/>
      <c r="VRD83" s="0"/>
      <c r="VRE83" s="0"/>
      <c r="VRF83" s="0"/>
      <c r="VRG83" s="0"/>
      <c r="VRH83" s="0"/>
      <c r="VRI83" s="0"/>
      <c r="VRJ83" s="0"/>
      <c r="VRK83" s="0"/>
      <c r="VRL83" s="0"/>
      <c r="VRM83" s="0"/>
      <c r="VRN83" s="0"/>
      <c r="VRO83" s="0"/>
      <c r="VRP83" s="0"/>
      <c r="VRQ83" s="0"/>
      <c r="VRR83" s="0"/>
      <c r="VRS83" s="0"/>
      <c r="VRT83" s="0"/>
      <c r="VRU83" s="0"/>
      <c r="VRV83" s="0"/>
      <c r="VRW83" s="0"/>
      <c r="VRX83" s="0"/>
      <c r="VRY83" s="0"/>
      <c r="VRZ83" s="0"/>
      <c r="VSA83" s="0"/>
      <c r="VSB83" s="0"/>
      <c r="VSC83" s="0"/>
      <c r="VSD83" s="0"/>
      <c r="VSE83" s="0"/>
      <c r="VSF83" s="0"/>
      <c r="VSG83" s="0"/>
      <c r="VSH83" s="0"/>
      <c r="VSI83" s="0"/>
      <c r="VSJ83" s="0"/>
      <c r="VSK83" s="0"/>
      <c r="VSL83" s="0"/>
      <c r="VSM83" s="0"/>
      <c r="VSN83" s="0"/>
      <c r="VSO83" s="0"/>
      <c r="VSP83" s="0"/>
      <c r="VSQ83" s="0"/>
      <c r="VSR83" s="0"/>
      <c r="VSS83" s="0"/>
      <c r="VST83" s="0"/>
      <c r="VSU83" s="0"/>
      <c r="VSV83" s="0"/>
      <c r="VSW83" s="0"/>
      <c r="VSX83" s="0"/>
      <c r="VSY83" s="0"/>
      <c r="VSZ83" s="0"/>
      <c r="VTA83" s="0"/>
      <c r="VTB83" s="0"/>
      <c r="VTC83" s="0"/>
      <c r="VTD83" s="0"/>
      <c r="VTE83" s="0"/>
      <c r="VTF83" s="0"/>
      <c r="VTG83" s="0"/>
      <c r="VTH83" s="0"/>
      <c r="VTI83" s="0"/>
      <c r="VTJ83" s="0"/>
      <c r="VTK83" s="0"/>
      <c r="VTL83" s="0"/>
      <c r="VTM83" s="0"/>
      <c r="VTN83" s="0"/>
      <c r="VTO83" s="0"/>
      <c r="VTP83" s="0"/>
      <c r="VTQ83" s="0"/>
      <c r="VTR83" s="0"/>
      <c r="VTS83" s="0"/>
      <c r="VTT83" s="0"/>
      <c r="VTU83" s="0"/>
      <c r="VTV83" s="0"/>
      <c r="VTW83" s="0"/>
      <c r="VTX83" s="0"/>
      <c r="VTY83" s="0"/>
      <c r="VTZ83" s="0"/>
      <c r="VUA83" s="0"/>
      <c r="VUB83" s="0"/>
      <c r="VUC83" s="0"/>
      <c r="VUD83" s="0"/>
      <c r="VUE83" s="0"/>
      <c r="VUF83" s="0"/>
      <c r="VUG83" s="0"/>
      <c r="VUH83" s="0"/>
      <c r="VUI83" s="0"/>
      <c r="VUJ83" s="0"/>
      <c r="VUK83" s="0"/>
      <c r="VUL83" s="0"/>
      <c r="VUM83" s="0"/>
      <c r="VUN83" s="0"/>
      <c r="VUO83" s="0"/>
      <c r="VUP83" s="0"/>
      <c r="VUQ83" s="0"/>
      <c r="VUR83" s="0"/>
      <c r="VUS83" s="0"/>
      <c r="VUT83" s="0"/>
      <c r="VUU83" s="0"/>
      <c r="VUV83" s="0"/>
      <c r="VUW83" s="0"/>
      <c r="VUX83" s="0"/>
      <c r="VUY83" s="0"/>
      <c r="VUZ83" s="0"/>
      <c r="VVA83" s="0"/>
      <c r="VVB83" s="0"/>
      <c r="VVC83" s="0"/>
      <c r="VVD83" s="0"/>
      <c r="VVE83" s="0"/>
      <c r="VVF83" s="0"/>
      <c r="VVG83" s="0"/>
      <c r="VVH83" s="0"/>
      <c r="VVI83" s="0"/>
      <c r="VVJ83" s="0"/>
      <c r="VVK83" s="0"/>
      <c r="VVL83" s="0"/>
      <c r="VVM83" s="0"/>
      <c r="VVN83" s="0"/>
      <c r="VVO83" s="0"/>
      <c r="VVP83" s="0"/>
      <c r="VVQ83" s="0"/>
      <c r="VVR83" s="0"/>
      <c r="VVS83" s="0"/>
      <c r="VVT83" s="0"/>
      <c r="VVU83" s="0"/>
      <c r="VVV83" s="0"/>
      <c r="VVW83" s="0"/>
      <c r="VVX83" s="0"/>
      <c r="VVY83" s="0"/>
      <c r="VVZ83" s="0"/>
      <c r="VWA83" s="0"/>
      <c r="VWB83" s="0"/>
      <c r="VWC83" s="0"/>
      <c r="VWD83" s="0"/>
      <c r="VWE83" s="0"/>
      <c r="VWF83" s="0"/>
      <c r="VWG83" s="0"/>
      <c r="VWH83" s="0"/>
      <c r="VWI83" s="0"/>
      <c r="VWJ83" s="0"/>
      <c r="VWK83" s="0"/>
      <c r="VWL83" s="0"/>
      <c r="VWM83" s="0"/>
      <c r="VWN83" s="0"/>
      <c r="VWO83" s="0"/>
      <c r="VWP83" s="0"/>
      <c r="VWQ83" s="0"/>
      <c r="VWR83" s="0"/>
      <c r="VWS83" s="0"/>
      <c r="VWT83" s="0"/>
      <c r="VWU83" s="0"/>
      <c r="VWV83" s="0"/>
      <c r="VWW83" s="0"/>
      <c r="VWX83" s="0"/>
      <c r="VWY83" s="0"/>
      <c r="VWZ83" s="0"/>
      <c r="VXA83" s="0"/>
      <c r="VXB83" s="0"/>
      <c r="VXC83" s="0"/>
      <c r="VXD83" s="0"/>
      <c r="VXE83" s="0"/>
      <c r="VXF83" s="0"/>
      <c r="VXG83" s="0"/>
      <c r="VXH83" s="0"/>
      <c r="VXI83" s="0"/>
      <c r="VXJ83" s="0"/>
      <c r="VXK83" s="0"/>
      <c r="VXL83" s="0"/>
      <c r="VXM83" s="0"/>
      <c r="VXN83" s="0"/>
      <c r="VXO83" s="0"/>
      <c r="VXP83" s="0"/>
      <c r="VXQ83" s="0"/>
      <c r="VXR83" s="0"/>
      <c r="VXS83" s="0"/>
      <c r="VXT83" s="0"/>
      <c r="VXU83" s="0"/>
      <c r="VXV83" s="0"/>
      <c r="VXW83" s="0"/>
      <c r="VXX83" s="0"/>
      <c r="VXY83" s="0"/>
      <c r="VXZ83" s="0"/>
      <c r="VYA83" s="0"/>
      <c r="VYB83" s="0"/>
      <c r="VYC83" s="0"/>
      <c r="VYD83" s="0"/>
      <c r="VYE83" s="0"/>
      <c r="VYF83" s="0"/>
      <c r="VYG83" s="0"/>
      <c r="VYH83" s="0"/>
      <c r="VYI83" s="0"/>
      <c r="VYJ83" s="0"/>
      <c r="VYK83" s="0"/>
      <c r="VYL83" s="0"/>
      <c r="VYM83" s="0"/>
      <c r="VYN83" s="0"/>
      <c r="VYO83" s="0"/>
      <c r="VYP83" s="0"/>
      <c r="VYQ83" s="0"/>
      <c r="VYR83" s="0"/>
      <c r="VYS83" s="0"/>
      <c r="VYT83" s="0"/>
      <c r="VYU83" s="0"/>
      <c r="VYV83" s="0"/>
      <c r="VYW83" s="0"/>
      <c r="VYX83" s="0"/>
      <c r="VYY83" s="0"/>
      <c r="VYZ83" s="0"/>
      <c r="VZA83" s="0"/>
      <c r="VZB83" s="0"/>
      <c r="VZC83" s="0"/>
      <c r="VZD83" s="0"/>
      <c r="VZE83" s="0"/>
      <c r="VZF83" s="0"/>
      <c r="VZG83" s="0"/>
      <c r="VZH83" s="0"/>
      <c r="VZI83" s="0"/>
      <c r="VZJ83" s="0"/>
      <c r="VZK83" s="0"/>
      <c r="VZL83" s="0"/>
      <c r="VZM83" s="0"/>
      <c r="VZN83" s="0"/>
      <c r="VZO83" s="0"/>
      <c r="VZP83" s="0"/>
      <c r="VZQ83" s="0"/>
      <c r="VZR83" s="0"/>
      <c r="VZS83" s="0"/>
      <c r="VZT83" s="0"/>
      <c r="VZU83" s="0"/>
      <c r="VZV83" s="0"/>
      <c r="VZW83" s="0"/>
      <c r="VZX83" s="0"/>
      <c r="VZY83" s="0"/>
      <c r="VZZ83" s="0"/>
      <c r="WAA83" s="0"/>
      <c r="WAB83" s="0"/>
      <c r="WAC83" s="0"/>
      <c r="WAD83" s="0"/>
      <c r="WAE83" s="0"/>
      <c r="WAF83" s="0"/>
      <c r="WAG83" s="0"/>
      <c r="WAH83" s="0"/>
      <c r="WAI83" s="0"/>
      <c r="WAJ83" s="0"/>
      <c r="WAK83" s="0"/>
      <c r="WAL83" s="0"/>
      <c r="WAM83" s="0"/>
      <c r="WAN83" s="0"/>
      <c r="WAO83" s="0"/>
      <c r="WAP83" s="0"/>
      <c r="WAQ83" s="0"/>
      <c r="WAR83" s="0"/>
      <c r="WAS83" s="0"/>
      <c r="WAT83" s="0"/>
      <c r="WAU83" s="0"/>
      <c r="WAV83" s="0"/>
      <c r="WAW83" s="0"/>
      <c r="WAX83" s="0"/>
      <c r="WAY83" s="0"/>
      <c r="WAZ83" s="0"/>
      <c r="WBA83" s="0"/>
      <c r="WBB83" s="0"/>
      <c r="WBC83" s="0"/>
      <c r="WBD83" s="0"/>
      <c r="WBE83" s="0"/>
      <c r="WBF83" s="0"/>
      <c r="WBG83" s="0"/>
      <c r="WBH83" s="0"/>
      <c r="WBI83" s="0"/>
      <c r="WBJ83" s="0"/>
      <c r="WBK83" s="0"/>
      <c r="WBL83" s="0"/>
      <c r="WBM83" s="0"/>
      <c r="WBN83" s="0"/>
      <c r="WBO83" s="0"/>
      <c r="WBP83" s="0"/>
      <c r="WBQ83" s="0"/>
      <c r="WBR83" s="0"/>
      <c r="WBS83" s="0"/>
      <c r="WBT83" s="0"/>
      <c r="WBU83" s="0"/>
      <c r="WBV83" s="0"/>
      <c r="WBW83" s="0"/>
      <c r="WBX83" s="0"/>
      <c r="WBY83" s="0"/>
      <c r="WBZ83" s="0"/>
      <c r="WCA83" s="0"/>
      <c r="WCB83" s="0"/>
      <c r="WCC83" s="0"/>
      <c r="WCD83" s="0"/>
      <c r="WCE83" s="0"/>
      <c r="WCF83" s="0"/>
      <c r="WCG83" s="0"/>
      <c r="WCH83" s="0"/>
      <c r="WCI83" s="0"/>
      <c r="WCJ83" s="0"/>
      <c r="WCK83" s="0"/>
      <c r="WCL83" s="0"/>
      <c r="WCM83" s="0"/>
      <c r="WCN83" s="0"/>
      <c r="WCO83" s="0"/>
      <c r="WCP83" s="0"/>
      <c r="WCQ83" s="0"/>
      <c r="WCR83" s="0"/>
      <c r="WCS83" s="0"/>
      <c r="WCT83" s="0"/>
      <c r="WCU83" s="0"/>
      <c r="WCV83" s="0"/>
      <c r="WCW83" s="0"/>
      <c r="WCX83" s="0"/>
      <c r="WCY83" s="0"/>
      <c r="WCZ83" s="0"/>
      <c r="WDA83" s="0"/>
      <c r="WDB83" s="0"/>
      <c r="WDC83" s="0"/>
      <c r="WDD83" s="0"/>
      <c r="WDE83" s="0"/>
      <c r="WDF83" s="0"/>
      <c r="WDG83" s="0"/>
      <c r="WDH83" s="0"/>
      <c r="WDI83" s="0"/>
      <c r="WDJ83" s="0"/>
      <c r="WDK83" s="0"/>
      <c r="WDL83" s="0"/>
      <c r="WDM83" s="0"/>
      <c r="WDN83" s="0"/>
      <c r="WDO83" s="0"/>
      <c r="WDP83" s="0"/>
      <c r="WDQ83" s="0"/>
      <c r="WDR83" s="0"/>
      <c r="WDS83" s="0"/>
      <c r="WDT83" s="0"/>
      <c r="WDU83" s="0"/>
      <c r="WDV83" s="0"/>
      <c r="WDW83" s="0"/>
      <c r="WDX83" s="0"/>
      <c r="WDY83" s="0"/>
      <c r="WDZ83" s="0"/>
      <c r="WEA83" s="0"/>
      <c r="WEB83" s="0"/>
      <c r="WEC83" s="0"/>
      <c r="WED83" s="0"/>
      <c r="WEE83" s="0"/>
      <c r="WEF83" s="0"/>
      <c r="WEG83" s="0"/>
      <c r="WEH83" s="0"/>
      <c r="WEI83" s="0"/>
      <c r="WEJ83" s="0"/>
      <c r="WEK83" s="0"/>
      <c r="WEL83" s="0"/>
      <c r="WEM83" s="0"/>
      <c r="WEN83" s="0"/>
      <c r="WEO83" s="0"/>
      <c r="WEP83" s="0"/>
      <c r="WEQ83" s="0"/>
      <c r="WER83" s="0"/>
      <c r="WES83" s="0"/>
      <c r="WET83" s="0"/>
      <c r="WEU83" s="0"/>
      <c r="WEV83" s="0"/>
      <c r="WEW83" s="0"/>
      <c r="WEX83" s="0"/>
      <c r="WEY83" s="0"/>
      <c r="WEZ83" s="0"/>
      <c r="WFA83" s="0"/>
      <c r="WFB83" s="0"/>
      <c r="WFC83" s="0"/>
      <c r="WFD83" s="0"/>
      <c r="WFE83" s="0"/>
      <c r="WFF83" s="0"/>
      <c r="WFG83" s="0"/>
      <c r="WFH83" s="0"/>
      <c r="WFI83" s="0"/>
      <c r="WFJ83" s="0"/>
      <c r="WFK83" s="0"/>
      <c r="WFL83" s="0"/>
      <c r="WFM83" s="0"/>
      <c r="WFN83" s="0"/>
      <c r="WFO83" s="0"/>
      <c r="WFP83" s="0"/>
      <c r="WFQ83" s="0"/>
      <c r="WFR83" s="0"/>
      <c r="WFS83" s="0"/>
      <c r="WFT83" s="0"/>
      <c r="WFU83" s="0"/>
      <c r="WFV83" s="0"/>
      <c r="WFW83" s="0"/>
      <c r="WFX83" s="0"/>
      <c r="WFY83" s="0"/>
      <c r="WFZ83" s="0"/>
      <c r="WGA83" s="0"/>
      <c r="WGB83" s="0"/>
      <c r="WGC83" s="0"/>
      <c r="WGD83" s="0"/>
      <c r="WGE83" s="0"/>
      <c r="WGF83" s="0"/>
      <c r="WGG83" s="0"/>
      <c r="WGH83" s="0"/>
      <c r="WGI83" s="0"/>
      <c r="WGJ83" s="0"/>
      <c r="WGK83" s="0"/>
      <c r="WGL83" s="0"/>
      <c r="WGM83" s="0"/>
      <c r="WGN83" s="0"/>
      <c r="WGO83" s="0"/>
      <c r="WGP83" s="0"/>
      <c r="WGQ83" s="0"/>
      <c r="WGR83" s="0"/>
      <c r="WGS83" s="0"/>
      <c r="WGT83" s="0"/>
      <c r="WGU83" s="0"/>
      <c r="WGV83" s="0"/>
      <c r="WGW83" s="0"/>
      <c r="WGX83" s="0"/>
      <c r="WGY83" s="0"/>
      <c r="WGZ83" s="0"/>
      <c r="WHA83" s="0"/>
      <c r="WHB83" s="0"/>
      <c r="WHC83" s="0"/>
      <c r="WHD83" s="0"/>
      <c r="WHE83" s="0"/>
      <c r="WHF83" s="0"/>
      <c r="WHG83" s="0"/>
      <c r="WHH83" s="0"/>
      <c r="WHI83" s="0"/>
      <c r="WHJ83" s="0"/>
      <c r="WHK83" s="0"/>
      <c r="WHL83" s="0"/>
      <c r="WHM83" s="0"/>
      <c r="WHN83" s="0"/>
      <c r="WHO83" s="0"/>
      <c r="WHP83" s="0"/>
      <c r="WHQ83" s="0"/>
      <c r="WHR83" s="0"/>
      <c r="WHS83" s="0"/>
      <c r="WHT83" s="0"/>
      <c r="WHU83" s="0"/>
      <c r="WHV83" s="0"/>
      <c r="WHW83" s="0"/>
      <c r="WHX83" s="0"/>
      <c r="WHY83" s="0"/>
      <c r="WHZ83" s="0"/>
      <c r="WIA83" s="0"/>
      <c r="WIB83" s="0"/>
      <c r="WIC83" s="0"/>
      <c r="WID83" s="0"/>
      <c r="WIE83" s="0"/>
      <c r="WIF83" s="0"/>
      <c r="WIG83" s="0"/>
      <c r="WIH83" s="0"/>
      <c r="WII83" s="0"/>
      <c r="WIJ83" s="0"/>
      <c r="WIK83" s="0"/>
      <c r="WIL83" s="0"/>
      <c r="WIM83" s="0"/>
      <c r="WIN83" s="0"/>
      <c r="WIO83" s="0"/>
      <c r="WIP83" s="0"/>
      <c r="WIQ83" s="0"/>
      <c r="WIR83" s="0"/>
      <c r="WIS83" s="0"/>
      <c r="WIT83" s="0"/>
      <c r="WIU83" s="0"/>
      <c r="WIV83" s="0"/>
      <c r="WIW83" s="0"/>
      <c r="WIX83" s="0"/>
      <c r="WIY83" s="0"/>
      <c r="WIZ83" s="0"/>
      <c r="WJA83" s="0"/>
      <c r="WJB83" s="0"/>
      <c r="WJC83" s="0"/>
      <c r="WJD83" s="0"/>
      <c r="WJE83" s="0"/>
      <c r="WJF83" s="0"/>
      <c r="WJG83" s="0"/>
      <c r="WJH83" s="0"/>
      <c r="WJI83" s="0"/>
      <c r="WJJ83" s="0"/>
      <c r="WJK83" s="0"/>
      <c r="WJL83" s="0"/>
      <c r="WJM83" s="0"/>
      <c r="WJN83" s="0"/>
      <c r="WJO83" s="0"/>
      <c r="WJP83" s="0"/>
      <c r="WJQ83" s="0"/>
      <c r="WJR83" s="0"/>
      <c r="WJS83" s="0"/>
      <c r="WJT83" s="0"/>
      <c r="WJU83" s="0"/>
      <c r="WJV83" s="0"/>
      <c r="WJW83" s="0"/>
      <c r="WJX83" s="0"/>
      <c r="WJY83" s="0"/>
      <c r="WJZ83" s="0"/>
      <c r="WKA83" s="0"/>
      <c r="WKB83" s="0"/>
      <c r="WKC83" s="0"/>
      <c r="WKD83" s="0"/>
      <c r="WKE83" s="0"/>
      <c r="WKF83" s="0"/>
      <c r="WKG83" s="0"/>
      <c r="WKH83" s="0"/>
      <c r="WKI83" s="0"/>
      <c r="WKJ83" s="0"/>
      <c r="WKK83" s="0"/>
      <c r="WKL83" s="0"/>
      <c r="WKM83" s="0"/>
      <c r="WKN83" s="0"/>
      <c r="WKO83" s="0"/>
      <c r="WKP83" s="0"/>
      <c r="WKQ83" s="0"/>
      <c r="WKR83" s="0"/>
      <c r="WKS83" s="0"/>
      <c r="WKT83" s="0"/>
      <c r="WKU83" s="0"/>
      <c r="WKV83" s="0"/>
      <c r="WKW83" s="0"/>
      <c r="WKX83" s="0"/>
      <c r="WKY83" s="0"/>
      <c r="WKZ83" s="0"/>
      <c r="WLA83" s="0"/>
      <c r="WLB83" s="0"/>
      <c r="WLC83" s="0"/>
      <c r="WLD83" s="0"/>
      <c r="WLE83" s="0"/>
      <c r="WLF83" s="0"/>
      <c r="WLG83" s="0"/>
      <c r="WLH83" s="0"/>
      <c r="WLI83" s="0"/>
      <c r="WLJ83" s="0"/>
      <c r="WLK83" s="0"/>
      <c r="WLL83" s="0"/>
      <c r="WLM83" s="0"/>
      <c r="WLN83" s="0"/>
      <c r="WLO83" s="0"/>
      <c r="WLP83" s="0"/>
      <c r="WLQ83" s="0"/>
      <c r="WLR83" s="0"/>
      <c r="WLS83" s="0"/>
      <c r="WLT83" s="0"/>
      <c r="WLU83" s="0"/>
      <c r="WLV83" s="0"/>
      <c r="WLW83" s="0"/>
      <c r="WLX83" s="0"/>
      <c r="WLY83" s="0"/>
      <c r="WLZ83" s="0"/>
      <c r="WMA83" s="0"/>
      <c r="WMB83" s="0"/>
      <c r="WMC83" s="0"/>
      <c r="WMD83" s="0"/>
      <c r="WME83" s="0"/>
      <c r="WMF83" s="0"/>
      <c r="WMG83" s="0"/>
      <c r="WMH83" s="0"/>
      <c r="WMI83" s="0"/>
      <c r="WMJ83" s="0"/>
      <c r="WMK83" s="0"/>
      <c r="WML83" s="0"/>
      <c r="WMM83" s="0"/>
      <c r="WMN83" s="0"/>
      <c r="WMO83" s="0"/>
      <c r="WMP83" s="0"/>
      <c r="WMQ83" s="0"/>
      <c r="WMR83" s="0"/>
      <c r="WMS83" s="0"/>
      <c r="WMT83" s="0"/>
      <c r="WMU83" s="0"/>
      <c r="WMV83" s="0"/>
      <c r="WMW83" s="0"/>
      <c r="WMX83" s="0"/>
      <c r="WMY83" s="0"/>
      <c r="WMZ83" s="0"/>
      <c r="WNA83" s="0"/>
      <c r="WNB83" s="0"/>
      <c r="WNC83" s="0"/>
      <c r="WND83" s="0"/>
      <c r="WNE83" s="0"/>
      <c r="WNF83" s="0"/>
      <c r="WNG83" s="0"/>
      <c r="WNH83" s="0"/>
      <c r="WNI83" s="0"/>
      <c r="WNJ83" s="0"/>
      <c r="WNK83" s="0"/>
      <c r="WNL83" s="0"/>
      <c r="WNM83" s="0"/>
      <c r="WNN83" s="0"/>
      <c r="WNO83" s="0"/>
      <c r="WNP83" s="0"/>
      <c r="WNQ83" s="0"/>
      <c r="WNR83" s="0"/>
      <c r="WNS83" s="0"/>
      <c r="WNT83" s="0"/>
      <c r="WNU83" s="0"/>
      <c r="WNV83" s="0"/>
      <c r="WNW83" s="0"/>
      <c r="WNX83" s="0"/>
      <c r="WNY83" s="0"/>
      <c r="WNZ83" s="0"/>
      <c r="WOA83" s="0"/>
      <c r="WOB83" s="0"/>
      <c r="WOC83" s="0"/>
      <c r="WOD83" s="0"/>
      <c r="WOE83" s="0"/>
      <c r="WOF83" s="0"/>
      <c r="WOG83" s="0"/>
      <c r="WOH83" s="0"/>
      <c r="WOI83" s="0"/>
      <c r="WOJ83" s="0"/>
      <c r="WOK83" s="0"/>
      <c r="WOL83" s="0"/>
      <c r="WOM83" s="0"/>
      <c r="WON83" s="0"/>
      <c r="WOO83" s="0"/>
      <c r="WOP83" s="0"/>
      <c r="WOQ83" s="0"/>
      <c r="WOR83" s="0"/>
      <c r="WOS83" s="0"/>
      <c r="WOT83" s="0"/>
      <c r="WOU83" s="0"/>
      <c r="WOV83" s="0"/>
      <c r="WOW83" s="0"/>
      <c r="WOX83" s="0"/>
      <c r="WOY83" s="0"/>
      <c r="WOZ83" s="0"/>
      <c r="WPA83" s="0"/>
      <c r="WPB83" s="0"/>
      <c r="WPC83" s="0"/>
      <c r="WPD83" s="0"/>
      <c r="WPE83" s="0"/>
      <c r="WPF83" s="0"/>
      <c r="WPG83" s="0"/>
      <c r="WPH83" s="0"/>
      <c r="WPI83" s="0"/>
      <c r="WPJ83" s="0"/>
      <c r="WPK83" s="0"/>
      <c r="WPL83" s="0"/>
      <c r="WPM83" s="0"/>
      <c r="WPN83" s="0"/>
      <c r="WPO83" s="0"/>
      <c r="WPP83" s="0"/>
      <c r="WPQ83" s="0"/>
      <c r="WPR83" s="0"/>
      <c r="WPS83" s="0"/>
      <c r="WPT83" s="0"/>
      <c r="WPU83" s="0"/>
      <c r="WPV83" s="0"/>
      <c r="WPW83" s="0"/>
      <c r="WPX83" s="0"/>
      <c r="WPY83" s="0"/>
      <c r="WPZ83" s="0"/>
      <c r="WQA83" s="0"/>
      <c r="WQB83" s="0"/>
      <c r="WQC83" s="0"/>
      <c r="WQD83" s="0"/>
      <c r="WQE83" s="0"/>
      <c r="WQF83" s="0"/>
      <c r="WQG83" s="0"/>
      <c r="WQH83" s="0"/>
      <c r="WQI83" s="0"/>
      <c r="WQJ83" s="0"/>
      <c r="WQK83" s="0"/>
      <c r="WQL83" s="0"/>
      <c r="WQM83" s="0"/>
      <c r="WQN83" s="0"/>
      <c r="WQO83" s="0"/>
      <c r="WQP83" s="0"/>
      <c r="WQQ83" s="0"/>
      <c r="WQR83" s="0"/>
      <c r="WQS83" s="0"/>
      <c r="WQT83" s="0"/>
      <c r="WQU83" s="0"/>
      <c r="WQV83" s="0"/>
      <c r="WQW83" s="0"/>
      <c r="WQX83" s="0"/>
      <c r="WQY83" s="0"/>
      <c r="WQZ83" s="0"/>
      <c r="WRA83" s="0"/>
      <c r="WRB83" s="0"/>
      <c r="WRC83" s="0"/>
      <c r="WRD83" s="0"/>
      <c r="WRE83" s="0"/>
      <c r="WRF83" s="0"/>
      <c r="WRG83" s="0"/>
      <c r="WRH83" s="0"/>
      <c r="WRI83" s="0"/>
      <c r="WRJ83" s="0"/>
      <c r="WRK83" s="0"/>
      <c r="WRL83" s="0"/>
      <c r="WRM83" s="0"/>
      <c r="WRN83" s="0"/>
      <c r="WRO83" s="0"/>
      <c r="WRP83" s="0"/>
      <c r="WRQ83" s="0"/>
      <c r="WRR83" s="0"/>
      <c r="WRS83" s="0"/>
      <c r="WRT83" s="0"/>
      <c r="WRU83" s="0"/>
      <c r="WRV83" s="0"/>
      <c r="WRW83" s="0"/>
      <c r="WRX83" s="0"/>
      <c r="WRY83" s="0"/>
      <c r="WRZ83" s="0"/>
      <c r="WSA83" s="0"/>
      <c r="WSB83" s="0"/>
      <c r="WSC83" s="0"/>
      <c r="WSD83" s="0"/>
      <c r="WSE83" s="0"/>
      <c r="WSF83" s="0"/>
      <c r="WSG83" s="0"/>
      <c r="WSH83" s="0"/>
      <c r="WSI83" s="0"/>
      <c r="WSJ83" s="0"/>
      <c r="WSK83" s="0"/>
      <c r="WSL83" s="0"/>
      <c r="WSM83" s="0"/>
      <c r="WSN83" s="0"/>
      <c r="WSO83" s="0"/>
      <c r="WSP83" s="0"/>
      <c r="WSQ83" s="0"/>
      <c r="WSR83" s="0"/>
      <c r="WSS83" s="0"/>
      <c r="WST83" s="0"/>
      <c r="WSU83" s="0"/>
      <c r="WSV83" s="0"/>
      <c r="WSW83" s="0"/>
      <c r="WSX83" s="0"/>
      <c r="WSY83" s="0"/>
      <c r="WSZ83" s="0"/>
      <c r="WTA83" s="0"/>
      <c r="WTB83" s="0"/>
      <c r="WTC83" s="0"/>
      <c r="WTD83" s="0"/>
      <c r="WTE83" s="0"/>
      <c r="WTF83" s="0"/>
      <c r="WTG83" s="0"/>
      <c r="WTH83" s="0"/>
      <c r="WTI83" s="0"/>
      <c r="WTJ83" s="0"/>
      <c r="WTK83" s="0"/>
      <c r="WTL83" s="0"/>
      <c r="WTM83" s="0"/>
      <c r="WTN83" s="0"/>
      <c r="WTO83" s="0"/>
      <c r="WTP83" s="0"/>
      <c r="WTQ83" s="0"/>
      <c r="WTR83" s="0"/>
      <c r="WTS83" s="0"/>
      <c r="WTT83" s="0"/>
      <c r="WTU83" s="0"/>
      <c r="WTV83" s="0"/>
      <c r="WTW83" s="0"/>
      <c r="WTX83" s="0"/>
      <c r="WTY83" s="0"/>
      <c r="WTZ83" s="0"/>
      <c r="WUA83" s="0"/>
      <c r="WUB83" s="0"/>
      <c r="WUC83" s="0"/>
      <c r="WUD83" s="0"/>
      <c r="WUE83" s="0"/>
      <c r="WUF83" s="0"/>
      <c r="WUG83" s="0"/>
      <c r="WUH83" s="0"/>
      <c r="WUI83" s="0"/>
      <c r="WUJ83" s="0"/>
      <c r="WUK83" s="0"/>
      <c r="WUL83" s="0"/>
      <c r="WUM83" s="0"/>
      <c r="WUN83" s="0"/>
      <c r="WUO83" s="0"/>
      <c r="WUP83" s="0"/>
      <c r="WUQ83" s="0"/>
      <c r="WUR83" s="0"/>
      <c r="WUS83" s="0"/>
      <c r="WUT83" s="0"/>
      <c r="WUU83" s="0"/>
      <c r="WUV83" s="0"/>
      <c r="WUW83" s="0"/>
      <c r="WUX83" s="0"/>
      <c r="WUY83" s="0"/>
      <c r="WUZ83" s="0"/>
      <c r="WVA83" s="0"/>
      <c r="WVB83" s="0"/>
      <c r="WVC83" s="0"/>
      <c r="WVD83" s="0"/>
      <c r="WVE83" s="0"/>
      <c r="WVF83" s="0"/>
      <c r="WVG83" s="0"/>
      <c r="WVH83" s="0"/>
      <c r="WVI83" s="0"/>
      <c r="WVJ83" s="0"/>
      <c r="WVK83" s="0"/>
      <c r="WVL83" s="0"/>
      <c r="WVM83" s="0"/>
      <c r="WVN83" s="0"/>
      <c r="WVO83" s="0"/>
      <c r="WVP83" s="0"/>
      <c r="WVQ83" s="0"/>
      <c r="WVR83" s="0"/>
      <c r="WVS83" s="0"/>
      <c r="WVT83" s="0"/>
      <c r="WVU83" s="0"/>
      <c r="WVV83" s="0"/>
      <c r="WVW83" s="0"/>
      <c r="WVX83" s="0"/>
      <c r="WVY83" s="0"/>
      <c r="WVZ83" s="0"/>
      <c r="WWA83" s="0"/>
      <c r="WWB83" s="0"/>
      <c r="WWC83" s="0"/>
      <c r="WWD83" s="0"/>
      <c r="WWE83" s="0"/>
      <c r="WWF83" s="0"/>
      <c r="WWG83" s="0"/>
      <c r="WWH83" s="0"/>
      <c r="WWI83" s="0"/>
      <c r="WWJ83" s="0"/>
      <c r="WWK83" s="0"/>
      <c r="WWL83" s="0"/>
      <c r="WWM83" s="0"/>
      <c r="WWN83" s="0"/>
      <c r="WWO83" s="0"/>
      <c r="WWP83" s="0"/>
      <c r="WWQ83" s="0"/>
      <c r="WWR83" s="0"/>
      <c r="WWS83" s="0"/>
      <c r="WWT83" s="0"/>
      <c r="WWU83" s="0"/>
      <c r="WWV83" s="0"/>
      <c r="WWW83" s="0"/>
      <c r="WWX83" s="0"/>
      <c r="WWY83" s="0"/>
      <c r="WWZ83" s="0"/>
      <c r="WXA83" s="0"/>
      <c r="WXB83" s="0"/>
      <c r="WXC83" s="0"/>
      <c r="WXD83" s="0"/>
      <c r="WXE83" s="0"/>
      <c r="WXF83" s="0"/>
      <c r="WXG83" s="0"/>
      <c r="WXH83" s="0"/>
      <c r="WXI83" s="0"/>
      <c r="WXJ83" s="0"/>
      <c r="WXK83" s="0"/>
      <c r="WXL83" s="0"/>
      <c r="WXM83" s="0"/>
      <c r="WXN83" s="0"/>
      <c r="WXO83" s="0"/>
      <c r="WXP83" s="0"/>
      <c r="WXQ83" s="0"/>
      <c r="WXR83" s="0"/>
      <c r="WXS83" s="0"/>
      <c r="WXT83" s="0"/>
      <c r="WXU83" s="0"/>
      <c r="WXV83" s="0"/>
      <c r="WXW83" s="0"/>
      <c r="WXX83" s="0"/>
      <c r="WXY83" s="0"/>
      <c r="WXZ83" s="0"/>
      <c r="WYA83" s="0"/>
      <c r="WYB83" s="0"/>
      <c r="WYC83" s="0"/>
      <c r="WYD83" s="0"/>
      <c r="WYE83" s="0"/>
      <c r="WYF83" s="0"/>
      <c r="WYG83" s="0"/>
      <c r="WYH83" s="0"/>
      <c r="WYI83" s="0"/>
      <c r="WYJ83" s="0"/>
      <c r="WYK83" s="0"/>
      <c r="WYL83" s="0"/>
      <c r="WYM83" s="0"/>
      <c r="WYN83" s="0"/>
      <c r="WYO83" s="0"/>
      <c r="WYP83" s="0"/>
      <c r="WYQ83" s="0"/>
      <c r="WYR83" s="0"/>
      <c r="WYS83" s="0"/>
      <c r="WYT83" s="0"/>
      <c r="WYU83" s="0"/>
      <c r="WYV83" s="0"/>
      <c r="WYW83" s="0"/>
      <c r="WYX83" s="0"/>
      <c r="WYY83" s="0"/>
      <c r="WYZ83" s="0"/>
      <c r="WZA83" s="0"/>
      <c r="WZB83" s="0"/>
      <c r="WZC83" s="0"/>
      <c r="WZD83" s="0"/>
      <c r="WZE83" s="0"/>
      <c r="WZF83" s="0"/>
      <c r="WZG83" s="0"/>
      <c r="WZH83" s="0"/>
      <c r="WZI83" s="0"/>
      <c r="WZJ83" s="0"/>
      <c r="WZK83" s="0"/>
      <c r="WZL83" s="0"/>
      <c r="WZM83" s="0"/>
      <c r="WZN83" s="0"/>
      <c r="WZO83" s="0"/>
      <c r="WZP83" s="0"/>
      <c r="WZQ83" s="0"/>
      <c r="WZR83" s="0"/>
      <c r="WZS83" s="0"/>
      <c r="WZT83" s="0"/>
      <c r="WZU83" s="0"/>
      <c r="WZV83" s="0"/>
      <c r="WZW83" s="0"/>
      <c r="WZX83" s="0"/>
      <c r="WZY83" s="0"/>
      <c r="WZZ83" s="0"/>
      <c r="XAA83" s="0"/>
      <c r="XAB83" s="0"/>
      <c r="XAC83" s="0"/>
      <c r="XAD83" s="0"/>
      <c r="XAE83" s="0"/>
      <c r="XAF83" s="0"/>
      <c r="XAG83" s="0"/>
      <c r="XAH83" s="0"/>
      <c r="XAI83" s="0"/>
      <c r="XAJ83" s="0"/>
      <c r="XAK83" s="0"/>
      <c r="XAL83" s="0"/>
      <c r="XAM83" s="0"/>
      <c r="XAN83" s="0"/>
      <c r="XAO83" s="0"/>
      <c r="XAP83" s="0"/>
      <c r="XAQ83" s="0"/>
      <c r="XAR83" s="0"/>
      <c r="XAS83" s="0"/>
      <c r="XAT83" s="0"/>
      <c r="XAU83" s="0"/>
      <c r="XAV83" s="0"/>
      <c r="XAW83" s="0"/>
      <c r="XAX83" s="0"/>
      <c r="XAY83" s="0"/>
      <c r="XAZ83" s="0"/>
      <c r="XBA83" s="0"/>
      <c r="XBB83" s="0"/>
      <c r="XBC83" s="0"/>
      <c r="XBD83" s="0"/>
      <c r="XBE83" s="0"/>
      <c r="XBF83" s="0"/>
      <c r="XBG83" s="0"/>
      <c r="XBH83" s="0"/>
      <c r="XBI83" s="0"/>
      <c r="XBJ83" s="0"/>
      <c r="XBK83" s="0"/>
      <c r="XBL83" s="0"/>
      <c r="XBM83" s="0"/>
      <c r="XBN83" s="0"/>
      <c r="XBO83" s="0"/>
      <c r="XBP83" s="0"/>
      <c r="XBQ83" s="0"/>
      <c r="XBR83" s="0"/>
      <c r="XBS83" s="0"/>
      <c r="XBT83" s="0"/>
      <c r="XBU83" s="0"/>
      <c r="XBV83" s="0"/>
      <c r="XBW83" s="0"/>
      <c r="XBX83" s="0"/>
      <c r="XBY83" s="0"/>
      <c r="XBZ83" s="0"/>
      <c r="XCA83" s="0"/>
      <c r="XCB83" s="0"/>
      <c r="XCC83" s="0"/>
      <c r="XCD83" s="0"/>
      <c r="XCE83" s="0"/>
      <c r="XCF83" s="0"/>
      <c r="XCG83" s="0"/>
      <c r="XCH83" s="0"/>
      <c r="XCI83" s="0"/>
      <c r="XCJ83" s="0"/>
      <c r="XCK83" s="0"/>
      <c r="XCL83" s="0"/>
      <c r="XCM83" s="0"/>
      <c r="XCN83" s="0"/>
      <c r="XCO83" s="0"/>
      <c r="XCP83" s="0"/>
      <c r="XCQ83" s="0"/>
      <c r="XCR83" s="0"/>
      <c r="XCS83" s="0"/>
      <c r="XCT83" s="0"/>
      <c r="XCU83" s="0"/>
      <c r="XCV83" s="0"/>
      <c r="XCW83" s="0"/>
      <c r="XCX83" s="0"/>
      <c r="XCY83" s="0"/>
      <c r="XCZ83" s="0"/>
      <c r="XDA83" s="0"/>
      <c r="XDB83" s="0"/>
      <c r="XDC83" s="0"/>
      <c r="XDD83" s="0"/>
      <c r="XDE83" s="0"/>
      <c r="XDF83" s="0"/>
      <c r="XDG83" s="0"/>
      <c r="XDH83" s="0"/>
      <c r="XDI83" s="0"/>
      <c r="XDJ83" s="0"/>
      <c r="XDK83" s="0"/>
      <c r="XDL83" s="0"/>
      <c r="XDM83" s="0"/>
      <c r="XDN83" s="0"/>
      <c r="XDO83" s="0"/>
      <c r="XDP83" s="0"/>
      <c r="XDQ83" s="0"/>
      <c r="XDR83" s="0"/>
      <c r="XDS83" s="0"/>
      <c r="XDT83" s="0"/>
      <c r="XDU83" s="0"/>
      <c r="XDV83" s="0"/>
      <c r="XDW83" s="0"/>
      <c r="XDX83" s="0"/>
      <c r="XDY83" s="0"/>
      <c r="XDZ83" s="0"/>
      <c r="XEA83" s="0"/>
      <c r="XEB83" s="0"/>
      <c r="XEC83" s="0"/>
      <c r="XED83" s="0"/>
      <c r="XEE83" s="0"/>
      <c r="XEF83" s="0"/>
      <c r="XEG83" s="0"/>
      <c r="XEH83" s="0"/>
      <c r="XEI83" s="0"/>
      <c r="XEJ83" s="0"/>
      <c r="XEK83" s="0"/>
      <c r="XEL83" s="0"/>
      <c r="XEM83" s="0"/>
      <c r="XEN83" s="0"/>
      <c r="XEO83" s="0"/>
      <c r="XEP83" s="0"/>
      <c r="XEQ83" s="0"/>
      <c r="XER83" s="0"/>
      <c r="XES83" s="0"/>
      <c r="XET83" s="0"/>
      <c r="XEU83" s="0"/>
      <c r="XEV83" s="0"/>
      <c r="XEW83" s="0"/>
      <c r="XEX83" s="0"/>
      <c r="XEY83" s="0"/>
      <c r="XEZ83" s="0"/>
      <c r="XFA83" s="0"/>
      <c r="XFB83" s="0"/>
      <c r="XFC83" s="0"/>
      <c r="XFD83" s="0"/>
    </row>
    <row r="84" customFormat="false" ht="13.8" hidden="false" customHeight="false" outlineLevel="0" collapsed="false">
      <c r="A84" s="36" t="s">
        <v>503</v>
      </c>
      <c r="B84" s="36" t="s">
        <v>504</v>
      </c>
      <c r="C84" s="0" t="n">
        <v>512</v>
      </c>
      <c r="D84" s="0" t="n">
        <v>509</v>
      </c>
      <c r="E84" s="0" t="n">
        <v>514</v>
      </c>
      <c r="F84" s="0" t="s">
        <v>89</v>
      </c>
      <c r="G84" s="0" t="s">
        <v>90</v>
      </c>
      <c r="H84" s="18" t="s">
        <v>91</v>
      </c>
      <c r="I84" s="36" t="s">
        <v>92</v>
      </c>
      <c r="J84" s="36" t="n">
        <v>2017</v>
      </c>
      <c r="K84" s="36"/>
      <c r="L84" s="36"/>
      <c r="M84" s="36" t="n">
        <v>9</v>
      </c>
      <c r="N84" s="36" t="n">
        <v>5400</v>
      </c>
      <c r="O84" s="37"/>
      <c r="P84" s="38"/>
      <c r="Q84" s="38"/>
      <c r="R84" s="38"/>
      <c r="S84" s="38"/>
      <c r="T84" s="38"/>
      <c r="U84" s="38"/>
      <c r="V84" s="38"/>
      <c r="W84" s="36" t="n">
        <v>420</v>
      </c>
      <c r="X84" s="37"/>
      <c r="Y84" s="36" t="n">
        <v>5</v>
      </c>
      <c r="Z84" s="36" t="n">
        <v>195</v>
      </c>
      <c r="AA84" s="39" t="n">
        <f aca="false">IF(AND(W84&gt;0,Z84&gt;0),(Z84/((W84+X84)*10)),"")</f>
        <v>0.0464285714285714</v>
      </c>
      <c r="AB84" s="36" t="n">
        <v>140</v>
      </c>
      <c r="AC84" s="36" t="n">
        <f aca="false">ROUND(AB84*1.6, 0)</f>
        <v>224</v>
      </c>
      <c r="AD84" s="36"/>
      <c r="AE84" s="36"/>
      <c r="AF84" s="36" t="n">
        <v>26</v>
      </c>
      <c r="AG84" s="36" t="n">
        <v>24</v>
      </c>
      <c r="AH84" s="36"/>
      <c r="AI84" s="36"/>
      <c r="AJ84" s="40" t="n">
        <v>66</v>
      </c>
      <c r="AK84" s="36" t="str">
        <f aca="false">CONCATENATE(VLOOKUP(AL84, '[1]Voxel Sizes'!$A$2:$B$18,2,FALSE()),"x",INT(AH84*15), "x", INT(AI84*15))</f>
        <v>238x0x0</v>
      </c>
      <c r="AL84" s="36" t="n">
        <f aca="false">ROUND(15*((AG84*10)/256),0)</f>
        <v>14</v>
      </c>
      <c r="AM84" s="36"/>
      <c r="AN84" s="36" t="str">
        <f aca="false">CONCATENATE(VLOOKUP(AL84,[1]Constants!$A$2:$C$16,IF(AM84&lt;&gt;"", 3, 2), FALSE()),IF(AM84&lt;&gt;"",CONCATENATE(",",VLOOKUP(AM84,$B:$AN,39,FALSE())),""))</f>
        <v>4,6,4</v>
      </c>
      <c r="AO84" s="36" t="n">
        <v>24</v>
      </c>
      <c r="AP84" s="41"/>
      <c r="AQ84" s="41"/>
      <c r="AR84" s="0" t="s">
        <v>499</v>
      </c>
      <c r="AS84" s="0" t="s">
        <v>495</v>
      </c>
      <c r="AT84" s="0" t="s">
        <v>471</v>
      </c>
      <c r="AU84" s="0" t="s">
        <v>493</v>
      </c>
      <c r="AV84" s="0"/>
      <c r="AW84" s="0"/>
      <c r="AX84" s="0" t="n">
        <v>30</v>
      </c>
      <c r="AY84" s="42" t="str">
        <f aca="false">IF(L84&lt;&gt;"",MAX(16,(L84-J84)+8),"")</f>
        <v/>
      </c>
      <c r="AZ84" s="36" t="n">
        <v>-15</v>
      </c>
      <c r="BA84" s="36" t="n">
        <v>-30</v>
      </c>
      <c r="BB84" s="36" t="n">
        <f aca="false">MIN(AB84/150, 1)*30</f>
        <v>28</v>
      </c>
      <c r="BC84" s="36" t="n">
        <f aca="false">MIN(N84/4000, 1)*20</f>
        <v>20</v>
      </c>
      <c r="BD84" s="36" t="n">
        <f aca="false">MIN(Z84/400,1)*20</f>
        <v>9.75</v>
      </c>
      <c r="BE84" s="39" t="n">
        <f aca="false">1-(MAX(J84-1900, 0)/750)</f>
        <v>0.844</v>
      </c>
      <c r="BF84" s="36" t="n">
        <f aca="false">((MAX($M84,1)*MIN($AJ84/300,1)))*IF(G84="Wagon",50,10)</f>
        <v>19.8</v>
      </c>
      <c r="BG84" s="1" t="n">
        <f aca="false">VLOOKUP($H84,Constants!$I:$K, 2, FALSE())</f>
        <v>0.85</v>
      </c>
      <c r="BH84" s="1" t="n">
        <f aca="false">VLOOKUP($H84,Constants!$I:$K, 3, FALSE())*IF(AND(G84="multiple_unit",AB84&lt;110),0.75,1)</f>
        <v>2.3</v>
      </c>
      <c r="BI84" s="36" t="n">
        <f aca="false">INT(POWER((([1]Constants!$G$2+$BB84+$BC84+$BD84+$BF84)*$BE84)*$BH84, 1.05))+$BA84</f>
        <v>176</v>
      </c>
      <c r="BJ84" s="36" t="n">
        <f aca="false">INT(POWER(((([1]Constants!$G$1+$BB84+$BC84+$BD84+$BF84)*($BE84))*$BG84),IF($G84="wagon",1,1.2)))+$AZ84</f>
        <v>138</v>
      </c>
      <c r="BK84" s="43" t="n">
        <f aca="false">BI84*IF($G84="wagon",62.5,781.25)</f>
        <v>137500</v>
      </c>
      <c r="BL84" s="43" t="n">
        <f aca="false">BJ84*IF($G84="wagon",2.73,81.25)</f>
        <v>11212.5</v>
      </c>
      <c r="BM84" s="36"/>
      <c r="BN84" s="36"/>
      <c r="BO84" s="36"/>
      <c r="BP84" s="36"/>
      <c r="BQ84" s="19" t="str">
        <f aca="false">_xlfn.ORG.LIBREOFFICE.REGEX(_xlfn.ORG.LIBREOFFICE.REGEX(IETMUVEHICLES, _xlfn.CONCAT(B84, ",?"), ""), ",$", "")</f>
        <v>class_800_azuma,class_800_9,class_801_5,class_802_5,class_802_9</v>
      </c>
      <c r="BR84" s="36"/>
      <c r="BS84" s="36"/>
      <c r="BT84" s="36" t="n">
        <v>10</v>
      </c>
      <c r="BU84" s="36" t="n">
        <v>222</v>
      </c>
      <c r="BV84" s="36"/>
      <c r="BW84" s="36"/>
      <c r="BX84" s="36" t="s">
        <v>95</v>
      </c>
      <c r="BY84" s="36" t="str">
        <f aca="false">VLOOKUP(J84,[1]Eras!$A$2:$C$10, 2, TRUE())</f>
        <v>mod</v>
      </c>
      <c r="BZ84" s="36" t="s">
        <v>226</v>
      </c>
      <c r="CA84" s="0" t="str">
        <f aca="false">CONCATENATE(BY84,"_",BZ84)</f>
        <v>mod_EMU (Express)</v>
      </c>
      <c r="CB84" s="0" t="str">
        <f aca="false">_xlfn.CONCAT(H84, "_",I84)</f>
        <v>electric_ELRL</v>
      </c>
      <c r="CC84" s="44" t="str">
        <f aca="false" t="array" ref="CC84:CC84">_xlfn.CONCAT("{BLACK}Length: {GOLD}", TEXT(ROUNDUP(IF(AQ84&lt;&gt;"",SUM(VALUE(_xlfn.TEXTSPLIT(AQ84, ","))), SUM(VALUE(_xlfn.TEXTSPLIT(AN84, ",")))*IF(M84, M84, 1))/16, 1), "#,##0.0"), " tiles{}")</f>
        <v>{BLACK}Length: {GOLD}7.9 tiles{}</v>
      </c>
      <c r="CD84" s="1" t="str">
        <f aca="false">VLOOKUP($CB84, Constants!$M:$N, 2, FALSE())</f>
        <v>{BLACK}Powered by: {GOLD}25kV AC</v>
      </c>
      <c r="CE84" s="0" t="str">
        <f aca="false">IF(M84&gt;1,_xlfn.CONCAT("{BLACK}Cars: {GOLD}", M84),"")</f>
        <v>{BLACK}Cars: {GOLD}9</v>
      </c>
      <c r="CF84" s="0" t="s">
        <v>502</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{YELLOW}20% bonus for long distance travel{}</v>
      </c>
      <c r="CH84" s="1" t="str">
        <f aca="false">_xlfn.CONCAT(CD84,IF(CD84 &lt;&gt; "", " ", ""),CE84,IF(OR(CE84&lt;&gt;"", CD84&lt;&gt;""), "{}",""), CC84, CG84,"{SILVER}", CF84)</f>
        <v>{BLACK}Powered by: {GOLD}25kV AC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c r="CI84" s="0"/>
      <c r="CJ84" s="0"/>
      <c r="CK84" s="0"/>
      <c r="CL84" s="0"/>
      <c r="CM84" s="0"/>
      <c r="CN84" s="0"/>
      <c r="CO84" s="0"/>
      <c r="CP84" s="0"/>
      <c r="CQ84" s="0"/>
      <c r="CR84" s="0"/>
      <c r="CS84" s="0"/>
      <c r="CT84" s="0"/>
      <c r="CU84" s="0"/>
      <c r="CV84" s="0"/>
      <c r="CW84" s="0"/>
      <c r="CX84" s="0"/>
      <c r="CY84" s="0"/>
      <c r="CZ84" s="0"/>
      <c r="DA84" s="0"/>
      <c r="DB84" s="0"/>
      <c r="DC84" s="0"/>
      <c r="DD84" s="0"/>
      <c r="DE84" s="0"/>
      <c r="DF84" s="0"/>
      <c r="DG84" s="0"/>
      <c r="DH84" s="0"/>
      <c r="DI84" s="0"/>
      <c r="DJ84" s="0"/>
      <c r="DK84" s="0"/>
      <c r="DL84" s="0"/>
      <c r="DM84" s="0"/>
      <c r="DN84" s="0"/>
      <c r="DO84" s="0"/>
      <c r="DP84" s="0"/>
      <c r="DQ84" s="0"/>
      <c r="DR84" s="0"/>
      <c r="DS84" s="0"/>
      <c r="DT84" s="0"/>
      <c r="DU84" s="0"/>
      <c r="DV84" s="0"/>
      <c r="DW84" s="0"/>
      <c r="DX84" s="0"/>
      <c r="DY84" s="0"/>
      <c r="DZ84" s="0"/>
      <c r="EA84" s="0"/>
      <c r="EB84" s="0"/>
      <c r="EC84" s="0"/>
      <c r="ED84" s="0"/>
      <c r="EE84" s="0"/>
      <c r="EF84" s="0"/>
      <c r="EG84" s="0"/>
      <c r="EH84" s="0"/>
      <c r="EI84" s="0"/>
      <c r="EJ84" s="0"/>
      <c r="EK84" s="0"/>
      <c r="EL84" s="0"/>
      <c r="EM84" s="0"/>
      <c r="EN84" s="0"/>
      <c r="EO84" s="0"/>
      <c r="EP84" s="0"/>
      <c r="EQ84" s="0"/>
      <c r="ER84" s="0"/>
      <c r="ES84" s="0"/>
      <c r="ET84" s="0"/>
      <c r="EU84" s="0"/>
      <c r="EV84" s="0"/>
      <c r="EW84" s="0"/>
      <c r="EX84" s="0"/>
      <c r="EY84" s="0"/>
      <c r="EZ84" s="0"/>
      <c r="FA84" s="0"/>
      <c r="FB84" s="0"/>
      <c r="FC84" s="0"/>
      <c r="FD84" s="0"/>
      <c r="FE84" s="0"/>
      <c r="FF84" s="0"/>
      <c r="FG84" s="0"/>
      <c r="FH84" s="0"/>
      <c r="FI84" s="0"/>
      <c r="FJ84" s="0"/>
      <c r="FK84" s="0"/>
      <c r="FL84" s="0"/>
      <c r="FM84" s="0"/>
      <c r="FN84" s="0"/>
      <c r="FO84" s="0"/>
      <c r="FP84" s="0"/>
      <c r="FQ84" s="0"/>
      <c r="FR84" s="0"/>
      <c r="FS84" s="0"/>
      <c r="FT84" s="0"/>
      <c r="FU84" s="0"/>
      <c r="FV84" s="0"/>
      <c r="FW84" s="0"/>
      <c r="FX84" s="0"/>
      <c r="FY84" s="0"/>
      <c r="FZ84" s="0"/>
      <c r="GA84" s="0"/>
      <c r="GB84" s="0"/>
      <c r="GC84" s="0"/>
      <c r="GD84" s="0"/>
      <c r="GE84" s="0"/>
      <c r="GF84" s="0"/>
      <c r="GG84" s="0"/>
      <c r="GH84" s="0"/>
      <c r="GI84" s="0"/>
      <c r="GJ84" s="0"/>
      <c r="GK84" s="0"/>
      <c r="GL84" s="0"/>
      <c r="GM84" s="0"/>
      <c r="GN84" s="0"/>
      <c r="GO84" s="0"/>
      <c r="GP84" s="0"/>
      <c r="GQ84" s="0"/>
      <c r="GR84" s="0"/>
      <c r="GS84" s="0"/>
      <c r="GT84" s="0"/>
      <c r="GU84" s="0"/>
      <c r="GV84" s="0"/>
      <c r="GW84" s="0"/>
      <c r="GX84" s="0"/>
      <c r="GY84" s="0"/>
      <c r="GZ84" s="0"/>
      <c r="HA84" s="0"/>
      <c r="HB84" s="0"/>
      <c r="HC84" s="0"/>
      <c r="HD84" s="0"/>
      <c r="HE84" s="0"/>
      <c r="HF84" s="0"/>
      <c r="HG84" s="0"/>
      <c r="HH84" s="0"/>
      <c r="HI84" s="0"/>
      <c r="HJ84" s="0"/>
      <c r="HK84" s="0"/>
      <c r="HL84" s="0"/>
      <c r="HM84" s="0"/>
      <c r="HN84" s="0"/>
      <c r="HO84" s="0"/>
      <c r="HP84" s="0"/>
      <c r="HQ84" s="0"/>
      <c r="HR84" s="0"/>
      <c r="HS84" s="0"/>
      <c r="HT84" s="0"/>
      <c r="HU84" s="0"/>
      <c r="HV84" s="0"/>
      <c r="HW84" s="0"/>
      <c r="HX84" s="0"/>
      <c r="HY84" s="0"/>
      <c r="HZ84" s="0"/>
      <c r="IA84" s="0"/>
      <c r="IB84" s="0"/>
      <c r="IC84" s="0"/>
      <c r="ID84" s="0"/>
      <c r="IE84" s="0"/>
      <c r="IF84" s="0"/>
      <c r="IG84" s="0"/>
      <c r="IH84" s="0"/>
      <c r="II84" s="0"/>
      <c r="IJ84" s="0"/>
      <c r="IK84" s="0"/>
      <c r="IL84" s="0"/>
      <c r="IM84" s="0"/>
      <c r="IN84" s="0"/>
      <c r="IO84" s="0"/>
      <c r="IP84" s="0"/>
      <c r="IQ84" s="0"/>
      <c r="IR84" s="0"/>
      <c r="IS84" s="0"/>
      <c r="IT84" s="0"/>
      <c r="IU84" s="0"/>
      <c r="IV84" s="0"/>
      <c r="IW84" s="0"/>
      <c r="IX84" s="0"/>
      <c r="IY84" s="0"/>
      <c r="IZ84" s="0"/>
      <c r="JA84" s="0"/>
      <c r="JB84" s="0"/>
      <c r="JC84" s="0"/>
      <c r="JD84" s="0"/>
      <c r="JE84" s="0"/>
      <c r="JF84" s="0"/>
      <c r="JG84" s="0"/>
      <c r="JH84" s="0"/>
      <c r="JI84" s="0"/>
      <c r="JJ84" s="0"/>
      <c r="JK84" s="0"/>
      <c r="JL84" s="0"/>
      <c r="JM84" s="0"/>
      <c r="JN84" s="0"/>
      <c r="JO84" s="0"/>
      <c r="JP84" s="0"/>
      <c r="JQ84" s="0"/>
      <c r="JR84" s="0"/>
      <c r="JS84" s="0"/>
      <c r="JT84" s="0"/>
      <c r="JU84" s="0"/>
      <c r="JV84" s="0"/>
      <c r="JW84" s="0"/>
      <c r="JX84" s="0"/>
      <c r="JY84" s="0"/>
      <c r="JZ84" s="0"/>
      <c r="KA84" s="0"/>
      <c r="KB84" s="0"/>
      <c r="KC84" s="0"/>
      <c r="KD84" s="0"/>
      <c r="KE84" s="0"/>
      <c r="KF84" s="0"/>
      <c r="KG84" s="0"/>
      <c r="KH84" s="0"/>
      <c r="KI84" s="0"/>
      <c r="KJ84" s="0"/>
      <c r="KK84" s="0"/>
      <c r="KL84" s="0"/>
      <c r="KM84" s="0"/>
      <c r="KN84" s="0"/>
      <c r="KO84" s="0"/>
      <c r="KP84" s="0"/>
      <c r="KQ84" s="0"/>
      <c r="KR84" s="0"/>
      <c r="KS84" s="0"/>
      <c r="KT84" s="0"/>
      <c r="KU84" s="0"/>
      <c r="KV84" s="0"/>
      <c r="KW84" s="0"/>
      <c r="KX84" s="0"/>
      <c r="KY84" s="0"/>
      <c r="KZ84" s="0"/>
      <c r="LA84" s="0"/>
      <c r="LB84" s="0"/>
      <c r="LC84" s="0"/>
      <c r="LD84" s="0"/>
      <c r="LE84" s="0"/>
      <c r="LF84" s="0"/>
      <c r="LG84" s="0"/>
      <c r="LH84" s="0"/>
      <c r="LI84" s="0"/>
      <c r="LJ84" s="0"/>
      <c r="LK84" s="0"/>
      <c r="LL84" s="0"/>
      <c r="LM84" s="0"/>
      <c r="LN84" s="0"/>
      <c r="LO84" s="0"/>
      <c r="LP84" s="0"/>
      <c r="LQ84" s="0"/>
      <c r="LR84" s="0"/>
      <c r="LS84" s="0"/>
      <c r="LT84" s="0"/>
      <c r="LU84" s="0"/>
      <c r="LV84" s="0"/>
      <c r="LW84" s="0"/>
      <c r="LX84" s="0"/>
      <c r="LY84" s="0"/>
      <c r="LZ84" s="0"/>
      <c r="MA84" s="0"/>
      <c r="MB84" s="0"/>
      <c r="MC84" s="0"/>
      <c r="MD84" s="0"/>
      <c r="ME84" s="0"/>
      <c r="MF84" s="0"/>
      <c r="MG84" s="0"/>
      <c r="MH84" s="0"/>
      <c r="MI84" s="0"/>
      <c r="MJ84" s="0"/>
      <c r="MK84" s="0"/>
      <c r="ML84" s="0"/>
      <c r="MM84" s="0"/>
      <c r="MN84" s="0"/>
      <c r="MO84" s="0"/>
      <c r="MP84" s="0"/>
      <c r="MQ84" s="0"/>
      <c r="MR84" s="0"/>
      <c r="MS84" s="0"/>
      <c r="MT84" s="0"/>
      <c r="MU84" s="0"/>
      <c r="MV84" s="0"/>
      <c r="MW84" s="0"/>
      <c r="MX84" s="0"/>
      <c r="MY84" s="0"/>
      <c r="MZ84" s="0"/>
      <c r="NA84" s="0"/>
      <c r="NB84" s="0"/>
      <c r="NC84" s="0"/>
      <c r="ND84" s="0"/>
      <c r="NE84" s="0"/>
      <c r="NF84" s="0"/>
      <c r="NG84" s="0"/>
      <c r="NH84" s="0"/>
      <c r="NI84" s="0"/>
      <c r="NJ84" s="0"/>
      <c r="NK84" s="0"/>
      <c r="NL84" s="0"/>
      <c r="NM84" s="0"/>
      <c r="NN84" s="0"/>
      <c r="NO84" s="0"/>
      <c r="NP84" s="0"/>
      <c r="NQ84" s="0"/>
      <c r="NR84" s="0"/>
      <c r="NS84" s="0"/>
      <c r="NT84" s="0"/>
      <c r="NU84" s="0"/>
      <c r="NV84" s="0"/>
      <c r="NW84" s="0"/>
      <c r="NX84" s="0"/>
      <c r="NY84" s="0"/>
      <c r="NZ84" s="0"/>
      <c r="OA84" s="0"/>
      <c r="OB84" s="0"/>
      <c r="OC84" s="0"/>
      <c r="OD84" s="0"/>
      <c r="OE84" s="0"/>
      <c r="OF84" s="0"/>
      <c r="OG84" s="0"/>
      <c r="OH84" s="0"/>
      <c r="OI84" s="0"/>
      <c r="OJ84" s="0"/>
      <c r="OK84" s="0"/>
      <c r="OL84" s="0"/>
      <c r="OM84" s="0"/>
      <c r="ON84" s="0"/>
      <c r="OO84" s="0"/>
      <c r="OP84" s="0"/>
      <c r="OQ84" s="0"/>
      <c r="OR84" s="0"/>
      <c r="OS84" s="0"/>
      <c r="OT84" s="0"/>
      <c r="OU84" s="0"/>
      <c r="OV84" s="0"/>
      <c r="OW84" s="0"/>
      <c r="OX84" s="0"/>
      <c r="OY84" s="0"/>
      <c r="OZ84" s="0"/>
      <c r="PA84" s="0"/>
      <c r="PB84" s="0"/>
      <c r="PC84" s="0"/>
      <c r="PD84" s="0"/>
      <c r="PE84" s="0"/>
      <c r="PF84" s="0"/>
      <c r="PG84" s="0"/>
      <c r="PH84" s="0"/>
      <c r="PI84" s="0"/>
      <c r="PJ84" s="0"/>
      <c r="PK84" s="0"/>
      <c r="PL84" s="0"/>
      <c r="PM84" s="0"/>
      <c r="PN84" s="0"/>
      <c r="PO84" s="0"/>
      <c r="PP84" s="0"/>
      <c r="PQ84" s="0"/>
      <c r="PR84" s="0"/>
      <c r="PS84" s="0"/>
      <c r="PT84" s="0"/>
      <c r="PU84" s="0"/>
      <c r="PV84" s="0"/>
      <c r="PW84" s="0"/>
      <c r="PX84" s="0"/>
      <c r="PY84" s="0"/>
      <c r="PZ84" s="0"/>
      <c r="QA84" s="0"/>
      <c r="QB84" s="0"/>
      <c r="QC84" s="0"/>
      <c r="QD84" s="0"/>
      <c r="QE84" s="0"/>
      <c r="QF84" s="0"/>
      <c r="QG84" s="0"/>
      <c r="QH84" s="0"/>
      <c r="QI84" s="0"/>
      <c r="QJ84" s="0"/>
      <c r="QK84" s="0"/>
      <c r="QL84" s="0"/>
      <c r="QM84" s="0"/>
      <c r="QN84" s="0"/>
      <c r="QO84" s="0"/>
      <c r="QP84" s="0"/>
      <c r="QQ84" s="0"/>
      <c r="QR84" s="0"/>
      <c r="QS84" s="0"/>
      <c r="QT84" s="0"/>
      <c r="QU84" s="0"/>
      <c r="QV84" s="0"/>
      <c r="QW84" s="0"/>
      <c r="QX84" s="0"/>
      <c r="QY84" s="0"/>
      <c r="QZ84" s="0"/>
      <c r="RA84" s="0"/>
      <c r="RB84" s="0"/>
      <c r="RC84" s="0"/>
      <c r="RD84" s="0"/>
      <c r="RE84" s="0"/>
      <c r="RF84" s="0"/>
      <c r="RG84" s="0"/>
      <c r="RH84" s="0"/>
      <c r="RI84" s="0"/>
      <c r="RJ84" s="0"/>
      <c r="RK84" s="0"/>
      <c r="RL84" s="0"/>
      <c r="RM84" s="0"/>
      <c r="RN84" s="0"/>
      <c r="RO84" s="0"/>
      <c r="RP84" s="0"/>
      <c r="RQ84" s="0"/>
      <c r="RR84" s="0"/>
      <c r="RS84" s="0"/>
      <c r="RT84" s="0"/>
      <c r="RU84" s="0"/>
      <c r="RV84" s="0"/>
      <c r="RW84" s="0"/>
      <c r="RX84" s="0"/>
      <c r="RY84" s="0"/>
      <c r="RZ84" s="0"/>
      <c r="SA84" s="0"/>
      <c r="SB84" s="0"/>
      <c r="SC84" s="0"/>
      <c r="SD84" s="0"/>
      <c r="SE84" s="0"/>
      <c r="SF84" s="0"/>
      <c r="SG84" s="0"/>
      <c r="SH84" s="0"/>
      <c r="SI84" s="0"/>
      <c r="SJ84" s="0"/>
      <c r="SK84" s="0"/>
      <c r="SL84" s="0"/>
      <c r="SM84" s="0"/>
      <c r="SN84" s="0"/>
      <c r="SO84" s="0"/>
      <c r="SP84" s="0"/>
      <c r="SQ84" s="0"/>
      <c r="SR84" s="0"/>
      <c r="SS84" s="0"/>
      <c r="ST84" s="0"/>
      <c r="SU84" s="0"/>
      <c r="SV84" s="0"/>
      <c r="SW84" s="0"/>
      <c r="SX84" s="0"/>
      <c r="SY84" s="0"/>
      <c r="SZ84" s="0"/>
      <c r="TA84" s="0"/>
      <c r="TB84" s="0"/>
      <c r="TC84" s="0"/>
      <c r="TD84" s="0"/>
      <c r="TE84" s="0"/>
      <c r="TF84" s="0"/>
      <c r="TG84" s="0"/>
      <c r="TH84" s="0"/>
      <c r="TI84" s="0"/>
      <c r="TJ84" s="0"/>
      <c r="TK84" s="0"/>
      <c r="TL84" s="0"/>
      <c r="TM84" s="0"/>
      <c r="TN84" s="0"/>
      <c r="TO84" s="0"/>
      <c r="TP84" s="0"/>
      <c r="TQ84" s="0"/>
      <c r="TR84" s="0"/>
      <c r="TS84" s="0"/>
      <c r="TT84" s="0"/>
      <c r="TU84" s="0"/>
      <c r="TV84" s="0"/>
      <c r="TW84" s="0"/>
      <c r="TX84" s="0"/>
      <c r="TY84" s="0"/>
      <c r="TZ84" s="0"/>
      <c r="UA84" s="0"/>
      <c r="UB84" s="0"/>
      <c r="UC84" s="0"/>
      <c r="UD84" s="0"/>
      <c r="UE84" s="0"/>
      <c r="UF84" s="0"/>
      <c r="UG84" s="0"/>
      <c r="UH84" s="0"/>
      <c r="UI84" s="0"/>
      <c r="UJ84" s="0"/>
      <c r="UK84" s="0"/>
      <c r="UL84" s="0"/>
      <c r="UM84" s="0"/>
      <c r="UN84" s="0"/>
      <c r="UO84" s="0"/>
      <c r="UP84" s="0"/>
      <c r="UQ84" s="0"/>
      <c r="UR84" s="0"/>
      <c r="US84" s="0"/>
      <c r="UT84" s="0"/>
      <c r="UU84" s="0"/>
      <c r="UV84" s="0"/>
      <c r="UW84" s="0"/>
      <c r="UX84" s="0"/>
      <c r="UY84" s="0"/>
      <c r="UZ84" s="0"/>
      <c r="VA84" s="0"/>
      <c r="VB84" s="0"/>
      <c r="VC84" s="0"/>
      <c r="VD84" s="0"/>
      <c r="VE84" s="0"/>
      <c r="VF84" s="0"/>
      <c r="VG84" s="0"/>
      <c r="VH84" s="0"/>
      <c r="VI84" s="0"/>
      <c r="VJ84" s="0"/>
      <c r="VK84" s="0"/>
      <c r="VL84" s="0"/>
      <c r="VM84" s="0"/>
      <c r="VN84" s="0"/>
      <c r="VO84" s="0"/>
      <c r="VP84" s="0"/>
      <c r="VQ84" s="0"/>
      <c r="VR84" s="0"/>
      <c r="VS84" s="0"/>
      <c r="VT84" s="0"/>
      <c r="VU84" s="0"/>
      <c r="VV84" s="0"/>
      <c r="VW84" s="0"/>
      <c r="VX84" s="0"/>
      <c r="VY84" s="0"/>
      <c r="VZ84" s="0"/>
      <c r="WA84" s="0"/>
      <c r="WB84" s="0"/>
      <c r="WC84" s="0"/>
      <c r="WD84" s="0"/>
      <c r="WE84" s="0"/>
      <c r="WF84" s="0"/>
      <c r="WG84" s="0"/>
      <c r="WH84" s="0"/>
      <c r="WI84" s="0"/>
      <c r="WJ84" s="0"/>
      <c r="WK84" s="0"/>
      <c r="WL84" s="0"/>
      <c r="WM84" s="0"/>
      <c r="WN84" s="0"/>
      <c r="WO84" s="0"/>
      <c r="WP84" s="0"/>
      <c r="WQ84" s="0"/>
      <c r="WR84" s="0"/>
      <c r="WS84" s="0"/>
      <c r="WT84" s="0"/>
      <c r="WU84" s="0"/>
      <c r="WV84" s="0"/>
      <c r="WW84" s="0"/>
      <c r="WX84" s="0"/>
      <c r="WY84" s="0"/>
      <c r="WZ84" s="0"/>
      <c r="XA84" s="0"/>
      <c r="XB84" s="0"/>
      <c r="XC84" s="0"/>
      <c r="XD84" s="0"/>
      <c r="XE84" s="0"/>
      <c r="XF84" s="0"/>
      <c r="XG84" s="0"/>
      <c r="XH84" s="0"/>
      <c r="XI84" s="0"/>
      <c r="XJ84" s="0"/>
      <c r="XK84" s="0"/>
      <c r="XL84" s="0"/>
      <c r="XM84" s="0"/>
      <c r="XN84" s="0"/>
      <c r="XO84" s="0"/>
      <c r="XP84" s="0"/>
      <c r="XQ84" s="0"/>
      <c r="XR84" s="0"/>
      <c r="XS84" s="0"/>
      <c r="XT84" s="0"/>
      <c r="XU84" s="0"/>
      <c r="XV84" s="0"/>
      <c r="XW84" s="0"/>
      <c r="XX84" s="0"/>
      <c r="XY84" s="0"/>
      <c r="XZ84" s="0"/>
      <c r="YA84" s="0"/>
      <c r="YB84" s="0"/>
      <c r="YC84" s="0"/>
      <c r="YD84" s="0"/>
      <c r="YE84" s="0"/>
      <c r="YF84" s="0"/>
      <c r="YG84" s="0"/>
      <c r="YH84" s="0"/>
      <c r="YI84" s="0"/>
      <c r="YJ84" s="0"/>
      <c r="YK84" s="0"/>
      <c r="YL84" s="0"/>
      <c r="YM84" s="0"/>
      <c r="YN84" s="0"/>
      <c r="YO84" s="0"/>
      <c r="YP84" s="0"/>
      <c r="YQ84" s="0"/>
      <c r="YR84" s="0"/>
      <c r="YS84" s="0"/>
      <c r="YT84" s="0"/>
      <c r="YU84" s="0"/>
      <c r="YV84" s="0"/>
      <c r="YW84" s="0"/>
      <c r="YX84" s="0"/>
      <c r="YY84" s="0"/>
      <c r="YZ84" s="0"/>
      <c r="ZA84" s="0"/>
      <c r="ZB84" s="0"/>
      <c r="ZC84" s="0"/>
      <c r="ZD84" s="0"/>
      <c r="ZE84" s="0"/>
      <c r="ZF84" s="0"/>
      <c r="ZG84" s="0"/>
      <c r="ZH84" s="0"/>
      <c r="ZI84" s="0"/>
      <c r="ZJ84" s="0"/>
      <c r="ZK84" s="0"/>
      <c r="ZL84" s="0"/>
      <c r="ZM84" s="0"/>
      <c r="ZN84" s="0"/>
      <c r="ZO84" s="0"/>
      <c r="ZP84" s="0"/>
      <c r="ZQ84" s="0"/>
      <c r="ZR84" s="0"/>
      <c r="ZS84" s="0"/>
      <c r="ZT84" s="0"/>
      <c r="ZU84" s="0"/>
      <c r="ZV84" s="0"/>
      <c r="ZW84" s="0"/>
      <c r="ZX84" s="0"/>
      <c r="ZY84" s="0"/>
      <c r="ZZ84" s="0"/>
      <c r="AAA84" s="0"/>
      <c r="AAB84" s="0"/>
      <c r="AAC84" s="0"/>
      <c r="AAD84" s="0"/>
      <c r="AAE84" s="0"/>
      <c r="AAF84" s="0"/>
      <c r="AAG84" s="0"/>
      <c r="AAH84" s="0"/>
      <c r="AAI84" s="0"/>
      <c r="AAJ84" s="0"/>
      <c r="AAK84" s="0"/>
      <c r="AAL84" s="0"/>
      <c r="AAM84" s="0"/>
      <c r="AAN84" s="0"/>
      <c r="AAO84" s="0"/>
      <c r="AAP84" s="0"/>
      <c r="AAQ84" s="0"/>
      <c r="AAR84" s="0"/>
      <c r="AAS84" s="0"/>
      <c r="AAT84" s="0"/>
      <c r="AAU84" s="0"/>
      <c r="AAV84" s="0"/>
      <c r="AAW84" s="0"/>
      <c r="AAX84" s="0"/>
      <c r="AAY84" s="0"/>
      <c r="AAZ84" s="0"/>
      <c r="ABA84" s="0"/>
      <c r="ABB84" s="0"/>
      <c r="ABC84" s="0"/>
      <c r="ABD84" s="0"/>
      <c r="ABE84" s="0"/>
      <c r="ABF84" s="0"/>
      <c r="ABG84" s="0"/>
      <c r="ABH84" s="0"/>
      <c r="ABI84" s="0"/>
      <c r="ABJ84" s="0"/>
      <c r="ABK84" s="0"/>
      <c r="ABL84" s="0"/>
      <c r="ABM84" s="0"/>
      <c r="ABN84" s="0"/>
      <c r="ABO84" s="0"/>
      <c r="ABP84" s="0"/>
      <c r="ABQ84" s="0"/>
      <c r="ABR84" s="0"/>
      <c r="ABS84" s="0"/>
      <c r="ABT84" s="0"/>
      <c r="ABU84" s="0"/>
      <c r="ABV84" s="0"/>
      <c r="ABW84" s="0"/>
      <c r="ABX84" s="0"/>
      <c r="ABY84" s="0"/>
      <c r="ABZ84" s="0"/>
      <c r="ACA84" s="0"/>
      <c r="ACB84" s="0"/>
      <c r="ACC84" s="0"/>
      <c r="ACD84" s="0"/>
      <c r="ACE84" s="0"/>
      <c r="ACF84" s="0"/>
      <c r="ACG84" s="0"/>
      <c r="ACH84" s="0"/>
      <c r="ACI84" s="0"/>
      <c r="ACJ84" s="0"/>
      <c r="ACK84" s="0"/>
      <c r="ACL84" s="0"/>
      <c r="ACM84" s="0"/>
      <c r="ACN84" s="0"/>
      <c r="ACO84" s="0"/>
      <c r="ACP84" s="0"/>
      <c r="ACQ84" s="0"/>
      <c r="ACR84" s="0"/>
      <c r="ACS84" s="0"/>
      <c r="ACT84" s="0"/>
      <c r="ACU84" s="0"/>
      <c r="ACV84" s="0"/>
      <c r="ACW84" s="0"/>
      <c r="ACX84" s="0"/>
      <c r="ACY84" s="0"/>
      <c r="ACZ84" s="0"/>
      <c r="ADA84" s="0"/>
      <c r="ADB84" s="0"/>
      <c r="ADC84" s="0"/>
      <c r="ADD84" s="0"/>
      <c r="ADE84" s="0"/>
      <c r="ADF84" s="0"/>
      <c r="ADG84" s="0"/>
      <c r="ADH84" s="0"/>
      <c r="ADI84" s="0"/>
      <c r="ADJ84" s="0"/>
      <c r="ADK84" s="0"/>
      <c r="ADL84" s="0"/>
      <c r="ADM84" s="0"/>
      <c r="ADN84" s="0"/>
      <c r="ADO84" s="0"/>
      <c r="ADP84" s="0"/>
      <c r="ADQ84" s="0"/>
      <c r="ADR84" s="0"/>
      <c r="ADS84" s="0"/>
      <c r="ADT84" s="0"/>
      <c r="ADU84" s="0"/>
      <c r="ADV84" s="0"/>
      <c r="ADW84" s="0"/>
      <c r="ADX84" s="0"/>
      <c r="ADY84" s="0"/>
      <c r="ADZ84" s="0"/>
      <c r="AEA84" s="0"/>
      <c r="AEB84" s="0"/>
      <c r="AEC84" s="0"/>
      <c r="AED84" s="0"/>
      <c r="AEE84" s="0"/>
      <c r="AEF84" s="0"/>
      <c r="AEG84" s="0"/>
      <c r="AEH84" s="0"/>
      <c r="AEI84" s="0"/>
      <c r="AEJ84" s="0"/>
      <c r="AEK84" s="0"/>
      <c r="AEL84" s="0"/>
      <c r="AEM84" s="0"/>
      <c r="AEN84" s="0"/>
      <c r="AEO84" s="0"/>
      <c r="AEP84" s="0"/>
      <c r="AEQ84" s="0"/>
      <c r="AER84" s="0"/>
      <c r="AES84" s="0"/>
      <c r="AET84" s="0"/>
      <c r="AEU84" s="0"/>
      <c r="AEV84" s="0"/>
      <c r="AEW84" s="0"/>
      <c r="AEX84" s="0"/>
      <c r="AEY84" s="0"/>
      <c r="AEZ84" s="0"/>
      <c r="AFA84" s="0"/>
      <c r="AFB84" s="0"/>
      <c r="AFC84" s="0"/>
      <c r="AFD84" s="0"/>
      <c r="AFE84" s="0"/>
      <c r="AFF84" s="0"/>
      <c r="AFG84" s="0"/>
      <c r="AFH84" s="0"/>
      <c r="AFI84" s="0"/>
      <c r="AFJ84" s="0"/>
      <c r="AFK84" s="0"/>
      <c r="AFL84" s="0"/>
      <c r="AFM84" s="0"/>
      <c r="AFN84" s="0"/>
      <c r="AFO84" s="0"/>
      <c r="AFP84" s="0"/>
      <c r="AFQ84" s="0"/>
      <c r="AFR84" s="0"/>
      <c r="AFS84" s="0"/>
      <c r="AFT84" s="0"/>
      <c r="AFU84" s="0"/>
      <c r="AFV84" s="0"/>
      <c r="AFW84" s="0"/>
      <c r="AFX84" s="0"/>
      <c r="AFY84" s="0"/>
      <c r="AFZ84" s="0"/>
      <c r="AGA84" s="0"/>
      <c r="AGB84" s="0"/>
      <c r="AGC84" s="0"/>
      <c r="AGD84" s="0"/>
      <c r="AGE84" s="0"/>
      <c r="AGF84" s="0"/>
      <c r="AGG84" s="0"/>
      <c r="AGH84" s="0"/>
      <c r="AGI84" s="0"/>
      <c r="AGJ84" s="0"/>
      <c r="AGK84" s="0"/>
      <c r="AGL84" s="0"/>
      <c r="AGM84" s="0"/>
      <c r="AGN84" s="0"/>
      <c r="AGO84" s="0"/>
      <c r="AGP84" s="0"/>
      <c r="AGQ84" s="0"/>
      <c r="AGR84" s="0"/>
      <c r="AGS84" s="0"/>
      <c r="AGT84" s="0"/>
      <c r="AGU84" s="0"/>
      <c r="AGV84" s="0"/>
      <c r="AGW84" s="0"/>
      <c r="AGX84" s="0"/>
      <c r="AGY84" s="0"/>
      <c r="AGZ84" s="0"/>
      <c r="AHA84" s="0"/>
      <c r="AHB84" s="0"/>
      <c r="AHC84" s="0"/>
      <c r="AHD84" s="0"/>
      <c r="AHE84" s="0"/>
      <c r="AHF84" s="0"/>
      <c r="AHG84" s="0"/>
      <c r="AHH84" s="0"/>
      <c r="AHI84" s="0"/>
      <c r="AHJ84" s="0"/>
      <c r="AHK84" s="0"/>
      <c r="AHL84" s="0"/>
      <c r="AHM84" s="0"/>
      <c r="AHN84" s="0"/>
      <c r="AHO84" s="0"/>
      <c r="AHP84" s="0"/>
      <c r="AHQ84" s="0"/>
      <c r="AHR84" s="0"/>
      <c r="AHS84" s="0"/>
      <c r="AHT84" s="0"/>
      <c r="AHU84" s="0"/>
      <c r="AHV84" s="0"/>
      <c r="AHW84" s="0"/>
      <c r="AHX84" s="0"/>
      <c r="AHY84" s="0"/>
      <c r="AHZ84" s="0"/>
      <c r="AIA84" s="0"/>
      <c r="AIB84" s="0"/>
      <c r="AIC84" s="0"/>
      <c r="AID84" s="0"/>
      <c r="AIE84" s="0"/>
      <c r="AIF84" s="0"/>
      <c r="AIG84" s="0"/>
      <c r="AIH84" s="0"/>
      <c r="AII84" s="0"/>
      <c r="AIJ84" s="0"/>
      <c r="AIK84" s="0"/>
      <c r="AIL84" s="0"/>
      <c r="AIM84" s="0"/>
      <c r="AIN84" s="0"/>
      <c r="AIO84" s="0"/>
      <c r="AIP84" s="0"/>
      <c r="AIQ84" s="0"/>
      <c r="AIR84" s="0"/>
      <c r="AIS84" s="0"/>
      <c r="AIT84" s="0"/>
      <c r="AIU84" s="0"/>
      <c r="AIV84" s="0"/>
      <c r="AIW84" s="0"/>
      <c r="AIX84" s="0"/>
      <c r="AIY84" s="0"/>
      <c r="AIZ84" s="0"/>
      <c r="AJA84" s="0"/>
      <c r="AJB84" s="0"/>
      <c r="AJC84" s="0"/>
      <c r="AJD84" s="0"/>
      <c r="AJE84" s="0"/>
      <c r="AJF84" s="0"/>
      <c r="AJG84" s="0"/>
      <c r="AJH84" s="0"/>
      <c r="AJI84" s="0"/>
      <c r="AJJ84" s="0"/>
      <c r="AJK84" s="0"/>
      <c r="AJL84" s="0"/>
      <c r="AJM84" s="0"/>
      <c r="AJN84" s="0"/>
      <c r="AJO84" s="0"/>
      <c r="AJP84" s="0"/>
      <c r="AJQ84" s="0"/>
      <c r="AJR84" s="0"/>
      <c r="AJS84" s="0"/>
      <c r="AJT84" s="0"/>
      <c r="AJU84" s="0"/>
      <c r="AJV84" s="0"/>
      <c r="AJW84" s="0"/>
      <c r="AJX84" s="0"/>
      <c r="AJY84" s="0"/>
      <c r="AJZ84" s="0"/>
      <c r="AKA84" s="0"/>
      <c r="AKB84" s="0"/>
      <c r="AKC84" s="0"/>
      <c r="AKD84" s="0"/>
      <c r="AKE84" s="0"/>
      <c r="AKF84" s="0"/>
      <c r="AKG84" s="0"/>
      <c r="AKH84" s="0"/>
      <c r="AKI84" s="0"/>
      <c r="AKJ84" s="0"/>
      <c r="AKK84" s="0"/>
      <c r="AKL84" s="0"/>
      <c r="AKM84" s="0"/>
      <c r="AKN84" s="0"/>
      <c r="AKO84" s="0"/>
      <c r="AKP84" s="0"/>
      <c r="AKQ84" s="0"/>
      <c r="AKR84" s="0"/>
      <c r="AKS84" s="0"/>
      <c r="AKT84" s="0"/>
      <c r="AKU84" s="0"/>
      <c r="AKV84" s="0"/>
      <c r="AKW84" s="0"/>
      <c r="AKX84" s="0"/>
      <c r="AKY84" s="0"/>
      <c r="AKZ84" s="0"/>
      <c r="ALA84" s="0"/>
      <c r="ALB84" s="0"/>
      <c r="ALC84" s="0"/>
      <c r="ALD84" s="0"/>
      <c r="ALE84" s="0"/>
      <c r="ALF84" s="0"/>
      <c r="ALG84" s="0"/>
      <c r="ALH84" s="0"/>
      <c r="ALI84" s="0"/>
      <c r="ALJ84" s="0"/>
      <c r="ALK84" s="0"/>
      <c r="ALL84" s="0"/>
      <c r="ALM84" s="0"/>
      <c r="ALN84" s="0"/>
      <c r="ALO84" s="0"/>
      <c r="ALP84" s="0"/>
      <c r="ALQ84" s="0"/>
      <c r="ALR84" s="0"/>
      <c r="ALS84" s="0"/>
      <c r="ALT84" s="0"/>
      <c r="ALU84" s="0"/>
      <c r="ALV84" s="0"/>
      <c r="ALW84" s="0"/>
      <c r="ALX84" s="0"/>
      <c r="ALY84" s="0"/>
      <c r="ALZ84" s="0"/>
      <c r="AMA84" s="0"/>
      <c r="AMB84" s="0"/>
      <c r="AMC84" s="0"/>
      <c r="AMD84" s="0"/>
      <c r="AME84" s="0"/>
      <c r="AMF84" s="0"/>
      <c r="AMG84" s="0"/>
      <c r="AMH84" s="0"/>
      <c r="AMI84" s="0"/>
      <c r="AMJ84" s="0"/>
      <c r="AMK84" s="0"/>
      <c r="AML84" s="0"/>
      <c r="AMM84" s="0"/>
      <c r="AMN84" s="0"/>
      <c r="AMO84" s="0"/>
      <c r="AMP84" s="0"/>
      <c r="AMQ84" s="0"/>
      <c r="AMR84" s="0"/>
      <c r="AMS84" s="0"/>
      <c r="AMT84" s="0"/>
      <c r="AMU84" s="0"/>
      <c r="AMV84" s="0"/>
      <c r="AMW84" s="0"/>
      <c r="AMX84" s="0"/>
      <c r="AMY84" s="0"/>
      <c r="AMZ84" s="0"/>
      <c r="ANA84" s="0"/>
      <c r="ANB84" s="0"/>
      <c r="ANC84" s="0"/>
      <c r="AND84" s="0"/>
      <c r="ANE84" s="0"/>
      <c r="ANF84" s="0"/>
      <c r="ANG84" s="0"/>
      <c r="ANH84" s="0"/>
      <c r="ANI84" s="0"/>
      <c r="ANJ84" s="0"/>
      <c r="ANK84" s="0"/>
      <c r="ANL84" s="0"/>
      <c r="ANM84" s="0"/>
      <c r="ANN84" s="0"/>
      <c r="ANO84" s="0"/>
      <c r="ANP84" s="0"/>
      <c r="ANQ84" s="0"/>
      <c r="ANR84" s="0"/>
      <c r="ANS84" s="0"/>
      <c r="ANT84" s="0"/>
      <c r="ANU84" s="0"/>
      <c r="ANV84" s="0"/>
      <c r="ANW84" s="0"/>
      <c r="ANX84" s="0"/>
      <c r="ANY84" s="0"/>
      <c r="ANZ84" s="0"/>
      <c r="AOA84" s="0"/>
      <c r="AOB84" s="0"/>
      <c r="AOC84" s="0"/>
      <c r="AOD84" s="0"/>
      <c r="AOE84" s="0"/>
      <c r="AOF84" s="0"/>
      <c r="AOG84" s="0"/>
      <c r="AOH84" s="0"/>
      <c r="AOI84" s="0"/>
      <c r="AOJ84" s="0"/>
      <c r="AOK84" s="0"/>
      <c r="AOL84" s="0"/>
      <c r="AOM84" s="0"/>
      <c r="AON84" s="0"/>
      <c r="AOO84" s="0"/>
      <c r="AOP84" s="0"/>
      <c r="AOQ84" s="0"/>
      <c r="AOR84" s="0"/>
      <c r="AOS84" s="0"/>
      <c r="AOT84" s="0"/>
      <c r="AOU84" s="0"/>
      <c r="AOV84" s="0"/>
      <c r="AOW84" s="0"/>
      <c r="AOX84" s="0"/>
      <c r="AOY84" s="0"/>
      <c r="AOZ84" s="0"/>
      <c r="APA84" s="0"/>
      <c r="APB84" s="0"/>
      <c r="APC84" s="0"/>
      <c r="APD84" s="0"/>
      <c r="APE84" s="0"/>
      <c r="APF84" s="0"/>
      <c r="APG84" s="0"/>
      <c r="APH84" s="0"/>
      <c r="API84" s="0"/>
      <c r="APJ84" s="0"/>
      <c r="APK84" s="0"/>
      <c r="APL84" s="0"/>
      <c r="APM84" s="0"/>
      <c r="APN84" s="0"/>
      <c r="APO84" s="0"/>
      <c r="APP84" s="0"/>
      <c r="APQ84" s="0"/>
      <c r="APR84" s="0"/>
      <c r="APS84" s="0"/>
      <c r="APT84" s="0"/>
      <c r="APU84" s="0"/>
      <c r="APV84" s="0"/>
      <c r="APW84" s="0"/>
      <c r="APX84" s="0"/>
      <c r="APY84" s="0"/>
      <c r="APZ84" s="0"/>
      <c r="AQA84" s="0"/>
      <c r="AQB84" s="0"/>
      <c r="AQC84" s="0"/>
      <c r="AQD84" s="0"/>
      <c r="AQE84" s="0"/>
      <c r="AQF84" s="0"/>
      <c r="AQG84" s="0"/>
      <c r="AQH84" s="0"/>
      <c r="AQI84" s="0"/>
      <c r="AQJ84" s="0"/>
      <c r="AQK84" s="0"/>
      <c r="AQL84" s="0"/>
      <c r="AQM84" s="0"/>
      <c r="AQN84" s="0"/>
      <c r="AQO84" s="0"/>
      <c r="AQP84" s="0"/>
      <c r="AQQ84" s="0"/>
      <c r="AQR84" s="0"/>
      <c r="AQS84" s="0"/>
      <c r="AQT84" s="0"/>
      <c r="AQU84" s="0"/>
      <c r="AQV84" s="0"/>
      <c r="AQW84" s="0"/>
      <c r="AQX84" s="0"/>
      <c r="AQY84" s="0"/>
      <c r="AQZ84" s="0"/>
      <c r="ARA84" s="0"/>
      <c r="ARB84" s="0"/>
      <c r="ARC84" s="0"/>
      <c r="ARD84" s="0"/>
      <c r="ARE84" s="0"/>
      <c r="ARF84" s="0"/>
      <c r="ARG84" s="0"/>
      <c r="ARH84" s="0"/>
      <c r="ARI84" s="0"/>
      <c r="ARJ84" s="0"/>
      <c r="ARK84" s="0"/>
      <c r="ARL84" s="0"/>
      <c r="ARM84" s="0"/>
      <c r="ARN84" s="0"/>
      <c r="ARO84" s="0"/>
      <c r="ARP84" s="0"/>
      <c r="ARQ84" s="0"/>
      <c r="ARR84" s="0"/>
      <c r="ARS84" s="0"/>
      <c r="ART84" s="0"/>
      <c r="ARU84" s="0"/>
      <c r="ARV84" s="0"/>
      <c r="ARW84" s="0"/>
      <c r="ARX84" s="0"/>
      <c r="ARY84" s="0"/>
      <c r="ARZ84" s="0"/>
      <c r="ASA84" s="0"/>
      <c r="ASB84" s="0"/>
      <c r="ASC84" s="0"/>
      <c r="ASD84" s="0"/>
      <c r="ASE84" s="0"/>
      <c r="ASF84" s="0"/>
      <c r="ASG84" s="0"/>
      <c r="ASH84" s="0"/>
      <c r="ASI84" s="0"/>
      <c r="ASJ84" s="0"/>
      <c r="ASK84" s="0"/>
      <c r="ASL84" s="0"/>
      <c r="ASM84" s="0"/>
      <c r="ASN84" s="0"/>
      <c r="ASO84" s="0"/>
      <c r="ASP84" s="0"/>
      <c r="ASQ84" s="0"/>
      <c r="ASR84" s="0"/>
      <c r="ASS84" s="0"/>
      <c r="AST84" s="0"/>
      <c r="ASU84" s="0"/>
      <c r="ASV84" s="0"/>
      <c r="ASW84" s="0"/>
      <c r="ASX84" s="0"/>
      <c r="ASY84" s="0"/>
      <c r="ASZ84" s="0"/>
      <c r="ATA84" s="0"/>
      <c r="ATB84" s="0"/>
      <c r="ATC84" s="0"/>
      <c r="ATD84" s="0"/>
      <c r="ATE84" s="0"/>
      <c r="ATF84" s="0"/>
      <c r="ATG84" s="0"/>
      <c r="ATH84" s="0"/>
      <c r="ATI84" s="0"/>
      <c r="ATJ84" s="0"/>
      <c r="ATK84" s="0"/>
      <c r="ATL84" s="0"/>
      <c r="ATM84" s="0"/>
      <c r="ATN84" s="0"/>
      <c r="ATO84" s="0"/>
      <c r="ATP84" s="0"/>
      <c r="ATQ84" s="0"/>
      <c r="ATR84" s="0"/>
      <c r="ATS84" s="0"/>
      <c r="ATT84" s="0"/>
      <c r="ATU84" s="0"/>
      <c r="ATV84" s="0"/>
      <c r="ATW84" s="0"/>
      <c r="ATX84" s="0"/>
      <c r="ATY84" s="0"/>
      <c r="ATZ84" s="0"/>
      <c r="AUA84" s="0"/>
      <c r="AUB84" s="0"/>
      <c r="AUC84" s="0"/>
      <c r="AUD84" s="0"/>
      <c r="AUE84" s="0"/>
      <c r="AUF84" s="0"/>
      <c r="AUG84" s="0"/>
      <c r="AUH84" s="0"/>
      <c r="AUI84" s="0"/>
      <c r="AUJ84" s="0"/>
      <c r="AUK84" s="0"/>
      <c r="AUL84" s="0"/>
      <c r="AUM84" s="0"/>
      <c r="AUN84" s="0"/>
      <c r="AUO84" s="0"/>
      <c r="AUP84" s="0"/>
      <c r="AUQ84" s="0"/>
      <c r="AUR84" s="0"/>
      <c r="AUS84" s="0"/>
      <c r="AUT84" s="0"/>
      <c r="AUU84" s="0"/>
      <c r="AUV84" s="0"/>
      <c r="AUW84" s="0"/>
      <c r="AUX84" s="0"/>
      <c r="AUY84" s="0"/>
      <c r="AUZ84" s="0"/>
      <c r="AVA84" s="0"/>
      <c r="AVB84" s="0"/>
      <c r="AVC84" s="0"/>
      <c r="AVD84" s="0"/>
      <c r="AVE84" s="0"/>
      <c r="AVF84" s="0"/>
      <c r="AVG84" s="0"/>
      <c r="AVH84" s="0"/>
      <c r="AVI84" s="0"/>
      <c r="AVJ84" s="0"/>
      <c r="AVK84" s="0"/>
      <c r="AVL84" s="0"/>
      <c r="AVM84" s="0"/>
      <c r="AVN84" s="0"/>
      <c r="AVO84" s="0"/>
      <c r="AVP84" s="0"/>
      <c r="AVQ84" s="0"/>
      <c r="AVR84" s="0"/>
      <c r="AVS84" s="0"/>
      <c r="AVT84" s="0"/>
      <c r="AVU84" s="0"/>
      <c r="AVV84" s="0"/>
      <c r="AVW84" s="0"/>
      <c r="AVX84" s="0"/>
      <c r="AVY84" s="0"/>
      <c r="AVZ84" s="0"/>
      <c r="AWA84" s="0"/>
      <c r="AWB84" s="0"/>
      <c r="AWC84" s="0"/>
      <c r="AWD84" s="0"/>
      <c r="AWE84" s="0"/>
      <c r="AWF84" s="0"/>
      <c r="AWG84" s="0"/>
      <c r="AWH84" s="0"/>
      <c r="AWI84" s="0"/>
      <c r="AWJ84" s="0"/>
      <c r="AWK84" s="0"/>
      <c r="AWL84" s="0"/>
      <c r="AWM84" s="0"/>
      <c r="AWN84" s="0"/>
      <c r="AWO84" s="0"/>
      <c r="AWP84" s="0"/>
      <c r="AWQ84" s="0"/>
      <c r="AWR84" s="0"/>
      <c r="AWS84" s="0"/>
      <c r="AWT84" s="0"/>
      <c r="AWU84" s="0"/>
      <c r="AWV84" s="0"/>
      <c r="AWW84" s="0"/>
      <c r="AWX84" s="0"/>
      <c r="AWY84" s="0"/>
      <c r="AWZ84" s="0"/>
      <c r="AXA84" s="0"/>
      <c r="AXB84" s="0"/>
      <c r="AXC84" s="0"/>
      <c r="AXD84" s="0"/>
      <c r="AXE84" s="0"/>
      <c r="AXF84" s="0"/>
      <c r="AXG84" s="0"/>
      <c r="AXH84" s="0"/>
      <c r="AXI84" s="0"/>
      <c r="AXJ84" s="0"/>
      <c r="AXK84" s="0"/>
      <c r="AXL84" s="0"/>
      <c r="AXM84" s="0"/>
      <c r="AXN84" s="0"/>
      <c r="AXO84" s="0"/>
      <c r="AXP84" s="0"/>
      <c r="AXQ84" s="0"/>
      <c r="AXR84" s="0"/>
      <c r="AXS84" s="0"/>
      <c r="AXT84" s="0"/>
      <c r="AXU84" s="0"/>
      <c r="AXV84" s="0"/>
      <c r="AXW84" s="0"/>
      <c r="AXX84" s="0"/>
      <c r="AXY84" s="0"/>
      <c r="AXZ84" s="0"/>
      <c r="AYA84" s="0"/>
      <c r="AYB84" s="0"/>
      <c r="AYC84" s="0"/>
      <c r="AYD84" s="0"/>
      <c r="AYE84" s="0"/>
      <c r="AYF84" s="0"/>
      <c r="AYG84" s="0"/>
      <c r="AYH84" s="0"/>
      <c r="AYI84" s="0"/>
      <c r="AYJ84" s="0"/>
      <c r="AYK84" s="0"/>
      <c r="AYL84" s="0"/>
      <c r="AYM84" s="0"/>
      <c r="AYN84" s="0"/>
      <c r="AYO84" s="0"/>
      <c r="AYP84" s="0"/>
      <c r="AYQ84" s="0"/>
      <c r="AYR84" s="0"/>
      <c r="AYS84" s="0"/>
      <c r="AYT84" s="0"/>
      <c r="AYU84" s="0"/>
      <c r="AYV84" s="0"/>
      <c r="AYW84" s="0"/>
      <c r="AYX84" s="0"/>
      <c r="AYY84" s="0"/>
      <c r="AYZ84" s="0"/>
      <c r="AZA84" s="0"/>
      <c r="AZB84" s="0"/>
      <c r="AZC84" s="0"/>
      <c r="AZD84" s="0"/>
      <c r="AZE84" s="0"/>
      <c r="AZF84" s="0"/>
      <c r="AZG84" s="0"/>
      <c r="AZH84" s="0"/>
      <c r="AZI84" s="0"/>
      <c r="AZJ84" s="0"/>
      <c r="AZK84" s="0"/>
      <c r="AZL84" s="0"/>
      <c r="AZM84" s="0"/>
      <c r="AZN84" s="0"/>
      <c r="AZO84" s="0"/>
      <c r="AZP84" s="0"/>
      <c r="AZQ84" s="0"/>
      <c r="AZR84" s="0"/>
      <c r="AZS84" s="0"/>
      <c r="AZT84" s="0"/>
      <c r="AZU84" s="0"/>
      <c r="AZV84" s="0"/>
      <c r="AZW84" s="0"/>
      <c r="AZX84" s="0"/>
      <c r="AZY84" s="0"/>
      <c r="AZZ84" s="0"/>
      <c r="BAA84" s="0"/>
      <c r="BAB84" s="0"/>
      <c r="BAC84" s="0"/>
      <c r="BAD84" s="0"/>
      <c r="BAE84" s="0"/>
      <c r="BAF84" s="0"/>
      <c r="BAG84" s="0"/>
      <c r="BAH84" s="0"/>
      <c r="BAI84" s="0"/>
      <c r="BAJ84" s="0"/>
      <c r="BAK84" s="0"/>
      <c r="BAL84" s="0"/>
      <c r="BAM84" s="0"/>
      <c r="BAN84" s="0"/>
      <c r="BAO84" s="0"/>
      <c r="BAP84" s="0"/>
      <c r="BAQ84" s="0"/>
      <c r="BAR84" s="0"/>
      <c r="BAS84" s="0"/>
      <c r="BAT84" s="0"/>
      <c r="BAU84" s="0"/>
      <c r="BAV84" s="0"/>
      <c r="BAW84" s="0"/>
      <c r="BAX84" s="0"/>
      <c r="BAY84" s="0"/>
      <c r="BAZ84" s="0"/>
      <c r="BBA84" s="0"/>
      <c r="BBB84" s="0"/>
      <c r="BBC84" s="0"/>
      <c r="BBD84" s="0"/>
      <c r="BBE84" s="0"/>
      <c r="BBF84" s="0"/>
      <c r="BBG84" s="0"/>
      <c r="BBH84" s="0"/>
      <c r="BBI84" s="0"/>
      <c r="BBJ84" s="0"/>
      <c r="BBK84" s="0"/>
      <c r="BBL84" s="0"/>
      <c r="BBM84" s="0"/>
      <c r="BBN84" s="0"/>
      <c r="BBO84" s="0"/>
      <c r="BBP84" s="0"/>
      <c r="BBQ84" s="0"/>
      <c r="BBR84" s="0"/>
      <c r="BBS84" s="0"/>
      <c r="BBT84" s="0"/>
      <c r="BBU84" s="0"/>
      <c r="BBV84" s="0"/>
      <c r="BBW84" s="0"/>
      <c r="BBX84" s="0"/>
      <c r="BBY84" s="0"/>
      <c r="BBZ84" s="0"/>
      <c r="BCA84" s="0"/>
      <c r="BCB84" s="0"/>
      <c r="BCC84" s="0"/>
      <c r="BCD84" s="0"/>
      <c r="BCE84" s="0"/>
      <c r="BCF84" s="0"/>
      <c r="BCG84" s="0"/>
      <c r="BCH84" s="0"/>
      <c r="BCI84" s="0"/>
      <c r="BCJ84" s="0"/>
      <c r="BCK84" s="0"/>
      <c r="BCL84" s="0"/>
      <c r="BCM84" s="0"/>
      <c r="BCN84" s="0"/>
      <c r="BCO84" s="0"/>
      <c r="BCP84" s="0"/>
      <c r="BCQ84" s="0"/>
      <c r="BCR84" s="0"/>
      <c r="BCS84" s="0"/>
      <c r="BCT84" s="0"/>
      <c r="BCU84" s="0"/>
      <c r="BCV84" s="0"/>
      <c r="BCW84" s="0"/>
      <c r="BCX84" s="0"/>
      <c r="BCY84" s="0"/>
      <c r="BCZ84" s="0"/>
      <c r="BDA84" s="0"/>
      <c r="BDB84" s="0"/>
      <c r="BDC84" s="0"/>
      <c r="BDD84" s="0"/>
      <c r="BDE84" s="0"/>
      <c r="BDF84" s="0"/>
      <c r="BDG84" s="0"/>
      <c r="BDH84" s="0"/>
      <c r="BDI84" s="0"/>
      <c r="BDJ84" s="0"/>
      <c r="BDK84" s="0"/>
      <c r="BDL84" s="0"/>
      <c r="BDM84" s="0"/>
      <c r="BDN84" s="0"/>
      <c r="BDO84" s="0"/>
      <c r="BDP84" s="0"/>
      <c r="BDQ84" s="0"/>
      <c r="BDR84" s="0"/>
      <c r="BDS84" s="0"/>
      <c r="BDT84" s="0"/>
      <c r="BDU84" s="0"/>
      <c r="BDV84" s="0"/>
      <c r="BDW84" s="0"/>
      <c r="BDX84" s="0"/>
      <c r="BDY84" s="0"/>
      <c r="BDZ84" s="0"/>
      <c r="BEA84" s="0"/>
      <c r="BEB84" s="0"/>
      <c r="BEC84" s="0"/>
      <c r="BED84" s="0"/>
      <c r="BEE84" s="0"/>
      <c r="BEF84" s="0"/>
      <c r="BEG84" s="0"/>
      <c r="BEH84" s="0"/>
      <c r="BEI84" s="0"/>
      <c r="BEJ84" s="0"/>
      <c r="BEK84" s="0"/>
      <c r="BEL84" s="0"/>
      <c r="BEM84" s="0"/>
      <c r="BEN84" s="0"/>
      <c r="BEO84" s="0"/>
      <c r="BEP84" s="0"/>
      <c r="BEQ84" s="0"/>
      <c r="BER84" s="0"/>
      <c r="BES84" s="0"/>
      <c r="BET84" s="0"/>
      <c r="BEU84" s="0"/>
      <c r="BEV84" s="0"/>
      <c r="BEW84" s="0"/>
      <c r="BEX84" s="0"/>
      <c r="BEY84" s="0"/>
      <c r="BEZ84" s="0"/>
      <c r="BFA84" s="0"/>
      <c r="BFB84" s="0"/>
      <c r="BFC84" s="0"/>
      <c r="BFD84" s="0"/>
      <c r="BFE84" s="0"/>
      <c r="BFF84" s="0"/>
      <c r="BFG84" s="0"/>
      <c r="BFH84" s="0"/>
      <c r="BFI84" s="0"/>
      <c r="BFJ84" s="0"/>
      <c r="BFK84" s="0"/>
      <c r="BFL84" s="0"/>
      <c r="BFM84" s="0"/>
      <c r="BFN84" s="0"/>
      <c r="BFO84" s="0"/>
      <c r="BFP84" s="0"/>
      <c r="BFQ84" s="0"/>
      <c r="BFR84" s="0"/>
      <c r="BFS84" s="0"/>
      <c r="BFT84" s="0"/>
      <c r="BFU84" s="0"/>
      <c r="BFV84" s="0"/>
      <c r="BFW84" s="0"/>
      <c r="BFX84" s="0"/>
      <c r="BFY84" s="0"/>
      <c r="BFZ84" s="0"/>
      <c r="BGA84" s="0"/>
      <c r="BGB84" s="0"/>
      <c r="BGC84" s="0"/>
      <c r="BGD84" s="0"/>
      <c r="BGE84" s="0"/>
      <c r="BGF84" s="0"/>
      <c r="BGG84" s="0"/>
      <c r="BGH84" s="0"/>
      <c r="BGI84" s="0"/>
      <c r="BGJ84" s="0"/>
      <c r="BGK84" s="0"/>
      <c r="BGL84" s="0"/>
      <c r="BGM84" s="0"/>
      <c r="BGN84" s="0"/>
      <c r="BGO84" s="0"/>
      <c r="BGP84" s="0"/>
      <c r="BGQ84" s="0"/>
      <c r="BGR84" s="0"/>
      <c r="BGS84" s="0"/>
      <c r="BGT84" s="0"/>
      <c r="BGU84" s="0"/>
      <c r="BGV84" s="0"/>
      <c r="BGW84" s="0"/>
      <c r="BGX84" s="0"/>
      <c r="BGY84" s="0"/>
      <c r="BGZ84" s="0"/>
      <c r="BHA84" s="0"/>
      <c r="BHB84" s="0"/>
      <c r="BHC84" s="0"/>
      <c r="BHD84" s="0"/>
      <c r="BHE84" s="0"/>
      <c r="BHF84" s="0"/>
      <c r="BHG84" s="0"/>
      <c r="BHH84" s="0"/>
      <c r="BHI84" s="0"/>
      <c r="BHJ84" s="0"/>
      <c r="BHK84" s="0"/>
      <c r="BHL84" s="0"/>
      <c r="BHM84" s="0"/>
      <c r="BHN84" s="0"/>
      <c r="BHO84" s="0"/>
      <c r="BHP84" s="0"/>
      <c r="BHQ84" s="0"/>
      <c r="BHR84" s="0"/>
      <c r="BHS84" s="0"/>
      <c r="BHT84" s="0"/>
      <c r="BHU84" s="0"/>
      <c r="BHV84" s="0"/>
      <c r="BHW84" s="0"/>
      <c r="BHX84" s="0"/>
      <c r="BHY84" s="0"/>
      <c r="BHZ84" s="0"/>
      <c r="BIA84" s="0"/>
      <c r="BIB84" s="0"/>
      <c r="BIC84" s="0"/>
      <c r="BID84" s="0"/>
      <c r="BIE84" s="0"/>
      <c r="BIF84" s="0"/>
      <c r="BIG84" s="0"/>
      <c r="BIH84" s="0"/>
      <c r="BII84" s="0"/>
      <c r="BIJ84" s="0"/>
      <c r="BIK84" s="0"/>
      <c r="BIL84" s="0"/>
      <c r="BIM84" s="0"/>
      <c r="BIN84" s="0"/>
      <c r="BIO84" s="0"/>
      <c r="BIP84" s="0"/>
      <c r="BIQ84" s="0"/>
      <c r="BIR84" s="0"/>
      <c r="BIS84" s="0"/>
      <c r="BIT84" s="0"/>
      <c r="BIU84" s="0"/>
      <c r="BIV84" s="0"/>
      <c r="BIW84" s="0"/>
      <c r="BIX84" s="0"/>
      <c r="BIY84" s="0"/>
      <c r="BIZ84" s="0"/>
      <c r="BJA84" s="0"/>
      <c r="BJB84" s="0"/>
      <c r="BJC84" s="0"/>
      <c r="BJD84" s="0"/>
      <c r="BJE84" s="0"/>
      <c r="BJF84" s="0"/>
      <c r="BJG84" s="0"/>
      <c r="BJH84" s="0"/>
      <c r="BJI84" s="0"/>
      <c r="BJJ84" s="0"/>
      <c r="BJK84" s="0"/>
      <c r="BJL84" s="0"/>
      <c r="BJM84" s="0"/>
      <c r="BJN84" s="0"/>
      <c r="BJO84" s="0"/>
      <c r="BJP84" s="0"/>
      <c r="BJQ84" s="0"/>
      <c r="BJR84" s="0"/>
      <c r="BJS84" s="0"/>
      <c r="BJT84" s="0"/>
      <c r="BJU84" s="0"/>
      <c r="BJV84" s="0"/>
      <c r="BJW84" s="0"/>
      <c r="BJX84" s="0"/>
      <c r="BJY84" s="0"/>
      <c r="BJZ84" s="0"/>
      <c r="BKA84" s="0"/>
      <c r="BKB84" s="0"/>
      <c r="BKC84" s="0"/>
      <c r="BKD84" s="0"/>
      <c r="BKE84" s="0"/>
      <c r="BKF84" s="0"/>
      <c r="BKG84" s="0"/>
      <c r="BKH84" s="0"/>
      <c r="BKI84" s="0"/>
      <c r="BKJ84" s="0"/>
      <c r="BKK84" s="0"/>
      <c r="BKL84" s="0"/>
      <c r="BKM84" s="0"/>
      <c r="BKN84" s="0"/>
      <c r="BKO84" s="0"/>
      <c r="BKP84" s="0"/>
      <c r="BKQ84" s="0"/>
      <c r="BKR84" s="0"/>
      <c r="BKS84" s="0"/>
      <c r="BKT84" s="0"/>
      <c r="BKU84" s="0"/>
      <c r="BKV84" s="0"/>
      <c r="BKW84" s="0"/>
      <c r="BKX84" s="0"/>
      <c r="BKY84" s="0"/>
      <c r="BKZ84" s="0"/>
      <c r="BLA84" s="0"/>
      <c r="BLB84" s="0"/>
      <c r="BLC84" s="0"/>
      <c r="BLD84" s="0"/>
      <c r="BLE84" s="0"/>
      <c r="BLF84" s="0"/>
      <c r="BLG84" s="0"/>
      <c r="BLH84" s="0"/>
      <c r="BLI84" s="0"/>
      <c r="BLJ84" s="0"/>
      <c r="BLK84" s="0"/>
      <c r="BLL84" s="0"/>
      <c r="BLM84" s="0"/>
      <c r="BLN84" s="0"/>
      <c r="BLO84" s="0"/>
      <c r="BLP84" s="0"/>
      <c r="BLQ84" s="0"/>
      <c r="BLR84" s="0"/>
      <c r="BLS84" s="0"/>
      <c r="BLT84" s="0"/>
      <c r="BLU84" s="0"/>
      <c r="BLV84" s="0"/>
      <c r="BLW84" s="0"/>
      <c r="BLX84" s="0"/>
      <c r="BLY84" s="0"/>
      <c r="BLZ84" s="0"/>
      <c r="BMA84" s="0"/>
      <c r="BMB84" s="0"/>
      <c r="BMC84" s="0"/>
      <c r="BMD84" s="0"/>
      <c r="BME84" s="0"/>
      <c r="BMF84" s="0"/>
      <c r="BMG84" s="0"/>
      <c r="BMH84" s="0"/>
      <c r="BMI84" s="0"/>
      <c r="BMJ84" s="0"/>
      <c r="BMK84" s="0"/>
      <c r="BML84" s="0"/>
      <c r="BMM84" s="0"/>
      <c r="BMN84" s="0"/>
      <c r="BMO84" s="0"/>
      <c r="BMP84" s="0"/>
      <c r="BMQ84" s="0"/>
      <c r="BMR84" s="0"/>
      <c r="BMS84" s="0"/>
      <c r="BMT84" s="0"/>
      <c r="BMU84" s="0"/>
      <c r="BMV84" s="0"/>
      <c r="BMW84" s="0"/>
      <c r="BMX84" s="0"/>
      <c r="BMY84" s="0"/>
      <c r="BMZ84" s="0"/>
      <c r="BNA84" s="0"/>
      <c r="BNB84" s="0"/>
      <c r="BNC84" s="0"/>
      <c r="BND84" s="0"/>
      <c r="BNE84" s="0"/>
      <c r="BNF84" s="0"/>
      <c r="BNG84" s="0"/>
      <c r="BNH84" s="0"/>
      <c r="BNI84" s="0"/>
      <c r="BNJ84" s="0"/>
      <c r="BNK84" s="0"/>
      <c r="BNL84" s="0"/>
      <c r="BNM84" s="0"/>
      <c r="BNN84" s="0"/>
      <c r="BNO84" s="0"/>
      <c r="BNP84" s="0"/>
      <c r="BNQ84" s="0"/>
      <c r="BNR84" s="0"/>
      <c r="BNS84" s="0"/>
      <c r="BNT84" s="0"/>
      <c r="BNU84" s="0"/>
      <c r="BNV84" s="0"/>
      <c r="BNW84" s="0"/>
      <c r="BNX84" s="0"/>
      <c r="BNY84" s="0"/>
      <c r="BNZ84" s="0"/>
      <c r="BOA84" s="0"/>
      <c r="BOB84" s="0"/>
      <c r="BOC84" s="0"/>
      <c r="BOD84" s="0"/>
      <c r="BOE84" s="0"/>
      <c r="BOF84" s="0"/>
      <c r="BOG84" s="0"/>
      <c r="BOH84" s="0"/>
      <c r="BOI84" s="0"/>
      <c r="BOJ84" s="0"/>
      <c r="BOK84" s="0"/>
      <c r="BOL84" s="0"/>
      <c r="BOM84" s="0"/>
      <c r="BON84" s="0"/>
      <c r="BOO84" s="0"/>
      <c r="BOP84" s="0"/>
      <c r="BOQ84" s="0"/>
      <c r="BOR84" s="0"/>
      <c r="BOS84" s="0"/>
      <c r="BOT84" s="0"/>
      <c r="BOU84" s="0"/>
      <c r="BOV84" s="0"/>
      <c r="BOW84" s="0"/>
      <c r="BOX84" s="0"/>
      <c r="BOY84" s="0"/>
      <c r="BOZ84" s="0"/>
      <c r="BPA84" s="0"/>
      <c r="BPB84" s="0"/>
      <c r="BPC84" s="0"/>
      <c r="BPD84" s="0"/>
      <c r="BPE84" s="0"/>
      <c r="BPF84" s="0"/>
      <c r="BPG84" s="0"/>
      <c r="BPH84" s="0"/>
      <c r="BPI84" s="0"/>
      <c r="BPJ84" s="0"/>
      <c r="BPK84" s="0"/>
      <c r="BPL84" s="0"/>
      <c r="BPM84" s="0"/>
      <c r="BPN84" s="0"/>
      <c r="BPO84" s="0"/>
      <c r="BPP84" s="0"/>
      <c r="BPQ84" s="0"/>
      <c r="BPR84" s="0"/>
      <c r="BPS84" s="0"/>
      <c r="BPT84" s="0"/>
      <c r="BPU84" s="0"/>
      <c r="BPV84" s="0"/>
      <c r="BPW84" s="0"/>
      <c r="BPX84" s="0"/>
      <c r="BPY84" s="0"/>
      <c r="BPZ84" s="0"/>
      <c r="BQA84" s="0"/>
      <c r="BQB84" s="0"/>
      <c r="BQC84" s="0"/>
      <c r="BQD84" s="0"/>
      <c r="BQE84" s="0"/>
      <c r="BQF84" s="0"/>
      <c r="BQG84" s="0"/>
      <c r="BQH84" s="0"/>
      <c r="BQI84" s="0"/>
      <c r="BQJ84" s="0"/>
      <c r="BQK84" s="0"/>
      <c r="BQL84" s="0"/>
      <c r="BQM84" s="0"/>
      <c r="BQN84" s="0"/>
      <c r="BQO84" s="0"/>
      <c r="BQP84" s="0"/>
      <c r="BQQ84" s="0"/>
      <c r="BQR84" s="0"/>
      <c r="BQS84" s="0"/>
      <c r="BQT84" s="0"/>
      <c r="BQU84" s="0"/>
      <c r="BQV84" s="0"/>
      <c r="BQW84" s="0"/>
      <c r="BQX84" s="0"/>
      <c r="BQY84" s="0"/>
      <c r="BQZ84" s="0"/>
      <c r="BRA84" s="0"/>
      <c r="BRB84" s="0"/>
      <c r="BRC84" s="0"/>
      <c r="BRD84" s="0"/>
      <c r="BRE84" s="0"/>
      <c r="BRF84" s="0"/>
      <c r="BRG84" s="0"/>
      <c r="BRH84" s="0"/>
      <c r="BRI84" s="0"/>
      <c r="BRJ84" s="0"/>
      <c r="BRK84" s="0"/>
      <c r="BRL84" s="0"/>
      <c r="BRM84" s="0"/>
      <c r="BRN84" s="0"/>
      <c r="BRO84" s="0"/>
      <c r="BRP84" s="0"/>
      <c r="BRQ84" s="0"/>
      <c r="BRR84" s="0"/>
      <c r="BRS84" s="0"/>
      <c r="BRT84" s="0"/>
      <c r="BRU84" s="0"/>
      <c r="BRV84" s="0"/>
      <c r="BRW84" s="0"/>
      <c r="BRX84" s="0"/>
      <c r="BRY84" s="0"/>
      <c r="BRZ84" s="0"/>
      <c r="BSA84" s="0"/>
      <c r="BSB84" s="0"/>
      <c r="BSC84" s="0"/>
      <c r="BSD84" s="0"/>
      <c r="BSE84" s="0"/>
      <c r="BSF84" s="0"/>
      <c r="BSG84" s="0"/>
      <c r="BSH84" s="0"/>
      <c r="BSI84" s="0"/>
      <c r="BSJ84" s="0"/>
      <c r="BSK84" s="0"/>
      <c r="BSL84" s="0"/>
      <c r="BSM84" s="0"/>
      <c r="BSN84" s="0"/>
      <c r="BSO84" s="0"/>
      <c r="BSP84" s="0"/>
      <c r="BSQ84" s="0"/>
      <c r="BSR84" s="0"/>
      <c r="BSS84" s="0"/>
      <c r="BST84" s="0"/>
      <c r="BSU84" s="0"/>
      <c r="BSV84" s="0"/>
      <c r="BSW84" s="0"/>
      <c r="BSX84" s="0"/>
      <c r="BSY84" s="0"/>
      <c r="BSZ84" s="0"/>
      <c r="BTA84" s="0"/>
      <c r="BTB84" s="0"/>
      <c r="BTC84" s="0"/>
      <c r="BTD84" s="0"/>
      <c r="BTE84" s="0"/>
      <c r="BTF84" s="0"/>
      <c r="BTG84" s="0"/>
      <c r="BTH84" s="0"/>
      <c r="BTI84" s="0"/>
      <c r="BTJ84" s="0"/>
      <c r="BTK84" s="0"/>
      <c r="BTL84" s="0"/>
      <c r="BTM84" s="0"/>
      <c r="BTN84" s="0"/>
      <c r="BTO84" s="0"/>
      <c r="BTP84" s="0"/>
      <c r="BTQ84" s="0"/>
      <c r="BTR84" s="0"/>
      <c r="BTS84" s="0"/>
      <c r="BTT84" s="0"/>
      <c r="BTU84" s="0"/>
      <c r="BTV84" s="0"/>
      <c r="BTW84" s="0"/>
      <c r="BTX84" s="0"/>
      <c r="BTY84" s="0"/>
      <c r="BTZ84" s="0"/>
      <c r="BUA84" s="0"/>
      <c r="BUB84" s="0"/>
      <c r="BUC84" s="0"/>
      <c r="BUD84" s="0"/>
      <c r="BUE84" s="0"/>
      <c r="BUF84" s="0"/>
      <c r="BUG84" s="0"/>
      <c r="BUH84" s="0"/>
      <c r="BUI84" s="0"/>
      <c r="BUJ84" s="0"/>
      <c r="BUK84" s="0"/>
      <c r="BUL84" s="0"/>
      <c r="BUM84" s="0"/>
      <c r="BUN84" s="0"/>
      <c r="BUO84" s="0"/>
      <c r="BUP84" s="0"/>
      <c r="BUQ84" s="0"/>
      <c r="BUR84" s="0"/>
      <c r="BUS84" s="0"/>
      <c r="BUT84" s="0"/>
      <c r="BUU84" s="0"/>
      <c r="BUV84" s="0"/>
      <c r="BUW84" s="0"/>
      <c r="BUX84" s="0"/>
      <c r="BUY84" s="0"/>
      <c r="BUZ84" s="0"/>
      <c r="BVA84" s="0"/>
      <c r="BVB84" s="0"/>
      <c r="BVC84" s="0"/>
      <c r="BVD84" s="0"/>
      <c r="BVE84" s="0"/>
      <c r="BVF84" s="0"/>
      <c r="BVG84" s="0"/>
      <c r="BVH84" s="0"/>
      <c r="BVI84" s="0"/>
      <c r="BVJ84" s="0"/>
      <c r="BVK84" s="0"/>
      <c r="BVL84" s="0"/>
      <c r="BVM84" s="0"/>
      <c r="BVN84" s="0"/>
      <c r="BVO84" s="0"/>
      <c r="BVP84" s="0"/>
      <c r="BVQ84" s="0"/>
      <c r="BVR84" s="0"/>
      <c r="BVS84" s="0"/>
      <c r="BVT84" s="0"/>
      <c r="BVU84" s="0"/>
      <c r="BVV84" s="0"/>
      <c r="BVW84" s="0"/>
      <c r="BVX84" s="0"/>
      <c r="BVY84" s="0"/>
      <c r="BVZ84" s="0"/>
      <c r="BWA84" s="0"/>
      <c r="BWB84" s="0"/>
      <c r="BWC84" s="0"/>
      <c r="BWD84" s="0"/>
      <c r="BWE84" s="0"/>
      <c r="BWF84" s="0"/>
      <c r="BWG84" s="0"/>
      <c r="BWH84" s="0"/>
      <c r="BWI84" s="0"/>
      <c r="BWJ84" s="0"/>
      <c r="BWK84" s="0"/>
      <c r="BWL84" s="0"/>
      <c r="BWM84" s="0"/>
      <c r="BWN84" s="0"/>
      <c r="BWO84" s="0"/>
      <c r="BWP84" s="0"/>
      <c r="BWQ84" s="0"/>
      <c r="BWR84" s="0"/>
      <c r="BWS84" s="0"/>
      <c r="BWT84" s="0"/>
      <c r="BWU84" s="0"/>
      <c r="BWV84" s="0"/>
      <c r="BWW84" s="0"/>
      <c r="BWX84" s="0"/>
      <c r="BWY84" s="0"/>
      <c r="BWZ84" s="0"/>
      <c r="BXA84" s="0"/>
      <c r="BXB84" s="0"/>
      <c r="BXC84" s="0"/>
      <c r="BXD84" s="0"/>
      <c r="BXE84" s="0"/>
      <c r="BXF84" s="0"/>
      <c r="BXG84" s="0"/>
      <c r="BXH84" s="0"/>
      <c r="BXI84" s="0"/>
      <c r="BXJ84" s="0"/>
      <c r="BXK84" s="0"/>
      <c r="BXL84" s="0"/>
      <c r="BXM84" s="0"/>
      <c r="BXN84" s="0"/>
      <c r="BXO84" s="0"/>
      <c r="BXP84" s="0"/>
      <c r="BXQ84" s="0"/>
      <c r="BXR84" s="0"/>
      <c r="BXS84" s="0"/>
      <c r="BXT84" s="0"/>
      <c r="BXU84" s="0"/>
      <c r="BXV84" s="0"/>
      <c r="BXW84" s="0"/>
      <c r="BXX84" s="0"/>
      <c r="BXY84" s="0"/>
      <c r="BXZ84" s="0"/>
      <c r="BYA84" s="0"/>
      <c r="BYB84" s="0"/>
      <c r="BYC84" s="0"/>
      <c r="BYD84" s="0"/>
      <c r="BYE84" s="0"/>
      <c r="BYF84" s="0"/>
      <c r="BYG84" s="0"/>
      <c r="BYH84" s="0"/>
      <c r="BYI84" s="0"/>
      <c r="BYJ84" s="0"/>
      <c r="BYK84" s="0"/>
      <c r="BYL84" s="0"/>
      <c r="BYM84" s="0"/>
      <c r="BYN84" s="0"/>
      <c r="BYO84" s="0"/>
      <c r="BYP84" s="0"/>
      <c r="BYQ84" s="0"/>
      <c r="BYR84" s="0"/>
      <c r="BYS84" s="0"/>
      <c r="BYT84" s="0"/>
      <c r="BYU84" s="0"/>
      <c r="BYV84" s="0"/>
      <c r="BYW84" s="0"/>
      <c r="BYX84" s="0"/>
      <c r="BYY84" s="0"/>
      <c r="BYZ84" s="0"/>
      <c r="BZA84" s="0"/>
      <c r="BZB84" s="0"/>
      <c r="BZC84" s="0"/>
      <c r="BZD84" s="0"/>
      <c r="BZE84" s="0"/>
      <c r="BZF84" s="0"/>
      <c r="BZG84" s="0"/>
      <c r="BZH84" s="0"/>
      <c r="BZI84" s="0"/>
      <c r="BZJ84" s="0"/>
      <c r="BZK84" s="0"/>
      <c r="BZL84" s="0"/>
      <c r="BZM84" s="0"/>
      <c r="BZN84" s="0"/>
      <c r="BZO84" s="0"/>
      <c r="BZP84" s="0"/>
      <c r="BZQ84" s="0"/>
      <c r="BZR84" s="0"/>
      <c r="BZS84" s="0"/>
      <c r="BZT84" s="0"/>
      <c r="BZU84" s="0"/>
      <c r="BZV84" s="0"/>
      <c r="BZW84" s="0"/>
      <c r="BZX84" s="0"/>
      <c r="BZY84" s="0"/>
      <c r="BZZ84" s="0"/>
      <c r="CAA84" s="0"/>
      <c r="CAB84" s="0"/>
      <c r="CAC84" s="0"/>
      <c r="CAD84" s="0"/>
      <c r="CAE84" s="0"/>
      <c r="CAF84" s="0"/>
      <c r="CAG84" s="0"/>
      <c r="CAH84" s="0"/>
      <c r="CAI84" s="0"/>
      <c r="CAJ84" s="0"/>
      <c r="CAK84" s="0"/>
      <c r="CAL84" s="0"/>
      <c r="CAM84" s="0"/>
      <c r="CAN84" s="0"/>
      <c r="CAO84" s="0"/>
      <c r="CAP84" s="0"/>
      <c r="CAQ84" s="0"/>
      <c r="CAR84" s="0"/>
      <c r="CAS84" s="0"/>
      <c r="CAT84" s="0"/>
      <c r="CAU84" s="0"/>
      <c r="CAV84" s="0"/>
      <c r="CAW84" s="0"/>
      <c r="CAX84" s="0"/>
      <c r="CAY84" s="0"/>
      <c r="CAZ84" s="0"/>
      <c r="CBA84" s="0"/>
      <c r="CBB84" s="0"/>
      <c r="CBC84" s="0"/>
      <c r="CBD84" s="0"/>
      <c r="CBE84" s="0"/>
      <c r="CBF84" s="0"/>
      <c r="CBG84" s="0"/>
      <c r="CBH84" s="0"/>
      <c r="CBI84" s="0"/>
      <c r="CBJ84" s="0"/>
      <c r="CBK84" s="0"/>
      <c r="CBL84" s="0"/>
      <c r="CBM84" s="0"/>
      <c r="CBN84" s="0"/>
      <c r="CBO84" s="0"/>
      <c r="CBP84" s="0"/>
      <c r="CBQ84" s="0"/>
      <c r="CBR84" s="0"/>
      <c r="CBS84" s="0"/>
      <c r="CBT84" s="0"/>
      <c r="CBU84" s="0"/>
      <c r="CBV84" s="0"/>
      <c r="CBW84" s="0"/>
      <c r="CBX84" s="0"/>
      <c r="CBY84" s="0"/>
      <c r="CBZ84" s="0"/>
      <c r="CCA84" s="0"/>
      <c r="CCB84" s="0"/>
      <c r="CCC84" s="0"/>
      <c r="CCD84" s="0"/>
      <c r="CCE84" s="0"/>
      <c r="CCF84" s="0"/>
      <c r="CCG84" s="0"/>
      <c r="CCH84" s="0"/>
      <c r="CCI84" s="0"/>
      <c r="CCJ84" s="0"/>
      <c r="CCK84" s="0"/>
      <c r="CCL84" s="0"/>
      <c r="CCM84" s="0"/>
      <c r="CCN84" s="0"/>
      <c r="CCO84" s="0"/>
      <c r="CCP84" s="0"/>
      <c r="CCQ84" s="0"/>
      <c r="CCR84" s="0"/>
      <c r="CCS84" s="0"/>
      <c r="CCT84" s="0"/>
      <c r="CCU84" s="0"/>
      <c r="CCV84" s="0"/>
      <c r="CCW84" s="0"/>
      <c r="CCX84" s="0"/>
      <c r="CCY84" s="0"/>
      <c r="CCZ84" s="0"/>
      <c r="CDA84" s="0"/>
      <c r="CDB84" s="0"/>
      <c r="CDC84" s="0"/>
      <c r="CDD84" s="0"/>
      <c r="CDE84" s="0"/>
      <c r="CDF84" s="0"/>
      <c r="CDG84" s="0"/>
      <c r="CDH84" s="0"/>
      <c r="CDI84" s="0"/>
      <c r="CDJ84" s="0"/>
      <c r="CDK84" s="0"/>
      <c r="CDL84" s="0"/>
      <c r="CDM84" s="0"/>
      <c r="CDN84" s="0"/>
      <c r="CDO84" s="0"/>
      <c r="CDP84" s="0"/>
      <c r="CDQ84" s="0"/>
      <c r="CDR84" s="0"/>
      <c r="CDS84" s="0"/>
      <c r="CDT84" s="0"/>
      <c r="CDU84" s="0"/>
      <c r="CDV84" s="0"/>
      <c r="CDW84" s="0"/>
      <c r="CDX84" s="0"/>
      <c r="CDY84" s="0"/>
      <c r="CDZ84" s="0"/>
      <c r="CEA84" s="0"/>
      <c r="CEB84" s="0"/>
      <c r="CEC84" s="0"/>
      <c r="CED84" s="0"/>
      <c r="CEE84" s="0"/>
      <c r="CEF84" s="0"/>
      <c r="CEG84" s="0"/>
      <c r="CEH84" s="0"/>
      <c r="CEI84" s="0"/>
      <c r="CEJ84" s="0"/>
      <c r="CEK84" s="0"/>
      <c r="CEL84" s="0"/>
      <c r="CEM84" s="0"/>
      <c r="CEN84" s="0"/>
      <c r="CEO84" s="0"/>
      <c r="CEP84" s="0"/>
      <c r="CEQ84" s="0"/>
      <c r="CER84" s="0"/>
      <c r="CES84" s="0"/>
      <c r="CET84" s="0"/>
      <c r="CEU84" s="0"/>
      <c r="CEV84" s="0"/>
      <c r="CEW84" s="0"/>
      <c r="CEX84" s="0"/>
      <c r="CEY84" s="0"/>
      <c r="CEZ84" s="0"/>
      <c r="CFA84" s="0"/>
      <c r="CFB84" s="0"/>
      <c r="CFC84" s="0"/>
      <c r="CFD84" s="0"/>
      <c r="CFE84" s="0"/>
      <c r="CFF84" s="0"/>
      <c r="CFG84" s="0"/>
      <c r="CFH84" s="0"/>
      <c r="CFI84" s="0"/>
      <c r="CFJ84" s="0"/>
      <c r="CFK84" s="0"/>
      <c r="CFL84" s="0"/>
      <c r="CFM84" s="0"/>
      <c r="CFN84" s="0"/>
      <c r="CFO84" s="0"/>
      <c r="CFP84" s="0"/>
      <c r="CFQ84" s="0"/>
      <c r="CFR84" s="0"/>
      <c r="CFS84" s="0"/>
      <c r="CFT84" s="0"/>
      <c r="CFU84" s="0"/>
      <c r="CFV84" s="0"/>
      <c r="CFW84" s="0"/>
      <c r="CFX84" s="0"/>
      <c r="CFY84" s="0"/>
      <c r="CFZ84" s="0"/>
      <c r="CGA84" s="0"/>
      <c r="CGB84" s="0"/>
      <c r="CGC84" s="0"/>
      <c r="CGD84" s="0"/>
      <c r="CGE84" s="0"/>
      <c r="CGF84" s="0"/>
      <c r="CGG84" s="0"/>
      <c r="CGH84" s="0"/>
      <c r="CGI84" s="0"/>
      <c r="CGJ84" s="0"/>
      <c r="CGK84" s="0"/>
      <c r="CGL84" s="0"/>
      <c r="CGM84" s="0"/>
      <c r="CGN84" s="0"/>
      <c r="CGO84" s="0"/>
      <c r="CGP84" s="0"/>
      <c r="CGQ84" s="0"/>
      <c r="CGR84" s="0"/>
      <c r="CGS84" s="0"/>
      <c r="CGT84" s="0"/>
      <c r="CGU84" s="0"/>
      <c r="CGV84" s="0"/>
      <c r="CGW84" s="0"/>
      <c r="CGX84" s="0"/>
      <c r="CGY84" s="0"/>
      <c r="CGZ84" s="0"/>
      <c r="CHA84" s="0"/>
      <c r="CHB84" s="0"/>
      <c r="CHC84" s="0"/>
      <c r="CHD84" s="0"/>
      <c r="CHE84" s="0"/>
      <c r="CHF84" s="0"/>
      <c r="CHG84" s="0"/>
      <c r="CHH84" s="0"/>
      <c r="CHI84" s="0"/>
      <c r="CHJ84" s="0"/>
      <c r="CHK84" s="0"/>
      <c r="CHL84" s="0"/>
      <c r="CHM84" s="0"/>
      <c r="CHN84" s="0"/>
      <c r="CHO84" s="0"/>
      <c r="CHP84" s="0"/>
      <c r="CHQ84" s="0"/>
      <c r="CHR84" s="0"/>
      <c r="CHS84" s="0"/>
      <c r="CHT84" s="0"/>
      <c r="CHU84" s="0"/>
      <c r="CHV84" s="0"/>
      <c r="CHW84" s="0"/>
      <c r="CHX84" s="0"/>
      <c r="CHY84" s="0"/>
      <c r="CHZ84" s="0"/>
      <c r="CIA84" s="0"/>
      <c r="CIB84" s="0"/>
      <c r="CIC84" s="0"/>
      <c r="CID84" s="0"/>
      <c r="CIE84" s="0"/>
      <c r="CIF84" s="0"/>
      <c r="CIG84" s="0"/>
      <c r="CIH84" s="0"/>
      <c r="CII84" s="0"/>
      <c r="CIJ84" s="0"/>
      <c r="CIK84" s="0"/>
      <c r="CIL84" s="0"/>
      <c r="CIM84" s="0"/>
      <c r="CIN84" s="0"/>
      <c r="CIO84" s="0"/>
      <c r="CIP84" s="0"/>
      <c r="CIQ84" s="0"/>
      <c r="CIR84" s="0"/>
      <c r="CIS84" s="0"/>
      <c r="CIT84" s="0"/>
      <c r="CIU84" s="0"/>
      <c r="CIV84" s="0"/>
      <c r="CIW84" s="0"/>
      <c r="CIX84" s="0"/>
      <c r="CIY84" s="0"/>
      <c r="CIZ84" s="0"/>
      <c r="CJA84" s="0"/>
      <c r="CJB84" s="0"/>
      <c r="CJC84" s="0"/>
      <c r="CJD84" s="0"/>
      <c r="CJE84" s="0"/>
      <c r="CJF84" s="0"/>
      <c r="CJG84" s="0"/>
      <c r="CJH84" s="0"/>
      <c r="CJI84" s="0"/>
      <c r="CJJ84" s="0"/>
      <c r="CJK84" s="0"/>
      <c r="CJL84" s="0"/>
      <c r="CJM84" s="0"/>
      <c r="CJN84" s="0"/>
      <c r="CJO84" s="0"/>
      <c r="CJP84" s="0"/>
      <c r="CJQ84" s="0"/>
      <c r="CJR84" s="0"/>
      <c r="CJS84" s="0"/>
      <c r="CJT84" s="0"/>
      <c r="CJU84" s="0"/>
      <c r="CJV84" s="0"/>
      <c r="CJW84" s="0"/>
      <c r="CJX84" s="0"/>
      <c r="CJY84" s="0"/>
      <c r="CJZ84" s="0"/>
      <c r="CKA84" s="0"/>
      <c r="CKB84" s="0"/>
      <c r="CKC84" s="0"/>
      <c r="CKD84" s="0"/>
      <c r="CKE84" s="0"/>
      <c r="CKF84" s="0"/>
      <c r="CKG84" s="0"/>
      <c r="CKH84" s="0"/>
      <c r="CKI84" s="0"/>
      <c r="CKJ84" s="0"/>
      <c r="CKK84" s="0"/>
      <c r="CKL84" s="0"/>
      <c r="CKM84" s="0"/>
      <c r="CKN84" s="0"/>
      <c r="CKO84" s="0"/>
      <c r="CKP84" s="0"/>
      <c r="CKQ84" s="0"/>
      <c r="CKR84" s="0"/>
      <c r="CKS84" s="0"/>
      <c r="CKT84" s="0"/>
      <c r="CKU84" s="0"/>
      <c r="CKV84" s="0"/>
      <c r="CKW84" s="0"/>
      <c r="CKX84" s="0"/>
      <c r="CKY84" s="0"/>
      <c r="CKZ84" s="0"/>
      <c r="CLA84" s="0"/>
      <c r="CLB84" s="0"/>
      <c r="CLC84" s="0"/>
      <c r="CLD84" s="0"/>
      <c r="CLE84" s="0"/>
      <c r="CLF84" s="0"/>
      <c r="CLG84" s="0"/>
      <c r="CLH84" s="0"/>
      <c r="CLI84" s="0"/>
      <c r="CLJ84" s="0"/>
      <c r="CLK84" s="0"/>
      <c r="CLL84" s="0"/>
      <c r="CLM84" s="0"/>
      <c r="CLN84" s="0"/>
      <c r="CLO84" s="0"/>
      <c r="CLP84" s="0"/>
      <c r="CLQ84" s="0"/>
      <c r="CLR84" s="0"/>
      <c r="CLS84" s="0"/>
      <c r="CLT84" s="0"/>
      <c r="CLU84" s="0"/>
      <c r="CLV84" s="0"/>
      <c r="CLW84" s="0"/>
      <c r="CLX84" s="0"/>
      <c r="CLY84" s="0"/>
      <c r="CLZ84" s="0"/>
      <c r="CMA84" s="0"/>
      <c r="CMB84" s="0"/>
      <c r="CMC84" s="0"/>
      <c r="CMD84" s="0"/>
      <c r="CME84" s="0"/>
      <c r="CMF84" s="0"/>
      <c r="CMG84" s="0"/>
      <c r="CMH84" s="0"/>
      <c r="CMI84" s="0"/>
      <c r="CMJ84" s="0"/>
      <c r="CMK84" s="0"/>
      <c r="CML84" s="0"/>
      <c r="CMM84" s="0"/>
      <c r="CMN84" s="0"/>
      <c r="CMO84" s="0"/>
      <c r="CMP84" s="0"/>
      <c r="CMQ84" s="0"/>
      <c r="CMR84" s="0"/>
      <c r="CMS84" s="0"/>
      <c r="CMT84" s="0"/>
      <c r="CMU84" s="0"/>
      <c r="CMV84" s="0"/>
      <c r="CMW84" s="0"/>
      <c r="CMX84" s="0"/>
      <c r="CMY84" s="0"/>
      <c r="CMZ84" s="0"/>
      <c r="CNA84" s="0"/>
      <c r="CNB84" s="0"/>
      <c r="CNC84" s="0"/>
      <c r="CND84" s="0"/>
      <c r="CNE84" s="0"/>
      <c r="CNF84" s="0"/>
      <c r="CNG84" s="0"/>
      <c r="CNH84" s="0"/>
      <c r="CNI84" s="0"/>
      <c r="CNJ84" s="0"/>
      <c r="CNK84" s="0"/>
      <c r="CNL84" s="0"/>
      <c r="CNM84" s="0"/>
      <c r="CNN84" s="0"/>
      <c r="CNO84" s="0"/>
      <c r="CNP84" s="0"/>
      <c r="CNQ84" s="0"/>
      <c r="CNR84" s="0"/>
      <c r="CNS84" s="0"/>
      <c r="CNT84" s="0"/>
      <c r="CNU84" s="0"/>
      <c r="CNV84" s="0"/>
      <c r="CNW84" s="0"/>
      <c r="CNX84" s="0"/>
      <c r="CNY84" s="0"/>
      <c r="CNZ84" s="0"/>
      <c r="COA84" s="0"/>
      <c r="COB84" s="0"/>
      <c r="COC84" s="0"/>
      <c r="COD84" s="0"/>
      <c r="COE84" s="0"/>
      <c r="COF84" s="0"/>
      <c r="COG84" s="0"/>
      <c r="COH84" s="0"/>
      <c r="COI84" s="0"/>
      <c r="COJ84" s="0"/>
      <c r="COK84" s="0"/>
      <c r="COL84" s="0"/>
      <c r="COM84" s="0"/>
      <c r="CON84" s="0"/>
      <c r="COO84" s="0"/>
      <c r="COP84" s="0"/>
      <c r="COQ84" s="0"/>
      <c r="COR84" s="0"/>
      <c r="COS84" s="0"/>
      <c r="COT84" s="0"/>
      <c r="COU84" s="0"/>
      <c r="COV84" s="0"/>
      <c r="COW84" s="0"/>
      <c r="COX84" s="0"/>
      <c r="COY84" s="0"/>
      <c r="COZ84" s="0"/>
      <c r="CPA84" s="0"/>
      <c r="CPB84" s="0"/>
      <c r="CPC84" s="0"/>
      <c r="CPD84" s="0"/>
      <c r="CPE84" s="0"/>
      <c r="CPF84" s="0"/>
      <c r="CPG84" s="0"/>
      <c r="CPH84" s="0"/>
      <c r="CPI84" s="0"/>
      <c r="CPJ84" s="0"/>
      <c r="CPK84" s="0"/>
      <c r="CPL84" s="0"/>
      <c r="CPM84" s="0"/>
      <c r="CPN84" s="0"/>
      <c r="CPO84" s="0"/>
      <c r="CPP84" s="0"/>
      <c r="CPQ84" s="0"/>
      <c r="CPR84" s="0"/>
      <c r="CPS84" s="0"/>
      <c r="CPT84" s="0"/>
      <c r="CPU84" s="0"/>
      <c r="CPV84" s="0"/>
      <c r="CPW84" s="0"/>
      <c r="CPX84" s="0"/>
      <c r="CPY84" s="0"/>
      <c r="CPZ84" s="0"/>
      <c r="CQA84" s="0"/>
      <c r="CQB84" s="0"/>
      <c r="CQC84" s="0"/>
      <c r="CQD84" s="0"/>
      <c r="CQE84" s="0"/>
      <c r="CQF84" s="0"/>
      <c r="CQG84" s="0"/>
      <c r="CQH84" s="0"/>
      <c r="CQI84" s="0"/>
      <c r="CQJ84" s="0"/>
      <c r="CQK84" s="0"/>
      <c r="CQL84" s="0"/>
      <c r="CQM84" s="0"/>
      <c r="CQN84" s="0"/>
      <c r="CQO84" s="0"/>
      <c r="CQP84" s="0"/>
      <c r="CQQ84" s="0"/>
      <c r="CQR84" s="0"/>
      <c r="CQS84" s="0"/>
      <c r="CQT84" s="0"/>
      <c r="CQU84" s="0"/>
      <c r="CQV84" s="0"/>
      <c r="CQW84" s="0"/>
      <c r="CQX84" s="0"/>
      <c r="CQY84" s="0"/>
      <c r="CQZ84" s="0"/>
      <c r="CRA84" s="0"/>
      <c r="CRB84" s="0"/>
      <c r="CRC84" s="0"/>
      <c r="CRD84" s="0"/>
      <c r="CRE84" s="0"/>
      <c r="CRF84" s="0"/>
      <c r="CRG84" s="0"/>
      <c r="CRH84" s="0"/>
      <c r="CRI84" s="0"/>
      <c r="CRJ84" s="0"/>
      <c r="CRK84" s="0"/>
      <c r="CRL84" s="0"/>
      <c r="CRM84" s="0"/>
      <c r="CRN84" s="0"/>
      <c r="CRO84" s="0"/>
      <c r="CRP84" s="0"/>
      <c r="CRQ84" s="0"/>
      <c r="CRR84" s="0"/>
      <c r="CRS84" s="0"/>
      <c r="CRT84" s="0"/>
      <c r="CRU84" s="0"/>
      <c r="CRV84" s="0"/>
      <c r="CRW84" s="0"/>
      <c r="CRX84" s="0"/>
      <c r="CRY84" s="0"/>
      <c r="CRZ84" s="0"/>
      <c r="CSA84" s="0"/>
      <c r="CSB84" s="0"/>
      <c r="CSC84" s="0"/>
      <c r="CSD84" s="0"/>
      <c r="CSE84" s="0"/>
      <c r="CSF84" s="0"/>
      <c r="CSG84" s="0"/>
      <c r="CSH84" s="0"/>
      <c r="CSI84" s="0"/>
      <c r="CSJ84" s="0"/>
      <c r="CSK84" s="0"/>
      <c r="CSL84" s="0"/>
      <c r="CSM84" s="0"/>
      <c r="CSN84" s="0"/>
      <c r="CSO84" s="0"/>
      <c r="CSP84" s="0"/>
      <c r="CSQ84" s="0"/>
      <c r="CSR84" s="0"/>
      <c r="CSS84" s="0"/>
      <c r="CST84" s="0"/>
      <c r="CSU84" s="0"/>
      <c r="CSV84" s="0"/>
      <c r="CSW84" s="0"/>
      <c r="CSX84" s="0"/>
      <c r="CSY84" s="0"/>
      <c r="CSZ84" s="0"/>
      <c r="CTA84" s="0"/>
      <c r="CTB84" s="0"/>
      <c r="CTC84" s="0"/>
      <c r="CTD84" s="0"/>
      <c r="CTE84" s="0"/>
      <c r="CTF84" s="0"/>
      <c r="CTG84" s="0"/>
      <c r="CTH84" s="0"/>
      <c r="CTI84" s="0"/>
      <c r="CTJ84" s="0"/>
      <c r="CTK84" s="0"/>
      <c r="CTL84" s="0"/>
      <c r="CTM84" s="0"/>
      <c r="CTN84" s="0"/>
      <c r="CTO84" s="0"/>
      <c r="CTP84" s="0"/>
      <c r="CTQ84" s="0"/>
      <c r="CTR84" s="0"/>
      <c r="CTS84" s="0"/>
      <c r="CTT84" s="0"/>
      <c r="CTU84" s="0"/>
      <c r="CTV84" s="0"/>
      <c r="CTW84" s="0"/>
      <c r="CTX84" s="0"/>
      <c r="CTY84" s="0"/>
      <c r="CTZ84" s="0"/>
      <c r="CUA84" s="0"/>
      <c r="CUB84" s="0"/>
      <c r="CUC84" s="0"/>
      <c r="CUD84" s="0"/>
      <c r="CUE84" s="0"/>
      <c r="CUF84" s="0"/>
      <c r="CUG84" s="0"/>
      <c r="CUH84" s="0"/>
      <c r="CUI84" s="0"/>
      <c r="CUJ84" s="0"/>
      <c r="CUK84" s="0"/>
      <c r="CUL84" s="0"/>
      <c r="CUM84" s="0"/>
      <c r="CUN84" s="0"/>
      <c r="CUO84" s="0"/>
      <c r="CUP84" s="0"/>
      <c r="CUQ84" s="0"/>
      <c r="CUR84" s="0"/>
      <c r="CUS84" s="0"/>
      <c r="CUT84" s="0"/>
      <c r="CUU84" s="0"/>
      <c r="CUV84" s="0"/>
      <c r="CUW84" s="0"/>
      <c r="CUX84" s="0"/>
      <c r="CUY84" s="0"/>
      <c r="CUZ84" s="0"/>
      <c r="CVA84" s="0"/>
      <c r="CVB84" s="0"/>
      <c r="CVC84" s="0"/>
      <c r="CVD84" s="0"/>
      <c r="CVE84" s="0"/>
      <c r="CVF84" s="0"/>
      <c r="CVG84" s="0"/>
      <c r="CVH84" s="0"/>
      <c r="CVI84" s="0"/>
      <c r="CVJ84" s="0"/>
      <c r="CVK84" s="0"/>
      <c r="CVL84" s="0"/>
      <c r="CVM84" s="0"/>
      <c r="CVN84" s="0"/>
      <c r="CVO84" s="0"/>
      <c r="CVP84" s="0"/>
      <c r="CVQ84" s="0"/>
      <c r="CVR84" s="0"/>
      <c r="CVS84" s="0"/>
      <c r="CVT84" s="0"/>
      <c r="CVU84" s="0"/>
      <c r="CVV84" s="0"/>
      <c r="CVW84" s="0"/>
      <c r="CVX84" s="0"/>
      <c r="CVY84" s="0"/>
      <c r="CVZ84" s="0"/>
      <c r="CWA84" s="0"/>
      <c r="CWB84" s="0"/>
      <c r="CWC84" s="0"/>
      <c r="CWD84" s="0"/>
      <c r="CWE84" s="0"/>
      <c r="CWF84" s="0"/>
      <c r="CWG84" s="0"/>
      <c r="CWH84" s="0"/>
      <c r="CWI84" s="0"/>
      <c r="CWJ84" s="0"/>
      <c r="CWK84" s="0"/>
      <c r="CWL84" s="0"/>
      <c r="CWM84" s="0"/>
      <c r="CWN84" s="0"/>
      <c r="CWO84" s="0"/>
      <c r="CWP84" s="0"/>
      <c r="CWQ84" s="0"/>
      <c r="CWR84" s="0"/>
      <c r="CWS84" s="0"/>
      <c r="CWT84" s="0"/>
      <c r="CWU84" s="0"/>
      <c r="CWV84" s="0"/>
      <c r="CWW84" s="0"/>
      <c r="CWX84" s="0"/>
      <c r="CWY84" s="0"/>
      <c r="CWZ84" s="0"/>
      <c r="CXA84" s="0"/>
      <c r="CXB84" s="0"/>
      <c r="CXC84" s="0"/>
      <c r="CXD84" s="0"/>
      <c r="CXE84" s="0"/>
      <c r="CXF84" s="0"/>
      <c r="CXG84" s="0"/>
      <c r="CXH84" s="0"/>
      <c r="CXI84" s="0"/>
      <c r="CXJ84" s="0"/>
      <c r="CXK84" s="0"/>
      <c r="CXL84" s="0"/>
      <c r="CXM84" s="0"/>
      <c r="CXN84" s="0"/>
      <c r="CXO84" s="0"/>
      <c r="CXP84" s="0"/>
      <c r="CXQ84" s="0"/>
      <c r="CXR84" s="0"/>
      <c r="CXS84" s="0"/>
      <c r="CXT84" s="0"/>
      <c r="CXU84" s="0"/>
      <c r="CXV84" s="0"/>
      <c r="CXW84" s="0"/>
      <c r="CXX84" s="0"/>
      <c r="CXY84" s="0"/>
      <c r="CXZ84" s="0"/>
      <c r="CYA84" s="0"/>
      <c r="CYB84" s="0"/>
      <c r="CYC84" s="0"/>
      <c r="CYD84" s="0"/>
      <c r="CYE84" s="0"/>
      <c r="CYF84" s="0"/>
      <c r="CYG84" s="0"/>
      <c r="CYH84" s="0"/>
      <c r="CYI84" s="0"/>
      <c r="CYJ84" s="0"/>
      <c r="CYK84" s="0"/>
      <c r="CYL84" s="0"/>
      <c r="CYM84" s="0"/>
      <c r="CYN84" s="0"/>
      <c r="CYO84" s="0"/>
      <c r="CYP84" s="0"/>
      <c r="CYQ84" s="0"/>
      <c r="CYR84" s="0"/>
      <c r="CYS84" s="0"/>
      <c r="CYT84" s="0"/>
      <c r="CYU84" s="0"/>
      <c r="CYV84" s="0"/>
      <c r="CYW84" s="0"/>
      <c r="CYX84" s="0"/>
      <c r="CYY84" s="0"/>
      <c r="CYZ84" s="0"/>
      <c r="CZA84" s="0"/>
      <c r="CZB84" s="0"/>
      <c r="CZC84" s="0"/>
      <c r="CZD84" s="0"/>
      <c r="CZE84" s="0"/>
      <c r="CZF84" s="0"/>
      <c r="CZG84" s="0"/>
      <c r="CZH84" s="0"/>
      <c r="CZI84" s="0"/>
      <c r="CZJ84" s="0"/>
      <c r="CZK84" s="0"/>
      <c r="CZL84" s="0"/>
      <c r="CZM84" s="0"/>
      <c r="CZN84" s="0"/>
      <c r="CZO84" s="0"/>
      <c r="CZP84" s="0"/>
      <c r="CZQ84" s="0"/>
      <c r="CZR84" s="0"/>
      <c r="CZS84" s="0"/>
      <c r="CZT84" s="0"/>
      <c r="CZU84" s="0"/>
      <c r="CZV84" s="0"/>
      <c r="CZW84" s="0"/>
      <c r="CZX84" s="0"/>
      <c r="CZY84" s="0"/>
      <c r="CZZ84" s="0"/>
      <c r="DAA84" s="0"/>
      <c r="DAB84" s="0"/>
      <c r="DAC84" s="0"/>
      <c r="DAD84" s="0"/>
      <c r="DAE84" s="0"/>
      <c r="DAF84" s="0"/>
      <c r="DAG84" s="0"/>
      <c r="DAH84" s="0"/>
      <c r="DAI84" s="0"/>
      <c r="DAJ84" s="0"/>
      <c r="DAK84" s="0"/>
      <c r="DAL84" s="0"/>
      <c r="DAM84" s="0"/>
      <c r="DAN84" s="0"/>
      <c r="DAO84" s="0"/>
      <c r="DAP84" s="0"/>
      <c r="DAQ84" s="0"/>
      <c r="DAR84" s="0"/>
      <c r="DAS84" s="0"/>
      <c r="DAT84" s="0"/>
      <c r="DAU84" s="0"/>
      <c r="DAV84" s="0"/>
      <c r="DAW84" s="0"/>
      <c r="DAX84" s="0"/>
      <c r="DAY84" s="0"/>
      <c r="DAZ84" s="0"/>
      <c r="DBA84" s="0"/>
      <c r="DBB84" s="0"/>
      <c r="DBC84" s="0"/>
      <c r="DBD84" s="0"/>
      <c r="DBE84" s="0"/>
      <c r="DBF84" s="0"/>
      <c r="DBG84" s="0"/>
      <c r="DBH84" s="0"/>
      <c r="DBI84" s="0"/>
      <c r="DBJ84" s="0"/>
      <c r="DBK84" s="0"/>
      <c r="DBL84" s="0"/>
      <c r="DBM84" s="0"/>
      <c r="DBN84" s="0"/>
      <c r="DBO84" s="0"/>
      <c r="DBP84" s="0"/>
      <c r="DBQ84" s="0"/>
      <c r="DBR84" s="0"/>
      <c r="DBS84" s="0"/>
      <c r="DBT84" s="0"/>
      <c r="DBU84" s="0"/>
      <c r="DBV84" s="0"/>
      <c r="DBW84" s="0"/>
      <c r="DBX84" s="0"/>
      <c r="DBY84" s="0"/>
      <c r="DBZ84" s="0"/>
      <c r="DCA84" s="0"/>
      <c r="DCB84" s="0"/>
      <c r="DCC84" s="0"/>
      <c r="DCD84" s="0"/>
      <c r="DCE84" s="0"/>
      <c r="DCF84" s="0"/>
      <c r="DCG84" s="0"/>
      <c r="DCH84" s="0"/>
      <c r="DCI84" s="0"/>
      <c r="DCJ84" s="0"/>
      <c r="DCK84" s="0"/>
      <c r="DCL84" s="0"/>
      <c r="DCM84" s="0"/>
      <c r="DCN84" s="0"/>
      <c r="DCO84" s="0"/>
      <c r="DCP84" s="0"/>
      <c r="DCQ84" s="0"/>
      <c r="DCR84" s="0"/>
      <c r="DCS84" s="0"/>
      <c r="DCT84" s="0"/>
      <c r="DCU84" s="0"/>
      <c r="DCV84" s="0"/>
      <c r="DCW84" s="0"/>
      <c r="DCX84" s="0"/>
      <c r="DCY84" s="0"/>
      <c r="DCZ84" s="0"/>
      <c r="DDA84" s="0"/>
      <c r="DDB84" s="0"/>
      <c r="DDC84" s="0"/>
      <c r="DDD84" s="0"/>
      <c r="DDE84" s="0"/>
      <c r="DDF84" s="0"/>
      <c r="DDG84" s="0"/>
      <c r="DDH84" s="0"/>
      <c r="DDI84" s="0"/>
      <c r="DDJ84" s="0"/>
      <c r="DDK84" s="0"/>
      <c r="DDL84" s="0"/>
      <c r="DDM84" s="0"/>
      <c r="DDN84" s="0"/>
      <c r="DDO84" s="0"/>
      <c r="DDP84" s="0"/>
      <c r="DDQ84" s="0"/>
      <c r="DDR84" s="0"/>
      <c r="DDS84" s="0"/>
      <c r="DDT84" s="0"/>
      <c r="DDU84" s="0"/>
      <c r="DDV84" s="0"/>
      <c r="DDW84" s="0"/>
      <c r="DDX84" s="0"/>
      <c r="DDY84" s="0"/>
      <c r="DDZ84" s="0"/>
      <c r="DEA84" s="0"/>
      <c r="DEB84" s="0"/>
      <c r="DEC84" s="0"/>
      <c r="DED84" s="0"/>
      <c r="DEE84" s="0"/>
      <c r="DEF84" s="0"/>
      <c r="DEG84" s="0"/>
      <c r="DEH84" s="0"/>
      <c r="DEI84" s="0"/>
      <c r="DEJ84" s="0"/>
      <c r="DEK84" s="0"/>
      <c r="DEL84" s="0"/>
      <c r="DEM84" s="0"/>
      <c r="DEN84" s="0"/>
      <c r="DEO84" s="0"/>
      <c r="DEP84" s="0"/>
      <c r="DEQ84" s="0"/>
      <c r="DER84" s="0"/>
      <c r="DES84" s="0"/>
      <c r="DET84" s="0"/>
      <c r="DEU84" s="0"/>
      <c r="DEV84" s="0"/>
      <c r="DEW84" s="0"/>
      <c r="DEX84" s="0"/>
      <c r="DEY84" s="0"/>
      <c r="DEZ84" s="0"/>
      <c r="DFA84" s="0"/>
      <c r="DFB84" s="0"/>
      <c r="DFC84" s="0"/>
      <c r="DFD84" s="0"/>
      <c r="DFE84" s="0"/>
      <c r="DFF84" s="0"/>
      <c r="DFG84" s="0"/>
      <c r="DFH84" s="0"/>
      <c r="DFI84" s="0"/>
      <c r="DFJ84" s="0"/>
      <c r="DFK84" s="0"/>
      <c r="DFL84" s="0"/>
      <c r="DFM84" s="0"/>
      <c r="DFN84" s="0"/>
      <c r="DFO84" s="0"/>
      <c r="DFP84" s="0"/>
      <c r="DFQ84" s="0"/>
      <c r="DFR84" s="0"/>
      <c r="DFS84" s="0"/>
      <c r="DFT84" s="0"/>
      <c r="DFU84" s="0"/>
      <c r="DFV84" s="0"/>
      <c r="DFW84" s="0"/>
      <c r="DFX84" s="0"/>
      <c r="DFY84" s="0"/>
      <c r="DFZ84" s="0"/>
      <c r="DGA84" s="0"/>
      <c r="DGB84" s="0"/>
      <c r="DGC84" s="0"/>
      <c r="DGD84" s="0"/>
      <c r="DGE84" s="0"/>
      <c r="DGF84" s="0"/>
      <c r="DGG84" s="0"/>
      <c r="DGH84" s="0"/>
      <c r="DGI84" s="0"/>
      <c r="DGJ84" s="0"/>
      <c r="DGK84" s="0"/>
      <c r="DGL84" s="0"/>
      <c r="DGM84" s="0"/>
      <c r="DGN84" s="0"/>
      <c r="DGO84" s="0"/>
      <c r="DGP84" s="0"/>
      <c r="DGQ84" s="0"/>
      <c r="DGR84" s="0"/>
      <c r="DGS84" s="0"/>
      <c r="DGT84" s="0"/>
      <c r="DGU84" s="0"/>
      <c r="DGV84" s="0"/>
      <c r="DGW84" s="0"/>
      <c r="DGX84" s="0"/>
      <c r="DGY84" s="0"/>
      <c r="DGZ84" s="0"/>
      <c r="DHA84" s="0"/>
      <c r="DHB84" s="0"/>
      <c r="DHC84" s="0"/>
      <c r="DHD84" s="0"/>
      <c r="DHE84" s="0"/>
      <c r="DHF84" s="0"/>
      <c r="DHG84" s="0"/>
      <c r="DHH84" s="0"/>
      <c r="DHI84" s="0"/>
      <c r="DHJ84" s="0"/>
      <c r="DHK84" s="0"/>
      <c r="DHL84" s="0"/>
      <c r="DHM84" s="0"/>
      <c r="DHN84" s="0"/>
      <c r="DHO84" s="0"/>
      <c r="DHP84" s="0"/>
      <c r="DHQ84" s="0"/>
      <c r="DHR84" s="0"/>
      <c r="DHS84" s="0"/>
      <c r="DHT84" s="0"/>
      <c r="DHU84" s="0"/>
      <c r="DHV84" s="0"/>
      <c r="DHW84" s="0"/>
      <c r="DHX84" s="0"/>
      <c r="DHY84" s="0"/>
      <c r="DHZ84" s="0"/>
      <c r="DIA84" s="0"/>
      <c r="DIB84" s="0"/>
      <c r="DIC84" s="0"/>
      <c r="DID84" s="0"/>
      <c r="DIE84" s="0"/>
      <c r="DIF84" s="0"/>
      <c r="DIG84" s="0"/>
      <c r="DIH84" s="0"/>
      <c r="DII84" s="0"/>
      <c r="DIJ84" s="0"/>
      <c r="DIK84" s="0"/>
      <c r="DIL84" s="0"/>
      <c r="DIM84" s="0"/>
      <c r="DIN84" s="0"/>
      <c r="DIO84" s="0"/>
      <c r="DIP84" s="0"/>
      <c r="DIQ84" s="0"/>
      <c r="DIR84" s="0"/>
      <c r="DIS84" s="0"/>
      <c r="DIT84" s="0"/>
      <c r="DIU84" s="0"/>
      <c r="DIV84" s="0"/>
      <c r="DIW84" s="0"/>
      <c r="DIX84" s="0"/>
      <c r="DIY84" s="0"/>
      <c r="DIZ84" s="0"/>
      <c r="DJA84" s="0"/>
      <c r="DJB84" s="0"/>
      <c r="DJC84" s="0"/>
      <c r="DJD84" s="0"/>
      <c r="DJE84" s="0"/>
      <c r="DJF84" s="0"/>
      <c r="DJG84" s="0"/>
      <c r="DJH84" s="0"/>
      <c r="DJI84" s="0"/>
      <c r="DJJ84" s="0"/>
      <c r="DJK84" s="0"/>
      <c r="DJL84" s="0"/>
      <c r="DJM84" s="0"/>
      <c r="DJN84" s="0"/>
      <c r="DJO84" s="0"/>
      <c r="DJP84" s="0"/>
      <c r="DJQ84" s="0"/>
      <c r="DJR84" s="0"/>
      <c r="DJS84" s="0"/>
      <c r="DJT84" s="0"/>
      <c r="DJU84" s="0"/>
      <c r="DJV84" s="0"/>
      <c r="DJW84" s="0"/>
      <c r="DJX84" s="0"/>
      <c r="DJY84" s="0"/>
      <c r="DJZ84" s="0"/>
      <c r="DKA84" s="0"/>
      <c r="DKB84" s="0"/>
      <c r="DKC84" s="0"/>
      <c r="DKD84" s="0"/>
      <c r="DKE84" s="0"/>
      <c r="DKF84" s="0"/>
      <c r="DKG84" s="0"/>
      <c r="DKH84" s="0"/>
      <c r="DKI84" s="0"/>
      <c r="DKJ84" s="0"/>
      <c r="DKK84" s="0"/>
      <c r="DKL84" s="0"/>
      <c r="DKM84" s="0"/>
      <c r="DKN84" s="0"/>
      <c r="DKO84" s="0"/>
      <c r="DKP84" s="0"/>
      <c r="DKQ84" s="0"/>
      <c r="DKR84" s="0"/>
      <c r="DKS84" s="0"/>
      <c r="DKT84" s="0"/>
      <c r="DKU84" s="0"/>
      <c r="DKV84" s="0"/>
      <c r="DKW84" s="0"/>
      <c r="DKX84" s="0"/>
      <c r="DKY84" s="0"/>
      <c r="DKZ84" s="0"/>
      <c r="DLA84" s="0"/>
      <c r="DLB84" s="0"/>
      <c r="DLC84" s="0"/>
      <c r="DLD84" s="0"/>
      <c r="DLE84" s="0"/>
      <c r="DLF84" s="0"/>
      <c r="DLG84" s="0"/>
      <c r="DLH84" s="0"/>
      <c r="DLI84" s="0"/>
      <c r="DLJ84" s="0"/>
      <c r="DLK84" s="0"/>
      <c r="DLL84" s="0"/>
      <c r="DLM84" s="0"/>
      <c r="DLN84" s="0"/>
      <c r="DLO84" s="0"/>
      <c r="DLP84" s="0"/>
      <c r="DLQ84" s="0"/>
      <c r="DLR84" s="0"/>
      <c r="DLS84" s="0"/>
      <c r="DLT84" s="0"/>
      <c r="DLU84" s="0"/>
      <c r="DLV84" s="0"/>
      <c r="DLW84" s="0"/>
      <c r="DLX84" s="0"/>
      <c r="DLY84" s="0"/>
      <c r="DLZ84" s="0"/>
      <c r="DMA84" s="0"/>
      <c r="DMB84" s="0"/>
      <c r="DMC84" s="0"/>
      <c r="DMD84" s="0"/>
      <c r="DME84" s="0"/>
      <c r="DMF84" s="0"/>
      <c r="DMG84" s="0"/>
      <c r="DMH84" s="0"/>
      <c r="DMI84" s="0"/>
      <c r="DMJ84" s="0"/>
      <c r="DMK84" s="0"/>
      <c r="DML84" s="0"/>
      <c r="DMM84" s="0"/>
      <c r="DMN84" s="0"/>
      <c r="DMO84" s="0"/>
      <c r="DMP84" s="0"/>
      <c r="DMQ84" s="0"/>
      <c r="DMR84" s="0"/>
      <c r="DMS84" s="0"/>
      <c r="DMT84" s="0"/>
      <c r="DMU84" s="0"/>
      <c r="DMV84" s="0"/>
      <c r="DMW84" s="0"/>
      <c r="DMX84" s="0"/>
      <c r="DMY84" s="0"/>
      <c r="DMZ84" s="0"/>
      <c r="DNA84" s="0"/>
      <c r="DNB84" s="0"/>
      <c r="DNC84" s="0"/>
      <c r="DND84" s="0"/>
      <c r="DNE84" s="0"/>
      <c r="DNF84" s="0"/>
      <c r="DNG84" s="0"/>
      <c r="DNH84" s="0"/>
      <c r="DNI84" s="0"/>
      <c r="DNJ84" s="0"/>
      <c r="DNK84" s="0"/>
      <c r="DNL84" s="0"/>
      <c r="DNM84" s="0"/>
      <c r="DNN84" s="0"/>
      <c r="DNO84" s="0"/>
      <c r="DNP84" s="0"/>
      <c r="DNQ84" s="0"/>
      <c r="DNR84" s="0"/>
      <c r="DNS84" s="0"/>
      <c r="DNT84" s="0"/>
      <c r="DNU84" s="0"/>
      <c r="DNV84" s="0"/>
      <c r="DNW84" s="0"/>
      <c r="DNX84" s="0"/>
      <c r="DNY84" s="0"/>
      <c r="DNZ84" s="0"/>
      <c r="DOA84" s="0"/>
      <c r="DOB84" s="0"/>
      <c r="DOC84" s="0"/>
      <c r="DOD84" s="0"/>
      <c r="DOE84" s="0"/>
      <c r="DOF84" s="0"/>
      <c r="DOG84" s="0"/>
      <c r="DOH84" s="0"/>
      <c r="DOI84" s="0"/>
      <c r="DOJ84" s="0"/>
      <c r="DOK84" s="0"/>
      <c r="DOL84" s="0"/>
      <c r="DOM84" s="0"/>
      <c r="DON84" s="0"/>
      <c r="DOO84" s="0"/>
      <c r="DOP84" s="0"/>
      <c r="DOQ84" s="0"/>
      <c r="DOR84" s="0"/>
      <c r="DOS84" s="0"/>
      <c r="DOT84" s="0"/>
      <c r="DOU84" s="0"/>
      <c r="DOV84" s="0"/>
      <c r="DOW84" s="0"/>
      <c r="DOX84" s="0"/>
      <c r="DOY84" s="0"/>
      <c r="DOZ84" s="0"/>
      <c r="DPA84" s="0"/>
      <c r="DPB84" s="0"/>
      <c r="DPC84" s="0"/>
      <c r="DPD84" s="0"/>
      <c r="DPE84" s="0"/>
      <c r="DPF84" s="0"/>
      <c r="DPG84" s="0"/>
      <c r="DPH84" s="0"/>
      <c r="DPI84" s="0"/>
      <c r="DPJ84" s="0"/>
      <c r="DPK84" s="0"/>
      <c r="DPL84" s="0"/>
      <c r="DPM84" s="0"/>
      <c r="DPN84" s="0"/>
      <c r="DPO84" s="0"/>
      <c r="DPP84" s="0"/>
      <c r="DPQ84" s="0"/>
      <c r="DPR84" s="0"/>
      <c r="DPS84" s="0"/>
      <c r="DPT84" s="0"/>
      <c r="DPU84" s="0"/>
      <c r="DPV84" s="0"/>
      <c r="DPW84" s="0"/>
      <c r="DPX84" s="0"/>
      <c r="DPY84" s="0"/>
      <c r="DPZ84" s="0"/>
      <c r="DQA84" s="0"/>
      <c r="DQB84" s="0"/>
      <c r="DQC84" s="0"/>
      <c r="DQD84" s="0"/>
      <c r="DQE84" s="0"/>
      <c r="DQF84" s="0"/>
      <c r="DQG84" s="0"/>
      <c r="DQH84" s="0"/>
      <c r="DQI84" s="0"/>
      <c r="DQJ84" s="0"/>
      <c r="DQK84" s="0"/>
      <c r="DQL84" s="0"/>
      <c r="DQM84" s="0"/>
      <c r="DQN84" s="0"/>
      <c r="DQO84" s="0"/>
      <c r="DQP84" s="0"/>
      <c r="DQQ84" s="0"/>
      <c r="DQR84" s="0"/>
      <c r="DQS84" s="0"/>
      <c r="DQT84" s="0"/>
      <c r="DQU84" s="0"/>
      <c r="DQV84" s="0"/>
      <c r="DQW84" s="0"/>
      <c r="DQX84" s="0"/>
      <c r="DQY84" s="0"/>
      <c r="DQZ84" s="0"/>
      <c r="DRA84" s="0"/>
      <c r="DRB84" s="0"/>
      <c r="DRC84" s="0"/>
      <c r="DRD84" s="0"/>
      <c r="DRE84" s="0"/>
      <c r="DRF84" s="0"/>
      <c r="DRG84" s="0"/>
      <c r="DRH84" s="0"/>
      <c r="DRI84" s="0"/>
      <c r="DRJ84" s="0"/>
      <c r="DRK84" s="0"/>
      <c r="DRL84" s="0"/>
      <c r="DRM84" s="0"/>
      <c r="DRN84" s="0"/>
      <c r="DRO84" s="0"/>
      <c r="DRP84" s="0"/>
      <c r="DRQ84" s="0"/>
      <c r="DRR84" s="0"/>
      <c r="DRS84" s="0"/>
      <c r="DRT84" s="0"/>
      <c r="DRU84" s="0"/>
      <c r="DRV84" s="0"/>
      <c r="DRW84" s="0"/>
      <c r="DRX84" s="0"/>
      <c r="DRY84" s="0"/>
      <c r="DRZ84" s="0"/>
      <c r="DSA84" s="0"/>
      <c r="DSB84" s="0"/>
      <c r="DSC84" s="0"/>
      <c r="DSD84" s="0"/>
      <c r="DSE84" s="0"/>
      <c r="DSF84" s="0"/>
      <c r="DSG84" s="0"/>
      <c r="DSH84" s="0"/>
      <c r="DSI84" s="0"/>
      <c r="DSJ84" s="0"/>
      <c r="DSK84" s="0"/>
      <c r="DSL84" s="0"/>
      <c r="DSM84" s="0"/>
      <c r="DSN84" s="0"/>
      <c r="DSO84" s="0"/>
      <c r="DSP84" s="0"/>
      <c r="DSQ84" s="0"/>
      <c r="DSR84" s="0"/>
      <c r="DSS84" s="0"/>
      <c r="DST84" s="0"/>
      <c r="DSU84" s="0"/>
      <c r="DSV84" s="0"/>
      <c r="DSW84" s="0"/>
      <c r="DSX84" s="0"/>
      <c r="DSY84" s="0"/>
      <c r="DSZ84" s="0"/>
      <c r="DTA84" s="0"/>
      <c r="DTB84" s="0"/>
      <c r="DTC84" s="0"/>
      <c r="DTD84" s="0"/>
      <c r="DTE84" s="0"/>
      <c r="DTF84" s="0"/>
      <c r="DTG84" s="0"/>
      <c r="DTH84" s="0"/>
      <c r="DTI84" s="0"/>
      <c r="DTJ84" s="0"/>
      <c r="DTK84" s="0"/>
      <c r="DTL84" s="0"/>
      <c r="DTM84" s="0"/>
      <c r="DTN84" s="0"/>
      <c r="DTO84" s="0"/>
      <c r="DTP84" s="0"/>
      <c r="DTQ84" s="0"/>
      <c r="DTR84" s="0"/>
      <c r="DTS84" s="0"/>
      <c r="DTT84" s="0"/>
      <c r="DTU84" s="0"/>
      <c r="DTV84" s="0"/>
      <c r="DTW84" s="0"/>
      <c r="DTX84" s="0"/>
      <c r="DTY84" s="0"/>
      <c r="DTZ84" s="0"/>
      <c r="DUA84" s="0"/>
      <c r="DUB84" s="0"/>
      <c r="DUC84" s="0"/>
      <c r="DUD84" s="0"/>
      <c r="DUE84" s="0"/>
      <c r="DUF84" s="0"/>
      <c r="DUG84" s="0"/>
      <c r="DUH84" s="0"/>
      <c r="DUI84" s="0"/>
      <c r="DUJ84" s="0"/>
      <c r="DUK84" s="0"/>
      <c r="DUL84" s="0"/>
      <c r="DUM84" s="0"/>
      <c r="DUN84" s="0"/>
      <c r="DUO84" s="0"/>
      <c r="DUP84" s="0"/>
      <c r="DUQ84" s="0"/>
      <c r="DUR84" s="0"/>
      <c r="DUS84" s="0"/>
      <c r="DUT84" s="0"/>
      <c r="DUU84" s="0"/>
      <c r="DUV84" s="0"/>
      <c r="DUW84" s="0"/>
      <c r="DUX84" s="0"/>
      <c r="DUY84" s="0"/>
      <c r="DUZ84" s="0"/>
      <c r="DVA84" s="0"/>
      <c r="DVB84" s="0"/>
      <c r="DVC84" s="0"/>
      <c r="DVD84" s="0"/>
      <c r="DVE84" s="0"/>
      <c r="DVF84" s="0"/>
      <c r="DVG84" s="0"/>
      <c r="DVH84" s="0"/>
      <c r="DVI84" s="0"/>
      <c r="DVJ84" s="0"/>
      <c r="DVK84" s="0"/>
      <c r="DVL84" s="0"/>
      <c r="DVM84" s="0"/>
      <c r="DVN84" s="0"/>
      <c r="DVO84" s="0"/>
      <c r="DVP84" s="0"/>
      <c r="DVQ84" s="0"/>
      <c r="DVR84" s="0"/>
      <c r="DVS84" s="0"/>
      <c r="DVT84" s="0"/>
      <c r="DVU84" s="0"/>
      <c r="DVV84" s="0"/>
      <c r="DVW84" s="0"/>
      <c r="DVX84" s="0"/>
      <c r="DVY84" s="0"/>
      <c r="DVZ84" s="0"/>
      <c r="DWA84" s="0"/>
      <c r="DWB84" s="0"/>
      <c r="DWC84" s="0"/>
      <c r="DWD84" s="0"/>
      <c r="DWE84" s="0"/>
      <c r="DWF84" s="0"/>
      <c r="DWG84" s="0"/>
      <c r="DWH84" s="0"/>
      <c r="DWI84" s="0"/>
      <c r="DWJ84" s="0"/>
      <c r="DWK84" s="0"/>
      <c r="DWL84" s="0"/>
      <c r="DWM84" s="0"/>
      <c r="DWN84" s="0"/>
      <c r="DWO84" s="0"/>
      <c r="DWP84" s="0"/>
      <c r="DWQ84" s="0"/>
      <c r="DWR84" s="0"/>
      <c r="DWS84" s="0"/>
      <c r="DWT84" s="0"/>
      <c r="DWU84" s="0"/>
      <c r="DWV84" s="0"/>
      <c r="DWW84" s="0"/>
      <c r="DWX84" s="0"/>
      <c r="DWY84" s="0"/>
      <c r="DWZ84" s="0"/>
      <c r="DXA84" s="0"/>
      <c r="DXB84" s="0"/>
      <c r="DXC84" s="0"/>
      <c r="DXD84" s="0"/>
      <c r="DXE84" s="0"/>
      <c r="DXF84" s="0"/>
      <c r="DXG84" s="0"/>
      <c r="DXH84" s="0"/>
      <c r="DXI84" s="0"/>
      <c r="DXJ84" s="0"/>
      <c r="DXK84" s="0"/>
      <c r="DXL84" s="0"/>
      <c r="DXM84" s="0"/>
      <c r="DXN84" s="0"/>
      <c r="DXO84" s="0"/>
      <c r="DXP84" s="0"/>
      <c r="DXQ84" s="0"/>
      <c r="DXR84" s="0"/>
      <c r="DXS84" s="0"/>
      <c r="DXT84" s="0"/>
      <c r="DXU84" s="0"/>
      <c r="DXV84" s="0"/>
      <c r="DXW84" s="0"/>
      <c r="DXX84" s="0"/>
      <c r="DXY84" s="0"/>
      <c r="DXZ84" s="0"/>
      <c r="DYA84" s="0"/>
      <c r="DYB84" s="0"/>
      <c r="DYC84" s="0"/>
      <c r="DYD84" s="0"/>
      <c r="DYE84" s="0"/>
      <c r="DYF84" s="0"/>
      <c r="DYG84" s="0"/>
      <c r="DYH84" s="0"/>
      <c r="DYI84" s="0"/>
      <c r="DYJ84" s="0"/>
      <c r="DYK84" s="0"/>
      <c r="DYL84" s="0"/>
      <c r="DYM84" s="0"/>
      <c r="DYN84" s="0"/>
      <c r="DYO84" s="0"/>
      <c r="DYP84" s="0"/>
      <c r="DYQ84" s="0"/>
      <c r="DYR84" s="0"/>
      <c r="DYS84" s="0"/>
      <c r="DYT84" s="0"/>
      <c r="DYU84" s="0"/>
      <c r="DYV84" s="0"/>
      <c r="DYW84" s="0"/>
      <c r="DYX84" s="0"/>
      <c r="DYY84" s="0"/>
      <c r="DYZ84" s="0"/>
      <c r="DZA84" s="0"/>
      <c r="DZB84" s="0"/>
      <c r="DZC84" s="0"/>
      <c r="DZD84" s="0"/>
      <c r="DZE84" s="0"/>
      <c r="DZF84" s="0"/>
      <c r="DZG84" s="0"/>
      <c r="DZH84" s="0"/>
      <c r="DZI84" s="0"/>
      <c r="DZJ84" s="0"/>
      <c r="DZK84" s="0"/>
      <c r="DZL84" s="0"/>
      <c r="DZM84" s="0"/>
      <c r="DZN84" s="0"/>
      <c r="DZO84" s="0"/>
      <c r="DZP84" s="0"/>
      <c r="DZQ84" s="0"/>
      <c r="DZR84" s="0"/>
      <c r="DZS84" s="0"/>
      <c r="DZT84" s="0"/>
      <c r="DZU84" s="0"/>
      <c r="DZV84" s="0"/>
      <c r="DZW84" s="0"/>
      <c r="DZX84" s="0"/>
      <c r="DZY84" s="0"/>
      <c r="DZZ84" s="0"/>
      <c r="EAA84" s="0"/>
      <c r="EAB84" s="0"/>
      <c r="EAC84" s="0"/>
      <c r="EAD84" s="0"/>
      <c r="EAE84" s="0"/>
      <c r="EAF84" s="0"/>
      <c r="EAG84" s="0"/>
      <c r="EAH84" s="0"/>
      <c r="EAI84" s="0"/>
      <c r="EAJ84" s="0"/>
      <c r="EAK84" s="0"/>
      <c r="EAL84" s="0"/>
      <c r="EAM84" s="0"/>
      <c r="EAN84" s="0"/>
      <c r="EAO84" s="0"/>
      <c r="EAP84" s="0"/>
      <c r="EAQ84" s="0"/>
      <c r="EAR84" s="0"/>
      <c r="EAS84" s="0"/>
      <c r="EAT84" s="0"/>
      <c r="EAU84" s="0"/>
      <c r="EAV84" s="0"/>
      <c r="EAW84" s="0"/>
      <c r="EAX84" s="0"/>
      <c r="EAY84" s="0"/>
      <c r="EAZ84" s="0"/>
      <c r="EBA84" s="0"/>
      <c r="EBB84" s="0"/>
      <c r="EBC84" s="0"/>
      <c r="EBD84" s="0"/>
      <c r="EBE84" s="0"/>
      <c r="EBF84" s="0"/>
      <c r="EBG84" s="0"/>
      <c r="EBH84" s="0"/>
      <c r="EBI84" s="0"/>
      <c r="EBJ84" s="0"/>
      <c r="EBK84" s="0"/>
      <c r="EBL84" s="0"/>
      <c r="EBM84" s="0"/>
      <c r="EBN84" s="0"/>
      <c r="EBO84" s="0"/>
      <c r="EBP84" s="0"/>
      <c r="EBQ84" s="0"/>
      <c r="EBR84" s="0"/>
      <c r="EBS84" s="0"/>
      <c r="EBT84" s="0"/>
      <c r="EBU84" s="0"/>
      <c r="EBV84" s="0"/>
      <c r="EBW84" s="0"/>
      <c r="EBX84" s="0"/>
      <c r="EBY84" s="0"/>
      <c r="EBZ84" s="0"/>
      <c r="ECA84" s="0"/>
      <c r="ECB84" s="0"/>
      <c r="ECC84" s="0"/>
      <c r="ECD84" s="0"/>
      <c r="ECE84" s="0"/>
      <c r="ECF84" s="0"/>
      <c r="ECG84" s="0"/>
      <c r="ECH84" s="0"/>
      <c r="ECI84" s="0"/>
      <c r="ECJ84" s="0"/>
      <c r="ECK84" s="0"/>
      <c r="ECL84" s="0"/>
      <c r="ECM84" s="0"/>
      <c r="ECN84" s="0"/>
      <c r="ECO84" s="0"/>
      <c r="ECP84" s="0"/>
      <c r="ECQ84" s="0"/>
      <c r="ECR84" s="0"/>
      <c r="ECS84" s="0"/>
      <c r="ECT84" s="0"/>
      <c r="ECU84" s="0"/>
      <c r="ECV84" s="0"/>
      <c r="ECW84" s="0"/>
      <c r="ECX84" s="0"/>
      <c r="ECY84" s="0"/>
      <c r="ECZ84" s="0"/>
      <c r="EDA84" s="0"/>
      <c r="EDB84" s="0"/>
      <c r="EDC84" s="0"/>
      <c r="EDD84" s="0"/>
      <c r="EDE84" s="0"/>
      <c r="EDF84" s="0"/>
      <c r="EDG84" s="0"/>
      <c r="EDH84" s="0"/>
      <c r="EDI84" s="0"/>
      <c r="EDJ84" s="0"/>
      <c r="EDK84" s="0"/>
      <c r="EDL84" s="0"/>
      <c r="EDM84" s="0"/>
      <c r="EDN84" s="0"/>
      <c r="EDO84" s="0"/>
      <c r="EDP84" s="0"/>
      <c r="EDQ84" s="0"/>
      <c r="EDR84" s="0"/>
      <c r="EDS84" s="0"/>
      <c r="EDT84" s="0"/>
      <c r="EDU84" s="0"/>
      <c r="EDV84" s="0"/>
      <c r="EDW84" s="0"/>
      <c r="EDX84" s="0"/>
      <c r="EDY84" s="0"/>
      <c r="EDZ84" s="0"/>
      <c r="EEA84" s="0"/>
      <c r="EEB84" s="0"/>
      <c r="EEC84" s="0"/>
      <c r="EED84" s="0"/>
      <c r="EEE84" s="0"/>
      <c r="EEF84" s="0"/>
      <c r="EEG84" s="0"/>
      <c r="EEH84" s="0"/>
      <c r="EEI84" s="0"/>
      <c r="EEJ84" s="0"/>
      <c r="EEK84" s="0"/>
      <c r="EEL84" s="0"/>
      <c r="EEM84" s="0"/>
      <c r="EEN84" s="0"/>
      <c r="EEO84" s="0"/>
      <c r="EEP84" s="0"/>
      <c r="EEQ84" s="0"/>
      <c r="EER84" s="0"/>
      <c r="EES84" s="0"/>
      <c r="EET84" s="0"/>
      <c r="EEU84" s="0"/>
      <c r="EEV84" s="0"/>
      <c r="EEW84" s="0"/>
      <c r="EEX84" s="0"/>
      <c r="EEY84" s="0"/>
      <c r="EEZ84" s="0"/>
      <c r="EFA84" s="0"/>
      <c r="EFB84" s="0"/>
      <c r="EFC84" s="0"/>
      <c r="EFD84" s="0"/>
      <c r="EFE84" s="0"/>
      <c r="EFF84" s="0"/>
      <c r="EFG84" s="0"/>
      <c r="EFH84" s="0"/>
      <c r="EFI84" s="0"/>
      <c r="EFJ84" s="0"/>
      <c r="EFK84" s="0"/>
      <c r="EFL84" s="0"/>
      <c r="EFM84" s="0"/>
      <c r="EFN84" s="0"/>
      <c r="EFO84" s="0"/>
      <c r="EFP84" s="0"/>
      <c r="EFQ84" s="0"/>
      <c r="EFR84" s="0"/>
      <c r="EFS84" s="0"/>
      <c r="EFT84" s="0"/>
      <c r="EFU84" s="0"/>
      <c r="EFV84" s="0"/>
      <c r="EFW84" s="0"/>
      <c r="EFX84" s="0"/>
      <c r="EFY84" s="0"/>
      <c r="EFZ84" s="0"/>
      <c r="EGA84" s="0"/>
      <c r="EGB84" s="0"/>
      <c r="EGC84" s="0"/>
      <c r="EGD84" s="0"/>
      <c r="EGE84" s="0"/>
      <c r="EGF84" s="0"/>
      <c r="EGG84" s="0"/>
      <c r="EGH84" s="0"/>
      <c r="EGI84" s="0"/>
      <c r="EGJ84" s="0"/>
      <c r="EGK84" s="0"/>
      <c r="EGL84" s="0"/>
      <c r="EGM84" s="0"/>
      <c r="EGN84" s="0"/>
      <c r="EGO84" s="0"/>
      <c r="EGP84" s="0"/>
      <c r="EGQ84" s="0"/>
      <c r="EGR84" s="0"/>
      <c r="EGS84" s="0"/>
      <c r="EGT84" s="0"/>
      <c r="EGU84" s="0"/>
      <c r="EGV84" s="0"/>
      <c r="EGW84" s="0"/>
      <c r="EGX84" s="0"/>
      <c r="EGY84" s="0"/>
      <c r="EGZ84" s="0"/>
      <c r="EHA84" s="0"/>
      <c r="EHB84" s="0"/>
      <c r="EHC84" s="0"/>
      <c r="EHD84" s="0"/>
      <c r="EHE84" s="0"/>
      <c r="EHF84" s="0"/>
      <c r="EHG84" s="0"/>
      <c r="EHH84" s="0"/>
      <c r="EHI84" s="0"/>
      <c r="EHJ84" s="0"/>
      <c r="EHK84" s="0"/>
      <c r="EHL84" s="0"/>
      <c r="EHM84" s="0"/>
      <c r="EHN84" s="0"/>
      <c r="EHO84" s="0"/>
      <c r="EHP84" s="0"/>
      <c r="EHQ84" s="0"/>
      <c r="EHR84" s="0"/>
      <c r="EHS84" s="0"/>
      <c r="EHT84" s="0"/>
      <c r="EHU84" s="0"/>
      <c r="EHV84" s="0"/>
      <c r="EHW84" s="0"/>
      <c r="EHX84" s="0"/>
      <c r="EHY84" s="0"/>
      <c r="EHZ84" s="0"/>
      <c r="EIA84" s="0"/>
      <c r="EIB84" s="0"/>
      <c r="EIC84" s="0"/>
      <c r="EID84" s="0"/>
      <c r="EIE84" s="0"/>
      <c r="EIF84" s="0"/>
      <c r="EIG84" s="0"/>
      <c r="EIH84" s="0"/>
      <c r="EII84" s="0"/>
      <c r="EIJ84" s="0"/>
      <c r="EIK84" s="0"/>
      <c r="EIL84" s="0"/>
      <c r="EIM84" s="0"/>
      <c r="EIN84" s="0"/>
      <c r="EIO84" s="0"/>
      <c r="EIP84" s="0"/>
      <c r="EIQ84" s="0"/>
      <c r="EIR84" s="0"/>
      <c r="EIS84" s="0"/>
      <c r="EIT84" s="0"/>
      <c r="EIU84" s="0"/>
      <c r="EIV84" s="0"/>
      <c r="EIW84" s="0"/>
      <c r="EIX84" s="0"/>
      <c r="EIY84" s="0"/>
      <c r="EIZ84" s="0"/>
      <c r="EJA84" s="0"/>
      <c r="EJB84" s="0"/>
      <c r="EJC84" s="0"/>
      <c r="EJD84" s="0"/>
      <c r="EJE84" s="0"/>
      <c r="EJF84" s="0"/>
      <c r="EJG84" s="0"/>
      <c r="EJH84" s="0"/>
      <c r="EJI84" s="0"/>
      <c r="EJJ84" s="0"/>
      <c r="EJK84" s="0"/>
      <c r="EJL84" s="0"/>
      <c r="EJM84" s="0"/>
      <c r="EJN84" s="0"/>
      <c r="EJO84" s="0"/>
      <c r="EJP84" s="0"/>
      <c r="EJQ84" s="0"/>
      <c r="EJR84" s="0"/>
      <c r="EJS84" s="0"/>
      <c r="EJT84" s="0"/>
      <c r="EJU84" s="0"/>
      <c r="EJV84" s="0"/>
      <c r="EJW84" s="0"/>
      <c r="EJX84" s="0"/>
      <c r="EJY84" s="0"/>
      <c r="EJZ84" s="0"/>
      <c r="EKA84" s="0"/>
      <c r="EKB84" s="0"/>
      <c r="EKC84" s="0"/>
      <c r="EKD84" s="0"/>
      <c r="EKE84" s="0"/>
      <c r="EKF84" s="0"/>
      <c r="EKG84" s="0"/>
      <c r="EKH84" s="0"/>
      <c r="EKI84" s="0"/>
      <c r="EKJ84" s="0"/>
      <c r="EKK84" s="0"/>
      <c r="EKL84" s="0"/>
      <c r="EKM84" s="0"/>
      <c r="EKN84" s="0"/>
      <c r="EKO84" s="0"/>
      <c r="EKP84" s="0"/>
      <c r="EKQ84" s="0"/>
      <c r="EKR84" s="0"/>
      <c r="EKS84" s="0"/>
      <c r="EKT84" s="0"/>
      <c r="EKU84" s="0"/>
      <c r="EKV84" s="0"/>
      <c r="EKW84" s="0"/>
      <c r="EKX84" s="0"/>
      <c r="EKY84" s="0"/>
      <c r="EKZ84" s="0"/>
      <c r="ELA84" s="0"/>
      <c r="ELB84" s="0"/>
      <c r="ELC84" s="0"/>
      <c r="ELD84" s="0"/>
      <c r="ELE84" s="0"/>
      <c r="ELF84" s="0"/>
      <c r="ELG84" s="0"/>
      <c r="ELH84" s="0"/>
      <c r="ELI84" s="0"/>
      <c r="ELJ84" s="0"/>
      <c r="ELK84" s="0"/>
      <c r="ELL84" s="0"/>
      <c r="ELM84" s="0"/>
      <c r="ELN84" s="0"/>
      <c r="ELO84" s="0"/>
      <c r="ELP84" s="0"/>
      <c r="ELQ84" s="0"/>
      <c r="ELR84" s="0"/>
      <c r="ELS84" s="0"/>
      <c r="ELT84" s="0"/>
      <c r="ELU84" s="0"/>
      <c r="ELV84" s="0"/>
      <c r="ELW84" s="0"/>
      <c r="ELX84" s="0"/>
      <c r="ELY84" s="0"/>
      <c r="ELZ84" s="0"/>
      <c r="EMA84" s="0"/>
      <c r="EMB84" s="0"/>
      <c r="EMC84" s="0"/>
      <c r="EMD84" s="0"/>
      <c r="EME84" s="0"/>
      <c r="EMF84" s="0"/>
      <c r="EMG84" s="0"/>
      <c r="EMH84" s="0"/>
      <c r="EMI84" s="0"/>
      <c r="EMJ84" s="0"/>
      <c r="EMK84" s="0"/>
      <c r="EML84" s="0"/>
      <c r="EMM84" s="0"/>
      <c r="EMN84" s="0"/>
      <c r="EMO84" s="0"/>
      <c r="EMP84" s="0"/>
      <c r="EMQ84" s="0"/>
      <c r="EMR84" s="0"/>
      <c r="EMS84" s="0"/>
      <c r="EMT84" s="0"/>
      <c r="EMU84" s="0"/>
      <c r="EMV84" s="0"/>
      <c r="EMW84" s="0"/>
      <c r="EMX84" s="0"/>
      <c r="EMY84" s="0"/>
      <c r="EMZ84" s="0"/>
      <c r="ENA84" s="0"/>
      <c r="ENB84" s="0"/>
      <c r="ENC84" s="0"/>
      <c r="END84" s="0"/>
      <c r="ENE84" s="0"/>
      <c r="ENF84" s="0"/>
      <c r="ENG84" s="0"/>
      <c r="ENH84" s="0"/>
      <c r="ENI84" s="0"/>
      <c r="ENJ84" s="0"/>
      <c r="ENK84" s="0"/>
      <c r="ENL84" s="0"/>
      <c r="ENM84" s="0"/>
      <c r="ENN84" s="0"/>
      <c r="ENO84" s="0"/>
      <c r="ENP84" s="0"/>
      <c r="ENQ84" s="0"/>
      <c r="ENR84" s="0"/>
      <c r="ENS84" s="0"/>
      <c r="ENT84" s="0"/>
      <c r="ENU84" s="0"/>
      <c r="ENV84" s="0"/>
      <c r="ENW84" s="0"/>
      <c r="ENX84" s="0"/>
      <c r="ENY84" s="0"/>
      <c r="ENZ84" s="0"/>
      <c r="EOA84" s="0"/>
      <c r="EOB84" s="0"/>
      <c r="EOC84" s="0"/>
      <c r="EOD84" s="0"/>
      <c r="EOE84" s="0"/>
      <c r="EOF84" s="0"/>
      <c r="EOG84" s="0"/>
      <c r="EOH84" s="0"/>
      <c r="EOI84" s="0"/>
      <c r="EOJ84" s="0"/>
      <c r="EOK84" s="0"/>
      <c r="EOL84" s="0"/>
      <c r="EOM84" s="0"/>
      <c r="EON84" s="0"/>
      <c r="EOO84" s="0"/>
      <c r="EOP84" s="0"/>
      <c r="EOQ84" s="0"/>
      <c r="EOR84" s="0"/>
      <c r="EOS84" s="0"/>
      <c r="EOT84" s="0"/>
      <c r="EOU84" s="0"/>
      <c r="EOV84" s="0"/>
      <c r="EOW84" s="0"/>
      <c r="EOX84" s="0"/>
      <c r="EOY84" s="0"/>
      <c r="EOZ84" s="0"/>
      <c r="EPA84" s="0"/>
      <c r="EPB84" s="0"/>
      <c r="EPC84" s="0"/>
      <c r="EPD84" s="0"/>
      <c r="EPE84" s="0"/>
      <c r="EPF84" s="0"/>
      <c r="EPG84" s="0"/>
      <c r="EPH84" s="0"/>
      <c r="EPI84" s="0"/>
      <c r="EPJ84" s="0"/>
      <c r="EPK84" s="0"/>
      <c r="EPL84" s="0"/>
      <c r="EPM84" s="0"/>
      <c r="EPN84" s="0"/>
      <c r="EPO84" s="0"/>
      <c r="EPP84" s="0"/>
      <c r="EPQ84" s="0"/>
      <c r="EPR84" s="0"/>
      <c r="EPS84" s="0"/>
      <c r="EPT84" s="0"/>
      <c r="EPU84" s="0"/>
      <c r="EPV84" s="0"/>
      <c r="EPW84" s="0"/>
      <c r="EPX84" s="0"/>
      <c r="EPY84" s="0"/>
      <c r="EPZ84" s="0"/>
      <c r="EQA84" s="0"/>
      <c r="EQB84" s="0"/>
      <c r="EQC84" s="0"/>
      <c r="EQD84" s="0"/>
      <c r="EQE84" s="0"/>
      <c r="EQF84" s="0"/>
      <c r="EQG84" s="0"/>
      <c r="EQH84" s="0"/>
      <c r="EQI84" s="0"/>
      <c r="EQJ84" s="0"/>
      <c r="EQK84" s="0"/>
      <c r="EQL84" s="0"/>
      <c r="EQM84" s="0"/>
      <c r="EQN84" s="0"/>
      <c r="EQO84" s="0"/>
      <c r="EQP84" s="0"/>
      <c r="EQQ84" s="0"/>
      <c r="EQR84" s="0"/>
      <c r="EQS84" s="0"/>
      <c r="EQT84" s="0"/>
      <c r="EQU84" s="0"/>
      <c r="EQV84" s="0"/>
      <c r="EQW84" s="0"/>
      <c r="EQX84" s="0"/>
      <c r="EQY84" s="0"/>
      <c r="EQZ84" s="0"/>
      <c r="ERA84" s="0"/>
      <c r="ERB84" s="0"/>
      <c r="ERC84" s="0"/>
      <c r="ERD84" s="0"/>
      <c r="ERE84" s="0"/>
      <c r="ERF84" s="0"/>
      <c r="ERG84" s="0"/>
      <c r="ERH84" s="0"/>
      <c r="ERI84" s="0"/>
      <c r="ERJ84" s="0"/>
      <c r="ERK84" s="0"/>
      <c r="ERL84" s="0"/>
      <c r="ERM84" s="0"/>
      <c r="ERN84" s="0"/>
      <c r="ERO84" s="0"/>
      <c r="ERP84" s="0"/>
      <c r="ERQ84" s="0"/>
      <c r="ERR84" s="0"/>
      <c r="ERS84" s="0"/>
      <c r="ERT84" s="0"/>
      <c r="ERU84" s="0"/>
      <c r="ERV84" s="0"/>
      <c r="ERW84" s="0"/>
      <c r="ERX84" s="0"/>
      <c r="ERY84" s="0"/>
      <c r="ERZ84" s="0"/>
      <c r="ESA84" s="0"/>
      <c r="ESB84" s="0"/>
      <c r="ESC84" s="0"/>
      <c r="ESD84" s="0"/>
      <c r="ESE84" s="0"/>
      <c r="ESF84" s="0"/>
      <c r="ESG84" s="0"/>
      <c r="ESH84" s="0"/>
      <c r="ESI84" s="0"/>
      <c r="ESJ84" s="0"/>
      <c r="ESK84" s="0"/>
      <c r="ESL84" s="0"/>
      <c r="ESM84" s="0"/>
      <c r="ESN84" s="0"/>
      <c r="ESO84" s="0"/>
      <c r="ESP84" s="0"/>
      <c r="ESQ84" s="0"/>
      <c r="ESR84" s="0"/>
      <c r="ESS84" s="0"/>
      <c r="EST84" s="0"/>
      <c r="ESU84" s="0"/>
      <c r="ESV84" s="0"/>
      <c r="ESW84" s="0"/>
      <c r="ESX84" s="0"/>
      <c r="ESY84" s="0"/>
      <c r="ESZ84" s="0"/>
      <c r="ETA84" s="0"/>
      <c r="ETB84" s="0"/>
      <c r="ETC84" s="0"/>
      <c r="ETD84" s="0"/>
      <c r="ETE84" s="0"/>
      <c r="ETF84" s="0"/>
      <c r="ETG84" s="0"/>
      <c r="ETH84" s="0"/>
      <c r="ETI84" s="0"/>
      <c r="ETJ84" s="0"/>
      <c r="ETK84" s="0"/>
      <c r="ETL84" s="0"/>
      <c r="ETM84" s="0"/>
      <c r="ETN84" s="0"/>
      <c r="ETO84" s="0"/>
      <c r="ETP84" s="0"/>
      <c r="ETQ84" s="0"/>
      <c r="ETR84" s="0"/>
      <c r="ETS84" s="0"/>
      <c r="ETT84" s="0"/>
      <c r="ETU84" s="0"/>
      <c r="ETV84" s="0"/>
      <c r="ETW84" s="0"/>
      <c r="ETX84" s="0"/>
      <c r="ETY84" s="0"/>
      <c r="ETZ84" s="0"/>
      <c r="EUA84" s="0"/>
      <c r="EUB84" s="0"/>
      <c r="EUC84" s="0"/>
      <c r="EUD84" s="0"/>
      <c r="EUE84" s="0"/>
      <c r="EUF84" s="0"/>
      <c r="EUG84" s="0"/>
      <c r="EUH84" s="0"/>
      <c r="EUI84" s="0"/>
      <c r="EUJ84" s="0"/>
      <c r="EUK84" s="0"/>
      <c r="EUL84" s="0"/>
      <c r="EUM84" s="0"/>
      <c r="EUN84" s="0"/>
      <c r="EUO84" s="0"/>
      <c r="EUP84" s="0"/>
      <c r="EUQ84" s="0"/>
      <c r="EUR84" s="0"/>
      <c r="EUS84" s="0"/>
      <c r="EUT84" s="0"/>
      <c r="EUU84" s="0"/>
      <c r="EUV84" s="0"/>
      <c r="EUW84" s="0"/>
      <c r="EUX84" s="0"/>
      <c r="EUY84" s="0"/>
      <c r="EUZ84" s="0"/>
      <c r="EVA84" s="0"/>
      <c r="EVB84" s="0"/>
      <c r="EVC84" s="0"/>
      <c r="EVD84" s="0"/>
      <c r="EVE84" s="0"/>
      <c r="EVF84" s="0"/>
      <c r="EVG84" s="0"/>
      <c r="EVH84" s="0"/>
      <c r="EVI84" s="0"/>
      <c r="EVJ84" s="0"/>
      <c r="EVK84" s="0"/>
      <c r="EVL84" s="0"/>
      <c r="EVM84" s="0"/>
      <c r="EVN84" s="0"/>
      <c r="EVO84" s="0"/>
      <c r="EVP84" s="0"/>
      <c r="EVQ84" s="0"/>
      <c r="EVR84" s="0"/>
      <c r="EVS84" s="0"/>
      <c r="EVT84" s="0"/>
      <c r="EVU84" s="0"/>
      <c r="EVV84" s="0"/>
      <c r="EVW84" s="0"/>
      <c r="EVX84" s="0"/>
      <c r="EVY84" s="0"/>
      <c r="EVZ84" s="0"/>
      <c r="EWA84" s="0"/>
      <c r="EWB84" s="0"/>
      <c r="EWC84" s="0"/>
      <c r="EWD84" s="0"/>
      <c r="EWE84" s="0"/>
      <c r="EWF84" s="0"/>
      <c r="EWG84" s="0"/>
      <c r="EWH84" s="0"/>
      <c r="EWI84" s="0"/>
      <c r="EWJ84" s="0"/>
      <c r="EWK84" s="0"/>
      <c r="EWL84" s="0"/>
      <c r="EWM84" s="0"/>
      <c r="EWN84" s="0"/>
      <c r="EWO84" s="0"/>
      <c r="EWP84" s="0"/>
      <c r="EWQ84" s="0"/>
      <c r="EWR84" s="0"/>
      <c r="EWS84" s="0"/>
      <c r="EWT84" s="0"/>
      <c r="EWU84" s="0"/>
      <c r="EWV84" s="0"/>
      <c r="EWW84" s="0"/>
      <c r="EWX84" s="0"/>
      <c r="EWY84" s="0"/>
      <c r="EWZ84" s="0"/>
      <c r="EXA84" s="0"/>
      <c r="EXB84" s="0"/>
      <c r="EXC84" s="0"/>
      <c r="EXD84" s="0"/>
      <c r="EXE84" s="0"/>
      <c r="EXF84" s="0"/>
      <c r="EXG84" s="0"/>
      <c r="EXH84" s="0"/>
      <c r="EXI84" s="0"/>
      <c r="EXJ84" s="0"/>
      <c r="EXK84" s="0"/>
      <c r="EXL84" s="0"/>
      <c r="EXM84" s="0"/>
      <c r="EXN84" s="0"/>
      <c r="EXO84" s="0"/>
      <c r="EXP84" s="0"/>
      <c r="EXQ84" s="0"/>
      <c r="EXR84" s="0"/>
      <c r="EXS84" s="0"/>
      <c r="EXT84" s="0"/>
      <c r="EXU84" s="0"/>
      <c r="EXV84" s="0"/>
      <c r="EXW84" s="0"/>
      <c r="EXX84" s="0"/>
      <c r="EXY84" s="0"/>
      <c r="EXZ84" s="0"/>
      <c r="EYA84" s="0"/>
      <c r="EYB84" s="0"/>
      <c r="EYC84" s="0"/>
      <c r="EYD84" s="0"/>
      <c r="EYE84" s="0"/>
      <c r="EYF84" s="0"/>
      <c r="EYG84" s="0"/>
      <c r="EYH84" s="0"/>
      <c r="EYI84" s="0"/>
      <c r="EYJ84" s="0"/>
      <c r="EYK84" s="0"/>
      <c r="EYL84" s="0"/>
      <c r="EYM84" s="0"/>
      <c r="EYN84" s="0"/>
      <c r="EYO84" s="0"/>
      <c r="EYP84" s="0"/>
      <c r="EYQ84" s="0"/>
      <c r="EYR84" s="0"/>
      <c r="EYS84" s="0"/>
      <c r="EYT84" s="0"/>
      <c r="EYU84" s="0"/>
      <c r="EYV84" s="0"/>
      <c r="EYW84" s="0"/>
      <c r="EYX84" s="0"/>
      <c r="EYY84" s="0"/>
      <c r="EYZ84" s="0"/>
      <c r="EZA84" s="0"/>
      <c r="EZB84" s="0"/>
      <c r="EZC84" s="0"/>
      <c r="EZD84" s="0"/>
      <c r="EZE84" s="0"/>
      <c r="EZF84" s="0"/>
      <c r="EZG84" s="0"/>
      <c r="EZH84" s="0"/>
      <c r="EZI84" s="0"/>
      <c r="EZJ84" s="0"/>
      <c r="EZK84" s="0"/>
      <c r="EZL84" s="0"/>
      <c r="EZM84" s="0"/>
      <c r="EZN84" s="0"/>
      <c r="EZO84" s="0"/>
      <c r="EZP84" s="0"/>
      <c r="EZQ84" s="0"/>
      <c r="EZR84" s="0"/>
      <c r="EZS84" s="0"/>
      <c r="EZT84" s="0"/>
      <c r="EZU84" s="0"/>
      <c r="EZV84" s="0"/>
      <c r="EZW84" s="0"/>
      <c r="EZX84" s="0"/>
      <c r="EZY84" s="0"/>
      <c r="EZZ84" s="0"/>
      <c r="FAA84" s="0"/>
      <c r="FAB84" s="0"/>
      <c r="FAC84" s="0"/>
      <c r="FAD84" s="0"/>
      <c r="FAE84" s="0"/>
      <c r="FAF84" s="0"/>
      <c r="FAG84" s="0"/>
      <c r="FAH84" s="0"/>
      <c r="FAI84" s="0"/>
      <c r="FAJ84" s="0"/>
      <c r="FAK84" s="0"/>
      <c r="FAL84" s="0"/>
      <c r="FAM84" s="0"/>
      <c r="FAN84" s="0"/>
      <c r="FAO84" s="0"/>
      <c r="FAP84" s="0"/>
      <c r="FAQ84" s="0"/>
      <c r="FAR84" s="0"/>
      <c r="FAS84" s="0"/>
      <c r="FAT84" s="0"/>
      <c r="FAU84" s="0"/>
      <c r="FAV84" s="0"/>
      <c r="FAW84" s="0"/>
      <c r="FAX84" s="0"/>
      <c r="FAY84" s="0"/>
      <c r="FAZ84" s="0"/>
      <c r="FBA84" s="0"/>
      <c r="FBB84" s="0"/>
      <c r="FBC84" s="0"/>
      <c r="FBD84" s="0"/>
      <c r="FBE84" s="0"/>
      <c r="FBF84" s="0"/>
      <c r="FBG84" s="0"/>
      <c r="FBH84" s="0"/>
      <c r="FBI84" s="0"/>
      <c r="FBJ84" s="0"/>
      <c r="FBK84" s="0"/>
      <c r="FBL84" s="0"/>
      <c r="FBM84" s="0"/>
      <c r="FBN84" s="0"/>
      <c r="FBO84" s="0"/>
      <c r="FBP84" s="0"/>
      <c r="FBQ84" s="0"/>
      <c r="FBR84" s="0"/>
      <c r="FBS84" s="0"/>
      <c r="FBT84" s="0"/>
      <c r="FBU84" s="0"/>
      <c r="FBV84" s="0"/>
      <c r="FBW84" s="0"/>
      <c r="FBX84" s="0"/>
      <c r="FBY84" s="0"/>
      <c r="FBZ84" s="0"/>
      <c r="FCA84" s="0"/>
      <c r="FCB84" s="0"/>
      <c r="FCC84" s="0"/>
      <c r="FCD84" s="0"/>
      <c r="FCE84" s="0"/>
      <c r="FCF84" s="0"/>
      <c r="FCG84" s="0"/>
      <c r="FCH84" s="0"/>
      <c r="FCI84" s="0"/>
      <c r="FCJ84" s="0"/>
      <c r="FCK84" s="0"/>
      <c r="FCL84" s="0"/>
      <c r="FCM84" s="0"/>
      <c r="FCN84" s="0"/>
      <c r="FCO84" s="0"/>
      <c r="FCP84" s="0"/>
      <c r="FCQ84" s="0"/>
      <c r="FCR84" s="0"/>
      <c r="FCS84" s="0"/>
      <c r="FCT84" s="0"/>
      <c r="FCU84" s="0"/>
      <c r="FCV84" s="0"/>
      <c r="FCW84" s="0"/>
      <c r="FCX84" s="0"/>
      <c r="FCY84" s="0"/>
      <c r="FCZ84" s="0"/>
      <c r="FDA84" s="0"/>
      <c r="FDB84" s="0"/>
      <c r="FDC84" s="0"/>
      <c r="FDD84" s="0"/>
      <c r="FDE84" s="0"/>
      <c r="FDF84" s="0"/>
      <c r="FDG84" s="0"/>
      <c r="FDH84" s="0"/>
      <c r="FDI84" s="0"/>
      <c r="FDJ84" s="0"/>
      <c r="FDK84" s="0"/>
      <c r="FDL84" s="0"/>
      <c r="FDM84" s="0"/>
      <c r="FDN84" s="0"/>
      <c r="FDO84" s="0"/>
      <c r="FDP84" s="0"/>
      <c r="FDQ84" s="0"/>
      <c r="FDR84" s="0"/>
      <c r="FDS84" s="0"/>
      <c r="FDT84" s="0"/>
      <c r="FDU84" s="0"/>
      <c r="FDV84" s="0"/>
      <c r="FDW84" s="0"/>
      <c r="FDX84" s="0"/>
      <c r="FDY84" s="0"/>
      <c r="FDZ84" s="0"/>
      <c r="FEA84" s="0"/>
      <c r="FEB84" s="0"/>
      <c r="FEC84" s="0"/>
      <c r="FED84" s="0"/>
      <c r="FEE84" s="0"/>
      <c r="FEF84" s="0"/>
      <c r="FEG84" s="0"/>
      <c r="FEH84" s="0"/>
      <c r="FEI84" s="0"/>
      <c r="FEJ84" s="0"/>
      <c r="FEK84" s="0"/>
      <c r="FEL84" s="0"/>
      <c r="FEM84" s="0"/>
      <c r="FEN84" s="0"/>
      <c r="FEO84" s="0"/>
      <c r="FEP84" s="0"/>
      <c r="FEQ84" s="0"/>
      <c r="FER84" s="0"/>
      <c r="FES84" s="0"/>
      <c r="FET84" s="0"/>
      <c r="FEU84" s="0"/>
      <c r="FEV84" s="0"/>
      <c r="FEW84" s="0"/>
      <c r="FEX84" s="0"/>
      <c r="FEY84" s="0"/>
      <c r="FEZ84" s="0"/>
      <c r="FFA84" s="0"/>
      <c r="FFB84" s="0"/>
      <c r="FFC84" s="0"/>
      <c r="FFD84" s="0"/>
      <c r="FFE84" s="0"/>
      <c r="FFF84" s="0"/>
      <c r="FFG84" s="0"/>
      <c r="FFH84" s="0"/>
      <c r="FFI84" s="0"/>
      <c r="FFJ84" s="0"/>
      <c r="FFK84" s="0"/>
      <c r="FFL84" s="0"/>
      <c r="FFM84" s="0"/>
      <c r="FFN84" s="0"/>
      <c r="FFO84" s="0"/>
      <c r="FFP84" s="0"/>
      <c r="FFQ84" s="0"/>
      <c r="FFR84" s="0"/>
      <c r="FFS84" s="0"/>
      <c r="FFT84" s="0"/>
      <c r="FFU84" s="0"/>
      <c r="FFV84" s="0"/>
      <c r="FFW84" s="0"/>
      <c r="FFX84" s="0"/>
      <c r="FFY84" s="0"/>
      <c r="FFZ84" s="0"/>
      <c r="FGA84" s="0"/>
      <c r="FGB84" s="0"/>
      <c r="FGC84" s="0"/>
      <c r="FGD84" s="0"/>
      <c r="FGE84" s="0"/>
      <c r="FGF84" s="0"/>
      <c r="FGG84" s="0"/>
      <c r="FGH84" s="0"/>
      <c r="FGI84" s="0"/>
      <c r="FGJ84" s="0"/>
      <c r="FGK84" s="0"/>
      <c r="FGL84" s="0"/>
      <c r="FGM84" s="0"/>
      <c r="FGN84" s="0"/>
      <c r="FGO84" s="0"/>
      <c r="FGP84" s="0"/>
      <c r="FGQ84" s="0"/>
      <c r="FGR84" s="0"/>
      <c r="FGS84" s="0"/>
      <c r="FGT84" s="0"/>
      <c r="FGU84" s="0"/>
      <c r="FGV84" s="0"/>
      <c r="FGW84" s="0"/>
      <c r="FGX84" s="0"/>
      <c r="FGY84" s="0"/>
      <c r="FGZ84" s="0"/>
      <c r="FHA84" s="0"/>
      <c r="FHB84" s="0"/>
      <c r="FHC84" s="0"/>
      <c r="FHD84" s="0"/>
      <c r="FHE84" s="0"/>
      <c r="FHF84" s="0"/>
      <c r="FHG84" s="0"/>
      <c r="FHH84" s="0"/>
      <c r="FHI84" s="0"/>
      <c r="FHJ84" s="0"/>
      <c r="FHK84" s="0"/>
      <c r="FHL84" s="0"/>
      <c r="FHM84" s="0"/>
      <c r="FHN84" s="0"/>
      <c r="FHO84" s="0"/>
      <c r="FHP84" s="0"/>
      <c r="FHQ84" s="0"/>
      <c r="FHR84" s="0"/>
      <c r="FHS84" s="0"/>
      <c r="FHT84" s="0"/>
      <c r="FHU84" s="0"/>
      <c r="FHV84" s="0"/>
      <c r="FHW84" s="0"/>
      <c r="FHX84" s="0"/>
      <c r="FHY84" s="0"/>
      <c r="FHZ84" s="0"/>
      <c r="FIA84" s="0"/>
      <c r="FIB84" s="0"/>
      <c r="FIC84" s="0"/>
      <c r="FID84" s="0"/>
      <c r="FIE84" s="0"/>
      <c r="FIF84" s="0"/>
      <c r="FIG84" s="0"/>
      <c r="FIH84" s="0"/>
      <c r="FII84" s="0"/>
      <c r="FIJ84" s="0"/>
      <c r="FIK84" s="0"/>
      <c r="FIL84" s="0"/>
      <c r="FIM84" s="0"/>
      <c r="FIN84" s="0"/>
      <c r="FIO84" s="0"/>
      <c r="FIP84" s="0"/>
      <c r="FIQ84" s="0"/>
      <c r="FIR84" s="0"/>
      <c r="FIS84" s="0"/>
      <c r="FIT84" s="0"/>
      <c r="FIU84" s="0"/>
      <c r="FIV84" s="0"/>
      <c r="FIW84" s="0"/>
      <c r="FIX84" s="0"/>
      <c r="FIY84" s="0"/>
      <c r="FIZ84" s="0"/>
      <c r="FJA84" s="0"/>
      <c r="FJB84" s="0"/>
      <c r="FJC84" s="0"/>
      <c r="FJD84" s="0"/>
      <c r="FJE84" s="0"/>
      <c r="FJF84" s="0"/>
      <c r="FJG84" s="0"/>
      <c r="FJH84" s="0"/>
      <c r="FJI84" s="0"/>
      <c r="FJJ84" s="0"/>
      <c r="FJK84" s="0"/>
      <c r="FJL84" s="0"/>
      <c r="FJM84" s="0"/>
      <c r="FJN84" s="0"/>
      <c r="FJO84" s="0"/>
      <c r="FJP84" s="0"/>
      <c r="FJQ84" s="0"/>
      <c r="FJR84" s="0"/>
      <c r="FJS84" s="0"/>
      <c r="FJT84" s="0"/>
      <c r="FJU84" s="0"/>
      <c r="FJV84" s="0"/>
      <c r="FJW84" s="0"/>
      <c r="FJX84" s="0"/>
      <c r="FJY84" s="0"/>
      <c r="FJZ84" s="0"/>
      <c r="FKA84" s="0"/>
      <c r="FKB84" s="0"/>
      <c r="FKC84" s="0"/>
      <c r="FKD84" s="0"/>
      <c r="FKE84" s="0"/>
      <c r="FKF84" s="0"/>
      <c r="FKG84" s="0"/>
      <c r="FKH84" s="0"/>
      <c r="FKI84" s="0"/>
      <c r="FKJ84" s="0"/>
      <c r="FKK84" s="0"/>
      <c r="FKL84" s="0"/>
      <c r="FKM84" s="0"/>
      <c r="FKN84" s="0"/>
      <c r="FKO84" s="0"/>
      <c r="FKP84" s="0"/>
      <c r="FKQ84" s="0"/>
      <c r="FKR84" s="0"/>
      <c r="FKS84" s="0"/>
      <c r="FKT84" s="0"/>
      <c r="FKU84" s="0"/>
      <c r="FKV84" s="0"/>
      <c r="FKW84" s="0"/>
      <c r="FKX84" s="0"/>
      <c r="FKY84" s="0"/>
      <c r="FKZ84" s="0"/>
      <c r="FLA84" s="0"/>
      <c r="FLB84" s="0"/>
      <c r="FLC84" s="0"/>
      <c r="FLD84" s="0"/>
      <c r="FLE84" s="0"/>
      <c r="FLF84" s="0"/>
      <c r="FLG84" s="0"/>
      <c r="FLH84" s="0"/>
      <c r="FLI84" s="0"/>
      <c r="FLJ84" s="0"/>
      <c r="FLK84" s="0"/>
      <c r="FLL84" s="0"/>
      <c r="FLM84" s="0"/>
      <c r="FLN84" s="0"/>
      <c r="FLO84" s="0"/>
      <c r="FLP84" s="0"/>
      <c r="FLQ84" s="0"/>
      <c r="FLR84" s="0"/>
      <c r="FLS84" s="0"/>
      <c r="FLT84" s="0"/>
      <c r="FLU84" s="0"/>
      <c r="FLV84" s="0"/>
      <c r="FLW84" s="0"/>
      <c r="FLX84" s="0"/>
      <c r="FLY84" s="0"/>
      <c r="FLZ84" s="0"/>
      <c r="FMA84" s="0"/>
      <c r="FMB84" s="0"/>
      <c r="FMC84" s="0"/>
      <c r="FMD84" s="0"/>
      <c r="FME84" s="0"/>
      <c r="FMF84" s="0"/>
      <c r="FMG84" s="0"/>
      <c r="FMH84" s="0"/>
      <c r="FMI84" s="0"/>
      <c r="FMJ84" s="0"/>
      <c r="FMK84" s="0"/>
      <c r="FML84" s="0"/>
      <c r="FMM84" s="0"/>
      <c r="FMN84" s="0"/>
      <c r="FMO84" s="0"/>
      <c r="FMP84" s="0"/>
      <c r="FMQ84" s="0"/>
      <c r="FMR84" s="0"/>
      <c r="FMS84" s="0"/>
      <c r="FMT84" s="0"/>
      <c r="FMU84" s="0"/>
      <c r="FMV84" s="0"/>
      <c r="FMW84" s="0"/>
      <c r="FMX84" s="0"/>
      <c r="FMY84" s="0"/>
      <c r="FMZ84" s="0"/>
      <c r="FNA84" s="0"/>
      <c r="FNB84" s="0"/>
      <c r="FNC84" s="0"/>
      <c r="FND84" s="0"/>
      <c r="FNE84" s="0"/>
      <c r="FNF84" s="0"/>
      <c r="FNG84" s="0"/>
      <c r="FNH84" s="0"/>
      <c r="FNI84" s="0"/>
      <c r="FNJ84" s="0"/>
      <c r="FNK84" s="0"/>
      <c r="FNL84" s="0"/>
      <c r="FNM84" s="0"/>
      <c r="FNN84" s="0"/>
      <c r="FNO84" s="0"/>
      <c r="FNP84" s="0"/>
      <c r="FNQ84" s="0"/>
      <c r="FNR84" s="0"/>
      <c r="FNS84" s="0"/>
      <c r="FNT84" s="0"/>
      <c r="FNU84" s="0"/>
      <c r="FNV84" s="0"/>
      <c r="FNW84" s="0"/>
      <c r="FNX84" s="0"/>
      <c r="FNY84" s="0"/>
      <c r="FNZ84" s="0"/>
      <c r="FOA84" s="0"/>
      <c r="FOB84" s="0"/>
      <c r="FOC84" s="0"/>
      <c r="FOD84" s="0"/>
      <c r="FOE84" s="0"/>
      <c r="FOF84" s="0"/>
      <c r="FOG84" s="0"/>
      <c r="FOH84" s="0"/>
      <c r="FOI84" s="0"/>
      <c r="FOJ84" s="0"/>
      <c r="FOK84" s="0"/>
      <c r="FOL84" s="0"/>
      <c r="FOM84" s="0"/>
      <c r="FON84" s="0"/>
      <c r="FOO84" s="0"/>
      <c r="FOP84" s="0"/>
      <c r="FOQ84" s="0"/>
      <c r="FOR84" s="0"/>
      <c r="FOS84" s="0"/>
      <c r="FOT84" s="0"/>
      <c r="FOU84" s="0"/>
      <c r="FOV84" s="0"/>
      <c r="FOW84" s="0"/>
      <c r="FOX84" s="0"/>
      <c r="FOY84" s="0"/>
      <c r="FOZ84" s="0"/>
      <c r="FPA84" s="0"/>
      <c r="FPB84" s="0"/>
      <c r="FPC84" s="0"/>
      <c r="FPD84" s="0"/>
      <c r="FPE84" s="0"/>
      <c r="FPF84" s="0"/>
      <c r="FPG84" s="0"/>
      <c r="FPH84" s="0"/>
      <c r="FPI84" s="0"/>
      <c r="FPJ84" s="0"/>
      <c r="FPK84" s="0"/>
      <c r="FPL84" s="0"/>
      <c r="FPM84" s="0"/>
      <c r="FPN84" s="0"/>
      <c r="FPO84" s="0"/>
      <c r="FPP84" s="0"/>
      <c r="FPQ84" s="0"/>
      <c r="FPR84" s="0"/>
      <c r="FPS84" s="0"/>
      <c r="FPT84" s="0"/>
      <c r="FPU84" s="0"/>
      <c r="FPV84" s="0"/>
      <c r="FPW84" s="0"/>
      <c r="FPX84" s="0"/>
      <c r="FPY84" s="0"/>
      <c r="FPZ84" s="0"/>
      <c r="FQA84" s="0"/>
      <c r="FQB84" s="0"/>
      <c r="FQC84" s="0"/>
      <c r="FQD84" s="0"/>
      <c r="FQE84" s="0"/>
      <c r="FQF84" s="0"/>
      <c r="FQG84" s="0"/>
      <c r="FQH84" s="0"/>
      <c r="FQI84" s="0"/>
      <c r="FQJ84" s="0"/>
      <c r="FQK84" s="0"/>
      <c r="FQL84" s="0"/>
      <c r="FQM84" s="0"/>
      <c r="FQN84" s="0"/>
      <c r="FQO84" s="0"/>
      <c r="FQP84" s="0"/>
      <c r="FQQ84" s="0"/>
      <c r="FQR84" s="0"/>
      <c r="FQS84" s="0"/>
      <c r="FQT84" s="0"/>
      <c r="FQU84" s="0"/>
      <c r="FQV84" s="0"/>
      <c r="FQW84" s="0"/>
      <c r="FQX84" s="0"/>
      <c r="FQY84" s="0"/>
      <c r="FQZ84" s="0"/>
      <c r="FRA84" s="0"/>
      <c r="FRB84" s="0"/>
      <c r="FRC84" s="0"/>
      <c r="FRD84" s="0"/>
      <c r="FRE84" s="0"/>
      <c r="FRF84" s="0"/>
      <c r="FRG84" s="0"/>
      <c r="FRH84" s="0"/>
      <c r="FRI84" s="0"/>
      <c r="FRJ84" s="0"/>
      <c r="FRK84" s="0"/>
      <c r="FRL84" s="0"/>
      <c r="FRM84" s="0"/>
      <c r="FRN84" s="0"/>
      <c r="FRO84" s="0"/>
      <c r="FRP84" s="0"/>
      <c r="FRQ84" s="0"/>
      <c r="FRR84" s="0"/>
      <c r="FRS84" s="0"/>
      <c r="FRT84" s="0"/>
      <c r="FRU84" s="0"/>
      <c r="FRV84" s="0"/>
      <c r="FRW84" s="0"/>
      <c r="FRX84" s="0"/>
      <c r="FRY84" s="0"/>
      <c r="FRZ84" s="0"/>
      <c r="FSA84" s="0"/>
      <c r="FSB84" s="0"/>
      <c r="FSC84" s="0"/>
      <c r="FSD84" s="0"/>
      <c r="FSE84" s="0"/>
      <c r="FSF84" s="0"/>
      <c r="FSG84" s="0"/>
      <c r="FSH84" s="0"/>
      <c r="FSI84" s="0"/>
      <c r="FSJ84" s="0"/>
      <c r="FSK84" s="0"/>
      <c r="FSL84" s="0"/>
      <c r="FSM84" s="0"/>
      <c r="FSN84" s="0"/>
      <c r="FSO84" s="0"/>
      <c r="FSP84" s="0"/>
      <c r="FSQ84" s="0"/>
      <c r="FSR84" s="0"/>
      <c r="FSS84" s="0"/>
      <c r="FST84" s="0"/>
      <c r="FSU84" s="0"/>
      <c r="FSV84" s="0"/>
      <c r="FSW84" s="0"/>
      <c r="FSX84" s="0"/>
      <c r="FSY84" s="0"/>
      <c r="FSZ84" s="0"/>
      <c r="FTA84" s="0"/>
      <c r="FTB84" s="0"/>
      <c r="FTC84" s="0"/>
      <c r="FTD84" s="0"/>
      <c r="FTE84" s="0"/>
      <c r="FTF84" s="0"/>
      <c r="FTG84" s="0"/>
      <c r="FTH84" s="0"/>
      <c r="FTI84" s="0"/>
      <c r="FTJ84" s="0"/>
      <c r="FTK84" s="0"/>
      <c r="FTL84" s="0"/>
      <c r="FTM84" s="0"/>
      <c r="FTN84" s="0"/>
      <c r="FTO84" s="0"/>
      <c r="FTP84" s="0"/>
      <c r="FTQ84" s="0"/>
      <c r="FTR84" s="0"/>
      <c r="FTS84" s="0"/>
      <c r="FTT84" s="0"/>
      <c r="FTU84" s="0"/>
      <c r="FTV84" s="0"/>
      <c r="FTW84" s="0"/>
      <c r="FTX84" s="0"/>
      <c r="FTY84" s="0"/>
      <c r="FTZ84" s="0"/>
      <c r="FUA84" s="0"/>
      <c r="FUB84" s="0"/>
      <c r="FUC84" s="0"/>
      <c r="FUD84" s="0"/>
      <c r="FUE84" s="0"/>
      <c r="FUF84" s="0"/>
      <c r="FUG84" s="0"/>
      <c r="FUH84" s="0"/>
      <c r="FUI84" s="0"/>
      <c r="FUJ84" s="0"/>
      <c r="FUK84" s="0"/>
      <c r="FUL84" s="0"/>
      <c r="FUM84" s="0"/>
      <c r="FUN84" s="0"/>
      <c r="FUO84" s="0"/>
      <c r="FUP84" s="0"/>
      <c r="FUQ84" s="0"/>
      <c r="FUR84" s="0"/>
      <c r="FUS84" s="0"/>
      <c r="FUT84" s="0"/>
      <c r="FUU84" s="0"/>
      <c r="FUV84" s="0"/>
      <c r="FUW84" s="0"/>
      <c r="FUX84" s="0"/>
      <c r="FUY84" s="0"/>
      <c r="FUZ84" s="0"/>
      <c r="FVA84" s="0"/>
      <c r="FVB84" s="0"/>
      <c r="FVC84" s="0"/>
      <c r="FVD84" s="0"/>
      <c r="FVE84" s="0"/>
      <c r="FVF84" s="0"/>
      <c r="FVG84" s="0"/>
      <c r="FVH84" s="0"/>
      <c r="FVI84" s="0"/>
      <c r="FVJ84" s="0"/>
      <c r="FVK84" s="0"/>
      <c r="FVL84" s="0"/>
      <c r="FVM84" s="0"/>
      <c r="FVN84" s="0"/>
      <c r="FVO84" s="0"/>
      <c r="FVP84" s="0"/>
      <c r="FVQ84" s="0"/>
      <c r="FVR84" s="0"/>
      <c r="FVS84" s="0"/>
      <c r="FVT84" s="0"/>
      <c r="FVU84" s="0"/>
      <c r="FVV84" s="0"/>
      <c r="FVW84" s="0"/>
      <c r="FVX84" s="0"/>
      <c r="FVY84" s="0"/>
      <c r="FVZ84" s="0"/>
      <c r="FWA84" s="0"/>
      <c r="FWB84" s="0"/>
      <c r="FWC84" s="0"/>
      <c r="FWD84" s="0"/>
      <c r="FWE84" s="0"/>
      <c r="FWF84" s="0"/>
      <c r="FWG84" s="0"/>
      <c r="FWH84" s="0"/>
      <c r="FWI84" s="0"/>
      <c r="FWJ84" s="0"/>
      <c r="FWK84" s="0"/>
      <c r="FWL84" s="0"/>
      <c r="FWM84" s="0"/>
      <c r="FWN84" s="0"/>
      <c r="FWO84" s="0"/>
      <c r="FWP84" s="0"/>
      <c r="FWQ84" s="0"/>
      <c r="FWR84" s="0"/>
      <c r="FWS84" s="0"/>
      <c r="FWT84" s="0"/>
      <c r="FWU84" s="0"/>
      <c r="FWV84" s="0"/>
      <c r="FWW84" s="0"/>
      <c r="FWX84" s="0"/>
      <c r="FWY84" s="0"/>
      <c r="FWZ84" s="0"/>
      <c r="FXA84" s="0"/>
      <c r="FXB84" s="0"/>
      <c r="FXC84" s="0"/>
      <c r="FXD84" s="0"/>
      <c r="FXE84" s="0"/>
      <c r="FXF84" s="0"/>
      <c r="FXG84" s="0"/>
      <c r="FXH84" s="0"/>
      <c r="FXI84" s="0"/>
      <c r="FXJ84" s="0"/>
      <c r="FXK84" s="0"/>
      <c r="FXL84" s="0"/>
      <c r="FXM84" s="0"/>
      <c r="FXN84" s="0"/>
      <c r="FXO84" s="0"/>
      <c r="FXP84" s="0"/>
      <c r="FXQ84" s="0"/>
      <c r="FXR84" s="0"/>
      <c r="FXS84" s="0"/>
      <c r="FXT84" s="0"/>
      <c r="FXU84" s="0"/>
      <c r="FXV84" s="0"/>
      <c r="FXW84" s="0"/>
      <c r="FXX84" s="0"/>
      <c r="FXY84" s="0"/>
      <c r="FXZ84" s="0"/>
      <c r="FYA84" s="0"/>
      <c r="FYB84" s="0"/>
      <c r="FYC84" s="0"/>
      <c r="FYD84" s="0"/>
      <c r="FYE84" s="0"/>
      <c r="FYF84" s="0"/>
      <c r="FYG84" s="0"/>
      <c r="FYH84" s="0"/>
      <c r="FYI84" s="0"/>
      <c r="FYJ84" s="0"/>
      <c r="FYK84" s="0"/>
      <c r="FYL84" s="0"/>
      <c r="FYM84" s="0"/>
      <c r="FYN84" s="0"/>
      <c r="FYO84" s="0"/>
      <c r="FYP84" s="0"/>
      <c r="FYQ84" s="0"/>
      <c r="FYR84" s="0"/>
      <c r="FYS84" s="0"/>
      <c r="FYT84" s="0"/>
      <c r="FYU84" s="0"/>
      <c r="FYV84" s="0"/>
      <c r="FYW84" s="0"/>
      <c r="FYX84" s="0"/>
      <c r="FYY84" s="0"/>
      <c r="FYZ84" s="0"/>
      <c r="FZA84" s="0"/>
      <c r="FZB84" s="0"/>
      <c r="FZC84" s="0"/>
      <c r="FZD84" s="0"/>
      <c r="FZE84" s="0"/>
      <c r="FZF84" s="0"/>
      <c r="FZG84" s="0"/>
      <c r="FZH84" s="0"/>
      <c r="FZI84" s="0"/>
      <c r="FZJ84" s="0"/>
      <c r="FZK84" s="0"/>
      <c r="FZL84" s="0"/>
      <c r="FZM84" s="0"/>
      <c r="FZN84" s="0"/>
      <c r="FZO84" s="0"/>
      <c r="FZP84" s="0"/>
      <c r="FZQ84" s="0"/>
      <c r="FZR84" s="0"/>
      <c r="FZS84" s="0"/>
      <c r="FZT84" s="0"/>
      <c r="FZU84" s="0"/>
      <c r="FZV84" s="0"/>
      <c r="FZW84" s="0"/>
      <c r="FZX84" s="0"/>
      <c r="FZY84" s="0"/>
      <c r="FZZ84" s="0"/>
      <c r="GAA84" s="0"/>
      <c r="GAB84" s="0"/>
      <c r="GAC84" s="0"/>
      <c r="GAD84" s="0"/>
      <c r="GAE84" s="0"/>
      <c r="GAF84" s="0"/>
      <c r="GAG84" s="0"/>
      <c r="GAH84" s="0"/>
      <c r="GAI84" s="0"/>
      <c r="GAJ84" s="0"/>
      <c r="GAK84" s="0"/>
      <c r="GAL84" s="0"/>
      <c r="GAM84" s="0"/>
      <c r="GAN84" s="0"/>
      <c r="GAO84" s="0"/>
      <c r="GAP84" s="0"/>
      <c r="GAQ84" s="0"/>
      <c r="GAR84" s="0"/>
      <c r="GAS84" s="0"/>
      <c r="GAT84" s="0"/>
      <c r="GAU84" s="0"/>
      <c r="GAV84" s="0"/>
      <c r="GAW84" s="0"/>
      <c r="GAX84" s="0"/>
      <c r="GAY84" s="0"/>
      <c r="GAZ84" s="0"/>
      <c r="GBA84" s="0"/>
      <c r="GBB84" s="0"/>
      <c r="GBC84" s="0"/>
      <c r="GBD84" s="0"/>
      <c r="GBE84" s="0"/>
      <c r="GBF84" s="0"/>
      <c r="GBG84" s="0"/>
      <c r="GBH84" s="0"/>
      <c r="GBI84" s="0"/>
      <c r="GBJ84" s="0"/>
      <c r="GBK84" s="0"/>
      <c r="GBL84" s="0"/>
      <c r="GBM84" s="0"/>
      <c r="GBN84" s="0"/>
      <c r="GBO84" s="0"/>
      <c r="GBP84" s="0"/>
      <c r="GBQ84" s="0"/>
      <c r="GBR84" s="0"/>
      <c r="GBS84" s="0"/>
      <c r="GBT84" s="0"/>
      <c r="GBU84" s="0"/>
      <c r="GBV84" s="0"/>
      <c r="GBW84" s="0"/>
      <c r="GBX84" s="0"/>
      <c r="GBY84" s="0"/>
      <c r="GBZ84" s="0"/>
      <c r="GCA84" s="0"/>
      <c r="GCB84" s="0"/>
      <c r="GCC84" s="0"/>
      <c r="GCD84" s="0"/>
      <c r="GCE84" s="0"/>
      <c r="GCF84" s="0"/>
      <c r="GCG84" s="0"/>
      <c r="GCH84" s="0"/>
      <c r="GCI84" s="0"/>
      <c r="GCJ84" s="0"/>
      <c r="GCK84" s="0"/>
      <c r="GCL84" s="0"/>
      <c r="GCM84" s="0"/>
      <c r="GCN84" s="0"/>
      <c r="GCO84" s="0"/>
      <c r="GCP84" s="0"/>
      <c r="GCQ84" s="0"/>
      <c r="GCR84" s="0"/>
      <c r="GCS84" s="0"/>
      <c r="GCT84" s="0"/>
      <c r="GCU84" s="0"/>
      <c r="GCV84" s="0"/>
      <c r="GCW84" s="0"/>
      <c r="GCX84" s="0"/>
      <c r="GCY84" s="0"/>
      <c r="GCZ84" s="0"/>
      <c r="GDA84" s="0"/>
      <c r="GDB84" s="0"/>
      <c r="GDC84" s="0"/>
      <c r="GDD84" s="0"/>
      <c r="GDE84" s="0"/>
      <c r="GDF84" s="0"/>
      <c r="GDG84" s="0"/>
      <c r="GDH84" s="0"/>
      <c r="GDI84" s="0"/>
      <c r="GDJ84" s="0"/>
      <c r="GDK84" s="0"/>
      <c r="GDL84" s="0"/>
      <c r="GDM84" s="0"/>
      <c r="GDN84" s="0"/>
      <c r="GDO84" s="0"/>
      <c r="GDP84" s="0"/>
      <c r="GDQ84" s="0"/>
      <c r="GDR84" s="0"/>
      <c r="GDS84" s="0"/>
      <c r="GDT84" s="0"/>
      <c r="GDU84" s="0"/>
      <c r="GDV84" s="0"/>
      <c r="GDW84" s="0"/>
      <c r="GDX84" s="0"/>
      <c r="GDY84" s="0"/>
      <c r="GDZ84" s="0"/>
      <c r="GEA84" s="0"/>
      <c r="GEB84" s="0"/>
      <c r="GEC84" s="0"/>
      <c r="GED84" s="0"/>
      <c r="GEE84" s="0"/>
      <c r="GEF84" s="0"/>
      <c r="GEG84" s="0"/>
      <c r="GEH84" s="0"/>
      <c r="GEI84" s="0"/>
      <c r="GEJ84" s="0"/>
      <c r="GEK84" s="0"/>
      <c r="GEL84" s="0"/>
      <c r="GEM84" s="0"/>
      <c r="GEN84" s="0"/>
      <c r="GEO84" s="0"/>
      <c r="GEP84" s="0"/>
      <c r="GEQ84" s="0"/>
      <c r="GER84" s="0"/>
      <c r="GES84" s="0"/>
      <c r="GET84" s="0"/>
      <c r="GEU84" s="0"/>
      <c r="GEV84" s="0"/>
      <c r="GEW84" s="0"/>
      <c r="GEX84" s="0"/>
      <c r="GEY84" s="0"/>
      <c r="GEZ84" s="0"/>
      <c r="GFA84" s="0"/>
      <c r="GFB84" s="0"/>
      <c r="GFC84" s="0"/>
      <c r="GFD84" s="0"/>
      <c r="GFE84" s="0"/>
      <c r="GFF84" s="0"/>
      <c r="GFG84" s="0"/>
      <c r="GFH84" s="0"/>
      <c r="GFI84" s="0"/>
      <c r="GFJ84" s="0"/>
      <c r="GFK84" s="0"/>
      <c r="GFL84" s="0"/>
      <c r="GFM84" s="0"/>
      <c r="GFN84" s="0"/>
      <c r="GFO84" s="0"/>
      <c r="GFP84" s="0"/>
      <c r="GFQ84" s="0"/>
      <c r="GFR84" s="0"/>
      <c r="GFS84" s="0"/>
      <c r="GFT84" s="0"/>
      <c r="GFU84" s="0"/>
      <c r="GFV84" s="0"/>
      <c r="GFW84" s="0"/>
      <c r="GFX84" s="0"/>
      <c r="GFY84" s="0"/>
      <c r="GFZ84" s="0"/>
      <c r="GGA84" s="0"/>
      <c r="GGB84" s="0"/>
      <c r="GGC84" s="0"/>
      <c r="GGD84" s="0"/>
      <c r="GGE84" s="0"/>
      <c r="GGF84" s="0"/>
      <c r="GGG84" s="0"/>
      <c r="GGH84" s="0"/>
      <c r="GGI84" s="0"/>
      <c r="GGJ84" s="0"/>
      <c r="GGK84" s="0"/>
      <c r="GGL84" s="0"/>
      <c r="GGM84" s="0"/>
      <c r="GGN84" s="0"/>
      <c r="GGO84" s="0"/>
      <c r="GGP84" s="0"/>
      <c r="GGQ84" s="0"/>
      <c r="GGR84" s="0"/>
      <c r="GGS84" s="0"/>
      <c r="GGT84" s="0"/>
      <c r="GGU84" s="0"/>
      <c r="GGV84" s="0"/>
      <c r="GGW84" s="0"/>
      <c r="GGX84" s="0"/>
      <c r="GGY84" s="0"/>
      <c r="GGZ84" s="0"/>
      <c r="GHA84" s="0"/>
      <c r="GHB84" s="0"/>
      <c r="GHC84" s="0"/>
      <c r="GHD84" s="0"/>
      <c r="GHE84" s="0"/>
      <c r="GHF84" s="0"/>
      <c r="GHG84" s="0"/>
      <c r="GHH84" s="0"/>
      <c r="GHI84" s="0"/>
      <c r="GHJ84" s="0"/>
      <c r="GHK84" s="0"/>
      <c r="GHL84" s="0"/>
      <c r="GHM84" s="0"/>
      <c r="GHN84" s="0"/>
      <c r="GHO84" s="0"/>
      <c r="GHP84" s="0"/>
      <c r="GHQ84" s="0"/>
      <c r="GHR84" s="0"/>
      <c r="GHS84" s="0"/>
      <c r="GHT84" s="0"/>
      <c r="GHU84" s="0"/>
      <c r="GHV84" s="0"/>
      <c r="GHW84" s="0"/>
      <c r="GHX84" s="0"/>
      <c r="GHY84" s="0"/>
      <c r="GHZ84" s="0"/>
      <c r="GIA84" s="0"/>
      <c r="GIB84" s="0"/>
      <c r="GIC84" s="0"/>
      <c r="GID84" s="0"/>
      <c r="GIE84" s="0"/>
      <c r="GIF84" s="0"/>
      <c r="GIG84" s="0"/>
      <c r="GIH84" s="0"/>
      <c r="GII84" s="0"/>
      <c r="GIJ84" s="0"/>
      <c r="GIK84" s="0"/>
      <c r="GIL84" s="0"/>
      <c r="GIM84" s="0"/>
      <c r="GIN84" s="0"/>
      <c r="GIO84" s="0"/>
      <c r="GIP84" s="0"/>
      <c r="GIQ84" s="0"/>
      <c r="GIR84" s="0"/>
      <c r="GIS84" s="0"/>
      <c r="GIT84" s="0"/>
      <c r="GIU84" s="0"/>
      <c r="GIV84" s="0"/>
      <c r="GIW84" s="0"/>
      <c r="GIX84" s="0"/>
      <c r="GIY84" s="0"/>
      <c r="GIZ84" s="0"/>
      <c r="GJA84" s="0"/>
      <c r="GJB84" s="0"/>
      <c r="GJC84" s="0"/>
      <c r="GJD84" s="0"/>
      <c r="GJE84" s="0"/>
      <c r="GJF84" s="0"/>
      <c r="GJG84" s="0"/>
      <c r="GJH84" s="0"/>
      <c r="GJI84" s="0"/>
      <c r="GJJ84" s="0"/>
      <c r="GJK84" s="0"/>
      <c r="GJL84" s="0"/>
      <c r="GJM84" s="0"/>
      <c r="GJN84" s="0"/>
      <c r="GJO84" s="0"/>
      <c r="GJP84" s="0"/>
      <c r="GJQ84" s="0"/>
      <c r="GJR84" s="0"/>
      <c r="GJS84" s="0"/>
      <c r="GJT84" s="0"/>
      <c r="GJU84" s="0"/>
      <c r="GJV84" s="0"/>
      <c r="GJW84" s="0"/>
      <c r="GJX84" s="0"/>
      <c r="GJY84" s="0"/>
      <c r="GJZ84" s="0"/>
      <c r="GKA84" s="0"/>
      <c r="GKB84" s="0"/>
      <c r="GKC84" s="0"/>
      <c r="GKD84" s="0"/>
      <c r="GKE84" s="0"/>
      <c r="GKF84" s="0"/>
      <c r="GKG84" s="0"/>
      <c r="GKH84" s="0"/>
      <c r="GKI84" s="0"/>
      <c r="GKJ84" s="0"/>
      <c r="GKK84" s="0"/>
      <c r="GKL84" s="0"/>
      <c r="GKM84" s="0"/>
      <c r="GKN84" s="0"/>
      <c r="GKO84" s="0"/>
      <c r="GKP84" s="0"/>
      <c r="GKQ84" s="0"/>
      <c r="GKR84" s="0"/>
      <c r="GKS84" s="0"/>
      <c r="GKT84" s="0"/>
      <c r="GKU84" s="0"/>
      <c r="GKV84" s="0"/>
      <c r="GKW84" s="0"/>
      <c r="GKX84" s="0"/>
      <c r="GKY84" s="0"/>
      <c r="GKZ84" s="0"/>
      <c r="GLA84" s="0"/>
      <c r="GLB84" s="0"/>
      <c r="GLC84" s="0"/>
      <c r="GLD84" s="0"/>
      <c r="GLE84" s="0"/>
      <c r="GLF84" s="0"/>
      <c r="GLG84" s="0"/>
      <c r="GLH84" s="0"/>
      <c r="GLI84" s="0"/>
      <c r="GLJ84" s="0"/>
      <c r="GLK84" s="0"/>
      <c r="GLL84" s="0"/>
      <c r="GLM84" s="0"/>
      <c r="GLN84" s="0"/>
      <c r="GLO84" s="0"/>
      <c r="GLP84" s="0"/>
      <c r="GLQ84" s="0"/>
      <c r="GLR84" s="0"/>
      <c r="GLS84" s="0"/>
      <c r="GLT84" s="0"/>
      <c r="GLU84" s="0"/>
      <c r="GLV84" s="0"/>
      <c r="GLW84" s="0"/>
      <c r="GLX84" s="0"/>
      <c r="GLY84" s="0"/>
      <c r="GLZ84" s="0"/>
      <c r="GMA84" s="0"/>
      <c r="GMB84" s="0"/>
      <c r="GMC84" s="0"/>
      <c r="GMD84" s="0"/>
      <c r="GME84" s="0"/>
      <c r="GMF84" s="0"/>
      <c r="GMG84" s="0"/>
      <c r="GMH84" s="0"/>
      <c r="GMI84" s="0"/>
      <c r="GMJ84" s="0"/>
      <c r="GMK84" s="0"/>
      <c r="GML84" s="0"/>
      <c r="GMM84" s="0"/>
      <c r="GMN84" s="0"/>
      <c r="GMO84" s="0"/>
      <c r="GMP84" s="0"/>
      <c r="GMQ84" s="0"/>
      <c r="GMR84" s="0"/>
      <c r="GMS84" s="0"/>
      <c r="GMT84" s="0"/>
      <c r="GMU84" s="0"/>
      <c r="GMV84" s="0"/>
      <c r="GMW84" s="0"/>
      <c r="GMX84" s="0"/>
      <c r="GMY84" s="0"/>
      <c r="GMZ84" s="0"/>
      <c r="GNA84" s="0"/>
      <c r="GNB84" s="0"/>
      <c r="GNC84" s="0"/>
      <c r="GND84" s="0"/>
      <c r="GNE84" s="0"/>
      <c r="GNF84" s="0"/>
      <c r="GNG84" s="0"/>
      <c r="GNH84" s="0"/>
      <c r="GNI84" s="0"/>
      <c r="GNJ84" s="0"/>
      <c r="GNK84" s="0"/>
      <c r="GNL84" s="0"/>
      <c r="GNM84" s="0"/>
      <c r="GNN84" s="0"/>
      <c r="GNO84" s="0"/>
      <c r="GNP84" s="0"/>
      <c r="GNQ84" s="0"/>
      <c r="GNR84" s="0"/>
      <c r="GNS84" s="0"/>
      <c r="GNT84" s="0"/>
      <c r="GNU84" s="0"/>
      <c r="GNV84" s="0"/>
      <c r="GNW84" s="0"/>
      <c r="GNX84" s="0"/>
      <c r="GNY84" s="0"/>
      <c r="GNZ84" s="0"/>
      <c r="GOA84" s="0"/>
      <c r="GOB84" s="0"/>
      <c r="GOC84" s="0"/>
      <c r="GOD84" s="0"/>
      <c r="GOE84" s="0"/>
      <c r="GOF84" s="0"/>
      <c r="GOG84" s="0"/>
      <c r="GOH84" s="0"/>
      <c r="GOI84" s="0"/>
      <c r="GOJ84" s="0"/>
      <c r="GOK84" s="0"/>
      <c r="GOL84" s="0"/>
      <c r="GOM84" s="0"/>
      <c r="GON84" s="0"/>
      <c r="GOO84" s="0"/>
      <c r="GOP84" s="0"/>
      <c r="GOQ84" s="0"/>
      <c r="GOR84" s="0"/>
      <c r="GOS84" s="0"/>
      <c r="GOT84" s="0"/>
      <c r="GOU84" s="0"/>
      <c r="GOV84" s="0"/>
      <c r="GOW84" s="0"/>
      <c r="GOX84" s="0"/>
      <c r="GOY84" s="0"/>
      <c r="GOZ84" s="0"/>
      <c r="GPA84" s="0"/>
      <c r="GPB84" s="0"/>
      <c r="GPC84" s="0"/>
      <c r="GPD84" s="0"/>
      <c r="GPE84" s="0"/>
      <c r="GPF84" s="0"/>
      <c r="GPG84" s="0"/>
      <c r="GPH84" s="0"/>
      <c r="GPI84" s="0"/>
      <c r="GPJ84" s="0"/>
      <c r="GPK84" s="0"/>
      <c r="GPL84" s="0"/>
      <c r="GPM84" s="0"/>
      <c r="GPN84" s="0"/>
      <c r="GPO84" s="0"/>
      <c r="GPP84" s="0"/>
      <c r="GPQ84" s="0"/>
      <c r="GPR84" s="0"/>
      <c r="GPS84" s="0"/>
      <c r="GPT84" s="0"/>
      <c r="GPU84" s="0"/>
      <c r="GPV84" s="0"/>
      <c r="GPW84" s="0"/>
      <c r="GPX84" s="0"/>
      <c r="GPY84" s="0"/>
      <c r="GPZ84" s="0"/>
      <c r="GQA84" s="0"/>
      <c r="GQB84" s="0"/>
      <c r="GQC84" s="0"/>
      <c r="GQD84" s="0"/>
      <c r="GQE84" s="0"/>
      <c r="GQF84" s="0"/>
      <c r="GQG84" s="0"/>
      <c r="GQH84" s="0"/>
      <c r="GQI84" s="0"/>
      <c r="GQJ84" s="0"/>
      <c r="GQK84" s="0"/>
      <c r="GQL84" s="0"/>
      <c r="GQM84" s="0"/>
      <c r="GQN84" s="0"/>
      <c r="GQO84" s="0"/>
      <c r="GQP84" s="0"/>
      <c r="GQQ84" s="0"/>
      <c r="GQR84" s="0"/>
      <c r="GQS84" s="0"/>
      <c r="GQT84" s="0"/>
      <c r="GQU84" s="0"/>
      <c r="GQV84" s="0"/>
      <c r="GQW84" s="0"/>
      <c r="GQX84" s="0"/>
      <c r="GQY84" s="0"/>
      <c r="GQZ84" s="0"/>
      <c r="GRA84" s="0"/>
      <c r="GRB84" s="0"/>
      <c r="GRC84" s="0"/>
      <c r="GRD84" s="0"/>
      <c r="GRE84" s="0"/>
      <c r="GRF84" s="0"/>
      <c r="GRG84" s="0"/>
      <c r="GRH84" s="0"/>
      <c r="GRI84" s="0"/>
      <c r="GRJ84" s="0"/>
      <c r="GRK84" s="0"/>
      <c r="GRL84" s="0"/>
      <c r="GRM84" s="0"/>
      <c r="GRN84" s="0"/>
      <c r="GRO84" s="0"/>
      <c r="GRP84" s="0"/>
      <c r="GRQ84" s="0"/>
      <c r="GRR84" s="0"/>
      <c r="GRS84" s="0"/>
      <c r="GRT84" s="0"/>
      <c r="GRU84" s="0"/>
      <c r="GRV84" s="0"/>
      <c r="GRW84" s="0"/>
      <c r="GRX84" s="0"/>
      <c r="GRY84" s="0"/>
      <c r="GRZ84" s="0"/>
      <c r="GSA84" s="0"/>
      <c r="GSB84" s="0"/>
      <c r="GSC84" s="0"/>
      <c r="GSD84" s="0"/>
      <c r="GSE84" s="0"/>
      <c r="GSF84" s="0"/>
      <c r="GSG84" s="0"/>
      <c r="GSH84" s="0"/>
      <c r="GSI84" s="0"/>
      <c r="GSJ84" s="0"/>
      <c r="GSK84" s="0"/>
      <c r="GSL84" s="0"/>
      <c r="GSM84" s="0"/>
      <c r="GSN84" s="0"/>
      <c r="GSO84" s="0"/>
      <c r="GSP84" s="0"/>
      <c r="GSQ84" s="0"/>
      <c r="GSR84" s="0"/>
      <c r="GSS84" s="0"/>
      <c r="GST84" s="0"/>
      <c r="GSU84" s="0"/>
      <c r="GSV84" s="0"/>
      <c r="GSW84" s="0"/>
      <c r="GSX84" s="0"/>
      <c r="GSY84" s="0"/>
      <c r="GSZ84" s="0"/>
      <c r="GTA84" s="0"/>
      <c r="GTB84" s="0"/>
      <c r="GTC84" s="0"/>
      <c r="GTD84" s="0"/>
      <c r="GTE84" s="0"/>
      <c r="GTF84" s="0"/>
      <c r="GTG84" s="0"/>
      <c r="GTH84" s="0"/>
      <c r="GTI84" s="0"/>
      <c r="GTJ84" s="0"/>
      <c r="GTK84" s="0"/>
      <c r="GTL84" s="0"/>
      <c r="GTM84" s="0"/>
      <c r="GTN84" s="0"/>
      <c r="GTO84" s="0"/>
      <c r="GTP84" s="0"/>
      <c r="GTQ84" s="0"/>
      <c r="GTR84" s="0"/>
      <c r="GTS84" s="0"/>
      <c r="GTT84" s="0"/>
      <c r="GTU84" s="0"/>
      <c r="GTV84" s="0"/>
      <c r="GTW84" s="0"/>
      <c r="GTX84" s="0"/>
      <c r="GTY84" s="0"/>
      <c r="GTZ84" s="0"/>
      <c r="GUA84" s="0"/>
      <c r="GUB84" s="0"/>
      <c r="GUC84" s="0"/>
      <c r="GUD84" s="0"/>
      <c r="GUE84" s="0"/>
      <c r="GUF84" s="0"/>
      <c r="GUG84" s="0"/>
      <c r="GUH84" s="0"/>
      <c r="GUI84" s="0"/>
      <c r="GUJ84" s="0"/>
      <c r="GUK84" s="0"/>
      <c r="GUL84" s="0"/>
      <c r="GUM84" s="0"/>
      <c r="GUN84" s="0"/>
      <c r="GUO84" s="0"/>
      <c r="GUP84" s="0"/>
      <c r="GUQ84" s="0"/>
      <c r="GUR84" s="0"/>
      <c r="GUS84" s="0"/>
      <c r="GUT84" s="0"/>
      <c r="GUU84" s="0"/>
      <c r="GUV84" s="0"/>
      <c r="GUW84" s="0"/>
      <c r="GUX84" s="0"/>
      <c r="GUY84" s="0"/>
      <c r="GUZ84" s="0"/>
      <c r="GVA84" s="0"/>
      <c r="GVB84" s="0"/>
      <c r="GVC84" s="0"/>
      <c r="GVD84" s="0"/>
      <c r="GVE84" s="0"/>
      <c r="GVF84" s="0"/>
      <c r="GVG84" s="0"/>
      <c r="GVH84" s="0"/>
      <c r="GVI84" s="0"/>
      <c r="GVJ84" s="0"/>
      <c r="GVK84" s="0"/>
      <c r="GVL84" s="0"/>
      <c r="GVM84" s="0"/>
      <c r="GVN84" s="0"/>
      <c r="GVO84" s="0"/>
      <c r="GVP84" s="0"/>
      <c r="GVQ84" s="0"/>
      <c r="GVR84" s="0"/>
      <c r="GVS84" s="0"/>
      <c r="GVT84" s="0"/>
      <c r="GVU84" s="0"/>
      <c r="GVV84" s="0"/>
      <c r="GVW84" s="0"/>
      <c r="GVX84" s="0"/>
      <c r="GVY84" s="0"/>
      <c r="GVZ84" s="0"/>
      <c r="GWA84" s="0"/>
      <c r="GWB84" s="0"/>
      <c r="GWC84" s="0"/>
      <c r="GWD84" s="0"/>
      <c r="GWE84" s="0"/>
      <c r="GWF84" s="0"/>
      <c r="GWG84" s="0"/>
      <c r="GWH84" s="0"/>
      <c r="GWI84" s="0"/>
      <c r="GWJ84" s="0"/>
      <c r="GWK84" s="0"/>
      <c r="GWL84" s="0"/>
      <c r="GWM84" s="0"/>
      <c r="GWN84" s="0"/>
      <c r="GWO84" s="0"/>
      <c r="GWP84" s="0"/>
      <c r="GWQ84" s="0"/>
      <c r="GWR84" s="0"/>
      <c r="GWS84" s="0"/>
      <c r="GWT84" s="0"/>
      <c r="GWU84" s="0"/>
      <c r="GWV84" s="0"/>
      <c r="GWW84" s="0"/>
      <c r="GWX84" s="0"/>
      <c r="GWY84" s="0"/>
      <c r="GWZ84" s="0"/>
      <c r="GXA84" s="0"/>
      <c r="GXB84" s="0"/>
      <c r="GXC84" s="0"/>
      <c r="GXD84" s="0"/>
      <c r="GXE84" s="0"/>
      <c r="GXF84" s="0"/>
      <c r="GXG84" s="0"/>
      <c r="GXH84" s="0"/>
      <c r="GXI84" s="0"/>
      <c r="GXJ84" s="0"/>
      <c r="GXK84" s="0"/>
      <c r="GXL84" s="0"/>
      <c r="GXM84" s="0"/>
      <c r="GXN84" s="0"/>
      <c r="GXO84" s="0"/>
      <c r="GXP84" s="0"/>
      <c r="GXQ84" s="0"/>
      <c r="GXR84" s="0"/>
      <c r="GXS84" s="0"/>
      <c r="GXT84" s="0"/>
      <c r="GXU84" s="0"/>
      <c r="GXV84" s="0"/>
      <c r="GXW84" s="0"/>
      <c r="GXX84" s="0"/>
      <c r="GXY84" s="0"/>
      <c r="GXZ84" s="0"/>
      <c r="GYA84" s="0"/>
      <c r="GYB84" s="0"/>
      <c r="GYC84" s="0"/>
      <c r="GYD84" s="0"/>
      <c r="GYE84" s="0"/>
      <c r="GYF84" s="0"/>
      <c r="GYG84" s="0"/>
      <c r="GYH84" s="0"/>
      <c r="GYI84" s="0"/>
      <c r="GYJ84" s="0"/>
      <c r="GYK84" s="0"/>
      <c r="GYL84" s="0"/>
      <c r="GYM84" s="0"/>
      <c r="GYN84" s="0"/>
      <c r="GYO84" s="0"/>
      <c r="GYP84" s="0"/>
      <c r="GYQ84" s="0"/>
      <c r="GYR84" s="0"/>
      <c r="GYS84" s="0"/>
      <c r="GYT84" s="0"/>
      <c r="GYU84" s="0"/>
      <c r="GYV84" s="0"/>
      <c r="GYW84" s="0"/>
      <c r="GYX84" s="0"/>
      <c r="GYY84" s="0"/>
      <c r="GYZ84" s="0"/>
      <c r="GZA84" s="0"/>
      <c r="GZB84" s="0"/>
      <c r="GZC84" s="0"/>
      <c r="GZD84" s="0"/>
      <c r="GZE84" s="0"/>
      <c r="GZF84" s="0"/>
      <c r="GZG84" s="0"/>
      <c r="GZH84" s="0"/>
      <c r="GZI84" s="0"/>
      <c r="GZJ84" s="0"/>
      <c r="GZK84" s="0"/>
      <c r="GZL84" s="0"/>
      <c r="GZM84" s="0"/>
      <c r="GZN84" s="0"/>
      <c r="GZO84" s="0"/>
      <c r="GZP84" s="0"/>
      <c r="GZQ84" s="0"/>
      <c r="GZR84" s="0"/>
      <c r="GZS84" s="0"/>
      <c r="GZT84" s="0"/>
      <c r="GZU84" s="0"/>
      <c r="GZV84" s="0"/>
      <c r="GZW84" s="0"/>
      <c r="GZX84" s="0"/>
      <c r="GZY84" s="0"/>
      <c r="GZZ84" s="0"/>
      <c r="HAA84" s="0"/>
      <c r="HAB84" s="0"/>
      <c r="HAC84" s="0"/>
      <c r="HAD84" s="0"/>
      <c r="HAE84" s="0"/>
      <c r="HAF84" s="0"/>
      <c r="HAG84" s="0"/>
      <c r="HAH84" s="0"/>
      <c r="HAI84" s="0"/>
      <c r="HAJ84" s="0"/>
      <c r="HAK84" s="0"/>
      <c r="HAL84" s="0"/>
      <c r="HAM84" s="0"/>
      <c r="HAN84" s="0"/>
      <c r="HAO84" s="0"/>
      <c r="HAP84" s="0"/>
      <c r="HAQ84" s="0"/>
      <c r="HAR84" s="0"/>
      <c r="HAS84" s="0"/>
      <c r="HAT84" s="0"/>
      <c r="HAU84" s="0"/>
      <c r="HAV84" s="0"/>
      <c r="HAW84" s="0"/>
      <c r="HAX84" s="0"/>
      <c r="HAY84" s="0"/>
      <c r="HAZ84" s="0"/>
      <c r="HBA84" s="0"/>
      <c r="HBB84" s="0"/>
      <c r="HBC84" s="0"/>
      <c r="HBD84" s="0"/>
      <c r="HBE84" s="0"/>
      <c r="HBF84" s="0"/>
      <c r="HBG84" s="0"/>
      <c r="HBH84" s="0"/>
      <c r="HBI84" s="0"/>
      <c r="HBJ84" s="0"/>
      <c r="HBK84" s="0"/>
      <c r="HBL84" s="0"/>
      <c r="HBM84" s="0"/>
      <c r="HBN84" s="0"/>
      <c r="HBO84" s="0"/>
      <c r="HBP84" s="0"/>
      <c r="HBQ84" s="0"/>
      <c r="HBR84" s="0"/>
      <c r="HBS84" s="0"/>
      <c r="HBT84" s="0"/>
      <c r="HBU84" s="0"/>
      <c r="HBV84" s="0"/>
      <c r="HBW84" s="0"/>
      <c r="HBX84" s="0"/>
      <c r="HBY84" s="0"/>
      <c r="HBZ84" s="0"/>
      <c r="HCA84" s="0"/>
      <c r="HCB84" s="0"/>
      <c r="HCC84" s="0"/>
      <c r="HCD84" s="0"/>
      <c r="HCE84" s="0"/>
      <c r="HCF84" s="0"/>
      <c r="HCG84" s="0"/>
      <c r="HCH84" s="0"/>
      <c r="HCI84" s="0"/>
      <c r="HCJ84" s="0"/>
      <c r="HCK84" s="0"/>
      <c r="HCL84" s="0"/>
      <c r="HCM84" s="0"/>
      <c r="HCN84" s="0"/>
      <c r="HCO84" s="0"/>
      <c r="HCP84" s="0"/>
      <c r="HCQ84" s="0"/>
      <c r="HCR84" s="0"/>
      <c r="HCS84" s="0"/>
      <c r="HCT84" s="0"/>
      <c r="HCU84" s="0"/>
      <c r="HCV84" s="0"/>
      <c r="HCW84" s="0"/>
      <c r="HCX84" s="0"/>
      <c r="HCY84" s="0"/>
      <c r="HCZ84" s="0"/>
      <c r="HDA84" s="0"/>
      <c r="HDB84" s="0"/>
      <c r="HDC84" s="0"/>
      <c r="HDD84" s="0"/>
      <c r="HDE84" s="0"/>
      <c r="HDF84" s="0"/>
      <c r="HDG84" s="0"/>
      <c r="HDH84" s="0"/>
      <c r="HDI84" s="0"/>
      <c r="HDJ84" s="0"/>
      <c r="HDK84" s="0"/>
      <c r="HDL84" s="0"/>
      <c r="HDM84" s="0"/>
      <c r="HDN84" s="0"/>
      <c r="HDO84" s="0"/>
      <c r="HDP84" s="0"/>
      <c r="HDQ84" s="0"/>
      <c r="HDR84" s="0"/>
      <c r="HDS84" s="0"/>
      <c r="HDT84" s="0"/>
      <c r="HDU84" s="0"/>
      <c r="HDV84" s="0"/>
      <c r="HDW84" s="0"/>
      <c r="HDX84" s="0"/>
      <c r="HDY84" s="0"/>
      <c r="HDZ84" s="0"/>
      <c r="HEA84" s="0"/>
      <c r="HEB84" s="0"/>
      <c r="HEC84" s="0"/>
      <c r="HED84" s="0"/>
      <c r="HEE84" s="0"/>
      <c r="HEF84" s="0"/>
      <c r="HEG84" s="0"/>
      <c r="HEH84" s="0"/>
      <c r="HEI84" s="0"/>
      <c r="HEJ84" s="0"/>
      <c r="HEK84" s="0"/>
      <c r="HEL84" s="0"/>
      <c r="HEM84" s="0"/>
      <c r="HEN84" s="0"/>
      <c r="HEO84" s="0"/>
      <c r="HEP84" s="0"/>
      <c r="HEQ84" s="0"/>
      <c r="HER84" s="0"/>
      <c r="HES84" s="0"/>
      <c r="HET84" s="0"/>
      <c r="HEU84" s="0"/>
      <c r="HEV84" s="0"/>
      <c r="HEW84" s="0"/>
      <c r="HEX84" s="0"/>
      <c r="HEY84" s="0"/>
      <c r="HEZ84" s="0"/>
      <c r="HFA84" s="0"/>
      <c r="HFB84" s="0"/>
      <c r="HFC84" s="0"/>
      <c r="HFD84" s="0"/>
      <c r="HFE84" s="0"/>
      <c r="HFF84" s="0"/>
      <c r="HFG84" s="0"/>
      <c r="HFH84" s="0"/>
      <c r="HFI84" s="0"/>
      <c r="HFJ84" s="0"/>
      <c r="HFK84" s="0"/>
      <c r="HFL84" s="0"/>
      <c r="HFM84" s="0"/>
      <c r="HFN84" s="0"/>
      <c r="HFO84" s="0"/>
      <c r="HFP84" s="0"/>
      <c r="HFQ84" s="0"/>
      <c r="HFR84" s="0"/>
      <c r="HFS84" s="0"/>
      <c r="HFT84" s="0"/>
      <c r="HFU84" s="0"/>
      <c r="HFV84" s="0"/>
      <c r="HFW84" s="0"/>
      <c r="HFX84" s="0"/>
      <c r="HFY84" s="0"/>
      <c r="HFZ84" s="0"/>
      <c r="HGA84" s="0"/>
      <c r="HGB84" s="0"/>
      <c r="HGC84" s="0"/>
      <c r="HGD84" s="0"/>
      <c r="HGE84" s="0"/>
      <c r="HGF84" s="0"/>
      <c r="HGG84" s="0"/>
      <c r="HGH84" s="0"/>
      <c r="HGI84" s="0"/>
      <c r="HGJ84" s="0"/>
      <c r="HGK84" s="0"/>
      <c r="HGL84" s="0"/>
      <c r="HGM84" s="0"/>
      <c r="HGN84" s="0"/>
      <c r="HGO84" s="0"/>
      <c r="HGP84" s="0"/>
      <c r="HGQ84" s="0"/>
      <c r="HGR84" s="0"/>
      <c r="HGS84" s="0"/>
      <c r="HGT84" s="0"/>
      <c r="HGU84" s="0"/>
      <c r="HGV84" s="0"/>
      <c r="HGW84" s="0"/>
      <c r="HGX84" s="0"/>
      <c r="HGY84" s="0"/>
      <c r="HGZ84" s="0"/>
      <c r="HHA84" s="0"/>
      <c r="HHB84" s="0"/>
      <c r="HHC84" s="0"/>
      <c r="HHD84" s="0"/>
      <c r="HHE84" s="0"/>
      <c r="HHF84" s="0"/>
      <c r="HHG84" s="0"/>
      <c r="HHH84" s="0"/>
      <c r="HHI84" s="0"/>
      <c r="HHJ84" s="0"/>
      <c r="HHK84" s="0"/>
      <c r="HHL84" s="0"/>
      <c r="HHM84" s="0"/>
      <c r="HHN84" s="0"/>
      <c r="HHO84" s="0"/>
      <c r="HHP84" s="0"/>
      <c r="HHQ84" s="0"/>
      <c r="HHR84" s="0"/>
      <c r="HHS84" s="0"/>
      <c r="HHT84" s="0"/>
      <c r="HHU84" s="0"/>
      <c r="HHV84" s="0"/>
      <c r="HHW84" s="0"/>
      <c r="HHX84" s="0"/>
      <c r="HHY84" s="0"/>
      <c r="HHZ84" s="0"/>
      <c r="HIA84" s="0"/>
      <c r="HIB84" s="0"/>
      <c r="HIC84" s="0"/>
      <c r="HID84" s="0"/>
      <c r="HIE84" s="0"/>
      <c r="HIF84" s="0"/>
      <c r="HIG84" s="0"/>
      <c r="HIH84" s="0"/>
      <c r="HII84" s="0"/>
      <c r="HIJ84" s="0"/>
      <c r="HIK84" s="0"/>
      <c r="HIL84" s="0"/>
      <c r="HIM84" s="0"/>
      <c r="HIN84" s="0"/>
      <c r="HIO84" s="0"/>
      <c r="HIP84" s="0"/>
      <c r="HIQ84" s="0"/>
      <c r="HIR84" s="0"/>
      <c r="HIS84" s="0"/>
      <c r="HIT84" s="0"/>
      <c r="HIU84" s="0"/>
      <c r="HIV84" s="0"/>
      <c r="HIW84" s="0"/>
      <c r="HIX84" s="0"/>
      <c r="HIY84" s="0"/>
      <c r="HIZ84" s="0"/>
      <c r="HJA84" s="0"/>
      <c r="HJB84" s="0"/>
      <c r="HJC84" s="0"/>
      <c r="HJD84" s="0"/>
      <c r="HJE84" s="0"/>
      <c r="HJF84" s="0"/>
      <c r="HJG84" s="0"/>
      <c r="HJH84" s="0"/>
      <c r="HJI84" s="0"/>
      <c r="HJJ84" s="0"/>
      <c r="HJK84" s="0"/>
      <c r="HJL84" s="0"/>
      <c r="HJM84" s="0"/>
      <c r="HJN84" s="0"/>
      <c r="HJO84" s="0"/>
      <c r="HJP84" s="0"/>
      <c r="HJQ84" s="0"/>
      <c r="HJR84" s="0"/>
      <c r="HJS84" s="0"/>
      <c r="HJT84" s="0"/>
      <c r="HJU84" s="0"/>
      <c r="HJV84" s="0"/>
      <c r="HJW84" s="0"/>
      <c r="HJX84" s="0"/>
      <c r="HJY84" s="0"/>
      <c r="HJZ84" s="0"/>
      <c r="HKA84" s="0"/>
      <c r="HKB84" s="0"/>
      <c r="HKC84" s="0"/>
      <c r="HKD84" s="0"/>
      <c r="HKE84" s="0"/>
      <c r="HKF84" s="0"/>
      <c r="HKG84" s="0"/>
      <c r="HKH84" s="0"/>
      <c r="HKI84" s="0"/>
      <c r="HKJ84" s="0"/>
      <c r="HKK84" s="0"/>
      <c r="HKL84" s="0"/>
      <c r="HKM84" s="0"/>
      <c r="HKN84" s="0"/>
      <c r="HKO84" s="0"/>
      <c r="HKP84" s="0"/>
      <c r="HKQ84" s="0"/>
      <c r="HKR84" s="0"/>
      <c r="HKS84" s="0"/>
      <c r="HKT84" s="0"/>
      <c r="HKU84" s="0"/>
      <c r="HKV84" s="0"/>
      <c r="HKW84" s="0"/>
      <c r="HKX84" s="0"/>
      <c r="HKY84" s="0"/>
      <c r="HKZ84" s="0"/>
      <c r="HLA84" s="0"/>
      <c r="HLB84" s="0"/>
      <c r="HLC84" s="0"/>
      <c r="HLD84" s="0"/>
      <c r="HLE84" s="0"/>
      <c r="HLF84" s="0"/>
      <c r="HLG84" s="0"/>
      <c r="HLH84" s="0"/>
      <c r="HLI84" s="0"/>
      <c r="HLJ84" s="0"/>
      <c r="HLK84" s="0"/>
      <c r="HLL84" s="0"/>
      <c r="HLM84" s="0"/>
      <c r="HLN84" s="0"/>
      <c r="HLO84" s="0"/>
      <c r="HLP84" s="0"/>
      <c r="HLQ84" s="0"/>
      <c r="HLR84" s="0"/>
      <c r="HLS84" s="0"/>
      <c r="HLT84" s="0"/>
      <c r="HLU84" s="0"/>
      <c r="HLV84" s="0"/>
      <c r="HLW84" s="0"/>
      <c r="HLX84" s="0"/>
      <c r="HLY84" s="0"/>
      <c r="HLZ84" s="0"/>
      <c r="HMA84" s="0"/>
      <c r="HMB84" s="0"/>
      <c r="HMC84" s="0"/>
      <c r="HMD84" s="0"/>
      <c r="HME84" s="0"/>
      <c r="HMF84" s="0"/>
      <c r="HMG84" s="0"/>
      <c r="HMH84" s="0"/>
      <c r="HMI84" s="0"/>
      <c r="HMJ84" s="0"/>
      <c r="HMK84" s="0"/>
      <c r="HML84" s="0"/>
      <c r="HMM84" s="0"/>
      <c r="HMN84" s="0"/>
      <c r="HMO84" s="0"/>
      <c r="HMP84" s="0"/>
      <c r="HMQ84" s="0"/>
      <c r="HMR84" s="0"/>
      <c r="HMS84" s="0"/>
      <c r="HMT84" s="0"/>
      <c r="HMU84" s="0"/>
      <c r="HMV84" s="0"/>
      <c r="HMW84" s="0"/>
      <c r="HMX84" s="0"/>
      <c r="HMY84" s="0"/>
      <c r="HMZ84" s="0"/>
      <c r="HNA84" s="0"/>
      <c r="HNB84" s="0"/>
      <c r="HNC84" s="0"/>
      <c r="HND84" s="0"/>
      <c r="HNE84" s="0"/>
      <c r="HNF84" s="0"/>
      <c r="HNG84" s="0"/>
      <c r="HNH84" s="0"/>
      <c r="HNI84" s="0"/>
      <c r="HNJ84" s="0"/>
      <c r="HNK84" s="0"/>
      <c r="HNL84" s="0"/>
      <c r="HNM84" s="0"/>
      <c r="HNN84" s="0"/>
      <c r="HNO84" s="0"/>
      <c r="HNP84" s="0"/>
      <c r="HNQ84" s="0"/>
      <c r="HNR84" s="0"/>
      <c r="HNS84" s="0"/>
      <c r="HNT84" s="0"/>
      <c r="HNU84" s="0"/>
      <c r="HNV84" s="0"/>
      <c r="HNW84" s="0"/>
      <c r="HNX84" s="0"/>
      <c r="HNY84" s="0"/>
      <c r="HNZ84" s="0"/>
      <c r="HOA84" s="0"/>
      <c r="HOB84" s="0"/>
      <c r="HOC84" s="0"/>
      <c r="HOD84" s="0"/>
      <c r="HOE84" s="0"/>
      <c r="HOF84" s="0"/>
      <c r="HOG84" s="0"/>
      <c r="HOH84" s="0"/>
      <c r="HOI84" s="0"/>
      <c r="HOJ84" s="0"/>
      <c r="HOK84" s="0"/>
      <c r="HOL84" s="0"/>
      <c r="HOM84" s="0"/>
      <c r="HON84" s="0"/>
      <c r="HOO84" s="0"/>
      <c r="HOP84" s="0"/>
      <c r="HOQ84" s="0"/>
      <c r="HOR84" s="0"/>
      <c r="HOS84" s="0"/>
      <c r="HOT84" s="0"/>
      <c r="HOU84" s="0"/>
      <c r="HOV84" s="0"/>
      <c r="HOW84" s="0"/>
      <c r="HOX84" s="0"/>
      <c r="HOY84" s="0"/>
      <c r="HOZ84" s="0"/>
      <c r="HPA84" s="0"/>
      <c r="HPB84" s="0"/>
      <c r="HPC84" s="0"/>
      <c r="HPD84" s="0"/>
      <c r="HPE84" s="0"/>
      <c r="HPF84" s="0"/>
      <c r="HPG84" s="0"/>
      <c r="HPH84" s="0"/>
      <c r="HPI84" s="0"/>
      <c r="HPJ84" s="0"/>
      <c r="HPK84" s="0"/>
      <c r="HPL84" s="0"/>
      <c r="HPM84" s="0"/>
      <c r="HPN84" s="0"/>
      <c r="HPO84" s="0"/>
      <c r="HPP84" s="0"/>
      <c r="HPQ84" s="0"/>
      <c r="HPR84" s="0"/>
      <c r="HPS84" s="0"/>
      <c r="HPT84" s="0"/>
      <c r="HPU84" s="0"/>
      <c r="HPV84" s="0"/>
      <c r="HPW84" s="0"/>
      <c r="HPX84" s="0"/>
      <c r="HPY84" s="0"/>
      <c r="HPZ84" s="0"/>
      <c r="HQA84" s="0"/>
      <c r="HQB84" s="0"/>
      <c r="HQC84" s="0"/>
      <c r="HQD84" s="0"/>
      <c r="HQE84" s="0"/>
      <c r="HQF84" s="0"/>
      <c r="HQG84" s="0"/>
      <c r="HQH84" s="0"/>
      <c r="HQI84" s="0"/>
      <c r="HQJ84" s="0"/>
      <c r="HQK84" s="0"/>
      <c r="HQL84" s="0"/>
      <c r="HQM84" s="0"/>
      <c r="HQN84" s="0"/>
      <c r="HQO84" s="0"/>
      <c r="HQP84" s="0"/>
      <c r="HQQ84" s="0"/>
      <c r="HQR84" s="0"/>
      <c r="HQS84" s="0"/>
      <c r="HQT84" s="0"/>
      <c r="HQU84" s="0"/>
      <c r="HQV84" s="0"/>
      <c r="HQW84" s="0"/>
      <c r="HQX84" s="0"/>
      <c r="HQY84" s="0"/>
      <c r="HQZ84" s="0"/>
      <c r="HRA84" s="0"/>
      <c r="HRB84" s="0"/>
      <c r="HRC84" s="0"/>
      <c r="HRD84" s="0"/>
      <c r="HRE84" s="0"/>
      <c r="HRF84" s="0"/>
      <c r="HRG84" s="0"/>
      <c r="HRH84" s="0"/>
      <c r="HRI84" s="0"/>
      <c r="HRJ84" s="0"/>
      <c r="HRK84" s="0"/>
      <c r="HRL84" s="0"/>
      <c r="HRM84" s="0"/>
      <c r="HRN84" s="0"/>
      <c r="HRO84" s="0"/>
      <c r="HRP84" s="0"/>
      <c r="HRQ84" s="0"/>
      <c r="HRR84" s="0"/>
      <c r="HRS84" s="0"/>
      <c r="HRT84" s="0"/>
      <c r="HRU84" s="0"/>
      <c r="HRV84" s="0"/>
      <c r="HRW84" s="0"/>
      <c r="HRX84" s="0"/>
      <c r="HRY84" s="0"/>
      <c r="HRZ84" s="0"/>
      <c r="HSA84" s="0"/>
      <c r="HSB84" s="0"/>
      <c r="HSC84" s="0"/>
      <c r="HSD84" s="0"/>
      <c r="HSE84" s="0"/>
      <c r="HSF84" s="0"/>
      <c r="HSG84" s="0"/>
      <c r="HSH84" s="0"/>
      <c r="HSI84" s="0"/>
      <c r="HSJ84" s="0"/>
      <c r="HSK84" s="0"/>
      <c r="HSL84" s="0"/>
      <c r="HSM84" s="0"/>
      <c r="HSN84" s="0"/>
      <c r="HSO84" s="0"/>
      <c r="HSP84" s="0"/>
      <c r="HSQ84" s="0"/>
      <c r="HSR84" s="0"/>
      <c r="HSS84" s="0"/>
      <c r="HST84" s="0"/>
      <c r="HSU84" s="0"/>
      <c r="HSV84" s="0"/>
      <c r="HSW84" s="0"/>
      <c r="HSX84" s="0"/>
      <c r="HSY84" s="0"/>
      <c r="HSZ84" s="0"/>
      <c r="HTA84" s="0"/>
      <c r="HTB84" s="0"/>
      <c r="HTC84" s="0"/>
      <c r="HTD84" s="0"/>
      <c r="HTE84" s="0"/>
      <c r="HTF84" s="0"/>
      <c r="HTG84" s="0"/>
      <c r="HTH84" s="0"/>
      <c r="HTI84" s="0"/>
      <c r="HTJ84" s="0"/>
      <c r="HTK84" s="0"/>
      <c r="HTL84" s="0"/>
      <c r="HTM84" s="0"/>
      <c r="HTN84" s="0"/>
      <c r="HTO84" s="0"/>
      <c r="HTP84" s="0"/>
      <c r="HTQ84" s="0"/>
      <c r="HTR84" s="0"/>
      <c r="HTS84" s="0"/>
      <c r="HTT84" s="0"/>
      <c r="HTU84" s="0"/>
      <c r="HTV84" s="0"/>
      <c r="HTW84" s="0"/>
      <c r="HTX84" s="0"/>
      <c r="HTY84" s="0"/>
      <c r="HTZ84" s="0"/>
      <c r="HUA84" s="0"/>
      <c r="HUB84" s="0"/>
      <c r="HUC84" s="0"/>
      <c r="HUD84" s="0"/>
      <c r="HUE84" s="0"/>
      <c r="HUF84" s="0"/>
      <c r="HUG84" s="0"/>
      <c r="HUH84" s="0"/>
      <c r="HUI84" s="0"/>
      <c r="HUJ84" s="0"/>
      <c r="HUK84" s="0"/>
      <c r="HUL84" s="0"/>
      <c r="HUM84" s="0"/>
      <c r="HUN84" s="0"/>
      <c r="HUO84" s="0"/>
      <c r="HUP84" s="0"/>
      <c r="HUQ84" s="0"/>
      <c r="HUR84" s="0"/>
      <c r="HUS84" s="0"/>
      <c r="HUT84" s="0"/>
      <c r="HUU84" s="0"/>
      <c r="HUV84" s="0"/>
      <c r="HUW84" s="0"/>
      <c r="HUX84" s="0"/>
      <c r="HUY84" s="0"/>
      <c r="HUZ84" s="0"/>
      <c r="HVA84" s="0"/>
      <c r="HVB84" s="0"/>
      <c r="HVC84" s="0"/>
      <c r="HVD84" s="0"/>
      <c r="HVE84" s="0"/>
      <c r="HVF84" s="0"/>
      <c r="HVG84" s="0"/>
      <c r="HVH84" s="0"/>
      <c r="HVI84" s="0"/>
      <c r="HVJ84" s="0"/>
      <c r="HVK84" s="0"/>
      <c r="HVL84" s="0"/>
      <c r="HVM84" s="0"/>
      <c r="HVN84" s="0"/>
      <c r="HVO84" s="0"/>
      <c r="HVP84" s="0"/>
      <c r="HVQ84" s="0"/>
      <c r="HVR84" s="0"/>
      <c r="HVS84" s="0"/>
      <c r="HVT84" s="0"/>
      <c r="HVU84" s="0"/>
      <c r="HVV84" s="0"/>
      <c r="HVW84" s="0"/>
      <c r="HVX84" s="0"/>
      <c r="HVY84" s="0"/>
      <c r="HVZ84" s="0"/>
      <c r="HWA84" s="0"/>
      <c r="HWB84" s="0"/>
      <c r="HWC84" s="0"/>
      <c r="HWD84" s="0"/>
      <c r="HWE84" s="0"/>
      <c r="HWF84" s="0"/>
      <c r="HWG84" s="0"/>
      <c r="HWH84" s="0"/>
      <c r="HWI84" s="0"/>
      <c r="HWJ84" s="0"/>
      <c r="HWK84" s="0"/>
      <c r="HWL84" s="0"/>
      <c r="HWM84" s="0"/>
      <c r="HWN84" s="0"/>
      <c r="HWO84" s="0"/>
      <c r="HWP84" s="0"/>
      <c r="HWQ84" s="0"/>
      <c r="HWR84" s="0"/>
      <c r="HWS84" s="0"/>
      <c r="HWT84" s="0"/>
      <c r="HWU84" s="0"/>
      <c r="HWV84" s="0"/>
      <c r="HWW84" s="0"/>
      <c r="HWX84" s="0"/>
      <c r="HWY84" s="0"/>
      <c r="HWZ84" s="0"/>
      <c r="HXA84" s="0"/>
      <c r="HXB84" s="0"/>
      <c r="HXC84" s="0"/>
      <c r="HXD84" s="0"/>
      <c r="HXE84" s="0"/>
      <c r="HXF84" s="0"/>
      <c r="HXG84" s="0"/>
      <c r="HXH84" s="0"/>
      <c r="HXI84" s="0"/>
      <c r="HXJ84" s="0"/>
      <c r="HXK84" s="0"/>
      <c r="HXL84" s="0"/>
      <c r="HXM84" s="0"/>
      <c r="HXN84" s="0"/>
      <c r="HXO84" s="0"/>
      <c r="HXP84" s="0"/>
      <c r="HXQ84" s="0"/>
      <c r="HXR84" s="0"/>
      <c r="HXS84" s="0"/>
      <c r="HXT84" s="0"/>
      <c r="HXU84" s="0"/>
      <c r="HXV84" s="0"/>
      <c r="HXW84" s="0"/>
      <c r="HXX84" s="0"/>
      <c r="HXY84" s="0"/>
      <c r="HXZ84" s="0"/>
      <c r="HYA84" s="0"/>
      <c r="HYB84" s="0"/>
      <c r="HYC84" s="0"/>
      <c r="HYD84" s="0"/>
      <c r="HYE84" s="0"/>
      <c r="HYF84" s="0"/>
      <c r="HYG84" s="0"/>
      <c r="HYH84" s="0"/>
      <c r="HYI84" s="0"/>
      <c r="HYJ84" s="0"/>
      <c r="HYK84" s="0"/>
      <c r="HYL84" s="0"/>
      <c r="HYM84" s="0"/>
      <c r="HYN84" s="0"/>
      <c r="HYO84" s="0"/>
      <c r="HYP84" s="0"/>
      <c r="HYQ84" s="0"/>
      <c r="HYR84" s="0"/>
      <c r="HYS84" s="0"/>
      <c r="HYT84" s="0"/>
      <c r="HYU84" s="0"/>
      <c r="HYV84" s="0"/>
      <c r="HYW84" s="0"/>
      <c r="HYX84" s="0"/>
      <c r="HYY84" s="0"/>
      <c r="HYZ84" s="0"/>
      <c r="HZA84" s="0"/>
      <c r="HZB84" s="0"/>
      <c r="HZC84" s="0"/>
      <c r="HZD84" s="0"/>
      <c r="HZE84" s="0"/>
      <c r="HZF84" s="0"/>
      <c r="HZG84" s="0"/>
      <c r="HZH84" s="0"/>
      <c r="HZI84" s="0"/>
      <c r="HZJ84" s="0"/>
      <c r="HZK84" s="0"/>
      <c r="HZL84" s="0"/>
      <c r="HZM84" s="0"/>
      <c r="HZN84" s="0"/>
      <c r="HZO84" s="0"/>
      <c r="HZP84" s="0"/>
      <c r="HZQ84" s="0"/>
      <c r="HZR84" s="0"/>
      <c r="HZS84" s="0"/>
      <c r="HZT84" s="0"/>
      <c r="HZU84" s="0"/>
      <c r="HZV84" s="0"/>
      <c r="HZW84" s="0"/>
      <c r="HZX84" s="0"/>
      <c r="HZY84" s="0"/>
      <c r="HZZ84" s="0"/>
      <c r="IAA84" s="0"/>
      <c r="IAB84" s="0"/>
      <c r="IAC84" s="0"/>
      <c r="IAD84" s="0"/>
      <c r="IAE84" s="0"/>
      <c r="IAF84" s="0"/>
      <c r="IAG84" s="0"/>
      <c r="IAH84" s="0"/>
      <c r="IAI84" s="0"/>
      <c r="IAJ84" s="0"/>
      <c r="IAK84" s="0"/>
      <c r="IAL84" s="0"/>
      <c r="IAM84" s="0"/>
      <c r="IAN84" s="0"/>
      <c r="IAO84" s="0"/>
      <c r="IAP84" s="0"/>
      <c r="IAQ84" s="0"/>
      <c r="IAR84" s="0"/>
      <c r="IAS84" s="0"/>
      <c r="IAT84" s="0"/>
      <c r="IAU84" s="0"/>
      <c r="IAV84" s="0"/>
      <c r="IAW84" s="0"/>
      <c r="IAX84" s="0"/>
      <c r="IAY84" s="0"/>
      <c r="IAZ84" s="0"/>
      <c r="IBA84" s="0"/>
      <c r="IBB84" s="0"/>
      <c r="IBC84" s="0"/>
      <c r="IBD84" s="0"/>
      <c r="IBE84" s="0"/>
      <c r="IBF84" s="0"/>
      <c r="IBG84" s="0"/>
      <c r="IBH84" s="0"/>
      <c r="IBI84" s="0"/>
      <c r="IBJ84" s="0"/>
      <c r="IBK84" s="0"/>
      <c r="IBL84" s="0"/>
      <c r="IBM84" s="0"/>
      <c r="IBN84" s="0"/>
      <c r="IBO84" s="0"/>
      <c r="IBP84" s="0"/>
      <c r="IBQ84" s="0"/>
      <c r="IBR84" s="0"/>
      <c r="IBS84" s="0"/>
      <c r="IBT84" s="0"/>
      <c r="IBU84" s="0"/>
      <c r="IBV84" s="0"/>
      <c r="IBW84" s="0"/>
      <c r="IBX84" s="0"/>
      <c r="IBY84" s="0"/>
      <c r="IBZ84" s="0"/>
      <c r="ICA84" s="0"/>
      <c r="ICB84" s="0"/>
      <c r="ICC84" s="0"/>
      <c r="ICD84" s="0"/>
      <c r="ICE84" s="0"/>
      <c r="ICF84" s="0"/>
      <c r="ICG84" s="0"/>
      <c r="ICH84" s="0"/>
      <c r="ICI84" s="0"/>
      <c r="ICJ84" s="0"/>
      <c r="ICK84" s="0"/>
      <c r="ICL84" s="0"/>
      <c r="ICM84" s="0"/>
      <c r="ICN84" s="0"/>
      <c r="ICO84" s="0"/>
      <c r="ICP84" s="0"/>
      <c r="ICQ84" s="0"/>
      <c r="ICR84" s="0"/>
      <c r="ICS84" s="0"/>
      <c r="ICT84" s="0"/>
      <c r="ICU84" s="0"/>
      <c r="ICV84" s="0"/>
      <c r="ICW84" s="0"/>
      <c r="ICX84" s="0"/>
      <c r="ICY84" s="0"/>
      <c r="ICZ84" s="0"/>
      <c r="IDA84" s="0"/>
      <c r="IDB84" s="0"/>
      <c r="IDC84" s="0"/>
      <c r="IDD84" s="0"/>
      <c r="IDE84" s="0"/>
      <c r="IDF84" s="0"/>
      <c r="IDG84" s="0"/>
      <c r="IDH84" s="0"/>
      <c r="IDI84" s="0"/>
      <c r="IDJ84" s="0"/>
      <c r="IDK84" s="0"/>
      <c r="IDL84" s="0"/>
      <c r="IDM84" s="0"/>
      <c r="IDN84" s="0"/>
      <c r="IDO84" s="0"/>
      <c r="IDP84" s="0"/>
      <c r="IDQ84" s="0"/>
      <c r="IDR84" s="0"/>
      <c r="IDS84" s="0"/>
      <c r="IDT84" s="0"/>
      <c r="IDU84" s="0"/>
      <c r="IDV84" s="0"/>
      <c r="IDW84" s="0"/>
      <c r="IDX84" s="0"/>
      <c r="IDY84" s="0"/>
      <c r="IDZ84" s="0"/>
      <c r="IEA84" s="0"/>
      <c r="IEB84" s="0"/>
      <c r="IEC84" s="0"/>
      <c r="IED84" s="0"/>
      <c r="IEE84" s="0"/>
      <c r="IEF84" s="0"/>
      <c r="IEG84" s="0"/>
      <c r="IEH84" s="0"/>
      <c r="IEI84" s="0"/>
      <c r="IEJ84" s="0"/>
      <c r="IEK84" s="0"/>
      <c r="IEL84" s="0"/>
      <c r="IEM84" s="0"/>
      <c r="IEN84" s="0"/>
      <c r="IEO84" s="0"/>
      <c r="IEP84" s="0"/>
      <c r="IEQ84" s="0"/>
      <c r="IER84" s="0"/>
      <c r="IES84" s="0"/>
      <c r="IET84" s="0"/>
      <c r="IEU84" s="0"/>
      <c r="IEV84" s="0"/>
      <c r="IEW84" s="0"/>
      <c r="IEX84" s="0"/>
      <c r="IEY84" s="0"/>
      <c r="IEZ84" s="0"/>
      <c r="IFA84" s="0"/>
      <c r="IFB84" s="0"/>
      <c r="IFC84" s="0"/>
      <c r="IFD84" s="0"/>
      <c r="IFE84" s="0"/>
      <c r="IFF84" s="0"/>
      <c r="IFG84" s="0"/>
      <c r="IFH84" s="0"/>
      <c r="IFI84" s="0"/>
      <c r="IFJ84" s="0"/>
      <c r="IFK84" s="0"/>
      <c r="IFL84" s="0"/>
      <c r="IFM84" s="0"/>
      <c r="IFN84" s="0"/>
      <c r="IFO84" s="0"/>
      <c r="IFP84" s="0"/>
      <c r="IFQ84" s="0"/>
      <c r="IFR84" s="0"/>
      <c r="IFS84" s="0"/>
      <c r="IFT84" s="0"/>
      <c r="IFU84" s="0"/>
      <c r="IFV84" s="0"/>
      <c r="IFW84" s="0"/>
      <c r="IFX84" s="0"/>
      <c r="IFY84" s="0"/>
      <c r="IFZ84" s="0"/>
      <c r="IGA84" s="0"/>
      <c r="IGB84" s="0"/>
      <c r="IGC84" s="0"/>
      <c r="IGD84" s="0"/>
      <c r="IGE84" s="0"/>
      <c r="IGF84" s="0"/>
      <c r="IGG84" s="0"/>
      <c r="IGH84" s="0"/>
      <c r="IGI84" s="0"/>
      <c r="IGJ84" s="0"/>
      <c r="IGK84" s="0"/>
      <c r="IGL84" s="0"/>
      <c r="IGM84" s="0"/>
      <c r="IGN84" s="0"/>
      <c r="IGO84" s="0"/>
      <c r="IGP84" s="0"/>
      <c r="IGQ84" s="0"/>
      <c r="IGR84" s="0"/>
      <c r="IGS84" s="0"/>
      <c r="IGT84" s="0"/>
      <c r="IGU84" s="0"/>
      <c r="IGV84" s="0"/>
      <c r="IGW84" s="0"/>
      <c r="IGX84" s="0"/>
      <c r="IGY84" s="0"/>
      <c r="IGZ84" s="0"/>
      <c r="IHA84" s="0"/>
      <c r="IHB84" s="0"/>
      <c r="IHC84" s="0"/>
      <c r="IHD84" s="0"/>
      <c r="IHE84" s="0"/>
      <c r="IHF84" s="0"/>
      <c r="IHG84" s="0"/>
      <c r="IHH84" s="0"/>
      <c r="IHI84" s="0"/>
      <c r="IHJ84" s="0"/>
      <c r="IHK84" s="0"/>
      <c r="IHL84" s="0"/>
      <c r="IHM84" s="0"/>
      <c r="IHN84" s="0"/>
      <c r="IHO84" s="0"/>
      <c r="IHP84" s="0"/>
      <c r="IHQ84" s="0"/>
      <c r="IHR84" s="0"/>
      <c r="IHS84" s="0"/>
      <c r="IHT84" s="0"/>
      <c r="IHU84" s="0"/>
      <c r="IHV84" s="0"/>
      <c r="IHW84" s="0"/>
      <c r="IHX84" s="0"/>
      <c r="IHY84" s="0"/>
      <c r="IHZ84" s="0"/>
      <c r="IIA84" s="0"/>
      <c r="IIB84" s="0"/>
      <c r="IIC84" s="0"/>
      <c r="IID84" s="0"/>
      <c r="IIE84" s="0"/>
      <c r="IIF84" s="0"/>
      <c r="IIG84" s="0"/>
      <c r="IIH84" s="0"/>
      <c r="III84" s="0"/>
      <c r="IIJ84" s="0"/>
      <c r="IIK84" s="0"/>
      <c r="IIL84" s="0"/>
      <c r="IIM84" s="0"/>
      <c r="IIN84" s="0"/>
      <c r="IIO84" s="0"/>
      <c r="IIP84" s="0"/>
      <c r="IIQ84" s="0"/>
      <c r="IIR84" s="0"/>
      <c r="IIS84" s="0"/>
      <c r="IIT84" s="0"/>
      <c r="IIU84" s="0"/>
      <c r="IIV84" s="0"/>
      <c r="IIW84" s="0"/>
      <c r="IIX84" s="0"/>
      <c r="IIY84" s="0"/>
      <c r="IIZ84" s="0"/>
      <c r="IJA84" s="0"/>
      <c r="IJB84" s="0"/>
      <c r="IJC84" s="0"/>
      <c r="IJD84" s="0"/>
      <c r="IJE84" s="0"/>
      <c r="IJF84" s="0"/>
      <c r="IJG84" s="0"/>
      <c r="IJH84" s="0"/>
      <c r="IJI84" s="0"/>
      <c r="IJJ84" s="0"/>
      <c r="IJK84" s="0"/>
      <c r="IJL84" s="0"/>
      <c r="IJM84" s="0"/>
      <c r="IJN84" s="0"/>
      <c r="IJO84" s="0"/>
      <c r="IJP84" s="0"/>
      <c r="IJQ84" s="0"/>
      <c r="IJR84" s="0"/>
      <c r="IJS84" s="0"/>
      <c r="IJT84" s="0"/>
      <c r="IJU84" s="0"/>
      <c r="IJV84" s="0"/>
      <c r="IJW84" s="0"/>
      <c r="IJX84" s="0"/>
      <c r="IJY84" s="0"/>
      <c r="IJZ84" s="0"/>
      <c r="IKA84" s="0"/>
      <c r="IKB84" s="0"/>
      <c r="IKC84" s="0"/>
      <c r="IKD84" s="0"/>
      <c r="IKE84" s="0"/>
      <c r="IKF84" s="0"/>
      <c r="IKG84" s="0"/>
      <c r="IKH84" s="0"/>
      <c r="IKI84" s="0"/>
      <c r="IKJ84" s="0"/>
      <c r="IKK84" s="0"/>
      <c r="IKL84" s="0"/>
      <c r="IKM84" s="0"/>
      <c r="IKN84" s="0"/>
      <c r="IKO84" s="0"/>
      <c r="IKP84" s="0"/>
      <c r="IKQ84" s="0"/>
      <c r="IKR84" s="0"/>
      <c r="IKS84" s="0"/>
      <c r="IKT84" s="0"/>
      <c r="IKU84" s="0"/>
      <c r="IKV84" s="0"/>
      <c r="IKW84" s="0"/>
      <c r="IKX84" s="0"/>
      <c r="IKY84" s="0"/>
      <c r="IKZ84" s="0"/>
      <c r="ILA84" s="0"/>
      <c r="ILB84" s="0"/>
      <c r="ILC84" s="0"/>
      <c r="ILD84" s="0"/>
      <c r="ILE84" s="0"/>
      <c r="ILF84" s="0"/>
      <c r="ILG84" s="0"/>
      <c r="ILH84" s="0"/>
      <c r="ILI84" s="0"/>
      <c r="ILJ84" s="0"/>
      <c r="ILK84" s="0"/>
      <c r="ILL84" s="0"/>
      <c r="ILM84" s="0"/>
      <c r="ILN84" s="0"/>
      <c r="ILO84" s="0"/>
      <c r="ILP84" s="0"/>
      <c r="ILQ84" s="0"/>
      <c r="ILR84" s="0"/>
      <c r="ILS84" s="0"/>
      <c r="ILT84" s="0"/>
      <c r="ILU84" s="0"/>
      <c r="ILV84" s="0"/>
      <c r="ILW84" s="0"/>
      <c r="ILX84" s="0"/>
      <c r="ILY84" s="0"/>
      <c r="ILZ84" s="0"/>
      <c r="IMA84" s="0"/>
      <c r="IMB84" s="0"/>
      <c r="IMC84" s="0"/>
      <c r="IMD84" s="0"/>
      <c r="IME84" s="0"/>
      <c r="IMF84" s="0"/>
      <c r="IMG84" s="0"/>
      <c r="IMH84" s="0"/>
      <c r="IMI84" s="0"/>
      <c r="IMJ84" s="0"/>
      <c r="IMK84" s="0"/>
      <c r="IML84" s="0"/>
      <c r="IMM84" s="0"/>
      <c r="IMN84" s="0"/>
      <c r="IMO84" s="0"/>
      <c r="IMP84" s="0"/>
      <c r="IMQ84" s="0"/>
      <c r="IMR84" s="0"/>
      <c r="IMS84" s="0"/>
      <c r="IMT84" s="0"/>
      <c r="IMU84" s="0"/>
      <c r="IMV84" s="0"/>
      <c r="IMW84" s="0"/>
      <c r="IMX84" s="0"/>
      <c r="IMY84" s="0"/>
      <c r="IMZ84" s="0"/>
      <c r="INA84" s="0"/>
      <c r="INB84" s="0"/>
      <c r="INC84" s="0"/>
      <c r="IND84" s="0"/>
      <c r="INE84" s="0"/>
      <c r="INF84" s="0"/>
      <c r="ING84" s="0"/>
      <c r="INH84" s="0"/>
      <c r="INI84" s="0"/>
      <c r="INJ84" s="0"/>
      <c r="INK84" s="0"/>
      <c r="INL84" s="0"/>
      <c r="INM84" s="0"/>
      <c r="INN84" s="0"/>
      <c r="INO84" s="0"/>
      <c r="INP84" s="0"/>
      <c r="INQ84" s="0"/>
      <c r="INR84" s="0"/>
      <c r="INS84" s="0"/>
      <c r="INT84" s="0"/>
      <c r="INU84" s="0"/>
      <c r="INV84" s="0"/>
      <c r="INW84" s="0"/>
      <c r="INX84" s="0"/>
      <c r="INY84" s="0"/>
      <c r="INZ84" s="0"/>
      <c r="IOA84" s="0"/>
      <c r="IOB84" s="0"/>
      <c r="IOC84" s="0"/>
      <c r="IOD84" s="0"/>
      <c r="IOE84" s="0"/>
      <c r="IOF84" s="0"/>
      <c r="IOG84" s="0"/>
      <c r="IOH84" s="0"/>
      <c r="IOI84" s="0"/>
      <c r="IOJ84" s="0"/>
      <c r="IOK84" s="0"/>
      <c r="IOL84" s="0"/>
      <c r="IOM84" s="0"/>
      <c r="ION84" s="0"/>
      <c r="IOO84" s="0"/>
      <c r="IOP84" s="0"/>
      <c r="IOQ84" s="0"/>
      <c r="IOR84" s="0"/>
      <c r="IOS84" s="0"/>
      <c r="IOT84" s="0"/>
      <c r="IOU84" s="0"/>
      <c r="IOV84" s="0"/>
      <c r="IOW84" s="0"/>
      <c r="IOX84" s="0"/>
      <c r="IOY84" s="0"/>
      <c r="IOZ84" s="0"/>
      <c r="IPA84" s="0"/>
      <c r="IPB84" s="0"/>
      <c r="IPC84" s="0"/>
      <c r="IPD84" s="0"/>
      <c r="IPE84" s="0"/>
      <c r="IPF84" s="0"/>
      <c r="IPG84" s="0"/>
      <c r="IPH84" s="0"/>
      <c r="IPI84" s="0"/>
      <c r="IPJ84" s="0"/>
      <c r="IPK84" s="0"/>
      <c r="IPL84" s="0"/>
      <c r="IPM84" s="0"/>
      <c r="IPN84" s="0"/>
      <c r="IPO84" s="0"/>
      <c r="IPP84" s="0"/>
      <c r="IPQ84" s="0"/>
      <c r="IPR84" s="0"/>
      <c r="IPS84" s="0"/>
      <c r="IPT84" s="0"/>
      <c r="IPU84" s="0"/>
      <c r="IPV84" s="0"/>
      <c r="IPW84" s="0"/>
      <c r="IPX84" s="0"/>
      <c r="IPY84" s="0"/>
      <c r="IPZ84" s="0"/>
      <c r="IQA84" s="0"/>
      <c r="IQB84" s="0"/>
      <c r="IQC84" s="0"/>
      <c r="IQD84" s="0"/>
      <c r="IQE84" s="0"/>
      <c r="IQF84" s="0"/>
      <c r="IQG84" s="0"/>
      <c r="IQH84" s="0"/>
      <c r="IQI84" s="0"/>
      <c r="IQJ84" s="0"/>
      <c r="IQK84" s="0"/>
      <c r="IQL84" s="0"/>
      <c r="IQM84" s="0"/>
      <c r="IQN84" s="0"/>
      <c r="IQO84" s="0"/>
      <c r="IQP84" s="0"/>
      <c r="IQQ84" s="0"/>
      <c r="IQR84" s="0"/>
      <c r="IQS84" s="0"/>
      <c r="IQT84" s="0"/>
      <c r="IQU84" s="0"/>
      <c r="IQV84" s="0"/>
      <c r="IQW84" s="0"/>
      <c r="IQX84" s="0"/>
      <c r="IQY84" s="0"/>
      <c r="IQZ84" s="0"/>
      <c r="IRA84" s="0"/>
      <c r="IRB84" s="0"/>
      <c r="IRC84" s="0"/>
      <c r="IRD84" s="0"/>
      <c r="IRE84" s="0"/>
      <c r="IRF84" s="0"/>
      <c r="IRG84" s="0"/>
      <c r="IRH84" s="0"/>
      <c r="IRI84" s="0"/>
      <c r="IRJ84" s="0"/>
      <c r="IRK84" s="0"/>
      <c r="IRL84" s="0"/>
      <c r="IRM84" s="0"/>
      <c r="IRN84" s="0"/>
      <c r="IRO84" s="0"/>
      <c r="IRP84" s="0"/>
      <c r="IRQ84" s="0"/>
      <c r="IRR84" s="0"/>
      <c r="IRS84" s="0"/>
      <c r="IRT84" s="0"/>
      <c r="IRU84" s="0"/>
      <c r="IRV84" s="0"/>
      <c r="IRW84" s="0"/>
      <c r="IRX84" s="0"/>
      <c r="IRY84" s="0"/>
      <c r="IRZ84" s="0"/>
      <c r="ISA84" s="0"/>
      <c r="ISB84" s="0"/>
      <c r="ISC84" s="0"/>
      <c r="ISD84" s="0"/>
      <c r="ISE84" s="0"/>
      <c r="ISF84" s="0"/>
      <c r="ISG84" s="0"/>
      <c r="ISH84" s="0"/>
      <c r="ISI84" s="0"/>
      <c r="ISJ84" s="0"/>
      <c r="ISK84" s="0"/>
      <c r="ISL84" s="0"/>
      <c r="ISM84" s="0"/>
      <c r="ISN84" s="0"/>
      <c r="ISO84" s="0"/>
      <c r="ISP84" s="0"/>
      <c r="ISQ84" s="0"/>
      <c r="ISR84" s="0"/>
      <c r="ISS84" s="0"/>
      <c r="IST84" s="0"/>
      <c r="ISU84" s="0"/>
      <c r="ISV84" s="0"/>
      <c r="ISW84" s="0"/>
      <c r="ISX84" s="0"/>
      <c r="ISY84" s="0"/>
      <c r="ISZ84" s="0"/>
      <c r="ITA84" s="0"/>
      <c r="ITB84" s="0"/>
      <c r="ITC84" s="0"/>
      <c r="ITD84" s="0"/>
      <c r="ITE84" s="0"/>
      <c r="ITF84" s="0"/>
      <c r="ITG84" s="0"/>
      <c r="ITH84" s="0"/>
      <c r="ITI84" s="0"/>
      <c r="ITJ84" s="0"/>
      <c r="ITK84" s="0"/>
      <c r="ITL84" s="0"/>
      <c r="ITM84" s="0"/>
      <c r="ITN84" s="0"/>
      <c r="ITO84" s="0"/>
      <c r="ITP84" s="0"/>
      <c r="ITQ84" s="0"/>
      <c r="ITR84" s="0"/>
      <c r="ITS84" s="0"/>
      <c r="ITT84" s="0"/>
      <c r="ITU84" s="0"/>
      <c r="ITV84" s="0"/>
      <c r="ITW84" s="0"/>
      <c r="ITX84" s="0"/>
      <c r="ITY84" s="0"/>
      <c r="ITZ84" s="0"/>
      <c r="IUA84" s="0"/>
      <c r="IUB84" s="0"/>
      <c r="IUC84" s="0"/>
      <c r="IUD84" s="0"/>
      <c r="IUE84" s="0"/>
      <c r="IUF84" s="0"/>
      <c r="IUG84" s="0"/>
      <c r="IUH84" s="0"/>
      <c r="IUI84" s="0"/>
      <c r="IUJ84" s="0"/>
      <c r="IUK84" s="0"/>
      <c r="IUL84" s="0"/>
      <c r="IUM84" s="0"/>
      <c r="IUN84" s="0"/>
      <c r="IUO84" s="0"/>
      <c r="IUP84" s="0"/>
      <c r="IUQ84" s="0"/>
      <c r="IUR84" s="0"/>
      <c r="IUS84" s="0"/>
      <c r="IUT84" s="0"/>
      <c r="IUU84" s="0"/>
      <c r="IUV84" s="0"/>
      <c r="IUW84" s="0"/>
      <c r="IUX84" s="0"/>
      <c r="IUY84" s="0"/>
      <c r="IUZ84" s="0"/>
      <c r="IVA84" s="0"/>
      <c r="IVB84" s="0"/>
      <c r="IVC84" s="0"/>
      <c r="IVD84" s="0"/>
      <c r="IVE84" s="0"/>
      <c r="IVF84" s="0"/>
      <c r="IVG84" s="0"/>
      <c r="IVH84" s="0"/>
      <c r="IVI84" s="0"/>
      <c r="IVJ84" s="0"/>
      <c r="IVK84" s="0"/>
      <c r="IVL84" s="0"/>
      <c r="IVM84" s="0"/>
      <c r="IVN84" s="0"/>
      <c r="IVO84" s="0"/>
      <c r="IVP84" s="0"/>
      <c r="IVQ84" s="0"/>
      <c r="IVR84" s="0"/>
      <c r="IVS84" s="0"/>
      <c r="IVT84" s="0"/>
      <c r="IVU84" s="0"/>
      <c r="IVV84" s="0"/>
      <c r="IVW84" s="0"/>
      <c r="IVX84" s="0"/>
      <c r="IVY84" s="0"/>
      <c r="IVZ84" s="0"/>
      <c r="IWA84" s="0"/>
      <c r="IWB84" s="0"/>
      <c r="IWC84" s="0"/>
      <c r="IWD84" s="0"/>
      <c r="IWE84" s="0"/>
      <c r="IWF84" s="0"/>
      <c r="IWG84" s="0"/>
      <c r="IWH84" s="0"/>
      <c r="IWI84" s="0"/>
      <c r="IWJ84" s="0"/>
      <c r="IWK84" s="0"/>
      <c r="IWL84" s="0"/>
      <c r="IWM84" s="0"/>
      <c r="IWN84" s="0"/>
      <c r="IWO84" s="0"/>
      <c r="IWP84" s="0"/>
      <c r="IWQ84" s="0"/>
      <c r="IWR84" s="0"/>
      <c r="IWS84" s="0"/>
      <c r="IWT84" s="0"/>
      <c r="IWU84" s="0"/>
      <c r="IWV84" s="0"/>
      <c r="IWW84" s="0"/>
      <c r="IWX84" s="0"/>
      <c r="IWY84" s="0"/>
      <c r="IWZ84" s="0"/>
      <c r="IXA84" s="0"/>
      <c r="IXB84" s="0"/>
      <c r="IXC84" s="0"/>
      <c r="IXD84" s="0"/>
      <c r="IXE84" s="0"/>
      <c r="IXF84" s="0"/>
      <c r="IXG84" s="0"/>
      <c r="IXH84" s="0"/>
      <c r="IXI84" s="0"/>
      <c r="IXJ84" s="0"/>
      <c r="IXK84" s="0"/>
      <c r="IXL84" s="0"/>
      <c r="IXM84" s="0"/>
      <c r="IXN84" s="0"/>
      <c r="IXO84" s="0"/>
      <c r="IXP84" s="0"/>
      <c r="IXQ84" s="0"/>
      <c r="IXR84" s="0"/>
      <c r="IXS84" s="0"/>
      <c r="IXT84" s="0"/>
      <c r="IXU84" s="0"/>
      <c r="IXV84" s="0"/>
      <c r="IXW84" s="0"/>
      <c r="IXX84" s="0"/>
      <c r="IXY84" s="0"/>
      <c r="IXZ84" s="0"/>
      <c r="IYA84" s="0"/>
      <c r="IYB84" s="0"/>
      <c r="IYC84" s="0"/>
      <c r="IYD84" s="0"/>
      <c r="IYE84" s="0"/>
      <c r="IYF84" s="0"/>
      <c r="IYG84" s="0"/>
      <c r="IYH84" s="0"/>
      <c r="IYI84" s="0"/>
      <c r="IYJ84" s="0"/>
      <c r="IYK84" s="0"/>
      <c r="IYL84" s="0"/>
      <c r="IYM84" s="0"/>
      <c r="IYN84" s="0"/>
      <c r="IYO84" s="0"/>
      <c r="IYP84" s="0"/>
      <c r="IYQ84" s="0"/>
      <c r="IYR84" s="0"/>
      <c r="IYS84" s="0"/>
      <c r="IYT84" s="0"/>
      <c r="IYU84" s="0"/>
      <c r="IYV84" s="0"/>
      <c r="IYW84" s="0"/>
      <c r="IYX84" s="0"/>
      <c r="IYY84" s="0"/>
      <c r="IYZ84" s="0"/>
      <c r="IZA84" s="0"/>
      <c r="IZB84" s="0"/>
      <c r="IZC84" s="0"/>
      <c r="IZD84" s="0"/>
      <c r="IZE84" s="0"/>
      <c r="IZF84" s="0"/>
      <c r="IZG84" s="0"/>
      <c r="IZH84" s="0"/>
      <c r="IZI84" s="0"/>
      <c r="IZJ84" s="0"/>
      <c r="IZK84" s="0"/>
      <c r="IZL84" s="0"/>
      <c r="IZM84" s="0"/>
      <c r="IZN84" s="0"/>
      <c r="IZO84" s="0"/>
      <c r="IZP84" s="0"/>
      <c r="IZQ84" s="0"/>
      <c r="IZR84" s="0"/>
      <c r="IZS84" s="0"/>
      <c r="IZT84" s="0"/>
      <c r="IZU84" s="0"/>
      <c r="IZV84" s="0"/>
      <c r="IZW84" s="0"/>
      <c r="IZX84" s="0"/>
      <c r="IZY84" s="0"/>
      <c r="IZZ84" s="0"/>
      <c r="JAA84" s="0"/>
      <c r="JAB84" s="0"/>
      <c r="JAC84" s="0"/>
      <c r="JAD84" s="0"/>
      <c r="JAE84" s="0"/>
      <c r="JAF84" s="0"/>
      <c r="JAG84" s="0"/>
      <c r="JAH84" s="0"/>
      <c r="JAI84" s="0"/>
      <c r="JAJ84" s="0"/>
      <c r="JAK84" s="0"/>
      <c r="JAL84" s="0"/>
      <c r="JAM84" s="0"/>
      <c r="JAN84" s="0"/>
      <c r="JAO84" s="0"/>
      <c r="JAP84" s="0"/>
      <c r="JAQ84" s="0"/>
      <c r="JAR84" s="0"/>
      <c r="JAS84" s="0"/>
      <c r="JAT84" s="0"/>
      <c r="JAU84" s="0"/>
      <c r="JAV84" s="0"/>
      <c r="JAW84" s="0"/>
      <c r="JAX84" s="0"/>
      <c r="JAY84" s="0"/>
      <c r="JAZ84" s="0"/>
      <c r="JBA84" s="0"/>
      <c r="JBB84" s="0"/>
      <c r="JBC84" s="0"/>
      <c r="JBD84" s="0"/>
      <c r="JBE84" s="0"/>
      <c r="JBF84" s="0"/>
      <c r="JBG84" s="0"/>
      <c r="JBH84" s="0"/>
      <c r="JBI84" s="0"/>
      <c r="JBJ84" s="0"/>
      <c r="JBK84" s="0"/>
      <c r="JBL84" s="0"/>
      <c r="JBM84" s="0"/>
      <c r="JBN84" s="0"/>
      <c r="JBO84" s="0"/>
      <c r="JBP84" s="0"/>
      <c r="JBQ84" s="0"/>
      <c r="JBR84" s="0"/>
      <c r="JBS84" s="0"/>
      <c r="JBT84" s="0"/>
      <c r="JBU84" s="0"/>
      <c r="JBV84" s="0"/>
      <c r="JBW84" s="0"/>
      <c r="JBX84" s="0"/>
      <c r="JBY84" s="0"/>
      <c r="JBZ84" s="0"/>
      <c r="JCA84" s="0"/>
      <c r="JCB84" s="0"/>
      <c r="JCC84" s="0"/>
      <c r="JCD84" s="0"/>
      <c r="JCE84" s="0"/>
      <c r="JCF84" s="0"/>
      <c r="JCG84" s="0"/>
      <c r="JCH84" s="0"/>
      <c r="JCI84" s="0"/>
      <c r="JCJ84" s="0"/>
      <c r="JCK84" s="0"/>
      <c r="JCL84" s="0"/>
      <c r="JCM84" s="0"/>
      <c r="JCN84" s="0"/>
      <c r="JCO84" s="0"/>
      <c r="JCP84" s="0"/>
      <c r="JCQ84" s="0"/>
      <c r="JCR84" s="0"/>
      <c r="JCS84" s="0"/>
      <c r="JCT84" s="0"/>
      <c r="JCU84" s="0"/>
      <c r="JCV84" s="0"/>
      <c r="JCW84" s="0"/>
      <c r="JCX84" s="0"/>
      <c r="JCY84" s="0"/>
      <c r="JCZ84" s="0"/>
      <c r="JDA84" s="0"/>
      <c r="JDB84" s="0"/>
      <c r="JDC84" s="0"/>
      <c r="JDD84" s="0"/>
      <c r="JDE84" s="0"/>
      <c r="JDF84" s="0"/>
      <c r="JDG84" s="0"/>
      <c r="JDH84" s="0"/>
      <c r="JDI84" s="0"/>
      <c r="JDJ84" s="0"/>
      <c r="JDK84" s="0"/>
      <c r="JDL84" s="0"/>
      <c r="JDM84" s="0"/>
      <c r="JDN84" s="0"/>
      <c r="JDO84" s="0"/>
      <c r="JDP84" s="0"/>
      <c r="JDQ84" s="0"/>
      <c r="JDR84" s="0"/>
      <c r="JDS84" s="0"/>
      <c r="JDT84" s="0"/>
      <c r="JDU84" s="0"/>
      <c r="JDV84" s="0"/>
      <c r="JDW84" s="0"/>
      <c r="JDX84" s="0"/>
      <c r="JDY84" s="0"/>
      <c r="JDZ84" s="0"/>
      <c r="JEA84" s="0"/>
      <c r="JEB84" s="0"/>
      <c r="JEC84" s="0"/>
      <c r="JED84" s="0"/>
      <c r="JEE84" s="0"/>
      <c r="JEF84" s="0"/>
      <c r="JEG84" s="0"/>
      <c r="JEH84" s="0"/>
      <c r="JEI84" s="0"/>
      <c r="JEJ84" s="0"/>
      <c r="JEK84" s="0"/>
      <c r="JEL84" s="0"/>
      <c r="JEM84" s="0"/>
      <c r="JEN84" s="0"/>
      <c r="JEO84" s="0"/>
      <c r="JEP84" s="0"/>
      <c r="JEQ84" s="0"/>
      <c r="JER84" s="0"/>
      <c r="JES84" s="0"/>
      <c r="JET84" s="0"/>
      <c r="JEU84" s="0"/>
      <c r="JEV84" s="0"/>
      <c r="JEW84" s="0"/>
      <c r="JEX84" s="0"/>
      <c r="JEY84" s="0"/>
      <c r="JEZ84" s="0"/>
      <c r="JFA84" s="0"/>
      <c r="JFB84" s="0"/>
      <c r="JFC84" s="0"/>
      <c r="JFD84" s="0"/>
      <c r="JFE84" s="0"/>
      <c r="JFF84" s="0"/>
      <c r="JFG84" s="0"/>
      <c r="JFH84" s="0"/>
      <c r="JFI84" s="0"/>
      <c r="JFJ84" s="0"/>
      <c r="JFK84" s="0"/>
      <c r="JFL84" s="0"/>
      <c r="JFM84" s="0"/>
      <c r="JFN84" s="0"/>
      <c r="JFO84" s="0"/>
      <c r="JFP84" s="0"/>
      <c r="JFQ84" s="0"/>
      <c r="JFR84" s="0"/>
      <c r="JFS84" s="0"/>
      <c r="JFT84" s="0"/>
      <c r="JFU84" s="0"/>
      <c r="JFV84" s="0"/>
      <c r="JFW84" s="0"/>
      <c r="JFX84" s="0"/>
      <c r="JFY84" s="0"/>
      <c r="JFZ84" s="0"/>
      <c r="JGA84" s="0"/>
      <c r="JGB84" s="0"/>
      <c r="JGC84" s="0"/>
      <c r="JGD84" s="0"/>
      <c r="JGE84" s="0"/>
      <c r="JGF84" s="0"/>
      <c r="JGG84" s="0"/>
      <c r="JGH84" s="0"/>
      <c r="JGI84" s="0"/>
      <c r="JGJ84" s="0"/>
      <c r="JGK84" s="0"/>
      <c r="JGL84" s="0"/>
      <c r="JGM84" s="0"/>
      <c r="JGN84" s="0"/>
      <c r="JGO84" s="0"/>
      <c r="JGP84" s="0"/>
      <c r="JGQ84" s="0"/>
      <c r="JGR84" s="0"/>
      <c r="JGS84" s="0"/>
      <c r="JGT84" s="0"/>
      <c r="JGU84" s="0"/>
      <c r="JGV84" s="0"/>
      <c r="JGW84" s="0"/>
      <c r="JGX84" s="0"/>
      <c r="JGY84" s="0"/>
      <c r="JGZ84" s="0"/>
      <c r="JHA84" s="0"/>
      <c r="JHB84" s="0"/>
      <c r="JHC84" s="0"/>
      <c r="JHD84" s="0"/>
      <c r="JHE84" s="0"/>
      <c r="JHF84" s="0"/>
      <c r="JHG84" s="0"/>
      <c r="JHH84" s="0"/>
      <c r="JHI84" s="0"/>
      <c r="JHJ84" s="0"/>
      <c r="JHK84" s="0"/>
      <c r="JHL84" s="0"/>
      <c r="JHM84" s="0"/>
      <c r="JHN84" s="0"/>
      <c r="JHO84" s="0"/>
      <c r="JHP84" s="0"/>
      <c r="JHQ84" s="0"/>
      <c r="JHR84" s="0"/>
      <c r="JHS84" s="0"/>
      <c r="JHT84" s="0"/>
      <c r="JHU84" s="0"/>
      <c r="JHV84" s="0"/>
      <c r="JHW84" s="0"/>
      <c r="JHX84" s="0"/>
      <c r="JHY84" s="0"/>
      <c r="JHZ84" s="0"/>
      <c r="JIA84" s="0"/>
      <c r="JIB84" s="0"/>
      <c r="JIC84" s="0"/>
      <c r="JID84" s="0"/>
      <c r="JIE84" s="0"/>
      <c r="JIF84" s="0"/>
      <c r="JIG84" s="0"/>
      <c r="JIH84" s="0"/>
      <c r="JII84" s="0"/>
      <c r="JIJ84" s="0"/>
      <c r="JIK84" s="0"/>
      <c r="JIL84" s="0"/>
      <c r="JIM84" s="0"/>
      <c r="JIN84" s="0"/>
      <c r="JIO84" s="0"/>
      <c r="JIP84" s="0"/>
      <c r="JIQ84" s="0"/>
      <c r="JIR84" s="0"/>
      <c r="JIS84" s="0"/>
      <c r="JIT84" s="0"/>
      <c r="JIU84" s="0"/>
      <c r="JIV84" s="0"/>
      <c r="JIW84" s="0"/>
      <c r="JIX84" s="0"/>
      <c r="JIY84" s="0"/>
      <c r="JIZ84" s="0"/>
      <c r="JJA84" s="0"/>
      <c r="JJB84" s="0"/>
      <c r="JJC84" s="0"/>
      <c r="JJD84" s="0"/>
      <c r="JJE84" s="0"/>
      <c r="JJF84" s="0"/>
      <c r="JJG84" s="0"/>
      <c r="JJH84" s="0"/>
      <c r="JJI84" s="0"/>
      <c r="JJJ84" s="0"/>
      <c r="JJK84" s="0"/>
      <c r="JJL84" s="0"/>
      <c r="JJM84" s="0"/>
      <c r="JJN84" s="0"/>
      <c r="JJO84" s="0"/>
      <c r="JJP84" s="0"/>
      <c r="JJQ84" s="0"/>
      <c r="JJR84" s="0"/>
      <c r="JJS84" s="0"/>
      <c r="JJT84" s="0"/>
      <c r="JJU84" s="0"/>
      <c r="JJV84" s="0"/>
      <c r="JJW84" s="0"/>
      <c r="JJX84" s="0"/>
      <c r="JJY84" s="0"/>
      <c r="JJZ84" s="0"/>
      <c r="JKA84" s="0"/>
      <c r="JKB84" s="0"/>
      <c r="JKC84" s="0"/>
      <c r="JKD84" s="0"/>
      <c r="JKE84" s="0"/>
      <c r="JKF84" s="0"/>
      <c r="JKG84" s="0"/>
      <c r="JKH84" s="0"/>
      <c r="JKI84" s="0"/>
      <c r="JKJ84" s="0"/>
      <c r="JKK84" s="0"/>
      <c r="JKL84" s="0"/>
      <c r="JKM84" s="0"/>
      <c r="JKN84" s="0"/>
      <c r="JKO84" s="0"/>
      <c r="JKP84" s="0"/>
      <c r="JKQ84" s="0"/>
      <c r="JKR84" s="0"/>
      <c r="JKS84" s="0"/>
      <c r="JKT84" s="0"/>
      <c r="JKU84" s="0"/>
      <c r="JKV84" s="0"/>
      <c r="JKW84" s="0"/>
      <c r="JKX84" s="0"/>
      <c r="JKY84" s="0"/>
      <c r="JKZ84" s="0"/>
      <c r="JLA84" s="0"/>
      <c r="JLB84" s="0"/>
      <c r="JLC84" s="0"/>
      <c r="JLD84" s="0"/>
      <c r="JLE84" s="0"/>
      <c r="JLF84" s="0"/>
      <c r="JLG84" s="0"/>
      <c r="JLH84" s="0"/>
      <c r="JLI84" s="0"/>
      <c r="JLJ84" s="0"/>
      <c r="JLK84" s="0"/>
      <c r="JLL84" s="0"/>
      <c r="JLM84" s="0"/>
      <c r="JLN84" s="0"/>
      <c r="JLO84" s="0"/>
      <c r="JLP84" s="0"/>
      <c r="JLQ84" s="0"/>
      <c r="JLR84" s="0"/>
      <c r="JLS84" s="0"/>
      <c r="JLT84" s="0"/>
      <c r="JLU84" s="0"/>
      <c r="JLV84" s="0"/>
      <c r="JLW84" s="0"/>
      <c r="JLX84" s="0"/>
      <c r="JLY84" s="0"/>
      <c r="JLZ84" s="0"/>
      <c r="JMA84" s="0"/>
      <c r="JMB84" s="0"/>
      <c r="JMC84" s="0"/>
      <c r="JMD84" s="0"/>
      <c r="JME84" s="0"/>
      <c r="JMF84" s="0"/>
      <c r="JMG84" s="0"/>
      <c r="JMH84" s="0"/>
      <c r="JMI84" s="0"/>
      <c r="JMJ84" s="0"/>
      <c r="JMK84" s="0"/>
      <c r="JML84" s="0"/>
      <c r="JMM84" s="0"/>
      <c r="JMN84" s="0"/>
      <c r="JMO84" s="0"/>
      <c r="JMP84" s="0"/>
      <c r="JMQ84" s="0"/>
      <c r="JMR84" s="0"/>
      <c r="JMS84" s="0"/>
      <c r="JMT84" s="0"/>
      <c r="JMU84" s="0"/>
      <c r="JMV84" s="0"/>
      <c r="JMW84" s="0"/>
      <c r="JMX84" s="0"/>
      <c r="JMY84" s="0"/>
      <c r="JMZ84" s="0"/>
      <c r="JNA84" s="0"/>
      <c r="JNB84" s="0"/>
      <c r="JNC84" s="0"/>
      <c r="JND84" s="0"/>
      <c r="JNE84" s="0"/>
      <c r="JNF84" s="0"/>
      <c r="JNG84" s="0"/>
      <c r="JNH84" s="0"/>
      <c r="JNI84" s="0"/>
      <c r="JNJ84" s="0"/>
      <c r="JNK84" s="0"/>
      <c r="JNL84" s="0"/>
      <c r="JNM84" s="0"/>
      <c r="JNN84" s="0"/>
      <c r="JNO84" s="0"/>
      <c r="JNP84" s="0"/>
      <c r="JNQ84" s="0"/>
      <c r="JNR84" s="0"/>
      <c r="JNS84" s="0"/>
      <c r="JNT84" s="0"/>
      <c r="JNU84" s="0"/>
      <c r="JNV84" s="0"/>
      <c r="JNW84" s="0"/>
      <c r="JNX84" s="0"/>
      <c r="JNY84" s="0"/>
      <c r="JNZ84" s="0"/>
      <c r="JOA84" s="0"/>
      <c r="JOB84" s="0"/>
      <c r="JOC84" s="0"/>
      <c r="JOD84" s="0"/>
      <c r="JOE84" s="0"/>
      <c r="JOF84" s="0"/>
      <c r="JOG84" s="0"/>
      <c r="JOH84" s="0"/>
      <c r="JOI84" s="0"/>
      <c r="JOJ84" s="0"/>
      <c r="JOK84" s="0"/>
      <c r="JOL84" s="0"/>
      <c r="JOM84" s="0"/>
      <c r="JON84" s="0"/>
      <c r="JOO84" s="0"/>
      <c r="JOP84" s="0"/>
      <c r="JOQ84" s="0"/>
      <c r="JOR84" s="0"/>
      <c r="JOS84" s="0"/>
      <c r="JOT84" s="0"/>
      <c r="JOU84" s="0"/>
      <c r="JOV84" s="0"/>
      <c r="JOW84" s="0"/>
      <c r="JOX84" s="0"/>
      <c r="JOY84" s="0"/>
      <c r="JOZ84" s="0"/>
      <c r="JPA84" s="0"/>
      <c r="JPB84" s="0"/>
      <c r="JPC84" s="0"/>
      <c r="JPD84" s="0"/>
      <c r="JPE84" s="0"/>
      <c r="JPF84" s="0"/>
      <c r="JPG84" s="0"/>
      <c r="JPH84" s="0"/>
      <c r="JPI84" s="0"/>
      <c r="JPJ84" s="0"/>
      <c r="JPK84" s="0"/>
      <c r="JPL84" s="0"/>
      <c r="JPM84" s="0"/>
      <c r="JPN84" s="0"/>
      <c r="JPO84" s="0"/>
      <c r="JPP84" s="0"/>
      <c r="JPQ84" s="0"/>
      <c r="JPR84" s="0"/>
      <c r="JPS84" s="0"/>
      <c r="JPT84" s="0"/>
      <c r="JPU84" s="0"/>
      <c r="JPV84" s="0"/>
      <c r="JPW84" s="0"/>
      <c r="JPX84" s="0"/>
      <c r="JPY84" s="0"/>
      <c r="JPZ84" s="0"/>
      <c r="JQA84" s="0"/>
      <c r="JQB84" s="0"/>
      <c r="JQC84" s="0"/>
      <c r="JQD84" s="0"/>
      <c r="JQE84" s="0"/>
      <c r="JQF84" s="0"/>
      <c r="JQG84" s="0"/>
      <c r="JQH84" s="0"/>
      <c r="JQI84" s="0"/>
      <c r="JQJ84" s="0"/>
      <c r="JQK84" s="0"/>
      <c r="JQL84" s="0"/>
      <c r="JQM84" s="0"/>
      <c r="JQN84" s="0"/>
      <c r="JQO84" s="0"/>
      <c r="JQP84" s="0"/>
      <c r="JQQ84" s="0"/>
      <c r="JQR84" s="0"/>
      <c r="JQS84" s="0"/>
      <c r="JQT84" s="0"/>
      <c r="JQU84" s="0"/>
      <c r="JQV84" s="0"/>
      <c r="JQW84" s="0"/>
      <c r="JQX84" s="0"/>
      <c r="JQY84" s="0"/>
      <c r="JQZ84" s="0"/>
      <c r="JRA84" s="0"/>
      <c r="JRB84" s="0"/>
      <c r="JRC84" s="0"/>
      <c r="JRD84" s="0"/>
      <c r="JRE84" s="0"/>
      <c r="JRF84" s="0"/>
      <c r="JRG84" s="0"/>
      <c r="JRH84" s="0"/>
      <c r="JRI84" s="0"/>
      <c r="JRJ84" s="0"/>
      <c r="JRK84" s="0"/>
      <c r="JRL84" s="0"/>
      <c r="JRM84" s="0"/>
      <c r="JRN84" s="0"/>
      <c r="JRO84" s="0"/>
      <c r="JRP84" s="0"/>
      <c r="JRQ84" s="0"/>
      <c r="JRR84" s="0"/>
      <c r="JRS84" s="0"/>
      <c r="JRT84" s="0"/>
      <c r="JRU84" s="0"/>
      <c r="JRV84" s="0"/>
      <c r="JRW84" s="0"/>
      <c r="JRX84" s="0"/>
      <c r="JRY84" s="0"/>
      <c r="JRZ84" s="0"/>
      <c r="JSA84" s="0"/>
      <c r="JSB84" s="0"/>
      <c r="JSC84" s="0"/>
      <c r="JSD84" s="0"/>
      <c r="JSE84" s="0"/>
      <c r="JSF84" s="0"/>
      <c r="JSG84" s="0"/>
      <c r="JSH84" s="0"/>
      <c r="JSI84" s="0"/>
      <c r="JSJ84" s="0"/>
      <c r="JSK84" s="0"/>
      <c r="JSL84" s="0"/>
      <c r="JSM84" s="0"/>
      <c r="JSN84" s="0"/>
      <c r="JSO84" s="0"/>
      <c r="JSP84" s="0"/>
      <c r="JSQ84" s="0"/>
      <c r="JSR84" s="0"/>
      <c r="JSS84" s="0"/>
      <c r="JST84" s="0"/>
      <c r="JSU84" s="0"/>
      <c r="JSV84" s="0"/>
      <c r="JSW84" s="0"/>
      <c r="JSX84" s="0"/>
      <c r="JSY84" s="0"/>
      <c r="JSZ84" s="0"/>
      <c r="JTA84" s="0"/>
      <c r="JTB84" s="0"/>
      <c r="JTC84" s="0"/>
      <c r="JTD84" s="0"/>
      <c r="JTE84" s="0"/>
      <c r="JTF84" s="0"/>
      <c r="JTG84" s="0"/>
      <c r="JTH84" s="0"/>
      <c r="JTI84" s="0"/>
      <c r="JTJ84" s="0"/>
      <c r="JTK84" s="0"/>
      <c r="JTL84" s="0"/>
      <c r="JTM84" s="0"/>
      <c r="JTN84" s="0"/>
      <c r="JTO84" s="0"/>
      <c r="JTP84" s="0"/>
      <c r="JTQ84" s="0"/>
      <c r="JTR84" s="0"/>
      <c r="JTS84" s="0"/>
      <c r="JTT84" s="0"/>
      <c r="JTU84" s="0"/>
      <c r="JTV84" s="0"/>
      <c r="JTW84" s="0"/>
      <c r="JTX84" s="0"/>
      <c r="JTY84" s="0"/>
      <c r="JTZ84" s="0"/>
      <c r="JUA84" s="0"/>
      <c r="JUB84" s="0"/>
      <c r="JUC84" s="0"/>
      <c r="JUD84" s="0"/>
      <c r="JUE84" s="0"/>
      <c r="JUF84" s="0"/>
      <c r="JUG84" s="0"/>
      <c r="JUH84" s="0"/>
      <c r="JUI84" s="0"/>
      <c r="JUJ84" s="0"/>
      <c r="JUK84" s="0"/>
      <c r="JUL84" s="0"/>
      <c r="JUM84" s="0"/>
      <c r="JUN84" s="0"/>
      <c r="JUO84" s="0"/>
      <c r="JUP84" s="0"/>
      <c r="JUQ84" s="0"/>
      <c r="JUR84" s="0"/>
      <c r="JUS84" s="0"/>
      <c r="JUT84" s="0"/>
      <c r="JUU84" s="0"/>
      <c r="JUV84" s="0"/>
      <c r="JUW84" s="0"/>
      <c r="JUX84" s="0"/>
      <c r="JUY84" s="0"/>
      <c r="JUZ84" s="0"/>
      <c r="JVA84" s="0"/>
      <c r="JVB84" s="0"/>
      <c r="JVC84" s="0"/>
      <c r="JVD84" s="0"/>
      <c r="JVE84" s="0"/>
      <c r="JVF84" s="0"/>
      <c r="JVG84" s="0"/>
      <c r="JVH84" s="0"/>
      <c r="JVI84" s="0"/>
      <c r="JVJ84" s="0"/>
      <c r="JVK84" s="0"/>
      <c r="JVL84" s="0"/>
      <c r="JVM84" s="0"/>
      <c r="JVN84" s="0"/>
      <c r="JVO84" s="0"/>
      <c r="JVP84" s="0"/>
      <c r="JVQ84" s="0"/>
      <c r="JVR84" s="0"/>
      <c r="JVS84" s="0"/>
      <c r="JVT84" s="0"/>
      <c r="JVU84" s="0"/>
      <c r="JVV84" s="0"/>
      <c r="JVW84" s="0"/>
      <c r="JVX84" s="0"/>
      <c r="JVY84" s="0"/>
      <c r="JVZ84" s="0"/>
      <c r="JWA84" s="0"/>
      <c r="JWB84" s="0"/>
      <c r="JWC84" s="0"/>
      <c r="JWD84" s="0"/>
      <c r="JWE84" s="0"/>
      <c r="JWF84" s="0"/>
      <c r="JWG84" s="0"/>
      <c r="JWH84" s="0"/>
      <c r="JWI84" s="0"/>
      <c r="JWJ84" s="0"/>
      <c r="JWK84" s="0"/>
      <c r="JWL84" s="0"/>
      <c r="JWM84" s="0"/>
      <c r="JWN84" s="0"/>
      <c r="JWO84" s="0"/>
      <c r="JWP84" s="0"/>
      <c r="JWQ84" s="0"/>
      <c r="JWR84" s="0"/>
      <c r="JWS84" s="0"/>
      <c r="JWT84" s="0"/>
      <c r="JWU84" s="0"/>
      <c r="JWV84" s="0"/>
      <c r="JWW84" s="0"/>
      <c r="JWX84" s="0"/>
      <c r="JWY84" s="0"/>
      <c r="JWZ84" s="0"/>
      <c r="JXA84" s="0"/>
      <c r="JXB84" s="0"/>
      <c r="JXC84" s="0"/>
      <c r="JXD84" s="0"/>
      <c r="JXE84" s="0"/>
      <c r="JXF84" s="0"/>
      <c r="JXG84" s="0"/>
      <c r="JXH84" s="0"/>
      <c r="JXI84" s="0"/>
      <c r="JXJ84" s="0"/>
      <c r="JXK84" s="0"/>
      <c r="JXL84" s="0"/>
      <c r="JXM84" s="0"/>
      <c r="JXN84" s="0"/>
      <c r="JXO84" s="0"/>
      <c r="JXP84" s="0"/>
      <c r="JXQ84" s="0"/>
      <c r="JXR84" s="0"/>
      <c r="JXS84" s="0"/>
      <c r="JXT84" s="0"/>
      <c r="JXU84" s="0"/>
      <c r="JXV84" s="0"/>
      <c r="JXW84" s="0"/>
      <c r="JXX84" s="0"/>
      <c r="JXY84" s="0"/>
      <c r="JXZ84" s="0"/>
      <c r="JYA84" s="0"/>
      <c r="JYB84" s="0"/>
      <c r="JYC84" s="0"/>
      <c r="JYD84" s="0"/>
      <c r="JYE84" s="0"/>
      <c r="JYF84" s="0"/>
      <c r="JYG84" s="0"/>
      <c r="JYH84" s="0"/>
      <c r="JYI84" s="0"/>
      <c r="JYJ84" s="0"/>
      <c r="JYK84" s="0"/>
      <c r="JYL84" s="0"/>
      <c r="JYM84" s="0"/>
      <c r="JYN84" s="0"/>
      <c r="JYO84" s="0"/>
      <c r="JYP84" s="0"/>
      <c r="JYQ84" s="0"/>
      <c r="JYR84" s="0"/>
      <c r="JYS84" s="0"/>
      <c r="JYT84" s="0"/>
      <c r="JYU84" s="0"/>
      <c r="JYV84" s="0"/>
      <c r="JYW84" s="0"/>
      <c r="JYX84" s="0"/>
      <c r="JYY84" s="0"/>
      <c r="JYZ84" s="0"/>
      <c r="JZA84" s="0"/>
      <c r="JZB84" s="0"/>
      <c r="JZC84" s="0"/>
      <c r="JZD84" s="0"/>
      <c r="JZE84" s="0"/>
      <c r="JZF84" s="0"/>
      <c r="JZG84" s="0"/>
      <c r="JZH84" s="0"/>
      <c r="JZI84" s="0"/>
      <c r="JZJ84" s="0"/>
      <c r="JZK84" s="0"/>
      <c r="JZL84" s="0"/>
      <c r="JZM84" s="0"/>
      <c r="JZN84" s="0"/>
      <c r="JZO84" s="0"/>
      <c r="JZP84" s="0"/>
      <c r="JZQ84" s="0"/>
      <c r="JZR84" s="0"/>
      <c r="JZS84" s="0"/>
      <c r="JZT84" s="0"/>
      <c r="JZU84" s="0"/>
      <c r="JZV84" s="0"/>
      <c r="JZW84" s="0"/>
      <c r="JZX84" s="0"/>
      <c r="JZY84" s="0"/>
      <c r="JZZ84" s="0"/>
      <c r="KAA84" s="0"/>
      <c r="KAB84" s="0"/>
      <c r="KAC84" s="0"/>
      <c r="KAD84" s="0"/>
      <c r="KAE84" s="0"/>
      <c r="KAF84" s="0"/>
      <c r="KAG84" s="0"/>
      <c r="KAH84" s="0"/>
      <c r="KAI84" s="0"/>
      <c r="KAJ84" s="0"/>
      <c r="KAK84" s="0"/>
      <c r="KAL84" s="0"/>
      <c r="KAM84" s="0"/>
      <c r="KAN84" s="0"/>
      <c r="KAO84" s="0"/>
      <c r="KAP84" s="0"/>
      <c r="KAQ84" s="0"/>
      <c r="KAR84" s="0"/>
      <c r="KAS84" s="0"/>
      <c r="KAT84" s="0"/>
      <c r="KAU84" s="0"/>
      <c r="KAV84" s="0"/>
      <c r="KAW84" s="0"/>
      <c r="KAX84" s="0"/>
      <c r="KAY84" s="0"/>
      <c r="KAZ84" s="0"/>
      <c r="KBA84" s="0"/>
      <c r="KBB84" s="0"/>
      <c r="KBC84" s="0"/>
      <c r="KBD84" s="0"/>
      <c r="KBE84" s="0"/>
      <c r="KBF84" s="0"/>
      <c r="KBG84" s="0"/>
      <c r="KBH84" s="0"/>
      <c r="KBI84" s="0"/>
      <c r="KBJ84" s="0"/>
      <c r="KBK84" s="0"/>
      <c r="KBL84" s="0"/>
      <c r="KBM84" s="0"/>
      <c r="KBN84" s="0"/>
      <c r="KBO84" s="0"/>
      <c r="KBP84" s="0"/>
      <c r="KBQ84" s="0"/>
      <c r="KBR84" s="0"/>
      <c r="KBS84" s="0"/>
      <c r="KBT84" s="0"/>
      <c r="KBU84" s="0"/>
      <c r="KBV84" s="0"/>
      <c r="KBW84" s="0"/>
      <c r="KBX84" s="0"/>
      <c r="KBY84" s="0"/>
      <c r="KBZ84" s="0"/>
      <c r="KCA84" s="0"/>
      <c r="KCB84" s="0"/>
      <c r="KCC84" s="0"/>
      <c r="KCD84" s="0"/>
      <c r="KCE84" s="0"/>
      <c r="KCF84" s="0"/>
      <c r="KCG84" s="0"/>
      <c r="KCH84" s="0"/>
      <c r="KCI84" s="0"/>
      <c r="KCJ84" s="0"/>
      <c r="KCK84" s="0"/>
      <c r="KCL84" s="0"/>
      <c r="KCM84" s="0"/>
      <c r="KCN84" s="0"/>
      <c r="KCO84" s="0"/>
      <c r="KCP84" s="0"/>
      <c r="KCQ84" s="0"/>
      <c r="KCR84" s="0"/>
      <c r="KCS84" s="0"/>
      <c r="KCT84" s="0"/>
      <c r="KCU84" s="0"/>
      <c r="KCV84" s="0"/>
      <c r="KCW84" s="0"/>
      <c r="KCX84" s="0"/>
      <c r="KCY84" s="0"/>
      <c r="KCZ84" s="0"/>
      <c r="KDA84" s="0"/>
      <c r="KDB84" s="0"/>
      <c r="KDC84" s="0"/>
      <c r="KDD84" s="0"/>
      <c r="KDE84" s="0"/>
      <c r="KDF84" s="0"/>
      <c r="KDG84" s="0"/>
      <c r="KDH84" s="0"/>
      <c r="KDI84" s="0"/>
      <c r="KDJ84" s="0"/>
      <c r="KDK84" s="0"/>
      <c r="KDL84" s="0"/>
      <c r="KDM84" s="0"/>
      <c r="KDN84" s="0"/>
      <c r="KDO84" s="0"/>
      <c r="KDP84" s="0"/>
      <c r="KDQ84" s="0"/>
      <c r="KDR84" s="0"/>
      <c r="KDS84" s="0"/>
      <c r="KDT84" s="0"/>
      <c r="KDU84" s="0"/>
      <c r="KDV84" s="0"/>
      <c r="KDW84" s="0"/>
      <c r="KDX84" s="0"/>
      <c r="KDY84" s="0"/>
      <c r="KDZ84" s="0"/>
      <c r="KEA84" s="0"/>
      <c r="KEB84" s="0"/>
      <c r="KEC84" s="0"/>
      <c r="KED84" s="0"/>
      <c r="KEE84" s="0"/>
      <c r="KEF84" s="0"/>
      <c r="KEG84" s="0"/>
      <c r="KEH84" s="0"/>
      <c r="KEI84" s="0"/>
      <c r="KEJ84" s="0"/>
      <c r="KEK84" s="0"/>
      <c r="KEL84" s="0"/>
      <c r="KEM84" s="0"/>
      <c r="KEN84" s="0"/>
      <c r="KEO84" s="0"/>
      <c r="KEP84" s="0"/>
      <c r="KEQ84" s="0"/>
      <c r="KER84" s="0"/>
      <c r="KES84" s="0"/>
      <c r="KET84" s="0"/>
      <c r="KEU84" s="0"/>
      <c r="KEV84" s="0"/>
      <c r="KEW84" s="0"/>
      <c r="KEX84" s="0"/>
      <c r="KEY84" s="0"/>
      <c r="KEZ84" s="0"/>
      <c r="KFA84" s="0"/>
      <c r="KFB84" s="0"/>
      <c r="KFC84" s="0"/>
      <c r="KFD84" s="0"/>
      <c r="KFE84" s="0"/>
      <c r="KFF84" s="0"/>
      <c r="KFG84" s="0"/>
      <c r="KFH84" s="0"/>
      <c r="KFI84" s="0"/>
      <c r="KFJ84" s="0"/>
      <c r="KFK84" s="0"/>
      <c r="KFL84" s="0"/>
      <c r="KFM84" s="0"/>
      <c r="KFN84" s="0"/>
      <c r="KFO84" s="0"/>
      <c r="KFP84" s="0"/>
      <c r="KFQ84" s="0"/>
      <c r="KFR84" s="0"/>
      <c r="KFS84" s="0"/>
      <c r="KFT84" s="0"/>
      <c r="KFU84" s="0"/>
      <c r="KFV84" s="0"/>
      <c r="KFW84" s="0"/>
      <c r="KFX84" s="0"/>
      <c r="KFY84" s="0"/>
      <c r="KFZ84" s="0"/>
      <c r="KGA84" s="0"/>
      <c r="KGB84" s="0"/>
      <c r="KGC84" s="0"/>
      <c r="KGD84" s="0"/>
      <c r="KGE84" s="0"/>
      <c r="KGF84" s="0"/>
      <c r="KGG84" s="0"/>
      <c r="KGH84" s="0"/>
      <c r="KGI84" s="0"/>
      <c r="KGJ84" s="0"/>
      <c r="KGK84" s="0"/>
      <c r="KGL84" s="0"/>
      <c r="KGM84" s="0"/>
      <c r="KGN84" s="0"/>
      <c r="KGO84" s="0"/>
      <c r="KGP84" s="0"/>
      <c r="KGQ84" s="0"/>
      <c r="KGR84" s="0"/>
      <c r="KGS84" s="0"/>
      <c r="KGT84" s="0"/>
      <c r="KGU84" s="0"/>
      <c r="KGV84" s="0"/>
      <c r="KGW84" s="0"/>
      <c r="KGX84" s="0"/>
      <c r="KGY84" s="0"/>
      <c r="KGZ84" s="0"/>
      <c r="KHA84" s="0"/>
      <c r="KHB84" s="0"/>
      <c r="KHC84" s="0"/>
      <c r="KHD84" s="0"/>
      <c r="KHE84" s="0"/>
      <c r="KHF84" s="0"/>
      <c r="KHG84" s="0"/>
      <c r="KHH84" s="0"/>
      <c r="KHI84" s="0"/>
      <c r="KHJ84" s="0"/>
      <c r="KHK84" s="0"/>
      <c r="KHL84" s="0"/>
      <c r="KHM84" s="0"/>
      <c r="KHN84" s="0"/>
      <c r="KHO84" s="0"/>
      <c r="KHP84" s="0"/>
      <c r="KHQ84" s="0"/>
      <c r="KHR84" s="0"/>
      <c r="KHS84" s="0"/>
      <c r="KHT84" s="0"/>
      <c r="KHU84" s="0"/>
      <c r="KHV84" s="0"/>
      <c r="KHW84" s="0"/>
      <c r="KHX84" s="0"/>
      <c r="KHY84" s="0"/>
      <c r="KHZ84" s="0"/>
      <c r="KIA84" s="0"/>
      <c r="KIB84" s="0"/>
      <c r="KIC84" s="0"/>
      <c r="KID84" s="0"/>
      <c r="KIE84" s="0"/>
      <c r="KIF84" s="0"/>
      <c r="KIG84" s="0"/>
      <c r="KIH84" s="0"/>
      <c r="KII84" s="0"/>
      <c r="KIJ84" s="0"/>
      <c r="KIK84" s="0"/>
      <c r="KIL84" s="0"/>
      <c r="KIM84" s="0"/>
      <c r="KIN84" s="0"/>
      <c r="KIO84" s="0"/>
      <c r="KIP84" s="0"/>
      <c r="KIQ84" s="0"/>
      <c r="KIR84" s="0"/>
      <c r="KIS84" s="0"/>
      <c r="KIT84" s="0"/>
      <c r="KIU84" s="0"/>
      <c r="KIV84" s="0"/>
      <c r="KIW84" s="0"/>
      <c r="KIX84" s="0"/>
      <c r="KIY84" s="0"/>
      <c r="KIZ84" s="0"/>
      <c r="KJA84" s="0"/>
      <c r="KJB84" s="0"/>
      <c r="KJC84" s="0"/>
      <c r="KJD84" s="0"/>
      <c r="KJE84" s="0"/>
      <c r="KJF84" s="0"/>
      <c r="KJG84" s="0"/>
      <c r="KJH84" s="0"/>
      <c r="KJI84" s="0"/>
      <c r="KJJ84" s="0"/>
      <c r="KJK84" s="0"/>
      <c r="KJL84" s="0"/>
      <c r="KJM84" s="0"/>
      <c r="KJN84" s="0"/>
      <c r="KJO84" s="0"/>
      <c r="KJP84" s="0"/>
      <c r="KJQ84" s="0"/>
      <c r="KJR84" s="0"/>
      <c r="KJS84" s="0"/>
      <c r="KJT84" s="0"/>
      <c r="KJU84" s="0"/>
      <c r="KJV84" s="0"/>
      <c r="KJW84" s="0"/>
      <c r="KJX84" s="0"/>
      <c r="KJY84" s="0"/>
      <c r="KJZ84" s="0"/>
      <c r="KKA84" s="0"/>
      <c r="KKB84" s="0"/>
      <c r="KKC84" s="0"/>
      <c r="KKD84" s="0"/>
      <c r="KKE84" s="0"/>
      <c r="KKF84" s="0"/>
      <c r="KKG84" s="0"/>
      <c r="KKH84" s="0"/>
      <c r="KKI84" s="0"/>
      <c r="KKJ84" s="0"/>
      <c r="KKK84" s="0"/>
      <c r="KKL84" s="0"/>
      <c r="KKM84" s="0"/>
      <c r="KKN84" s="0"/>
      <c r="KKO84" s="0"/>
      <c r="KKP84" s="0"/>
      <c r="KKQ84" s="0"/>
      <c r="KKR84" s="0"/>
      <c r="KKS84" s="0"/>
      <c r="KKT84" s="0"/>
      <c r="KKU84" s="0"/>
      <c r="KKV84" s="0"/>
      <c r="KKW84" s="0"/>
      <c r="KKX84" s="0"/>
      <c r="KKY84" s="0"/>
      <c r="KKZ84" s="0"/>
      <c r="KLA84" s="0"/>
      <c r="KLB84" s="0"/>
      <c r="KLC84" s="0"/>
      <c r="KLD84" s="0"/>
      <c r="KLE84" s="0"/>
      <c r="KLF84" s="0"/>
      <c r="KLG84" s="0"/>
      <c r="KLH84" s="0"/>
      <c r="KLI84" s="0"/>
      <c r="KLJ84" s="0"/>
      <c r="KLK84" s="0"/>
      <c r="KLL84" s="0"/>
      <c r="KLM84" s="0"/>
      <c r="KLN84" s="0"/>
      <c r="KLO84" s="0"/>
      <c r="KLP84" s="0"/>
      <c r="KLQ84" s="0"/>
      <c r="KLR84" s="0"/>
      <c r="KLS84" s="0"/>
      <c r="KLT84" s="0"/>
      <c r="KLU84" s="0"/>
      <c r="KLV84" s="0"/>
      <c r="KLW84" s="0"/>
      <c r="KLX84" s="0"/>
      <c r="KLY84" s="0"/>
      <c r="KLZ84" s="0"/>
      <c r="KMA84" s="0"/>
      <c r="KMB84" s="0"/>
      <c r="KMC84" s="0"/>
      <c r="KMD84" s="0"/>
      <c r="KME84" s="0"/>
      <c r="KMF84" s="0"/>
      <c r="KMG84" s="0"/>
      <c r="KMH84" s="0"/>
      <c r="KMI84" s="0"/>
      <c r="KMJ84" s="0"/>
      <c r="KMK84" s="0"/>
      <c r="KML84" s="0"/>
      <c r="KMM84" s="0"/>
      <c r="KMN84" s="0"/>
      <c r="KMO84" s="0"/>
      <c r="KMP84" s="0"/>
      <c r="KMQ84" s="0"/>
      <c r="KMR84" s="0"/>
      <c r="KMS84" s="0"/>
      <c r="KMT84" s="0"/>
      <c r="KMU84" s="0"/>
      <c r="KMV84" s="0"/>
      <c r="KMW84" s="0"/>
      <c r="KMX84" s="0"/>
      <c r="KMY84" s="0"/>
      <c r="KMZ84" s="0"/>
      <c r="KNA84" s="0"/>
      <c r="KNB84" s="0"/>
      <c r="KNC84" s="0"/>
      <c r="KND84" s="0"/>
      <c r="KNE84" s="0"/>
      <c r="KNF84" s="0"/>
      <c r="KNG84" s="0"/>
      <c r="KNH84" s="0"/>
      <c r="KNI84" s="0"/>
      <c r="KNJ84" s="0"/>
      <c r="KNK84" s="0"/>
      <c r="KNL84" s="0"/>
      <c r="KNM84" s="0"/>
      <c r="KNN84" s="0"/>
      <c r="KNO84" s="0"/>
      <c r="KNP84" s="0"/>
      <c r="KNQ84" s="0"/>
      <c r="KNR84" s="0"/>
      <c r="KNS84" s="0"/>
      <c r="KNT84" s="0"/>
      <c r="KNU84" s="0"/>
      <c r="KNV84" s="0"/>
      <c r="KNW84" s="0"/>
      <c r="KNX84" s="0"/>
      <c r="KNY84" s="0"/>
      <c r="KNZ84" s="0"/>
      <c r="KOA84" s="0"/>
      <c r="KOB84" s="0"/>
      <c r="KOC84" s="0"/>
      <c r="KOD84" s="0"/>
      <c r="KOE84" s="0"/>
      <c r="KOF84" s="0"/>
      <c r="KOG84" s="0"/>
      <c r="KOH84" s="0"/>
      <c r="KOI84" s="0"/>
      <c r="KOJ84" s="0"/>
      <c r="KOK84" s="0"/>
      <c r="KOL84" s="0"/>
      <c r="KOM84" s="0"/>
      <c r="KON84" s="0"/>
      <c r="KOO84" s="0"/>
      <c r="KOP84" s="0"/>
      <c r="KOQ84" s="0"/>
      <c r="KOR84" s="0"/>
      <c r="KOS84" s="0"/>
      <c r="KOT84" s="0"/>
      <c r="KOU84" s="0"/>
      <c r="KOV84" s="0"/>
      <c r="KOW84" s="0"/>
      <c r="KOX84" s="0"/>
      <c r="KOY84" s="0"/>
      <c r="KOZ84" s="0"/>
      <c r="KPA84" s="0"/>
      <c r="KPB84" s="0"/>
      <c r="KPC84" s="0"/>
      <c r="KPD84" s="0"/>
      <c r="KPE84" s="0"/>
      <c r="KPF84" s="0"/>
      <c r="KPG84" s="0"/>
      <c r="KPH84" s="0"/>
      <c r="KPI84" s="0"/>
      <c r="KPJ84" s="0"/>
      <c r="KPK84" s="0"/>
      <c r="KPL84" s="0"/>
      <c r="KPM84" s="0"/>
      <c r="KPN84" s="0"/>
      <c r="KPO84" s="0"/>
      <c r="KPP84" s="0"/>
      <c r="KPQ84" s="0"/>
      <c r="KPR84" s="0"/>
      <c r="KPS84" s="0"/>
      <c r="KPT84" s="0"/>
      <c r="KPU84" s="0"/>
      <c r="KPV84" s="0"/>
      <c r="KPW84" s="0"/>
      <c r="KPX84" s="0"/>
      <c r="KPY84" s="0"/>
      <c r="KPZ84" s="0"/>
      <c r="KQA84" s="0"/>
      <c r="KQB84" s="0"/>
      <c r="KQC84" s="0"/>
      <c r="KQD84" s="0"/>
      <c r="KQE84" s="0"/>
      <c r="KQF84" s="0"/>
      <c r="KQG84" s="0"/>
      <c r="KQH84" s="0"/>
      <c r="KQI84" s="0"/>
      <c r="KQJ84" s="0"/>
      <c r="KQK84" s="0"/>
      <c r="KQL84" s="0"/>
      <c r="KQM84" s="0"/>
      <c r="KQN84" s="0"/>
      <c r="KQO84" s="0"/>
      <c r="KQP84" s="0"/>
      <c r="KQQ84" s="0"/>
      <c r="KQR84" s="0"/>
      <c r="KQS84" s="0"/>
      <c r="KQT84" s="0"/>
      <c r="KQU84" s="0"/>
      <c r="KQV84" s="0"/>
      <c r="KQW84" s="0"/>
      <c r="KQX84" s="0"/>
      <c r="KQY84" s="0"/>
      <c r="KQZ84" s="0"/>
      <c r="KRA84" s="0"/>
      <c r="KRB84" s="0"/>
      <c r="KRC84" s="0"/>
      <c r="KRD84" s="0"/>
      <c r="KRE84" s="0"/>
      <c r="KRF84" s="0"/>
      <c r="KRG84" s="0"/>
      <c r="KRH84" s="0"/>
      <c r="KRI84" s="0"/>
      <c r="KRJ84" s="0"/>
      <c r="KRK84" s="0"/>
      <c r="KRL84" s="0"/>
      <c r="KRM84" s="0"/>
      <c r="KRN84" s="0"/>
      <c r="KRO84" s="0"/>
      <c r="KRP84" s="0"/>
      <c r="KRQ84" s="0"/>
      <c r="KRR84" s="0"/>
      <c r="KRS84" s="0"/>
      <c r="KRT84" s="0"/>
      <c r="KRU84" s="0"/>
      <c r="KRV84" s="0"/>
      <c r="KRW84" s="0"/>
      <c r="KRX84" s="0"/>
      <c r="KRY84" s="0"/>
      <c r="KRZ84" s="0"/>
      <c r="KSA84" s="0"/>
      <c r="KSB84" s="0"/>
      <c r="KSC84" s="0"/>
      <c r="KSD84" s="0"/>
      <c r="KSE84" s="0"/>
      <c r="KSF84" s="0"/>
      <c r="KSG84" s="0"/>
      <c r="KSH84" s="0"/>
      <c r="KSI84" s="0"/>
      <c r="KSJ84" s="0"/>
      <c r="KSK84" s="0"/>
      <c r="KSL84" s="0"/>
      <c r="KSM84" s="0"/>
      <c r="KSN84" s="0"/>
      <c r="KSO84" s="0"/>
      <c r="KSP84" s="0"/>
      <c r="KSQ84" s="0"/>
      <c r="KSR84" s="0"/>
      <c r="KSS84" s="0"/>
      <c r="KST84" s="0"/>
      <c r="KSU84" s="0"/>
      <c r="KSV84" s="0"/>
      <c r="KSW84" s="0"/>
      <c r="KSX84" s="0"/>
      <c r="KSY84" s="0"/>
      <c r="KSZ84" s="0"/>
      <c r="KTA84" s="0"/>
      <c r="KTB84" s="0"/>
      <c r="KTC84" s="0"/>
      <c r="KTD84" s="0"/>
      <c r="KTE84" s="0"/>
      <c r="KTF84" s="0"/>
      <c r="KTG84" s="0"/>
      <c r="KTH84" s="0"/>
      <c r="KTI84" s="0"/>
      <c r="KTJ84" s="0"/>
      <c r="KTK84" s="0"/>
      <c r="KTL84" s="0"/>
      <c r="KTM84" s="0"/>
      <c r="KTN84" s="0"/>
      <c r="KTO84" s="0"/>
      <c r="KTP84" s="0"/>
      <c r="KTQ84" s="0"/>
      <c r="KTR84" s="0"/>
      <c r="KTS84" s="0"/>
      <c r="KTT84" s="0"/>
      <c r="KTU84" s="0"/>
      <c r="KTV84" s="0"/>
      <c r="KTW84" s="0"/>
      <c r="KTX84" s="0"/>
      <c r="KTY84" s="0"/>
      <c r="KTZ84" s="0"/>
      <c r="KUA84" s="0"/>
      <c r="KUB84" s="0"/>
      <c r="KUC84" s="0"/>
      <c r="KUD84" s="0"/>
      <c r="KUE84" s="0"/>
      <c r="KUF84" s="0"/>
      <c r="KUG84" s="0"/>
      <c r="KUH84" s="0"/>
      <c r="KUI84" s="0"/>
      <c r="KUJ84" s="0"/>
      <c r="KUK84" s="0"/>
      <c r="KUL84" s="0"/>
      <c r="KUM84" s="0"/>
      <c r="KUN84" s="0"/>
      <c r="KUO84" s="0"/>
      <c r="KUP84" s="0"/>
      <c r="KUQ84" s="0"/>
      <c r="KUR84" s="0"/>
      <c r="KUS84" s="0"/>
      <c r="KUT84" s="0"/>
      <c r="KUU84" s="0"/>
      <c r="KUV84" s="0"/>
      <c r="KUW84" s="0"/>
      <c r="KUX84" s="0"/>
      <c r="KUY84" s="0"/>
      <c r="KUZ84" s="0"/>
      <c r="KVA84" s="0"/>
      <c r="KVB84" s="0"/>
      <c r="KVC84" s="0"/>
      <c r="KVD84" s="0"/>
      <c r="KVE84" s="0"/>
      <c r="KVF84" s="0"/>
      <c r="KVG84" s="0"/>
      <c r="KVH84" s="0"/>
      <c r="KVI84" s="0"/>
      <c r="KVJ84" s="0"/>
      <c r="KVK84" s="0"/>
      <c r="KVL84" s="0"/>
      <c r="KVM84" s="0"/>
      <c r="KVN84" s="0"/>
      <c r="KVO84" s="0"/>
      <c r="KVP84" s="0"/>
      <c r="KVQ84" s="0"/>
      <c r="KVR84" s="0"/>
      <c r="KVS84" s="0"/>
      <c r="KVT84" s="0"/>
      <c r="KVU84" s="0"/>
      <c r="KVV84" s="0"/>
      <c r="KVW84" s="0"/>
      <c r="KVX84" s="0"/>
      <c r="KVY84" s="0"/>
      <c r="KVZ84" s="0"/>
      <c r="KWA84" s="0"/>
      <c r="KWB84" s="0"/>
      <c r="KWC84" s="0"/>
      <c r="KWD84" s="0"/>
      <c r="KWE84" s="0"/>
      <c r="KWF84" s="0"/>
      <c r="KWG84" s="0"/>
      <c r="KWH84" s="0"/>
      <c r="KWI84" s="0"/>
      <c r="KWJ84" s="0"/>
      <c r="KWK84" s="0"/>
      <c r="KWL84" s="0"/>
      <c r="KWM84" s="0"/>
      <c r="KWN84" s="0"/>
      <c r="KWO84" s="0"/>
      <c r="KWP84" s="0"/>
      <c r="KWQ84" s="0"/>
      <c r="KWR84" s="0"/>
      <c r="KWS84" s="0"/>
      <c r="KWT84" s="0"/>
      <c r="KWU84" s="0"/>
      <c r="KWV84" s="0"/>
      <c r="KWW84" s="0"/>
      <c r="KWX84" s="0"/>
      <c r="KWY84" s="0"/>
      <c r="KWZ84" s="0"/>
      <c r="KXA84" s="0"/>
      <c r="KXB84" s="0"/>
      <c r="KXC84" s="0"/>
      <c r="KXD84" s="0"/>
      <c r="KXE84" s="0"/>
      <c r="KXF84" s="0"/>
      <c r="KXG84" s="0"/>
      <c r="KXH84" s="0"/>
      <c r="KXI84" s="0"/>
      <c r="KXJ84" s="0"/>
      <c r="KXK84" s="0"/>
      <c r="KXL84" s="0"/>
      <c r="KXM84" s="0"/>
      <c r="KXN84" s="0"/>
      <c r="KXO84" s="0"/>
      <c r="KXP84" s="0"/>
      <c r="KXQ84" s="0"/>
      <c r="KXR84" s="0"/>
      <c r="KXS84" s="0"/>
      <c r="KXT84" s="0"/>
      <c r="KXU84" s="0"/>
      <c r="KXV84" s="0"/>
      <c r="KXW84" s="0"/>
      <c r="KXX84" s="0"/>
      <c r="KXY84" s="0"/>
      <c r="KXZ84" s="0"/>
      <c r="KYA84" s="0"/>
      <c r="KYB84" s="0"/>
      <c r="KYC84" s="0"/>
      <c r="KYD84" s="0"/>
      <c r="KYE84" s="0"/>
      <c r="KYF84" s="0"/>
      <c r="KYG84" s="0"/>
      <c r="KYH84" s="0"/>
      <c r="KYI84" s="0"/>
      <c r="KYJ84" s="0"/>
      <c r="KYK84" s="0"/>
      <c r="KYL84" s="0"/>
      <c r="KYM84" s="0"/>
      <c r="KYN84" s="0"/>
      <c r="KYO84" s="0"/>
      <c r="KYP84" s="0"/>
      <c r="KYQ84" s="0"/>
      <c r="KYR84" s="0"/>
      <c r="KYS84" s="0"/>
      <c r="KYT84" s="0"/>
      <c r="KYU84" s="0"/>
      <c r="KYV84" s="0"/>
      <c r="KYW84" s="0"/>
      <c r="KYX84" s="0"/>
      <c r="KYY84" s="0"/>
      <c r="KYZ84" s="0"/>
      <c r="KZA84" s="0"/>
      <c r="KZB84" s="0"/>
      <c r="KZC84" s="0"/>
      <c r="KZD84" s="0"/>
      <c r="KZE84" s="0"/>
      <c r="KZF84" s="0"/>
      <c r="KZG84" s="0"/>
      <c r="KZH84" s="0"/>
      <c r="KZI84" s="0"/>
      <c r="KZJ84" s="0"/>
      <c r="KZK84" s="0"/>
      <c r="KZL84" s="0"/>
      <c r="KZM84" s="0"/>
      <c r="KZN84" s="0"/>
      <c r="KZO84" s="0"/>
      <c r="KZP84" s="0"/>
      <c r="KZQ84" s="0"/>
      <c r="KZR84" s="0"/>
      <c r="KZS84" s="0"/>
      <c r="KZT84" s="0"/>
      <c r="KZU84" s="0"/>
      <c r="KZV84" s="0"/>
      <c r="KZW84" s="0"/>
      <c r="KZX84" s="0"/>
      <c r="KZY84" s="0"/>
      <c r="KZZ84" s="0"/>
      <c r="LAA84" s="0"/>
      <c r="LAB84" s="0"/>
      <c r="LAC84" s="0"/>
      <c r="LAD84" s="0"/>
      <c r="LAE84" s="0"/>
      <c r="LAF84" s="0"/>
      <c r="LAG84" s="0"/>
      <c r="LAH84" s="0"/>
      <c r="LAI84" s="0"/>
      <c r="LAJ84" s="0"/>
      <c r="LAK84" s="0"/>
      <c r="LAL84" s="0"/>
      <c r="LAM84" s="0"/>
      <c r="LAN84" s="0"/>
      <c r="LAO84" s="0"/>
      <c r="LAP84" s="0"/>
      <c r="LAQ84" s="0"/>
      <c r="LAR84" s="0"/>
      <c r="LAS84" s="0"/>
      <c r="LAT84" s="0"/>
      <c r="LAU84" s="0"/>
      <c r="LAV84" s="0"/>
      <c r="LAW84" s="0"/>
      <c r="LAX84" s="0"/>
      <c r="LAY84" s="0"/>
      <c r="LAZ84" s="0"/>
      <c r="LBA84" s="0"/>
      <c r="LBB84" s="0"/>
      <c r="LBC84" s="0"/>
      <c r="LBD84" s="0"/>
      <c r="LBE84" s="0"/>
      <c r="LBF84" s="0"/>
      <c r="LBG84" s="0"/>
      <c r="LBH84" s="0"/>
      <c r="LBI84" s="0"/>
      <c r="LBJ84" s="0"/>
      <c r="LBK84" s="0"/>
      <c r="LBL84" s="0"/>
      <c r="LBM84" s="0"/>
      <c r="LBN84" s="0"/>
      <c r="LBO84" s="0"/>
      <c r="LBP84" s="0"/>
      <c r="LBQ84" s="0"/>
      <c r="LBR84" s="0"/>
      <c r="LBS84" s="0"/>
      <c r="LBT84" s="0"/>
      <c r="LBU84" s="0"/>
      <c r="LBV84" s="0"/>
      <c r="LBW84" s="0"/>
      <c r="LBX84" s="0"/>
      <c r="LBY84" s="0"/>
      <c r="LBZ84" s="0"/>
      <c r="LCA84" s="0"/>
      <c r="LCB84" s="0"/>
      <c r="LCC84" s="0"/>
      <c r="LCD84" s="0"/>
      <c r="LCE84" s="0"/>
      <c r="LCF84" s="0"/>
      <c r="LCG84" s="0"/>
      <c r="LCH84" s="0"/>
      <c r="LCI84" s="0"/>
      <c r="LCJ84" s="0"/>
      <c r="LCK84" s="0"/>
      <c r="LCL84" s="0"/>
      <c r="LCM84" s="0"/>
      <c r="LCN84" s="0"/>
      <c r="LCO84" s="0"/>
      <c r="LCP84" s="0"/>
      <c r="LCQ84" s="0"/>
      <c r="LCR84" s="0"/>
      <c r="LCS84" s="0"/>
      <c r="LCT84" s="0"/>
      <c r="LCU84" s="0"/>
      <c r="LCV84" s="0"/>
      <c r="LCW84" s="0"/>
      <c r="LCX84" s="0"/>
      <c r="LCY84" s="0"/>
      <c r="LCZ84" s="0"/>
      <c r="LDA84" s="0"/>
      <c r="LDB84" s="0"/>
      <c r="LDC84" s="0"/>
      <c r="LDD84" s="0"/>
      <c r="LDE84" s="0"/>
      <c r="LDF84" s="0"/>
      <c r="LDG84" s="0"/>
      <c r="LDH84" s="0"/>
      <c r="LDI84" s="0"/>
      <c r="LDJ84" s="0"/>
      <c r="LDK84" s="0"/>
      <c r="LDL84" s="0"/>
      <c r="LDM84" s="0"/>
      <c r="LDN84" s="0"/>
      <c r="LDO84" s="0"/>
      <c r="LDP84" s="0"/>
      <c r="LDQ84" s="0"/>
      <c r="LDR84" s="0"/>
      <c r="LDS84" s="0"/>
      <c r="LDT84" s="0"/>
      <c r="LDU84" s="0"/>
      <c r="LDV84" s="0"/>
      <c r="LDW84" s="0"/>
      <c r="LDX84" s="0"/>
      <c r="LDY84" s="0"/>
      <c r="LDZ84" s="0"/>
      <c r="LEA84" s="0"/>
      <c r="LEB84" s="0"/>
      <c r="LEC84" s="0"/>
      <c r="LED84" s="0"/>
      <c r="LEE84" s="0"/>
      <c r="LEF84" s="0"/>
      <c r="LEG84" s="0"/>
      <c r="LEH84" s="0"/>
      <c r="LEI84" s="0"/>
      <c r="LEJ84" s="0"/>
      <c r="LEK84" s="0"/>
      <c r="LEL84" s="0"/>
      <c r="LEM84" s="0"/>
      <c r="LEN84" s="0"/>
      <c r="LEO84" s="0"/>
      <c r="LEP84" s="0"/>
      <c r="LEQ84" s="0"/>
      <c r="LER84" s="0"/>
      <c r="LES84" s="0"/>
      <c r="LET84" s="0"/>
      <c r="LEU84" s="0"/>
      <c r="LEV84" s="0"/>
      <c r="LEW84" s="0"/>
      <c r="LEX84" s="0"/>
      <c r="LEY84" s="0"/>
      <c r="LEZ84" s="0"/>
      <c r="LFA84" s="0"/>
      <c r="LFB84" s="0"/>
      <c r="LFC84" s="0"/>
      <c r="LFD84" s="0"/>
      <c r="LFE84" s="0"/>
      <c r="LFF84" s="0"/>
      <c r="LFG84" s="0"/>
      <c r="LFH84" s="0"/>
      <c r="LFI84" s="0"/>
      <c r="LFJ84" s="0"/>
      <c r="LFK84" s="0"/>
      <c r="LFL84" s="0"/>
      <c r="LFM84" s="0"/>
      <c r="LFN84" s="0"/>
      <c r="LFO84" s="0"/>
      <c r="LFP84" s="0"/>
      <c r="LFQ84" s="0"/>
      <c r="LFR84" s="0"/>
      <c r="LFS84" s="0"/>
      <c r="LFT84" s="0"/>
      <c r="LFU84" s="0"/>
      <c r="LFV84" s="0"/>
      <c r="LFW84" s="0"/>
      <c r="LFX84" s="0"/>
      <c r="LFY84" s="0"/>
      <c r="LFZ84" s="0"/>
      <c r="LGA84" s="0"/>
      <c r="LGB84" s="0"/>
      <c r="LGC84" s="0"/>
      <c r="LGD84" s="0"/>
      <c r="LGE84" s="0"/>
      <c r="LGF84" s="0"/>
      <c r="LGG84" s="0"/>
      <c r="LGH84" s="0"/>
      <c r="LGI84" s="0"/>
      <c r="LGJ84" s="0"/>
      <c r="LGK84" s="0"/>
      <c r="LGL84" s="0"/>
      <c r="LGM84" s="0"/>
      <c r="LGN84" s="0"/>
      <c r="LGO84" s="0"/>
      <c r="LGP84" s="0"/>
      <c r="LGQ84" s="0"/>
      <c r="LGR84" s="0"/>
      <c r="LGS84" s="0"/>
      <c r="LGT84" s="0"/>
      <c r="LGU84" s="0"/>
      <c r="LGV84" s="0"/>
      <c r="LGW84" s="0"/>
      <c r="LGX84" s="0"/>
      <c r="LGY84" s="0"/>
      <c r="LGZ84" s="0"/>
      <c r="LHA84" s="0"/>
      <c r="LHB84" s="0"/>
      <c r="LHC84" s="0"/>
      <c r="LHD84" s="0"/>
      <c r="LHE84" s="0"/>
      <c r="LHF84" s="0"/>
      <c r="LHG84" s="0"/>
      <c r="LHH84" s="0"/>
      <c r="LHI84" s="0"/>
      <c r="LHJ84" s="0"/>
      <c r="LHK84" s="0"/>
      <c r="LHL84" s="0"/>
      <c r="LHM84" s="0"/>
      <c r="LHN84" s="0"/>
      <c r="LHO84" s="0"/>
      <c r="LHP84" s="0"/>
      <c r="LHQ84" s="0"/>
      <c r="LHR84" s="0"/>
      <c r="LHS84" s="0"/>
      <c r="LHT84" s="0"/>
      <c r="LHU84" s="0"/>
      <c r="LHV84" s="0"/>
      <c r="LHW84" s="0"/>
      <c r="LHX84" s="0"/>
      <c r="LHY84" s="0"/>
      <c r="LHZ84" s="0"/>
      <c r="LIA84" s="0"/>
      <c r="LIB84" s="0"/>
      <c r="LIC84" s="0"/>
      <c r="LID84" s="0"/>
      <c r="LIE84" s="0"/>
      <c r="LIF84" s="0"/>
      <c r="LIG84" s="0"/>
      <c r="LIH84" s="0"/>
      <c r="LII84" s="0"/>
      <c r="LIJ84" s="0"/>
      <c r="LIK84" s="0"/>
      <c r="LIL84" s="0"/>
      <c r="LIM84" s="0"/>
      <c r="LIN84" s="0"/>
      <c r="LIO84" s="0"/>
      <c r="LIP84" s="0"/>
      <c r="LIQ84" s="0"/>
      <c r="LIR84" s="0"/>
      <c r="LIS84" s="0"/>
      <c r="LIT84" s="0"/>
      <c r="LIU84" s="0"/>
      <c r="LIV84" s="0"/>
      <c r="LIW84" s="0"/>
      <c r="LIX84" s="0"/>
      <c r="LIY84" s="0"/>
      <c r="LIZ84" s="0"/>
      <c r="LJA84" s="0"/>
      <c r="LJB84" s="0"/>
      <c r="LJC84" s="0"/>
      <c r="LJD84" s="0"/>
      <c r="LJE84" s="0"/>
      <c r="LJF84" s="0"/>
      <c r="LJG84" s="0"/>
      <c r="LJH84" s="0"/>
      <c r="LJI84" s="0"/>
      <c r="LJJ84" s="0"/>
      <c r="LJK84" s="0"/>
      <c r="LJL84" s="0"/>
      <c r="LJM84" s="0"/>
      <c r="LJN84" s="0"/>
      <c r="LJO84" s="0"/>
      <c r="LJP84" s="0"/>
      <c r="LJQ84" s="0"/>
      <c r="LJR84" s="0"/>
      <c r="LJS84" s="0"/>
      <c r="LJT84" s="0"/>
      <c r="LJU84" s="0"/>
      <c r="LJV84" s="0"/>
      <c r="LJW84" s="0"/>
      <c r="LJX84" s="0"/>
      <c r="LJY84" s="0"/>
      <c r="LJZ84" s="0"/>
      <c r="LKA84" s="0"/>
      <c r="LKB84" s="0"/>
      <c r="LKC84" s="0"/>
      <c r="LKD84" s="0"/>
      <c r="LKE84" s="0"/>
      <c r="LKF84" s="0"/>
      <c r="LKG84" s="0"/>
      <c r="LKH84" s="0"/>
      <c r="LKI84" s="0"/>
      <c r="LKJ84" s="0"/>
      <c r="LKK84" s="0"/>
      <c r="LKL84" s="0"/>
      <c r="LKM84" s="0"/>
      <c r="LKN84" s="0"/>
      <c r="LKO84" s="0"/>
      <c r="LKP84" s="0"/>
      <c r="LKQ84" s="0"/>
      <c r="LKR84" s="0"/>
      <c r="LKS84" s="0"/>
      <c r="LKT84" s="0"/>
      <c r="LKU84" s="0"/>
      <c r="LKV84" s="0"/>
      <c r="LKW84" s="0"/>
      <c r="LKX84" s="0"/>
      <c r="LKY84" s="0"/>
      <c r="LKZ84" s="0"/>
      <c r="LLA84" s="0"/>
      <c r="LLB84" s="0"/>
      <c r="LLC84" s="0"/>
      <c r="LLD84" s="0"/>
      <c r="LLE84" s="0"/>
      <c r="LLF84" s="0"/>
      <c r="LLG84" s="0"/>
      <c r="LLH84" s="0"/>
      <c r="LLI84" s="0"/>
      <c r="LLJ84" s="0"/>
      <c r="LLK84" s="0"/>
      <c r="LLL84" s="0"/>
      <c r="LLM84" s="0"/>
      <c r="LLN84" s="0"/>
      <c r="LLO84" s="0"/>
      <c r="LLP84" s="0"/>
      <c r="LLQ84" s="0"/>
      <c r="LLR84" s="0"/>
      <c r="LLS84" s="0"/>
      <c r="LLT84" s="0"/>
      <c r="LLU84" s="0"/>
      <c r="LLV84" s="0"/>
      <c r="LLW84" s="0"/>
      <c r="LLX84" s="0"/>
      <c r="LLY84" s="0"/>
      <c r="LLZ84" s="0"/>
      <c r="LMA84" s="0"/>
      <c r="LMB84" s="0"/>
      <c r="LMC84" s="0"/>
      <c r="LMD84" s="0"/>
      <c r="LME84" s="0"/>
      <c r="LMF84" s="0"/>
      <c r="LMG84" s="0"/>
      <c r="LMH84" s="0"/>
      <c r="LMI84" s="0"/>
      <c r="LMJ84" s="0"/>
      <c r="LMK84" s="0"/>
      <c r="LML84" s="0"/>
      <c r="LMM84" s="0"/>
      <c r="LMN84" s="0"/>
      <c r="LMO84" s="0"/>
      <c r="LMP84" s="0"/>
      <c r="LMQ84" s="0"/>
      <c r="LMR84" s="0"/>
      <c r="LMS84" s="0"/>
      <c r="LMT84" s="0"/>
      <c r="LMU84" s="0"/>
      <c r="LMV84" s="0"/>
      <c r="LMW84" s="0"/>
      <c r="LMX84" s="0"/>
      <c r="LMY84" s="0"/>
      <c r="LMZ84" s="0"/>
      <c r="LNA84" s="0"/>
      <c r="LNB84" s="0"/>
      <c r="LNC84" s="0"/>
      <c r="LND84" s="0"/>
      <c r="LNE84" s="0"/>
      <c r="LNF84" s="0"/>
      <c r="LNG84" s="0"/>
      <c r="LNH84" s="0"/>
      <c r="LNI84" s="0"/>
      <c r="LNJ84" s="0"/>
      <c r="LNK84" s="0"/>
      <c r="LNL84" s="0"/>
      <c r="LNM84" s="0"/>
      <c r="LNN84" s="0"/>
      <c r="LNO84" s="0"/>
      <c r="LNP84" s="0"/>
      <c r="LNQ84" s="0"/>
      <c r="LNR84" s="0"/>
      <c r="LNS84" s="0"/>
      <c r="LNT84" s="0"/>
      <c r="LNU84" s="0"/>
      <c r="LNV84" s="0"/>
      <c r="LNW84" s="0"/>
      <c r="LNX84" s="0"/>
      <c r="LNY84" s="0"/>
      <c r="LNZ84" s="0"/>
      <c r="LOA84" s="0"/>
      <c r="LOB84" s="0"/>
      <c r="LOC84" s="0"/>
      <c r="LOD84" s="0"/>
      <c r="LOE84" s="0"/>
      <c r="LOF84" s="0"/>
      <c r="LOG84" s="0"/>
      <c r="LOH84" s="0"/>
      <c r="LOI84" s="0"/>
      <c r="LOJ84" s="0"/>
      <c r="LOK84" s="0"/>
      <c r="LOL84" s="0"/>
      <c r="LOM84" s="0"/>
      <c r="LON84" s="0"/>
      <c r="LOO84" s="0"/>
      <c r="LOP84" s="0"/>
      <c r="LOQ84" s="0"/>
      <c r="LOR84" s="0"/>
      <c r="LOS84" s="0"/>
      <c r="LOT84" s="0"/>
      <c r="LOU84" s="0"/>
      <c r="LOV84" s="0"/>
      <c r="LOW84" s="0"/>
      <c r="LOX84" s="0"/>
      <c r="LOY84" s="0"/>
      <c r="LOZ84" s="0"/>
      <c r="LPA84" s="0"/>
      <c r="LPB84" s="0"/>
      <c r="LPC84" s="0"/>
      <c r="LPD84" s="0"/>
      <c r="LPE84" s="0"/>
      <c r="LPF84" s="0"/>
      <c r="LPG84" s="0"/>
      <c r="LPH84" s="0"/>
      <c r="LPI84" s="0"/>
      <c r="LPJ84" s="0"/>
      <c r="LPK84" s="0"/>
      <c r="LPL84" s="0"/>
      <c r="LPM84" s="0"/>
      <c r="LPN84" s="0"/>
      <c r="LPO84" s="0"/>
      <c r="LPP84" s="0"/>
      <c r="LPQ84" s="0"/>
      <c r="LPR84" s="0"/>
      <c r="LPS84" s="0"/>
      <c r="LPT84" s="0"/>
      <c r="LPU84" s="0"/>
      <c r="LPV84" s="0"/>
      <c r="LPW84" s="0"/>
      <c r="LPX84" s="0"/>
      <c r="LPY84" s="0"/>
      <c r="LPZ84" s="0"/>
      <c r="LQA84" s="0"/>
      <c r="LQB84" s="0"/>
      <c r="LQC84" s="0"/>
      <c r="LQD84" s="0"/>
      <c r="LQE84" s="0"/>
      <c r="LQF84" s="0"/>
      <c r="LQG84" s="0"/>
      <c r="LQH84" s="0"/>
      <c r="LQI84" s="0"/>
      <c r="LQJ84" s="0"/>
      <c r="LQK84" s="0"/>
      <c r="LQL84" s="0"/>
      <c r="LQM84" s="0"/>
      <c r="LQN84" s="0"/>
      <c r="LQO84" s="0"/>
      <c r="LQP84" s="0"/>
      <c r="LQQ84" s="0"/>
      <c r="LQR84" s="0"/>
      <c r="LQS84" s="0"/>
      <c r="LQT84" s="0"/>
      <c r="LQU84" s="0"/>
      <c r="LQV84" s="0"/>
      <c r="LQW84" s="0"/>
      <c r="LQX84" s="0"/>
      <c r="LQY84" s="0"/>
      <c r="LQZ84" s="0"/>
      <c r="LRA84" s="0"/>
      <c r="LRB84" s="0"/>
      <c r="LRC84" s="0"/>
      <c r="LRD84" s="0"/>
      <c r="LRE84" s="0"/>
      <c r="LRF84" s="0"/>
      <c r="LRG84" s="0"/>
      <c r="LRH84" s="0"/>
      <c r="LRI84" s="0"/>
      <c r="LRJ84" s="0"/>
      <c r="LRK84" s="0"/>
      <c r="LRL84" s="0"/>
      <c r="LRM84" s="0"/>
      <c r="LRN84" s="0"/>
      <c r="LRO84" s="0"/>
      <c r="LRP84" s="0"/>
      <c r="LRQ84" s="0"/>
      <c r="LRR84" s="0"/>
      <c r="LRS84" s="0"/>
      <c r="LRT84" s="0"/>
      <c r="LRU84" s="0"/>
      <c r="LRV84" s="0"/>
      <c r="LRW84" s="0"/>
      <c r="LRX84" s="0"/>
      <c r="LRY84" s="0"/>
      <c r="LRZ84" s="0"/>
      <c r="LSA84" s="0"/>
      <c r="LSB84" s="0"/>
      <c r="LSC84" s="0"/>
      <c r="LSD84" s="0"/>
      <c r="LSE84" s="0"/>
      <c r="LSF84" s="0"/>
      <c r="LSG84" s="0"/>
      <c r="LSH84" s="0"/>
      <c r="LSI84" s="0"/>
      <c r="LSJ84" s="0"/>
      <c r="LSK84" s="0"/>
      <c r="LSL84" s="0"/>
      <c r="LSM84" s="0"/>
      <c r="LSN84" s="0"/>
      <c r="LSO84" s="0"/>
      <c r="LSP84" s="0"/>
      <c r="LSQ84" s="0"/>
      <c r="LSR84" s="0"/>
      <c r="LSS84" s="0"/>
      <c r="LST84" s="0"/>
      <c r="LSU84" s="0"/>
      <c r="LSV84" s="0"/>
      <c r="LSW84" s="0"/>
      <c r="LSX84" s="0"/>
      <c r="LSY84" s="0"/>
      <c r="LSZ84" s="0"/>
      <c r="LTA84" s="0"/>
      <c r="LTB84" s="0"/>
      <c r="LTC84" s="0"/>
      <c r="LTD84" s="0"/>
      <c r="LTE84" s="0"/>
      <c r="LTF84" s="0"/>
      <c r="LTG84" s="0"/>
      <c r="LTH84" s="0"/>
      <c r="LTI84" s="0"/>
      <c r="LTJ84" s="0"/>
      <c r="LTK84" s="0"/>
      <c r="LTL84" s="0"/>
      <c r="LTM84" s="0"/>
      <c r="LTN84" s="0"/>
      <c r="LTO84" s="0"/>
      <c r="LTP84" s="0"/>
      <c r="LTQ84" s="0"/>
      <c r="LTR84" s="0"/>
      <c r="LTS84" s="0"/>
      <c r="LTT84" s="0"/>
      <c r="LTU84" s="0"/>
      <c r="LTV84" s="0"/>
      <c r="LTW84" s="0"/>
      <c r="LTX84" s="0"/>
      <c r="LTY84" s="0"/>
      <c r="LTZ84" s="0"/>
      <c r="LUA84" s="0"/>
      <c r="LUB84" s="0"/>
      <c r="LUC84" s="0"/>
      <c r="LUD84" s="0"/>
      <c r="LUE84" s="0"/>
      <c r="LUF84" s="0"/>
      <c r="LUG84" s="0"/>
      <c r="LUH84" s="0"/>
      <c r="LUI84" s="0"/>
      <c r="LUJ84" s="0"/>
      <c r="LUK84" s="0"/>
      <c r="LUL84" s="0"/>
      <c r="LUM84" s="0"/>
      <c r="LUN84" s="0"/>
      <c r="LUO84" s="0"/>
      <c r="LUP84" s="0"/>
      <c r="LUQ84" s="0"/>
      <c r="LUR84" s="0"/>
      <c r="LUS84" s="0"/>
      <c r="LUT84" s="0"/>
      <c r="LUU84" s="0"/>
      <c r="LUV84" s="0"/>
      <c r="LUW84" s="0"/>
      <c r="LUX84" s="0"/>
      <c r="LUY84" s="0"/>
      <c r="LUZ84" s="0"/>
      <c r="LVA84" s="0"/>
      <c r="LVB84" s="0"/>
      <c r="LVC84" s="0"/>
      <c r="LVD84" s="0"/>
      <c r="LVE84" s="0"/>
      <c r="LVF84" s="0"/>
      <c r="LVG84" s="0"/>
      <c r="LVH84" s="0"/>
      <c r="LVI84" s="0"/>
      <c r="LVJ84" s="0"/>
      <c r="LVK84" s="0"/>
      <c r="LVL84" s="0"/>
      <c r="LVM84" s="0"/>
      <c r="LVN84" s="0"/>
      <c r="LVO84" s="0"/>
      <c r="LVP84" s="0"/>
      <c r="LVQ84" s="0"/>
      <c r="LVR84" s="0"/>
      <c r="LVS84" s="0"/>
      <c r="LVT84" s="0"/>
      <c r="LVU84" s="0"/>
      <c r="LVV84" s="0"/>
      <c r="LVW84" s="0"/>
      <c r="LVX84" s="0"/>
      <c r="LVY84" s="0"/>
      <c r="LVZ84" s="0"/>
      <c r="LWA84" s="0"/>
      <c r="LWB84" s="0"/>
      <c r="LWC84" s="0"/>
      <c r="LWD84" s="0"/>
      <c r="LWE84" s="0"/>
      <c r="LWF84" s="0"/>
      <c r="LWG84" s="0"/>
      <c r="LWH84" s="0"/>
      <c r="LWI84" s="0"/>
      <c r="LWJ84" s="0"/>
      <c r="LWK84" s="0"/>
      <c r="LWL84" s="0"/>
      <c r="LWM84" s="0"/>
      <c r="LWN84" s="0"/>
      <c r="LWO84" s="0"/>
      <c r="LWP84" s="0"/>
      <c r="LWQ84" s="0"/>
      <c r="LWR84" s="0"/>
      <c r="LWS84" s="0"/>
      <c r="LWT84" s="0"/>
      <c r="LWU84" s="0"/>
      <c r="LWV84" s="0"/>
      <c r="LWW84" s="0"/>
      <c r="LWX84" s="0"/>
      <c r="LWY84" s="0"/>
      <c r="LWZ84" s="0"/>
      <c r="LXA84" s="0"/>
      <c r="LXB84" s="0"/>
      <c r="LXC84" s="0"/>
      <c r="LXD84" s="0"/>
      <c r="LXE84" s="0"/>
      <c r="LXF84" s="0"/>
      <c r="LXG84" s="0"/>
      <c r="LXH84" s="0"/>
      <c r="LXI84" s="0"/>
      <c r="LXJ84" s="0"/>
      <c r="LXK84" s="0"/>
      <c r="LXL84" s="0"/>
      <c r="LXM84" s="0"/>
      <c r="LXN84" s="0"/>
      <c r="LXO84" s="0"/>
      <c r="LXP84" s="0"/>
      <c r="LXQ84" s="0"/>
      <c r="LXR84" s="0"/>
      <c r="LXS84" s="0"/>
      <c r="LXT84" s="0"/>
      <c r="LXU84" s="0"/>
      <c r="LXV84" s="0"/>
      <c r="LXW84" s="0"/>
      <c r="LXX84" s="0"/>
      <c r="LXY84" s="0"/>
      <c r="LXZ84" s="0"/>
      <c r="LYA84" s="0"/>
      <c r="LYB84" s="0"/>
      <c r="LYC84" s="0"/>
      <c r="LYD84" s="0"/>
      <c r="LYE84" s="0"/>
      <c r="LYF84" s="0"/>
      <c r="LYG84" s="0"/>
      <c r="LYH84" s="0"/>
      <c r="LYI84" s="0"/>
      <c r="LYJ84" s="0"/>
      <c r="LYK84" s="0"/>
      <c r="LYL84" s="0"/>
      <c r="LYM84" s="0"/>
      <c r="LYN84" s="0"/>
      <c r="LYO84" s="0"/>
      <c r="LYP84" s="0"/>
      <c r="LYQ84" s="0"/>
      <c r="LYR84" s="0"/>
      <c r="LYS84" s="0"/>
      <c r="LYT84" s="0"/>
      <c r="LYU84" s="0"/>
      <c r="LYV84" s="0"/>
      <c r="LYW84" s="0"/>
      <c r="LYX84" s="0"/>
      <c r="LYY84" s="0"/>
      <c r="LYZ84" s="0"/>
      <c r="LZA84" s="0"/>
      <c r="LZB84" s="0"/>
      <c r="LZC84" s="0"/>
      <c r="LZD84" s="0"/>
      <c r="LZE84" s="0"/>
      <c r="LZF84" s="0"/>
      <c r="LZG84" s="0"/>
      <c r="LZH84" s="0"/>
      <c r="LZI84" s="0"/>
      <c r="LZJ84" s="0"/>
      <c r="LZK84" s="0"/>
      <c r="LZL84" s="0"/>
      <c r="LZM84" s="0"/>
      <c r="LZN84" s="0"/>
      <c r="LZO84" s="0"/>
      <c r="LZP84" s="0"/>
      <c r="LZQ84" s="0"/>
      <c r="LZR84" s="0"/>
      <c r="LZS84" s="0"/>
      <c r="LZT84" s="0"/>
      <c r="LZU84" s="0"/>
      <c r="LZV84" s="0"/>
      <c r="LZW84" s="0"/>
      <c r="LZX84" s="0"/>
      <c r="LZY84" s="0"/>
      <c r="LZZ84" s="0"/>
      <c r="MAA84" s="0"/>
      <c r="MAB84" s="0"/>
      <c r="MAC84" s="0"/>
      <c r="MAD84" s="0"/>
      <c r="MAE84" s="0"/>
      <c r="MAF84" s="0"/>
      <c r="MAG84" s="0"/>
      <c r="MAH84" s="0"/>
      <c r="MAI84" s="0"/>
      <c r="MAJ84" s="0"/>
      <c r="MAK84" s="0"/>
      <c r="MAL84" s="0"/>
      <c r="MAM84" s="0"/>
      <c r="MAN84" s="0"/>
      <c r="MAO84" s="0"/>
      <c r="MAP84" s="0"/>
      <c r="MAQ84" s="0"/>
      <c r="MAR84" s="0"/>
      <c r="MAS84" s="0"/>
      <c r="MAT84" s="0"/>
      <c r="MAU84" s="0"/>
      <c r="MAV84" s="0"/>
      <c r="MAW84" s="0"/>
      <c r="MAX84" s="0"/>
      <c r="MAY84" s="0"/>
      <c r="MAZ84" s="0"/>
      <c r="MBA84" s="0"/>
      <c r="MBB84" s="0"/>
      <c r="MBC84" s="0"/>
      <c r="MBD84" s="0"/>
      <c r="MBE84" s="0"/>
      <c r="MBF84" s="0"/>
      <c r="MBG84" s="0"/>
      <c r="MBH84" s="0"/>
      <c r="MBI84" s="0"/>
      <c r="MBJ84" s="0"/>
      <c r="MBK84" s="0"/>
      <c r="MBL84" s="0"/>
      <c r="MBM84" s="0"/>
      <c r="MBN84" s="0"/>
      <c r="MBO84" s="0"/>
      <c r="MBP84" s="0"/>
      <c r="MBQ84" s="0"/>
      <c r="MBR84" s="0"/>
      <c r="MBS84" s="0"/>
      <c r="MBT84" s="0"/>
      <c r="MBU84" s="0"/>
      <c r="MBV84" s="0"/>
      <c r="MBW84" s="0"/>
      <c r="MBX84" s="0"/>
      <c r="MBY84" s="0"/>
      <c r="MBZ84" s="0"/>
      <c r="MCA84" s="0"/>
      <c r="MCB84" s="0"/>
      <c r="MCC84" s="0"/>
      <c r="MCD84" s="0"/>
      <c r="MCE84" s="0"/>
      <c r="MCF84" s="0"/>
      <c r="MCG84" s="0"/>
      <c r="MCH84" s="0"/>
      <c r="MCI84" s="0"/>
      <c r="MCJ84" s="0"/>
      <c r="MCK84" s="0"/>
      <c r="MCL84" s="0"/>
      <c r="MCM84" s="0"/>
      <c r="MCN84" s="0"/>
      <c r="MCO84" s="0"/>
      <c r="MCP84" s="0"/>
      <c r="MCQ84" s="0"/>
      <c r="MCR84" s="0"/>
      <c r="MCS84" s="0"/>
      <c r="MCT84" s="0"/>
      <c r="MCU84" s="0"/>
      <c r="MCV84" s="0"/>
      <c r="MCW84" s="0"/>
      <c r="MCX84" s="0"/>
      <c r="MCY84" s="0"/>
      <c r="MCZ84" s="0"/>
      <c r="MDA84" s="0"/>
      <c r="MDB84" s="0"/>
      <c r="MDC84" s="0"/>
      <c r="MDD84" s="0"/>
      <c r="MDE84" s="0"/>
      <c r="MDF84" s="0"/>
      <c r="MDG84" s="0"/>
      <c r="MDH84" s="0"/>
      <c r="MDI84" s="0"/>
      <c r="MDJ84" s="0"/>
      <c r="MDK84" s="0"/>
      <c r="MDL84" s="0"/>
      <c r="MDM84" s="0"/>
      <c r="MDN84" s="0"/>
      <c r="MDO84" s="0"/>
      <c r="MDP84" s="0"/>
      <c r="MDQ84" s="0"/>
      <c r="MDR84" s="0"/>
      <c r="MDS84" s="0"/>
      <c r="MDT84" s="0"/>
      <c r="MDU84" s="0"/>
      <c r="MDV84" s="0"/>
      <c r="MDW84" s="0"/>
      <c r="MDX84" s="0"/>
      <c r="MDY84" s="0"/>
      <c r="MDZ84" s="0"/>
      <c r="MEA84" s="0"/>
      <c r="MEB84" s="0"/>
      <c r="MEC84" s="0"/>
      <c r="MED84" s="0"/>
      <c r="MEE84" s="0"/>
      <c r="MEF84" s="0"/>
      <c r="MEG84" s="0"/>
      <c r="MEH84" s="0"/>
      <c r="MEI84" s="0"/>
      <c r="MEJ84" s="0"/>
      <c r="MEK84" s="0"/>
      <c r="MEL84" s="0"/>
      <c r="MEM84" s="0"/>
      <c r="MEN84" s="0"/>
      <c r="MEO84" s="0"/>
      <c r="MEP84" s="0"/>
      <c r="MEQ84" s="0"/>
      <c r="MER84" s="0"/>
      <c r="MES84" s="0"/>
      <c r="MET84" s="0"/>
      <c r="MEU84" s="0"/>
      <c r="MEV84" s="0"/>
      <c r="MEW84" s="0"/>
      <c r="MEX84" s="0"/>
      <c r="MEY84" s="0"/>
      <c r="MEZ84" s="0"/>
      <c r="MFA84" s="0"/>
      <c r="MFB84" s="0"/>
      <c r="MFC84" s="0"/>
      <c r="MFD84" s="0"/>
      <c r="MFE84" s="0"/>
      <c r="MFF84" s="0"/>
      <c r="MFG84" s="0"/>
      <c r="MFH84" s="0"/>
      <c r="MFI84" s="0"/>
      <c r="MFJ84" s="0"/>
      <c r="MFK84" s="0"/>
      <c r="MFL84" s="0"/>
      <c r="MFM84" s="0"/>
      <c r="MFN84" s="0"/>
      <c r="MFO84" s="0"/>
      <c r="MFP84" s="0"/>
      <c r="MFQ84" s="0"/>
      <c r="MFR84" s="0"/>
      <c r="MFS84" s="0"/>
      <c r="MFT84" s="0"/>
      <c r="MFU84" s="0"/>
      <c r="MFV84" s="0"/>
      <c r="MFW84" s="0"/>
      <c r="MFX84" s="0"/>
      <c r="MFY84" s="0"/>
      <c r="MFZ84" s="0"/>
      <c r="MGA84" s="0"/>
      <c r="MGB84" s="0"/>
      <c r="MGC84" s="0"/>
      <c r="MGD84" s="0"/>
      <c r="MGE84" s="0"/>
      <c r="MGF84" s="0"/>
      <c r="MGG84" s="0"/>
      <c r="MGH84" s="0"/>
      <c r="MGI84" s="0"/>
      <c r="MGJ84" s="0"/>
      <c r="MGK84" s="0"/>
      <c r="MGL84" s="0"/>
      <c r="MGM84" s="0"/>
      <c r="MGN84" s="0"/>
      <c r="MGO84" s="0"/>
      <c r="MGP84" s="0"/>
      <c r="MGQ84" s="0"/>
      <c r="MGR84" s="0"/>
      <c r="MGS84" s="0"/>
      <c r="MGT84" s="0"/>
      <c r="MGU84" s="0"/>
      <c r="MGV84" s="0"/>
      <c r="MGW84" s="0"/>
      <c r="MGX84" s="0"/>
      <c r="MGY84" s="0"/>
      <c r="MGZ84" s="0"/>
      <c r="MHA84" s="0"/>
      <c r="MHB84" s="0"/>
      <c r="MHC84" s="0"/>
      <c r="MHD84" s="0"/>
      <c r="MHE84" s="0"/>
      <c r="MHF84" s="0"/>
      <c r="MHG84" s="0"/>
      <c r="MHH84" s="0"/>
      <c r="MHI84" s="0"/>
      <c r="MHJ84" s="0"/>
      <c r="MHK84" s="0"/>
      <c r="MHL84" s="0"/>
      <c r="MHM84" s="0"/>
      <c r="MHN84" s="0"/>
      <c r="MHO84" s="0"/>
      <c r="MHP84" s="0"/>
      <c r="MHQ84" s="0"/>
      <c r="MHR84" s="0"/>
      <c r="MHS84" s="0"/>
      <c r="MHT84" s="0"/>
      <c r="MHU84" s="0"/>
      <c r="MHV84" s="0"/>
      <c r="MHW84" s="0"/>
      <c r="MHX84" s="0"/>
      <c r="MHY84" s="0"/>
      <c r="MHZ84" s="0"/>
      <c r="MIA84" s="0"/>
      <c r="MIB84" s="0"/>
      <c r="MIC84" s="0"/>
      <c r="MID84" s="0"/>
      <c r="MIE84" s="0"/>
      <c r="MIF84" s="0"/>
      <c r="MIG84" s="0"/>
      <c r="MIH84" s="0"/>
      <c r="MII84" s="0"/>
      <c r="MIJ84" s="0"/>
      <c r="MIK84" s="0"/>
      <c r="MIL84" s="0"/>
      <c r="MIM84" s="0"/>
      <c r="MIN84" s="0"/>
      <c r="MIO84" s="0"/>
      <c r="MIP84" s="0"/>
      <c r="MIQ84" s="0"/>
      <c r="MIR84" s="0"/>
      <c r="MIS84" s="0"/>
      <c r="MIT84" s="0"/>
      <c r="MIU84" s="0"/>
      <c r="MIV84" s="0"/>
      <c r="MIW84" s="0"/>
      <c r="MIX84" s="0"/>
      <c r="MIY84" s="0"/>
      <c r="MIZ84" s="0"/>
      <c r="MJA84" s="0"/>
      <c r="MJB84" s="0"/>
      <c r="MJC84" s="0"/>
      <c r="MJD84" s="0"/>
      <c r="MJE84" s="0"/>
      <c r="MJF84" s="0"/>
      <c r="MJG84" s="0"/>
      <c r="MJH84" s="0"/>
      <c r="MJI84" s="0"/>
      <c r="MJJ84" s="0"/>
      <c r="MJK84" s="0"/>
      <c r="MJL84" s="0"/>
      <c r="MJM84" s="0"/>
      <c r="MJN84" s="0"/>
      <c r="MJO84" s="0"/>
      <c r="MJP84" s="0"/>
      <c r="MJQ84" s="0"/>
      <c r="MJR84" s="0"/>
      <c r="MJS84" s="0"/>
      <c r="MJT84" s="0"/>
      <c r="MJU84" s="0"/>
      <c r="MJV84" s="0"/>
      <c r="MJW84" s="0"/>
      <c r="MJX84" s="0"/>
      <c r="MJY84" s="0"/>
      <c r="MJZ84" s="0"/>
      <c r="MKA84" s="0"/>
      <c r="MKB84" s="0"/>
      <c r="MKC84" s="0"/>
      <c r="MKD84" s="0"/>
      <c r="MKE84" s="0"/>
      <c r="MKF84" s="0"/>
      <c r="MKG84" s="0"/>
      <c r="MKH84" s="0"/>
      <c r="MKI84" s="0"/>
      <c r="MKJ84" s="0"/>
      <c r="MKK84" s="0"/>
      <c r="MKL84" s="0"/>
      <c r="MKM84" s="0"/>
      <c r="MKN84" s="0"/>
      <c r="MKO84" s="0"/>
      <c r="MKP84" s="0"/>
      <c r="MKQ84" s="0"/>
      <c r="MKR84" s="0"/>
      <c r="MKS84" s="0"/>
      <c r="MKT84" s="0"/>
      <c r="MKU84" s="0"/>
      <c r="MKV84" s="0"/>
      <c r="MKW84" s="0"/>
      <c r="MKX84" s="0"/>
      <c r="MKY84" s="0"/>
      <c r="MKZ84" s="0"/>
      <c r="MLA84" s="0"/>
      <c r="MLB84" s="0"/>
      <c r="MLC84" s="0"/>
      <c r="MLD84" s="0"/>
      <c r="MLE84" s="0"/>
      <c r="MLF84" s="0"/>
      <c r="MLG84" s="0"/>
      <c r="MLH84" s="0"/>
      <c r="MLI84" s="0"/>
      <c r="MLJ84" s="0"/>
      <c r="MLK84" s="0"/>
      <c r="MLL84" s="0"/>
      <c r="MLM84" s="0"/>
      <c r="MLN84" s="0"/>
      <c r="MLO84" s="0"/>
      <c r="MLP84" s="0"/>
      <c r="MLQ84" s="0"/>
      <c r="MLR84" s="0"/>
      <c r="MLS84" s="0"/>
      <c r="MLT84" s="0"/>
      <c r="MLU84" s="0"/>
      <c r="MLV84" s="0"/>
      <c r="MLW84" s="0"/>
      <c r="MLX84" s="0"/>
      <c r="MLY84" s="0"/>
      <c r="MLZ84" s="0"/>
      <c r="MMA84" s="0"/>
      <c r="MMB84" s="0"/>
      <c r="MMC84" s="0"/>
      <c r="MMD84" s="0"/>
      <c r="MME84" s="0"/>
      <c r="MMF84" s="0"/>
      <c r="MMG84" s="0"/>
      <c r="MMH84" s="0"/>
      <c r="MMI84" s="0"/>
      <c r="MMJ84" s="0"/>
      <c r="MMK84" s="0"/>
      <c r="MML84" s="0"/>
      <c r="MMM84" s="0"/>
      <c r="MMN84" s="0"/>
      <c r="MMO84" s="0"/>
      <c r="MMP84" s="0"/>
      <c r="MMQ84" s="0"/>
      <c r="MMR84" s="0"/>
      <c r="MMS84" s="0"/>
      <c r="MMT84" s="0"/>
      <c r="MMU84" s="0"/>
      <c r="MMV84" s="0"/>
      <c r="MMW84" s="0"/>
      <c r="MMX84" s="0"/>
      <c r="MMY84" s="0"/>
      <c r="MMZ84" s="0"/>
      <c r="MNA84" s="0"/>
      <c r="MNB84" s="0"/>
      <c r="MNC84" s="0"/>
      <c r="MND84" s="0"/>
      <c r="MNE84" s="0"/>
      <c r="MNF84" s="0"/>
      <c r="MNG84" s="0"/>
      <c r="MNH84" s="0"/>
      <c r="MNI84" s="0"/>
      <c r="MNJ84" s="0"/>
      <c r="MNK84" s="0"/>
      <c r="MNL84" s="0"/>
      <c r="MNM84" s="0"/>
      <c r="MNN84" s="0"/>
      <c r="MNO84" s="0"/>
      <c r="MNP84" s="0"/>
      <c r="MNQ84" s="0"/>
      <c r="MNR84" s="0"/>
      <c r="MNS84" s="0"/>
      <c r="MNT84" s="0"/>
      <c r="MNU84" s="0"/>
      <c r="MNV84" s="0"/>
      <c r="MNW84" s="0"/>
      <c r="MNX84" s="0"/>
      <c r="MNY84" s="0"/>
      <c r="MNZ84" s="0"/>
      <c r="MOA84" s="0"/>
      <c r="MOB84" s="0"/>
      <c r="MOC84" s="0"/>
      <c r="MOD84" s="0"/>
      <c r="MOE84" s="0"/>
      <c r="MOF84" s="0"/>
      <c r="MOG84" s="0"/>
      <c r="MOH84" s="0"/>
      <c r="MOI84" s="0"/>
      <c r="MOJ84" s="0"/>
      <c r="MOK84" s="0"/>
      <c r="MOL84" s="0"/>
      <c r="MOM84" s="0"/>
      <c r="MON84" s="0"/>
      <c r="MOO84" s="0"/>
      <c r="MOP84" s="0"/>
      <c r="MOQ84" s="0"/>
      <c r="MOR84" s="0"/>
      <c r="MOS84" s="0"/>
      <c r="MOT84" s="0"/>
      <c r="MOU84" s="0"/>
      <c r="MOV84" s="0"/>
      <c r="MOW84" s="0"/>
      <c r="MOX84" s="0"/>
      <c r="MOY84" s="0"/>
      <c r="MOZ84" s="0"/>
      <c r="MPA84" s="0"/>
      <c r="MPB84" s="0"/>
      <c r="MPC84" s="0"/>
      <c r="MPD84" s="0"/>
      <c r="MPE84" s="0"/>
      <c r="MPF84" s="0"/>
      <c r="MPG84" s="0"/>
      <c r="MPH84" s="0"/>
      <c r="MPI84" s="0"/>
      <c r="MPJ84" s="0"/>
      <c r="MPK84" s="0"/>
      <c r="MPL84" s="0"/>
      <c r="MPM84" s="0"/>
      <c r="MPN84" s="0"/>
      <c r="MPO84" s="0"/>
      <c r="MPP84" s="0"/>
      <c r="MPQ84" s="0"/>
      <c r="MPR84" s="0"/>
      <c r="MPS84" s="0"/>
      <c r="MPT84" s="0"/>
      <c r="MPU84" s="0"/>
      <c r="MPV84" s="0"/>
      <c r="MPW84" s="0"/>
      <c r="MPX84" s="0"/>
      <c r="MPY84" s="0"/>
      <c r="MPZ84" s="0"/>
      <c r="MQA84" s="0"/>
      <c r="MQB84" s="0"/>
      <c r="MQC84" s="0"/>
      <c r="MQD84" s="0"/>
      <c r="MQE84" s="0"/>
      <c r="MQF84" s="0"/>
      <c r="MQG84" s="0"/>
      <c r="MQH84" s="0"/>
      <c r="MQI84" s="0"/>
      <c r="MQJ84" s="0"/>
      <c r="MQK84" s="0"/>
      <c r="MQL84" s="0"/>
      <c r="MQM84" s="0"/>
      <c r="MQN84" s="0"/>
      <c r="MQO84" s="0"/>
      <c r="MQP84" s="0"/>
      <c r="MQQ84" s="0"/>
      <c r="MQR84" s="0"/>
      <c r="MQS84" s="0"/>
      <c r="MQT84" s="0"/>
      <c r="MQU84" s="0"/>
      <c r="MQV84" s="0"/>
      <c r="MQW84" s="0"/>
      <c r="MQX84" s="0"/>
      <c r="MQY84" s="0"/>
      <c r="MQZ84" s="0"/>
      <c r="MRA84" s="0"/>
      <c r="MRB84" s="0"/>
      <c r="MRC84" s="0"/>
      <c r="MRD84" s="0"/>
      <c r="MRE84" s="0"/>
      <c r="MRF84" s="0"/>
      <c r="MRG84" s="0"/>
      <c r="MRH84" s="0"/>
      <c r="MRI84" s="0"/>
      <c r="MRJ84" s="0"/>
      <c r="MRK84" s="0"/>
      <c r="MRL84" s="0"/>
      <c r="MRM84" s="0"/>
      <c r="MRN84" s="0"/>
      <c r="MRO84" s="0"/>
      <c r="MRP84" s="0"/>
      <c r="MRQ84" s="0"/>
      <c r="MRR84" s="0"/>
      <c r="MRS84" s="0"/>
      <c r="MRT84" s="0"/>
      <c r="MRU84" s="0"/>
      <c r="MRV84" s="0"/>
      <c r="MRW84" s="0"/>
      <c r="MRX84" s="0"/>
      <c r="MRY84" s="0"/>
      <c r="MRZ84" s="0"/>
      <c r="MSA84" s="0"/>
      <c r="MSB84" s="0"/>
      <c r="MSC84" s="0"/>
      <c r="MSD84" s="0"/>
      <c r="MSE84" s="0"/>
      <c r="MSF84" s="0"/>
      <c r="MSG84" s="0"/>
      <c r="MSH84" s="0"/>
      <c r="MSI84" s="0"/>
      <c r="MSJ84" s="0"/>
      <c r="MSK84" s="0"/>
      <c r="MSL84" s="0"/>
      <c r="MSM84" s="0"/>
      <c r="MSN84" s="0"/>
      <c r="MSO84" s="0"/>
      <c r="MSP84" s="0"/>
      <c r="MSQ84" s="0"/>
      <c r="MSR84" s="0"/>
      <c r="MSS84" s="0"/>
      <c r="MST84" s="0"/>
      <c r="MSU84" s="0"/>
      <c r="MSV84" s="0"/>
      <c r="MSW84" s="0"/>
      <c r="MSX84" s="0"/>
      <c r="MSY84" s="0"/>
      <c r="MSZ84" s="0"/>
      <c r="MTA84" s="0"/>
      <c r="MTB84" s="0"/>
      <c r="MTC84" s="0"/>
      <c r="MTD84" s="0"/>
      <c r="MTE84" s="0"/>
      <c r="MTF84" s="0"/>
      <c r="MTG84" s="0"/>
      <c r="MTH84" s="0"/>
      <c r="MTI84" s="0"/>
      <c r="MTJ84" s="0"/>
      <c r="MTK84" s="0"/>
      <c r="MTL84" s="0"/>
      <c r="MTM84" s="0"/>
      <c r="MTN84" s="0"/>
      <c r="MTO84" s="0"/>
      <c r="MTP84" s="0"/>
      <c r="MTQ84" s="0"/>
      <c r="MTR84" s="0"/>
      <c r="MTS84" s="0"/>
      <c r="MTT84" s="0"/>
      <c r="MTU84" s="0"/>
      <c r="MTV84" s="0"/>
      <c r="MTW84" s="0"/>
      <c r="MTX84" s="0"/>
      <c r="MTY84" s="0"/>
      <c r="MTZ84" s="0"/>
      <c r="MUA84" s="0"/>
      <c r="MUB84" s="0"/>
      <c r="MUC84" s="0"/>
      <c r="MUD84" s="0"/>
      <c r="MUE84" s="0"/>
      <c r="MUF84" s="0"/>
      <c r="MUG84" s="0"/>
      <c r="MUH84" s="0"/>
      <c r="MUI84" s="0"/>
      <c r="MUJ84" s="0"/>
      <c r="MUK84" s="0"/>
      <c r="MUL84" s="0"/>
      <c r="MUM84" s="0"/>
      <c r="MUN84" s="0"/>
      <c r="MUO84" s="0"/>
      <c r="MUP84" s="0"/>
      <c r="MUQ84" s="0"/>
      <c r="MUR84" s="0"/>
      <c r="MUS84" s="0"/>
      <c r="MUT84" s="0"/>
      <c r="MUU84" s="0"/>
      <c r="MUV84" s="0"/>
      <c r="MUW84" s="0"/>
      <c r="MUX84" s="0"/>
      <c r="MUY84" s="0"/>
      <c r="MUZ84" s="0"/>
      <c r="MVA84" s="0"/>
      <c r="MVB84" s="0"/>
      <c r="MVC84" s="0"/>
      <c r="MVD84" s="0"/>
      <c r="MVE84" s="0"/>
      <c r="MVF84" s="0"/>
      <c r="MVG84" s="0"/>
      <c r="MVH84" s="0"/>
      <c r="MVI84" s="0"/>
      <c r="MVJ84" s="0"/>
      <c r="MVK84" s="0"/>
      <c r="MVL84" s="0"/>
      <c r="MVM84" s="0"/>
      <c r="MVN84" s="0"/>
      <c r="MVO84" s="0"/>
      <c r="MVP84" s="0"/>
      <c r="MVQ84" s="0"/>
      <c r="MVR84" s="0"/>
      <c r="MVS84" s="0"/>
      <c r="MVT84" s="0"/>
      <c r="MVU84" s="0"/>
      <c r="MVV84" s="0"/>
      <c r="MVW84" s="0"/>
      <c r="MVX84" s="0"/>
      <c r="MVY84" s="0"/>
      <c r="MVZ84" s="0"/>
      <c r="MWA84" s="0"/>
      <c r="MWB84" s="0"/>
      <c r="MWC84" s="0"/>
      <c r="MWD84" s="0"/>
      <c r="MWE84" s="0"/>
      <c r="MWF84" s="0"/>
      <c r="MWG84" s="0"/>
      <c r="MWH84" s="0"/>
      <c r="MWI84" s="0"/>
      <c r="MWJ84" s="0"/>
      <c r="MWK84" s="0"/>
      <c r="MWL84" s="0"/>
      <c r="MWM84" s="0"/>
      <c r="MWN84" s="0"/>
      <c r="MWO84" s="0"/>
      <c r="MWP84" s="0"/>
      <c r="MWQ84" s="0"/>
      <c r="MWR84" s="0"/>
      <c r="MWS84" s="0"/>
      <c r="MWT84" s="0"/>
      <c r="MWU84" s="0"/>
      <c r="MWV84" s="0"/>
      <c r="MWW84" s="0"/>
      <c r="MWX84" s="0"/>
      <c r="MWY84" s="0"/>
      <c r="MWZ84" s="0"/>
      <c r="MXA84" s="0"/>
      <c r="MXB84" s="0"/>
      <c r="MXC84" s="0"/>
      <c r="MXD84" s="0"/>
      <c r="MXE84" s="0"/>
      <c r="MXF84" s="0"/>
      <c r="MXG84" s="0"/>
      <c r="MXH84" s="0"/>
      <c r="MXI84" s="0"/>
      <c r="MXJ84" s="0"/>
      <c r="MXK84" s="0"/>
      <c r="MXL84" s="0"/>
      <c r="MXM84" s="0"/>
      <c r="MXN84" s="0"/>
      <c r="MXO84" s="0"/>
      <c r="MXP84" s="0"/>
      <c r="MXQ84" s="0"/>
      <c r="MXR84" s="0"/>
      <c r="MXS84" s="0"/>
      <c r="MXT84" s="0"/>
      <c r="MXU84" s="0"/>
      <c r="MXV84" s="0"/>
      <c r="MXW84" s="0"/>
      <c r="MXX84" s="0"/>
      <c r="MXY84" s="0"/>
      <c r="MXZ84" s="0"/>
      <c r="MYA84" s="0"/>
      <c r="MYB84" s="0"/>
      <c r="MYC84" s="0"/>
      <c r="MYD84" s="0"/>
      <c r="MYE84" s="0"/>
      <c r="MYF84" s="0"/>
      <c r="MYG84" s="0"/>
      <c r="MYH84" s="0"/>
      <c r="MYI84" s="0"/>
      <c r="MYJ84" s="0"/>
      <c r="MYK84" s="0"/>
      <c r="MYL84" s="0"/>
      <c r="MYM84" s="0"/>
      <c r="MYN84" s="0"/>
      <c r="MYO84" s="0"/>
      <c r="MYP84" s="0"/>
      <c r="MYQ84" s="0"/>
      <c r="MYR84" s="0"/>
      <c r="MYS84" s="0"/>
      <c r="MYT84" s="0"/>
      <c r="MYU84" s="0"/>
      <c r="MYV84" s="0"/>
      <c r="MYW84" s="0"/>
      <c r="MYX84" s="0"/>
      <c r="MYY84" s="0"/>
      <c r="MYZ84" s="0"/>
      <c r="MZA84" s="0"/>
      <c r="MZB84" s="0"/>
      <c r="MZC84" s="0"/>
      <c r="MZD84" s="0"/>
      <c r="MZE84" s="0"/>
      <c r="MZF84" s="0"/>
      <c r="MZG84" s="0"/>
      <c r="MZH84" s="0"/>
      <c r="MZI84" s="0"/>
      <c r="MZJ84" s="0"/>
      <c r="MZK84" s="0"/>
      <c r="MZL84" s="0"/>
      <c r="MZM84" s="0"/>
      <c r="MZN84" s="0"/>
      <c r="MZO84" s="0"/>
      <c r="MZP84" s="0"/>
      <c r="MZQ84" s="0"/>
      <c r="MZR84" s="0"/>
      <c r="MZS84" s="0"/>
      <c r="MZT84" s="0"/>
      <c r="MZU84" s="0"/>
      <c r="MZV84" s="0"/>
      <c r="MZW84" s="0"/>
      <c r="MZX84" s="0"/>
      <c r="MZY84" s="0"/>
      <c r="MZZ84" s="0"/>
      <c r="NAA84" s="0"/>
      <c r="NAB84" s="0"/>
      <c r="NAC84" s="0"/>
      <c r="NAD84" s="0"/>
      <c r="NAE84" s="0"/>
      <c r="NAF84" s="0"/>
      <c r="NAG84" s="0"/>
      <c r="NAH84" s="0"/>
      <c r="NAI84" s="0"/>
      <c r="NAJ84" s="0"/>
      <c r="NAK84" s="0"/>
      <c r="NAL84" s="0"/>
      <c r="NAM84" s="0"/>
      <c r="NAN84" s="0"/>
      <c r="NAO84" s="0"/>
      <c r="NAP84" s="0"/>
      <c r="NAQ84" s="0"/>
      <c r="NAR84" s="0"/>
      <c r="NAS84" s="0"/>
      <c r="NAT84" s="0"/>
      <c r="NAU84" s="0"/>
      <c r="NAV84" s="0"/>
      <c r="NAW84" s="0"/>
      <c r="NAX84" s="0"/>
      <c r="NAY84" s="0"/>
      <c r="NAZ84" s="0"/>
      <c r="NBA84" s="0"/>
      <c r="NBB84" s="0"/>
      <c r="NBC84" s="0"/>
      <c r="NBD84" s="0"/>
      <c r="NBE84" s="0"/>
      <c r="NBF84" s="0"/>
      <c r="NBG84" s="0"/>
      <c r="NBH84" s="0"/>
      <c r="NBI84" s="0"/>
      <c r="NBJ84" s="0"/>
      <c r="NBK84" s="0"/>
      <c r="NBL84" s="0"/>
      <c r="NBM84" s="0"/>
      <c r="NBN84" s="0"/>
      <c r="NBO84" s="0"/>
      <c r="NBP84" s="0"/>
      <c r="NBQ84" s="0"/>
      <c r="NBR84" s="0"/>
      <c r="NBS84" s="0"/>
      <c r="NBT84" s="0"/>
      <c r="NBU84" s="0"/>
      <c r="NBV84" s="0"/>
      <c r="NBW84" s="0"/>
      <c r="NBX84" s="0"/>
      <c r="NBY84" s="0"/>
      <c r="NBZ84" s="0"/>
      <c r="NCA84" s="0"/>
      <c r="NCB84" s="0"/>
      <c r="NCC84" s="0"/>
      <c r="NCD84" s="0"/>
      <c r="NCE84" s="0"/>
      <c r="NCF84" s="0"/>
      <c r="NCG84" s="0"/>
      <c r="NCH84" s="0"/>
      <c r="NCI84" s="0"/>
      <c r="NCJ84" s="0"/>
      <c r="NCK84" s="0"/>
      <c r="NCL84" s="0"/>
      <c r="NCM84" s="0"/>
      <c r="NCN84" s="0"/>
      <c r="NCO84" s="0"/>
      <c r="NCP84" s="0"/>
      <c r="NCQ84" s="0"/>
      <c r="NCR84" s="0"/>
      <c r="NCS84" s="0"/>
      <c r="NCT84" s="0"/>
      <c r="NCU84" s="0"/>
      <c r="NCV84" s="0"/>
      <c r="NCW84" s="0"/>
      <c r="NCX84" s="0"/>
      <c r="NCY84" s="0"/>
      <c r="NCZ84" s="0"/>
      <c r="NDA84" s="0"/>
      <c r="NDB84" s="0"/>
      <c r="NDC84" s="0"/>
      <c r="NDD84" s="0"/>
      <c r="NDE84" s="0"/>
      <c r="NDF84" s="0"/>
      <c r="NDG84" s="0"/>
      <c r="NDH84" s="0"/>
      <c r="NDI84" s="0"/>
      <c r="NDJ84" s="0"/>
      <c r="NDK84" s="0"/>
      <c r="NDL84" s="0"/>
      <c r="NDM84" s="0"/>
      <c r="NDN84" s="0"/>
      <c r="NDO84" s="0"/>
      <c r="NDP84" s="0"/>
      <c r="NDQ84" s="0"/>
      <c r="NDR84" s="0"/>
      <c r="NDS84" s="0"/>
      <c r="NDT84" s="0"/>
      <c r="NDU84" s="0"/>
      <c r="NDV84" s="0"/>
      <c r="NDW84" s="0"/>
      <c r="NDX84" s="0"/>
      <c r="NDY84" s="0"/>
      <c r="NDZ84" s="0"/>
      <c r="NEA84" s="0"/>
      <c r="NEB84" s="0"/>
      <c r="NEC84" s="0"/>
      <c r="NED84" s="0"/>
      <c r="NEE84" s="0"/>
      <c r="NEF84" s="0"/>
      <c r="NEG84" s="0"/>
      <c r="NEH84" s="0"/>
      <c r="NEI84" s="0"/>
      <c r="NEJ84" s="0"/>
      <c r="NEK84" s="0"/>
      <c r="NEL84" s="0"/>
      <c r="NEM84" s="0"/>
      <c r="NEN84" s="0"/>
      <c r="NEO84" s="0"/>
      <c r="NEP84" s="0"/>
      <c r="NEQ84" s="0"/>
      <c r="NER84" s="0"/>
      <c r="NES84" s="0"/>
      <c r="NET84" s="0"/>
      <c r="NEU84" s="0"/>
      <c r="NEV84" s="0"/>
      <c r="NEW84" s="0"/>
      <c r="NEX84" s="0"/>
      <c r="NEY84" s="0"/>
      <c r="NEZ84" s="0"/>
      <c r="NFA84" s="0"/>
      <c r="NFB84" s="0"/>
      <c r="NFC84" s="0"/>
      <c r="NFD84" s="0"/>
      <c r="NFE84" s="0"/>
      <c r="NFF84" s="0"/>
      <c r="NFG84" s="0"/>
      <c r="NFH84" s="0"/>
      <c r="NFI84" s="0"/>
      <c r="NFJ84" s="0"/>
      <c r="NFK84" s="0"/>
      <c r="NFL84" s="0"/>
      <c r="NFM84" s="0"/>
      <c r="NFN84" s="0"/>
      <c r="NFO84" s="0"/>
      <c r="NFP84" s="0"/>
      <c r="NFQ84" s="0"/>
      <c r="NFR84" s="0"/>
      <c r="NFS84" s="0"/>
      <c r="NFT84" s="0"/>
      <c r="NFU84" s="0"/>
      <c r="NFV84" s="0"/>
      <c r="NFW84" s="0"/>
      <c r="NFX84" s="0"/>
      <c r="NFY84" s="0"/>
      <c r="NFZ84" s="0"/>
      <c r="NGA84" s="0"/>
      <c r="NGB84" s="0"/>
      <c r="NGC84" s="0"/>
      <c r="NGD84" s="0"/>
      <c r="NGE84" s="0"/>
      <c r="NGF84" s="0"/>
      <c r="NGG84" s="0"/>
      <c r="NGH84" s="0"/>
      <c r="NGI84" s="0"/>
      <c r="NGJ84" s="0"/>
      <c r="NGK84" s="0"/>
      <c r="NGL84" s="0"/>
      <c r="NGM84" s="0"/>
      <c r="NGN84" s="0"/>
      <c r="NGO84" s="0"/>
      <c r="NGP84" s="0"/>
      <c r="NGQ84" s="0"/>
      <c r="NGR84" s="0"/>
      <c r="NGS84" s="0"/>
      <c r="NGT84" s="0"/>
      <c r="NGU84" s="0"/>
      <c r="NGV84" s="0"/>
      <c r="NGW84" s="0"/>
      <c r="NGX84" s="0"/>
      <c r="NGY84" s="0"/>
      <c r="NGZ84" s="0"/>
      <c r="NHA84" s="0"/>
      <c r="NHB84" s="0"/>
      <c r="NHC84" s="0"/>
      <c r="NHD84" s="0"/>
      <c r="NHE84" s="0"/>
      <c r="NHF84" s="0"/>
      <c r="NHG84" s="0"/>
      <c r="NHH84" s="0"/>
      <c r="NHI84" s="0"/>
      <c r="NHJ84" s="0"/>
      <c r="NHK84" s="0"/>
      <c r="NHL84" s="0"/>
      <c r="NHM84" s="0"/>
      <c r="NHN84" s="0"/>
      <c r="NHO84" s="0"/>
      <c r="NHP84" s="0"/>
      <c r="NHQ84" s="0"/>
      <c r="NHR84" s="0"/>
      <c r="NHS84" s="0"/>
      <c r="NHT84" s="0"/>
      <c r="NHU84" s="0"/>
      <c r="NHV84" s="0"/>
      <c r="NHW84" s="0"/>
      <c r="NHX84" s="0"/>
      <c r="NHY84" s="0"/>
      <c r="NHZ84" s="0"/>
      <c r="NIA84" s="0"/>
      <c r="NIB84" s="0"/>
      <c r="NIC84" s="0"/>
      <c r="NID84" s="0"/>
      <c r="NIE84" s="0"/>
      <c r="NIF84" s="0"/>
      <c r="NIG84" s="0"/>
      <c r="NIH84" s="0"/>
      <c r="NII84" s="0"/>
      <c r="NIJ84" s="0"/>
      <c r="NIK84" s="0"/>
      <c r="NIL84" s="0"/>
      <c r="NIM84" s="0"/>
      <c r="NIN84" s="0"/>
      <c r="NIO84" s="0"/>
      <c r="NIP84" s="0"/>
      <c r="NIQ84" s="0"/>
      <c r="NIR84" s="0"/>
      <c r="NIS84" s="0"/>
      <c r="NIT84" s="0"/>
      <c r="NIU84" s="0"/>
      <c r="NIV84" s="0"/>
      <c r="NIW84" s="0"/>
      <c r="NIX84" s="0"/>
      <c r="NIY84" s="0"/>
      <c r="NIZ84" s="0"/>
      <c r="NJA84" s="0"/>
      <c r="NJB84" s="0"/>
      <c r="NJC84" s="0"/>
      <c r="NJD84" s="0"/>
      <c r="NJE84" s="0"/>
      <c r="NJF84" s="0"/>
      <c r="NJG84" s="0"/>
      <c r="NJH84" s="0"/>
      <c r="NJI84" s="0"/>
      <c r="NJJ84" s="0"/>
      <c r="NJK84" s="0"/>
      <c r="NJL84" s="0"/>
      <c r="NJM84" s="0"/>
      <c r="NJN84" s="0"/>
      <c r="NJO84" s="0"/>
      <c r="NJP84" s="0"/>
      <c r="NJQ84" s="0"/>
      <c r="NJR84" s="0"/>
      <c r="NJS84" s="0"/>
      <c r="NJT84" s="0"/>
      <c r="NJU84" s="0"/>
      <c r="NJV84" s="0"/>
      <c r="NJW84" s="0"/>
      <c r="NJX84" s="0"/>
      <c r="NJY84" s="0"/>
      <c r="NJZ84" s="0"/>
      <c r="NKA84" s="0"/>
      <c r="NKB84" s="0"/>
      <c r="NKC84" s="0"/>
      <c r="NKD84" s="0"/>
      <c r="NKE84" s="0"/>
      <c r="NKF84" s="0"/>
      <c r="NKG84" s="0"/>
      <c r="NKH84" s="0"/>
      <c r="NKI84" s="0"/>
      <c r="NKJ84" s="0"/>
      <c r="NKK84" s="0"/>
      <c r="NKL84" s="0"/>
      <c r="NKM84" s="0"/>
      <c r="NKN84" s="0"/>
      <c r="NKO84" s="0"/>
      <c r="NKP84" s="0"/>
      <c r="NKQ84" s="0"/>
      <c r="NKR84" s="0"/>
      <c r="NKS84" s="0"/>
      <c r="NKT84" s="0"/>
      <c r="NKU84" s="0"/>
      <c r="NKV84" s="0"/>
      <c r="NKW84" s="0"/>
      <c r="NKX84" s="0"/>
      <c r="NKY84" s="0"/>
      <c r="NKZ84" s="0"/>
      <c r="NLA84" s="0"/>
      <c r="NLB84" s="0"/>
      <c r="NLC84" s="0"/>
      <c r="NLD84" s="0"/>
      <c r="NLE84" s="0"/>
      <c r="NLF84" s="0"/>
      <c r="NLG84" s="0"/>
      <c r="NLH84" s="0"/>
      <c r="NLI84" s="0"/>
      <c r="NLJ84" s="0"/>
      <c r="NLK84" s="0"/>
      <c r="NLL84" s="0"/>
      <c r="NLM84" s="0"/>
      <c r="NLN84" s="0"/>
      <c r="NLO84" s="0"/>
      <c r="NLP84" s="0"/>
      <c r="NLQ84" s="0"/>
      <c r="NLR84" s="0"/>
      <c r="NLS84" s="0"/>
      <c r="NLT84" s="0"/>
      <c r="NLU84" s="0"/>
      <c r="NLV84" s="0"/>
      <c r="NLW84" s="0"/>
      <c r="NLX84" s="0"/>
      <c r="NLY84" s="0"/>
      <c r="NLZ84" s="0"/>
      <c r="NMA84" s="0"/>
      <c r="NMB84" s="0"/>
      <c r="NMC84" s="0"/>
      <c r="NMD84" s="0"/>
      <c r="NME84" s="0"/>
      <c r="NMF84" s="0"/>
      <c r="NMG84" s="0"/>
      <c r="NMH84" s="0"/>
      <c r="NMI84" s="0"/>
      <c r="NMJ84" s="0"/>
      <c r="NMK84" s="0"/>
      <c r="NML84" s="0"/>
      <c r="NMM84" s="0"/>
      <c r="NMN84" s="0"/>
      <c r="NMO84" s="0"/>
      <c r="NMP84" s="0"/>
      <c r="NMQ84" s="0"/>
      <c r="NMR84" s="0"/>
      <c r="NMS84" s="0"/>
      <c r="NMT84" s="0"/>
      <c r="NMU84" s="0"/>
      <c r="NMV84" s="0"/>
      <c r="NMW84" s="0"/>
      <c r="NMX84" s="0"/>
      <c r="NMY84" s="0"/>
      <c r="NMZ84" s="0"/>
      <c r="NNA84" s="0"/>
      <c r="NNB84" s="0"/>
      <c r="NNC84" s="0"/>
      <c r="NND84" s="0"/>
      <c r="NNE84" s="0"/>
      <c r="NNF84" s="0"/>
      <c r="NNG84" s="0"/>
      <c r="NNH84" s="0"/>
      <c r="NNI84" s="0"/>
      <c r="NNJ84" s="0"/>
      <c r="NNK84" s="0"/>
      <c r="NNL84" s="0"/>
      <c r="NNM84" s="0"/>
      <c r="NNN84" s="0"/>
      <c r="NNO84" s="0"/>
      <c r="NNP84" s="0"/>
      <c r="NNQ84" s="0"/>
      <c r="NNR84" s="0"/>
      <c r="NNS84" s="0"/>
      <c r="NNT84" s="0"/>
      <c r="NNU84" s="0"/>
      <c r="NNV84" s="0"/>
      <c r="NNW84" s="0"/>
      <c r="NNX84" s="0"/>
      <c r="NNY84" s="0"/>
      <c r="NNZ84" s="0"/>
      <c r="NOA84" s="0"/>
      <c r="NOB84" s="0"/>
      <c r="NOC84" s="0"/>
      <c r="NOD84" s="0"/>
      <c r="NOE84" s="0"/>
      <c r="NOF84" s="0"/>
      <c r="NOG84" s="0"/>
      <c r="NOH84" s="0"/>
      <c r="NOI84" s="0"/>
      <c r="NOJ84" s="0"/>
      <c r="NOK84" s="0"/>
      <c r="NOL84" s="0"/>
      <c r="NOM84" s="0"/>
      <c r="NON84" s="0"/>
      <c r="NOO84" s="0"/>
      <c r="NOP84" s="0"/>
      <c r="NOQ84" s="0"/>
      <c r="NOR84" s="0"/>
      <c r="NOS84" s="0"/>
      <c r="NOT84" s="0"/>
      <c r="NOU84" s="0"/>
      <c r="NOV84" s="0"/>
      <c r="NOW84" s="0"/>
      <c r="NOX84" s="0"/>
      <c r="NOY84" s="0"/>
      <c r="NOZ84" s="0"/>
      <c r="NPA84" s="0"/>
      <c r="NPB84" s="0"/>
      <c r="NPC84" s="0"/>
      <c r="NPD84" s="0"/>
      <c r="NPE84" s="0"/>
      <c r="NPF84" s="0"/>
      <c r="NPG84" s="0"/>
      <c r="NPH84" s="0"/>
      <c r="NPI84" s="0"/>
      <c r="NPJ84" s="0"/>
      <c r="NPK84" s="0"/>
      <c r="NPL84" s="0"/>
      <c r="NPM84" s="0"/>
      <c r="NPN84" s="0"/>
      <c r="NPO84" s="0"/>
      <c r="NPP84" s="0"/>
      <c r="NPQ84" s="0"/>
      <c r="NPR84" s="0"/>
      <c r="NPS84" s="0"/>
      <c r="NPT84" s="0"/>
      <c r="NPU84" s="0"/>
      <c r="NPV84" s="0"/>
      <c r="NPW84" s="0"/>
      <c r="NPX84" s="0"/>
      <c r="NPY84" s="0"/>
      <c r="NPZ84" s="0"/>
      <c r="NQA84" s="0"/>
      <c r="NQB84" s="0"/>
      <c r="NQC84" s="0"/>
      <c r="NQD84" s="0"/>
      <c r="NQE84" s="0"/>
      <c r="NQF84" s="0"/>
      <c r="NQG84" s="0"/>
      <c r="NQH84" s="0"/>
      <c r="NQI84" s="0"/>
      <c r="NQJ84" s="0"/>
      <c r="NQK84" s="0"/>
      <c r="NQL84" s="0"/>
      <c r="NQM84" s="0"/>
      <c r="NQN84" s="0"/>
      <c r="NQO84" s="0"/>
      <c r="NQP84" s="0"/>
      <c r="NQQ84" s="0"/>
      <c r="NQR84" s="0"/>
      <c r="NQS84" s="0"/>
      <c r="NQT84" s="0"/>
      <c r="NQU84" s="0"/>
      <c r="NQV84" s="0"/>
      <c r="NQW84" s="0"/>
      <c r="NQX84" s="0"/>
      <c r="NQY84" s="0"/>
      <c r="NQZ84" s="0"/>
      <c r="NRA84" s="0"/>
      <c r="NRB84" s="0"/>
      <c r="NRC84" s="0"/>
      <c r="NRD84" s="0"/>
      <c r="NRE84" s="0"/>
      <c r="NRF84" s="0"/>
      <c r="NRG84" s="0"/>
      <c r="NRH84" s="0"/>
      <c r="NRI84" s="0"/>
      <c r="NRJ84" s="0"/>
      <c r="NRK84" s="0"/>
      <c r="NRL84" s="0"/>
      <c r="NRM84" s="0"/>
      <c r="NRN84" s="0"/>
      <c r="NRO84" s="0"/>
      <c r="NRP84" s="0"/>
      <c r="NRQ84" s="0"/>
      <c r="NRR84" s="0"/>
      <c r="NRS84" s="0"/>
      <c r="NRT84" s="0"/>
      <c r="NRU84" s="0"/>
      <c r="NRV84" s="0"/>
      <c r="NRW84" s="0"/>
      <c r="NRX84" s="0"/>
      <c r="NRY84" s="0"/>
      <c r="NRZ84" s="0"/>
      <c r="NSA84" s="0"/>
      <c r="NSB84" s="0"/>
      <c r="NSC84" s="0"/>
      <c r="NSD84" s="0"/>
      <c r="NSE84" s="0"/>
      <c r="NSF84" s="0"/>
      <c r="NSG84" s="0"/>
      <c r="NSH84" s="0"/>
      <c r="NSI84" s="0"/>
      <c r="NSJ84" s="0"/>
      <c r="NSK84" s="0"/>
      <c r="NSL84" s="0"/>
      <c r="NSM84" s="0"/>
      <c r="NSN84" s="0"/>
      <c r="NSO84" s="0"/>
      <c r="NSP84" s="0"/>
      <c r="NSQ84" s="0"/>
      <c r="NSR84" s="0"/>
      <c r="NSS84" s="0"/>
      <c r="NST84" s="0"/>
      <c r="NSU84" s="0"/>
      <c r="NSV84" s="0"/>
      <c r="NSW84" s="0"/>
      <c r="NSX84" s="0"/>
      <c r="NSY84" s="0"/>
      <c r="NSZ84" s="0"/>
      <c r="NTA84" s="0"/>
      <c r="NTB84" s="0"/>
      <c r="NTC84" s="0"/>
      <c r="NTD84" s="0"/>
      <c r="NTE84" s="0"/>
      <c r="NTF84" s="0"/>
      <c r="NTG84" s="0"/>
      <c r="NTH84" s="0"/>
      <c r="NTI84" s="0"/>
      <c r="NTJ84" s="0"/>
      <c r="NTK84" s="0"/>
      <c r="NTL84" s="0"/>
      <c r="NTM84" s="0"/>
      <c r="NTN84" s="0"/>
      <c r="NTO84" s="0"/>
      <c r="NTP84" s="0"/>
      <c r="NTQ84" s="0"/>
      <c r="NTR84" s="0"/>
      <c r="NTS84" s="0"/>
      <c r="NTT84" s="0"/>
      <c r="NTU84" s="0"/>
      <c r="NTV84" s="0"/>
      <c r="NTW84" s="0"/>
      <c r="NTX84" s="0"/>
      <c r="NTY84" s="0"/>
      <c r="NTZ84" s="0"/>
      <c r="NUA84" s="0"/>
      <c r="NUB84" s="0"/>
      <c r="NUC84" s="0"/>
      <c r="NUD84" s="0"/>
      <c r="NUE84" s="0"/>
      <c r="NUF84" s="0"/>
      <c r="NUG84" s="0"/>
      <c r="NUH84" s="0"/>
      <c r="NUI84" s="0"/>
      <c r="NUJ84" s="0"/>
      <c r="NUK84" s="0"/>
      <c r="NUL84" s="0"/>
      <c r="NUM84" s="0"/>
      <c r="NUN84" s="0"/>
      <c r="NUO84" s="0"/>
      <c r="NUP84" s="0"/>
      <c r="NUQ84" s="0"/>
      <c r="NUR84" s="0"/>
      <c r="NUS84" s="0"/>
      <c r="NUT84" s="0"/>
      <c r="NUU84" s="0"/>
      <c r="NUV84" s="0"/>
      <c r="NUW84" s="0"/>
      <c r="NUX84" s="0"/>
      <c r="NUY84" s="0"/>
      <c r="NUZ84" s="0"/>
      <c r="NVA84" s="0"/>
      <c r="NVB84" s="0"/>
      <c r="NVC84" s="0"/>
      <c r="NVD84" s="0"/>
      <c r="NVE84" s="0"/>
      <c r="NVF84" s="0"/>
      <c r="NVG84" s="0"/>
      <c r="NVH84" s="0"/>
      <c r="NVI84" s="0"/>
      <c r="NVJ84" s="0"/>
      <c r="NVK84" s="0"/>
      <c r="NVL84" s="0"/>
      <c r="NVM84" s="0"/>
      <c r="NVN84" s="0"/>
      <c r="NVO84" s="0"/>
      <c r="NVP84" s="0"/>
      <c r="NVQ84" s="0"/>
      <c r="NVR84" s="0"/>
      <c r="NVS84" s="0"/>
      <c r="NVT84" s="0"/>
      <c r="NVU84" s="0"/>
      <c r="NVV84" s="0"/>
      <c r="NVW84" s="0"/>
      <c r="NVX84" s="0"/>
      <c r="NVY84" s="0"/>
      <c r="NVZ84" s="0"/>
      <c r="NWA84" s="0"/>
      <c r="NWB84" s="0"/>
      <c r="NWC84" s="0"/>
      <c r="NWD84" s="0"/>
      <c r="NWE84" s="0"/>
      <c r="NWF84" s="0"/>
      <c r="NWG84" s="0"/>
      <c r="NWH84" s="0"/>
      <c r="NWI84" s="0"/>
      <c r="NWJ84" s="0"/>
      <c r="NWK84" s="0"/>
      <c r="NWL84" s="0"/>
      <c r="NWM84" s="0"/>
      <c r="NWN84" s="0"/>
      <c r="NWO84" s="0"/>
      <c r="NWP84" s="0"/>
      <c r="NWQ84" s="0"/>
      <c r="NWR84" s="0"/>
      <c r="NWS84" s="0"/>
      <c r="NWT84" s="0"/>
      <c r="NWU84" s="0"/>
      <c r="NWV84" s="0"/>
      <c r="NWW84" s="0"/>
      <c r="NWX84" s="0"/>
      <c r="NWY84" s="0"/>
      <c r="NWZ84" s="0"/>
      <c r="NXA84" s="0"/>
      <c r="NXB84" s="0"/>
      <c r="NXC84" s="0"/>
      <c r="NXD84" s="0"/>
      <c r="NXE84" s="0"/>
      <c r="NXF84" s="0"/>
      <c r="NXG84" s="0"/>
      <c r="NXH84" s="0"/>
      <c r="NXI84" s="0"/>
      <c r="NXJ84" s="0"/>
      <c r="NXK84" s="0"/>
      <c r="NXL84" s="0"/>
      <c r="NXM84" s="0"/>
      <c r="NXN84" s="0"/>
      <c r="NXO84" s="0"/>
      <c r="NXP84" s="0"/>
      <c r="NXQ84" s="0"/>
      <c r="NXR84" s="0"/>
      <c r="NXS84" s="0"/>
      <c r="NXT84" s="0"/>
      <c r="NXU84" s="0"/>
      <c r="NXV84" s="0"/>
      <c r="NXW84" s="0"/>
      <c r="NXX84" s="0"/>
      <c r="NXY84" s="0"/>
      <c r="NXZ84" s="0"/>
      <c r="NYA84" s="0"/>
      <c r="NYB84" s="0"/>
      <c r="NYC84" s="0"/>
      <c r="NYD84" s="0"/>
      <c r="NYE84" s="0"/>
      <c r="NYF84" s="0"/>
      <c r="NYG84" s="0"/>
      <c r="NYH84" s="0"/>
      <c r="NYI84" s="0"/>
      <c r="NYJ84" s="0"/>
      <c r="NYK84" s="0"/>
      <c r="NYL84" s="0"/>
      <c r="NYM84" s="0"/>
      <c r="NYN84" s="0"/>
      <c r="NYO84" s="0"/>
      <c r="NYP84" s="0"/>
      <c r="NYQ84" s="0"/>
      <c r="NYR84" s="0"/>
      <c r="NYS84" s="0"/>
      <c r="NYT84" s="0"/>
      <c r="NYU84" s="0"/>
      <c r="NYV84" s="0"/>
      <c r="NYW84" s="0"/>
      <c r="NYX84" s="0"/>
      <c r="NYY84" s="0"/>
      <c r="NYZ84" s="0"/>
      <c r="NZA84" s="0"/>
      <c r="NZB84" s="0"/>
      <c r="NZC84" s="0"/>
      <c r="NZD84" s="0"/>
      <c r="NZE84" s="0"/>
      <c r="NZF84" s="0"/>
      <c r="NZG84" s="0"/>
      <c r="NZH84" s="0"/>
      <c r="NZI84" s="0"/>
      <c r="NZJ84" s="0"/>
      <c r="NZK84" s="0"/>
      <c r="NZL84" s="0"/>
      <c r="NZM84" s="0"/>
      <c r="NZN84" s="0"/>
      <c r="NZO84" s="0"/>
      <c r="NZP84" s="0"/>
      <c r="NZQ84" s="0"/>
      <c r="NZR84" s="0"/>
      <c r="NZS84" s="0"/>
      <c r="NZT84" s="0"/>
      <c r="NZU84" s="0"/>
      <c r="NZV84" s="0"/>
      <c r="NZW84" s="0"/>
      <c r="NZX84" s="0"/>
      <c r="NZY84" s="0"/>
      <c r="NZZ84" s="0"/>
      <c r="OAA84" s="0"/>
      <c r="OAB84" s="0"/>
      <c r="OAC84" s="0"/>
      <c r="OAD84" s="0"/>
      <c r="OAE84" s="0"/>
      <c r="OAF84" s="0"/>
      <c r="OAG84" s="0"/>
      <c r="OAH84" s="0"/>
      <c r="OAI84" s="0"/>
      <c r="OAJ84" s="0"/>
      <c r="OAK84" s="0"/>
      <c r="OAL84" s="0"/>
      <c r="OAM84" s="0"/>
      <c r="OAN84" s="0"/>
      <c r="OAO84" s="0"/>
      <c r="OAP84" s="0"/>
      <c r="OAQ84" s="0"/>
      <c r="OAR84" s="0"/>
      <c r="OAS84" s="0"/>
      <c r="OAT84" s="0"/>
      <c r="OAU84" s="0"/>
      <c r="OAV84" s="0"/>
      <c r="OAW84" s="0"/>
      <c r="OAX84" s="0"/>
      <c r="OAY84" s="0"/>
      <c r="OAZ84" s="0"/>
      <c r="OBA84" s="0"/>
      <c r="OBB84" s="0"/>
      <c r="OBC84" s="0"/>
      <c r="OBD84" s="0"/>
      <c r="OBE84" s="0"/>
      <c r="OBF84" s="0"/>
      <c r="OBG84" s="0"/>
      <c r="OBH84" s="0"/>
      <c r="OBI84" s="0"/>
      <c r="OBJ84" s="0"/>
      <c r="OBK84" s="0"/>
      <c r="OBL84" s="0"/>
      <c r="OBM84" s="0"/>
      <c r="OBN84" s="0"/>
      <c r="OBO84" s="0"/>
      <c r="OBP84" s="0"/>
      <c r="OBQ84" s="0"/>
      <c r="OBR84" s="0"/>
      <c r="OBS84" s="0"/>
      <c r="OBT84" s="0"/>
      <c r="OBU84" s="0"/>
      <c r="OBV84" s="0"/>
      <c r="OBW84" s="0"/>
      <c r="OBX84" s="0"/>
      <c r="OBY84" s="0"/>
      <c r="OBZ84" s="0"/>
      <c r="OCA84" s="0"/>
      <c r="OCB84" s="0"/>
      <c r="OCC84" s="0"/>
      <c r="OCD84" s="0"/>
      <c r="OCE84" s="0"/>
      <c r="OCF84" s="0"/>
      <c r="OCG84" s="0"/>
      <c r="OCH84" s="0"/>
      <c r="OCI84" s="0"/>
      <c r="OCJ84" s="0"/>
      <c r="OCK84" s="0"/>
      <c r="OCL84" s="0"/>
      <c r="OCM84" s="0"/>
      <c r="OCN84" s="0"/>
      <c r="OCO84" s="0"/>
      <c r="OCP84" s="0"/>
      <c r="OCQ84" s="0"/>
      <c r="OCR84" s="0"/>
      <c r="OCS84" s="0"/>
      <c r="OCT84" s="0"/>
      <c r="OCU84" s="0"/>
      <c r="OCV84" s="0"/>
      <c r="OCW84" s="0"/>
      <c r="OCX84" s="0"/>
      <c r="OCY84" s="0"/>
      <c r="OCZ84" s="0"/>
      <c r="ODA84" s="0"/>
      <c r="ODB84" s="0"/>
      <c r="ODC84" s="0"/>
      <c r="ODD84" s="0"/>
      <c r="ODE84" s="0"/>
      <c r="ODF84" s="0"/>
      <c r="ODG84" s="0"/>
      <c r="ODH84" s="0"/>
      <c r="ODI84" s="0"/>
      <c r="ODJ84" s="0"/>
      <c r="ODK84" s="0"/>
      <c r="ODL84" s="0"/>
      <c r="ODM84" s="0"/>
      <c r="ODN84" s="0"/>
      <c r="ODO84" s="0"/>
      <c r="ODP84" s="0"/>
      <c r="ODQ84" s="0"/>
      <c r="ODR84" s="0"/>
      <c r="ODS84" s="0"/>
      <c r="ODT84" s="0"/>
      <c r="ODU84" s="0"/>
      <c r="ODV84" s="0"/>
      <c r="ODW84" s="0"/>
      <c r="ODX84" s="0"/>
      <c r="ODY84" s="0"/>
      <c r="ODZ84" s="0"/>
      <c r="OEA84" s="0"/>
      <c r="OEB84" s="0"/>
      <c r="OEC84" s="0"/>
      <c r="OED84" s="0"/>
      <c r="OEE84" s="0"/>
      <c r="OEF84" s="0"/>
      <c r="OEG84" s="0"/>
      <c r="OEH84" s="0"/>
      <c r="OEI84" s="0"/>
      <c r="OEJ84" s="0"/>
      <c r="OEK84" s="0"/>
      <c r="OEL84" s="0"/>
      <c r="OEM84" s="0"/>
      <c r="OEN84" s="0"/>
      <c r="OEO84" s="0"/>
      <c r="OEP84" s="0"/>
      <c r="OEQ84" s="0"/>
      <c r="OER84" s="0"/>
      <c r="OES84" s="0"/>
      <c r="OET84" s="0"/>
      <c r="OEU84" s="0"/>
      <c r="OEV84" s="0"/>
      <c r="OEW84" s="0"/>
      <c r="OEX84" s="0"/>
      <c r="OEY84" s="0"/>
      <c r="OEZ84" s="0"/>
      <c r="OFA84" s="0"/>
      <c r="OFB84" s="0"/>
      <c r="OFC84" s="0"/>
      <c r="OFD84" s="0"/>
      <c r="OFE84" s="0"/>
      <c r="OFF84" s="0"/>
      <c r="OFG84" s="0"/>
      <c r="OFH84" s="0"/>
      <c r="OFI84" s="0"/>
      <c r="OFJ84" s="0"/>
      <c r="OFK84" s="0"/>
      <c r="OFL84" s="0"/>
      <c r="OFM84" s="0"/>
      <c r="OFN84" s="0"/>
      <c r="OFO84" s="0"/>
      <c r="OFP84" s="0"/>
      <c r="OFQ84" s="0"/>
      <c r="OFR84" s="0"/>
      <c r="OFS84" s="0"/>
      <c r="OFT84" s="0"/>
      <c r="OFU84" s="0"/>
      <c r="OFV84" s="0"/>
      <c r="OFW84" s="0"/>
      <c r="OFX84" s="0"/>
      <c r="OFY84" s="0"/>
      <c r="OFZ84" s="0"/>
      <c r="OGA84" s="0"/>
      <c r="OGB84" s="0"/>
      <c r="OGC84" s="0"/>
      <c r="OGD84" s="0"/>
      <c r="OGE84" s="0"/>
      <c r="OGF84" s="0"/>
      <c r="OGG84" s="0"/>
      <c r="OGH84" s="0"/>
      <c r="OGI84" s="0"/>
      <c r="OGJ84" s="0"/>
      <c r="OGK84" s="0"/>
      <c r="OGL84" s="0"/>
      <c r="OGM84" s="0"/>
      <c r="OGN84" s="0"/>
      <c r="OGO84" s="0"/>
      <c r="OGP84" s="0"/>
      <c r="OGQ84" s="0"/>
      <c r="OGR84" s="0"/>
      <c r="OGS84" s="0"/>
      <c r="OGT84" s="0"/>
      <c r="OGU84" s="0"/>
      <c r="OGV84" s="0"/>
      <c r="OGW84" s="0"/>
      <c r="OGX84" s="0"/>
      <c r="OGY84" s="0"/>
      <c r="OGZ84" s="0"/>
      <c r="OHA84" s="0"/>
      <c r="OHB84" s="0"/>
      <c r="OHC84" s="0"/>
      <c r="OHD84" s="0"/>
      <c r="OHE84" s="0"/>
      <c r="OHF84" s="0"/>
      <c r="OHG84" s="0"/>
      <c r="OHH84" s="0"/>
      <c r="OHI84" s="0"/>
      <c r="OHJ84" s="0"/>
      <c r="OHK84" s="0"/>
      <c r="OHL84" s="0"/>
      <c r="OHM84" s="0"/>
      <c r="OHN84" s="0"/>
      <c r="OHO84" s="0"/>
      <c r="OHP84" s="0"/>
      <c r="OHQ84" s="0"/>
      <c r="OHR84" s="0"/>
      <c r="OHS84" s="0"/>
      <c r="OHT84" s="0"/>
      <c r="OHU84" s="0"/>
      <c r="OHV84" s="0"/>
      <c r="OHW84" s="0"/>
      <c r="OHX84" s="0"/>
      <c r="OHY84" s="0"/>
      <c r="OHZ84" s="0"/>
      <c r="OIA84" s="0"/>
      <c r="OIB84" s="0"/>
      <c r="OIC84" s="0"/>
      <c r="OID84" s="0"/>
      <c r="OIE84" s="0"/>
      <c r="OIF84" s="0"/>
      <c r="OIG84" s="0"/>
      <c r="OIH84" s="0"/>
      <c r="OII84" s="0"/>
      <c r="OIJ84" s="0"/>
      <c r="OIK84" s="0"/>
      <c r="OIL84" s="0"/>
      <c r="OIM84" s="0"/>
      <c r="OIN84" s="0"/>
      <c r="OIO84" s="0"/>
      <c r="OIP84" s="0"/>
      <c r="OIQ84" s="0"/>
      <c r="OIR84" s="0"/>
      <c r="OIS84" s="0"/>
      <c r="OIT84" s="0"/>
      <c r="OIU84" s="0"/>
      <c r="OIV84" s="0"/>
      <c r="OIW84" s="0"/>
      <c r="OIX84" s="0"/>
      <c r="OIY84" s="0"/>
      <c r="OIZ84" s="0"/>
      <c r="OJA84" s="0"/>
      <c r="OJB84" s="0"/>
      <c r="OJC84" s="0"/>
      <c r="OJD84" s="0"/>
      <c r="OJE84" s="0"/>
      <c r="OJF84" s="0"/>
      <c r="OJG84" s="0"/>
      <c r="OJH84" s="0"/>
      <c r="OJI84" s="0"/>
      <c r="OJJ84" s="0"/>
      <c r="OJK84" s="0"/>
      <c r="OJL84" s="0"/>
      <c r="OJM84" s="0"/>
      <c r="OJN84" s="0"/>
      <c r="OJO84" s="0"/>
      <c r="OJP84" s="0"/>
      <c r="OJQ84" s="0"/>
      <c r="OJR84" s="0"/>
      <c r="OJS84" s="0"/>
      <c r="OJT84" s="0"/>
      <c r="OJU84" s="0"/>
      <c r="OJV84" s="0"/>
      <c r="OJW84" s="0"/>
      <c r="OJX84" s="0"/>
      <c r="OJY84" s="0"/>
      <c r="OJZ84" s="0"/>
      <c r="OKA84" s="0"/>
      <c r="OKB84" s="0"/>
      <c r="OKC84" s="0"/>
      <c r="OKD84" s="0"/>
      <c r="OKE84" s="0"/>
      <c r="OKF84" s="0"/>
      <c r="OKG84" s="0"/>
      <c r="OKH84" s="0"/>
      <c r="OKI84" s="0"/>
      <c r="OKJ84" s="0"/>
      <c r="OKK84" s="0"/>
      <c r="OKL84" s="0"/>
      <c r="OKM84" s="0"/>
      <c r="OKN84" s="0"/>
      <c r="OKO84" s="0"/>
      <c r="OKP84" s="0"/>
      <c r="OKQ84" s="0"/>
      <c r="OKR84" s="0"/>
      <c r="OKS84" s="0"/>
      <c r="OKT84" s="0"/>
      <c r="OKU84" s="0"/>
      <c r="OKV84" s="0"/>
      <c r="OKW84" s="0"/>
      <c r="OKX84" s="0"/>
      <c r="OKY84" s="0"/>
      <c r="OKZ84" s="0"/>
      <c r="OLA84" s="0"/>
      <c r="OLB84" s="0"/>
      <c r="OLC84" s="0"/>
      <c r="OLD84" s="0"/>
      <c r="OLE84" s="0"/>
      <c r="OLF84" s="0"/>
      <c r="OLG84" s="0"/>
      <c r="OLH84" s="0"/>
      <c r="OLI84" s="0"/>
      <c r="OLJ84" s="0"/>
      <c r="OLK84" s="0"/>
      <c r="OLL84" s="0"/>
      <c r="OLM84" s="0"/>
      <c r="OLN84" s="0"/>
      <c r="OLO84" s="0"/>
      <c r="OLP84" s="0"/>
      <c r="OLQ84" s="0"/>
      <c r="OLR84" s="0"/>
      <c r="OLS84" s="0"/>
      <c r="OLT84" s="0"/>
      <c r="OLU84" s="0"/>
      <c r="OLV84" s="0"/>
      <c r="OLW84" s="0"/>
      <c r="OLX84" s="0"/>
      <c r="OLY84" s="0"/>
      <c r="OLZ84" s="0"/>
      <c r="OMA84" s="0"/>
      <c r="OMB84" s="0"/>
      <c r="OMC84" s="0"/>
      <c r="OMD84" s="0"/>
      <c r="OME84" s="0"/>
      <c r="OMF84" s="0"/>
      <c r="OMG84" s="0"/>
      <c r="OMH84" s="0"/>
      <c r="OMI84" s="0"/>
      <c r="OMJ84" s="0"/>
      <c r="OMK84" s="0"/>
      <c r="OML84" s="0"/>
      <c r="OMM84" s="0"/>
      <c r="OMN84" s="0"/>
      <c r="OMO84" s="0"/>
      <c r="OMP84" s="0"/>
      <c r="OMQ84" s="0"/>
      <c r="OMR84" s="0"/>
      <c r="OMS84" s="0"/>
      <c r="OMT84" s="0"/>
      <c r="OMU84" s="0"/>
      <c r="OMV84" s="0"/>
      <c r="OMW84" s="0"/>
      <c r="OMX84" s="0"/>
      <c r="OMY84" s="0"/>
      <c r="OMZ84" s="0"/>
      <c r="ONA84" s="0"/>
      <c r="ONB84" s="0"/>
      <c r="ONC84" s="0"/>
      <c r="OND84" s="0"/>
      <c r="ONE84" s="0"/>
      <c r="ONF84" s="0"/>
      <c r="ONG84" s="0"/>
      <c r="ONH84" s="0"/>
      <c r="ONI84" s="0"/>
      <c r="ONJ84" s="0"/>
      <c r="ONK84" s="0"/>
      <c r="ONL84" s="0"/>
      <c r="ONM84" s="0"/>
      <c r="ONN84" s="0"/>
      <c r="ONO84" s="0"/>
      <c r="ONP84" s="0"/>
      <c r="ONQ84" s="0"/>
      <c r="ONR84" s="0"/>
      <c r="ONS84" s="0"/>
      <c r="ONT84" s="0"/>
      <c r="ONU84" s="0"/>
      <c r="ONV84" s="0"/>
      <c r="ONW84" s="0"/>
      <c r="ONX84" s="0"/>
      <c r="ONY84" s="0"/>
      <c r="ONZ84" s="0"/>
      <c r="OOA84" s="0"/>
      <c r="OOB84" s="0"/>
      <c r="OOC84" s="0"/>
      <c r="OOD84" s="0"/>
      <c r="OOE84" s="0"/>
      <c r="OOF84" s="0"/>
      <c r="OOG84" s="0"/>
      <c r="OOH84" s="0"/>
      <c r="OOI84" s="0"/>
      <c r="OOJ84" s="0"/>
      <c r="OOK84" s="0"/>
      <c r="OOL84" s="0"/>
      <c r="OOM84" s="0"/>
      <c r="OON84" s="0"/>
      <c r="OOO84" s="0"/>
      <c r="OOP84" s="0"/>
      <c r="OOQ84" s="0"/>
      <c r="OOR84" s="0"/>
      <c r="OOS84" s="0"/>
      <c r="OOT84" s="0"/>
      <c r="OOU84" s="0"/>
      <c r="OOV84" s="0"/>
      <c r="OOW84" s="0"/>
      <c r="OOX84" s="0"/>
      <c r="OOY84" s="0"/>
      <c r="OOZ84" s="0"/>
      <c r="OPA84" s="0"/>
      <c r="OPB84" s="0"/>
      <c r="OPC84" s="0"/>
      <c r="OPD84" s="0"/>
      <c r="OPE84" s="0"/>
      <c r="OPF84" s="0"/>
      <c r="OPG84" s="0"/>
      <c r="OPH84" s="0"/>
      <c r="OPI84" s="0"/>
      <c r="OPJ84" s="0"/>
      <c r="OPK84" s="0"/>
      <c r="OPL84" s="0"/>
      <c r="OPM84" s="0"/>
      <c r="OPN84" s="0"/>
      <c r="OPO84" s="0"/>
      <c r="OPP84" s="0"/>
      <c r="OPQ84" s="0"/>
      <c r="OPR84" s="0"/>
      <c r="OPS84" s="0"/>
      <c r="OPT84" s="0"/>
      <c r="OPU84" s="0"/>
      <c r="OPV84" s="0"/>
      <c r="OPW84" s="0"/>
      <c r="OPX84" s="0"/>
      <c r="OPY84" s="0"/>
      <c r="OPZ84" s="0"/>
      <c r="OQA84" s="0"/>
      <c r="OQB84" s="0"/>
      <c r="OQC84" s="0"/>
      <c r="OQD84" s="0"/>
      <c r="OQE84" s="0"/>
      <c r="OQF84" s="0"/>
      <c r="OQG84" s="0"/>
      <c r="OQH84" s="0"/>
      <c r="OQI84" s="0"/>
      <c r="OQJ84" s="0"/>
      <c r="OQK84" s="0"/>
      <c r="OQL84" s="0"/>
      <c r="OQM84" s="0"/>
      <c r="OQN84" s="0"/>
      <c r="OQO84" s="0"/>
      <c r="OQP84" s="0"/>
      <c r="OQQ84" s="0"/>
      <c r="OQR84" s="0"/>
      <c r="OQS84" s="0"/>
      <c r="OQT84" s="0"/>
      <c r="OQU84" s="0"/>
      <c r="OQV84" s="0"/>
      <c r="OQW84" s="0"/>
      <c r="OQX84" s="0"/>
      <c r="OQY84" s="0"/>
      <c r="OQZ84" s="0"/>
      <c r="ORA84" s="0"/>
      <c r="ORB84" s="0"/>
      <c r="ORC84" s="0"/>
      <c r="ORD84" s="0"/>
      <c r="ORE84" s="0"/>
      <c r="ORF84" s="0"/>
      <c r="ORG84" s="0"/>
      <c r="ORH84" s="0"/>
      <c r="ORI84" s="0"/>
      <c r="ORJ84" s="0"/>
      <c r="ORK84" s="0"/>
      <c r="ORL84" s="0"/>
      <c r="ORM84" s="0"/>
      <c r="ORN84" s="0"/>
      <c r="ORO84" s="0"/>
      <c r="ORP84" s="0"/>
      <c r="ORQ84" s="0"/>
      <c r="ORR84" s="0"/>
      <c r="ORS84" s="0"/>
      <c r="ORT84" s="0"/>
      <c r="ORU84" s="0"/>
      <c r="ORV84" s="0"/>
      <c r="ORW84" s="0"/>
      <c r="ORX84" s="0"/>
      <c r="ORY84" s="0"/>
      <c r="ORZ84" s="0"/>
      <c r="OSA84" s="0"/>
      <c r="OSB84" s="0"/>
      <c r="OSC84" s="0"/>
      <c r="OSD84" s="0"/>
      <c r="OSE84" s="0"/>
      <c r="OSF84" s="0"/>
      <c r="OSG84" s="0"/>
      <c r="OSH84" s="0"/>
      <c r="OSI84" s="0"/>
      <c r="OSJ84" s="0"/>
      <c r="OSK84" s="0"/>
      <c r="OSL84" s="0"/>
      <c r="OSM84" s="0"/>
      <c r="OSN84" s="0"/>
      <c r="OSO84" s="0"/>
      <c r="OSP84" s="0"/>
      <c r="OSQ84" s="0"/>
      <c r="OSR84" s="0"/>
      <c r="OSS84" s="0"/>
      <c r="OST84" s="0"/>
      <c r="OSU84" s="0"/>
      <c r="OSV84" s="0"/>
      <c r="OSW84" s="0"/>
      <c r="OSX84" s="0"/>
      <c r="OSY84" s="0"/>
      <c r="OSZ84" s="0"/>
      <c r="OTA84" s="0"/>
      <c r="OTB84" s="0"/>
      <c r="OTC84" s="0"/>
      <c r="OTD84" s="0"/>
      <c r="OTE84" s="0"/>
      <c r="OTF84" s="0"/>
      <c r="OTG84" s="0"/>
      <c r="OTH84" s="0"/>
      <c r="OTI84" s="0"/>
      <c r="OTJ84" s="0"/>
      <c r="OTK84" s="0"/>
      <c r="OTL84" s="0"/>
      <c r="OTM84" s="0"/>
      <c r="OTN84" s="0"/>
      <c r="OTO84" s="0"/>
      <c r="OTP84" s="0"/>
      <c r="OTQ84" s="0"/>
      <c r="OTR84" s="0"/>
      <c r="OTS84" s="0"/>
      <c r="OTT84" s="0"/>
      <c r="OTU84" s="0"/>
      <c r="OTV84" s="0"/>
      <c r="OTW84" s="0"/>
      <c r="OTX84" s="0"/>
      <c r="OTY84" s="0"/>
      <c r="OTZ84" s="0"/>
      <c r="OUA84" s="0"/>
      <c r="OUB84" s="0"/>
      <c r="OUC84" s="0"/>
      <c r="OUD84" s="0"/>
      <c r="OUE84" s="0"/>
      <c r="OUF84" s="0"/>
      <c r="OUG84" s="0"/>
      <c r="OUH84" s="0"/>
      <c r="OUI84" s="0"/>
      <c r="OUJ84" s="0"/>
      <c r="OUK84" s="0"/>
      <c r="OUL84" s="0"/>
      <c r="OUM84" s="0"/>
      <c r="OUN84" s="0"/>
      <c r="OUO84" s="0"/>
      <c r="OUP84" s="0"/>
      <c r="OUQ84" s="0"/>
      <c r="OUR84" s="0"/>
      <c r="OUS84" s="0"/>
      <c r="OUT84" s="0"/>
      <c r="OUU84" s="0"/>
      <c r="OUV84" s="0"/>
      <c r="OUW84" s="0"/>
      <c r="OUX84" s="0"/>
      <c r="OUY84" s="0"/>
      <c r="OUZ84" s="0"/>
      <c r="OVA84" s="0"/>
      <c r="OVB84" s="0"/>
      <c r="OVC84" s="0"/>
      <c r="OVD84" s="0"/>
      <c r="OVE84" s="0"/>
      <c r="OVF84" s="0"/>
      <c r="OVG84" s="0"/>
      <c r="OVH84" s="0"/>
      <c r="OVI84" s="0"/>
      <c r="OVJ84" s="0"/>
      <c r="OVK84" s="0"/>
      <c r="OVL84" s="0"/>
      <c r="OVM84" s="0"/>
      <c r="OVN84" s="0"/>
      <c r="OVO84" s="0"/>
      <c r="OVP84" s="0"/>
      <c r="OVQ84" s="0"/>
      <c r="OVR84" s="0"/>
      <c r="OVS84" s="0"/>
      <c r="OVT84" s="0"/>
      <c r="OVU84" s="0"/>
      <c r="OVV84" s="0"/>
      <c r="OVW84" s="0"/>
      <c r="OVX84" s="0"/>
      <c r="OVY84" s="0"/>
      <c r="OVZ84" s="0"/>
      <c r="OWA84" s="0"/>
      <c r="OWB84" s="0"/>
      <c r="OWC84" s="0"/>
      <c r="OWD84" s="0"/>
      <c r="OWE84" s="0"/>
      <c r="OWF84" s="0"/>
      <c r="OWG84" s="0"/>
      <c r="OWH84" s="0"/>
      <c r="OWI84" s="0"/>
      <c r="OWJ84" s="0"/>
      <c r="OWK84" s="0"/>
      <c r="OWL84" s="0"/>
      <c r="OWM84" s="0"/>
      <c r="OWN84" s="0"/>
      <c r="OWO84" s="0"/>
      <c r="OWP84" s="0"/>
      <c r="OWQ84" s="0"/>
      <c r="OWR84" s="0"/>
      <c r="OWS84" s="0"/>
      <c r="OWT84" s="0"/>
      <c r="OWU84" s="0"/>
      <c r="OWV84" s="0"/>
      <c r="OWW84" s="0"/>
      <c r="OWX84" s="0"/>
      <c r="OWY84" s="0"/>
      <c r="OWZ84" s="0"/>
      <c r="OXA84" s="0"/>
      <c r="OXB84" s="0"/>
      <c r="OXC84" s="0"/>
      <c r="OXD84" s="0"/>
      <c r="OXE84" s="0"/>
      <c r="OXF84" s="0"/>
      <c r="OXG84" s="0"/>
      <c r="OXH84" s="0"/>
      <c r="OXI84" s="0"/>
      <c r="OXJ84" s="0"/>
      <c r="OXK84" s="0"/>
      <c r="OXL84" s="0"/>
      <c r="OXM84" s="0"/>
      <c r="OXN84" s="0"/>
      <c r="OXO84" s="0"/>
      <c r="OXP84" s="0"/>
      <c r="OXQ84" s="0"/>
      <c r="OXR84" s="0"/>
      <c r="OXS84" s="0"/>
      <c r="OXT84" s="0"/>
      <c r="OXU84" s="0"/>
      <c r="OXV84" s="0"/>
      <c r="OXW84" s="0"/>
      <c r="OXX84" s="0"/>
      <c r="OXY84" s="0"/>
      <c r="OXZ84" s="0"/>
      <c r="OYA84" s="0"/>
      <c r="OYB84" s="0"/>
      <c r="OYC84" s="0"/>
      <c r="OYD84" s="0"/>
      <c r="OYE84" s="0"/>
      <c r="OYF84" s="0"/>
      <c r="OYG84" s="0"/>
      <c r="OYH84" s="0"/>
      <c r="OYI84" s="0"/>
      <c r="OYJ84" s="0"/>
      <c r="OYK84" s="0"/>
      <c r="OYL84" s="0"/>
      <c r="OYM84" s="0"/>
      <c r="OYN84" s="0"/>
      <c r="OYO84" s="0"/>
      <c r="OYP84" s="0"/>
      <c r="OYQ84" s="0"/>
      <c r="OYR84" s="0"/>
      <c r="OYS84" s="0"/>
      <c r="OYT84" s="0"/>
      <c r="OYU84" s="0"/>
      <c r="OYV84" s="0"/>
      <c r="OYW84" s="0"/>
      <c r="OYX84" s="0"/>
      <c r="OYY84" s="0"/>
      <c r="OYZ84" s="0"/>
      <c r="OZA84" s="0"/>
      <c r="OZB84" s="0"/>
      <c r="OZC84" s="0"/>
      <c r="OZD84" s="0"/>
      <c r="OZE84" s="0"/>
      <c r="OZF84" s="0"/>
      <c r="OZG84" s="0"/>
      <c r="OZH84" s="0"/>
      <c r="OZI84" s="0"/>
      <c r="OZJ84" s="0"/>
      <c r="OZK84" s="0"/>
      <c r="OZL84" s="0"/>
      <c r="OZM84" s="0"/>
      <c r="OZN84" s="0"/>
      <c r="OZO84" s="0"/>
      <c r="OZP84" s="0"/>
      <c r="OZQ84" s="0"/>
      <c r="OZR84" s="0"/>
      <c r="OZS84" s="0"/>
      <c r="OZT84" s="0"/>
      <c r="OZU84" s="0"/>
      <c r="OZV84" s="0"/>
      <c r="OZW84" s="0"/>
      <c r="OZX84" s="0"/>
      <c r="OZY84" s="0"/>
      <c r="OZZ84" s="0"/>
      <c r="PAA84" s="0"/>
      <c r="PAB84" s="0"/>
      <c r="PAC84" s="0"/>
      <c r="PAD84" s="0"/>
      <c r="PAE84" s="0"/>
      <c r="PAF84" s="0"/>
      <c r="PAG84" s="0"/>
      <c r="PAH84" s="0"/>
      <c r="PAI84" s="0"/>
      <c r="PAJ84" s="0"/>
      <c r="PAK84" s="0"/>
      <c r="PAL84" s="0"/>
      <c r="PAM84" s="0"/>
      <c r="PAN84" s="0"/>
      <c r="PAO84" s="0"/>
      <c r="PAP84" s="0"/>
      <c r="PAQ84" s="0"/>
      <c r="PAR84" s="0"/>
      <c r="PAS84" s="0"/>
      <c r="PAT84" s="0"/>
      <c r="PAU84" s="0"/>
      <c r="PAV84" s="0"/>
      <c r="PAW84" s="0"/>
      <c r="PAX84" s="0"/>
      <c r="PAY84" s="0"/>
      <c r="PAZ84" s="0"/>
      <c r="PBA84" s="0"/>
      <c r="PBB84" s="0"/>
      <c r="PBC84" s="0"/>
      <c r="PBD84" s="0"/>
      <c r="PBE84" s="0"/>
      <c r="PBF84" s="0"/>
      <c r="PBG84" s="0"/>
      <c r="PBH84" s="0"/>
      <c r="PBI84" s="0"/>
      <c r="PBJ84" s="0"/>
      <c r="PBK84" s="0"/>
      <c r="PBL84" s="0"/>
      <c r="PBM84" s="0"/>
      <c r="PBN84" s="0"/>
      <c r="PBO84" s="0"/>
      <c r="PBP84" s="0"/>
      <c r="PBQ84" s="0"/>
      <c r="PBR84" s="0"/>
      <c r="PBS84" s="0"/>
      <c r="PBT84" s="0"/>
      <c r="PBU84" s="0"/>
      <c r="PBV84" s="0"/>
      <c r="PBW84" s="0"/>
      <c r="PBX84" s="0"/>
      <c r="PBY84" s="0"/>
      <c r="PBZ84" s="0"/>
      <c r="PCA84" s="0"/>
      <c r="PCB84" s="0"/>
      <c r="PCC84" s="0"/>
      <c r="PCD84" s="0"/>
      <c r="PCE84" s="0"/>
      <c r="PCF84" s="0"/>
      <c r="PCG84" s="0"/>
      <c r="PCH84" s="0"/>
      <c r="PCI84" s="0"/>
      <c r="PCJ84" s="0"/>
      <c r="PCK84" s="0"/>
      <c r="PCL84" s="0"/>
      <c r="PCM84" s="0"/>
      <c r="PCN84" s="0"/>
      <c r="PCO84" s="0"/>
      <c r="PCP84" s="0"/>
      <c r="PCQ84" s="0"/>
      <c r="PCR84" s="0"/>
      <c r="PCS84" s="0"/>
      <c r="PCT84" s="0"/>
      <c r="PCU84" s="0"/>
      <c r="PCV84" s="0"/>
      <c r="PCW84" s="0"/>
      <c r="PCX84" s="0"/>
      <c r="PCY84" s="0"/>
      <c r="PCZ84" s="0"/>
      <c r="PDA84" s="0"/>
      <c r="PDB84" s="0"/>
      <c r="PDC84" s="0"/>
      <c r="PDD84" s="0"/>
      <c r="PDE84" s="0"/>
      <c r="PDF84" s="0"/>
      <c r="PDG84" s="0"/>
      <c r="PDH84" s="0"/>
      <c r="PDI84" s="0"/>
      <c r="PDJ84" s="0"/>
      <c r="PDK84" s="0"/>
      <c r="PDL84" s="0"/>
      <c r="PDM84" s="0"/>
      <c r="PDN84" s="0"/>
      <c r="PDO84" s="0"/>
      <c r="PDP84" s="0"/>
      <c r="PDQ84" s="0"/>
      <c r="PDR84" s="0"/>
      <c r="PDS84" s="0"/>
      <c r="PDT84" s="0"/>
      <c r="PDU84" s="0"/>
      <c r="PDV84" s="0"/>
      <c r="PDW84" s="0"/>
      <c r="PDX84" s="0"/>
      <c r="PDY84" s="0"/>
      <c r="PDZ84" s="0"/>
      <c r="PEA84" s="0"/>
      <c r="PEB84" s="0"/>
      <c r="PEC84" s="0"/>
      <c r="PED84" s="0"/>
      <c r="PEE84" s="0"/>
      <c r="PEF84" s="0"/>
      <c r="PEG84" s="0"/>
      <c r="PEH84" s="0"/>
      <c r="PEI84" s="0"/>
      <c r="PEJ84" s="0"/>
      <c r="PEK84" s="0"/>
      <c r="PEL84" s="0"/>
      <c r="PEM84" s="0"/>
      <c r="PEN84" s="0"/>
      <c r="PEO84" s="0"/>
      <c r="PEP84" s="0"/>
      <c r="PEQ84" s="0"/>
      <c r="PER84" s="0"/>
      <c r="PES84" s="0"/>
      <c r="PET84" s="0"/>
      <c r="PEU84" s="0"/>
      <c r="PEV84" s="0"/>
      <c r="PEW84" s="0"/>
      <c r="PEX84" s="0"/>
      <c r="PEY84" s="0"/>
      <c r="PEZ84" s="0"/>
      <c r="PFA84" s="0"/>
      <c r="PFB84" s="0"/>
      <c r="PFC84" s="0"/>
      <c r="PFD84" s="0"/>
      <c r="PFE84" s="0"/>
      <c r="PFF84" s="0"/>
      <c r="PFG84" s="0"/>
      <c r="PFH84" s="0"/>
      <c r="PFI84" s="0"/>
      <c r="PFJ84" s="0"/>
      <c r="PFK84" s="0"/>
      <c r="PFL84" s="0"/>
      <c r="PFM84" s="0"/>
      <c r="PFN84" s="0"/>
      <c r="PFO84" s="0"/>
      <c r="PFP84" s="0"/>
      <c r="PFQ84" s="0"/>
      <c r="PFR84" s="0"/>
      <c r="PFS84" s="0"/>
      <c r="PFT84" s="0"/>
      <c r="PFU84" s="0"/>
      <c r="PFV84" s="0"/>
      <c r="PFW84" s="0"/>
      <c r="PFX84" s="0"/>
      <c r="PFY84" s="0"/>
      <c r="PFZ84" s="0"/>
      <c r="PGA84" s="0"/>
      <c r="PGB84" s="0"/>
      <c r="PGC84" s="0"/>
      <c r="PGD84" s="0"/>
      <c r="PGE84" s="0"/>
      <c r="PGF84" s="0"/>
      <c r="PGG84" s="0"/>
      <c r="PGH84" s="0"/>
      <c r="PGI84" s="0"/>
      <c r="PGJ84" s="0"/>
      <c r="PGK84" s="0"/>
      <c r="PGL84" s="0"/>
      <c r="PGM84" s="0"/>
      <c r="PGN84" s="0"/>
      <c r="PGO84" s="0"/>
      <c r="PGP84" s="0"/>
      <c r="PGQ84" s="0"/>
      <c r="PGR84" s="0"/>
      <c r="PGS84" s="0"/>
      <c r="PGT84" s="0"/>
      <c r="PGU84" s="0"/>
      <c r="PGV84" s="0"/>
      <c r="PGW84" s="0"/>
      <c r="PGX84" s="0"/>
      <c r="PGY84" s="0"/>
      <c r="PGZ84" s="0"/>
      <c r="PHA84" s="0"/>
      <c r="PHB84" s="0"/>
      <c r="PHC84" s="0"/>
      <c r="PHD84" s="0"/>
      <c r="PHE84" s="0"/>
      <c r="PHF84" s="0"/>
      <c r="PHG84" s="0"/>
      <c r="PHH84" s="0"/>
      <c r="PHI84" s="0"/>
      <c r="PHJ84" s="0"/>
      <c r="PHK84" s="0"/>
      <c r="PHL84" s="0"/>
      <c r="PHM84" s="0"/>
      <c r="PHN84" s="0"/>
      <c r="PHO84" s="0"/>
      <c r="PHP84" s="0"/>
      <c r="PHQ84" s="0"/>
      <c r="PHR84" s="0"/>
      <c r="PHS84" s="0"/>
      <c r="PHT84" s="0"/>
      <c r="PHU84" s="0"/>
      <c r="PHV84" s="0"/>
      <c r="PHW84" s="0"/>
      <c r="PHX84" s="0"/>
      <c r="PHY84" s="0"/>
      <c r="PHZ84" s="0"/>
      <c r="PIA84" s="0"/>
      <c r="PIB84" s="0"/>
      <c r="PIC84" s="0"/>
      <c r="PID84" s="0"/>
      <c r="PIE84" s="0"/>
      <c r="PIF84" s="0"/>
      <c r="PIG84" s="0"/>
      <c r="PIH84" s="0"/>
      <c r="PII84" s="0"/>
      <c r="PIJ84" s="0"/>
      <c r="PIK84" s="0"/>
      <c r="PIL84" s="0"/>
      <c r="PIM84" s="0"/>
      <c r="PIN84" s="0"/>
      <c r="PIO84" s="0"/>
      <c r="PIP84" s="0"/>
      <c r="PIQ84" s="0"/>
      <c r="PIR84" s="0"/>
      <c r="PIS84" s="0"/>
      <c r="PIT84" s="0"/>
      <c r="PIU84" s="0"/>
      <c r="PIV84" s="0"/>
      <c r="PIW84" s="0"/>
      <c r="PIX84" s="0"/>
      <c r="PIY84" s="0"/>
      <c r="PIZ84" s="0"/>
      <c r="PJA84" s="0"/>
      <c r="PJB84" s="0"/>
      <c r="PJC84" s="0"/>
      <c r="PJD84" s="0"/>
      <c r="PJE84" s="0"/>
      <c r="PJF84" s="0"/>
      <c r="PJG84" s="0"/>
      <c r="PJH84" s="0"/>
      <c r="PJI84" s="0"/>
      <c r="PJJ84" s="0"/>
      <c r="PJK84" s="0"/>
      <c r="PJL84" s="0"/>
      <c r="PJM84" s="0"/>
      <c r="PJN84" s="0"/>
      <c r="PJO84" s="0"/>
      <c r="PJP84" s="0"/>
      <c r="PJQ84" s="0"/>
      <c r="PJR84" s="0"/>
      <c r="PJS84" s="0"/>
      <c r="PJT84" s="0"/>
      <c r="PJU84" s="0"/>
      <c r="PJV84" s="0"/>
      <c r="PJW84" s="0"/>
      <c r="PJX84" s="0"/>
      <c r="PJY84" s="0"/>
      <c r="PJZ84" s="0"/>
      <c r="PKA84" s="0"/>
      <c r="PKB84" s="0"/>
      <c r="PKC84" s="0"/>
      <c r="PKD84" s="0"/>
      <c r="PKE84" s="0"/>
      <c r="PKF84" s="0"/>
      <c r="PKG84" s="0"/>
      <c r="PKH84" s="0"/>
      <c r="PKI84" s="0"/>
      <c r="PKJ84" s="0"/>
      <c r="PKK84" s="0"/>
      <c r="PKL84" s="0"/>
      <c r="PKM84" s="0"/>
      <c r="PKN84" s="0"/>
      <c r="PKO84" s="0"/>
      <c r="PKP84" s="0"/>
      <c r="PKQ84" s="0"/>
      <c r="PKR84" s="0"/>
      <c r="PKS84" s="0"/>
      <c r="PKT84" s="0"/>
      <c r="PKU84" s="0"/>
      <c r="PKV84" s="0"/>
      <c r="PKW84" s="0"/>
      <c r="PKX84" s="0"/>
      <c r="PKY84" s="0"/>
      <c r="PKZ84" s="0"/>
      <c r="PLA84" s="0"/>
      <c r="PLB84" s="0"/>
      <c r="PLC84" s="0"/>
      <c r="PLD84" s="0"/>
      <c r="PLE84" s="0"/>
      <c r="PLF84" s="0"/>
      <c r="PLG84" s="0"/>
      <c r="PLH84" s="0"/>
      <c r="PLI84" s="0"/>
      <c r="PLJ84" s="0"/>
      <c r="PLK84" s="0"/>
      <c r="PLL84" s="0"/>
      <c r="PLM84" s="0"/>
      <c r="PLN84" s="0"/>
      <c r="PLO84" s="0"/>
      <c r="PLP84" s="0"/>
      <c r="PLQ84" s="0"/>
      <c r="PLR84" s="0"/>
      <c r="PLS84" s="0"/>
      <c r="PLT84" s="0"/>
      <c r="PLU84" s="0"/>
      <c r="PLV84" s="0"/>
      <c r="PLW84" s="0"/>
      <c r="PLX84" s="0"/>
      <c r="PLY84" s="0"/>
      <c r="PLZ84" s="0"/>
      <c r="PMA84" s="0"/>
      <c r="PMB84" s="0"/>
      <c r="PMC84" s="0"/>
      <c r="PMD84" s="0"/>
      <c r="PME84" s="0"/>
      <c r="PMF84" s="0"/>
      <c r="PMG84" s="0"/>
      <c r="PMH84" s="0"/>
      <c r="PMI84" s="0"/>
      <c r="PMJ84" s="0"/>
      <c r="PMK84" s="0"/>
      <c r="PML84" s="0"/>
      <c r="PMM84" s="0"/>
      <c r="PMN84" s="0"/>
      <c r="PMO84" s="0"/>
      <c r="PMP84" s="0"/>
      <c r="PMQ84" s="0"/>
      <c r="PMR84" s="0"/>
      <c r="PMS84" s="0"/>
      <c r="PMT84" s="0"/>
      <c r="PMU84" s="0"/>
      <c r="PMV84" s="0"/>
      <c r="PMW84" s="0"/>
      <c r="PMX84" s="0"/>
      <c r="PMY84" s="0"/>
      <c r="PMZ84" s="0"/>
      <c r="PNA84" s="0"/>
      <c r="PNB84" s="0"/>
      <c r="PNC84" s="0"/>
      <c r="PND84" s="0"/>
      <c r="PNE84" s="0"/>
      <c r="PNF84" s="0"/>
      <c r="PNG84" s="0"/>
      <c r="PNH84" s="0"/>
      <c r="PNI84" s="0"/>
      <c r="PNJ84" s="0"/>
      <c r="PNK84" s="0"/>
      <c r="PNL84" s="0"/>
      <c r="PNM84" s="0"/>
      <c r="PNN84" s="0"/>
      <c r="PNO84" s="0"/>
      <c r="PNP84" s="0"/>
      <c r="PNQ84" s="0"/>
      <c r="PNR84" s="0"/>
      <c r="PNS84" s="0"/>
      <c r="PNT84" s="0"/>
      <c r="PNU84" s="0"/>
      <c r="PNV84" s="0"/>
      <c r="PNW84" s="0"/>
      <c r="PNX84" s="0"/>
      <c r="PNY84" s="0"/>
      <c r="PNZ84" s="0"/>
      <c r="POA84" s="0"/>
      <c r="POB84" s="0"/>
      <c r="POC84" s="0"/>
      <c r="POD84" s="0"/>
      <c r="POE84" s="0"/>
      <c r="POF84" s="0"/>
      <c r="POG84" s="0"/>
      <c r="POH84" s="0"/>
      <c r="POI84" s="0"/>
      <c r="POJ84" s="0"/>
      <c r="POK84" s="0"/>
      <c r="POL84" s="0"/>
      <c r="POM84" s="0"/>
      <c r="PON84" s="0"/>
      <c r="POO84" s="0"/>
      <c r="POP84" s="0"/>
      <c r="POQ84" s="0"/>
      <c r="POR84" s="0"/>
      <c r="POS84" s="0"/>
      <c r="POT84" s="0"/>
      <c r="POU84" s="0"/>
      <c r="POV84" s="0"/>
      <c r="POW84" s="0"/>
      <c r="POX84" s="0"/>
      <c r="POY84" s="0"/>
      <c r="POZ84" s="0"/>
      <c r="PPA84" s="0"/>
      <c r="PPB84" s="0"/>
      <c r="PPC84" s="0"/>
      <c r="PPD84" s="0"/>
      <c r="PPE84" s="0"/>
      <c r="PPF84" s="0"/>
      <c r="PPG84" s="0"/>
      <c r="PPH84" s="0"/>
      <c r="PPI84" s="0"/>
      <c r="PPJ84" s="0"/>
      <c r="PPK84" s="0"/>
      <c r="PPL84" s="0"/>
      <c r="PPM84" s="0"/>
      <c r="PPN84" s="0"/>
      <c r="PPO84" s="0"/>
      <c r="PPP84" s="0"/>
      <c r="PPQ84" s="0"/>
      <c r="PPR84" s="0"/>
      <c r="PPS84" s="0"/>
      <c r="PPT84" s="0"/>
      <c r="PPU84" s="0"/>
      <c r="PPV84" s="0"/>
      <c r="PPW84" s="0"/>
      <c r="PPX84" s="0"/>
      <c r="PPY84" s="0"/>
      <c r="PPZ84" s="0"/>
      <c r="PQA84" s="0"/>
      <c r="PQB84" s="0"/>
      <c r="PQC84" s="0"/>
      <c r="PQD84" s="0"/>
      <c r="PQE84" s="0"/>
      <c r="PQF84" s="0"/>
      <c r="PQG84" s="0"/>
      <c r="PQH84" s="0"/>
      <c r="PQI84" s="0"/>
      <c r="PQJ84" s="0"/>
      <c r="PQK84" s="0"/>
      <c r="PQL84" s="0"/>
      <c r="PQM84" s="0"/>
      <c r="PQN84" s="0"/>
      <c r="PQO84" s="0"/>
      <c r="PQP84" s="0"/>
      <c r="PQQ84" s="0"/>
      <c r="PQR84" s="0"/>
      <c r="PQS84" s="0"/>
      <c r="PQT84" s="0"/>
      <c r="PQU84" s="0"/>
      <c r="PQV84" s="0"/>
      <c r="PQW84" s="0"/>
      <c r="PQX84" s="0"/>
      <c r="PQY84" s="0"/>
      <c r="PQZ84" s="0"/>
      <c r="PRA84" s="0"/>
      <c r="PRB84" s="0"/>
      <c r="PRC84" s="0"/>
      <c r="PRD84" s="0"/>
      <c r="PRE84" s="0"/>
      <c r="PRF84" s="0"/>
      <c r="PRG84" s="0"/>
      <c r="PRH84" s="0"/>
      <c r="PRI84" s="0"/>
      <c r="PRJ84" s="0"/>
      <c r="PRK84" s="0"/>
      <c r="PRL84" s="0"/>
      <c r="PRM84" s="0"/>
      <c r="PRN84" s="0"/>
      <c r="PRO84" s="0"/>
      <c r="PRP84" s="0"/>
      <c r="PRQ84" s="0"/>
      <c r="PRR84" s="0"/>
      <c r="PRS84" s="0"/>
      <c r="PRT84" s="0"/>
      <c r="PRU84" s="0"/>
      <c r="PRV84" s="0"/>
      <c r="PRW84" s="0"/>
      <c r="PRX84" s="0"/>
      <c r="PRY84" s="0"/>
      <c r="PRZ84" s="0"/>
      <c r="PSA84" s="0"/>
      <c r="PSB84" s="0"/>
      <c r="PSC84" s="0"/>
      <c r="PSD84" s="0"/>
      <c r="PSE84" s="0"/>
      <c r="PSF84" s="0"/>
      <c r="PSG84" s="0"/>
      <c r="PSH84" s="0"/>
      <c r="PSI84" s="0"/>
      <c r="PSJ84" s="0"/>
      <c r="PSK84" s="0"/>
      <c r="PSL84" s="0"/>
      <c r="PSM84" s="0"/>
      <c r="PSN84" s="0"/>
      <c r="PSO84" s="0"/>
      <c r="PSP84" s="0"/>
      <c r="PSQ84" s="0"/>
      <c r="PSR84" s="0"/>
      <c r="PSS84" s="0"/>
      <c r="PST84" s="0"/>
      <c r="PSU84" s="0"/>
      <c r="PSV84" s="0"/>
      <c r="PSW84" s="0"/>
      <c r="PSX84" s="0"/>
      <c r="PSY84" s="0"/>
      <c r="PSZ84" s="0"/>
      <c r="PTA84" s="0"/>
      <c r="PTB84" s="0"/>
      <c r="PTC84" s="0"/>
      <c r="PTD84" s="0"/>
      <c r="PTE84" s="0"/>
      <c r="PTF84" s="0"/>
      <c r="PTG84" s="0"/>
      <c r="PTH84" s="0"/>
      <c r="PTI84" s="0"/>
      <c r="PTJ84" s="0"/>
      <c r="PTK84" s="0"/>
      <c r="PTL84" s="0"/>
      <c r="PTM84" s="0"/>
      <c r="PTN84" s="0"/>
      <c r="PTO84" s="0"/>
      <c r="PTP84" s="0"/>
      <c r="PTQ84" s="0"/>
      <c r="PTR84" s="0"/>
      <c r="PTS84" s="0"/>
      <c r="PTT84" s="0"/>
      <c r="PTU84" s="0"/>
      <c r="PTV84" s="0"/>
      <c r="PTW84" s="0"/>
      <c r="PTX84" s="0"/>
      <c r="PTY84" s="0"/>
      <c r="PTZ84" s="0"/>
      <c r="PUA84" s="0"/>
      <c r="PUB84" s="0"/>
      <c r="PUC84" s="0"/>
      <c r="PUD84" s="0"/>
      <c r="PUE84" s="0"/>
      <c r="PUF84" s="0"/>
      <c r="PUG84" s="0"/>
      <c r="PUH84" s="0"/>
      <c r="PUI84" s="0"/>
      <c r="PUJ84" s="0"/>
      <c r="PUK84" s="0"/>
      <c r="PUL84" s="0"/>
      <c r="PUM84" s="0"/>
      <c r="PUN84" s="0"/>
      <c r="PUO84" s="0"/>
      <c r="PUP84" s="0"/>
      <c r="PUQ84" s="0"/>
      <c r="PUR84" s="0"/>
      <c r="PUS84" s="0"/>
      <c r="PUT84" s="0"/>
      <c r="PUU84" s="0"/>
      <c r="PUV84" s="0"/>
      <c r="PUW84" s="0"/>
      <c r="PUX84" s="0"/>
      <c r="PUY84" s="0"/>
      <c r="PUZ84" s="0"/>
      <c r="PVA84" s="0"/>
      <c r="PVB84" s="0"/>
      <c r="PVC84" s="0"/>
      <c r="PVD84" s="0"/>
      <c r="PVE84" s="0"/>
      <c r="PVF84" s="0"/>
      <c r="PVG84" s="0"/>
      <c r="PVH84" s="0"/>
      <c r="PVI84" s="0"/>
      <c r="PVJ84" s="0"/>
      <c r="PVK84" s="0"/>
      <c r="PVL84" s="0"/>
      <c r="PVM84" s="0"/>
      <c r="PVN84" s="0"/>
      <c r="PVO84" s="0"/>
      <c r="PVP84" s="0"/>
      <c r="PVQ84" s="0"/>
      <c r="PVR84" s="0"/>
      <c r="PVS84" s="0"/>
      <c r="PVT84" s="0"/>
      <c r="PVU84" s="0"/>
      <c r="PVV84" s="0"/>
      <c r="PVW84" s="0"/>
      <c r="PVX84" s="0"/>
      <c r="PVY84" s="0"/>
      <c r="PVZ84" s="0"/>
      <c r="PWA84" s="0"/>
      <c r="PWB84" s="0"/>
      <c r="PWC84" s="0"/>
      <c r="PWD84" s="0"/>
      <c r="PWE84" s="0"/>
      <c r="PWF84" s="0"/>
      <c r="PWG84" s="0"/>
      <c r="PWH84" s="0"/>
      <c r="PWI84" s="0"/>
      <c r="PWJ84" s="0"/>
      <c r="PWK84" s="0"/>
      <c r="PWL84" s="0"/>
      <c r="PWM84" s="0"/>
      <c r="PWN84" s="0"/>
      <c r="PWO84" s="0"/>
      <c r="PWP84" s="0"/>
      <c r="PWQ84" s="0"/>
      <c r="PWR84" s="0"/>
      <c r="PWS84" s="0"/>
      <c r="PWT84" s="0"/>
      <c r="PWU84" s="0"/>
      <c r="PWV84" s="0"/>
      <c r="PWW84" s="0"/>
      <c r="PWX84" s="0"/>
      <c r="PWY84" s="0"/>
      <c r="PWZ84" s="0"/>
      <c r="PXA84" s="0"/>
      <c r="PXB84" s="0"/>
      <c r="PXC84" s="0"/>
      <c r="PXD84" s="0"/>
      <c r="PXE84" s="0"/>
      <c r="PXF84" s="0"/>
      <c r="PXG84" s="0"/>
      <c r="PXH84" s="0"/>
      <c r="PXI84" s="0"/>
      <c r="PXJ84" s="0"/>
      <c r="PXK84" s="0"/>
      <c r="PXL84" s="0"/>
      <c r="PXM84" s="0"/>
      <c r="PXN84" s="0"/>
      <c r="PXO84" s="0"/>
      <c r="PXP84" s="0"/>
      <c r="PXQ84" s="0"/>
      <c r="PXR84" s="0"/>
      <c r="PXS84" s="0"/>
      <c r="PXT84" s="0"/>
      <c r="PXU84" s="0"/>
      <c r="PXV84" s="0"/>
      <c r="PXW84" s="0"/>
      <c r="PXX84" s="0"/>
      <c r="PXY84" s="0"/>
      <c r="PXZ84" s="0"/>
      <c r="PYA84" s="0"/>
      <c r="PYB84" s="0"/>
      <c r="PYC84" s="0"/>
      <c r="PYD84" s="0"/>
      <c r="PYE84" s="0"/>
      <c r="PYF84" s="0"/>
      <c r="PYG84" s="0"/>
      <c r="PYH84" s="0"/>
      <c r="PYI84" s="0"/>
      <c r="PYJ84" s="0"/>
      <c r="PYK84" s="0"/>
      <c r="PYL84" s="0"/>
      <c r="PYM84" s="0"/>
      <c r="PYN84" s="0"/>
      <c r="PYO84" s="0"/>
      <c r="PYP84" s="0"/>
      <c r="PYQ84" s="0"/>
      <c r="PYR84" s="0"/>
      <c r="PYS84" s="0"/>
      <c r="PYT84" s="0"/>
      <c r="PYU84" s="0"/>
      <c r="PYV84" s="0"/>
      <c r="PYW84" s="0"/>
      <c r="PYX84" s="0"/>
      <c r="PYY84" s="0"/>
      <c r="PYZ84" s="0"/>
      <c r="PZA84" s="0"/>
      <c r="PZB84" s="0"/>
      <c r="PZC84" s="0"/>
      <c r="PZD84" s="0"/>
      <c r="PZE84" s="0"/>
      <c r="PZF84" s="0"/>
      <c r="PZG84" s="0"/>
      <c r="PZH84" s="0"/>
      <c r="PZI84" s="0"/>
      <c r="PZJ84" s="0"/>
      <c r="PZK84" s="0"/>
      <c r="PZL84" s="0"/>
      <c r="PZM84" s="0"/>
      <c r="PZN84" s="0"/>
      <c r="PZO84" s="0"/>
      <c r="PZP84" s="0"/>
      <c r="PZQ84" s="0"/>
      <c r="PZR84" s="0"/>
      <c r="PZS84" s="0"/>
      <c r="PZT84" s="0"/>
      <c r="PZU84" s="0"/>
      <c r="PZV84" s="0"/>
      <c r="PZW84" s="0"/>
      <c r="PZX84" s="0"/>
      <c r="PZY84" s="0"/>
      <c r="PZZ84" s="0"/>
      <c r="QAA84" s="0"/>
      <c r="QAB84" s="0"/>
      <c r="QAC84" s="0"/>
      <c r="QAD84" s="0"/>
      <c r="QAE84" s="0"/>
      <c r="QAF84" s="0"/>
      <c r="QAG84" s="0"/>
      <c r="QAH84" s="0"/>
      <c r="QAI84" s="0"/>
      <c r="QAJ84" s="0"/>
      <c r="QAK84" s="0"/>
      <c r="QAL84" s="0"/>
      <c r="QAM84" s="0"/>
      <c r="QAN84" s="0"/>
      <c r="QAO84" s="0"/>
      <c r="QAP84" s="0"/>
      <c r="QAQ84" s="0"/>
      <c r="QAR84" s="0"/>
      <c r="QAS84" s="0"/>
      <c r="QAT84" s="0"/>
      <c r="QAU84" s="0"/>
      <c r="QAV84" s="0"/>
      <c r="QAW84" s="0"/>
      <c r="QAX84" s="0"/>
      <c r="QAY84" s="0"/>
      <c r="QAZ84" s="0"/>
      <c r="QBA84" s="0"/>
      <c r="QBB84" s="0"/>
      <c r="QBC84" s="0"/>
      <c r="QBD84" s="0"/>
      <c r="QBE84" s="0"/>
      <c r="QBF84" s="0"/>
      <c r="QBG84" s="0"/>
      <c r="QBH84" s="0"/>
      <c r="QBI84" s="0"/>
      <c r="QBJ84" s="0"/>
      <c r="QBK84" s="0"/>
      <c r="QBL84" s="0"/>
      <c r="QBM84" s="0"/>
      <c r="QBN84" s="0"/>
      <c r="QBO84" s="0"/>
      <c r="QBP84" s="0"/>
      <c r="QBQ84" s="0"/>
      <c r="QBR84" s="0"/>
      <c r="QBS84" s="0"/>
      <c r="QBT84" s="0"/>
      <c r="QBU84" s="0"/>
      <c r="QBV84" s="0"/>
      <c r="QBW84" s="0"/>
      <c r="QBX84" s="0"/>
      <c r="QBY84" s="0"/>
      <c r="QBZ84" s="0"/>
      <c r="QCA84" s="0"/>
      <c r="QCB84" s="0"/>
      <c r="QCC84" s="0"/>
      <c r="QCD84" s="0"/>
      <c r="QCE84" s="0"/>
      <c r="QCF84" s="0"/>
      <c r="QCG84" s="0"/>
      <c r="QCH84" s="0"/>
      <c r="QCI84" s="0"/>
      <c r="QCJ84" s="0"/>
      <c r="QCK84" s="0"/>
      <c r="QCL84" s="0"/>
      <c r="QCM84" s="0"/>
      <c r="QCN84" s="0"/>
      <c r="QCO84" s="0"/>
      <c r="QCP84" s="0"/>
      <c r="QCQ84" s="0"/>
      <c r="QCR84" s="0"/>
      <c r="QCS84" s="0"/>
      <c r="QCT84" s="0"/>
      <c r="QCU84" s="0"/>
      <c r="QCV84" s="0"/>
      <c r="QCW84" s="0"/>
      <c r="QCX84" s="0"/>
      <c r="QCY84" s="0"/>
      <c r="QCZ84" s="0"/>
      <c r="QDA84" s="0"/>
      <c r="QDB84" s="0"/>
      <c r="QDC84" s="0"/>
      <c r="QDD84" s="0"/>
      <c r="QDE84" s="0"/>
      <c r="QDF84" s="0"/>
      <c r="QDG84" s="0"/>
      <c r="QDH84" s="0"/>
      <c r="QDI84" s="0"/>
      <c r="QDJ84" s="0"/>
      <c r="QDK84" s="0"/>
      <c r="QDL84" s="0"/>
      <c r="QDM84" s="0"/>
      <c r="QDN84" s="0"/>
      <c r="QDO84" s="0"/>
      <c r="QDP84" s="0"/>
      <c r="QDQ84" s="0"/>
      <c r="QDR84" s="0"/>
      <c r="QDS84" s="0"/>
      <c r="QDT84" s="0"/>
      <c r="QDU84" s="0"/>
      <c r="QDV84" s="0"/>
      <c r="QDW84" s="0"/>
      <c r="QDX84" s="0"/>
      <c r="QDY84" s="0"/>
      <c r="QDZ84" s="0"/>
      <c r="QEA84" s="0"/>
      <c r="QEB84" s="0"/>
      <c r="QEC84" s="0"/>
      <c r="QED84" s="0"/>
      <c r="QEE84" s="0"/>
      <c r="QEF84" s="0"/>
      <c r="QEG84" s="0"/>
      <c r="QEH84" s="0"/>
      <c r="QEI84" s="0"/>
      <c r="QEJ84" s="0"/>
      <c r="QEK84" s="0"/>
      <c r="QEL84" s="0"/>
      <c r="QEM84" s="0"/>
      <c r="QEN84" s="0"/>
      <c r="QEO84" s="0"/>
      <c r="QEP84" s="0"/>
      <c r="QEQ84" s="0"/>
      <c r="QER84" s="0"/>
      <c r="QES84" s="0"/>
      <c r="QET84" s="0"/>
      <c r="QEU84" s="0"/>
      <c r="QEV84" s="0"/>
      <c r="QEW84" s="0"/>
      <c r="QEX84" s="0"/>
      <c r="QEY84" s="0"/>
      <c r="QEZ84" s="0"/>
      <c r="QFA84" s="0"/>
      <c r="QFB84" s="0"/>
      <c r="QFC84" s="0"/>
      <c r="QFD84" s="0"/>
      <c r="QFE84" s="0"/>
      <c r="QFF84" s="0"/>
      <c r="QFG84" s="0"/>
      <c r="QFH84" s="0"/>
      <c r="QFI84" s="0"/>
      <c r="QFJ84" s="0"/>
      <c r="QFK84" s="0"/>
      <c r="QFL84" s="0"/>
      <c r="QFM84" s="0"/>
      <c r="QFN84" s="0"/>
      <c r="QFO84" s="0"/>
      <c r="QFP84" s="0"/>
      <c r="QFQ84" s="0"/>
      <c r="QFR84" s="0"/>
      <c r="QFS84" s="0"/>
      <c r="QFT84" s="0"/>
      <c r="QFU84" s="0"/>
      <c r="QFV84" s="0"/>
      <c r="QFW84" s="0"/>
      <c r="QFX84" s="0"/>
      <c r="QFY84" s="0"/>
      <c r="QFZ84" s="0"/>
      <c r="QGA84" s="0"/>
      <c r="QGB84" s="0"/>
      <c r="QGC84" s="0"/>
      <c r="QGD84" s="0"/>
      <c r="QGE84" s="0"/>
      <c r="QGF84" s="0"/>
      <c r="QGG84" s="0"/>
      <c r="QGH84" s="0"/>
      <c r="QGI84" s="0"/>
      <c r="QGJ84" s="0"/>
      <c r="QGK84" s="0"/>
      <c r="QGL84" s="0"/>
      <c r="QGM84" s="0"/>
      <c r="QGN84" s="0"/>
      <c r="QGO84" s="0"/>
      <c r="QGP84" s="0"/>
      <c r="QGQ84" s="0"/>
      <c r="QGR84" s="0"/>
      <c r="QGS84" s="0"/>
      <c r="QGT84" s="0"/>
      <c r="QGU84" s="0"/>
      <c r="QGV84" s="0"/>
      <c r="QGW84" s="0"/>
      <c r="QGX84" s="0"/>
      <c r="QGY84" s="0"/>
      <c r="QGZ84" s="0"/>
      <c r="QHA84" s="0"/>
      <c r="QHB84" s="0"/>
      <c r="QHC84" s="0"/>
      <c r="QHD84" s="0"/>
      <c r="QHE84" s="0"/>
      <c r="QHF84" s="0"/>
      <c r="QHG84" s="0"/>
      <c r="QHH84" s="0"/>
      <c r="QHI84" s="0"/>
      <c r="QHJ84" s="0"/>
      <c r="QHK84" s="0"/>
      <c r="QHL84" s="0"/>
      <c r="QHM84" s="0"/>
      <c r="QHN84" s="0"/>
      <c r="QHO84" s="0"/>
      <c r="QHP84" s="0"/>
      <c r="QHQ84" s="0"/>
      <c r="QHR84" s="0"/>
      <c r="QHS84" s="0"/>
      <c r="QHT84" s="0"/>
      <c r="QHU84" s="0"/>
      <c r="QHV84" s="0"/>
      <c r="QHW84" s="0"/>
      <c r="QHX84" s="0"/>
      <c r="QHY84" s="0"/>
      <c r="QHZ84" s="0"/>
      <c r="QIA84" s="0"/>
      <c r="QIB84" s="0"/>
      <c r="QIC84" s="0"/>
      <c r="QID84" s="0"/>
      <c r="QIE84" s="0"/>
      <c r="QIF84" s="0"/>
      <c r="QIG84" s="0"/>
      <c r="QIH84" s="0"/>
      <c r="QII84" s="0"/>
      <c r="QIJ84" s="0"/>
      <c r="QIK84" s="0"/>
      <c r="QIL84" s="0"/>
      <c r="QIM84" s="0"/>
      <c r="QIN84" s="0"/>
      <c r="QIO84" s="0"/>
      <c r="QIP84" s="0"/>
      <c r="QIQ84" s="0"/>
      <c r="QIR84" s="0"/>
      <c r="QIS84" s="0"/>
      <c r="QIT84" s="0"/>
      <c r="QIU84" s="0"/>
      <c r="QIV84" s="0"/>
      <c r="QIW84" s="0"/>
      <c r="QIX84" s="0"/>
      <c r="QIY84" s="0"/>
      <c r="QIZ84" s="0"/>
      <c r="QJA84" s="0"/>
      <c r="QJB84" s="0"/>
      <c r="QJC84" s="0"/>
      <c r="QJD84" s="0"/>
      <c r="QJE84" s="0"/>
      <c r="QJF84" s="0"/>
      <c r="QJG84" s="0"/>
      <c r="QJH84" s="0"/>
      <c r="QJI84" s="0"/>
      <c r="QJJ84" s="0"/>
      <c r="QJK84" s="0"/>
      <c r="QJL84" s="0"/>
      <c r="QJM84" s="0"/>
      <c r="QJN84" s="0"/>
      <c r="QJO84" s="0"/>
      <c r="QJP84" s="0"/>
      <c r="QJQ84" s="0"/>
      <c r="QJR84" s="0"/>
      <c r="QJS84" s="0"/>
      <c r="QJT84" s="0"/>
      <c r="QJU84" s="0"/>
      <c r="QJV84" s="0"/>
      <c r="QJW84" s="0"/>
      <c r="QJX84" s="0"/>
      <c r="QJY84" s="0"/>
      <c r="QJZ84" s="0"/>
      <c r="QKA84" s="0"/>
      <c r="QKB84" s="0"/>
      <c r="QKC84" s="0"/>
      <c r="QKD84" s="0"/>
      <c r="QKE84" s="0"/>
      <c r="QKF84" s="0"/>
      <c r="QKG84" s="0"/>
      <c r="QKH84" s="0"/>
      <c r="QKI84" s="0"/>
      <c r="QKJ84" s="0"/>
      <c r="QKK84" s="0"/>
      <c r="QKL84" s="0"/>
      <c r="QKM84" s="0"/>
      <c r="QKN84" s="0"/>
      <c r="QKO84" s="0"/>
      <c r="QKP84" s="0"/>
      <c r="QKQ84" s="0"/>
      <c r="QKR84" s="0"/>
      <c r="QKS84" s="0"/>
      <c r="QKT84" s="0"/>
      <c r="QKU84" s="0"/>
      <c r="QKV84" s="0"/>
      <c r="QKW84" s="0"/>
      <c r="QKX84" s="0"/>
      <c r="QKY84" s="0"/>
      <c r="QKZ84" s="0"/>
      <c r="QLA84" s="0"/>
      <c r="QLB84" s="0"/>
      <c r="QLC84" s="0"/>
      <c r="QLD84" s="0"/>
      <c r="QLE84" s="0"/>
      <c r="QLF84" s="0"/>
      <c r="QLG84" s="0"/>
      <c r="QLH84" s="0"/>
      <c r="QLI84" s="0"/>
      <c r="QLJ84" s="0"/>
      <c r="QLK84" s="0"/>
      <c r="QLL84" s="0"/>
      <c r="QLM84" s="0"/>
      <c r="QLN84" s="0"/>
      <c r="QLO84" s="0"/>
      <c r="QLP84" s="0"/>
      <c r="QLQ84" s="0"/>
      <c r="QLR84" s="0"/>
      <c r="QLS84" s="0"/>
      <c r="QLT84" s="0"/>
      <c r="QLU84" s="0"/>
      <c r="QLV84" s="0"/>
      <c r="QLW84" s="0"/>
      <c r="QLX84" s="0"/>
      <c r="QLY84" s="0"/>
      <c r="QLZ84" s="0"/>
      <c r="QMA84" s="0"/>
      <c r="QMB84" s="0"/>
      <c r="QMC84" s="0"/>
      <c r="QMD84" s="0"/>
      <c r="QME84" s="0"/>
      <c r="QMF84" s="0"/>
      <c r="QMG84" s="0"/>
      <c r="QMH84" s="0"/>
      <c r="QMI84" s="0"/>
      <c r="QMJ84" s="0"/>
      <c r="QMK84" s="0"/>
      <c r="QML84" s="0"/>
      <c r="QMM84" s="0"/>
      <c r="QMN84" s="0"/>
      <c r="QMO84" s="0"/>
      <c r="QMP84" s="0"/>
      <c r="QMQ84" s="0"/>
      <c r="QMR84" s="0"/>
      <c r="QMS84" s="0"/>
      <c r="QMT84" s="0"/>
      <c r="QMU84" s="0"/>
      <c r="QMV84" s="0"/>
      <c r="QMW84" s="0"/>
      <c r="QMX84" s="0"/>
      <c r="QMY84" s="0"/>
      <c r="QMZ84" s="0"/>
      <c r="QNA84" s="0"/>
      <c r="QNB84" s="0"/>
      <c r="QNC84" s="0"/>
      <c r="QND84" s="0"/>
      <c r="QNE84" s="0"/>
      <c r="QNF84" s="0"/>
      <c r="QNG84" s="0"/>
      <c r="QNH84" s="0"/>
      <c r="QNI84" s="0"/>
      <c r="QNJ84" s="0"/>
      <c r="QNK84" s="0"/>
      <c r="QNL84" s="0"/>
      <c r="QNM84" s="0"/>
      <c r="QNN84" s="0"/>
      <c r="QNO84" s="0"/>
      <c r="QNP84" s="0"/>
      <c r="QNQ84" s="0"/>
      <c r="QNR84" s="0"/>
      <c r="QNS84" s="0"/>
      <c r="QNT84" s="0"/>
      <c r="QNU84" s="0"/>
      <c r="QNV84" s="0"/>
      <c r="QNW84" s="0"/>
      <c r="QNX84" s="0"/>
      <c r="QNY84" s="0"/>
      <c r="QNZ84" s="0"/>
      <c r="QOA84" s="0"/>
      <c r="QOB84" s="0"/>
      <c r="QOC84" s="0"/>
      <c r="QOD84" s="0"/>
      <c r="QOE84" s="0"/>
      <c r="QOF84" s="0"/>
      <c r="QOG84" s="0"/>
      <c r="QOH84" s="0"/>
      <c r="QOI84" s="0"/>
      <c r="QOJ84" s="0"/>
      <c r="QOK84" s="0"/>
      <c r="QOL84" s="0"/>
      <c r="QOM84" s="0"/>
      <c r="QON84" s="0"/>
      <c r="QOO84" s="0"/>
      <c r="QOP84" s="0"/>
      <c r="QOQ84" s="0"/>
      <c r="QOR84" s="0"/>
      <c r="QOS84" s="0"/>
      <c r="QOT84" s="0"/>
      <c r="QOU84" s="0"/>
      <c r="QOV84" s="0"/>
      <c r="QOW84" s="0"/>
      <c r="QOX84" s="0"/>
      <c r="QOY84" s="0"/>
      <c r="QOZ84" s="0"/>
      <c r="QPA84" s="0"/>
      <c r="QPB84" s="0"/>
      <c r="QPC84" s="0"/>
      <c r="QPD84" s="0"/>
      <c r="QPE84" s="0"/>
      <c r="QPF84" s="0"/>
      <c r="QPG84" s="0"/>
      <c r="QPH84" s="0"/>
      <c r="QPI84" s="0"/>
      <c r="QPJ84" s="0"/>
      <c r="QPK84" s="0"/>
      <c r="QPL84" s="0"/>
      <c r="QPM84" s="0"/>
      <c r="QPN84" s="0"/>
      <c r="QPO84" s="0"/>
      <c r="QPP84" s="0"/>
      <c r="QPQ84" s="0"/>
      <c r="QPR84" s="0"/>
      <c r="QPS84" s="0"/>
      <c r="QPT84" s="0"/>
      <c r="QPU84" s="0"/>
      <c r="QPV84" s="0"/>
      <c r="QPW84" s="0"/>
      <c r="QPX84" s="0"/>
      <c r="QPY84" s="0"/>
      <c r="QPZ84" s="0"/>
      <c r="QQA84" s="0"/>
      <c r="QQB84" s="0"/>
      <c r="QQC84" s="0"/>
      <c r="QQD84" s="0"/>
      <c r="QQE84" s="0"/>
      <c r="QQF84" s="0"/>
      <c r="QQG84" s="0"/>
      <c r="QQH84" s="0"/>
      <c r="QQI84" s="0"/>
      <c r="QQJ84" s="0"/>
      <c r="QQK84" s="0"/>
      <c r="QQL84" s="0"/>
      <c r="QQM84" s="0"/>
      <c r="QQN84" s="0"/>
      <c r="QQO84" s="0"/>
      <c r="QQP84" s="0"/>
      <c r="QQQ84" s="0"/>
      <c r="QQR84" s="0"/>
      <c r="QQS84" s="0"/>
      <c r="QQT84" s="0"/>
      <c r="QQU84" s="0"/>
      <c r="QQV84" s="0"/>
      <c r="QQW84" s="0"/>
      <c r="QQX84" s="0"/>
      <c r="QQY84" s="0"/>
      <c r="QQZ84" s="0"/>
      <c r="QRA84" s="0"/>
      <c r="QRB84" s="0"/>
      <c r="QRC84" s="0"/>
      <c r="QRD84" s="0"/>
      <c r="QRE84" s="0"/>
      <c r="QRF84" s="0"/>
      <c r="QRG84" s="0"/>
      <c r="QRH84" s="0"/>
      <c r="QRI84" s="0"/>
      <c r="QRJ84" s="0"/>
      <c r="QRK84" s="0"/>
      <c r="QRL84" s="0"/>
      <c r="QRM84" s="0"/>
      <c r="QRN84" s="0"/>
      <c r="QRO84" s="0"/>
      <c r="QRP84" s="0"/>
      <c r="QRQ84" s="0"/>
      <c r="QRR84" s="0"/>
      <c r="QRS84" s="0"/>
      <c r="QRT84" s="0"/>
      <c r="QRU84" s="0"/>
      <c r="QRV84" s="0"/>
      <c r="QRW84" s="0"/>
      <c r="QRX84" s="0"/>
      <c r="QRY84" s="0"/>
      <c r="QRZ84" s="0"/>
      <c r="QSA84" s="0"/>
      <c r="QSB84" s="0"/>
      <c r="QSC84" s="0"/>
      <c r="QSD84" s="0"/>
      <c r="QSE84" s="0"/>
      <c r="QSF84" s="0"/>
      <c r="QSG84" s="0"/>
      <c r="QSH84" s="0"/>
      <c r="QSI84" s="0"/>
      <c r="QSJ84" s="0"/>
      <c r="QSK84" s="0"/>
      <c r="QSL84" s="0"/>
      <c r="QSM84" s="0"/>
      <c r="QSN84" s="0"/>
      <c r="QSO84" s="0"/>
      <c r="QSP84" s="0"/>
      <c r="QSQ84" s="0"/>
      <c r="QSR84" s="0"/>
      <c r="QSS84" s="0"/>
      <c r="QST84" s="0"/>
      <c r="QSU84" s="0"/>
      <c r="QSV84" s="0"/>
      <c r="QSW84" s="0"/>
      <c r="QSX84" s="0"/>
      <c r="QSY84" s="0"/>
      <c r="QSZ84" s="0"/>
      <c r="QTA84" s="0"/>
      <c r="QTB84" s="0"/>
      <c r="QTC84" s="0"/>
      <c r="QTD84" s="0"/>
      <c r="QTE84" s="0"/>
      <c r="QTF84" s="0"/>
      <c r="QTG84" s="0"/>
      <c r="QTH84" s="0"/>
      <c r="QTI84" s="0"/>
      <c r="QTJ84" s="0"/>
      <c r="QTK84" s="0"/>
      <c r="QTL84" s="0"/>
      <c r="QTM84" s="0"/>
      <c r="QTN84" s="0"/>
      <c r="QTO84" s="0"/>
      <c r="QTP84" s="0"/>
      <c r="QTQ84" s="0"/>
      <c r="QTR84" s="0"/>
      <c r="QTS84" s="0"/>
      <c r="QTT84" s="0"/>
      <c r="QTU84" s="0"/>
      <c r="QTV84" s="0"/>
      <c r="QTW84" s="0"/>
      <c r="QTX84" s="0"/>
      <c r="QTY84" s="0"/>
      <c r="QTZ84" s="0"/>
      <c r="QUA84" s="0"/>
      <c r="QUB84" s="0"/>
      <c r="QUC84" s="0"/>
      <c r="QUD84" s="0"/>
      <c r="QUE84" s="0"/>
      <c r="QUF84" s="0"/>
      <c r="QUG84" s="0"/>
      <c r="QUH84" s="0"/>
      <c r="QUI84" s="0"/>
      <c r="QUJ84" s="0"/>
      <c r="QUK84" s="0"/>
      <c r="QUL84" s="0"/>
      <c r="QUM84" s="0"/>
      <c r="QUN84" s="0"/>
      <c r="QUO84" s="0"/>
      <c r="QUP84" s="0"/>
      <c r="QUQ84" s="0"/>
      <c r="QUR84" s="0"/>
      <c r="QUS84" s="0"/>
      <c r="QUT84" s="0"/>
      <c r="QUU84" s="0"/>
      <c r="QUV84" s="0"/>
      <c r="QUW84" s="0"/>
      <c r="QUX84" s="0"/>
      <c r="QUY84" s="0"/>
      <c r="QUZ84" s="0"/>
      <c r="QVA84" s="0"/>
      <c r="QVB84" s="0"/>
      <c r="QVC84" s="0"/>
      <c r="QVD84" s="0"/>
      <c r="QVE84" s="0"/>
      <c r="QVF84" s="0"/>
      <c r="QVG84" s="0"/>
      <c r="QVH84" s="0"/>
      <c r="QVI84" s="0"/>
      <c r="QVJ84" s="0"/>
      <c r="QVK84" s="0"/>
      <c r="QVL84" s="0"/>
      <c r="QVM84" s="0"/>
      <c r="QVN84" s="0"/>
      <c r="QVO84" s="0"/>
      <c r="QVP84" s="0"/>
      <c r="QVQ84" s="0"/>
      <c r="QVR84" s="0"/>
      <c r="QVS84" s="0"/>
      <c r="QVT84" s="0"/>
      <c r="QVU84" s="0"/>
      <c r="QVV84" s="0"/>
      <c r="QVW84" s="0"/>
      <c r="QVX84" s="0"/>
      <c r="QVY84" s="0"/>
      <c r="QVZ84" s="0"/>
      <c r="QWA84" s="0"/>
      <c r="QWB84" s="0"/>
      <c r="QWC84" s="0"/>
      <c r="QWD84" s="0"/>
      <c r="QWE84" s="0"/>
      <c r="QWF84" s="0"/>
      <c r="QWG84" s="0"/>
      <c r="QWH84" s="0"/>
      <c r="QWI84" s="0"/>
      <c r="QWJ84" s="0"/>
      <c r="QWK84" s="0"/>
      <c r="QWL84" s="0"/>
      <c r="QWM84" s="0"/>
      <c r="QWN84" s="0"/>
      <c r="QWO84" s="0"/>
      <c r="QWP84" s="0"/>
      <c r="QWQ84" s="0"/>
      <c r="QWR84" s="0"/>
      <c r="QWS84" s="0"/>
      <c r="QWT84" s="0"/>
      <c r="QWU84" s="0"/>
      <c r="QWV84" s="0"/>
      <c r="QWW84" s="0"/>
      <c r="QWX84" s="0"/>
      <c r="QWY84" s="0"/>
      <c r="QWZ84" s="0"/>
      <c r="QXA84" s="0"/>
      <c r="QXB84" s="0"/>
      <c r="QXC84" s="0"/>
      <c r="QXD84" s="0"/>
      <c r="QXE84" s="0"/>
      <c r="QXF84" s="0"/>
      <c r="QXG84" s="0"/>
      <c r="QXH84" s="0"/>
      <c r="QXI84" s="0"/>
      <c r="QXJ84" s="0"/>
      <c r="QXK84" s="0"/>
      <c r="QXL84" s="0"/>
      <c r="QXM84" s="0"/>
      <c r="QXN84" s="0"/>
      <c r="QXO84" s="0"/>
      <c r="QXP84" s="0"/>
      <c r="QXQ84" s="0"/>
      <c r="QXR84" s="0"/>
      <c r="QXS84" s="0"/>
      <c r="QXT84" s="0"/>
      <c r="QXU84" s="0"/>
      <c r="QXV84" s="0"/>
      <c r="QXW84" s="0"/>
      <c r="QXX84" s="0"/>
      <c r="QXY84" s="0"/>
      <c r="QXZ84" s="0"/>
      <c r="QYA84" s="0"/>
      <c r="QYB84" s="0"/>
      <c r="QYC84" s="0"/>
      <c r="QYD84" s="0"/>
      <c r="QYE84" s="0"/>
      <c r="QYF84" s="0"/>
      <c r="QYG84" s="0"/>
      <c r="QYH84" s="0"/>
      <c r="QYI84" s="0"/>
      <c r="QYJ84" s="0"/>
      <c r="QYK84" s="0"/>
      <c r="QYL84" s="0"/>
      <c r="QYM84" s="0"/>
      <c r="QYN84" s="0"/>
      <c r="QYO84" s="0"/>
      <c r="QYP84" s="0"/>
      <c r="QYQ84" s="0"/>
      <c r="QYR84" s="0"/>
      <c r="QYS84" s="0"/>
      <c r="QYT84" s="0"/>
      <c r="QYU84" s="0"/>
      <c r="QYV84" s="0"/>
      <c r="QYW84" s="0"/>
      <c r="QYX84" s="0"/>
      <c r="QYY84" s="0"/>
      <c r="QYZ84" s="0"/>
      <c r="QZA84" s="0"/>
      <c r="QZB84" s="0"/>
      <c r="QZC84" s="0"/>
      <c r="QZD84" s="0"/>
      <c r="QZE84" s="0"/>
      <c r="QZF84" s="0"/>
      <c r="QZG84" s="0"/>
      <c r="QZH84" s="0"/>
      <c r="QZI84" s="0"/>
      <c r="QZJ84" s="0"/>
      <c r="QZK84" s="0"/>
      <c r="QZL84" s="0"/>
      <c r="QZM84" s="0"/>
      <c r="QZN84" s="0"/>
      <c r="QZO84" s="0"/>
      <c r="QZP84" s="0"/>
      <c r="QZQ84" s="0"/>
      <c r="QZR84" s="0"/>
      <c r="QZS84" s="0"/>
      <c r="QZT84" s="0"/>
      <c r="QZU84" s="0"/>
      <c r="QZV84" s="0"/>
      <c r="QZW84" s="0"/>
      <c r="QZX84" s="0"/>
      <c r="QZY84" s="0"/>
      <c r="QZZ84" s="0"/>
      <c r="RAA84" s="0"/>
      <c r="RAB84" s="0"/>
      <c r="RAC84" s="0"/>
      <c r="RAD84" s="0"/>
      <c r="RAE84" s="0"/>
      <c r="RAF84" s="0"/>
      <c r="RAG84" s="0"/>
      <c r="RAH84" s="0"/>
      <c r="RAI84" s="0"/>
      <c r="RAJ84" s="0"/>
      <c r="RAK84" s="0"/>
      <c r="RAL84" s="0"/>
      <c r="RAM84" s="0"/>
      <c r="RAN84" s="0"/>
      <c r="RAO84" s="0"/>
      <c r="RAP84" s="0"/>
      <c r="RAQ84" s="0"/>
      <c r="RAR84" s="0"/>
      <c r="RAS84" s="0"/>
      <c r="RAT84" s="0"/>
      <c r="RAU84" s="0"/>
      <c r="RAV84" s="0"/>
      <c r="RAW84" s="0"/>
      <c r="RAX84" s="0"/>
      <c r="RAY84" s="0"/>
      <c r="RAZ84" s="0"/>
      <c r="RBA84" s="0"/>
      <c r="RBB84" s="0"/>
      <c r="RBC84" s="0"/>
      <c r="RBD84" s="0"/>
      <c r="RBE84" s="0"/>
      <c r="RBF84" s="0"/>
      <c r="RBG84" s="0"/>
      <c r="RBH84" s="0"/>
      <c r="RBI84" s="0"/>
      <c r="RBJ84" s="0"/>
      <c r="RBK84" s="0"/>
      <c r="RBL84" s="0"/>
      <c r="RBM84" s="0"/>
      <c r="RBN84" s="0"/>
      <c r="RBO84" s="0"/>
      <c r="RBP84" s="0"/>
      <c r="RBQ84" s="0"/>
      <c r="RBR84" s="0"/>
      <c r="RBS84" s="0"/>
      <c r="RBT84" s="0"/>
      <c r="RBU84" s="0"/>
      <c r="RBV84" s="0"/>
      <c r="RBW84" s="0"/>
      <c r="RBX84" s="0"/>
      <c r="RBY84" s="0"/>
      <c r="RBZ84" s="0"/>
      <c r="RCA84" s="0"/>
      <c r="RCB84" s="0"/>
      <c r="RCC84" s="0"/>
      <c r="RCD84" s="0"/>
      <c r="RCE84" s="0"/>
      <c r="RCF84" s="0"/>
      <c r="RCG84" s="0"/>
      <c r="RCH84" s="0"/>
      <c r="RCI84" s="0"/>
      <c r="RCJ84" s="0"/>
      <c r="RCK84" s="0"/>
      <c r="RCL84" s="0"/>
      <c r="RCM84" s="0"/>
      <c r="RCN84" s="0"/>
      <c r="RCO84" s="0"/>
      <c r="RCP84" s="0"/>
      <c r="RCQ84" s="0"/>
      <c r="RCR84" s="0"/>
      <c r="RCS84" s="0"/>
      <c r="RCT84" s="0"/>
      <c r="RCU84" s="0"/>
      <c r="RCV84" s="0"/>
      <c r="RCW84" s="0"/>
      <c r="RCX84" s="0"/>
      <c r="RCY84" s="0"/>
      <c r="RCZ84" s="0"/>
      <c r="RDA84" s="0"/>
      <c r="RDB84" s="0"/>
      <c r="RDC84" s="0"/>
      <c r="RDD84" s="0"/>
      <c r="RDE84" s="0"/>
      <c r="RDF84" s="0"/>
      <c r="RDG84" s="0"/>
      <c r="RDH84" s="0"/>
      <c r="RDI84" s="0"/>
      <c r="RDJ84" s="0"/>
      <c r="RDK84" s="0"/>
      <c r="RDL84" s="0"/>
      <c r="RDM84" s="0"/>
      <c r="RDN84" s="0"/>
      <c r="RDO84" s="0"/>
      <c r="RDP84" s="0"/>
      <c r="RDQ84" s="0"/>
      <c r="RDR84" s="0"/>
      <c r="RDS84" s="0"/>
      <c r="RDT84" s="0"/>
      <c r="RDU84" s="0"/>
      <c r="RDV84" s="0"/>
      <c r="RDW84" s="0"/>
      <c r="RDX84" s="0"/>
      <c r="RDY84" s="0"/>
      <c r="RDZ84" s="0"/>
      <c r="REA84" s="0"/>
      <c r="REB84" s="0"/>
      <c r="REC84" s="0"/>
      <c r="RED84" s="0"/>
      <c r="REE84" s="0"/>
      <c r="REF84" s="0"/>
      <c r="REG84" s="0"/>
      <c r="REH84" s="0"/>
      <c r="REI84" s="0"/>
      <c r="REJ84" s="0"/>
      <c r="REK84" s="0"/>
      <c r="REL84" s="0"/>
      <c r="REM84" s="0"/>
      <c r="REN84" s="0"/>
      <c r="REO84" s="0"/>
      <c r="REP84" s="0"/>
      <c r="REQ84" s="0"/>
      <c r="RER84" s="0"/>
      <c r="RES84" s="0"/>
      <c r="RET84" s="0"/>
      <c r="REU84" s="0"/>
      <c r="REV84" s="0"/>
      <c r="REW84" s="0"/>
      <c r="REX84" s="0"/>
      <c r="REY84" s="0"/>
      <c r="REZ84" s="0"/>
      <c r="RFA84" s="0"/>
      <c r="RFB84" s="0"/>
      <c r="RFC84" s="0"/>
      <c r="RFD84" s="0"/>
      <c r="RFE84" s="0"/>
      <c r="RFF84" s="0"/>
      <c r="RFG84" s="0"/>
      <c r="RFH84" s="0"/>
      <c r="RFI84" s="0"/>
      <c r="RFJ84" s="0"/>
      <c r="RFK84" s="0"/>
      <c r="RFL84" s="0"/>
      <c r="RFM84" s="0"/>
      <c r="RFN84" s="0"/>
      <c r="RFO84" s="0"/>
      <c r="RFP84" s="0"/>
      <c r="RFQ84" s="0"/>
      <c r="RFR84" s="0"/>
      <c r="RFS84" s="0"/>
      <c r="RFT84" s="0"/>
      <c r="RFU84" s="0"/>
      <c r="RFV84" s="0"/>
      <c r="RFW84" s="0"/>
      <c r="RFX84" s="0"/>
      <c r="RFY84" s="0"/>
      <c r="RFZ84" s="0"/>
      <c r="RGA84" s="0"/>
      <c r="RGB84" s="0"/>
      <c r="RGC84" s="0"/>
      <c r="RGD84" s="0"/>
      <c r="RGE84" s="0"/>
      <c r="RGF84" s="0"/>
      <c r="RGG84" s="0"/>
      <c r="RGH84" s="0"/>
      <c r="RGI84" s="0"/>
      <c r="RGJ84" s="0"/>
      <c r="RGK84" s="0"/>
      <c r="RGL84" s="0"/>
      <c r="RGM84" s="0"/>
      <c r="RGN84" s="0"/>
      <c r="RGO84" s="0"/>
      <c r="RGP84" s="0"/>
      <c r="RGQ84" s="0"/>
      <c r="RGR84" s="0"/>
      <c r="RGS84" s="0"/>
      <c r="RGT84" s="0"/>
      <c r="RGU84" s="0"/>
      <c r="RGV84" s="0"/>
      <c r="RGW84" s="0"/>
      <c r="RGX84" s="0"/>
      <c r="RGY84" s="0"/>
      <c r="RGZ84" s="0"/>
      <c r="RHA84" s="0"/>
      <c r="RHB84" s="0"/>
      <c r="RHC84" s="0"/>
      <c r="RHD84" s="0"/>
      <c r="RHE84" s="0"/>
      <c r="RHF84" s="0"/>
      <c r="RHG84" s="0"/>
      <c r="RHH84" s="0"/>
      <c r="RHI84" s="0"/>
      <c r="RHJ84" s="0"/>
      <c r="RHK84" s="0"/>
      <c r="RHL84" s="0"/>
      <c r="RHM84" s="0"/>
      <c r="RHN84" s="0"/>
      <c r="RHO84" s="0"/>
      <c r="RHP84" s="0"/>
      <c r="RHQ84" s="0"/>
      <c r="RHR84" s="0"/>
      <c r="RHS84" s="0"/>
      <c r="RHT84" s="0"/>
      <c r="RHU84" s="0"/>
      <c r="RHV84" s="0"/>
      <c r="RHW84" s="0"/>
      <c r="RHX84" s="0"/>
      <c r="RHY84" s="0"/>
      <c r="RHZ84" s="0"/>
      <c r="RIA84" s="0"/>
      <c r="RIB84" s="0"/>
      <c r="RIC84" s="0"/>
      <c r="RID84" s="0"/>
      <c r="RIE84" s="0"/>
      <c r="RIF84" s="0"/>
      <c r="RIG84" s="0"/>
      <c r="RIH84" s="0"/>
      <c r="RII84" s="0"/>
      <c r="RIJ84" s="0"/>
      <c r="RIK84" s="0"/>
      <c r="RIL84" s="0"/>
      <c r="RIM84" s="0"/>
      <c r="RIN84" s="0"/>
      <c r="RIO84" s="0"/>
      <c r="RIP84" s="0"/>
      <c r="RIQ84" s="0"/>
      <c r="RIR84" s="0"/>
      <c r="RIS84" s="0"/>
      <c r="RIT84" s="0"/>
      <c r="RIU84" s="0"/>
      <c r="RIV84" s="0"/>
      <c r="RIW84" s="0"/>
      <c r="RIX84" s="0"/>
      <c r="RIY84" s="0"/>
      <c r="RIZ84" s="0"/>
      <c r="RJA84" s="0"/>
      <c r="RJB84" s="0"/>
      <c r="RJC84" s="0"/>
      <c r="RJD84" s="0"/>
      <c r="RJE84" s="0"/>
      <c r="RJF84" s="0"/>
      <c r="RJG84" s="0"/>
      <c r="RJH84" s="0"/>
      <c r="RJI84" s="0"/>
      <c r="RJJ84" s="0"/>
      <c r="RJK84" s="0"/>
      <c r="RJL84" s="0"/>
      <c r="RJM84" s="0"/>
      <c r="RJN84" s="0"/>
      <c r="RJO84" s="0"/>
      <c r="RJP84" s="0"/>
      <c r="RJQ84" s="0"/>
      <c r="RJR84" s="0"/>
      <c r="RJS84" s="0"/>
      <c r="RJT84" s="0"/>
      <c r="RJU84" s="0"/>
      <c r="RJV84" s="0"/>
      <c r="RJW84" s="0"/>
      <c r="RJX84" s="0"/>
      <c r="RJY84" s="0"/>
      <c r="RJZ84" s="0"/>
      <c r="RKA84" s="0"/>
      <c r="RKB84" s="0"/>
      <c r="RKC84" s="0"/>
      <c r="RKD84" s="0"/>
      <c r="RKE84" s="0"/>
      <c r="RKF84" s="0"/>
      <c r="RKG84" s="0"/>
      <c r="RKH84" s="0"/>
      <c r="RKI84" s="0"/>
      <c r="RKJ84" s="0"/>
      <c r="RKK84" s="0"/>
      <c r="RKL84" s="0"/>
      <c r="RKM84" s="0"/>
      <c r="RKN84" s="0"/>
      <c r="RKO84" s="0"/>
      <c r="RKP84" s="0"/>
      <c r="RKQ84" s="0"/>
      <c r="RKR84" s="0"/>
      <c r="RKS84" s="0"/>
      <c r="RKT84" s="0"/>
      <c r="RKU84" s="0"/>
      <c r="RKV84" s="0"/>
      <c r="RKW84" s="0"/>
      <c r="RKX84" s="0"/>
      <c r="RKY84" s="0"/>
      <c r="RKZ84" s="0"/>
      <c r="RLA84" s="0"/>
      <c r="RLB84" s="0"/>
      <c r="RLC84" s="0"/>
      <c r="RLD84" s="0"/>
      <c r="RLE84" s="0"/>
      <c r="RLF84" s="0"/>
      <c r="RLG84" s="0"/>
      <c r="RLH84" s="0"/>
      <c r="RLI84" s="0"/>
      <c r="RLJ84" s="0"/>
      <c r="RLK84" s="0"/>
      <c r="RLL84" s="0"/>
      <c r="RLM84" s="0"/>
      <c r="RLN84" s="0"/>
      <c r="RLO84" s="0"/>
      <c r="RLP84" s="0"/>
      <c r="RLQ84" s="0"/>
      <c r="RLR84" s="0"/>
      <c r="RLS84" s="0"/>
      <c r="RLT84" s="0"/>
      <c r="RLU84" s="0"/>
      <c r="RLV84" s="0"/>
      <c r="RLW84" s="0"/>
      <c r="RLX84" s="0"/>
      <c r="RLY84" s="0"/>
      <c r="RLZ84" s="0"/>
      <c r="RMA84" s="0"/>
      <c r="RMB84" s="0"/>
      <c r="RMC84" s="0"/>
      <c r="RMD84" s="0"/>
      <c r="RME84" s="0"/>
      <c r="RMF84" s="0"/>
      <c r="RMG84" s="0"/>
      <c r="RMH84" s="0"/>
      <c r="RMI84" s="0"/>
      <c r="RMJ84" s="0"/>
      <c r="RMK84" s="0"/>
      <c r="RML84" s="0"/>
      <c r="RMM84" s="0"/>
      <c r="RMN84" s="0"/>
      <c r="RMO84" s="0"/>
      <c r="RMP84" s="0"/>
      <c r="RMQ84" s="0"/>
      <c r="RMR84" s="0"/>
      <c r="RMS84" s="0"/>
      <c r="RMT84" s="0"/>
      <c r="RMU84" s="0"/>
      <c r="RMV84" s="0"/>
      <c r="RMW84" s="0"/>
      <c r="RMX84" s="0"/>
      <c r="RMY84" s="0"/>
      <c r="RMZ84" s="0"/>
      <c r="RNA84" s="0"/>
      <c r="RNB84" s="0"/>
      <c r="RNC84" s="0"/>
      <c r="RND84" s="0"/>
      <c r="RNE84" s="0"/>
      <c r="RNF84" s="0"/>
      <c r="RNG84" s="0"/>
      <c r="RNH84" s="0"/>
      <c r="RNI84" s="0"/>
      <c r="RNJ84" s="0"/>
      <c r="RNK84" s="0"/>
      <c r="RNL84" s="0"/>
      <c r="RNM84" s="0"/>
      <c r="RNN84" s="0"/>
      <c r="RNO84" s="0"/>
      <c r="RNP84" s="0"/>
      <c r="RNQ84" s="0"/>
      <c r="RNR84" s="0"/>
      <c r="RNS84" s="0"/>
      <c r="RNT84" s="0"/>
      <c r="RNU84" s="0"/>
      <c r="RNV84" s="0"/>
      <c r="RNW84" s="0"/>
      <c r="RNX84" s="0"/>
      <c r="RNY84" s="0"/>
      <c r="RNZ84" s="0"/>
      <c r="ROA84" s="0"/>
      <c r="ROB84" s="0"/>
      <c r="ROC84" s="0"/>
      <c r="ROD84" s="0"/>
      <c r="ROE84" s="0"/>
      <c r="ROF84" s="0"/>
      <c r="ROG84" s="0"/>
      <c r="ROH84" s="0"/>
      <c r="ROI84" s="0"/>
      <c r="ROJ84" s="0"/>
      <c r="ROK84" s="0"/>
      <c r="ROL84" s="0"/>
      <c r="ROM84" s="0"/>
      <c r="RON84" s="0"/>
      <c r="ROO84" s="0"/>
      <c r="ROP84" s="0"/>
      <c r="ROQ84" s="0"/>
      <c r="ROR84" s="0"/>
      <c r="ROS84" s="0"/>
      <c r="ROT84" s="0"/>
      <c r="ROU84" s="0"/>
      <c r="ROV84" s="0"/>
      <c r="ROW84" s="0"/>
      <c r="ROX84" s="0"/>
      <c r="ROY84" s="0"/>
      <c r="ROZ84" s="0"/>
      <c r="RPA84" s="0"/>
      <c r="RPB84" s="0"/>
      <c r="RPC84" s="0"/>
      <c r="RPD84" s="0"/>
      <c r="RPE84" s="0"/>
      <c r="RPF84" s="0"/>
      <c r="RPG84" s="0"/>
      <c r="RPH84" s="0"/>
      <c r="RPI84" s="0"/>
      <c r="RPJ84" s="0"/>
      <c r="RPK84" s="0"/>
      <c r="RPL84" s="0"/>
      <c r="RPM84" s="0"/>
      <c r="RPN84" s="0"/>
      <c r="RPO84" s="0"/>
      <c r="RPP84" s="0"/>
      <c r="RPQ84" s="0"/>
      <c r="RPR84" s="0"/>
      <c r="RPS84" s="0"/>
      <c r="RPT84" s="0"/>
      <c r="RPU84" s="0"/>
      <c r="RPV84" s="0"/>
      <c r="RPW84" s="0"/>
      <c r="RPX84" s="0"/>
      <c r="RPY84" s="0"/>
      <c r="RPZ84" s="0"/>
      <c r="RQA84" s="0"/>
      <c r="RQB84" s="0"/>
      <c r="RQC84" s="0"/>
      <c r="RQD84" s="0"/>
      <c r="RQE84" s="0"/>
      <c r="RQF84" s="0"/>
      <c r="RQG84" s="0"/>
      <c r="RQH84" s="0"/>
      <c r="RQI84" s="0"/>
      <c r="RQJ84" s="0"/>
      <c r="RQK84" s="0"/>
      <c r="RQL84" s="0"/>
      <c r="RQM84" s="0"/>
      <c r="RQN84" s="0"/>
      <c r="RQO84" s="0"/>
      <c r="RQP84" s="0"/>
      <c r="RQQ84" s="0"/>
      <c r="RQR84" s="0"/>
      <c r="RQS84" s="0"/>
      <c r="RQT84" s="0"/>
      <c r="RQU84" s="0"/>
      <c r="RQV84" s="0"/>
      <c r="RQW84" s="0"/>
      <c r="RQX84" s="0"/>
      <c r="RQY84" s="0"/>
      <c r="RQZ84" s="0"/>
      <c r="RRA84" s="0"/>
      <c r="RRB84" s="0"/>
      <c r="RRC84" s="0"/>
      <c r="RRD84" s="0"/>
      <c r="RRE84" s="0"/>
      <c r="RRF84" s="0"/>
      <c r="RRG84" s="0"/>
      <c r="RRH84" s="0"/>
      <c r="RRI84" s="0"/>
      <c r="RRJ84" s="0"/>
      <c r="RRK84" s="0"/>
      <c r="RRL84" s="0"/>
      <c r="RRM84" s="0"/>
      <c r="RRN84" s="0"/>
      <c r="RRO84" s="0"/>
      <c r="RRP84" s="0"/>
      <c r="RRQ84" s="0"/>
      <c r="RRR84" s="0"/>
      <c r="RRS84" s="0"/>
      <c r="RRT84" s="0"/>
      <c r="RRU84" s="0"/>
      <c r="RRV84" s="0"/>
      <c r="RRW84" s="0"/>
      <c r="RRX84" s="0"/>
      <c r="RRY84" s="0"/>
      <c r="RRZ84" s="0"/>
      <c r="RSA84" s="0"/>
      <c r="RSB84" s="0"/>
      <c r="RSC84" s="0"/>
      <c r="RSD84" s="0"/>
      <c r="RSE84" s="0"/>
      <c r="RSF84" s="0"/>
      <c r="RSG84" s="0"/>
      <c r="RSH84" s="0"/>
      <c r="RSI84" s="0"/>
      <c r="RSJ84" s="0"/>
      <c r="RSK84" s="0"/>
      <c r="RSL84" s="0"/>
      <c r="RSM84" s="0"/>
      <c r="RSN84" s="0"/>
      <c r="RSO84" s="0"/>
      <c r="RSP84" s="0"/>
      <c r="RSQ84" s="0"/>
      <c r="RSR84" s="0"/>
      <c r="RSS84" s="0"/>
      <c r="RST84" s="0"/>
      <c r="RSU84" s="0"/>
      <c r="RSV84" s="0"/>
      <c r="RSW84" s="0"/>
      <c r="RSX84" s="0"/>
      <c r="RSY84" s="0"/>
      <c r="RSZ84" s="0"/>
      <c r="RTA84" s="0"/>
      <c r="RTB84" s="0"/>
      <c r="RTC84" s="0"/>
      <c r="RTD84" s="0"/>
      <c r="RTE84" s="0"/>
      <c r="RTF84" s="0"/>
      <c r="RTG84" s="0"/>
      <c r="RTH84" s="0"/>
      <c r="RTI84" s="0"/>
      <c r="RTJ84" s="0"/>
      <c r="RTK84" s="0"/>
      <c r="RTL84" s="0"/>
      <c r="RTM84" s="0"/>
      <c r="RTN84" s="0"/>
      <c r="RTO84" s="0"/>
      <c r="RTP84" s="0"/>
      <c r="RTQ84" s="0"/>
      <c r="RTR84" s="0"/>
      <c r="RTS84" s="0"/>
      <c r="RTT84" s="0"/>
      <c r="RTU84" s="0"/>
      <c r="RTV84" s="0"/>
      <c r="RTW84" s="0"/>
      <c r="RTX84" s="0"/>
      <c r="RTY84" s="0"/>
      <c r="RTZ84" s="0"/>
      <c r="RUA84" s="0"/>
      <c r="RUB84" s="0"/>
      <c r="RUC84" s="0"/>
      <c r="RUD84" s="0"/>
      <c r="RUE84" s="0"/>
      <c r="RUF84" s="0"/>
      <c r="RUG84" s="0"/>
      <c r="RUH84" s="0"/>
      <c r="RUI84" s="0"/>
      <c r="RUJ84" s="0"/>
      <c r="RUK84" s="0"/>
      <c r="RUL84" s="0"/>
      <c r="RUM84" s="0"/>
      <c r="RUN84" s="0"/>
      <c r="RUO84" s="0"/>
      <c r="RUP84" s="0"/>
      <c r="RUQ84" s="0"/>
      <c r="RUR84" s="0"/>
      <c r="RUS84" s="0"/>
      <c r="RUT84" s="0"/>
      <c r="RUU84" s="0"/>
      <c r="RUV84" s="0"/>
      <c r="RUW84" s="0"/>
      <c r="RUX84" s="0"/>
      <c r="RUY84" s="0"/>
      <c r="RUZ84" s="0"/>
      <c r="RVA84" s="0"/>
      <c r="RVB84" s="0"/>
      <c r="RVC84" s="0"/>
      <c r="RVD84" s="0"/>
      <c r="RVE84" s="0"/>
      <c r="RVF84" s="0"/>
      <c r="RVG84" s="0"/>
      <c r="RVH84" s="0"/>
      <c r="RVI84" s="0"/>
      <c r="RVJ84" s="0"/>
      <c r="RVK84" s="0"/>
      <c r="RVL84" s="0"/>
      <c r="RVM84" s="0"/>
      <c r="RVN84" s="0"/>
      <c r="RVO84" s="0"/>
      <c r="RVP84" s="0"/>
      <c r="RVQ84" s="0"/>
      <c r="RVR84" s="0"/>
      <c r="RVS84" s="0"/>
      <c r="RVT84" s="0"/>
      <c r="RVU84" s="0"/>
      <c r="RVV84" s="0"/>
      <c r="RVW84" s="0"/>
      <c r="RVX84" s="0"/>
      <c r="RVY84" s="0"/>
      <c r="RVZ84" s="0"/>
      <c r="RWA84" s="0"/>
      <c r="RWB84" s="0"/>
      <c r="RWC84" s="0"/>
      <c r="RWD84" s="0"/>
      <c r="RWE84" s="0"/>
      <c r="RWF84" s="0"/>
      <c r="RWG84" s="0"/>
      <c r="RWH84" s="0"/>
      <c r="RWI84" s="0"/>
      <c r="RWJ84" s="0"/>
      <c r="RWK84" s="0"/>
      <c r="RWL84" s="0"/>
      <c r="RWM84" s="0"/>
      <c r="RWN84" s="0"/>
      <c r="RWO84" s="0"/>
      <c r="RWP84" s="0"/>
      <c r="RWQ84" s="0"/>
      <c r="RWR84" s="0"/>
      <c r="RWS84" s="0"/>
      <c r="RWT84" s="0"/>
      <c r="RWU84" s="0"/>
      <c r="RWV84" s="0"/>
      <c r="RWW84" s="0"/>
      <c r="RWX84" s="0"/>
      <c r="RWY84" s="0"/>
      <c r="RWZ84" s="0"/>
      <c r="RXA84" s="0"/>
      <c r="RXB84" s="0"/>
      <c r="RXC84" s="0"/>
      <c r="RXD84" s="0"/>
      <c r="RXE84" s="0"/>
      <c r="RXF84" s="0"/>
      <c r="RXG84" s="0"/>
      <c r="RXH84" s="0"/>
      <c r="RXI84" s="0"/>
      <c r="RXJ84" s="0"/>
      <c r="RXK84" s="0"/>
      <c r="RXL84" s="0"/>
      <c r="RXM84" s="0"/>
      <c r="RXN84" s="0"/>
      <c r="RXO84" s="0"/>
      <c r="RXP84" s="0"/>
      <c r="RXQ84" s="0"/>
      <c r="RXR84" s="0"/>
      <c r="RXS84" s="0"/>
      <c r="RXT84" s="0"/>
      <c r="RXU84" s="0"/>
      <c r="RXV84" s="0"/>
      <c r="RXW84" s="0"/>
      <c r="RXX84" s="0"/>
      <c r="RXY84" s="0"/>
      <c r="RXZ84" s="0"/>
      <c r="RYA84" s="0"/>
      <c r="RYB84" s="0"/>
      <c r="RYC84" s="0"/>
      <c r="RYD84" s="0"/>
      <c r="RYE84" s="0"/>
      <c r="RYF84" s="0"/>
      <c r="RYG84" s="0"/>
      <c r="RYH84" s="0"/>
      <c r="RYI84" s="0"/>
      <c r="RYJ84" s="0"/>
      <c r="RYK84" s="0"/>
      <c r="RYL84" s="0"/>
      <c r="RYM84" s="0"/>
      <c r="RYN84" s="0"/>
      <c r="RYO84" s="0"/>
      <c r="RYP84" s="0"/>
      <c r="RYQ84" s="0"/>
      <c r="RYR84" s="0"/>
      <c r="RYS84" s="0"/>
      <c r="RYT84" s="0"/>
      <c r="RYU84" s="0"/>
      <c r="RYV84" s="0"/>
      <c r="RYW84" s="0"/>
      <c r="RYX84" s="0"/>
      <c r="RYY84" s="0"/>
      <c r="RYZ84" s="0"/>
      <c r="RZA84" s="0"/>
      <c r="RZB84" s="0"/>
      <c r="RZC84" s="0"/>
      <c r="RZD84" s="0"/>
      <c r="RZE84" s="0"/>
      <c r="RZF84" s="0"/>
      <c r="RZG84" s="0"/>
      <c r="RZH84" s="0"/>
      <c r="RZI84" s="0"/>
      <c r="RZJ84" s="0"/>
      <c r="RZK84" s="0"/>
      <c r="RZL84" s="0"/>
      <c r="RZM84" s="0"/>
      <c r="RZN84" s="0"/>
      <c r="RZO84" s="0"/>
      <c r="RZP84" s="0"/>
      <c r="RZQ84" s="0"/>
      <c r="RZR84" s="0"/>
      <c r="RZS84" s="0"/>
      <c r="RZT84" s="0"/>
      <c r="RZU84" s="0"/>
      <c r="RZV84" s="0"/>
      <c r="RZW84" s="0"/>
      <c r="RZX84" s="0"/>
      <c r="RZY84" s="0"/>
      <c r="RZZ84" s="0"/>
      <c r="SAA84" s="0"/>
      <c r="SAB84" s="0"/>
      <c r="SAC84" s="0"/>
      <c r="SAD84" s="0"/>
      <c r="SAE84" s="0"/>
      <c r="SAF84" s="0"/>
      <c r="SAG84" s="0"/>
      <c r="SAH84" s="0"/>
      <c r="SAI84" s="0"/>
      <c r="SAJ84" s="0"/>
      <c r="SAK84" s="0"/>
      <c r="SAL84" s="0"/>
      <c r="SAM84" s="0"/>
      <c r="SAN84" s="0"/>
      <c r="SAO84" s="0"/>
      <c r="SAP84" s="0"/>
      <c r="SAQ84" s="0"/>
      <c r="SAR84" s="0"/>
      <c r="SAS84" s="0"/>
      <c r="SAT84" s="0"/>
      <c r="SAU84" s="0"/>
      <c r="SAV84" s="0"/>
      <c r="SAW84" s="0"/>
      <c r="SAX84" s="0"/>
      <c r="SAY84" s="0"/>
      <c r="SAZ84" s="0"/>
      <c r="SBA84" s="0"/>
      <c r="SBB84" s="0"/>
      <c r="SBC84" s="0"/>
      <c r="SBD84" s="0"/>
      <c r="SBE84" s="0"/>
      <c r="SBF84" s="0"/>
      <c r="SBG84" s="0"/>
      <c r="SBH84" s="0"/>
      <c r="SBI84" s="0"/>
      <c r="SBJ84" s="0"/>
      <c r="SBK84" s="0"/>
      <c r="SBL84" s="0"/>
      <c r="SBM84" s="0"/>
      <c r="SBN84" s="0"/>
      <c r="SBO84" s="0"/>
      <c r="SBP84" s="0"/>
      <c r="SBQ84" s="0"/>
      <c r="SBR84" s="0"/>
      <c r="SBS84" s="0"/>
      <c r="SBT84" s="0"/>
      <c r="SBU84" s="0"/>
      <c r="SBV84" s="0"/>
      <c r="SBW84" s="0"/>
      <c r="SBX84" s="0"/>
      <c r="SBY84" s="0"/>
      <c r="SBZ84" s="0"/>
      <c r="SCA84" s="0"/>
      <c r="SCB84" s="0"/>
      <c r="SCC84" s="0"/>
      <c r="SCD84" s="0"/>
      <c r="SCE84" s="0"/>
      <c r="SCF84" s="0"/>
      <c r="SCG84" s="0"/>
      <c r="SCH84" s="0"/>
      <c r="SCI84" s="0"/>
      <c r="SCJ84" s="0"/>
      <c r="SCK84" s="0"/>
      <c r="SCL84" s="0"/>
      <c r="SCM84" s="0"/>
      <c r="SCN84" s="0"/>
      <c r="SCO84" s="0"/>
      <c r="SCP84" s="0"/>
      <c r="SCQ84" s="0"/>
      <c r="SCR84" s="0"/>
      <c r="SCS84" s="0"/>
      <c r="SCT84" s="0"/>
      <c r="SCU84" s="0"/>
      <c r="SCV84" s="0"/>
      <c r="SCW84" s="0"/>
      <c r="SCX84" s="0"/>
      <c r="SCY84" s="0"/>
      <c r="SCZ84" s="0"/>
      <c r="SDA84" s="0"/>
      <c r="SDB84" s="0"/>
      <c r="SDC84" s="0"/>
      <c r="SDD84" s="0"/>
      <c r="SDE84" s="0"/>
      <c r="SDF84" s="0"/>
      <c r="SDG84" s="0"/>
      <c r="SDH84" s="0"/>
      <c r="SDI84" s="0"/>
      <c r="SDJ84" s="0"/>
      <c r="SDK84" s="0"/>
      <c r="SDL84" s="0"/>
      <c r="SDM84" s="0"/>
      <c r="SDN84" s="0"/>
      <c r="SDO84" s="0"/>
      <c r="SDP84" s="0"/>
      <c r="SDQ84" s="0"/>
      <c r="SDR84" s="0"/>
      <c r="SDS84" s="0"/>
      <c r="SDT84" s="0"/>
      <c r="SDU84" s="0"/>
      <c r="SDV84" s="0"/>
      <c r="SDW84" s="0"/>
      <c r="SDX84" s="0"/>
      <c r="SDY84" s="0"/>
      <c r="SDZ84" s="0"/>
      <c r="SEA84" s="0"/>
      <c r="SEB84" s="0"/>
      <c r="SEC84" s="0"/>
      <c r="SED84" s="0"/>
      <c r="SEE84" s="0"/>
      <c r="SEF84" s="0"/>
      <c r="SEG84" s="0"/>
      <c r="SEH84" s="0"/>
      <c r="SEI84" s="0"/>
      <c r="SEJ84" s="0"/>
      <c r="SEK84" s="0"/>
      <c r="SEL84" s="0"/>
      <c r="SEM84" s="0"/>
      <c r="SEN84" s="0"/>
      <c r="SEO84" s="0"/>
      <c r="SEP84" s="0"/>
      <c r="SEQ84" s="0"/>
      <c r="SER84" s="0"/>
      <c r="SES84" s="0"/>
      <c r="SET84" s="0"/>
      <c r="SEU84" s="0"/>
      <c r="SEV84" s="0"/>
      <c r="SEW84" s="0"/>
      <c r="SEX84" s="0"/>
      <c r="SEY84" s="0"/>
      <c r="SEZ84" s="0"/>
      <c r="SFA84" s="0"/>
      <c r="SFB84" s="0"/>
      <c r="SFC84" s="0"/>
      <c r="SFD84" s="0"/>
      <c r="SFE84" s="0"/>
      <c r="SFF84" s="0"/>
      <c r="SFG84" s="0"/>
      <c r="SFH84" s="0"/>
      <c r="SFI84" s="0"/>
      <c r="SFJ84" s="0"/>
      <c r="SFK84" s="0"/>
      <c r="SFL84" s="0"/>
      <c r="SFM84" s="0"/>
      <c r="SFN84" s="0"/>
      <c r="SFO84" s="0"/>
      <c r="SFP84" s="0"/>
      <c r="SFQ84" s="0"/>
      <c r="SFR84" s="0"/>
      <c r="SFS84" s="0"/>
      <c r="SFT84" s="0"/>
      <c r="SFU84" s="0"/>
      <c r="SFV84" s="0"/>
      <c r="SFW84" s="0"/>
      <c r="SFX84" s="0"/>
      <c r="SFY84" s="0"/>
      <c r="SFZ84" s="0"/>
      <c r="SGA84" s="0"/>
      <c r="SGB84" s="0"/>
      <c r="SGC84" s="0"/>
      <c r="SGD84" s="0"/>
      <c r="SGE84" s="0"/>
      <c r="SGF84" s="0"/>
      <c r="SGG84" s="0"/>
      <c r="SGH84" s="0"/>
      <c r="SGI84" s="0"/>
      <c r="SGJ84" s="0"/>
      <c r="SGK84" s="0"/>
      <c r="SGL84" s="0"/>
      <c r="SGM84" s="0"/>
      <c r="SGN84" s="0"/>
      <c r="SGO84" s="0"/>
      <c r="SGP84" s="0"/>
      <c r="SGQ84" s="0"/>
      <c r="SGR84" s="0"/>
      <c r="SGS84" s="0"/>
      <c r="SGT84" s="0"/>
      <c r="SGU84" s="0"/>
      <c r="SGV84" s="0"/>
      <c r="SGW84" s="0"/>
      <c r="SGX84" s="0"/>
      <c r="SGY84" s="0"/>
      <c r="SGZ84" s="0"/>
      <c r="SHA84" s="0"/>
      <c r="SHB84" s="0"/>
      <c r="SHC84" s="0"/>
      <c r="SHD84" s="0"/>
      <c r="SHE84" s="0"/>
      <c r="SHF84" s="0"/>
      <c r="SHG84" s="0"/>
      <c r="SHH84" s="0"/>
      <c r="SHI84" s="0"/>
      <c r="SHJ84" s="0"/>
      <c r="SHK84" s="0"/>
      <c r="SHL84" s="0"/>
      <c r="SHM84" s="0"/>
      <c r="SHN84" s="0"/>
      <c r="SHO84" s="0"/>
      <c r="SHP84" s="0"/>
      <c r="SHQ84" s="0"/>
      <c r="SHR84" s="0"/>
      <c r="SHS84" s="0"/>
      <c r="SHT84" s="0"/>
      <c r="SHU84" s="0"/>
      <c r="SHV84" s="0"/>
      <c r="SHW84" s="0"/>
      <c r="SHX84" s="0"/>
      <c r="SHY84" s="0"/>
      <c r="SHZ84" s="0"/>
      <c r="SIA84" s="0"/>
      <c r="SIB84" s="0"/>
      <c r="SIC84" s="0"/>
      <c r="SID84" s="0"/>
      <c r="SIE84" s="0"/>
      <c r="SIF84" s="0"/>
      <c r="SIG84" s="0"/>
      <c r="SIH84" s="0"/>
      <c r="SII84" s="0"/>
      <c r="SIJ84" s="0"/>
      <c r="SIK84" s="0"/>
      <c r="SIL84" s="0"/>
      <c r="SIM84" s="0"/>
      <c r="SIN84" s="0"/>
      <c r="SIO84" s="0"/>
      <c r="SIP84" s="0"/>
      <c r="SIQ84" s="0"/>
      <c r="SIR84" s="0"/>
      <c r="SIS84" s="0"/>
      <c r="SIT84" s="0"/>
      <c r="SIU84" s="0"/>
      <c r="SIV84" s="0"/>
      <c r="SIW84" s="0"/>
      <c r="SIX84" s="0"/>
      <c r="SIY84" s="0"/>
      <c r="SIZ84" s="0"/>
      <c r="SJA84" s="0"/>
      <c r="SJB84" s="0"/>
      <c r="SJC84" s="0"/>
      <c r="SJD84" s="0"/>
      <c r="SJE84" s="0"/>
      <c r="SJF84" s="0"/>
      <c r="SJG84" s="0"/>
      <c r="SJH84" s="0"/>
      <c r="SJI84" s="0"/>
      <c r="SJJ84" s="0"/>
      <c r="SJK84" s="0"/>
      <c r="SJL84" s="0"/>
      <c r="SJM84" s="0"/>
      <c r="SJN84" s="0"/>
      <c r="SJO84" s="0"/>
      <c r="SJP84" s="0"/>
      <c r="SJQ84" s="0"/>
      <c r="SJR84" s="0"/>
      <c r="SJS84" s="0"/>
      <c r="SJT84" s="0"/>
      <c r="SJU84" s="0"/>
      <c r="SJV84" s="0"/>
      <c r="SJW84" s="0"/>
      <c r="SJX84" s="0"/>
      <c r="SJY84" s="0"/>
      <c r="SJZ84" s="0"/>
      <c r="SKA84" s="0"/>
      <c r="SKB84" s="0"/>
      <c r="SKC84" s="0"/>
      <c r="SKD84" s="0"/>
      <c r="SKE84" s="0"/>
      <c r="SKF84" s="0"/>
      <c r="SKG84" s="0"/>
      <c r="SKH84" s="0"/>
      <c r="SKI84" s="0"/>
      <c r="SKJ84" s="0"/>
      <c r="SKK84" s="0"/>
      <c r="SKL84" s="0"/>
      <c r="SKM84" s="0"/>
      <c r="SKN84" s="0"/>
      <c r="SKO84" s="0"/>
      <c r="SKP84" s="0"/>
      <c r="SKQ84" s="0"/>
      <c r="SKR84" s="0"/>
      <c r="SKS84" s="0"/>
      <c r="SKT84" s="0"/>
      <c r="SKU84" s="0"/>
      <c r="SKV84" s="0"/>
      <c r="SKW84" s="0"/>
      <c r="SKX84" s="0"/>
      <c r="SKY84" s="0"/>
      <c r="SKZ84" s="0"/>
      <c r="SLA84" s="0"/>
      <c r="SLB84" s="0"/>
      <c r="SLC84" s="0"/>
      <c r="SLD84" s="0"/>
      <c r="SLE84" s="0"/>
      <c r="SLF84" s="0"/>
      <c r="SLG84" s="0"/>
      <c r="SLH84" s="0"/>
      <c r="SLI84" s="0"/>
      <c r="SLJ84" s="0"/>
      <c r="SLK84" s="0"/>
      <c r="SLL84" s="0"/>
      <c r="SLM84" s="0"/>
      <c r="SLN84" s="0"/>
      <c r="SLO84" s="0"/>
      <c r="SLP84" s="0"/>
      <c r="SLQ84" s="0"/>
      <c r="SLR84" s="0"/>
      <c r="SLS84" s="0"/>
      <c r="SLT84" s="0"/>
      <c r="SLU84" s="0"/>
      <c r="SLV84" s="0"/>
      <c r="SLW84" s="0"/>
      <c r="SLX84" s="0"/>
      <c r="SLY84" s="0"/>
      <c r="SLZ84" s="0"/>
      <c r="SMA84" s="0"/>
      <c r="SMB84" s="0"/>
      <c r="SMC84" s="0"/>
      <c r="SMD84" s="0"/>
      <c r="SME84" s="0"/>
      <c r="SMF84" s="0"/>
      <c r="SMG84" s="0"/>
      <c r="SMH84" s="0"/>
      <c r="SMI84" s="0"/>
      <c r="SMJ84" s="0"/>
      <c r="SMK84" s="0"/>
      <c r="SML84" s="0"/>
      <c r="SMM84" s="0"/>
      <c r="SMN84" s="0"/>
      <c r="SMO84" s="0"/>
      <c r="SMP84" s="0"/>
      <c r="SMQ84" s="0"/>
      <c r="SMR84" s="0"/>
      <c r="SMS84" s="0"/>
      <c r="SMT84" s="0"/>
      <c r="SMU84" s="0"/>
      <c r="SMV84" s="0"/>
      <c r="SMW84" s="0"/>
      <c r="SMX84" s="0"/>
      <c r="SMY84" s="0"/>
      <c r="SMZ84" s="0"/>
      <c r="SNA84" s="0"/>
      <c r="SNB84" s="0"/>
      <c r="SNC84" s="0"/>
      <c r="SND84" s="0"/>
      <c r="SNE84" s="0"/>
      <c r="SNF84" s="0"/>
      <c r="SNG84" s="0"/>
      <c r="SNH84" s="0"/>
      <c r="SNI84" s="0"/>
      <c r="SNJ84" s="0"/>
      <c r="SNK84" s="0"/>
      <c r="SNL84" s="0"/>
      <c r="SNM84" s="0"/>
      <c r="SNN84" s="0"/>
      <c r="SNO84" s="0"/>
      <c r="SNP84" s="0"/>
      <c r="SNQ84" s="0"/>
      <c r="SNR84" s="0"/>
      <c r="SNS84" s="0"/>
      <c r="SNT84" s="0"/>
      <c r="SNU84" s="0"/>
      <c r="SNV84" s="0"/>
      <c r="SNW84" s="0"/>
      <c r="SNX84" s="0"/>
      <c r="SNY84" s="0"/>
      <c r="SNZ84" s="0"/>
      <c r="SOA84" s="0"/>
      <c r="SOB84" s="0"/>
      <c r="SOC84" s="0"/>
      <c r="SOD84" s="0"/>
      <c r="SOE84" s="0"/>
      <c r="SOF84" s="0"/>
      <c r="SOG84" s="0"/>
      <c r="SOH84" s="0"/>
      <c r="SOI84" s="0"/>
      <c r="SOJ84" s="0"/>
      <c r="SOK84" s="0"/>
      <c r="SOL84" s="0"/>
      <c r="SOM84" s="0"/>
      <c r="SON84" s="0"/>
      <c r="SOO84" s="0"/>
      <c r="SOP84" s="0"/>
      <c r="SOQ84" s="0"/>
      <c r="SOR84" s="0"/>
      <c r="SOS84" s="0"/>
      <c r="SOT84" s="0"/>
      <c r="SOU84" s="0"/>
      <c r="SOV84" s="0"/>
      <c r="SOW84" s="0"/>
      <c r="SOX84" s="0"/>
      <c r="SOY84" s="0"/>
      <c r="SOZ84" s="0"/>
      <c r="SPA84" s="0"/>
      <c r="SPB84" s="0"/>
      <c r="SPC84" s="0"/>
      <c r="SPD84" s="0"/>
      <c r="SPE84" s="0"/>
      <c r="SPF84" s="0"/>
      <c r="SPG84" s="0"/>
      <c r="SPH84" s="0"/>
      <c r="SPI84" s="0"/>
      <c r="SPJ84" s="0"/>
      <c r="SPK84" s="0"/>
      <c r="SPL84" s="0"/>
      <c r="SPM84" s="0"/>
      <c r="SPN84" s="0"/>
      <c r="SPO84" s="0"/>
      <c r="SPP84" s="0"/>
      <c r="SPQ84" s="0"/>
      <c r="SPR84" s="0"/>
      <c r="SPS84" s="0"/>
      <c r="SPT84" s="0"/>
      <c r="SPU84" s="0"/>
      <c r="SPV84" s="0"/>
      <c r="SPW84" s="0"/>
      <c r="SPX84" s="0"/>
      <c r="SPY84" s="0"/>
      <c r="SPZ84" s="0"/>
      <c r="SQA84" s="0"/>
      <c r="SQB84" s="0"/>
      <c r="SQC84" s="0"/>
      <c r="SQD84" s="0"/>
      <c r="SQE84" s="0"/>
      <c r="SQF84" s="0"/>
      <c r="SQG84" s="0"/>
      <c r="SQH84" s="0"/>
      <c r="SQI84" s="0"/>
      <c r="SQJ84" s="0"/>
      <c r="SQK84" s="0"/>
      <c r="SQL84" s="0"/>
      <c r="SQM84" s="0"/>
      <c r="SQN84" s="0"/>
      <c r="SQO84" s="0"/>
      <c r="SQP84" s="0"/>
      <c r="SQQ84" s="0"/>
      <c r="SQR84" s="0"/>
      <c r="SQS84" s="0"/>
      <c r="SQT84" s="0"/>
      <c r="SQU84" s="0"/>
      <c r="SQV84" s="0"/>
      <c r="SQW84" s="0"/>
      <c r="SQX84" s="0"/>
      <c r="SQY84" s="0"/>
      <c r="SQZ84" s="0"/>
      <c r="SRA84" s="0"/>
      <c r="SRB84" s="0"/>
      <c r="SRC84" s="0"/>
      <c r="SRD84" s="0"/>
      <c r="SRE84" s="0"/>
      <c r="SRF84" s="0"/>
      <c r="SRG84" s="0"/>
      <c r="SRH84" s="0"/>
      <c r="SRI84" s="0"/>
      <c r="SRJ84" s="0"/>
      <c r="SRK84" s="0"/>
      <c r="SRL84" s="0"/>
      <c r="SRM84" s="0"/>
      <c r="SRN84" s="0"/>
      <c r="SRO84" s="0"/>
      <c r="SRP84" s="0"/>
      <c r="SRQ84" s="0"/>
      <c r="SRR84" s="0"/>
      <c r="SRS84" s="0"/>
      <c r="SRT84" s="0"/>
      <c r="SRU84" s="0"/>
      <c r="SRV84" s="0"/>
      <c r="SRW84" s="0"/>
      <c r="SRX84" s="0"/>
      <c r="SRY84" s="0"/>
      <c r="SRZ84" s="0"/>
      <c r="SSA84" s="0"/>
      <c r="SSB84" s="0"/>
      <c r="SSC84" s="0"/>
      <c r="SSD84" s="0"/>
      <c r="SSE84" s="0"/>
      <c r="SSF84" s="0"/>
      <c r="SSG84" s="0"/>
      <c r="SSH84" s="0"/>
      <c r="SSI84" s="0"/>
      <c r="SSJ84" s="0"/>
      <c r="SSK84" s="0"/>
      <c r="SSL84" s="0"/>
      <c r="SSM84" s="0"/>
      <c r="SSN84" s="0"/>
      <c r="SSO84" s="0"/>
      <c r="SSP84" s="0"/>
      <c r="SSQ84" s="0"/>
      <c r="SSR84" s="0"/>
      <c r="SSS84" s="0"/>
      <c r="SST84" s="0"/>
      <c r="SSU84" s="0"/>
      <c r="SSV84" s="0"/>
      <c r="SSW84" s="0"/>
      <c r="SSX84" s="0"/>
      <c r="SSY84" s="0"/>
      <c r="SSZ84" s="0"/>
      <c r="STA84" s="0"/>
      <c r="STB84" s="0"/>
      <c r="STC84" s="0"/>
      <c r="STD84" s="0"/>
      <c r="STE84" s="0"/>
      <c r="STF84" s="0"/>
      <c r="STG84" s="0"/>
      <c r="STH84" s="0"/>
      <c r="STI84" s="0"/>
      <c r="STJ84" s="0"/>
      <c r="STK84" s="0"/>
      <c r="STL84" s="0"/>
      <c r="STM84" s="0"/>
      <c r="STN84" s="0"/>
      <c r="STO84" s="0"/>
      <c r="STP84" s="0"/>
      <c r="STQ84" s="0"/>
      <c r="STR84" s="0"/>
      <c r="STS84" s="0"/>
      <c r="STT84" s="0"/>
      <c r="STU84" s="0"/>
      <c r="STV84" s="0"/>
      <c r="STW84" s="0"/>
      <c r="STX84" s="0"/>
      <c r="STY84" s="0"/>
      <c r="STZ84" s="0"/>
      <c r="SUA84" s="0"/>
      <c r="SUB84" s="0"/>
      <c r="SUC84" s="0"/>
      <c r="SUD84" s="0"/>
      <c r="SUE84" s="0"/>
      <c r="SUF84" s="0"/>
      <c r="SUG84" s="0"/>
      <c r="SUH84" s="0"/>
      <c r="SUI84" s="0"/>
      <c r="SUJ84" s="0"/>
      <c r="SUK84" s="0"/>
      <c r="SUL84" s="0"/>
      <c r="SUM84" s="0"/>
      <c r="SUN84" s="0"/>
      <c r="SUO84" s="0"/>
      <c r="SUP84" s="0"/>
      <c r="SUQ84" s="0"/>
      <c r="SUR84" s="0"/>
      <c r="SUS84" s="0"/>
      <c r="SUT84" s="0"/>
      <c r="SUU84" s="0"/>
      <c r="SUV84" s="0"/>
      <c r="SUW84" s="0"/>
      <c r="SUX84" s="0"/>
      <c r="SUY84" s="0"/>
      <c r="SUZ84" s="0"/>
      <c r="SVA84" s="0"/>
      <c r="SVB84" s="0"/>
      <c r="SVC84" s="0"/>
      <c r="SVD84" s="0"/>
      <c r="SVE84" s="0"/>
      <c r="SVF84" s="0"/>
      <c r="SVG84" s="0"/>
      <c r="SVH84" s="0"/>
      <c r="SVI84" s="0"/>
      <c r="SVJ84" s="0"/>
      <c r="SVK84" s="0"/>
      <c r="SVL84" s="0"/>
      <c r="SVM84" s="0"/>
      <c r="SVN84" s="0"/>
      <c r="SVO84" s="0"/>
      <c r="SVP84" s="0"/>
      <c r="SVQ84" s="0"/>
      <c r="SVR84" s="0"/>
      <c r="SVS84" s="0"/>
      <c r="SVT84" s="0"/>
      <c r="SVU84" s="0"/>
      <c r="SVV84" s="0"/>
      <c r="SVW84" s="0"/>
      <c r="SVX84" s="0"/>
      <c r="SVY84" s="0"/>
      <c r="SVZ84" s="0"/>
      <c r="SWA84" s="0"/>
      <c r="SWB84" s="0"/>
      <c r="SWC84" s="0"/>
      <c r="SWD84" s="0"/>
      <c r="SWE84" s="0"/>
      <c r="SWF84" s="0"/>
      <c r="SWG84" s="0"/>
      <c r="SWH84" s="0"/>
      <c r="SWI84" s="0"/>
      <c r="SWJ84" s="0"/>
      <c r="SWK84" s="0"/>
      <c r="SWL84" s="0"/>
      <c r="SWM84" s="0"/>
      <c r="SWN84" s="0"/>
      <c r="SWO84" s="0"/>
      <c r="SWP84" s="0"/>
      <c r="SWQ84" s="0"/>
      <c r="SWR84" s="0"/>
      <c r="SWS84" s="0"/>
      <c r="SWT84" s="0"/>
      <c r="SWU84" s="0"/>
      <c r="SWV84" s="0"/>
      <c r="SWW84" s="0"/>
      <c r="SWX84" s="0"/>
      <c r="SWY84" s="0"/>
      <c r="SWZ84" s="0"/>
      <c r="SXA84" s="0"/>
      <c r="SXB84" s="0"/>
      <c r="SXC84" s="0"/>
      <c r="SXD84" s="0"/>
      <c r="SXE84" s="0"/>
      <c r="SXF84" s="0"/>
      <c r="SXG84" s="0"/>
      <c r="SXH84" s="0"/>
      <c r="SXI84" s="0"/>
      <c r="SXJ84" s="0"/>
      <c r="SXK84" s="0"/>
      <c r="SXL84" s="0"/>
      <c r="SXM84" s="0"/>
      <c r="SXN84" s="0"/>
      <c r="SXO84" s="0"/>
      <c r="SXP84" s="0"/>
      <c r="SXQ84" s="0"/>
      <c r="SXR84" s="0"/>
      <c r="SXS84" s="0"/>
      <c r="SXT84" s="0"/>
      <c r="SXU84" s="0"/>
      <c r="SXV84" s="0"/>
      <c r="SXW84" s="0"/>
      <c r="SXX84" s="0"/>
      <c r="SXY84" s="0"/>
      <c r="SXZ84" s="0"/>
      <c r="SYA84" s="0"/>
      <c r="SYB84" s="0"/>
      <c r="SYC84" s="0"/>
      <c r="SYD84" s="0"/>
      <c r="SYE84" s="0"/>
      <c r="SYF84" s="0"/>
      <c r="SYG84" s="0"/>
      <c r="SYH84" s="0"/>
      <c r="SYI84" s="0"/>
      <c r="SYJ84" s="0"/>
      <c r="SYK84" s="0"/>
      <c r="SYL84" s="0"/>
      <c r="SYM84" s="0"/>
      <c r="SYN84" s="0"/>
      <c r="SYO84" s="0"/>
      <c r="SYP84" s="0"/>
      <c r="SYQ84" s="0"/>
      <c r="SYR84" s="0"/>
      <c r="SYS84" s="0"/>
      <c r="SYT84" s="0"/>
      <c r="SYU84" s="0"/>
      <c r="SYV84" s="0"/>
      <c r="SYW84" s="0"/>
      <c r="SYX84" s="0"/>
      <c r="SYY84" s="0"/>
      <c r="SYZ84" s="0"/>
      <c r="SZA84" s="0"/>
      <c r="SZB84" s="0"/>
      <c r="SZC84" s="0"/>
      <c r="SZD84" s="0"/>
      <c r="SZE84" s="0"/>
      <c r="SZF84" s="0"/>
      <c r="SZG84" s="0"/>
      <c r="SZH84" s="0"/>
      <c r="SZI84" s="0"/>
      <c r="SZJ84" s="0"/>
      <c r="SZK84" s="0"/>
      <c r="SZL84" s="0"/>
      <c r="SZM84" s="0"/>
      <c r="SZN84" s="0"/>
      <c r="SZO84" s="0"/>
      <c r="SZP84" s="0"/>
      <c r="SZQ84" s="0"/>
      <c r="SZR84" s="0"/>
      <c r="SZS84" s="0"/>
      <c r="SZT84" s="0"/>
      <c r="SZU84" s="0"/>
      <c r="SZV84" s="0"/>
      <c r="SZW84" s="0"/>
      <c r="SZX84" s="0"/>
      <c r="SZY84" s="0"/>
      <c r="SZZ84" s="0"/>
      <c r="TAA84" s="0"/>
      <c r="TAB84" s="0"/>
      <c r="TAC84" s="0"/>
      <c r="TAD84" s="0"/>
      <c r="TAE84" s="0"/>
      <c r="TAF84" s="0"/>
      <c r="TAG84" s="0"/>
      <c r="TAH84" s="0"/>
      <c r="TAI84" s="0"/>
      <c r="TAJ84" s="0"/>
      <c r="TAK84" s="0"/>
      <c r="TAL84" s="0"/>
      <c r="TAM84" s="0"/>
      <c r="TAN84" s="0"/>
      <c r="TAO84" s="0"/>
      <c r="TAP84" s="0"/>
      <c r="TAQ84" s="0"/>
      <c r="TAR84" s="0"/>
      <c r="TAS84" s="0"/>
      <c r="TAT84" s="0"/>
      <c r="TAU84" s="0"/>
      <c r="TAV84" s="0"/>
      <c r="TAW84" s="0"/>
      <c r="TAX84" s="0"/>
      <c r="TAY84" s="0"/>
      <c r="TAZ84" s="0"/>
      <c r="TBA84" s="0"/>
      <c r="TBB84" s="0"/>
      <c r="TBC84" s="0"/>
      <c r="TBD84" s="0"/>
      <c r="TBE84" s="0"/>
      <c r="TBF84" s="0"/>
      <c r="TBG84" s="0"/>
      <c r="TBH84" s="0"/>
      <c r="TBI84" s="0"/>
      <c r="TBJ84" s="0"/>
      <c r="TBK84" s="0"/>
      <c r="TBL84" s="0"/>
      <c r="TBM84" s="0"/>
      <c r="TBN84" s="0"/>
      <c r="TBO84" s="0"/>
      <c r="TBP84" s="0"/>
      <c r="TBQ84" s="0"/>
      <c r="TBR84" s="0"/>
      <c r="TBS84" s="0"/>
      <c r="TBT84" s="0"/>
      <c r="TBU84" s="0"/>
      <c r="TBV84" s="0"/>
      <c r="TBW84" s="0"/>
      <c r="TBX84" s="0"/>
      <c r="TBY84" s="0"/>
      <c r="TBZ84" s="0"/>
      <c r="TCA84" s="0"/>
      <c r="TCB84" s="0"/>
      <c r="TCC84" s="0"/>
      <c r="TCD84" s="0"/>
      <c r="TCE84" s="0"/>
      <c r="TCF84" s="0"/>
      <c r="TCG84" s="0"/>
      <c r="TCH84" s="0"/>
      <c r="TCI84" s="0"/>
      <c r="TCJ84" s="0"/>
      <c r="TCK84" s="0"/>
      <c r="TCL84" s="0"/>
      <c r="TCM84" s="0"/>
      <c r="TCN84" s="0"/>
      <c r="TCO84" s="0"/>
      <c r="TCP84" s="0"/>
      <c r="TCQ84" s="0"/>
      <c r="TCR84" s="0"/>
      <c r="TCS84" s="0"/>
      <c r="TCT84" s="0"/>
      <c r="TCU84" s="0"/>
      <c r="TCV84" s="0"/>
      <c r="TCW84" s="0"/>
      <c r="TCX84" s="0"/>
      <c r="TCY84" s="0"/>
      <c r="TCZ84" s="0"/>
      <c r="TDA84" s="0"/>
      <c r="TDB84" s="0"/>
      <c r="TDC84" s="0"/>
      <c r="TDD84" s="0"/>
      <c r="TDE84" s="0"/>
      <c r="TDF84" s="0"/>
      <c r="TDG84" s="0"/>
      <c r="TDH84" s="0"/>
      <c r="TDI84" s="0"/>
      <c r="TDJ84" s="0"/>
      <c r="TDK84" s="0"/>
      <c r="TDL84" s="0"/>
      <c r="TDM84" s="0"/>
      <c r="TDN84" s="0"/>
      <c r="TDO84" s="0"/>
      <c r="TDP84" s="0"/>
      <c r="TDQ84" s="0"/>
      <c r="TDR84" s="0"/>
      <c r="TDS84" s="0"/>
      <c r="TDT84" s="0"/>
      <c r="TDU84" s="0"/>
      <c r="TDV84" s="0"/>
      <c r="TDW84" s="0"/>
      <c r="TDX84" s="0"/>
      <c r="TDY84" s="0"/>
      <c r="TDZ84" s="0"/>
      <c r="TEA84" s="0"/>
      <c r="TEB84" s="0"/>
      <c r="TEC84" s="0"/>
      <c r="TED84" s="0"/>
      <c r="TEE84" s="0"/>
      <c r="TEF84" s="0"/>
      <c r="TEG84" s="0"/>
      <c r="TEH84" s="0"/>
      <c r="TEI84" s="0"/>
      <c r="TEJ84" s="0"/>
      <c r="TEK84" s="0"/>
      <c r="TEL84" s="0"/>
      <c r="TEM84" s="0"/>
      <c r="TEN84" s="0"/>
      <c r="TEO84" s="0"/>
      <c r="TEP84" s="0"/>
      <c r="TEQ84" s="0"/>
      <c r="TER84" s="0"/>
      <c r="TES84" s="0"/>
      <c r="TET84" s="0"/>
      <c r="TEU84" s="0"/>
      <c r="TEV84" s="0"/>
      <c r="TEW84" s="0"/>
      <c r="TEX84" s="0"/>
      <c r="TEY84" s="0"/>
      <c r="TEZ84" s="0"/>
      <c r="TFA84" s="0"/>
      <c r="TFB84" s="0"/>
      <c r="TFC84" s="0"/>
      <c r="TFD84" s="0"/>
      <c r="TFE84" s="0"/>
      <c r="TFF84" s="0"/>
      <c r="TFG84" s="0"/>
      <c r="TFH84" s="0"/>
      <c r="TFI84" s="0"/>
      <c r="TFJ84" s="0"/>
      <c r="TFK84" s="0"/>
      <c r="TFL84" s="0"/>
      <c r="TFM84" s="0"/>
      <c r="TFN84" s="0"/>
      <c r="TFO84" s="0"/>
      <c r="TFP84" s="0"/>
      <c r="TFQ84" s="0"/>
      <c r="TFR84" s="0"/>
      <c r="TFS84" s="0"/>
      <c r="TFT84" s="0"/>
      <c r="TFU84" s="0"/>
      <c r="TFV84" s="0"/>
      <c r="TFW84" s="0"/>
      <c r="TFX84" s="0"/>
      <c r="TFY84" s="0"/>
      <c r="TFZ84" s="0"/>
      <c r="TGA84" s="0"/>
      <c r="TGB84" s="0"/>
      <c r="TGC84" s="0"/>
      <c r="TGD84" s="0"/>
      <c r="TGE84" s="0"/>
      <c r="TGF84" s="0"/>
      <c r="TGG84" s="0"/>
      <c r="TGH84" s="0"/>
      <c r="TGI84" s="0"/>
      <c r="TGJ84" s="0"/>
      <c r="TGK84" s="0"/>
      <c r="TGL84" s="0"/>
      <c r="TGM84" s="0"/>
      <c r="TGN84" s="0"/>
      <c r="TGO84" s="0"/>
      <c r="TGP84" s="0"/>
      <c r="TGQ84" s="0"/>
      <c r="TGR84" s="0"/>
      <c r="TGS84" s="0"/>
      <c r="TGT84" s="0"/>
      <c r="TGU84" s="0"/>
      <c r="TGV84" s="0"/>
      <c r="TGW84" s="0"/>
      <c r="TGX84" s="0"/>
      <c r="TGY84" s="0"/>
      <c r="TGZ84" s="0"/>
      <c r="THA84" s="0"/>
      <c r="THB84" s="0"/>
      <c r="THC84" s="0"/>
      <c r="THD84" s="0"/>
      <c r="THE84" s="0"/>
      <c r="THF84" s="0"/>
      <c r="THG84" s="0"/>
      <c r="THH84" s="0"/>
      <c r="THI84" s="0"/>
      <c r="THJ84" s="0"/>
      <c r="THK84" s="0"/>
      <c r="THL84" s="0"/>
      <c r="THM84" s="0"/>
      <c r="THN84" s="0"/>
      <c r="THO84" s="0"/>
      <c r="THP84" s="0"/>
      <c r="THQ84" s="0"/>
      <c r="THR84" s="0"/>
      <c r="THS84" s="0"/>
      <c r="THT84" s="0"/>
      <c r="THU84" s="0"/>
      <c r="THV84" s="0"/>
      <c r="THW84" s="0"/>
      <c r="THX84" s="0"/>
      <c r="THY84" s="0"/>
      <c r="THZ84" s="0"/>
      <c r="TIA84" s="0"/>
      <c r="TIB84" s="0"/>
      <c r="TIC84" s="0"/>
      <c r="TID84" s="0"/>
      <c r="TIE84" s="0"/>
      <c r="TIF84" s="0"/>
      <c r="TIG84" s="0"/>
      <c r="TIH84" s="0"/>
      <c r="TII84" s="0"/>
      <c r="TIJ84" s="0"/>
      <c r="TIK84" s="0"/>
      <c r="TIL84" s="0"/>
      <c r="TIM84" s="0"/>
      <c r="TIN84" s="0"/>
      <c r="TIO84" s="0"/>
      <c r="TIP84" s="0"/>
      <c r="TIQ84" s="0"/>
      <c r="TIR84" s="0"/>
      <c r="TIS84" s="0"/>
      <c r="TIT84" s="0"/>
      <c r="TIU84" s="0"/>
      <c r="TIV84" s="0"/>
      <c r="TIW84" s="0"/>
      <c r="TIX84" s="0"/>
      <c r="TIY84" s="0"/>
      <c r="TIZ84" s="0"/>
      <c r="TJA84" s="0"/>
      <c r="TJB84" s="0"/>
      <c r="TJC84" s="0"/>
      <c r="TJD84" s="0"/>
      <c r="TJE84" s="0"/>
      <c r="TJF84" s="0"/>
      <c r="TJG84" s="0"/>
      <c r="TJH84" s="0"/>
      <c r="TJI84" s="0"/>
      <c r="TJJ84" s="0"/>
      <c r="TJK84" s="0"/>
      <c r="TJL84" s="0"/>
      <c r="TJM84" s="0"/>
      <c r="TJN84" s="0"/>
      <c r="TJO84" s="0"/>
      <c r="TJP84" s="0"/>
      <c r="TJQ84" s="0"/>
      <c r="TJR84" s="0"/>
      <c r="TJS84" s="0"/>
      <c r="TJT84" s="0"/>
      <c r="TJU84" s="0"/>
      <c r="TJV84" s="0"/>
      <c r="TJW84" s="0"/>
      <c r="TJX84" s="0"/>
      <c r="TJY84" s="0"/>
      <c r="TJZ84" s="0"/>
      <c r="TKA84" s="0"/>
      <c r="TKB84" s="0"/>
      <c r="TKC84" s="0"/>
      <c r="TKD84" s="0"/>
      <c r="TKE84" s="0"/>
      <c r="TKF84" s="0"/>
      <c r="TKG84" s="0"/>
      <c r="TKH84" s="0"/>
      <c r="TKI84" s="0"/>
      <c r="TKJ84" s="0"/>
      <c r="TKK84" s="0"/>
      <c r="TKL84" s="0"/>
      <c r="TKM84" s="0"/>
      <c r="TKN84" s="0"/>
      <c r="TKO84" s="0"/>
      <c r="TKP84" s="0"/>
      <c r="TKQ84" s="0"/>
      <c r="TKR84" s="0"/>
      <c r="TKS84" s="0"/>
      <c r="TKT84" s="0"/>
      <c r="TKU84" s="0"/>
      <c r="TKV84" s="0"/>
      <c r="TKW84" s="0"/>
      <c r="TKX84" s="0"/>
      <c r="TKY84" s="0"/>
      <c r="TKZ84" s="0"/>
      <c r="TLA84" s="0"/>
      <c r="TLB84" s="0"/>
      <c r="TLC84" s="0"/>
      <c r="TLD84" s="0"/>
      <c r="TLE84" s="0"/>
      <c r="TLF84" s="0"/>
      <c r="TLG84" s="0"/>
      <c r="TLH84" s="0"/>
      <c r="TLI84" s="0"/>
      <c r="TLJ84" s="0"/>
      <c r="TLK84" s="0"/>
      <c r="TLL84" s="0"/>
      <c r="TLM84" s="0"/>
      <c r="TLN84" s="0"/>
      <c r="TLO84" s="0"/>
      <c r="TLP84" s="0"/>
      <c r="TLQ84" s="0"/>
      <c r="TLR84" s="0"/>
      <c r="TLS84" s="0"/>
      <c r="TLT84" s="0"/>
      <c r="TLU84" s="0"/>
      <c r="TLV84" s="0"/>
      <c r="TLW84" s="0"/>
      <c r="TLX84" s="0"/>
      <c r="TLY84" s="0"/>
      <c r="TLZ84" s="0"/>
      <c r="TMA84" s="0"/>
      <c r="TMB84" s="0"/>
      <c r="TMC84" s="0"/>
      <c r="TMD84" s="0"/>
      <c r="TME84" s="0"/>
      <c r="TMF84" s="0"/>
      <c r="TMG84" s="0"/>
      <c r="TMH84" s="0"/>
      <c r="TMI84" s="0"/>
      <c r="TMJ84" s="0"/>
      <c r="TMK84" s="0"/>
      <c r="TML84" s="0"/>
      <c r="TMM84" s="0"/>
      <c r="TMN84" s="0"/>
      <c r="TMO84" s="0"/>
      <c r="TMP84" s="0"/>
      <c r="TMQ84" s="0"/>
      <c r="TMR84" s="0"/>
      <c r="TMS84" s="0"/>
      <c r="TMT84" s="0"/>
      <c r="TMU84" s="0"/>
      <c r="TMV84" s="0"/>
      <c r="TMW84" s="0"/>
      <c r="TMX84" s="0"/>
      <c r="TMY84" s="0"/>
      <c r="TMZ84" s="0"/>
      <c r="TNA84" s="0"/>
      <c r="TNB84" s="0"/>
      <c r="TNC84" s="0"/>
      <c r="TND84" s="0"/>
      <c r="TNE84" s="0"/>
      <c r="TNF84" s="0"/>
      <c r="TNG84" s="0"/>
      <c r="TNH84" s="0"/>
      <c r="TNI84" s="0"/>
      <c r="TNJ84" s="0"/>
      <c r="TNK84" s="0"/>
      <c r="TNL84" s="0"/>
      <c r="TNM84" s="0"/>
      <c r="TNN84" s="0"/>
      <c r="TNO84" s="0"/>
      <c r="TNP84" s="0"/>
      <c r="TNQ84" s="0"/>
      <c r="TNR84" s="0"/>
      <c r="TNS84" s="0"/>
      <c r="TNT84" s="0"/>
      <c r="TNU84" s="0"/>
      <c r="TNV84" s="0"/>
      <c r="TNW84" s="0"/>
      <c r="TNX84" s="0"/>
      <c r="TNY84" s="0"/>
      <c r="TNZ84" s="0"/>
      <c r="TOA84" s="0"/>
      <c r="TOB84" s="0"/>
      <c r="TOC84" s="0"/>
      <c r="TOD84" s="0"/>
      <c r="TOE84" s="0"/>
      <c r="TOF84" s="0"/>
      <c r="TOG84" s="0"/>
      <c r="TOH84" s="0"/>
      <c r="TOI84" s="0"/>
      <c r="TOJ84" s="0"/>
      <c r="TOK84" s="0"/>
      <c r="TOL84" s="0"/>
      <c r="TOM84" s="0"/>
      <c r="TON84" s="0"/>
      <c r="TOO84" s="0"/>
      <c r="TOP84" s="0"/>
      <c r="TOQ84" s="0"/>
      <c r="TOR84" s="0"/>
      <c r="TOS84" s="0"/>
      <c r="TOT84" s="0"/>
      <c r="TOU84" s="0"/>
      <c r="TOV84" s="0"/>
      <c r="TOW84" s="0"/>
      <c r="TOX84" s="0"/>
      <c r="TOY84" s="0"/>
      <c r="TOZ84" s="0"/>
      <c r="TPA84" s="0"/>
      <c r="TPB84" s="0"/>
      <c r="TPC84" s="0"/>
      <c r="TPD84" s="0"/>
      <c r="TPE84" s="0"/>
      <c r="TPF84" s="0"/>
      <c r="TPG84" s="0"/>
      <c r="TPH84" s="0"/>
      <c r="TPI84" s="0"/>
      <c r="TPJ84" s="0"/>
      <c r="TPK84" s="0"/>
      <c r="TPL84" s="0"/>
      <c r="TPM84" s="0"/>
      <c r="TPN84" s="0"/>
      <c r="TPO84" s="0"/>
      <c r="TPP84" s="0"/>
      <c r="TPQ84" s="0"/>
      <c r="TPR84" s="0"/>
      <c r="TPS84" s="0"/>
      <c r="TPT84" s="0"/>
      <c r="TPU84" s="0"/>
      <c r="TPV84" s="0"/>
      <c r="TPW84" s="0"/>
      <c r="TPX84" s="0"/>
      <c r="TPY84" s="0"/>
      <c r="TPZ84" s="0"/>
      <c r="TQA84" s="0"/>
      <c r="TQB84" s="0"/>
      <c r="TQC84" s="0"/>
      <c r="TQD84" s="0"/>
      <c r="TQE84" s="0"/>
      <c r="TQF84" s="0"/>
      <c r="TQG84" s="0"/>
      <c r="TQH84" s="0"/>
      <c r="TQI84" s="0"/>
      <c r="TQJ84" s="0"/>
      <c r="TQK84" s="0"/>
      <c r="TQL84" s="0"/>
      <c r="TQM84" s="0"/>
      <c r="TQN84" s="0"/>
      <c r="TQO84" s="0"/>
      <c r="TQP84" s="0"/>
      <c r="TQQ84" s="0"/>
      <c r="TQR84" s="0"/>
      <c r="TQS84" s="0"/>
      <c r="TQT84" s="0"/>
      <c r="TQU84" s="0"/>
      <c r="TQV84" s="0"/>
      <c r="TQW84" s="0"/>
      <c r="TQX84" s="0"/>
      <c r="TQY84" s="0"/>
      <c r="TQZ84" s="0"/>
      <c r="TRA84" s="0"/>
      <c r="TRB84" s="0"/>
      <c r="TRC84" s="0"/>
      <c r="TRD84" s="0"/>
      <c r="TRE84" s="0"/>
      <c r="TRF84" s="0"/>
      <c r="TRG84" s="0"/>
      <c r="TRH84" s="0"/>
      <c r="TRI84" s="0"/>
      <c r="TRJ84" s="0"/>
      <c r="TRK84" s="0"/>
      <c r="TRL84" s="0"/>
      <c r="TRM84" s="0"/>
      <c r="TRN84" s="0"/>
      <c r="TRO84" s="0"/>
      <c r="TRP84" s="0"/>
      <c r="TRQ84" s="0"/>
      <c r="TRR84" s="0"/>
      <c r="TRS84" s="0"/>
      <c r="TRT84" s="0"/>
      <c r="TRU84" s="0"/>
      <c r="TRV84" s="0"/>
      <c r="TRW84" s="0"/>
      <c r="TRX84" s="0"/>
      <c r="TRY84" s="0"/>
      <c r="TRZ84" s="0"/>
      <c r="TSA84" s="0"/>
      <c r="TSB84" s="0"/>
      <c r="TSC84" s="0"/>
      <c r="TSD84" s="0"/>
      <c r="TSE84" s="0"/>
      <c r="TSF84" s="0"/>
      <c r="TSG84" s="0"/>
      <c r="TSH84" s="0"/>
      <c r="TSI84" s="0"/>
      <c r="TSJ84" s="0"/>
      <c r="TSK84" s="0"/>
      <c r="TSL84" s="0"/>
      <c r="TSM84" s="0"/>
      <c r="TSN84" s="0"/>
      <c r="TSO84" s="0"/>
      <c r="TSP84" s="0"/>
      <c r="TSQ84" s="0"/>
      <c r="TSR84" s="0"/>
      <c r="TSS84" s="0"/>
      <c r="TST84" s="0"/>
      <c r="TSU84" s="0"/>
      <c r="TSV84" s="0"/>
      <c r="TSW84" s="0"/>
      <c r="TSX84" s="0"/>
      <c r="TSY84" s="0"/>
      <c r="TSZ84" s="0"/>
      <c r="TTA84" s="0"/>
      <c r="TTB84" s="0"/>
      <c r="TTC84" s="0"/>
      <c r="TTD84" s="0"/>
      <c r="TTE84" s="0"/>
      <c r="TTF84" s="0"/>
      <c r="TTG84" s="0"/>
      <c r="TTH84" s="0"/>
      <c r="TTI84" s="0"/>
      <c r="TTJ84" s="0"/>
      <c r="TTK84" s="0"/>
      <c r="TTL84" s="0"/>
      <c r="TTM84" s="0"/>
      <c r="TTN84" s="0"/>
      <c r="TTO84" s="0"/>
      <c r="TTP84" s="0"/>
      <c r="TTQ84" s="0"/>
      <c r="TTR84" s="0"/>
      <c r="TTS84" s="0"/>
      <c r="TTT84" s="0"/>
      <c r="TTU84" s="0"/>
      <c r="TTV84" s="0"/>
      <c r="TTW84" s="0"/>
      <c r="TTX84" s="0"/>
      <c r="TTY84" s="0"/>
      <c r="TTZ84" s="0"/>
      <c r="TUA84" s="0"/>
      <c r="TUB84" s="0"/>
      <c r="TUC84" s="0"/>
      <c r="TUD84" s="0"/>
      <c r="TUE84" s="0"/>
      <c r="TUF84" s="0"/>
      <c r="TUG84" s="0"/>
      <c r="TUH84" s="0"/>
      <c r="TUI84" s="0"/>
      <c r="TUJ84" s="0"/>
      <c r="TUK84" s="0"/>
      <c r="TUL84" s="0"/>
      <c r="TUM84" s="0"/>
      <c r="TUN84" s="0"/>
      <c r="TUO84" s="0"/>
      <c r="TUP84" s="0"/>
      <c r="TUQ84" s="0"/>
      <c r="TUR84" s="0"/>
      <c r="TUS84" s="0"/>
      <c r="TUT84" s="0"/>
      <c r="TUU84" s="0"/>
      <c r="TUV84" s="0"/>
      <c r="TUW84" s="0"/>
      <c r="TUX84" s="0"/>
      <c r="TUY84" s="0"/>
      <c r="TUZ84" s="0"/>
      <c r="TVA84" s="0"/>
      <c r="TVB84" s="0"/>
      <c r="TVC84" s="0"/>
      <c r="TVD84" s="0"/>
      <c r="TVE84" s="0"/>
      <c r="TVF84" s="0"/>
      <c r="TVG84" s="0"/>
      <c r="TVH84" s="0"/>
      <c r="TVI84" s="0"/>
      <c r="TVJ84" s="0"/>
      <c r="TVK84" s="0"/>
      <c r="TVL84" s="0"/>
      <c r="TVM84" s="0"/>
      <c r="TVN84" s="0"/>
      <c r="TVO84" s="0"/>
      <c r="TVP84" s="0"/>
      <c r="TVQ84" s="0"/>
      <c r="TVR84" s="0"/>
      <c r="TVS84" s="0"/>
      <c r="TVT84" s="0"/>
      <c r="TVU84" s="0"/>
      <c r="TVV84" s="0"/>
      <c r="TVW84" s="0"/>
      <c r="TVX84" s="0"/>
      <c r="TVY84" s="0"/>
      <c r="TVZ84" s="0"/>
      <c r="TWA84" s="0"/>
      <c r="TWB84" s="0"/>
      <c r="TWC84" s="0"/>
      <c r="TWD84" s="0"/>
      <c r="TWE84" s="0"/>
      <c r="TWF84" s="0"/>
      <c r="TWG84" s="0"/>
      <c r="TWH84" s="0"/>
      <c r="TWI84" s="0"/>
      <c r="TWJ84" s="0"/>
      <c r="TWK84" s="0"/>
      <c r="TWL84" s="0"/>
      <c r="TWM84" s="0"/>
      <c r="TWN84" s="0"/>
      <c r="TWO84" s="0"/>
      <c r="TWP84" s="0"/>
      <c r="TWQ84" s="0"/>
      <c r="TWR84" s="0"/>
      <c r="TWS84" s="0"/>
      <c r="TWT84" s="0"/>
      <c r="TWU84" s="0"/>
      <c r="TWV84" s="0"/>
      <c r="TWW84" s="0"/>
      <c r="TWX84" s="0"/>
      <c r="TWY84" s="0"/>
      <c r="TWZ84" s="0"/>
      <c r="TXA84" s="0"/>
      <c r="TXB84" s="0"/>
      <c r="TXC84" s="0"/>
      <c r="TXD84" s="0"/>
      <c r="TXE84" s="0"/>
      <c r="TXF84" s="0"/>
      <c r="TXG84" s="0"/>
      <c r="TXH84" s="0"/>
      <c r="TXI84" s="0"/>
      <c r="TXJ84" s="0"/>
      <c r="TXK84" s="0"/>
      <c r="TXL84" s="0"/>
      <c r="TXM84" s="0"/>
      <c r="TXN84" s="0"/>
      <c r="TXO84" s="0"/>
      <c r="TXP84" s="0"/>
      <c r="TXQ84" s="0"/>
      <c r="TXR84" s="0"/>
      <c r="TXS84" s="0"/>
      <c r="TXT84" s="0"/>
      <c r="TXU84" s="0"/>
      <c r="TXV84" s="0"/>
      <c r="TXW84" s="0"/>
      <c r="TXX84" s="0"/>
      <c r="TXY84" s="0"/>
      <c r="TXZ84" s="0"/>
      <c r="TYA84" s="0"/>
      <c r="TYB84" s="0"/>
      <c r="TYC84" s="0"/>
      <c r="TYD84" s="0"/>
      <c r="TYE84" s="0"/>
      <c r="TYF84" s="0"/>
      <c r="TYG84" s="0"/>
      <c r="TYH84" s="0"/>
      <c r="TYI84" s="0"/>
      <c r="TYJ84" s="0"/>
      <c r="TYK84" s="0"/>
      <c r="TYL84" s="0"/>
      <c r="TYM84" s="0"/>
      <c r="TYN84" s="0"/>
      <c r="TYO84" s="0"/>
      <c r="TYP84" s="0"/>
      <c r="TYQ84" s="0"/>
      <c r="TYR84" s="0"/>
      <c r="TYS84" s="0"/>
      <c r="TYT84" s="0"/>
      <c r="TYU84" s="0"/>
      <c r="TYV84" s="0"/>
      <c r="TYW84" s="0"/>
      <c r="TYX84" s="0"/>
      <c r="TYY84" s="0"/>
      <c r="TYZ84" s="0"/>
      <c r="TZA84" s="0"/>
      <c r="TZB84" s="0"/>
      <c r="TZC84" s="0"/>
      <c r="TZD84" s="0"/>
      <c r="TZE84" s="0"/>
      <c r="TZF84" s="0"/>
      <c r="TZG84" s="0"/>
      <c r="TZH84" s="0"/>
      <c r="TZI84" s="0"/>
      <c r="TZJ84" s="0"/>
      <c r="TZK84" s="0"/>
      <c r="TZL84" s="0"/>
      <c r="TZM84" s="0"/>
      <c r="TZN84" s="0"/>
      <c r="TZO84" s="0"/>
      <c r="TZP84" s="0"/>
      <c r="TZQ84" s="0"/>
      <c r="TZR84" s="0"/>
      <c r="TZS84" s="0"/>
      <c r="TZT84" s="0"/>
      <c r="TZU84" s="0"/>
      <c r="TZV84" s="0"/>
      <c r="TZW84" s="0"/>
      <c r="TZX84" s="0"/>
      <c r="TZY84" s="0"/>
      <c r="TZZ84" s="0"/>
      <c r="UAA84" s="0"/>
      <c r="UAB84" s="0"/>
      <c r="UAC84" s="0"/>
      <c r="UAD84" s="0"/>
      <c r="UAE84" s="0"/>
      <c r="UAF84" s="0"/>
      <c r="UAG84" s="0"/>
      <c r="UAH84" s="0"/>
      <c r="UAI84" s="0"/>
      <c r="UAJ84" s="0"/>
      <c r="UAK84" s="0"/>
      <c r="UAL84" s="0"/>
      <c r="UAM84" s="0"/>
      <c r="UAN84" s="0"/>
      <c r="UAO84" s="0"/>
      <c r="UAP84" s="0"/>
      <c r="UAQ84" s="0"/>
      <c r="UAR84" s="0"/>
      <c r="UAS84" s="0"/>
      <c r="UAT84" s="0"/>
      <c r="UAU84" s="0"/>
      <c r="UAV84" s="0"/>
      <c r="UAW84" s="0"/>
      <c r="UAX84" s="0"/>
      <c r="UAY84" s="0"/>
      <c r="UAZ84" s="0"/>
      <c r="UBA84" s="0"/>
      <c r="UBB84" s="0"/>
      <c r="UBC84" s="0"/>
      <c r="UBD84" s="0"/>
      <c r="UBE84" s="0"/>
      <c r="UBF84" s="0"/>
      <c r="UBG84" s="0"/>
      <c r="UBH84" s="0"/>
      <c r="UBI84" s="0"/>
      <c r="UBJ84" s="0"/>
      <c r="UBK84" s="0"/>
      <c r="UBL84" s="0"/>
      <c r="UBM84" s="0"/>
      <c r="UBN84" s="0"/>
      <c r="UBO84" s="0"/>
      <c r="UBP84" s="0"/>
      <c r="UBQ84" s="0"/>
      <c r="UBR84" s="0"/>
      <c r="UBS84" s="0"/>
      <c r="UBT84" s="0"/>
      <c r="UBU84" s="0"/>
      <c r="UBV84" s="0"/>
      <c r="UBW84" s="0"/>
      <c r="UBX84" s="0"/>
      <c r="UBY84" s="0"/>
      <c r="UBZ84" s="0"/>
      <c r="UCA84" s="0"/>
      <c r="UCB84" s="0"/>
      <c r="UCC84" s="0"/>
      <c r="UCD84" s="0"/>
      <c r="UCE84" s="0"/>
      <c r="UCF84" s="0"/>
      <c r="UCG84" s="0"/>
      <c r="UCH84" s="0"/>
      <c r="UCI84" s="0"/>
      <c r="UCJ84" s="0"/>
      <c r="UCK84" s="0"/>
      <c r="UCL84" s="0"/>
      <c r="UCM84" s="0"/>
      <c r="UCN84" s="0"/>
      <c r="UCO84" s="0"/>
      <c r="UCP84" s="0"/>
      <c r="UCQ84" s="0"/>
      <c r="UCR84" s="0"/>
      <c r="UCS84" s="0"/>
      <c r="UCT84" s="0"/>
      <c r="UCU84" s="0"/>
      <c r="UCV84" s="0"/>
      <c r="UCW84" s="0"/>
      <c r="UCX84" s="0"/>
      <c r="UCY84" s="0"/>
      <c r="UCZ84" s="0"/>
      <c r="UDA84" s="0"/>
      <c r="UDB84" s="0"/>
      <c r="UDC84" s="0"/>
      <c r="UDD84" s="0"/>
      <c r="UDE84" s="0"/>
      <c r="UDF84" s="0"/>
      <c r="UDG84" s="0"/>
      <c r="UDH84" s="0"/>
      <c r="UDI84" s="0"/>
      <c r="UDJ84" s="0"/>
      <c r="UDK84" s="0"/>
      <c r="UDL84" s="0"/>
      <c r="UDM84" s="0"/>
      <c r="UDN84" s="0"/>
      <c r="UDO84" s="0"/>
      <c r="UDP84" s="0"/>
      <c r="UDQ84" s="0"/>
      <c r="UDR84" s="0"/>
      <c r="UDS84" s="0"/>
      <c r="UDT84" s="0"/>
      <c r="UDU84" s="0"/>
      <c r="UDV84" s="0"/>
      <c r="UDW84" s="0"/>
      <c r="UDX84" s="0"/>
      <c r="UDY84" s="0"/>
      <c r="UDZ84" s="0"/>
      <c r="UEA84" s="0"/>
      <c r="UEB84" s="0"/>
      <c r="UEC84" s="0"/>
      <c r="UED84" s="0"/>
      <c r="UEE84" s="0"/>
      <c r="UEF84" s="0"/>
      <c r="UEG84" s="0"/>
      <c r="UEH84" s="0"/>
      <c r="UEI84" s="0"/>
      <c r="UEJ84" s="0"/>
      <c r="UEK84" s="0"/>
      <c r="UEL84" s="0"/>
      <c r="UEM84" s="0"/>
      <c r="UEN84" s="0"/>
      <c r="UEO84" s="0"/>
      <c r="UEP84" s="0"/>
      <c r="UEQ84" s="0"/>
      <c r="UER84" s="0"/>
      <c r="UES84" s="0"/>
      <c r="UET84" s="0"/>
      <c r="UEU84" s="0"/>
      <c r="UEV84" s="0"/>
      <c r="UEW84" s="0"/>
      <c r="UEX84" s="0"/>
      <c r="UEY84" s="0"/>
      <c r="UEZ84" s="0"/>
      <c r="UFA84" s="0"/>
      <c r="UFB84" s="0"/>
      <c r="UFC84" s="0"/>
      <c r="UFD84" s="0"/>
      <c r="UFE84" s="0"/>
      <c r="UFF84" s="0"/>
      <c r="UFG84" s="0"/>
      <c r="UFH84" s="0"/>
      <c r="UFI84" s="0"/>
      <c r="UFJ84" s="0"/>
      <c r="UFK84" s="0"/>
      <c r="UFL84" s="0"/>
      <c r="UFM84" s="0"/>
      <c r="UFN84" s="0"/>
      <c r="UFO84" s="0"/>
      <c r="UFP84" s="0"/>
      <c r="UFQ84" s="0"/>
      <c r="UFR84" s="0"/>
      <c r="UFS84" s="0"/>
      <c r="UFT84" s="0"/>
      <c r="UFU84" s="0"/>
      <c r="UFV84" s="0"/>
      <c r="UFW84" s="0"/>
      <c r="UFX84" s="0"/>
      <c r="UFY84" s="0"/>
      <c r="UFZ84" s="0"/>
      <c r="UGA84" s="0"/>
      <c r="UGB84" s="0"/>
      <c r="UGC84" s="0"/>
      <c r="UGD84" s="0"/>
      <c r="UGE84" s="0"/>
      <c r="UGF84" s="0"/>
      <c r="UGG84" s="0"/>
      <c r="UGH84" s="0"/>
      <c r="UGI84" s="0"/>
      <c r="UGJ84" s="0"/>
      <c r="UGK84" s="0"/>
      <c r="UGL84" s="0"/>
      <c r="UGM84" s="0"/>
      <c r="UGN84" s="0"/>
      <c r="UGO84" s="0"/>
      <c r="UGP84" s="0"/>
      <c r="UGQ84" s="0"/>
      <c r="UGR84" s="0"/>
      <c r="UGS84" s="0"/>
      <c r="UGT84" s="0"/>
      <c r="UGU84" s="0"/>
      <c r="UGV84" s="0"/>
      <c r="UGW84" s="0"/>
      <c r="UGX84" s="0"/>
      <c r="UGY84" s="0"/>
      <c r="UGZ84" s="0"/>
      <c r="UHA84" s="0"/>
      <c r="UHB84" s="0"/>
      <c r="UHC84" s="0"/>
      <c r="UHD84" s="0"/>
      <c r="UHE84" s="0"/>
      <c r="UHF84" s="0"/>
      <c r="UHG84" s="0"/>
      <c r="UHH84" s="0"/>
      <c r="UHI84" s="0"/>
      <c r="UHJ84" s="0"/>
      <c r="UHK84" s="0"/>
      <c r="UHL84" s="0"/>
      <c r="UHM84" s="0"/>
      <c r="UHN84" s="0"/>
      <c r="UHO84" s="0"/>
      <c r="UHP84" s="0"/>
      <c r="UHQ84" s="0"/>
      <c r="UHR84" s="0"/>
      <c r="UHS84" s="0"/>
      <c r="UHT84" s="0"/>
      <c r="UHU84" s="0"/>
      <c r="UHV84" s="0"/>
      <c r="UHW84" s="0"/>
      <c r="UHX84" s="0"/>
      <c r="UHY84" s="0"/>
      <c r="UHZ84" s="0"/>
      <c r="UIA84" s="0"/>
      <c r="UIB84" s="0"/>
      <c r="UIC84" s="0"/>
      <c r="UID84" s="0"/>
      <c r="UIE84" s="0"/>
      <c r="UIF84" s="0"/>
      <c r="UIG84" s="0"/>
      <c r="UIH84" s="0"/>
      <c r="UII84" s="0"/>
      <c r="UIJ84" s="0"/>
      <c r="UIK84" s="0"/>
      <c r="UIL84" s="0"/>
      <c r="UIM84" s="0"/>
      <c r="UIN84" s="0"/>
      <c r="UIO84" s="0"/>
      <c r="UIP84" s="0"/>
      <c r="UIQ84" s="0"/>
      <c r="UIR84" s="0"/>
      <c r="UIS84" s="0"/>
      <c r="UIT84" s="0"/>
      <c r="UIU84" s="0"/>
      <c r="UIV84" s="0"/>
      <c r="UIW84" s="0"/>
      <c r="UIX84" s="0"/>
      <c r="UIY84" s="0"/>
      <c r="UIZ84" s="0"/>
      <c r="UJA84" s="0"/>
      <c r="UJB84" s="0"/>
      <c r="UJC84" s="0"/>
      <c r="UJD84" s="0"/>
      <c r="UJE84" s="0"/>
      <c r="UJF84" s="0"/>
      <c r="UJG84" s="0"/>
      <c r="UJH84" s="0"/>
      <c r="UJI84" s="0"/>
      <c r="UJJ84" s="0"/>
      <c r="UJK84" s="0"/>
      <c r="UJL84" s="0"/>
      <c r="UJM84" s="0"/>
      <c r="UJN84" s="0"/>
      <c r="UJO84" s="0"/>
      <c r="UJP84" s="0"/>
      <c r="UJQ84" s="0"/>
      <c r="UJR84" s="0"/>
      <c r="UJS84" s="0"/>
      <c r="UJT84" s="0"/>
      <c r="UJU84" s="0"/>
      <c r="UJV84" s="0"/>
      <c r="UJW84" s="0"/>
      <c r="UJX84" s="0"/>
      <c r="UJY84" s="0"/>
      <c r="UJZ84" s="0"/>
      <c r="UKA84" s="0"/>
      <c r="UKB84" s="0"/>
      <c r="UKC84" s="0"/>
      <c r="UKD84" s="0"/>
      <c r="UKE84" s="0"/>
      <c r="UKF84" s="0"/>
      <c r="UKG84" s="0"/>
      <c r="UKH84" s="0"/>
      <c r="UKI84" s="0"/>
      <c r="UKJ84" s="0"/>
      <c r="UKK84" s="0"/>
      <c r="UKL84" s="0"/>
      <c r="UKM84" s="0"/>
      <c r="UKN84" s="0"/>
      <c r="UKO84" s="0"/>
      <c r="UKP84" s="0"/>
      <c r="UKQ84" s="0"/>
      <c r="UKR84" s="0"/>
      <c r="UKS84" s="0"/>
      <c r="UKT84" s="0"/>
      <c r="UKU84" s="0"/>
      <c r="UKV84" s="0"/>
      <c r="UKW84" s="0"/>
      <c r="UKX84" s="0"/>
      <c r="UKY84" s="0"/>
      <c r="UKZ84" s="0"/>
      <c r="ULA84" s="0"/>
      <c r="ULB84" s="0"/>
      <c r="ULC84" s="0"/>
      <c r="ULD84" s="0"/>
      <c r="ULE84" s="0"/>
      <c r="ULF84" s="0"/>
      <c r="ULG84" s="0"/>
      <c r="ULH84" s="0"/>
      <c r="ULI84" s="0"/>
      <c r="ULJ84" s="0"/>
      <c r="ULK84" s="0"/>
      <c r="ULL84" s="0"/>
      <c r="ULM84" s="0"/>
      <c r="ULN84" s="0"/>
      <c r="ULO84" s="0"/>
      <c r="ULP84" s="0"/>
      <c r="ULQ84" s="0"/>
      <c r="ULR84" s="0"/>
      <c r="ULS84" s="0"/>
      <c r="ULT84" s="0"/>
      <c r="ULU84" s="0"/>
      <c r="ULV84" s="0"/>
      <c r="ULW84" s="0"/>
      <c r="ULX84" s="0"/>
      <c r="ULY84" s="0"/>
      <c r="ULZ84" s="0"/>
      <c r="UMA84" s="0"/>
      <c r="UMB84" s="0"/>
      <c r="UMC84" s="0"/>
      <c r="UMD84" s="0"/>
      <c r="UME84" s="0"/>
      <c r="UMF84" s="0"/>
      <c r="UMG84" s="0"/>
      <c r="UMH84" s="0"/>
      <c r="UMI84" s="0"/>
      <c r="UMJ84" s="0"/>
      <c r="UMK84" s="0"/>
      <c r="UML84" s="0"/>
      <c r="UMM84" s="0"/>
      <c r="UMN84" s="0"/>
      <c r="UMO84" s="0"/>
      <c r="UMP84" s="0"/>
      <c r="UMQ84" s="0"/>
      <c r="UMR84" s="0"/>
      <c r="UMS84" s="0"/>
      <c r="UMT84" s="0"/>
      <c r="UMU84" s="0"/>
      <c r="UMV84" s="0"/>
      <c r="UMW84" s="0"/>
      <c r="UMX84" s="0"/>
      <c r="UMY84" s="0"/>
      <c r="UMZ84" s="0"/>
      <c r="UNA84" s="0"/>
      <c r="UNB84" s="0"/>
      <c r="UNC84" s="0"/>
      <c r="UND84" s="0"/>
      <c r="UNE84" s="0"/>
      <c r="UNF84" s="0"/>
      <c r="UNG84" s="0"/>
      <c r="UNH84" s="0"/>
      <c r="UNI84" s="0"/>
      <c r="UNJ84" s="0"/>
      <c r="UNK84" s="0"/>
      <c r="UNL84" s="0"/>
      <c r="UNM84" s="0"/>
      <c r="UNN84" s="0"/>
      <c r="UNO84" s="0"/>
      <c r="UNP84" s="0"/>
      <c r="UNQ84" s="0"/>
      <c r="UNR84" s="0"/>
      <c r="UNS84" s="0"/>
      <c r="UNT84" s="0"/>
      <c r="UNU84" s="0"/>
      <c r="UNV84" s="0"/>
      <c r="UNW84" s="0"/>
      <c r="UNX84" s="0"/>
      <c r="UNY84" s="0"/>
      <c r="UNZ84" s="0"/>
      <c r="UOA84" s="0"/>
      <c r="UOB84" s="0"/>
      <c r="UOC84" s="0"/>
      <c r="UOD84" s="0"/>
      <c r="UOE84" s="0"/>
      <c r="UOF84" s="0"/>
      <c r="UOG84" s="0"/>
      <c r="UOH84" s="0"/>
      <c r="UOI84" s="0"/>
      <c r="UOJ84" s="0"/>
      <c r="UOK84" s="0"/>
      <c r="UOL84" s="0"/>
      <c r="UOM84" s="0"/>
      <c r="UON84" s="0"/>
      <c r="UOO84" s="0"/>
      <c r="UOP84" s="0"/>
      <c r="UOQ84" s="0"/>
      <c r="UOR84" s="0"/>
      <c r="UOS84" s="0"/>
      <c r="UOT84" s="0"/>
      <c r="UOU84" s="0"/>
      <c r="UOV84" s="0"/>
      <c r="UOW84" s="0"/>
      <c r="UOX84" s="0"/>
      <c r="UOY84" s="0"/>
      <c r="UOZ84" s="0"/>
      <c r="UPA84" s="0"/>
      <c r="UPB84" s="0"/>
      <c r="UPC84" s="0"/>
      <c r="UPD84" s="0"/>
      <c r="UPE84" s="0"/>
      <c r="UPF84" s="0"/>
      <c r="UPG84" s="0"/>
      <c r="UPH84" s="0"/>
      <c r="UPI84" s="0"/>
      <c r="UPJ84" s="0"/>
      <c r="UPK84" s="0"/>
      <c r="UPL84" s="0"/>
      <c r="UPM84" s="0"/>
      <c r="UPN84" s="0"/>
      <c r="UPO84" s="0"/>
      <c r="UPP84" s="0"/>
      <c r="UPQ84" s="0"/>
      <c r="UPR84" s="0"/>
      <c r="UPS84" s="0"/>
      <c r="UPT84" s="0"/>
      <c r="UPU84" s="0"/>
      <c r="UPV84" s="0"/>
      <c r="UPW84" s="0"/>
      <c r="UPX84" s="0"/>
      <c r="UPY84" s="0"/>
      <c r="UPZ84" s="0"/>
      <c r="UQA84" s="0"/>
      <c r="UQB84" s="0"/>
      <c r="UQC84" s="0"/>
      <c r="UQD84" s="0"/>
      <c r="UQE84" s="0"/>
      <c r="UQF84" s="0"/>
      <c r="UQG84" s="0"/>
      <c r="UQH84" s="0"/>
      <c r="UQI84" s="0"/>
      <c r="UQJ84" s="0"/>
      <c r="UQK84" s="0"/>
      <c r="UQL84" s="0"/>
      <c r="UQM84" s="0"/>
      <c r="UQN84" s="0"/>
      <c r="UQO84" s="0"/>
      <c r="UQP84" s="0"/>
      <c r="UQQ84" s="0"/>
      <c r="UQR84" s="0"/>
      <c r="UQS84" s="0"/>
      <c r="UQT84" s="0"/>
      <c r="UQU84" s="0"/>
      <c r="UQV84" s="0"/>
      <c r="UQW84" s="0"/>
      <c r="UQX84" s="0"/>
      <c r="UQY84" s="0"/>
      <c r="UQZ84" s="0"/>
      <c r="URA84" s="0"/>
      <c r="URB84" s="0"/>
      <c r="URC84" s="0"/>
      <c r="URD84" s="0"/>
      <c r="URE84" s="0"/>
      <c r="URF84" s="0"/>
      <c r="URG84" s="0"/>
      <c r="URH84" s="0"/>
      <c r="URI84" s="0"/>
      <c r="URJ84" s="0"/>
      <c r="URK84" s="0"/>
      <c r="URL84" s="0"/>
      <c r="URM84" s="0"/>
      <c r="URN84" s="0"/>
      <c r="URO84" s="0"/>
      <c r="URP84" s="0"/>
      <c r="URQ84" s="0"/>
      <c r="URR84" s="0"/>
      <c r="URS84" s="0"/>
      <c r="URT84" s="0"/>
      <c r="URU84" s="0"/>
      <c r="URV84" s="0"/>
      <c r="URW84" s="0"/>
      <c r="URX84" s="0"/>
      <c r="URY84" s="0"/>
      <c r="URZ84" s="0"/>
      <c r="USA84" s="0"/>
      <c r="USB84" s="0"/>
      <c r="USC84" s="0"/>
      <c r="USD84" s="0"/>
      <c r="USE84" s="0"/>
      <c r="USF84" s="0"/>
      <c r="USG84" s="0"/>
      <c r="USH84" s="0"/>
      <c r="USI84" s="0"/>
      <c r="USJ84" s="0"/>
      <c r="USK84" s="0"/>
      <c r="USL84" s="0"/>
      <c r="USM84" s="0"/>
      <c r="USN84" s="0"/>
      <c r="USO84" s="0"/>
      <c r="USP84" s="0"/>
      <c r="USQ84" s="0"/>
      <c r="USR84" s="0"/>
      <c r="USS84" s="0"/>
      <c r="UST84" s="0"/>
      <c r="USU84" s="0"/>
      <c r="USV84" s="0"/>
      <c r="USW84" s="0"/>
      <c r="USX84" s="0"/>
      <c r="USY84" s="0"/>
      <c r="USZ84" s="0"/>
      <c r="UTA84" s="0"/>
      <c r="UTB84" s="0"/>
      <c r="UTC84" s="0"/>
      <c r="UTD84" s="0"/>
      <c r="UTE84" s="0"/>
      <c r="UTF84" s="0"/>
      <c r="UTG84" s="0"/>
      <c r="UTH84" s="0"/>
      <c r="UTI84" s="0"/>
      <c r="UTJ84" s="0"/>
      <c r="UTK84" s="0"/>
      <c r="UTL84" s="0"/>
      <c r="UTM84" s="0"/>
      <c r="UTN84" s="0"/>
      <c r="UTO84" s="0"/>
      <c r="UTP84" s="0"/>
      <c r="UTQ84" s="0"/>
      <c r="UTR84" s="0"/>
      <c r="UTS84" s="0"/>
      <c r="UTT84" s="0"/>
      <c r="UTU84" s="0"/>
      <c r="UTV84" s="0"/>
      <c r="UTW84" s="0"/>
      <c r="UTX84" s="0"/>
      <c r="UTY84" s="0"/>
      <c r="UTZ84" s="0"/>
      <c r="UUA84" s="0"/>
      <c r="UUB84" s="0"/>
      <c r="UUC84" s="0"/>
      <c r="UUD84" s="0"/>
      <c r="UUE84" s="0"/>
      <c r="UUF84" s="0"/>
      <c r="UUG84" s="0"/>
      <c r="UUH84" s="0"/>
      <c r="UUI84" s="0"/>
      <c r="UUJ84" s="0"/>
      <c r="UUK84" s="0"/>
      <c r="UUL84" s="0"/>
      <c r="UUM84" s="0"/>
      <c r="UUN84" s="0"/>
      <c r="UUO84" s="0"/>
      <c r="UUP84" s="0"/>
      <c r="UUQ84" s="0"/>
      <c r="UUR84" s="0"/>
      <c r="UUS84" s="0"/>
      <c r="UUT84" s="0"/>
      <c r="UUU84" s="0"/>
      <c r="UUV84" s="0"/>
      <c r="UUW84" s="0"/>
      <c r="UUX84" s="0"/>
      <c r="UUY84" s="0"/>
      <c r="UUZ84" s="0"/>
      <c r="UVA84" s="0"/>
      <c r="UVB84" s="0"/>
      <c r="UVC84" s="0"/>
      <c r="UVD84" s="0"/>
      <c r="UVE84" s="0"/>
      <c r="UVF84" s="0"/>
      <c r="UVG84" s="0"/>
      <c r="UVH84" s="0"/>
      <c r="UVI84" s="0"/>
      <c r="UVJ84" s="0"/>
      <c r="UVK84" s="0"/>
      <c r="UVL84" s="0"/>
      <c r="UVM84" s="0"/>
      <c r="UVN84" s="0"/>
      <c r="UVO84" s="0"/>
      <c r="UVP84" s="0"/>
      <c r="UVQ84" s="0"/>
      <c r="UVR84" s="0"/>
      <c r="UVS84" s="0"/>
      <c r="UVT84" s="0"/>
      <c r="UVU84" s="0"/>
      <c r="UVV84" s="0"/>
      <c r="UVW84" s="0"/>
      <c r="UVX84" s="0"/>
      <c r="UVY84" s="0"/>
      <c r="UVZ84" s="0"/>
      <c r="UWA84" s="0"/>
      <c r="UWB84" s="0"/>
      <c r="UWC84" s="0"/>
      <c r="UWD84" s="0"/>
      <c r="UWE84" s="0"/>
      <c r="UWF84" s="0"/>
      <c r="UWG84" s="0"/>
      <c r="UWH84" s="0"/>
      <c r="UWI84" s="0"/>
      <c r="UWJ84" s="0"/>
      <c r="UWK84" s="0"/>
      <c r="UWL84" s="0"/>
      <c r="UWM84" s="0"/>
      <c r="UWN84" s="0"/>
      <c r="UWO84" s="0"/>
      <c r="UWP84" s="0"/>
      <c r="UWQ84" s="0"/>
      <c r="UWR84" s="0"/>
      <c r="UWS84" s="0"/>
      <c r="UWT84" s="0"/>
      <c r="UWU84" s="0"/>
      <c r="UWV84" s="0"/>
      <c r="UWW84" s="0"/>
      <c r="UWX84" s="0"/>
      <c r="UWY84" s="0"/>
      <c r="UWZ84" s="0"/>
      <c r="UXA84" s="0"/>
      <c r="UXB84" s="0"/>
      <c r="UXC84" s="0"/>
      <c r="UXD84" s="0"/>
      <c r="UXE84" s="0"/>
      <c r="UXF84" s="0"/>
      <c r="UXG84" s="0"/>
      <c r="UXH84" s="0"/>
      <c r="UXI84" s="0"/>
      <c r="UXJ84" s="0"/>
      <c r="UXK84" s="0"/>
      <c r="UXL84" s="0"/>
      <c r="UXM84" s="0"/>
      <c r="UXN84" s="0"/>
      <c r="UXO84" s="0"/>
      <c r="UXP84" s="0"/>
      <c r="UXQ84" s="0"/>
      <c r="UXR84" s="0"/>
      <c r="UXS84" s="0"/>
      <c r="UXT84" s="0"/>
      <c r="UXU84" s="0"/>
      <c r="UXV84" s="0"/>
      <c r="UXW84" s="0"/>
      <c r="UXX84" s="0"/>
      <c r="UXY84" s="0"/>
      <c r="UXZ84" s="0"/>
      <c r="UYA84" s="0"/>
      <c r="UYB84" s="0"/>
      <c r="UYC84" s="0"/>
      <c r="UYD84" s="0"/>
      <c r="UYE84" s="0"/>
      <c r="UYF84" s="0"/>
      <c r="UYG84" s="0"/>
      <c r="UYH84" s="0"/>
      <c r="UYI84" s="0"/>
      <c r="UYJ84" s="0"/>
      <c r="UYK84" s="0"/>
      <c r="UYL84" s="0"/>
      <c r="UYM84" s="0"/>
      <c r="UYN84" s="0"/>
      <c r="UYO84" s="0"/>
      <c r="UYP84" s="0"/>
      <c r="UYQ84" s="0"/>
      <c r="UYR84" s="0"/>
      <c r="UYS84" s="0"/>
      <c r="UYT84" s="0"/>
      <c r="UYU84" s="0"/>
      <c r="UYV84" s="0"/>
      <c r="UYW84" s="0"/>
      <c r="UYX84" s="0"/>
      <c r="UYY84" s="0"/>
      <c r="UYZ84" s="0"/>
      <c r="UZA84" s="0"/>
      <c r="UZB84" s="0"/>
      <c r="UZC84" s="0"/>
      <c r="UZD84" s="0"/>
      <c r="UZE84" s="0"/>
      <c r="UZF84" s="0"/>
      <c r="UZG84" s="0"/>
      <c r="UZH84" s="0"/>
      <c r="UZI84" s="0"/>
      <c r="UZJ84" s="0"/>
      <c r="UZK84" s="0"/>
      <c r="UZL84" s="0"/>
      <c r="UZM84" s="0"/>
      <c r="UZN84" s="0"/>
      <c r="UZO84" s="0"/>
      <c r="UZP84" s="0"/>
      <c r="UZQ84" s="0"/>
      <c r="UZR84" s="0"/>
      <c r="UZS84" s="0"/>
      <c r="UZT84" s="0"/>
      <c r="UZU84" s="0"/>
      <c r="UZV84" s="0"/>
      <c r="UZW84" s="0"/>
      <c r="UZX84" s="0"/>
      <c r="UZY84" s="0"/>
      <c r="UZZ84" s="0"/>
      <c r="VAA84" s="0"/>
      <c r="VAB84" s="0"/>
      <c r="VAC84" s="0"/>
      <c r="VAD84" s="0"/>
      <c r="VAE84" s="0"/>
      <c r="VAF84" s="0"/>
      <c r="VAG84" s="0"/>
      <c r="VAH84" s="0"/>
      <c r="VAI84" s="0"/>
      <c r="VAJ84" s="0"/>
      <c r="VAK84" s="0"/>
      <c r="VAL84" s="0"/>
      <c r="VAM84" s="0"/>
      <c r="VAN84" s="0"/>
      <c r="VAO84" s="0"/>
      <c r="VAP84" s="0"/>
      <c r="VAQ84" s="0"/>
      <c r="VAR84" s="0"/>
      <c r="VAS84" s="0"/>
      <c r="VAT84" s="0"/>
      <c r="VAU84" s="0"/>
      <c r="VAV84" s="0"/>
      <c r="VAW84" s="0"/>
      <c r="VAX84" s="0"/>
      <c r="VAY84" s="0"/>
      <c r="VAZ84" s="0"/>
      <c r="VBA84" s="0"/>
      <c r="VBB84" s="0"/>
      <c r="VBC84" s="0"/>
      <c r="VBD84" s="0"/>
      <c r="VBE84" s="0"/>
      <c r="VBF84" s="0"/>
      <c r="VBG84" s="0"/>
      <c r="VBH84" s="0"/>
      <c r="VBI84" s="0"/>
      <c r="VBJ84" s="0"/>
      <c r="VBK84" s="0"/>
      <c r="VBL84" s="0"/>
      <c r="VBM84" s="0"/>
      <c r="VBN84" s="0"/>
      <c r="VBO84" s="0"/>
      <c r="VBP84" s="0"/>
      <c r="VBQ84" s="0"/>
      <c r="VBR84" s="0"/>
      <c r="VBS84" s="0"/>
      <c r="VBT84" s="0"/>
      <c r="VBU84" s="0"/>
      <c r="VBV84" s="0"/>
      <c r="VBW84" s="0"/>
      <c r="VBX84" s="0"/>
      <c r="VBY84" s="0"/>
      <c r="VBZ84" s="0"/>
      <c r="VCA84" s="0"/>
      <c r="VCB84" s="0"/>
      <c r="VCC84" s="0"/>
      <c r="VCD84" s="0"/>
      <c r="VCE84" s="0"/>
      <c r="VCF84" s="0"/>
      <c r="VCG84" s="0"/>
      <c r="VCH84" s="0"/>
      <c r="VCI84" s="0"/>
      <c r="VCJ84" s="0"/>
      <c r="VCK84" s="0"/>
      <c r="VCL84" s="0"/>
      <c r="VCM84" s="0"/>
      <c r="VCN84" s="0"/>
      <c r="VCO84" s="0"/>
      <c r="VCP84" s="0"/>
      <c r="VCQ84" s="0"/>
      <c r="VCR84" s="0"/>
      <c r="VCS84" s="0"/>
      <c r="VCT84" s="0"/>
      <c r="VCU84" s="0"/>
      <c r="VCV84" s="0"/>
      <c r="VCW84" s="0"/>
      <c r="VCX84" s="0"/>
      <c r="VCY84" s="0"/>
      <c r="VCZ84" s="0"/>
      <c r="VDA84" s="0"/>
      <c r="VDB84" s="0"/>
      <c r="VDC84" s="0"/>
      <c r="VDD84" s="0"/>
      <c r="VDE84" s="0"/>
      <c r="VDF84" s="0"/>
      <c r="VDG84" s="0"/>
      <c r="VDH84" s="0"/>
      <c r="VDI84" s="0"/>
      <c r="VDJ84" s="0"/>
      <c r="VDK84" s="0"/>
      <c r="VDL84" s="0"/>
      <c r="VDM84" s="0"/>
      <c r="VDN84" s="0"/>
      <c r="VDO84" s="0"/>
      <c r="VDP84" s="0"/>
      <c r="VDQ84" s="0"/>
      <c r="VDR84" s="0"/>
      <c r="VDS84" s="0"/>
      <c r="VDT84" s="0"/>
      <c r="VDU84" s="0"/>
      <c r="VDV84" s="0"/>
      <c r="VDW84" s="0"/>
      <c r="VDX84" s="0"/>
      <c r="VDY84" s="0"/>
      <c r="VDZ84" s="0"/>
      <c r="VEA84" s="0"/>
      <c r="VEB84" s="0"/>
      <c r="VEC84" s="0"/>
      <c r="VED84" s="0"/>
      <c r="VEE84" s="0"/>
      <c r="VEF84" s="0"/>
      <c r="VEG84" s="0"/>
      <c r="VEH84" s="0"/>
      <c r="VEI84" s="0"/>
      <c r="VEJ84" s="0"/>
      <c r="VEK84" s="0"/>
      <c r="VEL84" s="0"/>
      <c r="VEM84" s="0"/>
      <c r="VEN84" s="0"/>
      <c r="VEO84" s="0"/>
      <c r="VEP84" s="0"/>
      <c r="VEQ84" s="0"/>
      <c r="VER84" s="0"/>
      <c r="VES84" s="0"/>
      <c r="VET84" s="0"/>
      <c r="VEU84" s="0"/>
      <c r="VEV84" s="0"/>
      <c r="VEW84" s="0"/>
      <c r="VEX84" s="0"/>
      <c r="VEY84" s="0"/>
      <c r="VEZ84" s="0"/>
      <c r="VFA84" s="0"/>
      <c r="VFB84" s="0"/>
      <c r="VFC84" s="0"/>
      <c r="VFD84" s="0"/>
      <c r="VFE84" s="0"/>
      <c r="VFF84" s="0"/>
      <c r="VFG84" s="0"/>
      <c r="VFH84" s="0"/>
      <c r="VFI84" s="0"/>
      <c r="VFJ84" s="0"/>
      <c r="VFK84" s="0"/>
      <c r="VFL84" s="0"/>
      <c r="VFM84" s="0"/>
      <c r="VFN84" s="0"/>
      <c r="VFO84" s="0"/>
      <c r="VFP84" s="0"/>
      <c r="VFQ84" s="0"/>
      <c r="VFR84" s="0"/>
      <c r="VFS84" s="0"/>
      <c r="VFT84" s="0"/>
      <c r="VFU84" s="0"/>
      <c r="VFV84" s="0"/>
      <c r="VFW84" s="0"/>
      <c r="VFX84" s="0"/>
      <c r="VFY84" s="0"/>
      <c r="VFZ84" s="0"/>
      <c r="VGA84" s="0"/>
      <c r="VGB84" s="0"/>
      <c r="VGC84" s="0"/>
      <c r="VGD84" s="0"/>
      <c r="VGE84" s="0"/>
      <c r="VGF84" s="0"/>
      <c r="VGG84" s="0"/>
      <c r="VGH84" s="0"/>
      <c r="VGI84" s="0"/>
      <c r="VGJ84" s="0"/>
      <c r="VGK84" s="0"/>
      <c r="VGL84" s="0"/>
      <c r="VGM84" s="0"/>
      <c r="VGN84" s="0"/>
      <c r="VGO84" s="0"/>
      <c r="VGP84" s="0"/>
      <c r="VGQ84" s="0"/>
      <c r="VGR84" s="0"/>
      <c r="VGS84" s="0"/>
      <c r="VGT84" s="0"/>
      <c r="VGU84" s="0"/>
      <c r="VGV84" s="0"/>
      <c r="VGW84" s="0"/>
      <c r="VGX84" s="0"/>
      <c r="VGY84" s="0"/>
      <c r="VGZ84" s="0"/>
      <c r="VHA84" s="0"/>
      <c r="VHB84" s="0"/>
      <c r="VHC84" s="0"/>
      <c r="VHD84" s="0"/>
      <c r="VHE84" s="0"/>
      <c r="VHF84" s="0"/>
      <c r="VHG84" s="0"/>
      <c r="VHH84" s="0"/>
      <c r="VHI84" s="0"/>
      <c r="VHJ84" s="0"/>
      <c r="VHK84" s="0"/>
      <c r="VHL84" s="0"/>
      <c r="VHM84" s="0"/>
      <c r="VHN84" s="0"/>
      <c r="VHO84" s="0"/>
      <c r="VHP84" s="0"/>
      <c r="VHQ84" s="0"/>
      <c r="VHR84" s="0"/>
      <c r="VHS84" s="0"/>
      <c r="VHT84" s="0"/>
      <c r="VHU84" s="0"/>
      <c r="VHV84" s="0"/>
      <c r="VHW84" s="0"/>
      <c r="VHX84" s="0"/>
      <c r="VHY84" s="0"/>
      <c r="VHZ84" s="0"/>
      <c r="VIA84" s="0"/>
      <c r="VIB84" s="0"/>
      <c r="VIC84" s="0"/>
      <c r="VID84" s="0"/>
      <c r="VIE84" s="0"/>
      <c r="VIF84" s="0"/>
      <c r="VIG84" s="0"/>
      <c r="VIH84" s="0"/>
      <c r="VII84" s="0"/>
      <c r="VIJ84" s="0"/>
      <c r="VIK84" s="0"/>
      <c r="VIL84" s="0"/>
      <c r="VIM84" s="0"/>
      <c r="VIN84" s="0"/>
      <c r="VIO84" s="0"/>
      <c r="VIP84" s="0"/>
      <c r="VIQ84" s="0"/>
      <c r="VIR84" s="0"/>
      <c r="VIS84" s="0"/>
      <c r="VIT84" s="0"/>
      <c r="VIU84" s="0"/>
      <c r="VIV84" s="0"/>
      <c r="VIW84" s="0"/>
      <c r="VIX84" s="0"/>
      <c r="VIY84" s="0"/>
      <c r="VIZ84" s="0"/>
      <c r="VJA84" s="0"/>
      <c r="VJB84" s="0"/>
      <c r="VJC84" s="0"/>
      <c r="VJD84" s="0"/>
      <c r="VJE84" s="0"/>
      <c r="VJF84" s="0"/>
      <c r="VJG84" s="0"/>
      <c r="VJH84" s="0"/>
      <c r="VJI84" s="0"/>
      <c r="VJJ84" s="0"/>
      <c r="VJK84" s="0"/>
      <c r="VJL84" s="0"/>
      <c r="VJM84" s="0"/>
      <c r="VJN84" s="0"/>
      <c r="VJO84" s="0"/>
      <c r="VJP84" s="0"/>
      <c r="VJQ84" s="0"/>
      <c r="VJR84" s="0"/>
      <c r="VJS84" s="0"/>
      <c r="VJT84" s="0"/>
      <c r="VJU84" s="0"/>
      <c r="VJV84" s="0"/>
      <c r="VJW84" s="0"/>
      <c r="VJX84" s="0"/>
      <c r="VJY84" s="0"/>
      <c r="VJZ84" s="0"/>
      <c r="VKA84" s="0"/>
      <c r="VKB84" s="0"/>
      <c r="VKC84" s="0"/>
      <c r="VKD84" s="0"/>
      <c r="VKE84" s="0"/>
      <c r="VKF84" s="0"/>
      <c r="VKG84" s="0"/>
      <c r="VKH84" s="0"/>
      <c r="VKI84" s="0"/>
      <c r="VKJ84" s="0"/>
      <c r="VKK84" s="0"/>
      <c r="VKL84" s="0"/>
      <c r="VKM84" s="0"/>
      <c r="VKN84" s="0"/>
      <c r="VKO84" s="0"/>
      <c r="VKP84" s="0"/>
      <c r="VKQ84" s="0"/>
      <c r="VKR84" s="0"/>
      <c r="VKS84" s="0"/>
      <c r="VKT84" s="0"/>
      <c r="VKU84" s="0"/>
      <c r="VKV84" s="0"/>
      <c r="VKW84" s="0"/>
      <c r="VKX84" s="0"/>
      <c r="VKY84" s="0"/>
      <c r="VKZ84" s="0"/>
      <c r="VLA84" s="0"/>
      <c r="VLB84" s="0"/>
      <c r="VLC84" s="0"/>
      <c r="VLD84" s="0"/>
      <c r="VLE84" s="0"/>
      <c r="VLF84" s="0"/>
      <c r="VLG84" s="0"/>
      <c r="VLH84" s="0"/>
      <c r="VLI84" s="0"/>
      <c r="VLJ84" s="0"/>
      <c r="VLK84" s="0"/>
      <c r="VLL84" s="0"/>
      <c r="VLM84" s="0"/>
      <c r="VLN84" s="0"/>
      <c r="VLO84" s="0"/>
      <c r="VLP84" s="0"/>
      <c r="VLQ84" s="0"/>
      <c r="VLR84" s="0"/>
      <c r="VLS84" s="0"/>
      <c r="VLT84" s="0"/>
      <c r="VLU84" s="0"/>
      <c r="VLV84" s="0"/>
      <c r="VLW84" s="0"/>
      <c r="VLX84" s="0"/>
      <c r="VLY84" s="0"/>
      <c r="VLZ84" s="0"/>
      <c r="VMA84" s="0"/>
      <c r="VMB84" s="0"/>
      <c r="VMC84" s="0"/>
      <c r="VMD84" s="0"/>
      <c r="VME84" s="0"/>
      <c r="VMF84" s="0"/>
      <c r="VMG84" s="0"/>
      <c r="VMH84" s="0"/>
      <c r="VMI84" s="0"/>
      <c r="VMJ84" s="0"/>
      <c r="VMK84" s="0"/>
      <c r="VML84" s="0"/>
      <c r="VMM84" s="0"/>
      <c r="VMN84" s="0"/>
      <c r="VMO84" s="0"/>
      <c r="VMP84" s="0"/>
      <c r="VMQ84" s="0"/>
      <c r="VMR84" s="0"/>
      <c r="VMS84" s="0"/>
      <c r="VMT84" s="0"/>
      <c r="VMU84" s="0"/>
      <c r="VMV84" s="0"/>
      <c r="VMW84" s="0"/>
      <c r="VMX84" s="0"/>
      <c r="VMY84" s="0"/>
      <c r="VMZ84" s="0"/>
      <c r="VNA84" s="0"/>
      <c r="VNB84" s="0"/>
      <c r="VNC84" s="0"/>
      <c r="VND84" s="0"/>
      <c r="VNE84" s="0"/>
      <c r="VNF84" s="0"/>
      <c r="VNG84" s="0"/>
      <c r="VNH84" s="0"/>
      <c r="VNI84" s="0"/>
      <c r="VNJ84" s="0"/>
      <c r="VNK84" s="0"/>
      <c r="VNL84" s="0"/>
      <c r="VNM84" s="0"/>
      <c r="VNN84" s="0"/>
      <c r="VNO84" s="0"/>
      <c r="VNP84" s="0"/>
      <c r="VNQ84" s="0"/>
      <c r="VNR84" s="0"/>
      <c r="VNS84" s="0"/>
      <c r="VNT84" s="0"/>
      <c r="VNU84" s="0"/>
      <c r="VNV84" s="0"/>
      <c r="VNW84" s="0"/>
      <c r="VNX84" s="0"/>
      <c r="VNY84" s="0"/>
      <c r="VNZ84" s="0"/>
      <c r="VOA84" s="0"/>
      <c r="VOB84" s="0"/>
      <c r="VOC84" s="0"/>
      <c r="VOD84" s="0"/>
      <c r="VOE84" s="0"/>
      <c r="VOF84" s="0"/>
      <c r="VOG84" s="0"/>
      <c r="VOH84" s="0"/>
      <c r="VOI84" s="0"/>
      <c r="VOJ84" s="0"/>
      <c r="VOK84" s="0"/>
      <c r="VOL84" s="0"/>
      <c r="VOM84" s="0"/>
      <c r="VON84" s="0"/>
      <c r="VOO84" s="0"/>
      <c r="VOP84" s="0"/>
      <c r="VOQ84" s="0"/>
      <c r="VOR84" s="0"/>
      <c r="VOS84" s="0"/>
      <c r="VOT84" s="0"/>
      <c r="VOU84" s="0"/>
      <c r="VOV84" s="0"/>
      <c r="VOW84" s="0"/>
      <c r="VOX84" s="0"/>
      <c r="VOY84" s="0"/>
      <c r="VOZ84" s="0"/>
      <c r="VPA84" s="0"/>
      <c r="VPB84" s="0"/>
      <c r="VPC84" s="0"/>
      <c r="VPD84" s="0"/>
      <c r="VPE84" s="0"/>
      <c r="VPF84" s="0"/>
      <c r="VPG84" s="0"/>
      <c r="VPH84" s="0"/>
      <c r="VPI84" s="0"/>
      <c r="VPJ84" s="0"/>
      <c r="VPK84" s="0"/>
      <c r="VPL84" s="0"/>
      <c r="VPM84" s="0"/>
      <c r="VPN84" s="0"/>
      <c r="VPO84" s="0"/>
      <c r="VPP84" s="0"/>
      <c r="VPQ84" s="0"/>
      <c r="VPR84" s="0"/>
      <c r="VPS84" s="0"/>
      <c r="VPT84" s="0"/>
      <c r="VPU84" s="0"/>
      <c r="VPV84" s="0"/>
      <c r="VPW84" s="0"/>
      <c r="VPX84" s="0"/>
      <c r="VPY84" s="0"/>
      <c r="VPZ84" s="0"/>
      <c r="VQA84" s="0"/>
      <c r="VQB84" s="0"/>
      <c r="VQC84" s="0"/>
      <c r="VQD84" s="0"/>
      <c r="VQE84" s="0"/>
      <c r="VQF84" s="0"/>
      <c r="VQG84" s="0"/>
      <c r="VQH84" s="0"/>
      <c r="VQI84" s="0"/>
      <c r="VQJ84" s="0"/>
      <c r="VQK84" s="0"/>
      <c r="VQL84" s="0"/>
      <c r="VQM84" s="0"/>
      <c r="VQN84" s="0"/>
      <c r="VQO84" s="0"/>
      <c r="VQP84" s="0"/>
      <c r="VQQ84" s="0"/>
      <c r="VQR84" s="0"/>
      <c r="VQS84" s="0"/>
      <c r="VQT84" s="0"/>
      <c r="VQU84" s="0"/>
      <c r="VQV84" s="0"/>
      <c r="VQW84" s="0"/>
      <c r="VQX84" s="0"/>
      <c r="VQY84" s="0"/>
      <c r="VQZ84" s="0"/>
      <c r="VRA84" s="0"/>
      <c r="VRB84" s="0"/>
      <c r="VRC84" s="0"/>
      <c r="VRD84" s="0"/>
      <c r="VRE84" s="0"/>
      <c r="VRF84" s="0"/>
      <c r="VRG84" s="0"/>
      <c r="VRH84" s="0"/>
      <c r="VRI84" s="0"/>
      <c r="VRJ84" s="0"/>
      <c r="VRK84" s="0"/>
      <c r="VRL84" s="0"/>
      <c r="VRM84" s="0"/>
      <c r="VRN84" s="0"/>
      <c r="VRO84" s="0"/>
      <c r="VRP84" s="0"/>
      <c r="VRQ84" s="0"/>
      <c r="VRR84" s="0"/>
      <c r="VRS84" s="0"/>
      <c r="VRT84" s="0"/>
      <c r="VRU84" s="0"/>
      <c r="VRV84" s="0"/>
      <c r="VRW84" s="0"/>
      <c r="VRX84" s="0"/>
      <c r="VRY84" s="0"/>
      <c r="VRZ84" s="0"/>
      <c r="VSA84" s="0"/>
      <c r="VSB84" s="0"/>
      <c r="VSC84" s="0"/>
      <c r="VSD84" s="0"/>
      <c r="VSE84" s="0"/>
      <c r="VSF84" s="0"/>
      <c r="VSG84" s="0"/>
      <c r="VSH84" s="0"/>
      <c r="VSI84" s="0"/>
      <c r="VSJ84" s="0"/>
      <c r="VSK84" s="0"/>
      <c r="VSL84" s="0"/>
      <c r="VSM84" s="0"/>
      <c r="VSN84" s="0"/>
      <c r="VSO84" s="0"/>
      <c r="VSP84" s="0"/>
      <c r="VSQ84" s="0"/>
      <c r="VSR84" s="0"/>
      <c r="VSS84" s="0"/>
      <c r="VST84" s="0"/>
      <c r="VSU84" s="0"/>
      <c r="VSV84" s="0"/>
      <c r="VSW84" s="0"/>
      <c r="VSX84" s="0"/>
      <c r="VSY84" s="0"/>
      <c r="VSZ84" s="0"/>
      <c r="VTA84" s="0"/>
      <c r="VTB84" s="0"/>
      <c r="VTC84" s="0"/>
      <c r="VTD84" s="0"/>
      <c r="VTE84" s="0"/>
      <c r="VTF84" s="0"/>
      <c r="VTG84" s="0"/>
      <c r="VTH84" s="0"/>
      <c r="VTI84" s="0"/>
      <c r="VTJ84" s="0"/>
      <c r="VTK84" s="0"/>
      <c r="VTL84" s="0"/>
      <c r="VTM84" s="0"/>
      <c r="VTN84" s="0"/>
      <c r="VTO84" s="0"/>
      <c r="VTP84" s="0"/>
      <c r="VTQ84" s="0"/>
      <c r="VTR84" s="0"/>
      <c r="VTS84" s="0"/>
      <c r="VTT84" s="0"/>
      <c r="VTU84" s="0"/>
      <c r="VTV84" s="0"/>
      <c r="VTW84" s="0"/>
      <c r="VTX84" s="0"/>
      <c r="VTY84" s="0"/>
      <c r="VTZ84" s="0"/>
      <c r="VUA84" s="0"/>
      <c r="VUB84" s="0"/>
      <c r="VUC84" s="0"/>
      <c r="VUD84" s="0"/>
      <c r="VUE84" s="0"/>
      <c r="VUF84" s="0"/>
      <c r="VUG84" s="0"/>
      <c r="VUH84" s="0"/>
      <c r="VUI84" s="0"/>
      <c r="VUJ84" s="0"/>
      <c r="VUK84" s="0"/>
      <c r="VUL84" s="0"/>
      <c r="VUM84" s="0"/>
      <c r="VUN84" s="0"/>
      <c r="VUO84" s="0"/>
      <c r="VUP84" s="0"/>
      <c r="VUQ84" s="0"/>
      <c r="VUR84" s="0"/>
      <c r="VUS84" s="0"/>
      <c r="VUT84" s="0"/>
      <c r="VUU84" s="0"/>
      <c r="VUV84" s="0"/>
      <c r="VUW84" s="0"/>
      <c r="VUX84" s="0"/>
      <c r="VUY84" s="0"/>
      <c r="VUZ84" s="0"/>
      <c r="VVA84" s="0"/>
      <c r="VVB84" s="0"/>
      <c r="VVC84" s="0"/>
      <c r="VVD84" s="0"/>
      <c r="VVE84" s="0"/>
      <c r="VVF84" s="0"/>
      <c r="VVG84" s="0"/>
      <c r="VVH84" s="0"/>
      <c r="VVI84" s="0"/>
      <c r="VVJ84" s="0"/>
      <c r="VVK84" s="0"/>
      <c r="VVL84" s="0"/>
      <c r="VVM84" s="0"/>
      <c r="VVN84" s="0"/>
      <c r="VVO84" s="0"/>
      <c r="VVP84" s="0"/>
      <c r="VVQ84" s="0"/>
      <c r="VVR84" s="0"/>
      <c r="VVS84" s="0"/>
      <c r="VVT84" s="0"/>
      <c r="VVU84" s="0"/>
      <c r="VVV84" s="0"/>
      <c r="VVW84" s="0"/>
      <c r="VVX84" s="0"/>
      <c r="VVY84" s="0"/>
      <c r="VVZ84" s="0"/>
      <c r="VWA84" s="0"/>
      <c r="VWB84" s="0"/>
      <c r="VWC84" s="0"/>
      <c r="VWD84" s="0"/>
      <c r="VWE84" s="0"/>
      <c r="VWF84" s="0"/>
      <c r="VWG84" s="0"/>
      <c r="VWH84" s="0"/>
      <c r="VWI84" s="0"/>
      <c r="VWJ84" s="0"/>
      <c r="VWK84" s="0"/>
      <c r="VWL84" s="0"/>
      <c r="VWM84" s="0"/>
      <c r="VWN84" s="0"/>
      <c r="VWO84" s="0"/>
      <c r="VWP84" s="0"/>
      <c r="VWQ84" s="0"/>
      <c r="VWR84" s="0"/>
      <c r="VWS84" s="0"/>
      <c r="VWT84" s="0"/>
      <c r="VWU84" s="0"/>
      <c r="VWV84" s="0"/>
      <c r="VWW84" s="0"/>
      <c r="VWX84" s="0"/>
      <c r="VWY84" s="0"/>
      <c r="VWZ84" s="0"/>
      <c r="VXA84" s="0"/>
      <c r="VXB84" s="0"/>
      <c r="VXC84" s="0"/>
      <c r="VXD84" s="0"/>
      <c r="VXE84" s="0"/>
      <c r="VXF84" s="0"/>
      <c r="VXG84" s="0"/>
      <c r="VXH84" s="0"/>
      <c r="VXI84" s="0"/>
      <c r="VXJ84" s="0"/>
      <c r="VXK84" s="0"/>
      <c r="VXL84" s="0"/>
      <c r="VXM84" s="0"/>
      <c r="VXN84" s="0"/>
      <c r="VXO84" s="0"/>
      <c r="VXP84" s="0"/>
      <c r="VXQ84" s="0"/>
      <c r="VXR84" s="0"/>
      <c r="VXS84" s="0"/>
      <c r="VXT84" s="0"/>
      <c r="VXU84" s="0"/>
      <c r="VXV84" s="0"/>
      <c r="VXW84" s="0"/>
      <c r="VXX84" s="0"/>
      <c r="VXY84" s="0"/>
      <c r="VXZ84" s="0"/>
      <c r="VYA84" s="0"/>
      <c r="VYB84" s="0"/>
      <c r="VYC84" s="0"/>
      <c r="VYD84" s="0"/>
      <c r="VYE84" s="0"/>
      <c r="VYF84" s="0"/>
      <c r="VYG84" s="0"/>
      <c r="VYH84" s="0"/>
      <c r="VYI84" s="0"/>
      <c r="VYJ84" s="0"/>
      <c r="VYK84" s="0"/>
      <c r="VYL84" s="0"/>
      <c r="VYM84" s="0"/>
      <c r="VYN84" s="0"/>
      <c r="VYO84" s="0"/>
      <c r="VYP84" s="0"/>
      <c r="VYQ84" s="0"/>
      <c r="VYR84" s="0"/>
      <c r="VYS84" s="0"/>
      <c r="VYT84" s="0"/>
      <c r="VYU84" s="0"/>
      <c r="VYV84" s="0"/>
      <c r="VYW84" s="0"/>
      <c r="VYX84" s="0"/>
      <c r="VYY84" s="0"/>
      <c r="VYZ84" s="0"/>
      <c r="VZA84" s="0"/>
      <c r="VZB84" s="0"/>
      <c r="VZC84" s="0"/>
      <c r="VZD84" s="0"/>
      <c r="VZE84" s="0"/>
      <c r="VZF84" s="0"/>
      <c r="VZG84" s="0"/>
      <c r="VZH84" s="0"/>
      <c r="VZI84" s="0"/>
      <c r="VZJ84" s="0"/>
      <c r="VZK84" s="0"/>
      <c r="VZL84" s="0"/>
      <c r="VZM84" s="0"/>
      <c r="VZN84" s="0"/>
      <c r="VZO84" s="0"/>
      <c r="VZP84" s="0"/>
      <c r="VZQ84" s="0"/>
      <c r="VZR84" s="0"/>
      <c r="VZS84" s="0"/>
      <c r="VZT84" s="0"/>
      <c r="VZU84" s="0"/>
      <c r="VZV84" s="0"/>
      <c r="VZW84" s="0"/>
      <c r="VZX84" s="0"/>
      <c r="VZY84" s="0"/>
      <c r="VZZ84" s="0"/>
      <c r="WAA84" s="0"/>
      <c r="WAB84" s="0"/>
      <c r="WAC84" s="0"/>
      <c r="WAD84" s="0"/>
      <c r="WAE84" s="0"/>
      <c r="WAF84" s="0"/>
      <c r="WAG84" s="0"/>
      <c r="WAH84" s="0"/>
      <c r="WAI84" s="0"/>
      <c r="WAJ84" s="0"/>
      <c r="WAK84" s="0"/>
      <c r="WAL84" s="0"/>
      <c r="WAM84" s="0"/>
      <c r="WAN84" s="0"/>
      <c r="WAO84" s="0"/>
      <c r="WAP84" s="0"/>
      <c r="WAQ84" s="0"/>
      <c r="WAR84" s="0"/>
      <c r="WAS84" s="0"/>
      <c r="WAT84" s="0"/>
      <c r="WAU84" s="0"/>
      <c r="WAV84" s="0"/>
      <c r="WAW84" s="0"/>
      <c r="WAX84" s="0"/>
      <c r="WAY84" s="0"/>
      <c r="WAZ84" s="0"/>
      <c r="WBA84" s="0"/>
      <c r="WBB84" s="0"/>
      <c r="WBC84" s="0"/>
      <c r="WBD84" s="0"/>
      <c r="WBE84" s="0"/>
      <c r="WBF84" s="0"/>
      <c r="WBG84" s="0"/>
      <c r="WBH84" s="0"/>
      <c r="WBI84" s="0"/>
      <c r="WBJ84" s="0"/>
      <c r="WBK84" s="0"/>
      <c r="WBL84" s="0"/>
      <c r="WBM84" s="0"/>
      <c r="WBN84" s="0"/>
      <c r="WBO84" s="0"/>
      <c r="WBP84" s="0"/>
      <c r="WBQ84" s="0"/>
      <c r="WBR84" s="0"/>
      <c r="WBS84" s="0"/>
      <c r="WBT84" s="0"/>
      <c r="WBU84" s="0"/>
      <c r="WBV84" s="0"/>
      <c r="WBW84" s="0"/>
      <c r="WBX84" s="0"/>
      <c r="WBY84" s="0"/>
      <c r="WBZ84" s="0"/>
      <c r="WCA84" s="0"/>
      <c r="WCB84" s="0"/>
      <c r="WCC84" s="0"/>
      <c r="WCD84" s="0"/>
      <c r="WCE84" s="0"/>
      <c r="WCF84" s="0"/>
      <c r="WCG84" s="0"/>
      <c r="WCH84" s="0"/>
      <c r="WCI84" s="0"/>
      <c r="WCJ84" s="0"/>
      <c r="WCK84" s="0"/>
      <c r="WCL84" s="0"/>
      <c r="WCM84" s="0"/>
      <c r="WCN84" s="0"/>
      <c r="WCO84" s="0"/>
      <c r="WCP84" s="0"/>
      <c r="WCQ84" s="0"/>
      <c r="WCR84" s="0"/>
      <c r="WCS84" s="0"/>
      <c r="WCT84" s="0"/>
      <c r="WCU84" s="0"/>
      <c r="WCV84" s="0"/>
      <c r="WCW84" s="0"/>
      <c r="WCX84" s="0"/>
      <c r="WCY84" s="0"/>
      <c r="WCZ84" s="0"/>
      <c r="WDA84" s="0"/>
      <c r="WDB84" s="0"/>
      <c r="WDC84" s="0"/>
      <c r="WDD84" s="0"/>
      <c r="WDE84" s="0"/>
      <c r="WDF84" s="0"/>
      <c r="WDG84" s="0"/>
      <c r="WDH84" s="0"/>
      <c r="WDI84" s="0"/>
      <c r="WDJ84" s="0"/>
      <c r="WDK84" s="0"/>
      <c r="WDL84" s="0"/>
      <c r="WDM84" s="0"/>
      <c r="WDN84" s="0"/>
      <c r="WDO84" s="0"/>
      <c r="WDP84" s="0"/>
      <c r="WDQ84" s="0"/>
      <c r="WDR84" s="0"/>
      <c r="WDS84" s="0"/>
      <c r="WDT84" s="0"/>
      <c r="WDU84" s="0"/>
      <c r="WDV84" s="0"/>
      <c r="WDW84" s="0"/>
      <c r="WDX84" s="0"/>
      <c r="WDY84" s="0"/>
      <c r="WDZ84" s="0"/>
      <c r="WEA84" s="0"/>
      <c r="WEB84" s="0"/>
      <c r="WEC84" s="0"/>
      <c r="WED84" s="0"/>
      <c r="WEE84" s="0"/>
      <c r="WEF84" s="0"/>
      <c r="WEG84" s="0"/>
      <c r="WEH84" s="0"/>
      <c r="WEI84" s="0"/>
      <c r="WEJ84" s="0"/>
      <c r="WEK84" s="0"/>
      <c r="WEL84" s="0"/>
      <c r="WEM84" s="0"/>
      <c r="WEN84" s="0"/>
      <c r="WEO84" s="0"/>
      <c r="WEP84" s="0"/>
      <c r="WEQ84" s="0"/>
      <c r="WER84" s="0"/>
      <c r="WES84" s="0"/>
      <c r="WET84" s="0"/>
      <c r="WEU84" s="0"/>
      <c r="WEV84" s="0"/>
      <c r="WEW84" s="0"/>
      <c r="WEX84" s="0"/>
      <c r="WEY84" s="0"/>
      <c r="WEZ84" s="0"/>
      <c r="WFA84" s="0"/>
      <c r="WFB84" s="0"/>
      <c r="WFC84" s="0"/>
      <c r="WFD84" s="0"/>
      <c r="WFE84" s="0"/>
      <c r="WFF84" s="0"/>
      <c r="WFG84" s="0"/>
      <c r="WFH84" s="0"/>
      <c r="WFI84" s="0"/>
      <c r="WFJ84" s="0"/>
      <c r="WFK84" s="0"/>
      <c r="WFL84" s="0"/>
      <c r="WFM84" s="0"/>
      <c r="WFN84" s="0"/>
      <c r="WFO84" s="0"/>
      <c r="WFP84" s="0"/>
      <c r="WFQ84" s="0"/>
      <c r="WFR84" s="0"/>
      <c r="WFS84" s="0"/>
      <c r="WFT84" s="0"/>
      <c r="WFU84" s="0"/>
      <c r="WFV84" s="0"/>
      <c r="WFW84" s="0"/>
      <c r="WFX84" s="0"/>
      <c r="WFY84" s="0"/>
      <c r="WFZ84" s="0"/>
      <c r="WGA84" s="0"/>
      <c r="WGB84" s="0"/>
      <c r="WGC84" s="0"/>
      <c r="WGD84" s="0"/>
      <c r="WGE84" s="0"/>
      <c r="WGF84" s="0"/>
      <c r="WGG84" s="0"/>
      <c r="WGH84" s="0"/>
      <c r="WGI84" s="0"/>
      <c r="WGJ84" s="0"/>
      <c r="WGK84" s="0"/>
      <c r="WGL84" s="0"/>
      <c r="WGM84" s="0"/>
      <c r="WGN84" s="0"/>
      <c r="WGO84" s="0"/>
      <c r="WGP84" s="0"/>
      <c r="WGQ84" s="0"/>
      <c r="WGR84" s="0"/>
      <c r="WGS84" s="0"/>
      <c r="WGT84" s="0"/>
      <c r="WGU84" s="0"/>
      <c r="WGV84" s="0"/>
      <c r="WGW84" s="0"/>
      <c r="WGX84" s="0"/>
      <c r="WGY84" s="0"/>
      <c r="WGZ84" s="0"/>
      <c r="WHA84" s="0"/>
      <c r="WHB84" s="0"/>
      <c r="WHC84" s="0"/>
      <c r="WHD84" s="0"/>
      <c r="WHE84" s="0"/>
      <c r="WHF84" s="0"/>
      <c r="WHG84" s="0"/>
      <c r="WHH84" s="0"/>
      <c r="WHI84" s="0"/>
      <c r="WHJ84" s="0"/>
      <c r="WHK84" s="0"/>
      <c r="WHL84" s="0"/>
      <c r="WHM84" s="0"/>
      <c r="WHN84" s="0"/>
      <c r="WHO84" s="0"/>
      <c r="WHP84" s="0"/>
      <c r="WHQ84" s="0"/>
      <c r="WHR84" s="0"/>
      <c r="WHS84" s="0"/>
      <c r="WHT84" s="0"/>
      <c r="WHU84" s="0"/>
      <c r="WHV84" s="0"/>
      <c r="WHW84" s="0"/>
      <c r="WHX84" s="0"/>
      <c r="WHY84" s="0"/>
      <c r="WHZ84" s="0"/>
      <c r="WIA84" s="0"/>
      <c r="WIB84" s="0"/>
      <c r="WIC84" s="0"/>
      <c r="WID84" s="0"/>
      <c r="WIE84" s="0"/>
      <c r="WIF84" s="0"/>
      <c r="WIG84" s="0"/>
      <c r="WIH84" s="0"/>
      <c r="WII84" s="0"/>
      <c r="WIJ84" s="0"/>
      <c r="WIK84" s="0"/>
      <c r="WIL84" s="0"/>
      <c r="WIM84" s="0"/>
      <c r="WIN84" s="0"/>
      <c r="WIO84" s="0"/>
      <c r="WIP84" s="0"/>
      <c r="WIQ84" s="0"/>
      <c r="WIR84" s="0"/>
      <c r="WIS84" s="0"/>
      <c r="WIT84" s="0"/>
      <c r="WIU84" s="0"/>
      <c r="WIV84" s="0"/>
      <c r="WIW84" s="0"/>
      <c r="WIX84" s="0"/>
      <c r="WIY84" s="0"/>
      <c r="WIZ84" s="0"/>
      <c r="WJA84" s="0"/>
      <c r="WJB84" s="0"/>
      <c r="WJC84" s="0"/>
      <c r="WJD84" s="0"/>
      <c r="WJE84" s="0"/>
      <c r="WJF84" s="0"/>
      <c r="WJG84" s="0"/>
      <c r="WJH84" s="0"/>
      <c r="WJI84" s="0"/>
      <c r="WJJ84" s="0"/>
      <c r="WJK84" s="0"/>
      <c r="WJL84" s="0"/>
      <c r="WJM84" s="0"/>
      <c r="WJN84" s="0"/>
      <c r="WJO84" s="0"/>
      <c r="WJP84" s="0"/>
      <c r="WJQ84" s="0"/>
      <c r="WJR84" s="0"/>
      <c r="WJS84" s="0"/>
      <c r="WJT84" s="0"/>
      <c r="WJU84" s="0"/>
      <c r="WJV84" s="0"/>
      <c r="WJW84" s="0"/>
      <c r="WJX84" s="0"/>
      <c r="WJY84" s="0"/>
      <c r="WJZ84" s="0"/>
      <c r="WKA84" s="0"/>
      <c r="WKB84" s="0"/>
      <c r="WKC84" s="0"/>
      <c r="WKD84" s="0"/>
      <c r="WKE84" s="0"/>
      <c r="WKF84" s="0"/>
      <c r="WKG84" s="0"/>
      <c r="WKH84" s="0"/>
      <c r="WKI84" s="0"/>
      <c r="WKJ84" s="0"/>
      <c r="WKK84" s="0"/>
      <c r="WKL84" s="0"/>
      <c r="WKM84" s="0"/>
      <c r="WKN84" s="0"/>
      <c r="WKO84" s="0"/>
      <c r="WKP84" s="0"/>
      <c r="WKQ84" s="0"/>
      <c r="WKR84" s="0"/>
      <c r="WKS84" s="0"/>
      <c r="WKT84" s="0"/>
      <c r="WKU84" s="0"/>
      <c r="WKV84" s="0"/>
      <c r="WKW84" s="0"/>
      <c r="WKX84" s="0"/>
      <c r="WKY84" s="0"/>
      <c r="WKZ84" s="0"/>
      <c r="WLA84" s="0"/>
      <c r="WLB84" s="0"/>
      <c r="WLC84" s="0"/>
      <c r="WLD84" s="0"/>
      <c r="WLE84" s="0"/>
      <c r="WLF84" s="0"/>
      <c r="WLG84" s="0"/>
      <c r="WLH84" s="0"/>
      <c r="WLI84" s="0"/>
      <c r="WLJ84" s="0"/>
      <c r="WLK84" s="0"/>
      <c r="WLL84" s="0"/>
      <c r="WLM84" s="0"/>
      <c r="WLN84" s="0"/>
      <c r="WLO84" s="0"/>
      <c r="WLP84" s="0"/>
      <c r="WLQ84" s="0"/>
      <c r="WLR84" s="0"/>
      <c r="WLS84" s="0"/>
      <c r="WLT84" s="0"/>
      <c r="WLU84" s="0"/>
      <c r="WLV84" s="0"/>
      <c r="WLW84" s="0"/>
      <c r="WLX84" s="0"/>
      <c r="WLY84" s="0"/>
      <c r="WLZ84" s="0"/>
      <c r="WMA84" s="0"/>
      <c r="WMB84" s="0"/>
      <c r="WMC84" s="0"/>
      <c r="WMD84" s="0"/>
      <c r="WME84" s="0"/>
      <c r="WMF84" s="0"/>
      <c r="WMG84" s="0"/>
      <c r="WMH84" s="0"/>
      <c r="WMI84" s="0"/>
      <c r="WMJ84" s="0"/>
      <c r="WMK84" s="0"/>
      <c r="WML84" s="0"/>
      <c r="WMM84" s="0"/>
      <c r="WMN84" s="0"/>
      <c r="WMO84" s="0"/>
      <c r="WMP84" s="0"/>
      <c r="WMQ84" s="0"/>
      <c r="WMR84" s="0"/>
      <c r="WMS84" s="0"/>
      <c r="WMT84" s="0"/>
      <c r="WMU84" s="0"/>
      <c r="WMV84" s="0"/>
      <c r="WMW84" s="0"/>
      <c r="WMX84" s="0"/>
      <c r="WMY84" s="0"/>
      <c r="WMZ84" s="0"/>
      <c r="WNA84" s="0"/>
      <c r="WNB84" s="0"/>
      <c r="WNC84" s="0"/>
      <c r="WND84" s="0"/>
      <c r="WNE84" s="0"/>
      <c r="WNF84" s="0"/>
      <c r="WNG84" s="0"/>
      <c r="WNH84" s="0"/>
      <c r="WNI84" s="0"/>
      <c r="WNJ84" s="0"/>
      <c r="WNK84" s="0"/>
      <c r="WNL84" s="0"/>
      <c r="WNM84" s="0"/>
      <c r="WNN84" s="0"/>
      <c r="WNO84" s="0"/>
      <c r="WNP84" s="0"/>
      <c r="WNQ84" s="0"/>
      <c r="WNR84" s="0"/>
      <c r="WNS84" s="0"/>
      <c r="WNT84" s="0"/>
      <c r="WNU84" s="0"/>
      <c r="WNV84" s="0"/>
      <c r="WNW84" s="0"/>
      <c r="WNX84" s="0"/>
      <c r="WNY84" s="0"/>
      <c r="WNZ84" s="0"/>
      <c r="WOA84" s="0"/>
      <c r="WOB84" s="0"/>
      <c r="WOC84" s="0"/>
      <c r="WOD84" s="0"/>
      <c r="WOE84" s="0"/>
      <c r="WOF84" s="0"/>
      <c r="WOG84" s="0"/>
      <c r="WOH84" s="0"/>
      <c r="WOI84" s="0"/>
      <c r="WOJ84" s="0"/>
      <c r="WOK84" s="0"/>
      <c r="WOL84" s="0"/>
      <c r="WOM84" s="0"/>
      <c r="WON84" s="0"/>
      <c r="WOO84" s="0"/>
      <c r="WOP84" s="0"/>
      <c r="WOQ84" s="0"/>
      <c r="WOR84" s="0"/>
      <c r="WOS84" s="0"/>
      <c r="WOT84" s="0"/>
      <c r="WOU84" s="0"/>
      <c r="WOV84" s="0"/>
      <c r="WOW84" s="0"/>
      <c r="WOX84" s="0"/>
      <c r="WOY84" s="0"/>
      <c r="WOZ84" s="0"/>
      <c r="WPA84" s="0"/>
      <c r="WPB84" s="0"/>
      <c r="WPC84" s="0"/>
      <c r="WPD84" s="0"/>
      <c r="WPE84" s="0"/>
      <c r="WPF84" s="0"/>
      <c r="WPG84" s="0"/>
      <c r="WPH84" s="0"/>
      <c r="WPI84" s="0"/>
      <c r="WPJ84" s="0"/>
      <c r="WPK84" s="0"/>
      <c r="WPL84" s="0"/>
      <c r="WPM84" s="0"/>
      <c r="WPN84" s="0"/>
      <c r="WPO84" s="0"/>
      <c r="WPP84" s="0"/>
      <c r="WPQ84" s="0"/>
      <c r="WPR84" s="0"/>
      <c r="WPS84" s="0"/>
      <c r="WPT84" s="0"/>
      <c r="WPU84" s="0"/>
      <c r="WPV84" s="0"/>
      <c r="WPW84" s="0"/>
      <c r="WPX84" s="0"/>
      <c r="WPY84" s="0"/>
      <c r="WPZ84" s="0"/>
      <c r="WQA84" s="0"/>
      <c r="WQB84" s="0"/>
      <c r="WQC84" s="0"/>
      <c r="WQD84" s="0"/>
      <c r="WQE84" s="0"/>
      <c r="WQF84" s="0"/>
      <c r="WQG84" s="0"/>
      <c r="WQH84" s="0"/>
      <c r="WQI84" s="0"/>
      <c r="WQJ84" s="0"/>
      <c r="WQK84" s="0"/>
      <c r="WQL84" s="0"/>
      <c r="WQM84" s="0"/>
      <c r="WQN84" s="0"/>
      <c r="WQO84" s="0"/>
      <c r="WQP84" s="0"/>
      <c r="WQQ84" s="0"/>
      <c r="WQR84" s="0"/>
      <c r="WQS84" s="0"/>
      <c r="WQT84" s="0"/>
      <c r="WQU84" s="0"/>
      <c r="WQV84" s="0"/>
      <c r="WQW84" s="0"/>
      <c r="WQX84" s="0"/>
      <c r="WQY84" s="0"/>
      <c r="WQZ84" s="0"/>
      <c r="WRA84" s="0"/>
      <c r="WRB84" s="0"/>
      <c r="WRC84" s="0"/>
      <c r="WRD84" s="0"/>
      <c r="WRE84" s="0"/>
      <c r="WRF84" s="0"/>
      <c r="WRG84" s="0"/>
      <c r="WRH84" s="0"/>
      <c r="WRI84" s="0"/>
      <c r="WRJ84" s="0"/>
      <c r="WRK84" s="0"/>
      <c r="WRL84" s="0"/>
      <c r="WRM84" s="0"/>
      <c r="WRN84" s="0"/>
      <c r="WRO84" s="0"/>
      <c r="WRP84" s="0"/>
      <c r="WRQ84" s="0"/>
      <c r="WRR84" s="0"/>
      <c r="WRS84" s="0"/>
      <c r="WRT84" s="0"/>
      <c r="WRU84" s="0"/>
      <c r="WRV84" s="0"/>
      <c r="WRW84" s="0"/>
      <c r="WRX84" s="0"/>
      <c r="WRY84" s="0"/>
      <c r="WRZ84" s="0"/>
      <c r="WSA84" s="0"/>
      <c r="WSB84" s="0"/>
      <c r="WSC84" s="0"/>
      <c r="WSD84" s="0"/>
      <c r="WSE84" s="0"/>
      <c r="WSF84" s="0"/>
      <c r="WSG84" s="0"/>
      <c r="WSH84" s="0"/>
      <c r="WSI84" s="0"/>
      <c r="WSJ84" s="0"/>
      <c r="WSK84" s="0"/>
      <c r="WSL84" s="0"/>
      <c r="WSM84" s="0"/>
      <c r="WSN84" s="0"/>
      <c r="WSO84" s="0"/>
      <c r="WSP84" s="0"/>
      <c r="WSQ84" s="0"/>
      <c r="WSR84" s="0"/>
      <c r="WSS84" s="0"/>
      <c r="WST84" s="0"/>
      <c r="WSU84" s="0"/>
      <c r="WSV84" s="0"/>
      <c r="WSW84" s="0"/>
      <c r="WSX84" s="0"/>
      <c r="WSY84" s="0"/>
      <c r="WSZ84" s="0"/>
      <c r="WTA84" s="0"/>
      <c r="WTB84" s="0"/>
      <c r="WTC84" s="0"/>
      <c r="WTD84" s="0"/>
      <c r="WTE84" s="0"/>
      <c r="WTF84" s="0"/>
      <c r="WTG84" s="0"/>
      <c r="WTH84" s="0"/>
      <c r="WTI84" s="0"/>
      <c r="WTJ84" s="0"/>
      <c r="WTK84" s="0"/>
      <c r="WTL84" s="0"/>
      <c r="WTM84" s="0"/>
      <c r="WTN84" s="0"/>
      <c r="WTO84" s="0"/>
      <c r="WTP84" s="0"/>
      <c r="WTQ84" s="0"/>
      <c r="WTR84" s="0"/>
      <c r="WTS84" s="0"/>
      <c r="WTT84" s="0"/>
      <c r="WTU84" s="0"/>
      <c r="WTV84" s="0"/>
      <c r="WTW84" s="0"/>
      <c r="WTX84" s="0"/>
      <c r="WTY84" s="0"/>
      <c r="WTZ84" s="0"/>
      <c r="WUA84" s="0"/>
      <c r="WUB84" s="0"/>
      <c r="WUC84" s="0"/>
      <c r="WUD84" s="0"/>
      <c r="WUE84" s="0"/>
      <c r="WUF84" s="0"/>
      <c r="WUG84" s="0"/>
      <c r="WUH84" s="0"/>
      <c r="WUI84" s="0"/>
      <c r="WUJ84" s="0"/>
      <c r="WUK84" s="0"/>
      <c r="WUL84" s="0"/>
      <c r="WUM84" s="0"/>
      <c r="WUN84" s="0"/>
      <c r="WUO84" s="0"/>
      <c r="WUP84" s="0"/>
      <c r="WUQ84" s="0"/>
      <c r="WUR84" s="0"/>
      <c r="WUS84" s="0"/>
      <c r="WUT84" s="0"/>
      <c r="WUU84" s="0"/>
      <c r="WUV84" s="0"/>
      <c r="WUW84" s="0"/>
      <c r="WUX84" s="0"/>
      <c r="WUY84" s="0"/>
      <c r="WUZ84" s="0"/>
      <c r="WVA84" s="0"/>
      <c r="WVB84" s="0"/>
      <c r="WVC84" s="0"/>
      <c r="WVD84" s="0"/>
      <c r="WVE84" s="0"/>
      <c r="WVF84" s="0"/>
      <c r="WVG84" s="0"/>
      <c r="WVH84" s="0"/>
      <c r="WVI84" s="0"/>
      <c r="WVJ84" s="0"/>
      <c r="WVK84" s="0"/>
      <c r="WVL84" s="0"/>
      <c r="WVM84" s="0"/>
      <c r="WVN84" s="0"/>
      <c r="WVO84" s="0"/>
      <c r="WVP84" s="0"/>
      <c r="WVQ84" s="0"/>
      <c r="WVR84" s="0"/>
      <c r="WVS84" s="0"/>
      <c r="WVT84" s="0"/>
      <c r="WVU84" s="0"/>
      <c r="WVV84" s="0"/>
      <c r="WVW84" s="0"/>
      <c r="WVX84" s="0"/>
      <c r="WVY84" s="0"/>
      <c r="WVZ84" s="0"/>
      <c r="WWA84" s="0"/>
      <c r="WWB84" s="0"/>
      <c r="WWC84" s="0"/>
      <c r="WWD84" s="0"/>
      <c r="WWE84" s="0"/>
      <c r="WWF84" s="0"/>
      <c r="WWG84" s="0"/>
      <c r="WWH84" s="0"/>
      <c r="WWI84" s="0"/>
      <c r="WWJ84" s="0"/>
      <c r="WWK84" s="0"/>
      <c r="WWL84" s="0"/>
      <c r="WWM84" s="0"/>
      <c r="WWN84" s="0"/>
      <c r="WWO84" s="0"/>
      <c r="WWP84" s="0"/>
      <c r="WWQ84" s="0"/>
      <c r="WWR84" s="0"/>
      <c r="WWS84" s="0"/>
      <c r="WWT84" s="0"/>
      <c r="WWU84" s="0"/>
      <c r="WWV84" s="0"/>
      <c r="WWW84" s="0"/>
      <c r="WWX84" s="0"/>
      <c r="WWY84" s="0"/>
      <c r="WWZ84" s="0"/>
      <c r="WXA84" s="0"/>
      <c r="WXB84" s="0"/>
      <c r="WXC84" s="0"/>
      <c r="WXD84" s="0"/>
      <c r="WXE84" s="0"/>
      <c r="WXF84" s="0"/>
      <c r="WXG84" s="0"/>
      <c r="WXH84" s="0"/>
      <c r="WXI84" s="0"/>
      <c r="WXJ84" s="0"/>
      <c r="WXK84" s="0"/>
      <c r="WXL84" s="0"/>
      <c r="WXM84" s="0"/>
      <c r="WXN84" s="0"/>
      <c r="WXO84" s="0"/>
      <c r="WXP84" s="0"/>
      <c r="WXQ84" s="0"/>
      <c r="WXR84" s="0"/>
      <c r="WXS84" s="0"/>
      <c r="WXT84" s="0"/>
      <c r="WXU84" s="0"/>
      <c r="WXV84" s="0"/>
      <c r="WXW84" s="0"/>
      <c r="WXX84" s="0"/>
      <c r="WXY84" s="0"/>
      <c r="WXZ84" s="0"/>
      <c r="WYA84" s="0"/>
      <c r="WYB84" s="0"/>
      <c r="WYC84" s="0"/>
      <c r="WYD84" s="0"/>
      <c r="WYE84" s="0"/>
      <c r="WYF84" s="0"/>
      <c r="WYG84" s="0"/>
      <c r="WYH84" s="0"/>
      <c r="WYI84" s="0"/>
      <c r="WYJ84" s="0"/>
      <c r="WYK84" s="0"/>
      <c r="WYL84" s="0"/>
      <c r="WYM84" s="0"/>
      <c r="WYN84" s="0"/>
      <c r="WYO84" s="0"/>
      <c r="WYP84" s="0"/>
      <c r="WYQ84" s="0"/>
      <c r="WYR84" s="0"/>
      <c r="WYS84" s="0"/>
      <c r="WYT84" s="0"/>
      <c r="WYU84" s="0"/>
      <c r="WYV84" s="0"/>
      <c r="WYW84" s="0"/>
      <c r="WYX84" s="0"/>
      <c r="WYY84" s="0"/>
      <c r="WYZ84" s="0"/>
      <c r="WZA84" s="0"/>
      <c r="WZB84" s="0"/>
      <c r="WZC84" s="0"/>
      <c r="WZD84" s="0"/>
      <c r="WZE84" s="0"/>
      <c r="WZF84" s="0"/>
      <c r="WZG84" s="0"/>
      <c r="WZH84" s="0"/>
      <c r="WZI84" s="0"/>
      <c r="WZJ84" s="0"/>
      <c r="WZK84" s="0"/>
      <c r="WZL84" s="0"/>
      <c r="WZM84" s="0"/>
      <c r="WZN84" s="0"/>
      <c r="WZO84" s="0"/>
      <c r="WZP84" s="0"/>
      <c r="WZQ84" s="0"/>
      <c r="WZR84" s="0"/>
      <c r="WZS84" s="0"/>
      <c r="WZT84" s="0"/>
      <c r="WZU84" s="0"/>
      <c r="WZV84" s="0"/>
      <c r="WZW84" s="0"/>
      <c r="WZX84" s="0"/>
      <c r="WZY84" s="0"/>
      <c r="WZZ84" s="0"/>
      <c r="XAA84" s="0"/>
      <c r="XAB84" s="0"/>
      <c r="XAC84" s="0"/>
      <c r="XAD84" s="0"/>
      <c r="XAE84" s="0"/>
      <c r="XAF84" s="0"/>
      <c r="XAG84" s="0"/>
      <c r="XAH84" s="0"/>
      <c r="XAI84" s="0"/>
      <c r="XAJ84" s="0"/>
      <c r="XAK84" s="0"/>
      <c r="XAL84" s="0"/>
      <c r="XAM84" s="0"/>
      <c r="XAN84" s="0"/>
      <c r="XAO84" s="0"/>
      <c r="XAP84" s="0"/>
      <c r="XAQ84" s="0"/>
      <c r="XAR84" s="0"/>
      <c r="XAS84" s="0"/>
      <c r="XAT84" s="0"/>
      <c r="XAU84" s="0"/>
      <c r="XAV84" s="0"/>
      <c r="XAW84" s="0"/>
      <c r="XAX84" s="0"/>
      <c r="XAY84" s="0"/>
      <c r="XAZ84" s="0"/>
      <c r="XBA84" s="0"/>
      <c r="XBB84" s="0"/>
      <c r="XBC84" s="0"/>
      <c r="XBD84" s="0"/>
      <c r="XBE84" s="0"/>
      <c r="XBF84" s="0"/>
      <c r="XBG84" s="0"/>
      <c r="XBH84" s="0"/>
      <c r="XBI84" s="0"/>
      <c r="XBJ84" s="0"/>
      <c r="XBK84" s="0"/>
      <c r="XBL84" s="0"/>
      <c r="XBM84" s="0"/>
      <c r="XBN84" s="0"/>
      <c r="XBO84" s="0"/>
      <c r="XBP84" s="0"/>
      <c r="XBQ84" s="0"/>
      <c r="XBR84" s="0"/>
      <c r="XBS84" s="0"/>
      <c r="XBT84" s="0"/>
      <c r="XBU84" s="0"/>
      <c r="XBV84" s="0"/>
      <c r="XBW84" s="0"/>
      <c r="XBX84" s="0"/>
      <c r="XBY84" s="0"/>
      <c r="XBZ84" s="0"/>
      <c r="XCA84" s="0"/>
      <c r="XCB84" s="0"/>
      <c r="XCC84" s="0"/>
      <c r="XCD84" s="0"/>
      <c r="XCE84" s="0"/>
      <c r="XCF84" s="0"/>
      <c r="XCG84" s="0"/>
      <c r="XCH84" s="0"/>
      <c r="XCI84" s="0"/>
      <c r="XCJ84" s="0"/>
      <c r="XCK84" s="0"/>
      <c r="XCL84" s="0"/>
      <c r="XCM84" s="0"/>
      <c r="XCN84" s="0"/>
      <c r="XCO84" s="0"/>
      <c r="XCP84" s="0"/>
      <c r="XCQ84" s="0"/>
      <c r="XCR84" s="0"/>
      <c r="XCS84" s="0"/>
      <c r="XCT84" s="0"/>
      <c r="XCU84" s="0"/>
      <c r="XCV84" s="0"/>
      <c r="XCW84" s="0"/>
      <c r="XCX84" s="0"/>
      <c r="XCY84" s="0"/>
      <c r="XCZ84" s="0"/>
      <c r="XDA84" s="0"/>
      <c r="XDB84" s="0"/>
      <c r="XDC84" s="0"/>
      <c r="XDD84" s="0"/>
      <c r="XDE84" s="0"/>
      <c r="XDF84" s="0"/>
      <c r="XDG84" s="0"/>
      <c r="XDH84" s="0"/>
      <c r="XDI84" s="0"/>
      <c r="XDJ84" s="0"/>
      <c r="XDK84" s="0"/>
      <c r="XDL84" s="0"/>
      <c r="XDM84" s="0"/>
      <c r="XDN84" s="0"/>
      <c r="XDO84" s="0"/>
      <c r="XDP84" s="0"/>
      <c r="XDQ84" s="0"/>
      <c r="XDR84" s="0"/>
      <c r="XDS84" s="0"/>
      <c r="XDT84" s="0"/>
      <c r="XDU84" s="0"/>
      <c r="XDV84" s="0"/>
      <c r="XDW84" s="0"/>
      <c r="XDX84" s="0"/>
      <c r="XDY84" s="0"/>
      <c r="XDZ84" s="0"/>
      <c r="XEA84" s="0"/>
      <c r="XEB84" s="0"/>
      <c r="XEC84" s="0"/>
      <c r="XED84" s="0"/>
      <c r="XEE84" s="0"/>
      <c r="XEF84" s="0"/>
      <c r="XEG84" s="0"/>
      <c r="XEH84" s="0"/>
      <c r="XEI84" s="0"/>
      <c r="XEJ84" s="0"/>
      <c r="XEK84" s="0"/>
      <c r="XEL84" s="0"/>
      <c r="XEM84" s="0"/>
      <c r="XEN84" s="0"/>
      <c r="XEO84" s="0"/>
      <c r="XEP84" s="0"/>
      <c r="XEQ84" s="0"/>
      <c r="XER84" s="0"/>
      <c r="XES84" s="0"/>
      <c r="XET84" s="0"/>
      <c r="XEU84" s="0"/>
      <c r="XEV84" s="0"/>
      <c r="XEW84" s="0"/>
      <c r="XEX84" s="0"/>
      <c r="XEY84" s="0"/>
      <c r="XEZ84" s="0"/>
      <c r="XFA84" s="0"/>
      <c r="XFB84" s="0"/>
      <c r="XFC84" s="0"/>
      <c r="XFD84" s="0"/>
    </row>
    <row r="85" customFormat="false" ht="13.8" hidden="false" customHeight="false" outlineLevel="0" collapsed="false">
      <c r="A85" s="36" t="s">
        <v>505</v>
      </c>
      <c r="B85" s="36" t="s">
        <v>506</v>
      </c>
      <c r="C85" s="0" t="n">
        <v>513</v>
      </c>
      <c r="D85" s="0" t="n">
        <v>509</v>
      </c>
      <c r="E85" s="0" t="n">
        <v>515</v>
      </c>
      <c r="F85" s="0" t="s">
        <v>89</v>
      </c>
      <c r="G85" s="0" t="s">
        <v>90</v>
      </c>
      <c r="H85" s="0" t="s">
        <v>255</v>
      </c>
      <c r="I85" s="0" t="s">
        <v>92</v>
      </c>
      <c r="J85" s="0" t="n">
        <v>2017</v>
      </c>
      <c r="K85" s="0"/>
      <c r="L85" s="0"/>
      <c r="M85" s="0" t="n">
        <v>5</v>
      </c>
      <c r="N85" s="0" t="n">
        <v>3200</v>
      </c>
      <c r="O85" s="37" t="n">
        <f aca="false">940*3</f>
        <v>2820</v>
      </c>
      <c r="P85" s="38"/>
      <c r="Q85" s="38"/>
      <c r="R85" s="38"/>
      <c r="S85" s="38"/>
      <c r="T85" s="38"/>
      <c r="U85" s="38"/>
      <c r="V85" s="38"/>
      <c r="W85" s="36" t="n">
        <v>243</v>
      </c>
      <c r="X85" s="37"/>
      <c r="Y85" s="36" t="n">
        <v>5</v>
      </c>
      <c r="Z85" s="36" t="n">
        <v>195</v>
      </c>
      <c r="AA85" s="39" t="n">
        <f aca="false">IF(AND(W85&gt;0,Z85&gt;0),(Z85/((W85+X85)*10)),"")</f>
        <v>0.0802469135802469</v>
      </c>
      <c r="AB85" s="36" t="n">
        <v>140</v>
      </c>
      <c r="AC85" s="36" t="n">
        <f aca="false">ROUND(AB85*1.6, 0)</f>
        <v>224</v>
      </c>
      <c r="AD85" s="36"/>
      <c r="AE85" s="36"/>
      <c r="AF85" s="36" t="n">
        <v>26</v>
      </c>
      <c r="AG85" s="36" t="n">
        <v>24</v>
      </c>
      <c r="AH85" s="36"/>
      <c r="AI85" s="36"/>
      <c r="AJ85" s="40" t="n">
        <v>66</v>
      </c>
      <c r="AK85" s="36" t="str">
        <f aca="false">CONCATENATE(VLOOKUP(AL85, '[1]Voxel Sizes'!$A$2:$B$18,2,FALSE()),"x",INT(AH85*15), "x", INT(AI85*15))</f>
        <v>238x0x0</v>
      </c>
      <c r="AL85" s="36" t="n">
        <f aca="false">ROUND(15*((AG85*10)/256),0)</f>
        <v>14</v>
      </c>
      <c r="AM85" s="36"/>
      <c r="AN85" s="36" t="str">
        <f aca="false">CONCATENATE(VLOOKUP(AL85,[1]Constants!$A$2:$C$16,IF(AM85&lt;&gt;"", 3, 2), FALSE()),IF(AM85&lt;&gt;"",CONCATENATE(",",VLOOKUP(AM85,$B:$AN,39,FALSE())),""))</f>
        <v>4,6,4</v>
      </c>
      <c r="AO85" s="36" t="n">
        <v>12</v>
      </c>
      <c r="AP85" s="41"/>
      <c r="AQ85" s="41"/>
      <c r="AR85" s="0" t="s">
        <v>494</v>
      </c>
      <c r="AS85" s="0" t="s">
        <v>495</v>
      </c>
      <c r="AT85" s="0" t="s">
        <v>130</v>
      </c>
      <c r="AU85" s="0" t="s">
        <v>493</v>
      </c>
      <c r="AV85" s="0"/>
      <c r="AW85" s="0"/>
      <c r="AX85" s="0" t="n">
        <v>30</v>
      </c>
      <c r="AY85" s="42" t="str">
        <f aca="false">IF(L85&lt;&gt;"",MAX(16,(L85-J85)+8),"")</f>
        <v/>
      </c>
      <c r="AZ85" s="36" t="n">
        <v>-15</v>
      </c>
      <c r="BA85" s="36" t="n">
        <v>-30</v>
      </c>
      <c r="BB85" s="36" t="n">
        <f aca="false">MIN(AB85/150, 1)*30</f>
        <v>28</v>
      </c>
      <c r="BC85" s="36" t="n">
        <f aca="false">MIN(N85/4000, 1)*20</f>
        <v>16</v>
      </c>
      <c r="BD85" s="36" t="n">
        <f aca="false">MIN(Z85/400,1)*20</f>
        <v>9.75</v>
      </c>
      <c r="BE85" s="39" t="n">
        <f aca="false">1-(MAX(J85-1900, 0)/750)</f>
        <v>0.844</v>
      </c>
      <c r="BF85" s="36" t="n">
        <f aca="false">((MAX($M85,1)*MIN($AJ85/300,1)))*IF(G85="Wagon",50,10)</f>
        <v>11</v>
      </c>
      <c r="BG85" s="1" t="n">
        <f aca="false">VLOOKUP($H85,Constants!$I:$K, 2, FALSE())</f>
        <v>0.9</v>
      </c>
      <c r="BH85" s="1" t="n">
        <f aca="false">VLOOKUP($H85,Constants!$I:$K, 3, FALSE())*IF(AND(G85="multiple_unit",AB85&lt;110),0.75,1)</f>
        <v>2.5</v>
      </c>
      <c r="BI85" s="36" t="n">
        <f aca="false">INT(POWER((([1]Constants!$G$2+$BB85+$BC85+$BD85+$BF85)*$BE85)*$BH85, 1.05))+$BA85</f>
        <v>158</v>
      </c>
      <c r="BJ85" s="36" t="n">
        <f aca="false">INT(POWER(((([1]Constants!$G$1+$BB85+$BC85+$BD85+$BF85)*($BE85))*$BG85),IF($G85="wagon",1,1.2)))+$AZ85</f>
        <v>122</v>
      </c>
      <c r="BK85" s="43" t="n">
        <f aca="false">BI85*IF($G85="wagon",62.5,781.25)</f>
        <v>123437.5</v>
      </c>
      <c r="BL85" s="43" t="n">
        <f aca="false">BJ85*IF($G85="wagon",2.73,81.25)</f>
        <v>9912.5</v>
      </c>
      <c r="BM85" s="36"/>
      <c r="BN85" s="36"/>
      <c r="BO85" s="36"/>
      <c r="BP85" s="36"/>
      <c r="BQ85" s="19" t="str">
        <f aca="false">_xlfn.ORG.LIBREOFFICE.REGEX(_xlfn.ORG.LIBREOFFICE.REGEX(IETMUVEHICLES, _xlfn.CONCAT(B85, ",?"), ""), ",$", "")</f>
        <v>class_800_azuma,class_800_9,class_801_5,class_801_9,class_802_9</v>
      </c>
      <c r="BR85" s="36"/>
      <c r="BS85" s="36"/>
      <c r="BT85" s="36" t="n">
        <v>10</v>
      </c>
      <c r="BU85" s="36" t="n">
        <v>222</v>
      </c>
      <c r="BV85" s="36"/>
      <c r="BW85" s="36"/>
      <c r="BX85" s="36" t="s">
        <v>95</v>
      </c>
      <c r="BY85" s="36" t="str">
        <f aca="false">VLOOKUP(J85,[1]Eras!$A$2:$C$10, 2, TRUE())</f>
        <v>mod</v>
      </c>
      <c r="BZ85" s="36" t="s">
        <v>226</v>
      </c>
      <c r="CA85" s="0" t="str">
        <f aca="false">CONCATENATE(BY85,"_",BZ85)</f>
        <v>mod_EMU (Express)</v>
      </c>
      <c r="CB85" s="0" t="str">
        <f aca="false">_xlfn.CONCAT(H85, "_",I85)</f>
        <v>dual_power_ELRL</v>
      </c>
      <c r="CC85" s="44" t="str">
        <f aca="false" t="array" ref="CC85:CC85">_xlfn.CONCAT("{BLACK}Length: {GOLD}", TEXT(ROUNDUP(IF(AQ85&lt;&gt;"",SUM(VALUE(_xlfn.TEXTSPLIT(AQ85, ","))), SUM(VALUE(_xlfn.TEXTSPLIT(AN85, ",")))*IF(M85, M85, 1))/16, 1), "#,##0.0"), " tiles{}")</f>
        <v>{BLACK}Length: {GOLD}4.4 tiles{}</v>
      </c>
      <c r="CD85" s="1" t="str">
        <f aca="false">VLOOKUP($CB85, Constants!$M:$N, 2, FALSE())</f>
        <v>{BLACK}Powered by: {GOLD}25kV AC / Diesel</v>
      </c>
      <c r="CE85" s="0" t="str">
        <f aca="false">IF(M85&gt;1,_xlfn.CONCAT("{BLACK}Cars: {GOLD}", M85),"")</f>
        <v>{BLACK}Cars: {GOLD}5</v>
      </c>
      <c r="CF85" s="0" t="s">
        <v>507</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{YELLOW}20% bonus for long distance travel{}</v>
      </c>
      <c r="CH85" s="1" t="str">
        <f aca="false">_xlfn.CONCAT(CD85,IF(CD85 &lt;&gt; "", " ", ""),CE85,IF(OR(CE85&lt;&gt;"", CD85&lt;&gt;""), "{}",""), CC85, CG85,"{SILVER}", CF85)</f>
        <v>{BLACK}Powered by: {GOLD}25kV AC / Diesel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c r="CI85" s="0"/>
      <c r="CJ85" s="0"/>
      <c r="CK85" s="0"/>
      <c r="CL85" s="0"/>
      <c r="CM85" s="0"/>
      <c r="CN85" s="0"/>
      <c r="CO85" s="0"/>
      <c r="CP85" s="0"/>
      <c r="CQ85" s="0"/>
      <c r="CR85" s="0"/>
      <c r="CS85" s="0"/>
      <c r="CT85" s="0"/>
      <c r="CU85" s="0"/>
      <c r="CV85" s="0"/>
      <c r="CW85" s="0"/>
      <c r="CX85" s="0"/>
      <c r="CY85" s="0"/>
      <c r="CZ85" s="0"/>
      <c r="DA85" s="0"/>
      <c r="DB85" s="0"/>
      <c r="DC85" s="0"/>
      <c r="DD85" s="0"/>
      <c r="DE85" s="0"/>
      <c r="DF85" s="0"/>
      <c r="DG85" s="0"/>
      <c r="DH85" s="0"/>
      <c r="DI85" s="0"/>
      <c r="DJ85" s="0"/>
      <c r="DK85" s="0"/>
      <c r="DL85" s="0"/>
      <c r="DM85" s="0"/>
      <c r="DN85" s="0"/>
      <c r="DO85" s="0"/>
      <c r="DP85" s="0"/>
      <c r="DQ85" s="0"/>
      <c r="DR85" s="0"/>
      <c r="DS85" s="0"/>
      <c r="DT85" s="0"/>
      <c r="DU85" s="0"/>
      <c r="DV85" s="0"/>
      <c r="DW85" s="0"/>
      <c r="DX85" s="0"/>
      <c r="DY85" s="0"/>
      <c r="DZ85" s="0"/>
      <c r="EA85" s="0"/>
      <c r="EB85" s="0"/>
      <c r="EC85" s="0"/>
      <c r="ED85" s="0"/>
      <c r="EE85" s="0"/>
      <c r="EF85" s="0"/>
      <c r="EG85" s="0"/>
      <c r="EH85" s="0"/>
      <c r="EI85" s="0"/>
      <c r="EJ85" s="0"/>
      <c r="EK85" s="0"/>
      <c r="EL85" s="0"/>
      <c r="EM85" s="0"/>
      <c r="EN85" s="0"/>
      <c r="EO85" s="0"/>
      <c r="EP85" s="0"/>
      <c r="EQ85" s="0"/>
      <c r="ER85" s="0"/>
      <c r="ES85" s="0"/>
      <c r="ET85" s="0"/>
      <c r="EU85" s="0"/>
      <c r="EV85" s="0"/>
      <c r="EW85" s="0"/>
      <c r="EX85" s="0"/>
      <c r="EY85" s="0"/>
      <c r="EZ85" s="0"/>
      <c r="FA85" s="0"/>
      <c r="FB85" s="0"/>
      <c r="FC85" s="0"/>
      <c r="FD85" s="0"/>
      <c r="FE85" s="0"/>
      <c r="FF85" s="0"/>
      <c r="FG85" s="0"/>
      <c r="FH85" s="0"/>
      <c r="FI85" s="0"/>
      <c r="FJ85" s="0"/>
      <c r="FK85" s="0"/>
      <c r="FL85" s="0"/>
      <c r="FM85" s="0"/>
      <c r="FN85" s="0"/>
      <c r="FO85" s="0"/>
      <c r="FP85" s="0"/>
      <c r="FQ85" s="0"/>
      <c r="FR85" s="0"/>
      <c r="FS85" s="0"/>
      <c r="FT85" s="0"/>
      <c r="FU85" s="0"/>
      <c r="FV85" s="0"/>
      <c r="FW85" s="0"/>
      <c r="FX85" s="0"/>
      <c r="FY85" s="0"/>
      <c r="FZ85" s="0"/>
      <c r="GA85" s="0"/>
      <c r="GB85" s="0"/>
      <c r="GC85" s="0"/>
      <c r="GD85" s="0"/>
      <c r="GE85" s="0"/>
      <c r="GF85" s="0"/>
      <c r="GG85" s="0"/>
      <c r="GH85" s="0"/>
      <c r="GI85" s="0"/>
      <c r="GJ85" s="0"/>
      <c r="GK85" s="0"/>
      <c r="GL85" s="0"/>
      <c r="GM85" s="0"/>
      <c r="GN85" s="0"/>
      <c r="GO85" s="0"/>
      <c r="GP85" s="0"/>
      <c r="GQ85" s="0"/>
      <c r="GR85" s="0"/>
      <c r="GS85" s="0"/>
      <c r="GT85" s="0"/>
      <c r="GU85" s="0"/>
      <c r="GV85" s="0"/>
      <c r="GW85" s="0"/>
      <c r="GX85" s="0"/>
      <c r="GY85" s="0"/>
      <c r="GZ85" s="0"/>
      <c r="HA85" s="0"/>
      <c r="HB85" s="0"/>
      <c r="HC85" s="0"/>
      <c r="HD85" s="0"/>
      <c r="HE85" s="0"/>
      <c r="HF85" s="0"/>
      <c r="HG85" s="0"/>
      <c r="HH85" s="0"/>
      <c r="HI85" s="0"/>
      <c r="HJ85" s="0"/>
      <c r="HK85" s="0"/>
      <c r="HL85" s="0"/>
      <c r="HM85" s="0"/>
      <c r="HN85" s="0"/>
      <c r="HO85" s="0"/>
      <c r="HP85" s="0"/>
      <c r="HQ85" s="0"/>
      <c r="HR85" s="0"/>
      <c r="HS85" s="0"/>
      <c r="HT85" s="0"/>
      <c r="HU85" s="0"/>
      <c r="HV85" s="0"/>
      <c r="HW85" s="0"/>
      <c r="HX85" s="0"/>
      <c r="HY85" s="0"/>
      <c r="HZ85" s="0"/>
      <c r="IA85" s="0"/>
      <c r="IB85" s="0"/>
      <c r="IC85" s="0"/>
      <c r="ID85" s="0"/>
      <c r="IE85" s="0"/>
      <c r="IF85" s="0"/>
      <c r="IG85" s="0"/>
      <c r="IH85" s="0"/>
      <c r="II85" s="0"/>
      <c r="IJ85" s="0"/>
      <c r="IK85" s="0"/>
      <c r="IL85" s="0"/>
      <c r="IM85" s="0"/>
      <c r="IN85" s="0"/>
      <c r="IO85" s="0"/>
      <c r="IP85" s="0"/>
      <c r="IQ85" s="0"/>
      <c r="IR85" s="0"/>
      <c r="IS85" s="0"/>
      <c r="IT85" s="0"/>
      <c r="IU85" s="0"/>
      <c r="IV85" s="0"/>
      <c r="IW85" s="0"/>
      <c r="IX85" s="0"/>
      <c r="IY85" s="0"/>
      <c r="IZ85" s="0"/>
      <c r="JA85" s="0"/>
      <c r="JB85" s="0"/>
      <c r="JC85" s="0"/>
      <c r="JD85" s="0"/>
      <c r="JE85" s="0"/>
      <c r="JF85" s="0"/>
      <c r="JG85" s="0"/>
      <c r="JH85" s="0"/>
      <c r="JI85" s="0"/>
      <c r="JJ85" s="0"/>
      <c r="JK85" s="0"/>
      <c r="JL85" s="0"/>
      <c r="JM85" s="0"/>
      <c r="JN85" s="0"/>
      <c r="JO85" s="0"/>
      <c r="JP85" s="0"/>
      <c r="JQ85" s="0"/>
      <c r="JR85" s="0"/>
      <c r="JS85" s="0"/>
      <c r="JT85" s="0"/>
      <c r="JU85" s="0"/>
      <c r="JV85" s="0"/>
      <c r="JW85" s="0"/>
      <c r="JX85" s="0"/>
      <c r="JY85" s="0"/>
      <c r="JZ85" s="0"/>
      <c r="KA85" s="0"/>
      <c r="KB85" s="0"/>
      <c r="KC85" s="0"/>
      <c r="KD85" s="0"/>
      <c r="KE85" s="0"/>
      <c r="KF85" s="0"/>
      <c r="KG85" s="0"/>
      <c r="KH85" s="0"/>
      <c r="KI85" s="0"/>
      <c r="KJ85" s="0"/>
      <c r="KK85" s="0"/>
      <c r="KL85" s="0"/>
      <c r="KM85" s="0"/>
      <c r="KN85" s="0"/>
      <c r="KO85" s="0"/>
      <c r="KP85" s="0"/>
      <c r="KQ85" s="0"/>
      <c r="KR85" s="0"/>
      <c r="KS85" s="0"/>
      <c r="KT85" s="0"/>
      <c r="KU85" s="0"/>
      <c r="KV85" s="0"/>
      <c r="KW85" s="0"/>
      <c r="KX85" s="0"/>
      <c r="KY85" s="0"/>
      <c r="KZ85" s="0"/>
      <c r="LA85" s="0"/>
      <c r="LB85" s="0"/>
      <c r="LC85" s="0"/>
      <c r="LD85" s="0"/>
      <c r="LE85" s="0"/>
      <c r="LF85" s="0"/>
      <c r="LG85" s="0"/>
      <c r="LH85" s="0"/>
      <c r="LI85" s="0"/>
      <c r="LJ85" s="0"/>
      <c r="LK85" s="0"/>
      <c r="LL85" s="0"/>
      <c r="LM85" s="0"/>
      <c r="LN85" s="0"/>
      <c r="LO85" s="0"/>
      <c r="LP85" s="0"/>
      <c r="LQ85" s="0"/>
      <c r="LR85" s="0"/>
      <c r="LS85" s="0"/>
      <c r="LT85" s="0"/>
      <c r="LU85" s="0"/>
      <c r="LV85" s="0"/>
      <c r="LW85" s="0"/>
      <c r="LX85" s="0"/>
      <c r="LY85" s="0"/>
      <c r="LZ85" s="0"/>
      <c r="MA85" s="0"/>
      <c r="MB85" s="0"/>
      <c r="MC85" s="0"/>
      <c r="MD85" s="0"/>
      <c r="ME85" s="0"/>
      <c r="MF85" s="0"/>
      <c r="MG85" s="0"/>
      <c r="MH85" s="0"/>
      <c r="MI85" s="0"/>
      <c r="MJ85" s="0"/>
      <c r="MK85" s="0"/>
      <c r="ML85" s="0"/>
      <c r="MM85" s="0"/>
      <c r="MN85" s="0"/>
      <c r="MO85" s="0"/>
      <c r="MP85" s="0"/>
      <c r="MQ85" s="0"/>
      <c r="MR85" s="0"/>
      <c r="MS85" s="0"/>
      <c r="MT85" s="0"/>
      <c r="MU85" s="0"/>
      <c r="MV85" s="0"/>
      <c r="MW85" s="0"/>
      <c r="MX85" s="0"/>
      <c r="MY85" s="0"/>
      <c r="MZ85" s="0"/>
      <c r="NA85" s="0"/>
      <c r="NB85" s="0"/>
      <c r="NC85" s="0"/>
      <c r="ND85" s="0"/>
      <c r="NE85" s="0"/>
      <c r="NF85" s="0"/>
      <c r="NG85" s="0"/>
      <c r="NH85" s="0"/>
      <c r="NI85" s="0"/>
      <c r="NJ85" s="0"/>
      <c r="NK85" s="0"/>
      <c r="NL85" s="0"/>
      <c r="NM85" s="0"/>
      <c r="NN85" s="0"/>
      <c r="NO85" s="0"/>
      <c r="NP85" s="0"/>
      <c r="NQ85" s="0"/>
      <c r="NR85" s="0"/>
      <c r="NS85" s="0"/>
      <c r="NT85" s="0"/>
      <c r="NU85" s="0"/>
      <c r="NV85" s="0"/>
      <c r="NW85" s="0"/>
      <c r="NX85" s="0"/>
      <c r="NY85" s="0"/>
      <c r="NZ85" s="0"/>
      <c r="OA85" s="0"/>
      <c r="OB85" s="0"/>
      <c r="OC85" s="0"/>
      <c r="OD85" s="0"/>
      <c r="OE85" s="0"/>
      <c r="OF85" s="0"/>
      <c r="OG85" s="0"/>
      <c r="OH85" s="0"/>
      <c r="OI85" s="0"/>
      <c r="OJ85" s="0"/>
      <c r="OK85" s="0"/>
      <c r="OL85" s="0"/>
      <c r="OM85" s="0"/>
      <c r="ON85" s="0"/>
      <c r="OO85" s="0"/>
      <c r="OP85" s="0"/>
      <c r="OQ85" s="0"/>
      <c r="OR85" s="0"/>
      <c r="OS85" s="0"/>
      <c r="OT85" s="0"/>
      <c r="OU85" s="0"/>
      <c r="OV85" s="0"/>
      <c r="OW85" s="0"/>
      <c r="OX85" s="0"/>
      <c r="OY85" s="0"/>
      <c r="OZ85" s="0"/>
      <c r="PA85" s="0"/>
      <c r="PB85" s="0"/>
      <c r="PC85" s="0"/>
      <c r="PD85" s="0"/>
      <c r="PE85" s="0"/>
      <c r="PF85" s="0"/>
      <c r="PG85" s="0"/>
      <c r="PH85" s="0"/>
      <c r="PI85" s="0"/>
      <c r="PJ85" s="0"/>
      <c r="PK85" s="0"/>
      <c r="PL85" s="0"/>
      <c r="PM85" s="0"/>
      <c r="PN85" s="0"/>
      <c r="PO85" s="0"/>
      <c r="PP85" s="0"/>
      <c r="PQ85" s="0"/>
      <c r="PR85" s="0"/>
      <c r="PS85" s="0"/>
      <c r="PT85" s="0"/>
      <c r="PU85" s="0"/>
      <c r="PV85" s="0"/>
      <c r="PW85" s="0"/>
      <c r="PX85" s="0"/>
      <c r="PY85" s="0"/>
      <c r="PZ85" s="0"/>
      <c r="QA85" s="0"/>
      <c r="QB85" s="0"/>
      <c r="QC85" s="0"/>
      <c r="QD85" s="0"/>
      <c r="QE85" s="0"/>
      <c r="QF85" s="0"/>
      <c r="QG85" s="0"/>
      <c r="QH85" s="0"/>
      <c r="QI85" s="0"/>
      <c r="QJ85" s="0"/>
      <c r="QK85" s="0"/>
      <c r="QL85" s="0"/>
      <c r="QM85" s="0"/>
      <c r="QN85" s="0"/>
      <c r="QO85" s="0"/>
      <c r="QP85" s="0"/>
      <c r="QQ85" s="0"/>
      <c r="QR85" s="0"/>
      <c r="QS85" s="0"/>
      <c r="QT85" s="0"/>
      <c r="QU85" s="0"/>
      <c r="QV85" s="0"/>
      <c r="QW85" s="0"/>
      <c r="QX85" s="0"/>
      <c r="QY85" s="0"/>
      <c r="QZ85" s="0"/>
      <c r="RA85" s="0"/>
      <c r="RB85" s="0"/>
      <c r="RC85" s="0"/>
      <c r="RD85" s="0"/>
      <c r="RE85" s="0"/>
      <c r="RF85" s="0"/>
      <c r="RG85" s="0"/>
      <c r="RH85" s="0"/>
      <c r="RI85" s="0"/>
      <c r="RJ85" s="0"/>
      <c r="RK85" s="0"/>
      <c r="RL85" s="0"/>
      <c r="RM85" s="0"/>
      <c r="RN85" s="0"/>
      <c r="RO85" s="0"/>
      <c r="RP85" s="0"/>
      <c r="RQ85" s="0"/>
      <c r="RR85" s="0"/>
      <c r="RS85" s="0"/>
      <c r="RT85" s="0"/>
      <c r="RU85" s="0"/>
      <c r="RV85" s="0"/>
      <c r="RW85" s="0"/>
      <c r="RX85" s="0"/>
      <c r="RY85" s="0"/>
      <c r="RZ85" s="0"/>
      <c r="SA85" s="0"/>
      <c r="SB85" s="0"/>
      <c r="SC85" s="0"/>
      <c r="SD85" s="0"/>
      <c r="SE85" s="0"/>
      <c r="SF85" s="0"/>
      <c r="SG85" s="0"/>
      <c r="SH85" s="0"/>
      <c r="SI85" s="0"/>
      <c r="SJ85" s="0"/>
      <c r="SK85" s="0"/>
      <c r="SL85" s="0"/>
      <c r="SM85" s="0"/>
      <c r="SN85" s="0"/>
      <c r="SO85" s="0"/>
      <c r="SP85" s="0"/>
      <c r="SQ85" s="0"/>
      <c r="SR85" s="0"/>
      <c r="SS85" s="0"/>
      <c r="ST85" s="0"/>
      <c r="SU85" s="0"/>
      <c r="SV85" s="0"/>
      <c r="SW85" s="0"/>
      <c r="SX85" s="0"/>
      <c r="SY85" s="0"/>
      <c r="SZ85" s="0"/>
      <c r="TA85" s="0"/>
      <c r="TB85" s="0"/>
      <c r="TC85" s="0"/>
      <c r="TD85" s="0"/>
      <c r="TE85" s="0"/>
      <c r="TF85" s="0"/>
      <c r="TG85" s="0"/>
      <c r="TH85" s="0"/>
      <c r="TI85" s="0"/>
      <c r="TJ85" s="0"/>
      <c r="TK85" s="0"/>
      <c r="TL85" s="0"/>
      <c r="TM85" s="0"/>
      <c r="TN85" s="0"/>
      <c r="TO85" s="0"/>
      <c r="TP85" s="0"/>
      <c r="TQ85" s="0"/>
      <c r="TR85" s="0"/>
      <c r="TS85" s="0"/>
      <c r="TT85" s="0"/>
      <c r="TU85" s="0"/>
      <c r="TV85" s="0"/>
      <c r="TW85" s="0"/>
      <c r="TX85" s="0"/>
      <c r="TY85" s="0"/>
      <c r="TZ85" s="0"/>
      <c r="UA85" s="0"/>
      <c r="UB85" s="0"/>
      <c r="UC85" s="0"/>
      <c r="UD85" s="0"/>
      <c r="UE85" s="0"/>
      <c r="UF85" s="0"/>
      <c r="UG85" s="0"/>
      <c r="UH85" s="0"/>
      <c r="UI85" s="0"/>
      <c r="UJ85" s="0"/>
      <c r="UK85" s="0"/>
      <c r="UL85" s="0"/>
      <c r="UM85" s="0"/>
      <c r="UN85" s="0"/>
      <c r="UO85" s="0"/>
      <c r="UP85" s="0"/>
      <c r="UQ85" s="0"/>
      <c r="UR85" s="0"/>
      <c r="US85" s="0"/>
      <c r="UT85" s="0"/>
      <c r="UU85" s="0"/>
      <c r="UV85" s="0"/>
      <c r="UW85" s="0"/>
      <c r="UX85" s="0"/>
      <c r="UY85" s="0"/>
      <c r="UZ85" s="0"/>
      <c r="VA85" s="0"/>
      <c r="VB85" s="0"/>
      <c r="VC85" s="0"/>
      <c r="VD85" s="0"/>
      <c r="VE85" s="0"/>
      <c r="VF85" s="0"/>
      <c r="VG85" s="0"/>
      <c r="VH85" s="0"/>
      <c r="VI85" s="0"/>
      <c r="VJ85" s="0"/>
      <c r="VK85" s="0"/>
      <c r="VL85" s="0"/>
      <c r="VM85" s="0"/>
      <c r="VN85" s="0"/>
      <c r="VO85" s="0"/>
      <c r="VP85" s="0"/>
      <c r="VQ85" s="0"/>
      <c r="VR85" s="0"/>
      <c r="VS85" s="0"/>
      <c r="VT85" s="0"/>
      <c r="VU85" s="0"/>
      <c r="VV85" s="0"/>
      <c r="VW85" s="0"/>
      <c r="VX85" s="0"/>
      <c r="VY85" s="0"/>
      <c r="VZ85" s="0"/>
      <c r="WA85" s="0"/>
      <c r="WB85" s="0"/>
      <c r="WC85" s="0"/>
      <c r="WD85" s="0"/>
      <c r="WE85" s="0"/>
      <c r="WF85" s="0"/>
      <c r="WG85" s="0"/>
      <c r="WH85" s="0"/>
      <c r="WI85" s="0"/>
      <c r="WJ85" s="0"/>
      <c r="WK85" s="0"/>
      <c r="WL85" s="0"/>
      <c r="WM85" s="0"/>
      <c r="WN85" s="0"/>
      <c r="WO85" s="0"/>
      <c r="WP85" s="0"/>
      <c r="WQ85" s="0"/>
      <c r="WR85" s="0"/>
      <c r="WS85" s="0"/>
      <c r="WT85" s="0"/>
      <c r="WU85" s="0"/>
      <c r="WV85" s="0"/>
      <c r="WW85" s="0"/>
      <c r="WX85" s="0"/>
      <c r="WY85" s="0"/>
      <c r="WZ85" s="0"/>
      <c r="XA85" s="0"/>
      <c r="XB85" s="0"/>
      <c r="XC85" s="0"/>
      <c r="XD85" s="0"/>
      <c r="XE85" s="0"/>
      <c r="XF85" s="0"/>
      <c r="XG85" s="0"/>
      <c r="XH85" s="0"/>
      <c r="XI85" s="0"/>
      <c r="XJ85" s="0"/>
      <c r="XK85" s="0"/>
      <c r="XL85" s="0"/>
      <c r="XM85" s="0"/>
      <c r="XN85" s="0"/>
      <c r="XO85" s="0"/>
      <c r="XP85" s="0"/>
      <c r="XQ85" s="0"/>
      <c r="XR85" s="0"/>
      <c r="XS85" s="0"/>
      <c r="XT85" s="0"/>
      <c r="XU85" s="0"/>
      <c r="XV85" s="0"/>
      <c r="XW85" s="0"/>
      <c r="XX85" s="0"/>
      <c r="XY85" s="0"/>
      <c r="XZ85" s="0"/>
      <c r="YA85" s="0"/>
      <c r="YB85" s="0"/>
      <c r="YC85" s="0"/>
      <c r="YD85" s="0"/>
      <c r="YE85" s="0"/>
      <c r="YF85" s="0"/>
      <c r="YG85" s="0"/>
      <c r="YH85" s="0"/>
      <c r="YI85" s="0"/>
      <c r="YJ85" s="0"/>
      <c r="YK85" s="0"/>
      <c r="YL85" s="0"/>
      <c r="YM85" s="0"/>
      <c r="YN85" s="0"/>
      <c r="YO85" s="0"/>
      <c r="YP85" s="0"/>
      <c r="YQ85" s="0"/>
      <c r="YR85" s="0"/>
      <c r="YS85" s="0"/>
      <c r="YT85" s="0"/>
      <c r="YU85" s="0"/>
      <c r="YV85" s="0"/>
      <c r="YW85" s="0"/>
      <c r="YX85" s="0"/>
      <c r="YY85" s="0"/>
      <c r="YZ85" s="0"/>
      <c r="ZA85" s="0"/>
      <c r="ZB85" s="0"/>
      <c r="ZC85" s="0"/>
      <c r="ZD85" s="0"/>
      <c r="ZE85" s="0"/>
      <c r="ZF85" s="0"/>
      <c r="ZG85" s="0"/>
      <c r="ZH85" s="0"/>
      <c r="ZI85" s="0"/>
      <c r="ZJ85" s="0"/>
      <c r="ZK85" s="0"/>
      <c r="ZL85" s="0"/>
      <c r="ZM85" s="0"/>
      <c r="ZN85" s="0"/>
      <c r="ZO85" s="0"/>
      <c r="ZP85" s="0"/>
      <c r="ZQ85" s="0"/>
      <c r="ZR85" s="0"/>
      <c r="ZS85" s="0"/>
      <c r="ZT85" s="0"/>
      <c r="ZU85" s="0"/>
      <c r="ZV85" s="0"/>
      <c r="ZW85" s="0"/>
      <c r="ZX85" s="0"/>
      <c r="ZY85" s="0"/>
      <c r="ZZ85" s="0"/>
      <c r="AAA85" s="0"/>
      <c r="AAB85" s="0"/>
      <c r="AAC85" s="0"/>
      <c r="AAD85" s="0"/>
      <c r="AAE85" s="0"/>
      <c r="AAF85" s="0"/>
      <c r="AAG85" s="0"/>
      <c r="AAH85" s="0"/>
      <c r="AAI85" s="0"/>
      <c r="AAJ85" s="0"/>
      <c r="AAK85" s="0"/>
      <c r="AAL85" s="0"/>
      <c r="AAM85" s="0"/>
      <c r="AAN85" s="0"/>
      <c r="AAO85" s="0"/>
      <c r="AAP85" s="0"/>
      <c r="AAQ85" s="0"/>
      <c r="AAR85" s="0"/>
      <c r="AAS85" s="0"/>
      <c r="AAT85" s="0"/>
      <c r="AAU85" s="0"/>
      <c r="AAV85" s="0"/>
      <c r="AAW85" s="0"/>
      <c r="AAX85" s="0"/>
      <c r="AAY85" s="0"/>
      <c r="AAZ85" s="0"/>
      <c r="ABA85" s="0"/>
      <c r="ABB85" s="0"/>
      <c r="ABC85" s="0"/>
      <c r="ABD85" s="0"/>
      <c r="ABE85" s="0"/>
      <c r="ABF85" s="0"/>
      <c r="ABG85" s="0"/>
      <c r="ABH85" s="0"/>
      <c r="ABI85" s="0"/>
      <c r="ABJ85" s="0"/>
      <c r="ABK85" s="0"/>
      <c r="ABL85" s="0"/>
      <c r="ABM85" s="0"/>
      <c r="ABN85" s="0"/>
      <c r="ABO85" s="0"/>
      <c r="ABP85" s="0"/>
      <c r="ABQ85" s="0"/>
      <c r="ABR85" s="0"/>
      <c r="ABS85" s="0"/>
      <c r="ABT85" s="0"/>
      <c r="ABU85" s="0"/>
      <c r="ABV85" s="0"/>
      <c r="ABW85" s="0"/>
      <c r="ABX85" s="0"/>
      <c r="ABY85" s="0"/>
      <c r="ABZ85" s="0"/>
      <c r="ACA85" s="0"/>
      <c r="ACB85" s="0"/>
      <c r="ACC85" s="0"/>
      <c r="ACD85" s="0"/>
      <c r="ACE85" s="0"/>
      <c r="ACF85" s="0"/>
      <c r="ACG85" s="0"/>
      <c r="ACH85" s="0"/>
      <c r="ACI85" s="0"/>
      <c r="ACJ85" s="0"/>
      <c r="ACK85" s="0"/>
      <c r="ACL85" s="0"/>
      <c r="ACM85" s="0"/>
      <c r="ACN85" s="0"/>
      <c r="ACO85" s="0"/>
      <c r="ACP85" s="0"/>
      <c r="ACQ85" s="0"/>
      <c r="ACR85" s="0"/>
      <c r="ACS85" s="0"/>
      <c r="ACT85" s="0"/>
      <c r="ACU85" s="0"/>
      <c r="ACV85" s="0"/>
      <c r="ACW85" s="0"/>
      <c r="ACX85" s="0"/>
      <c r="ACY85" s="0"/>
      <c r="ACZ85" s="0"/>
      <c r="ADA85" s="0"/>
      <c r="ADB85" s="0"/>
      <c r="ADC85" s="0"/>
      <c r="ADD85" s="0"/>
      <c r="ADE85" s="0"/>
      <c r="ADF85" s="0"/>
      <c r="ADG85" s="0"/>
      <c r="ADH85" s="0"/>
      <c r="ADI85" s="0"/>
      <c r="ADJ85" s="0"/>
      <c r="ADK85" s="0"/>
      <c r="ADL85" s="0"/>
      <c r="ADM85" s="0"/>
      <c r="ADN85" s="0"/>
      <c r="ADO85" s="0"/>
      <c r="ADP85" s="0"/>
      <c r="ADQ85" s="0"/>
      <c r="ADR85" s="0"/>
      <c r="ADS85" s="0"/>
      <c r="ADT85" s="0"/>
      <c r="ADU85" s="0"/>
      <c r="ADV85" s="0"/>
      <c r="ADW85" s="0"/>
      <c r="ADX85" s="0"/>
      <c r="ADY85" s="0"/>
      <c r="ADZ85" s="0"/>
      <c r="AEA85" s="0"/>
      <c r="AEB85" s="0"/>
      <c r="AEC85" s="0"/>
      <c r="AED85" s="0"/>
      <c r="AEE85" s="0"/>
      <c r="AEF85" s="0"/>
      <c r="AEG85" s="0"/>
      <c r="AEH85" s="0"/>
      <c r="AEI85" s="0"/>
      <c r="AEJ85" s="0"/>
      <c r="AEK85" s="0"/>
      <c r="AEL85" s="0"/>
      <c r="AEM85" s="0"/>
      <c r="AEN85" s="0"/>
      <c r="AEO85" s="0"/>
      <c r="AEP85" s="0"/>
      <c r="AEQ85" s="0"/>
      <c r="AER85" s="0"/>
      <c r="AES85" s="0"/>
      <c r="AET85" s="0"/>
      <c r="AEU85" s="0"/>
      <c r="AEV85" s="0"/>
      <c r="AEW85" s="0"/>
      <c r="AEX85" s="0"/>
      <c r="AEY85" s="0"/>
      <c r="AEZ85" s="0"/>
      <c r="AFA85" s="0"/>
      <c r="AFB85" s="0"/>
      <c r="AFC85" s="0"/>
      <c r="AFD85" s="0"/>
      <c r="AFE85" s="0"/>
      <c r="AFF85" s="0"/>
      <c r="AFG85" s="0"/>
      <c r="AFH85" s="0"/>
      <c r="AFI85" s="0"/>
      <c r="AFJ85" s="0"/>
      <c r="AFK85" s="0"/>
      <c r="AFL85" s="0"/>
      <c r="AFM85" s="0"/>
      <c r="AFN85" s="0"/>
      <c r="AFO85" s="0"/>
      <c r="AFP85" s="0"/>
      <c r="AFQ85" s="0"/>
      <c r="AFR85" s="0"/>
      <c r="AFS85" s="0"/>
      <c r="AFT85" s="0"/>
      <c r="AFU85" s="0"/>
      <c r="AFV85" s="0"/>
      <c r="AFW85" s="0"/>
      <c r="AFX85" s="0"/>
      <c r="AFY85" s="0"/>
      <c r="AFZ85" s="0"/>
      <c r="AGA85" s="0"/>
      <c r="AGB85" s="0"/>
      <c r="AGC85" s="0"/>
      <c r="AGD85" s="0"/>
      <c r="AGE85" s="0"/>
      <c r="AGF85" s="0"/>
      <c r="AGG85" s="0"/>
      <c r="AGH85" s="0"/>
      <c r="AGI85" s="0"/>
      <c r="AGJ85" s="0"/>
      <c r="AGK85" s="0"/>
      <c r="AGL85" s="0"/>
      <c r="AGM85" s="0"/>
      <c r="AGN85" s="0"/>
      <c r="AGO85" s="0"/>
      <c r="AGP85" s="0"/>
      <c r="AGQ85" s="0"/>
      <c r="AGR85" s="0"/>
      <c r="AGS85" s="0"/>
      <c r="AGT85" s="0"/>
      <c r="AGU85" s="0"/>
      <c r="AGV85" s="0"/>
      <c r="AGW85" s="0"/>
      <c r="AGX85" s="0"/>
      <c r="AGY85" s="0"/>
      <c r="AGZ85" s="0"/>
      <c r="AHA85" s="0"/>
      <c r="AHB85" s="0"/>
      <c r="AHC85" s="0"/>
      <c r="AHD85" s="0"/>
      <c r="AHE85" s="0"/>
      <c r="AHF85" s="0"/>
      <c r="AHG85" s="0"/>
      <c r="AHH85" s="0"/>
      <c r="AHI85" s="0"/>
      <c r="AHJ85" s="0"/>
      <c r="AHK85" s="0"/>
      <c r="AHL85" s="0"/>
      <c r="AHM85" s="0"/>
      <c r="AHN85" s="0"/>
      <c r="AHO85" s="0"/>
      <c r="AHP85" s="0"/>
      <c r="AHQ85" s="0"/>
      <c r="AHR85" s="0"/>
      <c r="AHS85" s="0"/>
      <c r="AHT85" s="0"/>
      <c r="AHU85" s="0"/>
      <c r="AHV85" s="0"/>
      <c r="AHW85" s="0"/>
      <c r="AHX85" s="0"/>
      <c r="AHY85" s="0"/>
      <c r="AHZ85" s="0"/>
      <c r="AIA85" s="0"/>
      <c r="AIB85" s="0"/>
      <c r="AIC85" s="0"/>
      <c r="AID85" s="0"/>
      <c r="AIE85" s="0"/>
      <c r="AIF85" s="0"/>
      <c r="AIG85" s="0"/>
      <c r="AIH85" s="0"/>
      <c r="AII85" s="0"/>
      <c r="AIJ85" s="0"/>
      <c r="AIK85" s="0"/>
      <c r="AIL85" s="0"/>
      <c r="AIM85" s="0"/>
      <c r="AIN85" s="0"/>
      <c r="AIO85" s="0"/>
      <c r="AIP85" s="0"/>
      <c r="AIQ85" s="0"/>
      <c r="AIR85" s="0"/>
      <c r="AIS85" s="0"/>
      <c r="AIT85" s="0"/>
      <c r="AIU85" s="0"/>
      <c r="AIV85" s="0"/>
      <c r="AIW85" s="0"/>
      <c r="AIX85" s="0"/>
      <c r="AIY85" s="0"/>
      <c r="AIZ85" s="0"/>
      <c r="AJA85" s="0"/>
      <c r="AJB85" s="0"/>
      <c r="AJC85" s="0"/>
      <c r="AJD85" s="0"/>
      <c r="AJE85" s="0"/>
      <c r="AJF85" s="0"/>
      <c r="AJG85" s="0"/>
      <c r="AJH85" s="0"/>
      <c r="AJI85" s="0"/>
      <c r="AJJ85" s="0"/>
      <c r="AJK85" s="0"/>
      <c r="AJL85" s="0"/>
      <c r="AJM85" s="0"/>
      <c r="AJN85" s="0"/>
      <c r="AJO85" s="0"/>
      <c r="AJP85" s="0"/>
      <c r="AJQ85" s="0"/>
      <c r="AJR85" s="0"/>
      <c r="AJS85" s="0"/>
      <c r="AJT85" s="0"/>
      <c r="AJU85" s="0"/>
      <c r="AJV85" s="0"/>
      <c r="AJW85" s="0"/>
      <c r="AJX85" s="0"/>
      <c r="AJY85" s="0"/>
      <c r="AJZ85" s="0"/>
      <c r="AKA85" s="0"/>
      <c r="AKB85" s="0"/>
      <c r="AKC85" s="0"/>
      <c r="AKD85" s="0"/>
      <c r="AKE85" s="0"/>
      <c r="AKF85" s="0"/>
      <c r="AKG85" s="0"/>
      <c r="AKH85" s="0"/>
      <c r="AKI85" s="0"/>
      <c r="AKJ85" s="0"/>
      <c r="AKK85" s="0"/>
      <c r="AKL85" s="0"/>
      <c r="AKM85" s="0"/>
      <c r="AKN85" s="0"/>
      <c r="AKO85" s="0"/>
      <c r="AKP85" s="0"/>
      <c r="AKQ85" s="0"/>
      <c r="AKR85" s="0"/>
      <c r="AKS85" s="0"/>
      <c r="AKT85" s="0"/>
      <c r="AKU85" s="0"/>
      <c r="AKV85" s="0"/>
      <c r="AKW85" s="0"/>
      <c r="AKX85" s="0"/>
      <c r="AKY85" s="0"/>
      <c r="AKZ85" s="0"/>
      <c r="ALA85" s="0"/>
      <c r="ALB85" s="0"/>
      <c r="ALC85" s="0"/>
      <c r="ALD85" s="0"/>
      <c r="ALE85" s="0"/>
      <c r="ALF85" s="0"/>
      <c r="ALG85" s="0"/>
      <c r="ALH85" s="0"/>
      <c r="ALI85" s="0"/>
      <c r="ALJ85" s="0"/>
      <c r="ALK85" s="0"/>
      <c r="ALL85" s="0"/>
      <c r="ALM85" s="0"/>
      <c r="ALN85" s="0"/>
      <c r="ALO85" s="0"/>
      <c r="ALP85" s="0"/>
      <c r="ALQ85" s="0"/>
      <c r="ALR85" s="0"/>
      <c r="ALS85" s="0"/>
      <c r="ALT85" s="0"/>
      <c r="ALU85" s="0"/>
      <c r="ALV85" s="0"/>
      <c r="ALW85" s="0"/>
      <c r="ALX85" s="0"/>
      <c r="ALY85" s="0"/>
      <c r="ALZ85" s="0"/>
      <c r="AMA85" s="0"/>
      <c r="AMB85" s="0"/>
      <c r="AMC85" s="0"/>
      <c r="AMD85" s="0"/>
      <c r="AME85" s="0"/>
      <c r="AMF85" s="0"/>
      <c r="AMG85" s="0"/>
      <c r="AMH85" s="0"/>
      <c r="AMI85" s="0"/>
      <c r="AMJ85" s="0"/>
      <c r="AMK85" s="0"/>
      <c r="AML85" s="0"/>
      <c r="AMM85" s="0"/>
      <c r="AMN85" s="0"/>
      <c r="AMO85" s="0"/>
      <c r="AMP85" s="0"/>
      <c r="AMQ85" s="0"/>
      <c r="AMR85" s="0"/>
      <c r="AMS85" s="0"/>
      <c r="AMT85" s="0"/>
      <c r="AMU85" s="0"/>
      <c r="AMV85" s="0"/>
      <c r="AMW85" s="0"/>
      <c r="AMX85" s="0"/>
      <c r="AMY85" s="0"/>
      <c r="AMZ85" s="0"/>
      <c r="ANA85" s="0"/>
      <c r="ANB85" s="0"/>
      <c r="ANC85" s="0"/>
      <c r="AND85" s="0"/>
      <c r="ANE85" s="0"/>
      <c r="ANF85" s="0"/>
      <c r="ANG85" s="0"/>
      <c r="ANH85" s="0"/>
      <c r="ANI85" s="0"/>
      <c r="ANJ85" s="0"/>
      <c r="ANK85" s="0"/>
      <c r="ANL85" s="0"/>
      <c r="ANM85" s="0"/>
      <c r="ANN85" s="0"/>
      <c r="ANO85" s="0"/>
      <c r="ANP85" s="0"/>
      <c r="ANQ85" s="0"/>
      <c r="ANR85" s="0"/>
      <c r="ANS85" s="0"/>
      <c r="ANT85" s="0"/>
      <c r="ANU85" s="0"/>
      <c r="ANV85" s="0"/>
      <c r="ANW85" s="0"/>
      <c r="ANX85" s="0"/>
      <c r="ANY85" s="0"/>
      <c r="ANZ85" s="0"/>
      <c r="AOA85" s="0"/>
      <c r="AOB85" s="0"/>
      <c r="AOC85" s="0"/>
      <c r="AOD85" s="0"/>
      <c r="AOE85" s="0"/>
      <c r="AOF85" s="0"/>
      <c r="AOG85" s="0"/>
      <c r="AOH85" s="0"/>
      <c r="AOI85" s="0"/>
      <c r="AOJ85" s="0"/>
      <c r="AOK85" s="0"/>
      <c r="AOL85" s="0"/>
      <c r="AOM85" s="0"/>
      <c r="AON85" s="0"/>
      <c r="AOO85" s="0"/>
      <c r="AOP85" s="0"/>
      <c r="AOQ85" s="0"/>
      <c r="AOR85" s="0"/>
      <c r="AOS85" s="0"/>
      <c r="AOT85" s="0"/>
      <c r="AOU85" s="0"/>
      <c r="AOV85" s="0"/>
      <c r="AOW85" s="0"/>
      <c r="AOX85" s="0"/>
      <c r="AOY85" s="0"/>
      <c r="AOZ85" s="0"/>
      <c r="APA85" s="0"/>
      <c r="APB85" s="0"/>
      <c r="APC85" s="0"/>
      <c r="APD85" s="0"/>
      <c r="APE85" s="0"/>
      <c r="APF85" s="0"/>
      <c r="APG85" s="0"/>
      <c r="APH85" s="0"/>
      <c r="API85" s="0"/>
      <c r="APJ85" s="0"/>
      <c r="APK85" s="0"/>
      <c r="APL85" s="0"/>
      <c r="APM85" s="0"/>
      <c r="APN85" s="0"/>
      <c r="APO85" s="0"/>
      <c r="APP85" s="0"/>
      <c r="APQ85" s="0"/>
      <c r="APR85" s="0"/>
      <c r="APS85" s="0"/>
      <c r="APT85" s="0"/>
      <c r="APU85" s="0"/>
      <c r="APV85" s="0"/>
      <c r="APW85" s="0"/>
      <c r="APX85" s="0"/>
      <c r="APY85" s="0"/>
      <c r="APZ85" s="0"/>
      <c r="AQA85" s="0"/>
      <c r="AQB85" s="0"/>
      <c r="AQC85" s="0"/>
      <c r="AQD85" s="0"/>
      <c r="AQE85" s="0"/>
      <c r="AQF85" s="0"/>
      <c r="AQG85" s="0"/>
      <c r="AQH85" s="0"/>
      <c r="AQI85" s="0"/>
      <c r="AQJ85" s="0"/>
      <c r="AQK85" s="0"/>
      <c r="AQL85" s="0"/>
      <c r="AQM85" s="0"/>
      <c r="AQN85" s="0"/>
      <c r="AQO85" s="0"/>
      <c r="AQP85" s="0"/>
      <c r="AQQ85" s="0"/>
      <c r="AQR85" s="0"/>
      <c r="AQS85" s="0"/>
      <c r="AQT85" s="0"/>
      <c r="AQU85" s="0"/>
      <c r="AQV85" s="0"/>
      <c r="AQW85" s="0"/>
      <c r="AQX85" s="0"/>
      <c r="AQY85" s="0"/>
      <c r="AQZ85" s="0"/>
      <c r="ARA85" s="0"/>
      <c r="ARB85" s="0"/>
      <c r="ARC85" s="0"/>
      <c r="ARD85" s="0"/>
      <c r="ARE85" s="0"/>
      <c r="ARF85" s="0"/>
      <c r="ARG85" s="0"/>
      <c r="ARH85" s="0"/>
      <c r="ARI85" s="0"/>
      <c r="ARJ85" s="0"/>
      <c r="ARK85" s="0"/>
      <c r="ARL85" s="0"/>
      <c r="ARM85" s="0"/>
      <c r="ARN85" s="0"/>
      <c r="ARO85" s="0"/>
      <c r="ARP85" s="0"/>
      <c r="ARQ85" s="0"/>
      <c r="ARR85" s="0"/>
      <c r="ARS85" s="0"/>
      <c r="ART85" s="0"/>
      <c r="ARU85" s="0"/>
      <c r="ARV85" s="0"/>
      <c r="ARW85" s="0"/>
      <c r="ARX85" s="0"/>
      <c r="ARY85" s="0"/>
      <c r="ARZ85" s="0"/>
      <c r="ASA85" s="0"/>
      <c r="ASB85" s="0"/>
      <c r="ASC85" s="0"/>
      <c r="ASD85" s="0"/>
      <c r="ASE85" s="0"/>
      <c r="ASF85" s="0"/>
      <c r="ASG85" s="0"/>
      <c r="ASH85" s="0"/>
      <c r="ASI85" s="0"/>
      <c r="ASJ85" s="0"/>
      <c r="ASK85" s="0"/>
      <c r="ASL85" s="0"/>
      <c r="ASM85" s="0"/>
      <c r="ASN85" s="0"/>
      <c r="ASO85" s="0"/>
      <c r="ASP85" s="0"/>
      <c r="ASQ85" s="0"/>
      <c r="ASR85" s="0"/>
      <c r="ASS85" s="0"/>
      <c r="AST85" s="0"/>
      <c r="ASU85" s="0"/>
      <c r="ASV85" s="0"/>
      <c r="ASW85" s="0"/>
      <c r="ASX85" s="0"/>
      <c r="ASY85" s="0"/>
      <c r="ASZ85" s="0"/>
      <c r="ATA85" s="0"/>
      <c r="ATB85" s="0"/>
      <c r="ATC85" s="0"/>
      <c r="ATD85" s="0"/>
      <c r="ATE85" s="0"/>
      <c r="ATF85" s="0"/>
      <c r="ATG85" s="0"/>
      <c r="ATH85" s="0"/>
      <c r="ATI85" s="0"/>
      <c r="ATJ85" s="0"/>
      <c r="ATK85" s="0"/>
      <c r="ATL85" s="0"/>
      <c r="ATM85" s="0"/>
      <c r="ATN85" s="0"/>
      <c r="ATO85" s="0"/>
      <c r="ATP85" s="0"/>
      <c r="ATQ85" s="0"/>
      <c r="ATR85" s="0"/>
      <c r="ATS85" s="0"/>
      <c r="ATT85" s="0"/>
      <c r="ATU85" s="0"/>
      <c r="ATV85" s="0"/>
      <c r="ATW85" s="0"/>
      <c r="ATX85" s="0"/>
      <c r="ATY85" s="0"/>
      <c r="ATZ85" s="0"/>
      <c r="AUA85" s="0"/>
      <c r="AUB85" s="0"/>
      <c r="AUC85" s="0"/>
      <c r="AUD85" s="0"/>
      <c r="AUE85" s="0"/>
      <c r="AUF85" s="0"/>
      <c r="AUG85" s="0"/>
      <c r="AUH85" s="0"/>
      <c r="AUI85" s="0"/>
      <c r="AUJ85" s="0"/>
      <c r="AUK85" s="0"/>
      <c r="AUL85" s="0"/>
      <c r="AUM85" s="0"/>
      <c r="AUN85" s="0"/>
      <c r="AUO85" s="0"/>
      <c r="AUP85" s="0"/>
      <c r="AUQ85" s="0"/>
      <c r="AUR85" s="0"/>
      <c r="AUS85" s="0"/>
      <c r="AUT85" s="0"/>
      <c r="AUU85" s="0"/>
      <c r="AUV85" s="0"/>
      <c r="AUW85" s="0"/>
      <c r="AUX85" s="0"/>
      <c r="AUY85" s="0"/>
      <c r="AUZ85" s="0"/>
      <c r="AVA85" s="0"/>
      <c r="AVB85" s="0"/>
      <c r="AVC85" s="0"/>
      <c r="AVD85" s="0"/>
      <c r="AVE85" s="0"/>
      <c r="AVF85" s="0"/>
      <c r="AVG85" s="0"/>
      <c r="AVH85" s="0"/>
      <c r="AVI85" s="0"/>
      <c r="AVJ85" s="0"/>
      <c r="AVK85" s="0"/>
      <c r="AVL85" s="0"/>
      <c r="AVM85" s="0"/>
      <c r="AVN85" s="0"/>
      <c r="AVO85" s="0"/>
      <c r="AVP85" s="0"/>
      <c r="AVQ85" s="0"/>
      <c r="AVR85" s="0"/>
      <c r="AVS85" s="0"/>
      <c r="AVT85" s="0"/>
      <c r="AVU85" s="0"/>
      <c r="AVV85" s="0"/>
      <c r="AVW85" s="0"/>
      <c r="AVX85" s="0"/>
      <c r="AVY85" s="0"/>
      <c r="AVZ85" s="0"/>
      <c r="AWA85" s="0"/>
      <c r="AWB85" s="0"/>
      <c r="AWC85" s="0"/>
      <c r="AWD85" s="0"/>
      <c r="AWE85" s="0"/>
      <c r="AWF85" s="0"/>
      <c r="AWG85" s="0"/>
      <c r="AWH85" s="0"/>
      <c r="AWI85" s="0"/>
      <c r="AWJ85" s="0"/>
      <c r="AWK85" s="0"/>
      <c r="AWL85" s="0"/>
      <c r="AWM85" s="0"/>
      <c r="AWN85" s="0"/>
      <c r="AWO85" s="0"/>
      <c r="AWP85" s="0"/>
      <c r="AWQ85" s="0"/>
      <c r="AWR85" s="0"/>
      <c r="AWS85" s="0"/>
      <c r="AWT85" s="0"/>
      <c r="AWU85" s="0"/>
      <c r="AWV85" s="0"/>
      <c r="AWW85" s="0"/>
      <c r="AWX85" s="0"/>
      <c r="AWY85" s="0"/>
      <c r="AWZ85" s="0"/>
      <c r="AXA85" s="0"/>
      <c r="AXB85" s="0"/>
      <c r="AXC85" s="0"/>
      <c r="AXD85" s="0"/>
      <c r="AXE85" s="0"/>
      <c r="AXF85" s="0"/>
      <c r="AXG85" s="0"/>
      <c r="AXH85" s="0"/>
      <c r="AXI85" s="0"/>
      <c r="AXJ85" s="0"/>
      <c r="AXK85" s="0"/>
      <c r="AXL85" s="0"/>
      <c r="AXM85" s="0"/>
      <c r="AXN85" s="0"/>
      <c r="AXO85" s="0"/>
      <c r="AXP85" s="0"/>
      <c r="AXQ85" s="0"/>
      <c r="AXR85" s="0"/>
      <c r="AXS85" s="0"/>
      <c r="AXT85" s="0"/>
      <c r="AXU85" s="0"/>
      <c r="AXV85" s="0"/>
      <c r="AXW85" s="0"/>
      <c r="AXX85" s="0"/>
      <c r="AXY85" s="0"/>
      <c r="AXZ85" s="0"/>
      <c r="AYA85" s="0"/>
      <c r="AYB85" s="0"/>
      <c r="AYC85" s="0"/>
      <c r="AYD85" s="0"/>
      <c r="AYE85" s="0"/>
      <c r="AYF85" s="0"/>
      <c r="AYG85" s="0"/>
      <c r="AYH85" s="0"/>
      <c r="AYI85" s="0"/>
      <c r="AYJ85" s="0"/>
      <c r="AYK85" s="0"/>
      <c r="AYL85" s="0"/>
      <c r="AYM85" s="0"/>
      <c r="AYN85" s="0"/>
      <c r="AYO85" s="0"/>
      <c r="AYP85" s="0"/>
      <c r="AYQ85" s="0"/>
      <c r="AYR85" s="0"/>
      <c r="AYS85" s="0"/>
      <c r="AYT85" s="0"/>
      <c r="AYU85" s="0"/>
      <c r="AYV85" s="0"/>
      <c r="AYW85" s="0"/>
      <c r="AYX85" s="0"/>
      <c r="AYY85" s="0"/>
      <c r="AYZ85" s="0"/>
      <c r="AZA85" s="0"/>
      <c r="AZB85" s="0"/>
      <c r="AZC85" s="0"/>
      <c r="AZD85" s="0"/>
      <c r="AZE85" s="0"/>
      <c r="AZF85" s="0"/>
      <c r="AZG85" s="0"/>
      <c r="AZH85" s="0"/>
      <c r="AZI85" s="0"/>
      <c r="AZJ85" s="0"/>
      <c r="AZK85" s="0"/>
      <c r="AZL85" s="0"/>
      <c r="AZM85" s="0"/>
      <c r="AZN85" s="0"/>
      <c r="AZO85" s="0"/>
      <c r="AZP85" s="0"/>
      <c r="AZQ85" s="0"/>
      <c r="AZR85" s="0"/>
      <c r="AZS85" s="0"/>
      <c r="AZT85" s="0"/>
      <c r="AZU85" s="0"/>
      <c r="AZV85" s="0"/>
      <c r="AZW85" s="0"/>
      <c r="AZX85" s="0"/>
      <c r="AZY85" s="0"/>
      <c r="AZZ85" s="0"/>
      <c r="BAA85" s="0"/>
      <c r="BAB85" s="0"/>
      <c r="BAC85" s="0"/>
      <c r="BAD85" s="0"/>
      <c r="BAE85" s="0"/>
      <c r="BAF85" s="0"/>
      <c r="BAG85" s="0"/>
      <c r="BAH85" s="0"/>
      <c r="BAI85" s="0"/>
      <c r="BAJ85" s="0"/>
      <c r="BAK85" s="0"/>
      <c r="BAL85" s="0"/>
      <c r="BAM85" s="0"/>
      <c r="BAN85" s="0"/>
      <c r="BAO85" s="0"/>
      <c r="BAP85" s="0"/>
      <c r="BAQ85" s="0"/>
      <c r="BAR85" s="0"/>
      <c r="BAS85" s="0"/>
      <c r="BAT85" s="0"/>
      <c r="BAU85" s="0"/>
      <c r="BAV85" s="0"/>
      <c r="BAW85" s="0"/>
      <c r="BAX85" s="0"/>
      <c r="BAY85" s="0"/>
      <c r="BAZ85" s="0"/>
      <c r="BBA85" s="0"/>
      <c r="BBB85" s="0"/>
      <c r="BBC85" s="0"/>
      <c r="BBD85" s="0"/>
      <c r="BBE85" s="0"/>
      <c r="BBF85" s="0"/>
      <c r="BBG85" s="0"/>
      <c r="BBH85" s="0"/>
      <c r="BBI85" s="0"/>
      <c r="BBJ85" s="0"/>
      <c r="BBK85" s="0"/>
      <c r="BBL85" s="0"/>
      <c r="BBM85" s="0"/>
      <c r="BBN85" s="0"/>
      <c r="BBO85" s="0"/>
      <c r="BBP85" s="0"/>
      <c r="BBQ85" s="0"/>
      <c r="BBR85" s="0"/>
      <c r="BBS85" s="0"/>
      <c r="BBT85" s="0"/>
      <c r="BBU85" s="0"/>
      <c r="BBV85" s="0"/>
      <c r="BBW85" s="0"/>
      <c r="BBX85" s="0"/>
      <c r="BBY85" s="0"/>
      <c r="BBZ85" s="0"/>
      <c r="BCA85" s="0"/>
      <c r="BCB85" s="0"/>
      <c r="BCC85" s="0"/>
      <c r="BCD85" s="0"/>
      <c r="BCE85" s="0"/>
      <c r="BCF85" s="0"/>
      <c r="BCG85" s="0"/>
      <c r="BCH85" s="0"/>
      <c r="BCI85" s="0"/>
      <c r="BCJ85" s="0"/>
      <c r="BCK85" s="0"/>
      <c r="BCL85" s="0"/>
      <c r="BCM85" s="0"/>
      <c r="BCN85" s="0"/>
      <c r="BCO85" s="0"/>
      <c r="BCP85" s="0"/>
      <c r="BCQ85" s="0"/>
      <c r="BCR85" s="0"/>
      <c r="BCS85" s="0"/>
      <c r="BCT85" s="0"/>
      <c r="BCU85" s="0"/>
      <c r="BCV85" s="0"/>
      <c r="BCW85" s="0"/>
      <c r="BCX85" s="0"/>
      <c r="BCY85" s="0"/>
      <c r="BCZ85" s="0"/>
      <c r="BDA85" s="0"/>
      <c r="BDB85" s="0"/>
      <c r="BDC85" s="0"/>
      <c r="BDD85" s="0"/>
      <c r="BDE85" s="0"/>
      <c r="BDF85" s="0"/>
      <c r="BDG85" s="0"/>
      <c r="BDH85" s="0"/>
      <c r="BDI85" s="0"/>
      <c r="BDJ85" s="0"/>
      <c r="BDK85" s="0"/>
      <c r="BDL85" s="0"/>
      <c r="BDM85" s="0"/>
      <c r="BDN85" s="0"/>
      <c r="BDO85" s="0"/>
      <c r="BDP85" s="0"/>
      <c r="BDQ85" s="0"/>
      <c r="BDR85" s="0"/>
      <c r="BDS85" s="0"/>
      <c r="BDT85" s="0"/>
      <c r="BDU85" s="0"/>
      <c r="BDV85" s="0"/>
      <c r="BDW85" s="0"/>
      <c r="BDX85" s="0"/>
      <c r="BDY85" s="0"/>
      <c r="BDZ85" s="0"/>
      <c r="BEA85" s="0"/>
      <c r="BEB85" s="0"/>
      <c r="BEC85" s="0"/>
      <c r="BED85" s="0"/>
      <c r="BEE85" s="0"/>
      <c r="BEF85" s="0"/>
      <c r="BEG85" s="0"/>
      <c r="BEH85" s="0"/>
      <c r="BEI85" s="0"/>
      <c r="BEJ85" s="0"/>
      <c r="BEK85" s="0"/>
      <c r="BEL85" s="0"/>
      <c r="BEM85" s="0"/>
      <c r="BEN85" s="0"/>
      <c r="BEO85" s="0"/>
      <c r="BEP85" s="0"/>
      <c r="BEQ85" s="0"/>
      <c r="BER85" s="0"/>
      <c r="BES85" s="0"/>
      <c r="BET85" s="0"/>
      <c r="BEU85" s="0"/>
      <c r="BEV85" s="0"/>
      <c r="BEW85" s="0"/>
      <c r="BEX85" s="0"/>
      <c r="BEY85" s="0"/>
      <c r="BEZ85" s="0"/>
      <c r="BFA85" s="0"/>
      <c r="BFB85" s="0"/>
      <c r="BFC85" s="0"/>
      <c r="BFD85" s="0"/>
      <c r="BFE85" s="0"/>
      <c r="BFF85" s="0"/>
      <c r="BFG85" s="0"/>
      <c r="BFH85" s="0"/>
      <c r="BFI85" s="0"/>
      <c r="BFJ85" s="0"/>
      <c r="BFK85" s="0"/>
      <c r="BFL85" s="0"/>
      <c r="BFM85" s="0"/>
      <c r="BFN85" s="0"/>
      <c r="BFO85" s="0"/>
      <c r="BFP85" s="0"/>
      <c r="BFQ85" s="0"/>
      <c r="BFR85" s="0"/>
      <c r="BFS85" s="0"/>
      <c r="BFT85" s="0"/>
      <c r="BFU85" s="0"/>
      <c r="BFV85" s="0"/>
      <c r="BFW85" s="0"/>
      <c r="BFX85" s="0"/>
      <c r="BFY85" s="0"/>
      <c r="BFZ85" s="0"/>
      <c r="BGA85" s="0"/>
      <c r="BGB85" s="0"/>
      <c r="BGC85" s="0"/>
      <c r="BGD85" s="0"/>
      <c r="BGE85" s="0"/>
      <c r="BGF85" s="0"/>
      <c r="BGG85" s="0"/>
      <c r="BGH85" s="0"/>
      <c r="BGI85" s="0"/>
      <c r="BGJ85" s="0"/>
      <c r="BGK85" s="0"/>
      <c r="BGL85" s="0"/>
      <c r="BGM85" s="0"/>
      <c r="BGN85" s="0"/>
      <c r="BGO85" s="0"/>
      <c r="BGP85" s="0"/>
      <c r="BGQ85" s="0"/>
      <c r="BGR85" s="0"/>
      <c r="BGS85" s="0"/>
      <c r="BGT85" s="0"/>
      <c r="BGU85" s="0"/>
      <c r="BGV85" s="0"/>
      <c r="BGW85" s="0"/>
      <c r="BGX85" s="0"/>
      <c r="BGY85" s="0"/>
      <c r="BGZ85" s="0"/>
      <c r="BHA85" s="0"/>
      <c r="BHB85" s="0"/>
      <c r="BHC85" s="0"/>
      <c r="BHD85" s="0"/>
      <c r="BHE85" s="0"/>
      <c r="BHF85" s="0"/>
      <c r="BHG85" s="0"/>
      <c r="BHH85" s="0"/>
      <c r="BHI85" s="0"/>
      <c r="BHJ85" s="0"/>
      <c r="BHK85" s="0"/>
      <c r="BHL85" s="0"/>
      <c r="BHM85" s="0"/>
      <c r="BHN85" s="0"/>
      <c r="BHO85" s="0"/>
      <c r="BHP85" s="0"/>
      <c r="BHQ85" s="0"/>
      <c r="BHR85" s="0"/>
      <c r="BHS85" s="0"/>
      <c r="BHT85" s="0"/>
      <c r="BHU85" s="0"/>
      <c r="BHV85" s="0"/>
      <c r="BHW85" s="0"/>
      <c r="BHX85" s="0"/>
      <c r="BHY85" s="0"/>
      <c r="BHZ85" s="0"/>
      <c r="BIA85" s="0"/>
      <c r="BIB85" s="0"/>
      <c r="BIC85" s="0"/>
      <c r="BID85" s="0"/>
      <c r="BIE85" s="0"/>
      <c r="BIF85" s="0"/>
      <c r="BIG85" s="0"/>
      <c r="BIH85" s="0"/>
      <c r="BII85" s="0"/>
      <c r="BIJ85" s="0"/>
      <c r="BIK85" s="0"/>
      <c r="BIL85" s="0"/>
      <c r="BIM85" s="0"/>
      <c r="BIN85" s="0"/>
      <c r="BIO85" s="0"/>
      <c r="BIP85" s="0"/>
      <c r="BIQ85" s="0"/>
      <c r="BIR85" s="0"/>
      <c r="BIS85" s="0"/>
      <c r="BIT85" s="0"/>
      <c r="BIU85" s="0"/>
      <c r="BIV85" s="0"/>
      <c r="BIW85" s="0"/>
      <c r="BIX85" s="0"/>
      <c r="BIY85" s="0"/>
      <c r="BIZ85" s="0"/>
      <c r="BJA85" s="0"/>
      <c r="BJB85" s="0"/>
      <c r="BJC85" s="0"/>
      <c r="BJD85" s="0"/>
      <c r="BJE85" s="0"/>
      <c r="BJF85" s="0"/>
      <c r="BJG85" s="0"/>
      <c r="BJH85" s="0"/>
      <c r="BJI85" s="0"/>
      <c r="BJJ85" s="0"/>
      <c r="BJK85" s="0"/>
      <c r="BJL85" s="0"/>
      <c r="BJM85" s="0"/>
      <c r="BJN85" s="0"/>
      <c r="BJO85" s="0"/>
      <c r="BJP85" s="0"/>
      <c r="BJQ85" s="0"/>
      <c r="BJR85" s="0"/>
      <c r="BJS85" s="0"/>
      <c r="BJT85" s="0"/>
      <c r="BJU85" s="0"/>
      <c r="BJV85" s="0"/>
      <c r="BJW85" s="0"/>
      <c r="BJX85" s="0"/>
      <c r="BJY85" s="0"/>
      <c r="BJZ85" s="0"/>
      <c r="BKA85" s="0"/>
      <c r="BKB85" s="0"/>
      <c r="BKC85" s="0"/>
      <c r="BKD85" s="0"/>
      <c r="BKE85" s="0"/>
      <c r="BKF85" s="0"/>
      <c r="BKG85" s="0"/>
      <c r="BKH85" s="0"/>
      <c r="BKI85" s="0"/>
      <c r="BKJ85" s="0"/>
      <c r="BKK85" s="0"/>
      <c r="BKL85" s="0"/>
      <c r="BKM85" s="0"/>
      <c r="BKN85" s="0"/>
      <c r="BKO85" s="0"/>
      <c r="BKP85" s="0"/>
      <c r="BKQ85" s="0"/>
      <c r="BKR85" s="0"/>
      <c r="BKS85" s="0"/>
      <c r="BKT85" s="0"/>
      <c r="BKU85" s="0"/>
      <c r="BKV85" s="0"/>
      <c r="BKW85" s="0"/>
      <c r="BKX85" s="0"/>
      <c r="BKY85" s="0"/>
      <c r="BKZ85" s="0"/>
      <c r="BLA85" s="0"/>
      <c r="BLB85" s="0"/>
      <c r="BLC85" s="0"/>
      <c r="BLD85" s="0"/>
      <c r="BLE85" s="0"/>
      <c r="BLF85" s="0"/>
      <c r="BLG85" s="0"/>
      <c r="BLH85" s="0"/>
      <c r="BLI85" s="0"/>
      <c r="BLJ85" s="0"/>
      <c r="BLK85" s="0"/>
      <c r="BLL85" s="0"/>
      <c r="BLM85" s="0"/>
      <c r="BLN85" s="0"/>
      <c r="BLO85" s="0"/>
      <c r="BLP85" s="0"/>
      <c r="BLQ85" s="0"/>
      <c r="BLR85" s="0"/>
      <c r="BLS85" s="0"/>
      <c r="BLT85" s="0"/>
      <c r="BLU85" s="0"/>
      <c r="BLV85" s="0"/>
      <c r="BLW85" s="0"/>
      <c r="BLX85" s="0"/>
      <c r="BLY85" s="0"/>
      <c r="BLZ85" s="0"/>
      <c r="BMA85" s="0"/>
      <c r="BMB85" s="0"/>
      <c r="BMC85" s="0"/>
      <c r="BMD85" s="0"/>
      <c r="BME85" s="0"/>
      <c r="BMF85" s="0"/>
      <c r="BMG85" s="0"/>
      <c r="BMH85" s="0"/>
      <c r="BMI85" s="0"/>
      <c r="BMJ85" s="0"/>
      <c r="BMK85" s="0"/>
      <c r="BML85" s="0"/>
      <c r="BMM85" s="0"/>
      <c r="BMN85" s="0"/>
      <c r="BMO85" s="0"/>
      <c r="BMP85" s="0"/>
      <c r="BMQ85" s="0"/>
      <c r="BMR85" s="0"/>
      <c r="BMS85" s="0"/>
      <c r="BMT85" s="0"/>
      <c r="BMU85" s="0"/>
      <c r="BMV85" s="0"/>
      <c r="BMW85" s="0"/>
      <c r="BMX85" s="0"/>
      <c r="BMY85" s="0"/>
      <c r="BMZ85" s="0"/>
      <c r="BNA85" s="0"/>
      <c r="BNB85" s="0"/>
      <c r="BNC85" s="0"/>
      <c r="BND85" s="0"/>
      <c r="BNE85" s="0"/>
      <c r="BNF85" s="0"/>
      <c r="BNG85" s="0"/>
      <c r="BNH85" s="0"/>
      <c r="BNI85" s="0"/>
      <c r="BNJ85" s="0"/>
      <c r="BNK85" s="0"/>
      <c r="BNL85" s="0"/>
      <c r="BNM85" s="0"/>
      <c r="BNN85" s="0"/>
      <c r="BNO85" s="0"/>
      <c r="BNP85" s="0"/>
      <c r="BNQ85" s="0"/>
      <c r="BNR85" s="0"/>
      <c r="BNS85" s="0"/>
      <c r="BNT85" s="0"/>
      <c r="BNU85" s="0"/>
      <c r="BNV85" s="0"/>
      <c r="BNW85" s="0"/>
      <c r="BNX85" s="0"/>
      <c r="BNY85" s="0"/>
      <c r="BNZ85" s="0"/>
      <c r="BOA85" s="0"/>
      <c r="BOB85" s="0"/>
      <c r="BOC85" s="0"/>
      <c r="BOD85" s="0"/>
      <c r="BOE85" s="0"/>
      <c r="BOF85" s="0"/>
      <c r="BOG85" s="0"/>
      <c r="BOH85" s="0"/>
      <c r="BOI85" s="0"/>
      <c r="BOJ85" s="0"/>
      <c r="BOK85" s="0"/>
      <c r="BOL85" s="0"/>
      <c r="BOM85" s="0"/>
      <c r="BON85" s="0"/>
      <c r="BOO85" s="0"/>
      <c r="BOP85" s="0"/>
      <c r="BOQ85" s="0"/>
      <c r="BOR85" s="0"/>
      <c r="BOS85" s="0"/>
      <c r="BOT85" s="0"/>
      <c r="BOU85" s="0"/>
      <c r="BOV85" s="0"/>
      <c r="BOW85" s="0"/>
      <c r="BOX85" s="0"/>
      <c r="BOY85" s="0"/>
      <c r="BOZ85" s="0"/>
      <c r="BPA85" s="0"/>
      <c r="BPB85" s="0"/>
      <c r="BPC85" s="0"/>
      <c r="BPD85" s="0"/>
      <c r="BPE85" s="0"/>
      <c r="BPF85" s="0"/>
      <c r="BPG85" s="0"/>
      <c r="BPH85" s="0"/>
      <c r="BPI85" s="0"/>
      <c r="BPJ85" s="0"/>
      <c r="BPK85" s="0"/>
      <c r="BPL85" s="0"/>
      <c r="BPM85" s="0"/>
      <c r="BPN85" s="0"/>
      <c r="BPO85" s="0"/>
      <c r="BPP85" s="0"/>
      <c r="BPQ85" s="0"/>
      <c r="BPR85" s="0"/>
      <c r="BPS85" s="0"/>
      <c r="BPT85" s="0"/>
      <c r="BPU85" s="0"/>
      <c r="BPV85" s="0"/>
      <c r="BPW85" s="0"/>
      <c r="BPX85" s="0"/>
      <c r="BPY85" s="0"/>
      <c r="BPZ85" s="0"/>
      <c r="BQA85" s="0"/>
      <c r="BQB85" s="0"/>
      <c r="BQC85" s="0"/>
      <c r="BQD85" s="0"/>
      <c r="BQE85" s="0"/>
      <c r="BQF85" s="0"/>
      <c r="BQG85" s="0"/>
      <c r="BQH85" s="0"/>
      <c r="BQI85" s="0"/>
      <c r="BQJ85" s="0"/>
      <c r="BQK85" s="0"/>
      <c r="BQL85" s="0"/>
      <c r="BQM85" s="0"/>
      <c r="BQN85" s="0"/>
      <c r="BQO85" s="0"/>
      <c r="BQP85" s="0"/>
      <c r="BQQ85" s="0"/>
      <c r="BQR85" s="0"/>
      <c r="BQS85" s="0"/>
      <c r="BQT85" s="0"/>
      <c r="BQU85" s="0"/>
      <c r="BQV85" s="0"/>
      <c r="BQW85" s="0"/>
      <c r="BQX85" s="0"/>
      <c r="BQY85" s="0"/>
      <c r="BQZ85" s="0"/>
      <c r="BRA85" s="0"/>
      <c r="BRB85" s="0"/>
      <c r="BRC85" s="0"/>
      <c r="BRD85" s="0"/>
      <c r="BRE85" s="0"/>
      <c r="BRF85" s="0"/>
      <c r="BRG85" s="0"/>
      <c r="BRH85" s="0"/>
      <c r="BRI85" s="0"/>
      <c r="BRJ85" s="0"/>
      <c r="BRK85" s="0"/>
      <c r="BRL85" s="0"/>
      <c r="BRM85" s="0"/>
      <c r="BRN85" s="0"/>
      <c r="BRO85" s="0"/>
      <c r="BRP85" s="0"/>
      <c r="BRQ85" s="0"/>
      <c r="BRR85" s="0"/>
      <c r="BRS85" s="0"/>
      <c r="BRT85" s="0"/>
      <c r="BRU85" s="0"/>
      <c r="BRV85" s="0"/>
      <c r="BRW85" s="0"/>
      <c r="BRX85" s="0"/>
      <c r="BRY85" s="0"/>
      <c r="BRZ85" s="0"/>
      <c r="BSA85" s="0"/>
      <c r="BSB85" s="0"/>
      <c r="BSC85" s="0"/>
      <c r="BSD85" s="0"/>
      <c r="BSE85" s="0"/>
      <c r="BSF85" s="0"/>
      <c r="BSG85" s="0"/>
      <c r="BSH85" s="0"/>
      <c r="BSI85" s="0"/>
      <c r="BSJ85" s="0"/>
      <c r="BSK85" s="0"/>
      <c r="BSL85" s="0"/>
      <c r="BSM85" s="0"/>
      <c r="BSN85" s="0"/>
      <c r="BSO85" s="0"/>
      <c r="BSP85" s="0"/>
      <c r="BSQ85" s="0"/>
      <c r="BSR85" s="0"/>
      <c r="BSS85" s="0"/>
      <c r="BST85" s="0"/>
      <c r="BSU85" s="0"/>
      <c r="BSV85" s="0"/>
      <c r="BSW85" s="0"/>
      <c r="BSX85" s="0"/>
      <c r="BSY85" s="0"/>
      <c r="BSZ85" s="0"/>
      <c r="BTA85" s="0"/>
      <c r="BTB85" s="0"/>
      <c r="BTC85" s="0"/>
      <c r="BTD85" s="0"/>
      <c r="BTE85" s="0"/>
      <c r="BTF85" s="0"/>
      <c r="BTG85" s="0"/>
      <c r="BTH85" s="0"/>
      <c r="BTI85" s="0"/>
      <c r="BTJ85" s="0"/>
      <c r="BTK85" s="0"/>
      <c r="BTL85" s="0"/>
      <c r="BTM85" s="0"/>
      <c r="BTN85" s="0"/>
      <c r="BTO85" s="0"/>
      <c r="BTP85" s="0"/>
      <c r="BTQ85" s="0"/>
      <c r="BTR85" s="0"/>
      <c r="BTS85" s="0"/>
      <c r="BTT85" s="0"/>
      <c r="BTU85" s="0"/>
      <c r="BTV85" s="0"/>
      <c r="BTW85" s="0"/>
      <c r="BTX85" s="0"/>
      <c r="BTY85" s="0"/>
      <c r="BTZ85" s="0"/>
      <c r="BUA85" s="0"/>
      <c r="BUB85" s="0"/>
      <c r="BUC85" s="0"/>
      <c r="BUD85" s="0"/>
      <c r="BUE85" s="0"/>
      <c r="BUF85" s="0"/>
      <c r="BUG85" s="0"/>
      <c r="BUH85" s="0"/>
      <c r="BUI85" s="0"/>
      <c r="BUJ85" s="0"/>
      <c r="BUK85" s="0"/>
      <c r="BUL85" s="0"/>
      <c r="BUM85" s="0"/>
      <c r="BUN85" s="0"/>
      <c r="BUO85" s="0"/>
      <c r="BUP85" s="0"/>
      <c r="BUQ85" s="0"/>
      <c r="BUR85" s="0"/>
      <c r="BUS85" s="0"/>
      <c r="BUT85" s="0"/>
      <c r="BUU85" s="0"/>
      <c r="BUV85" s="0"/>
      <c r="BUW85" s="0"/>
      <c r="BUX85" s="0"/>
      <c r="BUY85" s="0"/>
      <c r="BUZ85" s="0"/>
      <c r="BVA85" s="0"/>
      <c r="BVB85" s="0"/>
      <c r="BVC85" s="0"/>
      <c r="BVD85" s="0"/>
      <c r="BVE85" s="0"/>
      <c r="BVF85" s="0"/>
      <c r="BVG85" s="0"/>
      <c r="BVH85" s="0"/>
      <c r="BVI85" s="0"/>
      <c r="BVJ85" s="0"/>
      <c r="BVK85" s="0"/>
      <c r="BVL85" s="0"/>
      <c r="BVM85" s="0"/>
      <c r="BVN85" s="0"/>
      <c r="BVO85" s="0"/>
      <c r="BVP85" s="0"/>
      <c r="BVQ85" s="0"/>
      <c r="BVR85" s="0"/>
      <c r="BVS85" s="0"/>
      <c r="BVT85" s="0"/>
      <c r="BVU85" s="0"/>
      <c r="BVV85" s="0"/>
      <c r="BVW85" s="0"/>
      <c r="BVX85" s="0"/>
      <c r="BVY85" s="0"/>
      <c r="BVZ85" s="0"/>
      <c r="BWA85" s="0"/>
      <c r="BWB85" s="0"/>
      <c r="BWC85" s="0"/>
      <c r="BWD85" s="0"/>
      <c r="BWE85" s="0"/>
      <c r="BWF85" s="0"/>
      <c r="BWG85" s="0"/>
      <c r="BWH85" s="0"/>
      <c r="BWI85" s="0"/>
      <c r="BWJ85" s="0"/>
      <c r="BWK85" s="0"/>
      <c r="BWL85" s="0"/>
      <c r="BWM85" s="0"/>
      <c r="BWN85" s="0"/>
      <c r="BWO85" s="0"/>
      <c r="BWP85" s="0"/>
      <c r="BWQ85" s="0"/>
      <c r="BWR85" s="0"/>
      <c r="BWS85" s="0"/>
      <c r="BWT85" s="0"/>
      <c r="BWU85" s="0"/>
      <c r="BWV85" s="0"/>
      <c r="BWW85" s="0"/>
      <c r="BWX85" s="0"/>
      <c r="BWY85" s="0"/>
      <c r="BWZ85" s="0"/>
      <c r="BXA85" s="0"/>
      <c r="BXB85" s="0"/>
      <c r="BXC85" s="0"/>
      <c r="BXD85" s="0"/>
      <c r="BXE85" s="0"/>
      <c r="BXF85" s="0"/>
      <c r="BXG85" s="0"/>
      <c r="BXH85" s="0"/>
      <c r="BXI85" s="0"/>
      <c r="BXJ85" s="0"/>
      <c r="BXK85" s="0"/>
      <c r="BXL85" s="0"/>
      <c r="BXM85" s="0"/>
      <c r="BXN85" s="0"/>
      <c r="BXO85" s="0"/>
      <c r="BXP85" s="0"/>
      <c r="BXQ85" s="0"/>
      <c r="BXR85" s="0"/>
      <c r="BXS85" s="0"/>
      <c r="BXT85" s="0"/>
      <c r="BXU85" s="0"/>
      <c r="BXV85" s="0"/>
      <c r="BXW85" s="0"/>
      <c r="BXX85" s="0"/>
      <c r="BXY85" s="0"/>
      <c r="BXZ85" s="0"/>
      <c r="BYA85" s="0"/>
      <c r="BYB85" s="0"/>
      <c r="BYC85" s="0"/>
      <c r="BYD85" s="0"/>
      <c r="BYE85" s="0"/>
      <c r="BYF85" s="0"/>
      <c r="BYG85" s="0"/>
      <c r="BYH85" s="0"/>
      <c r="BYI85" s="0"/>
      <c r="BYJ85" s="0"/>
      <c r="BYK85" s="0"/>
      <c r="BYL85" s="0"/>
      <c r="BYM85" s="0"/>
      <c r="BYN85" s="0"/>
      <c r="BYO85" s="0"/>
      <c r="BYP85" s="0"/>
      <c r="BYQ85" s="0"/>
      <c r="BYR85" s="0"/>
      <c r="BYS85" s="0"/>
      <c r="BYT85" s="0"/>
      <c r="BYU85" s="0"/>
      <c r="BYV85" s="0"/>
      <c r="BYW85" s="0"/>
      <c r="BYX85" s="0"/>
      <c r="BYY85" s="0"/>
      <c r="BYZ85" s="0"/>
      <c r="BZA85" s="0"/>
      <c r="BZB85" s="0"/>
      <c r="BZC85" s="0"/>
      <c r="BZD85" s="0"/>
      <c r="BZE85" s="0"/>
      <c r="BZF85" s="0"/>
      <c r="BZG85" s="0"/>
      <c r="BZH85" s="0"/>
      <c r="BZI85" s="0"/>
      <c r="BZJ85" s="0"/>
      <c r="BZK85" s="0"/>
      <c r="BZL85" s="0"/>
      <c r="BZM85" s="0"/>
      <c r="BZN85" s="0"/>
      <c r="BZO85" s="0"/>
      <c r="BZP85" s="0"/>
      <c r="BZQ85" s="0"/>
      <c r="BZR85" s="0"/>
      <c r="BZS85" s="0"/>
      <c r="BZT85" s="0"/>
      <c r="BZU85" s="0"/>
      <c r="BZV85" s="0"/>
      <c r="BZW85" s="0"/>
      <c r="BZX85" s="0"/>
      <c r="BZY85" s="0"/>
      <c r="BZZ85" s="0"/>
      <c r="CAA85" s="0"/>
      <c r="CAB85" s="0"/>
      <c r="CAC85" s="0"/>
      <c r="CAD85" s="0"/>
      <c r="CAE85" s="0"/>
      <c r="CAF85" s="0"/>
      <c r="CAG85" s="0"/>
      <c r="CAH85" s="0"/>
      <c r="CAI85" s="0"/>
      <c r="CAJ85" s="0"/>
      <c r="CAK85" s="0"/>
      <c r="CAL85" s="0"/>
      <c r="CAM85" s="0"/>
      <c r="CAN85" s="0"/>
      <c r="CAO85" s="0"/>
      <c r="CAP85" s="0"/>
      <c r="CAQ85" s="0"/>
      <c r="CAR85" s="0"/>
      <c r="CAS85" s="0"/>
      <c r="CAT85" s="0"/>
      <c r="CAU85" s="0"/>
      <c r="CAV85" s="0"/>
      <c r="CAW85" s="0"/>
      <c r="CAX85" s="0"/>
      <c r="CAY85" s="0"/>
      <c r="CAZ85" s="0"/>
      <c r="CBA85" s="0"/>
      <c r="CBB85" s="0"/>
      <c r="CBC85" s="0"/>
      <c r="CBD85" s="0"/>
      <c r="CBE85" s="0"/>
      <c r="CBF85" s="0"/>
      <c r="CBG85" s="0"/>
      <c r="CBH85" s="0"/>
      <c r="CBI85" s="0"/>
      <c r="CBJ85" s="0"/>
      <c r="CBK85" s="0"/>
      <c r="CBL85" s="0"/>
      <c r="CBM85" s="0"/>
      <c r="CBN85" s="0"/>
      <c r="CBO85" s="0"/>
      <c r="CBP85" s="0"/>
      <c r="CBQ85" s="0"/>
      <c r="CBR85" s="0"/>
      <c r="CBS85" s="0"/>
      <c r="CBT85" s="0"/>
      <c r="CBU85" s="0"/>
      <c r="CBV85" s="0"/>
      <c r="CBW85" s="0"/>
      <c r="CBX85" s="0"/>
      <c r="CBY85" s="0"/>
      <c r="CBZ85" s="0"/>
      <c r="CCA85" s="0"/>
      <c r="CCB85" s="0"/>
      <c r="CCC85" s="0"/>
      <c r="CCD85" s="0"/>
      <c r="CCE85" s="0"/>
      <c r="CCF85" s="0"/>
      <c r="CCG85" s="0"/>
      <c r="CCH85" s="0"/>
      <c r="CCI85" s="0"/>
      <c r="CCJ85" s="0"/>
      <c r="CCK85" s="0"/>
      <c r="CCL85" s="0"/>
      <c r="CCM85" s="0"/>
      <c r="CCN85" s="0"/>
      <c r="CCO85" s="0"/>
      <c r="CCP85" s="0"/>
      <c r="CCQ85" s="0"/>
      <c r="CCR85" s="0"/>
      <c r="CCS85" s="0"/>
      <c r="CCT85" s="0"/>
      <c r="CCU85" s="0"/>
      <c r="CCV85" s="0"/>
      <c r="CCW85" s="0"/>
      <c r="CCX85" s="0"/>
      <c r="CCY85" s="0"/>
      <c r="CCZ85" s="0"/>
      <c r="CDA85" s="0"/>
      <c r="CDB85" s="0"/>
      <c r="CDC85" s="0"/>
      <c r="CDD85" s="0"/>
      <c r="CDE85" s="0"/>
      <c r="CDF85" s="0"/>
      <c r="CDG85" s="0"/>
      <c r="CDH85" s="0"/>
      <c r="CDI85" s="0"/>
      <c r="CDJ85" s="0"/>
      <c r="CDK85" s="0"/>
      <c r="CDL85" s="0"/>
      <c r="CDM85" s="0"/>
      <c r="CDN85" s="0"/>
      <c r="CDO85" s="0"/>
      <c r="CDP85" s="0"/>
      <c r="CDQ85" s="0"/>
      <c r="CDR85" s="0"/>
      <c r="CDS85" s="0"/>
      <c r="CDT85" s="0"/>
      <c r="CDU85" s="0"/>
      <c r="CDV85" s="0"/>
      <c r="CDW85" s="0"/>
      <c r="CDX85" s="0"/>
      <c r="CDY85" s="0"/>
      <c r="CDZ85" s="0"/>
      <c r="CEA85" s="0"/>
      <c r="CEB85" s="0"/>
      <c r="CEC85" s="0"/>
      <c r="CED85" s="0"/>
      <c r="CEE85" s="0"/>
      <c r="CEF85" s="0"/>
      <c r="CEG85" s="0"/>
      <c r="CEH85" s="0"/>
      <c r="CEI85" s="0"/>
      <c r="CEJ85" s="0"/>
      <c r="CEK85" s="0"/>
      <c r="CEL85" s="0"/>
      <c r="CEM85" s="0"/>
      <c r="CEN85" s="0"/>
      <c r="CEO85" s="0"/>
      <c r="CEP85" s="0"/>
      <c r="CEQ85" s="0"/>
      <c r="CER85" s="0"/>
      <c r="CES85" s="0"/>
      <c r="CET85" s="0"/>
      <c r="CEU85" s="0"/>
      <c r="CEV85" s="0"/>
      <c r="CEW85" s="0"/>
      <c r="CEX85" s="0"/>
      <c r="CEY85" s="0"/>
      <c r="CEZ85" s="0"/>
      <c r="CFA85" s="0"/>
      <c r="CFB85" s="0"/>
      <c r="CFC85" s="0"/>
      <c r="CFD85" s="0"/>
      <c r="CFE85" s="0"/>
      <c r="CFF85" s="0"/>
      <c r="CFG85" s="0"/>
      <c r="CFH85" s="0"/>
      <c r="CFI85" s="0"/>
      <c r="CFJ85" s="0"/>
      <c r="CFK85" s="0"/>
      <c r="CFL85" s="0"/>
      <c r="CFM85" s="0"/>
      <c r="CFN85" s="0"/>
      <c r="CFO85" s="0"/>
      <c r="CFP85" s="0"/>
      <c r="CFQ85" s="0"/>
      <c r="CFR85" s="0"/>
      <c r="CFS85" s="0"/>
      <c r="CFT85" s="0"/>
      <c r="CFU85" s="0"/>
      <c r="CFV85" s="0"/>
      <c r="CFW85" s="0"/>
      <c r="CFX85" s="0"/>
      <c r="CFY85" s="0"/>
      <c r="CFZ85" s="0"/>
      <c r="CGA85" s="0"/>
      <c r="CGB85" s="0"/>
      <c r="CGC85" s="0"/>
      <c r="CGD85" s="0"/>
      <c r="CGE85" s="0"/>
      <c r="CGF85" s="0"/>
      <c r="CGG85" s="0"/>
      <c r="CGH85" s="0"/>
      <c r="CGI85" s="0"/>
      <c r="CGJ85" s="0"/>
      <c r="CGK85" s="0"/>
      <c r="CGL85" s="0"/>
      <c r="CGM85" s="0"/>
      <c r="CGN85" s="0"/>
      <c r="CGO85" s="0"/>
      <c r="CGP85" s="0"/>
      <c r="CGQ85" s="0"/>
      <c r="CGR85" s="0"/>
      <c r="CGS85" s="0"/>
      <c r="CGT85" s="0"/>
      <c r="CGU85" s="0"/>
      <c r="CGV85" s="0"/>
      <c r="CGW85" s="0"/>
      <c r="CGX85" s="0"/>
      <c r="CGY85" s="0"/>
      <c r="CGZ85" s="0"/>
      <c r="CHA85" s="0"/>
      <c r="CHB85" s="0"/>
      <c r="CHC85" s="0"/>
      <c r="CHD85" s="0"/>
      <c r="CHE85" s="0"/>
      <c r="CHF85" s="0"/>
      <c r="CHG85" s="0"/>
      <c r="CHH85" s="0"/>
      <c r="CHI85" s="0"/>
      <c r="CHJ85" s="0"/>
      <c r="CHK85" s="0"/>
      <c r="CHL85" s="0"/>
      <c r="CHM85" s="0"/>
      <c r="CHN85" s="0"/>
      <c r="CHO85" s="0"/>
      <c r="CHP85" s="0"/>
      <c r="CHQ85" s="0"/>
      <c r="CHR85" s="0"/>
      <c r="CHS85" s="0"/>
      <c r="CHT85" s="0"/>
      <c r="CHU85" s="0"/>
      <c r="CHV85" s="0"/>
      <c r="CHW85" s="0"/>
      <c r="CHX85" s="0"/>
      <c r="CHY85" s="0"/>
      <c r="CHZ85" s="0"/>
      <c r="CIA85" s="0"/>
      <c r="CIB85" s="0"/>
      <c r="CIC85" s="0"/>
      <c r="CID85" s="0"/>
      <c r="CIE85" s="0"/>
      <c r="CIF85" s="0"/>
      <c r="CIG85" s="0"/>
      <c r="CIH85" s="0"/>
      <c r="CII85" s="0"/>
      <c r="CIJ85" s="0"/>
      <c r="CIK85" s="0"/>
      <c r="CIL85" s="0"/>
      <c r="CIM85" s="0"/>
      <c r="CIN85" s="0"/>
      <c r="CIO85" s="0"/>
      <c r="CIP85" s="0"/>
      <c r="CIQ85" s="0"/>
      <c r="CIR85" s="0"/>
      <c r="CIS85" s="0"/>
      <c r="CIT85" s="0"/>
      <c r="CIU85" s="0"/>
      <c r="CIV85" s="0"/>
      <c r="CIW85" s="0"/>
      <c r="CIX85" s="0"/>
      <c r="CIY85" s="0"/>
      <c r="CIZ85" s="0"/>
      <c r="CJA85" s="0"/>
      <c r="CJB85" s="0"/>
      <c r="CJC85" s="0"/>
      <c r="CJD85" s="0"/>
      <c r="CJE85" s="0"/>
      <c r="CJF85" s="0"/>
      <c r="CJG85" s="0"/>
      <c r="CJH85" s="0"/>
      <c r="CJI85" s="0"/>
      <c r="CJJ85" s="0"/>
      <c r="CJK85" s="0"/>
      <c r="CJL85" s="0"/>
      <c r="CJM85" s="0"/>
      <c r="CJN85" s="0"/>
      <c r="CJO85" s="0"/>
      <c r="CJP85" s="0"/>
      <c r="CJQ85" s="0"/>
      <c r="CJR85" s="0"/>
      <c r="CJS85" s="0"/>
      <c r="CJT85" s="0"/>
      <c r="CJU85" s="0"/>
      <c r="CJV85" s="0"/>
      <c r="CJW85" s="0"/>
      <c r="CJX85" s="0"/>
      <c r="CJY85" s="0"/>
      <c r="CJZ85" s="0"/>
      <c r="CKA85" s="0"/>
      <c r="CKB85" s="0"/>
      <c r="CKC85" s="0"/>
      <c r="CKD85" s="0"/>
      <c r="CKE85" s="0"/>
      <c r="CKF85" s="0"/>
      <c r="CKG85" s="0"/>
      <c r="CKH85" s="0"/>
      <c r="CKI85" s="0"/>
      <c r="CKJ85" s="0"/>
      <c r="CKK85" s="0"/>
      <c r="CKL85" s="0"/>
      <c r="CKM85" s="0"/>
      <c r="CKN85" s="0"/>
      <c r="CKO85" s="0"/>
      <c r="CKP85" s="0"/>
      <c r="CKQ85" s="0"/>
      <c r="CKR85" s="0"/>
      <c r="CKS85" s="0"/>
      <c r="CKT85" s="0"/>
      <c r="CKU85" s="0"/>
      <c r="CKV85" s="0"/>
      <c r="CKW85" s="0"/>
      <c r="CKX85" s="0"/>
      <c r="CKY85" s="0"/>
      <c r="CKZ85" s="0"/>
      <c r="CLA85" s="0"/>
      <c r="CLB85" s="0"/>
      <c r="CLC85" s="0"/>
      <c r="CLD85" s="0"/>
      <c r="CLE85" s="0"/>
      <c r="CLF85" s="0"/>
      <c r="CLG85" s="0"/>
      <c r="CLH85" s="0"/>
      <c r="CLI85" s="0"/>
      <c r="CLJ85" s="0"/>
      <c r="CLK85" s="0"/>
      <c r="CLL85" s="0"/>
      <c r="CLM85" s="0"/>
      <c r="CLN85" s="0"/>
      <c r="CLO85" s="0"/>
      <c r="CLP85" s="0"/>
      <c r="CLQ85" s="0"/>
      <c r="CLR85" s="0"/>
      <c r="CLS85" s="0"/>
      <c r="CLT85" s="0"/>
      <c r="CLU85" s="0"/>
      <c r="CLV85" s="0"/>
      <c r="CLW85" s="0"/>
      <c r="CLX85" s="0"/>
      <c r="CLY85" s="0"/>
      <c r="CLZ85" s="0"/>
      <c r="CMA85" s="0"/>
      <c r="CMB85" s="0"/>
      <c r="CMC85" s="0"/>
      <c r="CMD85" s="0"/>
      <c r="CME85" s="0"/>
      <c r="CMF85" s="0"/>
      <c r="CMG85" s="0"/>
      <c r="CMH85" s="0"/>
      <c r="CMI85" s="0"/>
      <c r="CMJ85" s="0"/>
      <c r="CMK85" s="0"/>
      <c r="CML85" s="0"/>
      <c r="CMM85" s="0"/>
      <c r="CMN85" s="0"/>
      <c r="CMO85" s="0"/>
      <c r="CMP85" s="0"/>
      <c r="CMQ85" s="0"/>
      <c r="CMR85" s="0"/>
      <c r="CMS85" s="0"/>
      <c r="CMT85" s="0"/>
      <c r="CMU85" s="0"/>
      <c r="CMV85" s="0"/>
      <c r="CMW85" s="0"/>
      <c r="CMX85" s="0"/>
      <c r="CMY85" s="0"/>
      <c r="CMZ85" s="0"/>
      <c r="CNA85" s="0"/>
      <c r="CNB85" s="0"/>
      <c r="CNC85" s="0"/>
      <c r="CND85" s="0"/>
      <c r="CNE85" s="0"/>
      <c r="CNF85" s="0"/>
      <c r="CNG85" s="0"/>
      <c r="CNH85" s="0"/>
      <c r="CNI85" s="0"/>
      <c r="CNJ85" s="0"/>
      <c r="CNK85" s="0"/>
      <c r="CNL85" s="0"/>
      <c r="CNM85" s="0"/>
      <c r="CNN85" s="0"/>
      <c r="CNO85" s="0"/>
      <c r="CNP85" s="0"/>
      <c r="CNQ85" s="0"/>
      <c r="CNR85" s="0"/>
      <c r="CNS85" s="0"/>
      <c r="CNT85" s="0"/>
      <c r="CNU85" s="0"/>
      <c r="CNV85" s="0"/>
      <c r="CNW85" s="0"/>
      <c r="CNX85" s="0"/>
      <c r="CNY85" s="0"/>
      <c r="CNZ85" s="0"/>
      <c r="COA85" s="0"/>
      <c r="COB85" s="0"/>
      <c r="COC85" s="0"/>
      <c r="COD85" s="0"/>
      <c r="COE85" s="0"/>
      <c r="COF85" s="0"/>
      <c r="COG85" s="0"/>
      <c r="COH85" s="0"/>
      <c r="COI85" s="0"/>
      <c r="COJ85" s="0"/>
      <c r="COK85" s="0"/>
      <c r="COL85" s="0"/>
      <c r="COM85" s="0"/>
      <c r="CON85" s="0"/>
      <c r="COO85" s="0"/>
      <c r="COP85" s="0"/>
      <c r="COQ85" s="0"/>
      <c r="COR85" s="0"/>
      <c r="COS85" s="0"/>
      <c r="COT85" s="0"/>
      <c r="COU85" s="0"/>
      <c r="COV85" s="0"/>
      <c r="COW85" s="0"/>
      <c r="COX85" s="0"/>
      <c r="COY85" s="0"/>
      <c r="COZ85" s="0"/>
      <c r="CPA85" s="0"/>
      <c r="CPB85" s="0"/>
      <c r="CPC85" s="0"/>
      <c r="CPD85" s="0"/>
      <c r="CPE85" s="0"/>
      <c r="CPF85" s="0"/>
      <c r="CPG85" s="0"/>
      <c r="CPH85" s="0"/>
      <c r="CPI85" s="0"/>
      <c r="CPJ85" s="0"/>
      <c r="CPK85" s="0"/>
      <c r="CPL85" s="0"/>
      <c r="CPM85" s="0"/>
      <c r="CPN85" s="0"/>
      <c r="CPO85" s="0"/>
      <c r="CPP85" s="0"/>
      <c r="CPQ85" s="0"/>
      <c r="CPR85" s="0"/>
      <c r="CPS85" s="0"/>
      <c r="CPT85" s="0"/>
      <c r="CPU85" s="0"/>
      <c r="CPV85" s="0"/>
      <c r="CPW85" s="0"/>
      <c r="CPX85" s="0"/>
      <c r="CPY85" s="0"/>
      <c r="CPZ85" s="0"/>
      <c r="CQA85" s="0"/>
      <c r="CQB85" s="0"/>
      <c r="CQC85" s="0"/>
      <c r="CQD85" s="0"/>
      <c r="CQE85" s="0"/>
      <c r="CQF85" s="0"/>
      <c r="CQG85" s="0"/>
      <c r="CQH85" s="0"/>
      <c r="CQI85" s="0"/>
      <c r="CQJ85" s="0"/>
      <c r="CQK85" s="0"/>
      <c r="CQL85" s="0"/>
      <c r="CQM85" s="0"/>
      <c r="CQN85" s="0"/>
      <c r="CQO85" s="0"/>
      <c r="CQP85" s="0"/>
      <c r="CQQ85" s="0"/>
      <c r="CQR85" s="0"/>
      <c r="CQS85" s="0"/>
      <c r="CQT85" s="0"/>
      <c r="CQU85" s="0"/>
      <c r="CQV85" s="0"/>
      <c r="CQW85" s="0"/>
      <c r="CQX85" s="0"/>
      <c r="CQY85" s="0"/>
      <c r="CQZ85" s="0"/>
      <c r="CRA85" s="0"/>
      <c r="CRB85" s="0"/>
      <c r="CRC85" s="0"/>
      <c r="CRD85" s="0"/>
      <c r="CRE85" s="0"/>
      <c r="CRF85" s="0"/>
      <c r="CRG85" s="0"/>
      <c r="CRH85" s="0"/>
      <c r="CRI85" s="0"/>
      <c r="CRJ85" s="0"/>
      <c r="CRK85" s="0"/>
      <c r="CRL85" s="0"/>
      <c r="CRM85" s="0"/>
      <c r="CRN85" s="0"/>
      <c r="CRO85" s="0"/>
      <c r="CRP85" s="0"/>
      <c r="CRQ85" s="0"/>
      <c r="CRR85" s="0"/>
      <c r="CRS85" s="0"/>
      <c r="CRT85" s="0"/>
      <c r="CRU85" s="0"/>
      <c r="CRV85" s="0"/>
      <c r="CRW85" s="0"/>
      <c r="CRX85" s="0"/>
      <c r="CRY85" s="0"/>
      <c r="CRZ85" s="0"/>
      <c r="CSA85" s="0"/>
      <c r="CSB85" s="0"/>
      <c r="CSC85" s="0"/>
      <c r="CSD85" s="0"/>
      <c r="CSE85" s="0"/>
      <c r="CSF85" s="0"/>
      <c r="CSG85" s="0"/>
      <c r="CSH85" s="0"/>
      <c r="CSI85" s="0"/>
      <c r="CSJ85" s="0"/>
      <c r="CSK85" s="0"/>
      <c r="CSL85" s="0"/>
      <c r="CSM85" s="0"/>
      <c r="CSN85" s="0"/>
      <c r="CSO85" s="0"/>
      <c r="CSP85" s="0"/>
      <c r="CSQ85" s="0"/>
      <c r="CSR85" s="0"/>
      <c r="CSS85" s="0"/>
      <c r="CST85" s="0"/>
      <c r="CSU85" s="0"/>
      <c r="CSV85" s="0"/>
      <c r="CSW85" s="0"/>
      <c r="CSX85" s="0"/>
      <c r="CSY85" s="0"/>
      <c r="CSZ85" s="0"/>
      <c r="CTA85" s="0"/>
      <c r="CTB85" s="0"/>
      <c r="CTC85" s="0"/>
      <c r="CTD85" s="0"/>
      <c r="CTE85" s="0"/>
      <c r="CTF85" s="0"/>
      <c r="CTG85" s="0"/>
      <c r="CTH85" s="0"/>
      <c r="CTI85" s="0"/>
      <c r="CTJ85" s="0"/>
      <c r="CTK85" s="0"/>
      <c r="CTL85" s="0"/>
      <c r="CTM85" s="0"/>
      <c r="CTN85" s="0"/>
      <c r="CTO85" s="0"/>
      <c r="CTP85" s="0"/>
      <c r="CTQ85" s="0"/>
      <c r="CTR85" s="0"/>
      <c r="CTS85" s="0"/>
      <c r="CTT85" s="0"/>
      <c r="CTU85" s="0"/>
      <c r="CTV85" s="0"/>
      <c r="CTW85" s="0"/>
      <c r="CTX85" s="0"/>
      <c r="CTY85" s="0"/>
      <c r="CTZ85" s="0"/>
      <c r="CUA85" s="0"/>
      <c r="CUB85" s="0"/>
      <c r="CUC85" s="0"/>
      <c r="CUD85" s="0"/>
      <c r="CUE85" s="0"/>
      <c r="CUF85" s="0"/>
      <c r="CUG85" s="0"/>
      <c r="CUH85" s="0"/>
      <c r="CUI85" s="0"/>
      <c r="CUJ85" s="0"/>
      <c r="CUK85" s="0"/>
      <c r="CUL85" s="0"/>
      <c r="CUM85" s="0"/>
      <c r="CUN85" s="0"/>
      <c r="CUO85" s="0"/>
      <c r="CUP85" s="0"/>
      <c r="CUQ85" s="0"/>
      <c r="CUR85" s="0"/>
      <c r="CUS85" s="0"/>
      <c r="CUT85" s="0"/>
      <c r="CUU85" s="0"/>
      <c r="CUV85" s="0"/>
      <c r="CUW85" s="0"/>
      <c r="CUX85" s="0"/>
      <c r="CUY85" s="0"/>
      <c r="CUZ85" s="0"/>
      <c r="CVA85" s="0"/>
      <c r="CVB85" s="0"/>
      <c r="CVC85" s="0"/>
      <c r="CVD85" s="0"/>
      <c r="CVE85" s="0"/>
      <c r="CVF85" s="0"/>
      <c r="CVG85" s="0"/>
      <c r="CVH85" s="0"/>
      <c r="CVI85" s="0"/>
      <c r="CVJ85" s="0"/>
      <c r="CVK85" s="0"/>
      <c r="CVL85" s="0"/>
      <c r="CVM85" s="0"/>
      <c r="CVN85" s="0"/>
      <c r="CVO85" s="0"/>
      <c r="CVP85" s="0"/>
      <c r="CVQ85" s="0"/>
      <c r="CVR85" s="0"/>
      <c r="CVS85" s="0"/>
      <c r="CVT85" s="0"/>
      <c r="CVU85" s="0"/>
      <c r="CVV85" s="0"/>
      <c r="CVW85" s="0"/>
      <c r="CVX85" s="0"/>
      <c r="CVY85" s="0"/>
      <c r="CVZ85" s="0"/>
      <c r="CWA85" s="0"/>
      <c r="CWB85" s="0"/>
      <c r="CWC85" s="0"/>
      <c r="CWD85" s="0"/>
      <c r="CWE85" s="0"/>
      <c r="CWF85" s="0"/>
      <c r="CWG85" s="0"/>
      <c r="CWH85" s="0"/>
      <c r="CWI85" s="0"/>
      <c r="CWJ85" s="0"/>
      <c r="CWK85" s="0"/>
      <c r="CWL85" s="0"/>
      <c r="CWM85" s="0"/>
      <c r="CWN85" s="0"/>
      <c r="CWO85" s="0"/>
      <c r="CWP85" s="0"/>
      <c r="CWQ85" s="0"/>
      <c r="CWR85" s="0"/>
      <c r="CWS85" s="0"/>
      <c r="CWT85" s="0"/>
      <c r="CWU85" s="0"/>
      <c r="CWV85" s="0"/>
      <c r="CWW85" s="0"/>
      <c r="CWX85" s="0"/>
      <c r="CWY85" s="0"/>
      <c r="CWZ85" s="0"/>
      <c r="CXA85" s="0"/>
      <c r="CXB85" s="0"/>
      <c r="CXC85" s="0"/>
      <c r="CXD85" s="0"/>
      <c r="CXE85" s="0"/>
      <c r="CXF85" s="0"/>
      <c r="CXG85" s="0"/>
      <c r="CXH85" s="0"/>
      <c r="CXI85" s="0"/>
      <c r="CXJ85" s="0"/>
      <c r="CXK85" s="0"/>
      <c r="CXL85" s="0"/>
      <c r="CXM85" s="0"/>
      <c r="CXN85" s="0"/>
      <c r="CXO85" s="0"/>
      <c r="CXP85" s="0"/>
      <c r="CXQ85" s="0"/>
      <c r="CXR85" s="0"/>
      <c r="CXS85" s="0"/>
      <c r="CXT85" s="0"/>
      <c r="CXU85" s="0"/>
      <c r="CXV85" s="0"/>
      <c r="CXW85" s="0"/>
      <c r="CXX85" s="0"/>
      <c r="CXY85" s="0"/>
      <c r="CXZ85" s="0"/>
      <c r="CYA85" s="0"/>
      <c r="CYB85" s="0"/>
      <c r="CYC85" s="0"/>
      <c r="CYD85" s="0"/>
      <c r="CYE85" s="0"/>
      <c r="CYF85" s="0"/>
      <c r="CYG85" s="0"/>
      <c r="CYH85" s="0"/>
      <c r="CYI85" s="0"/>
      <c r="CYJ85" s="0"/>
      <c r="CYK85" s="0"/>
      <c r="CYL85" s="0"/>
      <c r="CYM85" s="0"/>
      <c r="CYN85" s="0"/>
      <c r="CYO85" s="0"/>
      <c r="CYP85" s="0"/>
      <c r="CYQ85" s="0"/>
      <c r="CYR85" s="0"/>
      <c r="CYS85" s="0"/>
      <c r="CYT85" s="0"/>
      <c r="CYU85" s="0"/>
      <c r="CYV85" s="0"/>
      <c r="CYW85" s="0"/>
      <c r="CYX85" s="0"/>
      <c r="CYY85" s="0"/>
      <c r="CYZ85" s="0"/>
      <c r="CZA85" s="0"/>
      <c r="CZB85" s="0"/>
      <c r="CZC85" s="0"/>
      <c r="CZD85" s="0"/>
      <c r="CZE85" s="0"/>
      <c r="CZF85" s="0"/>
      <c r="CZG85" s="0"/>
      <c r="CZH85" s="0"/>
      <c r="CZI85" s="0"/>
      <c r="CZJ85" s="0"/>
      <c r="CZK85" s="0"/>
      <c r="CZL85" s="0"/>
      <c r="CZM85" s="0"/>
      <c r="CZN85" s="0"/>
      <c r="CZO85" s="0"/>
      <c r="CZP85" s="0"/>
      <c r="CZQ85" s="0"/>
      <c r="CZR85" s="0"/>
      <c r="CZS85" s="0"/>
      <c r="CZT85" s="0"/>
      <c r="CZU85" s="0"/>
      <c r="CZV85" s="0"/>
      <c r="CZW85" s="0"/>
      <c r="CZX85" s="0"/>
      <c r="CZY85" s="0"/>
      <c r="CZZ85" s="0"/>
      <c r="DAA85" s="0"/>
      <c r="DAB85" s="0"/>
      <c r="DAC85" s="0"/>
      <c r="DAD85" s="0"/>
      <c r="DAE85" s="0"/>
      <c r="DAF85" s="0"/>
      <c r="DAG85" s="0"/>
      <c r="DAH85" s="0"/>
      <c r="DAI85" s="0"/>
      <c r="DAJ85" s="0"/>
      <c r="DAK85" s="0"/>
      <c r="DAL85" s="0"/>
      <c r="DAM85" s="0"/>
      <c r="DAN85" s="0"/>
      <c r="DAO85" s="0"/>
      <c r="DAP85" s="0"/>
      <c r="DAQ85" s="0"/>
      <c r="DAR85" s="0"/>
      <c r="DAS85" s="0"/>
      <c r="DAT85" s="0"/>
      <c r="DAU85" s="0"/>
      <c r="DAV85" s="0"/>
      <c r="DAW85" s="0"/>
      <c r="DAX85" s="0"/>
      <c r="DAY85" s="0"/>
      <c r="DAZ85" s="0"/>
      <c r="DBA85" s="0"/>
      <c r="DBB85" s="0"/>
      <c r="DBC85" s="0"/>
      <c r="DBD85" s="0"/>
      <c r="DBE85" s="0"/>
      <c r="DBF85" s="0"/>
      <c r="DBG85" s="0"/>
      <c r="DBH85" s="0"/>
      <c r="DBI85" s="0"/>
      <c r="DBJ85" s="0"/>
      <c r="DBK85" s="0"/>
      <c r="DBL85" s="0"/>
      <c r="DBM85" s="0"/>
      <c r="DBN85" s="0"/>
      <c r="DBO85" s="0"/>
      <c r="DBP85" s="0"/>
      <c r="DBQ85" s="0"/>
      <c r="DBR85" s="0"/>
      <c r="DBS85" s="0"/>
      <c r="DBT85" s="0"/>
      <c r="DBU85" s="0"/>
      <c r="DBV85" s="0"/>
      <c r="DBW85" s="0"/>
      <c r="DBX85" s="0"/>
      <c r="DBY85" s="0"/>
      <c r="DBZ85" s="0"/>
      <c r="DCA85" s="0"/>
      <c r="DCB85" s="0"/>
      <c r="DCC85" s="0"/>
      <c r="DCD85" s="0"/>
      <c r="DCE85" s="0"/>
      <c r="DCF85" s="0"/>
      <c r="DCG85" s="0"/>
      <c r="DCH85" s="0"/>
      <c r="DCI85" s="0"/>
      <c r="DCJ85" s="0"/>
      <c r="DCK85" s="0"/>
      <c r="DCL85" s="0"/>
      <c r="DCM85" s="0"/>
      <c r="DCN85" s="0"/>
      <c r="DCO85" s="0"/>
      <c r="DCP85" s="0"/>
      <c r="DCQ85" s="0"/>
      <c r="DCR85" s="0"/>
      <c r="DCS85" s="0"/>
      <c r="DCT85" s="0"/>
      <c r="DCU85" s="0"/>
      <c r="DCV85" s="0"/>
      <c r="DCW85" s="0"/>
      <c r="DCX85" s="0"/>
      <c r="DCY85" s="0"/>
      <c r="DCZ85" s="0"/>
      <c r="DDA85" s="0"/>
      <c r="DDB85" s="0"/>
      <c r="DDC85" s="0"/>
      <c r="DDD85" s="0"/>
      <c r="DDE85" s="0"/>
      <c r="DDF85" s="0"/>
      <c r="DDG85" s="0"/>
      <c r="DDH85" s="0"/>
      <c r="DDI85" s="0"/>
      <c r="DDJ85" s="0"/>
      <c r="DDK85" s="0"/>
      <c r="DDL85" s="0"/>
      <c r="DDM85" s="0"/>
      <c r="DDN85" s="0"/>
      <c r="DDO85" s="0"/>
      <c r="DDP85" s="0"/>
      <c r="DDQ85" s="0"/>
      <c r="DDR85" s="0"/>
      <c r="DDS85" s="0"/>
      <c r="DDT85" s="0"/>
      <c r="DDU85" s="0"/>
      <c r="DDV85" s="0"/>
      <c r="DDW85" s="0"/>
      <c r="DDX85" s="0"/>
      <c r="DDY85" s="0"/>
      <c r="DDZ85" s="0"/>
      <c r="DEA85" s="0"/>
      <c r="DEB85" s="0"/>
      <c r="DEC85" s="0"/>
      <c r="DED85" s="0"/>
      <c r="DEE85" s="0"/>
      <c r="DEF85" s="0"/>
      <c r="DEG85" s="0"/>
      <c r="DEH85" s="0"/>
      <c r="DEI85" s="0"/>
      <c r="DEJ85" s="0"/>
      <c r="DEK85" s="0"/>
      <c r="DEL85" s="0"/>
      <c r="DEM85" s="0"/>
      <c r="DEN85" s="0"/>
      <c r="DEO85" s="0"/>
      <c r="DEP85" s="0"/>
      <c r="DEQ85" s="0"/>
      <c r="DER85" s="0"/>
      <c r="DES85" s="0"/>
      <c r="DET85" s="0"/>
      <c r="DEU85" s="0"/>
      <c r="DEV85" s="0"/>
      <c r="DEW85" s="0"/>
      <c r="DEX85" s="0"/>
      <c r="DEY85" s="0"/>
      <c r="DEZ85" s="0"/>
      <c r="DFA85" s="0"/>
      <c r="DFB85" s="0"/>
      <c r="DFC85" s="0"/>
      <c r="DFD85" s="0"/>
      <c r="DFE85" s="0"/>
      <c r="DFF85" s="0"/>
      <c r="DFG85" s="0"/>
      <c r="DFH85" s="0"/>
      <c r="DFI85" s="0"/>
      <c r="DFJ85" s="0"/>
      <c r="DFK85" s="0"/>
      <c r="DFL85" s="0"/>
      <c r="DFM85" s="0"/>
      <c r="DFN85" s="0"/>
      <c r="DFO85" s="0"/>
      <c r="DFP85" s="0"/>
      <c r="DFQ85" s="0"/>
      <c r="DFR85" s="0"/>
      <c r="DFS85" s="0"/>
      <c r="DFT85" s="0"/>
      <c r="DFU85" s="0"/>
      <c r="DFV85" s="0"/>
      <c r="DFW85" s="0"/>
      <c r="DFX85" s="0"/>
      <c r="DFY85" s="0"/>
      <c r="DFZ85" s="0"/>
      <c r="DGA85" s="0"/>
      <c r="DGB85" s="0"/>
      <c r="DGC85" s="0"/>
      <c r="DGD85" s="0"/>
      <c r="DGE85" s="0"/>
      <c r="DGF85" s="0"/>
      <c r="DGG85" s="0"/>
      <c r="DGH85" s="0"/>
      <c r="DGI85" s="0"/>
      <c r="DGJ85" s="0"/>
      <c r="DGK85" s="0"/>
      <c r="DGL85" s="0"/>
      <c r="DGM85" s="0"/>
      <c r="DGN85" s="0"/>
      <c r="DGO85" s="0"/>
      <c r="DGP85" s="0"/>
      <c r="DGQ85" s="0"/>
      <c r="DGR85" s="0"/>
      <c r="DGS85" s="0"/>
      <c r="DGT85" s="0"/>
      <c r="DGU85" s="0"/>
      <c r="DGV85" s="0"/>
      <c r="DGW85" s="0"/>
      <c r="DGX85" s="0"/>
      <c r="DGY85" s="0"/>
      <c r="DGZ85" s="0"/>
      <c r="DHA85" s="0"/>
      <c r="DHB85" s="0"/>
      <c r="DHC85" s="0"/>
      <c r="DHD85" s="0"/>
      <c r="DHE85" s="0"/>
      <c r="DHF85" s="0"/>
      <c r="DHG85" s="0"/>
      <c r="DHH85" s="0"/>
      <c r="DHI85" s="0"/>
      <c r="DHJ85" s="0"/>
      <c r="DHK85" s="0"/>
      <c r="DHL85" s="0"/>
      <c r="DHM85" s="0"/>
      <c r="DHN85" s="0"/>
      <c r="DHO85" s="0"/>
      <c r="DHP85" s="0"/>
      <c r="DHQ85" s="0"/>
      <c r="DHR85" s="0"/>
      <c r="DHS85" s="0"/>
      <c r="DHT85" s="0"/>
      <c r="DHU85" s="0"/>
      <c r="DHV85" s="0"/>
      <c r="DHW85" s="0"/>
      <c r="DHX85" s="0"/>
      <c r="DHY85" s="0"/>
      <c r="DHZ85" s="0"/>
      <c r="DIA85" s="0"/>
      <c r="DIB85" s="0"/>
      <c r="DIC85" s="0"/>
      <c r="DID85" s="0"/>
      <c r="DIE85" s="0"/>
      <c r="DIF85" s="0"/>
      <c r="DIG85" s="0"/>
      <c r="DIH85" s="0"/>
      <c r="DII85" s="0"/>
      <c r="DIJ85" s="0"/>
      <c r="DIK85" s="0"/>
      <c r="DIL85" s="0"/>
      <c r="DIM85" s="0"/>
      <c r="DIN85" s="0"/>
      <c r="DIO85" s="0"/>
      <c r="DIP85" s="0"/>
      <c r="DIQ85" s="0"/>
      <c r="DIR85" s="0"/>
      <c r="DIS85" s="0"/>
      <c r="DIT85" s="0"/>
      <c r="DIU85" s="0"/>
      <c r="DIV85" s="0"/>
      <c r="DIW85" s="0"/>
      <c r="DIX85" s="0"/>
      <c r="DIY85" s="0"/>
      <c r="DIZ85" s="0"/>
      <c r="DJA85" s="0"/>
      <c r="DJB85" s="0"/>
      <c r="DJC85" s="0"/>
      <c r="DJD85" s="0"/>
      <c r="DJE85" s="0"/>
      <c r="DJF85" s="0"/>
      <c r="DJG85" s="0"/>
      <c r="DJH85" s="0"/>
      <c r="DJI85" s="0"/>
      <c r="DJJ85" s="0"/>
      <c r="DJK85" s="0"/>
      <c r="DJL85" s="0"/>
      <c r="DJM85" s="0"/>
      <c r="DJN85" s="0"/>
      <c r="DJO85" s="0"/>
      <c r="DJP85" s="0"/>
      <c r="DJQ85" s="0"/>
      <c r="DJR85" s="0"/>
      <c r="DJS85" s="0"/>
      <c r="DJT85" s="0"/>
      <c r="DJU85" s="0"/>
      <c r="DJV85" s="0"/>
      <c r="DJW85" s="0"/>
      <c r="DJX85" s="0"/>
      <c r="DJY85" s="0"/>
      <c r="DJZ85" s="0"/>
      <c r="DKA85" s="0"/>
      <c r="DKB85" s="0"/>
      <c r="DKC85" s="0"/>
      <c r="DKD85" s="0"/>
      <c r="DKE85" s="0"/>
      <c r="DKF85" s="0"/>
      <c r="DKG85" s="0"/>
      <c r="DKH85" s="0"/>
      <c r="DKI85" s="0"/>
      <c r="DKJ85" s="0"/>
      <c r="DKK85" s="0"/>
      <c r="DKL85" s="0"/>
      <c r="DKM85" s="0"/>
      <c r="DKN85" s="0"/>
      <c r="DKO85" s="0"/>
      <c r="DKP85" s="0"/>
      <c r="DKQ85" s="0"/>
      <c r="DKR85" s="0"/>
      <c r="DKS85" s="0"/>
      <c r="DKT85" s="0"/>
      <c r="DKU85" s="0"/>
      <c r="DKV85" s="0"/>
      <c r="DKW85" s="0"/>
      <c r="DKX85" s="0"/>
      <c r="DKY85" s="0"/>
      <c r="DKZ85" s="0"/>
      <c r="DLA85" s="0"/>
      <c r="DLB85" s="0"/>
      <c r="DLC85" s="0"/>
      <c r="DLD85" s="0"/>
      <c r="DLE85" s="0"/>
      <c r="DLF85" s="0"/>
      <c r="DLG85" s="0"/>
      <c r="DLH85" s="0"/>
      <c r="DLI85" s="0"/>
      <c r="DLJ85" s="0"/>
      <c r="DLK85" s="0"/>
      <c r="DLL85" s="0"/>
      <c r="DLM85" s="0"/>
      <c r="DLN85" s="0"/>
      <c r="DLO85" s="0"/>
      <c r="DLP85" s="0"/>
      <c r="DLQ85" s="0"/>
      <c r="DLR85" s="0"/>
      <c r="DLS85" s="0"/>
      <c r="DLT85" s="0"/>
      <c r="DLU85" s="0"/>
      <c r="DLV85" s="0"/>
      <c r="DLW85" s="0"/>
      <c r="DLX85" s="0"/>
      <c r="DLY85" s="0"/>
      <c r="DLZ85" s="0"/>
      <c r="DMA85" s="0"/>
      <c r="DMB85" s="0"/>
      <c r="DMC85" s="0"/>
      <c r="DMD85" s="0"/>
      <c r="DME85" s="0"/>
      <c r="DMF85" s="0"/>
      <c r="DMG85" s="0"/>
      <c r="DMH85" s="0"/>
      <c r="DMI85" s="0"/>
      <c r="DMJ85" s="0"/>
      <c r="DMK85" s="0"/>
      <c r="DML85" s="0"/>
      <c r="DMM85" s="0"/>
      <c r="DMN85" s="0"/>
      <c r="DMO85" s="0"/>
      <c r="DMP85" s="0"/>
      <c r="DMQ85" s="0"/>
      <c r="DMR85" s="0"/>
      <c r="DMS85" s="0"/>
      <c r="DMT85" s="0"/>
      <c r="DMU85" s="0"/>
      <c r="DMV85" s="0"/>
      <c r="DMW85" s="0"/>
      <c r="DMX85" s="0"/>
      <c r="DMY85" s="0"/>
      <c r="DMZ85" s="0"/>
      <c r="DNA85" s="0"/>
      <c r="DNB85" s="0"/>
      <c r="DNC85" s="0"/>
      <c r="DND85" s="0"/>
      <c r="DNE85" s="0"/>
      <c r="DNF85" s="0"/>
      <c r="DNG85" s="0"/>
      <c r="DNH85" s="0"/>
      <c r="DNI85" s="0"/>
      <c r="DNJ85" s="0"/>
      <c r="DNK85" s="0"/>
      <c r="DNL85" s="0"/>
      <c r="DNM85" s="0"/>
      <c r="DNN85" s="0"/>
      <c r="DNO85" s="0"/>
      <c r="DNP85" s="0"/>
      <c r="DNQ85" s="0"/>
      <c r="DNR85" s="0"/>
      <c r="DNS85" s="0"/>
      <c r="DNT85" s="0"/>
      <c r="DNU85" s="0"/>
      <c r="DNV85" s="0"/>
      <c r="DNW85" s="0"/>
      <c r="DNX85" s="0"/>
      <c r="DNY85" s="0"/>
      <c r="DNZ85" s="0"/>
      <c r="DOA85" s="0"/>
      <c r="DOB85" s="0"/>
      <c r="DOC85" s="0"/>
      <c r="DOD85" s="0"/>
      <c r="DOE85" s="0"/>
      <c r="DOF85" s="0"/>
      <c r="DOG85" s="0"/>
      <c r="DOH85" s="0"/>
      <c r="DOI85" s="0"/>
      <c r="DOJ85" s="0"/>
      <c r="DOK85" s="0"/>
      <c r="DOL85" s="0"/>
      <c r="DOM85" s="0"/>
      <c r="DON85" s="0"/>
      <c r="DOO85" s="0"/>
      <c r="DOP85" s="0"/>
      <c r="DOQ85" s="0"/>
      <c r="DOR85" s="0"/>
      <c r="DOS85" s="0"/>
      <c r="DOT85" s="0"/>
      <c r="DOU85" s="0"/>
      <c r="DOV85" s="0"/>
      <c r="DOW85" s="0"/>
      <c r="DOX85" s="0"/>
      <c r="DOY85" s="0"/>
      <c r="DOZ85" s="0"/>
      <c r="DPA85" s="0"/>
      <c r="DPB85" s="0"/>
      <c r="DPC85" s="0"/>
      <c r="DPD85" s="0"/>
      <c r="DPE85" s="0"/>
      <c r="DPF85" s="0"/>
      <c r="DPG85" s="0"/>
      <c r="DPH85" s="0"/>
      <c r="DPI85" s="0"/>
      <c r="DPJ85" s="0"/>
      <c r="DPK85" s="0"/>
      <c r="DPL85" s="0"/>
      <c r="DPM85" s="0"/>
      <c r="DPN85" s="0"/>
      <c r="DPO85" s="0"/>
      <c r="DPP85" s="0"/>
      <c r="DPQ85" s="0"/>
      <c r="DPR85" s="0"/>
      <c r="DPS85" s="0"/>
      <c r="DPT85" s="0"/>
      <c r="DPU85" s="0"/>
      <c r="DPV85" s="0"/>
      <c r="DPW85" s="0"/>
      <c r="DPX85" s="0"/>
      <c r="DPY85" s="0"/>
      <c r="DPZ85" s="0"/>
      <c r="DQA85" s="0"/>
      <c r="DQB85" s="0"/>
      <c r="DQC85" s="0"/>
      <c r="DQD85" s="0"/>
      <c r="DQE85" s="0"/>
      <c r="DQF85" s="0"/>
      <c r="DQG85" s="0"/>
      <c r="DQH85" s="0"/>
      <c r="DQI85" s="0"/>
      <c r="DQJ85" s="0"/>
      <c r="DQK85" s="0"/>
      <c r="DQL85" s="0"/>
      <c r="DQM85" s="0"/>
      <c r="DQN85" s="0"/>
      <c r="DQO85" s="0"/>
      <c r="DQP85" s="0"/>
      <c r="DQQ85" s="0"/>
      <c r="DQR85" s="0"/>
      <c r="DQS85" s="0"/>
      <c r="DQT85" s="0"/>
      <c r="DQU85" s="0"/>
      <c r="DQV85" s="0"/>
      <c r="DQW85" s="0"/>
      <c r="DQX85" s="0"/>
      <c r="DQY85" s="0"/>
      <c r="DQZ85" s="0"/>
      <c r="DRA85" s="0"/>
      <c r="DRB85" s="0"/>
      <c r="DRC85" s="0"/>
      <c r="DRD85" s="0"/>
      <c r="DRE85" s="0"/>
      <c r="DRF85" s="0"/>
      <c r="DRG85" s="0"/>
      <c r="DRH85" s="0"/>
      <c r="DRI85" s="0"/>
      <c r="DRJ85" s="0"/>
      <c r="DRK85" s="0"/>
      <c r="DRL85" s="0"/>
      <c r="DRM85" s="0"/>
      <c r="DRN85" s="0"/>
      <c r="DRO85" s="0"/>
      <c r="DRP85" s="0"/>
      <c r="DRQ85" s="0"/>
      <c r="DRR85" s="0"/>
      <c r="DRS85" s="0"/>
      <c r="DRT85" s="0"/>
      <c r="DRU85" s="0"/>
      <c r="DRV85" s="0"/>
      <c r="DRW85" s="0"/>
      <c r="DRX85" s="0"/>
      <c r="DRY85" s="0"/>
      <c r="DRZ85" s="0"/>
      <c r="DSA85" s="0"/>
      <c r="DSB85" s="0"/>
      <c r="DSC85" s="0"/>
      <c r="DSD85" s="0"/>
      <c r="DSE85" s="0"/>
      <c r="DSF85" s="0"/>
      <c r="DSG85" s="0"/>
      <c r="DSH85" s="0"/>
      <c r="DSI85" s="0"/>
      <c r="DSJ85" s="0"/>
      <c r="DSK85" s="0"/>
      <c r="DSL85" s="0"/>
      <c r="DSM85" s="0"/>
      <c r="DSN85" s="0"/>
      <c r="DSO85" s="0"/>
      <c r="DSP85" s="0"/>
      <c r="DSQ85" s="0"/>
      <c r="DSR85" s="0"/>
      <c r="DSS85" s="0"/>
      <c r="DST85" s="0"/>
      <c r="DSU85" s="0"/>
      <c r="DSV85" s="0"/>
      <c r="DSW85" s="0"/>
      <c r="DSX85" s="0"/>
      <c r="DSY85" s="0"/>
      <c r="DSZ85" s="0"/>
      <c r="DTA85" s="0"/>
      <c r="DTB85" s="0"/>
      <c r="DTC85" s="0"/>
      <c r="DTD85" s="0"/>
      <c r="DTE85" s="0"/>
      <c r="DTF85" s="0"/>
      <c r="DTG85" s="0"/>
      <c r="DTH85" s="0"/>
      <c r="DTI85" s="0"/>
      <c r="DTJ85" s="0"/>
      <c r="DTK85" s="0"/>
      <c r="DTL85" s="0"/>
      <c r="DTM85" s="0"/>
      <c r="DTN85" s="0"/>
      <c r="DTO85" s="0"/>
      <c r="DTP85" s="0"/>
      <c r="DTQ85" s="0"/>
      <c r="DTR85" s="0"/>
      <c r="DTS85" s="0"/>
      <c r="DTT85" s="0"/>
      <c r="DTU85" s="0"/>
      <c r="DTV85" s="0"/>
      <c r="DTW85" s="0"/>
      <c r="DTX85" s="0"/>
      <c r="DTY85" s="0"/>
      <c r="DTZ85" s="0"/>
      <c r="DUA85" s="0"/>
      <c r="DUB85" s="0"/>
      <c r="DUC85" s="0"/>
      <c r="DUD85" s="0"/>
      <c r="DUE85" s="0"/>
      <c r="DUF85" s="0"/>
      <c r="DUG85" s="0"/>
      <c r="DUH85" s="0"/>
      <c r="DUI85" s="0"/>
      <c r="DUJ85" s="0"/>
      <c r="DUK85" s="0"/>
      <c r="DUL85" s="0"/>
      <c r="DUM85" s="0"/>
      <c r="DUN85" s="0"/>
      <c r="DUO85" s="0"/>
      <c r="DUP85" s="0"/>
      <c r="DUQ85" s="0"/>
      <c r="DUR85" s="0"/>
      <c r="DUS85" s="0"/>
      <c r="DUT85" s="0"/>
      <c r="DUU85" s="0"/>
      <c r="DUV85" s="0"/>
      <c r="DUW85" s="0"/>
      <c r="DUX85" s="0"/>
      <c r="DUY85" s="0"/>
      <c r="DUZ85" s="0"/>
      <c r="DVA85" s="0"/>
      <c r="DVB85" s="0"/>
      <c r="DVC85" s="0"/>
      <c r="DVD85" s="0"/>
      <c r="DVE85" s="0"/>
      <c r="DVF85" s="0"/>
      <c r="DVG85" s="0"/>
      <c r="DVH85" s="0"/>
      <c r="DVI85" s="0"/>
      <c r="DVJ85" s="0"/>
      <c r="DVK85" s="0"/>
      <c r="DVL85" s="0"/>
      <c r="DVM85" s="0"/>
      <c r="DVN85" s="0"/>
      <c r="DVO85" s="0"/>
      <c r="DVP85" s="0"/>
      <c r="DVQ85" s="0"/>
      <c r="DVR85" s="0"/>
      <c r="DVS85" s="0"/>
      <c r="DVT85" s="0"/>
      <c r="DVU85" s="0"/>
      <c r="DVV85" s="0"/>
      <c r="DVW85" s="0"/>
      <c r="DVX85" s="0"/>
      <c r="DVY85" s="0"/>
      <c r="DVZ85" s="0"/>
      <c r="DWA85" s="0"/>
      <c r="DWB85" s="0"/>
      <c r="DWC85" s="0"/>
      <c r="DWD85" s="0"/>
      <c r="DWE85" s="0"/>
      <c r="DWF85" s="0"/>
      <c r="DWG85" s="0"/>
      <c r="DWH85" s="0"/>
      <c r="DWI85" s="0"/>
      <c r="DWJ85" s="0"/>
      <c r="DWK85" s="0"/>
      <c r="DWL85" s="0"/>
      <c r="DWM85" s="0"/>
      <c r="DWN85" s="0"/>
      <c r="DWO85" s="0"/>
      <c r="DWP85" s="0"/>
      <c r="DWQ85" s="0"/>
      <c r="DWR85" s="0"/>
      <c r="DWS85" s="0"/>
      <c r="DWT85" s="0"/>
      <c r="DWU85" s="0"/>
      <c r="DWV85" s="0"/>
      <c r="DWW85" s="0"/>
      <c r="DWX85" s="0"/>
      <c r="DWY85" s="0"/>
      <c r="DWZ85" s="0"/>
      <c r="DXA85" s="0"/>
      <c r="DXB85" s="0"/>
      <c r="DXC85" s="0"/>
      <c r="DXD85" s="0"/>
      <c r="DXE85" s="0"/>
      <c r="DXF85" s="0"/>
      <c r="DXG85" s="0"/>
      <c r="DXH85" s="0"/>
      <c r="DXI85" s="0"/>
      <c r="DXJ85" s="0"/>
      <c r="DXK85" s="0"/>
      <c r="DXL85" s="0"/>
      <c r="DXM85" s="0"/>
      <c r="DXN85" s="0"/>
      <c r="DXO85" s="0"/>
      <c r="DXP85" s="0"/>
      <c r="DXQ85" s="0"/>
      <c r="DXR85" s="0"/>
      <c r="DXS85" s="0"/>
      <c r="DXT85" s="0"/>
      <c r="DXU85" s="0"/>
      <c r="DXV85" s="0"/>
      <c r="DXW85" s="0"/>
      <c r="DXX85" s="0"/>
      <c r="DXY85" s="0"/>
      <c r="DXZ85" s="0"/>
      <c r="DYA85" s="0"/>
      <c r="DYB85" s="0"/>
      <c r="DYC85" s="0"/>
      <c r="DYD85" s="0"/>
      <c r="DYE85" s="0"/>
      <c r="DYF85" s="0"/>
      <c r="DYG85" s="0"/>
      <c r="DYH85" s="0"/>
      <c r="DYI85" s="0"/>
      <c r="DYJ85" s="0"/>
      <c r="DYK85" s="0"/>
      <c r="DYL85" s="0"/>
      <c r="DYM85" s="0"/>
      <c r="DYN85" s="0"/>
      <c r="DYO85" s="0"/>
      <c r="DYP85" s="0"/>
      <c r="DYQ85" s="0"/>
      <c r="DYR85" s="0"/>
      <c r="DYS85" s="0"/>
      <c r="DYT85" s="0"/>
      <c r="DYU85" s="0"/>
      <c r="DYV85" s="0"/>
      <c r="DYW85" s="0"/>
      <c r="DYX85" s="0"/>
      <c r="DYY85" s="0"/>
      <c r="DYZ85" s="0"/>
      <c r="DZA85" s="0"/>
      <c r="DZB85" s="0"/>
      <c r="DZC85" s="0"/>
      <c r="DZD85" s="0"/>
      <c r="DZE85" s="0"/>
      <c r="DZF85" s="0"/>
      <c r="DZG85" s="0"/>
      <c r="DZH85" s="0"/>
      <c r="DZI85" s="0"/>
      <c r="DZJ85" s="0"/>
      <c r="DZK85" s="0"/>
      <c r="DZL85" s="0"/>
      <c r="DZM85" s="0"/>
      <c r="DZN85" s="0"/>
      <c r="DZO85" s="0"/>
      <c r="DZP85" s="0"/>
      <c r="DZQ85" s="0"/>
      <c r="DZR85" s="0"/>
      <c r="DZS85" s="0"/>
      <c r="DZT85" s="0"/>
      <c r="DZU85" s="0"/>
      <c r="DZV85" s="0"/>
      <c r="DZW85" s="0"/>
      <c r="DZX85" s="0"/>
      <c r="DZY85" s="0"/>
      <c r="DZZ85" s="0"/>
      <c r="EAA85" s="0"/>
      <c r="EAB85" s="0"/>
      <c r="EAC85" s="0"/>
      <c r="EAD85" s="0"/>
      <c r="EAE85" s="0"/>
      <c r="EAF85" s="0"/>
      <c r="EAG85" s="0"/>
      <c r="EAH85" s="0"/>
      <c r="EAI85" s="0"/>
      <c r="EAJ85" s="0"/>
      <c r="EAK85" s="0"/>
      <c r="EAL85" s="0"/>
      <c r="EAM85" s="0"/>
      <c r="EAN85" s="0"/>
      <c r="EAO85" s="0"/>
      <c r="EAP85" s="0"/>
      <c r="EAQ85" s="0"/>
      <c r="EAR85" s="0"/>
      <c r="EAS85" s="0"/>
      <c r="EAT85" s="0"/>
      <c r="EAU85" s="0"/>
      <c r="EAV85" s="0"/>
      <c r="EAW85" s="0"/>
      <c r="EAX85" s="0"/>
      <c r="EAY85" s="0"/>
      <c r="EAZ85" s="0"/>
      <c r="EBA85" s="0"/>
      <c r="EBB85" s="0"/>
      <c r="EBC85" s="0"/>
      <c r="EBD85" s="0"/>
      <c r="EBE85" s="0"/>
      <c r="EBF85" s="0"/>
      <c r="EBG85" s="0"/>
      <c r="EBH85" s="0"/>
      <c r="EBI85" s="0"/>
      <c r="EBJ85" s="0"/>
      <c r="EBK85" s="0"/>
      <c r="EBL85" s="0"/>
      <c r="EBM85" s="0"/>
      <c r="EBN85" s="0"/>
      <c r="EBO85" s="0"/>
      <c r="EBP85" s="0"/>
      <c r="EBQ85" s="0"/>
      <c r="EBR85" s="0"/>
      <c r="EBS85" s="0"/>
      <c r="EBT85" s="0"/>
      <c r="EBU85" s="0"/>
      <c r="EBV85" s="0"/>
      <c r="EBW85" s="0"/>
      <c r="EBX85" s="0"/>
      <c r="EBY85" s="0"/>
      <c r="EBZ85" s="0"/>
      <c r="ECA85" s="0"/>
      <c r="ECB85" s="0"/>
      <c r="ECC85" s="0"/>
      <c r="ECD85" s="0"/>
      <c r="ECE85" s="0"/>
      <c r="ECF85" s="0"/>
      <c r="ECG85" s="0"/>
      <c r="ECH85" s="0"/>
      <c r="ECI85" s="0"/>
      <c r="ECJ85" s="0"/>
      <c r="ECK85" s="0"/>
      <c r="ECL85" s="0"/>
      <c r="ECM85" s="0"/>
      <c r="ECN85" s="0"/>
      <c r="ECO85" s="0"/>
      <c r="ECP85" s="0"/>
      <c r="ECQ85" s="0"/>
      <c r="ECR85" s="0"/>
      <c r="ECS85" s="0"/>
      <c r="ECT85" s="0"/>
      <c r="ECU85" s="0"/>
      <c r="ECV85" s="0"/>
      <c r="ECW85" s="0"/>
      <c r="ECX85" s="0"/>
      <c r="ECY85" s="0"/>
      <c r="ECZ85" s="0"/>
      <c r="EDA85" s="0"/>
      <c r="EDB85" s="0"/>
      <c r="EDC85" s="0"/>
      <c r="EDD85" s="0"/>
      <c r="EDE85" s="0"/>
      <c r="EDF85" s="0"/>
      <c r="EDG85" s="0"/>
      <c r="EDH85" s="0"/>
      <c r="EDI85" s="0"/>
      <c r="EDJ85" s="0"/>
      <c r="EDK85" s="0"/>
      <c r="EDL85" s="0"/>
      <c r="EDM85" s="0"/>
      <c r="EDN85" s="0"/>
      <c r="EDO85" s="0"/>
      <c r="EDP85" s="0"/>
      <c r="EDQ85" s="0"/>
      <c r="EDR85" s="0"/>
      <c r="EDS85" s="0"/>
      <c r="EDT85" s="0"/>
      <c r="EDU85" s="0"/>
      <c r="EDV85" s="0"/>
      <c r="EDW85" s="0"/>
      <c r="EDX85" s="0"/>
      <c r="EDY85" s="0"/>
      <c r="EDZ85" s="0"/>
      <c r="EEA85" s="0"/>
      <c r="EEB85" s="0"/>
      <c r="EEC85" s="0"/>
      <c r="EED85" s="0"/>
      <c r="EEE85" s="0"/>
      <c r="EEF85" s="0"/>
      <c r="EEG85" s="0"/>
      <c r="EEH85" s="0"/>
      <c r="EEI85" s="0"/>
      <c r="EEJ85" s="0"/>
      <c r="EEK85" s="0"/>
      <c r="EEL85" s="0"/>
      <c r="EEM85" s="0"/>
      <c r="EEN85" s="0"/>
      <c r="EEO85" s="0"/>
      <c r="EEP85" s="0"/>
      <c r="EEQ85" s="0"/>
      <c r="EER85" s="0"/>
      <c r="EES85" s="0"/>
      <c r="EET85" s="0"/>
      <c r="EEU85" s="0"/>
      <c r="EEV85" s="0"/>
      <c r="EEW85" s="0"/>
      <c r="EEX85" s="0"/>
      <c r="EEY85" s="0"/>
      <c r="EEZ85" s="0"/>
      <c r="EFA85" s="0"/>
      <c r="EFB85" s="0"/>
      <c r="EFC85" s="0"/>
      <c r="EFD85" s="0"/>
      <c r="EFE85" s="0"/>
      <c r="EFF85" s="0"/>
      <c r="EFG85" s="0"/>
      <c r="EFH85" s="0"/>
      <c r="EFI85" s="0"/>
      <c r="EFJ85" s="0"/>
      <c r="EFK85" s="0"/>
      <c r="EFL85" s="0"/>
      <c r="EFM85" s="0"/>
      <c r="EFN85" s="0"/>
      <c r="EFO85" s="0"/>
      <c r="EFP85" s="0"/>
      <c r="EFQ85" s="0"/>
      <c r="EFR85" s="0"/>
      <c r="EFS85" s="0"/>
      <c r="EFT85" s="0"/>
      <c r="EFU85" s="0"/>
      <c r="EFV85" s="0"/>
      <c r="EFW85" s="0"/>
      <c r="EFX85" s="0"/>
      <c r="EFY85" s="0"/>
      <c r="EFZ85" s="0"/>
      <c r="EGA85" s="0"/>
      <c r="EGB85" s="0"/>
      <c r="EGC85" s="0"/>
      <c r="EGD85" s="0"/>
      <c r="EGE85" s="0"/>
      <c r="EGF85" s="0"/>
      <c r="EGG85" s="0"/>
      <c r="EGH85" s="0"/>
      <c r="EGI85" s="0"/>
      <c r="EGJ85" s="0"/>
      <c r="EGK85" s="0"/>
      <c r="EGL85" s="0"/>
      <c r="EGM85" s="0"/>
      <c r="EGN85" s="0"/>
      <c r="EGO85" s="0"/>
      <c r="EGP85" s="0"/>
      <c r="EGQ85" s="0"/>
      <c r="EGR85" s="0"/>
      <c r="EGS85" s="0"/>
      <c r="EGT85" s="0"/>
      <c r="EGU85" s="0"/>
      <c r="EGV85" s="0"/>
      <c r="EGW85" s="0"/>
      <c r="EGX85" s="0"/>
      <c r="EGY85" s="0"/>
      <c r="EGZ85" s="0"/>
      <c r="EHA85" s="0"/>
      <c r="EHB85" s="0"/>
      <c r="EHC85" s="0"/>
      <c r="EHD85" s="0"/>
      <c r="EHE85" s="0"/>
      <c r="EHF85" s="0"/>
      <c r="EHG85" s="0"/>
      <c r="EHH85" s="0"/>
      <c r="EHI85" s="0"/>
      <c r="EHJ85" s="0"/>
      <c r="EHK85" s="0"/>
      <c r="EHL85" s="0"/>
      <c r="EHM85" s="0"/>
      <c r="EHN85" s="0"/>
      <c r="EHO85" s="0"/>
      <c r="EHP85" s="0"/>
      <c r="EHQ85" s="0"/>
      <c r="EHR85" s="0"/>
      <c r="EHS85" s="0"/>
      <c r="EHT85" s="0"/>
      <c r="EHU85" s="0"/>
      <c r="EHV85" s="0"/>
      <c r="EHW85" s="0"/>
      <c r="EHX85" s="0"/>
      <c r="EHY85" s="0"/>
      <c r="EHZ85" s="0"/>
      <c r="EIA85" s="0"/>
      <c r="EIB85" s="0"/>
      <c r="EIC85" s="0"/>
      <c r="EID85" s="0"/>
      <c r="EIE85" s="0"/>
      <c r="EIF85" s="0"/>
      <c r="EIG85" s="0"/>
      <c r="EIH85" s="0"/>
      <c r="EII85" s="0"/>
      <c r="EIJ85" s="0"/>
      <c r="EIK85" s="0"/>
      <c r="EIL85" s="0"/>
      <c r="EIM85" s="0"/>
      <c r="EIN85" s="0"/>
      <c r="EIO85" s="0"/>
      <c r="EIP85" s="0"/>
      <c r="EIQ85" s="0"/>
      <c r="EIR85" s="0"/>
      <c r="EIS85" s="0"/>
      <c r="EIT85" s="0"/>
      <c r="EIU85" s="0"/>
      <c r="EIV85" s="0"/>
      <c r="EIW85" s="0"/>
      <c r="EIX85" s="0"/>
      <c r="EIY85" s="0"/>
      <c r="EIZ85" s="0"/>
      <c r="EJA85" s="0"/>
      <c r="EJB85" s="0"/>
      <c r="EJC85" s="0"/>
      <c r="EJD85" s="0"/>
      <c r="EJE85" s="0"/>
      <c r="EJF85" s="0"/>
      <c r="EJG85" s="0"/>
      <c r="EJH85" s="0"/>
      <c r="EJI85" s="0"/>
      <c r="EJJ85" s="0"/>
      <c r="EJK85" s="0"/>
      <c r="EJL85" s="0"/>
      <c r="EJM85" s="0"/>
      <c r="EJN85" s="0"/>
      <c r="EJO85" s="0"/>
      <c r="EJP85" s="0"/>
      <c r="EJQ85" s="0"/>
      <c r="EJR85" s="0"/>
      <c r="EJS85" s="0"/>
      <c r="EJT85" s="0"/>
      <c r="EJU85" s="0"/>
      <c r="EJV85" s="0"/>
      <c r="EJW85" s="0"/>
      <c r="EJX85" s="0"/>
      <c r="EJY85" s="0"/>
      <c r="EJZ85" s="0"/>
      <c r="EKA85" s="0"/>
      <c r="EKB85" s="0"/>
      <c r="EKC85" s="0"/>
      <c r="EKD85" s="0"/>
      <c r="EKE85" s="0"/>
      <c r="EKF85" s="0"/>
      <c r="EKG85" s="0"/>
      <c r="EKH85" s="0"/>
      <c r="EKI85" s="0"/>
      <c r="EKJ85" s="0"/>
      <c r="EKK85" s="0"/>
      <c r="EKL85" s="0"/>
      <c r="EKM85" s="0"/>
      <c r="EKN85" s="0"/>
      <c r="EKO85" s="0"/>
      <c r="EKP85" s="0"/>
      <c r="EKQ85" s="0"/>
      <c r="EKR85" s="0"/>
      <c r="EKS85" s="0"/>
      <c r="EKT85" s="0"/>
      <c r="EKU85" s="0"/>
      <c r="EKV85" s="0"/>
      <c r="EKW85" s="0"/>
      <c r="EKX85" s="0"/>
      <c r="EKY85" s="0"/>
      <c r="EKZ85" s="0"/>
      <c r="ELA85" s="0"/>
      <c r="ELB85" s="0"/>
      <c r="ELC85" s="0"/>
      <c r="ELD85" s="0"/>
      <c r="ELE85" s="0"/>
      <c r="ELF85" s="0"/>
      <c r="ELG85" s="0"/>
      <c r="ELH85" s="0"/>
      <c r="ELI85" s="0"/>
      <c r="ELJ85" s="0"/>
      <c r="ELK85" s="0"/>
      <c r="ELL85" s="0"/>
      <c r="ELM85" s="0"/>
      <c r="ELN85" s="0"/>
      <c r="ELO85" s="0"/>
      <c r="ELP85" s="0"/>
      <c r="ELQ85" s="0"/>
      <c r="ELR85" s="0"/>
      <c r="ELS85" s="0"/>
      <c r="ELT85" s="0"/>
      <c r="ELU85" s="0"/>
      <c r="ELV85" s="0"/>
      <c r="ELW85" s="0"/>
      <c r="ELX85" s="0"/>
      <c r="ELY85" s="0"/>
      <c r="ELZ85" s="0"/>
      <c r="EMA85" s="0"/>
      <c r="EMB85" s="0"/>
      <c r="EMC85" s="0"/>
      <c r="EMD85" s="0"/>
      <c r="EME85" s="0"/>
      <c r="EMF85" s="0"/>
      <c r="EMG85" s="0"/>
      <c r="EMH85" s="0"/>
      <c r="EMI85" s="0"/>
      <c r="EMJ85" s="0"/>
      <c r="EMK85" s="0"/>
      <c r="EML85" s="0"/>
      <c r="EMM85" s="0"/>
      <c r="EMN85" s="0"/>
      <c r="EMO85" s="0"/>
      <c r="EMP85" s="0"/>
      <c r="EMQ85" s="0"/>
      <c r="EMR85" s="0"/>
      <c r="EMS85" s="0"/>
      <c r="EMT85" s="0"/>
      <c r="EMU85" s="0"/>
      <c r="EMV85" s="0"/>
      <c r="EMW85" s="0"/>
      <c r="EMX85" s="0"/>
      <c r="EMY85" s="0"/>
      <c r="EMZ85" s="0"/>
      <c r="ENA85" s="0"/>
      <c r="ENB85" s="0"/>
      <c r="ENC85" s="0"/>
      <c r="END85" s="0"/>
      <c r="ENE85" s="0"/>
      <c r="ENF85" s="0"/>
      <c r="ENG85" s="0"/>
      <c r="ENH85" s="0"/>
      <c r="ENI85" s="0"/>
      <c r="ENJ85" s="0"/>
      <c r="ENK85" s="0"/>
      <c r="ENL85" s="0"/>
      <c r="ENM85" s="0"/>
      <c r="ENN85" s="0"/>
      <c r="ENO85" s="0"/>
      <c r="ENP85" s="0"/>
      <c r="ENQ85" s="0"/>
      <c r="ENR85" s="0"/>
      <c r="ENS85" s="0"/>
      <c r="ENT85" s="0"/>
      <c r="ENU85" s="0"/>
      <c r="ENV85" s="0"/>
      <c r="ENW85" s="0"/>
      <c r="ENX85" s="0"/>
      <c r="ENY85" s="0"/>
      <c r="ENZ85" s="0"/>
      <c r="EOA85" s="0"/>
      <c r="EOB85" s="0"/>
      <c r="EOC85" s="0"/>
      <c r="EOD85" s="0"/>
      <c r="EOE85" s="0"/>
      <c r="EOF85" s="0"/>
      <c r="EOG85" s="0"/>
      <c r="EOH85" s="0"/>
      <c r="EOI85" s="0"/>
      <c r="EOJ85" s="0"/>
      <c r="EOK85" s="0"/>
      <c r="EOL85" s="0"/>
      <c r="EOM85" s="0"/>
      <c r="EON85" s="0"/>
      <c r="EOO85" s="0"/>
      <c r="EOP85" s="0"/>
      <c r="EOQ85" s="0"/>
      <c r="EOR85" s="0"/>
      <c r="EOS85" s="0"/>
      <c r="EOT85" s="0"/>
      <c r="EOU85" s="0"/>
      <c r="EOV85" s="0"/>
      <c r="EOW85" s="0"/>
      <c r="EOX85" s="0"/>
      <c r="EOY85" s="0"/>
      <c r="EOZ85" s="0"/>
      <c r="EPA85" s="0"/>
      <c r="EPB85" s="0"/>
      <c r="EPC85" s="0"/>
      <c r="EPD85" s="0"/>
      <c r="EPE85" s="0"/>
      <c r="EPF85" s="0"/>
      <c r="EPG85" s="0"/>
      <c r="EPH85" s="0"/>
      <c r="EPI85" s="0"/>
      <c r="EPJ85" s="0"/>
      <c r="EPK85" s="0"/>
      <c r="EPL85" s="0"/>
      <c r="EPM85" s="0"/>
      <c r="EPN85" s="0"/>
      <c r="EPO85" s="0"/>
      <c r="EPP85" s="0"/>
      <c r="EPQ85" s="0"/>
      <c r="EPR85" s="0"/>
      <c r="EPS85" s="0"/>
      <c r="EPT85" s="0"/>
      <c r="EPU85" s="0"/>
      <c r="EPV85" s="0"/>
      <c r="EPW85" s="0"/>
      <c r="EPX85" s="0"/>
      <c r="EPY85" s="0"/>
      <c r="EPZ85" s="0"/>
      <c r="EQA85" s="0"/>
      <c r="EQB85" s="0"/>
      <c r="EQC85" s="0"/>
      <c r="EQD85" s="0"/>
      <c r="EQE85" s="0"/>
      <c r="EQF85" s="0"/>
      <c r="EQG85" s="0"/>
      <c r="EQH85" s="0"/>
      <c r="EQI85" s="0"/>
      <c r="EQJ85" s="0"/>
      <c r="EQK85" s="0"/>
      <c r="EQL85" s="0"/>
      <c r="EQM85" s="0"/>
      <c r="EQN85" s="0"/>
      <c r="EQO85" s="0"/>
      <c r="EQP85" s="0"/>
      <c r="EQQ85" s="0"/>
      <c r="EQR85" s="0"/>
      <c r="EQS85" s="0"/>
      <c r="EQT85" s="0"/>
      <c r="EQU85" s="0"/>
      <c r="EQV85" s="0"/>
      <c r="EQW85" s="0"/>
      <c r="EQX85" s="0"/>
      <c r="EQY85" s="0"/>
      <c r="EQZ85" s="0"/>
      <c r="ERA85" s="0"/>
      <c r="ERB85" s="0"/>
      <c r="ERC85" s="0"/>
      <c r="ERD85" s="0"/>
      <c r="ERE85" s="0"/>
      <c r="ERF85" s="0"/>
      <c r="ERG85" s="0"/>
      <c r="ERH85" s="0"/>
      <c r="ERI85" s="0"/>
      <c r="ERJ85" s="0"/>
      <c r="ERK85" s="0"/>
      <c r="ERL85" s="0"/>
      <c r="ERM85" s="0"/>
      <c r="ERN85" s="0"/>
      <c r="ERO85" s="0"/>
      <c r="ERP85" s="0"/>
      <c r="ERQ85" s="0"/>
      <c r="ERR85" s="0"/>
      <c r="ERS85" s="0"/>
      <c r="ERT85" s="0"/>
      <c r="ERU85" s="0"/>
      <c r="ERV85" s="0"/>
      <c r="ERW85" s="0"/>
      <c r="ERX85" s="0"/>
      <c r="ERY85" s="0"/>
      <c r="ERZ85" s="0"/>
      <c r="ESA85" s="0"/>
      <c r="ESB85" s="0"/>
      <c r="ESC85" s="0"/>
      <c r="ESD85" s="0"/>
      <c r="ESE85" s="0"/>
      <c r="ESF85" s="0"/>
      <c r="ESG85" s="0"/>
      <c r="ESH85" s="0"/>
      <c r="ESI85" s="0"/>
      <c r="ESJ85" s="0"/>
      <c r="ESK85" s="0"/>
      <c r="ESL85" s="0"/>
      <c r="ESM85" s="0"/>
      <c r="ESN85" s="0"/>
      <c r="ESO85" s="0"/>
      <c r="ESP85" s="0"/>
      <c r="ESQ85" s="0"/>
      <c r="ESR85" s="0"/>
      <c r="ESS85" s="0"/>
      <c r="EST85" s="0"/>
      <c r="ESU85" s="0"/>
      <c r="ESV85" s="0"/>
      <c r="ESW85" s="0"/>
      <c r="ESX85" s="0"/>
      <c r="ESY85" s="0"/>
      <c r="ESZ85" s="0"/>
      <c r="ETA85" s="0"/>
      <c r="ETB85" s="0"/>
      <c r="ETC85" s="0"/>
      <c r="ETD85" s="0"/>
      <c r="ETE85" s="0"/>
      <c r="ETF85" s="0"/>
      <c r="ETG85" s="0"/>
      <c r="ETH85" s="0"/>
      <c r="ETI85" s="0"/>
      <c r="ETJ85" s="0"/>
      <c r="ETK85" s="0"/>
      <c r="ETL85" s="0"/>
      <c r="ETM85" s="0"/>
      <c r="ETN85" s="0"/>
      <c r="ETO85" s="0"/>
      <c r="ETP85" s="0"/>
      <c r="ETQ85" s="0"/>
      <c r="ETR85" s="0"/>
      <c r="ETS85" s="0"/>
      <c r="ETT85" s="0"/>
      <c r="ETU85" s="0"/>
      <c r="ETV85" s="0"/>
      <c r="ETW85" s="0"/>
      <c r="ETX85" s="0"/>
      <c r="ETY85" s="0"/>
      <c r="ETZ85" s="0"/>
      <c r="EUA85" s="0"/>
      <c r="EUB85" s="0"/>
      <c r="EUC85" s="0"/>
      <c r="EUD85" s="0"/>
      <c r="EUE85" s="0"/>
      <c r="EUF85" s="0"/>
      <c r="EUG85" s="0"/>
      <c r="EUH85" s="0"/>
      <c r="EUI85" s="0"/>
      <c r="EUJ85" s="0"/>
      <c r="EUK85" s="0"/>
      <c r="EUL85" s="0"/>
      <c r="EUM85" s="0"/>
      <c r="EUN85" s="0"/>
      <c r="EUO85" s="0"/>
      <c r="EUP85" s="0"/>
      <c r="EUQ85" s="0"/>
      <c r="EUR85" s="0"/>
      <c r="EUS85" s="0"/>
      <c r="EUT85" s="0"/>
      <c r="EUU85" s="0"/>
      <c r="EUV85" s="0"/>
      <c r="EUW85" s="0"/>
      <c r="EUX85" s="0"/>
      <c r="EUY85" s="0"/>
      <c r="EUZ85" s="0"/>
      <c r="EVA85" s="0"/>
      <c r="EVB85" s="0"/>
      <c r="EVC85" s="0"/>
      <c r="EVD85" s="0"/>
      <c r="EVE85" s="0"/>
      <c r="EVF85" s="0"/>
      <c r="EVG85" s="0"/>
      <c r="EVH85" s="0"/>
      <c r="EVI85" s="0"/>
      <c r="EVJ85" s="0"/>
      <c r="EVK85" s="0"/>
      <c r="EVL85" s="0"/>
      <c r="EVM85" s="0"/>
      <c r="EVN85" s="0"/>
      <c r="EVO85" s="0"/>
      <c r="EVP85" s="0"/>
      <c r="EVQ85" s="0"/>
      <c r="EVR85" s="0"/>
      <c r="EVS85" s="0"/>
      <c r="EVT85" s="0"/>
      <c r="EVU85" s="0"/>
      <c r="EVV85" s="0"/>
      <c r="EVW85" s="0"/>
      <c r="EVX85" s="0"/>
      <c r="EVY85" s="0"/>
      <c r="EVZ85" s="0"/>
      <c r="EWA85" s="0"/>
      <c r="EWB85" s="0"/>
      <c r="EWC85" s="0"/>
      <c r="EWD85" s="0"/>
      <c r="EWE85" s="0"/>
      <c r="EWF85" s="0"/>
      <c r="EWG85" s="0"/>
      <c r="EWH85" s="0"/>
      <c r="EWI85" s="0"/>
      <c r="EWJ85" s="0"/>
      <c r="EWK85" s="0"/>
      <c r="EWL85" s="0"/>
      <c r="EWM85" s="0"/>
      <c r="EWN85" s="0"/>
      <c r="EWO85" s="0"/>
      <c r="EWP85" s="0"/>
      <c r="EWQ85" s="0"/>
      <c r="EWR85" s="0"/>
      <c r="EWS85" s="0"/>
      <c r="EWT85" s="0"/>
      <c r="EWU85" s="0"/>
      <c r="EWV85" s="0"/>
      <c r="EWW85" s="0"/>
      <c r="EWX85" s="0"/>
      <c r="EWY85" s="0"/>
      <c r="EWZ85" s="0"/>
      <c r="EXA85" s="0"/>
      <c r="EXB85" s="0"/>
      <c r="EXC85" s="0"/>
      <c r="EXD85" s="0"/>
      <c r="EXE85" s="0"/>
      <c r="EXF85" s="0"/>
      <c r="EXG85" s="0"/>
      <c r="EXH85" s="0"/>
      <c r="EXI85" s="0"/>
      <c r="EXJ85" s="0"/>
      <c r="EXK85" s="0"/>
      <c r="EXL85" s="0"/>
      <c r="EXM85" s="0"/>
      <c r="EXN85" s="0"/>
      <c r="EXO85" s="0"/>
      <c r="EXP85" s="0"/>
      <c r="EXQ85" s="0"/>
      <c r="EXR85" s="0"/>
      <c r="EXS85" s="0"/>
      <c r="EXT85" s="0"/>
      <c r="EXU85" s="0"/>
      <c r="EXV85" s="0"/>
      <c r="EXW85" s="0"/>
      <c r="EXX85" s="0"/>
      <c r="EXY85" s="0"/>
      <c r="EXZ85" s="0"/>
      <c r="EYA85" s="0"/>
      <c r="EYB85" s="0"/>
      <c r="EYC85" s="0"/>
      <c r="EYD85" s="0"/>
      <c r="EYE85" s="0"/>
      <c r="EYF85" s="0"/>
      <c r="EYG85" s="0"/>
      <c r="EYH85" s="0"/>
      <c r="EYI85" s="0"/>
      <c r="EYJ85" s="0"/>
      <c r="EYK85" s="0"/>
      <c r="EYL85" s="0"/>
      <c r="EYM85" s="0"/>
      <c r="EYN85" s="0"/>
      <c r="EYO85" s="0"/>
      <c r="EYP85" s="0"/>
      <c r="EYQ85" s="0"/>
      <c r="EYR85" s="0"/>
      <c r="EYS85" s="0"/>
      <c r="EYT85" s="0"/>
      <c r="EYU85" s="0"/>
      <c r="EYV85" s="0"/>
      <c r="EYW85" s="0"/>
      <c r="EYX85" s="0"/>
      <c r="EYY85" s="0"/>
      <c r="EYZ85" s="0"/>
      <c r="EZA85" s="0"/>
      <c r="EZB85" s="0"/>
      <c r="EZC85" s="0"/>
      <c r="EZD85" s="0"/>
      <c r="EZE85" s="0"/>
      <c r="EZF85" s="0"/>
      <c r="EZG85" s="0"/>
      <c r="EZH85" s="0"/>
      <c r="EZI85" s="0"/>
      <c r="EZJ85" s="0"/>
      <c r="EZK85" s="0"/>
      <c r="EZL85" s="0"/>
      <c r="EZM85" s="0"/>
      <c r="EZN85" s="0"/>
      <c r="EZO85" s="0"/>
      <c r="EZP85" s="0"/>
      <c r="EZQ85" s="0"/>
      <c r="EZR85" s="0"/>
      <c r="EZS85" s="0"/>
      <c r="EZT85" s="0"/>
      <c r="EZU85" s="0"/>
      <c r="EZV85" s="0"/>
      <c r="EZW85" s="0"/>
      <c r="EZX85" s="0"/>
      <c r="EZY85" s="0"/>
      <c r="EZZ85" s="0"/>
      <c r="FAA85" s="0"/>
      <c r="FAB85" s="0"/>
      <c r="FAC85" s="0"/>
      <c r="FAD85" s="0"/>
      <c r="FAE85" s="0"/>
      <c r="FAF85" s="0"/>
      <c r="FAG85" s="0"/>
      <c r="FAH85" s="0"/>
      <c r="FAI85" s="0"/>
      <c r="FAJ85" s="0"/>
      <c r="FAK85" s="0"/>
      <c r="FAL85" s="0"/>
      <c r="FAM85" s="0"/>
      <c r="FAN85" s="0"/>
      <c r="FAO85" s="0"/>
      <c r="FAP85" s="0"/>
      <c r="FAQ85" s="0"/>
      <c r="FAR85" s="0"/>
      <c r="FAS85" s="0"/>
      <c r="FAT85" s="0"/>
      <c r="FAU85" s="0"/>
      <c r="FAV85" s="0"/>
      <c r="FAW85" s="0"/>
      <c r="FAX85" s="0"/>
      <c r="FAY85" s="0"/>
      <c r="FAZ85" s="0"/>
      <c r="FBA85" s="0"/>
      <c r="FBB85" s="0"/>
      <c r="FBC85" s="0"/>
      <c r="FBD85" s="0"/>
      <c r="FBE85" s="0"/>
      <c r="FBF85" s="0"/>
      <c r="FBG85" s="0"/>
      <c r="FBH85" s="0"/>
      <c r="FBI85" s="0"/>
      <c r="FBJ85" s="0"/>
      <c r="FBK85" s="0"/>
      <c r="FBL85" s="0"/>
      <c r="FBM85" s="0"/>
      <c r="FBN85" s="0"/>
      <c r="FBO85" s="0"/>
      <c r="FBP85" s="0"/>
      <c r="FBQ85" s="0"/>
      <c r="FBR85" s="0"/>
      <c r="FBS85" s="0"/>
      <c r="FBT85" s="0"/>
      <c r="FBU85" s="0"/>
      <c r="FBV85" s="0"/>
      <c r="FBW85" s="0"/>
      <c r="FBX85" s="0"/>
      <c r="FBY85" s="0"/>
      <c r="FBZ85" s="0"/>
      <c r="FCA85" s="0"/>
      <c r="FCB85" s="0"/>
      <c r="FCC85" s="0"/>
      <c r="FCD85" s="0"/>
      <c r="FCE85" s="0"/>
      <c r="FCF85" s="0"/>
      <c r="FCG85" s="0"/>
      <c r="FCH85" s="0"/>
      <c r="FCI85" s="0"/>
      <c r="FCJ85" s="0"/>
      <c r="FCK85" s="0"/>
      <c r="FCL85" s="0"/>
      <c r="FCM85" s="0"/>
      <c r="FCN85" s="0"/>
      <c r="FCO85" s="0"/>
      <c r="FCP85" s="0"/>
      <c r="FCQ85" s="0"/>
      <c r="FCR85" s="0"/>
      <c r="FCS85" s="0"/>
      <c r="FCT85" s="0"/>
      <c r="FCU85" s="0"/>
      <c r="FCV85" s="0"/>
      <c r="FCW85" s="0"/>
      <c r="FCX85" s="0"/>
      <c r="FCY85" s="0"/>
      <c r="FCZ85" s="0"/>
      <c r="FDA85" s="0"/>
      <c r="FDB85" s="0"/>
      <c r="FDC85" s="0"/>
      <c r="FDD85" s="0"/>
      <c r="FDE85" s="0"/>
      <c r="FDF85" s="0"/>
      <c r="FDG85" s="0"/>
      <c r="FDH85" s="0"/>
      <c r="FDI85" s="0"/>
      <c r="FDJ85" s="0"/>
      <c r="FDK85" s="0"/>
      <c r="FDL85" s="0"/>
      <c r="FDM85" s="0"/>
      <c r="FDN85" s="0"/>
      <c r="FDO85" s="0"/>
      <c r="FDP85" s="0"/>
      <c r="FDQ85" s="0"/>
      <c r="FDR85" s="0"/>
      <c r="FDS85" s="0"/>
      <c r="FDT85" s="0"/>
      <c r="FDU85" s="0"/>
      <c r="FDV85" s="0"/>
      <c r="FDW85" s="0"/>
      <c r="FDX85" s="0"/>
      <c r="FDY85" s="0"/>
      <c r="FDZ85" s="0"/>
      <c r="FEA85" s="0"/>
      <c r="FEB85" s="0"/>
      <c r="FEC85" s="0"/>
      <c r="FED85" s="0"/>
      <c r="FEE85" s="0"/>
      <c r="FEF85" s="0"/>
      <c r="FEG85" s="0"/>
      <c r="FEH85" s="0"/>
      <c r="FEI85" s="0"/>
      <c r="FEJ85" s="0"/>
      <c r="FEK85" s="0"/>
      <c r="FEL85" s="0"/>
      <c r="FEM85" s="0"/>
      <c r="FEN85" s="0"/>
      <c r="FEO85" s="0"/>
      <c r="FEP85" s="0"/>
      <c r="FEQ85" s="0"/>
      <c r="FER85" s="0"/>
      <c r="FES85" s="0"/>
      <c r="FET85" s="0"/>
      <c r="FEU85" s="0"/>
      <c r="FEV85" s="0"/>
      <c r="FEW85" s="0"/>
      <c r="FEX85" s="0"/>
      <c r="FEY85" s="0"/>
      <c r="FEZ85" s="0"/>
      <c r="FFA85" s="0"/>
      <c r="FFB85" s="0"/>
      <c r="FFC85" s="0"/>
      <c r="FFD85" s="0"/>
      <c r="FFE85" s="0"/>
      <c r="FFF85" s="0"/>
      <c r="FFG85" s="0"/>
      <c r="FFH85" s="0"/>
      <c r="FFI85" s="0"/>
      <c r="FFJ85" s="0"/>
      <c r="FFK85" s="0"/>
      <c r="FFL85" s="0"/>
      <c r="FFM85" s="0"/>
      <c r="FFN85" s="0"/>
      <c r="FFO85" s="0"/>
      <c r="FFP85" s="0"/>
      <c r="FFQ85" s="0"/>
      <c r="FFR85" s="0"/>
      <c r="FFS85" s="0"/>
      <c r="FFT85" s="0"/>
      <c r="FFU85" s="0"/>
      <c r="FFV85" s="0"/>
      <c r="FFW85" s="0"/>
      <c r="FFX85" s="0"/>
      <c r="FFY85" s="0"/>
      <c r="FFZ85" s="0"/>
      <c r="FGA85" s="0"/>
      <c r="FGB85" s="0"/>
      <c r="FGC85" s="0"/>
      <c r="FGD85" s="0"/>
      <c r="FGE85" s="0"/>
      <c r="FGF85" s="0"/>
      <c r="FGG85" s="0"/>
      <c r="FGH85" s="0"/>
      <c r="FGI85" s="0"/>
      <c r="FGJ85" s="0"/>
      <c r="FGK85" s="0"/>
      <c r="FGL85" s="0"/>
      <c r="FGM85" s="0"/>
      <c r="FGN85" s="0"/>
      <c r="FGO85" s="0"/>
      <c r="FGP85" s="0"/>
      <c r="FGQ85" s="0"/>
      <c r="FGR85" s="0"/>
      <c r="FGS85" s="0"/>
      <c r="FGT85" s="0"/>
      <c r="FGU85" s="0"/>
      <c r="FGV85" s="0"/>
      <c r="FGW85" s="0"/>
      <c r="FGX85" s="0"/>
      <c r="FGY85" s="0"/>
      <c r="FGZ85" s="0"/>
      <c r="FHA85" s="0"/>
      <c r="FHB85" s="0"/>
      <c r="FHC85" s="0"/>
      <c r="FHD85" s="0"/>
      <c r="FHE85" s="0"/>
      <c r="FHF85" s="0"/>
      <c r="FHG85" s="0"/>
      <c r="FHH85" s="0"/>
      <c r="FHI85" s="0"/>
      <c r="FHJ85" s="0"/>
      <c r="FHK85" s="0"/>
      <c r="FHL85" s="0"/>
      <c r="FHM85" s="0"/>
      <c r="FHN85" s="0"/>
      <c r="FHO85" s="0"/>
      <c r="FHP85" s="0"/>
      <c r="FHQ85" s="0"/>
      <c r="FHR85" s="0"/>
      <c r="FHS85" s="0"/>
      <c r="FHT85" s="0"/>
      <c r="FHU85" s="0"/>
      <c r="FHV85" s="0"/>
      <c r="FHW85" s="0"/>
      <c r="FHX85" s="0"/>
      <c r="FHY85" s="0"/>
      <c r="FHZ85" s="0"/>
      <c r="FIA85" s="0"/>
      <c r="FIB85" s="0"/>
      <c r="FIC85" s="0"/>
      <c r="FID85" s="0"/>
      <c r="FIE85" s="0"/>
      <c r="FIF85" s="0"/>
      <c r="FIG85" s="0"/>
      <c r="FIH85" s="0"/>
      <c r="FII85" s="0"/>
      <c r="FIJ85" s="0"/>
      <c r="FIK85" s="0"/>
      <c r="FIL85" s="0"/>
      <c r="FIM85" s="0"/>
      <c r="FIN85" s="0"/>
      <c r="FIO85" s="0"/>
      <c r="FIP85" s="0"/>
      <c r="FIQ85" s="0"/>
      <c r="FIR85" s="0"/>
      <c r="FIS85" s="0"/>
      <c r="FIT85" s="0"/>
      <c r="FIU85" s="0"/>
      <c r="FIV85" s="0"/>
      <c r="FIW85" s="0"/>
      <c r="FIX85" s="0"/>
      <c r="FIY85" s="0"/>
      <c r="FIZ85" s="0"/>
      <c r="FJA85" s="0"/>
      <c r="FJB85" s="0"/>
      <c r="FJC85" s="0"/>
      <c r="FJD85" s="0"/>
      <c r="FJE85" s="0"/>
      <c r="FJF85" s="0"/>
      <c r="FJG85" s="0"/>
      <c r="FJH85" s="0"/>
      <c r="FJI85" s="0"/>
      <c r="FJJ85" s="0"/>
      <c r="FJK85" s="0"/>
      <c r="FJL85" s="0"/>
      <c r="FJM85" s="0"/>
      <c r="FJN85" s="0"/>
      <c r="FJO85" s="0"/>
      <c r="FJP85" s="0"/>
      <c r="FJQ85" s="0"/>
      <c r="FJR85" s="0"/>
      <c r="FJS85" s="0"/>
      <c r="FJT85" s="0"/>
      <c r="FJU85" s="0"/>
      <c r="FJV85" s="0"/>
      <c r="FJW85" s="0"/>
      <c r="FJX85" s="0"/>
      <c r="FJY85" s="0"/>
      <c r="FJZ85" s="0"/>
      <c r="FKA85" s="0"/>
      <c r="FKB85" s="0"/>
      <c r="FKC85" s="0"/>
      <c r="FKD85" s="0"/>
      <c r="FKE85" s="0"/>
      <c r="FKF85" s="0"/>
      <c r="FKG85" s="0"/>
      <c r="FKH85" s="0"/>
      <c r="FKI85" s="0"/>
      <c r="FKJ85" s="0"/>
      <c r="FKK85" s="0"/>
      <c r="FKL85" s="0"/>
      <c r="FKM85" s="0"/>
      <c r="FKN85" s="0"/>
      <c r="FKO85" s="0"/>
      <c r="FKP85" s="0"/>
      <c r="FKQ85" s="0"/>
      <c r="FKR85" s="0"/>
      <c r="FKS85" s="0"/>
      <c r="FKT85" s="0"/>
      <c r="FKU85" s="0"/>
      <c r="FKV85" s="0"/>
      <c r="FKW85" s="0"/>
      <c r="FKX85" s="0"/>
      <c r="FKY85" s="0"/>
      <c r="FKZ85" s="0"/>
      <c r="FLA85" s="0"/>
      <c r="FLB85" s="0"/>
      <c r="FLC85" s="0"/>
      <c r="FLD85" s="0"/>
      <c r="FLE85" s="0"/>
      <c r="FLF85" s="0"/>
      <c r="FLG85" s="0"/>
      <c r="FLH85" s="0"/>
      <c r="FLI85" s="0"/>
      <c r="FLJ85" s="0"/>
      <c r="FLK85" s="0"/>
      <c r="FLL85" s="0"/>
      <c r="FLM85" s="0"/>
      <c r="FLN85" s="0"/>
      <c r="FLO85" s="0"/>
      <c r="FLP85" s="0"/>
      <c r="FLQ85" s="0"/>
      <c r="FLR85" s="0"/>
      <c r="FLS85" s="0"/>
      <c r="FLT85" s="0"/>
      <c r="FLU85" s="0"/>
      <c r="FLV85" s="0"/>
      <c r="FLW85" s="0"/>
      <c r="FLX85" s="0"/>
      <c r="FLY85" s="0"/>
      <c r="FLZ85" s="0"/>
      <c r="FMA85" s="0"/>
      <c r="FMB85" s="0"/>
      <c r="FMC85" s="0"/>
      <c r="FMD85" s="0"/>
      <c r="FME85" s="0"/>
      <c r="FMF85" s="0"/>
      <c r="FMG85" s="0"/>
      <c r="FMH85" s="0"/>
      <c r="FMI85" s="0"/>
      <c r="FMJ85" s="0"/>
      <c r="FMK85" s="0"/>
      <c r="FML85" s="0"/>
      <c r="FMM85" s="0"/>
      <c r="FMN85" s="0"/>
      <c r="FMO85" s="0"/>
      <c r="FMP85" s="0"/>
      <c r="FMQ85" s="0"/>
      <c r="FMR85" s="0"/>
      <c r="FMS85" s="0"/>
      <c r="FMT85" s="0"/>
      <c r="FMU85" s="0"/>
      <c r="FMV85" s="0"/>
      <c r="FMW85" s="0"/>
      <c r="FMX85" s="0"/>
      <c r="FMY85" s="0"/>
      <c r="FMZ85" s="0"/>
      <c r="FNA85" s="0"/>
      <c r="FNB85" s="0"/>
      <c r="FNC85" s="0"/>
      <c r="FND85" s="0"/>
      <c r="FNE85" s="0"/>
      <c r="FNF85" s="0"/>
      <c r="FNG85" s="0"/>
      <c r="FNH85" s="0"/>
      <c r="FNI85" s="0"/>
      <c r="FNJ85" s="0"/>
      <c r="FNK85" s="0"/>
      <c r="FNL85" s="0"/>
      <c r="FNM85" s="0"/>
      <c r="FNN85" s="0"/>
      <c r="FNO85" s="0"/>
      <c r="FNP85" s="0"/>
      <c r="FNQ85" s="0"/>
      <c r="FNR85" s="0"/>
      <c r="FNS85" s="0"/>
      <c r="FNT85" s="0"/>
      <c r="FNU85" s="0"/>
      <c r="FNV85" s="0"/>
      <c r="FNW85" s="0"/>
      <c r="FNX85" s="0"/>
      <c r="FNY85" s="0"/>
      <c r="FNZ85" s="0"/>
      <c r="FOA85" s="0"/>
      <c r="FOB85" s="0"/>
      <c r="FOC85" s="0"/>
      <c r="FOD85" s="0"/>
      <c r="FOE85" s="0"/>
      <c r="FOF85" s="0"/>
      <c r="FOG85" s="0"/>
      <c r="FOH85" s="0"/>
      <c r="FOI85" s="0"/>
      <c r="FOJ85" s="0"/>
      <c r="FOK85" s="0"/>
      <c r="FOL85" s="0"/>
      <c r="FOM85" s="0"/>
      <c r="FON85" s="0"/>
      <c r="FOO85" s="0"/>
      <c r="FOP85" s="0"/>
      <c r="FOQ85" s="0"/>
      <c r="FOR85" s="0"/>
      <c r="FOS85" s="0"/>
      <c r="FOT85" s="0"/>
      <c r="FOU85" s="0"/>
      <c r="FOV85" s="0"/>
      <c r="FOW85" s="0"/>
      <c r="FOX85" s="0"/>
      <c r="FOY85" s="0"/>
      <c r="FOZ85" s="0"/>
      <c r="FPA85" s="0"/>
      <c r="FPB85" s="0"/>
      <c r="FPC85" s="0"/>
      <c r="FPD85" s="0"/>
      <c r="FPE85" s="0"/>
      <c r="FPF85" s="0"/>
      <c r="FPG85" s="0"/>
      <c r="FPH85" s="0"/>
      <c r="FPI85" s="0"/>
      <c r="FPJ85" s="0"/>
      <c r="FPK85" s="0"/>
      <c r="FPL85" s="0"/>
      <c r="FPM85" s="0"/>
      <c r="FPN85" s="0"/>
      <c r="FPO85" s="0"/>
      <c r="FPP85" s="0"/>
      <c r="FPQ85" s="0"/>
      <c r="FPR85" s="0"/>
      <c r="FPS85" s="0"/>
      <c r="FPT85" s="0"/>
      <c r="FPU85" s="0"/>
      <c r="FPV85" s="0"/>
      <c r="FPW85" s="0"/>
      <c r="FPX85" s="0"/>
      <c r="FPY85" s="0"/>
      <c r="FPZ85" s="0"/>
      <c r="FQA85" s="0"/>
      <c r="FQB85" s="0"/>
      <c r="FQC85" s="0"/>
      <c r="FQD85" s="0"/>
      <c r="FQE85" s="0"/>
      <c r="FQF85" s="0"/>
      <c r="FQG85" s="0"/>
      <c r="FQH85" s="0"/>
      <c r="FQI85" s="0"/>
      <c r="FQJ85" s="0"/>
      <c r="FQK85" s="0"/>
      <c r="FQL85" s="0"/>
      <c r="FQM85" s="0"/>
      <c r="FQN85" s="0"/>
      <c r="FQO85" s="0"/>
      <c r="FQP85" s="0"/>
      <c r="FQQ85" s="0"/>
      <c r="FQR85" s="0"/>
      <c r="FQS85" s="0"/>
      <c r="FQT85" s="0"/>
      <c r="FQU85" s="0"/>
      <c r="FQV85" s="0"/>
      <c r="FQW85" s="0"/>
      <c r="FQX85" s="0"/>
      <c r="FQY85" s="0"/>
      <c r="FQZ85" s="0"/>
      <c r="FRA85" s="0"/>
      <c r="FRB85" s="0"/>
      <c r="FRC85" s="0"/>
      <c r="FRD85" s="0"/>
      <c r="FRE85" s="0"/>
      <c r="FRF85" s="0"/>
      <c r="FRG85" s="0"/>
      <c r="FRH85" s="0"/>
      <c r="FRI85" s="0"/>
      <c r="FRJ85" s="0"/>
      <c r="FRK85" s="0"/>
      <c r="FRL85" s="0"/>
      <c r="FRM85" s="0"/>
      <c r="FRN85" s="0"/>
      <c r="FRO85" s="0"/>
      <c r="FRP85" s="0"/>
      <c r="FRQ85" s="0"/>
      <c r="FRR85" s="0"/>
      <c r="FRS85" s="0"/>
      <c r="FRT85" s="0"/>
      <c r="FRU85" s="0"/>
      <c r="FRV85" s="0"/>
      <c r="FRW85" s="0"/>
      <c r="FRX85" s="0"/>
      <c r="FRY85" s="0"/>
      <c r="FRZ85" s="0"/>
      <c r="FSA85" s="0"/>
      <c r="FSB85" s="0"/>
      <c r="FSC85" s="0"/>
      <c r="FSD85" s="0"/>
      <c r="FSE85" s="0"/>
      <c r="FSF85" s="0"/>
      <c r="FSG85" s="0"/>
      <c r="FSH85" s="0"/>
      <c r="FSI85" s="0"/>
      <c r="FSJ85" s="0"/>
      <c r="FSK85" s="0"/>
      <c r="FSL85" s="0"/>
      <c r="FSM85" s="0"/>
      <c r="FSN85" s="0"/>
      <c r="FSO85" s="0"/>
      <c r="FSP85" s="0"/>
      <c r="FSQ85" s="0"/>
      <c r="FSR85" s="0"/>
      <c r="FSS85" s="0"/>
      <c r="FST85" s="0"/>
      <c r="FSU85" s="0"/>
      <c r="FSV85" s="0"/>
      <c r="FSW85" s="0"/>
      <c r="FSX85" s="0"/>
      <c r="FSY85" s="0"/>
      <c r="FSZ85" s="0"/>
      <c r="FTA85" s="0"/>
      <c r="FTB85" s="0"/>
      <c r="FTC85" s="0"/>
      <c r="FTD85" s="0"/>
      <c r="FTE85" s="0"/>
      <c r="FTF85" s="0"/>
      <c r="FTG85" s="0"/>
      <c r="FTH85" s="0"/>
      <c r="FTI85" s="0"/>
      <c r="FTJ85" s="0"/>
      <c r="FTK85" s="0"/>
      <c r="FTL85" s="0"/>
      <c r="FTM85" s="0"/>
      <c r="FTN85" s="0"/>
      <c r="FTO85" s="0"/>
      <c r="FTP85" s="0"/>
      <c r="FTQ85" s="0"/>
      <c r="FTR85" s="0"/>
      <c r="FTS85" s="0"/>
      <c r="FTT85" s="0"/>
      <c r="FTU85" s="0"/>
      <c r="FTV85" s="0"/>
      <c r="FTW85" s="0"/>
      <c r="FTX85" s="0"/>
      <c r="FTY85" s="0"/>
      <c r="FTZ85" s="0"/>
      <c r="FUA85" s="0"/>
      <c r="FUB85" s="0"/>
      <c r="FUC85" s="0"/>
      <c r="FUD85" s="0"/>
      <c r="FUE85" s="0"/>
      <c r="FUF85" s="0"/>
      <c r="FUG85" s="0"/>
      <c r="FUH85" s="0"/>
      <c r="FUI85" s="0"/>
      <c r="FUJ85" s="0"/>
      <c r="FUK85" s="0"/>
      <c r="FUL85" s="0"/>
      <c r="FUM85" s="0"/>
      <c r="FUN85" s="0"/>
      <c r="FUO85" s="0"/>
      <c r="FUP85" s="0"/>
      <c r="FUQ85" s="0"/>
      <c r="FUR85" s="0"/>
      <c r="FUS85" s="0"/>
      <c r="FUT85" s="0"/>
      <c r="FUU85" s="0"/>
      <c r="FUV85" s="0"/>
      <c r="FUW85" s="0"/>
      <c r="FUX85" s="0"/>
      <c r="FUY85" s="0"/>
      <c r="FUZ85" s="0"/>
      <c r="FVA85" s="0"/>
      <c r="FVB85" s="0"/>
      <c r="FVC85" s="0"/>
      <c r="FVD85" s="0"/>
      <c r="FVE85" s="0"/>
      <c r="FVF85" s="0"/>
      <c r="FVG85" s="0"/>
      <c r="FVH85" s="0"/>
      <c r="FVI85" s="0"/>
      <c r="FVJ85" s="0"/>
      <c r="FVK85" s="0"/>
      <c r="FVL85" s="0"/>
      <c r="FVM85" s="0"/>
      <c r="FVN85" s="0"/>
      <c r="FVO85" s="0"/>
      <c r="FVP85" s="0"/>
      <c r="FVQ85" s="0"/>
      <c r="FVR85" s="0"/>
      <c r="FVS85" s="0"/>
      <c r="FVT85" s="0"/>
      <c r="FVU85" s="0"/>
      <c r="FVV85" s="0"/>
      <c r="FVW85" s="0"/>
      <c r="FVX85" s="0"/>
      <c r="FVY85" s="0"/>
      <c r="FVZ85" s="0"/>
      <c r="FWA85" s="0"/>
      <c r="FWB85" s="0"/>
      <c r="FWC85" s="0"/>
      <c r="FWD85" s="0"/>
      <c r="FWE85" s="0"/>
      <c r="FWF85" s="0"/>
      <c r="FWG85" s="0"/>
      <c r="FWH85" s="0"/>
      <c r="FWI85" s="0"/>
      <c r="FWJ85" s="0"/>
      <c r="FWK85" s="0"/>
      <c r="FWL85" s="0"/>
      <c r="FWM85" s="0"/>
      <c r="FWN85" s="0"/>
      <c r="FWO85" s="0"/>
      <c r="FWP85" s="0"/>
      <c r="FWQ85" s="0"/>
      <c r="FWR85" s="0"/>
      <c r="FWS85" s="0"/>
      <c r="FWT85" s="0"/>
      <c r="FWU85" s="0"/>
      <c r="FWV85" s="0"/>
      <c r="FWW85" s="0"/>
      <c r="FWX85" s="0"/>
      <c r="FWY85" s="0"/>
      <c r="FWZ85" s="0"/>
      <c r="FXA85" s="0"/>
      <c r="FXB85" s="0"/>
      <c r="FXC85" s="0"/>
      <c r="FXD85" s="0"/>
      <c r="FXE85" s="0"/>
      <c r="FXF85" s="0"/>
      <c r="FXG85" s="0"/>
      <c r="FXH85" s="0"/>
      <c r="FXI85" s="0"/>
      <c r="FXJ85" s="0"/>
      <c r="FXK85" s="0"/>
      <c r="FXL85" s="0"/>
      <c r="FXM85" s="0"/>
      <c r="FXN85" s="0"/>
      <c r="FXO85" s="0"/>
      <c r="FXP85" s="0"/>
      <c r="FXQ85" s="0"/>
      <c r="FXR85" s="0"/>
      <c r="FXS85" s="0"/>
      <c r="FXT85" s="0"/>
      <c r="FXU85" s="0"/>
      <c r="FXV85" s="0"/>
      <c r="FXW85" s="0"/>
      <c r="FXX85" s="0"/>
      <c r="FXY85" s="0"/>
      <c r="FXZ85" s="0"/>
      <c r="FYA85" s="0"/>
      <c r="FYB85" s="0"/>
      <c r="FYC85" s="0"/>
      <c r="FYD85" s="0"/>
      <c r="FYE85" s="0"/>
      <c r="FYF85" s="0"/>
      <c r="FYG85" s="0"/>
      <c r="FYH85" s="0"/>
      <c r="FYI85" s="0"/>
      <c r="FYJ85" s="0"/>
      <c r="FYK85" s="0"/>
      <c r="FYL85" s="0"/>
      <c r="FYM85" s="0"/>
      <c r="FYN85" s="0"/>
      <c r="FYO85" s="0"/>
      <c r="FYP85" s="0"/>
      <c r="FYQ85" s="0"/>
      <c r="FYR85" s="0"/>
      <c r="FYS85" s="0"/>
      <c r="FYT85" s="0"/>
      <c r="FYU85" s="0"/>
      <c r="FYV85" s="0"/>
      <c r="FYW85" s="0"/>
      <c r="FYX85" s="0"/>
      <c r="FYY85" s="0"/>
      <c r="FYZ85" s="0"/>
      <c r="FZA85" s="0"/>
      <c r="FZB85" s="0"/>
      <c r="FZC85" s="0"/>
      <c r="FZD85" s="0"/>
      <c r="FZE85" s="0"/>
      <c r="FZF85" s="0"/>
      <c r="FZG85" s="0"/>
      <c r="FZH85" s="0"/>
      <c r="FZI85" s="0"/>
      <c r="FZJ85" s="0"/>
      <c r="FZK85" s="0"/>
      <c r="FZL85" s="0"/>
      <c r="FZM85" s="0"/>
      <c r="FZN85" s="0"/>
      <c r="FZO85" s="0"/>
      <c r="FZP85" s="0"/>
      <c r="FZQ85" s="0"/>
      <c r="FZR85" s="0"/>
      <c r="FZS85" s="0"/>
      <c r="FZT85" s="0"/>
      <c r="FZU85" s="0"/>
      <c r="FZV85" s="0"/>
      <c r="FZW85" s="0"/>
      <c r="FZX85" s="0"/>
      <c r="FZY85" s="0"/>
      <c r="FZZ85" s="0"/>
      <c r="GAA85" s="0"/>
      <c r="GAB85" s="0"/>
      <c r="GAC85" s="0"/>
      <c r="GAD85" s="0"/>
      <c r="GAE85" s="0"/>
      <c r="GAF85" s="0"/>
      <c r="GAG85" s="0"/>
      <c r="GAH85" s="0"/>
      <c r="GAI85" s="0"/>
      <c r="GAJ85" s="0"/>
      <c r="GAK85" s="0"/>
      <c r="GAL85" s="0"/>
      <c r="GAM85" s="0"/>
      <c r="GAN85" s="0"/>
      <c r="GAO85" s="0"/>
      <c r="GAP85" s="0"/>
      <c r="GAQ85" s="0"/>
      <c r="GAR85" s="0"/>
      <c r="GAS85" s="0"/>
      <c r="GAT85" s="0"/>
      <c r="GAU85" s="0"/>
      <c r="GAV85" s="0"/>
      <c r="GAW85" s="0"/>
      <c r="GAX85" s="0"/>
      <c r="GAY85" s="0"/>
      <c r="GAZ85" s="0"/>
      <c r="GBA85" s="0"/>
      <c r="GBB85" s="0"/>
      <c r="GBC85" s="0"/>
      <c r="GBD85" s="0"/>
      <c r="GBE85" s="0"/>
      <c r="GBF85" s="0"/>
      <c r="GBG85" s="0"/>
      <c r="GBH85" s="0"/>
      <c r="GBI85" s="0"/>
      <c r="GBJ85" s="0"/>
      <c r="GBK85" s="0"/>
      <c r="GBL85" s="0"/>
      <c r="GBM85" s="0"/>
      <c r="GBN85" s="0"/>
      <c r="GBO85" s="0"/>
      <c r="GBP85" s="0"/>
      <c r="GBQ85" s="0"/>
      <c r="GBR85" s="0"/>
      <c r="GBS85" s="0"/>
      <c r="GBT85" s="0"/>
      <c r="GBU85" s="0"/>
      <c r="GBV85" s="0"/>
      <c r="GBW85" s="0"/>
      <c r="GBX85" s="0"/>
      <c r="GBY85" s="0"/>
      <c r="GBZ85" s="0"/>
      <c r="GCA85" s="0"/>
      <c r="GCB85" s="0"/>
      <c r="GCC85" s="0"/>
      <c r="GCD85" s="0"/>
      <c r="GCE85" s="0"/>
      <c r="GCF85" s="0"/>
      <c r="GCG85" s="0"/>
      <c r="GCH85" s="0"/>
      <c r="GCI85" s="0"/>
      <c r="GCJ85" s="0"/>
      <c r="GCK85" s="0"/>
      <c r="GCL85" s="0"/>
      <c r="GCM85" s="0"/>
      <c r="GCN85" s="0"/>
      <c r="GCO85" s="0"/>
      <c r="GCP85" s="0"/>
      <c r="GCQ85" s="0"/>
      <c r="GCR85" s="0"/>
      <c r="GCS85" s="0"/>
      <c r="GCT85" s="0"/>
      <c r="GCU85" s="0"/>
      <c r="GCV85" s="0"/>
      <c r="GCW85" s="0"/>
      <c r="GCX85" s="0"/>
      <c r="GCY85" s="0"/>
      <c r="GCZ85" s="0"/>
      <c r="GDA85" s="0"/>
      <c r="GDB85" s="0"/>
      <c r="GDC85" s="0"/>
      <c r="GDD85" s="0"/>
      <c r="GDE85" s="0"/>
      <c r="GDF85" s="0"/>
      <c r="GDG85" s="0"/>
      <c r="GDH85" s="0"/>
      <c r="GDI85" s="0"/>
      <c r="GDJ85" s="0"/>
      <c r="GDK85" s="0"/>
      <c r="GDL85" s="0"/>
      <c r="GDM85" s="0"/>
      <c r="GDN85" s="0"/>
      <c r="GDO85" s="0"/>
      <c r="GDP85" s="0"/>
      <c r="GDQ85" s="0"/>
      <c r="GDR85" s="0"/>
      <c r="GDS85" s="0"/>
      <c r="GDT85" s="0"/>
      <c r="GDU85" s="0"/>
      <c r="GDV85" s="0"/>
      <c r="GDW85" s="0"/>
      <c r="GDX85" s="0"/>
      <c r="GDY85" s="0"/>
      <c r="GDZ85" s="0"/>
      <c r="GEA85" s="0"/>
      <c r="GEB85" s="0"/>
      <c r="GEC85" s="0"/>
      <c r="GED85" s="0"/>
      <c r="GEE85" s="0"/>
      <c r="GEF85" s="0"/>
      <c r="GEG85" s="0"/>
      <c r="GEH85" s="0"/>
      <c r="GEI85" s="0"/>
      <c r="GEJ85" s="0"/>
      <c r="GEK85" s="0"/>
      <c r="GEL85" s="0"/>
      <c r="GEM85" s="0"/>
      <c r="GEN85" s="0"/>
      <c r="GEO85" s="0"/>
      <c r="GEP85" s="0"/>
      <c r="GEQ85" s="0"/>
      <c r="GER85" s="0"/>
      <c r="GES85" s="0"/>
      <c r="GET85" s="0"/>
      <c r="GEU85" s="0"/>
      <c r="GEV85" s="0"/>
      <c r="GEW85" s="0"/>
      <c r="GEX85" s="0"/>
      <c r="GEY85" s="0"/>
      <c r="GEZ85" s="0"/>
      <c r="GFA85" s="0"/>
      <c r="GFB85" s="0"/>
      <c r="GFC85" s="0"/>
      <c r="GFD85" s="0"/>
      <c r="GFE85" s="0"/>
      <c r="GFF85" s="0"/>
      <c r="GFG85" s="0"/>
      <c r="GFH85" s="0"/>
      <c r="GFI85" s="0"/>
      <c r="GFJ85" s="0"/>
      <c r="GFK85" s="0"/>
      <c r="GFL85" s="0"/>
      <c r="GFM85" s="0"/>
      <c r="GFN85" s="0"/>
      <c r="GFO85" s="0"/>
      <c r="GFP85" s="0"/>
      <c r="GFQ85" s="0"/>
      <c r="GFR85" s="0"/>
      <c r="GFS85" s="0"/>
      <c r="GFT85" s="0"/>
      <c r="GFU85" s="0"/>
      <c r="GFV85" s="0"/>
      <c r="GFW85" s="0"/>
      <c r="GFX85" s="0"/>
      <c r="GFY85" s="0"/>
      <c r="GFZ85" s="0"/>
      <c r="GGA85" s="0"/>
      <c r="GGB85" s="0"/>
      <c r="GGC85" s="0"/>
      <c r="GGD85" s="0"/>
      <c r="GGE85" s="0"/>
      <c r="GGF85" s="0"/>
      <c r="GGG85" s="0"/>
      <c r="GGH85" s="0"/>
      <c r="GGI85" s="0"/>
      <c r="GGJ85" s="0"/>
      <c r="GGK85" s="0"/>
      <c r="GGL85" s="0"/>
      <c r="GGM85" s="0"/>
      <c r="GGN85" s="0"/>
      <c r="GGO85" s="0"/>
      <c r="GGP85" s="0"/>
      <c r="GGQ85" s="0"/>
      <c r="GGR85" s="0"/>
      <c r="GGS85" s="0"/>
      <c r="GGT85" s="0"/>
      <c r="GGU85" s="0"/>
      <c r="GGV85" s="0"/>
      <c r="GGW85" s="0"/>
      <c r="GGX85" s="0"/>
      <c r="GGY85" s="0"/>
      <c r="GGZ85" s="0"/>
      <c r="GHA85" s="0"/>
      <c r="GHB85" s="0"/>
      <c r="GHC85" s="0"/>
      <c r="GHD85" s="0"/>
      <c r="GHE85" s="0"/>
      <c r="GHF85" s="0"/>
      <c r="GHG85" s="0"/>
      <c r="GHH85" s="0"/>
      <c r="GHI85" s="0"/>
      <c r="GHJ85" s="0"/>
      <c r="GHK85" s="0"/>
      <c r="GHL85" s="0"/>
      <c r="GHM85" s="0"/>
      <c r="GHN85" s="0"/>
      <c r="GHO85" s="0"/>
      <c r="GHP85" s="0"/>
      <c r="GHQ85" s="0"/>
      <c r="GHR85" s="0"/>
      <c r="GHS85" s="0"/>
      <c r="GHT85" s="0"/>
      <c r="GHU85" s="0"/>
      <c r="GHV85" s="0"/>
      <c r="GHW85" s="0"/>
      <c r="GHX85" s="0"/>
      <c r="GHY85" s="0"/>
      <c r="GHZ85" s="0"/>
      <c r="GIA85" s="0"/>
      <c r="GIB85" s="0"/>
      <c r="GIC85" s="0"/>
      <c r="GID85" s="0"/>
      <c r="GIE85" s="0"/>
      <c r="GIF85" s="0"/>
      <c r="GIG85" s="0"/>
      <c r="GIH85" s="0"/>
      <c r="GII85" s="0"/>
      <c r="GIJ85" s="0"/>
      <c r="GIK85" s="0"/>
      <c r="GIL85" s="0"/>
      <c r="GIM85" s="0"/>
      <c r="GIN85" s="0"/>
      <c r="GIO85" s="0"/>
      <c r="GIP85" s="0"/>
      <c r="GIQ85" s="0"/>
      <c r="GIR85" s="0"/>
      <c r="GIS85" s="0"/>
      <c r="GIT85" s="0"/>
      <c r="GIU85" s="0"/>
      <c r="GIV85" s="0"/>
      <c r="GIW85" s="0"/>
      <c r="GIX85" s="0"/>
      <c r="GIY85" s="0"/>
      <c r="GIZ85" s="0"/>
      <c r="GJA85" s="0"/>
      <c r="GJB85" s="0"/>
      <c r="GJC85" s="0"/>
      <c r="GJD85" s="0"/>
      <c r="GJE85" s="0"/>
      <c r="GJF85" s="0"/>
      <c r="GJG85" s="0"/>
      <c r="GJH85" s="0"/>
      <c r="GJI85" s="0"/>
      <c r="GJJ85" s="0"/>
      <c r="GJK85" s="0"/>
      <c r="GJL85" s="0"/>
      <c r="GJM85" s="0"/>
      <c r="GJN85" s="0"/>
      <c r="GJO85" s="0"/>
      <c r="GJP85" s="0"/>
      <c r="GJQ85" s="0"/>
      <c r="GJR85" s="0"/>
      <c r="GJS85" s="0"/>
      <c r="GJT85" s="0"/>
      <c r="GJU85" s="0"/>
      <c r="GJV85" s="0"/>
      <c r="GJW85" s="0"/>
      <c r="GJX85" s="0"/>
      <c r="GJY85" s="0"/>
      <c r="GJZ85" s="0"/>
      <c r="GKA85" s="0"/>
      <c r="GKB85" s="0"/>
      <c r="GKC85" s="0"/>
      <c r="GKD85" s="0"/>
      <c r="GKE85" s="0"/>
      <c r="GKF85" s="0"/>
      <c r="GKG85" s="0"/>
      <c r="GKH85" s="0"/>
      <c r="GKI85" s="0"/>
      <c r="GKJ85" s="0"/>
      <c r="GKK85" s="0"/>
      <c r="GKL85" s="0"/>
      <c r="GKM85" s="0"/>
      <c r="GKN85" s="0"/>
      <c r="GKO85" s="0"/>
      <c r="GKP85" s="0"/>
      <c r="GKQ85" s="0"/>
      <c r="GKR85" s="0"/>
      <c r="GKS85" s="0"/>
      <c r="GKT85" s="0"/>
      <c r="GKU85" s="0"/>
      <c r="GKV85" s="0"/>
      <c r="GKW85" s="0"/>
      <c r="GKX85" s="0"/>
      <c r="GKY85" s="0"/>
      <c r="GKZ85" s="0"/>
      <c r="GLA85" s="0"/>
      <c r="GLB85" s="0"/>
      <c r="GLC85" s="0"/>
      <c r="GLD85" s="0"/>
      <c r="GLE85" s="0"/>
      <c r="GLF85" s="0"/>
      <c r="GLG85" s="0"/>
      <c r="GLH85" s="0"/>
      <c r="GLI85" s="0"/>
      <c r="GLJ85" s="0"/>
      <c r="GLK85" s="0"/>
      <c r="GLL85" s="0"/>
      <c r="GLM85" s="0"/>
      <c r="GLN85" s="0"/>
      <c r="GLO85" s="0"/>
      <c r="GLP85" s="0"/>
      <c r="GLQ85" s="0"/>
      <c r="GLR85" s="0"/>
      <c r="GLS85" s="0"/>
      <c r="GLT85" s="0"/>
      <c r="GLU85" s="0"/>
      <c r="GLV85" s="0"/>
      <c r="GLW85" s="0"/>
      <c r="GLX85" s="0"/>
      <c r="GLY85" s="0"/>
      <c r="GLZ85" s="0"/>
      <c r="GMA85" s="0"/>
      <c r="GMB85" s="0"/>
      <c r="GMC85" s="0"/>
      <c r="GMD85" s="0"/>
      <c r="GME85" s="0"/>
      <c r="GMF85" s="0"/>
      <c r="GMG85" s="0"/>
      <c r="GMH85" s="0"/>
      <c r="GMI85" s="0"/>
      <c r="GMJ85" s="0"/>
      <c r="GMK85" s="0"/>
      <c r="GML85" s="0"/>
      <c r="GMM85" s="0"/>
      <c r="GMN85" s="0"/>
      <c r="GMO85" s="0"/>
      <c r="GMP85" s="0"/>
      <c r="GMQ85" s="0"/>
      <c r="GMR85" s="0"/>
      <c r="GMS85" s="0"/>
      <c r="GMT85" s="0"/>
      <c r="GMU85" s="0"/>
      <c r="GMV85" s="0"/>
      <c r="GMW85" s="0"/>
      <c r="GMX85" s="0"/>
      <c r="GMY85" s="0"/>
      <c r="GMZ85" s="0"/>
      <c r="GNA85" s="0"/>
      <c r="GNB85" s="0"/>
      <c r="GNC85" s="0"/>
      <c r="GND85" s="0"/>
      <c r="GNE85" s="0"/>
      <c r="GNF85" s="0"/>
      <c r="GNG85" s="0"/>
      <c r="GNH85" s="0"/>
      <c r="GNI85" s="0"/>
      <c r="GNJ85" s="0"/>
      <c r="GNK85" s="0"/>
      <c r="GNL85" s="0"/>
      <c r="GNM85" s="0"/>
      <c r="GNN85" s="0"/>
      <c r="GNO85" s="0"/>
      <c r="GNP85" s="0"/>
      <c r="GNQ85" s="0"/>
      <c r="GNR85" s="0"/>
      <c r="GNS85" s="0"/>
      <c r="GNT85" s="0"/>
      <c r="GNU85" s="0"/>
      <c r="GNV85" s="0"/>
      <c r="GNW85" s="0"/>
      <c r="GNX85" s="0"/>
      <c r="GNY85" s="0"/>
      <c r="GNZ85" s="0"/>
      <c r="GOA85" s="0"/>
      <c r="GOB85" s="0"/>
      <c r="GOC85" s="0"/>
      <c r="GOD85" s="0"/>
      <c r="GOE85" s="0"/>
      <c r="GOF85" s="0"/>
      <c r="GOG85" s="0"/>
      <c r="GOH85" s="0"/>
      <c r="GOI85" s="0"/>
      <c r="GOJ85" s="0"/>
      <c r="GOK85" s="0"/>
      <c r="GOL85" s="0"/>
      <c r="GOM85" s="0"/>
      <c r="GON85" s="0"/>
      <c r="GOO85" s="0"/>
      <c r="GOP85" s="0"/>
      <c r="GOQ85" s="0"/>
      <c r="GOR85" s="0"/>
      <c r="GOS85" s="0"/>
      <c r="GOT85" s="0"/>
      <c r="GOU85" s="0"/>
      <c r="GOV85" s="0"/>
      <c r="GOW85" s="0"/>
      <c r="GOX85" s="0"/>
      <c r="GOY85" s="0"/>
      <c r="GOZ85" s="0"/>
      <c r="GPA85" s="0"/>
      <c r="GPB85" s="0"/>
      <c r="GPC85" s="0"/>
      <c r="GPD85" s="0"/>
      <c r="GPE85" s="0"/>
      <c r="GPF85" s="0"/>
      <c r="GPG85" s="0"/>
      <c r="GPH85" s="0"/>
      <c r="GPI85" s="0"/>
      <c r="GPJ85" s="0"/>
      <c r="GPK85" s="0"/>
      <c r="GPL85" s="0"/>
      <c r="GPM85" s="0"/>
      <c r="GPN85" s="0"/>
      <c r="GPO85" s="0"/>
      <c r="GPP85" s="0"/>
      <c r="GPQ85" s="0"/>
      <c r="GPR85" s="0"/>
      <c r="GPS85" s="0"/>
      <c r="GPT85" s="0"/>
      <c r="GPU85" s="0"/>
      <c r="GPV85" s="0"/>
      <c r="GPW85" s="0"/>
      <c r="GPX85" s="0"/>
      <c r="GPY85" s="0"/>
      <c r="GPZ85" s="0"/>
      <c r="GQA85" s="0"/>
      <c r="GQB85" s="0"/>
      <c r="GQC85" s="0"/>
      <c r="GQD85" s="0"/>
      <c r="GQE85" s="0"/>
      <c r="GQF85" s="0"/>
      <c r="GQG85" s="0"/>
      <c r="GQH85" s="0"/>
      <c r="GQI85" s="0"/>
      <c r="GQJ85" s="0"/>
      <c r="GQK85" s="0"/>
      <c r="GQL85" s="0"/>
      <c r="GQM85" s="0"/>
      <c r="GQN85" s="0"/>
      <c r="GQO85" s="0"/>
      <c r="GQP85" s="0"/>
      <c r="GQQ85" s="0"/>
      <c r="GQR85" s="0"/>
      <c r="GQS85" s="0"/>
      <c r="GQT85" s="0"/>
      <c r="GQU85" s="0"/>
      <c r="GQV85" s="0"/>
      <c r="GQW85" s="0"/>
      <c r="GQX85" s="0"/>
      <c r="GQY85" s="0"/>
      <c r="GQZ85" s="0"/>
      <c r="GRA85" s="0"/>
      <c r="GRB85" s="0"/>
      <c r="GRC85" s="0"/>
      <c r="GRD85" s="0"/>
      <c r="GRE85" s="0"/>
      <c r="GRF85" s="0"/>
      <c r="GRG85" s="0"/>
      <c r="GRH85" s="0"/>
      <c r="GRI85" s="0"/>
      <c r="GRJ85" s="0"/>
      <c r="GRK85" s="0"/>
      <c r="GRL85" s="0"/>
      <c r="GRM85" s="0"/>
      <c r="GRN85" s="0"/>
      <c r="GRO85" s="0"/>
      <c r="GRP85" s="0"/>
      <c r="GRQ85" s="0"/>
      <c r="GRR85" s="0"/>
      <c r="GRS85" s="0"/>
      <c r="GRT85" s="0"/>
      <c r="GRU85" s="0"/>
      <c r="GRV85" s="0"/>
      <c r="GRW85" s="0"/>
      <c r="GRX85" s="0"/>
      <c r="GRY85" s="0"/>
      <c r="GRZ85" s="0"/>
      <c r="GSA85" s="0"/>
      <c r="GSB85" s="0"/>
      <c r="GSC85" s="0"/>
      <c r="GSD85" s="0"/>
      <c r="GSE85" s="0"/>
      <c r="GSF85" s="0"/>
      <c r="GSG85" s="0"/>
      <c r="GSH85" s="0"/>
      <c r="GSI85" s="0"/>
      <c r="GSJ85" s="0"/>
      <c r="GSK85" s="0"/>
      <c r="GSL85" s="0"/>
      <c r="GSM85" s="0"/>
      <c r="GSN85" s="0"/>
      <c r="GSO85" s="0"/>
      <c r="GSP85" s="0"/>
      <c r="GSQ85" s="0"/>
      <c r="GSR85" s="0"/>
      <c r="GSS85" s="0"/>
      <c r="GST85" s="0"/>
      <c r="GSU85" s="0"/>
      <c r="GSV85" s="0"/>
      <c r="GSW85" s="0"/>
      <c r="GSX85" s="0"/>
      <c r="GSY85" s="0"/>
      <c r="GSZ85" s="0"/>
      <c r="GTA85" s="0"/>
      <c r="GTB85" s="0"/>
      <c r="GTC85" s="0"/>
      <c r="GTD85" s="0"/>
      <c r="GTE85" s="0"/>
      <c r="GTF85" s="0"/>
      <c r="GTG85" s="0"/>
      <c r="GTH85" s="0"/>
      <c r="GTI85" s="0"/>
      <c r="GTJ85" s="0"/>
      <c r="GTK85" s="0"/>
      <c r="GTL85" s="0"/>
      <c r="GTM85" s="0"/>
      <c r="GTN85" s="0"/>
      <c r="GTO85" s="0"/>
      <c r="GTP85" s="0"/>
      <c r="GTQ85" s="0"/>
      <c r="GTR85" s="0"/>
      <c r="GTS85" s="0"/>
      <c r="GTT85" s="0"/>
      <c r="GTU85" s="0"/>
      <c r="GTV85" s="0"/>
      <c r="GTW85" s="0"/>
      <c r="GTX85" s="0"/>
      <c r="GTY85" s="0"/>
      <c r="GTZ85" s="0"/>
      <c r="GUA85" s="0"/>
      <c r="GUB85" s="0"/>
      <c r="GUC85" s="0"/>
      <c r="GUD85" s="0"/>
      <c r="GUE85" s="0"/>
      <c r="GUF85" s="0"/>
      <c r="GUG85" s="0"/>
      <c r="GUH85" s="0"/>
      <c r="GUI85" s="0"/>
      <c r="GUJ85" s="0"/>
      <c r="GUK85" s="0"/>
      <c r="GUL85" s="0"/>
      <c r="GUM85" s="0"/>
      <c r="GUN85" s="0"/>
      <c r="GUO85" s="0"/>
      <c r="GUP85" s="0"/>
      <c r="GUQ85" s="0"/>
      <c r="GUR85" s="0"/>
      <c r="GUS85" s="0"/>
      <c r="GUT85" s="0"/>
      <c r="GUU85" s="0"/>
      <c r="GUV85" s="0"/>
      <c r="GUW85" s="0"/>
      <c r="GUX85" s="0"/>
      <c r="GUY85" s="0"/>
      <c r="GUZ85" s="0"/>
      <c r="GVA85" s="0"/>
      <c r="GVB85" s="0"/>
      <c r="GVC85" s="0"/>
      <c r="GVD85" s="0"/>
      <c r="GVE85" s="0"/>
      <c r="GVF85" s="0"/>
      <c r="GVG85" s="0"/>
      <c r="GVH85" s="0"/>
      <c r="GVI85" s="0"/>
      <c r="GVJ85" s="0"/>
      <c r="GVK85" s="0"/>
      <c r="GVL85" s="0"/>
      <c r="GVM85" s="0"/>
      <c r="GVN85" s="0"/>
      <c r="GVO85" s="0"/>
      <c r="GVP85" s="0"/>
      <c r="GVQ85" s="0"/>
      <c r="GVR85" s="0"/>
      <c r="GVS85" s="0"/>
      <c r="GVT85" s="0"/>
      <c r="GVU85" s="0"/>
      <c r="GVV85" s="0"/>
      <c r="GVW85" s="0"/>
      <c r="GVX85" s="0"/>
      <c r="GVY85" s="0"/>
      <c r="GVZ85" s="0"/>
      <c r="GWA85" s="0"/>
      <c r="GWB85" s="0"/>
      <c r="GWC85" s="0"/>
      <c r="GWD85" s="0"/>
      <c r="GWE85" s="0"/>
      <c r="GWF85" s="0"/>
      <c r="GWG85" s="0"/>
      <c r="GWH85" s="0"/>
      <c r="GWI85" s="0"/>
      <c r="GWJ85" s="0"/>
      <c r="GWK85" s="0"/>
      <c r="GWL85" s="0"/>
      <c r="GWM85" s="0"/>
      <c r="GWN85" s="0"/>
      <c r="GWO85" s="0"/>
      <c r="GWP85" s="0"/>
      <c r="GWQ85" s="0"/>
      <c r="GWR85" s="0"/>
      <c r="GWS85" s="0"/>
      <c r="GWT85" s="0"/>
      <c r="GWU85" s="0"/>
      <c r="GWV85" s="0"/>
      <c r="GWW85" s="0"/>
      <c r="GWX85" s="0"/>
      <c r="GWY85" s="0"/>
      <c r="GWZ85" s="0"/>
      <c r="GXA85" s="0"/>
      <c r="GXB85" s="0"/>
      <c r="GXC85" s="0"/>
      <c r="GXD85" s="0"/>
      <c r="GXE85" s="0"/>
      <c r="GXF85" s="0"/>
      <c r="GXG85" s="0"/>
      <c r="GXH85" s="0"/>
      <c r="GXI85" s="0"/>
      <c r="GXJ85" s="0"/>
      <c r="GXK85" s="0"/>
      <c r="GXL85" s="0"/>
      <c r="GXM85" s="0"/>
      <c r="GXN85" s="0"/>
      <c r="GXO85" s="0"/>
      <c r="GXP85" s="0"/>
      <c r="GXQ85" s="0"/>
      <c r="GXR85" s="0"/>
      <c r="GXS85" s="0"/>
      <c r="GXT85" s="0"/>
      <c r="GXU85" s="0"/>
      <c r="GXV85" s="0"/>
      <c r="GXW85" s="0"/>
      <c r="GXX85" s="0"/>
      <c r="GXY85" s="0"/>
      <c r="GXZ85" s="0"/>
      <c r="GYA85" s="0"/>
      <c r="GYB85" s="0"/>
      <c r="GYC85" s="0"/>
      <c r="GYD85" s="0"/>
      <c r="GYE85" s="0"/>
      <c r="GYF85" s="0"/>
      <c r="GYG85" s="0"/>
      <c r="GYH85" s="0"/>
      <c r="GYI85" s="0"/>
      <c r="GYJ85" s="0"/>
      <c r="GYK85" s="0"/>
      <c r="GYL85" s="0"/>
      <c r="GYM85" s="0"/>
      <c r="GYN85" s="0"/>
      <c r="GYO85" s="0"/>
      <c r="GYP85" s="0"/>
      <c r="GYQ85" s="0"/>
      <c r="GYR85" s="0"/>
      <c r="GYS85" s="0"/>
      <c r="GYT85" s="0"/>
      <c r="GYU85" s="0"/>
      <c r="GYV85" s="0"/>
      <c r="GYW85" s="0"/>
      <c r="GYX85" s="0"/>
      <c r="GYY85" s="0"/>
      <c r="GYZ85" s="0"/>
      <c r="GZA85" s="0"/>
      <c r="GZB85" s="0"/>
      <c r="GZC85" s="0"/>
      <c r="GZD85" s="0"/>
      <c r="GZE85" s="0"/>
      <c r="GZF85" s="0"/>
      <c r="GZG85" s="0"/>
      <c r="GZH85" s="0"/>
      <c r="GZI85" s="0"/>
      <c r="GZJ85" s="0"/>
      <c r="GZK85" s="0"/>
      <c r="GZL85" s="0"/>
      <c r="GZM85" s="0"/>
      <c r="GZN85" s="0"/>
      <c r="GZO85" s="0"/>
      <c r="GZP85" s="0"/>
      <c r="GZQ85" s="0"/>
      <c r="GZR85" s="0"/>
      <c r="GZS85" s="0"/>
      <c r="GZT85" s="0"/>
      <c r="GZU85" s="0"/>
      <c r="GZV85" s="0"/>
      <c r="GZW85" s="0"/>
      <c r="GZX85" s="0"/>
      <c r="GZY85" s="0"/>
      <c r="GZZ85" s="0"/>
      <c r="HAA85" s="0"/>
      <c r="HAB85" s="0"/>
      <c r="HAC85" s="0"/>
      <c r="HAD85" s="0"/>
      <c r="HAE85" s="0"/>
      <c r="HAF85" s="0"/>
      <c r="HAG85" s="0"/>
      <c r="HAH85" s="0"/>
      <c r="HAI85" s="0"/>
      <c r="HAJ85" s="0"/>
      <c r="HAK85" s="0"/>
      <c r="HAL85" s="0"/>
      <c r="HAM85" s="0"/>
      <c r="HAN85" s="0"/>
      <c r="HAO85" s="0"/>
      <c r="HAP85" s="0"/>
      <c r="HAQ85" s="0"/>
      <c r="HAR85" s="0"/>
      <c r="HAS85" s="0"/>
      <c r="HAT85" s="0"/>
      <c r="HAU85" s="0"/>
      <c r="HAV85" s="0"/>
      <c r="HAW85" s="0"/>
      <c r="HAX85" s="0"/>
      <c r="HAY85" s="0"/>
      <c r="HAZ85" s="0"/>
      <c r="HBA85" s="0"/>
      <c r="HBB85" s="0"/>
      <c r="HBC85" s="0"/>
      <c r="HBD85" s="0"/>
      <c r="HBE85" s="0"/>
      <c r="HBF85" s="0"/>
      <c r="HBG85" s="0"/>
      <c r="HBH85" s="0"/>
      <c r="HBI85" s="0"/>
      <c r="HBJ85" s="0"/>
      <c r="HBK85" s="0"/>
      <c r="HBL85" s="0"/>
      <c r="HBM85" s="0"/>
      <c r="HBN85" s="0"/>
      <c r="HBO85" s="0"/>
      <c r="HBP85" s="0"/>
      <c r="HBQ85" s="0"/>
      <c r="HBR85" s="0"/>
      <c r="HBS85" s="0"/>
      <c r="HBT85" s="0"/>
      <c r="HBU85" s="0"/>
      <c r="HBV85" s="0"/>
      <c r="HBW85" s="0"/>
      <c r="HBX85" s="0"/>
      <c r="HBY85" s="0"/>
      <c r="HBZ85" s="0"/>
      <c r="HCA85" s="0"/>
      <c r="HCB85" s="0"/>
      <c r="HCC85" s="0"/>
      <c r="HCD85" s="0"/>
      <c r="HCE85" s="0"/>
      <c r="HCF85" s="0"/>
      <c r="HCG85" s="0"/>
      <c r="HCH85" s="0"/>
      <c r="HCI85" s="0"/>
      <c r="HCJ85" s="0"/>
      <c r="HCK85" s="0"/>
      <c r="HCL85" s="0"/>
      <c r="HCM85" s="0"/>
      <c r="HCN85" s="0"/>
      <c r="HCO85" s="0"/>
      <c r="HCP85" s="0"/>
      <c r="HCQ85" s="0"/>
      <c r="HCR85" s="0"/>
      <c r="HCS85" s="0"/>
      <c r="HCT85" s="0"/>
      <c r="HCU85" s="0"/>
      <c r="HCV85" s="0"/>
      <c r="HCW85" s="0"/>
      <c r="HCX85" s="0"/>
      <c r="HCY85" s="0"/>
      <c r="HCZ85" s="0"/>
      <c r="HDA85" s="0"/>
      <c r="HDB85" s="0"/>
      <c r="HDC85" s="0"/>
      <c r="HDD85" s="0"/>
      <c r="HDE85" s="0"/>
      <c r="HDF85" s="0"/>
      <c r="HDG85" s="0"/>
      <c r="HDH85" s="0"/>
      <c r="HDI85" s="0"/>
      <c r="HDJ85" s="0"/>
      <c r="HDK85" s="0"/>
      <c r="HDL85" s="0"/>
      <c r="HDM85" s="0"/>
      <c r="HDN85" s="0"/>
      <c r="HDO85" s="0"/>
      <c r="HDP85" s="0"/>
      <c r="HDQ85" s="0"/>
      <c r="HDR85" s="0"/>
      <c r="HDS85" s="0"/>
      <c r="HDT85" s="0"/>
      <c r="HDU85" s="0"/>
      <c r="HDV85" s="0"/>
      <c r="HDW85" s="0"/>
      <c r="HDX85" s="0"/>
      <c r="HDY85" s="0"/>
      <c r="HDZ85" s="0"/>
      <c r="HEA85" s="0"/>
      <c r="HEB85" s="0"/>
      <c r="HEC85" s="0"/>
      <c r="HED85" s="0"/>
      <c r="HEE85" s="0"/>
      <c r="HEF85" s="0"/>
      <c r="HEG85" s="0"/>
      <c r="HEH85" s="0"/>
      <c r="HEI85" s="0"/>
      <c r="HEJ85" s="0"/>
      <c r="HEK85" s="0"/>
      <c r="HEL85" s="0"/>
      <c r="HEM85" s="0"/>
      <c r="HEN85" s="0"/>
      <c r="HEO85" s="0"/>
      <c r="HEP85" s="0"/>
      <c r="HEQ85" s="0"/>
      <c r="HER85" s="0"/>
      <c r="HES85" s="0"/>
      <c r="HET85" s="0"/>
      <c r="HEU85" s="0"/>
      <c r="HEV85" s="0"/>
      <c r="HEW85" s="0"/>
      <c r="HEX85" s="0"/>
      <c r="HEY85" s="0"/>
      <c r="HEZ85" s="0"/>
      <c r="HFA85" s="0"/>
      <c r="HFB85" s="0"/>
      <c r="HFC85" s="0"/>
      <c r="HFD85" s="0"/>
      <c r="HFE85" s="0"/>
      <c r="HFF85" s="0"/>
      <c r="HFG85" s="0"/>
      <c r="HFH85" s="0"/>
      <c r="HFI85" s="0"/>
      <c r="HFJ85" s="0"/>
      <c r="HFK85" s="0"/>
      <c r="HFL85" s="0"/>
      <c r="HFM85" s="0"/>
      <c r="HFN85" s="0"/>
      <c r="HFO85" s="0"/>
      <c r="HFP85" s="0"/>
      <c r="HFQ85" s="0"/>
      <c r="HFR85" s="0"/>
      <c r="HFS85" s="0"/>
      <c r="HFT85" s="0"/>
      <c r="HFU85" s="0"/>
      <c r="HFV85" s="0"/>
      <c r="HFW85" s="0"/>
      <c r="HFX85" s="0"/>
      <c r="HFY85" s="0"/>
      <c r="HFZ85" s="0"/>
      <c r="HGA85" s="0"/>
      <c r="HGB85" s="0"/>
      <c r="HGC85" s="0"/>
      <c r="HGD85" s="0"/>
      <c r="HGE85" s="0"/>
      <c r="HGF85" s="0"/>
      <c r="HGG85" s="0"/>
      <c r="HGH85" s="0"/>
      <c r="HGI85" s="0"/>
      <c r="HGJ85" s="0"/>
      <c r="HGK85" s="0"/>
      <c r="HGL85" s="0"/>
      <c r="HGM85" s="0"/>
      <c r="HGN85" s="0"/>
      <c r="HGO85" s="0"/>
      <c r="HGP85" s="0"/>
      <c r="HGQ85" s="0"/>
      <c r="HGR85" s="0"/>
      <c r="HGS85" s="0"/>
      <c r="HGT85" s="0"/>
      <c r="HGU85" s="0"/>
      <c r="HGV85" s="0"/>
      <c r="HGW85" s="0"/>
      <c r="HGX85" s="0"/>
      <c r="HGY85" s="0"/>
      <c r="HGZ85" s="0"/>
      <c r="HHA85" s="0"/>
      <c r="HHB85" s="0"/>
      <c r="HHC85" s="0"/>
      <c r="HHD85" s="0"/>
      <c r="HHE85" s="0"/>
      <c r="HHF85" s="0"/>
      <c r="HHG85" s="0"/>
      <c r="HHH85" s="0"/>
      <c r="HHI85" s="0"/>
      <c r="HHJ85" s="0"/>
      <c r="HHK85" s="0"/>
      <c r="HHL85" s="0"/>
      <c r="HHM85" s="0"/>
      <c r="HHN85" s="0"/>
      <c r="HHO85" s="0"/>
      <c r="HHP85" s="0"/>
      <c r="HHQ85" s="0"/>
      <c r="HHR85" s="0"/>
      <c r="HHS85" s="0"/>
      <c r="HHT85" s="0"/>
      <c r="HHU85" s="0"/>
      <c r="HHV85" s="0"/>
      <c r="HHW85" s="0"/>
      <c r="HHX85" s="0"/>
      <c r="HHY85" s="0"/>
      <c r="HHZ85" s="0"/>
      <c r="HIA85" s="0"/>
      <c r="HIB85" s="0"/>
      <c r="HIC85" s="0"/>
      <c r="HID85" s="0"/>
      <c r="HIE85" s="0"/>
      <c r="HIF85" s="0"/>
      <c r="HIG85" s="0"/>
      <c r="HIH85" s="0"/>
      <c r="HII85" s="0"/>
      <c r="HIJ85" s="0"/>
      <c r="HIK85" s="0"/>
      <c r="HIL85" s="0"/>
      <c r="HIM85" s="0"/>
      <c r="HIN85" s="0"/>
      <c r="HIO85" s="0"/>
      <c r="HIP85" s="0"/>
      <c r="HIQ85" s="0"/>
      <c r="HIR85" s="0"/>
      <c r="HIS85" s="0"/>
      <c r="HIT85" s="0"/>
      <c r="HIU85" s="0"/>
      <c r="HIV85" s="0"/>
      <c r="HIW85" s="0"/>
      <c r="HIX85" s="0"/>
      <c r="HIY85" s="0"/>
      <c r="HIZ85" s="0"/>
      <c r="HJA85" s="0"/>
      <c r="HJB85" s="0"/>
      <c r="HJC85" s="0"/>
      <c r="HJD85" s="0"/>
      <c r="HJE85" s="0"/>
      <c r="HJF85" s="0"/>
      <c r="HJG85" s="0"/>
      <c r="HJH85" s="0"/>
      <c r="HJI85" s="0"/>
      <c r="HJJ85" s="0"/>
      <c r="HJK85" s="0"/>
      <c r="HJL85" s="0"/>
      <c r="HJM85" s="0"/>
      <c r="HJN85" s="0"/>
      <c r="HJO85" s="0"/>
      <c r="HJP85" s="0"/>
      <c r="HJQ85" s="0"/>
      <c r="HJR85" s="0"/>
      <c r="HJS85" s="0"/>
      <c r="HJT85" s="0"/>
      <c r="HJU85" s="0"/>
      <c r="HJV85" s="0"/>
      <c r="HJW85" s="0"/>
      <c r="HJX85" s="0"/>
      <c r="HJY85" s="0"/>
      <c r="HJZ85" s="0"/>
      <c r="HKA85" s="0"/>
      <c r="HKB85" s="0"/>
      <c r="HKC85" s="0"/>
      <c r="HKD85" s="0"/>
      <c r="HKE85" s="0"/>
      <c r="HKF85" s="0"/>
      <c r="HKG85" s="0"/>
      <c r="HKH85" s="0"/>
      <c r="HKI85" s="0"/>
      <c r="HKJ85" s="0"/>
      <c r="HKK85" s="0"/>
      <c r="HKL85" s="0"/>
      <c r="HKM85" s="0"/>
      <c r="HKN85" s="0"/>
      <c r="HKO85" s="0"/>
      <c r="HKP85" s="0"/>
      <c r="HKQ85" s="0"/>
      <c r="HKR85" s="0"/>
      <c r="HKS85" s="0"/>
      <c r="HKT85" s="0"/>
      <c r="HKU85" s="0"/>
      <c r="HKV85" s="0"/>
      <c r="HKW85" s="0"/>
      <c r="HKX85" s="0"/>
      <c r="HKY85" s="0"/>
      <c r="HKZ85" s="0"/>
      <c r="HLA85" s="0"/>
      <c r="HLB85" s="0"/>
      <c r="HLC85" s="0"/>
      <c r="HLD85" s="0"/>
      <c r="HLE85" s="0"/>
      <c r="HLF85" s="0"/>
      <c r="HLG85" s="0"/>
      <c r="HLH85" s="0"/>
      <c r="HLI85" s="0"/>
      <c r="HLJ85" s="0"/>
      <c r="HLK85" s="0"/>
      <c r="HLL85" s="0"/>
      <c r="HLM85" s="0"/>
      <c r="HLN85" s="0"/>
      <c r="HLO85" s="0"/>
      <c r="HLP85" s="0"/>
      <c r="HLQ85" s="0"/>
      <c r="HLR85" s="0"/>
      <c r="HLS85" s="0"/>
      <c r="HLT85" s="0"/>
      <c r="HLU85" s="0"/>
      <c r="HLV85" s="0"/>
      <c r="HLW85" s="0"/>
      <c r="HLX85" s="0"/>
      <c r="HLY85" s="0"/>
      <c r="HLZ85" s="0"/>
      <c r="HMA85" s="0"/>
      <c r="HMB85" s="0"/>
      <c r="HMC85" s="0"/>
      <c r="HMD85" s="0"/>
      <c r="HME85" s="0"/>
      <c r="HMF85" s="0"/>
      <c r="HMG85" s="0"/>
      <c r="HMH85" s="0"/>
      <c r="HMI85" s="0"/>
      <c r="HMJ85" s="0"/>
      <c r="HMK85" s="0"/>
      <c r="HML85" s="0"/>
      <c r="HMM85" s="0"/>
      <c r="HMN85" s="0"/>
      <c r="HMO85" s="0"/>
      <c r="HMP85" s="0"/>
      <c r="HMQ85" s="0"/>
      <c r="HMR85" s="0"/>
      <c r="HMS85" s="0"/>
      <c r="HMT85" s="0"/>
      <c r="HMU85" s="0"/>
      <c r="HMV85" s="0"/>
      <c r="HMW85" s="0"/>
      <c r="HMX85" s="0"/>
      <c r="HMY85" s="0"/>
      <c r="HMZ85" s="0"/>
      <c r="HNA85" s="0"/>
      <c r="HNB85" s="0"/>
      <c r="HNC85" s="0"/>
      <c r="HND85" s="0"/>
      <c r="HNE85" s="0"/>
      <c r="HNF85" s="0"/>
      <c r="HNG85" s="0"/>
      <c r="HNH85" s="0"/>
      <c r="HNI85" s="0"/>
      <c r="HNJ85" s="0"/>
      <c r="HNK85" s="0"/>
      <c r="HNL85" s="0"/>
      <c r="HNM85" s="0"/>
      <c r="HNN85" s="0"/>
      <c r="HNO85" s="0"/>
      <c r="HNP85" s="0"/>
      <c r="HNQ85" s="0"/>
      <c r="HNR85" s="0"/>
      <c r="HNS85" s="0"/>
      <c r="HNT85" s="0"/>
      <c r="HNU85" s="0"/>
      <c r="HNV85" s="0"/>
      <c r="HNW85" s="0"/>
      <c r="HNX85" s="0"/>
      <c r="HNY85" s="0"/>
      <c r="HNZ85" s="0"/>
      <c r="HOA85" s="0"/>
      <c r="HOB85" s="0"/>
      <c r="HOC85" s="0"/>
      <c r="HOD85" s="0"/>
      <c r="HOE85" s="0"/>
      <c r="HOF85" s="0"/>
      <c r="HOG85" s="0"/>
      <c r="HOH85" s="0"/>
      <c r="HOI85" s="0"/>
      <c r="HOJ85" s="0"/>
      <c r="HOK85" s="0"/>
      <c r="HOL85" s="0"/>
      <c r="HOM85" s="0"/>
      <c r="HON85" s="0"/>
      <c r="HOO85" s="0"/>
      <c r="HOP85" s="0"/>
      <c r="HOQ85" s="0"/>
      <c r="HOR85" s="0"/>
      <c r="HOS85" s="0"/>
      <c r="HOT85" s="0"/>
      <c r="HOU85" s="0"/>
      <c r="HOV85" s="0"/>
      <c r="HOW85" s="0"/>
      <c r="HOX85" s="0"/>
      <c r="HOY85" s="0"/>
      <c r="HOZ85" s="0"/>
      <c r="HPA85" s="0"/>
      <c r="HPB85" s="0"/>
      <c r="HPC85" s="0"/>
      <c r="HPD85" s="0"/>
      <c r="HPE85" s="0"/>
      <c r="HPF85" s="0"/>
      <c r="HPG85" s="0"/>
      <c r="HPH85" s="0"/>
      <c r="HPI85" s="0"/>
      <c r="HPJ85" s="0"/>
      <c r="HPK85" s="0"/>
      <c r="HPL85" s="0"/>
      <c r="HPM85" s="0"/>
      <c r="HPN85" s="0"/>
      <c r="HPO85" s="0"/>
      <c r="HPP85" s="0"/>
      <c r="HPQ85" s="0"/>
      <c r="HPR85" s="0"/>
      <c r="HPS85" s="0"/>
      <c r="HPT85" s="0"/>
      <c r="HPU85" s="0"/>
      <c r="HPV85" s="0"/>
      <c r="HPW85" s="0"/>
      <c r="HPX85" s="0"/>
      <c r="HPY85" s="0"/>
      <c r="HPZ85" s="0"/>
      <c r="HQA85" s="0"/>
      <c r="HQB85" s="0"/>
      <c r="HQC85" s="0"/>
      <c r="HQD85" s="0"/>
      <c r="HQE85" s="0"/>
      <c r="HQF85" s="0"/>
      <c r="HQG85" s="0"/>
      <c r="HQH85" s="0"/>
      <c r="HQI85" s="0"/>
      <c r="HQJ85" s="0"/>
      <c r="HQK85" s="0"/>
      <c r="HQL85" s="0"/>
      <c r="HQM85" s="0"/>
      <c r="HQN85" s="0"/>
      <c r="HQO85" s="0"/>
      <c r="HQP85" s="0"/>
      <c r="HQQ85" s="0"/>
      <c r="HQR85" s="0"/>
      <c r="HQS85" s="0"/>
      <c r="HQT85" s="0"/>
      <c r="HQU85" s="0"/>
      <c r="HQV85" s="0"/>
      <c r="HQW85" s="0"/>
      <c r="HQX85" s="0"/>
      <c r="HQY85" s="0"/>
      <c r="HQZ85" s="0"/>
      <c r="HRA85" s="0"/>
      <c r="HRB85" s="0"/>
      <c r="HRC85" s="0"/>
      <c r="HRD85" s="0"/>
      <c r="HRE85" s="0"/>
      <c r="HRF85" s="0"/>
      <c r="HRG85" s="0"/>
      <c r="HRH85" s="0"/>
      <c r="HRI85" s="0"/>
      <c r="HRJ85" s="0"/>
      <c r="HRK85" s="0"/>
      <c r="HRL85" s="0"/>
      <c r="HRM85" s="0"/>
      <c r="HRN85" s="0"/>
      <c r="HRO85" s="0"/>
      <c r="HRP85" s="0"/>
      <c r="HRQ85" s="0"/>
      <c r="HRR85" s="0"/>
      <c r="HRS85" s="0"/>
      <c r="HRT85" s="0"/>
      <c r="HRU85" s="0"/>
      <c r="HRV85" s="0"/>
      <c r="HRW85" s="0"/>
      <c r="HRX85" s="0"/>
      <c r="HRY85" s="0"/>
      <c r="HRZ85" s="0"/>
      <c r="HSA85" s="0"/>
      <c r="HSB85" s="0"/>
      <c r="HSC85" s="0"/>
      <c r="HSD85" s="0"/>
      <c r="HSE85" s="0"/>
      <c r="HSF85" s="0"/>
      <c r="HSG85" s="0"/>
      <c r="HSH85" s="0"/>
      <c r="HSI85" s="0"/>
      <c r="HSJ85" s="0"/>
      <c r="HSK85" s="0"/>
      <c r="HSL85" s="0"/>
      <c r="HSM85" s="0"/>
      <c r="HSN85" s="0"/>
      <c r="HSO85" s="0"/>
      <c r="HSP85" s="0"/>
      <c r="HSQ85" s="0"/>
      <c r="HSR85" s="0"/>
      <c r="HSS85" s="0"/>
      <c r="HST85" s="0"/>
      <c r="HSU85" s="0"/>
      <c r="HSV85" s="0"/>
      <c r="HSW85" s="0"/>
      <c r="HSX85" s="0"/>
      <c r="HSY85" s="0"/>
      <c r="HSZ85" s="0"/>
      <c r="HTA85" s="0"/>
      <c r="HTB85" s="0"/>
      <c r="HTC85" s="0"/>
      <c r="HTD85" s="0"/>
      <c r="HTE85" s="0"/>
      <c r="HTF85" s="0"/>
      <c r="HTG85" s="0"/>
      <c r="HTH85" s="0"/>
      <c r="HTI85" s="0"/>
      <c r="HTJ85" s="0"/>
      <c r="HTK85" s="0"/>
      <c r="HTL85" s="0"/>
      <c r="HTM85" s="0"/>
      <c r="HTN85" s="0"/>
      <c r="HTO85" s="0"/>
      <c r="HTP85" s="0"/>
      <c r="HTQ85" s="0"/>
      <c r="HTR85" s="0"/>
      <c r="HTS85" s="0"/>
      <c r="HTT85" s="0"/>
      <c r="HTU85" s="0"/>
      <c r="HTV85" s="0"/>
      <c r="HTW85" s="0"/>
      <c r="HTX85" s="0"/>
      <c r="HTY85" s="0"/>
      <c r="HTZ85" s="0"/>
      <c r="HUA85" s="0"/>
      <c r="HUB85" s="0"/>
      <c r="HUC85" s="0"/>
      <c r="HUD85" s="0"/>
      <c r="HUE85" s="0"/>
      <c r="HUF85" s="0"/>
      <c r="HUG85" s="0"/>
      <c r="HUH85" s="0"/>
      <c r="HUI85" s="0"/>
      <c r="HUJ85" s="0"/>
      <c r="HUK85" s="0"/>
      <c r="HUL85" s="0"/>
      <c r="HUM85" s="0"/>
      <c r="HUN85" s="0"/>
      <c r="HUO85" s="0"/>
      <c r="HUP85" s="0"/>
      <c r="HUQ85" s="0"/>
      <c r="HUR85" s="0"/>
      <c r="HUS85" s="0"/>
      <c r="HUT85" s="0"/>
      <c r="HUU85" s="0"/>
      <c r="HUV85" s="0"/>
      <c r="HUW85" s="0"/>
      <c r="HUX85" s="0"/>
      <c r="HUY85" s="0"/>
      <c r="HUZ85" s="0"/>
      <c r="HVA85" s="0"/>
      <c r="HVB85" s="0"/>
      <c r="HVC85" s="0"/>
      <c r="HVD85" s="0"/>
      <c r="HVE85" s="0"/>
      <c r="HVF85" s="0"/>
      <c r="HVG85" s="0"/>
      <c r="HVH85" s="0"/>
      <c r="HVI85" s="0"/>
      <c r="HVJ85" s="0"/>
      <c r="HVK85" s="0"/>
      <c r="HVL85" s="0"/>
      <c r="HVM85" s="0"/>
      <c r="HVN85" s="0"/>
      <c r="HVO85" s="0"/>
      <c r="HVP85" s="0"/>
      <c r="HVQ85" s="0"/>
      <c r="HVR85" s="0"/>
      <c r="HVS85" s="0"/>
      <c r="HVT85" s="0"/>
      <c r="HVU85" s="0"/>
      <c r="HVV85" s="0"/>
      <c r="HVW85" s="0"/>
      <c r="HVX85" s="0"/>
      <c r="HVY85" s="0"/>
      <c r="HVZ85" s="0"/>
      <c r="HWA85" s="0"/>
      <c r="HWB85" s="0"/>
      <c r="HWC85" s="0"/>
      <c r="HWD85" s="0"/>
      <c r="HWE85" s="0"/>
      <c r="HWF85" s="0"/>
      <c r="HWG85" s="0"/>
      <c r="HWH85" s="0"/>
      <c r="HWI85" s="0"/>
      <c r="HWJ85" s="0"/>
      <c r="HWK85" s="0"/>
      <c r="HWL85" s="0"/>
      <c r="HWM85" s="0"/>
      <c r="HWN85" s="0"/>
      <c r="HWO85" s="0"/>
      <c r="HWP85" s="0"/>
      <c r="HWQ85" s="0"/>
      <c r="HWR85" s="0"/>
      <c r="HWS85" s="0"/>
      <c r="HWT85" s="0"/>
      <c r="HWU85" s="0"/>
      <c r="HWV85" s="0"/>
      <c r="HWW85" s="0"/>
      <c r="HWX85" s="0"/>
      <c r="HWY85" s="0"/>
      <c r="HWZ85" s="0"/>
      <c r="HXA85" s="0"/>
      <c r="HXB85" s="0"/>
      <c r="HXC85" s="0"/>
      <c r="HXD85" s="0"/>
      <c r="HXE85" s="0"/>
      <c r="HXF85" s="0"/>
      <c r="HXG85" s="0"/>
      <c r="HXH85" s="0"/>
      <c r="HXI85" s="0"/>
      <c r="HXJ85" s="0"/>
      <c r="HXK85" s="0"/>
      <c r="HXL85" s="0"/>
      <c r="HXM85" s="0"/>
      <c r="HXN85" s="0"/>
      <c r="HXO85" s="0"/>
      <c r="HXP85" s="0"/>
      <c r="HXQ85" s="0"/>
      <c r="HXR85" s="0"/>
      <c r="HXS85" s="0"/>
      <c r="HXT85" s="0"/>
      <c r="HXU85" s="0"/>
      <c r="HXV85" s="0"/>
      <c r="HXW85" s="0"/>
      <c r="HXX85" s="0"/>
      <c r="HXY85" s="0"/>
      <c r="HXZ85" s="0"/>
      <c r="HYA85" s="0"/>
      <c r="HYB85" s="0"/>
      <c r="HYC85" s="0"/>
      <c r="HYD85" s="0"/>
      <c r="HYE85" s="0"/>
      <c r="HYF85" s="0"/>
      <c r="HYG85" s="0"/>
      <c r="HYH85" s="0"/>
      <c r="HYI85" s="0"/>
      <c r="HYJ85" s="0"/>
      <c r="HYK85" s="0"/>
      <c r="HYL85" s="0"/>
      <c r="HYM85" s="0"/>
      <c r="HYN85" s="0"/>
      <c r="HYO85" s="0"/>
      <c r="HYP85" s="0"/>
      <c r="HYQ85" s="0"/>
      <c r="HYR85" s="0"/>
      <c r="HYS85" s="0"/>
      <c r="HYT85" s="0"/>
      <c r="HYU85" s="0"/>
      <c r="HYV85" s="0"/>
      <c r="HYW85" s="0"/>
      <c r="HYX85" s="0"/>
      <c r="HYY85" s="0"/>
      <c r="HYZ85" s="0"/>
      <c r="HZA85" s="0"/>
      <c r="HZB85" s="0"/>
      <c r="HZC85" s="0"/>
      <c r="HZD85" s="0"/>
      <c r="HZE85" s="0"/>
      <c r="HZF85" s="0"/>
      <c r="HZG85" s="0"/>
      <c r="HZH85" s="0"/>
      <c r="HZI85" s="0"/>
      <c r="HZJ85" s="0"/>
      <c r="HZK85" s="0"/>
      <c r="HZL85" s="0"/>
      <c r="HZM85" s="0"/>
      <c r="HZN85" s="0"/>
      <c r="HZO85" s="0"/>
      <c r="HZP85" s="0"/>
      <c r="HZQ85" s="0"/>
      <c r="HZR85" s="0"/>
      <c r="HZS85" s="0"/>
      <c r="HZT85" s="0"/>
      <c r="HZU85" s="0"/>
      <c r="HZV85" s="0"/>
      <c r="HZW85" s="0"/>
      <c r="HZX85" s="0"/>
      <c r="HZY85" s="0"/>
      <c r="HZZ85" s="0"/>
      <c r="IAA85" s="0"/>
      <c r="IAB85" s="0"/>
      <c r="IAC85" s="0"/>
      <c r="IAD85" s="0"/>
      <c r="IAE85" s="0"/>
      <c r="IAF85" s="0"/>
      <c r="IAG85" s="0"/>
      <c r="IAH85" s="0"/>
      <c r="IAI85" s="0"/>
      <c r="IAJ85" s="0"/>
      <c r="IAK85" s="0"/>
      <c r="IAL85" s="0"/>
      <c r="IAM85" s="0"/>
      <c r="IAN85" s="0"/>
      <c r="IAO85" s="0"/>
      <c r="IAP85" s="0"/>
      <c r="IAQ85" s="0"/>
      <c r="IAR85" s="0"/>
      <c r="IAS85" s="0"/>
      <c r="IAT85" s="0"/>
      <c r="IAU85" s="0"/>
      <c r="IAV85" s="0"/>
      <c r="IAW85" s="0"/>
      <c r="IAX85" s="0"/>
      <c r="IAY85" s="0"/>
      <c r="IAZ85" s="0"/>
      <c r="IBA85" s="0"/>
      <c r="IBB85" s="0"/>
      <c r="IBC85" s="0"/>
      <c r="IBD85" s="0"/>
      <c r="IBE85" s="0"/>
      <c r="IBF85" s="0"/>
      <c r="IBG85" s="0"/>
      <c r="IBH85" s="0"/>
      <c r="IBI85" s="0"/>
      <c r="IBJ85" s="0"/>
      <c r="IBK85" s="0"/>
      <c r="IBL85" s="0"/>
      <c r="IBM85" s="0"/>
      <c r="IBN85" s="0"/>
      <c r="IBO85" s="0"/>
      <c r="IBP85" s="0"/>
      <c r="IBQ85" s="0"/>
      <c r="IBR85" s="0"/>
      <c r="IBS85" s="0"/>
      <c r="IBT85" s="0"/>
      <c r="IBU85" s="0"/>
      <c r="IBV85" s="0"/>
      <c r="IBW85" s="0"/>
      <c r="IBX85" s="0"/>
      <c r="IBY85" s="0"/>
      <c r="IBZ85" s="0"/>
      <c r="ICA85" s="0"/>
      <c r="ICB85" s="0"/>
      <c r="ICC85" s="0"/>
      <c r="ICD85" s="0"/>
      <c r="ICE85" s="0"/>
      <c r="ICF85" s="0"/>
      <c r="ICG85" s="0"/>
      <c r="ICH85" s="0"/>
      <c r="ICI85" s="0"/>
      <c r="ICJ85" s="0"/>
      <c r="ICK85" s="0"/>
      <c r="ICL85" s="0"/>
      <c r="ICM85" s="0"/>
      <c r="ICN85" s="0"/>
      <c r="ICO85" s="0"/>
      <c r="ICP85" s="0"/>
      <c r="ICQ85" s="0"/>
      <c r="ICR85" s="0"/>
      <c r="ICS85" s="0"/>
      <c r="ICT85" s="0"/>
      <c r="ICU85" s="0"/>
      <c r="ICV85" s="0"/>
      <c r="ICW85" s="0"/>
      <c r="ICX85" s="0"/>
      <c r="ICY85" s="0"/>
      <c r="ICZ85" s="0"/>
      <c r="IDA85" s="0"/>
      <c r="IDB85" s="0"/>
      <c r="IDC85" s="0"/>
      <c r="IDD85" s="0"/>
      <c r="IDE85" s="0"/>
      <c r="IDF85" s="0"/>
      <c r="IDG85" s="0"/>
      <c r="IDH85" s="0"/>
      <c r="IDI85" s="0"/>
      <c r="IDJ85" s="0"/>
      <c r="IDK85" s="0"/>
      <c r="IDL85" s="0"/>
      <c r="IDM85" s="0"/>
      <c r="IDN85" s="0"/>
      <c r="IDO85" s="0"/>
      <c r="IDP85" s="0"/>
      <c r="IDQ85" s="0"/>
      <c r="IDR85" s="0"/>
      <c r="IDS85" s="0"/>
      <c r="IDT85" s="0"/>
      <c r="IDU85" s="0"/>
      <c r="IDV85" s="0"/>
      <c r="IDW85" s="0"/>
      <c r="IDX85" s="0"/>
      <c r="IDY85" s="0"/>
      <c r="IDZ85" s="0"/>
      <c r="IEA85" s="0"/>
      <c r="IEB85" s="0"/>
      <c r="IEC85" s="0"/>
      <c r="IED85" s="0"/>
      <c r="IEE85" s="0"/>
      <c r="IEF85" s="0"/>
      <c r="IEG85" s="0"/>
      <c r="IEH85" s="0"/>
      <c r="IEI85" s="0"/>
      <c r="IEJ85" s="0"/>
      <c r="IEK85" s="0"/>
      <c r="IEL85" s="0"/>
      <c r="IEM85" s="0"/>
      <c r="IEN85" s="0"/>
      <c r="IEO85" s="0"/>
      <c r="IEP85" s="0"/>
      <c r="IEQ85" s="0"/>
      <c r="IER85" s="0"/>
      <c r="IES85" s="0"/>
      <c r="IET85" s="0"/>
      <c r="IEU85" s="0"/>
      <c r="IEV85" s="0"/>
      <c r="IEW85" s="0"/>
      <c r="IEX85" s="0"/>
      <c r="IEY85" s="0"/>
      <c r="IEZ85" s="0"/>
      <c r="IFA85" s="0"/>
      <c r="IFB85" s="0"/>
      <c r="IFC85" s="0"/>
      <c r="IFD85" s="0"/>
      <c r="IFE85" s="0"/>
      <c r="IFF85" s="0"/>
      <c r="IFG85" s="0"/>
      <c r="IFH85" s="0"/>
      <c r="IFI85" s="0"/>
      <c r="IFJ85" s="0"/>
      <c r="IFK85" s="0"/>
      <c r="IFL85" s="0"/>
      <c r="IFM85" s="0"/>
      <c r="IFN85" s="0"/>
      <c r="IFO85" s="0"/>
      <c r="IFP85" s="0"/>
      <c r="IFQ85" s="0"/>
      <c r="IFR85" s="0"/>
      <c r="IFS85" s="0"/>
      <c r="IFT85" s="0"/>
      <c r="IFU85" s="0"/>
      <c r="IFV85" s="0"/>
      <c r="IFW85" s="0"/>
      <c r="IFX85" s="0"/>
      <c r="IFY85" s="0"/>
      <c r="IFZ85" s="0"/>
      <c r="IGA85" s="0"/>
      <c r="IGB85" s="0"/>
      <c r="IGC85" s="0"/>
      <c r="IGD85" s="0"/>
      <c r="IGE85" s="0"/>
      <c r="IGF85" s="0"/>
      <c r="IGG85" s="0"/>
      <c r="IGH85" s="0"/>
      <c r="IGI85" s="0"/>
      <c r="IGJ85" s="0"/>
      <c r="IGK85" s="0"/>
      <c r="IGL85" s="0"/>
      <c r="IGM85" s="0"/>
      <c r="IGN85" s="0"/>
      <c r="IGO85" s="0"/>
      <c r="IGP85" s="0"/>
      <c r="IGQ85" s="0"/>
      <c r="IGR85" s="0"/>
      <c r="IGS85" s="0"/>
      <c r="IGT85" s="0"/>
      <c r="IGU85" s="0"/>
      <c r="IGV85" s="0"/>
      <c r="IGW85" s="0"/>
      <c r="IGX85" s="0"/>
      <c r="IGY85" s="0"/>
      <c r="IGZ85" s="0"/>
      <c r="IHA85" s="0"/>
      <c r="IHB85" s="0"/>
      <c r="IHC85" s="0"/>
      <c r="IHD85" s="0"/>
      <c r="IHE85" s="0"/>
      <c r="IHF85" s="0"/>
      <c r="IHG85" s="0"/>
      <c r="IHH85" s="0"/>
      <c r="IHI85" s="0"/>
      <c r="IHJ85" s="0"/>
      <c r="IHK85" s="0"/>
      <c r="IHL85" s="0"/>
      <c r="IHM85" s="0"/>
      <c r="IHN85" s="0"/>
      <c r="IHO85" s="0"/>
      <c r="IHP85" s="0"/>
      <c r="IHQ85" s="0"/>
      <c r="IHR85" s="0"/>
      <c r="IHS85" s="0"/>
      <c r="IHT85" s="0"/>
      <c r="IHU85" s="0"/>
      <c r="IHV85" s="0"/>
      <c r="IHW85" s="0"/>
      <c r="IHX85" s="0"/>
      <c r="IHY85" s="0"/>
      <c r="IHZ85" s="0"/>
      <c r="IIA85" s="0"/>
      <c r="IIB85" s="0"/>
      <c r="IIC85" s="0"/>
      <c r="IID85" s="0"/>
      <c r="IIE85" s="0"/>
      <c r="IIF85" s="0"/>
      <c r="IIG85" s="0"/>
      <c r="IIH85" s="0"/>
      <c r="III85" s="0"/>
      <c r="IIJ85" s="0"/>
      <c r="IIK85" s="0"/>
      <c r="IIL85" s="0"/>
      <c r="IIM85" s="0"/>
      <c r="IIN85" s="0"/>
      <c r="IIO85" s="0"/>
      <c r="IIP85" s="0"/>
      <c r="IIQ85" s="0"/>
      <c r="IIR85" s="0"/>
      <c r="IIS85" s="0"/>
      <c r="IIT85" s="0"/>
      <c r="IIU85" s="0"/>
      <c r="IIV85" s="0"/>
      <c r="IIW85" s="0"/>
      <c r="IIX85" s="0"/>
      <c r="IIY85" s="0"/>
      <c r="IIZ85" s="0"/>
      <c r="IJA85" s="0"/>
      <c r="IJB85" s="0"/>
      <c r="IJC85" s="0"/>
      <c r="IJD85" s="0"/>
      <c r="IJE85" s="0"/>
      <c r="IJF85" s="0"/>
      <c r="IJG85" s="0"/>
      <c r="IJH85" s="0"/>
      <c r="IJI85" s="0"/>
      <c r="IJJ85" s="0"/>
      <c r="IJK85" s="0"/>
      <c r="IJL85" s="0"/>
      <c r="IJM85" s="0"/>
      <c r="IJN85" s="0"/>
      <c r="IJO85" s="0"/>
      <c r="IJP85" s="0"/>
      <c r="IJQ85" s="0"/>
      <c r="IJR85" s="0"/>
      <c r="IJS85" s="0"/>
      <c r="IJT85" s="0"/>
      <c r="IJU85" s="0"/>
      <c r="IJV85" s="0"/>
      <c r="IJW85" s="0"/>
      <c r="IJX85" s="0"/>
      <c r="IJY85" s="0"/>
      <c r="IJZ85" s="0"/>
      <c r="IKA85" s="0"/>
      <c r="IKB85" s="0"/>
      <c r="IKC85" s="0"/>
      <c r="IKD85" s="0"/>
      <c r="IKE85" s="0"/>
      <c r="IKF85" s="0"/>
      <c r="IKG85" s="0"/>
      <c r="IKH85" s="0"/>
      <c r="IKI85" s="0"/>
      <c r="IKJ85" s="0"/>
      <c r="IKK85" s="0"/>
      <c r="IKL85" s="0"/>
      <c r="IKM85" s="0"/>
      <c r="IKN85" s="0"/>
      <c r="IKO85" s="0"/>
      <c r="IKP85" s="0"/>
      <c r="IKQ85" s="0"/>
      <c r="IKR85" s="0"/>
      <c r="IKS85" s="0"/>
      <c r="IKT85" s="0"/>
      <c r="IKU85" s="0"/>
      <c r="IKV85" s="0"/>
      <c r="IKW85" s="0"/>
      <c r="IKX85" s="0"/>
      <c r="IKY85" s="0"/>
      <c r="IKZ85" s="0"/>
      <c r="ILA85" s="0"/>
      <c r="ILB85" s="0"/>
      <c r="ILC85" s="0"/>
      <c r="ILD85" s="0"/>
      <c r="ILE85" s="0"/>
      <c r="ILF85" s="0"/>
      <c r="ILG85" s="0"/>
      <c r="ILH85" s="0"/>
      <c r="ILI85" s="0"/>
      <c r="ILJ85" s="0"/>
      <c r="ILK85" s="0"/>
      <c r="ILL85" s="0"/>
      <c r="ILM85" s="0"/>
      <c r="ILN85" s="0"/>
      <c r="ILO85" s="0"/>
      <c r="ILP85" s="0"/>
      <c r="ILQ85" s="0"/>
      <c r="ILR85" s="0"/>
      <c r="ILS85" s="0"/>
      <c r="ILT85" s="0"/>
      <c r="ILU85" s="0"/>
      <c r="ILV85" s="0"/>
      <c r="ILW85" s="0"/>
      <c r="ILX85" s="0"/>
      <c r="ILY85" s="0"/>
      <c r="ILZ85" s="0"/>
      <c r="IMA85" s="0"/>
      <c r="IMB85" s="0"/>
      <c r="IMC85" s="0"/>
      <c r="IMD85" s="0"/>
      <c r="IME85" s="0"/>
      <c r="IMF85" s="0"/>
      <c r="IMG85" s="0"/>
      <c r="IMH85" s="0"/>
      <c r="IMI85" s="0"/>
      <c r="IMJ85" s="0"/>
      <c r="IMK85" s="0"/>
      <c r="IML85" s="0"/>
      <c r="IMM85" s="0"/>
      <c r="IMN85" s="0"/>
      <c r="IMO85" s="0"/>
      <c r="IMP85" s="0"/>
      <c r="IMQ85" s="0"/>
      <c r="IMR85" s="0"/>
      <c r="IMS85" s="0"/>
      <c r="IMT85" s="0"/>
      <c r="IMU85" s="0"/>
      <c r="IMV85" s="0"/>
      <c r="IMW85" s="0"/>
      <c r="IMX85" s="0"/>
      <c r="IMY85" s="0"/>
      <c r="IMZ85" s="0"/>
      <c r="INA85" s="0"/>
      <c r="INB85" s="0"/>
      <c r="INC85" s="0"/>
      <c r="IND85" s="0"/>
      <c r="INE85" s="0"/>
      <c r="INF85" s="0"/>
      <c r="ING85" s="0"/>
      <c r="INH85" s="0"/>
      <c r="INI85" s="0"/>
      <c r="INJ85" s="0"/>
      <c r="INK85" s="0"/>
      <c r="INL85" s="0"/>
      <c r="INM85" s="0"/>
      <c r="INN85" s="0"/>
      <c r="INO85" s="0"/>
      <c r="INP85" s="0"/>
      <c r="INQ85" s="0"/>
      <c r="INR85" s="0"/>
      <c r="INS85" s="0"/>
      <c r="INT85" s="0"/>
      <c r="INU85" s="0"/>
      <c r="INV85" s="0"/>
      <c r="INW85" s="0"/>
      <c r="INX85" s="0"/>
      <c r="INY85" s="0"/>
      <c r="INZ85" s="0"/>
      <c r="IOA85" s="0"/>
      <c r="IOB85" s="0"/>
      <c r="IOC85" s="0"/>
      <c r="IOD85" s="0"/>
      <c r="IOE85" s="0"/>
      <c r="IOF85" s="0"/>
      <c r="IOG85" s="0"/>
      <c r="IOH85" s="0"/>
      <c r="IOI85" s="0"/>
      <c r="IOJ85" s="0"/>
      <c r="IOK85" s="0"/>
      <c r="IOL85" s="0"/>
      <c r="IOM85" s="0"/>
      <c r="ION85" s="0"/>
      <c r="IOO85" s="0"/>
      <c r="IOP85" s="0"/>
      <c r="IOQ85" s="0"/>
      <c r="IOR85" s="0"/>
      <c r="IOS85" s="0"/>
      <c r="IOT85" s="0"/>
      <c r="IOU85" s="0"/>
      <c r="IOV85" s="0"/>
      <c r="IOW85" s="0"/>
      <c r="IOX85" s="0"/>
      <c r="IOY85" s="0"/>
      <c r="IOZ85" s="0"/>
      <c r="IPA85" s="0"/>
      <c r="IPB85" s="0"/>
      <c r="IPC85" s="0"/>
      <c r="IPD85" s="0"/>
      <c r="IPE85" s="0"/>
      <c r="IPF85" s="0"/>
      <c r="IPG85" s="0"/>
      <c r="IPH85" s="0"/>
      <c r="IPI85" s="0"/>
      <c r="IPJ85" s="0"/>
      <c r="IPK85" s="0"/>
      <c r="IPL85" s="0"/>
      <c r="IPM85" s="0"/>
      <c r="IPN85" s="0"/>
      <c r="IPO85" s="0"/>
      <c r="IPP85" s="0"/>
      <c r="IPQ85" s="0"/>
      <c r="IPR85" s="0"/>
      <c r="IPS85" s="0"/>
      <c r="IPT85" s="0"/>
      <c r="IPU85" s="0"/>
      <c r="IPV85" s="0"/>
      <c r="IPW85" s="0"/>
      <c r="IPX85" s="0"/>
      <c r="IPY85" s="0"/>
      <c r="IPZ85" s="0"/>
      <c r="IQA85" s="0"/>
      <c r="IQB85" s="0"/>
      <c r="IQC85" s="0"/>
      <c r="IQD85" s="0"/>
      <c r="IQE85" s="0"/>
      <c r="IQF85" s="0"/>
      <c r="IQG85" s="0"/>
      <c r="IQH85" s="0"/>
      <c r="IQI85" s="0"/>
      <c r="IQJ85" s="0"/>
      <c r="IQK85" s="0"/>
      <c r="IQL85" s="0"/>
      <c r="IQM85" s="0"/>
      <c r="IQN85" s="0"/>
      <c r="IQO85" s="0"/>
      <c r="IQP85" s="0"/>
      <c r="IQQ85" s="0"/>
      <c r="IQR85" s="0"/>
      <c r="IQS85" s="0"/>
      <c r="IQT85" s="0"/>
      <c r="IQU85" s="0"/>
      <c r="IQV85" s="0"/>
      <c r="IQW85" s="0"/>
      <c r="IQX85" s="0"/>
      <c r="IQY85" s="0"/>
      <c r="IQZ85" s="0"/>
      <c r="IRA85" s="0"/>
      <c r="IRB85" s="0"/>
      <c r="IRC85" s="0"/>
      <c r="IRD85" s="0"/>
      <c r="IRE85" s="0"/>
      <c r="IRF85" s="0"/>
      <c r="IRG85" s="0"/>
      <c r="IRH85" s="0"/>
      <c r="IRI85" s="0"/>
      <c r="IRJ85" s="0"/>
      <c r="IRK85" s="0"/>
      <c r="IRL85" s="0"/>
      <c r="IRM85" s="0"/>
      <c r="IRN85" s="0"/>
      <c r="IRO85" s="0"/>
      <c r="IRP85" s="0"/>
      <c r="IRQ85" s="0"/>
      <c r="IRR85" s="0"/>
      <c r="IRS85" s="0"/>
      <c r="IRT85" s="0"/>
      <c r="IRU85" s="0"/>
      <c r="IRV85" s="0"/>
      <c r="IRW85" s="0"/>
      <c r="IRX85" s="0"/>
      <c r="IRY85" s="0"/>
      <c r="IRZ85" s="0"/>
      <c r="ISA85" s="0"/>
      <c r="ISB85" s="0"/>
      <c r="ISC85" s="0"/>
      <c r="ISD85" s="0"/>
      <c r="ISE85" s="0"/>
      <c r="ISF85" s="0"/>
      <c r="ISG85" s="0"/>
      <c r="ISH85" s="0"/>
      <c r="ISI85" s="0"/>
      <c r="ISJ85" s="0"/>
      <c r="ISK85" s="0"/>
      <c r="ISL85" s="0"/>
      <c r="ISM85" s="0"/>
      <c r="ISN85" s="0"/>
      <c r="ISO85" s="0"/>
      <c r="ISP85" s="0"/>
      <c r="ISQ85" s="0"/>
      <c r="ISR85" s="0"/>
      <c r="ISS85" s="0"/>
      <c r="IST85" s="0"/>
      <c r="ISU85" s="0"/>
      <c r="ISV85" s="0"/>
      <c r="ISW85" s="0"/>
      <c r="ISX85" s="0"/>
      <c r="ISY85" s="0"/>
      <c r="ISZ85" s="0"/>
      <c r="ITA85" s="0"/>
      <c r="ITB85" s="0"/>
      <c r="ITC85" s="0"/>
      <c r="ITD85" s="0"/>
      <c r="ITE85" s="0"/>
      <c r="ITF85" s="0"/>
      <c r="ITG85" s="0"/>
      <c r="ITH85" s="0"/>
      <c r="ITI85" s="0"/>
      <c r="ITJ85" s="0"/>
      <c r="ITK85" s="0"/>
      <c r="ITL85" s="0"/>
      <c r="ITM85" s="0"/>
      <c r="ITN85" s="0"/>
      <c r="ITO85" s="0"/>
      <c r="ITP85" s="0"/>
      <c r="ITQ85" s="0"/>
      <c r="ITR85" s="0"/>
      <c r="ITS85" s="0"/>
      <c r="ITT85" s="0"/>
      <c r="ITU85" s="0"/>
      <c r="ITV85" s="0"/>
      <c r="ITW85" s="0"/>
      <c r="ITX85" s="0"/>
      <c r="ITY85" s="0"/>
      <c r="ITZ85" s="0"/>
      <c r="IUA85" s="0"/>
      <c r="IUB85" s="0"/>
      <c r="IUC85" s="0"/>
      <c r="IUD85" s="0"/>
      <c r="IUE85" s="0"/>
      <c r="IUF85" s="0"/>
      <c r="IUG85" s="0"/>
      <c r="IUH85" s="0"/>
      <c r="IUI85" s="0"/>
      <c r="IUJ85" s="0"/>
      <c r="IUK85" s="0"/>
      <c r="IUL85" s="0"/>
      <c r="IUM85" s="0"/>
      <c r="IUN85" s="0"/>
      <c r="IUO85" s="0"/>
      <c r="IUP85" s="0"/>
      <c r="IUQ85" s="0"/>
      <c r="IUR85" s="0"/>
      <c r="IUS85" s="0"/>
      <c r="IUT85" s="0"/>
      <c r="IUU85" s="0"/>
      <c r="IUV85" s="0"/>
      <c r="IUW85" s="0"/>
      <c r="IUX85" s="0"/>
      <c r="IUY85" s="0"/>
      <c r="IUZ85" s="0"/>
      <c r="IVA85" s="0"/>
      <c r="IVB85" s="0"/>
      <c r="IVC85" s="0"/>
      <c r="IVD85" s="0"/>
      <c r="IVE85" s="0"/>
      <c r="IVF85" s="0"/>
      <c r="IVG85" s="0"/>
      <c r="IVH85" s="0"/>
      <c r="IVI85" s="0"/>
      <c r="IVJ85" s="0"/>
      <c r="IVK85" s="0"/>
      <c r="IVL85" s="0"/>
      <c r="IVM85" s="0"/>
      <c r="IVN85" s="0"/>
      <c r="IVO85" s="0"/>
      <c r="IVP85" s="0"/>
      <c r="IVQ85" s="0"/>
      <c r="IVR85" s="0"/>
      <c r="IVS85" s="0"/>
      <c r="IVT85" s="0"/>
      <c r="IVU85" s="0"/>
      <c r="IVV85" s="0"/>
      <c r="IVW85" s="0"/>
      <c r="IVX85" s="0"/>
      <c r="IVY85" s="0"/>
      <c r="IVZ85" s="0"/>
      <c r="IWA85" s="0"/>
      <c r="IWB85" s="0"/>
      <c r="IWC85" s="0"/>
      <c r="IWD85" s="0"/>
      <c r="IWE85" s="0"/>
      <c r="IWF85" s="0"/>
      <c r="IWG85" s="0"/>
      <c r="IWH85" s="0"/>
      <c r="IWI85" s="0"/>
      <c r="IWJ85" s="0"/>
      <c r="IWK85" s="0"/>
      <c r="IWL85" s="0"/>
      <c r="IWM85" s="0"/>
      <c r="IWN85" s="0"/>
      <c r="IWO85" s="0"/>
      <c r="IWP85" s="0"/>
      <c r="IWQ85" s="0"/>
      <c r="IWR85" s="0"/>
      <c r="IWS85" s="0"/>
      <c r="IWT85" s="0"/>
      <c r="IWU85" s="0"/>
      <c r="IWV85" s="0"/>
      <c r="IWW85" s="0"/>
      <c r="IWX85" s="0"/>
      <c r="IWY85" s="0"/>
      <c r="IWZ85" s="0"/>
      <c r="IXA85" s="0"/>
      <c r="IXB85" s="0"/>
      <c r="IXC85" s="0"/>
      <c r="IXD85" s="0"/>
      <c r="IXE85" s="0"/>
      <c r="IXF85" s="0"/>
      <c r="IXG85" s="0"/>
      <c r="IXH85" s="0"/>
      <c r="IXI85" s="0"/>
      <c r="IXJ85" s="0"/>
      <c r="IXK85" s="0"/>
      <c r="IXL85" s="0"/>
      <c r="IXM85" s="0"/>
      <c r="IXN85" s="0"/>
      <c r="IXO85" s="0"/>
      <c r="IXP85" s="0"/>
      <c r="IXQ85" s="0"/>
      <c r="IXR85" s="0"/>
      <c r="IXS85" s="0"/>
      <c r="IXT85" s="0"/>
      <c r="IXU85" s="0"/>
      <c r="IXV85" s="0"/>
      <c r="IXW85" s="0"/>
      <c r="IXX85" s="0"/>
      <c r="IXY85" s="0"/>
      <c r="IXZ85" s="0"/>
      <c r="IYA85" s="0"/>
      <c r="IYB85" s="0"/>
      <c r="IYC85" s="0"/>
      <c r="IYD85" s="0"/>
      <c r="IYE85" s="0"/>
      <c r="IYF85" s="0"/>
      <c r="IYG85" s="0"/>
      <c r="IYH85" s="0"/>
      <c r="IYI85" s="0"/>
      <c r="IYJ85" s="0"/>
      <c r="IYK85" s="0"/>
      <c r="IYL85" s="0"/>
      <c r="IYM85" s="0"/>
      <c r="IYN85" s="0"/>
      <c r="IYO85" s="0"/>
      <c r="IYP85" s="0"/>
      <c r="IYQ85" s="0"/>
      <c r="IYR85" s="0"/>
      <c r="IYS85" s="0"/>
      <c r="IYT85" s="0"/>
      <c r="IYU85" s="0"/>
      <c r="IYV85" s="0"/>
      <c r="IYW85" s="0"/>
      <c r="IYX85" s="0"/>
      <c r="IYY85" s="0"/>
      <c r="IYZ85" s="0"/>
      <c r="IZA85" s="0"/>
      <c r="IZB85" s="0"/>
      <c r="IZC85" s="0"/>
      <c r="IZD85" s="0"/>
      <c r="IZE85" s="0"/>
      <c r="IZF85" s="0"/>
      <c r="IZG85" s="0"/>
      <c r="IZH85" s="0"/>
      <c r="IZI85" s="0"/>
      <c r="IZJ85" s="0"/>
      <c r="IZK85" s="0"/>
      <c r="IZL85" s="0"/>
      <c r="IZM85" s="0"/>
      <c r="IZN85" s="0"/>
      <c r="IZO85" s="0"/>
      <c r="IZP85" s="0"/>
      <c r="IZQ85" s="0"/>
      <c r="IZR85" s="0"/>
      <c r="IZS85" s="0"/>
      <c r="IZT85" s="0"/>
      <c r="IZU85" s="0"/>
      <c r="IZV85" s="0"/>
      <c r="IZW85" s="0"/>
      <c r="IZX85" s="0"/>
      <c r="IZY85" s="0"/>
      <c r="IZZ85" s="0"/>
      <c r="JAA85" s="0"/>
      <c r="JAB85" s="0"/>
      <c r="JAC85" s="0"/>
      <c r="JAD85" s="0"/>
      <c r="JAE85" s="0"/>
      <c r="JAF85" s="0"/>
      <c r="JAG85" s="0"/>
      <c r="JAH85" s="0"/>
      <c r="JAI85" s="0"/>
      <c r="JAJ85" s="0"/>
      <c r="JAK85" s="0"/>
      <c r="JAL85" s="0"/>
      <c r="JAM85" s="0"/>
      <c r="JAN85" s="0"/>
      <c r="JAO85" s="0"/>
      <c r="JAP85" s="0"/>
      <c r="JAQ85" s="0"/>
      <c r="JAR85" s="0"/>
      <c r="JAS85" s="0"/>
      <c r="JAT85" s="0"/>
      <c r="JAU85" s="0"/>
      <c r="JAV85" s="0"/>
      <c r="JAW85" s="0"/>
      <c r="JAX85" s="0"/>
      <c r="JAY85" s="0"/>
      <c r="JAZ85" s="0"/>
      <c r="JBA85" s="0"/>
      <c r="JBB85" s="0"/>
      <c r="JBC85" s="0"/>
      <c r="JBD85" s="0"/>
      <c r="JBE85" s="0"/>
      <c r="JBF85" s="0"/>
      <c r="JBG85" s="0"/>
      <c r="JBH85" s="0"/>
      <c r="JBI85" s="0"/>
      <c r="JBJ85" s="0"/>
      <c r="JBK85" s="0"/>
      <c r="JBL85" s="0"/>
      <c r="JBM85" s="0"/>
      <c r="JBN85" s="0"/>
      <c r="JBO85" s="0"/>
      <c r="JBP85" s="0"/>
      <c r="JBQ85" s="0"/>
      <c r="JBR85" s="0"/>
      <c r="JBS85" s="0"/>
      <c r="JBT85" s="0"/>
      <c r="JBU85" s="0"/>
      <c r="JBV85" s="0"/>
      <c r="JBW85" s="0"/>
      <c r="JBX85" s="0"/>
      <c r="JBY85" s="0"/>
      <c r="JBZ85" s="0"/>
      <c r="JCA85" s="0"/>
      <c r="JCB85" s="0"/>
      <c r="JCC85" s="0"/>
      <c r="JCD85" s="0"/>
      <c r="JCE85" s="0"/>
      <c r="JCF85" s="0"/>
      <c r="JCG85" s="0"/>
      <c r="JCH85" s="0"/>
      <c r="JCI85" s="0"/>
      <c r="JCJ85" s="0"/>
      <c r="JCK85" s="0"/>
      <c r="JCL85" s="0"/>
      <c r="JCM85" s="0"/>
      <c r="JCN85" s="0"/>
      <c r="JCO85" s="0"/>
      <c r="JCP85" s="0"/>
      <c r="JCQ85" s="0"/>
      <c r="JCR85" s="0"/>
      <c r="JCS85" s="0"/>
      <c r="JCT85" s="0"/>
      <c r="JCU85" s="0"/>
      <c r="JCV85" s="0"/>
      <c r="JCW85" s="0"/>
      <c r="JCX85" s="0"/>
      <c r="JCY85" s="0"/>
      <c r="JCZ85" s="0"/>
      <c r="JDA85" s="0"/>
      <c r="JDB85" s="0"/>
      <c r="JDC85" s="0"/>
      <c r="JDD85" s="0"/>
      <c r="JDE85" s="0"/>
      <c r="JDF85" s="0"/>
      <c r="JDG85" s="0"/>
      <c r="JDH85" s="0"/>
      <c r="JDI85" s="0"/>
      <c r="JDJ85" s="0"/>
      <c r="JDK85" s="0"/>
      <c r="JDL85" s="0"/>
      <c r="JDM85" s="0"/>
      <c r="JDN85" s="0"/>
      <c r="JDO85" s="0"/>
      <c r="JDP85" s="0"/>
      <c r="JDQ85" s="0"/>
      <c r="JDR85" s="0"/>
      <c r="JDS85" s="0"/>
      <c r="JDT85" s="0"/>
      <c r="JDU85" s="0"/>
      <c r="JDV85" s="0"/>
      <c r="JDW85" s="0"/>
      <c r="JDX85" s="0"/>
      <c r="JDY85" s="0"/>
      <c r="JDZ85" s="0"/>
      <c r="JEA85" s="0"/>
      <c r="JEB85" s="0"/>
      <c r="JEC85" s="0"/>
      <c r="JED85" s="0"/>
      <c r="JEE85" s="0"/>
      <c r="JEF85" s="0"/>
      <c r="JEG85" s="0"/>
      <c r="JEH85" s="0"/>
      <c r="JEI85" s="0"/>
      <c r="JEJ85" s="0"/>
      <c r="JEK85" s="0"/>
      <c r="JEL85" s="0"/>
      <c r="JEM85" s="0"/>
      <c r="JEN85" s="0"/>
      <c r="JEO85" s="0"/>
      <c r="JEP85" s="0"/>
      <c r="JEQ85" s="0"/>
      <c r="JER85" s="0"/>
      <c r="JES85" s="0"/>
      <c r="JET85" s="0"/>
      <c r="JEU85" s="0"/>
      <c r="JEV85" s="0"/>
      <c r="JEW85" s="0"/>
      <c r="JEX85" s="0"/>
      <c r="JEY85" s="0"/>
      <c r="JEZ85" s="0"/>
      <c r="JFA85" s="0"/>
      <c r="JFB85" s="0"/>
      <c r="JFC85" s="0"/>
      <c r="JFD85" s="0"/>
      <c r="JFE85" s="0"/>
      <c r="JFF85" s="0"/>
      <c r="JFG85" s="0"/>
      <c r="JFH85" s="0"/>
      <c r="JFI85" s="0"/>
      <c r="JFJ85" s="0"/>
      <c r="JFK85" s="0"/>
      <c r="JFL85" s="0"/>
      <c r="JFM85" s="0"/>
      <c r="JFN85" s="0"/>
      <c r="JFO85" s="0"/>
      <c r="JFP85" s="0"/>
      <c r="JFQ85" s="0"/>
      <c r="JFR85" s="0"/>
      <c r="JFS85" s="0"/>
      <c r="JFT85" s="0"/>
      <c r="JFU85" s="0"/>
      <c r="JFV85" s="0"/>
      <c r="JFW85" s="0"/>
      <c r="JFX85" s="0"/>
      <c r="JFY85" s="0"/>
      <c r="JFZ85" s="0"/>
      <c r="JGA85" s="0"/>
      <c r="JGB85" s="0"/>
      <c r="JGC85" s="0"/>
      <c r="JGD85" s="0"/>
      <c r="JGE85" s="0"/>
      <c r="JGF85" s="0"/>
      <c r="JGG85" s="0"/>
      <c r="JGH85" s="0"/>
      <c r="JGI85" s="0"/>
      <c r="JGJ85" s="0"/>
      <c r="JGK85" s="0"/>
      <c r="JGL85" s="0"/>
      <c r="JGM85" s="0"/>
      <c r="JGN85" s="0"/>
      <c r="JGO85" s="0"/>
      <c r="JGP85" s="0"/>
      <c r="JGQ85" s="0"/>
      <c r="JGR85" s="0"/>
      <c r="JGS85" s="0"/>
      <c r="JGT85" s="0"/>
      <c r="JGU85" s="0"/>
      <c r="JGV85" s="0"/>
      <c r="JGW85" s="0"/>
      <c r="JGX85" s="0"/>
      <c r="JGY85" s="0"/>
      <c r="JGZ85" s="0"/>
      <c r="JHA85" s="0"/>
      <c r="JHB85" s="0"/>
      <c r="JHC85" s="0"/>
      <c r="JHD85" s="0"/>
      <c r="JHE85" s="0"/>
      <c r="JHF85" s="0"/>
      <c r="JHG85" s="0"/>
      <c r="JHH85" s="0"/>
      <c r="JHI85" s="0"/>
      <c r="JHJ85" s="0"/>
      <c r="JHK85" s="0"/>
      <c r="JHL85" s="0"/>
      <c r="JHM85" s="0"/>
      <c r="JHN85" s="0"/>
      <c r="JHO85" s="0"/>
      <c r="JHP85" s="0"/>
      <c r="JHQ85" s="0"/>
      <c r="JHR85" s="0"/>
      <c r="JHS85" s="0"/>
      <c r="JHT85" s="0"/>
      <c r="JHU85" s="0"/>
      <c r="JHV85" s="0"/>
      <c r="JHW85" s="0"/>
      <c r="JHX85" s="0"/>
      <c r="JHY85" s="0"/>
      <c r="JHZ85" s="0"/>
      <c r="JIA85" s="0"/>
      <c r="JIB85" s="0"/>
      <c r="JIC85" s="0"/>
      <c r="JID85" s="0"/>
      <c r="JIE85" s="0"/>
      <c r="JIF85" s="0"/>
      <c r="JIG85" s="0"/>
      <c r="JIH85" s="0"/>
      <c r="JII85" s="0"/>
      <c r="JIJ85" s="0"/>
      <c r="JIK85" s="0"/>
      <c r="JIL85" s="0"/>
      <c r="JIM85" s="0"/>
      <c r="JIN85" s="0"/>
      <c r="JIO85" s="0"/>
      <c r="JIP85" s="0"/>
      <c r="JIQ85" s="0"/>
      <c r="JIR85" s="0"/>
      <c r="JIS85" s="0"/>
      <c r="JIT85" s="0"/>
      <c r="JIU85" s="0"/>
      <c r="JIV85" s="0"/>
      <c r="JIW85" s="0"/>
      <c r="JIX85" s="0"/>
      <c r="JIY85" s="0"/>
      <c r="JIZ85" s="0"/>
      <c r="JJA85" s="0"/>
      <c r="JJB85" s="0"/>
      <c r="JJC85" s="0"/>
      <c r="JJD85" s="0"/>
      <c r="JJE85" s="0"/>
      <c r="JJF85" s="0"/>
      <c r="JJG85" s="0"/>
      <c r="JJH85" s="0"/>
      <c r="JJI85" s="0"/>
      <c r="JJJ85" s="0"/>
      <c r="JJK85" s="0"/>
      <c r="JJL85" s="0"/>
      <c r="JJM85" s="0"/>
      <c r="JJN85" s="0"/>
      <c r="JJO85" s="0"/>
      <c r="JJP85" s="0"/>
      <c r="JJQ85" s="0"/>
      <c r="JJR85" s="0"/>
      <c r="JJS85" s="0"/>
      <c r="JJT85" s="0"/>
      <c r="JJU85" s="0"/>
      <c r="JJV85" s="0"/>
      <c r="JJW85" s="0"/>
      <c r="JJX85" s="0"/>
      <c r="JJY85" s="0"/>
      <c r="JJZ85" s="0"/>
      <c r="JKA85" s="0"/>
      <c r="JKB85" s="0"/>
      <c r="JKC85" s="0"/>
      <c r="JKD85" s="0"/>
      <c r="JKE85" s="0"/>
      <c r="JKF85" s="0"/>
      <c r="JKG85" s="0"/>
      <c r="JKH85" s="0"/>
      <c r="JKI85" s="0"/>
      <c r="JKJ85" s="0"/>
      <c r="JKK85" s="0"/>
      <c r="JKL85" s="0"/>
      <c r="JKM85" s="0"/>
      <c r="JKN85" s="0"/>
      <c r="JKO85" s="0"/>
      <c r="JKP85" s="0"/>
      <c r="JKQ85" s="0"/>
      <c r="JKR85" s="0"/>
      <c r="JKS85" s="0"/>
      <c r="JKT85" s="0"/>
      <c r="JKU85" s="0"/>
      <c r="JKV85" s="0"/>
      <c r="JKW85" s="0"/>
      <c r="JKX85" s="0"/>
      <c r="JKY85" s="0"/>
      <c r="JKZ85" s="0"/>
      <c r="JLA85" s="0"/>
      <c r="JLB85" s="0"/>
      <c r="JLC85" s="0"/>
      <c r="JLD85" s="0"/>
      <c r="JLE85" s="0"/>
      <c r="JLF85" s="0"/>
      <c r="JLG85" s="0"/>
      <c r="JLH85" s="0"/>
      <c r="JLI85" s="0"/>
      <c r="JLJ85" s="0"/>
      <c r="JLK85" s="0"/>
      <c r="JLL85" s="0"/>
      <c r="JLM85" s="0"/>
      <c r="JLN85" s="0"/>
      <c r="JLO85" s="0"/>
      <c r="JLP85" s="0"/>
      <c r="JLQ85" s="0"/>
      <c r="JLR85" s="0"/>
      <c r="JLS85" s="0"/>
      <c r="JLT85" s="0"/>
      <c r="JLU85" s="0"/>
      <c r="JLV85" s="0"/>
      <c r="JLW85" s="0"/>
      <c r="JLX85" s="0"/>
      <c r="JLY85" s="0"/>
      <c r="JLZ85" s="0"/>
      <c r="JMA85" s="0"/>
      <c r="JMB85" s="0"/>
      <c r="JMC85" s="0"/>
      <c r="JMD85" s="0"/>
      <c r="JME85" s="0"/>
      <c r="JMF85" s="0"/>
      <c r="JMG85" s="0"/>
      <c r="JMH85" s="0"/>
      <c r="JMI85" s="0"/>
      <c r="JMJ85" s="0"/>
      <c r="JMK85" s="0"/>
      <c r="JML85" s="0"/>
      <c r="JMM85" s="0"/>
      <c r="JMN85" s="0"/>
      <c r="JMO85" s="0"/>
      <c r="JMP85" s="0"/>
      <c r="JMQ85" s="0"/>
      <c r="JMR85" s="0"/>
      <c r="JMS85" s="0"/>
      <c r="JMT85" s="0"/>
      <c r="JMU85" s="0"/>
      <c r="JMV85" s="0"/>
      <c r="JMW85" s="0"/>
      <c r="JMX85" s="0"/>
      <c r="JMY85" s="0"/>
      <c r="JMZ85" s="0"/>
      <c r="JNA85" s="0"/>
      <c r="JNB85" s="0"/>
      <c r="JNC85" s="0"/>
      <c r="JND85" s="0"/>
      <c r="JNE85" s="0"/>
      <c r="JNF85" s="0"/>
      <c r="JNG85" s="0"/>
      <c r="JNH85" s="0"/>
      <c r="JNI85" s="0"/>
      <c r="JNJ85" s="0"/>
      <c r="JNK85" s="0"/>
      <c r="JNL85" s="0"/>
      <c r="JNM85" s="0"/>
      <c r="JNN85" s="0"/>
      <c r="JNO85" s="0"/>
      <c r="JNP85" s="0"/>
      <c r="JNQ85" s="0"/>
      <c r="JNR85" s="0"/>
      <c r="JNS85" s="0"/>
      <c r="JNT85" s="0"/>
      <c r="JNU85" s="0"/>
      <c r="JNV85" s="0"/>
      <c r="JNW85" s="0"/>
      <c r="JNX85" s="0"/>
      <c r="JNY85" s="0"/>
      <c r="JNZ85" s="0"/>
      <c r="JOA85" s="0"/>
      <c r="JOB85" s="0"/>
      <c r="JOC85" s="0"/>
      <c r="JOD85" s="0"/>
      <c r="JOE85" s="0"/>
      <c r="JOF85" s="0"/>
      <c r="JOG85" s="0"/>
      <c r="JOH85" s="0"/>
      <c r="JOI85" s="0"/>
      <c r="JOJ85" s="0"/>
      <c r="JOK85" s="0"/>
      <c r="JOL85" s="0"/>
      <c r="JOM85" s="0"/>
      <c r="JON85" s="0"/>
      <c r="JOO85" s="0"/>
      <c r="JOP85" s="0"/>
      <c r="JOQ85" s="0"/>
      <c r="JOR85" s="0"/>
      <c r="JOS85" s="0"/>
      <c r="JOT85" s="0"/>
      <c r="JOU85" s="0"/>
      <c r="JOV85" s="0"/>
      <c r="JOW85" s="0"/>
      <c r="JOX85" s="0"/>
      <c r="JOY85" s="0"/>
      <c r="JOZ85" s="0"/>
      <c r="JPA85" s="0"/>
      <c r="JPB85" s="0"/>
      <c r="JPC85" s="0"/>
      <c r="JPD85" s="0"/>
      <c r="JPE85" s="0"/>
      <c r="JPF85" s="0"/>
      <c r="JPG85" s="0"/>
      <c r="JPH85" s="0"/>
      <c r="JPI85" s="0"/>
      <c r="JPJ85" s="0"/>
      <c r="JPK85" s="0"/>
      <c r="JPL85" s="0"/>
      <c r="JPM85" s="0"/>
      <c r="JPN85" s="0"/>
      <c r="JPO85" s="0"/>
      <c r="JPP85" s="0"/>
      <c r="JPQ85" s="0"/>
      <c r="JPR85" s="0"/>
      <c r="JPS85" s="0"/>
      <c r="JPT85" s="0"/>
      <c r="JPU85" s="0"/>
      <c r="JPV85" s="0"/>
      <c r="JPW85" s="0"/>
      <c r="JPX85" s="0"/>
      <c r="JPY85" s="0"/>
      <c r="JPZ85" s="0"/>
      <c r="JQA85" s="0"/>
      <c r="JQB85" s="0"/>
      <c r="JQC85" s="0"/>
      <c r="JQD85" s="0"/>
      <c r="JQE85" s="0"/>
      <c r="JQF85" s="0"/>
      <c r="JQG85" s="0"/>
      <c r="JQH85" s="0"/>
      <c r="JQI85" s="0"/>
      <c r="JQJ85" s="0"/>
      <c r="JQK85" s="0"/>
      <c r="JQL85" s="0"/>
      <c r="JQM85" s="0"/>
      <c r="JQN85" s="0"/>
      <c r="JQO85" s="0"/>
      <c r="JQP85" s="0"/>
      <c r="JQQ85" s="0"/>
      <c r="JQR85" s="0"/>
      <c r="JQS85" s="0"/>
      <c r="JQT85" s="0"/>
      <c r="JQU85" s="0"/>
      <c r="JQV85" s="0"/>
      <c r="JQW85" s="0"/>
      <c r="JQX85" s="0"/>
      <c r="JQY85" s="0"/>
      <c r="JQZ85" s="0"/>
      <c r="JRA85" s="0"/>
      <c r="JRB85" s="0"/>
      <c r="JRC85" s="0"/>
      <c r="JRD85" s="0"/>
      <c r="JRE85" s="0"/>
      <c r="JRF85" s="0"/>
      <c r="JRG85" s="0"/>
      <c r="JRH85" s="0"/>
      <c r="JRI85" s="0"/>
      <c r="JRJ85" s="0"/>
      <c r="JRK85" s="0"/>
      <c r="JRL85" s="0"/>
      <c r="JRM85" s="0"/>
      <c r="JRN85" s="0"/>
      <c r="JRO85" s="0"/>
      <c r="JRP85" s="0"/>
      <c r="JRQ85" s="0"/>
      <c r="JRR85" s="0"/>
      <c r="JRS85" s="0"/>
      <c r="JRT85" s="0"/>
      <c r="JRU85" s="0"/>
      <c r="JRV85" s="0"/>
      <c r="JRW85" s="0"/>
      <c r="JRX85" s="0"/>
      <c r="JRY85" s="0"/>
      <c r="JRZ85" s="0"/>
      <c r="JSA85" s="0"/>
      <c r="JSB85" s="0"/>
      <c r="JSC85" s="0"/>
      <c r="JSD85" s="0"/>
      <c r="JSE85" s="0"/>
      <c r="JSF85" s="0"/>
      <c r="JSG85" s="0"/>
      <c r="JSH85" s="0"/>
      <c r="JSI85" s="0"/>
      <c r="JSJ85" s="0"/>
      <c r="JSK85" s="0"/>
      <c r="JSL85" s="0"/>
      <c r="JSM85" s="0"/>
      <c r="JSN85" s="0"/>
      <c r="JSO85" s="0"/>
      <c r="JSP85" s="0"/>
      <c r="JSQ85" s="0"/>
      <c r="JSR85" s="0"/>
      <c r="JSS85" s="0"/>
      <c r="JST85" s="0"/>
      <c r="JSU85" s="0"/>
      <c r="JSV85" s="0"/>
      <c r="JSW85" s="0"/>
      <c r="JSX85" s="0"/>
      <c r="JSY85" s="0"/>
      <c r="JSZ85" s="0"/>
      <c r="JTA85" s="0"/>
      <c r="JTB85" s="0"/>
      <c r="JTC85" s="0"/>
      <c r="JTD85" s="0"/>
      <c r="JTE85" s="0"/>
      <c r="JTF85" s="0"/>
      <c r="JTG85" s="0"/>
      <c r="JTH85" s="0"/>
      <c r="JTI85" s="0"/>
      <c r="JTJ85" s="0"/>
      <c r="JTK85" s="0"/>
      <c r="JTL85" s="0"/>
      <c r="JTM85" s="0"/>
      <c r="JTN85" s="0"/>
      <c r="JTO85" s="0"/>
      <c r="JTP85" s="0"/>
      <c r="JTQ85" s="0"/>
      <c r="JTR85" s="0"/>
      <c r="JTS85" s="0"/>
      <c r="JTT85" s="0"/>
      <c r="JTU85" s="0"/>
      <c r="JTV85" s="0"/>
      <c r="JTW85" s="0"/>
      <c r="JTX85" s="0"/>
      <c r="JTY85" s="0"/>
      <c r="JTZ85" s="0"/>
      <c r="JUA85" s="0"/>
      <c r="JUB85" s="0"/>
      <c r="JUC85" s="0"/>
      <c r="JUD85" s="0"/>
      <c r="JUE85" s="0"/>
      <c r="JUF85" s="0"/>
      <c r="JUG85" s="0"/>
      <c r="JUH85" s="0"/>
      <c r="JUI85" s="0"/>
      <c r="JUJ85" s="0"/>
      <c r="JUK85" s="0"/>
      <c r="JUL85" s="0"/>
      <c r="JUM85" s="0"/>
      <c r="JUN85" s="0"/>
      <c r="JUO85" s="0"/>
      <c r="JUP85" s="0"/>
      <c r="JUQ85" s="0"/>
      <c r="JUR85" s="0"/>
      <c r="JUS85" s="0"/>
      <c r="JUT85" s="0"/>
      <c r="JUU85" s="0"/>
      <c r="JUV85" s="0"/>
      <c r="JUW85" s="0"/>
      <c r="JUX85" s="0"/>
      <c r="JUY85" s="0"/>
      <c r="JUZ85" s="0"/>
      <c r="JVA85" s="0"/>
      <c r="JVB85" s="0"/>
      <c r="JVC85" s="0"/>
      <c r="JVD85" s="0"/>
      <c r="JVE85" s="0"/>
      <c r="JVF85" s="0"/>
      <c r="JVG85" s="0"/>
      <c r="JVH85" s="0"/>
      <c r="JVI85" s="0"/>
      <c r="JVJ85" s="0"/>
      <c r="JVK85" s="0"/>
      <c r="JVL85" s="0"/>
      <c r="JVM85" s="0"/>
      <c r="JVN85" s="0"/>
      <c r="JVO85" s="0"/>
      <c r="JVP85" s="0"/>
      <c r="JVQ85" s="0"/>
      <c r="JVR85" s="0"/>
      <c r="JVS85" s="0"/>
      <c r="JVT85" s="0"/>
      <c r="JVU85" s="0"/>
      <c r="JVV85" s="0"/>
      <c r="JVW85" s="0"/>
      <c r="JVX85" s="0"/>
      <c r="JVY85" s="0"/>
      <c r="JVZ85" s="0"/>
      <c r="JWA85" s="0"/>
      <c r="JWB85" s="0"/>
      <c r="JWC85" s="0"/>
      <c r="JWD85" s="0"/>
      <c r="JWE85" s="0"/>
      <c r="JWF85" s="0"/>
      <c r="JWG85" s="0"/>
      <c r="JWH85" s="0"/>
      <c r="JWI85" s="0"/>
      <c r="JWJ85" s="0"/>
      <c r="JWK85" s="0"/>
      <c r="JWL85" s="0"/>
      <c r="JWM85" s="0"/>
      <c r="JWN85" s="0"/>
      <c r="JWO85" s="0"/>
      <c r="JWP85" s="0"/>
      <c r="JWQ85" s="0"/>
      <c r="JWR85" s="0"/>
      <c r="JWS85" s="0"/>
      <c r="JWT85" s="0"/>
      <c r="JWU85" s="0"/>
      <c r="JWV85" s="0"/>
      <c r="JWW85" s="0"/>
      <c r="JWX85" s="0"/>
      <c r="JWY85" s="0"/>
      <c r="JWZ85" s="0"/>
      <c r="JXA85" s="0"/>
      <c r="JXB85" s="0"/>
      <c r="JXC85" s="0"/>
      <c r="JXD85" s="0"/>
      <c r="JXE85" s="0"/>
      <c r="JXF85" s="0"/>
      <c r="JXG85" s="0"/>
      <c r="JXH85" s="0"/>
      <c r="JXI85" s="0"/>
      <c r="JXJ85" s="0"/>
      <c r="JXK85" s="0"/>
      <c r="JXL85" s="0"/>
      <c r="JXM85" s="0"/>
      <c r="JXN85" s="0"/>
      <c r="JXO85" s="0"/>
      <c r="JXP85" s="0"/>
      <c r="JXQ85" s="0"/>
      <c r="JXR85" s="0"/>
      <c r="JXS85" s="0"/>
      <c r="JXT85" s="0"/>
      <c r="JXU85" s="0"/>
      <c r="JXV85" s="0"/>
      <c r="JXW85" s="0"/>
      <c r="JXX85" s="0"/>
      <c r="JXY85" s="0"/>
      <c r="JXZ85" s="0"/>
      <c r="JYA85" s="0"/>
      <c r="JYB85" s="0"/>
      <c r="JYC85" s="0"/>
      <c r="JYD85" s="0"/>
      <c r="JYE85" s="0"/>
      <c r="JYF85" s="0"/>
      <c r="JYG85" s="0"/>
      <c r="JYH85" s="0"/>
      <c r="JYI85" s="0"/>
      <c r="JYJ85" s="0"/>
      <c r="JYK85" s="0"/>
      <c r="JYL85" s="0"/>
      <c r="JYM85" s="0"/>
      <c r="JYN85" s="0"/>
      <c r="JYO85" s="0"/>
      <c r="JYP85" s="0"/>
      <c r="JYQ85" s="0"/>
      <c r="JYR85" s="0"/>
      <c r="JYS85" s="0"/>
      <c r="JYT85" s="0"/>
      <c r="JYU85" s="0"/>
      <c r="JYV85" s="0"/>
      <c r="JYW85" s="0"/>
      <c r="JYX85" s="0"/>
      <c r="JYY85" s="0"/>
      <c r="JYZ85" s="0"/>
      <c r="JZA85" s="0"/>
      <c r="JZB85" s="0"/>
      <c r="JZC85" s="0"/>
      <c r="JZD85" s="0"/>
      <c r="JZE85" s="0"/>
      <c r="JZF85" s="0"/>
      <c r="JZG85" s="0"/>
      <c r="JZH85" s="0"/>
      <c r="JZI85" s="0"/>
      <c r="JZJ85" s="0"/>
      <c r="JZK85" s="0"/>
      <c r="JZL85" s="0"/>
      <c r="JZM85" s="0"/>
      <c r="JZN85" s="0"/>
      <c r="JZO85" s="0"/>
      <c r="JZP85" s="0"/>
      <c r="JZQ85" s="0"/>
      <c r="JZR85" s="0"/>
      <c r="JZS85" s="0"/>
      <c r="JZT85" s="0"/>
      <c r="JZU85" s="0"/>
      <c r="JZV85" s="0"/>
      <c r="JZW85" s="0"/>
      <c r="JZX85" s="0"/>
      <c r="JZY85" s="0"/>
      <c r="JZZ85" s="0"/>
      <c r="KAA85" s="0"/>
      <c r="KAB85" s="0"/>
      <c r="KAC85" s="0"/>
      <c r="KAD85" s="0"/>
      <c r="KAE85" s="0"/>
      <c r="KAF85" s="0"/>
      <c r="KAG85" s="0"/>
      <c r="KAH85" s="0"/>
      <c r="KAI85" s="0"/>
      <c r="KAJ85" s="0"/>
      <c r="KAK85" s="0"/>
      <c r="KAL85" s="0"/>
      <c r="KAM85" s="0"/>
      <c r="KAN85" s="0"/>
      <c r="KAO85" s="0"/>
      <c r="KAP85" s="0"/>
      <c r="KAQ85" s="0"/>
      <c r="KAR85" s="0"/>
      <c r="KAS85" s="0"/>
      <c r="KAT85" s="0"/>
      <c r="KAU85" s="0"/>
      <c r="KAV85" s="0"/>
      <c r="KAW85" s="0"/>
      <c r="KAX85" s="0"/>
      <c r="KAY85" s="0"/>
      <c r="KAZ85" s="0"/>
      <c r="KBA85" s="0"/>
      <c r="KBB85" s="0"/>
      <c r="KBC85" s="0"/>
      <c r="KBD85" s="0"/>
      <c r="KBE85" s="0"/>
      <c r="KBF85" s="0"/>
      <c r="KBG85" s="0"/>
      <c r="KBH85" s="0"/>
      <c r="KBI85" s="0"/>
      <c r="KBJ85" s="0"/>
      <c r="KBK85" s="0"/>
      <c r="KBL85" s="0"/>
      <c r="KBM85" s="0"/>
      <c r="KBN85" s="0"/>
      <c r="KBO85" s="0"/>
      <c r="KBP85" s="0"/>
      <c r="KBQ85" s="0"/>
      <c r="KBR85" s="0"/>
      <c r="KBS85" s="0"/>
      <c r="KBT85" s="0"/>
      <c r="KBU85" s="0"/>
      <c r="KBV85" s="0"/>
      <c r="KBW85" s="0"/>
      <c r="KBX85" s="0"/>
      <c r="KBY85" s="0"/>
      <c r="KBZ85" s="0"/>
      <c r="KCA85" s="0"/>
      <c r="KCB85" s="0"/>
      <c r="KCC85" s="0"/>
      <c r="KCD85" s="0"/>
      <c r="KCE85" s="0"/>
      <c r="KCF85" s="0"/>
      <c r="KCG85" s="0"/>
      <c r="KCH85" s="0"/>
      <c r="KCI85" s="0"/>
      <c r="KCJ85" s="0"/>
      <c r="KCK85" s="0"/>
      <c r="KCL85" s="0"/>
      <c r="KCM85" s="0"/>
      <c r="KCN85" s="0"/>
      <c r="KCO85" s="0"/>
      <c r="KCP85" s="0"/>
      <c r="KCQ85" s="0"/>
      <c r="KCR85" s="0"/>
      <c r="KCS85" s="0"/>
      <c r="KCT85" s="0"/>
      <c r="KCU85" s="0"/>
      <c r="KCV85" s="0"/>
      <c r="KCW85" s="0"/>
      <c r="KCX85" s="0"/>
      <c r="KCY85" s="0"/>
      <c r="KCZ85" s="0"/>
      <c r="KDA85" s="0"/>
      <c r="KDB85" s="0"/>
      <c r="KDC85" s="0"/>
      <c r="KDD85" s="0"/>
      <c r="KDE85" s="0"/>
      <c r="KDF85" s="0"/>
      <c r="KDG85" s="0"/>
      <c r="KDH85" s="0"/>
      <c r="KDI85" s="0"/>
      <c r="KDJ85" s="0"/>
      <c r="KDK85" s="0"/>
      <c r="KDL85" s="0"/>
      <c r="KDM85" s="0"/>
      <c r="KDN85" s="0"/>
      <c r="KDO85" s="0"/>
      <c r="KDP85" s="0"/>
      <c r="KDQ85" s="0"/>
      <c r="KDR85" s="0"/>
      <c r="KDS85" s="0"/>
      <c r="KDT85" s="0"/>
      <c r="KDU85" s="0"/>
      <c r="KDV85" s="0"/>
      <c r="KDW85" s="0"/>
      <c r="KDX85" s="0"/>
      <c r="KDY85" s="0"/>
      <c r="KDZ85" s="0"/>
      <c r="KEA85" s="0"/>
      <c r="KEB85" s="0"/>
      <c r="KEC85" s="0"/>
      <c r="KED85" s="0"/>
      <c r="KEE85" s="0"/>
      <c r="KEF85" s="0"/>
      <c r="KEG85" s="0"/>
      <c r="KEH85" s="0"/>
      <c r="KEI85" s="0"/>
      <c r="KEJ85" s="0"/>
      <c r="KEK85" s="0"/>
      <c r="KEL85" s="0"/>
      <c r="KEM85" s="0"/>
      <c r="KEN85" s="0"/>
      <c r="KEO85" s="0"/>
      <c r="KEP85" s="0"/>
      <c r="KEQ85" s="0"/>
      <c r="KER85" s="0"/>
      <c r="KES85" s="0"/>
      <c r="KET85" s="0"/>
      <c r="KEU85" s="0"/>
      <c r="KEV85" s="0"/>
      <c r="KEW85" s="0"/>
      <c r="KEX85" s="0"/>
      <c r="KEY85" s="0"/>
      <c r="KEZ85" s="0"/>
      <c r="KFA85" s="0"/>
      <c r="KFB85" s="0"/>
      <c r="KFC85" s="0"/>
      <c r="KFD85" s="0"/>
      <c r="KFE85" s="0"/>
      <c r="KFF85" s="0"/>
      <c r="KFG85" s="0"/>
      <c r="KFH85" s="0"/>
      <c r="KFI85" s="0"/>
      <c r="KFJ85" s="0"/>
      <c r="KFK85" s="0"/>
      <c r="KFL85" s="0"/>
      <c r="KFM85" s="0"/>
      <c r="KFN85" s="0"/>
      <c r="KFO85" s="0"/>
      <c r="KFP85" s="0"/>
      <c r="KFQ85" s="0"/>
      <c r="KFR85" s="0"/>
      <c r="KFS85" s="0"/>
      <c r="KFT85" s="0"/>
      <c r="KFU85" s="0"/>
      <c r="KFV85" s="0"/>
      <c r="KFW85" s="0"/>
      <c r="KFX85" s="0"/>
      <c r="KFY85" s="0"/>
      <c r="KFZ85" s="0"/>
      <c r="KGA85" s="0"/>
      <c r="KGB85" s="0"/>
      <c r="KGC85" s="0"/>
      <c r="KGD85" s="0"/>
      <c r="KGE85" s="0"/>
      <c r="KGF85" s="0"/>
      <c r="KGG85" s="0"/>
      <c r="KGH85" s="0"/>
      <c r="KGI85" s="0"/>
      <c r="KGJ85" s="0"/>
      <c r="KGK85" s="0"/>
      <c r="KGL85" s="0"/>
      <c r="KGM85" s="0"/>
      <c r="KGN85" s="0"/>
      <c r="KGO85" s="0"/>
      <c r="KGP85" s="0"/>
      <c r="KGQ85" s="0"/>
      <c r="KGR85" s="0"/>
      <c r="KGS85" s="0"/>
      <c r="KGT85" s="0"/>
      <c r="KGU85" s="0"/>
      <c r="KGV85" s="0"/>
      <c r="KGW85" s="0"/>
      <c r="KGX85" s="0"/>
      <c r="KGY85" s="0"/>
      <c r="KGZ85" s="0"/>
      <c r="KHA85" s="0"/>
      <c r="KHB85" s="0"/>
      <c r="KHC85" s="0"/>
      <c r="KHD85" s="0"/>
      <c r="KHE85" s="0"/>
      <c r="KHF85" s="0"/>
      <c r="KHG85" s="0"/>
      <c r="KHH85" s="0"/>
      <c r="KHI85" s="0"/>
      <c r="KHJ85" s="0"/>
      <c r="KHK85" s="0"/>
      <c r="KHL85" s="0"/>
      <c r="KHM85" s="0"/>
      <c r="KHN85" s="0"/>
      <c r="KHO85" s="0"/>
      <c r="KHP85" s="0"/>
      <c r="KHQ85" s="0"/>
      <c r="KHR85" s="0"/>
      <c r="KHS85" s="0"/>
      <c r="KHT85" s="0"/>
      <c r="KHU85" s="0"/>
      <c r="KHV85" s="0"/>
      <c r="KHW85" s="0"/>
      <c r="KHX85" s="0"/>
      <c r="KHY85" s="0"/>
      <c r="KHZ85" s="0"/>
      <c r="KIA85" s="0"/>
      <c r="KIB85" s="0"/>
      <c r="KIC85" s="0"/>
      <c r="KID85" s="0"/>
      <c r="KIE85" s="0"/>
      <c r="KIF85" s="0"/>
      <c r="KIG85" s="0"/>
      <c r="KIH85" s="0"/>
      <c r="KII85" s="0"/>
      <c r="KIJ85" s="0"/>
      <c r="KIK85" s="0"/>
      <c r="KIL85" s="0"/>
      <c r="KIM85" s="0"/>
      <c r="KIN85" s="0"/>
      <c r="KIO85" s="0"/>
      <c r="KIP85" s="0"/>
      <c r="KIQ85" s="0"/>
      <c r="KIR85" s="0"/>
      <c r="KIS85" s="0"/>
      <c r="KIT85" s="0"/>
      <c r="KIU85" s="0"/>
      <c r="KIV85" s="0"/>
      <c r="KIW85" s="0"/>
      <c r="KIX85" s="0"/>
      <c r="KIY85" s="0"/>
      <c r="KIZ85" s="0"/>
      <c r="KJA85" s="0"/>
      <c r="KJB85" s="0"/>
      <c r="KJC85" s="0"/>
      <c r="KJD85" s="0"/>
      <c r="KJE85" s="0"/>
      <c r="KJF85" s="0"/>
      <c r="KJG85" s="0"/>
      <c r="KJH85" s="0"/>
      <c r="KJI85" s="0"/>
      <c r="KJJ85" s="0"/>
      <c r="KJK85" s="0"/>
      <c r="KJL85" s="0"/>
      <c r="KJM85" s="0"/>
      <c r="KJN85" s="0"/>
      <c r="KJO85" s="0"/>
      <c r="KJP85" s="0"/>
      <c r="KJQ85" s="0"/>
      <c r="KJR85" s="0"/>
      <c r="KJS85" s="0"/>
      <c r="KJT85" s="0"/>
      <c r="KJU85" s="0"/>
      <c r="KJV85" s="0"/>
      <c r="KJW85" s="0"/>
      <c r="KJX85" s="0"/>
      <c r="KJY85" s="0"/>
      <c r="KJZ85" s="0"/>
      <c r="KKA85" s="0"/>
      <c r="KKB85" s="0"/>
      <c r="KKC85" s="0"/>
      <c r="KKD85" s="0"/>
      <c r="KKE85" s="0"/>
      <c r="KKF85" s="0"/>
      <c r="KKG85" s="0"/>
      <c r="KKH85" s="0"/>
      <c r="KKI85" s="0"/>
      <c r="KKJ85" s="0"/>
      <c r="KKK85" s="0"/>
      <c r="KKL85" s="0"/>
      <c r="KKM85" s="0"/>
      <c r="KKN85" s="0"/>
      <c r="KKO85" s="0"/>
      <c r="KKP85" s="0"/>
      <c r="KKQ85" s="0"/>
      <c r="KKR85" s="0"/>
      <c r="KKS85" s="0"/>
      <c r="KKT85" s="0"/>
      <c r="KKU85" s="0"/>
      <c r="KKV85" s="0"/>
      <c r="KKW85" s="0"/>
      <c r="KKX85" s="0"/>
      <c r="KKY85" s="0"/>
      <c r="KKZ85" s="0"/>
      <c r="KLA85" s="0"/>
      <c r="KLB85" s="0"/>
      <c r="KLC85" s="0"/>
      <c r="KLD85" s="0"/>
      <c r="KLE85" s="0"/>
      <c r="KLF85" s="0"/>
      <c r="KLG85" s="0"/>
      <c r="KLH85" s="0"/>
      <c r="KLI85" s="0"/>
      <c r="KLJ85" s="0"/>
      <c r="KLK85" s="0"/>
      <c r="KLL85" s="0"/>
      <c r="KLM85" s="0"/>
      <c r="KLN85" s="0"/>
      <c r="KLO85" s="0"/>
      <c r="KLP85" s="0"/>
      <c r="KLQ85" s="0"/>
      <c r="KLR85" s="0"/>
      <c r="KLS85" s="0"/>
      <c r="KLT85" s="0"/>
      <c r="KLU85" s="0"/>
      <c r="KLV85" s="0"/>
      <c r="KLW85" s="0"/>
      <c r="KLX85" s="0"/>
      <c r="KLY85" s="0"/>
      <c r="KLZ85" s="0"/>
      <c r="KMA85" s="0"/>
      <c r="KMB85" s="0"/>
      <c r="KMC85" s="0"/>
      <c r="KMD85" s="0"/>
      <c r="KME85" s="0"/>
      <c r="KMF85" s="0"/>
      <c r="KMG85" s="0"/>
      <c r="KMH85" s="0"/>
      <c r="KMI85" s="0"/>
      <c r="KMJ85" s="0"/>
      <c r="KMK85" s="0"/>
      <c r="KML85" s="0"/>
      <c r="KMM85" s="0"/>
      <c r="KMN85" s="0"/>
      <c r="KMO85" s="0"/>
      <c r="KMP85" s="0"/>
      <c r="KMQ85" s="0"/>
      <c r="KMR85" s="0"/>
      <c r="KMS85" s="0"/>
      <c r="KMT85" s="0"/>
      <c r="KMU85" s="0"/>
      <c r="KMV85" s="0"/>
      <c r="KMW85" s="0"/>
      <c r="KMX85" s="0"/>
      <c r="KMY85" s="0"/>
      <c r="KMZ85" s="0"/>
      <c r="KNA85" s="0"/>
      <c r="KNB85" s="0"/>
      <c r="KNC85" s="0"/>
      <c r="KND85" s="0"/>
      <c r="KNE85" s="0"/>
      <c r="KNF85" s="0"/>
      <c r="KNG85" s="0"/>
      <c r="KNH85" s="0"/>
      <c r="KNI85" s="0"/>
      <c r="KNJ85" s="0"/>
      <c r="KNK85" s="0"/>
      <c r="KNL85" s="0"/>
      <c r="KNM85" s="0"/>
      <c r="KNN85" s="0"/>
      <c r="KNO85" s="0"/>
      <c r="KNP85" s="0"/>
      <c r="KNQ85" s="0"/>
      <c r="KNR85" s="0"/>
      <c r="KNS85" s="0"/>
      <c r="KNT85" s="0"/>
      <c r="KNU85" s="0"/>
      <c r="KNV85" s="0"/>
      <c r="KNW85" s="0"/>
      <c r="KNX85" s="0"/>
      <c r="KNY85" s="0"/>
      <c r="KNZ85" s="0"/>
      <c r="KOA85" s="0"/>
      <c r="KOB85" s="0"/>
      <c r="KOC85" s="0"/>
      <c r="KOD85" s="0"/>
      <c r="KOE85" s="0"/>
      <c r="KOF85" s="0"/>
      <c r="KOG85" s="0"/>
      <c r="KOH85" s="0"/>
      <c r="KOI85" s="0"/>
      <c r="KOJ85" s="0"/>
      <c r="KOK85" s="0"/>
      <c r="KOL85" s="0"/>
      <c r="KOM85" s="0"/>
      <c r="KON85" s="0"/>
      <c r="KOO85" s="0"/>
      <c r="KOP85" s="0"/>
      <c r="KOQ85" s="0"/>
      <c r="KOR85" s="0"/>
      <c r="KOS85" s="0"/>
      <c r="KOT85" s="0"/>
      <c r="KOU85" s="0"/>
      <c r="KOV85" s="0"/>
      <c r="KOW85" s="0"/>
      <c r="KOX85" s="0"/>
      <c r="KOY85" s="0"/>
      <c r="KOZ85" s="0"/>
      <c r="KPA85" s="0"/>
      <c r="KPB85" s="0"/>
      <c r="KPC85" s="0"/>
      <c r="KPD85" s="0"/>
      <c r="KPE85" s="0"/>
      <c r="KPF85" s="0"/>
      <c r="KPG85" s="0"/>
      <c r="KPH85" s="0"/>
      <c r="KPI85" s="0"/>
      <c r="KPJ85" s="0"/>
      <c r="KPK85" s="0"/>
      <c r="KPL85" s="0"/>
      <c r="KPM85" s="0"/>
      <c r="KPN85" s="0"/>
      <c r="KPO85" s="0"/>
      <c r="KPP85" s="0"/>
      <c r="KPQ85" s="0"/>
      <c r="KPR85" s="0"/>
      <c r="KPS85" s="0"/>
      <c r="KPT85" s="0"/>
      <c r="KPU85" s="0"/>
      <c r="KPV85" s="0"/>
      <c r="KPW85" s="0"/>
      <c r="KPX85" s="0"/>
      <c r="KPY85" s="0"/>
      <c r="KPZ85" s="0"/>
      <c r="KQA85" s="0"/>
      <c r="KQB85" s="0"/>
      <c r="KQC85" s="0"/>
      <c r="KQD85" s="0"/>
      <c r="KQE85" s="0"/>
      <c r="KQF85" s="0"/>
      <c r="KQG85" s="0"/>
      <c r="KQH85" s="0"/>
      <c r="KQI85" s="0"/>
      <c r="KQJ85" s="0"/>
      <c r="KQK85" s="0"/>
      <c r="KQL85" s="0"/>
      <c r="KQM85" s="0"/>
      <c r="KQN85" s="0"/>
      <c r="KQO85" s="0"/>
      <c r="KQP85" s="0"/>
      <c r="KQQ85" s="0"/>
      <c r="KQR85" s="0"/>
      <c r="KQS85" s="0"/>
      <c r="KQT85" s="0"/>
      <c r="KQU85" s="0"/>
      <c r="KQV85" s="0"/>
      <c r="KQW85" s="0"/>
      <c r="KQX85" s="0"/>
      <c r="KQY85" s="0"/>
      <c r="KQZ85" s="0"/>
      <c r="KRA85" s="0"/>
      <c r="KRB85" s="0"/>
      <c r="KRC85" s="0"/>
      <c r="KRD85" s="0"/>
      <c r="KRE85" s="0"/>
      <c r="KRF85" s="0"/>
      <c r="KRG85" s="0"/>
      <c r="KRH85" s="0"/>
      <c r="KRI85" s="0"/>
      <c r="KRJ85" s="0"/>
      <c r="KRK85" s="0"/>
      <c r="KRL85" s="0"/>
      <c r="KRM85" s="0"/>
      <c r="KRN85" s="0"/>
      <c r="KRO85" s="0"/>
      <c r="KRP85" s="0"/>
      <c r="KRQ85" s="0"/>
      <c r="KRR85" s="0"/>
      <c r="KRS85" s="0"/>
      <c r="KRT85" s="0"/>
      <c r="KRU85" s="0"/>
      <c r="KRV85" s="0"/>
      <c r="KRW85" s="0"/>
      <c r="KRX85" s="0"/>
      <c r="KRY85" s="0"/>
      <c r="KRZ85" s="0"/>
      <c r="KSA85" s="0"/>
      <c r="KSB85" s="0"/>
      <c r="KSC85" s="0"/>
      <c r="KSD85" s="0"/>
      <c r="KSE85" s="0"/>
      <c r="KSF85" s="0"/>
      <c r="KSG85" s="0"/>
      <c r="KSH85" s="0"/>
      <c r="KSI85" s="0"/>
      <c r="KSJ85" s="0"/>
      <c r="KSK85" s="0"/>
      <c r="KSL85" s="0"/>
      <c r="KSM85" s="0"/>
      <c r="KSN85" s="0"/>
      <c r="KSO85" s="0"/>
      <c r="KSP85" s="0"/>
      <c r="KSQ85" s="0"/>
      <c r="KSR85" s="0"/>
      <c r="KSS85" s="0"/>
      <c r="KST85" s="0"/>
      <c r="KSU85" s="0"/>
      <c r="KSV85" s="0"/>
      <c r="KSW85" s="0"/>
      <c r="KSX85" s="0"/>
      <c r="KSY85" s="0"/>
      <c r="KSZ85" s="0"/>
      <c r="KTA85" s="0"/>
      <c r="KTB85" s="0"/>
      <c r="KTC85" s="0"/>
      <c r="KTD85" s="0"/>
      <c r="KTE85" s="0"/>
      <c r="KTF85" s="0"/>
      <c r="KTG85" s="0"/>
      <c r="KTH85" s="0"/>
      <c r="KTI85" s="0"/>
      <c r="KTJ85" s="0"/>
      <c r="KTK85" s="0"/>
      <c r="KTL85" s="0"/>
      <c r="KTM85" s="0"/>
      <c r="KTN85" s="0"/>
      <c r="KTO85" s="0"/>
      <c r="KTP85" s="0"/>
      <c r="KTQ85" s="0"/>
      <c r="KTR85" s="0"/>
      <c r="KTS85" s="0"/>
      <c r="KTT85" s="0"/>
      <c r="KTU85" s="0"/>
      <c r="KTV85" s="0"/>
      <c r="KTW85" s="0"/>
      <c r="KTX85" s="0"/>
      <c r="KTY85" s="0"/>
      <c r="KTZ85" s="0"/>
      <c r="KUA85" s="0"/>
      <c r="KUB85" s="0"/>
      <c r="KUC85" s="0"/>
      <c r="KUD85" s="0"/>
      <c r="KUE85" s="0"/>
      <c r="KUF85" s="0"/>
      <c r="KUG85" s="0"/>
      <c r="KUH85" s="0"/>
      <c r="KUI85" s="0"/>
      <c r="KUJ85" s="0"/>
      <c r="KUK85" s="0"/>
      <c r="KUL85" s="0"/>
      <c r="KUM85" s="0"/>
      <c r="KUN85" s="0"/>
      <c r="KUO85" s="0"/>
      <c r="KUP85" s="0"/>
      <c r="KUQ85" s="0"/>
      <c r="KUR85" s="0"/>
      <c r="KUS85" s="0"/>
      <c r="KUT85" s="0"/>
      <c r="KUU85" s="0"/>
      <c r="KUV85" s="0"/>
      <c r="KUW85" s="0"/>
      <c r="KUX85" s="0"/>
      <c r="KUY85" s="0"/>
      <c r="KUZ85" s="0"/>
      <c r="KVA85" s="0"/>
      <c r="KVB85" s="0"/>
      <c r="KVC85" s="0"/>
      <c r="KVD85" s="0"/>
      <c r="KVE85" s="0"/>
      <c r="KVF85" s="0"/>
      <c r="KVG85" s="0"/>
      <c r="KVH85" s="0"/>
      <c r="KVI85" s="0"/>
      <c r="KVJ85" s="0"/>
      <c r="KVK85" s="0"/>
      <c r="KVL85" s="0"/>
      <c r="KVM85" s="0"/>
      <c r="KVN85" s="0"/>
      <c r="KVO85" s="0"/>
      <c r="KVP85" s="0"/>
      <c r="KVQ85" s="0"/>
      <c r="KVR85" s="0"/>
      <c r="KVS85" s="0"/>
      <c r="KVT85" s="0"/>
      <c r="KVU85" s="0"/>
      <c r="KVV85" s="0"/>
      <c r="KVW85" s="0"/>
      <c r="KVX85" s="0"/>
      <c r="KVY85" s="0"/>
      <c r="KVZ85" s="0"/>
      <c r="KWA85" s="0"/>
      <c r="KWB85" s="0"/>
      <c r="KWC85" s="0"/>
      <c r="KWD85" s="0"/>
      <c r="KWE85" s="0"/>
      <c r="KWF85" s="0"/>
      <c r="KWG85" s="0"/>
      <c r="KWH85" s="0"/>
      <c r="KWI85" s="0"/>
      <c r="KWJ85" s="0"/>
      <c r="KWK85" s="0"/>
      <c r="KWL85" s="0"/>
      <c r="KWM85" s="0"/>
      <c r="KWN85" s="0"/>
      <c r="KWO85" s="0"/>
      <c r="KWP85" s="0"/>
      <c r="KWQ85" s="0"/>
      <c r="KWR85" s="0"/>
      <c r="KWS85" s="0"/>
      <c r="KWT85" s="0"/>
      <c r="KWU85" s="0"/>
      <c r="KWV85" s="0"/>
      <c r="KWW85" s="0"/>
      <c r="KWX85" s="0"/>
      <c r="KWY85" s="0"/>
      <c r="KWZ85" s="0"/>
      <c r="KXA85" s="0"/>
      <c r="KXB85" s="0"/>
      <c r="KXC85" s="0"/>
      <c r="KXD85" s="0"/>
      <c r="KXE85" s="0"/>
      <c r="KXF85" s="0"/>
      <c r="KXG85" s="0"/>
      <c r="KXH85" s="0"/>
      <c r="KXI85" s="0"/>
      <c r="KXJ85" s="0"/>
      <c r="KXK85" s="0"/>
      <c r="KXL85" s="0"/>
      <c r="KXM85" s="0"/>
      <c r="KXN85" s="0"/>
      <c r="KXO85" s="0"/>
      <c r="KXP85" s="0"/>
      <c r="KXQ85" s="0"/>
      <c r="KXR85" s="0"/>
      <c r="KXS85" s="0"/>
      <c r="KXT85" s="0"/>
      <c r="KXU85" s="0"/>
      <c r="KXV85" s="0"/>
      <c r="KXW85" s="0"/>
      <c r="KXX85" s="0"/>
      <c r="KXY85" s="0"/>
      <c r="KXZ85" s="0"/>
      <c r="KYA85" s="0"/>
      <c r="KYB85" s="0"/>
      <c r="KYC85" s="0"/>
      <c r="KYD85" s="0"/>
      <c r="KYE85" s="0"/>
      <c r="KYF85" s="0"/>
      <c r="KYG85" s="0"/>
      <c r="KYH85" s="0"/>
      <c r="KYI85" s="0"/>
      <c r="KYJ85" s="0"/>
      <c r="KYK85" s="0"/>
      <c r="KYL85" s="0"/>
      <c r="KYM85" s="0"/>
      <c r="KYN85" s="0"/>
      <c r="KYO85" s="0"/>
      <c r="KYP85" s="0"/>
      <c r="KYQ85" s="0"/>
      <c r="KYR85" s="0"/>
      <c r="KYS85" s="0"/>
      <c r="KYT85" s="0"/>
      <c r="KYU85" s="0"/>
      <c r="KYV85" s="0"/>
      <c r="KYW85" s="0"/>
      <c r="KYX85" s="0"/>
      <c r="KYY85" s="0"/>
      <c r="KYZ85" s="0"/>
      <c r="KZA85" s="0"/>
      <c r="KZB85" s="0"/>
      <c r="KZC85" s="0"/>
      <c r="KZD85" s="0"/>
      <c r="KZE85" s="0"/>
      <c r="KZF85" s="0"/>
      <c r="KZG85" s="0"/>
      <c r="KZH85" s="0"/>
      <c r="KZI85" s="0"/>
      <c r="KZJ85" s="0"/>
      <c r="KZK85" s="0"/>
      <c r="KZL85" s="0"/>
      <c r="KZM85" s="0"/>
      <c r="KZN85" s="0"/>
      <c r="KZO85" s="0"/>
      <c r="KZP85" s="0"/>
      <c r="KZQ85" s="0"/>
      <c r="KZR85" s="0"/>
      <c r="KZS85" s="0"/>
      <c r="KZT85" s="0"/>
      <c r="KZU85" s="0"/>
      <c r="KZV85" s="0"/>
      <c r="KZW85" s="0"/>
      <c r="KZX85" s="0"/>
      <c r="KZY85" s="0"/>
      <c r="KZZ85" s="0"/>
      <c r="LAA85" s="0"/>
      <c r="LAB85" s="0"/>
      <c r="LAC85" s="0"/>
      <c r="LAD85" s="0"/>
      <c r="LAE85" s="0"/>
      <c r="LAF85" s="0"/>
      <c r="LAG85" s="0"/>
      <c r="LAH85" s="0"/>
      <c r="LAI85" s="0"/>
      <c r="LAJ85" s="0"/>
      <c r="LAK85" s="0"/>
      <c r="LAL85" s="0"/>
      <c r="LAM85" s="0"/>
      <c r="LAN85" s="0"/>
      <c r="LAO85" s="0"/>
      <c r="LAP85" s="0"/>
      <c r="LAQ85" s="0"/>
      <c r="LAR85" s="0"/>
      <c r="LAS85" s="0"/>
      <c r="LAT85" s="0"/>
      <c r="LAU85" s="0"/>
      <c r="LAV85" s="0"/>
      <c r="LAW85" s="0"/>
      <c r="LAX85" s="0"/>
      <c r="LAY85" s="0"/>
      <c r="LAZ85" s="0"/>
      <c r="LBA85" s="0"/>
      <c r="LBB85" s="0"/>
      <c r="LBC85" s="0"/>
      <c r="LBD85" s="0"/>
      <c r="LBE85" s="0"/>
      <c r="LBF85" s="0"/>
      <c r="LBG85" s="0"/>
      <c r="LBH85" s="0"/>
      <c r="LBI85" s="0"/>
      <c r="LBJ85" s="0"/>
      <c r="LBK85" s="0"/>
      <c r="LBL85" s="0"/>
      <c r="LBM85" s="0"/>
      <c r="LBN85" s="0"/>
      <c r="LBO85" s="0"/>
      <c r="LBP85" s="0"/>
      <c r="LBQ85" s="0"/>
      <c r="LBR85" s="0"/>
      <c r="LBS85" s="0"/>
      <c r="LBT85" s="0"/>
      <c r="LBU85" s="0"/>
      <c r="LBV85" s="0"/>
      <c r="LBW85" s="0"/>
      <c r="LBX85" s="0"/>
      <c r="LBY85" s="0"/>
      <c r="LBZ85" s="0"/>
      <c r="LCA85" s="0"/>
      <c r="LCB85" s="0"/>
      <c r="LCC85" s="0"/>
      <c r="LCD85" s="0"/>
      <c r="LCE85" s="0"/>
      <c r="LCF85" s="0"/>
      <c r="LCG85" s="0"/>
      <c r="LCH85" s="0"/>
      <c r="LCI85" s="0"/>
      <c r="LCJ85" s="0"/>
      <c r="LCK85" s="0"/>
      <c r="LCL85" s="0"/>
      <c r="LCM85" s="0"/>
      <c r="LCN85" s="0"/>
      <c r="LCO85" s="0"/>
      <c r="LCP85" s="0"/>
      <c r="LCQ85" s="0"/>
      <c r="LCR85" s="0"/>
      <c r="LCS85" s="0"/>
      <c r="LCT85" s="0"/>
      <c r="LCU85" s="0"/>
      <c r="LCV85" s="0"/>
      <c r="LCW85" s="0"/>
      <c r="LCX85" s="0"/>
      <c r="LCY85" s="0"/>
      <c r="LCZ85" s="0"/>
      <c r="LDA85" s="0"/>
      <c r="LDB85" s="0"/>
      <c r="LDC85" s="0"/>
      <c r="LDD85" s="0"/>
      <c r="LDE85" s="0"/>
      <c r="LDF85" s="0"/>
      <c r="LDG85" s="0"/>
      <c r="LDH85" s="0"/>
      <c r="LDI85" s="0"/>
      <c r="LDJ85" s="0"/>
      <c r="LDK85" s="0"/>
      <c r="LDL85" s="0"/>
      <c r="LDM85" s="0"/>
      <c r="LDN85" s="0"/>
      <c r="LDO85" s="0"/>
      <c r="LDP85" s="0"/>
      <c r="LDQ85" s="0"/>
      <c r="LDR85" s="0"/>
      <c r="LDS85" s="0"/>
      <c r="LDT85" s="0"/>
      <c r="LDU85" s="0"/>
      <c r="LDV85" s="0"/>
      <c r="LDW85" s="0"/>
      <c r="LDX85" s="0"/>
      <c r="LDY85" s="0"/>
      <c r="LDZ85" s="0"/>
      <c r="LEA85" s="0"/>
      <c r="LEB85" s="0"/>
      <c r="LEC85" s="0"/>
      <c r="LED85" s="0"/>
      <c r="LEE85" s="0"/>
      <c r="LEF85" s="0"/>
      <c r="LEG85" s="0"/>
      <c r="LEH85" s="0"/>
      <c r="LEI85" s="0"/>
      <c r="LEJ85" s="0"/>
      <c r="LEK85" s="0"/>
      <c r="LEL85" s="0"/>
      <c r="LEM85" s="0"/>
      <c r="LEN85" s="0"/>
      <c r="LEO85" s="0"/>
      <c r="LEP85" s="0"/>
      <c r="LEQ85" s="0"/>
      <c r="LER85" s="0"/>
      <c r="LES85" s="0"/>
      <c r="LET85" s="0"/>
      <c r="LEU85" s="0"/>
      <c r="LEV85" s="0"/>
      <c r="LEW85" s="0"/>
      <c r="LEX85" s="0"/>
      <c r="LEY85" s="0"/>
      <c r="LEZ85" s="0"/>
      <c r="LFA85" s="0"/>
      <c r="LFB85" s="0"/>
      <c r="LFC85" s="0"/>
      <c r="LFD85" s="0"/>
      <c r="LFE85" s="0"/>
      <c r="LFF85" s="0"/>
      <c r="LFG85" s="0"/>
      <c r="LFH85" s="0"/>
      <c r="LFI85" s="0"/>
      <c r="LFJ85" s="0"/>
      <c r="LFK85" s="0"/>
      <c r="LFL85" s="0"/>
      <c r="LFM85" s="0"/>
      <c r="LFN85" s="0"/>
      <c r="LFO85" s="0"/>
      <c r="LFP85" s="0"/>
      <c r="LFQ85" s="0"/>
      <c r="LFR85" s="0"/>
      <c r="LFS85" s="0"/>
      <c r="LFT85" s="0"/>
      <c r="LFU85" s="0"/>
      <c r="LFV85" s="0"/>
      <c r="LFW85" s="0"/>
      <c r="LFX85" s="0"/>
      <c r="LFY85" s="0"/>
      <c r="LFZ85" s="0"/>
      <c r="LGA85" s="0"/>
      <c r="LGB85" s="0"/>
      <c r="LGC85" s="0"/>
      <c r="LGD85" s="0"/>
      <c r="LGE85" s="0"/>
      <c r="LGF85" s="0"/>
      <c r="LGG85" s="0"/>
      <c r="LGH85" s="0"/>
      <c r="LGI85" s="0"/>
      <c r="LGJ85" s="0"/>
      <c r="LGK85" s="0"/>
      <c r="LGL85" s="0"/>
      <c r="LGM85" s="0"/>
      <c r="LGN85" s="0"/>
      <c r="LGO85" s="0"/>
      <c r="LGP85" s="0"/>
      <c r="LGQ85" s="0"/>
      <c r="LGR85" s="0"/>
      <c r="LGS85" s="0"/>
      <c r="LGT85" s="0"/>
      <c r="LGU85" s="0"/>
      <c r="LGV85" s="0"/>
      <c r="LGW85" s="0"/>
      <c r="LGX85" s="0"/>
      <c r="LGY85" s="0"/>
      <c r="LGZ85" s="0"/>
      <c r="LHA85" s="0"/>
      <c r="LHB85" s="0"/>
      <c r="LHC85" s="0"/>
      <c r="LHD85" s="0"/>
      <c r="LHE85" s="0"/>
      <c r="LHF85" s="0"/>
      <c r="LHG85" s="0"/>
      <c r="LHH85" s="0"/>
      <c r="LHI85" s="0"/>
      <c r="LHJ85" s="0"/>
      <c r="LHK85" s="0"/>
      <c r="LHL85" s="0"/>
      <c r="LHM85" s="0"/>
      <c r="LHN85" s="0"/>
      <c r="LHO85" s="0"/>
      <c r="LHP85" s="0"/>
      <c r="LHQ85" s="0"/>
      <c r="LHR85" s="0"/>
      <c r="LHS85" s="0"/>
      <c r="LHT85" s="0"/>
      <c r="LHU85" s="0"/>
      <c r="LHV85" s="0"/>
      <c r="LHW85" s="0"/>
      <c r="LHX85" s="0"/>
      <c r="LHY85" s="0"/>
      <c r="LHZ85" s="0"/>
      <c r="LIA85" s="0"/>
      <c r="LIB85" s="0"/>
      <c r="LIC85" s="0"/>
      <c r="LID85" s="0"/>
      <c r="LIE85" s="0"/>
      <c r="LIF85" s="0"/>
      <c r="LIG85" s="0"/>
      <c r="LIH85" s="0"/>
      <c r="LII85" s="0"/>
      <c r="LIJ85" s="0"/>
      <c r="LIK85" s="0"/>
      <c r="LIL85" s="0"/>
      <c r="LIM85" s="0"/>
      <c r="LIN85" s="0"/>
      <c r="LIO85" s="0"/>
      <c r="LIP85" s="0"/>
      <c r="LIQ85" s="0"/>
      <c r="LIR85" s="0"/>
      <c r="LIS85" s="0"/>
      <c r="LIT85" s="0"/>
      <c r="LIU85" s="0"/>
      <c r="LIV85" s="0"/>
      <c r="LIW85" s="0"/>
      <c r="LIX85" s="0"/>
      <c r="LIY85" s="0"/>
      <c r="LIZ85" s="0"/>
      <c r="LJA85" s="0"/>
      <c r="LJB85" s="0"/>
      <c r="LJC85" s="0"/>
      <c r="LJD85" s="0"/>
      <c r="LJE85" s="0"/>
      <c r="LJF85" s="0"/>
      <c r="LJG85" s="0"/>
      <c r="LJH85" s="0"/>
      <c r="LJI85" s="0"/>
      <c r="LJJ85" s="0"/>
      <c r="LJK85" s="0"/>
      <c r="LJL85" s="0"/>
      <c r="LJM85" s="0"/>
      <c r="LJN85" s="0"/>
      <c r="LJO85" s="0"/>
      <c r="LJP85" s="0"/>
      <c r="LJQ85" s="0"/>
      <c r="LJR85" s="0"/>
      <c r="LJS85" s="0"/>
      <c r="LJT85" s="0"/>
      <c r="LJU85" s="0"/>
      <c r="LJV85" s="0"/>
      <c r="LJW85" s="0"/>
      <c r="LJX85" s="0"/>
      <c r="LJY85" s="0"/>
      <c r="LJZ85" s="0"/>
      <c r="LKA85" s="0"/>
      <c r="LKB85" s="0"/>
      <c r="LKC85" s="0"/>
      <c r="LKD85" s="0"/>
      <c r="LKE85" s="0"/>
      <c r="LKF85" s="0"/>
      <c r="LKG85" s="0"/>
      <c r="LKH85" s="0"/>
      <c r="LKI85" s="0"/>
      <c r="LKJ85" s="0"/>
      <c r="LKK85" s="0"/>
      <c r="LKL85" s="0"/>
      <c r="LKM85" s="0"/>
      <c r="LKN85" s="0"/>
      <c r="LKO85" s="0"/>
      <c r="LKP85" s="0"/>
      <c r="LKQ85" s="0"/>
      <c r="LKR85" s="0"/>
      <c r="LKS85" s="0"/>
      <c r="LKT85" s="0"/>
      <c r="LKU85" s="0"/>
      <c r="LKV85" s="0"/>
      <c r="LKW85" s="0"/>
      <c r="LKX85" s="0"/>
      <c r="LKY85" s="0"/>
      <c r="LKZ85" s="0"/>
      <c r="LLA85" s="0"/>
      <c r="LLB85" s="0"/>
      <c r="LLC85" s="0"/>
      <c r="LLD85" s="0"/>
      <c r="LLE85" s="0"/>
      <c r="LLF85" s="0"/>
      <c r="LLG85" s="0"/>
      <c r="LLH85" s="0"/>
      <c r="LLI85" s="0"/>
      <c r="LLJ85" s="0"/>
      <c r="LLK85" s="0"/>
      <c r="LLL85" s="0"/>
      <c r="LLM85" s="0"/>
      <c r="LLN85" s="0"/>
      <c r="LLO85" s="0"/>
      <c r="LLP85" s="0"/>
      <c r="LLQ85" s="0"/>
      <c r="LLR85" s="0"/>
      <c r="LLS85" s="0"/>
      <c r="LLT85" s="0"/>
      <c r="LLU85" s="0"/>
      <c r="LLV85" s="0"/>
      <c r="LLW85" s="0"/>
      <c r="LLX85" s="0"/>
      <c r="LLY85" s="0"/>
      <c r="LLZ85" s="0"/>
      <c r="LMA85" s="0"/>
      <c r="LMB85" s="0"/>
      <c r="LMC85" s="0"/>
      <c r="LMD85" s="0"/>
      <c r="LME85" s="0"/>
      <c r="LMF85" s="0"/>
      <c r="LMG85" s="0"/>
      <c r="LMH85" s="0"/>
      <c r="LMI85" s="0"/>
      <c r="LMJ85" s="0"/>
      <c r="LMK85" s="0"/>
      <c r="LML85" s="0"/>
      <c r="LMM85" s="0"/>
      <c r="LMN85" s="0"/>
      <c r="LMO85" s="0"/>
      <c r="LMP85" s="0"/>
      <c r="LMQ85" s="0"/>
      <c r="LMR85" s="0"/>
      <c r="LMS85" s="0"/>
      <c r="LMT85" s="0"/>
      <c r="LMU85" s="0"/>
      <c r="LMV85" s="0"/>
      <c r="LMW85" s="0"/>
      <c r="LMX85" s="0"/>
      <c r="LMY85" s="0"/>
      <c r="LMZ85" s="0"/>
      <c r="LNA85" s="0"/>
      <c r="LNB85" s="0"/>
      <c r="LNC85" s="0"/>
      <c r="LND85" s="0"/>
      <c r="LNE85" s="0"/>
      <c r="LNF85" s="0"/>
      <c r="LNG85" s="0"/>
      <c r="LNH85" s="0"/>
      <c r="LNI85" s="0"/>
      <c r="LNJ85" s="0"/>
      <c r="LNK85" s="0"/>
      <c r="LNL85" s="0"/>
      <c r="LNM85" s="0"/>
      <c r="LNN85" s="0"/>
      <c r="LNO85" s="0"/>
      <c r="LNP85" s="0"/>
      <c r="LNQ85" s="0"/>
      <c r="LNR85" s="0"/>
      <c r="LNS85" s="0"/>
      <c r="LNT85" s="0"/>
      <c r="LNU85" s="0"/>
      <c r="LNV85" s="0"/>
      <c r="LNW85" s="0"/>
      <c r="LNX85" s="0"/>
      <c r="LNY85" s="0"/>
      <c r="LNZ85" s="0"/>
      <c r="LOA85" s="0"/>
      <c r="LOB85" s="0"/>
      <c r="LOC85" s="0"/>
      <c r="LOD85" s="0"/>
      <c r="LOE85" s="0"/>
      <c r="LOF85" s="0"/>
      <c r="LOG85" s="0"/>
      <c r="LOH85" s="0"/>
      <c r="LOI85" s="0"/>
      <c r="LOJ85" s="0"/>
      <c r="LOK85" s="0"/>
      <c r="LOL85" s="0"/>
      <c r="LOM85" s="0"/>
      <c r="LON85" s="0"/>
      <c r="LOO85" s="0"/>
      <c r="LOP85" s="0"/>
      <c r="LOQ85" s="0"/>
      <c r="LOR85" s="0"/>
      <c r="LOS85" s="0"/>
      <c r="LOT85" s="0"/>
      <c r="LOU85" s="0"/>
      <c r="LOV85" s="0"/>
      <c r="LOW85" s="0"/>
      <c r="LOX85" s="0"/>
      <c r="LOY85" s="0"/>
      <c r="LOZ85" s="0"/>
      <c r="LPA85" s="0"/>
      <c r="LPB85" s="0"/>
      <c r="LPC85" s="0"/>
      <c r="LPD85" s="0"/>
      <c r="LPE85" s="0"/>
      <c r="LPF85" s="0"/>
      <c r="LPG85" s="0"/>
      <c r="LPH85" s="0"/>
      <c r="LPI85" s="0"/>
      <c r="LPJ85" s="0"/>
      <c r="LPK85" s="0"/>
      <c r="LPL85" s="0"/>
      <c r="LPM85" s="0"/>
      <c r="LPN85" s="0"/>
      <c r="LPO85" s="0"/>
      <c r="LPP85" s="0"/>
      <c r="LPQ85" s="0"/>
      <c r="LPR85" s="0"/>
      <c r="LPS85" s="0"/>
      <c r="LPT85" s="0"/>
      <c r="LPU85" s="0"/>
      <c r="LPV85" s="0"/>
      <c r="LPW85" s="0"/>
      <c r="LPX85" s="0"/>
      <c r="LPY85" s="0"/>
      <c r="LPZ85" s="0"/>
      <c r="LQA85" s="0"/>
      <c r="LQB85" s="0"/>
      <c r="LQC85" s="0"/>
      <c r="LQD85" s="0"/>
      <c r="LQE85" s="0"/>
      <c r="LQF85" s="0"/>
      <c r="LQG85" s="0"/>
      <c r="LQH85" s="0"/>
      <c r="LQI85" s="0"/>
      <c r="LQJ85" s="0"/>
      <c r="LQK85" s="0"/>
      <c r="LQL85" s="0"/>
      <c r="LQM85" s="0"/>
      <c r="LQN85" s="0"/>
      <c r="LQO85" s="0"/>
      <c r="LQP85" s="0"/>
      <c r="LQQ85" s="0"/>
      <c r="LQR85" s="0"/>
      <c r="LQS85" s="0"/>
      <c r="LQT85" s="0"/>
      <c r="LQU85" s="0"/>
      <c r="LQV85" s="0"/>
      <c r="LQW85" s="0"/>
      <c r="LQX85" s="0"/>
      <c r="LQY85" s="0"/>
      <c r="LQZ85" s="0"/>
      <c r="LRA85" s="0"/>
      <c r="LRB85" s="0"/>
      <c r="LRC85" s="0"/>
      <c r="LRD85" s="0"/>
      <c r="LRE85" s="0"/>
      <c r="LRF85" s="0"/>
      <c r="LRG85" s="0"/>
      <c r="LRH85" s="0"/>
      <c r="LRI85" s="0"/>
      <c r="LRJ85" s="0"/>
      <c r="LRK85" s="0"/>
      <c r="LRL85" s="0"/>
      <c r="LRM85" s="0"/>
      <c r="LRN85" s="0"/>
      <c r="LRO85" s="0"/>
      <c r="LRP85" s="0"/>
      <c r="LRQ85" s="0"/>
      <c r="LRR85" s="0"/>
      <c r="LRS85" s="0"/>
      <c r="LRT85" s="0"/>
      <c r="LRU85" s="0"/>
      <c r="LRV85" s="0"/>
      <c r="LRW85" s="0"/>
      <c r="LRX85" s="0"/>
      <c r="LRY85" s="0"/>
      <c r="LRZ85" s="0"/>
      <c r="LSA85" s="0"/>
      <c r="LSB85" s="0"/>
      <c r="LSC85" s="0"/>
      <c r="LSD85" s="0"/>
      <c r="LSE85" s="0"/>
      <c r="LSF85" s="0"/>
      <c r="LSG85" s="0"/>
      <c r="LSH85" s="0"/>
      <c r="LSI85" s="0"/>
      <c r="LSJ85" s="0"/>
      <c r="LSK85" s="0"/>
      <c r="LSL85" s="0"/>
      <c r="LSM85" s="0"/>
      <c r="LSN85" s="0"/>
      <c r="LSO85" s="0"/>
      <c r="LSP85" s="0"/>
      <c r="LSQ85" s="0"/>
      <c r="LSR85" s="0"/>
      <c r="LSS85" s="0"/>
      <c r="LST85" s="0"/>
      <c r="LSU85" s="0"/>
      <c r="LSV85" s="0"/>
      <c r="LSW85" s="0"/>
      <c r="LSX85" s="0"/>
      <c r="LSY85" s="0"/>
      <c r="LSZ85" s="0"/>
      <c r="LTA85" s="0"/>
      <c r="LTB85" s="0"/>
      <c r="LTC85" s="0"/>
      <c r="LTD85" s="0"/>
      <c r="LTE85" s="0"/>
      <c r="LTF85" s="0"/>
      <c r="LTG85" s="0"/>
      <c r="LTH85" s="0"/>
      <c r="LTI85" s="0"/>
      <c r="LTJ85" s="0"/>
      <c r="LTK85" s="0"/>
      <c r="LTL85" s="0"/>
      <c r="LTM85" s="0"/>
      <c r="LTN85" s="0"/>
      <c r="LTO85" s="0"/>
      <c r="LTP85" s="0"/>
      <c r="LTQ85" s="0"/>
      <c r="LTR85" s="0"/>
      <c r="LTS85" s="0"/>
      <c r="LTT85" s="0"/>
      <c r="LTU85" s="0"/>
      <c r="LTV85" s="0"/>
      <c r="LTW85" s="0"/>
      <c r="LTX85" s="0"/>
      <c r="LTY85" s="0"/>
      <c r="LTZ85" s="0"/>
      <c r="LUA85" s="0"/>
      <c r="LUB85" s="0"/>
      <c r="LUC85" s="0"/>
      <c r="LUD85" s="0"/>
      <c r="LUE85" s="0"/>
      <c r="LUF85" s="0"/>
      <c r="LUG85" s="0"/>
      <c r="LUH85" s="0"/>
      <c r="LUI85" s="0"/>
      <c r="LUJ85" s="0"/>
      <c r="LUK85" s="0"/>
      <c r="LUL85" s="0"/>
      <c r="LUM85" s="0"/>
      <c r="LUN85" s="0"/>
      <c r="LUO85" s="0"/>
      <c r="LUP85" s="0"/>
      <c r="LUQ85" s="0"/>
      <c r="LUR85" s="0"/>
      <c r="LUS85" s="0"/>
      <c r="LUT85" s="0"/>
      <c r="LUU85" s="0"/>
      <c r="LUV85" s="0"/>
      <c r="LUW85" s="0"/>
      <c r="LUX85" s="0"/>
      <c r="LUY85" s="0"/>
      <c r="LUZ85" s="0"/>
      <c r="LVA85" s="0"/>
      <c r="LVB85" s="0"/>
      <c r="LVC85" s="0"/>
      <c r="LVD85" s="0"/>
      <c r="LVE85" s="0"/>
      <c r="LVF85" s="0"/>
      <c r="LVG85" s="0"/>
      <c r="LVH85" s="0"/>
      <c r="LVI85" s="0"/>
      <c r="LVJ85" s="0"/>
      <c r="LVK85" s="0"/>
      <c r="LVL85" s="0"/>
      <c r="LVM85" s="0"/>
      <c r="LVN85" s="0"/>
      <c r="LVO85" s="0"/>
      <c r="LVP85" s="0"/>
      <c r="LVQ85" s="0"/>
      <c r="LVR85" s="0"/>
      <c r="LVS85" s="0"/>
      <c r="LVT85" s="0"/>
      <c r="LVU85" s="0"/>
      <c r="LVV85" s="0"/>
      <c r="LVW85" s="0"/>
      <c r="LVX85" s="0"/>
      <c r="LVY85" s="0"/>
      <c r="LVZ85" s="0"/>
      <c r="LWA85" s="0"/>
      <c r="LWB85" s="0"/>
      <c r="LWC85" s="0"/>
      <c r="LWD85" s="0"/>
      <c r="LWE85" s="0"/>
      <c r="LWF85" s="0"/>
      <c r="LWG85" s="0"/>
      <c r="LWH85" s="0"/>
      <c r="LWI85" s="0"/>
      <c r="LWJ85" s="0"/>
      <c r="LWK85" s="0"/>
      <c r="LWL85" s="0"/>
      <c r="LWM85" s="0"/>
      <c r="LWN85" s="0"/>
      <c r="LWO85" s="0"/>
      <c r="LWP85" s="0"/>
      <c r="LWQ85" s="0"/>
      <c r="LWR85" s="0"/>
      <c r="LWS85" s="0"/>
      <c r="LWT85" s="0"/>
      <c r="LWU85" s="0"/>
      <c r="LWV85" s="0"/>
      <c r="LWW85" s="0"/>
      <c r="LWX85" s="0"/>
      <c r="LWY85" s="0"/>
      <c r="LWZ85" s="0"/>
      <c r="LXA85" s="0"/>
      <c r="LXB85" s="0"/>
      <c r="LXC85" s="0"/>
      <c r="LXD85" s="0"/>
      <c r="LXE85" s="0"/>
      <c r="LXF85" s="0"/>
      <c r="LXG85" s="0"/>
      <c r="LXH85" s="0"/>
      <c r="LXI85" s="0"/>
      <c r="LXJ85" s="0"/>
      <c r="LXK85" s="0"/>
      <c r="LXL85" s="0"/>
      <c r="LXM85" s="0"/>
      <c r="LXN85" s="0"/>
      <c r="LXO85" s="0"/>
      <c r="LXP85" s="0"/>
      <c r="LXQ85" s="0"/>
      <c r="LXR85" s="0"/>
      <c r="LXS85" s="0"/>
      <c r="LXT85" s="0"/>
      <c r="LXU85" s="0"/>
      <c r="LXV85" s="0"/>
      <c r="LXW85" s="0"/>
      <c r="LXX85" s="0"/>
      <c r="LXY85" s="0"/>
      <c r="LXZ85" s="0"/>
      <c r="LYA85" s="0"/>
      <c r="LYB85" s="0"/>
      <c r="LYC85" s="0"/>
      <c r="LYD85" s="0"/>
      <c r="LYE85" s="0"/>
      <c r="LYF85" s="0"/>
      <c r="LYG85" s="0"/>
      <c r="LYH85" s="0"/>
      <c r="LYI85" s="0"/>
      <c r="LYJ85" s="0"/>
      <c r="LYK85" s="0"/>
      <c r="LYL85" s="0"/>
      <c r="LYM85" s="0"/>
      <c r="LYN85" s="0"/>
      <c r="LYO85" s="0"/>
      <c r="LYP85" s="0"/>
      <c r="LYQ85" s="0"/>
      <c r="LYR85" s="0"/>
      <c r="LYS85" s="0"/>
      <c r="LYT85" s="0"/>
      <c r="LYU85" s="0"/>
      <c r="LYV85" s="0"/>
      <c r="LYW85" s="0"/>
      <c r="LYX85" s="0"/>
      <c r="LYY85" s="0"/>
      <c r="LYZ85" s="0"/>
      <c r="LZA85" s="0"/>
      <c r="LZB85" s="0"/>
      <c r="LZC85" s="0"/>
      <c r="LZD85" s="0"/>
      <c r="LZE85" s="0"/>
      <c r="LZF85" s="0"/>
      <c r="LZG85" s="0"/>
      <c r="LZH85" s="0"/>
      <c r="LZI85" s="0"/>
      <c r="LZJ85" s="0"/>
      <c r="LZK85" s="0"/>
      <c r="LZL85" s="0"/>
      <c r="LZM85" s="0"/>
      <c r="LZN85" s="0"/>
      <c r="LZO85" s="0"/>
      <c r="LZP85" s="0"/>
      <c r="LZQ85" s="0"/>
      <c r="LZR85" s="0"/>
      <c r="LZS85" s="0"/>
      <c r="LZT85" s="0"/>
      <c r="LZU85" s="0"/>
      <c r="LZV85" s="0"/>
      <c r="LZW85" s="0"/>
      <c r="LZX85" s="0"/>
      <c r="LZY85" s="0"/>
      <c r="LZZ85" s="0"/>
      <c r="MAA85" s="0"/>
      <c r="MAB85" s="0"/>
      <c r="MAC85" s="0"/>
      <c r="MAD85" s="0"/>
      <c r="MAE85" s="0"/>
      <c r="MAF85" s="0"/>
      <c r="MAG85" s="0"/>
      <c r="MAH85" s="0"/>
      <c r="MAI85" s="0"/>
      <c r="MAJ85" s="0"/>
      <c r="MAK85" s="0"/>
      <c r="MAL85" s="0"/>
      <c r="MAM85" s="0"/>
      <c r="MAN85" s="0"/>
      <c r="MAO85" s="0"/>
      <c r="MAP85" s="0"/>
      <c r="MAQ85" s="0"/>
      <c r="MAR85" s="0"/>
      <c r="MAS85" s="0"/>
      <c r="MAT85" s="0"/>
      <c r="MAU85" s="0"/>
      <c r="MAV85" s="0"/>
      <c r="MAW85" s="0"/>
      <c r="MAX85" s="0"/>
      <c r="MAY85" s="0"/>
      <c r="MAZ85" s="0"/>
      <c r="MBA85" s="0"/>
      <c r="MBB85" s="0"/>
      <c r="MBC85" s="0"/>
      <c r="MBD85" s="0"/>
      <c r="MBE85" s="0"/>
      <c r="MBF85" s="0"/>
      <c r="MBG85" s="0"/>
      <c r="MBH85" s="0"/>
      <c r="MBI85" s="0"/>
      <c r="MBJ85" s="0"/>
      <c r="MBK85" s="0"/>
      <c r="MBL85" s="0"/>
      <c r="MBM85" s="0"/>
      <c r="MBN85" s="0"/>
      <c r="MBO85" s="0"/>
      <c r="MBP85" s="0"/>
      <c r="MBQ85" s="0"/>
      <c r="MBR85" s="0"/>
      <c r="MBS85" s="0"/>
      <c r="MBT85" s="0"/>
      <c r="MBU85" s="0"/>
      <c r="MBV85" s="0"/>
      <c r="MBW85" s="0"/>
      <c r="MBX85" s="0"/>
      <c r="MBY85" s="0"/>
      <c r="MBZ85" s="0"/>
      <c r="MCA85" s="0"/>
      <c r="MCB85" s="0"/>
      <c r="MCC85" s="0"/>
      <c r="MCD85" s="0"/>
      <c r="MCE85" s="0"/>
      <c r="MCF85" s="0"/>
      <c r="MCG85" s="0"/>
      <c r="MCH85" s="0"/>
      <c r="MCI85" s="0"/>
      <c r="MCJ85" s="0"/>
      <c r="MCK85" s="0"/>
      <c r="MCL85" s="0"/>
      <c r="MCM85" s="0"/>
      <c r="MCN85" s="0"/>
      <c r="MCO85" s="0"/>
      <c r="MCP85" s="0"/>
      <c r="MCQ85" s="0"/>
      <c r="MCR85" s="0"/>
      <c r="MCS85" s="0"/>
      <c r="MCT85" s="0"/>
      <c r="MCU85" s="0"/>
      <c r="MCV85" s="0"/>
      <c r="MCW85" s="0"/>
      <c r="MCX85" s="0"/>
      <c r="MCY85" s="0"/>
      <c r="MCZ85" s="0"/>
      <c r="MDA85" s="0"/>
      <c r="MDB85" s="0"/>
      <c r="MDC85" s="0"/>
      <c r="MDD85" s="0"/>
      <c r="MDE85" s="0"/>
      <c r="MDF85" s="0"/>
      <c r="MDG85" s="0"/>
      <c r="MDH85" s="0"/>
      <c r="MDI85" s="0"/>
      <c r="MDJ85" s="0"/>
      <c r="MDK85" s="0"/>
      <c r="MDL85" s="0"/>
      <c r="MDM85" s="0"/>
      <c r="MDN85" s="0"/>
      <c r="MDO85" s="0"/>
      <c r="MDP85" s="0"/>
      <c r="MDQ85" s="0"/>
      <c r="MDR85" s="0"/>
      <c r="MDS85" s="0"/>
      <c r="MDT85" s="0"/>
      <c r="MDU85" s="0"/>
      <c r="MDV85" s="0"/>
      <c r="MDW85" s="0"/>
      <c r="MDX85" s="0"/>
      <c r="MDY85" s="0"/>
      <c r="MDZ85" s="0"/>
      <c r="MEA85" s="0"/>
      <c r="MEB85" s="0"/>
      <c r="MEC85" s="0"/>
      <c r="MED85" s="0"/>
      <c r="MEE85" s="0"/>
      <c r="MEF85" s="0"/>
      <c r="MEG85" s="0"/>
      <c r="MEH85" s="0"/>
      <c r="MEI85" s="0"/>
      <c r="MEJ85" s="0"/>
      <c r="MEK85" s="0"/>
      <c r="MEL85" s="0"/>
      <c r="MEM85" s="0"/>
      <c r="MEN85" s="0"/>
      <c r="MEO85" s="0"/>
      <c r="MEP85" s="0"/>
      <c r="MEQ85" s="0"/>
      <c r="MER85" s="0"/>
      <c r="MES85" s="0"/>
      <c r="MET85" s="0"/>
      <c r="MEU85" s="0"/>
      <c r="MEV85" s="0"/>
      <c r="MEW85" s="0"/>
      <c r="MEX85" s="0"/>
      <c r="MEY85" s="0"/>
      <c r="MEZ85" s="0"/>
      <c r="MFA85" s="0"/>
      <c r="MFB85" s="0"/>
      <c r="MFC85" s="0"/>
      <c r="MFD85" s="0"/>
      <c r="MFE85" s="0"/>
      <c r="MFF85" s="0"/>
      <c r="MFG85" s="0"/>
      <c r="MFH85" s="0"/>
      <c r="MFI85" s="0"/>
      <c r="MFJ85" s="0"/>
      <c r="MFK85" s="0"/>
      <c r="MFL85" s="0"/>
      <c r="MFM85" s="0"/>
      <c r="MFN85" s="0"/>
      <c r="MFO85" s="0"/>
      <c r="MFP85" s="0"/>
      <c r="MFQ85" s="0"/>
      <c r="MFR85" s="0"/>
      <c r="MFS85" s="0"/>
      <c r="MFT85" s="0"/>
      <c r="MFU85" s="0"/>
      <c r="MFV85" s="0"/>
      <c r="MFW85" s="0"/>
      <c r="MFX85" s="0"/>
      <c r="MFY85" s="0"/>
      <c r="MFZ85" s="0"/>
      <c r="MGA85" s="0"/>
      <c r="MGB85" s="0"/>
      <c r="MGC85" s="0"/>
      <c r="MGD85" s="0"/>
      <c r="MGE85" s="0"/>
      <c r="MGF85" s="0"/>
      <c r="MGG85" s="0"/>
      <c r="MGH85" s="0"/>
      <c r="MGI85" s="0"/>
      <c r="MGJ85" s="0"/>
      <c r="MGK85" s="0"/>
      <c r="MGL85" s="0"/>
      <c r="MGM85" s="0"/>
      <c r="MGN85" s="0"/>
      <c r="MGO85" s="0"/>
      <c r="MGP85" s="0"/>
      <c r="MGQ85" s="0"/>
      <c r="MGR85" s="0"/>
      <c r="MGS85" s="0"/>
      <c r="MGT85" s="0"/>
      <c r="MGU85" s="0"/>
      <c r="MGV85" s="0"/>
      <c r="MGW85" s="0"/>
      <c r="MGX85" s="0"/>
      <c r="MGY85" s="0"/>
      <c r="MGZ85" s="0"/>
      <c r="MHA85" s="0"/>
      <c r="MHB85" s="0"/>
      <c r="MHC85" s="0"/>
      <c r="MHD85" s="0"/>
      <c r="MHE85" s="0"/>
      <c r="MHF85" s="0"/>
      <c r="MHG85" s="0"/>
      <c r="MHH85" s="0"/>
      <c r="MHI85" s="0"/>
      <c r="MHJ85" s="0"/>
      <c r="MHK85" s="0"/>
      <c r="MHL85" s="0"/>
      <c r="MHM85" s="0"/>
      <c r="MHN85" s="0"/>
      <c r="MHO85" s="0"/>
      <c r="MHP85" s="0"/>
      <c r="MHQ85" s="0"/>
      <c r="MHR85" s="0"/>
      <c r="MHS85" s="0"/>
      <c r="MHT85" s="0"/>
      <c r="MHU85" s="0"/>
      <c r="MHV85" s="0"/>
      <c r="MHW85" s="0"/>
      <c r="MHX85" s="0"/>
      <c r="MHY85" s="0"/>
      <c r="MHZ85" s="0"/>
      <c r="MIA85" s="0"/>
      <c r="MIB85" s="0"/>
      <c r="MIC85" s="0"/>
      <c r="MID85" s="0"/>
      <c r="MIE85" s="0"/>
      <c r="MIF85" s="0"/>
      <c r="MIG85" s="0"/>
      <c r="MIH85" s="0"/>
      <c r="MII85" s="0"/>
      <c r="MIJ85" s="0"/>
      <c r="MIK85" s="0"/>
      <c r="MIL85" s="0"/>
      <c r="MIM85" s="0"/>
      <c r="MIN85" s="0"/>
      <c r="MIO85" s="0"/>
      <c r="MIP85" s="0"/>
      <c r="MIQ85" s="0"/>
      <c r="MIR85" s="0"/>
      <c r="MIS85" s="0"/>
      <c r="MIT85" s="0"/>
      <c r="MIU85" s="0"/>
      <c r="MIV85" s="0"/>
      <c r="MIW85" s="0"/>
      <c r="MIX85" s="0"/>
      <c r="MIY85" s="0"/>
      <c r="MIZ85" s="0"/>
      <c r="MJA85" s="0"/>
      <c r="MJB85" s="0"/>
      <c r="MJC85" s="0"/>
      <c r="MJD85" s="0"/>
      <c r="MJE85" s="0"/>
      <c r="MJF85" s="0"/>
      <c r="MJG85" s="0"/>
      <c r="MJH85" s="0"/>
      <c r="MJI85" s="0"/>
      <c r="MJJ85" s="0"/>
      <c r="MJK85" s="0"/>
      <c r="MJL85" s="0"/>
      <c r="MJM85" s="0"/>
      <c r="MJN85" s="0"/>
      <c r="MJO85" s="0"/>
      <c r="MJP85" s="0"/>
      <c r="MJQ85" s="0"/>
      <c r="MJR85" s="0"/>
      <c r="MJS85" s="0"/>
      <c r="MJT85" s="0"/>
      <c r="MJU85" s="0"/>
      <c r="MJV85" s="0"/>
      <c r="MJW85" s="0"/>
      <c r="MJX85" s="0"/>
      <c r="MJY85" s="0"/>
      <c r="MJZ85" s="0"/>
      <c r="MKA85" s="0"/>
      <c r="MKB85" s="0"/>
      <c r="MKC85" s="0"/>
      <c r="MKD85" s="0"/>
      <c r="MKE85" s="0"/>
      <c r="MKF85" s="0"/>
      <c r="MKG85" s="0"/>
      <c r="MKH85" s="0"/>
      <c r="MKI85" s="0"/>
      <c r="MKJ85" s="0"/>
      <c r="MKK85" s="0"/>
      <c r="MKL85" s="0"/>
      <c r="MKM85" s="0"/>
      <c r="MKN85" s="0"/>
      <c r="MKO85" s="0"/>
      <c r="MKP85" s="0"/>
      <c r="MKQ85" s="0"/>
      <c r="MKR85" s="0"/>
      <c r="MKS85" s="0"/>
      <c r="MKT85" s="0"/>
      <c r="MKU85" s="0"/>
      <c r="MKV85" s="0"/>
      <c r="MKW85" s="0"/>
      <c r="MKX85" s="0"/>
      <c r="MKY85" s="0"/>
      <c r="MKZ85" s="0"/>
      <c r="MLA85" s="0"/>
      <c r="MLB85" s="0"/>
      <c r="MLC85" s="0"/>
      <c r="MLD85" s="0"/>
      <c r="MLE85" s="0"/>
      <c r="MLF85" s="0"/>
      <c r="MLG85" s="0"/>
      <c r="MLH85" s="0"/>
      <c r="MLI85" s="0"/>
      <c r="MLJ85" s="0"/>
      <c r="MLK85" s="0"/>
      <c r="MLL85" s="0"/>
      <c r="MLM85" s="0"/>
      <c r="MLN85" s="0"/>
      <c r="MLO85" s="0"/>
      <c r="MLP85" s="0"/>
      <c r="MLQ85" s="0"/>
      <c r="MLR85" s="0"/>
      <c r="MLS85" s="0"/>
      <c r="MLT85" s="0"/>
      <c r="MLU85" s="0"/>
      <c r="MLV85" s="0"/>
      <c r="MLW85" s="0"/>
      <c r="MLX85" s="0"/>
      <c r="MLY85" s="0"/>
      <c r="MLZ85" s="0"/>
      <c r="MMA85" s="0"/>
      <c r="MMB85" s="0"/>
      <c r="MMC85" s="0"/>
      <c r="MMD85" s="0"/>
      <c r="MME85" s="0"/>
      <c r="MMF85" s="0"/>
      <c r="MMG85" s="0"/>
      <c r="MMH85" s="0"/>
      <c r="MMI85" s="0"/>
      <c r="MMJ85" s="0"/>
      <c r="MMK85" s="0"/>
      <c r="MML85" s="0"/>
      <c r="MMM85" s="0"/>
      <c r="MMN85" s="0"/>
      <c r="MMO85" s="0"/>
      <c r="MMP85" s="0"/>
      <c r="MMQ85" s="0"/>
      <c r="MMR85" s="0"/>
      <c r="MMS85" s="0"/>
      <c r="MMT85" s="0"/>
      <c r="MMU85" s="0"/>
      <c r="MMV85" s="0"/>
      <c r="MMW85" s="0"/>
      <c r="MMX85" s="0"/>
      <c r="MMY85" s="0"/>
      <c r="MMZ85" s="0"/>
      <c r="MNA85" s="0"/>
      <c r="MNB85" s="0"/>
      <c r="MNC85" s="0"/>
      <c r="MND85" s="0"/>
      <c r="MNE85" s="0"/>
      <c r="MNF85" s="0"/>
      <c r="MNG85" s="0"/>
      <c r="MNH85" s="0"/>
      <c r="MNI85" s="0"/>
      <c r="MNJ85" s="0"/>
      <c r="MNK85" s="0"/>
      <c r="MNL85" s="0"/>
      <c r="MNM85" s="0"/>
      <c r="MNN85" s="0"/>
      <c r="MNO85" s="0"/>
      <c r="MNP85" s="0"/>
      <c r="MNQ85" s="0"/>
      <c r="MNR85" s="0"/>
      <c r="MNS85" s="0"/>
      <c r="MNT85" s="0"/>
      <c r="MNU85" s="0"/>
      <c r="MNV85" s="0"/>
      <c r="MNW85" s="0"/>
      <c r="MNX85" s="0"/>
      <c r="MNY85" s="0"/>
      <c r="MNZ85" s="0"/>
      <c r="MOA85" s="0"/>
      <c r="MOB85" s="0"/>
      <c r="MOC85" s="0"/>
      <c r="MOD85" s="0"/>
      <c r="MOE85" s="0"/>
      <c r="MOF85" s="0"/>
      <c r="MOG85" s="0"/>
      <c r="MOH85" s="0"/>
      <c r="MOI85" s="0"/>
      <c r="MOJ85" s="0"/>
      <c r="MOK85" s="0"/>
      <c r="MOL85" s="0"/>
      <c r="MOM85" s="0"/>
      <c r="MON85" s="0"/>
      <c r="MOO85" s="0"/>
      <c r="MOP85" s="0"/>
      <c r="MOQ85" s="0"/>
      <c r="MOR85" s="0"/>
      <c r="MOS85" s="0"/>
      <c r="MOT85" s="0"/>
      <c r="MOU85" s="0"/>
      <c r="MOV85" s="0"/>
      <c r="MOW85" s="0"/>
      <c r="MOX85" s="0"/>
      <c r="MOY85" s="0"/>
      <c r="MOZ85" s="0"/>
      <c r="MPA85" s="0"/>
      <c r="MPB85" s="0"/>
      <c r="MPC85" s="0"/>
      <c r="MPD85" s="0"/>
      <c r="MPE85" s="0"/>
      <c r="MPF85" s="0"/>
      <c r="MPG85" s="0"/>
      <c r="MPH85" s="0"/>
      <c r="MPI85" s="0"/>
      <c r="MPJ85" s="0"/>
      <c r="MPK85" s="0"/>
      <c r="MPL85" s="0"/>
      <c r="MPM85" s="0"/>
      <c r="MPN85" s="0"/>
      <c r="MPO85" s="0"/>
      <c r="MPP85" s="0"/>
      <c r="MPQ85" s="0"/>
      <c r="MPR85" s="0"/>
      <c r="MPS85" s="0"/>
      <c r="MPT85" s="0"/>
      <c r="MPU85" s="0"/>
      <c r="MPV85" s="0"/>
      <c r="MPW85" s="0"/>
      <c r="MPX85" s="0"/>
      <c r="MPY85" s="0"/>
      <c r="MPZ85" s="0"/>
      <c r="MQA85" s="0"/>
      <c r="MQB85" s="0"/>
      <c r="MQC85" s="0"/>
      <c r="MQD85" s="0"/>
      <c r="MQE85" s="0"/>
      <c r="MQF85" s="0"/>
      <c r="MQG85" s="0"/>
      <c r="MQH85" s="0"/>
      <c r="MQI85" s="0"/>
      <c r="MQJ85" s="0"/>
      <c r="MQK85" s="0"/>
      <c r="MQL85" s="0"/>
      <c r="MQM85" s="0"/>
      <c r="MQN85" s="0"/>
      <c r="MQO85" s="0"/>
      <c r="MQP85" s="0"/>
      <c r="MQQ85" s="0"/>
      <c r="MQR85" s="0"/>
      <c r="MQS85" s="0"/>
      <c r="MQT85" s="0"/>
      <c r="MQU85" s="0"/>
      <c r="MQV85" s="0"/>
      <c r="MQW85" s="0"/>
      <c r="MQX85" s="0"/>
      <c r="MQY85" s="0"/>
      <c r="MQZ85" s="0"/>
      <c r="MRA85" s="0"/>
      <c r="MRB85" s="0"/>
      <c r="MRC85" s="0"/>
      <c r="MRD85" s="0"/>
      <c r="MRE85" s="0"/>
      <c r="MRF85" s="0"/>
      <c r="MRG85" s="0"/>
      <c r="MRH85" s="0"/>
      <c r="MRI85" s="0"/>
      <c r="MRJ85" s="0"/>
      <c r="MRK85" s="0"/>
      <c r="MRL85" s="0"/>
      <c r="MRM85" s="0"/>
      <c r="MRN85" s="0"/>
      <c r="MRO85" s="0"/>
      <c r="MRP85" s="0"/>
      <c r="MRQ85" s="0"/>
      <c r="MRR85" s="0"/>
      <c r="MRS85" s="0"/>
      <c r="MRT85" s="0"/>
      <c r="MRU85" s="0"/>
      <c r="MRV85" s="0"/>
      <c r="MRW85" s="0"/>
      <c r="MRX85" s="0"/>
      <c r="MRY85" s="0"/>
      <c r="MRZ85" s="0"/>
      <c r="MSA85" s="0"/>
      <c r="MSB85" s="0"/>
      <c r="MSC85" s="0"/>
      <c r="MSD85" s="0"/>
      <c r="MSE85" s="0"/>
      <c r="MSF85" s="0"/>
      <c r="MSG85" s="0"/>
      <c r="MSH85" s="0"/>
      <c r="MSI85" s="0"/>
      <c r="MSJ85" s="0"/>
      <c r="MSK85" s="0"/>
      <c r="MSL85" s="0"/>
      <c r="MSM85" s="0"/>
      <c r="MSN85" s="0"/>
      <c r="MSO85" s="0"/>
      <c r="MSP85" s="0"/>
      <c r="MSQ85" s="0"/>
      <c r="MSR85" s="0"/>
      <c r="MSS85" s="0"/>
      <c r="MST85" s="0"/>
      <c r="MSU85" s="0"/>
      <c r="MSV85" s="0"/>
      <c r="MSW85" s="0"/>
      <c r="MSX85" s="0"/>
      <c r="MSY85" s="0"/>
      <c r="MSZ85" s="0"/>
      <c r="MTA85" s="0"/>
      <c r="MTB85" s="0"/>
      <c r="MTC85" s="0"/>
      <c r="MTD85" s="0"/>
      <c r="MTE85" s="0"/>
      <c r="MTF85" s="0"/>
      <c r="MTG85" s="0"/>
      <c r="MTH85" s="0"/>
      <c r="MTI85" s="0"/>
      <c r="MTJ85" s="0"/>
      <c r="MTK85" s="0"/>
      <c r="MTL85" s="0"/>
      <c r="MTM85" s="0"/>
      <c r="MTN85" s="0"/>
      <c r="MTO85" s="0"/>
      <c r="MTP85" s="0"/>
      <c r="MTQ85" s="0"/>
      <c r="MTR85" s="0"/>
      <c r="MTS85" s="0"/>
      <c r="MTT85" s="0"/>
      <c r="MTU85" s="0"/>
      <c r="MTV85" s="0"/>
      <c r="MTW85" s="0"/>
      <c r="MTX85" s="0"/>
      <c r="MTY85" s="0"/>
      <c r="MTZ85" s="0"/>
      <c r="MUA85" s="0"/>
      <c r="MUB85" s="0"/>
      <c r="MUC85" s="0"/>
      <c r="MUD85" s="0"/>
      <c r="MUE85" s="0"/>
      <c r="MUF85" s="0"/>
      <c r="MUG85" s="0"/>
      <c r="MUH85" s="0"/>
      <c r="MUI85" s="0"/>
      <c r="MUJ85" s="0"/>
      <c r="MUK85" s="0"/>
      <c r="MUL85" s="0"/>
      <c r="MUM85" s="0"/>
      <c r="MUN85" s="0"/>
      <c r="MUO85" s="0"/>
      <c r="MUP85" s="0"/>
      <c r="MUQ85" s="0"/>
      <c r="MUR85" s="0"/>
      <c r="MUS85" s="0"/>
      <c r="MUT85" s="0"/>
      <c r="MUU85" s="0"/>
      <c r="MUV85" s="0"/>
      <c r="MUW85" s="0"/>
      <c r="MUX85" s="0"/>
      <c r="MUY85" s="0"/>
      <c r="MUZ85" s="0"/>
      <c r="MVA85" s="0"/>
      <c r="MVB85" s="0"/>
      <c r="MVC85" s="0"/>
      <c r="MVD85" s="0"/>
      <c r="MVE85" s="0"/>
      <c r="MVF85" s="0"/>
      <c r="MVG85" s="0"/>
      <c r="MVH85" s="0"/>
      <c r="MVI85" s="0"/>
      <c r="MVJ85" s="0"/>
      <c r="MVK85" s="0"/>
      <c r="MVL85" s="0"/>
      <c r="MVM85" s="0"/>
      <c r="MVN85" s="0"/>
      <c r="MVO85" s="0"/>
      <c r="MVP85" s="0"/>
      <c r="MVQ85" s="0"/>
      <c r="MVR85" s="0"/>
      <c r="MVS85" s="0"/>
      <c r="MVT85" s="0"/>
      <c r="MVU85" s="0"/>
      <c r="MVV85" s="0"/>
      <c r="MVW85" s="0"/>
      <c r="MVX85" s="0"/>
      <c r="MVY85" s="0"/>
      <c r="MVZ85" s="0"/>
      <c r="MWA85" s="0"/>
      <c r="MWB85" s="0"/>
      <c r="MWC85" s="0"/>
      <c r="MWD85" s="0"/>
      <c r="MWE85" s="0"/>
      <c r="MWF85" s="0"/>
      <c r="MWG85" s="0"/>
      <c r="MWH85" s="0"/>
      <c r="MWI85" s="0"/>
      <c r="MWJ85" s="0"/>
      <c r="MWK85" s="0"/>
      <c r="MWL85" s="0"/>
      <c r="MWM85" s="0"/>
      <c r="MWN85" s="0"/>
      <c r="MWO85" s="0"/>
      <c r="MWP85" s="0"/>
      <c r="MWQ85" s="0"/>
      <c r="MWR85" s="0"/>
      <c r="MWS85" s="0"/>
      <c r="MWT85" s="0"/>
      <c r="MWU85" s="0"/>
      <c r="MWV85" s="0"/>
      <c r="MWW85" s="0"/>
      <c r="MWX85" s="0"/>
      <c r="MWY85" s="0"/>
      <c r="MWZ85" s="0"/>
      <c r="MXA85" s="0"/>
      <c r="MXB85" s="0"/>
      <c r="MXC85" s="0"/>
      <c r="MXD85" s="0"/>
      <c r="MXE85" s="0"/>
      <c r="MXF85" s="0"/>
      <c r="MXG85" s="0"/>
      <c r="MXH85" s="0"/>
      <c r="MXI85" s="0"/>
      <c r="MXJ85" s="0"/>
      <c r="MXK85" s="0"/>
      <c r="MXL85" s="0"/>
      <c r="MXM85" s="0"/>
      <c r="MXN85" s="0"/>
      <c r="MXO85" s="0"/>
      <c r="MXP85" s="0"/>
      <c r="MXQ85" s="0"/>
      <c r="MXR85" s="0"/>
      <c r="MXS85" s="0"/>
      <c r="MXT85" s="0"/>
      <c r="MXU85" s="0"/>
      <c r="MXV85" s="0"/>
      <c r="MXW85" s="0"/>
      <c r="MXX85" s="0"/>
      <c r="MXY85" s="0"/>
      <c r="MXZ85" s="0"/>
      <c r="MYA85" s="0"/>
      <c r="MYB85" s="0"/>
      <c r="MYC85" s="0"/>
      <c r="MYD85" s="0"/>
      <c r="MYE85" s="0"/>
      <c r="MYF85" s="0"/>
      <c r="MYG85" s="0"/>
      <c r="MYH85" s="0"/>
      <c r="MYI85" s="0"/>
      <c r="MYJ85" s="0"/>
      <c r="MYK85" s="0"/>
      <c r="MYL85" s="0"/>
      <c r="MYM85" s="0"/>
      <c r="MYN85" s="0"/>
      <c r="MYO85" s="0"/>
      <c r="MYP85" s="0"/>
      <c r="MYQ85" s="0"/>
      <c r="MYR85" s="0"/>
      <c r="MYS85" s="0"/>
      <c r="MYT85" s="0"/>
      <c r="MYU85" s="0"/>
      <c r="MYV85" s="0"/>
      <c r="MYW85" s="0"/>
      <c r="MYX85" s="0"/>
      <c r="MYY85" s="0"/>
      <c r="MYZ85" s="0"/>
      <c r="MZA85" s="0"/>
      <c r="MZB85" s="0"/>
      <c r="MZC85" s="0"/>
      <c r="MZD85" s="0"/>
      <c r="MZE85" s="0"/>
      <c r="MZF85" s="0"/>
      <c r="MZG85" s="0"/>
      <c r="MZH85" s="0"/>
      <c r="MZI85" s="0"/>
      <c r="MZJ85" s="0"/>
      <c r="MZK85" s="0"/>
      <c r="MZL85" s="0"/>
      <c r="MZM85" s="0"/>
      <c r="MZN85" s="0"/>
      <c r="MZO85" s="0"/>
      <c r="MZP85" s="0"/>
      <c r="MZQ85" s="0"/>
      <c r="MZR85" s="0"/>
      <c r="MZS85" s="0"/>
      <c r="MZT85" s="0"/>
      <c r="MZU85" s="0"/>
      <c r="MZV85" s="0"/>
      <c r="MZW85" s="0"/>
      <c r="MZX85" s="0"/>
      <c r="MZY85" s="0"/>
      <c r="MZZ85" s="0"/>
      <c r="NAA85" s="0"/>
      <c r="NAB85" s="0"/>
      <c r="NAC85" s="0"/>
      <c r="NAD85" s="0"/>
      <c r="NAE85" s="0"/>
      <c r="NAF85" s="0"/>
      <c r="NAG85" s="0"/>
      <c r="NAH85" s="0"/>
      <c r="NAI85" s="0"/>
      <c r="NAJ85" s="0"/>
      <c r="NAK85" s="0"/>
      <c r="NAL85" s="0"/>
      <c r="NAM85" s="0"/>
      <c r="NAN85" s="0"/>
      <c r="NAO85" s="0"/>
      <c r="NAP85" s="0"/>
      <c r="NAQ85" s="0"/>
      <c r="NAR85" s="0"/>
      <c r="NAS85" s="0"/>
      <c r="NAT85" s="0"/>
      <c r="NAU85" s="0"/>
      <c r="NAV85" s="0"/>
      <c r="NAW85" s="0"/>
      <c r="NAX85" s="0"/>
      <c r="NAY85" s="0"/>
      <c r="NAZ85" s="0"/>
      <c r="NBA85" s="0"/>
      <c r="NBB85" s="0"/>
      <c r="NBC85" s="0"/>
      <c r="NBD85" s="0"/>
      <c r="NBE85" s="0"/>
      <c r="NBF85" s="0"/>
      <c r="NBG85" s="0"/>
      <c r="NBH85" s="0"/>
      <c r="NBI85" s="0"/>
      <c r="NBJ85" s="0"/>
      <c r="NBK85" s="0"/>
      <c r="NBL85" s="0"/>
      <c r="NBM85" s="0"/>
      <c r="NBN85" s="0"/>
      <c r="NBO85" s="0"/>
      <c r="NBP85" s="0"/>
      <c r="NBQ85" s="0"/>
      <c r="NBR85" s="0"/>
      <c r="NBS85" s="0"/>
      <c r="NBT85" s="0"/>
      <c r="NBU85" s="0"/>
      <c r="NBV85" s="0"/>
      <c r="NBW85" s="0"/>
      <c r="NBX85" s="0"/>
      <c r="NBY85" s="0"/>
      <c r="NBZ85" s="0"/>
      <c r="NCA85" s="0"/>
      <c r="NCB85" s="0"/>
      <c r="NCC85" s="0"/>
      <c r="NCD85" s="0"/>
      <c r="NCE85" s="0"/>
      <c r="NCF85" s="0"/>
      <c r="NCG85" s="0"/>
      <c r="NCH85" s="0"/>
      <c r="NCI85" s="0"/>
      <c r="NCJ85" s="0"/>
      <c r="NCK85" s="0"/>
      <c r="NCL85" s="0"/>
      <c r="NCM85" s="0"/>
      <c r="NCN85" s="0"/>
      <c r="NCO85" s="0"/>
      <c r="NCP85" s="0"/>
      <c r="NCQ85" s="0"/>
      <c r="NCR85" s="0"/>
      <c r="NCS85" s="0"/>
      <c r="NCT85" s="0"/>
      <c r="NCU85" s="0"/>
      <c r="NCV85" s="0"/>
      <c r="NCW85" s="0"/>
      <c r="NCX85" s="0"/>
      <c r="NCY85" s="0"/>
      <c r="NCZ85" s="0"/>
      <c r="NDA85" s="0"/>
      <c r="NDB85" s="0"/>
      <c r="NDC85" s="0"/>
      <c r="NDD85" s="0"/>
      <c r="NDE85" s="0"/>
      <c r="NDF85" s="0"/>
      <c r="NDG85" s="0"/>
      <c r="NDH85" s="0"/>
      <c r="NDI85" s="0"/>
      <c r="NDJ85" s="0"/>
      <c r="NDK85" s="0"/>
      <c r="NDL85" s="0"/>
      <c r="NDM85" s="0"/>
      <c r="NDN85" s="0"/>
      <c r="NDO85" s="0"/>
      <c r="NDP85" s="0"/>
      <c r="NDQ85" s="0"/>
      <c r="NDR85" s="0"/>
      <c r="NDS85" s="0"/>
      <c r="NDT85" s="0"/>
      <c r="NDU85" s="0"/>
      <c r="NDV85" s="0"/>
      <c r="NDW85" s="0"/>
      <c r="NDX85" s="0"/>
      <c r="NDY85" s="0"/>
      <c r="NDZ85" s="0"/>
      <c r="NEA85" s="0"/>
      <c r="NEB85" s="0"/>
      <c r="NEC85" s="0"/>
      <c r="NED85" s="0"/>
      <c r="NEE85" s="0"/>
      <c r="NEF85" s="0"/>
      <c r="NEG85" s="0"/>
      <c r="NEH85" s="0"/>
      <c r="NEI85" s="0"/>
      <c r="NEJ85" s="0"/>
      <c r="NEK85" s="0"/>
      <c r="NEL85" s="0"/>
      <c r="NEM85" s="0"/>
      <c r="NEN85" s="0"/>
      <c r="NEO85" s="0"/>
      <c r="NEP85" s="0"/>
      <c r="NEQ85" s="0"/>
      <c r="NER85" s="0"/>
      <c r="NES85" s="0"/>
      <c r="NET85" s="0"/>
      <c r="NEU85" s="0"/>
      <c r="NEV85" s="0"/>
      <c r="NEW85" s="0"/>
      <c r="NEX85" s="0"/>
      <c r="NEY85" s="0"/>
      <c r="NEZ85" s="0"/>
      <c r="NFA85" s="0"/>
      <c r="NFB85" s="0"/>
      <c r="NFC85" s="0"/>
      <c r="NFD85" s="0"/>
      <c r="NFE85" s="0"/>
      <c r="NFF85" s="0"/>
      <c r="NFG85" s="0"/>
      <c r="NFH85" s="0"/>
      <c r="NFI85" s="0"/>
      <c r="NFJ85" s="0"/>
      <c r="NFK85" s="0"/>
      <c r="NFL85" s="0"/>
      <c r="NFM85" s="0"/>
      <c r="NFN85" s="0"/>
      <c r="NFO85" s="0"/>
      <c r="NFP85" s="0"/>
      <c r="NFQ85" s="0"/>
      <c r="NFR85" s="0"/>
      <c r="NFS85" s="0"/>
      <c r="NFT85" s="0"/>
      <c r="NFU85" s="0"/>
      <c r="NFV85" s="0"/>
      <c r="NFW85" s="0"/>
      <c r="NFX85" s="0"/>
      <c r="NFY85" s="0"/>
      <c r="NFZ85" s="0"/>
      <c r="NGA85" s="0"/>
      <c r="NGB85" s="0"/>
      <c r="NGC85" s="0"/>
      <c r="NGD85" s="0"/>
      <c r="NGE85" s="0"/>
      <c r="NGF85" s="0"/>
      <c r="NGG85" s="0"/>
      <c r="NGH85" s="0"/>
      <c r="NGI85" s="0"/>
      <c r="NGJ85" s="0"/>
      <c r="NGK85" s="0"/>
      <c r="NGL85" s="0"/>
      <c r="NGM85" s="0"/>
      <c r="NGN85" s="0"/>
      <c r="NGO85" s="0"/>
      <c r="NGP85" s="0"/>
      <c r="NGQ85" s="0"/>
      <c r="NGR85" s="0"/>
      <c r="NGS85" s="0"/>
      <c r="NGT85" s="0"/>
      <c r="NGU85" s="0"/>
      <c r="NGV85" s="0"/>
      <c r="NGW85" s="0"/>
      <c r="NGX85" s="0"/>
      <c r="NGY85" s="0"/>
      <c r="NGZ85" s="0"/>
      <c r="NHA85" s="0"/>
      <c r="NHB85" s="0"/>
      <c r="NHC85" s="0"/>
      <c r="NHD85" s="0"/>
      <c r="NHE85" s="0"/>
      <c r="NHF85" s="0"/>
      <c r="NHG85" s="0"/>
      <c r="NHH85" s="0"/>
      <c r="NHI85" s="0"/>
      <c r="NHJ85" s="0"/>
      <c r="NHK85" s="0"/>
      <c r="NHL85" s="0"/>
      <c r="NHM85" s="0"/>
      <c r="NHN85" s="0"/>
      <c r="NHO85" s="0"/>
      <c r="NHP85" s="0"/>
      <c r="NHQ85" s="0"/>
      <c r="NHR85" s="0"/>
      <c r="NHS85" s="0"/>
      <c r="NHT85" s="0"/>
      <c r="NHU85" s="0"/>
      <c r="NHV85" s="0"/>
      <c r="NHW85" s="0"/>
      <c r="NHX85" s="0"/>
      <c r="NHY85" s="0"/>
      <c r="NHZ85" s="0"/>
      <c r="NIA85" s="0"/>
      <c r="NIB85" s="0"/>
      <c r="NIC85" s="0"/>
      <c r="NID85" s="0"/>
      <c r="NIE85" s="0"/>
      <c r="NIF85" s="0"/>
      <c r="NIG85" s="0"/>
      <c r="NIH85" s="0"/>
      <c r="NII85" s="0"/>
      <c r="NIJ85" s="0"/>
      <c r="NIK85" s="0"/>
      <c r="NIL85" s="0"/>
      <c r="NIM85" s="0"/>
      <c r="NIN85" s="0"/>
      <c r="NIO85" s="0"/>
      <c r="NIP85" s="0"/>
      <c r="NIQ85" s="0"/>
      <c r="NIR85" s="0"/>
      <c r="NIS85" s="0"/>
      <c r="NIT85" s="0"/>
      <c r="NIU85" s="0"/>
      <c r="NIV85" s="0"/>
      <c r="NIW85" s="0"/>
      <c r="NIX85" s="0"/>
      <c r="NIY85" s="0"/>
      <c r="NIZ85" s="0"/>
      <c r="NJA85" s="0"/>
      <c r="NJB85" s="0"/>
      <c r="NJC85" s="0"/>
      <c r="NJD85" s="0"/>
      <c r="NJE85" s="0"/>
      <c r="NJF85" s="0"/>
      <c r="NJG85" s="0"/>
      <c r="NJH85" s="0"/>
      <c r="NJI85" s="0"/>
      <c r="NJJ85" s="0"/>
      <c r="NJK85" s="0"/>
      <c r="NJL85" s="0"/>
      <c r="NJM85" s="0"/>
      <c r="NJN85" s="0"/>
      <c r="NJO85" s="0"/>
      <c r="NJP85" s="0"/>
      <c r="NJQ85" s="0"/>
      <c r="NJR85" s="0"/>
      <c r="NJS85" s="0"/>
      <c r="NJT85" s="0"/>
      <c r="NJU85" s="0"/>
      <c r="NJV85" s="0"/>
      <c r="NJW85" s="0"/>
      <c r="NJX85" s="0"/>
      <c r="NJY85" s="0"/>
      <c r="NJZ85" s="0"/>
      <c r="NKA85" s="0"/>
      <c r="NKB85" s="0"/>
      <c r="NKC85" s="0"/>
      <c r="NKD85" s="0"/>
      <c r="NKE85" s="0"/>
      <c r="NKF85" s="0"/>
      <c r="NKG85" s="0"/>
      <c r="NKH85" s="0"/>
      <c r="NKI85" s="0"/>
      <c r="NKJ85" s="0"/>
      <c r="NKK85" s="0"/>
      <c r="NKL85" s="0"/>
      <c r="NKM85" s="0"/>
      <c r="NKN85" s="0"/>
      <c r="NKO85" s="0"/>
      <c r="NKP85" s="0"/>
      <c r="NKQ85" s="0"/>
      <c r="NKR85" s="0"/>
      <c r="NKS85" s="0"/>
      <c r="NKT85" s="0"/>
      <c r="NKU85" s="0"/>
      <c r="NKV85" s="0"/>
      <c r="NKW85" s="0"/>
      <c r="NKX85" s="0"/>
      <c r="NKY85" s="0"/>
      <c r="NKZ85" s="0"/>
      <c r="NLA85" s="0"/>
      <c r="NLB85" s="0"/>
      <c r="NLC85" s="0"/>
      <c r="NLD85" s="0"/>
      <c r="NLE85" s="0"/>
      <c r="NLF85" s="0"/>
      <c r="NLG85" s="0"/>
      <c r="NLH85" s="0"/>
      <c r="NLI85" s="0"/>
      <c r="NLJ85" s="0"/>
      <c r="NLK85" s="0"/>
      <c r="NLL85" s="0"/>
      <c r="NLM85" s="0"/>
      <c r="NLN85" s="0"/>
      <c r="NLO85" s="0"/>
      <c r="NLP85" s="0"/>
      <c r="NLQ85" s="0"/>
      <c r="NLR85" s="0"/>
      <c r="NLS85" s="0"/>
      <c r="NLT85" s="0"/>
      <c r="NLU85" s="0"/>
      <c r="NLV85" s="0"/>
      <c r="NLW85" s="0"/>
      <c r="NLX85" s="0"/>
      <c r="NLY85" s="0"/>
      <c r="NLZ85" s="0"/>
      <c r="NMA85" s="0"/>
      <c r="NMB85" s="0"/>
      <c r="NMC85" s="0"/>
      <c r="NMD85" s="0"/>
      <c r="NME85" s="0"/>
      <c r="NMF85" s="0"/>
      <c r="NMG85" s="0"/>
      <c r="NMH85" s="0"/>
      <c r="NMI85" s="0"/>
      <c r="NMJ85" s="0"/>
      <c r="NMK85" s="0"/>
      <c r="NML85" s="0"/>
      <c r="NMM85" s="0"/>
      <c r="NMN85" s="0"/>
      <c r="NMO85" s="0"/>
      <c r="NMP85" s="0"/>
      <c r="NMQ85" s="0"/>
      <c r="NMR85" s="0"/>
      <c r="NMS85" s="0"/>
      <c r="NMT85" s="0"/>
      <c r="NMU85" s="0"/>
      <c r="NMV85" s="0"/>
      <c r="NMW85" s="0"/>
      <c r="NMX85" s="0"/>
      <c r="NMY85" s="0"/>
      <c r="NMZ85" s="0"/>
      <c r="NNA85" s="0"/>
      <c r="NNB85" s="0"/>
      <c r="NNC85" s="0"/>
      <c r="NND85" s="0"/>
      <c r="NNE85" s="0"/>
      <c r="NNF85" s="0"/>
      <c r="NNG85" s="0"/>
      <c r="NNH85" s="0"/>
      <c r="NNI85" s="0"/>
      <c r="NNJ85" s="0"/>
      <c r="NNK85" s="0"/>
      <c r="NNL85" s="0"/>
      <c r="NNM85" s="0"/>
      <c r="NNN85" s="0"/>
      <c r="NNO85" s="0"/>
      <c r="NNP85" s="0"/>
      <c r="NNQ85" s="0"/>
      <c r="NNR85" s="0"/>
      <c r="NNS85" s="0"/>
      <c r="NNT85" s="0"/>
      <c r="NNU85" s="0"/>
      <c r="NNV85" s="0"/>
      <c r="NNW85" s="0"/>
      <c r="NNX85" s="0"/>
      <c r="NNY85" s="0"/>
      <c r="NNZ85" s="0"/>
      <c r="NOA85" s="0"/>
      <c r="NOB85" s="0"/>
      <c r="NOC85" s="0"/>
      <c r="NOD85" s="0"/>
      <c r="NOE85" s="0"/>
      <c r="NOF85" s="0"/>
      <c r="NOG85" s="0"/>
      <c r="NOH85" s="0"/>
      <c r="NOI85" s="0"/>
      <c r="NOJ85" s="0"/>
      <c r="NOK85" s="0"/>
      <c r="NOL85" s="0"/>
      <c r="NOM85" s="0"/>
      <c r="NON85" s="0"/>
      <c r="NOO85" s="0"/>
      <c r="NOP85" s="0"/>
      <c r="NOQ85" s="0"/>
      <c r="NOR85" s="0"/>
      <c r="NOS85" s="0"/>
      <c r="NOT85" s="0"/>
      <c r="NOU85" s="0"/>
      <c r="NOV85" s="0"/>
      <c r="NOW85" s="0"/>
      <c r="NOX85" s="0"/>
      <c r="NOY85" s="0"/>
      <c r="NOZ85" s="0"/>
      <c r="NPA85" s="0"/>
      <c r="NPB85" s="0"/>
      <c r="NPC85" s="0"/>
      <c r="NPD85" s="0"/>
      <c r="NPE85" s="0"/>
      <c r="NPF85" s="0"/>
      <c r="NPG85" s="0"/>
      <c r="NPH85" s="0"/>
      <c r="NPI85" s="0"/>
      <c r="NPJ85" s="0"/>
      <c r="NPK85" s="0"/>
      <c r="NPL85" s="0"/>
      <c r="NPM85" s="0"/>
      <c r="NPN85" s="0"/>
      <c r="NPO85" s="0"/>
      <c r="NPP85" s="0"/>
      <c r="NPQ85" s="0"/>
      <c r="NPR85" s="0"/>
      <c r="NPS85" s="0"/>
      <c r="NPT85" s="0"/>
      <c r="NPU85" s="0"/>
      <c r="NPV85" s="0"/>
      <c r="NPW85" s="0"/>
      <c r="NPX85" s="0"/>
      <c r="NPY85" s="0"/>
      <c r="NPZ85" s="0"/>
      <c r="NQA85" s="0"/>
      <c r="NQB85" s="0"/>
      <c r="NQC85" s="0"/>
      <c r="NQD85" s="0"/>
      <c r="NQE85" s="0"/>
      <c r="NQF85" s="0"/>
      <c r="NQG85" s="0"/>
      <c r="NQH85" s="0"/>
      <c r="NQI85" s="0"/>
      <c r="NQJ85" s="0"/>
      <c r="NQK85" s="0"/>
      <c r="NQL85" s="0"/>
      <c r="NQM85" s="0"/>
      <c r="NQN85" s="0"/>
      <c r="NQO85" s="0"/>
      <c r="NQP85" s="0"/>
      <c r="NQQ85" s="0"/>
      <c r="NQR85" s="0"/>
      <c r="NQS85" s="0"/>
      <c r="NQT85" s="0"/>
      <c r="NQU85" s="0"/>
      <c r="NQV85" s="0"/>
      <c r="NQW85" s="0"/>
      <c r="NQX85" s="0"/>
      <c r="NQY85" s="0"/>
      <c r="NQZ85" s="0"/>
      <c r="NRA85" s="0"/>
      <c r="NRB85" s="0"/>
      <c r="NRC85" s="0"/>
      <c r="NRD85" s="0"/>
      <c r="NRE85" s="0"/>
      <c r="NRF85" s="0"/>
      <c r="NRG85" s="0"/>
      <c r="NRH85" s="0"/>
      <c r="NRI85" s="0"/>
      <c r="NRJ85" s="0"/>
      <c r="NRK85" s="0"/>
      <c r="NRL85" s="0"/>
      <c r="NRM85" s="0"/>
      <c r="NRN85" s="0"/>
      <c r="NRO85" s="0"/>
      <c r="NRP85" s="0"/>
      <c r="NRQ85" s="0"/>
      <c r="NRR85" s="0"/>
      <c r="NRS85" s="0"/>
      <c r="NRT85" s="0"/>
      <c r="NRU85" s="0"/>
      <c r="NRV85" s="0"/>
      <c r="NRW85" s="0"/>
      <c r="NRX85" s="0"/>
      <c r="NRY85" s="0"/>
      <c r="NRZ85" s="0"/>
      <c r="NSA85" s="0"/>
      <c r="NSB85" s="0"/>
      <c r="NSC85" s="0"/>
      <c r="NSD85" s="0"/>
      <c r="NSE85" s="0"/>
      <c r="NSF85" s="0"/>
      <c r="NSG85" s="0"/>
      <c r="NSH85" s="0"/>
      <c r="NSI85" s="0"/>
      <c r="NSJ85" s="0"/>
      <c r="NSK85" s="0"/>
      <c r="NSL85" s="0"/>
      <c r="NSM85" s="0"/>
      <c r="NSN85" s="0"/>
      <c r="NSO85" s="0"/>
      <c r="NSP85" s="0"/>
      <c r="NSQ85" s="0"/>
      <c r="NSR85" s="0"/>
      <c r="NSS85" s="0"/>
      <c r="NST85" s="0"/>
      <c r="NSU85" s="0"/>
      <c r="NSV85" s="0"/>
      <c r="NSW85" s="0"/>
      <c r="NSX85" s="0"/>
      <c r="NSY85" s="0"/>
      <c r="NSZ85" s="0"/>
      <c r="NTA85" s="0"/>
      <c r="NTB85" s="0"/>
      <c r="NTC85" s="0"/>
      <c r="NTD85" s="0"/>
      <c r="NTE85" s="0"/>
      <c r="NTF85" s="0"/>
      <c r="NTG85" s="0"/>
      <c r="NTH85" s="0"/>
      <c r="NTI85" s="0"/>
      <c r="NTJ85" s="0"/>
      <c r="NTK85" s="0"/>
      <c r="NTL85" s="0"/>
      <c r="NTM85" s="0"/>
      <c r="NTN85" s="0"/>
      <c r="NTO85" s="0"/>
      <c r="NTP85" s="0"/>
      <c r="NTQ85" s="0"/>
      <c r="NTR85" s="0"/>
      <c r="NTS85" s="0"/>
      <c r="NTT85" s="0"/>
      <c r="NTU85" s="0"/>
      <c r="NTV85" s="0"/>
      <c r="NTW85" s="0"/>
      <c r="NTX85" s="0"/>
      <c r="NTY85" s="0"/>
      <c r="NTZ85" s="0"/>
      <c r="NUA85" s="0"/>
      <c r="NUB85" s="0"/>
      <c r="NUC85" s="0"/>
      <c r="NUD85" s="0"/>
      <c r="NUE85" s="0"/>
      <c r="NUF85" s="0"/>
      <c r="NUG85" s="0"/>
      <c r="NUH85" s="0"/>
      <c r="NUI85" s="0"/>
      <c r="NUJ85" s="0"/>
      <c r="NUK85" s="0"/>
      <c r="NUL85" s="0"/>
      <c r="NUM85" s="0"/>
      <c r="NUN85" s="0"/>
      <c r="NUO85" s="0"/>
      <c r="NUP85" s="0"/>
      <c r="NUQ85" s="0"/>
      <c r="NUR85" s="0"/>
      <c r="NUS85" s="0"/>
      <c r="NUT85" s="0"/>
      <c r="NUU85" s="0"/>
      <c r="NUV85" s="0"/>
      <c r="NUW85" s="0"/>
      <c r="NUX85" s="0"/>
      <c r="NUY85" s="0"/>
      <c r="NUZ85" s="0"/>
      <c r="NVA85" s="0"/>
      <c r="NVB85" s="0"/>
      <c r="NVC85" s="0"/>
      <c r="NVD85" s="0"/>
      <c r="NVE85" s="0"/>
      <c r="NVF85" s="0"/>
      <c r="NVG85" s="0"/>
      <c r="NVH85" s="0"/>
      <c r="NVI85" s="0"/>
      <c r="NVJ85" s="0"/>
      <c r="NVK85" s="0"/>
      <c r="NVL85" s="0"/>
      <c r="NVM85" s="0"/>
      <c r="NVN85" s="0"/>
      <c r="NVO85" s="0"/>
      <c r="NVP85" s="0"/>
      <c r="NVQ85" s="0"/>
      <c r="NVR85" s="0"/>
      <c r="NVS85" s="0"/>
      <c r="NVT85" s="0"/>
      <c r="NVU85" s="0"/>
      <c r="NVV85" s="0"/>
      <c r="NVW85" s="0"/>
      <c r="NVX85" s="0"/>
      <c r="NVY85" s="0"/>
      <c r="NVZ85" s="0"/>
      <c r="NWA85" s="0"/>
      <c r="NWB85" s="0"/>
      <c r="NWC85" s="0"/>
      <c r="NWD85" s="0"/>
      <c r="NWE85" s="0"/>
      <c r="NWF85" s="0"/>
      <c r="NWG85" s="0"/>
      <c r="NWH85" s="0"/>
      <c r="NWI85" s="0"/>
      <c r="NWJ85" s="0"/>
      <c r="NWK85" s="0"/>
      <c r="NWL85" s="0"/>
      <c r="NWM85" s="0"/>
      <c r="NWN85" s="0"/>
      <c r="NWO85" s="0"/>
      <c r="NWP85" s="0"/>
      <c r="NWQ85" s="0"/>
      <c r="NWR85" s="0"/>
      <c r="NWS85" s="0"/>
      <c r="NWT85" s="0"/>
      <c r="NWU85" s="0"/>
      <c r="NWV85" s="0"/>
      <c r="NWW85" s="0"/>
      <c r="NWX85" s="0"/>
      <c r="NWY85" s="0"/>
      <c r="NWZ85" s="0"/>
      <c r="NXA85" s="0"/>
      <c r="NXB85" s="0"/>
      <c r="NXC85" s="0"/>
      <c r="NXD85" s="0"/>
      <c r="NXE85" s="0"/>
      <c r="NXF85" s="0"/>
      <c r="NXG85" s="0"/>
      <c r="NXH85" s="0"/>
      <c r="NXI85" s="0"/>
      <c r="NXJ85" s="0"/>
      <c r="NXK85" s="0"/>
      <c r="NXL85" s="0"/>
      <c r="NXM85" s="0"/>
      <c r="NXN85" s="0"/>
      <c r="NXO85" s="0"/>
      <c r="NXP85" s="0"/>
      <c r="NXQ85" s="0"/>
      <c r="NXR85" s="0"/>
      <c r="NXS85" s="0"/>
      <c r="NXT85" s="0"/>
      <c r="NXU85" s="0"/>
      <c r="NXV85" s="0"/>
      <c r="NXW85" s="0"/>
      <c r="NXX85" s="0"/>
      <c r="NXY85" s="0"/>
      <c r="NXZ85" s="0"/>
      <c r="NYA85" s="0"/>
      <c r="NYB85" s="0"/>
      <c r="NYC85" s="0"/>
      <c r="NYD85" s="0"/>
      <c r="NYE85" s="0"/>
      <c r="NYF85" s="0"/>
      <c r="NYG85" s="0"/>
      <c r="NYH85" s="0"/>
      <c r="NYI85" s="0"/>
      <c r="NYJ85" s="0"/>
      <c r="NYK85" s="0"/>
      <c r="NYL85" s="0"/>
      <c r="NYM85" s="0"/>
      <c r="NYN85" s="0"/>
      <c r="NYO85" s="0"/>
      <c r="NYP85" s="0"/>
      <c r="NYQ85" s="0"/>
      <c r="NYR85" s="0"/>
      <c r="NYS85" s="0"/>
      <c r="NYT85" s="0"/>
      <c r="NYU85" s="0"/>
      <c r="NYV85" s="0"/>
      <c r="NYW85" s="0"/>
      <c r="NYX85" s="0"/>
      <c r="NYY85" s="0"/>
      <c r="NYZ85" s="0"/>
      <c r="NZA85" s="0"/>
      <c r="NZB85" s="0"/>
      <c r="NZC85" s="0"/>
      <c r="NZD85" s="0"/>
      <c r="NZE85" s="0"/>
      <c r="NZF85" s="0"/>
      <c r="NZG85" s="0"/>
      <c r="NZH85" s="0"/>
      <c r="NZI85" s="0"/>
      <c r="NZJ85" s="0"/>
      <c r="NZK85" s="0"/>
      <c r="NZL85" s="0"/>
      <c r="NZM85" s="0"/>
      <c r="NZN85" s="0"/>
      <c r="NZO85" s="0"/>
      <c r="NZP85" s="0"/>
      <c r="NZQ85" s="0"/>
      <c r="NZR85" s="0"/>
      <c r="NZS85" s="0"/>
      <c r="NZT85" s="0"/>
      <c r="NZU85" s="0"/>
      <c r="NZV85" s="0"/>
      <c r="NZW85" s="0"/>
      <c r="NZX85" s="0"/>
      <c r="NZY85" s="0"/>
      <c r="NZZ85" s="0"/>
      <c r="OAA85" s="0"/>
      <c r="OAB85" s="0"/>
      <c r="OAC85" s="0"/>
      <c r="OAD85" s="0"/>
      <c r="OAE85" s="0"/>
      <c r="OAF85" s="0"/>
      <c r="OAG85" s="0"/>
      <c r="OAH85" s="0"/>
      <c r="OAI85" s="0"/>
      <c r="OAJ85" s="0"/>
      <c r="OAK85" s="0"/>
      <c r="OAL85" s="0"/>
      <c r="OAM85" s="0"/>
      <c r="OAN85" s="0"/>
      <c r="OAO85" s="0"/>
      <c r="OAP85" s="0"/>
      <c r="OAQ85" s="0"/>
      <c r="OAR85" s="0"/>
      <c r="OAS85" s="0"/>
      <c r="OAT85" s="0"/>
      <c r="OAU85" s="0"/>
      <c r="OAV85" s="0"/>
      <c r="OAW85" s="0"/>
      <c r="OAX85" s="0"/>
      <c r="OAY85" s="0"/>
      <c r="OAZ85" s="0"/>
      <c r="OBA85" s="0"/>
      <c r="OBB85" s="0"/>
      <c r="OBC85" s="0"/>
      <c r="OBD85" s="0"/>
      <c r="OBE85" s="0"/>
      <c r="OBF85" s="0"/>
      <c r="OBG85" s="0"/>
      <c r="OBH85" s="0"/>
      <c r="OBI85" s="0"/>
      <c r="OBJ85" s="0"/>
      <c r="OBK85" s="0"/>
      <c r="OBL85" s="0"/>
      <c r="OBM85" s="0"/>
      <c r="OBN85" s="0"/>
      <c r="OBO85" s="0"/>
      <c r="OBP85" s="0"/>
      <c r="OBQ85" s="0"/>
      <c r="OBR85" s="0"/>
      <c r="OBS85" s="0"/>
      <c r="OBT85" s="0"/>
      <c r="OBU85" s="0"/>
      <c r="OBV85" s="0"/>
      <c r="OBW85" s="0"/>
      <c r="OBX85" s="0"/>
      <c r="OBY85" s="0"/>
      <c r="OBZ85" s="0"/>
      <c r="OCA85" s="0"/>
      <c r="OCB85" s="0"/>
      <c r="OCC85" s="0"/>
      <c r="OCD85" s="0"/>
      <c r="OCE85" s="0"/>
      <c r="OCF85" s="0"/>
      <c r="OCG85" s="0"/>
      <c r="OCH85" s="0"/>
      <c r="OCI85" s="0"/>
      <c r="OCJ85" s="0"/>
      <c r="OCK85" s="0"/>
      <c r="OCL85" s="0"/>
      <c r="OCM85" s="0"/>
      <c r="OCN85" s="0"/>
      <c r="OCO85" s="0"/>
      <c r="OCP85" s="0"/>
      <c r="OCQ85" s="0"/>
      <c r="OCR85" s="0"/>
      <c r="OCS85" s="0"/>
      <c r="OCT85" s="0"/>
      <c r="OCU85" s="0"/>
      <c r="OCV85" s="0"/>
      <c r="OCW85" s="0"/>
      <c r="OCX85" s="0"/>
      <c r="OCY85" s="0"/>
      <c r="OCZ85" s="0"/>
      <c r="ODA85" s="0"/>
      <c r="ODB85" s="0"/>
      <c r="ODC85" s="0"/>
      <c r="ODD85" s="0"/>
      <c r="ODE85" s="0"/>
      <c r="ODF85" s="0"/>
      <c r="ODG85" s="0"/>
      <c r="ODH85" s="0"/>
      <c r="ODI85" s="0"/>
      <c r="ODJ85" s="0"/>
      <c r="ODK85" s="0"/>
      <c r="ODL85" s="0"/>
      <c r="ODM85" s="0"/>
      <c r="ODN85" s="0"/>
      <c r="ODO85" s="0"/>
      <c r="ODP85" s="0"/>
      <c r="ODQ85" s="0"/>
      <c r="ODR85" s="0"/>
      <c r="ODS85" s="0"/>
      <c r="ODT85" s="0"/>
      <c r="ODU85" s="0"/>
      <c r="ODV85" s="0"/>
      <c r="ODW85" s="0"/>
      <c r="ODX85" s="0"/>
      <c r="ODY85" s="0"/>
      <c r="ODZ85" s="0"/>
      <c r="OEA85" s="0"/>
      <c r="OEB85" s="0"/>
      <c r="OEC85" s="0"/>
      <c r="OED85" s="0"/>
      <c r="OEE85" s="0"/>
      <c r="OEF85" s="0"/>
      <c r="OEG85" s="0"/>
      <c r="OEH85" s="0"/>
      <c r="OEI85" s="0"/>
      <c r="OEJ85" s="0"/>
      <c r="OEK85" s="0"/>
      <c r="OEL85" s="0"/>
      <c r="OEM85" s="0"/>
      <c r="OEN85" s="0"/>
      <c r="OEO85" s="0"/>
      <c r="OEP85" s="0"/>
      <c r="OEQ85" s="0"/>
      <c r="OER85" s="0"/>
      <c r="OES85" s="0"/>
      <c r="OET85" s="0"/>
      <c r="OEU85" s="0"/>
      <c r="OEV85" s="0"/>
      <c r="OEW85" s="0"/>
      <c r="OEX85" s="0"/>
      <c r="OEY85" s="0"/>
      <c r="OEZ85" s="0"/>
      <c r="OFA85" s="0"/>
      <c r="OFB85" s="0"/>
      <c r="OFC85" s="0"/>
      <c r="OFD85" s="0"/>
      <c r="OFE85" s="0"/>
      <c r="OFF85" s="0"/>
      <c r="OFG85" s="0"/>
      <c r="OFH85" s="0"/>
      <c r="OFI85" s="0"/>
      <c r="OFJ85" s="0"/>
      <c r="OFK85" s="0"/>
      <c r="OFL85" s="0"/>
      <c r="OFM85" s="0"/>
      <c r="OFN85" s="0"/>
      <c r="OFO85" s="0"/>
      <c r="OFP85" s="0"/>
      <c r="OFQ85" s="0"/>
      <c r="OFR85" s="0"/>
      <c r="OFS85" s="0"/>
      <c r="OFT85" s="0"/>
      <c r="OFU85" s="0"/>
      <c r="OFV85" s="0"/>
      <c r="OFW85" s="0"/>
      <c r="OFX85" s="0"/>
      <c r="OFY85" s="0"/>
      <c r="OFZ85" s="0"/>
      <c r="OGA85" s="0"/>
      <c r="OGB85" s="0"/>
      <c r="OGC85" s="0"/>
      <c r="OGD85" s="0"/>
      <c r="OGE85" s="0"/>
      <c r="OGF85" s="0"/>
      <c r="OGG85" s="0"/>
      <c r="OGH85" s="0"/>
      <c r="OGI85" s="0"/>
      <c r="OGJ85" s="0"/>
      <c r="OGK85" s="0"/>
      <c r="OGL85" s="0"/>
      <c r="OGM85" s="0"/>
      <c r="OGN85" s="0"/>
      <c r="OGO85" s="0"/>
      <c r="OGP85" s="0"/>
      <c r="OGQ85" s="0"/>
      <c r="OGR85" s="0"/>
      <c r="OGS85" s="0"/>
      <c r="OGT85" s="0"/>
      <c r="OGU85" s="0"/>
      <c r="OGV85" s="0"/>
      <c r="OGW85" s="0"/>
      <c r="OGX85" s="0"/>
      <c r="OGY85" s="0"/>
      <c r="OGZ85" s="0"/>
      <c r="OHA85" s="0"/>
      <c r="OHB85" s="0"/>
      <c r="OHC85" s="0"/>
      <c r="OHD85" s="0"/>
      <c r="OHE85" s="0"/>
      <c r="OHF85" s="0"/>
      <c r="OHG85" s="0"/>
      <c r="OHH85" s="0"/>
      <c r="OHI85" s="0"/>
      <c r="OHJ85" s="0"/>
      <c r="OHK85" s="0"/>
      <c r="OHL85" s="0"/>
      <c r="OHM85" s="0"/>
      <c r="OHN85" s="0"/>
      <c r="OHO85" s="0"/>
      <c r="OHP85" s="0"/>
      <c r="OHQ85" s="0"/>
      <c r="OHR85" s="0"/>
      <c r="OHS85" s="0"/>
      <c r="OHT85" s="0"/>
      <c r="OHU85" s="0"/>
      <c r="OHV85" s="0"/>
      <c r="OHW85" s="0"/>
      <c r="OHX85" s="0"/>
      <c r="OHY85" s="0"/>
      <c r="OHZ85" s="0"/>
      <c r="OIA85" s="0"/>
      <c r="OIB85" s="0"/>
      <c r="OIC85" s="0"/>
      <c r="OID85" s="0"/>
      <c r="OIE85" s="0"/>
      <c r="OIF85" s="0"/>
      <c r="OIG85" s="0"/>
      <c r="OIH85" s="0"/>
      <c r="OII85" s="0"/>
      <c r="OIJ85" s="0"/>
      <c r="OIK85" s="0"/>
      <c r="OIL85" s="0"/>
      <c r="OIM85" s="0"/>
      <c r="OIN85" s="0"/>
      <c r="OIO85" s="0"/>
      <c r="OIP85" s="0"/>
      <c r="OIQ85" s="0"/>
      <c r="OIR85" s="0"/>
      <c r="OIS85" s="0"/>
      <c r="OIT85" s="0"/>
      <c r="OIU85" s="0"/>
      <c r="OIV85" s="0"/>
      <c r="OIW85" s="0"/>
      <c r="OIX85" s="0"/>
      <c r="OIY85" s="0"/>
      <c r="OIZ85" s="0"/>
      <c r="OJA85" s="0"/>
      <c r="OJB85" s="0"/>
      <c r="OJC85" s="0"/>
      <c r="OJD85" s="0"/>
      <c r="OJE85" s="0"/>
      <c r="OJF85" s="0"/>
      <c r="OJG85" s="0"/>
      <c r="OJH85" s="0"/>
      <c r="OJI85" s="0"/>
      <c r="OJJ85" s="0"/>
      <c r="OJK85" s="0"/>
      <c r="OJL85" s="0"/>
      <c r="OJM85" s="0"/>
      <c r="OJN85" s="0"/>
      <c r="OJO85" s="0"/>
      <c r="OJP85" s="0"/>
      <c r="OJQ85" s="0"/>
      <c r="OJR85" s="0"/>
      <c r="OJS85" s="0"/>
      <c r="OJT85" s="0"/>
      <c r="OJU85" s="0"/>
      <c r="OJV85" s="0"/>
      <c r="OJW85" s="0"/>
      <c r="OJX85" s="0"/>
      <c r="OJY85" s="0"/>
      <c r="OJZ85" s="0"/>
      <c r="OKA85" s="0"/>
      <c r="OKB85" s="0"/>
      <c r="OKC85" s="0"/>
      <c r="OKD85" s="0"/>
      <c r="OKE85" s="0"/>
      <c r="OKF85" s="0"/>
      <c r="OKG85" s="0"/>
      <c r="OKH85" s="0"/>
      <c r="OKI85" s="0"/>
      <c r="OKJ85" s="0"/>
      <c r="OKK85" s="0"/>
      <c r="OKL85" s="0"/>
      <c r="OKM85" s="0"/>
      <c r="OKN85" s="0"/>
      <c r="OKO85" s="0"/>
      <c r="OKP85" s="0"/>
      <c r="OKQ85" s="0"/>
      <c r="OKR85" s="0"/>
      <c r="OKS85" s="0"/>
      <c r="OKT85" s="0"/>
      <c r="OKU85" s="0"/>
      <c r="OKV85" s="0"/>
      <c r="OKW85" s="0"/>
      <c r="OKX85" s="0"/>
      <c r="OKY85" s="0"/>
      <c r="OKZ85" s="0"/>
      <c r="OLA85" s="0"/>
      <c r="OLB85" s="0"/>
      <c r="OLC85" s="0"/>
      <c r="OLD85" s="0"/>
      <c r="OLE85" s="0"/>
      <c r="OLF85" s="0"/>
      <c r="OLG85" s="0"/>
      <c r="OLH85" s="0"/>
      <c r="OLI85" s="0"/>
      <c r="OLJ85" s="0"/>
      <c r="OLK85" s="0"/>
      <c r="OLL85" s="0"/>
      <c r="OLM85" s="0"/>
      <c r="OLN85" s="0"/>
      <c r="OLO85" s="0"/>
      <c r="OLP85" s="0"/>
      <c r="OLQ85" s="0"/>
      <c r="OLR85" s="0"/>
      <c r="OLS85" s="0"/>
      <c r="OLT85" s="0"/>
      <c r="OLU85" s="0"/>
      <c r="OLV85" s="0"/>
      <c r="OLW85" s="0"/>
      <c r="OLX85" s="0"/>
      <c r="OLY85" s="0"/>
      <c r="OLZ85" s="0"/>
      <c r="OMA85" s="0"/>
      <c r="OMB85" s="0"/>
      <c r="OMC85" s="0"/>
      <c r="OMD85" s="0"/>
      <c r="OME85" s="0"/>
      <c r="OMF85" s="0"/>
      <c r="OMG85" s="0"/>
      <c r="OMH85" s="0"/>
      <c r="OMI85" s="0"/>
      <c r="OMJ85" s="0"/>
      <c r="OMK85" s="0"/>
      <c r="OML85" s="0"/>
      <c r="OMM85" s="0"/>
      <c r="OMN85" s="0"/>
      <c r="OMO85" s="0"/>
      <c r="OMP85" s="0"/>
      <c r="OMQ85" s="0"/>
      <c r="OMR85" s="0"/>
      <c r="OMS85" s="0"/>
      <c r="OMT85" s="0"/>
      <c r="OMU85" s="0"/>
      <c r="OMV85" s="0"/>
      <c r="OMW85" s="0"/>
      <c r="OMX85" s="0"/>
      <c r="OMY85" s="0"/>
      <c r="OMZ85" s="0"/>
      <c r="ONA85" s="0"/>
      <c r="ONB85" s="0"/>
      <c r="ONC85" s="0"/>
      <c r="OND85" s="0"/>
      <c r="ONE85" s="0"/>
      <c r="ONF85" s="0"/>
      <c r="ONG85" s="0"/>
      <c r="ONH85" s="0"/>
      <c r="ONI85" s="0"/>
      <c r="ONJ85" s="0"/>
      <c r="ONK85" s="0"/>
      <c r="ONL85" s="0"/>
      <c r="ONM85" s="0"/>
      <c r="ONN85" s="0"/>
      <c r="ONO85" s="0"/>
      <c r="ONP85" s="0"/>
      <c r="ONQ85" s="0"/>
      <c r="ONR85" s="0"/>
      <c r="ONS85" s="0"/>
      <c r="ONT85" s="0"/>
      <c r="ONU85" s="0"/>
      <c r="ONV85" s="0"/>
      <c r="ONW85" s="0"/>
      <c r="ONX85" s="0"/>
      <c r="ONY85" s="0"/>
      <c r="ONZ85" s="0"/>
      <c r="OOA85" s="0"/>
      <c r="OOB85" s="0"/>
      <c r="OOC85" s="0"/>
      <c r="OOD85" s="0"/>
      <c r="OOE85" s="0"/>
      <c r="OOF85" s="0"/>
      <c r="OOG85" s="0"/>
      <c r="OOH85" s="0"/>
      <c r="OOI85" s="0"/>
      <c r="OOJ85" s="0"/>
      <c r="OOK85" s="0"/>
      <c r="OOL85" s="0"/>
      <c r="OOM85" s="0"/>
      <c r="OON85" s="0"/>
      <c r="OOO85" s="0"/>
      <c r="OOP85" s="0"/>
      <c r="OOQ85" s="0"/>
      <c r="OOR85" s="0"/>
      <c r="OOS85" s="0"/>
      <c r="OOT85" s="0"/>
      <c r="OOU85" s="0"/>
      <c r="OOV85" s="0"/>
      <c r="OOW85" s="0"/>
      <c r="OOX85" s="0"/>
      <c r="OOY85" s="0"/>
      <c r="OOZ85" s="0"/>
      <c r="OPA85" s="0"/>
      <c r="OPB85" s="0"/>
      <c r="OPC85" s="0"/>
      <c r="OPD85" s="0"/>
      <c r="OPE85" s="0"/>
      <c r="OPF85" s="0"/>
      <c r="OPG85" s="0"/>
      <c r="OPH85" s="0"/>
      <c r="OPI85" s="0"/>
      <c r="OPJ85" s="0"/>
      <c r="OPK85" s="0"/>
      <c r="OPL85" s="0"/>
      <c r="OPM85" s="0"/>
      <c r="OPN85" s="0"/>
      <c r="OPO85" s="0"/>
      <c r="OPP85" s="0"/>
      <c r="OPQ85" s="0"/>
      <c r="OPR85" s="0"/>
      <c r="OPS85" s="0"/>
      <c r="OPT85" s="0"/>
      <c r="OPU85" s="0"/>
      <c r="OPV85" s="0"/>
      <c r="OPW85" s="0"/>
      <c r="OPX85" s="0"/>
      <c r="OPY85" s="0"/>
      <c r="OPZ85" s="0"/>
      <c r="OQA85" s="0"/>
      <c r="OQB85" s="0"/>
      <c r="OQC85" s="0"/>
      <c r="OQD85" s="0"/>
      <c r="OQE85" s="0"/>
      <c r="OQF85" s="0"/>
      <c r="OQG85" s="0"/>
      <c r="OQH85" s="0"/>
      <c r="OQI85" s="0"/>
      <c r="OQJ85" s="0"/>
      <c r="OQK85" s="0"/>
      <c r="OQL85" s="0"/>
      <c r="OQM85" s="0"/>
      <c r="OQN85" s="0"/>
      <c r="OQO85" s="0"/>
      <c r="OQP85" s="0"/>
      <c r="OQQ85" s="0"/>
      <c r="OQR85" s="0"/>
      <c r="OQS85" s="0"/>
      <c r="OQT85" s="0"/>
      <c r="OQU85" s="0"/>
      <c r="OQV85" s="0"/>
      <c r="OQW85" s="0"/>
      <c r="OQX85" s="0"/>
      <c r="OQY85" s="0"/>
      <c r="OQZ85" s="0"/>
      <c r="ORA85" s="0"/>
      <c r="ORB85" s="0"/>
      <c r="ORC85" s="0"/>
      <c r="ORD85" s="0"/>
      <c r="ORE85" s="0"/>
      <c r="ORF85" s="0"/>
      <c r="ORG85" s="0"/>
      <c r="ORH85" s="0"/>
      <c r="ORI85" s="0"/>
      <c r="ORJ85" s="0"/>
      <c r="ORK85" s="0"/>
      <c r="ORL85" s="0"/>
      <c r="ORM85" s="0"/>
      <c r="ORN85" s="0"/>
      <c r="ORO85" s="0"/>
      <c r="ORP85" s="0"/>
      <c r="ORQ85" s="0"/>
      <c r="ORR85" s="0"/>
      <c r="ORS85" s="0"/>
      <c r="ORT85" s="0"/>
      <c r="ORU85" s="0"/>
      <c r="ORV85" s="0"/>
      <c r="ORW85" s="0"/>
      <c r="ORX85" s="0"/>
      <c r="ORY85" s="0"/>
      <c r="ORZ85" s="0"/>
      <c r="OSA85" s="0"/>
      <c r="OSB85" s="0"/>
      <c r="OSC85" s="0"/>
      <c r="OSD85" s="0"/>
      <c r="OSE85" s="0"/>
      <c r="OSF85" s="0"/>
      <c r="OSG85" s="0"/>
      <c r="OSH85" s="0"/>
      <c r="OSI85" s="0"/>
      <c r="OSJ85" s="0"/>
      <c r="OSK85" s="0"/>
      <c r="OSL85" s="0"/>
      <c r="OSM85" s="0"/>
      <c r="OSN85" s="0"/>
      <c r="OSO85" s="0"/>
      <c r="OSP85" s="0"/>
      <c r="OSQ85" s="0"/>
      <c r="OSR85" s="0"/>
      <c r="OSS85" s="0"/>
      <c r="OST85" s="0"/>
      <c r="OSU85" s="0"/>
      <c r="OSV85" s="0"/>
      <c r="OSW85" s="0"/>
      <c r="OSX85" s="0"/>
      <c r="OSY85" s="0"/>
      <c r="OSZ85" s="0"/>
      <c r="OTA85" s="0"/>
      <c r="OTB85" s="0"/>
      <c r="OTC85" s="0"/>
      <c r="OTD85" s="0"/>
      <c r="OTE85" s="0"/>
      <c r="OTF85" s="0"/>
      <c r="OTG85" s="0"/>
      <c r="OTH85" s="0"/>
      <c r="OTI85" s="0"/>
      <c r="OTJ85" s="0"/>
      <c r="OTK85" s="0"/>
      <c r="OTL85" s="0"/>
      <c r="OTM85" s="0"/>
      <c r="OTN85" s="0"/>
      <c r="OTO85" s="0"/>
      <c r="OTP85" s="0"/>
      <c r="OTQ85" s="0"/>
      <c r="OTR85" s="0"/>
      <c r="OTS85" s="0"/>
      <c r="OTT85" s="0"/>
      <c r="OTU85" s="0"/>
      <c r="OTV85" s="0"/>
      <c r="OTW85" s="0"/>
      <c r="OTX85" s="0"/>
      <c r="OTY85" s="0"/>
      <c r="OTZ85" s="0"/>
      <c r="OUA85" s="0"/>
      <c r="OUB85" s="0"/>
      <c r="OUC85" s="0"/>
      <c r="OUD85" s="0"/>
      <c r="OUE85" s="0"/>
      <c r="OUF85" s="0"/>
      <c r="OUG85" s="0"/>
      <c r="OUH85" s="0"/>
      <c r="OUI85" s="0"/>
      <c r="OUJ85" s="0"/>
      <c r="OUK85" s="0"/>
      <c r="OUL85" s="0"/>
      <c r="OUM85" s="0"/>
      <c r="OUN85" s="0"/>
      <c r="OUO85" s="0"/>
      <c r="OUP85" s="0"/>
      <c r="OUQ85" s="0"/>
      <c r="OUR85" s="0"/>
      <c r="OUS85" s="0"/>
      <c r="OUT85" s="0"/>
      <c r="OUU85" s="0"/>
      <c r="OUV85" s="0"/>
      <c r="OUW85" s="0"/>
      <c r="OUX85" s="0"/>
      <c r="OUY85" s="0"/>
      <c r="OUZ85" s="0"/>
      <c r="OVA85" s="0"/>
      <c r="OVB85" s="0"/>
      <c r="OVC85" s="0"/>
      <c r="OVD85" s="0"/>
      <c r="OVE85" s="0"/>
      <c r="OVF85" s="0"/>
      <c r="OVG85" s="0"/>
      <c r="OVH85" s="0"/>
      <c r="OVI85" s="0"/>
      <c r="OVJ85" s="0"/>
      <c r="OVK85" s="0"/>
      <c r="OVL85" s="0"/>
      <c r="OVM85" s="0"/>
      <c r="OVN85" s="0"/>
      <c r="OVO85" s="0"/>
      <c r="OVP85" s="0"/>
      <c r="OVQ85" s="0"/>
      <c r="OVR85" s="0"/>
      <c r="OVS85" s="0"/>
      <c r="OVT85" s="0"/>
      <c r="OVU85" s="0"/>
      <c r="OVV85" s="0"/>
      <c r="OVW85" s="0"/>
      <c r="OVX85" s="0"/>
      <c r="OVY85" s="0"/>
      <c r="OVZ85" s="0"/>
      <c r="OWA85" s="0"/>
      <c r="OWB85" s="0"/>
      <c r="OWC85" s="0"/>
      <c r="OWD85" s="0"/>
      <c r="OWE85" s="0"/>
      <c r="OWF85" s="0"/>
      <c r="OWG85" s="0"/>
      <c r="OWH85" s="0"/>
      <c r="OWI85" s="0"/>
      <c r="OWJ85" s="0"/>
      <c r="OWK85" s="0"/>
      <c r="OWL85" s="0"/>
      <c r="OWM85" s="0"/>
      <c r="OWN85" s="0"/>
      <c r="OWO85" s="0"/>
      <c r="OWP85" s="0"/>
      <c r="OWQ85" s="0"/>
      <c r="OWR85" s="0"/>
      <c r="OWS85" s="0"/>
      <c r="OWT85" s="0"/>
      <c r="OWU85" s="0"/>
      <c r="OWV85" s="0"/>
      <c r="OWW85" s="0"/>
      <c r="OWX85" s="0"/>
      <c r="OWY85" s="0"/>
      <c r="OWZ85" s="0"/>
      <c r="OXA85" s="0"/>
      <c r="OXB85" s="0"/>
      <c r="OXC85" s="0"/>
      <c r="OXD85" s="0"/>
      <c r="OXE85" s="0"/>
      <c r="OXF85" s="0"/>
      <c r="OXG85" s="0"/>
      <c r="OXH85" s="0"/>
      <c r="OXI85" s="0"/>
      <c r="OXJ85" s="0"/>
      <c r="OXK85" s="0"/>
      <c r="OXL85" s="0"/>
      <c r="OXM85" s="0"/>
      <c r="OXN85" s="0"/>
      <c r="OXO85" s="0"/>
      <c r="OXP85" s="0"/>
      <c r="OXQ85" s="0"/>
      <c r="OXR85" s="0"/>
      <c r="OXS85" s="0"/>
      <c r="OXT85" s="0"/>
      <c r="OXU85" s="0"/>
      <c r="OXV85" s="0"/>
      <c r="OXW85" s="0"/>
      <c r="OXX85" s="0"/>
      <c r="OXY85" s="0"/>
      <c r="OXZ85" s="0"/>
      <c r="OYA85" s="0"/>
      <c r="OYB85" s="0"/>
      <c r="OYC85" s="0"/>
      <c r="OYD85" s="0"/>
      <c r="OYE85" s="0"/>
      <c r="OYF85" s="0"/>
      <c r="OYG85" s="0"/>
      <c r="OYH85" s="0"/>
      <c r="OYI85" s="0"/>
      <c r="OYJ85" s="0"/>
      <c r="OYK85" s="0"/>
      <c r="OYL85" s="0"/>
      <c r="OYM85" s="0"/>
      <c r="OYN85" s="0"/>
      <c r="OYO85" s="0"/>
      <c r="OYP85" s="0"/>
      <c r="OYQ85" s="0"/>
      <c r="OYR85" s="0"/>
      <c r="OYS85" s="0"/>
      <c r="OYT85" s="0"/>
      <c r="OYU85" s="0"/>
      <c r="OYV85" s="0"/>
      <c r="OYW85" s="0"/>
      <c r="OYX85" s="0"/>
      <c r="OYY85" s="0"/>
      <c r="OYZ85" s="0"/>
      <c r="OZA85" s="0"/>
      <c r="OZB85" s="0"/>
      <c r="OZC85" s="0"/>
      <c r="OZD85" s="0"/>
      <c r="OZE85" s="0"/>
      <c r="OZF85" s="0"/>
      <c r="OZG85" s="0"/>
      <c r="OZH85" s="0"/>
      <c r="OZI85" s="0"/>
      <c r="OZJ85" s="0"/>
      <c r="OZK85" s="0"/>
      <c r="OZL85" s="0"/>
      <c r="OZM85" s="0"/>
      <c r="OZN85" s="0"/>
      <c r="OZO85" s="0"/>
      <c r="OZP85" s="0"/>
      <c r="OZQ85" s="0"/>
      <c r="OZR85" s="0"/>
      <c r="OZS85" s="0"/>
      <c r="OZT85" s="0"/>
      <c r="OZU85" s="0"/>
      <c r="OZV85" s="0"/>
      <c r="OZW85" s="0"/>
      <c r="OZX85" s="0"/>
      <c r="OZY85" s="0"/>
      <c r="OZZ85" s="0"/>
      <c r="PAA85" s="0"/>
      <c r="PAB85" s="0"/>
      <c r="PAC85" s="0"/>
      <c r="PAD85" s="0"/>
      <c r="PAE85" s="0"/>
      <c r="PAF85" s="0"/>
      <c r="PAG85" s="0"/>
      <c r="PAH85" s="0"/>
      <c r="PAI85" s="0"/>
      <c r="PAJ85" s="0"/>
      <c r="PAK85" s="0"/>
      <c r="PAL85" s="0"/>
      <c r="PAM85" s="0"/>
      <c r="PAN85" s="0"/>
      <c r="PAO85" s="0"/>
      <c r="PAP85" s="0"/>
      <c r="PAQ85" s="0"/>
      <c r="PAR85" s="0"/>
      <c r="PAS85" s="0"/>
      <c r="PAT85" s="0"/>
      <c r="PAU85" s="0"/>
      <c r="PAV85" s="0"/>
      <c r="PAW85" s="0"/>
      <c r="PAX85" s="0"/>
      <c r="PAY85" s="0"/>
      <c r="PAZ85" s="0"/>
      <c r="PBA85" s="0"/>
      <c r="PBB85" s="0"/>
      <c r="PBC85" s="0"/>
      <c r="PBD85" s="0"/>
      <c r="PBE85" s="0"/>
      <c r="PBF85" s="0"/>
      <c r="PBG85" s="0"/>
      <c r="PBH85" s="0"/>
      <c r="PBI85" s="0"/>
      <c r="PBJ85" s="0"/>
      <c r="PBK85" s="0"/>
      <c r="PBL85" s="0"/>
      <c r="PBM85" s="0"/>
      <c r="PBN85" s="0"/>
      <c r="PBO85" s="0"/>
      <c r="PBP85" s="0"/>
      <c r="PBQ85" s="0"/>
      <c r="PBR85" s="0"/>
      <c r="PBS85" s="0"/>
      <c r="PBT85" s="0"/>
      <c r="PBU85" s="0"/>
      <c r="PBV85" s="0"/>
      <c r="PBW85" s="0"/>
      <c r="PBX85" s="0"/>
      <c r="PBY85" s="0"/>
      <c r="PBZ85" s="0"/>
      <c r="PCA85" s="0"/>
      <c r="PCB85" s="0"/>
      <c r="PCC85" s="0"/>
      <c r="PCD85" s="0"/>
      <c r="PCE85" s="0"/>
      <c r="PCF85" s="0"/>
      <c r="PCG85" s="0"/>
      <c r="PCH85" s="0"/>
      <c r="PCI85" s="0"/>
      <c r="PCJ85" s="0"/>
      <c r="PCK85" s="0"/>
      <c r="PCL85" s="0"/>
      <c r="PCM85" s="0"/>
      <c r="PCN85" s="0"/>
      <c r="PCO85" s="0"/>
      <c r="PCP85" s="0"/>
      <c r="PCQ85" s="0"/>
      <c r="PCR85" s="0"/>
      <c r="PCS85" s="0"/>
      <c r="PCT85" s="0"/>
      <c r="PCU85" s="0"/>
      <c r="PCV85" s="0"/>
      <c r="PCW85" s="0"/>
      <c r="PCX85" s="0"/>
      <c r="PCY85" s="0"/>
      <c r="PCZ85" s="0"/>
      <c r="PDA85" s="0"/>
      <c r="PDB85" s="0"/>
      <c r="PDC85" s="0"/>
      <c r="PDD85" s="0"/>
      <c r="PDE85" s="0"/>
      <c r="PDF85" s="0"/>
      <c r="PDG85" s="0"/>
      <c r="PDH85" s="0"/>
      <c r="PDI85" s="0"/>
      <c r="PDJ85" s="0"/>
      <c r="PDK85" s="0"/>
      <c r="PDL85" s="0"/>
      <c r="PDM85" s="0"/>
      <c r="PDN85" s="0"/>
      <c r="PDO85" s="0"/>
      <c r="PDP85" s="0"/>
      <c r="PDQ85" s="0"/>
      <c r="PDR85" s="0"/>
      <c r="PDS85" s="0"/>
      <c r="PDT85" s="0"/>
      <c r="PDU85" s="0"/>
      <c r="PDV85" s="0"/>
      <c r="PDW85" s="0"/>
      <c r="PDX85" s="0"/>
      <c r="PDY85" s="0"/>
      <c r="PDZ85" s="0"/>
      <c r="PEA85" s="0"/>
      <c r="PEB85" s="0"/>
      <c r="PEC85" s="0"/>
      <c r="PED85" s="0"/>
      <c r="PEE85" s="0"/>
      <c r="PEF85" s="0"/>
      <c r="PEG85" s="0"/>
      <c r="PEH85" s="0"/>
      <c r="PEI85" s="0"/>
      <c r="PEJ85" s="0"/>
      <c r="PEK85" s="0"/>
      <c r="PEL85" s="0"/>
      <c r="PEM85" s="0"/>
      <c r="PEN85" s="0"/>
      <c r="PEO85" s="0"/>
      <c r="PEP85" s="0"/>
      <c r="PEQ85" s="0"/>
      <c r="PER85" s="0"/>
      <c r="PES85" s="0"/>
      <c r="PET85" s="0"/>
      <c r="PEU85" s="0"/>
      <c r="PEV85" s="0"/>
      <c r="PEW85" s="0"/>
      <c r="PEX85" s="0"/>
      <c r="PEY85" s="0"/>
      <c r="PEZ85" s="0"/>
      <c r="PFA85" s="0"/>
      <c r="PFB85" s="0"/>
      <c r="PFC85" s="0"/>
      <c r="PFD85" s="0"/>
      <c r="PFE85" s="0"/>
      <c r="PFF85" s="0"/>
      <c r="PFG85" s="0"/>
      <c r="PFH85" s="0"/>
      <c r="PFI85" s="0"/>
      <c r="PFJ85" s="0"/>
      <c r="PFK85" s="0"/>
      <c r="PFL85" s="0"/>
      <c r="PFM85" s="0"/>
      <c r="PFN85" s="0"/>
      <c r="PFO85" s="0"/>
      <c r="PFP85" s="0"/>
      <c r="PFQ85" s="0"/>
      <c r="PFR85" s="0"/>
      <c r="PFS85" s="0"/>
      <c r="PFT85" s="0"/>
      <c r="PFU85" s="0"/>
      <c r="PFV85" s="0"/>
      <c r="PFW85" s="0"/>
      <c r="PFX85" s="0"/>
      <c r="PFY85" s="0"/>
      <c r="PFZ85" s="0"/>
      <c r="PGA85" s="0"/>
      <c r="PGB85" s="0"/>
      <c r="PGC85" s="0"/>
      <c r="PGD85" s="0"/>
      <c r="PGE85" s="0"/>
      <c r="PGF85" s="0"/>
      <c r="PGG85" s="0"/>
      <c r="PGH85" s="0"/>
      <c r="PGI85" s="0"/>
      <c r="PGJ85" s="0"/>
      <c r="PGK85" s="0"/>
      <c r="PGL85" s="0"/>
      <c r="PGM85" s="0"/>
      <c r="PGN85" s="0"/>
      <c r="PGO85" s="0"/>
      <c r="PGP85" s="0"/>
      <c r="PGQ85" s="0"/>
      <c r="PGR85" s="0"/>
      <c r="PGS85" s="0"/>
      <c r="PGT85" s="0"/>
      <c r="PGU85" s="0"/>
      <c r="PGV85" s="0"/>
      <c r="PGW85" s="0"/>
      <c r="PGX85" s="0"/>
      <c r="PGY85" s="0"/>
      <c r="PGZ85" s="0"/>
      <c r="PHA85" s="0"/>
      <c r="PHB85" s="0"/>
      <c r="PHC85" s="0"/>
      <c r="PHD85" s="0"/>
      <c r="PHE85" s="0"/>
      <c r="PHF85" s="0"/>
      <c r="PHG85" s="0"/>
      <c r="PHH85" s="0"/>
      <c r="PHI85" s="0"/>
      <c r="PHJ85" s="0"/>
      <c r="PHK85" s="0"/>
      <c r="PHL85" s="0"/>
      <c r="PHM85" s="0"/>
      <c r="PHN85" s="0"/>
      <c r="PHO85" s="0"/>
      <c r="PHP85" s="0"/>
      <c r="PHQ85" s="0"/>
      <c r="PHR85" s="0"/>
      <c r="PHS85" s="0"/>
      <c r="PHT85" s="0"/>
      <c r="PHU85" s="0"/>
      <c r="PHV85" s="0"/>
      <c r="PHW85" s="0"/>
      <c r="PHX85" s="0"/>
      <c r="PHY85" s="0"/>
      <c r="PHZ85" s="0"/>
      <c r="PIA85" s="0"/>
      <c r="PIB85" s="0"/>
      <c r="PIC85" s="0"/>
      <c r="PID85" s="0"/>
      <c r="PIE85" s="0"/>
      <c r="PIF85" s="0"/>
      <c r="PIG85" s="0"/>
      <c r="PIH85" s="0"/>
      <c r="PII85" s="0"/>
      <c r="PIJ85" s="0"/>
      <c r="PIK85" s="0"/>
      <c r="PIL85" s="0"/>
      <c r="PIM85" s="0"/>
      <c r="PIN85" s="0"/>
      <c r="PIO85" s="0"/>
      <c r="PIP85" s="0"/>
      <c r="PIQ85" s="0"/>
      <c r="PIR85" s="0"/>
      <c r="PIS85" s="0"/>
      <c r="PIT85" s="0"/>
      <c r="PIU85" s="0"/>
      <c r="PIV85" s="0"/>
      <c r="PIW85" s="0"/>
      <c r="PIX85" s="0"/>
      <c r="PIY85" s="0"/>
      <c r="PIZ85" s="0"/>
      <c r="PJA85" s="0"/>
      <c r="PJB85" s="0"/>
      <c r="PJC85" s="0"/>
      <c r="PJD85" s="0"/>
      <c r="PJE85" s="0"/>
      <c r="PJF85" s="0"/>
      <c r="PJG85" s="0"/>
      <c r="PJH85" s="0"/>
      <c r="PJI85" s="0"/>
      <c r="PJJ85" s="0"/>
      <c r="PJK85" s="0"/>
      <c r="PJL85" s="0"/>
      <c r="PJM85" s="0"/>
      <c r="PJN85" s="0"/>
      <c r="PJO85" s="0"/>
      <c r="PJP85" s="0"/>
      <c r="PJQ85" s="0"/>
      <c r="PJR85" s="0"/>
      <c r="PJS85" s="0"/>
      <c r="PJT85" s="0"/>
      <c r="PJU85" s="0"/>
      <c r="PJV85" s="0"/>
      <c r="PJW85" s="0"/>
      <c r="PJX85" s="0"/>
      <c r="PJY85" s="0"/>
      <c r="PJZ85" s="0"/>
      <c r="PKA85" s="0"/>
      <c r="PKB85" s="0"/>
      <c r="PKC85" s="0"/>
      <c r="PKD85" s="0"/>
      <c r="PKE85" s="0"/>
      <c r="PKF85" s="0"/>
      <c r="PKG85" s="0"/>
      <c r="PKH85" s="0"/>
      <c r="PKI85" s="0"/>
      <c r="PKJ85" s="0"/>
      <c r="PKK85" s="0"/>
      <c r="PKL85" s="0"/>
      <c r="PKM85" s="0"/>
      <c r="PKN85" s="0"/>
      <c r="PKO85" s="0"/>
      <c r="PKP85" s="0"/>
      <c r="PKQ85" s="0"/>
      <c r="PKR85" s="0"/>
      <c r="PKS85" s="0"/>
      <c r="PKT85" s="0"/>
      <c r="PKU85" s="0"/>
      <c r="PKV85" s="0"/>
      <c r="PKW85" s="0"/>
      <c r="PKX85" s="0"/>
      <c r="PKY85" s="0"/>
      <c r="PKZ85" s="0"/>
      <c r="PLA85" s="0"/>
      <c r="PLB85" s="0"/>
      <c r="PLC85" s="0"/>
      <c r="PLD85" s="0"/>
      <c r="PLE85" s="0"/>
      <c r="PLF85" s="0"/>
      <c r="PLG85" s="0"/>
      <c r="PLH85" s="0"/>
      <c r="PLI85" s="0"/>
      <c r="PLJ85" s="0"/>
      <c r="PLK85" s="0"/>
      <c r="PLL85" s="0"/>
      <c r="PLM85" s="0"/>
      <c r="PLN85" s="0"/>
      <c r="PLO85" s="0"/>
      <c r="PLP85" s="0"/>
      <c r="PLQ85" s="0"/>
      <c r="PLR85" s="0"/>
      <c r="PLS85" s="0"/>
      <c r="PLT85" s="0"/>
      <c r="PLU85" s="0"/>
      <c r="PLV85" s="0"/>
      <c r="PLW85" s="0"/>
      <c r="PLX85" s="0"/>
      <c r="PLY85" s="0"/>
      <c r="PLZ85" s="0"/>
      <c r="PMA85" s="0"/>
      <c r="PMB85" s="0"/>
      <c r="PMC85" s="0"/>
      <c r="PMD85" s="0"/>
      <c r="PME85" s="0"/>
      <c r="PMF85" s="0"/>
      <c r="PMG85" s="0"/>
      <c r="PMH85" s="0"/>
      <c r="PMI85" s="0"/>
      <c r="PMJ85" s="0"/>
      <c r="PMK85" s="0"/>
      <c r="PML85" s="0"/>
      <c r="PMM85" s="0"/>
      <c r="PMN85" s="0"/>
      <c r="PMO85" s="0"/>
      <c r="PMP85" s="0"/>
      <c r="PMQ85" s="0"/>
      <c r="PMR85" s="0"/>
      <c r="PMS85" s="0"/>
      <c r="PMT85" s="0"/>
      <c r="PMU85" s="0"/>
      <c r="PMV85" s="0"/>
      <c r="PMW85" s="0"/>
      <c r="PMX85" s="0"/>
      <c r="PMY85" s="0"/>
      <c r="PMZ85" s="0"/>
      <c r="PNA85" s="0"/>
      <c r="PNB85" s="0"/>
      <c r="PNC85" s="0"/>
      <c r="PND85" s="0"/>
      <c r="PNE85" s="0"/>
      <c r="PNF85" s="0"/>
      <c r="PNG85" s="0"/>
      <c r="PNH85" s="0"/>
      <c r="PNI85" s="0"/>
      <c r="PNJ85" s="0"/>
      <c r="PNK85" s="0"/>
      <c r="PNL85" s="0"/>
      <c r="PNM85" s="0"/>
      <c r="PNN85" s="0"/>
      <c r="PNO85" s="0"/>
      <c r="PNP85" s="0"/>
      <c r="PNQ85" s="0"/>
      <c r="PNR85" s="0"/>
      <c r="PNS85" s="0"/>
      <c r="PNT85" s="0"/>
      <c r="PNU85" s="0"/>
      <c r="PNV85" s="0"/>
      <c r="PNW85" s="0"/>
      <c r="PNX85" s="0"/>
      <c r="PNY85" s="0"/>
      <c r="PNZ85" s="0"/>
      <c r="POA85" s="0"/>
      <c r="POB85" s="0"/>
      <c r="POC85" s="0"/>
      <c r="POD85" s="0"/>
      <c r="POE85" s="0"/>
      <c r="POF85" s="0"/>
      <c r="POG85" s="0"/>
      <c r="POH85" s="0"/>
      <c r="POI85" s="0"/>
      <c r="POJ85" s="0"/>
      <c r="POK85" s="0"/>
      <c r="POL85" s="0"/>
      <c r="POM85" s="0"/>
      <c r="PON85" s="0"/>
      <c r="POO85" s="0"/>
      <c r="POP85" s="0"/>
      <c r="POQ85" s="0"/>
      <c r="POR85" s="0"/>
      <c r="POS85" s="0"/>
      <c r="POT85" s="0"/>
      <c r="POU85" s="0"/>
      <c r="POV85" s="0"/>
      <c r="POW85" s="0"/>
      <c r="POX85" s="0"/>
      <c r="POY85" s="0"/>
      <c r="POZ85" s="0"/>
      <c r="PPA85" s="0"/>
      <c r="PPB85" s="0"/>
      <c r="PPC85" s="0"/>
      <c r="PPD85" s="0"/>
      <c r="PPE85" s="0"/>
      <c r="PPF85" s="0"/>
      <c r="PPG85" s="0"/>
      <c r="PPH85" s="0"/>
      <c r="PPI85" s="0"/>
      <c r="PPJ85" s="0"/>
      <c r="PPK85" s="0"/>
      <c r="PPL85" s="0"/>
      <c r="PPM85" s="0"/>
      <c r="PPN85" s="0"/>
      <c r="PPO85" s="0"/>
      <c r="PPP85" s="0"/>
      <c r="PPQ85" s="0"/>
      <c r="PPR85" s="0"/>
      <c r="PPS85" s="0"/>
      <c r="PPT85" s="0"/>
      <c r="PPU85" s="0"/>
      <c r="PPV85" s="0"/>
      <c r="PPW85" s="0"/>
      <c r="PPX85" s="0"/>
      <c r="PPY85" s="0"/>
      <c r="PPZ85" s="0"/>
      <c r="PQA85" s="0"/>
      <c r="PQB85" s="0"/>
      <c r="PQC85" s="0"/>
      <c r="PQD85" s="0"/>
      <c r="PQE85" s="0"/>
      <c r="PQF85" s="0"/>
      <c r="PQG85" s="0"/>
      <c r="PQH85" s="0"/>
      <c r="PQI85" s="0"/>
      <c r="PQJ85" s="0"/>
      <c r="PQK85" s="0"/>
      <c r="PQL85" s="0"/>
      <c r="PQM85" s="0"/>
      <c r="PQN85" s="0"/>
      <c r="PQO85" s="0"/>
      <c r="PQP85" s="0"/>
      <c r="PQQ85" s="0"/>
      <c r="PQR85" s="0"/>
      <c r="PQS85" s="0"/>
      <c r="PQT85" s="0"/>
      <c r="PQU85" s="0"/>
      <c r="PQV85" s="0"/>
      <c r="PQW85" s="0"/>
      <c r="PQX85" s="0"/>
      <c r="PQY85" s="0"/>
      <c r="PQZ85" s="0"/>
      <c r="PRA85" s="0"/>
      <c r="PRB85" s="0"/>
      <c r="PRC85" s="0"/>
      <c r="PRD85" s="0"/>
      <c r="PRE85" s="0"/>
      <c r="PRF85" s="0"/>
      <c r="PRG85" s="0"/>
      <c r="PRH85" s="0"/>
      <c r="PRI85" s="0"/>
      <c r="PRJ85" s="0"/>
      <c r="PRK85" s="0"/>
      <c r="PRL85" s="0"/>
      <c r="PRM85" s="0"/>
      <c r="PRN85" s="0"/>
      <c r="PRO85" s="0"/>
      <c r="PRP85" s="0"/>
      <c r="PRQ85" s="0"/>
      <c r="PRR85" s="0"/>
      <c r="PRS85" s="0"/>
      <c r="PRT85" s="0"/>
      <c r="PRU85" s="0"/>
      <c r="PRV85" s="0"/>
      <c r="PRW85" s="0"/>
      <c r="PRX85" s="0"/>
      <c r="PRY85" s="0"/>
      <c r="PRZ85" s="0"/>
      <c r="PSA85" s="0"/>
      <c r="PSB85" s="0"/>
      <c r="PSC85" s="0"/>
      <c r="PSD85" s="0"/>
      <c r="PSE85" s="0"/>
      <c r="PSF85" s="0"/>
      <c r="PSG85" s="0"/>
      <c r="PSH85" s="0"/>
      <c r="PSI85" s="0"/>
      <c r="PSJ85" s="0"/>
      <c r="PSK85" s="0"/>
      <c r="PSL85" s="0"/>
      <c r="PSM85" s="0"/>
      <c r="PSN85" s="0"/>
      <c r="PSO85" s="0"/>
      <c r="PSP85" s="0"/>
      <c r="PSQ85" s="0"/>
      <c r="PSR85" s="0"/>
      <c r="PSS85" s="0"/>
      <c r="PST85" s="0"/>
      <c r="PSU85" s="0"/>
      <c r="PSV85" s="0"/>
      <c r="PSW85" s="0"/>
      <c r="PSX85" s="0"/>
      <c r="PSY85" s="0"/>
      <c r="PSZ85" s="0"/>
      <c r="PTA85" s="0"/>
      <c r="PTB85" s="0"/>
      <c r="PTC85" s="0"/>
      <c r="PTD85" s="0"/>
      <c r="PTE85" s="0"/>
      <c r="PTF85" s="0"/>
      <c r="PTG85" s="0"/>
      <c r="PTH85" s="0"/>
      <c r="PTI85" s="0"/>
      <c r="PTJ85" s="0"/>
      <c r="PTK85" s="0"/>
      <c r="PTL85" s="0"/>
      <c r="PTM85" s="0"/>
      <c r="PTN85" s="0"/>
      <c r="PTO85" s="0"/>
      <c r="PTP85" s="0"/>
      <c r="PTQ85" s="0"/>
      <c r="PTR85" s="0"/>
      <c r="PTS85" s="0"/>
      <c r="PTT85" s="0"/>
      <c r="PTU85" s="0"/>
      <c r="PTV85" s="0"/>
      <c r="PTW85" s="0"/>
      <c r="PTX85" s="0"/>
      <c r="PTY85" s="0"/>
      <c r="PTZ85" s="0"/>
      <c r="PUA85" s="0"/>
      <c r="PUB85" s="0"/>
      <c r="PUC85" s="0"/>
      <c r="PUD85" s="0"/>
      <c r="PUE85" s="0"/>
      <c r="PUF85" s="0"/>
      <c r="PUG85" s="0"/>
      <c r="PUH85" s="0"/>
      <c r="PUI85" s="0"/>
      <c r="PUJ85" s="0"/>
      <c r="PUK85" s="0"/>
      <c r="PUL85" s="0"/>
      <c r="PUM85" s="0"/>
      <c r="PUN85" s="0"/>
      <c r="PUO85" s="0"/>
      <c r="PUP85" s="0"/>
      <c r="PUQ85" s="0"/>
      <c r="PUR85" s="0"/>
      <c r="PUS85" s="0"/>
      <c r="PUT85" s="0"/>
      <c r="PUU85" s="0"/>
      <c r="PUV85" s="0"/>
      <c r="PUW85" s="0"/>
      <c r="PUX85" s="0"/>
      <c r="PUY85" s="0"/>
      <c r="PUZ85" s="0"/>
      <c r="PVA85" s="0"/>
      <c r="PVB85" s="0"/>
      <c r="PVC85" s="0"/>
      <c r="PVD85" s="0"/>
      <c r="PVE85" s="0"/>
      <c r="PVF85" s="0"/>
      <c r="PVG85" s="0"/>
      <c r="PVH85" s="0"/>
      <c r="PVI85" s="0"/>
      <c r="PVJ85" s="0"/>
      <c r="PVK85" s="0"/>
      <c r="PVL85" s="0"/>
      <c r="PVM85" s="0"/>
      <c r="PVN85" s="0"/>
      <c r="PVO85" s="0"/>
      <c r="PVP85" s="0"/>
      <c r="PVQ85" s="0"/>
      <c r="PVR85" s="0"/>
      <c r="PVS85" s="0"/>
      <c r="PVT85" s="0"/>
      <c r="PVU85" s="0"/>
      <c r="PVV85" s="0"/>
      <c r="PVW85" s="0"/>
      <c r="PVX85" s="0"/>
      <c r="PVY85" s="0"/>
      <c r="PVZ85" s="0"/>
      <c r="PWA85" s="0"/>
      <c r="PWB85" s="0"/>
      <c r="PWC85" s="0"/>
      <c r="PWD85" s="0"/>
      <c r="PWE85" s="0"/>
      <c r="PWF85" s="0"/>
      <c r="PWG85" s="0"/>
      <c r="PWH85" s="0"/>
      <c r="PWI85" s="0"/>
      <c r="PWJ85" s="0"/>
      <c r="PWK85" s="0"/>
      <c r="PWL85" s="0"/>
      <c r="PWM85" s="0"/>
      <c r="PWN85" s="0"/>
      <c r="PWO85" s="0"/>
      <c r="PWP85" s="0"/>
      <c r="PWQ85" s="0"/>
      <c r="PWR85" s="0"/>
      <c r="PWS85" s="0"/>
      <c r="PWT85" s="0"/>
      <c r="PWU85" s="0"/>
      <c r="PWV85" s="0"/>
      <c r="PWW85" s="0"/>
      <c r="PWX85" s="0"/>
      <c r="PWY85" s="0"/>
      <c r="PWZ85" s="0"/>
      <c r="PXA85" s="0"/>
      <c r="PXB85" s="0"/>
      <c r="PXC85" s="0"/>
      <c r="PXD85" s="0"/>
      <c r="PXE85" s="0"/>
      <c r="PXF85" s="0"/>
      <c r="PXG85" s="0"/>
      <c r="PXH85" s="0"/>
      <c r="PXI85" s="0"/>
      <c r="PXJ85" s="0"/>
      <c r="PXK85" s="0"/>
      <c r="PXL85" s="0"/>
      <c r="PXM85" s="0"/>
      <c r="PXN85" s="0"/>
      <c r="PXO85" s="0"/>
      <c r="PXP85" s="0"/>
      <c r="PXQ85" s="0"/>
      <c r="PXR85" s="0"/>
      <c r="PXS85" s="0"/>
      <c r="PXT85" s="0"/>
      <c r="PXU85" s="0"/>
      <c r="PXV85" s="0"/>
      <c r="PXW85" s="0"/>
      <c r="PXX85" s="0"/>
      <c r="PXY85" s="0"/>
      <c r="PXZ85" s="0"/>
      <c r="PYA85" s="0"/>
      <c r="PYB85" s="0"/>
      <c r="PYC85" s="0"/>
      <c r="PYD85" s="0"/>
      <c r="PYE85" s="0"/>
      <c r="PYF85" s="0"/>
      <c r="PYG85" s="0"/>
      <c r="PYH85" s="0"/>
      <c r="PYI85" s="0"/>
      <c r="PYJ85" s="0"/>
      <c r="PYK85" s="0"/>
      <c r="PYL85" s="0"/>
      <c r="PYM85" s="0"/>
      <c r="PYN85" s="0"/>
      <c r="PYO85" s="0"/>
      <c r="PYP85" s="0"/>
      <c r="PYQ85" s="0"/>
      <c r="PYR85" s="0"/>
      <c r="PYS85" s="0"/>
      <c r="PYT85" s="0"/>
      <c r="PYU85" s="0"/>
      <c r="PYV85" s="0"/>
      <c r="PYW85" s="0"/>
      <c r="PYX85" s="0"/>
      <c r="PYY85" s="0"/>
      <c r="PYZ85" s="0"/>
      <c r="PZA85" s="0"/>
      <c r="PZB85" s="0"/>
      <c r="PZC85" s="0"/>
      <c r="PZD85" s="0"/>
      <c r="PZE85" s="0"/>
      <c r="PZF85" s="0"/>
      <c r="PZG85" s="0"/>
      <c r="PZH85" s="0"/>
      <c r="PZI85" s="0"/>
      <c r="PZJ85" s="0"/>
      <c r="PZK85" s="0"/>
      <c r="PZL85" s="0"/>
      <c r="PZM85" s="0"/>
      <c r="PZN85" s="0"/>
      <c r="PZO85" s="0"/>
      <c r="PZP85" s="0"/>
      <c r="PZQ85" s="0"/>
      <c r="PZR85" s="0"/>
      <c r="PZS85" s="0"/>
      <c r="PZT85" s="0"/>
      <c r="PZU85" s="0"/>
      <c r="PZV85" s="0"/>
      <c r="PZW85" s="0"/>
      <c r="PZX85" s="0"/>
      <c r="PZY85" s="0"/>
      <c r="PZZ85" s="0"/>
      <c r="QAA85" s="0"/>
      <c r="QAB85" s="0"/>
      <c r="QAC85" s="0"/>
      <c r="QAD85" s="0"/>
      <c r="QAE85" s="0"/>
      <c r="QAF85" s="0"/>
      <c r="QAG85" s="0"/>
      <c r="QAH85" s="0"/>
      <c r="QAI85" s="0"/>
      <c r="QAJ85" s="0"/>
      <c r="QAK85" s="0"/>
      <c r="QAL85" s="0"/>
      <c r="QAM85" s="0"/>
      <c r="QAN85" s="0"/>
      <c r="QAO85" s="0"/>
      <c r="QAP85" s="0"/>
      <c r="QAQ85" s="0"/>
      <c r="QAR85" s="0"/>
      <c r="QAS85" s="0"/>
      <c r="QAT85" s="0"/>
      <c r="QAU85" s="0"/>
      <c r="QAV85" s="0"/>
      <c r="QAW85" s="0"/>
      <c r="QAX85" s="0"/>
      <c r="QAY85" s="0"/>
      <c r="QAZ85" s="0"/>
      <c r="QBA85" s="0"/>
      <c r="QBB85" s="0"/>
      <c r="QBC85" s="0"/>
      <c r="QBD85" s="0"/>
      <c r="QBE85" s="0"/>
      <c r="QBF85" s="0"/>
      <c r="QBG85" s="0"/>
      <c r="QBH85" s="0"/>
      <c r="QBI85" s="0"/>
      <c r="QBJ85" s="0"/>
      <c r="QBK85" s="0"/>
      <c r="QBL85" s="0"/>
      <c r="QBM85" s="0"/>
      <c r="QBN85" s="0"/>
      <c r="QBO85" s="0"/>
      <c r="QBP85" s="0"/>
      <c r="QBQ85" s="0"/>
      <c r="QBR85" s="0"/>
      <c r="QBS85" s="0"/>
      <c r="QBT85" s="0"/>
      <c r="QBU85" s="0"/>
      <c r="QBV85" s="0"/>
      <c r="QBW85" s="0"/>
      <c r="QBX85" s="0"/>
      <c r="QBY85" s="0"/>
      <c r="QBZ85" s="0"/>
      <c r="QCA85" s="0"/>
      <c r="QCB85" s="0"/>
      <c r="QCC85" s="0"/>
      <c r="QCD85" s="0"/>
      <c r="QCE85" s="0"/>
      <c r="QCF85" s="0"/>
      <c r="QCG85" s="0"/>
      <c r="QCH85" s="0"/>
      <c r="QCI85" s="0"/>
      <c r="QCJ85" s="0"/>
      <c r="QCK85" s="0"/>
      <c r="QCL85" s="0"/>
      <c r="QCM85" s="0"/>
      <c r="QCN85" s="0"/>
      <c r="QCO85" s="0"/>
      <c r="QCP85" s="0"/>
      <c r="QCQ85" s="0"/>
      <c r="QCR85" s="0"/>
      <c r="QCS85" s="0"/>
      <c r="QCT85" s="0"/>
      <c r="QCU85" s="0"/>
      <c r="QCV85" s="0"/>
      <c r="QCW85" s="0"/>
      <c r="QCX85" s="0"/>
      <c r="QCY85" s="0"/>
      <c r="QCZ85" s="0"/>
      <c r="QDA85" s="0"/>
      <c r="QDB85" s="0"/>
      <c r="QDC85" s="0"/>
      <c r="QDD85" s="0"/>
      <c r="QDE85" s="0"/>
      <c r="QDF85" s="0"/>
      <c r="QDG85" s="0"/>
      <c r="QDH85" s="0"/>
      <c r="QDI85" s="0"/>
      <c r="QDJ85" s="0"/>
      <c r="QDK85" s="0"/>
      <c r="QDL85" s="0"/>
      <c r="QDM85" s="0"/>
      <c r="QDN85" s="0"/>
      <c r="QDO85" s="0"/>
      <c r="QDP85" s="0"/>
      <c r="QDQ85" s="0"/>
      <c r="QDR85" s="0"/>
      <c r="QDS85" s="0"/>
      <c r="QDT85" s="0"/>
      <c r="QDU85" s="0"/>
      <c r="QDV85" s="0"/>
      <c r="QDW85" s="0"/>
      <c r="QDX85" s="0"/>
      <c r="QDY85" s="0"/>
      <c r="QDZ85" s="0"/>
      <c r="QEA85" s="0"/>
      <c r="QEB85" s="0"/>
      <c r="QEC85" s="0"/>
      <c r="QED85" s="0"/>
      <c r="QEE85" s="0"/>
      <c r="QEF85" s="0"/>
      <c r="QEG85" s="0"/>
      <c r="QEH85" s="0"/>
      <c r="QEI85" s="0"/>
      <c r="QEJ85" s="0"/>
      <c r="QEK85" s="0"/>
      <c r="QEL85" s="0"/>
      <c r="QEM85" s="0"/>
      <c r="QEN85" s="0"/>
      <c r="QEO85" s="0"/>
      <c r="QEP85" s="0"/>
      <c r="QEQ85" s="0"/>
      <c r="QER85" s="0"/>
      <c r="QES85" s="0"/>
      <c r="QET85" s="0"/>
      <c r="QEU85" s="0"/>
      <c r="QEV85" s="0"/>
      <c r="QEW85" s="0"/>
      <c r="QEX85" s="0"/>
      <c r="QEY85" s="0"/>
      <c r="QEZ85" s="0"/>
      <c r="QFA85" s="0"/>
      <c r="QFB85" s="0"/>
      <c r="QFC85" s="0"/>
      <c r="QFD85" s="0"/>
      <c r="QFE85" s="0"/>
      <c r="QFF85" s="0"/>
      <c r="QFG85" s="0"/>
      <c r="QFH85" s="0"/>
      <c r="QFI85" s="0"/>
      <c r="QFJ85" s="0"/>
      <c r="QFK85" s="0"/>
      <c r="QFL85" s="0"/>
      <c r="QFM85" s="0"/>
      <c r="QFN85" s="0"/>
      <c r="QFO85" s="0"/>
      <c r="QFP85" s="0"/>
      <c r="QFQ85" s="0"/>
      <c r="QFR85" s="0"/>
      <c r="QFS85" s="0"/>
      <c r="QFT85" s="0"/>
      <c r="QFU85" s="0"/>
      <c r="QFV85" s="0"/>
      <c r="QFW85" s="0"/>
      <c r="QFX85" s="0"/>
      <c r="QFY85" s="0"/>
      <c r="QFZ85" s="0"/>
      <c r="QGA85" s="0"/>
      <c r="QGB85" s="0"/>
      <c r="QGC85" s="0"/>
      <c r="QGD85" s="0"/>
      <c r="QGE85" s="0"/>
      <c r="QGF85" s="0"/>
      <c r="QGG85" s="0"/>
      <c r="QGH85" s="0"/>
      <c r="QGI85" s="0"/>
      <c r="QGJ85" s="0"/>
      <c r="QGK85" s="0"/>
      <c r="QGL85" s="0"/>
      <c r="QGM85" s="0"/>
      <c r="QGN85" s="0"/>
      <c r="QGO85" s="0"/>
      <c r="QGP85" s="0"/>
      <c r="QGQ85" s="0"/>
      <c r="QGR85" s="0"/>
      <c r="QGS85" s="0"/>
      <c r="QGT85" s="0"/>
      <c r="QGU85" s="0"/>
      <c r="QGV85" s="0"/>
      <c r="QGW85" s="0"/>
      <c r="QGX85" s="0"/>
      <c r="QGY85" s="0"/>
      <c r="QGZ85" s="0"/>
      <c r="QHA85" s="0"/>
      <c r="QHB85" s="0"/>
      <c r="QHC85" s="0"/>
      <c r="QHD85" s="0"/>
      <c r="QHE85" s="0"/>
      <c r="QHF85" s="0"/>
      <c r="QHG85" s="0"/>
      <c r="QHH85" s="0"/>
      <c r="QHI85" s="0"/>
      <c r="QHJ85" s="0"/>
      <c r="QHK85" s="0"/>
      <c r="QHL85" s="0"/>
      <c r="QHM85" s="0"/>
      <c r="QHN85" s="0"/>
      <c r="QHO85" s="0"/>
      <c r="QHP85" s="0"/>
      <c r="QHQ85" s="0"/>
      <c r="QHR85" s="0"/>
      <c r="QHS85" s="0"/>
      <c r="QHT85" s="0"/>
      <c r="QHU85" s="0"/>
      <c r="QHV85" s="0"/>
      <c r="QHW85" s="0"/>
      <c r="QHX85" s="0"/>
      <c r="QHY85" s="0"/>
      <c r="QHZ85" s="0"/>
      <c r="QIA85" s="0"/>
      <c r="QIB85" s="0"/>
      <c r="QIC85" s="0"/>
      <c r="QID85" s="0"/>
      <c r="QIE85" s="0"/>
      <c r="QIF85" s="0"/>
      <c r="QIG85" s="0"/>
      <c r="QIH85" s="0"/>
      <c r="QII85" s="0"/>
      <c r="QIJ85" s="0"/>
      <c r="QIK85" s="0"/>
      <c r="QIL85" s="0"/>
      <c r="QIM85" s="0"/>
      <c r="QIN85" s="0"/>
      <c r="QIO85" s="0"/>
      <c r="QIP85" s="0"/>
      <c r="QIQ85" s="0"/>
      <c r="QIR85" s="0"/>
      <c r="QIS85" s="0"/>
      <c r="QIT85" s="0"/>
      <c r="QIU85" s="0"/>
      <c r="QIV85" s="0"/>
      <c r="QIW85" s="0"/>
      <c r="QIX85" s="0"/>
      <c r="QIY85" s="0"/>
      <c r="QIZ85" s="0"/>
      <c r="QJA85" s="0"/>
      <c r="QJB85" s="0"/>
      <c r="QJC85" s="0"/>
      <c r="QJD85" s="0"/>
      <c r="QJE85" s="0"/>
      <c r="QJF85" s="0"/>
      <c r="QJG85" s="0"/>
      <c r="QJH85" s="0"/>
      <c r="QJI85" s="0"/>
      <c r="QJJ85" s="0"/>
      <c r="QJK85" s="0"/>
      <c r="QJL85" s="0"/>
      <c r="QJM85" s="0"/>
      <c r="QJN85" s="0"/>
      <c r="QJO85" s="0"/>
      <c r="QJP85" s="0"/>
      <c r="QJQ85" s="0"/>
      <c r="QJR85" s="0"/>
      <c r="QJS85" s="0"/>
      <c r="QJT85" s="0"/>
      <c r="QJU85" s="0"/>
      <c r="QJV85" s="0"/>
      <c r="QJW85" s="0"/>
      <c r="QJX85" s="0"/>
      <c r="QJY85" s="0"/>
      <c r="QJZ85" s="0"/>
      <c r="QKA85" s="0"/>
      <c r="QKB85" s="0"/>
      <c r="QKC85" s="0"/>
      <c r="QKD85" s="0"/>
      <c r="QKE85" s="0"/>
      <c r="QKF85" s="0"/>
      <c r="QKG85" s="0"/>
      <c r="QKH85" s="0"/>
      <c r="QKI85" s="0"/>
      <c r="QKJ85" s="0"/>
      <c r="QKK85" s="0"/>
      <c r="QKL85" s="0"/>
      <c r="QKM85" s="0"/>
      <c r="QKN85" s="0"/>
      <c r="QKO85" s="0"/>
      <c r="QKP85" s="0"/>
      <c r="QKQ85" s="0"/>
      <c r="QKR85" s="0"/>
      <c r="QKS85" s="0"/>
      <c r="QKT85" s="0"/>
      <c r="QKU85" s="0"/>
      <c r="QKV85" s="0"/>
      <c r="QKW85" s="0"/>
      <c r="QKX85" s="0"/>
      <c r="QKY85" s="0"/>
      <c r="QKZ85" s="0"/>
      <c r="QLA85" s="0"/>
      <c r="QLB85" s="0"/>
      <c r="QLC85" s="0"/>
      <c r="QLD85" s="0"/>
      <c r="QLE85" s="0"/>
      <c r="QLF85" s="0"/>
      <c r="QLG85" s="0"/>
      <c r="QLH85" s="0"/>
      <c r="QLI85" s="0"/>
      <c r="QLJ85" s="0"/>
      <c r="QLK85" s="0"/>
      <c r="QLL85" s="0"/>
      <c r="QLM85" s="0"/>
      <c r="QLN85" s="0"/>
      <c r="QLO85" s="0"/>
      <c r="QLP85" s="0"/>
      <c r="QLQ85" s="0"/>
      <c r="QLR85" s="0"/>
      <c r="QLS85" s="0"/>
      <c r="QLT85" s="0"/>
      <c r="QLU85" s="0"/>
      <c r="QLV85" s="0"/>
      <c r="QLW85" s="0"/>
      <c r="QLX85" s="0"/>
      <c r="QLY85" s="0"/>
      <c r="QLZ85" s="0"/>
      <c r="QMA85" s="0"/>
      <c r="QMB85" s="0"/>
      <c r="QMC85" s="0"/>
      <c r="QMD85" s="0"/>
      <c r="QME85" s="0"/>
      <c r="QMF85" s="0"/>
      <c r="QMG85" s="0"/>
      <c r="QMH85" s="0"/>
      <c r="QMI85" s="0"/>
      <c r="QMJ85" s="0"/>
      <c r="QMK85" s="0"/>
      <c r="QML85" s="0"/>
      <c r="QMM85" s="0"/>
      <c r="QMN85" s="0"/>
      <c r="QMO85" s="0"/>
      <c r="QMP85" s="0"/>
      <c r="QMQ85" s="0"/>
      <c r="QMR85" s="0"/>
      <c r="QMS85" s="0"/>
      <c r="QMT85" s="0"/>
      <c r="QMU85" s="0"/>
      <c r="QMV85" s="0"/>
      <c r="QMW85" s="0"/>
      <c r="QMX85" s="0"/>
      <c r="QMY85" s="0"/>
      <c r="QMZ85" s="0"/>
      <c r="QNA85" s="0"/>
      <c r="QNB85" s="0"/>
      <c r="QNC85" s="0"/>
      <c r="QND85" s="0"/>
      <c r="QNE85" s="0"/>
      <c r="QNF85" s="0"/>
      <c r="QNG85" s="0"/>
      <c r="QNH85" s="0"/>
      <c r="QNI85" s="0"/>
      <c r="QNJ85" s="0"/>
      <c r="QNK85" s="0"/>
      <c r="QNL85" s="0"/>
      <c r="QNM85" s="0"/>
      <c r="QNN85" s="0"/>
      <c r="QNO85" s="0"/>
      <c r="QNP85" s="0"/>
      <c r="QNQ85" s="0"/>
      <c r="QNR85" s="0"/>
      <c r="QNS85" s="0"/>
      <c r="QNT85" s="0"/>
      <c r="QNU85" s="0"/>
      <c r="QNV85" s="0"/>
      <c r="QNW85" s="0"/>
      <c r="QNX85" s="0"/>
      <c r="QNY85" s="0"/>
      <c r="QNZ85" s="0"/>
      <c r="QOA85" s="0"/>
      <c r="QOB85" s="0"/>
      <c r="QOC85" s="0"/>
      <c r="QOD85" s="0"/>
      <c r="QOE85" s="0"/>
      <c r="QOF85" s="0"/>
      <c r="QOG85" s="0"/>
      <c r="QOH85" s="0"/>
      <c r="QOI85" s="0"/>
      <c r="QOJ85" s="0"/>
      <c r="QOK85" s="0"/>
      <c r="QOL85" s="0"/>
      <c r="QOM85" s="0"/>
      <c r="QON85" s="0"/>
      <c r="QOO85" s="0"/>
      <c r="QOP85" s="0"/>
      <c r="QOQ85" s="0"/>
      <c r="QOR85" s="0"/>
      <c r="QOS85" s="0"/>
      <c r="QOT85" s="0"/>
      <c r="QOU85" s="0"/>
      <c r="QOV85" s="0"/>
      <c r="QOW85" s="0"/>
      <c r="QOX85" s="0"/>
      <c r="QOY85" s="0"/>
      <c r="QOZ85" s="0"/>
      <c r="QPA85" s="0"/>
      <c r="QPB85" s="0"/>
      <c r="QPC85" s="0"/>
      <c r="QPD85" s="0"/>
      <c r="QPE85" s="0"/>
      <c r="QPF85" s="0"/>
      <c r="QPG85" s="0"/>
      <c r="QPH85" s="0"/>
      <c r="QPI85" s="0"/>
      <c r="QPJ85" s="0"/>
      <c r="QPK85" s="0"/>
      <c r="QPL85" s="0"/>
      <c r="QPM85" s="0"/>
      <c r="QPN85" s="0"/>
      <c r="QPO85" s="0"/>
      <c r="QPP85" s="0"/>
      <c r="QPQ85" s="0"/>
      <c r="QPR85" s="0"/>
      <c r="QPS85" s="0"/>
      <c r="QPT85" s="0"/>
      <c r="QPU85" s="0"/>
      <c r="QPV85" s="0"/>
      <c r="QPW85" s="0"/>
      <c r="QPX85" s="0"/>
      <c r="QPY85" s="0"/>
      <c r="QPZ85" s="0"/>
      <c r="QQA85" s="0"/>
      <c r="QQB85" s="0"/>
      <c r="QQC85" s="0"/>
      <c r="QQD85" s="0"/>
      <c r="QQE85" s="0"/>
      <c r="QQF85" s="0"/>
      <c r="QQG85" s="0"/>
      <c r="QQH85" s="0"/>
      <c r="QQI85" s="0"/>
      <c r="QQJ85" s="0"/>
      <c r="QQK85" s="0"/>
      <c r="QQL85" s="0"/>
      <c r="QQM85" s="0"/>
      <c r="QQN85" s="0"/>
      <c r="QQO85" s="0"/>
      <c r="QQP85" s="0"/>
      <c r="QQQ85" s="0"/>
      <c r="QQR85" s="0"/>
      <c r="QQS85" s="0"/>
      <c r="QQT85" s="0"/>
      <c r="QQU85" s="0"/>
      <c r="QQV85" s="0"/>
      <c r="QQW85" s="0"/>
      <c r="QQX85" s="0"/>
      <c r="QQY85" s="0"/>
      <c r="QQZ85" s="0"/>
      <c r="QRA85" s="0"/>
      <c r="QRB85" s="0"/>
      <c r="QRC85" s="0"/>
      <c r="QRD85" s="0"/>
      <c r="QRE85" s="0"/>
      <c r="QRF85" s="0"/>
      <c r="QRG85" s="0"/>
      <c r="QRH85" s="0"/>
      <c r="QRI85" s="0"/>
      <c r="QRJ85" s="0"/>
      <c r="QRK85" s="0"/>
      <c r="QRL85" s="0"/>
      <c r="QRM85" s="0"/>
      <c r="QRN85" s="0"/>
      <c r="QRO85" s="0"/>
      <c r="QRP85" s="0"/>
      <c r="QRQ85" s="0"/>
      <c r="QRR85" s="0"/>
      <c r="QRS85" s="0"/>
      <c r="QRT85" s="0"/>
      <c r="QRU85" s="0"/>
      <c r="QRV85" s="0"/>
      <c r="QRW85" s="0"/>
      <c r="QRX85" s="0"/>
      <c r="QRY85" s="0"/>
      <c r="QRZ85" s="0"/>
      <c r="QSA85" s="0"/>
      <c r="QSB85" s="0"/>
      <c r="QSC85" s="0"/>
      <c r="QSD85" s="0"/>
      <c r="QSE85" s="0"/>
      <c r="QSF85" s="0"/>
      <c r="QSG85" s="0"/>
      <c r="QSH85" s="0"/>
      <c r="QSI85" s="0"/>
      <c r="QSJ85" s="0"/>
      <c r="QSK85" s="0"/>
      <c r="QSL85" s="0"/>
      <c r="QSM85" s="0"/>
      <c r="QSN85" s="0"/>
      <c r="QSO85" s="0"/>
      <c r="QSP85" s="0"/>
      <c r="QSQ85" s="0"/>
      <c r="QSR85" s="0"/>
      <c r="QSS85" s="0"/>
      <c r="QST85" s="0"/>
      <c r="QSU85" s="0"/>
      <c r="QSV85" s="0"/>
      <c r="QSW85" s="0"/>
      <c r="QSX85" s="0"/>
      <c r="QSY85" s="0"/>
      <c r="QSZ85" s="0"/>
      <c r="QTA85" s="0"/>
      <c r="QTB85" s="0"/>
      <c r="QTC85" s="0"/>
      <c r="QTD85" s="0"/>
      <c r="QTE85" s="0"/>
      <c r="QTF85" s="0"/>
      <c r="QTG85" s="0"/>
      <c r="QTH85" s="0"/>
      <c r="QTI85" s="0"/>
      <c r="QTJ85" s="0"/>
      <c r="QTK85" s="0"/>
      <c r="QTL85" s="0"/>
      <c r="QTM85" s="0"/>
      <c r="QTN85" s="0"/>
      <c r="QTO85" s="0"/>
      <c r="QTP85" s="0"/>
      <c r="QTQ85" s="0"/>
      <c r="QTR85" s="0"/>
      <c r="QTS85" s="0"/>
      <c r="QTT85" s="0"/>
      <c r="QTU85" s="0"/>
      <c r="QTV85" s="0"/>
      <c r="QTW85" s="0"/>
      <c r="QTX85" s="0"/>
      <c r="QTY85" s="0"/>
      <c r="QTZ85" s="0"/>
      <c r="QUA85" s="0"/>
      <c r="QUB85" s="0"/>
      <c r="QUC85" s="0"/>
      <c r="QUD85" s="0"/>
      <c r="QUE85" s="0"/>
      <c r="QUF85" s="0"/>
      <c r="QUG85" s="0"/>
      <c r="QUH85" s="0"/>
      <c r="QUI85" s="0"/>
      <c r="QUJ85" s="0"/>
      <c r="QUK85" s="0"/>
      <c r="QUL85" s="0"/>
      <c r="QUM85" s="0"/>
      <c r="QUN85" s="0"/>
      <c r="QUO85" s="0"/>
      <c r="QUP85" s="0"/>
      <c r="QUQ85" s="0"/>
      <c r="QUR85" s="0"/>
      <c r="QUS85" s="0"/>
      <c r="QUT85" s="0"/>
      <c r="QUU85" s="0"/>
      <c r="QUV85" s="0"/>
      <c r="QUW85" s="0"/>
      <c r="QUX85" s="0"/>
      <c r="QUY85" s="0"/>
      <c r="QUZ85" s="0"/>
      <c r="QVA85" s="0"/>
      <c r="QVB85" s="0"/>
      <c r="QVC85" s="0"/>
      <c r="QVD85" s="0"/>
      <c r="QVE85" s="0"/>
      <c r="QVF85" s="0"/>
      <c r="QVG85" s="0"/>
      <c r="QVH85" s="0"/>
      <c r="QVI85" s="0"/>
      <c r="QVJ85" s="0"/>
      <c r="QVK85" s="0"/>
      <c r="QVL85" s="0"/>
      <c r="QVM85" s="0"/>
      <c r="QVN85" s="0"/>
      <c r="QVO85" s="0"/>
      <c r="QVP85" s="0"/>
      <c r="QVQ85" s="0"/>
      <c r="QVR85" s="0"/>
      <c r="QVS85" s="0"/>
      <c r="QVT85" s="0"/>
      <c r="QVU85" s="0"/>
      <c r="QVV85" s="0"/>
      <c r="QVW85" s="0"/>
      <c r="QVX85" s="0"/>
      <c r="QVY85" s="0"/>
      <c r="QVZ85" s="0"/>
      <c r="QWA85" s="0"/>
      <c r="QWB85" s="0"/>
      <c r="QWC85" s="0"/>
      <c r="QWD85" s="0"/>
      <c r="QWE85" s="0"/>
      <c r="QWF85" s="0"/>
      <c r="QWG85" s="0"/>
      <c r="QWH85" s="0"/>
      <c r="QWI85" s="0"/>
      <c r="QWJ85" s="0"/>
      <c r="QWK85" s="0"/>
      <c r="QWL85" s="0"/>
      <c r="QWM85" s="0"/>
      <c r="QWN85" s="0"/>
      <c r="QWO85" s="0"/>
      <c r="QWP85" s="0"/>
      <c r="QWQ85" s="0"/>
      <c r="QWR85" s="0"/>
      <c r="QWS85" s="0"/>
      <c r="QWT85" s="0"/>
      <c r="QWU85" s="0"/>
      <c r="QWV85" s="0"/>
      <c r="QWW85" s="0"/>
      <c r="QWX85" s="0"/>
      <c r="QWY85" s="0"/>
      <c r="QWZ85" s="0"/>
      <c r="QXA85" s="0"/>
      <c r="QXB85" s="0"/>
      <c r="QXC85" s="0"/>
      <c r="QXD85" s="0"/>
      <c r="QXE85" s="0"/>
      <c r="QXF85" s="0"/>
      <c r="QXG85" s="0"/>
      <c r="QXH85" s="0"/>
      <c r="QXI85" s="0"/>
      <c r="QXJ85" s="0"/>
      <c r="QXK85" s="0"/>
      <c r="QXL85" s="0"/>
      <c r="QXM85" s="0"/>
      <c r="QXN85" s="0"/>
      <c r="QXO85" s="0"/>
      <c r="QXP85" s="0"/>
      <c r="QXQ85" s="0"/>
      <c r="QXR85" s="0"/>
      <c r="QXS85" s="0"/>
      <c r="QXT85" s="0"/>
      <c r="QXU85" s="0"/>
      <c r="QXV85" s="0"/>
      <c r="QXW85" s="0"/>
      <c r="QXX85" s="0"/>
      <c r="QXY85" s="0"/>
      <c r="QXZ85" s="0"/>
      <c r="QYA85" s="0"/>
      <c r="QYB85" s="0"/>
      <c r="QYC85" s="0"/>
      <c r="QYD85" s="0"/>
      <c r="QYE85" s="0"/>
      <c r="QYF85" s="0"/>
      <c r="QYG85" s="0"/>
      <c r="QYH85" s="0"/>
      <c r="QYI85" s="0"/>
      <c r="QYJ85" s="0"/>
      <c r="QYK85" s="0"/>
      <c r="QYL85" s="0"/>
      <c r="QYM85" s="0"/>
      <c r="QYN85" s="0"/>
      <c r="QYO85" s="0"/>
      <c r="QYP85" s="0"/>
      <c r="QYQ85" s="0"/>
      <c r="QYR85" s="0"/>
      <c r="QYS85" s="0"/>
      <c r="QYT85" s="0"/>
      <c r="QYU85" s="0"/>
      <c r="QYV85" s="0"/>
      <c r="QYW85" s="0"/>
      <c r="QYX85" s="0"/>
      <c r="QYY85" s="0"/>
      <c r="QYZ85" s="0"/>
      <c r="QZA85" s="0"/>
      <c r="QZB85" s="0"/>
      <c r="QZC85" s="0"/>
      <c r="QZD85" s="0"/>
      <c r="QZE85" s="0"/>
      <c r="QZF85" s="0"/>
      <c r="QZG85" s="0"/>
      <c r="QZH85" s="0"/>
      <c r="QZI85" s="0"/>
      <c r="QZJ85" s="0"/>
      <c r="QZK85" s="0"/>
      <c r="QZL85" s="0"/>
      <c r="QZM85" s="0"/>
      <c r="QZN85" s="0"/>
      <c r="QZO85" s="0"/>
      <c r="QZP85" s="0"/>
      <c r="QZQ85" s="0"/>
      <c r="QZR85" s="0"/>
      <c r="QZS85" s="0"/>
      <c r="QZT85" s="0"/>
      <c r="QZU85" s="0"/>
      <c r="QZV85" s="0"/>
      <c r="QZW85" s="0"/>
      <c r="QZX85" s="0"/>
      <c r="QZY85" s="0"/>
      <c r="QZZ85" s="0"/>
      <c r="RAA85" s="0"/>
      <c r="RAB85" s="0"/>
      <c r="RAC85" s="0"/>
      <c r="RAD85" s="0"/>
      <c r="RAE85" s="0"/>
      <c r="RAF85" s="0"/>
      <c r="RAG85" s="0"/>
      <c r="RAH85" s="0"/>
      <c r="RAI85" s="0"/>
      <c r="RAJ85" s="0"/>
      <c r="RAK85" s="0"/>
      <c r="RAL85" s="0"/>
      <c r="RAM85" s="0"/>
      <c r="RAN85" s="0"/>
      <c r="RAO85" s="0"/>
      <c r="RAP85" s="0"/>
      <c r="RAQ85" s="0"/>
      <c r="RAR85" s="0"/>
      <c r="RAS85" s="0"/>
      <c r="RAT85" s="0"/>
      <c r="RAU85" s="0"/>
      <c r="RAV85" s="0"/>
      <c r="RAW85" s="0"/>
      <c r="RAX85" s="0"/>
      <c r="RAY85" s="0"/>
      <c r="RAZ85" s="0"/>
      <c r="RBA85" s="0"/>
      <c r="RBB85" s="0"/>
      <c r="RBC85" s="0"/>
      <c r="RBD85" s="0"/>
      <c r="RBE85" s="0"/>
      <c r="RBF85" s="0"/>
      <c r="RBG85" s="0"/>
      <c r="RBH85" s="0"/>
      <c r="RBI85" s="0"/>
      <c r="RBJ85" s="0"/>
      <c r="RBK85" s="0"/>
      <c r="RBL85" s="0"/>
      <c r="RBM85" s="0"/>
      <c r="RBN85" s="0"/>
      <c r="RBO85" s="0"/>
      <c r="RBP85" s="0"/>
      <c r="RBQ85" s="0"/>
      <c r="RBR85" s="0"/>
      <c r="RBS85" s="0"/>
      <c r="RBT85" s="0"/>
      <c r="RBU85" s="0"/>
      <c r="RBV85" s="0"/>
      <c r="RBW85" s="0"/>
      <c r="RBX85" s="0"/>
      <c r="RBY85" s="0"/>
      <c r="RBZ85" s="0"/>
      <c r="RCA85" s="0"/>
      <c r="RCB85" s="0"/>
      <c r="RCC85" s="0"/>
      <c r="RCD85" s="0"/>
      <c r="RCE85" s="0"/>
      <c r="RCF85" s="0"/>
      <c r="RCG85" s="0"/>
      <c r="RCH85" s="0"/>
      <c r="RCI85" s="0"/>
      <c r="RCJ85" s="0"/>
      <c r="RCK85" s="0"/>
      <c r="RCL85" s="0"/>
      <c r="RCM85" s="0"/>
      <c r="RCN85" s="0"/>
      <c r="RCO85" s="0"/>
      <c r="RCP85" s="0"/>
      <c r="RCQ85" s="0"/>
      <c r="RCR85" s="0"/>
      <c r="RCS85" s="0"/>
      <c r="RCT85" s="0"/>
      <c r="RCU85" s="0"/>
      <c r="RCV85" s="0"/>
      <c r="RCW85" s="0"/>
      <c r="RCX85" s="0"/>
      <c r="RCY85" s="0"/>
      <c r="RCZ85" s="0"/>
      <c r="RDA85" s="0"/>
      <c r="RDB85" s="0"/>
      <c r="RDC85" s="0"/>
      <c r="RDD85" s="0"/>
      <c r="RDE85" s="0"/>
      <c r="RDF85" s="0"/>
      <c r="RDG85" s="0"/>
      <c r="RDH85" s="0"/>
      <c r="RDI85" s="0"/>
      <c r="RDJ85" s="0"/>
      <c r="RDK85" s="0"/>
      <c r="RDL85" s="0"/>
      <c r="RDM85" s="0"/>
      <c r="RDN85" s="0"/>
      <c r="RDO85" s="0"/>
      <c r="RDP85" s="0"/>
      <c r="RDQ85" s="0"/>
      <c r="RDR85" s="0"/>
      <c r="RDS85" s="0"/>
      <c r="RDT85" s="0"/>
      <c r="RDU85" s="0"/>
      <c r="RDV85" s="0"/>
      <c r="RDW85" s="0"/>
      <c r="RDX85" s="0"/>
      <c r="RDY85" s="0"/>
      <c r="RDZ85" s="0"/>
      <c r="REA85" s="0"/>
      <c r="REB85" s="0"/>
      <c r="REC85" s="0"/>
      <c r="RED85" s="0"/>
      <c r="REE85" s="0"/>
      <c r="REF85" s="0"/>
      <c r="REG85" s="0"/>
      <c r="REH85" s="0"/>
      <c r="REI85" s="0"/>
      <c r="REJ85" s="0"/>
      <c r="REK85" s="0"/>
      <c r="REL85" s="0"/>
      <c r="REM85" s="0"/>
      <c r="REN85" s="0"/>
      <c r="REO85" s="0"/>
      <c r="REP85" s="0"/>
      <c r="REQ85" s="0"/>
      <c r="RER85" s="0"/>
      <c r="RES85" s="0"/>
      <c r="RET85" s="0"/>
      <c r="REU85" s="0"/>
      <c r="REV85" s="0"/>
      <c r="REW85" s="0"/>
      <c r="REX85" s="0"/>
      <c r="REY85" s="0"/>
      <c r="REZ85" s="0"/>
      <c r="RFA85" s="0"/>
      <c r="RFB85" s="0"/>
      <c r="RFC85" s="0"/>
      <c r="RFD85" s="0"/>
      <c r="RFE85" s="0"/>
      <c r="RFF85" s="0"/>
      <c r="RFG85" s="0"/>
      <c r="RFH85" s="0"/>
      <c r="RFI85" s="0"/>
      <c r="RFJ85" s="0"/>
      <c r="RFK85" s="0"/>
      <c r="RFL85" s="0"/>
      <c r="RFM85" s="0"/>
      <c r="RFN85" s="0"/>
      <c r="RFO85" s="0"/>
      <c r="RFP85" s="0"/>
      <c r="RFQ85" s="0"/>
      <c r="RFR85" s="0"/>
      <c r="RFS85" s="0"/>
      <c r="RFT85" s="0"/>
      <c r="RFU85" s="0"/>
      <c r="RFV85" s="0"/>
      <c r="RFW85" s="0"/>
      <c r="RFX85" s="0"/>
      <c r="RFY85" s="0"/>
      <c r="RFZ85" s="0"/>
      <c r="RGA85" s="0"/>
      <c r="RGB85" s="0"/>
      <c r="RGC85" s="0"/>
      <c r="RGD85" s="0"/>
      <c r="RGE85" s="0"/>
      <c r="RGF85" s="0"/>
      <c r="RGG85" s="0"/>
      <c r="RGH85" s="0"/>
      <c r="RGI85" s="0"/>
      <c r="RGJ85" s="0"/>
      <c r="RGK85" s="0"/>
      <c r="RGL85" s="0"/>
      <c r="RGM85" s="0"/>
      <c r="RGN85" s="0"/>
      <c r="RGO85" s="0"/>
      <c r="RGP85" s="0"/>
      <c r="RGQ85" s="0"/>
      <c r="RGR85" s="0"/>
      <c r="RGS85" s="0"/>
      <c r="RGT85" s="0"/>
      <c r="RGU85" s="0"/>
      <c r="RGV85" s="0"/>
      <c r="RGW85" s="0"/>
      <c r="RGX85" s="0"/>
      <c r="RGY85" s="0"/>
      <c r="RGZ85" s="0"/>
      <c r="RHA85" s="0"/>
      <c r="RHB85" s="0"/>
      <c r="RHC85" s="0"/>
      <c r="RHD85" s="0"/>
      <c r="RHE85" s="0"/>
      <c r="RHF85" s="0"/>
      <c r="RHG85" s="0"/>
      <c r="RHH85" s="0"/>
      <c r="RHI85" s="0"/>
      <c r="RHJ85" s="0"/>
      <c r="RHK85" s="0"/>
      <c r="RHL85" s="0"/>
      <c r="RHM85" s="0"/>
      <c r="RHN85" s="0"/>
      <c r="RHO85" s="0"/>
      <c r="RHP85" s="0"/>
      <c r="RHQ85" s="0"/>
      <c r="RHR85" s="0"/>
      <c r="RHS85" s="0"/>
      <c r="RHT85" s="0"/>
      <c r="RHU85" s="0"/>
      <c r="RHV85" s="0"/>
      <c r="RHW85" s="0"/>
      <c r="RHX85" s="0"/>
      <c r="RHY85" s="0"/>
      <c r="RHZ85" s="0"/>
      <c r="RIA85" s="0"/>
      <c r="RIB85" s="0"/>
      <c r="RIC85" s="0"/>
      <c r="RID85" s="0"/>
      <c r="RIE85" s="0"/>
      <c r="RIF85" s="0"/>
      <c r="RIG85" s="0"/>
      <c r="RIH85" s="0"/>
      <c r="RII85" s="0"/>
      <c r="RIJ85" s="0"/>
      <c r="RIK85" s="0"/>
      <c r="RIL85" s="0"/>
      <c r="RIM85" s="0"/>
      <c r="RIN85" s="0"/>
      <c r="RIO85" s="0"/>
      <c r="RIP85" s="0"/>
      <c r="RIQ85" s="0"/>
      <c r="RIR85" s="0"/>
      <c r="RIS85" s="0"/>
      <c r="RIT85" s="0"/>
      <c r="RIU85" s="0"/>
      <c r="RIV85" s="0"/>
      <c r="RIW85" s="0"/>
      <c r="RIX85" s="0"/>
      <c r="RIY85" s="0"/>
      <c r="RIZ85" s="0"/>
      <c r="RJA85" s="0"/>
      <c r="RJB85" s="0"/>
      <c r="RJC85" s="0"/>
      <c r="RJD85" s="0"/>
      <c r="RJE85" s="0"/>
      <c r="RJF85" s="0"/>
      <c r="RJG85" s="0"/>
      <c r="RJH85" s="0"/>
      <c r="RJI85" s="0"/>
      <c r="RJJ85" s="0"/>
      <c r="RJK85" s="0"/>
      <c r="RJL85" s="0"/>
      <c r="RJM85" s="0"/>
      <c r="RJN85" s="0"/>
      <c r="RJO85" s="0"/>
      <c r="RJP85" s="0"/>
      <c r="RJQ85" s="0"/>
      <c r="RJR85" s="0"/>
      <c r="RJS85" s="0"/>
      <c r="RJT85" s="0"/>
      <c r="RJU85" s="0"/>
      <c r="RJV85" s="0"/>
      <c r="RJW85" s="0"/>
      <c r="RJX85" s="0"/>
      <c r="RJY85" s="0"/>
      <c r="RJZ85" s="0"/>
      <c r="RKA85" s="0"/>
      <c r="RKB85" s="0"/>
      <c r="RKC85" s="0"/>
      <c r="RKD85" s="0"/>
      <c r="RKE85" s="0"/>
      <c r="RKF85" s="0"/>
      <c r="RKG85" s="0"/>
      <c r="RKH85" s="0"/>
      <c r="RKI85" s="0"/>
      <c r="RKJ85" s="0"/>
      <c r="RKK85" s="0"/>
      <c r="RKL85" s="0"/>
      <c r="RKM85" s="0"/>
      <c r="RKN85" s="0"/>
      <c r="RKO85" s="0"/>
      <c r="RKP85" s="0"/>
      <c r="RKQ85" s="0"/>
      <c r="RKR85" s="0"/>
      <c r="RKS85" s="0"/>
      <c r="RKT85" s="0"/>
      <c r="RKU85" s="0"/>
      <c r="RKV85" s="0"/>
      <c r="RKW85" s="0"/>
      <c r="RKX85" s="0"/>
      <c r="RKY85" s="0"/>
      <c r="RKZ85" s="0"/>
      <c r="RLA85" s="0"/>
      <c r="RLB85" s="0"/>
      <c r="RLC85" s="0"/>
      <c r="RLD85" s="0"/>
      <c r="RLE85" s="0"/>
      <c r="RLF85" s="0"/>
      <c r="RLG85" s="0"/>
      <c r="RLH85" s="0"/>
      <c r="RLI85" s="0"/>
      <c r="RLJ85" s="0"/>
      <c r="RLK85" s="0"/>
      <c r="RLL85" s="0"/>
      <c r="RLM85" s="0"/>
      <c r="RLN85" s="0"/>
      <c r="RLO85" s="0"/>
      <c r="RLP85" s="0"/>
      <c r="RLQ85" s="0"/>
      <c r="RLR85" s="0"/>
      <c r="RLS85" s="0"/>
      <c r="RLT85" s="0"/>
      <c r="RLU85" s="0"/>
      <c r="RLV85" s="0"/>
      <c r="RLW85" s="0"/>
      <c r="RLX85" s="0"/>
      <c r="RLY85" s="0"/>
      <c r="RLZ85" s="0"/>
      <c r="RMA85" s="0"/>
      <c r="RMB85" s="0"/>
      <c r="RMC85" s="0"/>
      <c r="RMD85" s="0"/>
      <c r="RME85" s="0"/>
      <c r="RMF85" s="0"/>
      <c r="RMG85" s="0"/>
      <c r="RMH85" s="0"/>
      <c r="RMI85" s="0"/>
      <c r="RMJ85" s="0"/>
      <c r="RMK85" s="0"/>
      <c r="RML85" s="0"/>
      <c r="RMM85" s="0"/>
      <c r="RMN85" s="0"/>
      <c r="RMO85" s="0"/>
      <c r="RMP85" s="0"/>
      <c r="RMQ85" s="0"/>
      <c r="RMR85" s="0"/>
      <c r="RMS85" s="0"/>
      <c r="RMT85" s="0"/>
      <c r="RMU85" s="0"/>
      <c r="RMV85" s="0"/>
      <c r="RMW85" s="0"/>
      <c r="RMX85" s="0"/>
      <c r="RMY85" s="0"/>
      <c r="RMZ85" s="0"/>
      <c r="RNA85" s="0"/>
      <c r="RNB85" s="0"/>
      <c r="RNC85" s="0"/>
      <c r="RND85" s="0"/>
      <c r="RNE85" s="0"/>
      <c r="RNF85" s="0"/>
      <c r="RNG85" s="0"/>
      <c r="RNH85" s="0"/>
      <c r="RNI85" s="0"/>
      <c r="RNJ85" s="0"/>
      <c r="RNK85" s="0"/>
      <c r="RNL85" s="0"/>
      <c r="RNM85" s="0"/>
      <c r="RNN85" s="0"/>
      <c r="RNO85" s="0"/>
      <c r="RNP85" s="0"/>
      <c r="RNQ85" s="0"/>
      <c r="RNR85" s="0"/>
      <c r="RNS85" s="0"/>
      <c r="RNT85" s="0"/>
      <c r="RNU85" s="0"/>
      <c r="RNV85" s="0"/>
      <c r="RNW85" s="0"/>
      <c r="RNX85" s="0"/>
      <c r="RNY85" s="0"/>
      <c r="RNZ85" s="0"/>
      <c r="ROA85" s="0"/>
      <c r="ROB85" s="0"/>
      <c r="ROC85" s="0"/>
      <c r="ROD85" s="0"/>
      <c r="ROE85" s="0"/>
      <c r="ROF85" s="0"/>
      <c r="ROG85" s="0"/>
      <c r="ROH85" s="0"/>
      <c r="ROI85" s="0"/>
      <c r="ROJ85" s="0"/>
      <c r="ROK85" s="0"/>
      <c r="ROL85" s="0"/>
      <c r="ROM85" s="0"/>
      <c r="RON85" s="0"/>
      <c r="ROO85" s="0"/>
      <c r="ROP85" s="0"/>
      <c r="ROQ85" s="0"/>
      <c r="ROR85" s="0"/>
      <c r="ROS85" s="0"/>
      <c r="ROT85" s="0"/>
      <c r="ROU85" s="0"/>
      <c r="ROV85" s="0"/>
      <c r="ROW85" s="0"/>
      <c r="ROX85" s="0"/>
      <c r="ROY85" s="0"/>
      <c r="ROZ85" s="0"/>
      <c r="RPA85" s="0"/>
      <c r="RPB85" s="0"/>
      <c r="RPC85" s="0"/>
      <c r="RPD85" s="0"/>
      <c r="RPE85" s="0"/>
      <c r="RPF85" s="0"/>
      <c r="RPG85" s="0"/>
      <c r="RPH85" s="0"/>
      <c r="RPI85" s="0"/>
      <c r="RPJ85" s="0"/>
      <c r="RPK85" s="0"/>
      <c r="RPL85" s="0"/>
      <c r="RPM85" s="0"/>
      <c r="RPN85" s="0"/>
      <c r="RPO85" s="0"/>
      <c r="RPP85" s="0"/>
      <c r="RPQ85" s="0"/>
      <c r="RPR85" s="0"/>
      <c r="RPS85" s="0"/>
      <c r="RPT85" s="0"/>
      <c r="RPU85" s="0"/>
      <c r="RPV85" s="0"/>
      <c r="RPW85" s="0"/>
      <c r="RPX85" s="0"/>
      <c r="RPY85" s="0"/>
      <c r="RPZ85" s="0"/>
      <c r="RQA85" s="0"/>
      <c r="RQB85" s="0"/>
      <c r="RQC85" s="0"/>
      <c r="RQD85" s="0"/>
      <c r="RQE85" s="0"/>
      <c r="RQF85" s="0"/>
      <c r="RQG85" s="0"/>
      <c r="RQH85" s="0"/>
      <c r="RQI85" s="0"/>
      <c r="RQJ85" s="0"/>
      <c r="RQK85" s="0"/>
      <c r="RQL85" s="0"/>
      <c r="RQM85" s="0"/>
      <c r="RQN85" s="0"/>
      <c r="RQO85" s="0"/>
      <c r="RQP85" s="0"/>
      <c r="RQQ85" s="0"/>
      <c r="RQR85" s="0"/>
      <c r="RQS85" s="0"/>
      <c r="RQT85" s="0"/>
      <c r="RQU85" s="0"/>
      <c r="RQV85" s="0"/>
      <c r="RQW85" s="0"/>
      <c r="RQX85" s="0"/>
      <c r="RQY85" s="0"/>
      <c r="RQZ85" s="0"/>
      <c r="RRA85" s="0"/>
      <c r="RRB85" s="0"/>
      <c r="RRC85" s="0"/>
      <c r="RRD85" s="0"/>
      <c r="RRE85" s="0"/>
      <c r="RRF85" s="0"/>
      <c r="RRG85" s="0"/>
      <c r="RRH85" s="0"/>
      <c r="RRI85" s="0"/>
      <c r="RRJ85" s="0"/>
      <c r="RRK85" s="0"/>
      <c r="RRL85" s="0"/>
      <c r="RRM85" s="0"/>
      <c r="RRN85" s="0"/>
      <c r="RRO85" s="0"/>
      <c r="RRP85" s="0"/>
      <c r="RRQ85" s="0"/>
      <c r="RRR85" s="0"/>
      <c r="RRS85" s="0"/>
      <c r="RRT85" s="0"/>
      <c r="RRU85" s="0"/>
      <c r="RRV85" s="0"/>
      <c r="RRW85" s="0"/>
      <c r="RRX85" s="0"/>
      <c r="RRY85" s="0"/>
      <c r="RRZ85" s="0"/>
      <c r="RSA85" s="0"/>
      <c r="RSB85" s="0"/>
      <c r="RSC85" s="0"/>
      <c r="RSD85" s="0"/>
      <c r="RSE85" s="0"/>
      <c r="RSF85" s="0"/>
      <c r="RSG85" s="0"/>
      <c r="RSH85" s="0"/>
      <c r="RSI85" s="0"/>
      <c r="RSJ85" s="0"/>
      <c r="RSK85" s="0"/>
      <c r="RSL85" s="0"/>
      <c r="RSM85" s="0"/>
      <c r="RSN85" s="0"/>
      <c r="RSO85" s="0"/>
      <c r="RSP85" s="0"/>
      <c r="RSQ85" s="0"/>
      <c r="RSR85" s="0"/>
      <c r="RSS85" s="0"/>
      <c r="RST85" s="0"/>
      <c r="RSU85" s="0"/>
      <c r="RSV85" s="0"/>
      <c r="RSW85" s="0"/>
      <c r="RSX85" s="0"/>
      <c r="RSY85" s="0"/>
      <c r="RSZ85" s="0"/>
      <c r="RTA85" s="0"/>
      <c r="RTB85" s="0"/>
      <c r="RTC85" s="0"/>
      <c r="RTD85" s="0"/>
      <c r="RTE85" s="0"/>
      <c r="RTF85" s="0"/>
      <c r="RTG85" s="0"/>
      <c r="RTH85" s="0"/>
      <c r="RTI85" s="0"/>
      <c r="RTJ85" s="0"/>
      <c r="RTK85" s="0"/>
      <c r="RTL85" s="0"/>
      <c r="RTM85" s="0"/>
      <c r="RTN85" s="0"/>
      <c r="RTO85" s="0"/>
      <c r="RTP85" s="0"/>
      <c r="RTQ85" s="0"/>
      <c r="RTR85" s="0"/>
      <c r="RTS85" s="0"/>
      <c r="RTT85" s="0"/>
      <c r="RTU85" s="0"/>
      <c r="RTV85" s="0"/>
      <c r="RTW85" s="0"/>
      <c r="RTX85" s="0"/>
      <c r="RTY85" s="0"/>
      <c r="RTZ85" s="0"/>
      <c r="RUA85" s="0"/>
      <c r="RUB85" s="0"/>
      <c r="RUC85" s="0"/>
      <c r="RUD85" s="0"/>
      <c r="RUE85" s="0"/>
      <c r="RUF85" s="0"/>
      <c r="RUG85" s="0"/>
      <c r="RUH85" s="0"/>
      <c r="RUI85" s="0"/>
      <c r="RUJ85" s="0"/>
      <c r="RUK85" s="0"/>
      <c r="RUL85" s="0"/>
      <c r="RUM85" s="0"/>
      <c r="RUN85" s="0"/>
      <c r="RUO85" s="0"/>
      <c r="RUP85" s="0"/>
      <c r="RUQ85" s="0"/>
      <c r="RUR85" s="0"/>
      <c r="RUS85" s="0"/>
      <c r="RUT85" s="0"/>
      <c r="RUU85" s="0"/>
      <c r="RUV85" s="0"/>
      <c r="RUW85" s="0"/>
      <c r="RUX85" s="0"/>
      <c r="RUY85" s="0"/>
      <c r="RUZ85" s="0"/>
      <c r="RVA85" s="0"/>
      <c r="RVB85" s="0"/>
      <c r="RVC85" s="0"/>
      <c r="RVD85" s="0"/>
      <c r="RVE85" s="0"/>
      <c r="RVF85" s="0"/>
      <c r="RVG85" s="0"/>
      <c r="RVH85" s="0"/>
      <c r="RVI85" s="0"/>
      <c r="RVJ85" s="0"/>
      <c r="RVK85" s="0"/>
      <c r="RVL85" s="0"/>
      <c r="RVM85" s="0"/>
      <c r="RVN85" s="0"/>
      <c r="RVO85" s="0"/>
      <c r="RVP85" s="0"/>
      <c r="RVQ85" s="0"/>
      <c r="RVR85" s="0"/>
      <c r="RVS85" s="0"/>
      <c r="RVT85" s="0"/>
      <c r="RVU85" s="0"/>
      <c r="RVV85" s="0"/>
      <c r="RVW85" s="0"/>
      <c r="RVX85" s="0"/>
      <c r="RVY85" s="0"/>
      <c r="RVZ85" s="0"/>
      <c r="RWA85" s="0"/>
      <c r="RWB85" s="0"/>
      <c r="RWC85" s="0"/>
      <c r="RWD85" s="0"/>
      <c r="RWE85" s="0"/>
      <c r="RWF85" s="0"/>
      <c r="RWG85" s="0"/>
      <c r="RWH85" s="0"/>
      <c r="RWI85" s="0"/>
      <c r="RWJ85" s="0"/>
      <c r="RWK85" s="0"/>
      <c r="RWL85" s="0"/>
      <c r="RWM85" s="0"/>
      <c r="RWN85" s="0"/>
      <c r="RWO85" s="0"/>
      <c r="RWP85" s="0"/>
      <c r="RWQ85" s="0"/>
      <c r="RWR85" s="0"/>
      <c r="RWS85" s="0"/>
      <c r="RWT85" s="0"/>
      <c r="RWU85" s="0"/>
      <c r="RWV85" s="0"/>
      <c r="RWW85" s="0"/>
      <c r="RWX85" s="0"/>
      <c r="RWY85" s="0"/>
      <c r="RWZ85" s="0"/>
      <c r="RXA85" s="0"/>
      <c r="RXB85" s="0"/>
      <c r="RXC85" s="0"/>
      <c r="RXD85" s="0"/>
      <c r="RXE85" s="0"/>
      <c r="RXF85" s="0"/>
      <c r="RXG85" s="0"/>
      <c r="RXH85" s="0"/>
      <c r="RXI85" s="0"/>
      <c r="RXJ85" s="0"/>
      <c r="RXK85" s="0"/>
      <c r="RXL85" s="0"/>
      <c r="RXM85" s="0"/>
      <c r="RXN85" s="0"/>
      <c r="RXO85" s="0"/>
      <c r="RXP85" s="0"/>
      <c r="RXQ85" s="0"/>
      <c r="RXR85" s="0"/>
      <c r="RXS85" s="0"/>
      <c r="RXT85" s="0"/>
      <c r="RXU85" s="0"/>
      <c r="RXV85" s="0"/>
      <c r="RXW85" s="0"/>
      <c r="RXX85" s="0"/>
      <c r="RXY85" s="0"/>
      <c r="RXZ85" s="0"/>
      <c r="RYA85" s="0"/>
      <c r="RYB85" s="0"/>
      <c r="RYC85" s="0"/>
      <c r="RYD85" s="0"/>
      <c r="RYE85" s="0"/>
      <c r="RYF85" s="0"/>
      <c r="RYG85" s="0"/>
      <c r="RYH85" s="0"/>
      <c r="RYI85" s="0"/>
      <c r="RYJ85" s="0"/>
      <c r="RYK85" s="0"/>
      <c r="RYL85" s="0"/>
      <c r="RYM85" s="0"/>
      <c r="RYN85" s="0"/>
      <c r="RYO85" s="0"/>
      <c r="RYP85" s="0"/>
      <c r="RYQ85" s="0"/>
      <c r="RYR85" s="0"/>
      <c r="RYS85" s="0"/>
      <c r="RYT85" s="0"/>
      <c r="RYU85" s="0"/>
      <c r="RYV85" s="0"/>
      <c r="RYW85" s="0"/>
      <c r="RYX85" s="0"/>
      <c r="RYY85" s="0"/>
      <c r="RYZ85" s="0"/>
      <c r="RZA85" s="0"/>
      <c r="RZB85" s="0"/>
      <c r="RZC85" s="0"/>
      <c r="RZD85" s="0"/>
      <c r="RZE85" s="0"/>
      <c r="RZF85" s="0"/>
      <c r="RZG85" s="0"/>
      <c r="RZH85" s="0"/>
      <c r="RZI85" s="0"/>
      <c r="RZJ85" s="0"/>
      <c r="RZK85" s="0"/>
      <c r="RZL85" s="0"/>
      <c r="RZM85" s="0"/>
      <c r="RZN85" s="0"/>
      <c r="RZO85" s="0"/>
      <c r="RZP85" s="0"/>
      <c r="RZQ85" s="0"/>
      <c r="RZR85" s="0"/>
      <c r="RZS85" s="0"/>
      <c r="RZT85" s="0"/>
      <c r="RZU85" s="0"/>
      <c r="RZV85" s="0"/>
      <c r="RZW85" s="0"/>
      <c r="RZX85" s="0"/>
      <c r="RZY85" s="0"/>
      <c r="RZZ85" s="0"/>
      <c r="SAA85" s="0"/>
      <c r="SAB85" s="0"/>
      <c r="SAC85" s="0"/>
      <c r="SAD85" s="0"/>
      <c r="SAE85" s="0"/>
      <c r="SAF85" s="0"/>
      <c r="SAG85" s="0"/>
      <c r="SAH85" s="0"/>
      <c r="SAI85" s="0"/>
      <c r="SAJ85" s="0"/>
      <c r="SAK85" s="0"/>
      <c r="SAL85" s="0"/>
      <c r="SAM85" s="0"/>
      <c r="SAN85" s="0"/>
      <c r="SAO85" s="0"/>
      <c r="SAP85" s="0"/>
      <c r="SAQ85" s="0"/>
      <c r="SAR85" s="0"/>
      <c r="SAS85" s="0"/>
      <c r="SAT85" s="0"/>
      <c r="SAU85" s="0"/>
      <c r="SAV85" s="0"/>
      <c r="SAW85" s="0"/>
      <c r="SAX85" s="0"/>
      <c r="SAY85" s="0"/>
      <c r="SAZ85" s="0"/>
      <c r="SBA85" s="0"/>
      <c r="SBB85" s="0"/>
      <c r="SBC85" s="0"/>
      <c r="SBD85" s="0"/>
      <c r="SBE85" s="0"/>
      <c r="SBF85" s="0"/>
      <c r="SBG85" s="0"/>
      <c r="SBH85" s="0"/>
      <c r="SBI85" s="0"/>
      <c r="SBJ85" s="0"/>
      <c r="SBK85" s="0"/>
      <c r="SBL85" s="0"/>
      <c r="SBM85" s="0"/>
      <c r="SBN85" s="0"/>
      <c r="SBO85" s="0"/>
      <c r="SBP85" s="0"/>
      <c r="SBQ85" s="0"/>
      <c r="SBR85" s="0"/>
      <c r="SBS85" s="0"/>
      <c r="SBT85" s="0"/>
      <c r="SBU85" s="0"/>
      <c r="SBV85" s="0"/>
      <c r="SBW85" s="0"/>
      <c r="SBX85" s="0"/>
      <c r="SBY85" s="0"/>
      <c r="SBZ85" s="0"/>
      <c r="SCA85" s="0"/>
      <c r="SCB85" s="0"/>
      <c r="SCC85" s="0"/>
      <c r="SCD85" s="0"/>
      <c r="SCE85" s="0"/>
      <c r="SCF85" s="0"/>
      <c r="SCG85" s="0"/>
      <c r="SCH85" s="0"/>
      <c r="SCI85" s="0"/>
      <c r="SCJ85" s="0"/>
      <c r="SCK85" s="0"/>
      <c r="SCL85" s="0"/>
      <c r="SCM85" s="0"/>
      <c r="SCN85" s="0"/>
      <c r="SCO85" s="0"/>
      <c r="SCP85" s="0"/>
      <c r="SCQ85" s="0"/>
      <c r="SCR85" s="0"/>
      <c r="SCS85" s="0"/>
      <c r="SCT85" s="0"/>
      <c r="SCU85" s="0"/>
      <c r="SCV85" s="0"/>
      <c r="SCW85" s="0"/>
      <c r="SCX85" s="0"/>
      <c r="SCY85" s="0"/>
      <c r="SCZ85" s="0"/>
      <c r="SDA85" s="0"/>
      <c r="SDB85" s="0"/>
      <c r="SDC85" s="0"/>
      <c r="SDD85" s="0"/>
      <c r="SDE85" s="0"/>
      <c r="SDF85" s="0"/>
      <c r="SDG85" s="0"/>
      <c r="SDH85" s="0"/>
      <c r="SDI85" s="0"/>
      <c r="SDJ85" s="0"/>
      <c r="SDK85" s="0"/>
      <c r="SDL85" s="0"/>
      <c r="SDM85" s="0"/>
      <c r="SDN85" s="0"/>
      <c r="SDO85" s="0"/>
      <c r="SDP85" s="0"/>
      <c r="SDQ85" s="0"/>
      <c r="SDR85" s="0"/>
      <c r="SDS85" s="0"/>
      <c r="SDT85" s="0"/>
      <c r="SDU85" s="0"/>
      <c r="SDV85" s="0"/>
      <c r="SDW85" s="0"/>
      <c r="SDX85" s="0"/>
      <c r="SDY85" s="0"/>
      <c r="SDZ85" s="0"/>
      <c r="SEA85" s="0"/>
      <c r="SEB85" s="0"/>
      <c r="SEC85" s="0"/>
      <c r="SED85" s="0"/>
      <c r="SEE85" s="0"/>
      <c r="SEF85" s="0"/>
      <c r="SEG85" s="0"/>
      <c r="SEH85" s="0"/>
      <c r="SEI85" s="0"/>
      <c r="SEJ85" s="0"/>
      <c r="SEK85" s="0"/>
      <c r="SEL85" s="0"/>
      <c r="SEM85" s="0"/>
      <c r="SEN85" s="0"/>
      <c r="SEO85" s="0"/>
      <c r="SEP85" s="0"/>
      <c r="SEQ85" s="0"/>
      <c r="SER85" s="0"/>
      <c r="SES85" s="0"/>
      <c r="SET85" s="0"/>
      <c r="SEU85" s="0"/>
      <c r="SEV85" s="0"/>
      <c r="SEW85" s="0"/>
      <c r="SEX85" s="0"/>
      <c r="SEY85" s="0"/>
      <c r="SEZ85" s="0"/>
      <c r="SFA85" s="0"/>
      <c r="SFB85" s="0"/>
      <c r="SFC85" s="0"/>
      <c r="SFD85" s="0"/>
      <c r="SFE85" s="0"/>
      <c r="SFF85" s="0"/>
      <c r="SFG85" s="0"/>
      <c r="SFH85" s="0"/>
      <c r="SFI85" s="0"/>
      <c r="SFJ85" s="0"/>
      <c r="SFK85" s="0"/>
      <c r="SFL85" s="0"/>
      <c r="SFM85" s="0"/>
      <c r="SFN85" s="0"/>
      <c r="SFO85" s="0"/>
      <c r="SFP85" s="0"/>
      <c r="SFQ85" s="0"/>
      <c r="SFR85" s="0"/>
      <c r="SFS85" s="0"/>
      <c r="SFT85" s="0"/>
      <c r="SFU85" s="0"/>
      <c r="SFV85" s="0"/>
      <c r="SFW85" s="0"/>
      <c r="SFX85" s="0"/>
      <c r="SFY85" s="0"/>
      <c r="SFZ85" s="0"/>
      <c r="SGA85" s="0"/>
      <c r="SGB85" s="0"/>
      <c r="SGC85" s="0"/>
      <c r="SGD85" s="0"/>
      <c r="SGE85" s="0"/>
      <c r="SGF85" s="0"/>
      <c r="SGG85" s="0"/>
      <c r="SGH85" s="0"/>
      <c r="SGI85" s="0"/>
      <c r="SGJ85" s="0"/>
      <c r="SGK85" s="0"/>
      <c r="SGL85" s="0"/>
      <c r="SGM85" s="0"/>
      <c r="SGN85" s="0"/>
      <c r="SGO85" s="0"/>
      <c r="SGP85" s="0"/>
      <c r="SGQ85" s="0"/>
      <c r="SGR85" s="0"/>
      <c r="SGS85" s="0"/>
      <c r="SGT85" s="0"/>
      <c r="SGU85" s="0"/>
      <c r="SGV85" s="0"/>
      <c r="SGW85" s="0"/>
      <c r="SGX85" s="0"/>
      <c r="SGY85" s="0"/>
      <c r="SGZ85" s="0"/>
      <c r="SHA85" s="0"/>
      <c r="SHB85" s="0"/>
      <c r="SHC85" s="0"/>
      <c r="SHD85" s="0"/>
      <c r="SHE85" s="0"/>
      <c r="SHF85" s="0"/>
      <c r="SHG85" s="0"/>
      <c r="SHH85" s="0"/>
      <c r="SHI85" s="0"/>
      <c r="SHJ85" s="0"/>
      <c r="SHK85" s="0"/>
      <c r="SHL85" s="0"/>
      <c r="SHM85" s="0"/>
      <c r="SHN85" s="0"/>
      <c r="SHO85" s="0"/>
      <c r="SHP85" s="0"/>
      <c r="SHQ85" s="0"/>
      <c r="SHR85" s="0"/>
      <c r="SHS85" s="0"/>
      <c r="SHT85" s="0"/>
      <c r="SHU85" s="0"/>
      <c r="SHV85" s="0"/>
      <c r="SHW85" s="0"/>
      <c r="SHX85" s="0"/>
      <c r="SHY85" s="0"/>
      <c r="SHZ85" s="0"/>
      <c r="SIA85" s="0"/>
      <c r="SIB85" s="0"/>
      <c r="SIC85" s="0"/>
      <c r="SID85" s="0"/>
      <c r="SIE85" s="0"/>
      <c r="SIF85" s="0"/>
      <c r="SIG85" s="0"/>
      <c r="SIH85" s="0"/>
      <c r="SII85" s="0"/>
      <c r="SIJ85" s="0"/>
      <c r="SIK85" s="0"/>
      <c r="SIL85" s="0"/>
      <c r="SIM85" s="0"/>
      <c r="SIN85" s="0"/>
      <c r="SIO85" s="0"/>
      <c r="SIP85" s="0"/>
      <c r="SIQ85" s="0"/>
      <c r="SIR85" s="0"/>
      <c r="SIS85" s="0"/>
      <c r="SIT85" s="0"/>
      <c r="SIU85" s="0"/>
      <c r="SIV85" s="0"/>
      <c r="SIW85" s="0"/>
      <c r="SIX85" s="0"/>
      <c r="SIY85" s="0"/>
      <c r="SIZ85" s="0"/>
      <c r="SJA85" s="0"/>
      <c r="SJB85" s="0"/>
      <c r="SJC85" s="0"/>
      <c r="SJD85" s="0"/>
      <c r="SJE85" s="0"/>
      <c r="SJF85" s="0"/>
      <c r="SJG85" s="0"/>
      <c r="SJH85" s="0"/>
      <c r="SJI85" s="0"/>
      <c r="SJJ85" s="0"/>
      <c r="SJK85" s="0"/>
      <c r="SJL85" s="0"/>
      <c r="SJM85" s="0"/>
      <c r="SJN85" s="0"/>
      <c r="SJO85" s="0"/>
      <c r="SJP85" s="0"/>
      <c r="SJQ85" s="0"/>
      <c r="SJR85" s="0"/>
      <c r="SJS85" s="0"/>
      <c r="SJT85" s="0"/>
      <c r="SJU85" s="0"/>
      <c r="SJV85" s="0"/>
      <c r="SJW85" s="0"/>
      <c r="SJX85" s="0"/>
      <c r="SJY85" s="0"/>
      <c r="SJZ85" s="0"/>
      <c r="SKA85" s="0"/>
      <c r="SKB85" s="0"/>
      <c r="SKC85" s="0"/>
      <c r="SKD85" s="0"/>
      <c r="SKE85" s="0"/>
      <c r="SKF85" s="0"/>
      <c r="SKG85" s="0"/>
      <c r="SKH85" s="0"/>
      <c r="SKI85" s="0"/>
      <c r="SKJ85" s="0"/>
      <c r="SKK85" s="0"/>
      <c r="SKL85" s="0"/>
      <c r="SKM85" s="0"/>
      <c r="SKN85" s="0"/>
      <c r="SKO85" s="0"/>
      <c r="SKP85" s="0"/>
      <c r="SKQ85" s="0"/>
      <c r="SKR85" s="0"/>
      <c r="SKS85" s="0"/>
      <c r="SKT85" s="0"/>
      <c r="SKU85" s="0"/>
      <c r="SKV85" s="0"/>
      <c r="SKW85" s="0"/>
      <c r="SKX85" s="0"/>
      <c r="SKY85" s="0"/>
      <c r="SKZ85" s="0"/>
      <c r="SLA85" s="0"/>
      <c r="SLB85" s="0"/>
      <c r="SLC85" s="0"/>
      <c r="SLD85" s="0"/>
      <c r="SLE85" s="0"/>
      <c r="SLF85" s="0"/>
      <c r="SLG85" s="0"/>
      <c r="SLH85" s="0"/>
      <c r="SLI85" s="0"/>
      <c r="SLJ85" s="0"/>
      <c r="SLK85" s="0"/>
      <c r="SLL85" s="0"/>
      <c r="SLM85" s="0"/>
      <c r="SLN85" s="0"/>
      <c r="SLO85" s="0"/>
      <c r="SLP85" s="0"/>
      <c r="SLQ85" s="0"/>
      <c r="SLR85" s="0"/>
      <c r="SLS85" s="0"/>
      <c r="SLT85" s="0"/>
      <c r="SLU85" s="0"/>
      <c r="SLV85" s="0"/>
      <c r="SLW85" s="0"/>
      <c r="SLX85" s="0"/>
      <c r="SLY85" s="0"/>
      <c r="SLZ85" s="0"/>
      <c r="SMA85" s="0"/>
      <c r="SMB85" s="0"/>
      <c r="SMC85" s="0"/>
      <c r="SMD85" s="0"/>
      <c r="SME85" s="0"/>
      <c r="SMF85" s="0"/>
      <c r="SMG85" s="0"/>
      <c r="SMH85" s="0"/>
      <c r="SMI85" s="0"/>
      <c r="SMJ85" s="0"/>
      <c r="SMK85" s="0"/>
      <c r="SML85" s="0"/>
      <c r="SMM85" s="0"/>
      <c r="SMN85" s="0"/>
      <c r="SMO85" s="0"/>
      <c r="SMP85" s="0"/>
      <c r="SMQ85" s="0"/>
      <c r="SMR85" s="0"/>
      <c r="SMS85" s="0"/>
      <c r="SMT85" s="0"/>
      <c r="SMU85" s="0"/>
      <c r="SMV85" s="0"/>
      <c r="SMW85" s="0"/>
      <c r="SMX85" s="0"/>
      <c r="SMY85" s="0"/>
      <c r="SMZ85" s="0"/>
      <c r="SNA85" s="0"/>
      <c r="SNB85" s="0"/>
      <c r="SNC85" s="0"/>
      <c r="SND85" s="0"/>
      <c r="SNE85" s="0"/>
      <c r="SNF85" s="0"/>
      <c r="SNG85" s="0"/>
      <c r="SNH85" s="0"/>
      <c r="SNI85" s="0"/>
      <c r="SNJ85" s="0"/>
      <c r="SNK85" s="0"/>
      <c r="SNL85" s="0"/>
      <c r="SNM85" s="0"/>
      <c r="SNN85" s="0"/>
      <c r="SNO85" s="0"/>
      <c r="SNP85" s="0"/>
      <c r="SNQ85" s="0"/>
      <c r="SNR85" s="0"/>
      <c r="SNS85" s="0"/>
      <c r="SNT85" s="0"/>
      <c r="SNU85" s="0"/>
      <c r="SNV85" s="0"/>
      <c r="SNW85" s="0"/>
      <c r="SNX85" s="0"/>
      <c r="SNY85" s="0"/>
      <c r="SNZ85" s="0"/>
      <c r="SOA85" s="0"/>
      <c r="SOB85" s="0"/>
      <c r="SOC85" s="0"/>
      <c r="SOD85" s="0"/>
      <c r="SOE85" s="0"/>
      <c r="SOF85" s="0"/>
      <c r="SOG85" s="0"/>
      <c r="SOH85" s="0"/>
      <c r="SOI85" s="0"/>
      <c r="SOJ85" s="0"/>
      <c r="SOK85" s="0"/>
      <c r="SOL85" s="0"/>
      <c r="SOM85" s="0"/>
      <c r="SON85" s="0"/>
      <c r="SOO85" s="0"/>
      <c r="SOP85" s="0"/>
      <c r="SOQ85" s="0"/>
      <c r="SOR85" s="0"/>
      <c r="SOS85" s="0"/>
      <c r="SOT85" s="0"/>
      <c r="SOU85" s="0"/>
      <c r="SOV85" s="0"/>
      <c r="SOW85" s="0"/>
      <c r="SOX85" s="0"/>
      <c r="SOY85" s="0"/>
      <c r="SOZ85" s="0"/>
      <c r="SPA85" s="0"/>
      <c r="SPB85" s="0"/>
      <c r="SPC85" s="0"/>
      <c r="SPD85" s="0"/>
      <c r="SPE85" s="0"/>
      <c r="SPF85" s="0"/>
      <c r="SPG85" s="0"/>
      <c r="SPH85" s="0"/>
      <c r="SPI85" s="0"/>
      <c r="SPJ85" s="0"/>
      <c r="SPK85" s="0"/>
      <c r="SPL85" s="0"/>
      <c r="SPM85" s="0"/>
      <c r="SPN85" s="0"/>
      <c r="SPO85" s="0"/>
      <c r="SPP85" s="0"/>
      <c r="SPQ85" s="0"/>
      <c r="SPR85" s="0"/>
      <c r="SPS85" s="0"/>
      <c r="SPT85" s="0"/>
      <c r="SPU85" s="0"/>
      <c r="SPV85" s="0"/>
      <c r="SPW85" s="0"/>
      <c r="SPX85" s="0"/>
      <c r="SPY85" s="0"/>
      <c r="SPZ85" s="0"/>
      <c r="SQA85" s="0"/>
      <c r="SQB85" s="0"/>
      <c r="SQC85" s="0"/>
      <c r="SQD85" s="0"/>
      <c r="SQE85" s="0"/>
      <c r="SQF85" s="0"/>
      <c r="SQG85" s="0"/>
      <c r="SQH85" s="0"/>
      <c r="SQI85" s="0"/>
      <c r="SQJ85" s="0"/>
      <c r="SQK85" s="0"/>
      <c r="SQL85" s="0"/>
      <c r="SQM85" s="0"/>
      <c r="SQN85" s="0"/>
      <c r="SQO85" s="0"/>
      <c r="SQP85" s="0"/>
      <c r="SQQ85" s="0"/>
      <c r="SQR85" s="0"/>
      <c r="SQS85" s="0"/>
      <c r="SQT85" s="0"/>
      <c r="SQU85" s="0"/>
      <c r="SQV85" s="0"/>
      <c r="SQW85" s="0"/>
      <c r="SQX85" s="0"/>
      <c r="SQY85" s="0"/>
      <c r="SQZ85" s="0"/>
      <c r="SRA85" s="0"/>
      <c r="SRB85" s="0"/>
      <c r="SRC85" s="0"/>
      <c r="SRD85" s="0"/>
      <c r="SRE85" s="0"/>
      <c r="SRF85" s="0"/>
      <c r="SRG85" s="0"/>
      <c r="SRH85" s="0"/>
      <c r="SRI85" s="0"/>
      <c r="SRJ85" s="0"/>
      <c r="SRK85" s="0"/>
      <c r="SRL85" s="0"/>
      <c r="SRM85" s="0"/>
      <c r="SRN85" s="0"/>
      <c r="SRO85" s="0"/>
      <c r="SRP85" s="0"/>
      <c r="SRQ85" s="0"/>
      <c r="SRR85" s="0"/>
      <c r="SRS85" s="0"/>
      <c r="SRT85" s="0"/>
      <c r="SRU85" s="0"/>
      <c r="SRV85" s="0"/>
      <c r="SRW85" s="0"/>
      <c r="SRX85" s="0"/>
      <c r="SRY85" s="0"/>
      <c r="SRZ85" s="0"/>
      <c r="SSA85" s="0"/>
      <c r="SSB85" s="0"/>
      <c r="SSC85" s="0"/>
      <c r="SSD85" s="0"/>
      <c r="SSE85" s="0"/>
      <c r="SSF85" s="0"/>
      <c r="SSG85" s="0"/>
      <c r="SSH85" s="0"/>
      <c r="SSI85" s="0"/>
      <c r="SSJ85" s="0"/>
      <c r="SSK85" s="0"/>
      <c r="SSL85" s="0"/>
      <c r="SSM85" s="0"/>
      <c r="SSN85" s="0"/>
      <c r="SSO85" s="0"/>
      <c r="SSP85" s="0"/>
      <c r="SSQ85" s="0"/>
      <c r="SSR85" s="0"/>
      <c r="SSS85" s="0"/>
      <c r="SST85" s="0"/>
      <c r="SSU85" s="0"/>
      <c r="SSV85" s="0"/>
      <c r="SSW85" s="0"/>
      <c r="SSX85" s="0"/>
      <c r="SSY85" s="0"/>
      <c r="SSZ85" s="0"/>
      <c r="STA85" s="0"/>
      <c r="STB85" s="0"/>
      <c r="STC85" s="0"/>
      <c r="STD85" s="0"/>
      <c r="STE85" s="0"/>
      <c r="STF85" s="0"/>
      <c r="STG85" s="0"/>
      <c r="STH85" s="0"/>
      <c r="STI85" s="0"/>
      <c r="STJ85" s="0"/>
      <c r="STK85" s="0"/>
      <c r="STL85" s="0"/>
      <c r="STM85" s="0"/>
      <c r="STN85" s="0"/>
      <c r="STO85" s="0"/>
      <c r="STP85" s="0"/>
      <c r="STQ85" s="0"/>
      <c r="STR85" s="0"/>
      <c r="STS85" s="0"/>
      <c r="STT85" s="0"/>
      <c r="STU85" s="0"/>
      <c r="STV85" s="0"/>
      <c r="STW85" s="0"/>
      <c r="STX85" s="0"/>
      <c r="STY85" s="0"/>
      <c r="STZ85" s="0"/>
      <c r="SUA85" s="0"/>
      <c r="SUB85" s="0"/>
      <c r="SUC85" s="0"/>
      <c r="SUD85" s="0"/>
      <c r="SUE85" s="0"/>
      <c r="SUF85" s="0"/>
      <c r="SUG85" s="0"/>
      <c r="SUH85" s="0"/>
      <c r="SUI85" s="0"/>
      <c r="SUJ85" s="0"/>
      <c r="SUK85" s="0"/>
      <c r="SUL85" s="0"/>
      <c r="SUM85" s="0"/>
      <c r="SUN85" s="0"/>
      <c r="SUO85" s="0"/>
      <c r="SUP85" s="0"/>
      <c r="SUQ85" s="0"/>
      <c r="SUR85" s="0"/>
      <c r="SUS85" s="0"/>
      <c r="SUT85" s="0"/>
      <c r="SUU85" s="0"/>
      <c r="SUV85" s="0"/>
      <c r="SUW85" s="0"/>
      <c r="SUX85" s="0"/>
      <c r="SUY85" s="0"/>
      <c r="SUZ85" s="0"/>
      <c r="SVA85" s="0"/>
      <c r="SVB85" s="0"/>
      <c r="SVC85" s="0"/>
      <c r="SVD85" s="0"/>
      <c r="SVE85" s="0"/>
      <c r="SVF85" s="0"/>
      <c r="SVG85" s="0"/>
      <c r="SVH85" s="0"/>
      <c r="SVI85" s="0"/>
      <c r="SVJ85" s="0"/>
      <c r="SVK85" s="0"/>
      <c r="SVL85" s="0"/>
      <c r="SVM85" s="0"/>
      <c r="SVN85" s="0"/>
      <c r="SVO85" s="0"/>
      <c r="SVP85" s="0"/>
      <c r="SVQ85" s="0"/>
      <c r="SVR85" s="0"/>
      <c r="SVS85" s="0"/>
      <c r="SVT85" s="0"/>
      <c r="SVU85" s="0"/>
      <c r="SVV85" s="0"/>
      <c r="SVW85" s="0"/>
      <c r="SVX85" s="0"/>
      <c r="SVY85" s="0"/>
      <c r="SVZ85" s="0"/>
      <c r="SWA85" s="0"/>
      <c r="SWB85" s="0"/>
      <c r="SWC85" s="0"/>
      <c r="SWD85" s="0"/>
      <c r="SWE85" s="0"/>
      <c r="SWF85" s="0"/>
      <c r="SWG85" s="0"/>
      <c r="SWH85" s="0"/>
      <c r="SWI85" s="0"/>
      <c r="SWJ85" s="0"/>
      <c r="SWK85" s="0"/>
      <c r="SWL85" s="0"/>
      <c r="SWM85" s="0"/>
      <c r="SWN85" s="0"/>
      <c r="SWO85" s="0"/>
      <c r="SWP85" s="0"/>
      <c r="SWQ85" s="0"/>
      <c r="SWR85" s="0"/>
      <c r="SWS85" s="0"/>
      <c r="SWT85" s="0"/>
      <c r="SWU85" s="0"/>
      <c r="SWV85" s="0"/>
      <c r="SWW85" s="0"/>
      <c r="SWX85" s="0"/>
      <c r="SWY85" s="0"/>
      <c r="SWZ85" s="0"/>
      <c r="SXA85" s="0"/>
      <c r="SXB85" s="0"/>
      <c r="SXC85" s="0"/>
      <c r="SXD85" s="0"/>
      <c r="SXE85" s="0"/>
      <c r="SXF85" s="0"/>
      <c r="SXG85" s="0"/>
      <c r="SXH85" s="0"/>
      <c r="SXI85" s="0"/>
      <c r="SXJ85" s="0"/>
      <c r="SXK85" s="0"/>
      <c r="SXL85" s="0"/>
      <c r="SXM85" s="0"/>
      <c r="SXN85" s="0"/>
      <c r="SXO85" s="0"/>
      <c r="SXP85" s="0"/>
      <c r="SXQ85" s="0"/>
      <c r="SXR85" s="0"/>
      <c r="SXS85" s="0"/>
      <c r="SXT85" s="0"/>
      <c r="SXU85" s="0"/>
      <c r="SXV85" s="0"/>
      <c r="SXW85" s="0"/>
      <c r="SXX85" s="0"/>
      <c r="SXY85" s="0"/>
      <c r="SXZ85" s="0"/>
      <c r="SYA85" s="0"/>
      <c r="SYB85" s="0"/>
      <c r="SYC85" s="0"/>
      <c r="SYD85" s="0"/>
      <c r="SYE85" s="0"/>
      <c r="SYF85" s="0"/>
      <c r="SYG85" s="0"/>
      <c r="SYH85" s="0"/>
      <c r="SYI85" s="0"/>
      <c r="SYJ85" s="0"/>
      <c r="SYK85" s="0"/>
      <c r="SYL85" s="0"/>
      <c r="SYM85" s="0"/>
      <c r="SYN85" s="0"/>
      <c r="SYO85" s="0"/>
      <c r="SYP85" s="0"/>
      <c r="SYQ85" s="0"/>
      <c r="SYR85" s="0"/>
      <c r="SYS85" s="0"/>
      <c r="SYT85" s="0"/>
      <c r="SYU85" s="0"/>
      <c r="SYV85" s="0"/>
      <c r="SYW85" s="0"/>
      <c r="SYX85" s="0"/>
      <c r="SYY85" s="0"/>
      <c r="SYZ85" s="0"/>
      <c r="SZA85" s="0"/>
      <c r="SZB85" s="0"/>
      <c r="SZC85" s="0"/>
      <c r="SZD85" s="0"/>
      <c r="SZE85" s="0"/>
      <c r="SZF85" s="0"/>
      <c r="SZG85" s="0"/>
      <c r="SZH85" s="0"/>
      <c r="SZI85" s="0"/>
      <c r="SZJ85" s="0"/>
      <c r="SZK85" s="0"/>
      <c r="SZL85" s="0"/>
      <c r="SZM85" s="0"/>
      <c r="SZN85" s="0"/>
      <c r="SZO85" s="0"/>
      <c r="SZP85" s="0"/>
      <c r="SZQ85" s="0"/>
      <c r="SZR85" s="0"/>
      <c r="SZS85" s="0"/>
      <c r="SZT85" s="0"/>
      <c r="SZU85" s="0"/>
      <c r="SZV85" s="0"/>
      <c r="SZW85" s="0"/>
      <c r="SZX85" s="0"/>
      <c r="SZY85" s="0"/>
      <c r="SZZ85" s="0"/>
      <c r="TAA85" s="0"/>
      <c r="TAB85" s="0"/>
      <c r="TAC85" s="0"/>
      <c r="TAD85" s="0"/>
      <c r="TAE85" s="0"/>
      <c r="TAF85" s="0"/>
      <c r="TAG85" s="0"/>
      <c r="TAH85" s="0"/>
      <c r="TAI85" s="0"/>
      <c r="TAJ85" s="0"/>
      <c r="TAK85" s="0"/>
      <c r="TAL85" s="0"/>
      <c r="TAM85" s="0"/>
      <c r="TAN85" s="0"/>
      <c r="TAO85" s="0"/>
      <c r="TAP85" s="0"/>
      <c r="TAQ85" s="0"/>
      <c r="TAR85" s="0"/>
      <c r="TAS85" s="0"/>
      <c r="TAT85" s="0"/>
      <c r="TAU85" s="0"/>
      <c r="TAV85" s="0"/>
      <c r="TAW85" s="0"/>
      <c r="TAX85" s="0"/>
      <c r="TAY85" s="0"/>
      <c r="TAZ85" s="0"/>
      <c r="TBA85" s="0"/>
      <c r="TBB85" s="0"/>
      <c r="TBC85" s="0"/>
      <c r="TBD85" s="0"/>
      <c r="TBE85" s="0"/>
      <c r="TBF85" s="0"/>
      <c r="TBG85" s="0"/>
      <c r="TBH85" s="0"/>
      <c r="TBI85" s="0"/>
      <c r="TBJ85" s="0"/>
      <c r="TBK85" s="0"/>
      <c r="TBL85" s="0"/>
      <c r="TBM85" s="0"/>
      <c r="TBN85" s="0"/>
      <c r="TBO85" s="0"/>
      <c r="TBP85" s="0"/>
      <c r="TBQ85" s="0"/>
      <c r="TBR85" s="0"/>
      <c r="TBS85" s="0"/>
      <c r="TBT85" s="0"/>
      <c r="TBU85" s="0"/>
      <c r="TBV85" s="0"/>
      <c r="TBW85" s="0"/>
      <c r="TBX85" s="0"/>
      <c r="TBY85" s="0"/>
      <c r="TBZ85" s="0"/>
      <c r="TCA85" s="0"/>
      <c r="TCB85" s="0"/>
      <c r="TCC85" s="0"/>
      <c r="TCD85" s="0"/>
      <c r="TCE85" s="0"/>
      <c r="TCF85" s="0"/>
      <c r="TCG85" s="0"/>
      <c r="TCH85" s="0"/>
      <c r="TCI85" s="0"/>
      <c r="TCJ85" s="0"/>
      <c r="TCK85" s="0"/>
      <c r="TCL85" s="0"/>
      <c r="TCM85" s="0"/>
      <c r="TCN85" s="0"/>
      <c r="TCO85" s="0"/>
      <c r="TCP85" s="0"/>
      <c r="TCQ85" s="0"/>
      <c r="TCR85" s="0"/>
      <c r="TCS85" s="0"/>
      <c r="TCT85" s="0"/>
      <c r="TCU85" s="0"/>
      <c r="TCV85" s="0"/>
      <c r="TCW85" s="0"/>
      <c r="TCX85" s="0"/>
      <c r="TCY85" s="0"/>
      <c r="TCZ85" s="0"/>
      <c r="TDA85" s="0"/>
      <c r="TDB85" s="0"/>
      <c r="TDC85" s="0"/>
      <c r="TDD85" s="0"/>
      <c r="TDE85" s="0"/>
      <c r="TDF85" s="0"/>
      <c r="TDG85" s="0"/>
      <c r="TDH85" s="0"/>
      <c r="TDI85" s="0"/>
      <c r="TDJ85" s="0"/>
      <c r="TDK85" s="0"/>
      <c r="TDL85" s="0"/>
      <c r="TDM85" s="0"/>
      <c r="TDN85" s="0"/>
      <c r="TDO85" s="0"/>
      <c r="TDP85" s="0"/>
      <c r="TDQ85" s="0"/>
      <c r="TDR85" s="0"/>
      <c r="TDS85" s="0"/>
      <c r="TDT85" s="0"/>
      <c r="TDU85" s="0"/>
      <c r="TDV85" s="0"/>
      <c r="TDW85" s="0"/>
      <c r="TDX85" s="0"/>
      <c r="TDY85" s="0"/>
      <c r="TDZ85" s="0"/>
      <c r="TEA85" s="0"/>
      <c r="TEB85" s="0"/>
      <c r="TEC85" s="0"/>
      <c r="TED85" s="0"/>
      <c r="TEE85" s="0"/>
      <c r="TEF85" s="0"/>
      <c r="TEG85" s="0"/>
      <c r="TEH85" s="0"/>
      <c r="TEI85" s="0"/>
      <c r="TEJ85" s="0"/>
      <c r="TEK85" s="0"/>
      <c r="TEL85" s="0"/>
      <c r="TEM85" s="0"/>
      <c r="TEN85" s="0"/>
      <c r="TEO85" s="0"/>
      <c r="TEP85" s="0"/>
      <c r="TEQ85" s="0"/>
      <c r="TER85" s="0"/>
      <c r="TES85" s="0"/>
      <c r="TET85" s="0"/>
      <c r="TEU85" s="0"/>
      <c r="TEV85" s="0"/>
      <c r="TEW85" s="0"/>
      <c r="TEX85" s="0"/>
      <c r="TEY85" s="0"/>
      <c r="TEZ85" s="0"/>
      <c r="TFA85" s="0"/>
      <c r="TFB85" s="0"/>
      <c r="TFC85" s="0"/>
      <c r="TFD85" s="0"/>
      <c r="TFE85" s="0"/>
      <c r="TFF85" s="0"/>
      <c r="TFG85" s="0"/>
      <c r="TFH85" s="0"/>
      <c r="TFI85" s="0"/>
      <c r="TFJ85" s="0"/>
      <c r="TFK85" s="0"/>
      <c r="TFL85" s="0"/>
      <c r="TFM85" s="0"/>
      <c r="TFN85" s="0"/>
      <c r="TFO85" s="0"/>
      <c r="TFP85" s="0"/>
      <c r="TFQ85" s="0"/>
      <c r="TFR85" s="0"/>
      <c r="TFS85" s="0"/>
      <c r="TFT85" s="0"/>
      <c r="TFU85" s="0"/>
      <c r="TFV85" s="0"/>
      <c r="TFW85" s="0"/>
      <c r="TFX85" s="0"/>
      <c r="TFY85" s="0"/>
      <c r="TFZ85" s="0"/>
      <c r="TGA85" s="0"/>
      <c r="TGB85" s="0"/>
      <c r="TGC85" s="0"/>
      <c r="TGD85" s="0"/>
      <c r="TGE85" s="0"/>
      <c r="TGF85" s="0"/>
      <c r="TGG85" s="0"/>
      <c r="TGH85" s="0"/>
      <c r="TGI85" s="0"/>
      <c r="TGJ85" s="0"/>
      <c r="TGK85" s="0"/>
      <c r="TGL85" s="0"/>
      <c r="TGM85" s="0"/>
      <c r="TGN85" s="0"/>
      <c r="TGO85" s="0"/>
      <c r="TGP85" s="0"/>
      <c r="TGQ85" s="0"/>
      <c r="TGR85" s="0"/>
      <c r="TGS85" s="0"/>
      <c r="TGT85" s="0"/>
      <c r="TGU85" s="0"/>
      <c r="TGV85" s="0"/>
      <c r="TGW85" s="0"/>
      <c r="TGX85" s="0"/>
      <c r="TGY85" s="0"/>
      <c r="TGZ85" s="0"/>
      <c r="THA85" s="0"/>
      <c r="THB85" s="0"/>
      <c r="THC85" s="0"/>
      <c r="THD85" s="0"/>
      <c r="THE85" s="0"/>
      <c r="THF85" s="0"/>
      <c r="THG85" s="0"/>
      <c r="THH85" s="0"/>
      <c r="THI85" s="0"/>
      <c r="THJ85" s="0"/>
      <c r="THK85" s="0"/>
      <c r="THL85" s="0"/>
      <c r="THM85" s="0"/>
      <c r="THN85" s="0"/>
      <c r="THO85" s="0"/>
      <c r="THP85" s="0"/>
      <c r="THQ85" s="0"/>
      <c r="THR85" s="0"/>
      <c r="THS85" s="0"/>
      <c r="THT85" s="0"/>
      <c r="THU85" s="0"/>
      <c r="THV85" s="0"/>
      <c r="THW85" s="0"/>
      <c r="THX85" s="0"/>
      <c r="THY85" s="0"/>
      <c r="THZ85" s="0"/>
      <c r="TIA85" s="0"/>
      <c r="TIB85" s="0"/>
      <c r="TIC85" s="0"/>
      <c r="TID85" s="0"/>
      <c r="TIE85" s="0"/>
      <c r="TIF85" s="0"/>
      <c r="TIG85" s="0"/>
      <c r="TIH85" s="0"/>
      <c r="TII85" s="0"/>
      <c r="TIJ85" s="0"/>
      <c r="TIK85" s="0"/>
      <c r="TIL85" s="0"/>
      <c r="TIM85" s="0"/>
      <c r="TIN85" s="0"/>
      <c r="TIO85" s="0"/>
      <c r="TIP85" s="0"/>
      <c r="TIQ85" s="0"/>
      <c r="TIR85" s="0"/>
      <c r="TIS85" s="0"/>
      <c r="TIT85" s="0"/>
      <c r="TIU85" s="0"/>
      <c r="TIV85" s="0"/>
      <c r="TIW85" s="0"/>
      <c r="TIX85" s="0"/>
      <c r="TIY85" s="0"/>
      <c r="TIZ85" s="0"/>
      <c r="TJA85" s="0"/>
      <c r="TJB85" s="0"/>
      <c r="TJC85" s="0"/>
      <c r="TJD85" s="0"/>
      <c r="TJE85" s="0"/>
      <c r="TJF85" s="0"/>
      <c r="TJG85" s="0"/>
      <c r="TJH85" s="0"/>
      <c r="TJI85" s="0"/>
      <c r="TJJ85" s="0"/>
      <c r="TJK85" s="0"/>
      <c r="TJL85" s="0"/>
      <c r="TJM85" s="0"/>
      <c r="TJN85" s="0"/>
      <c r="TJO85" s="0"/>
      <c r="TJP85" s="0"/>
      <c r="TJQ85" s="0"/>
      <c r="TJR85" s="0"/>
      <c r="TJS85" s="0"/>
      <c r="TJT85" s="0"/>
      <c r="TJU85" s="0"/>
      <c r="TJV85" s="0"/>
      <c r="TJW85" s="0"/>
      <c r="TJX85" s="0"/>
      <c r="TJY85" s="0"/>
      <c r="TJZ85" s="0"/>
      <c r="TKA85" s="0"/>
      <c r="TKB85" s="0"/>
      <c r="TKC85" s="0"/>
      <c r="TKD85" s="0"/>
      <c r="TKE85" s="0"/>
      <c r="TKF85" s="0"/>
      <c r="TKG85" s="0"/>
      <c r="TKH85" s="0"/>
      <c r="TKI85" s="0"/>
      <c r="TKJ85" s="0"/>
      <c r="TKK85" s="0"/>
      <c r="TKL85" s="0"/>
      <c r="TKM85" s="0"/>
      <c r="TKN85" s="0"/>
      <c r="TKO85" s="0"/>
      <c r="TKP85" s="0"/>
      <c r="TKQ85" s="0"/>
      <c r="TKR85" s="0"/>
      <c r="TKS85" s="0"/>
      <c r="TKT85" s="0"/>
      <c r="TKU85" s="0"/>
      <c r="TKV85" s="0"/>
      <c r="TKW85" s="0"/>
      <c r="TKX85" s="0"/>
      <c r="TKY85" s="0"/>
      <c r="TKZ85" s="0"/>
      <c r="TLA85" s="0"/>
      <c r="TLB85" s="0"/>
      <c r="TLC85" s="0"/>
      <c r="TLD85" s="0"/>
      <c r="TLE85" s="0"/>
      <c r="TLF85" s="0"/>
      <c r="TLG85" s="0"/>
      <c r="TLH85" s="0"/>
      <c r="TLI85" s="0"/>
      <c r="TLJ85" s="0"/>
      <c r="TLK85" s="0"/>
      <c r="TLL85" s="0"/>
      <c r="TLM85" s="0"/>
      <c r="TLN85" s="0"/>
      <c r="TLO85" s="0"/>
      <c r="TLP85" s="0"/>
      <c r="TLQ85" s="0"/>
      <c r="TLR85" s="0"/>
      <c r="TLS85" s="0"/>
      <c r="TLT85" s="0"/>
      <c r="TLU85" s="0"/>
      <c r="TLV85" s="0"/>
      <c r="TLW85" s="0"/>
      <c r="TLX85" s="0"/>
      <c r="TLY85" s="0"/>
      <c r="TLZ85" s="0"/>
      <c r="TMA85" s="0"/>
      <c r="TMB85" s="0"/>
      <c r="TMC85" s="0"/>
      <c r="TMD85" s="0"/>
      <c r="TME85" s="0"/>
      <c r="TMF85" s="0"/>
      <c r="TMG85" s="0"/>
      <c r="TMH85" s="0"/>
      <c r="TMI85" s="0"/>
      <c r="TMJ85" s="0"/>
      <c r="TMK85" s="0"/>
      <c r="TML85" s="0"/>
      <c r="TMM85" s="0"/>
      <c r="TMN85" s="0"/>
      <c r="TMO85" s="0"/>
      <c r="TMP85" s="0"/>
      <c r="TMQ85" s="0"/>
      <c r="TMR85" s="0"/>
      <c r="TMS85" s="0"/>
      <c r="TMT85" s="0"/>
      <c r="TMU85" s="0"/>
      <c r="TMV85" s="0"/>
      <c r="TMW85" s="0"/>
      <c r="TMX85" s="0"/>
      <c r="TMY85" s="0"/>
      <c r="TMZ85" s="0"/>
      <c r="TNA85" s="0"/>
      <c r="TNB85" s="0"/>
      <c r="TNC85" s="0"/>
      <c r="TND85" s="0"/>
      <c r="TNE85" s="0"/>
      <c r="TNF85" s="0"/>
      <c r="TNG85" s="0"/>
      <c r="TNH85" s="0"/>
      <c r="TNI85" s="0"/>
      <c r="TNJ85" s="0"/>
      <c r="TNK85" s="0"/>
      <c r="TNL85" s="0"/>
      <c r="TNM85" s="0"/>
      <c r="TNN85" s="0"/>
      <c r="TNO85" s="0"/>
      <c r="TNP85" s="0"/>
      <c r="TNQ85" s="0"/>
      <c r="TNR85" s="0"/>
      <c r="TNS85" s="0"/>
      <c r="TNT85" s="0"/>
      <c r="TNU85" s="0"/>
      <c r="TNV85" s="0"/>
      <c r="TNW85" s="0"/>
      <c r="TNX85" s="0"/>
      <c r="TNY85" s="0"/>
      <c r="TNZ85" s="0"/>
      <c r="TOA85" s="0"/>
      <c r="TOB85" s="0"/>
      <c r="TOC85" s="0"/>
      <c r="TOD85" s="0"/>
      <c r="TOE85" s="0"/>
      <c r="TOF85" s="0"/>
      <c r="TOG85" s="0"/>
      <c r="TOH85" s="0"/>
      <c r="TOI85" s="0"/>
      <c r="TOJ85" s="0"/>
      <c r="TOK85" s="0"/>
      <c r="TOL85" s="0"/>
      <c r="TOM85" s="0"/>
      <c r="TON85" s="0"/>
      <c r="TOO85" s="0"/>
      <c r="TOP85" s="0"/>
      <c r="TOQ85" s="0"/>
      <c r="TOR85" s="0"/>
      <c r="TOS85" s="0"/>
      <c r="TOT85" s="0"/>
      <c r="TOU85" s="0"/>
      <c r="TOV85" s="0"/>
      <c r="TOW85" s="0"/>
      <c r="TOX85" s="0"/>
      <c r="TOY85" s="0"/>
      <c r="TOZ85" s="0"/>
      <c r="TPA85" s="0"/>
      <c r="TPB85" s="0"/>
      <c r="TPC85" s="0"/>
      <c r="TPD85" s="0"/>
      <c r="TPE85" s="0"/>
      <c r="TPF85" s="0"/>
      <c r="TPG85" s="0"/>
      <c r="TPH85" s="0"/>
      <c r="TPI85" s="0"/>
      <c r="TPJ85" s="0"/>
      <c r="TPK85" s="0"/>
      <c r="TPL85" s="0"/>
      <c r="TPM85" s="0"/>
      <c r="TPN85" s="0"/>
      <c r="TPO85" s="0"/>
      <c r="TPP85" s="0"/>
      <c r="TPQ85" s="0"/>
      <c r="TPR85" s="0"/>
      <c r="TPS85" s="0"/>
      <c r="TPT85" s="0"/>
      <c r="TPU85" s="0"/>
      <c r="TPV85" s="0"/>
      <c r="TPW85" s="0"/>
      <c r="TPX85" s="0"/>
      <c r="TPY85" s="0"/>
      <c r="TPZ85" s="0"/>
      <c r="TQA85" s="0"/>
      <c r="TQB85" s="0"/>
      <c r="TQC85" s="0"/>
      <c r="TQD85" s="0"/>
      <c r="TQE85" s="0"/>
      <c r="TQF85" s="0"/>
      <c r="TQG85" s="0"/>
      <c r="TQH85" s="0"/>
      <c r="TQI85" s="0"/>
      <c r="TQJ85" s="0"/>
      <c r="TQK85" s="0"/>
      <c r="TQL85" s="0"/>
      <c r="TQM85" s="0"/>
      <c r="TQN85" s="0"/>
      <c r="TQO85" s="0"/>
      <c r="TQP85" s="0"/>
      <c r="TQQ85" s="0"/>
      <c r="TQR85" s="0"/>
      <c r="TQS85" s="0"/>
      <c r="TQT85" s="0"/>
      <c r="TQU85" s="0"/>
      <c r="TQV85" s="0"/>
      <c r="TQW85" s="0"/>
      <c r="TQX85" s="0"/>
      <c r="TQY85" s="0"/>
      <c r="TQZ85" s="0"/>
      <c r="TRA85" s="0"/>
      <c r="TRB85" s="0"/>
      <c r="TRC85" s="0"/>
      <c r="TRD85" s="0"/>
      <c r="TRE85" s="0"/>
      <c r="TRF85" s="0"/>
      <c r="TRG85" s="0"/>
      <c r="TRH85" s="0"/>
      <c r="TRI85" s="0"/>
      <c r="TRJ85" s="0"/>
      <c r="TRK85" s="0"/>
      <c r="TRL85" s="0"/>
      <c r="TRM85" s="0"/>
      <c r="TRN85" s="0"/>
      <c r="TRO85" s="0"/>
      <c r="TRP85" s="0"/>
      <c r="TRQ85" s="0"/>
      <c r="TRR85" s="0"/>
      <c r="TRS85" s="0"/>
      <c r="TRT85" s="0"/>
      <c r="TRU85" s="0"/>
      <c r="TRV85" s="0"/>
      <c r="TRW85" s="0"/>
      <c r="TRX85" s="0"/>
      <c r="TRY85" s="0"/>
      <c r="TRZ85" s="0"/>
      <c r="TSA85" s="0"/>
      <c r="TSB85" s="0"/>
      <c r="TSC85" s="0"/>
      <c r="TSD85" s="0"/>
      <c r="TSE85" s="0"/>
      <c r="TSF85" s="0"/>
      <c r="TSG85" s="0"/>
      <c r="TSH85" s="0"/>
      <c r="TSI85" s="0"/>
      <c r="TSJ85" s="0"/>
      <c r="TSK85" s="0"/>
      <c r="TSL85" s="0"/>
      <c r="TSM85" s="0"/>
      <c r="TSN85" s="0"/>
      <c r="TSO85" s="0"/>
      <c r="TSP85" s="0"/>
      <c r="TSQ85" s="0"/>
      <c r="TSR85" s="0"/>
      <c r="TSS85" s="0"/>
      <c r="TST85" s="0"/>
      <c r="TSU85" s="0"/>
      <c r="TSV85" s="0"/>
      <c r="TSW85" s="0"/>
      <c r="TSX85" s="0"/>
      <c r="TSY85" s="0"/>
      <c r="TSZ85" s="0"/>
      <c r="TTA85" s="0"/>
      <c r="TTB85" s="0"/>
      <c r="TTC85" s="0"/>
      <c r="TTD85" s="0"/>
      <c r="TTE85" s="0"/>
      <c r="TTF85" s="0"/>
      <c r="TTG85" s="0"/>
      <c r="TTH85" s="0"/>
      <c r="TTI85" s="0"/>
      <c r="TTJ85" s="0"/>
      <c r="TTK85" s="0"/>
      <c r="TTL85" s="0"/>
      <c r="TTM85" s="0"/>
      <c r="TTN85" s="0"/>
      <c r="TTO85" s="0"/>
      <c r="TTP85" s="0"/>
      <c r="TTQ85" s="0"/>
      <c r="TTR85" s="0"/>
      <c r="TTS85" s="0"/>
      <c r="TTT85" s="0"/>
      <c r="TTU85" s="0"/>
      <c r="TTV85" s="0"/>
      <c r="TTW85" s="0"/>
      <c r="TTX85" s="0"/>
      <c r="TTY85" s="0"/>
      <c r="TTZ85" s="0"/>
      <c r="TUA85" s="0"/>
      <c r="TUB85" s="0"/>
      <c r="TUC85" s="0"/>
      <c r="TUD85" s="0"/>
      <c r="TUE85" s="0"/>
      <c r="TUF85" s="0"/>
      <c r="TUG85" s="0"/>
      <c r="TUH85" s="0"/>
      <c r="TUI85" s="0"/>
      <c r="TUJ85" s="0"/>
      <c r="TUK85" s="0"/>
      <c r="TUL85" s="0"/>
      <c r="TUM85" s="0"/>
      <c r="TUN85" s="0"/>
      <c r="TUO85" s="0"/>
      <c r="TUP85" s="0"/>
      <c r="TUQ85" s="0"/>
      <c r="TUR85" s="0"/>
      <c r="TUS85" s="0"/>
      <c r="TUT85" s="0"/>
      <c r="TUU85" s="0"/>
      <c r="TUV85" s="0"/>
      <c r="TUW85" s="0"/>
      <c r="TUX85" s="0"/>
      <c r="TUY85" s="0"/>
      <c r="TUZ85" s="0"/>
      <c r="TVA85" s="0"/>
      <c r="TVB85" s="0"/>
      <c r="TVC85" s="0"/>
      <c r="TVD85" s="0"/>
      <c r="TVE85" s="0"/>
      <c r="TVF85" s="0"/>
      <c r="TVG85" s="0"/>
      <c r="TVH85" s="0"/>
      <c r="TVI85" s="0"/>
      <c r="TVJ85" s="0"/>
      <c r="TVK85" s="0"/>
      <c r="TVL85" s="0"/>
      <c r="TVM85" s="0"/>
      <c r="TVN85" s="0"/>
      <c r="TVO85" s="0"/>
      <c r="TVP85" s="0"/>
      <c r="TVQ85" s="0"/>
      <c r="TVR85" s="0"/>
      <c r="TVS85" s="0"/>
      <c r="TVT85" s="0"/>
      <c r="TVU85" s="0"/>
      <c r="TVV85" s="0"/>
      <c r="TVW85" s="0"/>
      <c r="TVX85" s="0"/>
      <c r="TVY85" s="0"/>
      <c r="TVZ85" s="0"/>
      <c r="TWA85" s="0"/>
      <c r="TWB85" s="0"/>
      <c r="TWC85" s="0"/>
      <c r="TWD85" s="0"/>
      <c r="TWE85" s="0"/>
      <c r="TWF85" s="0"/>
      <c r="TWG85" s="0"/>
      <c r="TWH85" s="0"/>
      <c r="TWI85" s="0"/>
      <c r="TWJ85" s="0"/>
      <c r="TWK85" s="0"/>
      <c r="TWL85" s="0"/>
      <c r="TWM85" s="0"/>
      <c r="TWN85" s="0"/>
      <c r="TWO85" s="0"/>
      <c r="TWP85" s="0"/>
      <c r="TWQ85" s="0"/>
      <c r="TWR85" s="0"/>
      <c r="TWS85" s="0"/>
      <c r="TWT85" s="0"/>
      <c r="TWU85" s="0"/>
      <c r="TWV85" s="0"/>
      <c r="TWW85" s="0"/>
      <c r="TWX85" s="0"/>
      <c r="TWY85" s="0"/>
      <c r="TWZ85" s="0"/>
      <c r="TXA85" s="0"/>
      <c r="TXB85" s="0"/>
      <c r="TXC85" s="0"/>
      <c r="TXD85" s="0"/>
      <c r="TXE85" s="0"/>
      <c r="TXF85" s="0"/>
      <c r="TXG85" s="0"/>
      <c r="TXH85" s="0"/>
      <c r="TXI85" s="0"/>
      <c r="TXJ85" s="0"/>
      <c r="TXK85" s="0"/>
      <c r="TXL85" s="0"/>
      <c r="TXM85" s="0"/>
      <c r="TXN85" s="0"/>
      <c r="TXO85" s="0"/>
      <c r="TXP85" s="0"/>
      <c r="TXQ85" s="0"/>
      <c r="TXR85" s="0"/>
      <c r="TXS85" s="0"/>
      <c r="TXT85" s="0"/>
      <c r="TXU85" s="0"/>
      <c r="TXV85" s="0"/>
      <c r="TXW85" s="0"/>
      <c r="TXX85" s="0"/>
      <c r="TXY85" s="0"/>
      <c r="TXZ85" s="0"/>
      <c r="TYA85" s="0"/>
      <c r="TYB85" s="0"/>
      <c r="TYC85" s="0"/>
      <c r="TYD85" s="0"/>
      <c r="TYE85" s="0"/>
      <c r="TYF85" s="0"/>
      <c r="TYG85" s="0"/>
      <c r="TYH85" s="0"/>
      <c r="TYI85" s="0"/>
      <c r="TYJ85" s="0"/>
      <c r="TYK85" s="0"/>
      <c r="TYL85" s="0"/>
      <c r="TYM85" s="0"/>
      <c r="TYN85" s="0"/>
      <c r="TYO85" s="0"/>
      <c r="TYP85" s="0"/>
      <c r="TYQ85" s="0"/>
      <c r="TYR85" s="0"/>
      <c r="TYS85" s="0"/>
      <c r="TYT85" s="0"/>
      <c r="TYU85" s="0"/>
      <c r="TYV85" s="0"/>
      <c r="TYW85" s="0"/>
      <c r="TYX85" s="0"/>
      <c r="TYY85" s="0"/>
      <c r="TYZ85" s="0"/>
      <c r="TZA85" s="0"/>
      <c r="TZB85" s="0"/>
      <c r="TZC85" s="0"/>
      <c r="TZD85" s="0"/>
      <c r="TZE85" s="0"/>
      <c r="TZF85" s="0"/>
      <c r="TZG85" s="0"/>
      <c r="TZH85" s="0"/>
      <c r="TZI85" s="0"/>
      <c r="TZJ85" s="0"/>
      <c r="TZK85" s="0"/>
      <c r="TZL85" s="0"/>
      <c r="TZM85" s="0"/>
      <c r="TZN85" s="0"/>
      <c r="TZO85" s="0"/>
      <c r="TZP85" s="0"/>
      <c r="TZQ85" s="0"/>
      <c r="TZR85" s="0"/>
      <c r="TZS85" s="0"/>
      <c r="TZT85" s="0"/>
      <c r="TZU85" s="0"/>
      <c r="TZV85" s="0"/>
      <c r="TZW85" s="0"/>
      <c r="TZX85" s="0"/>
      <c r="TZY85" s="0"/>
      <c r="TZZ85" s="0"/>
      <c r="UAA85" s="0"/>
      <c r="UAB85" s="0"/>
      <c r="UAC85" s="0"/>
      <c r="UAD85" s="0"/>
      <c r="UAE85" s="0"/>
      <c r="UAF85" s="0"/>
      <c r="UAG85" s="0"/>
      <c r="UAH85" s="0"/>
      <c r="UAI85" s="0"/>
      <c r="UAJ85" s="0"/>
      <c r="UAK85" s="0"/>
      <c r="UAL85" s="0"/>
      <c r="UAM85" s="0"/>
      <c r="UAN85" s="0"/>
      <c r="UAO85" s="0"/>
      <c r="UAP85" s="0"/>
      <c r="UAQ85" s="0"/>
      <c r="UAR85" s="0"/>
      <c r="UAS85" s="0"/>
      <c r="UAT85" s="0"/>
      <c r="UAU85" s="0"/>
      <c r="UAV85" s="0"/>
      <c r="UAW85" s="0"/>
      <c r="UAX85" s="0"/>
      <c r="UAY85" s="0"/>
      <c r="UAZ85" s="0"/>
      <c r="UBA85" s="0"/>
      <c r="UBB85" s="0"/>
      <c r="UBC85" s="0"/>
      <c r="UBD85" s="0"/>
      <c r="UBE85" s="0"/>
      <c r="UBF85" s="0"/>
      <c r="UBG85" s="0"/>
      <c r="UBH85" s="0"/>
      <c r="UBI85" s="0"/>
      <c r="UBJ85" s="0"/>
      <c r="UBK85" s="0"/>
      <c r="UBL85" s="0"/>
      <c r="UBM85" s="0"/>
      <c r="UBN85" s="0"/>
      <c r="UBO85" s="0"/>
      <c r="UBP85" s="0"/>
      <c r="UBQ85" s="0"/>
      <c r="UBR85" s="0"/>
      <c r="UBS85" s="0"/>
      <c r="UBT85" s="0"/>
      <c r="UBU85" s="0"/>
      <c r="UBV85" s="0"/>
      <c r="UBW85" s="0"/>
      <c r="UBX85" s="0"/>
      <c r="UBY85" s="0"/>
      <c r="UBZ85" s="0"/>
      <c r="UCA85" s="0"/>
      <c r="UCB85" s="0"/>
      <c r="UCC85" s="0"/>
      <c r="UCD85" s="0"/>
      <c r="UCE85" s="0"/>
      <c r="UCF85" s="0"/>
      <c r="UCG85" s="0"/>
      <c r="UCH85" s="0"/>
      <c r="UCI85" s="0"/>
      <c r="UCJ85" s="0"/>
      <c r="UCK85" s="0"/>
      <c r="UCL85" s="0"/>
      <c r="UCM85" s="0"/>
      <c r="UCN85" s="0"/>
      <c r="UCO85" s="0"/>
      <c r="UCP85" s="0"/>
      <c r="UCQ85" s="0"/>
      <c r="UCR85" s="0"/>
      <c r="UCS85" s="0"/>
      <c r="UCT85" s="0"/>
      <c r="UCU85" s="0"/>
      <c r="UCV85" s="0"/>
      <c r="UCW85" s="0"/>
      <c r="UCX85" s="0"/>
      <c r="UCY85" s="0"/>
      <c r="UCZ85" s="0"/>
      <c r="UDA85" s="0"/>
      <c r="UDB85" s="0"/>
      <c r="UDC85" s="0"/>
      <c r="UDD85" s="0"/>
      <c r="UDE85" s="0"/>
      <c r="UDF85" s="0"/>
      <c r="UDG85" s="0"/>
      <c r="UDH85" s="0"/>
      <c r="UDI85" s="0"/>
      <c r="UDJ85" s="0"/>
      <c r="UDK85" s="0"/>
      <c r="UDL85" s="0"/>
      <c r="UDM85" s="0"/>
      <c r="UDN85" s="0"/>
      <c r="UDO85" s="0"/>
      <c r="UDP85" s="0"/>
      <c r="UDQ85" s="0"/>
      <c r="UDR85" s="0"/>
      <c r="UDS85" s="0"/>
      <c r="UDT85" s="0"/>
      <c r="UDU85" s="0"/>
      <c r="UDV85" s="0"/>
      <c r="UDW85" s="0"/>
      <c r="UDX85" s="0"/>
      <c r="UDY85" s="0"/>
      <c r="UDZ85" s="0"/>
      <c r="UEA85" s="0"/>
      <c r="UEB85" s="0"/>
      <c r="UEC85" s="0"/>
      <c r="UED85" s="0"/>
      <c r="UEE85" s="0"/>
      <c r="UEF85" s="0"/>
      <c r="UEG85" s="0"/>
      <c r="UEH85" s="0"/>
      <c r="UEI85" s="0"/>
      <c r="UEJ85" s="0"/>
      <c r="UEK85" s="0"/>
      <c r="UEL85" s="0"/>
      <c r="UEM85" s="0"/>
      <c r="UEN85" s="0"/>
      <c r="UEO85" s="0"/>
      <c r="UEP85" s="0"/>
      <c r="UEQ85" s="0"/>
      <c r="UER85" s="0"/>
      <c r="UES85" s="0"/>
      <c r="UET85" s="0"/>
      <c r="UEU85" s="0"/>
      <c r="UEV85" s="0"/>
      <c r="UEW85" s="0"/>
      <c r="UEX85" s="0"/>
      <c r="UEY85" s="0"/>
      <c r="UEZ85" s="0"/>
      <c r="UFA85" s="0"/>
      <c r="UFB85" s="0"/>
      <c r="UFC85" s="0"/>
      <c r="UFD85" s="0"/>
      <c r="UFE85" s="0"/>
      <c r="UFF85" s="0"/>
      <c r="UFG85" s="0"/>
      <c r="UFH85" s="0"/>
      <c r="UFI85" s="0"/>
      <c r="UFJ85" s="0"/>
      <c r="UFK85" s="0"/>
      <c r="UFL85" s="0"/>
      <c r="UFM85" s="0"/>
      <c r="UFN85" s="0"/>
      <c r="UFO85" s="0"/>
      <c r="UFP85" s="0"/>
      <c r="UFQ85" s="0"/>
      <c r="UFR85" s="0"/>
      <c r="UFS85" s="0"/>
      <c r="UFT85" s="0"/>
      <c r="UFU85" s="0"/>
      <c r="UFV85" s="0"/>
      <c r="UFW85" s="0"/>
      <c r="UFX85" s="0"/>
      <c r="UFY85" s="0"/>
      <c r="UFZ85" s="0"/>
      <c r="UGA85" s="0"/>
      <c r="UGB85" s="0"/>
      <c r="UGC85" s="0"/>
      <c r="UGD85" s="0"/>
      <c r="UGE85" s="0"/>
      <c r="UGF85" s="0"/>
      <c r="UGG85" s="0"/>
      <c r="UGH85" s="0"/>
      <c r="UGI85" s="0"/>
      <c r="UGJ85" s="0"/>
      <c r="UGK85" s="0"/>
      <c r="UGL85" s="0"/>
      <c r="UGM85" s="0"/>
      <c r="UGN85" s="0"/>
      <c r="UGO85" s="0"/>
      <c r="UGP85" s="0"/>
      <c r="UGQ85" s="0"/>
      <c r="UGR85" s="0"/>
      <c r="UGS85" s="0"/>
      <c r="UGT85" s="0"/>
      <c r="UGU85" s="0"/>
      <c r="UGV85" s="0"/>
      <c r="UGW85" s="0"/>
      <c r="UGX85" s="0"/>
      <c r="UGY85" s="0"/>
      <c r="UGZ85" s="0"/>
      <c r="UHA85" s="0"/>
      <c r="UHB85" s="0"/>
      <c r="UHC85" s="0"/>
      <c r="UHD85" s="0"/>
      <c r="UHE85" s="0"/>
      <c r="UHF85" s="0"/>
      <c r="UHG85" s="0"/>
      <c r="UHH85" s="0"/>
      <c r="UHI85" s="0"/>
      <c r="UHJ85" s="0"/>
      <c r="UHK85" s="0"/>
      <c r="UHL85" s="0"/>
      <c r="UHM85" s="0"/>
      <c r="UHN85" s="0"/>
      <c r="UHO85" s="0"/>
      <c r="UHP85" s="0"/>
      <c r="UHQ85" s="0"/>
      <c r="UHR85" s="0"/>
      <c r="UHS85" s="0"/>
      <c r="UHT85" s="0"/>
      <c r="UHU85" s="0"/>
      <c r="UHV85" s="0"/>
      <c r="UHW85" s="0"/>
      <c r="UHX85" s="0"/>
      <c r="UHY85" s="0"/>
      <c r="UHZ85" s="0"/>
      <c r="UIA85" s="0"/>
      <c r="UIB85" s="0"/>
      <c r="UIC85" s="0"/>
      <c r="UID85" s="0"/>
      <c r="UIE85" s="0"/>
      <c r="UIF85" s="0"/>
      <c r="UIG85" s="0"/>
      <c r="UIH85" s="0"/>
      <c r="UII85" s="0"/>
      <c r="UIJ85" s="0"/>
      <c r="UIK85" s="0"/>
      <c r="UIL85" s="0"/>
      <c r="UIM85" s="0"/>
      <c r="UIN85" s="0"/>
      <c r="UIO85" s="0"/>
      <c r="UIP85" s="0"/>
      <c r="UIQ85" s="0"/>
      <c r="UIR85" s="0"/>
      <c r="UIS85" s="0"/>
      <c r="UIT85" s="0"/>
      <c r="UIU85" s="0"/>
      <c r="UIV85" s="0"/>
      <c r="UIW85" s="0"/>
      <c r="UIX85" s="0"/>
      <c r="UIY85" s="0"/>
      <c r="UIZ85" s="0"/>
      <c r="UJA85" s="0"/>
      <c r="UJB85" s="0"/>
      <c r="UJC85" s="0"/>
      <c r="UJD85" s="0"/>
      <c r="UJE85" s="0"/>
      <c r="UJF85" s="0"/>
      <c r="UJG85" s="0"/>
      <c r="UJH85" s="0"/>
      <c r="UJI85" s="0"/>
      <c r="UJJ85" s="0"/>
      <c r="UJK85" s="0"/>
      <c r="UJL85" s="0"/>
      <c r="UJM85" s="0"/>
      <c r="UJN85" s="0"/>
      <c r="UJO85" s="0"/>
      <c r="UJP85" s="0"/>
      <c r="UJQ85" s="0"/>
      <c r="UJR85" s="0"/>
      <c r="UJS85" s="0"/>
      <c r="UJT85" s="0"/>
      <c r="UJU85" s="0"/>
      <c r="UJV85" s="0"/>
      <c r="UJW85" s="0"/>
      <c r="UJX85" s="0"/>
      <c r="UJY85" s="0"/>
      <c r="UJZ85" s="0"/>
      <c r="UKA85" s="0"/>
      <c r="UKB85" s="0"/>
      <c r="UKC85" s="0"/>
      <c r="UKD85" s="0"/>
      <c r="UKE85" s="0"/>
      <c r="UKF85" s="0"/>
      <c r="UKG85" s="0"/>
      <c r="UKH85" s="0"/>
      <c r="UKI85" s="0"/>
      <c r="UKJ85" s="0"/>
      <c r="UKK85" s="0"/>
      <c r="UKL85" s="0"/>
      <c r="UKM85" s="0"/>
      <c r="UKN85" s="0"/>
      <c r="UKO85" s="0"/>
      <c r="UKP85" s="0"/>
      <c r="UKQ85" s="0"/>
      <c r="UKR85" s="0"/>
      <c r="UKS85" s="0"/>
      <c r="UKT85" s="0"/>
      <c r="UKU85" s="0"/>
      <c r="UKV85" s="0"/>
      <c r="UKW85" s="0"/>
      <c r="UKX85" s="0"/>
      <c r="UKY85" s="0"/>
      <c r="UKZ85" s="0"/>
      <c r="ULA85" s="0"/>
      <c r="ULB85" s="0"/>
      <c r="ULC85" s="0"/>
      <c r="ULD85" s="0"/>
      <c r="ULE85" s="0"/>
      <c r="ULF85" s="0"/>
      <c r="ULG85" s="0"/>
      <c r="ULH85" s="0"/>
      <c r="ULI85" s="0"/>
      <c r="ULJ85" s="0"/>
      <c r="ULK85" s="0"/>
      <c r="ULL85" s="0"/>
      <c r="ULM85" s="0"/>
      <c r="ULN85" s="0"/>
      <c r="ULO85" s="0"/>
      <c r="ULP85" s="0"/>
      <c r="ULQ85" s="0"/>
      <c r="ULR85" s="0"/>
      <c r="ULS85" s="0"/>
      <c r="ULT85" s="0"/>
      <c r="ULU85" s="0"/>
      <c r="ULV85" s="0"/>
      <c r="ULW85" s="0"/>
      <c r="ULX85" s="0"/>
      <c r="ULY85" s="0"/>
      <c r="ULZ85" s="0"/>
      <c r="UMA85" s="0"/>
      <c r="UMB85" s="0"/>
      <c r="UMC85" s="0"/>
      <c r="UMD85" s="0"/>
      <c r="UME85" s="0"/>
      <c r="UMF85" s="0"/>
      <c r="UMG85" s="0"/>
      <c r="UMH85" s="0"/>
      <c r="UMI85" s="0"/>
      <c r="UMJ85" s="0"/>
      <c r="UMK85" s="0"/>
      <c r="UML85" s="0"/>
      <c r="UMM85" s="0"/>
      <c r="UMN85" s="0"/>
      <c r="UMO85" s="0"/>
      <c r="UMP85" s="0"/>
      <c r="UMQ85" s="0"/>
      <c r="UMR85" s="0"/>
      <c r="UMS85" s="0"/>
      <c r="UMT85" s="0"/>
      <c r="UMU85" s="0"/>
      <c r="UMV85" s="0"/>
      <c r="UMW85" s="0"/>
      <c r="UMX85" s="0"/>
      <c r="UMY85" s="0"/>
      <c r="UMZ85" s="0"/>
      <c r="UNA85" s="0"/>
      <c r="UNB85" s="0"/>
      <c r="UNC85" s="0"/>
      <c r="UND85" s="0"/>
      <c r="UNE85" s="0"/>
      <c r="UNF85" s="0"/>
      <c r="UNG85" s="0"/>
      <c r="UNH85" s="0"/>
      <c r="UNI85" s="0"/>
      <c r="UNJ85" s="0"/>
      <c r="UNK85" s="0"/>
      <c r="UNL85" s="0"/>
      <c r="UNM85" s="0"/>
      <c r="UNN85" s="0"/>
      <c r="UNO85" s="0"/>
      <c r="UNP85" s="0"/>
      <c r="UNQ85" s="0"/>
      <c r="UNR85" s="0"/>
      <c r="UNS85" s="0"/>
      <c r="UNT85" s="0"/>
      <c r="UNU85" s="0"/>
      <c r="UNV85" s="0"/>
      <c r="UNW85" s="0"/>
      <c r="UNX85" s="0"/>
      <c r="UNY85" s="0"/>
      <c r="UNZ85" s="0"/>
      <c r="UOA85" s="0"/>
      <c r="UOB85" s="0"/>
      <c r="UOC85" s="0"/>
      <c r="UOD85" s="0"/>
      <c r="UOE85" s="0"/>
      <c r="UOF85" s="0"/>
      <c r="UOG85" s="0"/>
      <c r="UOH85" s="0"/>
      <c r="UOI85" s="0"/>
      <c r="UOJ85" s="0"/>
      <c r="UOK85" s="0"/>
      <c r="UOL85" s="0"/>
      <c r="UOM85" s="0"/>
      <c r="UON85" s="0"/>
      <c r="UOO85" s="0"/>
      <c r="UOP85" s="0"/>
      <c r="UOQ85" s="0"/>
      <c r="UOR85" s="0"/>
      <c r="UOS85" s="0"/>
      <c r="UOT85" s="0"/>
      <c r="UOU85" s="0"/>
      <c r="UOV85" s="0"/>
      <c r="UOW85" s="0"/>
      <c r="UOX85" s="0"/>
      <c r="UOY85" s="0"/>
      <c r="UOZ85" s="0"/>
      <c r="UPA85" s="0"/>
      <c r="UPB85" s="0"/>
      <c r="UPC85" s="0"/>
      <c r="UPD85" s="0"/>
      <c r="UPE85" s="0"/>
      <c r="UPF85" s="0"/>
      <c r="UPG85" s="0"/>
      <c r="UPH85" s="0"/>
      <c r="UPI85" s="0"/>
      <c r="UPJ85" s="0"/>
      <c r="UPK85" s="0"/>
      <c r="UPL85" s="0"/>
      <c r="UPM85" s="0"/>
      <c r="UPN85" s="0"/>
      <c r="UPO85" s="0"/>
      <c r="UPP85" s="0"/>
      <c r="UPQ85" s="0"/>
      <c r="UPR85" s="0"/>
      <c r="UPS85" s="0"/>
      <c r="UPT85" s="0"/>
      <c r="UPU85" s="0"/>
      <c r="UPV85" s="0"/>
      <c r="UPW85" s="0"/>
      <c r="UPX85" s="0"/>
      <c r="UPY85" s="0"/>
      <c r="UPZ85" s="0"/>
      <c r="UQA85" s="0"/>
      <c r="UQB85" s="0"/>
      <c r="UQC85" s="0"/>
      <c r="UQD85" s="0"/>
      <c r="UQE85" s="0"/>
      <c r="UQF85" s="0"/>
      <c r="UQG85" s="0"/>
      <c r="UQH85" s="0"/>
      <c r="UQI85" s="0"/>
      <c r="UQJ85" s="0"/>
      <c r="UQK85" s="0"/>
      <c r="UQL85" s="0"/>
      <c r="UQM85" s="0"/>
      <c r="UQN85" s="0"/>
      <c r="UQO85" s="0"/>
      <c r="UQP85" s="0"/>
      <c r="UQQ85" s="0"/>
      <c r="UQR85" s="0"/>
      <c r="UQS85" s="0"/>
      <c r="UQT85" s="0"/>
      <c r="UQU85" s="0"/>
      <c r="UQV85" s="0"/>
      <c r="UQW85" s="0"/>
      <c r="UQX85" s="0"/>
      <c r="UQY85" s="0"/>
      <c r="UQZ85" s="0"/>
      <c r="URA85" s="0"/>
      <c r="URB85" s="0"/>
      <c r="URC85" s="0"/>
      <c r="URD85" s="0"/>
      <c r="URE85" s="0"/>
      <c r="URF85" s="0"/>
      <c r="URG85" s="0"/>
      <c r="URH85" s="0"/>
      <c r="URI85" s="0"/>
      <c r="URJ85" s="0"/>
      <c r="URK85" s="0"/>
      <c r="URL85" s="0"/>
      <c r="URM85" s="0"/>
      <c r="URN85" s="0"/>
      <c r="URO85" s="0"/>
      <c r="URP85" s="0"/>
      <c r="URQ85" s="0"/>
      <c r="URR85" s="0"/>
      <c r="URS85" s="0"/>
      <c r="URT85" s="0"/>
      <c r="URU85" s="0"/>
      <c r="URV85" s="0"/>
      <c r="URW85" s="0"/>
      <c r="URX85" s="0"/>
      <c r="URY85" s="0"/>
      <c r="URZ85" s="0"/>
      <c r="USA85" s="0"/>
      <c r="USB85" s="0"/>
      <c r="USC85" s="0"/>
      <c r="USD85" s="0"/>
      <c r="USE85" s="0"/>
      <c r="USF85" s="0"/>
      <c r="USG85" s="0"/>
      <c r="USH85" s="0"/>
      <c r="USI85" s="0"/>
      <c r="USJ85" s="0"/>
      <c r="USK85" s="0"/>
      <c r="USL85" s="0"/>
      <c r="USM85" s="0"/>
      <c r="USN85" s="0"/>
      <c r="USO85" s="0"/>
      <c r="USP85" s="0"/>
      <c r="USQ85" s="0"/>
      <c r="USR85" s="0"/>
      <c r="USS85" s="0"/>
      <c r="UST85" s="0"/>
      <c r="USU85" s="0"/>
      <c r="USV85" s="0"/>
      <c r="USW85" s="0"/>
      <c r="USX85" s="0"/>
      <c r="USY85" s="0"/>
      <c r="USZ85" s="0"/>
      <c r="UTA85" s="0"/>
      <c r="UTB85" s="0"/>
      <c r="UTC85" s="0"/>
      <c r="UTD85" s="0"/>
      <c r="UTE85" s="0"/>
      <c r="UTF85" s="0"/>
      <c r="UTG85" s="0"/>
      <c r="UTH85" s="0"/>
      <c r="UTI85" s="0"/>
      <c r="UTJ85" s="0"/>
      <c r="UTK85" s="0"/>
      <c r="UTL85" s="0"/>
      <c r="UTM85" s="0"/>
      <c r="UTN85" s="0"/>
      <c r="UTO85" s="0"/>
      <c r="UTP85" s="0"/>
      <c r="UTQ85" s="0"/>
      <c r="UTR85" s="0"/>
      <c r="UTS85" s="0"/>
      <c r="UTT85" s="0"/>
      <c r="UTU85" s="0"/>
      <c r="UTV85" s="0"/>
      <c r="UTW85" s="0"/>
      <c r="UTX85" s="0"/>
      <c r="UTY85" s="0"/>
      <c r="UTZ85" s="0"/>
      <c r="UUA85" s="0"/>
      <c r="UUB85" s="0"/>
      <c r="UUC85" s="0"/>
      <c r="UUD85" s="0"/>
      <c r="UUE85" s="0"/>
      <c r="UUF85" s="0"/>
      <c r="UUG85" s="0"/>
      <c r="UUH85" s="0"/>
      <c r="UUI85" s="0"/>
      <c r="UUJ85" s="0"/>
      <c r="UUK85" s="0"/>
      <c r="UUL85" s="0"/>
      <c r="UUM85" s="0"/>
      <c r="UUN85" s="0"/>
      <c r="UUO85" s="0"/>
      <c r="UUP85" s="0"/>
      <c r="UUQ85" s="0"/>
      <c r="UUR85" s="0"/>
      <c r="UUS85" s="0"/>
      <c r="UUT85" s="0"/>
      <c r="UUU85" s="0"/>
      <c r="UUV85" s="0"/>
      <c r="UUW85" s="0"/>
      <c r="UUX85" s="0"/>
      <c r="UUY85" s="0"/>
      <c r="UUZ85" s="0"/>
      <c r="UVA85" s="0"/>
      <c r="UVB85" s="0"/>
      <c r="UVC85" s="0"/>
      <c r="UVD85" s="0"/>
      <c r="UVE85" s="0"/>
      <c r="UVF85" s="0"/>
      <c r="UVG85" s="0"/>
      <c r="UVH85" s="0"/>
      <c r="UVI85" s="0"/>
      <c r="UVJ85" s="0"/>
      <c r="UVK85" s="0"/>
      <c r="UVL85" s="0"/>
      <c r="UVM85" s="0"/>
      <c r="UVN85" s="0"/>
      <c r="UVO85" s="0"/>
      <c r="UVP85" s="0"/>
      <c r="UVQ85" s="0"/>
      <c r="UVR85" s="0"/>
      <c r="UVS85" s="0"/>
      <c r="UVT85" s="0"/>
      <c r="UVU85" s="0"/>
      <c r="UVV85" s="0"/>
      <c r="UVW85" s="0"/>
      <c r="UVX85" s="0"/>
      <c r="UVY85" s="0"/>
      <c r="UVZ85" s="0"/>
      <c r="UWA85" s="0"/>
      <c r="UWB85" s="0"/>
      <c r="UWC85" s="0"/>
      <c r="UWD85" s="0"/>
      <c r="UWE85" s="0"/>
      <c r="UWF85" s="0"/>
      <c r="UWG85" s="0"/>
      <c r="UWH85" s="0"/>
      <c r="UWI85" s="0"/>
      <c r="UWJ85" s="0"/>
      <c r="UWK85" s="0"/>
      <c r="UWL85" s="0"/>
      <c r="UWM85" s="0"/>
      <c r="UWN85" s="0"/>
      <c r="UWO85" s="0"/>
      <c r="UWP85" s="0"/>
      <c r="UWQ85" s="0"/>
      <c r="UWR85" s="0"/>
      <c r="UWS85" s="0"/>
      <c r="UWT85" s="0"/>
      <c r="UWU85" s="0"/>
      <c r="UWV85" s="0"/>
      <c r="UWW85" s="0"/>
      <c r="UWX85" s="0"/>
      <c r="UWY85" s="0"/>
      <c r="UWZ85" s="0"/>
      <c r="UXA85" s="0"/>
      <c r="UXB85" s="0"/>
      <c r="UXC85" s="0"/>
      <c r="UXD85" s="0"/>
      <c r="UXE85" s="0"/>
      <c r="UXF85" s="0"/>
      <c r="UXG85" s="0"/>
      <c r="UXH85" s="0"/>
      <c r="UXI85" s="0"/>
      <c r="UXJ85" s="0"/>
      <c r="UXK85" s="0"/>
      <c r="UXL85" s="0"/>
      <c r="UXM85" s="0"/>
      <c r="UXN85" s="0"/>
      <c r="UXO85" s="0"/>
      <c r="UXP85" s="0"/>
      <c r="UXQ85" s="0"/>
      <c r="UXR85" s="0"/>
      <c r="UXS85" s="0"/>
      <c r="UXT85" s="0"/>
      <c r="UXU85" s="0"/>
      <c r="UXV85" s="0"/>
      <c r="UXW85" s="0"/>
      <c r="UXX85" s="0"/>
      <c r="UXY85" s="0"/>
      <c r="UXZ85" s="0"/>
      <c r="UYA85" s="0"/>
      <c r="UYB85" s="0"/>
      <c r="UYC85" s="0"/>
      <c r="UYD85" s="0"/>
      <c r="UYE85" s="0"/>
      <c r="UYF85" s="0"/>
      <c r="UYG85" s="0"/>
      <c r="UYH85" s="0"/>
      <c r="UYI85" s="0"/>
      <c r="UYJ85" s="0"/>
      <c r="UYK85" s="0"/>
      <c r="UYL85" s="0"/>
      <c r="UYM85" s="0"/>
      <c r="UYN85" s="0"/>
      <c r="UYO85" s="0"/>
      <c r="UYP85" s="0"/>
      <c r="UYQ85" s="0"/>
      <c r="UYR85" s="0"/>
      <c r="UYS85" s="0"/>
      <c r="UYT85" s="0"/>
      <c r="UYU85" s="0"/>
      <c r="UYV85" s="0"/>
      <c r="UYW85" s="0"/>
      <c r="UYX85" s="0"/>
      <c r="UYY85" s="0"/>
      <c r="UYZ85" s="0"/>
      <c r="UZA85" s="0"/>
      <c r="UZB85" s="0"/>
      <c r="UZC85" s="0"/>
      <c r="UZD85" s="0"/>
      <c r="UZE85" s="0"/>
      <c r="UZF85" s="0"/>
      <c r="UZG85" s="0"/>
      <c r="UZH85" s="0"/>
      <c r="UZI85" s="0"/>
      <c r="UZJ85" s="0"/>
      <c r="UZK85" s="0"/>
      <c r="UZL85" s="0"/>
      <c r="UZM85" s="0"/>
      <c r="UZN85" s="0"/>
      <c r="UZO85" s="0"/>
      <c r="UZP85" s="0"/>
      <c r="UZQ85" s="0"/>
      <c r="UZR85" s="0"/>
      <c r="UZS85" s="0"/>
      <c r="UZT85" s="0"/>
      <c r="UZU85" s="0"/>
      <c r="UZV85" s="0"/>
      <c r="UZW85" s="0"/>
      <c r="UZX85" s="0"/>
      <c r="UZY85" s="0"/>
      <c r="UZZ85" s="0"/>
      <c r="VAA85" s="0"/>
      <c r="VAB85" s="0"/>
      <c r="VAC85" s="0"/>
      <c r="VAD85" s="0"/>
      <c r="VAE85" s="0"/>
      <c r="VAF85" s="0"/>
      <c r="VAG85" s="0"/>
      <c r="VAH85" s="0"/>
      <c r="VAI85" s="0"/>
      <c r="VAJ85" s="0"/>
      <c r="VAK85" s="0"/>
      <c r="VAL85" s="0"/>
      <c r="VAM85" s="0"/>
      <c r="VAN85" s="0"/>
      <c r="VAO85" s="0"/>
      <c r="VAP85" s="0"/>
      <c r="VAQ85" s="0"/>
      <c r="VAR85" s="0"/>
      <c r="VAS85" s="0"/>
      <c r="VAT85" s="0"/>
      <c r="VAU85" s="0"/>
      <c r="VAV85" s="0"/>
      <c r="VAW85" s="0"/>
      <c r="VAX85" s="0"/>
      <c r="VAY85" s="0"/>
      <c r="VAZ85" s="0"/>
      <c r="VBA85" s="0"/>
      <c r="VBB85" s="0"/>
      <c r="VBC85" s="0"/>
      <c r="VBD85" s="0"/>
      <c r="VBE85" s="0"/>
      <c r="VBF85" s="0"/>
      <c r="VBG85" s="0"/>
      <c r="VBH85" s="0"/>
      <c r="VBI85" s="0"/>
      <c r="VBJ85" s="0"/>
      <c r="VBK85" s="0"/>
      <c r="VBL85" s="0"/>
      <c r="VBM85" s="0"/>
      <c r="VBN85" s="0"/>
      <c r="VBO85" s="0"/>
      <c r="VBP85" s="0"/>
      <c r="VBQ85" s="0"/>
      <c r="VBR85" s="0"/>
      <c r="VBS85" s="0"/>
      <c r="VBT85" s="0"/>
      <c r="VBU85" s="0"/>
      <c r="VBV85" s="0"/>
      <c r="VBW85" s="0"/>
      <c r="VBX85" s="0"/>
      <c r="VBY85" s="0"/>
      <c r="VBZ85" s="0"/>
      <c r="VCA85" s="0"/>
      <c r="VCB85" s="0"/>
      <c r="VCC85" s="0"/>
      <c r="VCD85" s="0"/>
      <c r="VCE85" s="0"/>
      <c r="VCF85" s="0"/>
      <c r="VCG85" s="0"/>
      <c r="VCH85" s="0"/>
      <c r="VCI85" s="0"/>
      <c r="VCJ85" s="0"/>
      <c r="VCK85" s="0"/>
      <c r="VCL85" s="0"/>
      <c r="VCM85" s="0"/>
      <c r="VCN85" s="0"/>
      <c r="VCO85" s="0"/>
      <c r="VCP85" s="0"/>
      <c r="VCQ85" s="0"/>
      <c r="VCR85" s="0"/>
      <c r="VCS85" s="0"/>
      <c r="VCT85" s="0"/>
      <c r="VCU85" s="0"/>
      <c r="VCV85" s="0"/>
      <c r="VCW85" s="0"/>
      <c r="VCX85" s="0"/>
      <c r="VCY85" s="0"/>
      <c r="VCZ85" s="0"/>
      <c r="VDA85" s="0"/>
      <c r="VDB85" s="0"/>
      <c r="VDC85" s="0"/>
      <c r="VDD85" s="0"/>
      <c r="VDE85" s="0"/>
      <c r="VDF85" s="0"/>
      <c r="VDG85" s="0"/>
      <c r="VDH85" s="0"/>
      <c r="VDI85" s="0"/>
      <c r="VDJ85" s="0"/>
      <c r="VDK85" s="0"/>
      <c r="VDL85" s="0"/>
      <c r="VDM85" s="0"/>
      <c r="VDN85" s="0"/>
      <c r="VDO85" s="0"/>
      <c r="VDP85" s="0"/>
      <c r="VDQ85" s="0"/>
      <c r="VDR85" s="0"/>
      <c r="VDS85" s="0"/>
      <c r="VDT85" s="0"/>
      <c r="VDU85" s="0"/>
      <c r="VDV85" s="0"/>
      <c r="VDW85" s="0"/>
      <c r="VDX85" s="0"/>
      <c r="VDY85" s="0"/>
      <c r="VDZ85" s="0"/>
      <c r="VEA85" s="0"/>
      <c r="VEB85" s="0"/>
      <c r="VEC85" s="0"/>
      <c r="VED85" s="0"/>
      <c r="VEE85" s="0"/>
      <c r="VEF85" s="0"/>
      <c r="VEG85" s="0"/>
      <c r="VEH85" s="0"/>
      <c r="VEI85" s="0"/>
      <c r="VEJ85" s="0"/>
      <c r="VEK85" s="0"/>
      <c r="VEL85" s="0"/>
      <c r="VEM85" s="0"/>
      <c r="VEN85" s="0"/>
      <c r="VEO85" s="0"/>
      <c r="VEP85" s="0"/>
      <c r="VEQ85" s="0"/>
      <c r="VER85" s="0"/>
      <c r="VES85" s="0"/>
      <c r="VET85" s="0"/>
      <c r="VEU85" s="0"/>
      <c r="VEV85" s="0"/>
      <c r="VEW85" s="0"/>
      <c r="VEX85" s="0"/>
      <c r="VEY85" s="0"/>
      <c r="VEZ85" s="0"/>
      <c r="VFA85" s="0"/>
      <c r="VFB85" s="0"/>
      <c r="VFC85" s="0"/>
      <c r="VFD85" s="0"/>
      <c r="VFE85" s="0"/>
      <c r="VFF85" s="0"/>
      <c r="VFG85" s="0"/>
      <c r="VFH85" s="0"/>
      <c r="VFI85" s="0"/>
      <c r="VFJ85" s="0"/>
      <c r="VFK85" s="0"/>
      <c r="VFL85" s="0"/>
      <c r="VFM85" s="0"/>
      <c r="VFN85" s="0"/>
      <c r="VFO85" s="0"/>
      <c r="VFP85" s="0"/>
      <c r="VFQ85" s="0"/>
      <c r="VFR85" s="0"/>
      <c r="VFS85" s="0"/>
      <c r="VFT85" s="0"/>
      <c r="VFU85" s="0"/>
      <c r="VFV85" s="0"/>
      <c r="VFW85" s="0"/>
      <c r="VFX85" s="0"/>
      <c r="VFY85" s="0"/>
      <c r="VFZ85" s="0"/>
      <c r="VGA85" s="0"/>
      <c r="VGB85" s="0"/>
      <c r="VGC85" s="0"/>
      <c r="VGD85" s="0"/>
      <c r="VGE85" s="0"/>
      <c r="VGF85" s="0"/>
      <c r="VGG85" s="0"/>
      <c r="VGH85" s="0"/>
      <c r="VGI85" s="0"/>
      <c r="VGJ85" s="0"/>
      <c r="VGK85" s="0"/>
      <c r="VGL85" s="0"/>
      <c r="VGM85" s="0"/>
      <c r="VGN85" s="0"/>
      <c r="VGO85" s="0"/>
      <c r="VGP85" s="0"/>
      <c r="VGQ85" s="0"/>
      <c r="VGR85" s="0"/>
      <c r="VGS85" s="0"/>
      <c r="VGT85" s="0"/>
      <c r="VGU85" s="0"/>
      <c r="VGV85" s="0"/>
      <c r="VGW85" s="0"/>
      <c r="VGX85" s="0"/>
      <c r="VGY85" s="0"/>
      <c r="VGZ85" s="0"/>
      <c r="VHA85" s="0"/>
      <c r="VHB85" s="0"/>
      <c r="VHC85" s="0"/>
      <c r="VHD85" s="0"/>
      <c r="VHE85" s="0"/>
      <c r="VHF85" s="0"/>
      <c r="VHG85" s="0"/>
      <c r="VHH85" s="0"/>
      <c r="VHI85" s="0"/>
      <c r="VHJ85" s="0"/>
      <c r="VHK85" s="0"/>
      <c r="VHL85" s="0"/>
      <c r="VHM85" s="0"/>
      <c r="VHN85" s="0"/>
      <c r="VHO85" s="0"/>
      <c r="VHP85" s="0"/>
      <c r="VHQ85" s="0"/>
      <c r="VHR85" s="0"/>
      <c r="VHS85" s="0"/>
      <c r="VHT85" s="0"/>
      <c r="VHU85" s="0"/>
      <c r="VHV85" s="0"/>
      <c r="VHW85" s="0"/>
      <c r="VHX85" s="0"/>
      <c r="VHY85" s="0"/>
      <c r="VHZ85" s="0"/>
      <c r="VIA85" s="0"/>
      <c r="VIB85" s="0"/>
      <c r="VIC85" s="0"/>
      <c r="VID85" s="0"/>
      <c r="VIE85" s="0"/>
      <c r="VIF85" s="0"/>
      <c r="VIG85" s="0"/>
      <c r="VIH85" s="0"/>
      <c r="VII85" s="0"/>
      <c r="VIJ85" s="0"/>
      <c r="VIK85" s="0"/>
      <c r="VIL85" s="0"/>
      <c r="VIM85" s="0"/>
      <c r="VIN85" s="0"/>
      <c r="VIO85" s="0"/>
      <c r="VIP85" s="0"/>
      <c r="VIQ85" s="0"/>
      <c r="VIR85" s="0"/>
      <c r="VIS85" s="0"/>
      <c r="VIT85" s="0"/>
      <c r="VIU85" s="0"/>
      <c r="VIV85" s="0"/>
      <c r="VIW85" s="0"/>
      <c r="VIX85" s="0"/>
      <c r="VIY85" s="0"/>
      <c r="VIZ85" s="0"/>
      <c r="VJA85" s="0"/>
      <c r="VJB85" s="0"/>
      <c r="VJC85" s="0"/>
      <c r="VJD85" s="0"/>
      <c r="VJE85" s="0"/>
      <c r="VJF85" s="0"/>
      <c r="VJG85" s="0"/>
      <c r="VJH85" s="0"/>
      <c r="VJI85" s="0"/>
      <c r="VJJ85" s="0"/>
      <c r="VJK85" s="0"/>
      <c r="VJL85" s="0"/>
      <c r="VJM85" s="0"/>
      <c r="VJN85" s="0"/>
      <c r="VJO85" s="0"/>
      <c r="VJP85" s="0"/>
      <c r="VJQ85" s="0"/>
      <c r="VJR85" s="0"/>
      <c r="VJS85" s="0"/>
      <c r="VJT85" s="0"/>
      <c r="VJU85" s="0"/>
      <c r="VJV85" s="0"/>
      <c r="VJW85" s="0"/>
      <c r="VJX85" s="0"/>
      <c r="VJY85" s="0"/>
      <c r="VJZ85" s="0"/>
      <c r="VKA85" s="0"/>
      <c r="VKB85" s="0"/>
      <c r="VKC85" s="0"/>
      <c r="VKD85" s="0"/>
      <c r="VKE85" s="0"/>
      <c r="VKF85" s="0"/>
      <c r="VKG85" s="0"/>
      <c r="VKH85" s="0"/>
      <c r="VKI85" s="0"/>
      <c r="VKJ85" s="0"/>
      <c r="VKK85" s="0"/>
      <c r="VKL85" s="0"/>
      <c r="VKM85" s="0"/>
      <c r="VKN85" s="0"/>
      <c r="VKO85" s="0"/>
      <c r="VKP85" s="0"/>
      <c r="VKQ85" s="0"/>
      <c r="VKR85" s="0"/>
      <c r="VKS85" s="0"/>
      <c r="VKT85" s="0"/>
      <c r="VKU85" s="0"/>
      <c r="VKV85" s="0"/>
      <c r="VKW85" s="0"/>
      <c r="VKX85" s="0"/>
      <c r="VKY85" s="0"/>
      <c r="VKZ85" s="0"/>
      <c r="VLA85" s="0"/>
      <c r="VLB85" s="0"/>
      <c r="VLC85" s="0"/>
      <c r="VLD85" s="0"/>
      <c r="VLE85" s="0"/>
      <c r="VLF85" s="0"/>
      <c r="VLG85" s="0"/>
      <c r="VLH85" s="0"/>
      <c r="VLI85" s="0"/>
      <c r="VLJ85" s="0"/>
      <c r="VLK85" s="0"/>
      <c r="VLL85" s="0"/>
      <c r="VLM85" s="0"/>
      <c r="VLN85" s="0"/>
      <c r="VLO85" s="0"/>
      <c r="VLP85" s="0"/>
      <c r="VLQ85" s="0"/>
      <c r="VLR85" s="0"/>
      <c r="VLS85" s="0"/>
      <c r="VLT85" s="0"/>
      <c r="VLU85" s="0"/>
      <c r="VLV85" s="0"/>
      <c r="VLW85" s="0"/>
      <c r="VLX85" s="0"/>
      <c r="VLY85" s="0"/>
      <c r="VLZ85" s="0"/>
      <c r="VMA85" s="0"/>
      <c r="VMB85" s="0"/>
      <c r="VMC85" s="0"/>
      <c r="VMD85" s="0"/>
      <c r="VME85" s="0"/>
      <c r="VMF85" s="0"/>
      <c r="VMG85" s="0"/>
      <c r="VMH85" s="0"/>
      <c r="VMI85" s="0"/>
      <c r="VMJ85" s="0"/>
      <c r="VMK85" s="0"/>
      <c r="VML85" s="0"/>
      <c r="VMM85" s="0"/>
      <c r="VMN85" s="0"/>
      <c r="VMO85" s="0"/>
      <c r="VMP85" s="0"/>
      <c r="VMQ85" s="0"/>
      <c r="VMR85" s="0"/>
      <c r="VMS85" s="0"/>
      <c r="VMT85" s="0"/>
      <c r="VMU85" s="0"/>
      <c r="VMV85" s="0"/>
      <c r="VMW85" s="0"/>
      <c r="VMX85" s="0"/>
      <c r="VMY85" s="0"/>
      <c r="VMZ85" s="0"/>
      <c r="VNA85" s="0"/>
      <c r="VNB85" s="0"/>
      <c r="VNC85" s="0"/>
      <c r="VND85" s="0"/>
      <c r="VNE85" s="0"/>
      <c r="VNF85" s="0"/>
      <c r="VNG85" s="0"/>
      <c r="VNH85" s="0"/>
      <c r="VNI85" s="0"/>
      <c r="VNJ85" s="0"/>
      <c r="VNK85" s="0"/>
      <c r="VNL85" s="0"/>
      <c r="VNM85" s="0"/>
      <c r="VNN85" s="0"/>
      <c r="VNO85" s="0"/>
      <c r="VNP85" s="0"/>
      <c r="VNQ85" s="0"/>
      <c r="VNR85" s="0"/>
      <c r="VNS85" s="0"/>
      <c r="VNT85" s="0"/>
      <c r="VNU85" s="0"/>
      <c r="VNV85" s="0"/>
      <c r="VNW85" s="0"/>
      <c r="VNX85" s="0"/>
      <c r="VNY85" s="0"/>
      <c r="VNZ85" s="0"/>
      <c r="VOA85" s="0"/>
      <c r="VOB85" s="0"/>
      <c r="VOC85" s="0"/>
      <c r="VOD85" s="0"/>
      <c r="VOE85" s="0"/>
      <c r="VOF85" s="0"/>
      <c r="VOG85" s="0"/>
      <c r="VOH85" s="0"/>
      <c r="VOI85" s="0"/>
      <c r="VOJ85" s="0"/>
      <c r="VOK85" s="0"/>
      <c r="VOL85" s="0"/>
      <c r="VOM85" s="0"/>
      <c r="VON85" s="0"/>
      <c r="VOO85" s="0"/>
      <c r="VOP85" s="0"/>
      <c r="VOQ85" s="0"/>
      <c r="VOR85" s="0"/>
      <c r="VOS85" s="0"/>
      <c r="VOT85" s="0"/>
      <c r="VOU85" s="0"/>
      <c r="VOV85" s="0"/>
      <c r="VOW85" s="0"/>
      <c r="VOX85" s="0"/>
      <c r="VOY85" s="0"/>
      <c r="VOZ85" s="0"/>
      <c r="VPA85" s="0"/>
      <c r="VPB85" s="0"/>
      <c r="VPC85" s="0"/>
      <c r="VPD85" s="0"/>
      <c r="VPE85" s="0"/>
      <c r="VPF85" s="0"/>
      <c r="VPG85" s="0"/>
      <c r="VPH85" s="0"/>
      <c r="VPI85" s="0"/>
      <c r="VPJ85" s="0"/>
      <c r="VPK85" s="0"/>
      <c r="VPL85" s="0"/>
      <c r="VPM85" s="0"/>
      <c r="VPN85" s="0"/>
      <c r="VPO85" s="0"/>
      <c r="VPP85" s="0"/>
      <c r="VPQ85" s="0"/>
      <c r="VPR85" s="0"/>
      <c r="VPS85" s="0"/>
      <c r="VPT85" s="0"/>
      <c r="VPU85" s="0"/>
      <c r="VPV85" s="0"/>
      <c r="VPW85" s="0"/>
      <c r="VPX85" s="0"/>
      <c r="VPY85" s="0"/>
      <c r="VPZ85" s="0"/>
      <c r="VQA85" s="0"/>
      <c r="VQB85" s="0"/>
      <c r="VQC85" s="0"/>
      <c r="VQD85" s="0"/>
      <c r="VQE85" s="0"/>
      <c r="VQF85" s="0"/>
      <c r="VQG85" s="0"/>
      <c r="VQH85" s="0"/>
      <c r="VQI85" s="0"/>
      <c r="VQJ85" s="0"/>
      <c r="VQK85" s="0"/>
      <c r="VQL85" s="0"/>
      <c r="VQM85" s="0"/>
      <c r="VQN85" s="0"/>
      <c r="VQO85" s="0"/>
      <c r="VQP85" s="0"/>
      <c r="VQQ85" s="0"/>
      <c r="VQR85" s="0"/>
      <c r="VQS85" s="0"/>
      <c r="VQT85" s="0"/>
      <c r="VQU85" s="0"/>
      <c r="VQV85" s="0"/>
      <c r="VQW85" s="0"/>
      <c r="VQX85" s="0"/>
      <c r="VQY85" s="0"/>
      <c r="VQZ85" s="0"/>
      <c r="VRA85" s="0"/>
      <c r="VRB85" s="0"/>
      <c r="VRC85" s="0"/>
      <c r="VRD85" s="0"/>
      <c r="VRE85" s="0"/>
      <c r="VRF85" s="0"/>
      <c r="VRG85" s="0"/>
      <c r="VRH85" s="0"/>
      <c r="VRI85" s="0"/>
      <c r="VRJ85" s="0"/>
      <c r="VRK85" s="0"/>
      <c r="VRL85" s="0"/>
      <c r="VRM85" s="0"/>
      <c r="VRN85" s="0"/>
      <c r="VRO85" s="0"/>
      <c r="VRP85" s="0"/>
      <c r="VRQ85" s="0"/>
      <c r="VRR85" s="0"/>
      <c r="VRS85" s="0"/>
      <c r="VRT85" s="0"/>
      <c r="VRU85" s="0"/>
      <c r="VRV85" s="0"/>
      <c r="VRW85" s="0"/>
      <c r="VRX85" s="0"/>
      <c r="VRY85" s="0"/>
      <c r="VRZ85" s="0"/>
      <c r="VSA85" s="0"/>
      <c r="VSB85" s="0"/>
      <c r="VSC85" s="0"/>
      <c r="VSD85" s="0"/>
      <c r="VSE85" s="0"/>
      <c r="VSF85" s="0"/>
      <c r="VSG85" s="0"/>
      <c r="VSH85" s="0"/>
      <c r="VSI85" s="0"/>
      <c r="VSJ85" s="0"/>
      <c r="VSK85" s="0"/>
      <c r="VSL85" s="0"/>
      <c r="VSM85" s="0"/>
      <c r="VSN85" s="0"/>
      <c r="VSO85" s="0"/>
      <c r="VSP85" s="0"/>
      <c r="VSQ85" s="0"/>
      <c r="VSR85" s="0"/>
      <c r="VSS85" s="0"/>
      <c r="VST85" s="0"/>
      <c r="VSU85" s="0"/>
      <c r="VSV85" s="0"/>
      <c r="VSW85" s="0"/>
      <c r="VSX85" s="0"/>
      <c r="VSY85" s="0"/>
      <c r="VSZ85" s="0"/>
      <c r="VTA85" s="0"/>
      <c r="VTB85" s="0"/>
      <c r="VTC85" s="0"/>
      <c r="VTD85" s="0"/>
      <c r="VTE85" s="0"/>
      <c r="VTF85" s="0"/>
      <c r="VTG85" s="0"/>
      <c r="VTH85" s="0"/>
      <c r="VTI85" s="0"/>
      <c r="VTJ85" s="0"/>
      <c r="VTK85" s="0"/>
      <c r="VTL85" s="0"/>
      <c r="VTM85" s="0"/>
      <c r="VTN85" s="0"/>
      <c r="VTO85" s="0"/>
      <c r="VTP85" s="0"/>
      <c r="VTQ85" s="0"/>
      <c r="VTR85" s="0"/>
      <c r="VTS85" s="0"/>
      <c r="VTT85" s="0"/>
      <c r="VTU85" s="0"/>
      <c r="VTV85" s="0"/>
      <c r="VTW85" s="0"/>
      <c r="VTX85" s="0"/>
      <c r="VTY85" s="0"/>
      <c r="VTZ85" s="0"/>
      <c r="VUA85" s="0"/>
      <c r="VUB85" s="0"/>
      <c r="VUC85" s="0"/>
      <c r="VUD85" s="0"/>
      <c r="VUE85" s="0"/>
      <c r="VUF85" s="0"/>
      <c r="VUG85" s="0"/>
      <c r="VUH85" s="0"/>
      <c r="VUI85" s="0"/>
      <c r="VUJ85" s="0"/>
      <c r="VUK85" s="0"/>
      <c r="VUL85" s="0"/>
      <c r="VUM85" s="0"/>
      <c r="VUN85" s="0"/>
      <c r="VUO85" s="0"/>
      <c r="VUP85" s="0"/>
      <c r="VUQ85" s="0"/>
      <c r="VUR85" s="0"/>
      <c r="VUS85" s="0"/>
      <c r="VUT85" s="0"/>
      <c r="VUU85" s="0"/>
      <c r="VUV85" s="0"/>
      <c r="VUW85" s="0"/>
      <c r="VUX85" s="0"/>
      <c r="VUY85" s="0"/>
      <c r="VUZ85" s="0"/>
      <c r="VVA85" s="0"/>
      <c r="VVB85" s="0"/>
      <c r="VVC85" s="0"/>
      <c r="VVD85" s="0"/>
      <c r="VVE85" s="0"/>
      <c r="VVF85" s="0"/>
      <c r="VVG85" s="0"/>
      <c r="VVH85" s="0"/>
      <c r="VVI85" s="0"/>
      <c r="VVJ85" s="0"/>
      <c r="VVK85" s="0"/>
      <c r="VVL85" s="0"/>
      <c r="VVM85" s="0"/>
      <c r="VVN85" s="0"/>
      <c r="VVO85" s="0"/>
      <c r="VVP85" s="0"/>
      <c r="VVQ85" s="0"/>
      <c r="VVR85" s="0"/>
      <c r="VVS85" s="0"/>
      <c r="VVT85" s="0"/>
      <c r="VVU85" s="0"/>
      <c r="VVV85" s="0"/>
      <c r="VVW85" s="0"/>
      <c r="VVX85" s="0"/>
      <c r="VVY85" s="0"/>
      <c r="VVZ85" s="0"/>
      <c r="VWA85" s="0"/>
      <c r="VWB85" s="0"/>
      <c r="VWC85" s="0"/>
      <c r="VWD85" s="0"/>
      <c r="VWE85" s="0"/>
      <c r="VWF85" s="0"/>
      <c r="VWG85" s="0"/>
      <c r="VWH85" s="0"/>
      <c r="VWI85" s="0"/>
      <c r="VWJ85" s="0"/>
      <c r="VWK85" s="0"/>
      <c r="VWL85" s="0"/>
      <c r="VWM85" s="0"/>
      <c r="VWN85" s="0"/>
      <c r="VWO85" s="0"/>
      <c r="VWP85" s="0"/>
      <c r="VWQ85" s="0"/>
      <c r="VWR85" s="0"/>
      <c r="VWS85" s="0"/>
      <c r="VWT85" s="0"/>
      <c r="VWU85" s="0"/>
      <c r="VWV85" s="0"/>
      <c r="VWW85" s="0"/>
      <c r="VWX85" s="0"/>
      <c r="VWY85" s="0"/>
      <c r="VWZ85" s="0"/>
      <c r="VXA85" s="0"/>
      <c r="VXB85" s="0"/>
      <c r="VXC85" s="0"/>
      <c r="VXD85" s="0"/>
      <c r="VXE85" s="0"/>
      <c r="VXF85" s="0"/>
      <c r="VXG85" s="0"/>
      <c r="VXH85" s="0"/>
      <c r="VXI85" s="0"/>
      <c r="VXJ85" s="0"/>
      <c r="VXK85" s="0"/>
      <c r="VXL85" s="0"/>
      <c r="VXM85" s="0"/>
      <c r="VXN85" s="0"/>
      <c r="VXO85" s="0"/>
      <c r="VXP85" s="0"/>
      <c r="VXQ85" s="0"/>
      <c r="VXR85" s="0"/>
      <c r="VXS85" s="0"/>
      <c r="VXT85" s="0"/>
      <c r="VXU85" s="0"/>
      <c r="VXV85" s="0"/>
      <c r="VXW85" s="0"/>
      <c r="VXX85" s="0"/>
      <c r="VXY85" s="0"/>
      <c r="VXZ85" s="0"/>
      <c r="VYA85" s="0"/>
      <c r="VYB85" s="0"/>
      <c r="VYC85" s="0"/>
      <c r="VYD85" s="0"/>
      <c r="VYE85" s="0"/>
      <c r="VYF85" s="0"/>
      <c r="VYG85" s="0"/>
      <c r="VYH85" s="0"/>
      <c r="VYI85" s="0"/>
      <c r="VYJ85" s="0"/>
      <c r="VYK85" s="0"/>
      <c r="VYL85" s="0"/>
      <c r="VYM85" s="0"/>
      <c r="VYN85" s="0"/>
      <c r="VYO85" s="0"/>
      <c r="VYP85" s="0"/>
      <c r="VYQ85" s="0"/>
      <c r="VYR85" s="0"/>
      <c r="VYS85" s="0"/>
      <c r="VYT85" s="0"/>
      <c r="VYU85" s="0"/>
      <c r="VYV85" s="0"/>
      <c r="VYW85" s="0"/>
      <c r="VYX85" s="0"/>
      <c r="VYY85" s="0"/>
      <c r="VYZ85" s="0"/>
      <c r="VZA85" s="0"/>
      <c r="VZB85" s="0"/>
      <c r="VZC85" s="0"/>
      <c r="VZD85" s="0"/>
      <c r="VZE85" s="0"/>
      <c r="VZF85" s="0"/>
      <c r="VZG85" s="0"/>
      <c r="VZH85" s="0"/>
      <c r="VZI85" s="0"/>
      <c r="VZJ85" s="0"/>
      <c r="VZK85" s="0"/>
      <c r="VZL85" s="0"/>
      <c r="VZM85" s="0"/>
      <c r="VZN85" s="0"/>
      <c r="VZO85" s="0"/>
      <c r="VZP85" s="0"/>
      <c r="VZQ85" s="0"/>
      <c r="VZR85" s="0"/>
      <c r="VZS85" s="0"/>
      <c r="VZT85" s="0"/>
      <c r="VZU85" s="0"/>
      <c r="VZV85" s="0"/>
      <c r="VZW85" s="0"/>
      <c r="VZX85" s="0"/>
      <c r="VZY85" s="0"/>
      <c r="VZZ85" s="0"/>
      <c r="WAA85" s="0"/>
      <c r="WAB85" s="0"/>
      <c r="WAC85" s="0"/>
      <c r="WAD85" s="0"/>
      <c r="WAE85" s="0"/>
      <c r="WAF85" s="0"/>
      <c r="WAG85" s="0"/>
      <c r="WAH85" s="0"/>
      <c r="WAI85" s="0"/>
      <c r="WAJ85" s="0"/>
      <c r="WAK85" s="0"/>
      <c r="WAL85" s="0"/>
      <c r="WAM85" s="0"/>
      <c r="WAN85" s="0"/>
      <c r="WAO85" s="0"/>
      <c r="WAP85" s="0"/>
      <c r="WAQ85" s="0"/>
      <c r="WAR85" s="0"/>
      <c r="WAS85" s="0"/>
      <c r="WAT85" s="0"/>
      <c r="WAU85" s="0"/>
      <c r="WAV85" s="0"/>
      <c r="WAW85" s="0"/>
      <c r="WAX85" s="0"/>
      <c r="WAY85" s="0"/>
      <c r="WAZ85" s="0"/>
      <c r="WBA85" s="0"/>
      <c r="WBB85" s="0"/>
      <c r="WBC85" s="0"/>
      <c r="WBD85" s="0"/>
      <c r="WBE85" s="0"/>
      <c r="WBF85" s="0"/>
      <c r="WBG85" s="0"/>
      <c r="WBH85" s="0"/>
      <c r="WBI85" s="0"/>
      <c r="WBJ85" s="0"/>
      <c r="WBK85" s="0"/>
      <c r="WBL85" s="0"/>
      <c r="WBM85" s="0"/>
      <c r="WBN85" s="0"/>
      <c r="WBO85" s="0"/>
      <c r="WBP85" s="0"/>
      <c r="WBQ85" s="0"/>
      <c r="WBR85" s="0"/>
      <c r="WBS85" s="0"/>
      <c r="WBT85" s="0"/>
      <c r="WBU85" s="0"/>
      <c r="WBV85" s="0"/>
      <c r="WBW85" s="0"/>
      <c r="WBX85" s="0"/>
      <c r="WBY85" s="0"/>
      <c r="WBZ85" s="0"/>
      <c r="WCA85" s="0"/>
      <c r="WCB85" s="0"/>
      <c r="WCC85" s="0"/>
      <c r="WCD85" s="0"/>
      <c r="WCE85" s="0"/>
      <c r="WCF85" s="0"/>
      <c r="WCG85" s="0"/>
      <c r="WCH85" s="0"/>
      <c r="WCI85" s="0"/>
      <c r="WCJ85" s="0"/>
      <c r="WCK85" s="0"/>
      <c r="WCL85" s="0"/>
      <c r="WCM85" s="0"/>
      <c r="WCN85" s="0"/>
      <c r="WCO85" s="0"/>
      <c r="WCP85" s="0"/>
      <c r="WCQ85" s="0"/>
      <c r="WCR85" s="0"/>
      <c r="WCS85" s="0"/>
      <c r="WCT85" s="0"/>
      <c r="WCU85" s="0"/>
      <c r="WCV85" s="0"/>
      <c r="WCW85" s="0"/>
      <c r="WCX85" s="0"/>
      <c r="WCY85" s="0"/>
      <c r="WCZ85" s="0"/>
      <c r="WDA85" s="0"/>
      <c r="WDB85" s="0"/>
      <c r="WDC85" s="0"/>
      <c r="WDD85" s="0"/>
      <c r="WDE85" s="0"/>
      <c r="WDF85" s="0"/>
      <c r="WDG85" s="0"/>
      <c r="WDH85" s="0"/>
      <c r="WDI85" s="0"/>
      <c r="WDJ85" s="0"/>
      <c r="WDK85" s="0"/>
      <c r="WDL85" s="0"/>
      <c r="WDM85" s="0"/>
      <c r="WDN85" s="0"/>
      <c r="WDO85" s="0"/>
      <c r="WDP85" s="0"/>
      <c r="WDQ85" s="0"/>
      <c r="WDR85" s="0"/>
      <c r="WDS85" s="0"/>
      <c r="WDT85" s="0"/>
      <c r="WDU85" s="0"/>
      <c r="WDV85" s="0"/>
      <c r="WDW85" s="0"/>
      <c r="WDX85" s="0"/>
      <c r="WDY85" s="0"/>
      <c r="WDZ85" s="0"/>
      <c r="WEA85" s="0"/>
      <c r="WEB85" s="0"/>
      <c r="WEC85" s="0"/>
      <c r="WED85" s="0"/>
      <c r="WEE85" s="0"/>
      <c r="WEF85" s="0"/>
      <c r="WEG85" s="0"/>
      <c r="WEH85" s="0"/>
      <c r="WEI85" s="0"/>
      <c r="WEJ85" s="0"/>
      <c r="WEK85" s="0"/>
      <c r="WEL85" s="0"/>
      <c r="WEM85" s="0"/>
      <c r="WEN85" s="0"/>
      <c r="WEO85" s="0"/>
      <c r="WEP85" s="0"/>
      <c r="WEQ85" s="0"/>
      <c r="WER85" s="0"/>
      <c r="WES85" s="0"/>
      <c r="WET85" s="0"/>
      <c r="WEU85" s="0"/>
      <c r="WEV85" s="0"/>
      <c r="WEW85" s="0"/>
      <c r="WEX85" s="0"/>
      <c r="WEY85" s="0"/>
      <c r="WEZ85" s="0"/>
      <c r="WFA85" s="0"/>
      <c r="WFB85" s="0"/>
      <c r="WFC85" s="0"/>
      <c r="WFD85" s="0"/>
      <c r="WFE85" s="0"/>
      <c r="WFF85" s="0"/>
      <c r="WFG85" s="0"/>
      <c r="WFH85" s="0"/>
      <c r="WFI85" s="0"/>
      <c r="WFJ85" s="0"/>
      <c r="WFK85" s="0"/>
      <c r="WFL85" s="0"/>
      <c r="WFM85" s="0"/>
      <c r="WFN85" s="0"/>
      <c r="WFO85" s="0"/>
      <c r="WFP85" s="0"/>
      <c r="WFQ85" s="0"/>
      <c r="WFR85" s="0"/>
      <c r="WFS85" s="0"/>
      <c r="WFT85" s="0"/>
      <c r="WFU85" s="0"/>
      <c r="WFV85" s="0"/>
      <c r="WFW85" s="0"/>
      <c r="WFX85" s="0"/>
      <c r="WFY85" s="0"/>
      <c r="WFZ85" s="0"/>
      <c r="WGA85" s="0"/>
      <c r="WGB85" s="0"/>
      <c r="WGC85" s="0"/>
      <c r="WGD85" s="0"/>
      <c r="WGE85" s="0"/>
      <c r="WGF85" s="0"/>
      <c r="WGG85" s="0"/>
      <c r="WGH85" s="0"/>
      <c r="WGI85" s="0"/>
      <c r="WGJ85" s="0"/>
      <c r="WGK85" s="0"/>
      <c r="WGL85" s="0"/>
      <c r="WGM85" s="0"/>
      <c r="WGN85" s="0"/>
      <c r="WGO85" s="0"/>
      <c r="WGP85" s="0"/>
      <c r="WGQ85" s="0"/>
      <c r="WGR85" s="0"/>
      <c r="WGS85" s="0"/>
      <c r="WGT85" s="0"/>
      <c r="WGU85" s="0"/>
      <c r="WGV85" s="0"/>
      <c r="WGW85" s="0"/>
      <c r="WGX85" s="0"/>
      <c r="WGY85" s="0"/>
      <c r="WGZ85" s="0"/>
      <c r="WHA85" s="0"/>
      <c r="WHB85" s="0"/>
      <c r="WHC85" s="0"/>
      <c r="WHD85" s="0"/>
      <c r="WHE85" s="0"/>
      <c r="WHF85" s="0"/>
      <c r="WHG85" s="0"/>
      <c r="WHH85" s="0"/>
      <c r="WHI85" s="0"/>
      <c r="WHJ85" s="0"/>
      <c r="WHK85" s="0"/>
      <c r="WHL85" s="0"/>
      <c r="WHM85" s="0"/>
      <c r="WHN85" s="0"/>
      <c r="WHO85" s="0"/>
      <c r="WHP85" s="0"/>
      <c r="WHQ85" s="0"/>
      <c r="WHR85" s="0"/>
      <c r="WHS85" s="0"/>
      <c r="WHT85" s="0"/>
      <c r="WHU85" s="0"/>
      <c r="WHV85" s="0"/>
      <c r="WHW85" s="0"/>
      <c r="WHX85" s="0"/>
      <c r="WHY85" s="0"/>
      <c r="WHZ85" s="0"/>
      <c r="WIA85" s="0"/>
      <c r="WIB85" s="0"/>
      <c r="WIC85" s="0"/>
      <c r="WID85" s="0"/>
      <c r="WIE85" s="0"/>
      <c r="WIF85" s="0"/>
      <c r="WIG85" s="0"/>
      <c r="WIH85" s="0"/>
      <c r="WII85" s="0"/>
      <c r="WIJ85" s="0"/>
      <c r="WIK85" s="0"/>
      <c r="WIL85" s="0"/>
      <c r="WIM85" s="0"/>
      <c r="WIN85" s="0"/>
      <c r="WIO85" s="0"/>
      <c r="WIP85" s="0"/>
      <c r="WIQ85" s="0"/>
      <c r="WIR85" s="0"/>
      <c r="WIS85" s="0"/>
      <c r="WIT85" s="0"/>
      <c r="WIU85" s="0"/>
      <c r="WIV85" s="0"/>
      <c r="WIW85" s="0"/>
      <c r="WIX85" s="0"/>
      <c r="WIY85" s="0"/>
      <c r="WIZ85" s="0"/>
      <c r="WJA85" s="0"/>
      <c r="WJB85" s="0"/>
      <c r="WJC85" s="0"/>
      <c r="WJD85" s="0"/>
      <c r="WJE85" s="0"/>
      <c r="WJF85" s="0"/>
      <c r="WJG85" s="0"/>
      <c r="WJH85" s="0"/>
      <c r="WJI85" s="0"/>
      <c r="WJJ85" s="0"/>
      <c r="WJK85" s="0"/>
      <c r="WJL85" s="0"/>
      <c r="WJM85" s="0"/>
      <c r="WJN85" s="0"/>
      <c r="WJO85" s="0"/>
      <c r="WJP85" s="0"/>
      <c r="WJQ85" s="0"/>
      <c r="WJR85" s="0"/>
      <c r="WJS85" s="0"/>
      <c r="WJT85" s="0"/>
      <c r="WJU85" s="0"/>
      <c r="WJV85" s="0"/>
      <c r="WJW85" s="0"/>
      <c r="WJX85" s="0"/>
      <c r="WJY85" s="0"/>
      <c r="WJZ85" s="0"/>
      <c r="WKA85" s="0"/>
      <c r="WKB85" s="0"/>
      <c r="WKC85" s="0"/>
      <c r="WKD85" s="0"/>
      <c r="WKE85" s="0"/>
      <c r="WKF85" s="0"/>
      <c r="WKG85" s="0"/>
      <c r="WKH85" s="0"/>
      <c r="WKI85" s="0"/>
      <c r="WKJ85" s="0"/>
      <c r="WKK85" s="0"/>
      <c r="WKL85" s="0"/>
      <c r="WKM85" s="0"/>
      <c r="WKN85" s="0"/>
      <c r="WKO85" s="0"/>
      <c r="WKP85" s="0"/>
      <c r="WKQ85" s="0"/>
      <c r="WKR85" s="0"/>
      <c r="WKS85" s="0"/>
      <c r="WKT85" s="0"/>
      <c r="WKU85" s="0"/>
      <c r="WKV85" s="0"/>
      <c r="WKW85" s="0"/>
      <c r="WKX85" s="0"/>
      <c r="WKY85" s="0"/>
      <c r="WKZ85" s="0"/>
      <c r="WLA85" s="0"/>
      <c r="WLB85" s="0"/>
      <c r="WLC85" s="0"/>
      <c r="WLD85" s="0"/>
      <c r="WLE85" s="0"/>
      <c r="WLF85" s="0"/>
      <c r="WLG85" s="0"/>
      <c r="WLH85" s="0"/>
      <c r="WLI85" s="0"/>
      <c r="WLJ85" s="0"/>
      <c r="WLK85" s="0"/>
      <c r="WLL85" s="0"/>
      <c r="WLM85" s="0"/>
      <c r="WLN85" s="0"/>
      <c r="WLO85" s="0"/>
      <c r="WLP85" s="0"/>
      <c r="WLQ85" s="0"/>
      <c r="WLR85" s="0"/>
      <c r="WLS85" s="0"/>
      <c r="WLT85" s="0"/>
      <c r="WLU85" s="0"/>
      <c r="WLV85" s="0"/>
      <c r="WLW85" s="0"/>
      <c r="WLX85" s="0"/>
      <c r="WLY85" s="0"/>
      <c r="WLZ85" s="0"/>
      <c r="WMA85" s="0"/>
      <c r="WMB85" s="0"/>
      <c r="WMC85" s="0"/>
      <c r="WMD85" s="0"/>
      <c r="WME85" s="0"/>
      <c r="WMF85" s="0"/>
      <c r="WMG85" s="0"/>
      <c r="WMH85" s="0"/>
      <c r="WMI85" s="0"/>
      <c r="WMJ85" s="0"/>
      <c r="WMK85" s="0"/>
      <c r="WML85" s="0"/>
      <c r="WMM85" s="0"/>
      <c r="WMN85" s="0"/>
      <c r="WMO85" s="0"/>
      <c r="WMP85" s="0"/>
      <c r="WMQ85" s="0"/>
      <c r="WMR85" s="0"/>
      <c r="WMS85" s="0"/>
      <c r="WMT85" s="0"/>
      <c r="WMU85" s="0"/>
      <c r="WMV85" s="0"/>
      <c r="WMW85" s="0"/>
      <c r="WMX85" s="0"/>
      <c r="WMY85" s="0"/>
      <c r="WMZ85" s="0"/>
      <c r="WNA85" s="0"/>
      <c r="WNB85" s="0"/>
      <c r="WNC85" s="0"/>
      <c r="WND85" s="0"/>
      <c r="WNE85" s="0"/>
      <c r="WNF85" s="0"/>
      <c r="WNG85" s="0"/>
      <c r="WNH85" s="0"/>
      <c r="WNI85" s="0"/>
      <c r="WNJ85" s="0"/>
      <c r="WNK85" s="0"/>
      <c r="WNL85" s="0"/>
      <c r="WNM85" s="0"/>
      <c r="WNN85" s="0"/>
      <c r="WNO85" s="0"/>
      <c r="WNP85" s="0"/>
      <c r="WNQ85" s="0"/>
      <c r="WNR85" s="0"/>
      <c r="WNS85" s="0"/>
      <c r="WNT85" s="0"/>
      <c r="WNU85" s="0"/>
      <c r="WNV85" s="0"/>
      <c r="WNW85" s="0"/>
      <c r="WNX85" s="0"/>
      <c r="WNY85" s="0"/>
      <c r="WNZ85" s="0"/>
      <c r="WOA85" s="0"/>
      <c r="WOB85" s="0"/>
      <c r="WOC85" s="0"/>
      <c r="WOD85" s="0"/>
      <c r="WOE85" s="0"/>
      <c r="WOF85" s="0"/>
      <c r="WOG85" s="0"/>
      <c r="WOH85" s="0"/>
      <c r="WOI85" s="0"/>
      <c r="WOJ85" s="0"/>
      <c r="WOK85" s="0"/>
      <c r="WOL85" s="0"/>
      <c r="WOM85" s="0"/>
      <c r="WON85" s="0"/>
      <c r="WOO85" s="0"/>
      <c r="WOP85" s="0"/>
      <c r="WOQ85" s="0"/>
      <c r="WOR85" s="0"/>
      <c r="WOS85" s="0"/>
      <c r="WOT85" s="0"/>
      <c r="WOU85" s="0"/>
      <c r="WOV85" s="0"/>
      <c r="WOW85" s="0"/>
      <c r="WOX85" s="0"/>
      <c r="WOY85" s="0"/>
      <c r="WOZ85" s="0"/>
      <c r="WPA85" s="0"/>
      <c r="WPB85" s="0"/>
      <c r="WPC85" s="0"/>
      <c r="WPD85" s="0"/>
      <c r="WPE85" s="0"/>
      <c r="WPF85" s="0"/>
      <c r="WPG85" s="0"/>
      <c r="WPH85" s="0"/>
      <c r="WPI85" s="0"/>
      <c r="WPJ85" s="0"/>
      <c r="WPK85" s="0"/>
      <c r="WPL85" s="0"/>
      <c r="WPM85" s="0"/>
      <c r="WPN85" s="0"/>
      <c r="WPO85" s="0"/>
      <c r="WPP85" s="0"/>
      <c r="WPQ85" s="0"/>
      <c r="WPR85" s="0"/>
      <c r="WPS85" s="0"/>
      <c r="WPT85" s="0"/>
      <c r="WPU85" s="0"/>
      <c r="WPV85" s="0"/>
      <c r="WPW85" s="0"/>
      <c r="WPX85" s="0"/>
      <c r="WPY85" s="0"/>
      <c r="WPZ85" s="0"/>
      <c r="WQA85" s="0"/>
      <c r="WQB85" s="0"/>
      <c r="WQC85" s="0"/>
      <c r="WQD85" s="0"/>
      <c r="WQE85" s="0"/>
      <c r="WQF85" s="0"/>
      <c r="WQG85" s="0"/>
      <c r="WQH85" s="0"/>
      <c r="WQI85" s="0"/>
      <c r="WQJ85" s="0"/>
      <c r="WQK85" s="0"/>
      <c r="WQL85" s="0"/>
      <c r="WQM85" s="0"/>
      <c r="WQN85" s="0"/>
      <c r="WQO85" s="0"/>
      <c r="WQP85" s="0"/>
      <c r="WQQ85" s="0"/>
      <c r="WQR85" s="0"/>
      <c r="WQS85" s="0"/>
      <c r="WQT85" s="0"/>
      <c r="WQU85" s="0"/>
      <c r="WQV85" s="0"/>
      <c r="WQW85" s="0"/>
      <c r="WQX85" s="0"/>
      <c r="WQY85" s="0"/>
      <c r="WQZ85" s="0"/>
      <c r="WRA85" s="0"/>
      <c r="WRB85" s="0"/>
      <c r="WRC85" s="0"/>
      <c r="WRD85" s="0"/>
      <c r="WRE85" s="0"/>
      <c r="WRF85" s="0"/>
      <c r="WRG85" s="0"/>
      <c r="WRH85" s="0"/>
      <c r="WRI85" s="0"/>
      <c r="WRJ85" s="0"/>
      <c r="WRK85" s="0"/>
      <c r="WRL85" s="0"/>
      <c r="WRM85" s="0"/>
      <c r="WRN85" s="0"/>
      <c r="WRO85" s="0"/>
      <c r="WRP85" s="0"/>
      <c r="WRQ85" s="0"/>
      <c r="WRR85" s="0"/>
      <c r="WRS85" s="0"/>
      <c r="WRT85" s="0"/>
      <c r="WRU85" s="0"/>
      <c r="WRV85" s="0"/>
      <c r="WRW85" s="0"/>
      <c r="WRX85" s="0"/>
      <c r="WRY85" s="0"/>
      <c r="WRZ85" s="0"/>
      <c r="WSA85" s="0"/>
      <c r="WSB85" s="0"/>
      <c r="WSC85" s="0"/>
      <c r="WSD85" s="0"/>
      <c r="WSE85" s="0"/>
      <c r="WSF85" s="0"/>
      <c r="WSG85" s="0"/>
      <c r="WSH85" s="0"/>
      <c r="WSI85" s="0"/>
      <c r="WSJ85" s="0"/>
      <c r="WSK85" s="0"/>
      <c r="WSL85" s="0"/>
      <c r="WSM85" s="0"/>
      <c r="WSN85" s="0"/>
      <c r="WSO85" s="0"/>
      <c r="WSP85" s="0"/>
      <c r="WSQ85" s="0"/>
      <c r="WSR85" s="0"/>
      <c r="WSS85" s="0"/>
      <c r="WST85" s="0"/>
      <c r="WSU85" s="0"/>
      <c r="WSV85" s="0"/>
      <c r="WSW85" s="0"/>
      <c r="WSX85" s="0"/>
      <c r="WSY85" s="0"/>
      <c r="WSZ85" s="0"/>
      <c r="WTA85" s="0"/>
      <c r="WTB85" s="0"/>
      <c r="WTC85" s="0"/>
      <c r="WTD85" s="0"/>
      <c r="WTE85" s="0"/>
      <c r="WTF85" s="0"/>
      <c r="WTG85" s="0"/>
      <c r="WTH85" s="0"/>
      <c r="WTI85" s="0"/>
      <c r="WTJ85" s="0"/>
      <c r="WTK85" s="0"/>
      <c r="WTL85" s="0"/>
      <c r="WTM85" s="0"/>
      <c r="WTN85" s="0"/>
      <c r="WTO85" s="0"/>
      <c r="WTP85" s="0"/>
      <c r="WTQ85" s="0"/>
      <c r="WTR85" s="0"/>
      <c r="WTS85" s="0"/>
      <c r="WTT85" s="0"/>
      <c r="WTU85" s="0"/>
      <c r="WTV85" s="0"/>
      <c r="WTW85" s="0"/>
      <c r="WTX85" s="0"/>
      <c r="WTY85" s="0"/>
      <c r="WTZ85" s="0"/>
      <c r="WUA85" s="0"/>
      <c r="WUB85" s="0"/>
      <c r="WUC85" s="0"/>
      <c r="WUD85" s="0"/>
      <c r="WUE85" s="0"/>
      <c r="WUF85" s="0"/>
      <c r="WUG85" s="0"/>
      <c r="WUH85" s="0"/>
      <c r="WUI85" s="0"/>
      <c r="WUJ85" s="0"/>
      <c r="WUK85" s="0"/>
      <c r="WUL85" s="0"/>
      <c r="WUM85" s="0"/>
      <c r="WUN85" s="0"/>
      <c r="WUO85" s="0"/>
      <c r="WUP85" s="0"/>
      <c r="WUQ85" s="0"/>
      <c r="WUR85" s="0"/>
      <c r="WUS85" s="0"/>
      <c r="WUT85" s="0"/>
      <c r="WUU85" s="0"/>
      <c r="WUV85" s="0"/>
      <c r="WUW85" s="0"/>
      <c r="WUX85" s="0"/>
      <c r="WUY85" s="0"/>
      <c r="WUZ85" s="0"/>
      <c r="WVA85" s="0"/>
      <c r="WVB85" s="0"/>
      <c r="WVC85" s="0"/>
      <c r="WVD85" s="0"/>
      <c r="WVE85" s="0"/>
      <c r="WVF85" s="0"/>
      <c r="WVG85" s="0"/>
      <c r="WVH85" s="0"/>
      <c r="WVI85" s="0"/>
      <c r="WVJ85" s="0"/>
      <c r="WVK85" s="0"/>
      <c r="WVL85" s="0"/>
      <c r="WVM85" s="0"/>
      <c r="WVN85" s="0"/>
      <c r="WVO85" s="0"/>
      <c r="WVP85" s="0"/>
      <c r="WVQ85" s="0"/>
      <c r="WVR85" s="0"/>
      <c r="WVS85" s="0"/>
      <c r="WVT85" s="0"/>
      <c r="WVU85" s="0"/>
      <c r="WVV85" s="0"/>
      <c r="WVW85" s="0"/>
      <c r="WVX85" s="0"/>
      <c r="WVY85" s="0"/>
      <c r="WVZ85" s="0"/>
      <c r="WWA85" s="0"/>
      <c r="WWB85" s="0"/>
      <c r="WWC85" s="0"/>
      <c r="WWD85" s="0"/>
      <c r="WWE85" s="0"/>
      <c r="WWF85" s="0"/>
      <c r="WWG85" s="0"/>
      <c r="WWH85" s="0"/>
      <c r="WWI85" s="0"/>
      <c r="WWJ85" s="0"/>
      <c r="WWK85" s="0"/>
      <c r="WWL85" s="0"/>
      <c r="WWM85" s="0"/>
      <c r="WWN85" s="0"/>
      <c r="WWO85" s="0"/>
      <c r="WWP85" s="0"/>
      <c r="WWQ85" s="0"/>
      <c r="WWR85" s="0"/>
      <c r="WWS85" s="0"/>
      <c r="WWT85" s="0"/>
      <c r="WWU85" s="0"/>
      <c r="WWV85" s="0"/>
      <c r="WWW85" s="0"/>
      <c r="WWX85" s="0"/>
      <c r="WWY85" s="0"/>
      <c r="WWZ85" s="0"/>
      <c r="WXA85" s="0"/>
      <c r="WXB85" s="0"/>
      <c r="WXC85" s="0"/>
      <c r="WXD85" s="0"/>
      <c r="WXE85" s="0"/>
      <c r="WXF85" s="0"/>
      <c r="WXG85" s="0"/>
      <c r="WXH85" s="0"/>
      <c r="WXI85" s="0"/>
      <c r="WXJ85" s="0"/>
      <c r="WXK85" s="0"/>
      <c r="WXL85" s="0"/>
      <c r="WXM85" s="0"/>
      <c r="WXN85" s="0"/>
      <c r="WXO85" s="0"/>
      <c r="WXP85" s="0"/>
      <c r="WXQ85" s="0"/>
      <c r="WXR85" s="0"/>
      <c r="WXS85" s="0"/>
      <c r="WXT85" s="0"/>
      <c r="WXU85" s="0"/>
      <c r="WXV85" s="0"/>
      <c r="WXW85" s="0"/>
      <c r="WXX85" s="0"/>
      <c r="WXY85" s="0"/>
      <c r="WXZ85" s="0"/>
      <c r="WYA85" s="0"/>
      <c r="WYB85" s="0"/>
      <c r="WYC85" s="0"/>
      <c r="WYD85" s="0"/>
      <c r="WYE85" s="0"/>
      <c r="WYF85" s="0"/>
      <c r="WYG85" s="0"/>
      <c r="WYH85" s="0"/>
      <c r="WYI85" s="0"/>
      <c r="WYJ85" s="0"/>
      <c r="WYK85" s="0"/>
      <c r="WYL85" s="0"/>
      <c r="WYM85" s="0"/>
      <c r="WYN85" s="0"/>
      <c r="WYO85" s="0"/>
      <c r="WYP85" s="0"/>
      <c r="WYQ85" s="0"/>
      <c r="WYR85" s="0"/>
      <c r="WYS85" s="0"/>
      <c r="WYT85" s="0"/>
      <c r="WYU85" s="0"/>
      <c r="WYV85" s="0"/>
      <c r="WYW85" s="0"/>
      <c r="WYX85" s="0"/>
      <c r="WYY85" s="0"/>
      <c r="WYZ85" s="0"/>
      <c r="WZA85" s="0"/>
      <c r="WZB85" s="0"/>
      <c r="WZC85" s="0"/>
      <c r="WZD85" s="0"/>
      <c r="WZE85" s="0"/>
      <c r="WZF85" s="0"/>
      <c r="WZG85" s="0"/>
      <c r="WZH85" s="0"/>
      <c r="WZI85" s="0"/>
      <c r="WZJ85" s="0"/>
      <c r="WZK85" s="0"/>
      <c r="WZL85" s="0"/>
      <c r="WZM85" s="0"/>
      <c r="WZN85" s="0"/>
      <c r="WZO85" s="0"/>
      <c r="WZP85" s="0"/>
      <c r="WZQ85" s="0"/>
      <c r="WZR85" s="0"/>
      <c r="WZS85" s="0"/>
      <c r="WZT85" s="0"/>
      <c r="WZU85" s="0"/>
      <c r="WZV85" s="0"/>
      <c r="WZW85" s="0"/>
      <c r="WZX85" s="0"/>
      <c r="WZY85" s="0"/>
      <c r="WZZ85" s="0"/>
      <c r="XAA85" s="0"/>
      <c r="XAB85" s="0"/>
      <c r="XAC85" s="0"/>
      <c r="XAD85" s="0"/>
      <c r="XAE85" s="0"/>
      <c r="XAF85" s="0"/>
      <c r="XAG85" s="0"/>
      <c r="XAH85" s="0"/>
      <c r="XAI85" s="0"/>
      <c r="XAJ85" s="0"/>
      <c r="XAK85" s="0"/>
      <c r="XAL85" s="0"/>
      <c r="XAM85" s="0"/>
      <c r="XAN85" s="0"/>
      <c r="XAO85" s="0"/>
      <c r="XAP85" s="0"/>
      <c r="XAQ85" s="0"/>
      <c r="XAR85" s="0"/>
      <c r="XAS85" s="0"/>
      <c r="XAT85" s="0"/>
      <c r="XAU85" s="0"/>
      <c r="XAV85" s="0"/>
      <c r="XAW85" s="0"/>
      <c r="XAX85" s="0"/>
      <c r="XAY85" s="0"/>
      <c r="XAZ85" s="0"/>
      <c r="XBA85" s="0"/>
      <c r="XBB85" s="0"/>
      <c r="XBC85" s="0"/>
      <c r="XBD85" s="0"/>
      <c r="XBE85" s="0"/>
      <c r="XBF85" s="0"/>
      <c r="XBG85" s="0"/>
      <c r="XBH85" s="0"/>
      <c r="XBI85" s="0"/>
      <c r="XBJ85" s="0"/>
      <c r="XBK85" s="0"/>
      <c r="XBL85" s="0"/>
      <c r="XBM85" s="0"/>
      <c r="XBN85" s="0"/>
      <c r="XBO85" s="0"/>
      <c r="XBP85" s="0"/>
      <c r="XBQ85" s="0"/>
      <c r="XBR85" s="0"/>
      <c r="XBS85" s="0"/>
      <c r="XBT85" s="0"/>
      <c r="XBU85" s="0"/>
      <c r="XBV85" s="0"/>
      <c r="XBW85" s="0"/>
      <c r="XBX85" s="0"/>
      <c r="XBY85" s="0"/>
      <c r="XBZ85" s="0"/>
      <c r="XCA85" s="0"/>
      <c r="XCB85" s="0"/>
      <c r="XCC85" s="0"/>
      <c r="XCD85" s="0"/>
      <c r="XCE85" s="0"/>
      <c r="XCF85" s="0"/>
      <c r="XCG85" s="0"/>
      <c r="XCH85" s="0"/>
      <c r="XCI85" s="0"/>
      <c r="XCJ85" s="0"/>
      <c r="XCK85" s="0"/>
      <c r="XCL85" s="0"/>
      <c r="XCM85" s="0"/>
      <c r="XCN85" s="0"/>
      <c r="XCO85" s="0"/>
      <c r="XCP85" s="0"/>
      <c r="XCQ85" s="0"/>
      <c r="XCR85" s="0"/>
      <c r="XCS85" s="0"/>
      <c r="XCT85" s="0"/>
      <c r="XCU85" s="0"/>
      <c r="XCV85" s="0"/>
      <c r="XCW85" s="0"/>
      <c r="XCX85" s="0"/>
      <c r="XCY85" s="0"/>
      <c r="XCZ85" s="0"/>
      <c r="XDA85" s="0"/>
      <c r="XDB85" s="0"/>
      <c r="XDC85" s="0"/>
      <c r="XDD85" s="0"/>
      <c r="XDE85" s="0"/>
      <c r="XDF85" s="0"/>
      <c r="XDG85" s="0"/>
      <c r="XDH85" s="0"/>
      <c r="XDI85" s="0"/>
      <c r="XDJ85" s="0"/>
      <c r="XDK85" s="0"/>
      <c r="XDL85" s="0"/>
      <c r="XDM85" s="0"/>
      <c r="XDN85" s="0"/>
      <c r="XDO85" s="0"/>
      <c r="XDP85" s="0"/>
      <c r="XDQ85" s="0"/>
      <c r="XDR85" s="0"/>
      <c r="XDS85" s="0"/>
      <c r="XDT85" s="0"/>
      <c r="XDU85" s="0"/>
      <c r="XDV85" s="0"/>
      <c r="XDW85" s="0"/>
      <c r="XDX85" s="0"/>
      <c r="XDY85" s="0"/>
      <c r="XDZ85" s="0"/>
      <c r="XEA85" s="0"/>
      <c r="XEB85" s="0"/>
      <c r="XEC85" s="0"/>
      <c r="XED85" s="0"/>
      <c r="XEE85" s="0"/>
      <c r="XEF85" s="0"/>
      <c r="XEG85" s="0"/>
      <c r="XEH85" s="0"/>
      <c r="XEI85" s="0"/>
      <c r="XEJ85" s="0"/>
      <c r="XEK85" s="0"/>
      <c r="XEL85" s="0"/>
      <c r="XEM85" s="0"/>
      <c r="XEN85" s="0"/>
      <c r="XEO85" s="0"/>
      <c r="XEP85" s="0"/>
      <c r="XEQ85" s="0"/>
      <c r="XER85" s="0"/>
      <c r="XES85" s="0"/>
      <c r="XET85" s="0"/>
      <c r="XEU85" s="0"/>
      <c r="XEV85" s="0"/>
      <c r="XEW85" s="0"/>
      <c r="XEX85" s="0"/>
      <c r="XEY85" s="0"/>
      <c r="XEZ85" s="0"/>
      <c r="XFA85" s="0"/>
      <c r="XFB85" s="0"/>
      <c r="XFC85" s="0"/>
      <c r="XFD85" s="0"/>
    </row>
    <row r="86" customFormat="false" ht="13.8" hidden="false" customHeight="false" outlineLevel="0" collapsed="false">
      <c r="A86" s="36" t="s">
        <v>508</v>
      </c>
      <c r="B86" s="36" t="s">
        <v>509</v>
      </c>
      <c r="C86" s="0" t="n">
        <v>514</v>
      </c>
      <c r="D86" s="0" t="n">
        <v>509</v>
      </c>
      <c r="E86" s="0" t="n">
        <v>516</v>
      </c>
      <c r="F86" s="0" t="s">
        <v>89</v>
      </c>
      <c r="G86" s="0" t="s">
        <v>90</v>
      </c>
      <c r="H86" s="0" t="s">
        <v>255</v>
      </c>
      <c r="I86" s="0" t="s">
        <v>92</v>
      </c>
      <c r="J86" s="0" t="n">
        <v>2017</v>
      </c>
      <c r="K86" s="0"/>
      <c r="L86" s="0"/>
      <c r="M86" s="0" t="n">
        <v>9</v>
      </c>
      <c r="N86" s="0" t="n">
        <v>5400</v>
      </c>
      <c r="O86" s="37" t="n">
        <f aca="false">940*5</f>
        <v>4700</v>
      </c>
      <c r="P86" s="38"/>
      <c r="Q86" s="38"/>
      <c r="R86" s="38"/>
      <c r="S86" s="38"/>
      <c r="T86" s="38"/>
      <c r="U86" s="38"/>
      <c r="V86" s="38"/>
      <c r="W86" s="36" t="n">
        <v>438</v>
      </c>
      <c r="X86" s="37"/>
      <c r="Y86" s="36" t="n">
        <v>5</v>
      </c>
      <c r="Z86" s="36" t="n">
        <v>195</v>
      </c>
      <c r="AA86" s="39" t="n">
        <f aca="false">IF(AND(W86&gt;0,Z86&gt;0),(Z86/((W86+X86)*10)),"")</f>
        <v>0.0445205479452055</v>
      </c>
      <c r="AB86" s="36" t="n">
        <v>140</v>
      </c>
      <c r="AC86" s="36" t="n">
        <f aca="false">ROUND(AB86*1.6, 0)</f>
        <v>224</v>
      </c>
      <c r="AD86" s="36"/>
      <c r="AE86" s="36"/>
      <c r="AF86" s="36" t="n">
        <v>26</v>
      </c>
      <c r="AG86" s="36" t="n">
        <v>24</v>
      </c>
      <c r="AH86" s="36"/>
      <c r="AI86" s="36"/>
      <c r="AJ86" s="40" t="n">
        <v>66</v>
      </c>
      <c r="AK86" s="36" t="str">
        <f aca="false">CONCATENATE(VLOOKUP(AL86, '[1]Voxel Sizes'!$A$2:$B$18,2,FALSE()),"x",INT(AH86*15), "x", INT(AI86*15))</f>
        <v>238x0x0</v>
      </c>
      <c r="AL86" s="36" t="n">
        <f aca="false">ROUND(15*((AG86*10)/256),0)</f>
        <v>14</v>
      </c>
      <c r="AM86" s="36"/>
      <c r="AN86" s="36" t="str">
        <f aca="false">CONCATENATE(VLOOKUP(AL86,[1]Constants!$A$2:$C$16,IF(AM86&lt;&gt;"", 3, 2), FALSE()),IF(AM86&lt;&gt;"",CONCATENATE(",",VLOOKUP(AM86,$B:$AN,39,FALSE())),""))</f>
        <v>4,6,4</v>
      </c>
      <c r="AO86" s="36" t="n">
        <v>24</v>
      </c>
      <c r="AP86" s="41"/>
      <c r="AQ86" s="41"/>
      <c r="AR86" s="0" t="s">
        <v>499</v>
      </c>
      <c r="AS86" s="0" t="s">
        <v>495</v>
      </c>
      <c r="AT86" s="0" t="s">
        <v>471</v>
      </c>
      <c r="AU86" s="0" t="s">
        <v>493</v>
      </c>
      <c r="AV86" s="0"/>
      <c r="AW86" s="0"/>
      <c r="AX86" s="0" t="n">
        <v>30</v>
      </c>
      <c r="AY86" s="42" t="str">
        <f aca="false">IF(L86&lt;&gt;"",MAX(16,(L86-J86)+8),"")</f>
        <v/>
      </c>
      <c r="AZ86" s="36" t="n">
        <v>-15</v>
      </c>
      <c r="BA86" s="36" t="n">
        <v>-30</v>
      </c>
      <c r="BB86" s="36" t="n">
        <f aca="false">MIN(AB86/150, 1)*30</f>
        <v>28</v>
      </c>
      <c r="BC86" s="36" t="n">
        <f aca="false">MIN(N86/4000, 1)*20</f>
        <v>20</v>
      </c>
      <c r="BD86" s="36" t="n">
        <f aca="false">MIN(Z86/400,1)*20</f>
        <v>9.75</v>
      </c>
      <c r="BE86" s="39" t="n">
        <f aca="false">1-(MAX(J86-1900, 0)/750)</f>
        <v>0.844</v>
      </c>
      <c r="BF86" s="36" t="n">
        <f aca="false">((MAX($M86,1)*MIN($AJ86/300,1)))*IF(G86="Wagon",50,10)</f>
        <v>19.8</v>
      </c>
      <c r="BG86" s="1" t="n">
        <f aca="false">VLOOKUP($H86,Constants!$I:$K, 2, FALSE())</f>
        <v>0.9</v>
      </c>
      <c r="BH86" s="1" t="n">
        <f aca="false">VLOOKUP($H86,Constants!$I:$K, 3, FALSE())*IF(AND(G86="multiple_unit",AB86&lt;110),0.75,1)</f>
        <v>2.5</v>
      </c>
      <c r="BI86" s="36" t="n">
        <f aca="false">INT(POWER((([1]Constants!$G$2+$BB86+$BC86+$BD86+$BF86)*$BE86)*$BH86, 1.05))+$BA86</f>
        <v>195</v>
      </c>
      <c r="BJ86" s="36" t="n">
        <f aca="false">INT(POWER(((([1]Constants!$G$1+$BB86+$BC86+$BD86+$BF86)*($BE86))*$BG86),IF($G86="wagon",1,1.2)))+$AZ86</f>
        <v>149</v>
      </c>
      <c r="BK86" s="43" t="n">
        <f aca="false">BI86*IF($G86="wagon",62.5,781.25)</f>
        <v>152343.75</v>
      </c>
      <c r="BL86" s="43" t="n">
        <f aca="false">BJ86*IF($G86="wagon",2.73,81.25)</f>
        <v>12106.25</v>
      </c>
      <c r="BM86" s="36"/>
      <c r="BN86" s="36"/>
      <c r="BO86" s="36"/>
      <c r="BP86" s="36"/>
      <c r="BQ86" s="19" t="str">
        <f aca="false">_xlfn.ORG.LIBREOFFICE.REGEX(_xlfn.ORG.LIBREOFFICE.REGEX(IETMUVEHICLES, _xlfn.CONCAT(B86, ",?"), ""), ",$", "")</f>
        <v>class_800_azuma,class_800_9,class_801_5,class_801_9,class_802_5</v>
      </c>
      <c r="BR86" s="36"/>
      <c r="BS86" s="36"/>
      <c r="BT86" s="36" t="n">
        <v>10</v>
      </c>
      <c r="BU86" s="36" t="n">
        <v>222</v>
      </c>
      <c r="BV86" s="36"/>
      <c r="BW86" s="36"/>
      <c r="BX86" s="36" t="s">
        <v>95</v>
      </c>
      <c r="BY86" s="36" t="str">
        <f aca="false">VLOOKUP(J86,[1]Eras!$A$2:$C$10, 2, TRUE())</f>
        <v>mod</v>
      </c>
      <c r="BZ86" s="36" t="s">
        <v>226</v>
      </c>
      <c r="CA86" s="0" t="str">
        <f aca="false">CONCATENATE(BY86,"_",BZ86)</f>
        <v>mod_EMU (Express)</v>
      </c>
      <c r="CB86" s="0" t="str">
        <f aca="false">_xlfn.CONCAT(H86, "_",I86)</f>
        <v>dual_power_ELRL</v>
      </c>
      <c r="CC86" s="44" t="str">
        <f aca="false" t="array" ref="CC86:CC86">_xlfn.CONCAT("{BLACK}Length: {GOLD}", TEXT(ROUNDUP(IF(AQ86&lt;&gt;"",SUM(VALUE(_xlfn.TEXTSPLIT(AQ86, ","))), SUM(VALUE(_xlfn.TEXTSPLIT(AN86, ",")))*IF(M86, M86, 1))/16, 1), "#,##0.0"), " tiles{}")</f>
        <v>{BLACK}Length: {GOLD}7.9 tiles{}</v>
      </c>
      <c r="CD86" s="1" t="str">
        <f aca="false">VLOOKUP($CB86, Constants!$M:$N, 2, FALSE())</f>
        <v>{BLACK}Powered by: {GOLD}25kV AC / Diesel</v>
      </c>
      <c r="CE86" s="0" t="str">
        <f aca="false">IF(M86&gt;1,_xlfn.CONCAT("{BLACK}Cars: {GOLD}", M86),"")</f>
        <v>{BLACK}Cars: {GOLD}9</v>
      </c>
      <c r="CF86" s="0" t="s">
        <v>507</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{YELLOW}20% bonus for long distance travel{}</v>
      </c>
      <c r="CH86" s="1" t="str">
        <f aca="false">_xlfn.CONCAT(CD86,IF(CD86 &lt;&gt; "", " ", ""),CE86,IF(OR(CE86&lt;&gt;"", CD86&lt;&gt;""), "{}",""), CC86, CG86,"{SILVER}", CF86)</f>
        <v>{BLACK}Powered by: {GOLD}25kV AC / Diesel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c r="CI86" s="0"/>
      <c r="CJ86" s="0"/>
      <c r="CK86" s="0"/>
      <c r="CL86" s="0"/>
      <c r="CM86" s="0"/>
      <c r="CN86" s="0"/>
      <c r="CO86" s="0"/>
      <c r="CP86" s="0"/>
      <c r="CQ86" s="0"/>
      <c r="CR86" s="0"/>
      <c r="CS86" s="0"/>
      <c r="CT86" s="0"/>
      <c r="CU86" s="0"/>
      <c r="CV86" s="0"/>
      <c r="CW86" s="0"/>
      <c r="CX86" s="0"/>
      <c r="CY86" s="0"/>
      <c r="CZ86" s="0"/>
      <c r="DA86" s="0"/>
      <c r="DB86" s="0"/>
      <c r="DC86" s="0"/>
      <c r="DD86" s="0"/>
      <c r="DE86" s="0"/>
      <c r="DF86" s="0"/>
      <c r="DG86" s="0"/>
      <c r="DH86" s="0"/>
      <c r="DI86" s="0"/>
      <c r="DJ86" s="0"/>
      <c r="DK86" s="0"/>
      <c r="DL86" s="0"/>
      <c r="DM86" s="0"/>
      <c r="DN86" s="0"/>
      <c r="DO86" s="0"/>
      <c r="DP86" s="0"/>
      <c r="DQ86" s="0"/>
      <c r="DR86" s="0"/>
      <c r="DS86" s="0"/>
      <c r="DT86" s="0"/>
      <c r="DU86" s="0"/>
      <c r="DV86" s="0"/>
      <c r="DW86" s="0"/>
      <c r="DX86" s="0"/>
      <c r="DY86" s="0"/>
      <c r="DZ86" s="0"/>
      <c r="EA86" s="0"/>
      <c r="EB86" s="0"/>
      <c r="EC86" s="0"/>
      <c r="ED86" s="0"/>
      <c r="EE86" s="0"/>
      <c r="EF86" s="0"/>
      <c r="EG86" s="0"/>
      <c r="EH86" s="0"/>
      <c r="EI86" s="0"/>
      <c r="EJ86" s="0"/>
      <c r="EK86" s="0"/>
      <c r="EL86" s="0"/>
      <c r="EM86" s="0"/>
      <c r="EN86" s="0"/>
      <c r="EO86" s="0"/>
      <c r="EP86" s="0"/>
      <c r="EQ86" s="0"/>
      <c r="ER86" s="0"/>
      <c r="ES86" s="0"/>
      <c r="ET86" s="0"/>
      <c r="EU86" s="0"/>
      <c r="EV86" s="0"/>
      <c r="EW86" s="0"/>
      <c r="EX86" s="0"/>
      <c r="EY86" s="0"/>
      <c r="EZ86" s="0"/>
      <c r="FA86" s="0"/>
      <c r="FB86" s="0"/>
      <c r="FC86" s="0"/>
      <c r="FD86" s="0"/>
      <c r="FE86" s="0"/>
      <c r="FF86" s="0"/>
      <c r="FG86" s="0"/>
      <c r="FH86" s="0"/>
      <c r="FI86" s="0"/>
      <c r="FJ86" s="0"/>
      <c r="FK86" s="0"/>
      <c r="FL86" s="0"/>
      <c r="FM86" s="0"/>
      <c r="FN86" s="0"/>
      <c r="FO86" s="0"/>
      <c r="FP86" s="0"/>
      <c r="FQ86" s="0"/>
      <c r="FR86" s="0"/>
      <c r="FS86" s="0"/>
      <c r="FT86" s="0"/>
      <c r="FU86" s="0"/>
      <c r="FV86" s="0"/>
      <c r="FW86" s="0"/>
      <c r="FX86" s="0"/>
      <c r="FY86" s="0"/>
      <c r="FZ86" s="0"/>
      <c r="GA86" s="0"/>
      <c r="GB86" s="0"/>
      <c r="GC86" s="0"/>
      <c r="GD86" s="0"/>
      <c r="GE86" s="0"/>
      <c r="GF86" s="0"/>
      <c r="GG86" s="0"/>
      <c r="GH86" s="0"/>
      <c r="GI86" s="0"/>
      <c r="GJ86" s="0"/>
      <c r="GK86" s="0"/>
      <c r="GL86" s="0"/>
      <c r="GM86" s="0"/>
      <c r="GN86" s="0"/>
      <c r="GO86" s="0"/>
      <c r="GP86" s="0"/>
      <c r="GQ86" s="0"/>
      <c r="GR86" s="0"/>
      <c r="GS86" s="0"/>
      <c r="GT86" s="0"/>
      <c r="GU86" s="0"/>
      <c r="GV86" s="0"/>
      <c r="GW86" s="0"/>
      <c r="GX86" s="0"/>
      <c r="GY86" s="0"/>
      <c r="GZ86" s="0"/>
      <c r="HA86" s="0"/>
      <c r="HB86" s="0"/>
      <c r="HC86" s="0"/>
      <c r="HD86" s="0"/>
      <c r="HE86" s="0"/>
      <c r="HF86" s="0"/>
      <c r="HG86" s="0"/>
      <c r="HH86" s="0"/>
      <c r="HI86" s="0"/>
      <c r="HJ86" s="0"/>
      <c r="HK86" s="0"/>
      <c r="HL86" s="0"/>
      <c r="HM86" s="0"/>
      <c r="HN86" s="0"/>
      <c r="HO86" s="0"/>
      <c r="HP86" s="0"/>
      <c r="HQ86" s="0"/>
      <c r="HR86" s="0"/>
      <c r="HS86" s="0"/>
      <c r="HT86" s="0"/>
      <c r="HU86" s="0"/>
      <c r="HV86" s="0"/>
      <c r="HW86" s="0"/>
      <c r="HX86" s="0"/>
      <c r="HY86" s="0"/>
      <c r="HZ86" s="0"/>
      <c r="IA86" s="0"/>
      <c r="IB86" s="0"/>
      <c r="IC86" s="0"/>
      <c r="ID86" s="0"/>
      <c r="IE86" s="0"/>
      <c r="IF86" s="0"/>
      <c r="IG86" s="0"/>
      <c r="IH86" s="0"/>
      <c r="II86" s="0"/>
      <c r="IJ86" s="0"/>
      <c r="IK86" s="0"/>
      <c r="IL86" s="0"/>
      <c r="IM86" s="0"/>
      <c r="IN86" s="0"/>
      <c r="IO86" s="0"/>
      <c r="IP86" s="0"/>
      <c r="IQ86" s="0"/>
      <c r="IR86" s="0"/>
      <c r="IS86" s="0"/>
      <c r="IT86" s="0"/>
      <c r="IU86" s="0"/>
      <c r="IV86" s="0"/>
      <c r="IW86" s="0"/>
      <c r="IX86" s="0"/>
      <c r="IY86" s="0"/>
      <c r="IZ86" s="0"/>
      <c r="JA86" s="0"/>
      <c r="JB86" s="0"/>
      <c r="JC86" s="0"/>
      <c r="JD86" s="0"/>
      <c r="JE86" s="0"/>
      <c r="JF86" s="0"/>
      <c r="JG86" s="0"/>
      <c r="JH86" s="0"/>
      <c r="JI86" s="0"/>
      <c r="JJ86" s="0"/>
      <c r="JK86" s="0"/>
      <c r="JL86" s="0"/>
      <c r="JM86" s="0"/>
      <c r="JN86" s="0"/>
      <c r="JO86" s="0"/>
      <c r="JP86" s="0"/>
      <c r="JQ86" s="0"/>
      <c r="JR86" s="0"/>
      <c r="JS86" s="0"/>
      <c r="JT86" s="0"/>
      <c r="JU86" s="0"/>
      <c r="JV86" s="0"/>
      <c r="JW86" s="0"/>
      <c r="JX86" s="0"/>
      <c r="JY86" s="0"/>
      <c r="JZ86" s="0"/>
      <c r="KA86" s="0"/>
      <c r="KB86" s="0"/>
      <c r="KC86" s="0"/>
      <c r="KD86" s="0"/>
      <c r="KE86" s="0"/>
      <c r="KF86" s="0"/>
      <c r="KG86" s="0"/>
      <c r="KH86" s="0"/>
      <c r="KI86" s="0"/>
      <c r="KJ86" s="0"/>
      <c r="KK86" s="0"/>
      <c r="KL86" s="0"/>
      <c r="KM86" s="0"/>
      <c r="KN86" s="0"/>
      <c r="KO86" s="0"/>
      <c r="KP86" s="0"/>
      <c r="KQ86" s="0"/>
      <c r="KR86" s="0"/>
      <c r="KS86" s="0"/>
      <c r="KT86" s="0"/>
      <c r="KU86" s="0"/>
      <c r="KV86" s="0"/>
      <c r="KW86" s="0"/>
      <c r="KX86" s="0"/>
      <c r="KY86" s="0"/>
      <c r="KZ86" s="0"/>
      <c r="LA86" s="0"/>
      <c r="LB86" s="0"/>
      <c r="LC86" s="0"/>
      <c r="LD86" s="0"/>
      <c r="LE86" s="0"/>
      <c r="LF86" s="0"/>
      <c r="LG86" s="0"/>
      <c r="LH86" s="0"/>
      <c r="LI86" s="0"/>
      <c r="LJ86" s="0"/>
      <c r="LK86" s="0"/>
      <c r="LL86" s="0"/>
      <c r="LM86" s="0"/>
      <c r="LN86" s="0"/>
      <c r="LO86" s="0"/>
      <c r="LP86" s="0"/>
      <c r="LQ86" s="0"/>
      <c r="LR86" s="0"/>
      <c r="LS86" s="0"/>
      <c r="LT86" s="0"/>
      <c r="LU86" s="0"/>
      <c r="LV86" s="0"/>
      <c r="LW86" s="0"/>
      <c r="LX86" s="0"/>
      <c r="LY86" s="0"/>
      <c r="LZ86" s="0"/>
      <c r="MA86" s="0"/>
      <c r="MB86" s="0"/>
      <c r="MC86" s="0"/>
      <c r="MD86" s="0"/>
      <c r="ME86" s="0"/>
      <c r="MF86" s="0"/>
      <c r="MG86" s="0"/>
      <c r="MH86" s="0"/>
      <c r="MI86" s="0"/>
      <c r="MJ86" s="0"/>
      <c r="MK86" s="0"/>
      <c r="ML86" s="0"/>
      <c r="MM86" s="0"/>
      <c r="MN86" s="0"/>
      <c r="MO86" s="0"/>
      <c r="MP86" s="0"/>
      <c r="MQ86" s="0"/>
      <c r="MR86" s="0"/>
      <c r="MS86" s="0"/>
      <c r="MT86" s="0"/>
      <c r="MU86" s="0"/>
      <c r="MV86" s="0"/>
      <c r="MW86" s="0"/>
      <c r="MX86" s="0"/>
      <c r="MY86" s="0"/>
      <c r="MZ86" s="0"/>
      <c r="NA86" s="0"/>
      <c r="NB86" s="0"/>
      <c r="NC86" s="0"/>
      <c r="ND86" s="0"/>
      <c r="NE86" s="0"/>
      <c r="NF86" s="0"/>
      <c r="NG86" s="0"/>
      <c r="NH86" s="0"/>
      <c r="NI86" s="0"/>
      <c r="NJ86" s="0"/>
      <c r="NK86" s="0"/>
      <c r="NL86" s="0"/>
      <c r="NM86" s="0"/>
      <c r="NN86" s="0"/>
      <c r="NO86" s="0"/>
      <c r="NP86" s="0"/>
      <c r="NQ86" s="0"/>
      <c r="NR86" s="0"/>
      <c r="NS86" s="0"/>
      <c r="NT86" s="0"/>
      <c r="NU86" s="0"/>
      <c r="NV86" s="0"/>
      <c r="NW86" s="0"/>
      <c r="NX86" s="0"/>
      <c r="NY86" s="0"/>
      <c r="NZ86" s="0"/>
      <c r="OA86" s="0"/>
      <c r="OB86" s="0"/>
      <c r="OC86" s="0"/>
      <c r="OD86" s="0"/>
      <c r="OE86" s="0"/>
      <c r="OF86" s="0"/>
      <c r="OG86" s="0"/>
      <c r="OH86" s="0"/>
      <c r="OI86" s="0"/>
      <c r="OJ86" s="0"/>
      <c r="OK86" s="0"/>
      <c r="OL86" s="0"/>
      <c r="OM86" s="0"/>
      <c r="ON86" s="0"/>
      <c r="OO86" s="0"/>
      <c r="OP86" s="0"/>
      <c r="OQ86" s="0"/>
      <c r="OR86" s="0"/>
      <c r="OS86" s="0"/>
      <c r="OT86" s="0"/>
      <c r="OU86" s="0"/>
      <c r="OV86" s="0"/>
      <c r="OW86" s="0"/>
      <c r="OX86" s="0"/>
      <c r="OY86" s="0"/>
      <c r="OZ86" s="0"/>
      <c r="PA86" s="0"/>
      <c r="PB86" s="0"/>
      <c r="PC86" s="0"/>
      <c r="PD86" s="0"/>
      <c r="PE86" s="0"/>
      <c r="PF86" s="0"/>
      <c r="PG86" s="0"/>
      <c r="PH86" s="0"/>
      <c r="PI86" s="0"/>
      <c r="PJ86" s="0"/>
      <c r="PK86" s="0"/>
      <c r="PL86" s="0"/>
      <c r="PM86" s="0"/>
      <c r="PN86" s="0"/>
      <c r="PO86" s="0"/>
      <c r="PP86" s="0"/>
      <c r="PQ86" s="0"/>
      <c r="PR86" s="0"/>
      <c r="PS86" s="0"/>
      <c r="PT86" s="0"/>
      <c r="PU86" s="0"/>
      <c r="PV86" s="0"/>
      <c r="PW86" s="0"/>
      <c r="PX86" s="0"/>
      <c r="PY86" s="0"/>
      <c r="PZ86" s="0"/>
      <c r="QA86" s="0"/>
      <c r="QB86" s="0"/>
      <c r="QC86" s="0"/>
      <c r="QD86" s="0"/>
      <c r="QE86" s="0"/>
      <c r="QF86" s="0"/>
      <c r="QG86" s="0"/>
      <c r="QH86" s="0"/>
      <c r="QI86" s="0"/>
      <c r="QJ86" s="0"/>
      <c r="QK86" s="0"/>
      <c r="QL86" s="0"/>
      <c r="QM86" s="0"/>
      <c r="QN86" s="0"/>
      <c r="QO86" s="0"/>
      <c r="QP86" s="0"/>
      <c r="QQ86" s="0"/>
      <c r="QR86" s="0"/>
      <c r="QS86" s="0"/>
      <c r="QT86" s="0"/>
      <c r="QU86" s="0"/>
      <c r="QV86" s="0"/>
      <c r="QW86" s="0"/>
      <c r="QX86" s="0"/>
      <c r="QY86" s="0"/>
      <c r="QZ86" s="0"/>
      <c r="RA86" s="0"/>
      <c r="RB86" s="0"/>
      <c r="RC86" s="0"/>
      <c r="RD86" s="0"/>
      <c r="RE86" s="0"/>
      <c r="RF86" s="0"/>
      <c r="RG86" s="0"/>
      <c r="RH86" s="0"/>
      <c r="RI86" s="0"/>
      <c r="RJ86" s="0"/>
      <c r="RK86" s="0"/>
      <c r="RL86" s="0"/>
      <c r="RM86" s="0"/>
      <c r="RN86" s="0"/>
      <c r="RO86" s="0"/>
      <c r="RP86" s="0"/>
      <c r="RQ86" s="0"/>
      <c r="RR86" s="0"/>
      <c r="RS86" s="0"/>
      <c r="RT86" s="0"/>
      <c r="RU86" s="0"/>
      <c r="RV86" s="0"/>
      <c r="RW86" s="0"/>
      <c r="RX86" s="0"/>
      <c r="RY86" s="0"/>
      <c r="RZ86" s="0"/>
      <c r="SA86" s="0"/>
      <c r="SB86" s="0"/>
      <c r="SC86" s="0"/>
      <c r="SD86" s="0"/>
      <c r="SE86" s="0"/>
      <c r="SF86" s="0"/>
      <c r="SG86" s="0"/>
      <c r="SH86" s="0"/>
      <c r="SI86" s="0"/>
      <c r="SJ86" s="0"/>
      <c r="SK86" s="0"/>
      <c r="SL86" s="0"/>
      <c r="SM86" s="0"/>
      <c r="SN86" s="0"/>
      <c r="SO86" s="0"/>
      <c r="SP86" s="0"/>
      <c r="SQ86" s="0"/>
      <c r="SR86" s="0"/>
      <c r="SS86" s="0"/>
      <c r="ST86" s="0"/>
      <c r="SU86" s="0"/>
      <c r="SV86" s="0"/>
      <c r="SW86" s="0"/>
      <c r="SX86" s="0"/>
      <c r="SY86" s="0"/>
      <c r="SZ86" s="0"/>
      <c r="TA86" s="0"/>
      <c r="TB86" s="0"/>
      <c r="TC86" s="0"/>
      <c r="TD86" s="0"/>
      <c r="TE86" s="0"/>
      <c r="TF86" s="0"/>
      <c r="TG86" s="0"/>
      <c r="TH86" s="0"/>
      <c r="TI86" s="0"/>
      <c r="TJ86" s="0"/>
      <c r="TK86" s="0"/>
      <c r="TL86" s="0"/>
      <c r="TM86" s="0"/>
      <c r="TN86" s="0"/>
      <c r="TO86" s="0"/>
      <c r="TP86" s="0"/>
      <c r="TQ86" s="0"/>
      <c r="TR86" s="0"/>
      <c r="TS86" s="0"/>
      <c r="TT86" s="0"/>
      <c r="TU86" s="0"/>
      <c r="TV86" s="0"/>
      <c r="TW86" s="0"/>
      <c r="TX86" s="0"/>
      <c r="TY86" s="0"/>
      <c r="TZ86" s="0"/>
      <c r="UA86" s="0"/>
      <c r="UB86" s="0"/>
      <c r="UC86" s="0"/>
      <c r="UD86" s="0"/>
      <c r="UE86" s="0"/>
      <c r="UF86" s="0"/>
      <c r="UG86" s="0"/>
      <c r="UH86" s="0"/>
      <c r="UI86" s="0"/>
      <c r="UJ86" s="0"/>
      <c r="UK86" s="0"/>
      <c r="UL86" s="0"/>
      <c r="UM86" s="0"/>
      <c r="UN86" s="0"/>
      <c r="UO86" s="0"/>
      <c r="UP86" s="0"/>
      <c r="UQ86" s="0"/>
      <c r="UR86" s="0"/>
      <c r="US86" s="0"/>
      <c r="UT86" s="0"/>
      <c r="UU86" s="0"/>
      <c r="UV86" s="0"/>
      <c r="UW86" s="0"/>
      <c r="UX86" s="0"/>
      <c r="UY86" s="0"/>
      <c r="UZ86" s="0"/>
      <c r="VA86" s="0"/>
      <c r="VB86" s="0"/>
      <c r="VC86" s="0"/>
      <c r="VD86" s="0"/>
      <c r="VE86" s="0"/>
      <c r="VF86" s="0"/>
      <c r="VG86" s="0"/>
      <c r="VH86" s="0"/>
      <c r="VI86" s="0"/>
      <c r="VJ86" s="0"/>
      <c r="VK86" s="0"/>
      <c r="VL86" s="0"/>
      <c r="VM86" s="0"/>
      <c r="VN86" s="0"/>
      <c r="VO86" s="0"/>
      <c r="VP86" s="0"/>
      <c r="VQ86" s="0"/>
      <c r="VR86" s="0"/>
      <c r="VS86" s="0"/>
      <c r="VT86" s="0"/>
      <c r="VU86" s="0"/>
      <c r="VV86" s="0"/>
      <c r="VW86" s="0"/>
      <c r="VX86" s="0"/>
      <c r="VY86" s="0"/>
      <c r="VZ86" s="0"/>
      <c r="WA86" s="0"/>
      <c r="WB86" s="0"/>
      <c r="WC86" s="0"/>
      <c r="WD86" s="0"/>
      <c r="WE86" s="0"/>
      <c r="WF86" s="0"/>
      <c r="WG86" s="0"/>
      <c r="WH86" s="0"/>
      <c r="WI86" s="0"/>
      <c r="WJ86" s="0"/>
      <c r="WK86" s="0"/>
      <c r="WL86" s="0"/>
      <c r="WM86" s="0"/>
      <c r="WN86" s="0"/>
      <c r="WO86" s="0"/>
      <c r="WP86" s="0"/>
      <c r="WQ86" s="0"/>
      <c r="WR86" s="0"/>
      <c r="WS86" s="0"/>
      <c r="WT86" s="0"/>
      <c r="WU86" s="0"/>
      <c r="WV86" s="0"/>
      <c r="WW86" s="0"/>
      <c r="WX86" s="0"/>
      <c r="WY86" s="0"/>
      <c r="WZ86" s="0"/>
      <c r="XA86" s="0"/>
      <c r="XB86" s="0"/>
      <c r="XC86" s="0"/>
      <c r="XD86" s="0"/>
      <c r="XE86" s="0"/>
      <c r="XF86" s="0"/>
      <c r="XG86" s="0"/>
      <c r="XH86" s="0"/>
      <c r="XI86" s="0"/>
      <c r="XJ86" s="0"/>
      <c r="XK86" s="0"/>
      <c r="XL86" s="0"/>
      <c r="XM86" s="0"/>
      <c r="XN86" s="0"/>
      <c r="XO86" s="0"/>
      <c r="XP86" s="0"/>
      <c r="XQ86" s="0"/>
      <c r="XR86" s="0"/>
      <c r="XS86" s="0"/>
      <c r="XT86" s="0"/>
      <c r="XU86" s="0"/>
      <c r="XV86" s="0"/>
      <c r="XW86" s="0"/>
      <c r="XX86" s="0"/>
      <c r="XY86" s="0"/>
      <c r="XZ86" s="0"/>
      <c r="YA86" s="0"/>
      <c r="YB86" s="0"/>
      <c r="YC86" s="0"/>
      <c r="YD86" s="0"/>
      <c r="YE86" s="0"/>
      <c r="YF86" s="0"/>
      <c r="YG86" s="0"/>
      <c r="YH86" s="0"/>
      <c r="YI86" s="0"/>
      <c r="YJ86" s="0"/>
      <c r="YK86" s="0"/>
      <c r="YL86" s="0"/>
      <c r="YM86" s="0"/>
      <c r="YN86" s="0"/>
      <c r="YO86" s="0"/>
      <c r="YP86" s="0"/>
      <c r="YQ86" s="0"/>
      <c r="YR86" s="0"/>
      <c r="YS86" s="0"/>
      <c r="YT86" s="0"/>
      <c r="YU86" s="0"/>
      <c r="YV86" s="0"/>
      <c r="YW86" s="0"/>
      <c r="YX86" s="0"/>
      <c r="YY86" s="0"/>
      <c r="YZ86" s="0"/>
      <c r="ZA86" s="0"/>
      <c r="ZB86" s="0"/>
      <c r="ZC86" s="0"/>
      <c r="ZD86" s="0"/>
      <c r="ZE86" s="0"/>
      <c r="ZF86" s="0"/>
      <c r="ZG86" s="0"/>
      <c r="ZH86" s="0"/>
      <c r="ZI86" s="0"/>
      <c r="ZJ86" s="0"/>
      <c r="ZK86" s="0"/>
      <c r="ZL86" s="0"/>
      <c r="ZM86" s="0"/>
      <c r="ZN86" s="0"/>
      <c r="ZO86" s="0"/>
      <c r="ZP86" s="0"/>
      <c r="ZQ86" s="0"/>
      <c r="ZR86" s="0"/>
      <c r="ZS86" s="0"/>
      <c r="ZT86" s="0"/>
      <c r="ZU86" s="0"/>
      <c r="ZV86" s="0"/>
      <c r="ZW86" s="0"/>
      <c r="ZX86" s="0"/>
      <c r="ZY86" s="0"/>
      <c r="ZZ86" s="0"/>
      <c r="AAA86" s="0"/>
      <c r="AAB86" s="0"/>
      <c r="AAC86" s="0"/>
      <c r="AAD86" s="0"/>
      <c r="AAE86" s="0"/>
      <c r="AAF86" s="0"/>
      <c r="AAG86" s="0"/>
      <c r="AAH86" s="0"/>
      <c r="AAI86" s="0"/>
      <c r="AAJ86" s="0"/>
      <c r="AAK86" s="0"/>
      <c r="AAL86" s="0"/>
      <c r="AAM86" s="0"/>
      <c r="AAN86" s="0"/>
      <c r="AAO86" s="0"/>
      <c r="AAP86" s="0"/>
      <c r="AAQ86" s="0"/>
      <c r="AAR86" s="0"/>
      <c r="AAS86" s="0"/>
      <c r="AAT86" s="0"/>
      <c r="AAU86" s="0"/>
      <c r="AAV86" s="0"/>
      <c r="AAW86" s="0"/>
      <c r="AAX86" s="0"/>
      <c r="AAY86" s="0"/>
      <c r="AAZ86" s="0"/>
      <c r="ABA86" s="0"/>
      <c r="ABB86" s="0"/>
      <c r="ABC86" s="0"/>
      <c r="ABD86" s="0"/>
      <c r="ABE86" s="0"/>
      <c r="ABF86" s="0"/>
      <c r="ABG86" s="0"/>
      <c r="ABH86" s="0"/>
      <c r="ABI86" s="0"/>
      <c r="ABJ86" s="0"/>
      <c r="ABK86" s="0"/>
      <c r="ABL86" s="0"/>
      <c r="ABM86" s="0"/>
      <c r="ABN86" s="0"/>
      <c r="ABO86" s="0"/>
      <c r="ABP86" s="0"/>
      <c r="ABQ86" s="0"/>
      <c r="ABR86" s="0"/>
      <c r="ABS86" s="0"/>
      <c r="ABT86" s="0"/>
      <c r="ABU86" s="0"/>
      <c r="ABV86" s="0"/>
      <c r="ABW86" s="0"/>
      <c r="ABX86" s="0"/>
      <c r="ABY86" s="0"/>
      <c r="ABZ86" s="0"/>
      <c r="ACA86" s="0"/>
      <c r="ACB86" s="0"/>
      <c r="ACC86" s="0"/>
      <c r="ACD86" s="0"/>
      <c r="ACE86" s="0"/>
      <c r="ACF86" s="0"/>
      <c r="ACG86" s="0"/>
      <c r="ACH86" s="0"/>
      <c r="ACI86" s="0"/>
      <c r="ACJ86" s="0"/>
      <c r="ACK86" s="0"/>
      <c r="ACL86" s="0"/>
      <c r="ACM86" s="0"/>
      <c r="ACN86" s="0"/>
      <c r="ACO86" s="0"/>
      <c r="ACP86" s="0"/>
      <c r="ACQ86" s="0"/>
      <c r="ACR86" s="0"/>
      <c r="ACS86" s="0"/>
      <c r="ACT86" s="0"/>
      <c r="ACU86" s="0"/>
      <c r="ACV86" s="0"/>
      <c r="ACW86" s="0"/>
      <c r="ACX86" s="0"/>
      <c r="ACY86" s="0"/>
      <c r="ACZ86" s="0"/>
      <c r="ADA86" s="0"/>
      <c r="ADB86" s="0"/>
      <c r="ADC86" s="0"/>
      <c r="ADD86" s="0"/>
      <c r="ADE86" s="0"/>
      <c r="ADF86" s="0"/>
      <c r="ADG86" s="0"/>
      <c r="ADH86" s="0"/>
      <c r="ADI86" s="0"/>
      <c r="ADJ86" s="0"/>
      <c r="ADK86" s="0"/>
      <c r="ADL86" s="0"/>
      <c r="ADM86" s="0"/>
      <c r="ADN86" s="0"/>
      <c r="ADO86" s="0"/>
      <c r="ADP86" s="0"/>
      <c r="ADQ86" s="0"/>
      <c r="ADR86" s="0"/>
      <c r="ADS86" s="0"/>
      <c r="ADT86" s="0"/>
      <c r="ADU86" s="0"/>
      <c r="ADV86" s="0"/>
      <c r="ADW86" s="0"/>
      <c r="ADX86" s="0"/>
      <c r="ADY86" s="0"/>
      <c r="ADZ86" s="0"/>
      <c r="AEA86" s="0"/>
      <c r="AEB86" s="0"/>
      <c r="AEC86" s="0"/>
      <c r="AED86" s="0"/>
      <c r="AEE86" s="0"/>
      <c r="AEF86" s="0"/>
      <c r="AEG86" s="0"/>
      <c r="AEH86" s="0"/>
      <c r="AEI86" s="0"/>
      <c r="AEJ86" s="0"/>
      <c r="AEK86" s="0"/>
      <c r="AEL86" s="0"/>
      <c r="AEM86" s="0"/>
      <c r="AEN86" s="0"/>
      <c r="AEO86" s="0"/>
      <c r="AEP86" s="0"/>
      <c r="AEQ86" s="0"/>
      <c r="AER86" s="0"/>
      <c r="AES86" s="0"/>
      <c r="AET86" s="0"/>
      <c r="AEU86" s="0"/>
      <c r="AEV86" s="0"/>
      <c r="AEW86" s="0"/>
      <c r="AEX86" s="0"/>
      <c r="AEY86" s="0"/>
      <c r="AEZ86" s="0"/>
      <c r="AFA86" s="0"/>
      <c r="AFB86" s="0"/>
      <c r="AFC86" s="0"/>
      <c r="AFD86" s="0"/>
      <c r="AFE86" s="0"/>
      <c r="AFF86" s="0"/>
      <c r="AFG86" s="0"/>
      <c r="AFH86" s="0"/>
      <c r="AFI86" s="0"/>
      <c r="AFJ86" s="0"/>
      <c r="AFK86" s="0"/>
      <c r="AFL86" s="0"/>
      <c r="AFM86" s="0"/>
      <c r="AFN86" s="0"/>
      <c r="AFO86" s="0"/>
      <c r="AFP86" s="0"/>
      <c r="AFQ86" s="0"/>
      <c r="AFR86" s="0"/>
      <c r="AFS86" s="0"/>
      <c r="AFT86" s="0"/>
      <c r="AFU86" s="0"/>
      <c r="AFV86" s="0"/>
      <c r="AFW86" s="0"/>
      <c r="AFX86" s="0"/>
      <c r="AFY86" s="0"/>
      <c r="AFZ86" s="0"/>
      <c r="AGA86" s="0"/>
      <c r="AGB86" s="0"/>
      <c r="AGC86" s="0"/>
      <c r="AGD86" s="0"/>
      <c r="AGE86" s="0"/>
      <c r="AGF86" s="0"/>
      <c r="AGG86" s="0"/>
      <c r="AGH86" s="0"/>
      <c r="AGI86" s="0"/>
      <c r="AGJ86" s="0"/>
      <c r="AGK86" s="0"/>
      <c r="AGL86" s="0"/>
      <c r="AGM86" s="0"/>
      <c r="AGN86" s="0"/>
      <c r="AGO86" s="0"/>
      <c r="AGP86" s="0"/>
      <c r="AGQ86" s="0"/>
      <c r="AGR86" s="0"/>
      <c r="AGS86" s="0"/>
      <c r="AGT86" s="0"/>
      <c r="AGU86" s="0"/>
      <c r="AGV86" s="0"/>
      <c r="AGW86" s="0"/>
      <c r="AGX86" s="0"/>
      <c r="AGY86" s="0"/>
      <c r="AGZ86" s="0"/>
      <c r="AHA86" s="0"/>
      <c r="AHB86" s="0"/>
      <c r="AHC86" s="0"/>
      <c r="AHD86" s="0"/>
      <c r="AHE86" s="0"/>
      <c r="AHF86" s="0"/>
      <c r="AHG86" s="0"/>
      <c r="AHH86" s="0"/>
      <c r="AHI86" s="0"/>
      <c r="AHJ86" s="0"/>
      <c r="AHK86" s="0"/>
      <c r="AHL86" s="0"/>
      <c r="AHM86" s="0"/>
      <c r="AHN86" s="0"/>
      <c r="AHO86" s="0"/>
      <c r="AHP86" s="0"/>
      <c r="AHQ86" s="0"/>
      <c r="AHR86" s="0"/>
      <c r="AHS86" s="0"/>
      <c r="AHT86" s="0"/>
      <c r="AHU86" s="0"/>
      <c r="AHV86" s="0"/>
      <c r="AHW86" s="0"/>
      <c r="AHX86" s="0"/>
      <c r="AHY86" s="0"/>
      <c r="AHZ86" s="0"/>
      <c r="AIA86" s="0"/>
      <c r="AIB86" s="0"/>
      <c r="AIC86" s="0"/>
      <c r="AID86" s="0"/>
      <c r="AIE86" s="0"/>
      <c r="AIF86" s="0"/>
      <c r="AIG86" s="0"/>
      <c r="AIH86" s="0"/>
      <c r="AII86" s="0"/>
      <c r="AIJ86" s="0"/>
      <c r="AIK86" s="0"/>
      <c r="AIL86" s="0"/>
      <c r="AIM86" s="0"/>
      <c r="AIN86" s="0"/>
      <c r="AIO86" s="0"/>
      <c r="AIP86" s="0"/>
      <c r="AIQ86" s="0"/>
      <c r="AIR86" s="0"/>
      <c r="AIS86" s="0"/>
      <c r="AIT86" s="0"/>
      <c r="AIU86" s="0"/>
      <c r="AIV86" s="0"/>
      <c r="AIW86" s="0"/>
      <c r="AIX86" s="0"/>
      <c r="AIY86" s="0"/>
      <c r="AIZ86" s="0"/>
      <c r="AJA86" s="0"/>
      <c r="AJB86" s="0"/>
      <c r="AJC86" s="0"/>
      <c r="AJD86" s="0"/>
      <c r="AJE86" s="0"/>
      <c r="AJF86" s="0"/>
      <c r="AJG86" s="0"/>
      <c r="AJH86" s="0"/>
      <c r="AJI86" s="0"/>
      <c r="AJJ86" s="0"/>
      <c r="AJK86" s="0"/>
      <c r="AJL86" s="0"/>
      <c r="AJM86" s="0"/>
      <c r="AJN86" s="0"/>
      <c r="AJO86" s="0"/>
      <c r="AJP86" s="0"/>
      <c r="AJQ86" s="0"/>
      <c r="AJR86" s="0"/>
      <c r="AJS86" s="0"/>
      <c r="AJT86" s="0"/>
      <c r="AJU86" s="0"/>
      <c r="AJV86" s="0"/>
      <c r="AJW86" s="0"/>
      <c r="AJX86" s="0"/>
      <c r="AJY86" s="0"/>
      <c r="AJZ86" s="0"/>
      <c r="AKA86" s="0"/>
      <c r="AKB86" s="0"/>
      <c r="AKC86" s="0"/>
      <c r="AKD86" s="0"/>
      <c r="AKE86" s="0"/>
      <c r="AKF86" s="0"/>
      <c r="AKG86" s="0"/>
      <c r="AKH86" s="0"/>
      <c r="AKI86" s="0"/>
      <c r="AKJ86" s="0"/>
      <c r="AKK86" s="0"/>
      <c r="AKL86" s="0"/>
      <c r="AKM86" s="0"/>
      <c r="AKN86" s="0"/>
      <c r="AKO86" s="0"/>
      <c r="AKP86" s="0"/>
      <c r="AKQ86" s="0"/>
      <c r="AKR86" s="0"/>
      <c r="AKS86" s="0"/>
      <c r="AKT86" s="0"/>
      <c r="AKU86" s="0"/>
      <c r="AKV86" s="0"/>
      <c r="AKW86" s="0"/>
      <c r="AKX86" s="0"/>
      <c r="AKY86" s="0"/>
      <c r="AKZ86" s="0"/>
      <c r="ALA86" s="0"/>
      <c r="ALB86" s="0"/>
      <c r="ALC86" s="0"/>
      <c r="ALD86" s="0"/>
      <c r="ALE86" s="0"/>
      <c r="ALF86" s="0"/>
      <c r="ALG86" s="0"/>
      <c r="ALH86" s="0"/>
      <c r="ALI86" s="0"/>
      <c r="ALJ86" s="0"/>
      <c r="ALK86" s="0"/>
      <c r="ALL86" s="0"/>
      <c r="ALM86" s="0"/>
      <c r="ALN86" s="0"/>
      <c r="ALO86" s="0"/>
      <c r="ALP86" s="0"/>
      <c r="ALQ86" s="0"/>
      <c r="ALR86" s="0"/>
      <c r="ALS86" s="0"/>
      <c r="ALT86" s="0"/>
      <c r="ALU86" s="0"/>
      <c r="ALV86" s="0"/>
      <c r="ALW86" s="0"/>
      <c r="ALX86" s="0"/>
      <c r="ALY86" s="0"/>
      <c r="ALZ86" s="0"/>
      <c r="AMA86" s="0"/>
      <c r="AMB86" s="0"/>
      <c r="AMC86" s="0"/>
      <c r="AMD86" s="0"/>
      <c r="AME86" s="0"/>
      <c r="AMF86" s="0"/>
      <c r="AMG86" s="0"/>
      <c r="AMH86" s="0"/>
      <c r="AMI86" s="0"/>
      <c r="AMJ86" s="0"/>
      <c r="AMK86" s="0"/>
      <c r="AML86" s="0"/>
      <c r="AMM86" s="0"/>
      <c r="AMN86" s="0"/>
      <c r="AMO86" s="0"/>
      <c r="AMP86" s="0"/>
      <c r="AMQ86" s="0"/>
      <c r="AMR86" s="0"/>
      <c r="AMS86" s="0"/>
      <c r="AMT86" s="0"/>
      <c r="AMU86" s="0"/>
      <c r="AMV86" s="0"/>
      <c r="AMW86" s="0"/>
      <c r="AMX86" s="0"/>
      <c r="AMY86" s="0"/>
      <c r="AMZ86" s="0"/>
      <c r="ANA86" s="0"/>
      <c r="ANB86" s="0"/>
      <c r="ANC86" s="0"/>
      <c r="AND86" s="0"/>
      <c r="ANE86" s="0"/>
      <c r="ANF86" s="0"/>
      <c r="ANG86" s="0"/>
      <c r="ANH86" s="0"/>
      <c r="ANI86" s="0"/>
      <c r="ANJ86" s="0"/>
      <c r="ANK86" s="0"/>
      <c r="ANL86" s="0"/>
      <c r="ANM86" s="0"/>
      <c r="ANN86" s="0"/>
      <c r="ANO86" s="0"/>
      <c r="ANP86" s="0"/>
      <c r="ANQ86" s="0"/>
      <c r="ANR86" s="0"/>
      <c r="ANS86" s="0"/>
      <c r="ANT86" s="0"/>
      <c r="ANU86" s="0"/>
      <c r="ANV86" s="0"/>
      <c r="ANW86" s="0"/>
      <c r="ANX86" s="0"/>
      <c r="ANY86" s="0"/>
      <c r="ANZ86" s="0"/>
      <c r="AOA86" s="0"/>
      <c r="AOB86" s="0"/>
      <c r="AOC86" s="0"/>
      <c r="AOD86" s="0"/>
      <c r="AOE86" s="0"/>
      <c r="AOF86" s="0"/>
      <c r="AOG86" s="0"/>
      <c r="AOH86" s="0"/>
      <c r="AOI86" s="0"/>
      <c r="AOJ86" s="0"/>
      <c r="AOK86" s="0"/>
      <c r="AOL86" s="0"/>
      <c r="AOM86" s="0"/>
      <c r="AON86" s="0"/>
      <c r="AOO86" s="0"/>
      <c r="AOP86" s="0"/>
      <c r="AOQ86" s="0"/>
      <c r="AOR86" s="0"/>
      <c r="AOS86" s="0"/>
      <c r="AOT86" s="0"/>
      <c r="AOU86" s="0"/>
      <c r="AOV86" s="0"/>
      <c r="AOW86" s="0"/>
      <c r="AOX86" s="0"/>
      <c r="AOY86" s="0"/>
      <c r="AOZ86" s="0"/>
      <c r="APA86" s="0"/>
      <c r="APB86" s="0"/>
      <c r="APC86" s="0"/>
      <c r="APD86" s="0"/>
      <c r="APE86" s="0"/>
      <c r="APF86" s="0"/>
      <c r="APG86" s="0"/>
      <c r="APH86" s="0"/>
      <c r="API86" s="0"/>
      <c r="APJ86" s="0"/>
      <c r="APK86" s="0"/>
      <c r="APL86" s="0"/>
      <c r="APM86" s="0"/>
      <c r="APN86" s="0"/>
      <c r="APO86" s="0"/>
      <c r="APP86" s="0"/>
      <c r="APQ86" s="0"/>
      <c r="APR86" s="0"/>
      <c r="APS86" s="0"/>
      <c r="APT86" s="0"/>
      <c r="APU86" s="0"/>
      <c r="APV86" s="0"/>
      <c r="APW86" s="0"/>
      <c r="APX86" s="0"/>
      <c r="APY86" s="0"/>
      <c r="APZ86" s="0"/>
      <c r="AQA86" s="0"/>
      <c r="AQB86" s="0"/>
      <c r="AQC86" s="0"/>
      <c r="AQD86" s="0"/>
      <c r="AQE86" s="0"/>
      <c r="AQF86" s="0"/>
      <c r="AQG86" s="0"/>
      <c r="AQH86" s="0"/>
      <c r="AQI86" s="0"/>
      <c r="AQJ86" s="0"/>
      <c r="AQK86" s="0"/>
      <c r="AQL86" s="0"/>
      <c r="AQM86" s="0"/>
      <c r="AQN86" s="0"/>
      <c r="AQO86" s="0"/>
      <c r="AQP86" s="0"/>
      <c r="AQQ86" s="0"/>
      <c r="AQR86" s="0"/>
      <c r="AQS86" s="0"/>
      <c r="AQT86" s="0"/>
      <c r="AQU86" s="0"/>
      <c r="AQV86" s="0"/>
      <c r="AQW86" s="0"/>
      <c r="AQX86" s="0"/>
      <c r="AQY86" s="0"/>
      <c r="AQZ86" s="0"/>
      <c r="ARA86" s="0"/>
      <c r="ARB86" s="0"/>
      <c r="ARC86" s="0"/>
      <c r="ARD86" s="0"/>
      <c r="ARE86" s="0"/>
      <c r="ARF86" s="0"/>
      <c r="ARG86" s="0"/>
      <c r="ARH86" s="0"/>
      <c r="ARI86" s="0"/>
      <c r="ARJ86" s="0"/>
      <c r="ARK86" s="0"/>
      <c r="ARL86" s="0"/>
      <c r="ARM86" s="0"/>
      <c r="ARN86" s="0"/>
      <c r="ARO86" s="0"/>
      <c r="ARP86" s="0"/>
      <c r="ARQ86" s="0"/>
      <c r="ARR86" s="0"/>
      <c r="ARS86" s="0"/>
      <c r="ART86" s="0"/>
      <c r="ARU86" s="0"/>
      <c r="ARV86" s="0"/>
      <c r="ARW86" s="0"/>
      <c r="ARX86" s="0"/>
      <c r="ARY86" s="0"/>
      <c r="ARZ86" s="0"/>
      <c r="ASA86" s="0"/>
      <c r="ASB86" s="0"/>
      <c r="ASC86" s="0"/>
      <c r="ASD86" s="0"/>
      <c r="ASE86" s="0"/>
      <c r="ASF86" s="0"/>
      <c r="ASG86" s="0"/>
      <c r="ASH86" s="0"/>
      <c r="ASI86" s="0"/>
      <c r="ASJ86" s="0"/>
      <c r="ASK86" s="0"/>
      <c r="ASL86" s="0"/>
      <c r="ASM86" s="0"/>
      <c r="ASN86" s="0"/>
      <c r="ASO86" s="0"/>
      <c r="ASP86" s="0"/>
      <c r="ASQ86" s="0"/>
      <c r="ASR86" s="0"/>
      <c r="ASS86" s="0"/>
      <c r="AST86" s="0"/>
      <c r="ASU86" s="0"/>
      <c r="ASV86" s="0"/>
      <c r="ASW86" s="0"/>
      <c r="ASX86" s="0"/>
      <c r="ASY86" s="0"/>
      <c r="ASZ86" s="0"/>
      <c r="ATA86" s="0"/>
      <c r="ATB86" s="0"/>
      <c r="ATC86" s="0"/>
      <c r="ATD86" s="0"/>
      <c r="ATE86" s="0"/>
      <c r="ATF86" s="0"/>
      <c r="ATG86" s="0"/>
      <c r="ATH86" s="0"/>
      <c r="ATI86" s="0"/>
      <c r="ATJ86" s="0"/>
      <c r="ATK86" s="0"/>
      <c r="ATL86" s="0"/>
      <c r="ATM86" s="0"/>
      <c r="ATN86" s="0"/>
      <c r="ATO86" s="0"/>
      <c r="ATP86" s="0"/>
      <c r="ATQ86" s="0"/>
      <c r="ATR86" s="0"/>
      <c r="ATS86" s="0"/>
      <c r="ATT86" s="0"/>
      <c r="ATU86" s="0"/>
      <c r="ATV86" s="0"/>
      <c r="ATW86" s="0"/>
      <c r="ATX86" s="0"/>
      <c r="ATY86" s="0"/>
      <c r="ATZ86" s="0"/>
      <c r="AUA86" s="0"/>
      <c r="AUB86" s="0"/>
      <c r="AUC86" s="0"/>
      <c r="AUD86" s="0"/>
      <c r="AUE86" s="0"/>
      <c r="AUF86" s="0"/>
      <c r="AUG86" s="0"/>
      <c r="AUH86" s="0"/>
      <c r="AUI86" s="0"/>
      <c r="AUJ86" s="0"/>
      <c r="AUK86" s="0"/>
      <c r="AUL86" s="0"/>
      <c r="AUM86" s="0"/>
      <c r="AUN86" s="0"/>
      <c r="AUO86" s="0"/>
      <c r="AUP86" s="0"/>
      <c r="AUQ86" s="0"/>
      <c r="AUR86" s="0"/>
      <c r="AUS86" s="0"/>
      <c r="AUT86" s="0"/>
      <c r="AUU86" s="0"/>
      <c r="AUV86" s="0"/>
      <c r="AUW86" s="0"/>
      <c r="AUX86" s="0"/>
      <c r="AUY86" s="0"/>
      <c r="AUZ86" s="0"/>
      <c r="AVA86" s="0"/>
      <c r="AVB86" s="0"/>
      <c r="AVC86" s="0"/>
      <c r="AVD86" s="0"/>
      <c r="AVE86" s="0"/>
      <c r="AVF86" s="0"/>
      <c r="AVG86" s="0"/>
      <c r="AVH86" s="0"/>
      <c r="AVI86" s="0"/>
      <c r="AVJ86" s="0"/>
      <c r="AVK86" s="0"/>
      <c r="AVL86" s="0"/>
      <c r="AVM86" s="0"/>
      <c r="AVN86" s="0"/>
      <c r="AVO86" s="0"/>
      <c r="AVP86" s="0"/>
      <c r="AVQ86" s="0"/>
      <c r="AVR86" s="0"/>
      <c r="AVS86" s="0"/>
      <c r="AVT86" s="0"/>
      <c r="AVU86" s="0"/>
      <c r="AVV86" s="0"/>
      <c r="AVW86" s="0"/>
      <c r="AVX86" s="0"/>
      <c r="AVY86" s="0"/>
      <c r="AVZ86" s="0"/>
      <c r="AWA86" s="0"/>
      <c r="AWB86" s="0"/>
      <c r="AWC86" s="0"/>
      <c r="AWD86" s="0"/>
      <c r="AWE86" s="0"/>
      <c r="AWF86" s="0"/>
      <c r="AWG86" s="0"/>
      <c r="AWH86" s="0"/>
      <c r="AWI86" s="0"/>
      <c r="AWJ86" s="0"/>
      <c r="AWK86" s="0"/>
      <c r="AWL86" s="0"/>
      <c r="AWM86" s="0"/>
      <c r="AWN86" s="0"/>
      <c r="AWO86" s="0"/>
      <c r="AWP86" s="0"/>
      <c r="AWQ86" s="0"/>
      <c r="AWR86" s="0"/>
      <c r="AWS86" s="0"/>
      <c r="AWT86" s="0"/>
      <c r="AWU86" s="0"/>
      <c r="AWV86" s="0"/>
      <c r="AWW86" s="0"/>
      <c r="AWX86" s="0"/>
      <c r="AWY86" s="0"/>
      <c r="AWZ86" s="0"/>
      <c r="AXA86" s="0"/>
      <c r="AXB86" s="0"/>
      <c r="AXC86" s="0"/>
      <c r="AXD86" s="0"/>
      <c r="AXE86" s="0"/>
      <c r="AXF86" s="0"/>
      <c r="AXG86" s="0"/>
      <c r="AXH86" s="0"/>
      <c r="AXI86" s="0"/>
      <c r="AXJ86" s="0"/>
      <c r="AXK86" s="0"/>
      <c r="AXL86" s="0"/>
      <c r="AXM86" s="0"/>
      <c r="AXN86" s="0"/>
      <c r="AXO86" s="0"/>
      <c r="AXP86" s="0"/>
      <c r="AXQ86" s="0"/>
      <c r="AXR86" s="0"/>
      <c r="AXS86" s="0"/>
      <c r="AXT86" s="0"/>
      <c r="AXU86" s="0"/>
      <c r="AXV86" s="0"/>
      <c r="AXW86" s="0"/>
      <c r="AXX86" s="0"/>
      <c r="AXY86" s="0"/>
      <c r="AXZ86" s="0"/>
      <c r="AYA86" s="0"/>
      <c r="AYB86" s="0"/>
      <c r="AYC86" s="0"/>
      <c r="AYD86" s="0"/>
      <c r="AYE86" s="0"/>
      <c r="AYF86" s="0"/>
      <c r="AYG86" s="0"/>
      <c r="AYH86" s="0"/>
      <c r="AYI86" s="0"/>
      <c r="AYJ86" s="0"/>
      <c r="AYK86" s="0"/>
      <c r="AYL86" s="0"/>
      <c r="AYM86" s="0"/>
      <c r="AYN86" s="0"/>
      <c r="AYO86" s="0"/>
      <c r="AYP86" s="0"/>
      <c r="AYQ86" s="0"/>
      <c r="AYR86" s="0"/>
      <c r="AYS86" s="0"/>
      <c r="AYT86" s="0"/>
      <c r="AYU86" s="0"/>
      <c r="AYV86" s="0"/>
      <c r="AYW86" s="0"/>
      <c r="AYX86" s="0"/>
      <c r="AYY86" s="0"/>
      <c r="AYZ86" s="0"/>
      <c r="AZA86" s="0"/>
      <c r="AZB86" s="0"/>
      <c r="AZC86" s="0"/>
      <c r="AZD86" s="0"/>
      <c r="AZE86" s="0"/>
      <c r="AZF86" s="0"/>
      <c r="AZG86" s="0"/>
      <c r="AZH86" s="0"/>
      <c r="AZI86" s="0"/>
      <c r="AZJ86" s="0"/>
      <c r="AZK86" s="0"/>
      <c r="AZL86" s="0"/>
      <c r="AZM86" s="0"/>
      <c r="AZN86" s="0"/>
      <c r="AZO86" s="0"/>
      <c r="AZP86" s="0"/>
      <c r="AZQ86" s="0"/>
      <c r="AZR86" s="0"/>
      <c r="AZS86" s="0"/>
      <c r="AZT86" s="0"/>
      <c r="AZU86" s="0"/>
      <c r="AZV86" s="0"/>
      <c r="AZW86" s="0"/>
      <c r="AZX86" s="0"/>
      <c r="AZY86" s="0"/>
      <c r="AZZ86" s="0"/>
      <c r="BAA86" s="0"/>
      <c r="BAB86" s="0"/>
      <c r="BAC86" s="0"/>
      <c r="BAD86" s="0"/>
      <c r="BAE86" s="0"/>
      <c r="BAF86" s="0"/>
      <c r="BAG86" s="0"/>
      <c r="BAH86" s="0"/>
      <c r="BAI86" s="0"/>
      <c r="BAJ86" s="0"/>
      <c r="BAK86" s="0"/>
      <c r="BAL86" s="0"/>
      <c r="BAM86" s="0"/>
      <c r="BAN86" s="0"/>
      <c r="BAO86" s="0"/>
      <c r="BAP86" s="0"/>
      <c r="BAQ86" s="0"/>
      <c r="BAR86" s="0"/>
      <c r="BAS86" s="0"/>
      <c r="BAT86" s="0"/>
      <c r="BAU86" s="0"/>
      <c r="BAV86" s="0"/>
      <c r="BAW86" s="0"/>
      <c r="BAX86" s="0"/>
      <c r="BAY86" s="0"/>
      <c r="BAZ86" s="0"/>
      <c r="BBA86" s="0"/>
      <c r="BBB86" s="0"/>
      <c r="BBC86" s="0"/>
      <c r="BBD86" s="0"/>
      <c r="BBE86" s="0"/>
      <c r="BBF86" s="0"/>
      <c r="BBG86" s="0"/>
      <c r="BBH86" s="0"/>
      <c r="BBI86" s="0"/>
      <c r="BBJ86" s="0"/>
      <c r="BBK86" s="0"/>
      <c r="BBL86" s="0"/>
      <c r="BBM86" s="0"/>
      <c r="BBN86" s="0"/>
      <c r="BBO86" s="0"/>
      <c r="BBP86" s="0"/>
      <c r="BBQ86" s="0"/>
      <c r="BBR86" s="0"/>
      <c r="BBS86" s="0"/>
      <c r="BBT86" s="0"/>
      <c r="BBU86" s="0"/>
      <c r="BBV86" s="0"/>
      <c r="BBW86" s="0"/>
      <c r="BBX86" s="0"/>
      <c r="BBY86" s="0"/>
      <c r="BBZ86" s="0"/>
      <c r="BCA86" s="0"/>
      <c r="BCB86" s="0"/>
      <c r="BCC86" s="0"/>
      <c r="BCD86" s="0"/>
      <c r="BCE86" s="0"/>
      <c r="BCF86" s="0"/>
      <c r="BCG86" s="0"/>
      <c r="BCH86" s="0"/>
      <c r="BCI86" s="0"/>
      <c r="BCJ86" s="0"/>
      <c r="BCK86" s="0"/>
      <c r="BCL86" s="0"/>
      <c r="BCM86" s="0"/>
      <c r="BCN86" s="0"/>
      <c r="BCO86" s="0"/>
      <c r="BCP86" s="0"/>
      <c r="BCQ86" s="0"/>
      <c r="BCR86" s="0"/>
      <c r="BCS86" s="0"/>
      <c r="BCT86" s="0"/>
      <c r="BCU86" s="0"/>
      <c r="BCV86" s="0"/>
      <c r="BCW86" s="0"/>
      <c r="BCX86" s="0"/>
      <c r="BCY86" s="0"/>
      <c r="BCZ86" s="0"/>
      <c r="BDA86" s="0"/>
      <c r="BDB86" s="0"/>
      <c r="BDC86" s="0"/>
      <c r="BDD86" s="0"/>
      <c r="BDE86" s="0"/>
      <c r="BDF86" s="0"/>
      <c r="BDG86" s="0"/>
      <c r="BDH86" s="0"/>
      <c r="BDI86" s="0"/>
      <c r="BDJ86" s="0"/>
      <c r="BDK86" s="0"/>
      <c r="BDL86" s="0"/>
      <c r="BDM86" s="0"/>
      <c r="BDN86" s="0"/>
      <c r="BDO86" s="0"/>
      <c r="BDP86" s="0"/>
      <c r="BDQ86" s="0"/>
      <c r="BDR86" s="0"/>
      <c r="BDS86" s="0"/>
      <c r="BDT86" s="0"/>
      <c r="BDU86" s="0"/>
      <c r="BDV86" s="0"/>
      <c r="BDW86" s="0"/>
      <c r="BDX86" s="0"/>
      <c r="BDY86" s="0"/>
      <c r="BDZ86" s="0"/>
      <c r="BEA86" s="0"/>
      <c r="BEB86" s="0"/>
      <c r="BEC86" s="0"/>
      <c r="BED86" s="0"/>
      <c r="BEE86" s="0"/>
      <c r="BEF86" s="0"/>
      <c r="BEG86" s="0"/>
      <c r="BEH86" s="0"/>
      <c r="BEI86" s="0"/>
      <c r="BEJ86" s="0"/>
      <c r="BEK86" s="0"/>
      <c r="BEL86" s="0"/>
      <c r="BEM86" s="0"/>
      <c r="BEN86" s="0"/>
      <c r="BEO86" s="0"/>
      <c r="BEP86" s="0"/>
      <c r="BEQ86" s="0"/>
      <c r="BER86" s="0"/>
      <c r="BES86" s="0"/>
      <c r="BET86" s="0"/>
      <c r="BEU86" s="0"/>
      <c r="BEV86" s="0"/>
      <c r="BEW86" s="0"/>
      <c r="BEX86" s="0"/>
      <c r="BEY86" s="0"/>
      <c r="BEZ86" s="0"/>
      <c r="BFA86" s="0"/>
      <c r="BFB86" s="0"/>
      <c r="BFC86" s="0"/>
      <c r="BFD86" s="0"/>
      <c r="BFE86" s="0"/>
      <c r="BFF86" s="0"/>
      <c r="BFG86" s="0"/>
      <c r="BFH86" s="0"/>
      <c r="BFI86" s="0"/>
      <c r="BFJ86" s="0"/>
      <c r="BFK86" s="0"/>
      <c r="BFL86" s="0"/>
      <c r="BFM86" s="0"/>
      <c r="BFN86" s="0"/>
      <c r="BFO86" s="0"/>
      <c r="BFP86" s="0"/>
      <c r="BFQ86" s="0"/>
      <c r="BFR86" s="0"/>
      <c r="BFS86" s="0"/>
      <c r="BFT86" s="0"/>
      <c r="BFU86" s="0"/>
      <c r="BFV86" s="0"/>
      <c r="BFW86" s="0"/>
      <c r="BFX86" s="0"/>
      <c r="BFY86" s="0"/>
      <c r="BFZ86" s="0"/>
      <c r="BGA86" s="0"/>
      <c r="BGB86" s="0"/>
      <c r="BGC86" s="0"/>
      <c r="BGD86" s="0"/>
      <c r="BGE86" s="0"/>
      <c r="BGF86" s="0"/>
      <c r="BGG86" s="0"/>
      <c r="BGH86" s="0"/>
      <c r="BGI86" s="0"/>
      <c r="BGJ86" s="0"/>
      <c r="BGK86" s="0"/>
      <c r="BGL86" s="0"/>
      <c r="BGM86" s="0"/>
      <c r="BGN86" s="0"/>
      <c r="BGO86" s="0"/>
      <c r="BGP86" s="0"/>
      <c r="BGQ86" s="0"/>
      <c r="BGR86" s="0"/>
      <c r="BGS86" s="0"/>
      <c r="BGT86" s="0"/>
      <c r="BGU86" s="0"/>
      <c r="BGV86" s="0"/>
      <c r="BGW86" s="0"/>
      <c r="BGX86" s="0"/>
      <c r="BGY86" s="0"/>
      <c r="BGZ86" s="0"/>
      <c r="BHA86" s="0"/>
      <c r="BHB86" s="0"/>
      <c r="BHC86" s="0"/>
      <c r="BHD86" s="0"/>
      <c r="BHE86" s="0"/>
      <c r="BHF86" s="0"/>
      <c r="BHG86" s="0"/>
      <c r="BHH86" s="0"/>
      <c r="BHI86" s="0"/>
      <c r="BHJ86" s="0"/>
      <c r="BHK86" s="0"/>
      <c r="BHL86" s="0"/>
      <c r="BHM86" s="0"/>
      <c r="BHN86" s="0"/>
      <c r="BHO86" s="0"/>
      <c r="BHP86" s="0"/>
      <c r="BHQ86" s="0"/>
      <c r="BHR86" s="0"/>
      <c r="BHS86" s="0"/>
      <c r="BHT86" s="0"/>
      <c r="BHU86" s="0"/>
      <c r="BHV86" s="0"/>
      <c r="BHW86" s="0"/>
      <c r="BHX86" s="0"/>
      <c r="BHY86" s="0"/>
      <c r="BHZ86" s="0"/>
      <c r="BIA86" s="0"/>
      <c r="BIB86" s="0"/>
      <c r="BIC86" s="0"/>
      <c r="BID86" s="0"/>
      <c r="BIE86" s="0"/>
      <c r="BIF86" s="0"/>
      <c r="BIG86" s="0"/>
      <c r="BIH86" s="0"/>
      <c r="BII86" s="0"/>
      <c r="BIJ86" s="0"/>
      <c r="BIK86" s="0"/>
      <c r="BIL86" s="0"/>
      <c r="BIM86" s="0"/>
      <c r="BIN86" s="0"/>
      <c r="BIO86" s="0"/>
      <c r="BIP86" s="0"/>
      <c r="BIQ86" s="0"/>
      <c r="BIR86" s="0"/>
      <c r="BIS86" s="0"/>
      <c r="BIT86" s="0"/>
      <c r="BIU86" s="0"/>
      <c r="BIV86" s="0"/>
      <c r="BIW86" s="0"/>
      <c r="BIX86" s="0"/>
      <c r="BIY86" s="0"/>
      <c r="BIZ86" s="0"/>
      <c r="BJA86" s="0"/>
      <c r="BJB86" s="0"/>
      <c r="BJC86" s="0"/>
      <c r="BJD86" s="0"/>
      <c r="BJE86" s="0"/>
      <c r="BJF86" s="0"/>
      <c r="BJG86" s="0"/>
      <c r="BJH86" s="0"/>
      <c r="BJI86" s="0"/>
      <c r="BJJ86" s="0"/>
      <c r="BJK86" s="0"/>
      <c r="BJL86" s="0"/>
      <c r="BJM86" s="0"/>
      <c r="BJN86" s="0"/>
      <c r="BJO86" s="0"/>
      <c r="BJP86" s="0"/>
      <c r="BJQ86" s="0"/>
      <c r="BJR86" s="0"/>
      <c r="BJS86" s="0"/>
      <c r="BJT86" s="0"/>
      <c r="BJU86" s="0"/>
      <c r="BJV86" s="0"/>
      <c r="BJW86" s="0"/>
      <c r="BJX86" s="0"/>
      <c r="BJY86" s="0"/>
      <c r="BJZ86" s="0"/>
      <c r="BKA86" s="0"/>
      <c r="BKB86" s="0"/>
      <c r="BKC86" s="0"/>
      <c r="BKD86" s="0"/>
      <c r="BKE86" s="0"/>
      <c r="BKF86" s="0"/>
      <c r="BKG86" s="0"/>
      <c r="BKH86" s="0"/>
      <c r="BKI86" s="0"/>
      <c r="BKJ86" s="0"/>
      <c r="BKK86" s="0"/>
      <c r="BKL86" s="0"/>
      <c r="BKM86" s="0"/>
      <c r="BKN86" s="0"/>
      <c r="BKO86" s="0"/>
      <c r="BKP86" s="0"/>
      <c r="BKQ86" s="0"/>
      <c r="BKR86" s="0"/>
      <c r="BKS86" s="0"/>
      <c r="BKT86" s="0"/>
      <c r="BKU86" s="0"/>
      <c r="BKV86" s="0"/>
      <c r="BKW86" s="0"/>
      <c r="BKX86" s="0"/>
      <c r="BKY86" s="0"/>
      <c r="BKZ86" s="0"/>
      <c r="BLA86" s="0"/>
      <c r="BLB86" s="0"/>
      <c r="BLC86" s="0"/>
      <c r="BLD86" s="0"/>
      <c r="BLE86" s="0"/>
      <c r="BLF86" s="0"/>
      <c r="BLG86" s="0"/>
      <c r="BLH86" s="0"/>
      <c r="BLI86" s="0"/>
      <c r="BLJ86" s="0"/>
      <c r="BLK86" s="0"/>
      <c r="BLL86" s="0"/>
      <c r="BLM86" s="0"/>
      <c r="BLN86" s="0"/>
      <c r="BLO86" s="0"/>
      <c r="BLP86" s="0"/>
      <c r="BLQ86" s="0"/>
      <c r="BLR86" s="0"/>
      <c r="BLS86" s="0"/>
      <c r="BLT86" s="0"/>
      <c r="BLU86" s="0"/>
      <c r="BLV86" s="0"/>
      <c r="BLW86" s="0"/>
      <c r="BLX86" s="0"/>
      <c r="BLY86" s="0"/>
      <c r="BLZ86" s="0"/>
      <c r="BMA86" s="0"/>
      <c r="BMB86" s="0"/>
      <c r="BMC86" s="0"/>
      <c r="BMD86" s="0"/>
      <c r="BME86" s="0"/>
      <c r="BMF86" s="0"/>
      <c r="BMG86" s="0"/>
      <c r="BMH86" s="0"/>
      <c r="BMI86" s="0"/>
      <c r="BMJ86" s="0"/>
      <c r="BMK86" s="0"/>
      <c r="BML86" s="0"/>
      <c r="BMM86" s="0"/>
      <c r="BMN86" s="0"/>
      <c r="BMO86" s="0"/>
      <c r="BMP86" s="0"/>
      <c r="BMQ86" s="0"/>
      <c r="BMR86" s="0"/>
      <c r="BMS86" s="0"/>
      <c r="BMT86" s="0"/>
      <c r="BMU86" s="0"/>
      <c r="BMV86" s="0"/>
      <c r="BMW86" s="0"/>
      <c r="BMX86" s="0"/>
      <c r="BMY86" s="0"/>
      <c r="BMZ86" s="0"/>
      <c r="BNA86" s="0"/>
      <c r="BNB86" s="0"/>
      <c r="BNC86" s="0"/>
      <c r="BND86" s="0"/>
      <c r="BNE86" s="0"/>
      <c r="BNF86" s="0"/>
      <c r="BNG86" s="0"/>
      <c r="BNH86" s="0"/>
      <c r="BNI86" s="0"/>
      <c r="BNJ86" s="0"/>
      <c r="BNK86" s="0"/>
      <c r="BNL86" s="0"/>
      <c r="BNM86" s="0"/>
      <c r="BNN86" s="0"/>
      <c r="BNO86" s="0"/>
      <c r="BNP86" s="0"/>
      <c r="BNQ86" s="0"/>
      <c r="BNR86" s="0"/>
      <c r="BNS86" s="0"/>
      <c r="BNT86" s="0"/>
      <c r="BNU86" s="0"/>
      <c r="BNV86" s="0"/>
      <c r="BNW86" s="0"/>
      <c r="BNX86" s="0"/>
      <c r="BNY86" s="0"/>
      <c r="BNZ86" s="0"/>
      <c r="BOA86" s="0"/>
      <c r="BOB86" s="0"/>
      <c r="BOC86" s="0"/>
      <c r="BOD86" s="0"/>
      <c r="BOE86" s="0"/>
      <c r="BOF86" s="0"/>
      <c r="BOG86" s="0"/>
      <c r="BOH86" s="0"/>
      <c r="BOI86" s="0"/>
      <c r="BOJ86" s="0"/>
      <c r="BOK86" s="0"/>
      <c r="BOL86" s="0"/>
      <c r="BOM86" s="0"/>
      <c r="BON86" s="0"/>
      <c r="BOO86" s="0"/>
      <c r="BOP86" s="0"/>
      <c r="BOQ86" s="0"/>
      <c r="BOR86" s="0"/>
      <c r="BOS86" s="0"/>
      <c r="BOT86" s="0"/>
      <c r="BOU86" s="0"/>
      <c r="BOV86" s="0"/>
      <c r="BOW86" s="0"/>
      <c r="BOX86" s="0"/>
      <c r="BOY86" s="0"/>
      <c r="BOZ86" s="0"/>
      <c r="BPA86" s="0"/>
      <c r="BPB86" s="0"/>
      <c r="BPC86" s="0"/>
      <c r="BPD86" s="0"/>
      <c r="BPE86" s="0"/>
      <c r="BPF86" s="0"/>
      <c r="BPG86" s="0"/>
      <c r="BPH86" s="0"/>
      <c r="BPI86" s="0"/>
      <c r="BPJ86" s="0"/>
      <c r="BPK86" s="0"/>
      <c r="BPL86" s="0"/>
      <c r="BPM86" s="0"/>
      <c r="BPN86" s="0"/>
      <c r="BPO86" s="0"/>
      <c r="BPP86" s="0"/>
      <c r="BPQ86" s="0"/>
      <c r="BPR86" s="0"/>
      <c r="BPS86" s="0"/>
      <c r="BPT86" s="0"/>
      <c r="BPU86" s="0"/>
      <c r="BPV86" s="0"/>
      <c r="BPW86" s="0"/>
      <c r="BPX86" s="0"/>
      <c r="BPY86" s="0"/>
      <c r="BPZ86" s="0"/>
      <c r="BQA86" s="0"/>
      <c r="BQB86" s="0"/>
      <c r="BQC86" s="0"/>
      <c r="BQD86" s="0"/>
      <c r="BQE86" s="0"/>
      <c r="BQF86" s="0"/>
      <c r="BQG86" s="0"/>
      <c r="BQH86" s="0"/>
      <c r="BQI86" s="0"/>
      <c r="BQJ86" s="0"/>
      <c r="BQK86" s="0"/>
      <c r="BQL86" s="0"/>
      <c r="BQM86" s="0"/>
      <c r="BQN86" s="0"/>
      <c r="BQO86" s="0"/>
      <c r="BQP86" s="0"/>
      <c r="BQQ86" s="0"/>
      <c r="BQR86" s="0"/>
      <c r="BQS86" s="0"/>
      <c r="BQT86" s="0"/>
      <c r="BQU86" s="0"/>
      <c r="BQV86" s="0"/>
      <c r="BQW86" s="0"/>
      <c r="BQX86" s="0"/>
      <c r="BQY86" s="0"/>
      <c r="BQZ86" s="0"/>
      <c r="BRA86" s="0"/>
      <c r="BRB86" s="0"/>
      <c r="BRC86" s="0"/>
      <c r="BRD86" s="0"/>
      <c r="BRE86" s="0"/>
      <c r="BRF86" s="0"/>
      <c r="BRG86" s="0"/>
      <c r="BRH86" s="0"/>
      <c r="BRI86" s="0"/>
      <c r="BRJ86" s="0"/>
      <c r="BRK86" s="0"/>
      <c r="BRL86" s="0"/>
      <c r="BRM86" s="0"/>
      <c r="BRN86" s="0"/>
      <c r="BRO86" s="0"/>
      <c r="BRP86" s="0"/>
      <c r="BRQ86" s="0"/>
      <c r="BRR86" s="0"/>
      <c r="BRS86" s="0"/>
      <c r="BRT86" s="0"/>
      <c r="BRU86" s="0"/>
      <c r="BRV86" s="0"/>
      <c r="BRW86" s="0"/>
      <c r="BRX86" s="0"/>
      <c r="BRY86" s="0"/>
      <c r="BRZ86" s="0"/>
      <c r="BSA86" s="0"/>
      <c r="BSB86" s="0"/>
      <c r="BSC86" s="0"/>
      <c r="BSD86" s="0"/>
      <c r="BSE86" s="0"/>
      <c r="BSF86" s="0"/>
      <c r="BSG86" s="0"/>
      <c r="BSH86" s="0"/>
      <c r="BSI86" s="0"/>
      <c r="BSJ86" s="0"/>
      <c r="BSK86" s="0"/>
      <c r="BSL86" s="0"/>
      <c r="BSM86" s="0"/>
      <c r="BSN86" s="0"/>
      <c r="BSO86" s="0"/>
      <c r="BSP86" s="0"/>
      <c r="BSQ86" s="0"/>
      <c r="BSR86" s="0"/>
      <c r="BSS86" s="0"/>
      <c r="BST86" s="0"/>
      <c r="BSU86" s="0"/>
      <c r="BSV86" s="0"/>
      <c r="BSW86" s="0"/>
      <c r="BSX86" s="0"/>
      <c r="BSY86" s="0"/>
      <c r="BSZ86" s="0"/>
      <c r="BTA86" s="0"/>
      <c r="BTB86" s="0"/>
      <c r="BTC86" s="0"/>
      <c r="BTD86" s="0"/>
      <c r="BTE86" s="0"/>
      <c r="BTF86" s="0"/>
      <c r="BTG86" s="0"/>
      <c r="BTH86" s="0"/>
      <c r="BTI86" s="0"/>
      <c r="BTJ86" s="0"/>
      <c r="BTK86" s="0"/>
      <c r="BTL86" s="0"/>
      <c r="BTM86" s="0"/>
      <c r="BTN86" s="0"/>
      <c r="BTO86" s="0"/>
      <c r="BTP86" s="0"/>
      <c r="BTQ86" s="0"/>
      <c r="BTR86" s="0"/>
      <c r="BTS86" s="0"/>
      <c r="BTT86" s="0"/>
      <c r="BTU86" s="0"/>
      <c r="BTV86" s="0"/>
      <c r="BTW86" s="0"/>
      <c r="BTX86" s="0"/>
      <c r="BTY86" s="0"/>
      <c r="BTZ86" s="0"/>
      <c r="BUA86" s="0"/>
      <c r="BUB86" s="0"/>
      <c r="BUC86" s="0"/>
      <c r="BUD86" s="0"/>
      <c r="BUE86" s="0"/>
      <c r="BUF86" s="0"/>
      <c r="BUG86" s="0"/>
      <c r="BUH86" s="0"/>
      <c r="BUI86" s="0"/>
      <c r="BUJ86" s="0"/>
      <c r="BUK86" s="0"/>
      <c r="BUL86" s="0"/>
      <c r="BUM86" s="0"/>
      <c r="BUN86" s="0"/>
      <c r="BUO86" s="0"/>
      <c r="BUP86" s="0"/>
      <c r="BUQ86" s="0"/>
      <c r="BUR86" s="0"/>
      <c r="BUS86" s="0"/>
      <c r="BUT86" s="0"/>
      <c r="BUU86" s="0"/>
      <c r="BUV86" s="0"/>
      <c r="BUW86" s="0"/>
      <c r="BUX86" s="0"/>
      <c r="BUY86" s="0"/>
      <c r="BUZ86" s="0"/>
      <c r="BVA86" s="0"/>
      <c r="BVB86" s="0"/>
      <c r="BVC86" s="0"/>
      <c r="BVD86" s="0"/>
      <c r="BVE86" s="0"/>
      <c r="BVF86" s="0"/>
      <c r="BVG86" s="0"/>
      <c r="BVH86" s="0"/>
      <c r="BVI86" s="0"/>
      <c r="BVJ86" s="0"/>
      <c r="BVK86" s="0"/>
      <c r="BVL86" s="0"/>
      <c r="BVM86" s="0"/>
      <c r="BVN86" s="0"/>
      <c r="BVO86" s="0"/>
      <c r="BVP86" s="0"/>
      <c r="BVQ86" s="0"/>
      <c r="BVR86" s="0"/>
      <c r="BVS86" s="0"/>
      <c r="BVT86" s="0"/>
      <c r="BVU86" s="0"/>
      <c r="BVV86" s="0"/>
      <c r="BVW86" s="0"/>
      <c r="BVX86" s="0"/>
      <c r="BVY86" s="0"/>
      <c r="BVZ86" s="0"/>
      <c r="BWA86" s="0"/>
      <c r="BWB86" s="0"/>
      <c r="BWC86" s="0"/>
      <c r="BWD86" s="0"/>
      <c r="BWE86" s="0"/>
      <c r="BWF86" s="0"/>
      <c r="BWG86" s="0"/>
      <c r="BWH86" s="0"/>
      <c r="BWI86" s="0"/>
      <c r="BWJ86" s="0"/>
      <c r="BWK86" s="0"/>
      <c r="BWL86" s="0"/>
      <c r="BWM86" s="0"/>
      <c r="BWN86" s="0"/>
      <c r="BWO86" s="0"/>
      <c r="BWP86" s="0"/>
      <c r="BWQ86" s="0"/>
      <c r="BWR86" s="0"/>
      <c r="BWS86" s="0"/>
      <c r="BWT86" s="0"/>
      <c r="BWU86" s="0"/>
      <c r="BWV86" s="0"/>
      <c r="BWW86" s="0"/>
      <c r="BWX86" s="0"/>
      <c r="BWY86" s="0"/>
      <c r="BWZ86" s="0"/>
      <c r="BXA86" s="0"/>
      <c r="BXB86" s="0"/>
      <c r="BXC86" s="0"/>
      <c r="BXD86" s="0"/>
      <c r="BXE86" s="0"/>
      <c r="BXF86" s="0"/>
      <c r="BXG86" s="0"/>
      <c r="BXH86" s="0"/>
      <c r="BXI86" s="0"/>
      <c r="BXJ86" s="0"/>
      <c r="BXK86" s="0"/>
      <c r="BXL86" s="0"/>
      <c r="BXM86" s="0"/>
      <c r="BXN86" s="0"/>
      <c r="BXO86" s="0"/>
      <c r="BXP86" s="0"/>
      <c r="BXQ86" s="0"/>
      <c r="BXR86" s="0"/>
      <c r="BXS86" s="0"/>
      <c r="BXT86" s="0"/>
      <c r="BXU86" s="0"/>
      <c r="BXV86" s="0"/>
      <c r="BXW86" s="0"/>
      <c r="BXX86" s="0"/>
      <c r="BXY86" s="0"/>
      <c r="BXZ86" s="0"/>
      <c r="BYA86" s="0"/>
      <c r="BYB86" s="0"/>
      <c r="BYC86" s="0"/>
      <c r="BYD86" s="0"/>
      <c r="BYE86" s="0"/>
      <c r="BYF86" s="0"/>
      <c r="BYG86" s="0"/>
      <c r="BYH86" s="0"/>
      <c r="BYI86" s="0"/>
      <c r="BYJ86" s="0"/>
      <c r="BYK86" s="0"/>
      <c r="BYL86" s="0"/>
      <c r="BYM86" s="0"/>
      <c r="BYN86" s="0"/>
      <c r="BYO86" s="0"/>
      <c r="BYP86" s="0"/>
      <c r="BYQ86" s="0"/>
      <c r="BYR86" s="0"/>
      <c r="BYS86" s="0"/>
      <c r="BYT86" s="0"/>
      <c r="BYU86" s="0"/>
      <c r="BYV86" s="0"/>
      <c r="BYW86" s="0"/>
      <c r="BYX86" s="0"/>
      <c r="BYY86" s="0"/>
      <c r="BYZ86" s="0"/>
      <c r="BZA86" s="0"/>
      <c r="BZB86" s="0"/>
      <c r="BZC86" s="0"/>
      <c r="BZD86" s="0"/>
      <c r="BZE86" s="0"/>
      <c r="BZF86" s="0"/>
      <c r="BZG86" s="0"/>
      <c r="BZH86" s="0"/>
      <c r="BZI86" s="0"/>
      <c r="BZJ86" s="0"/>
      <c r="BZK86" s="0"/>
      <c r="BZL86" s="0"/>
      <c r="BZM86" s="0"/>
      <c r="BZN86" s="0"/>
      <c r="BZO86" s="0"/>
      <c r="BZP86" s="0"/>
      <c r="BZQ86" s="0"/>
      <c r="BZR86" s="0"/>
      <c r="BZS86" s="0"/>
      <c r="BZT86" s="0"/>
      <c r="BZU86" s="0"/>
      <c r="BZV86" s="0"/>
      <c r="BZW86" s="0"/>
      <c r="BZX86" s="0"/>
      <c r="BZY86" s="0"/>
      <c r="BZZ86" s="0"/>
      <c r="CAA86" s="0"/>
      <c r="CAB86" s="0"/>
      <c r="CAC86" s="0"/>
      <c r="CAD86" s="0"/>
      <c r="CAE86" s="0"/>
      <c r="CAF86" s="0"/>
      <c r="CAG86" s="0"/>
      <c r="CAH86" s="0"/>
      <c r="CAI86" s="0"/>
      <c r="CAJ86" s="0"/>
      <c r="CAK86" s="0"/>
      <c r="CAL86" s="0"/>
      <c r="CAM86" s="0"/>
      <c r="CAN86" s="0"/>
      <c r="CAO86" s="0"/>
      <c r="CAP86" s="0"/>
      <c r="CAQ86" s="0"/>
      <c r="CAR86" s="0"/>
      <c r="CAS86" s="0"/>
      <c r="CAT86" s="0"/>
      <c r="CAU86" s="0"/>
      <c r="CAV86" s="0"/>
      <c r="CAW86" s="0"/>
      <c r="CAX86" s="0"/>
      <c r="CAY86" s="0"/>
      <c r="CAZ86" s="0"/>
      <c r="CBA86" s="0"/>
      <c r="CBB86" s="0"/>
      <c r="CBC86" s="0"/>
      <c r="CBD86" s="0"/>
      <c r="CBE86" s="0"/>
      <c r="CBF86" s="0"/>
      <c r="CBG86" s="0"/>
      <c r="CBH86" s="0"/>
      <c r="CBI86" s="0"/>
      <c r="CBJ86" s="0"/>
      <c r="CBK86" s="0"/>
      <c r="CBL86" s="0"/>
      <c r="CBM86" s="0"/>
      <c r="CBN86" s="0"/>
      <c r="CBO86" s="0"/>
      <c r="CBP86" s="0"/>
      <c r="CBQ86" s="0"/>
      <c r="CBR86" s="0"/>
      <c r="CBS86" s="0"/>
      <c r="CBT86" s="0"/>
      <c r="CBU86" s="0"/>
      <c r="CBV86" s="0"/>
      <c r="CBW86" s="0"/>
      <c r="CBX86" s="0"/>
      <c r="CBY86" s="0"/>
      <c r="CBZ86" s="0"/>
      <c r="CCA86" s="0"/>
      <c r="CCB86" s="0"/>
      <c r="CCC86" s="0"/>
      <c r="CCD86" s="0"/>
      <c r="CCE86" s="0"/>
      <c r="CCF86" s="0"/>
      <c r="CCG86" s="0"/>
      <c r="CCH86" s="0"/>
      <c r="CCI86" s="0"/>
      <c r="CCJ86" s="0"/>
      <c r="CCK86" s="0"/>
      <c r="CCL86" s="0"/>
      <c r="CCM86" s="0"/>
      <c r="CCN86" s="0"/>
      <c r="CCO86" s="0"/>
      <c r="CCP86" s="0"/>
      <c r="CCQ86" s="0"/>
      <c r="CCR86" s="0"/>
      <c r="CCS86" s="0"/>
      <c r="CCT86" s="0"/>
      <c r="CCU86" s="0"/>
      <c r="CCV86" s="0"/>
      <c r="CCW86" s="0"/>
      <c r="CCX86" s="0"/>
      <c r="CCY86" s="0"/>
      <c r="CCZ86" s="0"/>
      <c r="CDA86" s="0"/>
      <c r="CDB86" s="0"/>
      <c r="CDC86" s="0"/>
      <c r="CDD86" s="0"/>
      <c r="CDE86" s="0"/>
      <c r="CDF86" s="0"/>
      <c r="CDG86" s="0"/>
      <c r="CDH86" s="0"/>
      <c r="CDI86" s="0"/>
      <c r="CDJ86" s="0"/>
      <c r="CDK86" s="0"/>
      <c r="CDL86" s="0"/>
      <c r="CDM86" s="0"/>
      <c r="CDN86" s="0"/>
      <c r="CDO86" s="0"/>
      <c r="CDP86" s="0"/>
      <c r="CDQ86" s="0"/>
      <c r="CDR86" s="0"/>
      <c r="CDS86" s="0"/>
      <c r="CDT86" s="0"/>
      <c r="CDU86" s="0"/>
      <c r="CDV86" s="0"/>
      <c r="CDW86" s="0"/>
      <c r="CDX86" s="0"/>
      <c r="CDY86" s="0"/>
      <c r="CDZ86" s="0"/>
      <c r="CEA86" s="0"/>
      <c r="CEB86" s="0"/>
      <c r="CEC86" s="0"/>
      <c r="CED86" s="0"/>
      <c r="CEE86" s="0"/>
      <c r="CEF86" s="0"/>
      <c r="CEG86" s="0"/>
      <c r="CEH86" s="0"/>
      <c r="CEI86" s="0"/>
      <c r="CEJ86" s="0"/>
      <c r="CEK86" s="0"/>
      <c r="CEL86" s="0"/>
      <c r="CEM86" s="0"/>
      <c r="CEN86" s="0"/>
      <c r="CEO86" s="0"/>
      <c r="CEP86" s="0"/>
      <c r="CEQ86" s="0"/>
      <c r="CER86" s="0"/>
      <c r="CES86" s="0"/>
      <c r="CET86" s="0"/>
      <c r="CEU86" s="0"/>
      <c r="CEV86" s="0"/>
      <c r="CEW86" s="0"/>
      <c r="CEX86" s="0"/>
      <c r="CEY86" s="0"/>
      <c r="CEZ86" s="0"/>
      <c r="CFA86" s="0"/>
      <c r="CFB86" s="0"/>
      <c r="CFC86" s="0"/>
      <c r="CFD86" s="0"/>
      <c r="CFE86" s="0"/>
      <c r="CFF86" s="0"/>
      <c r="CFG86" s="0"/>
      <c r="CFH86" s="0"/>
      <c r="CFI86" s="0"/>
      <c r="CFJ86" s="0"/>
      <c r="CFK86" s="0"/>
      <c r="CFL86" s="0"/>
      <c r="CFM86" s="0"/>
      <c r="CFN86" s="0"/>
      <c r="CFO86" s="0"/>
      <c r="CFP86" s="0"/>
      <c r="CFQ86" s="0"/>
      <c r="CFR86" s="0"/>
      <c r="CFS86" s="0"/>
      <c r="CFT86" s="0"/>
      <c r="CFU86" s="0"/>
      <c r="CFV86" s="0"/>
      <c r="CFW86" s="0"/>
      <c r="CFX86" s="0"/>
      <c r="CFY86" s="0"/>
      <c r="CFZ86" s="0"/>
      <c r="CGA86" s="0"/>
      <c r="CGB86" s="0"/>
      <c r="CGC86" s="0"/>
      <c r="CGD86" s="0"/>
      <c r="CGE86" s="0"/>
      <c r="CGF86" s="0"/>
      <c r="CGG86" s="0"/>
      <c r="CGH86" s="0"/>
      <c r="CGI86" s="0"/>
      <c r="CGJ86" s="0"/>
      <c r="CGK86" s="0"/>
      <c r="CGL86" s="0"/>
      <c r="CGM86" s="0"/>
      <c r="CGN86" s="0"/>
      <c r="CGO86" s="0"/>
      <c r="CGP86" s="0"/>
      <c r="CGQ86" s="0"/>
      <c r="CGR86" s="0"/>
      <c r="CGS86" s="0"/>
      <c r="CGT86" s="0"/>
      <c r="CGU86" s="0"/>
      <c r="CGV86" s="0"/>
      <c r="CGW86" s="0"/>
      <c r="CGX86" s="0"/>
      <c r="CGY86" s="0"/>
      <c r="CGZ86" s="0"/>
      <c r="CHA86" s="0"/>
      <c r="CHB86" s="0"/>
      <c r="CHC86" s="0"/>
      <c r="CHD86" s="0"/>
      <c r="CHE86" s="0"/>
      <c r="CHF86" s="0"/>
      <c r="CHG86" s="0"/>
      <c r="CHH86" s="0"/>
      <c r="CHI86" s="0"/>
      <c r="CHJ86" s="0"/>
      <c r="CHK86" s="0"/>
      <c r="CHL86" s="0"/>
      <c r="CHM86" s="0"/>
      <c r="CHN86" s="0"/>
      <c r="CHO86" s="0"/>
      <c r="CHP86" s="0"/>
      <c r="CHQ86" s="0"/>
      <c r="CHR86" s="0"/>
      <c r="CHS86" s="0"/>
      <c r="CHT86" s="0"/>
      <c r="CHU86" s="0"/>
      <c r="CHV86" s="0"/>
      <c r="CHW86" s="0"/>
      <c r="CHX86" s="0"/>
      <c r="CHY86" s="0"/>
      <c r="CHZ86" s="0"/>
      <c r="CIA86" s="0"/>
      <c r="CIB86" s="0"/>
      <c r="CIC86" s="0"/>
      <c r="CID86" s="0"/>
      <c r="CIE86" s="0"/>
      <c r="CIF86" s="0"/>
      <c r="CIG86" s="0"/>
      <c r="CIH86" s="0"/>
      <c r="CII86" s="0"/>
      <c r="CIJ86" s="0"/>
      <c r="CIK86" s="0"/>
      <c r="CIL86" s="0"/>
      <c r="CIM86" s="0"/>
      <c r="CIN86" s="0"/>
      <c r="CIO86" s="0"/>
      <c r="CIP86" s="0"/>
      <c r="CIQ86" s="0"/>
      <c r="CIR86" s="0"/>
      <c r="CIS86" s="0"/>
      <c r="CIT86" s="0"/>
      <c r="CIU86" s="0"/>
      <c r="CIV86" s="0"/>
      <c r="CIW86" s="0"/>
      <c r="CIX86" s="0"/>
      <c r="CIY86" s="0"/>
      <c r="CIZ86" s="0"/>
      <c r="CJA86" s="0"/>
      <c r="CJB86" s="0"/>
      <c r="CJC86" s="0"/>
      <c r="CJD86" s="0"/>
      <c r="CJE86" s="0"/>
      <c r="CJF86" s="0"/>
      <c r="CJG86" s="0"/>
      <c r="CJH86" s="0"/>
      <c r="CJI86" s="0"/>
      <c r="CJJ86" s="0"/>
      <c r="CJK86" s="0"/>
      <c r="CJL86" s="0"/>
      <c r="CJM86" s="0"/>
      <c r="CJN86" s="0"/>
      <c r="CJO86" s="0"/>
      <c r="CJP86" s="0"/>
      <c r="CJQ86" s="0"/>
      <c r="CJR86" s="0"/>
      <c r="CJS86" s="0"/>
      <c r="CJT86" s="0"/>
      <c r="CJU86" s="0"/>
      <c r="CJV86" s="0"/>
      <c r="CJW86" s="0"/>
      <c r="CJX86" s="0"/>
      <c r="CJY86" s="0"/>
      <c r="CJZ86" s="0"/>
      <c r="CKA86" s="0"/>
      <c r="CKB86" s="0"/>
      <c r="CKC86" s="0"/>
      <c r="CKD86" s="0"/>
      <c r="CKE86" s="0"/>
      <c r="CKF86" s="0"/>
      <c r="CKG86" s="0"/>
      <c r="CKH86" s="0"/>
      <c r="CKI86" s="0"/>
      <c r="CKJ86" s="0"/>
      <c r="CKK86" s="0"/>
      <c r="CKL86" s="0"/>
      <c r="CKM86" s="0"/>
      <c r="CKN86" s="0"/>
      <c r="CKO86" s="0"/>
      <c r="CKP86" s="0"/>
      <c r="CKQ86" s="0"/>
      <c r="CKR86" s="0"/>
      <c r="CKS86" s="0"/>
      <c r="CKT86" s="0"/>
      <c r="CKU86" s="0"/>
      <c r="CKV86" s="0"/>
      <c r="CKW86" s="0"/>
      <c r="CKX86" s="0"/>
      <c r="CKY86" s="0"/>
      <c r="CKZ86" s="0"/>
      <c r="CLA86" s="0"/>
      <c r="CLB86" s="0"/>
      <c r="CLC86" s="0"/>
      <c r="CLD86" s="0"/>
      <c r="CLE86" s="0"/>
      <c r="CLF86" s="0"/>
      <c r="CLG86" s="0"/>
      <c r="CLH86" s="0"/>
      <c r="CLI86" s="0"/>
      <c r="CLJ86" s="0"/>
      <c r="CLK86" s="0"/>
      <c r="CLL86" s="0"/>
      <c r="CLM86" s="0"/>
      <c r="CLN86" s="0"/>
      <c r="CLO86" s="0"/>
      <c r="CLP86" s="0"/>
      <c r="CLQ86" s="0"/>
      <c r="CLR86" s="0"/>
      <c r="CLS86" s="0"/>
      <c r="CLT86" s="0"/>
      <c r="CLU86" s="0"/>
      <c r="CLV86" s="0"/>
      <c r="CLW86" s="0"/>
      <c r="CLX86" s="0"/>
      <c r="CLY86" s="0"/>
      <c r="CLZ86" s="0"/>
      <c r="CMA86" s="0"/>
      <c r="CMB86" s="0"/>
      <c r="CMC86" s="0"/>
      <c r="CMD86" s="0"/>
      <c r="CME86" s="0"/>
      <c r="CMF86" s="0"/>
      <c r="CMG86" s="0"/>
      <c r="CMH86" s="0"/>
      <c r="CMI86" s="0"/>
      <c r="CMJ86" s="0"/>
      <c r="CMK86" s="0"/>
      <c r="CML86" s="0"/>
      <c r="CMM86" s="0"/>
      <c r="CMN86" s="0"/>
      <c r="CMO86" s="0"/>
      <c r="CMP86" s="0"/>
      <c r="CMQ86" s="0"/>
      <c r="CMR86" s="0"/>
      <c r="CMS86" s="0"/>
      <c r="CMT86" s="0"/>
      <c r="CMU86" s="0"/>
      <c r="CMV86" s="0"/>
      <c r="CMW86" s="0"/>
      <c r="CMX86" s="0"/>
      <c r="CMY86" s="0"/>
      <c r="CMZ86" s="0"/>
      <c r="CNA86" s="0"/>
      <c r="CNB86" s="0"/>
      <c r="CNC86" s="0"/>
      <c r="CND86" s="0"/>
      <c r="CNE86" s="0"/>
      <c r="CNF86" s="0"/>
      <c r="CNG86" s="0"/>
      <c r="CNH86" s="0"/>
      <c r="CNI86" s="0"/>
      <c r="CNJ86" s="0"/>
      <c r="CNK86" s="0"/>
      <c r="CNL86" s="0"/>
      <c r="CNM86" s="0"/>
      <c r="CNN86" s="0"/>
      <c r="CNO86" s="0"/>
      <c r="CNP86" s="0"/>
      <c r="CNQ86" s="0"/>
      <c r="CNR86" s="0"/>
      <c r="CNS86" s="0"/>
      <c r="CNT86" s="0"/>
      <c r="CNU86" s="0"/>
      <c r="CNV86" s="0"/>
      <c r="CNW86" s="0"/>
      <c r="CNX86" s="0"/>
      <c r="CNY86" s="0"/>
      <c r="CNZ86" s="0"/>
      <c r="COA86" s="0"/>
      <c r="COB86" s="0"/>
      <c r="COC86" s="0"/>
      <c r="COD86" s="0"/>
      <c r="COE86" s="0"/>
      <c r="COF86" s="0"/>
      <c r="COG86" s="0"/>
      <c r="COH86" s="0"/>
      <c r="COI86" s="0"/>
      <c r="COJ86" s="0"/>
      <c r="COK86" s="0"/>
      <c r="COL86" s="0"/>
      <c r="COM86" s="0"/>
      <c r="CON86" s="0"/>
      <c r="COO86" s="0"/>
      <c r="COP86" s="0"/>
      <c r="COQ86" s="0"/>
      <c r="COR86" s="0"/>
      <c r="COS86" s="0"/>
      <c r="COT86" s="0"/>
      <c r="COU86" s="0"/>
      <c r="COV86" s="0"/>
      <c r="COW86" s="0"/>
      <c r="COX86" s="0"/>
      <c r="COY86" s="0"/>
      <c r="COZ86" s="0"/>
      <c r="CPA86" s="0"/>
      <c r="CPB86" s="0"/>
      <c r="CPC86" s="0"/>
      <c r="CPD86" s="0"/>
      <c r="CPE86" s="0"/>
      <c r="CPF86" s="0"/>
      <c r="CPG86" s="0"/>
      <c r="CPH86" s="0"/>
      <c r="CPI86" s="0"/>
      <c r="CPJ86" s="0"/>
      <c r="CPK86" s="0"/>
      <c r="CPL86" s="0"/>
      <c r="CPM86" s="0"/>
      <c r="CPN86" s="0"/>
      <c r="CPO86" s="0"/>
      <c r="CPP86" s="0"/>
      <c r="CPQ86" s="0"/>
      <c r="CPR86" s="0"/>
      <c r="CPS86" s="0"/>
      <c r="CPT86" s="0"/>
      <c r="CPU86" s="0"/>
      <c r="CPV86" s="0"/>
      <c r="CPW86" s="0"/>
      <c r="CPX86" s="0"/>
      <c r="CPY86" s="0"/>
      <c r="CPZ86" s="0"/>
      <c r="CQA86" s="0"/>
      <c r="CQB86" s="0"/>
      <c r="CQC86" s="0"/>
      <c r="CQD86" s="0"/>
      <c r="CQE86" s="0"/>
      <c r="CQF86" s="0"/>
      <c r="CQG86" s="0"/>
      <c r="CQH86" s="0"/>
      <c r="CQI86" s="0"/>
      <c r="CQJ86" s="0"/>
      <c r="CQK86" s="0"/>
      <c r="CQL86" s="0"/>
      <c r="CQM86" s="0"/>
      <c r="CQN86" s="0"/>
      <c r="CQO86" s="0"/>
      <c r="CQP86" s="0"/>
      <c r="CQQ86" s="0"/>
      <c r="CQR86" s="0"/>
      <c r="CQS86" s="0"/>
      <c r="CQT86" s="0"/>
      <c r="CQU86" s="0"/>
      <c r="CQV86" s="0"/>
      <c r="CQW86" s="0"/>
      <c r="CQX86" s="0"/>
      <c r="CQY86" s="0"/>
      <c r="CQZ86" s="0"/>
      <c r="CRA86" s="0"/>
      <c r="CRB86" s="0"/>
      <c r="CRC86" s="0"/>
      <c r="CRD86" s="0"/>
      <c r="CRE86" s="0"/>
      <c r="CRF86" s="0"/>
      <c r="CRG86" s="0"/>
      <c r="CRH86" s="0"/>
      <c r="CRI86" s="0"/>
      <c r="CRJ86" s="0"/>
      <c r="CRK86" s="0"/>
      <c r="CRL86" s="0"/>
      <c r="CRM86" s="0"/>
      <c r="CRN86" s="0"/>
      <c r="CRO86" s="0"/>
      <c r="CRP86" s="0"/>
      <c r="CRQ86" s="0"/>
      <c r="CRR86" s="0"/>
      <c r="CRS86" s="0"/>
      <c r="CRT86" s="0"/>
      <c r="CRU86" s="0"/>
      <c r="CRV86" s="0"/>
      <c r="CRW86" s="0"/>
      <c r="CRX86" s="0"/>
      <c r="CRY86" s="0"/>
      <c r="CRZ86" s="0"/>
      <c r="CSA86" s="0"/>
      <c r="CSB86" s="0"/>
      <c r="CSC86" s="0"/>
      <c r="CSD86" s="0"/>
      <c r="CSE86" s="0"/>
      <c r="CSF86" s="0"/>
      <c r="CSG86" s="0"/>
      <c r="CSH86" s="0"/>
      <c r="CSI86" s="0"/>
      <c r="CSJ86" s="0"/>
      <c r="CSK86" s="0"/>
      <c r="CSL86" s="0"/>
      <c r="CSM86" s="0"/>
      <c r="CSN86" s="0"/>
      <c r="CSO86" s="0"/>
      <c r="CSP86" s="0"/>
      <c r="CSQ86" s="0"/>
      <c r="CSR86" s="0"/>
      <c r="CSS86" s="0"/>
      <c r="CST86" s="0"/>
      <c r="CSU86" s="0"/>
      <c r="CSV86" s="0"/>
      <c r="CSW86" s="0"/>
      <c r="CSX86" s="0"/>
      <c r="CSY86" s="0"/>
      <c r="CSZ86" s="0"/>
      <c r="CTA86" s="0"/>
      <c r="CTB86" s="0"/>
      <c r="CTC86" s="0"/>
      <c r="CTD86" s="0"/>
      <c r="CTE86" s="0"/>
      <c r="CTF86" s="0"/>
      <c r="CTG86" s="0"/>
      <c r="CTH86" s="0"/>
      <c r="CTI86" s="0"/>
      <c r="CTJ86" s="0"/>
      <c r="CTK86" s="0"/>
      <c r="CTL86" s="0"/>
      <c r="CTM86" s="0"/>
      <c r="CTN86" s="0"/>
      <c r="CTO86" s="0"/>
      <c r="CTP86" s="0"/>
      <c r="CTQ86" s="0"/>
      <c r="CTR86" s="0"/>
      <c r="CTS86" s="0"/>
      <c r="CTT86" s="0"/>
      <c r="CTU86" s="0"/>
      <c r="CTV86" s="0"/>
      <c r="CTW86" s="0"/>
      <c r="CTX86" s="0"/>
      <c r="CTY86" s="0"/>
      <c r="CTZ86" s="0"/>
      <c r="CUA86" s="0"/>
      <c r="CUB86" s="0"/>
      <c r="CUC86" s="0"/>
      <c r="CUD86" s="0"/>
      <c r="CUE86" s="0"/>
      <c r="CUF86" s="0"/>
      <c r="CUG86" s="0"/>
      <c r="CUH86" s="0"/>
      <c r="CUI86" s="0"/>
      <c r="CUJ86" s="0"/>
      <c r="CUK86" s="0"/>
      <c r="CUL86" s="0"/>
      <c r="CUM86" s="0"/>
      <c r="CUN86" s="0"/>
      <c r="CUO86" s="0"/>
      <c r="CUP86" s="0"/>
      <c r="CUQ86" s="0"/>
      <c r="CUR86" s="0"/>
      <c r="CUS86" s="0"/>
      <c r="CUT86" s="0"/>
      <c r="CUU86" s="0"/>
      <c r="CUV86" s="0"/>
      <c r="CUW86" s="0"/>
      <c r="CUX86" s="0"/>
      <c r="CUY86" s="0"/>
      <c r="CUZ86" s="0"/>
      <c r="CVA86" s="0"/>
      <c r="CVB86" s="0"/>
      <c r="CVC86" s="0"/>
      <c r="CVD86" s="0"/>
      <c r="CVE86" s="0"/>
      <c r="CVF86" s="0"/>
      <c r="CVG86" s="0"/>
      <c r="CVH86" s="0"/>
      <c r="CVI86" s="0"/>
      <c r="CVJ86" s="0"/>
      <c r="CVK86" s="0"/>
      <c r="CVL86" s="0"/>
      <c r="CVM86" s="0"/>
      <c r="CVN86" s="0"/>
      <c r="CVO86" s="0"/>
      <c r="CVP86" s="0"/>
      <c r="CVQ86" s="0"/>
      <c r="CVR86" s="0"/>
      <c r="CVS86" s="0"/>
      <c r="CVT86" s="0"/>
      <c r="CVU86" s="0"/>
      <c r="CVV86" s="0"/>
      <c r="CVW86" s="0"/>
      <c r="CVX86" s="0"/>
      <c r="CVY86" s="0"/>
      <c r="CVZ86" s="0"/>
      <c r="CWA86" s="0"/>
      <c r="CWB86" s="0"/>
      <c r="CWC86" s="0"/>
      <c r="CWD86" s="0"/>
      <c r="CWE86" s="0"/>
      <c r="CWF86" s="0"/>
      <c r="CWG86" s="0"/>
      <c r="CWH86" s="0"/>
      <c r="CWI86" s="0"/>
      <c r="CWJ86" s="0"/>
      <c r="CWK86" s="0"/>
      <c r="CWL86" s="0"/>
      <c r="CWM86" s="0"/>
      <c r="CWN86" s="0"/>
      <c r="CWO86" s="0"/>
      <c r="CWP86" s="0"/>
      <c r="CWQ86" s="0"/>
      <c r="CWR86" s="0"/>
      <c r="CWS86" s="0"/>
      <c r="CWT86" s="0"/>
      <c r="CWU86" s="0"/>
      <c r="CWV86" s="0"/>
      <c r="CWW86" s="0"/>
      <c r="CWX86" s="0"/>
      <c r="CWY86" s="0"/>
      <c r="CWZ86" s="0"/>
      <c r="CXA86" s="0"/>
      <c r="CXB86" s="0"/>
      <c r="CXC86" s="0"/>
      <c r="CXD86" s="0"/>
      <c r="CXE86" s="0"/>
      <c r="CXF86" s="0"/>
      <c r="CXG86" s="0"/>
      <c r="CXH86" s="0"/>
      <c r="CXI86" s="0"/>
      <c r="CXJ86" s="0"/>
      <c r="CXK86" s="0"/>
      <c r="CXL86" s="0"/>
      <c r="CXM86" s="0"/>
      <c r="CXN86" s="0"/>
      <c r="CXO86" s="0"/>
      <c r="CXP86" s="0"/>
      <c r="CXQ86" s="0"/>
      <c r="CXR86" s="0"/>
      <c r="CXS86" s="0"/>
      <c r="CXT86" s="0"/>
      <c r="CXU86" s="0"/>
      <c r="CXV86" s="0"/>
      <c r="CXW86" s="0"/>
      <c r="CXX86" s="0"/>
      <c r="CXY86" s="0"/>
      <c r="CXZ86" s="0"/>
      <c r="CYA86" s="0"/>
      <c r="CYB86" s="0"/>
      <c r="CYC86" s="0"/>
      <c r="CYD86" s="0"/>
      <c r="CYE86" s="0"/>
      <c r="CYF86" s="0"/>
      <c r="CYG86" s="0"/>
      <c r="CYH86" s="0"/>
      <c r="CYI86" s="0"/>
      <c r="CYJ86" s="0"/>
      <c r="CYK86" s="0"/>
      <c r="CYL86" s="0"/>
      <c r="CYM86" s="0"/>
      <c r="CYN86" s="0"/>
      <c r="CYO86" s="0"/>
      <c r="CYP86" s="0"/>
      <c r="CYQ86" s="0"/>
      <c r="CYR86" s="0"/>
      <c r="CYS86" s="0"/>
      <c r="CYT86" s="0"/>
      <c r="CYU86" s="0"/>
      <c r="CYV86" s="0"/>
      <c r="CYW86" s="0"/>
      <c r="CYX86" s="0"/>
      <c r="CYY86" s="0"/>
      <c r="CYZ86" s="0"/>
      <c r="CZA86" s="0"/>
      <c r="CZB86" s="0"/>
      <c r="CZC86" s="0"/>
      <c r="CZD86" s="0"/>
      <c r="CZE86" s="0"/>
      <c r="CZF86" s="0"/>
      <c r="CZG86" s="0"/>
      <c r="CZH86" s="0"/>
      <c r="CZI86" s="0"/>
      <c r="CZJ86" s="0"/>
      <c r="CZK86" s="0"/>
      <c r="CZL86" s="0"/>
      <c r="CZM86" s="0"/>
      <c r="CZN86" s="0"/>
      <c r="CZO86" s="0"/>
      <c r="CZP86" s="0"/>
      <c r="CZQ86" s="0"/>
      <c r="CZR86" s="0"/>
      <c r="CZS86" s="0"/>
      <c r="CZT86" s="0"/>
      <c r="CZU86" s="0"/>
      <c r="CZV86" s="0"/>
      <c r="CZW86" s="0"/>
      <c r="CZX86" s="0"/>
      <c r="CZY86" s="0"/>
      <c r="CZZ86" s="0"/>
      <c r="DAA86" s="0"/>
      <c r="DAB86" s="0"/>
      <c r="DAC86" s="0"/>
      <c r="DAD86" s="0"/>
      <c r="DAE86" s="0"/>
      <c r="DAF86" s="0"/>
      <c r="DAG86" s="0"/>
      <c r="DAH86" s="0"/>
      <c r="DAI86" s="0"/>
      <c r="DAJ86" s="0"/>
      <c r="DAK86" s="0"/>
      <c r="DAL86" s="0"/>
      <c r="DAM86" s="0"/>
      <c r="DAN86" s="0"/>
      <c r="DAO86" s="0"/>
      <c r="DAP86" s="0"/>
      <c r="DAQ86" s="0"/>
      <c r="DAR86" s="0"/>
      <c r="DAS86" s="0"/>
      <c r="DAT86" s="0"/>
      <c r="DAU86" s="0"/>
      <c r="DAV86" s="0"/>
      <c r="DAW86" s="0"/>
      <c r="DAX86" s="0"/>
      <c r="DAY86" s="0"/>
      <c r="DAZ86" s="0"/>
      <c r="DBA86" s="0"/>
      <c r="DBB86" s="0"/>
      <c r="DBC86" s="0"/>
      <c r="DBD86" s="0"/>
      <c r="DBE86" s="0"/>
      <c r="DBF86" s="0"/>
      <c r="DBG86" s="0"/>
      <c r="DBH86" s="0"/>
      <c r="DBI86" s="0"/>
      <c r="DBJ86" s="0"/>
      <c r="DBK86" s="0"/>
      <c r="DBL86" s="0"/>
      <c r="DBM86" s="0"/>
      <c r="DBN86" s="0"/>
      <c r="DBO86" s="0"/>
      <c r="DBP86" s="0"/>
      <c r="DBQ86" s="0"/>
      <c r="DBR86" s="0"/>
      <c r="DBS86" s="0"/>
      <c r="DBT86" s="0"/>
      <c r="DBU86" s="0"/>
      <c r="DBV86" s="0"/>
      <c r="DBW86" s="0"/>
      <c r="DBX86" s="0"/>
      <c r="DBY86" s="0"/>
      <c r="DBZ86" s="0"/>
      <c r="DCA86" s="0"/>
      <c r="DCB86" s="0"/>
      <c r="DCC86" s="0"/>
      <c r="DCD86" s="0"/>
      <c r="DCE86" s="0"/>
      <c r="DCF86" s="0"/>
      <c r="DCG86" s="0"/>
      <c r="DCH86" s="0"/>
      <c r="DCI86" s="0"/>
      <c r="DCJ86" s="0"/>
      <c r="DCK86" s="0"/>
      <c r="DCL86" s="0"/>
      <c r="DCM86" s="0"/>
      <c r="DCN86" s="0"/>
      <c r="DCO86" s="0"/>
      <c r="DCP86" s="0"/>
      <c r="DCQ86" s="0"/>
      <c r="DCR86" s="0"/>
      <c r="DCS86" s="0"/>
      <c r="DCT86" s="0"/>
      <c r="DCU86" s="0"/>
      <c r="DCV86" s="0"/>
      <c r="DCW86" s="0"/>
      <c r="DCX86" s="0"/>
      <c r="DCY86" s="0"/>
      <c r="DCZ86" s="0"/>
      <c r="DDA86" s="0"/>
      <c r="DDB86" s="0"/>
      <c r="DDC86" s="0"/>
      <c r="DDD86" s="0"/>
      <c r="DDE86" s="0"/>
      <c r="DDF86" s="0"/>
      <c r="DDG86" s="0"/>
      <c r="DDH86" s="0"/>
      <c r="DDI86" s="0"/>
      <c r="DDJ86" s="0"/>
      <c r="DDK86" s="0"/>
      <c r="DDL86" s="0"/>
      <c r="DDM86" s="0"/>
      <c r="DDN86" s="0"/>
      <c r="DDO86" s="0"/>
      <c r="DDP86" s="0"/>
      <c r="DDQ86" s="0"/>
      <c r="DDR86" s="0"/>
      <c r="DDS86" s="0"/>
      <c r="DDT86" s="0"/>
      <c r="DDU86" s="0"/>
      <c r="DDV86" s="0"/>
      <c r="DDW86" s="0"/>
      <c r="DDX86" s="0"/>
      <c r="DDY86" s="0"/>
      <c r="DDZ86" s="0"/>
      <c r="DEA86" s="0"/>
      <c r="DEB86" s="0"/>
      <c r="DEC86" s="0"/>
      <c r="DED86" s="0"/>
      <c r="DEE86" s="0"/>
      <c r="DEF86" s="0"/>
      <c r="DEG86" s="0"/>
      <c r="DEH86" s="0"/>
      <c r="DEI86" s="0"/>
      <c r="DEJ86" s="0"/>
      <c r="DEK86" s="0"/>
      <c r="DEL86" s="0"/>
      <c r="DEM86" s="0"/>
      <c r="DEN86" s="0"/>
      <c r="DEO86" s="0"/>
      <c r="DEP86" s="0"/>
      <c r="DEQ86" s="0"/>
      <c r="DER86" s="0"/>
      <c r="DES86" s="0"/>
      <c r="DET86" s="0"/>
      <c r="DEU86" s="0"/>
      <c r="DEV86" s="0"/>
      <c r="DEW86" s="0"/>
      <c r="DEX86" s="0"/>
      <c r="DEY86" s="0"/>
      <c r="DEZ86" s="0"/>
      <c r="DFA86" s="0"/>
      <c r="DFB86" s="0"/>
      <c r="DFC86" s="0"/>
      <c r="DFD86" s="0"/>
      <c r="DFE86" s="0"/>
      <c r="DFF86" s="0"/>
      <c r="DFG86" s="0"/>
      <c r="DFH86" s="0"/>
      <c r="DFI86" s="0"/>
      <c r="DFJ86" s="0"/>
      <c r="DFK86" s="0"/>
      <c r="DFL86" s="0"/>
      <c r="DFM86" s="0"/>
      <c r="DFN86" s="0"/>
      <c r="DFO86" s="0"/>
      <c r="DFP86" s="0"/>
      <c r="DFQ86" s="0"/>
      <c r="DFR86" s="0"/>
      <c r="DFS86" s="0"/>
      <c r="DFT86" s="0"/>
      <c r="DFU86" s="0"/>
      <c r="DFV86" s="0"/>
      <c r="DFW86" s="0"/>
      <c r="DFX86" s="0"/>
      <c r="DFY86" s="0"/>
      <c r="DFZ86" s="0"/>
      <c r="DGA86" s="0"/>
      <c r="DGB86" s="0"/>
      <c r="DGC86" s="0"/>
      <c r="DGD86" s="0"/>
      <c r="DGE86" s="0"/>
      <c r="DGF86" s="0"/>
      <c r="DGG86" s="0"/>
      <c r="DGH86" s="0"/>
      <c r="DGI86" s="0"/>
      <c r="DGJ86" s="0"/>
      <c r="DGK86" s="0"/>
      <c r="DGL86" s="0"/>
      <c r="DGM86" s="0"/>
      <c r="DGN86" s="0"/>
      <c r="DGO86" s="0"/>
      <c r="DGP86" s="0"/>
      <c r="DGQ86" s="0"/>
      <c r="DGR86" s="0"/>
      <c r="DGS86" s="0"/>
      <c r="DGT86" s="0"/>
      <c r="DGU86" s="0"/>
      <c r="DGV86" s="0"/>
      <c r="DGW86" s="0"/>
      <c r="DGX86" s="0"/>
      <c r="DGY86" s="0"/>
      <c r="DGZ86" s="0"/>
      <c r="DHA86" s="0"/>
      <c r="DHB86" s="0"/>
      <c r="DHC86" s="0"/>
      <c r="DHD86" s="0"/>
      <c r="DHE86" s="0"/>
      <c r="DHF86" s="0"/>
      <c r="DHG86" s="0"/>
      <c r="DHH86" s="0"/>
      <c r="DHI86" s="0"/>
      <c r="DHJ86" s="0"/>
      <c r="DHK86" s="0"/>
      <c r="DHL86" s="0"/>
      <c r="DHM86" s="0"/>
      <c r="DHN86" s="0"/>
      <c r="DHO86" s="0"/>
      <c r="DHP86" s="0"/>
      <c r="DHQ86" s="0"/>
      <c r="DHR86" s="0"/>
      <c r="DHS86" s="0"/>
      <c r="DHT86" s="0"/>
      <c r="DHU86" s="0"/>
      <c r="DHV86" s="0"/>
      <c r="DHW86" s="0"/>
      <c r="DHX86" s="0"/>
      <c r="DHY86" s="0"/>
      <c r="DHZ86" s="0"/>
      <c r="DIA86" s="0"/>
      <c r="DIB86" s="0"/>
      <c r="DIC86" s="0"/>
      <c r="DID86" s="0"/>
      <c r="DIE86" s="0"/>
      <c r="DIF86" s="0"/>
      <c r="DIG86" s="0"/>
      <c r="DIH86" s="0"/>
      <c r="DII86" s="0"/>
      <c r="DIJ86" s="0"/>
      <c r="DIK86" s="0"/>
      <c r="DIL86" s="0"/>
      <c r="DIM86" s="0"/>
      <c r="DIN86" s="0"/>
      <c r="DIO86" s="0"/>
      <c r="DIP86" s="0"/>
      <c r="DIQ86" s="0"/>
      <c r="DIR86" s="0"/>
      <c r="DIS86" s="0"/>
      <c r="DIT86" s="0"/>
      <c r="DIU86" s="0"/>
      <c r="DIV86" s="0"/>
      <c r="DIW86" s="0"/>
      <c r="DIX86" s="0"/>
      <c r="DIY86" s="0"/>
      <c r="DIZ86" s="0"/>
      <c r="DJA86" s="0"/>
      <c r="DJB86" s="0"/>
      <c r="DJC86" s="0"/>
      <c r="DJD86" s="0"/>
      <c r="DJE86" s="0"/>
      <c r="DJF86" s="0"/>
      <c r="DJG86" s="0"/>
      <c r="DJH86" s="0"/>
      <c r="DJI86" s="0"/>
      <c r="DJJ86" s="0"/>
      <c r="DJK86" s="0"/>
      <c r="DJL86" s="0"/>
      <c r="DJM86" s="0"/>
      <c r="DJN86" s="0"/>
      <c r="DJO86" s="0"/>
      <c r="DJP86" s="0"/>
      <c r="DJQ86" s="0"/>
      <c r="DJR86" s="0"/>
      <c r="DJS86" s="0"/>
      <c r="DJT86" s="0"/>
      <c r="DJU86" s="0"/>
      <c r="DJV86" s="0"/>
      <c r="DJW86" s="0"/>
      <c r="DJX86" s="0"/>
      <c r="DJY86" s="0"/>
      <c r="DJZ86" s="0"/>
      <c r="DKA86" s="0"/>
      <c r="DKB86" s="0"/>
      <c r="DKC86" s="0"/>
      <c r="DKD86" s="0"/>
      <c r="DKE86" s="0"/>
      <c r="DKF86" s="0"/>
      <c r="DKG86" s="0"/>
      <c r="DKH86" s="0"/>
      <c r="DKI86" s="0"/>
      <c r="DKJ86" s="0"/>
      <c r="DKK86" s="0"/>
      <c r="DKL86" s="0"/>
      <c r="DKM86" s="0"/>
      <c r="DKN86" s="0"/>
      <c r="DKO86" s="0"/>
      <c r="DKP86" s="0"/>
      <c r="DKQ86" s="0"/>
      <c r="DKR86" s="0"/>
      <c r="DKS86" s="0"/>
      <c r="DKT86" s="0"/>
      <c r="DKU86" s="0"/>
      <c r="DKV86" s="0"/>
      <c r="DKW86" s="0"/>
      <c r="DKX86" s="0"/>
      <c r="DKY86" s="0"/>
      <c r="DKZ86" s="0"/>
      <c r="DLA86" s="0"/>
      <c r="DLB86" s="0"/>
      <c r="DLC86" s="0"/>
      <c r="DLD86" s="0"/>
      <c r="DLE86" s="0"/>
      <c r="DLF86" s="0"/>
      <c r="DLG86" s="0"/>
      <c r="DLH86" s="0"/>
      <c r="DLI86" s="0"/>
      <c r="DLJ86" s="0"/>
      <c r="DLK86" s="0"/>
      <c r="DLL86" s="0"/>
      <c r="DLM86" s="0"/>
      <c r="DLN86" s="0"/>
      <c r="DLO86" s="0"/>
      <c r="DLP86" s="0"/>
      <c r="DLQ86" s="0"/>
      <c r="DLR86" s="0"/>
      <c r="DLS86" s="0"/>
      <c r="DLT86" s="0"/>
      <c r="DLU86" s="0"/>
      <c r="DLV86" s="0"/>
      <c r="DLW86" s="0"/>
      <c r="DLX86" s="0"/>
      <c r="DLY86" s="0"/>
      <c r="DLZ86" s="0"/>
      <c r="DMA86" s="0"/>
      <c r="DMB86" s="0"/>
      <c r="DMC86" s="0"/>
      <c r="DMD86" s="0"/>
      <c r="DME86" s="0"/>
      <c r="DMF86" s="0"/>
      <c r="DMG86" s="0"/>
      <c r="DMH86" s="0"/>
      <c r="DMI86" s="0"/>
      <c r="DMJ86" s="0"/>
      <c r="DMK86" s="0"/>
      <c r="DML86" s="0"/>
      <c r="DMM86" s="0"/>
      <c r="DMN86" s="0"/>
      <c r="DMO86" s="0"/>
      <c r="DMP86" s="0"/>
      <c r="DMQ86" s="0"/>
      <c r="DMR86" s="0"/>
      <c r="DMS86" s="0"/>
      <c r="DMT86" s="0"/>
      <c r="DMU86" s="0"/>
      <c r="DMV86" s="0"/>
      <c r="DMW86" s="0"/>
      <c r="DMX86" s="0"/>
      <c r="DMY86" s="0"/>
      <c r="DMZ86" s="0"/>
      <c r="DNA86" s="0"/>
      <c r="DNB86" s="0"/>
      <c r="DNC86" s="0"/>
      <c r="DND86" s="0"/>
      <c r="DNE86" s="0"/>
      <c r="DNF86" s="0"/>
      <c r="DNG86" s="0"/>
      <c r="DNH86" s="0"/>
      <c r="DNI86" s="0"/>
      <c r="DNJ86" s="0"/>
      <c r="DNK86" s="0"/>
      <c r="DNL86" s="0"/>
      <c r="DNM86" s="0"/>
      <c r="DNN86" s="0"/>
      <c r="DNO86" s="0"/>
      <c r="DNP86" s="0"/>
      <c r="DNQ86" s="0"/>
      <c r="DNR86" s="0"/>
      <c r="DNS86" s="0"/>
      <c r="DNT86" s="0"/>
      <c r="DNU86" s="0"/>
      <c r="DNV86" s="0"/>
      <c r="DNW86" s="0"/>
      <c r="DNX86" s="0"/>
      <c r="DNY86" s="0"/>
      <c r="DNZ86" s="0"/>
      <c r="DOA86" s="0"/>
      <c r="DOB86" s="0"/>
      <c r="DOC86" s="0"/>
      <c r="DOD86" s="0"/>
      <c r="DOE86" s="0"/>
      <c r="DOF86" s="0"/>
      <c r="DOG86" s="0"/>
      <c r="DOH86" s="0"/>
      <c r="DOI86" s="0"/>
      <c r="DOJ86" s="0"/>
      <c r="DOK86" s="0"/>
      <c r="DOL86" s="0"/>
      <c r="DOM86" s="0"/>
      <c r="DON86" s="0"/>
      <c r="DOO86" s="0"/>
      <c r="DOP86" s="0"/>
      <c r="DOQ86" s="0"/>
      <c r="DOR86" s="0"/>
      <c r="DOS86" s="0"/>
      <c r="DOT86" s="0"/>
      <c r="DOU86" s="0"/>
      <c r="DOV86" s="0"/>
      <c r="DOW86" s="0"/>
      <c r="DOX86" s="0"/>
      <c r="DOY86" s="0"/>
      <c r="DOZ86" s="0"/>
      <c r="DPA86" s="0"/>
      <c r="DPB86" s="0"/>
      <c r="DPC86" s="0"/>
      <c r="DPD86" s="0"/>
      <c r="DPE86" s="0"/>
      <c r="DPF86" s="0"/>
      <c r="DPG86" s="0"/>
      <c r="DPH86" s="0"/>
      <c r="DPI86" s="0"/>
      <c r="DPJ86" s="0"/>
      <c r="DPK86" s="0"/>
      <c r="DPL86" s="0"/>
      <c r="DPM86" s="0"/>
      <c r="DPN86" s="0"/>
      <c r="DPO86" s="0"/>
      <c r="DPP86" s="0"/>
      <c r="DPQ86" s="0"/>
      <c r="DPR86" s="0"/>
      <c r="DPS86" s="0"/>
      <c r="DPT86" s="0"/>
      <c r="DPU86" s="0"/>
      <c r="DPV86" s="0"/>
      <c r="DPW86" s="0"/>
      <c r="DPX86" s="0"/>
      <c r="DPY86" s="0"/>
      <c r="DPZ86" s="0"/>
      <c r="DQA86" s="0"/>
      <c r="DQB86" s="0"/>
      <c r="DQC86" s="0"/>
      <c r="DQD86" s="0"/>
      <c r="DQE86" s="0"/>
      <c r="DQF86" s="0"/>
      <c r="DQG86" s="0"/>
      <c r="DQH86" s="0"/>
      <c r="DQI86" s="0"/>
      <c r="DQJ86" s="0"/>
      <c r="DQK86" s="0"/>
      <c r="DQL86" s="0"/>
      <c r="DQM86" s="0"/>
      <c r="DQN86" s="0"/>
      <c r="DQO86" s="0"/>
      <c r="DQP86" s="0"/>
      <c r="DQQ86" s="0"/>
      <c r="DQR86" s="0"/>
      <c r="DQS86" s="0"/>
      <c r="DQT86" s="0"/>
      <c r="DQU86" s="0"/>
      <c r="DQV86" s="0"/>
      <c r="DQW86" s="0"/>
      <c r="DQX86" s="0"/>
      <c r="DQY86" s="0"/>
      <c r="DQZ86" s="0"/>
      <c r="DRA86" s="0"/>
      <c r="DRB86" s="0"/>
      <c r="DRC86" s="0"/>
      <c r="DRD86" s="0"/>
      <c r="DRE86" s="0"/>
      <c r="DRF86" s="0"/>
      <c r="DRG86" s="0"/>
      <c r="DRH86" s="0"/>
      <c r="DRI86" s="0"/>
      <c r="DRJ86" s="0"/>
      <c r="DRK86" s="0"/>
      <c r="DRL86" s="0"/>
      <c r="DRM86" s="0"/>
      <c r="DRN86" s="0"/>
      <c r="DRO86" s="0"/>
      <c r="DRP86" s="0"/>
      <c r="DRQ86" s="0"/>
      <c r="DRR86" s="0"/>
      <c r="DRS86" s="0"/>
      <c r="DRT86" s="0"/>
      <c r="DRU86" s="0"/>
      <c r="DRV86" s="0"/>
      <c r="DRW86" s="0"/>
      <c r="DRX86" s="0"/>
      <c r="DRY86" s="0"/>
      <c r="DRZ86" s="0"/>
      <c r="DSA86" s="0"/>
      <c r="DSB86" s="0"/>
      <c r="DSC86" s="0"/>
      <c r="DSD86" s="0"/>
      <c r="DSE86" s="0"/>
      <c r="DSF86" s="0"/>
      <c r="DSG86" s="0"/>
      <c r="DSH86" s="0"/>
      <c r="DSI86" s="0"/>
      <c r="DSJ86" s="0"/>
      <c r="DSK86" s="0"/>
      <c r="DSL86" s="0"/>
      <c r="DSM86" s="0"/>
      <c r="DSN86" s="0"/>
      <c r="DSO86" s="0"/>
      <c r="DSP86" s="0"/>
      <c r="DSQ86" s="0"/>
      <c r="DSR86" s="0"/>
      <c r="DSS86" s="0"/>
      <c r="DST86" s="0"/>
      <c r="DSU86" s="0"/>
      <c r="DSV86" s="0"/>
      <c r="DSW86" s="0"/>
      <c r="DSX86" s="0"/>
      <c r="DSY86" s="0"/>
      <c r="DSZ86" s="0"/>
      <c r="DTA86" s="0"/>
      <c r="DTB86" s="0"/>
      <c r="DTC86" s="0"/>
      <c r="DTD86" s="0"/>
      <c r="DTE86" s="0"/>
      <c r="DTF86" s="0"/>
      <c r="DTG86" s="0"/>
      <c r="DTH86" s="0"/>
      <c r="DTI86" s="0"/>
      <c r="DTJ86" s="0"/>
      <c r="DTK86" s="0"/>
      <c r="DTL86" s="0"/>
      <c r="DTM86" s="0"/>
      <c r="DTN86" s="0"/>
      <c r="DTO86" s="0"/>
      <c r="DTP86" s="0"/>
      <c r="DTQ86" s="0"/>
      <c r="DTR86" s="0"/>
      <c r="DTS86" s="0"/>
      <c r="DTT86" s="0"/>
      <c r="DTU86" s="0"/>
      <c r="DTV86" s="0"/>
      <c r="DTW86" s="0"/>
      <c r="DTX86" s="0"/>
      <c r="DTY86" s="0"/>
      <c r="DTZ86" s="0"/>
      <c r="DUA86" s="0"/>
      <c r="DUB86" s="0"/>
      <c r="DUC86" s="0"/>
      <c r="DUD86" s="0"/>
      <c r="DUE86" s="0"/>
      <c r="DUF86" s="0"/>
      <c r="DUG86" s="0"/>
      <c r="DUH86" s="0"/>
      <c r="DUI86" s="0"/>
      <c r="DUJ86" s="0"/>
      <c r="DUK86" s="0"/>
      <c r="DUL86" s="0"/>
      <c r="DUM86" s="0"/>
      <c r="DUN86" s="0"/>
      <c r="DUO86" s="0"/>
      <c r="DUP86" s="0"/>
      <c r="DUQ86" s="0"/>
      <c r="DUR86" s="0"/>
      <c r="DUS86" s="0"/>
      <c r="DUT86" s="0"/>
      <c r="DUU86" s="0"/>
      <c r="DUV86" s="0"/>
      <c r="DUW86" s="0"/>
      <c r="DUX86" s="0"/>
      <c r="DUY86" s="0"/>
      <c r="DUZ86" s="0"/>
      <c r="DVA86" s="0"/>
      <c r="DVB86" s="0"/>
      <c r="DVC86" s="0"/>
      <c r="DVD86" s="0"/>
      <c r="DVE86" s="0"/>
      <c r="DVF86" s="0"/>
      <c r="DVG86" s="0"/>
      <c r="DVH86" s="0"/>
      <c r="DVI86" s="0"/>
      <c r="DVJ86" s="0"/>
      <c r="DVK86" s="0"/>
      <c r="DVL86" s="0"/>
      <c r="DVM86" s="0"/>
      <c r="DVN86" s="0"/>
      <c r="DVO86" s="0"/>
      <c r="DVP86" s="0"/>
      <c r="DVQ86" s="0"/>
      <c r="DVR86" s="0"/>
      <c r="DVS86" s="0"/>
      <c r="DVT86" s="0"/>
      <c r="DVU86" s="0"/>
      <c r="DVV86" s="0"/>
      <c r="DVW86" s="0"/>
      <c r="DVX86" s="0"/>
      <c r="DVY86" s="0"/>
      <c r="DVZ86" s="0"/>
      <c r="DWA86" s="0"/>
      <c r="DWB86" s="0"/>
      <c r="DWC86" s="0"/>
      <c r="DWD86" s="0"/>
      <c r="DWE86" s="0"/>
      <c r="DWF86" s="0"/>
      <c r="DWG86" s="0"/>
      <c r="DWH86" s="0"/>
      <c r="DWI86" s="0"/>
      <c r="DWJ86" s="0"/>
      <c r="DWK86" s="0"/>
      <c r="DWL86" s="0"/>
      <c r="DWM86" s="0"/>
      <c r="DWN86" s="0"/>
      <c r="DWO86" s="0"/>
      <c r="DWP86" s="0"/>
      <c r="DWQ86" s="0"/>
      <c r="DWR86" s="0"/>
      <c r="DWS86" s="0"/>
      <c r="DWT86" s="0"/>
      <c r="DWU86" s="0"/>
      <c r="DWV86" s="0"/>
      <c r="DWW86" s="0"/>
      <c r="DWX86" s="0"/>
      <c r="DWY86" s="0"/>
      <c r="DWZ86" s="0"/>
      <c r="DXA86" s="0"/>
      <c r="DXB86" s="0"/>
      <c r="DXC86" s="0"/>
      <c r="DXD86" s="0"/>
      <c r="DXE86" s="0"/>
      <c r="DXF86" s="0"/>
      <c r="DXG86" s="0"/>
      <c r="DXH86" s="0"/>
      <c r="DXI86" s="0"/>
      <c r="DXJ86" s="0"/>
      <c r="DXK86" s="0"/>
      <c r="DXL86" s="0"/>
      <c r="DXM86" s="0"/>
      <c r="DXN86" s="0"/>
      <c r="DXO86" s="0"/>
      <c r="DXP86" s="0"/>
      <c r="DXQ86" s="0"/>
      <c r="DXR86" s="0"/>
      <c r="DXS86" s="0"/>
      <c r="DXT86" s="0"/>
      <c r="DXU86" s="0"/>
      <c r="DXV86" s="0"/>
      <c r="DXW86" s="0"/>
      <c r="DXX86" s="0"/>
      <c r="DXY86" s="0"/>
      <c r="DXZ86" s="0"/>
      <c r="DYA86" s="0"/>
      <c r="DYB86" s="0"/>
      <c r="DYC86" s="0"/>
      <c r="DYD86" s="0"/>
      <c r="DYE86" s="0"/>
      <c r="DYF86" s="0"/>
      <c r="DYG86" s="0"/>
      <c r="DYH86" s="0"/>
      <c r="DYI86" s="0"/>
      <c r="DYJ86" s="0"/>
      <c r="DYK86" s="0"/>
      <c r="DYL86" s="0"/>
      <c r="DYM86" s="0"/>
      <c r="DYN86" s="0"/>
      <c r="DYO86" s="0"/>
      <c r="DYP86" s="0"/>
      <c r="DYQ86" s="0"/>
      <c r="DYR86" s="0"/>
      <c r="DYS86" s="0"/>
      <c r="DYT86" s="0"/>
      <c r="DYU86" s="0"/>
      <c r="DYV86" s="0"/>
      <c r="DYW86" s="0"/>
      <c r="DYX86" s="0"/>
      <c r="DYY86" s="0"/>
      <c r="DYZ86" s="0"/>
      <c r="DZA86" s="0"/>
      <c r="DZB86" s="0"/>
      <c r="DZC86" s="0"/>
      <c r="DZD86" s="0"/>
      <c r="DZE86" s="0"/>
      <c r="DZF86" s="0"/>
      <c r="DZG86" s="0"/>
      <c r="DZH86" s="0"/>
      <c r="DZI86" s="0"/>
      <c r="DZJ86" s="0"/>
      <c r="DZK86" s="0"/>
      <c r="DZL86" s="0"/>
      <c r="DZM86" s="0"/>
      <c r="DZN86" s="0"/>
      <c r="DZO86" s="0"/>
      <c r="DZP86" s="0"/>
      <c r="DZQ86" s="0"/>
      <c r="DZR86" s="0"/>
      <c r="DZS86" s="0"/>
      <c r="DZT86" s="0"/>
      <c r="DZU86" s="0"/>
      <c r="DZV86" s="0"/>
      <c r="DZW86" s="0"/>
      <c r="DZX86" s="0"/>
      <c r="DZY86" s="0"/>
      <c r="DZZ86" s="0"/>
      <c r="EAA86" s="0"/>
      <c r="EAB86" s="0"/>
      <c r="EAC86" s="0"/>
      <c r="EAD86" s="0"/>
      <c r="EAE86" s="0"/>
      <c r="EAF86" s="0"/>
      <c r="EAG86" s="0"/>
      <c r="EAH86" s="0"/>
      <c r="EAI86" s="0"/>
      <c r="EAJ86" s="0"/>
      <c r="EAK86" s="0"/>
      <c r="EAL86" s="0"/>
      <c r="EAM86" s="0"/>
      <c r="EAN86" s="0"/>
      <c r="EAO86" s="0"/>
      <c r="EAP86" s="0"/>
      <c r="EAQ86" s="0"/>
      <c r="EAR86" s="0"/>
      <c r="EAS86" s="0"/>
      <c r="EAT86" s="0"/>
      <c r="EAU86" s="0"/>
      <c r="EAV86" s="0"/>
      <c r="EAW86" s="0"/>
      <c r="EAX86" s="0"/>
      <c r="EAY86" s="0"/>
      <c r="EAZ86" s="0"/>
      <c r="EBA86" s="0"/>
      <c r="EBB86" s="0"/>
      <c r="EBC86" s="0"/>
      <c r="EBD86" s="0"/>
      <c r="EBE86" s="0"/>
      <c r="EBF86" s="0"/>
      <c r="EBG86" s="0"/>
      <c r="EBH86" s="0"/>
      <c r="EBI86" s="0"/>
      <c r="EBJ86" s="0"/>
      <c r="EBK86" s="0"/>
      <c r="EBL86" s="0"/>
      <c r="EBM86" s="0"/>
      <c r="EBN86" s="0"/>
      <c r="EBO86" s="0"/>
      <c r="EBP86" s="0"/>
      <c r="EBQ86" s="0"/>
      <c r="EBR86" s="0"/>
      <c r="EBS86" s="0"/>
      <c r="EBT86" s="0"/>
      <c r="EBU86" s="0"/>
      <c r="EBV86" s="0"/>
      <c r="EBW86" s="0"/>
      <c r="EBX86" s="0"/>
      <c r="EBY86" s="0"/>
      <c r="EBZ86" s="0"/>
      <c r="ECA86" s="0"/>
      <c r="ECB86" s="0"/>
      <c r="ECC86" s="0"/>
      <c r="ECD86" s="0"/>
      <c r="ECE86" s="0"/>
      <c r="ECF86" s="0"/>
      <c r="ECG86" s="0"/>
      <c r="ECH86" s="0"/>
      <c r="ECI86" s="0"/>
      <c r="ECJ86" s="0"/>
      <c r="ECK86" s="0"/>
      <c r="ECL86" s="0"/>
      <c r="ECM86" s="0"/>
      <c r="ECN86" s="0"/>
      <c r="ECO86" s="0"/>
      <c r="ECP86" s="0"/>
      <c r="ECQ86" s="0"/>
      <c r="ECR86" s="0"/>
      <c r="ECS86" s="0"/>
      <c r="ECT86" s="0"/>
      <c r="ECU86" s="0"/>
      <c r="ECV86" s="0"/>
      <c r="ECW86" s="0"/>
      <c r="ECX86" s="0"/>
      <c r="ECY86" s="0"/>
      <c r="ECZ86" s="0"/>
      <c r="EDA86" s="0"/>
      <c r="EDB86" s="0"/>
      <c r="EDC86" s="0"/>
      <c r="EDD86" s="0"/>
      <c r="EDE86" s="0"/>
      <c r="EDF86" s="0"/>
      <c r="EDG86" s="0"/>
      <c r="EDH86" s="0"/>
      <c r="EDI86" s="0"/>
      <c r="EDJ86" s="0"/>
      <c r="EDK86" s="0"/>
      <c r="EDL86" s="0"/>
      <c r="EDM86" s="0"/>
      <c r="EDN86" s="0"/>
      <c r="EDO86" s="0"/>
      <c r="EDP86" s="0"/>
      <c r="EDQ86" s="0"/>
      <c r="EDR86" s="0"/>
      <c r="EDS86" s="0"/>
      <c r="EDT86" s="0"/>
      <c r="EDU86" s="0"/>
      <c r="EDV86" s="0"/>
      <c r="EDW86" s="0"/>
      <c r="EDX86" s="0"/>
      <c r="EDY86" s="0"/>
      <c r="EDZ86" s="0"/>
      <c r="EEA86" s="0"/>
      <c r="EEB86" s="0"/>
      <c r="EEC86" s="0"/>
      <c r="EED86" s="0"/>
      <c r="EEE86" s="0"/>
      <c r="EEF86" s="0"/>
      <c r="EEG86" s="0"/>
      <c r="EEH86" s="0"/>
      <c r="EEI86" s="0"/>
      <c r="EEJ86" s="0"/>
      <c r="EEK86" s="0"/>
      <c r="EEL86" s="0"/>
      <c r="EEM86" s="0"/>
      <c r="EEN86" s="0"/>
      <c r="EEO86" s="0"/>
      <c r="EEP86" s="0"/>
      <c r="EEQ86" s="0"/>
      <c r="EER86" s="0"/>
      <c r="EES86" s="0"/>
      <c r="EET86" s="0"/>
      <c r="EEU86" s="0"/>
      <c r="EEV86" s="0"/>
      <c r="EEW86" s="0"/>
      <c r="EEX86" s="0"/>
      <c r="EEY86" s="0"/>
      <c r="EEZ86" s="0"/>
      <c r="EFA86" s="0"/>
      <c r="EFB86" s="0"/>
      <c r="EFC86" s="0"/>
      <c r="EFD86" s="0"/>
      <c r="EFE86" s="0"/>
      <c r="EFF86" s="0"/>
      <c r="EFG86" s="0"/>
      <c r="EFH86" s="0"/>
      <c r="EFI86" s="0"/>
      <c r="EFJ86" s="0"/>
      <c r="EFK86" s="0"/>
      <c r="EFL86" s="0"/>
      <c r="EFM86" s="0"/>
      <c r="EFN86" s="0"/>
      <c r="EFO86" s="0"/>
      <c r="EFP86" s="0"/>
      <c r="EFQ86" s="0"/>
      <c r="EFR86" s="0"/>
      <c r="EFS86" s="0"/>
      <c r="EFT86" s="0"/>
      <c r="EFU86" s="0"/>
      <c r="EFV86" s="0"/>
      <c r="EFW86" s="0"/>
      <c r="EFX86" s="0"/>
      <c r="EFY86" s="0"/>
      <c r="EFZ86" s="0"/>
      <c r="EGA86" s="0"/>
      <c r="EGB86" s="0"/>
      <c r="EGC86" s="0"/>
      <c r="EGD86" s="0"/>
      <c r="EGE86" s="0"/>
      <c r="EGF86" s="0"/>
      <c r="EGG86" s="0"/>
      <c r="EGH86" s="0"/>
      <c r="EGI86" s="0"/>
      <c r="EGJ86" s="0"/>
      <c r="EGK86" s="0"/>
      <c r="EGL86" s="0"/>
      <c r="EGM86" s="0"/>
      <c r="EGN86" s="0"/>
      <c r="EGO86" s="0"/>
      <c r="EGP86" s="0"/>
      <c r="EGQ86" s="0"/>
      <c r="EGR86" s="0"/>
      <c r="EGS86" s="0"/>
      <c r="EGT86" s="0"/>
      <c r="EGU86" s="0"/>
      <c r="EGV86" s="0"/>
      <c r="EGW86" s="0"/>
      <c r="EGX86" s="0"/>
      <c r="EGY86" s="0"/>
      <c r="EGZ86" s="0"/>
      <c r="EHA86" s="0"/>
      <c r="EHB86" s="0"/>
      <c r="EHC86" s="0"/>
      <c r="EHD86" s="0"/>
      <c r="EHE86" s="0"/>
      <c r="EHF86" s="0"/>
      <c r="EHG86" s="0"/>
      <c r="EHH86" s="0"/>
      <c r="EHI86" s="0"/>
      <c r="EHJ86" s="0"/>
      <c r="EHK86" s="0"/>
      <c r="EHL86" s="0"/>
      <c r="EHM86" s="0"/>
      <c r="EHN86" s="0"/>
      <c r="EHO86" s="0"/>
      <c r="EHP86" s="0"/>
      <c r="EHQ86" s="0"/>
      <c r="EHR86" s="0"/>
      <c r="EHS86" s="0"/>
      <c r="EHT86" s="0"/>
      <c r="EHU86" s="0"/>
      <c r="EHV86" s="0"/>
      <c r="EHW86" s="0"/>
      <c r="EHX86" s="0"/>
      <c r="EHY86" s="0"/>
      <c r="EHZ86" s="0"/>
      <c r="EIA86" s="0"/>
      <c r="EIB86" s="0"/>
      <c r="EIC86" s="0"/>
      <c r="EID86" s="0"/>
      <c r="EIE86" s="0"/>
      <c r="EIF86" s="0"/>
      <c r="EIG86" s="0"/>
      <c r="EIH86" s="0"/>
      <c r="EII86" s="0"/>
      <c r="EIJ86" s="0"/>
      <c r="EIK86" s="0"/>
      <c r="EIL86" s="0"/>
      <c r="EIM86" s="0"/>
      <c r="EIN86" s="0"/>
      <c r="EIO86" s="0"/>
      <c r="EIP86" s="0"/>
      <c r="EIQ86" s="0"/>
      <c r="EIR86" s="0"/>
      <c r="EIS86" s="0"/>
      <c r="EIT86" s="0"/>
      <c r="EIU86" s="0"/>
      <c r="EIV86" s="0"/>
      <c r="EIW86" s="0"/>
      <c r="EIX86" s="0"/>
      <c r="EIY86" s="0"/>
      <c r="EIZ86" s="0"/>
      <c r="EJA86" s="0"/>
      <c r="EJB86" s="0"/>
      <c r="EJC86" s="0"/>
      <c r="EJD86" s="0"/>
      <c r="EJE86" s="0"/>
      <c r="EJF86" s="0"/>
      <c r="EJG86" s="0"/>
      <c r="EJH86" s="0"/>
      <c r="EJI86" s="0"/>
      <c r="EJJ86" s="0"/>
      <c r="EJK86" s="0"/>
      <c r="EJL86" s="0"/>
      <c r="EJM86" s="0"/>
      <c r="EJN86" s="0"/>
      <c r="EJO86" s="0"/>
      <c r="EJP86" s="0"/>
      <c r="EJQ86" s="0"/>
      <c r="EJR86" s="0"/>
      <c r="EJS86" s="0"/>
      <c r="EJT86" s="0"/>
      <c r="EJU86" s="0"/>
      <c r="EJV86" s="0"/>
      <c r="EJW86" s="0"/>
      <c r="EJX86" s="0"/>
      <c r="EJY86" s="0"/>
      <c r="EJZ86" s="0"/>
      <c r="EKA86" s="0"/>
      <c r="EKB86" s="0"/>
      <c r="EKC86" s="0"/>
      <c r="EKD86" s="0"/>
      <c r="EKE86" s="0"/>
      <c r="EKF86" s="0"/>
      <c r="EKG86" s="0"/>
      <c r="EKH86" s="0"/>
      <c r="EKI86" s="0"/>
      <c r="EKJ86" s="0"/>
      <c r="EKK86" s="0"/>
      <c r="EKL86" s="0"/>
      <c r="EKM86" s="0"/>
      <c r="EKN86" s="0"/>
      <c r="EKO86" s="0"/>
      <c r="EKP86" s="0"/>
      <c r="EKQ86" s="0"/>
      <c r="EKR86" s="0"/>
      <c r="EKS86" s="0"/>
      <c r="EKT86" s="0"/>
      <c r="EKU86" s="0"/>
      <c r="EKV86" s="0"/>
      <c r="EKW86" s="0"/>
      <c r="EKX86" s="0"/>
      <c r="EKY86" s="0"/>
      <c r="EKZ86" s="0"/>
      <c r="ELA86" s="0"/>
      <c r="ELB86" s="0"/>
      <c r="ELC86" s="0"/>
      <c r="ELD86" s="0"/>
      <c r="ELE86" s="0"/>
      <c r="ELF86" s="0"/>
      <c r="ELG86" s="0"/>
      <c r="ELH86" s="0"/>
      <c r="ELI86" s="0"/>
      <c r="ELJ86" s="0"/>
      <c r="ELK86" s="0"/>
      <c r="ELL86" s="0"/>
      <c r="ELM86" s="0"/>
      <c r="ELN86" s="0"/>
      <c r="ELO86" s="0"/>
      <c r="ELP86" s="0"/>
      <c r="ELQ86" s="0"/>
      <c r="ELR86" s="0"/>
      <c r="ELS86" s="0"/>
      <c r="ELT86" s="0"/>
      <c r="ELU86" s="0"/>
      <c r="ELV86" s="0"/>
      <c r="ELW86" s="0"/>
      <c r="ELX86" s="0"/>
      <c r="ELY86" s="0"/>
      <c r="ELZ86" s="0"/>
      <c r="EMA86" s="0"/>
      <c r="EMB86" s="0"/>
      <c r="EMC86" s="0"/>
      <c r="EMD86" s="0"/>
      <c r="EME86" s="0"/>
      <c r="EMF86" s="0"/>
      <c r="EMG86" s="0"/>
      <c r="EMH86" s="0"/>
      <c r="EMI86" s="0"/>
      <c r="EMJ86" s="0"/>
      <c r="EMK86" s="0"/>
      <c r="EML86" s="0"/>
      <c r="EMM86" s="0"/>
      <c r="EMN86" s="0"/>
      <c r="EMO86" s="0"/>
      <c r="EMP86" s="0"/>
      <c r="EMQ86" s="0"/>
      <c r="EMR86" s="0"/>
      <c r="EMS86" s="0"/>
      <c r="EMT86" s="0"/>
      <c r="EMU86" s="0"/>
      <c r="EMV86" s="0"/>
      <c r="EMW86" s="0"/>
      <c r="EMX86" s="0"/>
      <c r="EMY86" s="0"/>
      <c r="EMZ86" s="0"/>
      <c r="ENA86" s="0"/>
      <c r="ENB86" s="0"/>
      <c r="ENC86" s="0"/>
      <c r="END86" s="0"/>
      <c r="ENE86" s="0"/>
      <c r="ENF86" s="0"/>
      <c r="ENG86" s="0"/>
      <c r="ENH86" s="0"/>
      <c r="ENI86" s="0"/>
      <c r="ENJ86" s="0"/>
      <c r="ENK86" s="0"/>
      <c r="ENL86" s="0"/>
      <c r="ENM86" s="0"/>
      <c r="ENN86" s="0"/>
      <c r="ENO86" s="0"/>
      <c r="ENP86" s="0"/>
      <c r="ENQ86" s="0"/>
      <c r="ENR86" s="0"/>
      <c r="ENS86" s="0"/>
      <c r="ENT86" s="0"/>
      <c r="ENU86" s="0"/>
      <c r="ENV86" s="0"/>
      <c r="ENW86" s="0"/>
      <c r="ENX86" s="0"/>
      <c r="ENY86" s="0"/>
      <c r="ENZ86" s="0"/>
      <c r="EOA86" s="0"/>
      <c r="EOB86" s="0"/>
      <c r="EOC86" s="0"/>
      <c r="EOD86" s="0"/>
      <c r="EOE86" s="0"/>
      <c r="EOF86" s="0"/>
      <c r="EOG86" s="0"/>
      <c r="EOH86" s="0"/>
      <c r="EOI86" s="0"/>
      <c r="EOJ86" s="0"/>
      <c r="EOK86" s="0"/>
      <c r="EOL86" s="0"/>
      <c r="EOM86" s="0"/>
      <c r="EON86" s="0"/>
      <c r="EOO86" s="0"/>
      <c r="EOP86" s="0"/>
      <c r="EOQ86" s="0"/>
      <c r="EOR86" s="0"/>
      <c r="EOS86" s="0"/>
      <c r="EOT86" s="0"/>
      <c r="EOU86" s="0"/>
      <c r="EOV86" s="0"/>
      <c r="EOW86" s="0"/>
      <c r="EOX86" s="0"/>
      <c r="EOY86" s="0"/>
      <c r="EOZ86" s="0"/>
      <c r="EPA86" s="0"/>
      <c r="EPB86" s="0"/>
      <c r="EPC86" s="0"/>
      <c r="EPD86" s="0"/>
      <c r="EPE86" s="0"/>
      <c r="EPF86" s="0"/>
      <c r="EPG86" s="0"/>
      <c r="EPH86" s="0"/>
      <c r="EPI86" s="0"/>
      <c r="EPJ86" s="0"/>
      <c r="EPK86" s="0"/>
      <c r="EPL86" s="0"/>
      <c r="EPM86" s="0"/>
      <c r="EPN86" s="0"/>
      <c r="EPO86" s="0"/>
      <c r="EPP86" s="0"/>
      <c r="EPQ86" s="0"/>
      <c r="EPR86" s="0"/>
      <c r="EPS86" s="0"/>
      <c r="EPT86" s="0"/>
      <c r="EPU86" s="0"/>
      <c r="EPV86" s="0"/>
      <c r="EPW86" s="0"/>
      <c r="EPX86" s="0"/>
      <c r="EPY86" s="0"/>
      <c r="EPZ86" s="0"/>
      <c r="EQA86" s="0"/>
      <c r="EQB86" s="0"/>
      <c r="EQC86" s="0"/>
      <c r="EQD86" s="0"/>
      <c r="EQE86" s="0"/>
      <c r="EQF86" s="0"/>
      <c r="EQG86" s="0"/>
      <c r="EQH86" s="0"/>
      <c r="EQI86" s="0"/>
      <c r="EQJ86" s="0"/>
      <c r="EQK86" s="0"/>
      <c r="EQL86" s="0"/>
      <c r="EQM86" s="0"/>
      <c r="EQN86" s="0"/>
      <c r="EQO86" s="0"/>
      <c r="EQP86" s="0"/>
      <c r="EQQ86" s="0"/>
      <c r="EQR86" s="0"/>
      <c r="EQS86" s="0"/>
      <c r="EQT86" s="0"/>
      <c r="EQU86" s="0"/>
      <c r="EQV86" s="0"/>
      <c r="EQW86" s="0"/>
      <c r="EQX86" s="0"/>
      <c r="EQY86" s="0"/>
      <c r="EQZ86" s="0"/>
      <c r="ERA86" s="0"/>
      <c r="ERB86" s="0"/>
      <c r="ERC86" s="0"/>
      <c r="ERD86" s="0"/>
      <c r="ERE86" s="0"/>
      <c r="ERF86" s="0"/>
      <c r="ERG86" s="0"/>
      <c r="ERH86" s="0"/>
      <c r="ERI86" s="0"/>
      <c r="ERJ86" s="0"/>
      <c r="ERK86" s="0"/>
      <c r="ERL86" s="0"/>
      <c r="ERM86" s="0"/>
      <c r="ERN86" s="0"/>
      <c r="ERO86" s="0"/>
      <c r="ERP86" s="0"/>
      <c r="ERQ86" s="0"/>
      <c r="ERR86" s="0"/>
      <c r="ERS86" s="0"/>
      <c r="ERT86" s="0"/>
      <c r="ERU86" s="0"/>
      <c r="ERV86" s="0"/>
      <c r="ERW86" s="0"/>
      <c r="ERX86" s="0"/>
      <c r="ERY86" s="0"/>
      <c r="ERZ86" s="0"/>
      <c r="ESA86" s="0"/>
      <c r="ESB86" s="0"/>
      <c r="ESC86" s="0"/>
      <c r="ESD86" s="0"/>
      <c r="ESE86" s="0"/>
      <c r="ESF86" s="0"/>
      <c r="ESG86" s="0"/>
      <c r="ESH86" s="0"/>
      <c r="ESI86" s="0"/>
      <c r="ESJ86" s="0"/>
      <c r="ESK86" s="0"/>
      <c r="ESL86" s="0"/>
      <c r="ESM86" s="0"/>
      <c r="ESN86" s="0"/>
      <c r="ESO86" s="0"/>
      <c r="ESP86" s="0"/>
      <c r="ESQ86" s="0"/>
      <c r="ESR86" s="0"/>
      <c r="ESS86" s="0"/>
      <c r="EST86" s="0"/>
      <c r="ESU86" s="0"/>
      <c r="ESV86" s="0"/>
      <c r="ESW86" s="0"/>
      <c r="ESX86" s="0"/>
      <c r="ESY86" s="0"/>
      <c r="ESZ86" s="0"/>
      <c r="ETA86" s="0"/>
      <c r="ETB86" s="0"/>
      <c r="ETC86" s="0"/>
      <c r="ETD86" s="0"/>
      <c r="ETE86" s="0"/>
      <c r="ETF86" s="0"/>
      <c r="ETG86" s="0"/>
      <c r="ETH86" s="0"/>
      <c r="ETI86" s="0"/>
      <c r="ETJ86" s="0"/>
      <c r="ETK86" s="0"/>
      <c r="ETL86" s="0"/>
      <c r="ETM86" s="0"/>
      <c r="ETN86" s="0"/>
      <c r="ETO86" s="0"/>
      <c r="ETP86" s="0"/>
      <c r="ETQ86" s="0"/>
      <c r="ETR86" s="0"/>
      <c r="ETS86" s="0"/>
      <c r="ETT86" s="0"/>
      <c r="ETU86" s="0"/>
      <c r="ETV86" s="0"/>
      <c r="ETW86" s="0"/>
      <c r="ETX86" s="0"/>
      <c r="ETY86" s="0"/>
      <c r="ETZ86" s="0"/>
      <c r="EUA86" s="0"/>
      <c r="EUB86" s="0"/>
      <c r="EUC86" s="0"/>
      <c r="EUD86" s="0"/>
      <c r="EUE86" s="0"/>
      <c r="EUF86" s="0"/>
      <c r="EUG86" s="0"/>
      <c r="EUH86" s="0"/>
      <c r="EUI86" s="0"/>
      <c r="EUJ86" s="0"/>
      <c r="EUK86" s="0"/>
      <c r="EUL86" s="0"/>
      <c r="EUM86" s="0"/>
      <c r="EUN86" s="0"/>
      <c r="EUO86" s="0"/>
      <c r="EUP86" s="0"/>
      <c r="EUQ86" s="0"/>
      <c r="EUR86" s="0"/>
      <c r="EUS86" s="0"/>
      <c r="EUT86" s="0"/>
      <c r="EUU86" s="0"/>
      <c r="EUV86" s="0"/>
      <c r="EUW86" s="0"/>
      <c r="EUX86" s="0"/>
      <c r="EUY86" s="0"/>
      <c r="EUZ86" s="0"/>
      <c r="EVA86" s="0"/>
      <c r="EVB86" s="0"/>
      <c r="EVC86" s="0"/>
      <c r="EVD86" s="0"/>
      <c r="EVE86" s="0"/>
      <c r="EVF86" s="0"/>
      <c r="EVG86" s="0"/>
      <c r="EVH86" s="0"/>
      <c r="EVI86" s="0"/>
      <c r="EVJ86" s="0"/>
      <c r="EVK86" s="0"/>
      <c r="EVL86" s="0"/>
      <c r="EVM86" s="0"/>
      <c r="EVN86" s="0"/>
      <c r="EVO86" s="0"/>
      <c r="EVP86" s="0"/>
      <c r="EVQ86" s="0"/>
      <c r="EVR86" s="0"/>
      <c r="EVS86" s="0"/>
      <c r="EVT86" s="0"/>
      <c r="EVU86" s="0"/>
      <c r="EVV86" s="0"/>
      <c r="EVW86" s="0"/>
      <c r="EVX86" s="0"/>
      <c r="EVY86" s="0"/>
      <c r="EVZ86" s="0"/>
      <c r="EWA86" s="0"/>
      <c r="EWB86" s="0"/>
      <c r="EWC86" s="0"/>
      <c r="EWD86" s="0"/>
      <c r="EWE86" s="0"/>
      <c r="EWF86" s="0"/>
      <c r="EWG86" s="0"/>
      <c r="EWH86" s="0"/>
      <c r="EWI86" s="0"/>
      <c r="EWJ86" s="0"/>
      <c r="EWK86" s="0"/>
      <c r="EWL86" s="0"/>
      <c r="EWM86" s="0"/>
      <c r="EWN86" s="0"/>
      <c r="EWO86" s="0"/>
      <c r="EWP86" s="0"/>
      <c r="EWQ86" s="0"/>
      <c r="EWR86" s="0"/>
      <c r="EWS86" s="0"/>
      <c r="EWT86" s="0"/>
      <c r="EWU86" s="0"/>
      <c r="EWV86" s="0"/>
      <c r="EWW86" s="0"/>
      <c r="EWX86" s="0"/>
      <c r="EWY86" s="0"/>
      <c r="EWZ86" s="0"/>
      <c r="EXA86" s="0"/>
      <c r="EXB86" s="0"/>
      <c r="EXC86" s="0"/>
      <c r="EXD86" s="0"/>
      <c r="EXE86" s="0"/>
      <c r="EXF86" s="0"/>
      <c r="EXG86" s="0"/>
      <c r="EXH86" s="0"/>
      <c r="EXI86" s="0"/>
      <c r="EXJ86" s="0"/>
      <c r="EXK86" s="0"/>
      <c r="EXL86" s="0"/>
      <c r="EXM86" s="0"/>
      <c r="EXN86" s="0"/>
      <c r="EXO86" s="0"/>
      <c r="EXP86" s="0"/>
      <c r="EXQ86" s="0"/>
      <c r="EXR86" s="0"/>
      <c r="EXS86" s="0"/>
      <c r="EXT86" s="0"/>
      <c r="EXU86" s="0"/>
      <c r="EXV86" s="0"/>
      <c r="EXW86" s="0"/>
      <c r="EXX86" s="0"/>
      <c r="EXY86" s="0"/>
      <c r="EXZ86" s="0"/>
      <c r="EYA86" s="0"/>
      <c r="EYB86" s="0"/>
      <c r="EYC86" s="0"/>
      <c r="EYD86" s="0"/>
      <c r="EYE86" s="0"/>
      <c r="EYF86" s="0"/>
      <c r="EYG86" s="0"/>
      <c r="EYH86" s="0"/>
      <c r="EYI86" s="0"/>
      <c r="EYJ86" s="0"/>
      <c r="EYK86" s="0"/>
      <c r="EYL86" s="0"/>
      <c r="EYM86" s="0"/>
      <c r="EYN86" s="0"/>
      <c r="EYO86" s="0"/>
      <c r="EYP86" s="0"/>
      <c r="EYQ86" s="0"/>
      <c r="EYR86" s="0"/>
      <c r="EYS86" s="0"/>
      <c r="EYT86" s="0"/>
      <c r="EYU86" s="0"/>
      <c r="EYV86" s="0"/>
      <c r="EYW86" s="0"/>
      <c r="EYX86" s="0"/>
      <c r="EYY86" s="0"/>
      <c r="EYZ86" s="0"/>
      <c r="EZA86" s="0"/>
      <c r="EZB86" s="0"/>
      <c r="EZC86" s="0"/>
      <c r="EZD86" s="0"/>
      <c r="EZE86" s="0"/>
      <c r="EZF86" s="0"/>
      <c r="EZG86" s="0"/>
      <c r="EZH86" s="0"/>
      <c r="EZI86" s="0"/>
      <c r="EZJ86" s="0"/>
      <c r="EZK86" s="0"/>
      <c r="EZL86" s="0"/>
      <c r="EZM86" s="0"/>
      <c r="EZN86" s="0"/>
      <c r="EZO86" s="0"/>
      <c r="EZP86" s="0"/>
      <c r="EZQ86" s="0"/>
      <c r="EZR86" s="0"/>
      <c r="EZS86" s="0"/>
      <c r="EZT86" s="0"/>
      <c r="EZU86" s="0"/>
      <c r="EZV86" s="0"/>
      <c r="EZW86" s="0"/>
      <c r="EZX86" s="0"/>
      <c r="EZY86" s="0"/>
      <c r="EZZ86" s="0"/>
      <c r="FAA86" s="0"/>
      <c r="FAB86" s="0"/>
      <c r="FAC86" s="0"/>
      <c r="FAD86" s="0"/>
      <c r="FAE86" s="0"/>
      <c r="FAF86" s="0"/>
      <c r="FAG86" s="0"/>
      <c r="FAH86" s="0"/>
      <c r="FAI86" s="0"/>
      <c r="FAJ86" s="0"/>
      <c r="FAK86" s="0"/>
      <c r="FAL86" s="0"/>
      <c r="FAM86" s="0"/>
      <c r="FAN86" s="0"/>
      <c r="FAO86" s="0"/>
      <c r="FAP86" s="0"/>
      <c r="FAQ86" s="0"/>
      <c r="FAR86" s="0"/>
      <c r="FAS86" s="0"/>
      <c r="FAT86" s="0"/>
      <c r="FAU86" s="0"/>
      <c r="FAV86" s="0"/>
      <c r="FAW86" s="0"/>
      <c r="FAX86" s="0"/>
      <c r="FAY86" s="0"/>
      <c r="FAZ86" s="0"/>
      <c r="FBA86" s="0"/>
      <c r="FBB86" s="0"/>
      <c r="FBC86" s="0"/>
      <c r="FBD86" s="0"/>
      <c r="FBE86" s="0"/>
      <c r="FBF86" s="0"/>
      <c r="FBG86" s="0"/>
      <c r="FBH86" s="0"/>
      <c r="FBI86" s="0"/>
      <c r="FBJ86" s="0"/>
      <c r="FBK86" s="0"/>
      <c r="FBL86" s="0"/>
      <c r="FBM86" s="0"/>
      <c r="FBN86" s="0"/>
      <c r="FBO86" s="0"/>
      <c r="FBP86" s="0"/>
      <c r="FBQ86" s="0"/>
      <c r="FBR86" s="0"/>
      <c r="FBS86" s="0"/>
      <c r="FBT86" s="0"/>
      <c r="FBU86" s="0"/>
      <c r="FBV86" s="0"/>
      <c r="FBW86" s="0"/>
      <c r="FBX86" s="0"/>
      <c r="FBY86" s="0"/>
      <c r="FBZ86" s="0"/>
      <c r="FCA86" s="0"/>
      <c r="FCB86" s="0"/>
      <c r="FCC86" s="0"/>
      <c r="FCD86" s="0"/>
      <c r="FCE86" s="0"/>
      <c r="FCF86" s="0"/>
      <c r="FCG86" s="0"/>
      <c r="FCH86" s="0"/>
      <c r="FCI86" s="0"/>
      <c r="FCJ86" s="0"/>
      <c r="FCK86" s="0"/>
      <c r="FCL86" s="0"/>
      <c r="FCM86" s="0"/>
      <c r="FCN86" s="0"/>
      <c r="FCO86" s="0"/>
      <c r="FCP86" s="0"/>
      <c r="FCQ86" s="0"/>
      <c r="FCR86" s="0"/>
      <c r="FCS86" s="0"/>
      <c r="FCT86" s="0"/>
      <c r="FCU86" s="0"/>
      <c r="FCV86" s="0"/>
      <c r="FCW86" s="0"/>
      <c r="FCX86" s="0"/>
      <c r="FCY86" s="0"/>
      <c r="FCZ86" s="0"/>
      <c r="FDA86" s="0"/>
      <c r="FDB86" s="0"/>
      <c r="FDC86" s="0"/>
      <c r="FDD86" s="0"/>
      <c r="FDE86" s="0"/>
      <c r="FDF86" s="0"/>
      <c r="FDG86" s="0"/>
      <c r="FDH86" s="0"/>
      <c r="FDI86" s="0"/>
      <c r="FDJ86" s="0"/>
      <c r="FDK86" s="0"/>
      <c r="FDL86" s="0"/>
      <c r="FDM86" s="0"/>
      <c r="FDN86" s="0"/>
      <c r="FDO86" s="0"/>
      <c r="FDP86" s="0"/>
      <c r="FDQ86" s="0"/>
      <c r="FDR86" s="0"/>
      <c r="FDS86" s="0"/>
      <c r="FDT86" s="0"/>
      <c r="FDU86" s="0"/>
      <c r="FDV86" s="0"/>
      <c r="FDW86" s="0"/>
      <c r="FDX86" s="0"/>
      <c r="FDY86" s="0"/>
      <c r="FDZ86" s="0"/>
      <c r="FEA86" s="0"/>
      <c r="FEB86" s="0"/>
      <c r="FEC86" s="0"/>
      <c r="FED86" s="0"/>
      <c r="FEE86" s="0"/>
      <c r="FEF86" s="0"/>
      <c r="FEG86" s="0"/>
      <c r="FEH86" s="0"/>
      <c r="FEI86" s="0"/>
      <c r="FEJ86" s="0"/>
      <c r="FEK86" s="0"/>
      <c r="FEL86" s="0"/>
      <c r="FEM86" s="0"/>
      <c r="FEN86" s="0"/>
      <c r="FEO86" s="0"/>
      <c r="FEP86" s="0"/>
      <c r="FEQ86" s="0"/>
      <c r="FER86" s="0"/>
      <c r="FES86" s="0"/>
      <c r="FET86" s="0"/>
      <c r="FEU86" s="0"/>
      <c r="FEV86" s="0"/>
      <c r="FEW86" s="0"/>
      <c r="FEX86" s="0"/>
      <c r="FEY86" s="0"/>
      <c r="FEZ86" s="0"/>
      <c r="FFA86" s="0"/>
      <c r="FFB86" s="0"/>
      <c r="FFC86" s="0"/>
      <c r="FFD86" s="0"/>
      <c r="FFE86" s="0"/>
      <c r="FFF86" s="0"/>
      <c r="FFG86" s="0"/>
      <c r="FFH86" s="0"/>
      <c r="FFI86" s="0"/>
      <c r="FFJ86" s="0"/>
      <c r="FFK86" s="0"/>
      <c r="FFL86" s="0"/>
      <c r="FFM86" s="0"/>
      <c r="FFN86" s="0"/>
      <c r="FFO86" s="0"/>
      <c r="FFP86" s="0"/>
      <c r="FFQ86" s="0"/>
      <c r="FFR86" s="0"/>
      <c r="FFS86" s="0"/>
      <c r="FFT86" s="0"/>
      <c r="FFU86" s="0"/>
      <c r="FFV86" s="0"/>
      <c r="FFW86" s="0"/>
      <c r="FFX86" s="0"/>
      <c r="FFY86" s="0"/>
      <c r="FFZ86" s="0"/>
      <c r="FGA86" s="0"/>
      <c r="FGB86" s="0"/>
      <c r="FGC86" s="0"/>
      <c r="FGD86" s="0"/>
      <c r="FGE86" s="0"/>
      <c r="FGF86" s="0"/>
      <c r="FGG86" s="0"/>
      <c r="FGH86" s="0"/>
      <c r="FGI86" s="0"/>
      <c r="FGJ86" s="0"/>
      <c r="FGK86" s="0"/>
      <c r="FGL86" s="0"/>
      <c r="FGM86" s="0"/>
      <c r="FGN86" s="0"/>
      <c r="FGO86" s="0"/>
      <c r="FGP86" s="0"/>
      <c r="FGQ86" s="0"/>
      <c r="FGR86" s="0"/>
      <c r="FGS86" s="0"/>
      <c r="FGT86" s="0"/>
      <c r="FGU86" s="0"/>
      <c r="FGV86" s="0"/>
      <c r="FGW86" s="0"/>
      <c r="FGX86" s="0"/>
      <c r="FGY86" s="0"/>
      <c r="FGZ86" s="0"/>
      <c r="FHA86" s="0"/>
      <c r="FHB86" s="0"/>
      <c r="FHC86" s="0"/>
      <c r="FHD86" s="0"/>
      <c r="FHE86" s="0"/>
      <c r="FHF86" s="0"/>
      <c r="FHG86" s="0"/>
      <c r="FHH86" s="0"/>
      <c r="FHI86" s="0"/>
      <c r="FHJ86" s="0"/>
      <c r="FHK86" s="0"/>
      <c r="FHL86" s="0"/>
      <c r="FHM86" s="0"/>
      <c r="FHN86" s="0"/>
      <c r="FHO86" s="0"/>
      <c r="FHP86" s="0"/>
      <c r="FHQ86" s="0"/>
      <c r="FHR86" s="0"/>
      <c r="FHS86" s="0"/>
      <c r="FHT86" s="0"/>
      <c r="FHU86" s="0"/>
      <c r="FHV86" s="0"/>
      <c r="FHW86" s="0"/>
      <c r="FHX86" s="0"/>
      <c r="FHY86" s="0"/>
      <c r="FHZ86" s="0"/>
      <c r="FIA86" s="0"/>
      <c r="FIB86" s="0"/>
      <c r="FIC86" s="0"/>
      <c r="FID86" s="0"/>
      <c r="FIE86" s="0"/>
      <c r="FIF86" s="0"/>
      <c r="FIG86" s="0"/>
      <c r="FIH86" s="0"/>
      <c r="FII86" s="0"/>
      <c r="FIJ86" s="0"/>
      <c r="FIK86" s="0"/>
      <c r="FIL86" s="0"/>
      <c r="FIM86" s="0"/>
      <c r="FIN86" s="0"/>
      <c r="FIO86" s="0"/>
      <c r="FIP86" s="0"/>
      <c r="FIQ86" s="0"/>
      <c r="FIR86" s="0"/>
      <c r="FIS86" s="0"/>
      <c r="FIT86" s="0"/>
      <c r="FIU86" s="0"/>
      <c r="FIV86" s="0"/>
      <c r="FIW86" s="0"/>
      <c r="FIX86" s="0"/>
      <c r="FIY86" s="0"/>
      <c r="FIZ86" s="0"/>
      <c r="FJA86" s="0"/>
      <c r="FJB86" s="0"/>
      <c r="FJC86" s="0"/>
      <c r="FJD86" s="0"/>
      <c r="FJE86" s="0"/>
      <c r="FJF86" s="0"/>
      <c r="FJG86" s="0"/>
      <c r="FJH86" s="0"/>
      <c r="FJI86" s="0"/>
      <c r="FJJ86" s="0"/>
      <c r="FJK86" s="0"/>
      <c r="FJL86" s="0"/>
      <c r="FJM86" s="0"/>
      <c r="FJN86" s="0"/>
      <c r="FJO86" s="0"/>
      <c r="FJP86" s="0"/>
      <c r="FJQ86" s="0"/>
      <c r="FJR86" s="0"/>
      <c r="FJS86" s="0"/>
      <c r="FJT86" s="0"/>
      <c r="FJU86" s="0"/>
      <c r="FJV86" s="0"/>
      <c r="FJW86" s="0"/>
      <c r="FJX86" s="0"/>
      <c r="FJY86" s="0"/>
      <c r="FJZ86" s="0"/>
      <c r="FKA86" s="0"/>
      <c r="FKB86" s="0"/>
      <c r="FKC86" s="0"/>
      <c r="FKD86" s="0"/>
      <c r="FKE86" s="0"/>
      <c r="FKF86" s="0"/>
      <c r="FKG86" s="0"/>
      <c r="FKH86" s="0"/>
      <c r="FKI86" s="0"/>
      <c r="FKJ86" s="0"/>
      <c r="FKK86" s="0"/>
      <c r="FKL86" s="0"/>
      <c r="FKM86" s="0"/>
      <c r="FKN86" s="0"/>
      <c r="FKO86" s="0"/>
      <c r="FKP86" s="0"/>
      <c r="FKQ86" s="0"/>
      <c r="FKR86" s="0"/>
      <c r="FKS86" s="0"/>
      <c r="FKT86" s="0"/>
      <c r="FKU86" s="0"/>
      <c r="FKV86" s="0"/>
      <c r="FKW86" s="0"/>
      <c r="FKX86" s="0"/>
      <c r="FKY86" s="0"/>
      <c r="FKZ86" s="0"/>
      <c r="FLA86" s="0"/>
      <c r="FLB86" s="0"/>
      <c r="FLC86" s="0"/>
      <c r="FLD86" s="0"/>
      <c r="FLE86" s="0"/>
      <c r="FLF86" s="0"/>
      <c r="FLG86" s="0"/>
      <c r="FLH86" s="0"/>
      <c r="FLI86" s="0"/>
      <c r="FLJ86" s="0"/>
      <c r="FLK86" s="0"/>
      <c r="FLL86" s="0"/>
      <c r="FLM86" s="0"/>
      <c r="FLN86" s="0"/>
      <c r="FLO86" s="0"/>
      <c r="FLP86" s="0"/>
      <c r="FLQ86" s="0"/>
      <c r="FLR86" s="0"/>
      <c r="FLS86" s="0"/>
      <c r="FLT86" s="0"/>
      <c r="FLU86" s="0"/>
      <c r="FLV86" s="0"/>
      <c r="FLW86" s="0"/>
      <c r="FLX86" s="0"/>
      <c r="FLY86" s="0"/>
      <c r="FLZ86" s="0"/>
      <c r="FMA86" s="0"/>
      <c r="FMB86" s="0"/>
      <c r="FMC86" s="0"/>
      <c r="FMD86" s="0"/>
      <c r="FME86" s="0"/>
      <c r="FMF86" s="0"/>
      <c r="FMG86" s="0"/>
      <c r="FMH86" s="0"/>
      <c r="FMI86" s="0"/>
      <c r="FMJ86" s="0"/>
      <c r="FMK86" s="0"/>
      <c r="FML86" s="0"/>
      <c r="FMM86" s="0"/>
      <c r="FMN86" s="0"/>
      <c r="FMO86" s="0"/>
      <c r="FMP86" s="0"/>
      <c r="FMQ86" s="0"/>
      <c r="FMR86" s="0"/>
      <c r="FMS86" s="0"/>
      <c r="FMT86" s="0"/>
      <c r="FMU86" s="0"/>
      <c r="FMV86" s="0"/>
      <c r="FMW86" s="0"/>
      <c r="FMX86" s="0"/>
      <c r="FMY86" s="0"/>
      <c r="FMZ86" s="0"/>
      <c r="FNA86" s="0"/>
      <c r="FNB86" s="0"/>
      <c r="FNC86" s="0"/>
      <c r="FND86" s="0"/>
      <c r="FNE86" s="0"/>
      <c r="FNF86" s="0"/>
      <c r="FNG86" s="0"/>
      <c r="FNH86" s="0"/>
      <c r="FNI86" s="0"/>
      <c r="FNJ86" s="0"/>
      <c r="FNK86" s="0"/>
      <c r="FNL86" s="0"/>
      <c r="FNM86" s="0"/>
      <c r="FNN86" s="0"/>
      <c r="FNO86" s="0"/>
      <c r="FNP86" s="0"/>
      <c r="FNQ86" s="0"/>
      <c r="FNR86" s="0"/>
      <c r="FNS86" s="0"/>
      <c r="FNT86" s="0"/>
      <c r="FNU86" s="0"/>
      <c r="FNV86" s="0"/>
      <c r="FNW86" s="0"/>
      <c r="FNX86" s="0"/>
      <c r="FNY86" s="0"/>
      <c r="FNZ86" s="0"/>
      <c r="FOA86" s="0"/>
      <c r="FOB86" s="0"/>
      <c r="FOC86" s="0"/>
      <c r="FOD86" s="0"/>
      <c r="FOE86" s="0"/>
      <c r="FOF86" s="0"/>
      <c r="FOG86" s="0"/>
      <c r="FOH86" s="0"/>
      <c r="FOI86" s="0"/>
      <c r="FOJ86" s="0"/>
      <c r="FOK86" s="0"/>
      <c r="FOL86" s="0"/>
      <c r="FOM86" s="0"/>
      <c r="FON86" s="0"/>
      <c r="FOO86" s="0"/>
      <c r="FOP86" s="0"/>
      <c r="FOQ86" s="0"/>
      <c r="FOR86" s="0"/>
      <c r="FOS86" s="0"/>
      <c r="FOT86" s="0"/>
      <c r="FOU86" s="0"/>
      <c r="FOV86" s="0"/>
      <c r="FOW86" s="0"/>
      <c r="FOX86" s="0"/>
      <c r="FOY86" s="0"/>
      <c r="FOZ86" s="0"/>
      <c r="FPA86" s="0"/>
      <c r="FPB86" s="0"/>
      <c r="FPC86" s="0"/>
      <c r="FPD86" s="0"/>
      <c r="FPE86" s="0"/>
      <c r="FPF86" s="0"/>
      <c r="FPG86" s="0"/>
      <c r="FPH86" s="0"/>
      <c r="FPI86" s="0"/>
      <c r="FPJ86" s="0"/>
      <c r="FPK86" s="0"/>
      <c r="FPL86" s="0"/>
      <c r="FPM86" s="0"/>
      <c r="FPN86" s="0"/>
      <c r="FPO86" s="0"/>
      <c r="FPP86" s="0"/>
      <c r="FPQ86" s="0"/>
      <c r="FPR86" s="0"/>
      <c r="FPS86" s="0"/>
      <c r="FPT86" s="0"/>
      <c r="FPU86" s="0"/>
      <c r="FPV86" s="0"/>
      <c r="FPW86" s="0"/>
      <c r="FPX86" s="0"/>
      <c r="FPY86" s="0"/>
      <c r="FPZ86" s="0"/>
      <c r="FQA86" s="0"/>
      <c r="FQB86" s="0"/>
      <c r="FQC86" s="0"/>
      <c r="FQD86" s="0"/>
      <c r="FQE86" s="0"/>
      <c r="FQF86" s="0"/>
      <c r="FQG86" s="0"/>
      <c r="FQH86" s="0"/>
      <c r="FQI86" s="0"/>
      <c r="FQJ86" s="0"/>
      <c r="FQK86" s="0"/>
      <c r="FQL86" s="0"/>
      <c r="FQM86" s="0"/>
      <c r="FQN86" s="0"/>
      <c r="FQO86" s="0"/>
      <c r="FQP86" s="0"/>
      <c r="FQQ86" s="0"/>
      <c r="FQR86" s="0"/>
      <c r="FQS86" s="0"/>
      <c r="FQT86" s="0"/>
      <c r="FQU86" s="0"/>
      <c r="FQV86" s="0"/>
      <c r="FQW86" s="0"/>
      <c r="FQX86" s="0"/>
      <c r="FQY86" s="0"/>
      <c r="FQZ86" s="0"/>
      <c r="FRA86" s="0"/>
      <c r="FRB86" s="0"/>
      <c r="FRC86" s="0"/>
      <c r="FRD86" s="0"/>
      <c r="FRE86" s="0"/>
      <c r="FRF86" s="0"/>
      <c r="FRG86" s="0"/>
      <c r="FRH86" s="0"/>
      <c r="FRI86" s="0"/>
      <c r="FRJ86" s="0"/>
      <c r="FRK86" s="0"/>
      <c r="FRL86" s="0"/>
      <c r="FRM86" s="0"/>
      <c r="FRN86" s="0"/>
      <c r="FRO86" s="0"/>
      <c r="FRP86" s="0"/>
      <c r="FRQ86" s="0"/>
      <c r="FRR86" s="0"/>
      <c r="FRS86" s="0"/>
      <c r="FRT86" s="0"/>
      <c r="FRU86" s="0"/>
      <c r="FRV86" s="0"/>
      <c r="FRW86" s="0"/>
      <c r="FRX86" s="0"/>
      <c r="FRY86" s="0"/>
      <c r="FRZ86" s="0"/>
      <c r="FSA86" s="0"/>
      <c r="FSB86" s="0"/>
      <c r="FSC86" s="0"/>
      <c r="FSD86" s="0"/>
      <c r="FSE86" s="0"/>
      <c r="FSF86" s="0"/>
      <c r="FSG86" s="0"/>
      <c r="FSH86" s="0"/>
      <c r="FSI86" s="0"/>
      <c r="FSJ86" s="0"/>
      <c r="FSK86" s="0"/>
      <c r="FSL86" s="0"/>
      <c r="FSM86" s="0"/>
      <c r="FSN86" s="0"/>
      <c r="FSO86" s="0"/>
      <c r="FSP86" s="0"/>
      <c r="FSQ86" s="0"/>
      <c r="FSR86" s="0"/>
      <c r="FSS86" s="0"/>
      <c r="FST86" s="0"/>
      <c r="FSU86" s="0"/>
      <c r="FSV86" s="0"/>
      <c r="FSW86" s="0"/>
      <c r="FSX86" s="0"/>
      <c r="FSY86" s="0"/>
      <c r="FSZ86" s="0"/>
      <c r="FTA86" s="0"/>
      <c r="FTB86" s="0"/>
      <c r="FTC86" s="0"/>
      <c r="FTD86" s="0"/>
      <c r="FTE86" s="0"/>
      <c r="FTF86" s="0"/>
      <c r="FTG86" s="0"/>
      <c r="FTH86" s="0"/>
      <c r="FTI86" s="0"/>
      <c r="FTJ86" s="0"/>
      <c r="FTK86" s="0"/>
      <c r="FTL86" s="0"/>
      <c r="FTM86" s="0"/>
      <c r="FTN86" s="0"/>
      <c r="FTO86" s="0"/>
      <c r="FTP86" s="0"/>
      <c r="FTQ86" s="0"/>
      <c r="FTR86" s="0"/>
      <c r="FTS86" s="0"/>
      <c r="FTT86" s="0"/>
      <c r="FTU86" s="0"/>
      <c r="FTV86" s="0"/>
      <c r="FTW86" s="0"/>
      <c r="FTX86" s="0"/>
      <c r="FTY86" s="0"/>
      <c r="FTZ86" s="0"/>
      <c r="FUA86" s="0"/>
      <c r="FUB86" s="0"/>
      <c r="FUC86" s="0"/>
      <c r="FUD86" s="0"/>
      <c r="FUE86" s="0"/>
      <c r="FUF86" s="0"/>
      <c r="FUG86" s="0"/>
      <c r="FUH86" s="0"/>
      <c r="FUI86" s="0"/>
      <c r="FUJ86" s="0"/>
      <c r="FUK86" s="0"/>
      <c r="FUL86" s="0"/>
      <c r="FUM86" s="0"/>
      <c r="FUN86" s="0"/>
      <c r="FUO86" s="0"/>
      <c r="FUP86" s="0"/>
      <c r="FUQ86" s="0"/>
      <c r="FUR86" s="0"/>
      <c r="FUS86" s="0"/>
      <c r="FUT86" s="0"/>
      <c r="FUU86" s="0"/>
      <c r="FUV86" s="0"/>
      <c r="FUW86" s="0"/>
      <c r="FUX86" s="0"/>
      <c r="FUY86" s="0"/>
      <c r="FUZ86" s="0"/>
      <c r="FVA86" s="0"/>
      <c r="FVB86" s="0"/>
      <c r="FVC86" s="0"/>
      <c r="FVD86" s="0"/>
      <c r="FVE86" s="0"/>
      <c r="FVF86" s="0"/>
      <c r="FVG86" s="0"/>
      <c r="FVH86" s="0"/>
      <c r="FVI86" s="0"/>
      <c r="FVJ86" s="0"/>
      <c r="FVK86" s="0"/>
      <c r="FVL86" s="0"/>
      <c r="FVM86" s="0"/>
      <c r="FVN86" s="0"/>
      <c r="FVO86" s="0"/>
      <c r="FVP86" s="0"/>
      <c r="FVQ86" s="0"/>
      <c r="FVR86" s="0"/>
      <c r="FVS86" s="0"/>
      <c r="FVT86" s="0"/>
      <c r="FVU86" s="0"/>
      <c r="FVV86" s="0"/>
      <c r="FVW86" s="0"/>
      <c r="FVX86" s="0"/>
      <c r="FVY86" s="0"/>
      <c r="FVZ86" s="0"/>
      <c r="FWA86" s="0"/>
      <c r="FWB86" s="0"/>
      <c r="FWC86" s="0"/>
      <c r="FWD86" s="0"/>
      <c r="FWE86" s="0"/>
      <c r="FWF86" s="0"/>
      <c r="FWG86" s="0"/>
      <c r="FWH86" s="0"/>
      <c r="FWI86" s="0"/>
      <c r="FWJ86" s="0"/>
      <c r="FWK86" s="0"/>
      <c r="FWL86" s="0"/>
      <c r="FWM86" s="0"/>
      <c r="FWN86" s="0"/>
      <c r="FWO86" s="0"/>
      <c r="FWP86" s="0"/>
      <c r="FWQ86" s="0"/>
      <c r="FWR86" s="0"/>
      <c r="FWS86" s="0"/>
      <c r="FWT86" s="0"/>
      <c r="FWU86" s="0"/>
      <c r="FWV86" s="0"/>
      <c r="FWW86" s="0"/>
      <c r="FWX86" s="0"/>
      <c r="FWY86" s="0"/>
      <c r="FWZ86" s="0"/>
      <c r="FXA86" s="0"/>
      <c r="FXB86" s="0"/>
      <c r="FXC86" s="0"/>
      <c r="FXD86" s="0"/>
      <c r="FXE86" s="0"/>
      <c r="FXF86" s="0"/>
      <c r="FXG86" s="0"/>
      <c r="FXH86" s="0"/>
      <c r="FXI86" s="0"/>
      <c r="FXJ86" s="0"/>
      <c r="FXK86" s="0"/>
      <c r="FXL86" s="0"/>
      <c r="FXM86" s="0"/>
      <c r="FXN86" s="0"/>
      <c r="FXO86" s="0"/>
      <c r="FXP86" s="0"/>
      <c r="FXQ86" s="0"/>
      <c r="FXR86" s="0"/>
      <c r="FXS86" s="0"/>
      <c r="FXT86" s="0"/>
      <c r="FXU86" s="0"/>
      <c r="FXV86" s="0"/>
      <c r="FXW86" s="0"/>
      <c r="FXX86" s="0"/>
      <c r="FXY86" s="0"/>
      <c r="FXZ86" s="0"/>
      <c r="FYA86" s="0"/>
      <c r="FYB86" s="0"/>
      <c r="FYC86" s="0"/>
      <c r="FYD86" s="0"/>
      <c r="FYE86" s="0"/>
      <c r="FYF86" s="0"/>
      <c r="FYG86" s="0"/>
      <c r="FYH86" s="0"/>
      <c r="FYI86" s="0"/>
      <c r="FYJ86" s="0"/>
      <c r="FYK86" s="0"/>
      <c r="FYL86" s="0"/>
      <c r="FYM86" s="0"/>
      <c r="FYN86" s="0"/>
      <c r="FYO86" s="0"/>
      <c r="FYP86" s="0"/>
      <c r="FYQ86" s="0"/>
      <c r="FYR86" s="0"/>
      <c r="FYS86" s="0"/>
      <c r="FYT86" s="0"/>
      <c r="FYU86" s="0"/>
      <c r="FYV86" s="0"/>
      <c r="FYW86" s="0"/>
      <c r="FYX86" s="0"/>
      <c r="FYY86" s="0"/>
      <c r="FYZ86" s="0"/>
      <c r="FZA86" s="0"/>
      <c r="FZB86" s="0"/>
      <c r="FZC86" s="0"/>
      <c r="FZD86" s="0"/>
      <c r="FZE86" s="0"/>
      <c r="FZF86" s="0"/>
      <c r="FZG86" s="0"/>
      <c r="FZH86" s="0"/>
      <c r="FZI86" s="0"/>
      <c r="FZJ86" s="0"/>
      <c r="FZK86" s="0"/>
      <c r="FZL86" s="0"/>
      <c r="FZM86" s="0"/>
      <c r="FZN86" s="0"/>
      <c r="FZO86" s="0"/>
      <c r="FZP86" s="0"/>
      <c r="FZQ86" s="0"/>
      <c r="FZR86" s="0"/>
      <c r="FZS86" s="0"/>
      <c r="FZT86" s="0"/>
      <c r="FZU86" s="0"/>
      <c r="FZV86" s="0"/>
      <c r="FZW86" s="0"/>
      <c r="FZX86" s="0"/>
      <c r="FZY86" s="0"/>
      <c r="FZZ86" s="0"/>
      <c r="GAA86" s="0"/>
      <c r="GAB86" s="0"/>
      <c r="GAC86" s="0"/>
      <c r="GAD86" s="0"/>
      <c r="GAE86" s="0"/>
      <c r="GAF86" s="0"/>
      <c r="GAG86" s="0"/>
      <c r="GAH86" s="0"/>
      <c r="GAI86" s="0"/>
      <c r="GAJ86" s="0"/>
      <c r="GAK86" s="0"/>
      <c r="GAL86" s="0"/>
      <c r="GAM86" s="0"/>
      <c r="GAN86" s="0"/>
      <c r="GAO86" s="0"/>
      <c r="GAP86" s="0"/>
      <c r="GAQ86" s="0"/>
      <c r="GAR86" s="0"/>
      <c r="GAS86" s="0"/>
      <c r="GAT86" s="0"/>
      <c r="GAU86" s="0"/>
      <c r="GAV86" s="0"/>
      <c r="GAW86" s="0"/>
      <c r="GAX86" s="0"/>
      <c r="GAY86" s="0"/>
      <c r="GAZ86" s="0"/>
      <c r="GBA86" s="0"/>
      <c r="GBB86" s="0"/>
      <c r="GBC86" s="0"/>
      <c r="GBD86" s="0"/>
      <c r="GBE86" s="0"/>
      <c r="GBF86" s="0"/>
      <c r="GBG86" s="0"/>
      <c r="GBH86" s="0"/>
      <c r="GBI86" s="0"/>
      <c r="GBJ86" s="0"/>
      <c r="GBK86" s="0"/>
      <c r="GBL86" s="0"/>
      <c r="GBM86" s="0"/>
      <c r="GBN86" s="0"/>
      <c r="GBO86" s="0"/>
      <c r="GBP86" s="0"/>
      <c r="GBQ86" s="0"/>
      <c r="GBR86" s="0"/>
      <c r="GBS86" s="0"/>
      <c r="GBT86" s="0"/>
      <c r="GBU86" s="0"/>
      <c r="GBV86" s="0"/>
      <c r="GBW86" s="0"/>
      <c r="GBX86" s="0"/>
      <c r="GBY86" s="0"/>
      <c r="GBZ86" s="0"/>
      <c r="GCA86" s="0"/>
      <c r="GCB86" s="0"/>
      <c r="GCC86" s="0"/>
      <c r="GCD86" s="0"/>
      <c r="GCE86" s="0"/>
      <c r="GCF86" s="0"/>
      <c r="GCG86" s="0"/>
      <c r="GCH86" s="0"/>
      <c r="GCI86" s="0"/>
      <c r="GCJ86" s="0"/>
      <c r="GCK86" s="0"/>
      <c r="GCL86" s="0"/>
      <c r="GCM86" s="0"/>
      <c r="GCN86" s="0"/>
      <c r="GCO86" s="0"/>
      <c r="GCP86" s="0"/>
      <c r="GCQ86" s="0"/>
      <c r="GCR86" s="0"/>
      <c r="GCS86" s="0"/>
      <c r="GCT86" s="0"/>
      <c r="GCU86" s="0"/>
      <c r="GCV86" s="0"/>
      <c r="GCW86" s="0"/>
      <c r="GCX86" s="0"/>
      <c r="GCY86" s="0"/>
      <c r="GCZ86" s="0"/>
      <c r="GDA86" s="0"/>
      <c r="GDB86" s="0"/>
      <c r="GDC86" s="0"/>
      <c r="GDD86" s="0"/>
      <c r="GDE86" s="0"/>
      <c r="GDF86" s="0"/>
      <c r="GDG86" s="0"/>
      <c r="GDH86" s="0"/>
      <c r="GDI86" s="0"/>
      <c r="GDJ86" s="0"/>
      <c r="GDK86" s="0"/>
      <c r="GDL86" s="0"/>
      <c r="GDM86" s="0"/>
      <c r="GDN86" s="0"/>
      <c r="GDO86" s="0"/>
      <c r="GDP86" s="0"/>
      <c r="GDQ86" s="0"/>
      <c r="GDR86" s="0"/>
      <c r="GDS86" s="0"/>
      <c r="GDT86" s="0"/>
      <c r="GDU86" s="0"/>
      <c r="GDV86" s="0"/>
      <c r="GDW86" s="0"/>
      <c r="GDX86" s="0"/>
      <c r="GDY86" s="0"/>
      <c r="GDZ86" s="0"/>
      <c r="GEA86" s="0"/>
      <c r="GEB86" s="0"/>
      <c r="GEC86" s="0"/>
      <c r="GED86" s="0"/>
      <c r="GEE86" s="0"/>
      <c r="GEF86" s="0"/>
      <c r="GEG86" s="0"/>
      <c r="GEH86" s="0"/>
      <c r="GEI86" s="0"/>
      <c r="GEJ86" s="0"/>
      <c r="GEK86" s="0"/>
      <c r="GEL86" s="0"/>
      <c r="GEM86" s="0"/>
      <c r="GEN86" s="0"/>
      <c r="GEO86" s="0"/>
      <c r="GEP86" s="0"/>
      <c r="GEQ86" s="0"/>
      <c r="GER86" s="0"/>
      <c r="GES86" s="0"/>
      <c r="GET86" s="0"/>
      <c r="GEU86" s="0"/>
      <c r="GEV86" s="0"/>
      <c r="GEW86" s="0"/>
      <c r="GEX86" s="0"/>
      <c r="GEY86" s="0"/>
      <c r="GEZ86" s="0"/>
      <c r="GFA86" s="0"/>
      <c r="GFB86" s="0"/>
      <c r="GFC86" s="0"/>
      <c r="GFD86" s="0"/>
      <c r="GFE86" s="0"/>
      <c r="GFF86" s="0"/>
      <c r="GFG86" s="0"/>
      <c r="GFH86" s="0"/>
      <c r="GFI86" s="0"/>
      <c r="GFJ86" s="0"/>
      <c r="GFK86" s="0"/>
      <c r="GFL86" s="0"/>
      <c r="GFM86" s="0"/>
      <c r="GFN86" s="0"/>
      <c r="GFO86" s="0"/>
      <c r="GFP86" s="0"/>
      <c r="GFQ86" s="0"/>
      <c r="GFR86" s="0"/>
      <c r="GFS86" s="0"/>
      <c r="GFT86" s="0"/>
      <c r="GFU86" s="0"/>
      <c r="GFV86" s="0"/>
      <c r="GFW86" s="0"/>
      <c r="GFX86" s="0"/>
      <c r="GFY86" s="0"/>
      <c r="GFZ86" s="0"/>
      <c r="GGA86" s="0"/>
      <c r="GGB86" s="0"/>
      <c r="GGC86" s="0"/>
      <c r="GGD86" s="0"/>
      <c r="GGE86" s="0"/>
      <c r="GGF86" s="0"/>
      <c r="GGG86" s="0"/>
      <c r="GGH86" s="0"/>
      <c r="GGI86" s="0"/>
      <c r="GGJ86" s="0"/>
      <c r="GGK86" s="0"/>
      <c r="GGL86" s="0"/>
      <c r="GGM86" s="0"/>
      <c r="GGN86" s="0"/>
      <c r="GGO86" s="0"/>
      <c r="GGP86" s="0"/>
      <c r="GGQ86" s="0"/>
      <c r="GGR86" s="0"/>
      <c r="GGS86" s="0"/>
      <c r="GGT86" s="0"/>
      <c r="GGU86" s="0"/>
      <c r="GGV86" s="0"/>
      <c r="GGW86" s="0"/>
      <c r="GGX86" s="0"/>
      <c r="GGY86" s="0"/>
      <c r="GGZ86" s="0"/>
      <c r="GHA86" s="0"/>
      <c r="GHB86" s="0"/>
      <c r="GHC86" s="0"/>
      <c r="GHD86" s="0"/>
      <c r="GHE86" s="0"/>
      <c r="GHF86" s="0"/>
      <c r="GHG86" s="0"/>
      <c r="GHH86" s="0"/>
      <c r="GHI86" s="0"/>
      <c r="GHJ86" s="0"/>
      <c r="GHK86" s="0"/>
      <c r="GHL86" s="0"/>
      <c r="GHM86" s="0"/>
      <c r="GHN86" s="0"/>
      <c r="GHO86" s="0"/>
      <c r="GHP86" s="0"/>
      <c r="GHQ86" s="0"/>
      <c r="GHR86" s="0"/>
      <c r="GHS86" s="0"/>
      <c r="GHT86" s="0"/>
      <c r="GHU86" s="0"/>
      <c r="GHV86" s="0"/>
      <c r="GHW86" s="0"/>
      <c r="GHX86" s="0"/>
      <c r="GHY86" s="0"/>
      <c r="GHZ86" s="0"/>
      <c r="GIA86" s="0"/>
      <c r="GIB86" s="0"/>
      <c r="GIC86" s="0"/>
      <c r="GID86" s="0"/>
      <c r="GIE86" s="0"/>
      <c r="GIF86" s="0"/>
      <c r="GIG86" s="0"/>
      <c r="GIH86" s="0"/>
      <c r="GII86" s="0"/>
      <c r="GIJ86" s="0"/>
      <c r="GIK86" s="0"/>
      <c r="GIL86" s="0"/>
      <c r="GIM86" s="0"/>
      <c r="GIN86" s="0"/>
      <c r="GIO86" s="0"/>
      <c r="GIP86" s="0"/>
      <c r="GIQ86" s="0"/>
      <c r="GIR86" s="0"/>
      <c r="GIS86" s="0"/>
      <c r="GIT86" s="0"/>
      <c r="GIU86" s="0"/>
      <c r="GIV86" s="0"/>
      <c r="GIW86" s="0"/>
      <c r="GIX86" s="0"/>
      <c r="GIY86" s="0"/>
      <c r="GIZ86" s="0"/>
      <c r="GJA86" s="0"/>
      <c r="GJB86" s="0"/>
      <c r="GJC86" s="0"/>
      <c r="GJD86" s="0"/>
      <c r="GJE86" s="0"/>
      <c r="GJF86" s="0"/>
      <c r="GJG86" s="0"/>
      <c r="GJH86" s="0"/>
      <c r="GJI86" s="0"/>
      <c r="GJJ86" s="0"/>
      <c r="GJK86" s="0"/>
      <c r="GJL86" s="0"/>
      <c r="GJM86" s="0"/>
      <c r="GJN86" s="0"/>
      <c r="GJO86" s="0"/>
      <c r="GJP86" s="0"/>
      <c r="GJQ86" s="0"/>
      <c r="GJR86" s="0"/>
      <c r="GJS86" s="0"/>
      <c r="GJT86" s="0"/>
      <c r="GJU86" s="0"/>
      <c r="GJV86" s="0"/>
      <c r="GJW86" s="0"/>
      <c r="GJX86" s="0"/>
      <c r="GJY86" s="0"/>
      <c r="GJZ86" s="0"/>
      <c r="GKA86" s="0"/>
      <c r="GKB86" s="0"/>
      <c r="GKC86" s="0"/>
      <c r="GKD86" s="0"/>
      <c r="GKE86" s="0"/>
      <c r="GKF86" s="0"/>
      <c r="GKG86" s="0"/>
      <c r="GKH86" s="0"/>
      <c r="GKI86" s="0"/>
      <c r="GKJ86" s="0"/>
      <c r="GKK86" s="0"/>
      <c r="GKL86" s="0"/>
      <c r="GKM86" s="0"/>
      <c r="GKN86" s="0"/>
      <c r="GKO86" s="0"/>
      <c r="GKP86" s="0"/>
      <c r="GKQ86" s="0"/>
      <c r="GKR86" s="0"/>
      <c r="GKS86" s="0"/>
      <c r="GKT86" s="0"/>
      <c r="GKU86" s="0"/>
      <c r="GKV86" s="0"/>
      <c r="GKW86" s="0"/>
      <c r="GKX86" s="0"/>
      <c r="GKY86" s="0"/>
      <c r="GKZ86" s="0"/>
      <c r="GLA86" s="0"/>
      <c r="GLB86" s="0"/>
      <c r="GLC86" s="0"/>
      <c r="GLD86" s="0"/>
      <c r="GLE86" s="0"/>
      <c r="GLF86" s="0"/>
      <c r="GLG86" s="0"/>
      <c r="GLH86" s="0"/>
      <c r="GLI86" s="0"/>
      <c r="GLJ86" s="0"/>
      <c r="GLK86" s="0"/>
      <c r="GLL86" s="0"/>
      <c r="GLM86" s="0"/>
      <c r="GLN86" s="0"/>
      <c r="GLO86" s="0"/>
      <c r="GLP86" s="0"/>
      <c r="GLQ86" s="0"/>
      <c r="GLR86" s="0"/>
      <c r="GLS86" s="0"/>
      <c r="GLT86" s="0"/>
      <c r="GLU86" s="0"/>
      <c r="GLV86" s="0"/>
      <c r="GLW86" s="0"/>
      <c r="GLX86" s="0"/>
      <c r="GLY86" s="0"/>
      <c r="GLZ86" s="0"/>
      <c r="GMA86" s="0"/>
      <c r="GMB86" s="0"/>
      <c r="GMC86" s="0"/>
      <c r="GMD86" s="0"/>
      <c r="GME86" s="0"/>
      <c r="GMF86" s="0"/>
      <c r="GMG86" s="0"/>
      <c r="GMH86" s="0"/>
      <c r="GMI86" s="0"/>
      <c r="GMJ86" s="0"/>
      <c r="GMK86" s="0"/>
      <c r="GML86" s="0"/>
      <c r="GMM86" s="0"/>
      <c r="GMN86" s="0"/>
      <c r="GMO86" s="0"/>
      <c r="GMP86" s="0"/>
      <c r="GMQ86" s="0"/>
      <c r="GMR86" s="0"/>
      <c r="GMS86" s="0"/>
      <c r="GMT86" s="0"/>
      <c r="GMU86" s="0"/>
      <c r="GMV86" s="0"/>
      <c r="GMW86" s="0"/>
      <c r="GMX86" s="0"/>
      <c r="GMY86" s="0"/>
      <c r="GMZ86" s="0"/>
      <c r="GNA86" s="0"/>
      <c r="GNB86" s="0"/>
      <c r="GNC86" s="0"/>
      <c r="GND86" s="0"/>
      <c r="GNE86" s="0"/>
      <c r="GNF86" s="0"/>
      <c r="GNG86" s="0"/>
      <c r="GNH86" s="0"/>
      <c r="GNI86" s="0"/>
      <c r="GNJ86" s="0"/>
      <c r="GNK86" s="0"/>
      <c r="GNL86" s="0"/>
      <c r="GNM86" s="0"/>
      <c r="GNN86" s="0"/>
      <c r="GNO86" s="0"/>
      <c r="GNP86" s="0"/>
      <c r="GNQ86" s="0"/>
      <c r="GNR86" s="0"/>
      <c r="GNS86" s="0"/>
      <c r="GNT86" s="0"/>
      <c r="GNU86" s="0"/>
      <c r="GNV86" s="0"/>
      <c r="GNW86" s="0"/>
      <c r="GNX86" s="0"/>
      <c r="GNY86" s="0"/>
      <c r="GNZ86" s="0"/>
      <c r="GOA86" s="0"/>
      <c r="GOB86" s="0"/>
      <c r="GOC86" s="0"/>
      <c r="GOD86" s="0"/>
      <c r="GOE86" s="0"/>
      <c r="GOF86" s="0"/>
      <c r="GOG86" s="0"/>
      <c r="GOH86" s="0"/>
      <c r="GOI86" s="0"/>
      <c r="GOJ86" s="0"/>
      <c r="GOK86" s="0"/>
      <c r="GOL86" s="0"/>
      <c r="GOM86" s="0"/>
      <c r="GON86" s="0"/>
      <c r="GOO86" s="0"/>
      <c r="GOP86" s="0"/>
      <c r="GOQ86" s="0"/>
      <c r="GOR86" s="0"/>
      <c r="GOS86" s="0"/>
      <c r="GOT86" s="0"/>
      <c r="GOU86" s="0"/>
      <c r="GOV86" s="0"/>
      <c r="GOW86" s="0"/>
      <c r="GOX86" s="0"/>
      <c r="GOY86" s="0"/>
      <c r="GOZ86" s="0"/>
      <c r="GPA86" s="0"/>
      <c r="GPB86" s="0"/>
      <c r="GPC86" s="0"/>
      <c r="GPD86" s="0"/>
      <c r="GPE86" s="0"/>
      <c r="GPF86" s="0"/>
      <c r="GPG86" s="0"/>
      <c r="GPH86" s="0"/>
      <c r="GPI86" s="0"/>
      <c r="GPJ86" s="0"/>
      <c r="GPK86" s="0"/>
      <c r="GPL86" s="0"/>
      <c r="GPM86" s="0"/>
      <c r="GPN86" s="0"/>
      <c r="GPO86" s="0"/>
      <c r="GPP86" s="0"/>
      <c r="GPQ86" s="0"/>
      <c r="GPR86" s="0"/>
      <c r="GPS86" s="0"/>
      <c r="GPT86" s="0"/>
      <c r="GPU86" s="0"/>
      <c r="GPV86" s="0"/>
      <c r="GPW86" s="0"/>
      <c r="GPX86" s="0"/>
      <c r="GPY86" s="0"/>
      <c r="GPZ86" s="0"/>
      <c r="GQA86" s="0"/>
      <c r="GQB86" s="0"/>
      <c r="GQC86" s="0"/>
      <c r="GQD86" s="0"/>
      <c r="GQE86" s="0"/>
      <c r="GQF86" s="0"/>
      <c r="GQG86" s="0"/>
      <c r="GQH86" s="0"/>
      <c r="GQI86" s="0"/>
      <c r="GQJ86" s="0"/>
      <c r="GQK86" s="0"/>
      <c r="GQL86" s="0"/>
      <c r="GQM86" s="0"/>
      <c r="GQN86" s="0"/>
      <c r="GQO86" s="0"/>
      <c r="GQP86" s="0"/>
      <c r="GQQ86" s="0"/>
      <c r="GQR86" s="0"/>
      <c r="GQS86" s="0"/>
      <c r="GQT86" s="0"/>
      <c r="GQU86" s="0"/>
      <c r="GQV86" s="0"/>
      <c r="GQW86" s="0"/>
      <c r="GQX86" s="0"/>
      <c r="GQY86" s="0"/>
      <c r="GQZ86" s="0"/>
      <c r="GRA86" s="0"/>
      <c r="GRB86" s="0"/>
      <c r="GRC86" s="0"/>
      <c r="GRD86" s="0"/>
      <c r="GRE86" s="0"/>
      <c r="GRF86" s="0"/>
      <c r="GRG86" s="0"/>
      <c r="GRH86" s="0"/>
      <c r="GRI86" s="0"/>
      <c r="GRJ86" s="0"/>
      <c r="GRK86" s="0"/>
      <c r="GRL86" s="0"/>
      <c r="GRM86" s="0"/>
      <c r="GRN86" s="0"/>
      <c r="GRO86" s="0"/>
      <c r="GRP86" s="0"/>
      <c r="GRQ86" s="0"/>
      <c r="GRR86" s="0"/>
      <c r="GRS86" s="0"/>
      <c r="GRT86" s="0"/>
      <c r="GRU86" s="0"/>
      <c r="GRV86" s="0"/>
      <c r="GRW86" s="0"/>
      <c r="GRX86" s="0"/>
      <c r="GRY86" s="0"/>
      <c r="GRZ86" s="0"/>
      <c r="GSA86" s="0"/>
      <c r="GSB86" s="0"/>
      <c r="GSC86" s="0"/>
      <c r="GSD86" s="0"/>
      <c r="GSE86" s="0"/>
      <c r="GSF86" s="0"/>
      <c r="GSG86" s="0"/>
      <c r="GSH86" s="0"/>
      <c r="GSI86" s="0"/>
      <c r="GSJ86" s="0"/>
      <c r="GSK86" s="0"/>
      <c r="GSL86" s="0"/>
      <c r="GSM86" s="0"/>
      <c r="GSN86" s="0"/>
      <c r="GSO86" s="0"/>
      <c r="GSP86" s="0"/>
      <c r="GSQ86" s="0"/>
      <c r="GSR86" s="0"/>
      <c r="GSS86" s="0"/>
      <c r="GST86" s="0"/>
      <c r="GSU86" s="0"/>
      <c r="GSV86" s="0"/>
      <c r="GSW86" s="0"/>
      <c r="GSX86" s="0"/>
      <c r="GSY86" s="0"/>
      <c r="GSZ86" s="0"/>
      <c r="GTA86" s="0"/>
      <c r="GTB86" s="0"/>
      <c r="GTC86" s="0"/>
      <c r="GTD86" s="0"/>
      <c r="GTE86" s="0"/>
      <c r="GTF86" s="0"/>
      <c r="GTG86" s="0"/>
      <c r="GTH86" s="0"/>
      <c r="GTI86" s="0"/>
      <c r="GTJ86" s="0"/>
      <c r="GTK86" s="0"/>
      <c r="GTL86" s="0"/>
      <c r="GTM86" s="0"/>
      <c r="GTN86" s="0"/>
      <c r="GTO86" s="0"/>
      <c r="GTP86" s="0"/>
      <c r="GTQ86" s="0"/>
      <c r="GTR86" s="0"/>
      <c r="GTS86" s="0"/>
      <c r="GTT86" s="0"/>
      <c r="GTU86" s="0"/>
      <c r="GTV86" s="0"/>
      <c r="GTW86" s="0"/>
      <c r="GTX86" s="0"/>
      <c r="GTY86" s="0"/>
      <c r="GTZ86" s="0"/>
      <c r="GUA86" s="0"/>
      <c r="GUB86" s="0"/>
      <c r="GUC86" s="0"/>
      <c r="GUD86" s="0"/>
      <c r="GUE86" s="0"/>
      <c r="GUF86" s="0"/>
      <c r="GUG86" s="0"/>
      <c r="GUH86" s="0"/>
      <c r="GUI86" s="0"/>
      <c r="GUJ86" s="0"/>
      <c r="GUK86" s="0"/>
      <c r="GUL86" s="0"/>
      <c r="GUM86" s="0"/>
      <c r="GUN86" s="0"/>
      <c r="GUO86" s="0"/>
      <c r="GUP86" s="0"/>
      <c r="GUQ86" s="0"/>
      <c r="GUR86" s="0"/>
      <c r="GUS86" s="0"/>
      <c r="GUT86" s="0"/>
      <c r="GUU86" s="0"/>
      <c r="GUV86" s="0"/>
      <c r="GUW86" s="0"/>
      <c r="GUX86" s="0"/>
      <c r="GUY86" s="0"/>
      <c r="GUZ86" s="0"/>
      <c r="GVA86" s="0"/>
      <c r="GVB86" s="0"/>
      <c r="GVC86" s="0"/>
      <c r="GVD86" s="0"/>
      <c r="GVE86" s="0"/>
      <c r="GVF86" s="0"/>
      <c r="GVG86" s="0"/>
      <c r="GVH86" s="0"/>
      <c r="GVI86" s="0"/>
      <c r="GVJ86" s="0"/>
      <c r="GVK86" s="0"/>
      <c r="GVL86" s="0"/>
      <c r="GVM86" s="0"/>
      <c r="GVN86" s="0"/>
      <c r="GVO86" s="0"/>
      <c r="GVP86" s="0"/>
      <c r="GVQ86" s="0"/>
      <c r="GVR86" s="0"/>
      <c r="GVS86" s="0"/>
      <c r="GVT86" s="0"/>
      <c r="GVU86" s="0"/>
      <c r="GVV86" s="0"/>
      <c r="GVW86" s="0"/>
      <c r="GVX86" s="0"/>
      <c r="GVY86" s="0"/>
      <c r="GVZ86" s="0"/>
      <c r="GWA86" s="0"/>
      <c r="GWB86" s="0"/>
      <c r="GWC86" s="0"/>
      <c r="GWD86" s="0"/>
      <c r="GWE86" s="0"/>
      <c r="GWF86" s="0"/>
      <c r="GWG86" s="0"/>
      <c r="GWH86" s="0"/>
      <c r="GWI86" s="0"/>
      <c r="GWJ86" s="0"/>
      <c r="GWK86" s="0"/>
      <c r="GWL86" s="0"/>
      <c r="GWM86" s="0"/>
      <c r="GWN86" s="0"/>
      <c r="GWO86" s="0"/>
      <c r="GWP86" s="0"/>
      <c r="GWQ86" s="0"/>
      <c r="GWR86" s="0"/>
      <c r="GWS86" s="0"/>
      <c r="GWT86" s="0"/>
      <c r="GWU86" s="0"/>
      <c r="GWV86" s="0"/>
      <c r="GWW86" s="0"/>
      <c r="GWX86" s="0"/>
      <c r="GWY86" s="0"/>
      <c r="GWZ86" s="0"/>
      <c r="GXA86" s="0"/>
      <c r="GXB86" s="0"/>
      <c r="GXC86" s="0"/>
      <c r="GXD86" s="0"/>
      <c r="GXE86" s="0"/>
      <c r="GXF86" s="0"/>
      <c r="GXG86" s="0"/>
      <c r="GXH86" s="0"/>
      <c r="GXI86" s="0"/>
      <c r="GXJ86" s="0"/>
      <c r="GXK86" s="0"/>
      <c r="GXL86" s="0"/>
      <c r="GXM86" s="0"/>
      <c r="GXN86" s="0"/>
      <c r="GXO86" s="0"/>
      <c r="GXP86" s="0"/>
      <c r="GXQ86" s="0"/>
      <c r="GXR86" s="0"/>
      <c r="GXS86" s="0"/>
      <c r="GXT86" s="0"/>
      <c r="GXU86" s="0"/>
      <c r="GXV86" s="0"/>
      <c r="GXW86" s="0"/>
      <c r="GXX86" s="0"/>
      <c r="GXY86" s="0"/>
      <c r="GXZ86" s="0"/>
      <c r="GYA86" s="0"/>
      <c r="GYB86" s="0"/>
      <c r="GYC86" s="0"/>
      <c r="GYD86" s="0"/>
      <c r="GYE86" s="0"/>
      <c r="GYF86" s="0"/>
      <c r="GYG86" s="0"/>
      <c r="GYH86" s="0"/>
      <c r="GYI86" s="0"/>
      <c r="GYJ86" s="0"/>
      <c r="GYK86" s="0"/>
      <c r="GYL86" s="0"/>
      <c r="GYM86" s="0"/>
      <c r="GYN86" s="0"/>
      <c r="GYO86" s="0"/>
      <c r="GYP86" s="0"/>
      <c r="GYQ86" s="0"/>
      <c r="GYR86" s="0"/>
      <c r="GYS86" s="0"/>
      <c r="GYT86" s="0"/>
      <c r="GYU86" s="0"/>
      <c r="GYV86" s="0"/>
      <c r="GYW86" s="0"/>
      <c r="GYX86" s="0"/>
      <c r="GYY86" s="0"/>
      <c r="GYZ86" s="0"/>
      <c r="GZA86" s="0"/>
      <c r="GZB86" s="0"/>
      <c r="GZC86" s="0"/>
      <c r="GZD86" s="0"/>
      <c r="GZE86" s="0"/>
      <c r="GZF86" s="0"/>
      <c r="GZG86" s="0"/>
      <c r="GZH86" s="0"/>
      <c r="GZI86" s="0"/>
      <c r="GZJ86" s="0"/>
      <c r="GZK86" s="0"/>
      <c r="GZL86" s="0"/>
      <c r="GZM86" s="0"/>
      <c r="GZN86" s="0"/>
      <c r="GZO86" s="0"/>
      <c r="GZP86" s="0"/>
      <c r="GZQ86" s="0"/>
      <c r="GZR86" s="0"/>
      <c r="GZS86" s="0"/>
      <c r="GZT86" s="0"/>
      <c r="GZU86" s="0"/>
      <c r="GZV86" s="0"/>
      <c r="GZW86" s="0"/>
      <c r="GZX86" s="0"/>
      <c r="GZY86" s="0"/>
      <c r="GZZ86" s="0"/>
      <c r="HAA86" s="0"/>
      <c r="HAB86" s="0"/>
      <c r="HAC86" s="0"/>
      <c r="HAD86" s="0"/>
      <c r="HAE86" s="0"/>
      <c r="HAF86" s="0"/>
      <c r="HAG86" s="0"/>
      <c r="HAH86" s="0"/>
      <c r="HAI86" s="0"/>
      <c r="HAJ86" s="0"/>
      <c r="HAK86" s="0"/>
      <c r="HAL86" s="0"/>
      <c r="HAM86" s="0"/>
      <c r="HAN86" s="0"/>
      <c r="HAO86" s="0"/>
      <c r="HAP86" s="0"/>
      <c r="HAQ86" s="0"/>
      <c r="HAR86" s="0"/>
      <c r="HAS86" s="0"/>
      <c r="HAT86" s="0"/>
      <c r="HAU86" s="0"/>
      <c r="HAV86" s="0"/>
      <c r="HAW86" s="0"/>
      <c r="HAX86" s="0"/>
      <c r="HAY86" s="0"/>
      <c r="HAZ86" s="0"/>
      <c r="HBA86" s="0"/>
      <c r="HBB86" s="0"/>
      <c r="HBC86" s="0"/>
      <c r="HBD86" s="0"/>
      <c r="HBE86" s="0"/>
      <c r="HBF86" s="0"/>
      <c r="HBG86" s="0"/>
      <c r="HBH86" s="0"/>
      <c r="HBI86" s="0"/>
      <c r="HBJ86" s="0"/>
      <c r="HBK86" s="0"/>
      <c r="HBL86" s="0"/>
      <c r="HBM86" s="0"/>
      <c r="HBN86" s="0"/>
      <c r="HBO86" s="0"/>
      <c r="HBP86" s="0"/>
      <c r="HBQ86" s="0"/>
      <c r="HBR86" s="0"/>
      <c r="HBS86" s="0"/>
      <c r="HBT86" s="0"/>
      <c r="HBU86" s="0"/>
      <c r="HBV86" s="0"/>
      <c r="HBW86" s="0"/>
      <c r="HBX86" s="0"/>
      <c r="HBY86" s="0"/>
      <c r="HBZ86" s="0"/>
      <c r="HCA86" s="0"/>
      <c r="HCB86" s="0"/>
      <c r="HCC86" s="0"/>
      <c r="HCD86" s="0"/>
      <c r="HCE86" s="0"/>
      <c r="HCF86" s="0"/>
      <c r="HCG86" s="0"/>
      <c r="HCH86" s="0"/>
      <c r="HCI86" s="0"/>
      <c r="HCJ86" s="0"/>
      <c r="HCK86" s="0"/>
      <c r="HCL86" s="0"/>
      <c r="HCM86" s="0"/>
      <c r="HCN86" s="0"/>
      <c r="HCO86" s="0"/>
      <c r="HCP86" s="0"/>
      <c r="HCQ86" s="0"/>
      <c r="HCR86" s="0"/>
      <c r="HCS86" s="0"/>
      <c r="HCT86" s="0"/>
      <c r="HCU86" s="0"/>
      <c r="HCV86" s="0"/>
      <c r="HCW86" s="0"/>
      <c r="HCX86" s="0"/>
      <c r="HCY86" s="0"/>
      <c r="HCZ86" s="0"/>
      <c r="HDA86" s="0"/>
      <c r="HDB86" s="0"/>
      <c r="HDC86" s="0"/>
      <c r="HDD86" s="0"/>
      <c r="HDE86" s="0"/>
      <c r="HDF86" s="0"/>
      <c r="HDG86" s="0"/>
      <c r="HDH86" s="0"/>
      <c r="HDI86" s="0"/>
      <c r="HDJ86" s="0"/>
      <c r="HDK86" s="0"/>
      <c r="HDL86" s="0"/>
      <c r="HDM86" s="0"/>
      <c r="HDN86" s="0"/>
      <c r="HDO86" s="0"/>
      <c r="HDP86" s="0"/>
      <c r="HDQ86" s="0"/>
      <c r="HDR86" s="0"/>
      <c r="HDS86" s="0"/>
      <c r="HDT86" s="0"/>
      <c r="HDU86" s="0"/>
      <c r="HDV86" s="0"/>
      <c r="HDW86" s="0"/>
      <c r="HDX86" s="0"/>
      <c r="HDY86" s="0"/>
      <c r="HDZ86" s="0"/>
      <c r="HEA86" s="0"/>
      <c r="HEB86" s="0"/>
      <c r="HEC86" s="0"/>
      <c r="HED86" s="0"/>
      <c r="HEE86" s="0"/>
      <c r="HEF86" s="0"/>
      <c r="HEG86" s="0"/>
      <c r="HEH86" s="0"/>
      <c r="HEI86" s="0"/>
      <c r="HEJ86" s="0"/>
      <c r="HEK86" s="0"/>
      <c r="HEL86" s="0"/>
      <c r="HEM86" s="0"/>
      <c r="HEN86" s="0"/>
      <c r="HEO86" s="0"/>
      <c r="HEP86" s="0"/>
      <c r="HEQ86" s="0"/>
      <c r="HER86" s="0"/>
      <c r="HES86" s="0"/>
      <c r="HET86" s="0"/>
      <c r="HEU86" s="0"/>
      <c r="HEV86" s="0"/>
      <c r="HEW86" s="0"/>
      <c r="HEX86" s="0"/>
      <c r="HEY86" s="0"/>
      <c r="HEZ86" s="0"/>
      <c r="HFA86" s="0"/>
      <c r="HFB86" s="0"/>
      <c r="HFC86" s="0"/>
      <c r="HFD86" s="0"/>
      <c r="HFE86" s="0"/>
      <c r="HFF86" s="0"/>
      <c r="HFG86" s="0"/>
      <c r="HFH86" s="0"/>
      <c r="HFI86" s="0"/>
      <c r="HFJ86" s="0"/>
      <c r="HFK86" s="0"/>
      <c r="HFL86" s="0"/>
      <c r="HFM86" s="0"/>
      <c r="HFN86" s="0"/>
      <c r="HFO86" s="0"/>
      <c r="HFP86" s="0"/>
      <c r="HFQ86" s="0"/>
      <c r="HFR86" s="0"/>
      <c r="HFS86" s="0"/>
      <c r="HFT86" s="0"/>
      <c r="HFU86" s="0"/>
      <c r="HFV86" s="0"/>
      <c r="HFW86" s="0"/>
      <c r="HFX86" s="0"/>
      <c r="HFY86" s="0"/>
      <c r="HFZ86" s="0"/>
      <c r="HGA86" s="0"/>
      <c r="HGB86" s="0"/>
      <c r="HGC86" s="0"/>
      <c r="HGD86" s="0"/>
      <c r="HGE86" s="0"/>
      <c r="HGF86" s="0"/>
      <c r="HGG86" s="0"/>
      <c r="HGH86" s="0"/>
      <c r="HGI86" s="0"/>
      <c r="HGJ86" s="0"/>
      <c r="HGK86" s="0"/>
      <c r="HGL86" s="0"/>
      <c r="HGM86" s="0"/>
      <c r="HGN86" s="0"/>
      <c r="HGO86" s="0"/>
      <c r="HGP86" s="0"/>
      <c r="HGQ86" s="0"/>
      <c r="HGR86" s="0"/>
      <c r="HGS86" s="0"/>
      <c r="HGT86" s="0"/>
      <c r="HGU86" s="0"/>
      <c r="HGV86" s="0"/>
      <c r="HGW86" s="0"/>
      <c r="HGX86" s="0"/>
      <c r="HGY86" s="0"/>
      <c r="HGZ86" s="0"/>
      <c r="HHA86" s="0"/>
      <c r="HHB86" s="0"/>
      <c r="HHC86" s="0"/>
      <c r="HHD86" s="0"/>
      <c r="HHE86" s="0"/>
      <c r="HHF86" s="0"/>
      <c r="HHG86" s="0"/>
      <c r="HHH86" s="0"/>
      <c r="HHI86" s="0"/>
      <c r="HHJ86" s="0"/>
      <c r="HHK86" s="0"/>
      <c r="HHL86" s="0"/>
      <c r="HHM86" s="0"/>
      <c r="HHN86" s="0"/>
      <c r="HHO86" s="0"/>
      <c r="HHP86" s="0"/>
      <c r="HHQ86" s="0"/>
      <c r="HHR86" s="0"/>
      <c r="HHS86" s="0"/>
      <c r="HHT86" s="0"/>
      <c r="HHU86" s="0"/>
      <c r="HHV86" s="0"/>
      <c r="HHW86" s="0"/>
      <c r="HHX86" s="0"/>
      <c r="HHY86" s="0"/>
      <c r="HHZ86" s="0"/>
      <c r="HIA86" s="0"/>
      <c r="HIB86" s="0"/>
      <c r="HIC86" s="0"/>
      <c r="HID86" s="0"/>
      <c r="HIE86" s="0"/>
      <c r="HIF86" s="0"/>
      <c r="HIG86" s="0"/>
      <c r="HIH86" s="0"/>
      <c r="HII86" s="0"/>
      <c r="HIJ86" s="0"/>
      <c r="HIK86" s="0"/>
      <c r="HIL86" s="0"/>
      <c r="HIM86" s="0"/>
      <c r="HIN86" s="0"/>
      <c r="HIO86" s="0"/>
      <c r="HIP86" s="0"/>
      <c r="HIQ86" s="0"/>
      <c r="HIR86" s="0"/>
      <c r="HIS86" s="0"/>
      <c r="HIT86" s="0"/>
      <c r="HIU86" s="0"/>
      <c r="HIV86" s="0"/>
      <c r="HIW86" s="0"/>
      <c r="HIX86" s="0"/>
      <c r="HIY86" s="0"/>
      <c r="HIZ86" s="0"/>
      <c r="HJA86" s="0"/>
      <c r="HJB86" s="0"/>
      <c r="HJC86" s="0"/>
      <c r="HJD86" s="0"/>
      <c r="HJE86" s="0"/>
      <c r="HJF86" s="0"/>
      <c r="HJG86" s="0"/>
      <c r="HJH86" s="0"/>
      <c r="HJI86" s="0"/>
      <c r="HJJ86" s="0"/>
      <c r="HJK86" s="0"/>
      <c r="HJL86" s="0"/>
      <c r="HJM86" s="0"/>
      <c r="HJN86" s="0"/>
      <c r="HJO86" s="0"/>
      <c r="HJP86" s="0"/>
      <c r="HJQ86" s="0"/>
      <c r="HJR86" s="0"/>
      <c r="HJS86" s="0"/>
      <c r="HJT86" s="0"/>
      <c r="HJU86" s="0"/>
      <c r="HJV86" s="0"/>
      <c r="HJW86" s="0"/>
      <c r="HJX86" s="0"/>
      <c r="HJY86" s="0"/>
      <c r="HJZ86" s="0"/>
      <c r="HKA86" s="0"/>
      <c r="HKB86" s="0"/>
      <c r="HKC86" s="0"/>
      <c r="HKD86" s="0"/>
      <c r="HKE86" s="0"/>
      <c r="HKF86" s="0"/>
      <c r="HKG86" s="0"/>
      <c r="HKH86" s="0"/>
      <c r="HKI86" s="0"/>
      <c r="HKJ86" s="0"/>
      <c r="HKK86" s="0"/>
      <c r="HKL86" s="0"/>
      <c r="HKM86" s="0"/>
      <c r="HKN86" s="0"/>
      <c r="HKO86" s="0"/>
      <c r="HKP86" s="0"/>
      <c r="HKQ86" s="0"/>
      <c r="HKR86" s="0"/>
      <c r="HKS86" s="0"/>
      <c r="HKT86" s="0"/>
      <c r="HKU86" s="0"/>
      <c r="HKV86" s="0"/>
      <c r="HKW86" s="0"/>
      <c r="HKX86" s="0"/>
      <c r="HKY86" s="0"/>
      <c r="HKZ86" s="0"/>
      <c r="HLA86" s="0"/>
      <c r="HLB86" s="0"/>
      <c r="HLC86" s="0"/>
      <c r="HLD86" s="0"/>
      <c r="HLE86" s="0"/>
      <c r="HLF86" s="0"/>
      <c r="HLG86" s="0"/>
      <c r="HLH86" s="0"/>
      <c r="HLI86" s="0"/>
      <c r="HLJ86" s="0"/>
      <c r="HLK86" s="0"/>
      <c r="HLL86" s="0"/>
      <c r="HLM86" s="0"/>
      <c r="HLN86" s="0"/>
      <c r="HLO86" s="0"/>
      <c r="HLP86" s="0"/>
      <c r="HLQ86" s="0"/>
      <c r="HLR86" s="0"/>
      <c r="HLS86" s="0"/>
      <c r="HLT86" s="0"/>
      <c r="HLU86" s="0"/>
      <c r="HLV86" s="0"/>
      <c r="HLW86" s="0"/>
      <c r="HLX86" s="0"/>
      <c r="HLY86" s="0"/>
      <c r="HLZ86" s="0"/>
      <c r="HMA86" s="0"/>
      <c r="HMB86" s="0"/>
      <c r="HMC86" s="0"/>
      <c r="HMD86" s="0"/>
      <c r="HME86" s="0"/>
      <c r="HMF86" s="0"/>
      <c r="HMG86" s="0"/>
      <c r="HMH86" s="0"/>
      <c r="HMI86" s="0"/>
      <c r="HMJ86" s="0"/>
      <c r="HMK86" s="0"/>
      <c r="HML86" s="0"/>
      <c r="HMM86" s="0"/>
      <c r="HMN86" s="0"/>
      <c r="HMO86" s="0"/>
      <c r="HMP86" s="0"/>
      <c r="HMQ86" s="0"/>
      <c r="HMR86" s="0"/>
      <c r="HMS86" s="0"/>
      <c r="HMT86" s="0"/>
      <c r="HMU86" s="0"/>
      <c r="HMV86" s="0"/>
      <c r="HMW86" s="0"/>
      <c r="HMX86" s="0"/>
      <c r="HMY86" s="0"/>
      <c r="HMZ86" s="0"/>
      <c r="HNA86" s="0"/>
      <c r="HNB86" s="0"/>
      <c r="HNC86" s="0"/>
      <c r="HND86" s="0"/>
      <c r="HNE86" s="0"/>
      <c r="HNF86" s="0"/>
      <c r="HNG86" s="0"/>
      <c r="HNH86" s="0"/>
      <c r="HNI86" s="0"/>
      <c r="HNJ86" s="0"/>
      <c r="HNK86" s="0"/>
      <c r="HNL86" s="0"/>
      <c r="HNM86" s="0"/>
      <c r="HNN86" s="0"/>
      <c r="HNO86" s="0"/>
      <c r="HNP86" s="0"/>
      <c r="HNQ86" s="0"/>
      <c r="HNR86" s="0"/>
      <c r="HNS86" s="0"/>
      <c r="HNT86" s="0"/>
      <c r="HNU86" s="0"/>
      <c r="HNV86" s="0"/>
      <c r="HNW86" s="0"/>
      <c r="HNX86" s="0"/>
      <c r="HNY86" s="0"/>
      <c r="HNZ86" s="0"/>
      <c r="HOA86" s="0"/>
      <c r="HOB86" s="0"/>
      <c r="HOC86" s="0"/>
      <c r="HOD86" s="0"/>
      <c r="HOE86" s="0"/>
      <c r="HOF86" s="0"/>
      <c r="HOG86" s="0"/>
      <c r="HOH86" s="0"/>
      <c r="HOI86" s="0"/>
      <c r="HOJ86" s="0"/>
      <c r="HOK86" s="0"/>
      <c r="HOL86" s="0"/>
      <c r="HOM86" s="0"/>
      <c r="HON86" s="0"/>
      <c r="HOO86" s="0"/>
      <c r="HOP86" s="0"/>
      <c r="HOQ86" s="0"/>
      <c r="HOR86" s="0"/>
      <c r="HOS86" s="0"/>
      <c r="HOT86" s="0"/>
      <c r="HOU86" s="0"/>
      <c r="HOV86" s="0"/>
      <c r="HOW86" s="0"/>
      <c r="HOX86" s="0"/>
      <c r="HOY86" s="0"/>
      <c r="HOZ86" s="0"/>
      <c r="HPA86" s="0"/>
      <c r="HPB86" s="0"/>
      <c r="HPC86" s="0"/>
      <c r="HPD86" s="0"/>
      <c r="HPE86" s="0"/>
      <c r="HPF86" s="0"/>
      <c r="HPG86" s="0"/>
      <c r="HPH86" s="0"/>
      <c r="HPI86" s="0"/>
      <c r="HPJ86" s="0"/>
      <c r="HPK86" s="0"/>
      <c r="HPL86" s="0"/>
      <c r="HPM86" s="0"/>
      <c r="HPN86" s="0"/>
      <c r="HPO86" s="0"/>
      <c r="HPP86" s="0"/>
      <c r="HPQ86" s="0"/>
      <c r="HPR86" s="0"/>
      <c r="HPS86" s="0"/>
      <c r="HPT86" s="0"/>
      <c r="HPU86" s="0"/>
      <c r="HPV86" s="0"/>
      <c r="HPW86" s="0"/>
      <c r="HPX86" s="0"/>
      <c r="HPY86" s="0"/>
      <c r="HPZ86" s="0"/>
      <c r="HQA86" s="0"/>
      <c r="HQB86" s="0"/>
      <c r="HQC86" s="0"/>
      <c r="HQD86" s="0"/>
      <c r="HQE86" s="0"/>
      <c r="HQF86" s="0"/>
      <c r="HQG86" s="0"/>
      <c r="HQH86" s="0"/>
      <c r="HQI86" s="0"/>
      <c r="HQJ86" s="0"/>
      <c r="HQK86" s="0"/>
      <c r="HQL86" s="0"/>
      <c r="HQM86" s="0"/>
      <c r="HQN86" s="0"/>
      <c r="HQO86" s="0"/>
      <c r="HQP86" s="0"/>
      <c r="HQQ86" s="0"/>
      <c r="HQR86" s="0"/>
      <c r="HQS86" s="0"/>
      <c r="HQT86" s="0"/>
      <c r="HQU86" s="0"/>
      <c r="HQV86" s="0"/>
      <c r="HQW86" s="0"/>
      <c r="HQX86" s="0"/>
      <c r="HQY86" s="0"/>
      <c r="HQZ86" s="0"/>
      <c r="HRA86" s="0"/>
      <c r="HRB86" s="0"/>
      <c r="HRC86" s="0"/>
      <c r="HRD86" s="0"/>
      <c r="HRE86" s="0"/>
      <c r="HRF86" s="0"/>
      <c r="HRG86" s="0"/>
      <c r="HRH86" s="0"/>
      <c r="HRI86" s="0"/>
      <c r="HRJ86" s="0"/>
      <c r="HRK86" s="0"/>
      <c r="HRL86" s="0"/>
      <c r="HRM86" s="0"/>
      <c r="HRN86" s="0"/>
      <c r="HRO86" s="0"/>
      <c r="HRP86" s="0"/>
      <c r="HRQ86" s="0"/>
      <c r="HRR86" s="0"/>
      <c r="HRS86" s="0"/>
      <c r="HRT86" s="0"/>
      <c r="HRU86" s="0"/>
      <c r="HRV86" s="0"/>
      <c r="HRW86" s="0"/>
      <c r="HRX86" s="0"/>
      <c r="HRY86" s="0"/>
      <c r="HRZ86" s="0"/>
      <c r="HSA86" s="0"/>
      <c r="HSB86" s="0"/>
      <c r="HSC86" s="0"/>
      <c r="HSD86" s="0"/>
      <c r="HSE86" s="0"/>
      <c r="HSF86" s="0"/>
      <c r="HSG86" s="0"/>
      <c r="HSH86" s="0"/>
      <c r="HSI86" s="0"/>
      <c r="HSJ86" s="0"/>
      <c r="HSK86" s="0"/>
      <c r="HSL86" s="0"/>
      <c r="HSM86" s="0"/>
      <c r="HSN86" s="0"/>
      <c r="HSO86" s="0"/>
      <c r="HSP86" s="0"/>
      <c r="HSQ86" s="0"/>
      <c r="HSR86" s="0"/>
      <c r="HSS86" s="0"/>
      <c r="HST86" s="0"/>
      <c r="HSU86" s="0"/>
      <c r="HSV86" s="0"/>
      <c r="HSW86" s="0"/>
      <c r="HSX86" s="0"/>
      <c r="HSY86" s="0"/>
      <c r="HSZ86" s="0"/>
      <c r="HTA86" s="0"/>
      <c r="HTB86" s="0"/>
      <c r="HTC86" s="0"/>
      <c r="HTD86" s="0"/>
      <c r="HTE86" s="0"/>
      <c r="HTF86" s="0"/>
      <c r="HTG86" s="0"/>
      <c r="HTH86" s="0"/>
      <c r="HTI86" s="0"/>
      <c r="HTJ86" s="0"/>
      <c r="HTK86" s="0"/>
      <c r="HTL86" s="0"/>
      <c r="HTM86" s="0"/>
      <c r="HTN86" s="0"/>
      <c r="HTO86" s="0"/>
      <c r="HTP86" s="0"/>
      <c r="HTQ86" s="0"/>
      <c r="HTR86" s="0"/>
      <c r="HTS86" s="0"/>
      <c r="HTT86" s="0"/>
      <c r="HTU86" s="0"/>
      <c r="HTV86" s="0"/>
      <c r="HTW86" s="0"/>
      <c r="HTX86" s="0"/>
      <c r="HTY86" s="0"/>
      <c r="HTZ86" s="0"/>
      <c r="HUA86" s="0"/>
      <c r="HUB86" s="0"/>
      <c r="HUC86" s="0"/>
      <c r="HUD86" s="0"/>
      <c r="HUE86" s="0"/>
      <c r="HUF86" s="0"/>
      <c r="HUG86" s="0"/>
      <c r="HUH86" s="0"/>
      <c r="HUI86" s="0"/>
      <c r="HUJ86" s="0"/>
      <c r="HUK86" s="0"/>
      <c r="HUL86" s="0"/>
      <c r="HUM86" s="0"/>
      <c r="HUN86" s="0"/>
      <c r="HUO86" s="0"/>
      <c r="HUP86" s="0"/>
      <c r="HUQ86" s="0"/>
      <c r="HUR86" s="0"/>
      <c r="HUS86" s="0"/>
      <c r="HUT86" s="0"/>
      <c r="HUU86" s="0"/>
      <c r="HUV86" s="0"/>
      <c r="HUW86" s="0"/>
      <c r="HUX86" s="0"/>
      <c r="HUY86" s="0"/>
      <c r="HUZ86" s="0"/>
      <c r="HVA86" s="0"/>
      <c r="HVB86" s="0"/>
      <c r="HVC86" s="0"/>
      <c r="HVD86" s="0"/>
      <c r="HVE86" s="0"/>
      <c r="HVF86" s="0"/>
      <c r="HVG86" s="0"/>
      <c r="HVH86" s="0"/>
      <c r="HVI86" s="0"/>
      <c r="HVJ86" s="0"/>
      <c r="HVK86" s="0"/>
      <c r="HVL86" s="0"/>
      <c r="HVM86" s="0"/>
      <c r="HVN86" s="0"/>
      <c r="HVO86" s="0"/>
      <c r="HVP86" s="0"/>
      <c r="HVQ86" s="0"/>
      <c r="HVR86" s="0"/>
      <c r="HVS86" s="0"/>
      <c r="HVT86" s="0"/>
      <c r="HVU86" s="0"/>
      <c r="HVV86" s="0"/>
      <c r="HVW86" s="0"/>
      <c r="HVX86" s="0"/>
      <c r="HVY86" s="0"/>
      <c r="HVZ86" s="0"/>
      <c r="HWA86" s="0"/>
      <c r="HWB86" s="0"/>
      <c r="HWC86" s="0"/>
      <c r="HWD86" s="0"/>
      <c r="HWE86" s="0"/>
      <c r="HWF86" s="0"/>
      <c r="HWG86" s="0"/>
      <c r="HWH86" s="0"/>
      <c r="HWI86" s="0"/>
      <c r="HWJ86" s="0"/>
      <c r="HWK86" s="0"/>
      <c r="HWL86" s="0"/>
      <c r="HWM86" s="0"/>
      <c r="HWN86" s="0"/>
      <c r="HWO86" s="0"/>
      <c r="HWP86" s="0"/>
      <c r="HWQ86" s="0"/>
      <c r="HWR86" s="0"/>
      <c r="HWS86" s="0"/>
      <c r="HWT86" s="0"/>
      <c r="HWU86" s="0"/>
      <c r="HWV86" s="0"/>
      <c r="HWW86" s="0"/>
      <c r="HWX86" s="0"/>
      <c r="HWY86" s="0"/>
      <c r="HWZ86" s="0"/>
      <c r="HXA86" s="0"/>
      <c r="HXB86" s="0"/>
      <c r="HXC86" s="0"/>
      <c r="HXD86" s="0"/>
      <c r="HXE86" s="0"/>
      <c r="HXF86" s="0"/>
      <c r="HXG86" s="0"/>
      <c r="HXH86" s="0"/>
      <c r="HXI86" s="0"/>
      <c r="HXJ86" s="0"/>
      <c r="HXK86" s="0"/>
      <c r="HXL86" s="0"/>
      <c r="HXM86" s="0"/>
      <c r="HXN86" s="0"/>
      <c r="HXO86" s="0"/>
      <c r="HXP86" s="0"/>
      <c r="HXQ86" s="0"/>
      <c r="HXR86" s="0"/>
      <c r="HXS86" s="0"/>
      <c r="HXT86" s="0"/>
      <c r="HXU86" s="0"/>
      <c r="HXV86" s="0"/>
      <c r="HXW86" s="0"/>
      <c r="HXX86" s="0"/>
      <c r="HXY86" s="0"/>
      <c r="HXZ86" s="0"/>
      <c r="HYA86" s="0"/>
      <c r="HYB86" s="0"/>
      <c r="HYC86" s="0"/>
      <c r="HYD86" s="0"/>
      <c r="HYE86" s="0"/>
      <c r="HYF86" s="0"/>
      <c r="HYG86" s="0"/>
      <c r="HYH86" s="0"/>
      <c r="HYI86" s="0"/>
      <c r="HYJ86" s="0"/>
      <c r="HYK86" s="0"/>
      <c r="HYL86" s="0"/>
      <c r="HYM86" s="0"/>
      <c r="HYN86" s="0"/>
      <c r="HYO86" s="0"/>
      <c r="HYP86" s="0"/>
      <c r="HYQ86" s="0"/>
      <c r="HYR86" s="0"/>
      <c r="HYS86" s="0"/>
      <c r="HYT86" s="0"/>
      <c r="HYU86" s="0"/>
      <c r="HYV86" s="0"/>
      <c r="HYW86" s="0"/>
      <c r="HYX86" s="0"/>
      <c r="HYY86" s="0"/>
      <c r="HYZ86" s="0"/>
      <c r="HZA86" s="0"/>
      <c r="HZB86" s="0"/>
      <c r="HZC86" s="0"/>
      <c r="HZD86" s="0"/>
      <c r="HZE86" s="0"/>
      <c r="HZF86" s="0"/>
      <c r="HZG86" s="0"/>
      <c r="HZH86" s="0"/>
      <c r="HZI86" s="0"/>
      <c r="HZJ86" s="0"/>
      <c r="HZK86" s="0"/>
      <c r="HZL86" s="0"/>
      <c r="HZM86" s="0"/>
      <c r="HZN86" s="0"/>
      <c r="HZO86" s="0"/>
      <c r="HZP86" s="0"/>
      <c r="HZQ86" s="0"/>
      <c r="HZR86" s="0"/>
      <c r="HZS86" s="0"/>
      <c r="HZT86" s="0"/>
      <c r="HZU86" s="0"/>
      <c r="HZV86" s="0"/>
      <c r="HZW86" s="0"/>
      <c r="HZX86" s="0"/>
      <c r="HZY86" s="0"/>
      <c r="HZZ86" s="0"/>
      <c r="IAA86" s="0"/>
      <c r="IAB86" s="0"/>
      <c r="IAC86" s="0"/>
      <c r="IAD86" s="0"/>
      <c r="IAE86" s="0"/>
      <c r="IAF86" s="0"/>
      <c r="IAG86" s="0"/>
      <c r="IAH86" s="0"/>
      <c r="IAI86" s="0"/>
      <c r="IAJ86" s="0"/>
      <c r="IAK86" s="0"/>
      <c r="IAL86" s="0"/>
      <c r="IAM86" s="0"/>
      <c r="IAN86" s="0"/>
      <c r="IAO86" s="0"/>
      <c r="IAP86" s="0"/>
      <c r="IAQ86" s="0"/>
      <c r="IAR86" s="0"/>
      <c r="IAS86" s="0"/>
      <c r="IAT86" s="0"/>
      <c r="IAU86" s="0"/>
      <c r="IAV86" s="0"/>
      <c r="IAW86" s="0"/>
      <c r="IAX86" s="0"/>
      <c r="IAY86" s="0"/>
      <c r="IAZ86" s="0"/>
      <c r="IBA86" s="0"/>
      <c r="IBB86" s="0"/>
      <c r="IBC86" s="0"/>
      <c r="IBD86" s="0"/>
      <c r="IBE86" s="0"/>
      <c r="IBF86" s="0"/>
      <c r="IBG86" s="0"/>
      <c r="IBH86" s="0"/>
      <c r="IBI86" s="0"/>
      <c r="IBJ86" s="0"/>
      <c r="IBK86" s="0"/>
      <c r="IBL86" s="0"/>
      <c r="IBM86" s="0"/>
      <c r="IBN86" s="0"/>
      <c r="IBO86" s="0"/>
      <c r="IBP86" s="0"/>
      <c r="IBQ86" s="0"/>
      <c r="IBR86" s="0"/>
      <c r="IBS86" s="0"/>
      <c r="IBT86" s="0"/>
      <c r="IBU86" s="0"/>
      <c r="IBV86" s="0"/>
      <c r="IBW86" s="0"/>
      <c r="IBX86" s="0"/>
      <c r="IBY86" s="0"/>
      <c r="IBZ86" s="0"/>
      <c r="ICA86" s="0"/>
      <c r="ICB86" s="0"/>
      <c r="ICC86" s="0"/>
      <c r="ICD86" s="0"/>
      <c r="ICE86" s="0"/>
      <c r="ICF86" s="0"/>
      <c r="ICG86" s="0"/>
      <c r="ICH86" s="0"/>
      <c r="ICI86" s="0"/>
      <c r="ICJ86" s="0"/>
      <c r="ICK86" s="0"/>
      <c r="ICL86" s="0"/>
      <c r="ICM86" s="0"/>
      <c r="ICN86" s="0"/>
      <c r="ICO86" s="0"/>
      <c r="ICP86" s="0"/>
      <c r="ICQ86" s="0"/>
      <c r="ICR86" s="0"/>
      <c r="ICS86" s="0"/>
      <c r="ICT86" s="0"/>
      <c r="ICU86" s="0"/>
      <c r="ICV86" s="0"/>
      <c r="ICW86" s="0"/>
      <c r="ICX86" s="0"/>
      <c r="ICY86" s="0"/>
      <c r="ICZ86" s="0"/>
      <c r="IDA86" s="0"/>
      <c r="IDB86" s="0"/>
      <c r="IDC86" s="0"/>
      <c r="IDD86" s="0"/>
      <c r="IDE86" s="0"/>
      <c r="IDF86" s="0"/>
      <c r="IDG86" s="0"/>
      <c r="IDH86" s="0"/>
      <c r="IDI86" s="0"/>
      <c r="IDJ86" s="0"/>
      <c r="IDK86" s="0"/>
      <c r="IDL86" s="0"/>
      <c r="IDM86" s="0"/>
      <c r="IDN86" s="0"/>
      <c r="IDO86" s="0"/>
      <c r="IDP86" s="0"/>
      <c r="IDQ86" s="0"/>
      <c r="IDR86" s="0"/>
      <c r="IDS86" s="0"/>
      <c r="IDT86" s="0"/>
      <c r="IDU86" s="0"/>
      <c r="IDV86" s="0"/>
      <c r="IDW86" s="0"/>
      <c r="IDX86" s="0"/>
      <c r="IDY86" s="0"/>
      <c r="IDZ86" s="0"/>
      <c r="IEA86" s="0"/>
      <c r="IEB86" s="0"/>
      <c r="IEC86" s="0"/>
      <c r="IED86" s="0"/>
      <c r="IEE86" s="0"/>
      <c r="IEF86" s="0"/>
      <c r="IEG86" s="0"/>
      <c r="IEH86" s="0"/>
      <c r="IEI86" s="0"/>
      <c r="IEJ86" s="0"/>
      <c r="IEK86" s="0"/>
      <c r="IEL86" s="0"/>
      <c r="IEM86" s="0"/>
      <c r="IEN86" s="0"/>
      <c r="IEO86" s="0"/>
      <c r="IEP86" s="0"/>
      <c r="IEQ86" s="0"/>
      <c r="IER86" s="0"/>
      <c r="IES86" s="0"/>
      <c r="IET86" s="0"/>
      <c r="IEU86" s="0"/>
      <c r="IEV86" s="0"/>
      <c r="IEW86" s="0"/>
      <c r="IEX86" s="0"/>
      <c r="IEY86" s="0"/>
      <c r="IEZ86" s="0"/>
      <c r="IFA86" s="0"/>
      <c r="IFB86" s="0"/>
      <c r="IFC86" s="0"/>
      <c r="IFD86" s="0"/>
      <c r="IFE86" s="0"/>
      <c r="IFF86" s="0"/>
      <c r="IFG86" s="0"/>
      <c r="IFH86" s="0"/>
      <c r="IFI86" s="0"/>
      <c r="IFJ86" s="0"/>
      <c r="IFK86" s="0"/>
      <c r="IFL86" s="0"/>
      <c r="IFM86" s="0"/>
      <c r="IFN86" s="0"/>
      <c r="IFO86" s="0"/>
      <c r="IFP86" s="0"/>
      <c r="IFQ86" s="0"/>
      <c r="IFR86" s="0"/>
      <c r="IFS86" s="0"/>
      <c r="IFT86" s="0"/>
      <c r="IFU86" s="0"/>
      <c r="IFV86" s="0"/>
      <c r="IFW86" s="0"/>
      <c r="IFX86" s="0"/>
      <c r="IFY86" s="0"/>
      <c r="IFZ86" s="0"/>
      <c r="IGA86" s="0"/>
      <c r="IGB86" s="0"/>
      <c r="IGC86" s="0"/>
      <c r="IGD86" s="0"/>
      <c r="IGE86" s="0"/>
      <c r="IGF86" s="0"/>
      <c r="IGG86" s="0"/>
      <c r="IGH86" s="0"/>
      <c r="IGI86" s="0"/>
      <c r="IGJ86" s="0"/>
      <c r="IGK86" s="0"/>
      <c r="IGL86" s="0"/>
      <c r="IGM86" s="0"/>
      <c r="IGN86" s="0"/>
      <c r="IGO86" s="0"/>
      <c r="IGP86" s="0"/>
      <c r="IGQ86" s="0"/>
      <c r="IGR86" s="0"/>
      <c r="IGS86" s="0"/>
      <c r="IGT86" s="0"/>
      <c r="IGU86" s="0"/>
      <c r="IGV86" s="0"/>
      <c r="IGW86" s="0"/>
      <c r="IGX86" s="0"/>
      <c r="IGY86" s="0"/>
      <c r="IGZ86" s="0"/>
      <c r="IHA86" s="0"/>
      <c r="IHB86" s="0"/>
      <c r="IHC86" s="0"/>
      <c r="IHD86" s="0"/>
      <c r="IHE86" s="0"/>
      <c r="IHF86" s="0"/>
      <c r="IHG86" s="0"/>
      <c r="IHH86" s="0"/>
      <c r="IHI86" s="0"/>
      <c r="IHJ86" s="0"/>
      <c r="IHK86" s="0"/>
      <c r="IHL86" s="0"/>
      <c r="IHM86" s="0"/>
      <c r="IHN86" s="0"/>
      <c r="IHO86" s="0"/>
      <c r="IHP86" s="0"/>
      <c r="IHQ86" s="0"/>
      <c r="IHR86" s="0"/>
      <c r="IHS86" s="0"/>
      <c r="IHT86" s="0"/>
      <c r="IHU86" s="0"/>
      <c r="IHV86" s="0"/>
      <c r="IHW86" s="0"/>
      <c r="IHX86" s="0"/>
      <c r="IHY86" s="0"/>
      <c r="IHZ86" s="0"/>
      <c r="IIA86" s="0"/>
      <c r="IIB86" s="0"/>
      <c r="IIC86" s="0"/>
      <c r="IID86" s="0"/>
      <c r="IIE86" s="0"/>
      <c r="IIF86" s="0"/>
      <c r="IIG86" s="0"/>
      <c r="IIH86" s="0"/>
      <c r="III86" s="0"/>
      <c r="IIJ86" s="0"/>
      <c r="IIK86" s="0"/>
      <c r="IIL86" s="0"/>
      <c r="IIM86" s="0"/>
      <c r="IIN86" s="0"/>
      <c r="IIO86" s="0"/>
      <c r="IIP86" s="0"/>
      <c r="IIQ86" s="0"/>
      <c r="IIR86" s="0"/>
      <c r="IIS86" s="0"/>
      <c r="IIT86" s="0"/>
      <c r="IIU86" s="0"/>
      <c r="IIV86" s="0"/>
      <c r="IIW86" s="0"/>
      <c r="IIX86" s="0"/>
      <c r="IIY86" s="0"/>
      <c r="IIZ86" s="0"/>
      <c r="IJA86" s="0"/>
      <c r="IJB86" s="0"/>
      <c r="IJC86" s="0"/>
      <c r="IJD86" s="0"/>
      <c r="IJE86" s="0"/>
      <c r="IJF86" s="0"/>
      <c r="IJG86" s="0"/>
      <c r="IJH86" s="0"/>
      <c r="IJI86" s="0"/>
      <c r="IJJ86" s="0"/>
      <c r="IJK86" s="0"/>
      <c r="IJL86" s="0"/>
      <c r="IJM86" s="0"/>
      <c r="IJN86" s="0"/>
      <c r="IJO86" s="0"/>
      <c r="IJP86" s="0"/>
      <c r="IJQ86" s="0"/>
      <c r="IJR86" s="0"/>
      <c r="IJS86" s="0"/>
      <c r="IJT86" s="0"/>
      <c r="IJU86" s="0"/>
      <c r="IJV86" s="0"/>
      <c r="IJW86" s="0"/>
      <c r="IJX86" s="0"/>
      <c r="IJY86" s="0"/>
      <c r="IJZ86" s="0"/>
      <c r="IKA86" s="0"/>
      <c r="IKB86" s="0"/>
      <c r="IKC86" s="0"/>
      <c r="IKD86" s="0"/>
      <c r="IKE86" s="0"/>
      <c r="IKF86" s="0"/>
      <c r="IKG86" s="0"/>
      <c r="IKH86" s="0"/>
      <c r="IKI86" s="0"/>
      <c r="IKJ86" s="0"/>
      <c r="IKK86" s="0"/>
      <c r="IKL86" s="0"/>
      <c r="IKM86" s="0"/>
      <c r="IKN86" s="0"/>
      <c r="IKO86" s="0"/>
      <c r="IKP86" s="0"/>
      <c r="IKQ86" s="0"/>
      <c r="IKR86" s="0"/>
      <c r="IKS86" s="0"/>
      <c r="IKT86" s="0"/>
      <c r="IKU86" s="0"/>
      <c r="IKV86" s="0"/>
      <c r="IKW86" s="0"/>
      <c r="IKX86" s="0"/>
      <c r="IKY86" s="0"/>
      <c r="IKZ86" s="0"/>
      <c r="ILA86" s="0"/>
      <c r="ILB86" s="0"/>
      <c r="ILC86" s="0"/>
      <c r="ILD86" s="0"/>
      <c r="ILE86" s="0"/>
      <c r="ILF86" s="0"/>
      <c r="ILG86" s="0"/>
      <c r="ILH86" s="0"/>
      <c r="ILI86" s="0"/>
      <c r="ILJ86" s="0"/>
      <c r="ILK86" s="0"/>
      <c r="ILL86" s="0"/>
      <c r="ILM86" s="0"/>
      <c r="ILN86" s="0"/>
      <c r="ILO86" s="0"/>
      <c r="ILP86" s="0"/>
      <c r="ILQ86" s="0"/>
      <c r="ILR86" s="0"/>
      <c r="ILS86" s="0"/>
      <c r="ILT86" s="0"/>
      <c r="ILU86" s="0"/>
      <c r="ILV86" s="0"/>
      <c r="ILW86" s="0"/>
      <c r="ILX86" s="0"/>
      <c r="ILY86" s="0"/>
      <c r="ILZ86" s="0"/>
      <c r="IMA86" s="0"/>
      <c r="IMB86" s="0"/>
      <c r="IMC86" s="0"/>
      <c r="IMD86" s="0"/>
      <c r="IME86" s="0"/>
      <c r="IMF86" s="0"/>
      <c r="IMG86" s="0"/>
      <c r="IMH86" s="0"/>
      <c r="IMI86" s="0"/>
      <c r="IMJ86" s="0"/>
      <c r="IMK86" s="0"/>
      <c r="IML86" s="0"/>
      <c r="IMM86" s="0"/>
      <c r="IMN86" s="0"/>
      <c r="IMO86" s="0"/>
      <c r="IMP86" s="0"/>
      <c r="IMQ86" s="0"/>
      <c r="IMR86" s="0"/>
      <c r="IMS86" s="0"/>
      <c r="IMT86" s="0"/>
      <c r="IMU86" s="0"/>
      <c r="IMV86" s="0"/>
      <c r="IMW86" s="0"/>
      <c r="IMX86" s="0"/>
      <c r="IMY86" s="0"/>
      <c r="IMZ86" s="0"/>
      <c r="INA86" s="0"/>
      <c r="INB86" s="0"/>
      <c r="INC86" s="0"/>
      <c r="IND86" s="0"/>
      <c r="INE86" s="0"/>
      <c r="INF86" s="0"/>
      <c r="ING86" s="0"/>
      <c r="INH86" s="0"/>
      <c r="INI86" s="0"/>
      <c r="INJ86" s="0"/>
      <c r="INK86" s="0"/>
      <c r="INL86" s="0"/>
      <c r="INM86" s="0"/>
      <c r="INN86" s="0"/>
      <c r="INO86" s="0"/>
      <c r="INP86" s="0"/>
      <c r="INQ86" s="0"/>
      <c r="INR86" s="0"/>
      <c r="INS86" s="0"/>
      <c r="INT86" s="0"/>
      <c r="INU86" s="0"/>
      <c r="INV86" s="0"/>
      <c r="INW86" s="0"/>
      <c r="INX86" s="0"/>
      <c r="INY86" s="0"/>
      <c r="INZ86" s="0"/>
      <c r="IOA86" s="0"/>
      <c r="IOB86" s="0"/>
      <c r="IOC86" s="0"/>
      <c r="IOD86" s="0"/>
      <c r="IOE86" s="0"/>
      <c r="IOF86" s="0"/>
      <c r="IOG86" s="0"/>
      <c r="IOH86" s="0"/>
      <c r="IOI86" s="0"/>
      <c r="IOJ86" s="0"/>
      <c r="IOK86" s="0"/>
      <c r="IOL86" s="0"/>
      <c r="IOM86" s="0"/>
      <c r="ION86" s="0"/>
      <c r="IOO86" s="0"/>
      <c r="IOP86" s="0"/>
      <c r="IOQ86" s="0"/>
      <c r="IOR86" s="0"/>
      <c r="IOS86" s="0"/>
      <c r="IOT86" s="0"/>
      <c r="IOU86" s="0"/>
      <c r="IOV86" s="0"/>
      <c r="IOW86" s="0"/>
      <c r="IOX86" s="0"/>
      <c r="IOY86" s="0"/>
      <c r="IOZ86" s="0"/>
      <c r="IPA86" s="0"/>
      <c r="IPB86" s="0"/>
      <c r="IPC86" s="0"/>
      <c r="IPD86" s="0"/>
      <c r="IPE86" s="0"/>
      <c r="IPF86" s="0"/>
      <c r="IPG86" s="0"/>
      <c r="IPH86" s="0"/>
      <c r="IPI86" s="0"/>
      <c r="IPJ86" s="0"/>
      <c r="IPK86" s="0"/>
      <c r="IPL86" s="0"/>
      <c r="IPM86" s="0"/>
      <c r="IPN86" s="0"/>
      <c r="IPO86" s="0"/>
      <c r="IPP86" s="0"/>
      <c r="IPQ86" s="0"/>
      <c r="IPR86" s="0"/>
      <c r="IPS86" s="0"/>
      <c r="IPT86" s="0"/>
      <c r="IPU86" s="0"/>
      <c r="IPV86" s="0"/>
      <c r="IPW86" s="0"/>
      <c r="IPX86" s="0"/>
      <c r="IPY86" s="0"/>
      <c r="IPZ86" s="0"/>
      <c r="IQA86" s="0"/>
      <c r="IQB86" s="0"/>
      <c r="IQC86" s="0"/>
      <c r="IQD86" s="0"/>
      <c r="IQE86" s="0"/>
      <c r="IQF86" s="0"/>
      <c r="IQG86" s="0"/>
      <c r="IQH86" s="0"/>
      <c r="IQI86" s="0"/>
      <c r="IQJ86" s="0"/>
      <c r="IQK86" s="0"/>
      <c r="IQL86" s="0"/>
      <c r="IQM86" s="0"/>
      <c r="IQN86" s="0"/>
      <c r="IQO86" s="0"/>
      <c r="IQP86" s="0"/>
      <c r="IQQ86" s="0"/>
      <c r="IQR86" s="0"/>
      <c r="IQS86" s="0"/>
      <c r="IQT86" s="0"/>
      <c r="IQU86" s="0"/>
      <c r="IQV86" s="0"/>
      <c r="IQW86" s="0"/>
      <c r="IQX86" s="0"/>
      <c r="IQY86" s="0"/>
      <c r="IQZ86" s="0"/>
      <c r="IRA86" s="0"/>
      <c r="IRB86" s="0"/>
      <c r="IRC86" s="0"/>
      <c r="IRD86" s="0"/>
      <c r="IRE86" s="0"/>
      <c r="IRF86" s="0"/>
      <c r="IRG86" s="0"/>
      <c r="IRH86" s="0"/>
      <c r="IRI86" s="0"/>
      <c r="IRJ86" s="0"/>
      <c r="IRK86" s="0"/>
      <c r="IRL86" s="0"/>
      <c r="IRM86" s="0"/>
      <c r="IRN86" s="0"/>
      <c r="IRO86" s="0"/>
      <c r="IRP86" s="0"/>
      <c r="IRQ86" s="0"/>
      <c r="IRR86" s="0"/>
      <c r="IRS86" s="0"/>
      <c r="IRT86" s="0"/>
      <c r="IRU86" s="0"/>
      <c r="IRV86" s="0"/>
      <c r="IRW86" s="0"/>
      <c r="IRX86" s="0"/>
      <c r="IRY86" s="0"/>
      <c r="IRZ86" s="0"/>
      <c r="ISA86" s="0"/>
      <c r="ISB86" s="0"/>
      <c r="ISC86" s="0"/>
      <c r="ISD86" s="0"/>
      <c r="ISE86" s="0"/>
      <c r="ISF86" s="0"/>
      <c r="ISG86" s="0"/>
      <c r="ISH86" s="0"/>
      <c r="ISI86" s="0"/>
      <c r="ISJ86" s="0"/>
      <c r="ISK86" s="0"/>
      <c r="ISL86" s="0"/>
      <c r="ISM86" s="0"/>
      <c r="ISN86" s="0"/>
      <c r="ISO86" s="0"/>
      <c r="ISP86" s="0"/>
      <c r="ISQ86" s="0"/>
      <c r="ISR86" s="0"/>
      <c r="ISS86" s="0"/>
      <c r="IST86" s="0"/>
      <c r="ISU86" s="0"/>
      <c r="ISV86" s="0"/>
      <c r="ISW86" s="0"/>
      <c r="ISX86" s="0"/>
      <c r="ISY86" s="0"/>
      <c r="ISZ86" s="0"/>
      <c r="ITA86" s="0"/>
      <c r="ITB86" s="0"/>
      <c r="ITC86" s="0"/>
      <c r="ITD86" s="0"/>
      <c r="ITE86" s="0"/>
      <c r="ITF86" s="0"/>
      <c r="ITG86" s="0"/>
      <c r="ITH86" s="0"/>
      <c r="ITI86" s="0"/>
      <c r="ITJ86" s="0"/>
      <c r="ITK86" s="0"/>
      <c r="ITL86" s="0"/>
      <c r="ITM86" s="0"/>
      <c r="ITN86" s="0"/>
      <c r="ITO86" s="0"/>
      <c r="ITP86" s="0"/>
      <c r="ITQ86" s="0"/>
      <c r="ITR86" s="0"/>
      <c r="ITS86" s="0"/>
      <c r="ITT86" s="0"/>
      <c r="ITU86" s="0"/>
      <c r="ITV86" s="0"/>
      <c r="ITW86" s="0"/>
      <c r="ITX86" s="0"/>
      <c r="ITY86" s="0"/>
      <c r="ITZ86" s="0"/>
      <c r="IUA86" s="0"/>
      <c r="IUB86" s="0"/>
      <c r="IUC86" s="0"/>
      <c r="IUD86" s="0"/>
      <c r="IUE86" s="0"/>
      <c r="IUF86" s="0"/>
      <c r="IUG86" s="0"/>
      <c r="IUH86" s="0"/>
      <c r="IUI86" s="0"/>
      <c r="IUJ86" s="0"/>
      <c r="IUK86" s="0"/>
      <c r="IUL86" s="0"/>
      <c r="IUM86" s="0"/>
      <c r="IUN86" s="0"/>
      <c r="IUO86" s="0"/>
      <c r="IUP86" s="0"/>
      <c r="IUQ86" s="0"/>
      <c r="IUR86" s="0"/>
      <c r="IUS86" s="0"/>
      <c r="IUT86" s="0"/>
      <c r="IUU86" s="0"/>
      <c r="IUV86" s="0"/>
      <c r="IUW86" s="0"/>
      <c r="IUX86" s="0"/>
      <c r="IUY86" s="0"/>
      <c r="IUZ86" s="0"/>
      <c r="IVA86" s="0"/>
      <c r="IVB86" s="0"/>
      <c r="IVC86" s="0"/>
      <c r="IVD86" s="0"/>
      <c r="IVE86" s="0"/>
      <c r="IVF86" s="0"/>
      <c r="IVG86" s="0"/>
      <c r="IVH86" s="0"/>
      <c r="IVI86" s="0"/>
      <c r="IVJ86" s="0"/>
      <c r="IVK86" s="0"/>
      <c r="IVL86" s="0"/>
      <c r="IVM86" s="0"/>
      <c r="IVN86" s="0"/>
      <c r="IVO86" s="0"/>
      <c r="IVP86" s="0"/>
      <c r="IVQ86" s="0"/>
      <c r="IVR86" s="0"/>
      <c r="IVS86" s="0"/>
      <c r="IVT86" s="0"/>
      <c r="IVU86" s="0"/>
      <c r="IVV86" s="0"/>
      <c r="IVW86" s="0"/>
      <c r="IVX86" s="0"/>
      <c r="IVY86" s="0"/>
      <c r="IVZ86" s="0"/>
      <c r="IWA86" s="0"/>
      <c r="IWB86" s="0"/>
      <c r="IWC86" s="0"/>
      <c r="IWD86" s="0"/>
      <c r="IWE86" s="0"/>
      <c r="IWF86" s="0"/>
      <c r="IWG86" s="0"/>
      <c r="IWH86" s="0"/>
      <c r="IWI86" s="0"/>
      <c r="IWJ86" s="0"/>
      <c r="IWK86" s="0"/>
      <c r="IWL86" s="0"/>
      <c r="IWM86" s="0"/>
      <c r="IWN86" s="0"/>
      <c r="IWO86" s="0"/>
      <c r="IWP86" s="0"/>
      <c r="IWQ86" s="0"/>
      <c r="IWR86" s="0"/>
      <c r="IWS86" s="0"/>
      <c r="IWT86" s="0"/>
      <c r="IWU86" s="0"/>
      <c r="IWV86" s="0"/>
      <c r="IWW86" s="0"/>
      <c r="IWX86" s="0"/>
      <c r="IWY86" s="0"/>
      <c r="IWZ86" s="0"/>
      <c r="IXA86" s="0"/>
      <c r="IXB86" s="0"/>
      <c r="IXC86" s="0"/>
      <c r="IXD86" s="0"/>
      <c r="IXE86" s="0"/>
      <c r="IXF86" s="0"/>
      <c r="IXG86" s="0"/>
      <c r="IXH86" s="0"/>
      <c r="IXI86" s="0"/>
      <c r="IXJ86" s="0"/>
      <c r="IXK86" s="0"/>
      <c r="IXL86" s="0"/>
      <c r="IXM86" s="0"/>
      <c r="IXN86" s="0"/>
      <c r="IXO86" s="0"/>
      <c r="IXP86" s="0"/>
      <c r="IXQ86" s="0"/>
      <c r="IXR86" s="0"/>
      <c r="IXS86" s="0"/>
      <c r="IXT86" s="0"/>
      <c r="IXU86" s="0"/>
      <c r="IXV86" s="0"/>
      <c r="IXW86" s="0"/>
      <c r="IXX86" s="0"/>
      <c r="IXY86" s="0"/>
      <c r="IXZ86" s="0"/>
      <c r="IYA86" s="0"/>
      <c r="IYB86" s="0"/>
      <c r="IYC86" s="0"/>
      <c r="IYD86" s="0"/>
      <c r="IYE86" s="0"/>
      <c r="IYF86" s="0"/>
      <c r="IYG86" s="0"/>
      <c r="IYH86" s="0"/>
      <c r="IYI86" s="0"/>
      <c r="IYJ86" s="0"/>
      <c r="IYK86" s="0"/>
      <c r="IYL86" s="0"/>
      <c r="IYM86" s="0"/>
      <c r="IYN86" s="0"/>
      <c r="IYO86" s="0"/>
      <c r="IYP86" s="0"/>
      <c r="IYQ86" s="0"/>
      <c r="IYR86" s="0"/>
      <c r="IYS86" s="0"/>
      <c r="IYT86" s="0"/>
      <c r="IYU86" s="0"/>
      <c r="IYV86" s="0"/>
      <c r="IYW86" s="0"/>
      <c r="IYX86" s="0"/>
      <c r="IYY86" s="0"/>
      <c r="IYZ86" s="0"/>
      <c r="IZA86" s="0"/>
      <c r="IZB86" s="0"/>
      <c r="IZC86" s="0"/>
      <c r="IZD86" s="0"/>
      <c r="IZE86" s="0"/>
      <c r="IZF86" s="0"/>
      <c r="IZG86" s="0"/>
      <c r="IZH86" s="0"/>
      <c r="IZI86" s="0"/>
      <c r="IZJ86" s="0"/>
      <c r="IZK86" s="0"/>
      <c r="IZL86" s="0"/>
      <c r="IZM86" s="0"/>
      <c r="IZN86" s="0"/>
      <c r="IZO86" s="0"/>
      <c r="IZP86" s="0"/>
      <c r="IZQ86" s="0"/>
      <c r="IZR86" s="0"/>
      <c r="IZS86" s="0"/>
      <c r="IZT86" s="0"/>
      <c r="IZU86" s="0"/>
      <c r="IZV86" s="0"/>
      <c r="IZW86" s="0"/>
      <c r="IZX86" s="0"/>
      <c r="IZY86" s="0"/>
      <c r="IZZ86" s="0"/>
      <c r="JAA86" s="0"/>
      <c r="JAB86" s="0"/>
      <c r="JAC86" s="0"/>
      <c r="JAD86" s="0"/>
      <c r="JAE86" s="0"/>
      <c r="JAF86" s="0"/>
      <c r="JAG86" s="0"/>
      <c r="JAH86" s="0"/>
      <c r="JAI86" s="0"/>
      <c r="JAJ86" s="0"/>
      <c r="JAK86" s="0"/>
      <c r="JAL86" s="0"/>
      <c r="JAM86" s="0"/>
      <c r="JAN86" s="0"/>
      <c r="JAO86" s="0"/>
      <c r="JAP86" s="0"/>
      <c r="JAQ86" s="0"/>
      <c r="JAR86" s="0"/>
      <c r="JAS86" s="0"/>
      <c r="JAT86" s="0"/>
      <c r="JAU86" s="0"/>
      <c r="JAV86" s="0"/>
      <c r="JAW86" s="0"/>
      <c r="JAX86" s="0"/>
      <c r="JAY86" s="0"/>
      <c r="JAZ86" s="0"/>
      <c r="JBA86" s="0"/>
      <c r="JBB86" s="0"/>
      <c r="JBC86" s="0"/>
      <c r="JBD86" s="0"/>
      <c r="JBE86" s="0"/>
      <c r="JBF86" s="0"/>
      <c r="JBG86" s="0"/>
      <c r="JBH86" s="0"/>
      <c r="JBI86" s="0"/>
      <c r="JBJ86" s="0"/>
      <c r="JBK86" s="0"/>
      <c r="JBL86" s="0"/>
      <c r="JBM86" s="0"/>
      <c r="JBN86" s="0"/>
      <c r="JBO86" s="0"/>
      <c r="JBP86" s="0"/>
      <c r="JBQ86" s="0"/>
      <c r="JBR86" s="0"/>
      <c r="JBS86" s="0"/>
      <c r="JBT86" s="0"/>
      <c r="JBU86" s="0"/>
      <c r="JBV86" s="0"/>
      <c r="JBW86" s="0"/>
      <c r="JBX86" s="0"/>
      <c r="JBY86" s="0"/>
      <c r="JBZ86" s="0"/>
      <c r="JCA86" s="0"/>
      <c r="JCB86" s="0"/>
      <c r="JCC86" s="0"/>
      <c r="JCD86" s="0"/>
      <c r="JCE86" s="0"/>
      <c r="JCF86" s="0"/>
      <c r="JCG86" s="0"/>
      <c r="JCH86" s="0"/>
      <c r="JCI86" s="0"/>
      <c r="JCJ86" s="0"/>
      <c r="JCK86" s="0"/>
      <c r="JCL86" s="0"/>
      <c r="JCM86" s="0"/>
      <c r="JCN86" s="0"/>
      <c r="JCO86" s="0"/>
      <c r="JCP86" s="0"/>
      <c r="JCQ86" s="0"/>
      <c r="JCR86" s="0"/>
      <c r="JCS86" s="0"/>
      <c r="JCT86" s="0"/>
      <c r="JCU86" s="0"/>
      <c r="JCV86" s="0"/>
      <c r="JCW86" s="0"/>
      <c r="JCX86" s="0"/>
      <c r="JCY86" s="0"/>
      <c r="JCZ86" s="0"/>
      <c r="JDA86" s="0"/>
      <c r="JDB86" s="0"/>
      <c r="JDC86" s="0"/>
      <c r="JDD86" s="0"/>
      <c r="JDE86" s="0"/>
      <c r="JDF86" s="0"/>
      <c r="JDG86" s="0"/>
      <c r="JDH86" s="0"/>
      <c r="JDI86" s="0"/>
      <c r="JDJ86" s="0"/>
      <c r="JDK86" s="0"/>
      <c r="JDL86" s="0"/>
      <c r="JDM86" s="0"/>
      <c r="JDN86" s="0"/>
      <c r="JDO86" s="0"/>
      <c r="JDP86" s="0"/>
      <c r="JDQ86" s="0"/>
      <c r="JDR86" s="0"/>
      <c r="JDS86" s="0"/>
      <c r="JDT86" s="0"/>
      <c r="JDU86" s="0"/>
      <c r="JDV86" s="0"/>
      <c r="JDW86" s="0"/>
      <c r="JDX86" s="0"/>
      <c r="JDY86" s="0"/>
      <c r="JDZ86" s="0"/>
      <c r="JEA86" s="0"/>
      <c r="JEB86" s="0"/>
      <c r="JEC86" s="0"/>
      <c r="JED86" s="0"/>
      <c r="JEE86" s="0"/>
      <c r="JEF86" s="0"/>
      <c r="JEG86" s="0"/>
      <c r="JEH86" s="0"/>
      <c r="JEI86" s="0"/>
      <c r="JEJ86" s="0"/>
      <c r="JEK86" s="0"/>
      <c r="JEL86" s="0"/>
      <c r="JEM86" s="0"/>
      <c r="JEN86" s="0"/>
      <c r="JEO86" s="0"/>
      <c r="JEP86" s="0"/>
      <c r="JEQ86" s="0"/>
      <c r="JER86" s="0"/>
      <c r="JES86" s="0"/>
      <c r="JET86" s="0"/>
      <c r="JEU86" s="0"/>
      <c r="JEV86" s="0"/>
      <c r="JEW86" s="0"/>
      <c r="JEX86" s="0"/>
      <c r="JEY86" s="0"/>
      <c r="JEZ86" s="0"/>
      <c r="JFA86" s="0"/>
      <c r="JFB86" s="0"/>
      <c r="JFC86" s="0"/>
      <c r="JFD86" s="0"/>
      <c r="JFE86" s="0"/>
      <c r="JFF86" s="0"/>
      <c r="JFG86" s="0"/>
      <c r="JFH86" s="0"/>
      <c r="JFI86" s="0"/>
      <c r="JFJ86" s="0"/>
      <c r="JFK86" s="0"/>
      <c r="JFL86" s="0"/>
      <c r="JFM86" s="0"/>
      <c r="JFN86" s="0"/>
      <c r="JFO86" s="0"/>
      <c r="JFP86" s="0"/>
      <c r="JFQ86" s="0"/>
      <c r="JFR86" s="0"/>
      <c r="JFS86" s="0"/>
      <c r="JFT86" s="0"/>
      <c r="JFU86" s="0"/>
      <c r="JFV86" s="0"/>
      <c r="JFW86" s="0"/>
      <c r="JFX86" s="0"/>
      <c r="JFY86" s="0"/>
      <c r="JFZ86" s="0"/>
      <c r="JGA86" s="0"/>
      <c r="JGB86" s="0"/>
      <c r="JGC86" s="0"/>
      <c r="JGD86" s="0"/>
      <c r="JGE86" s="0"/>
      <c r="JGF86" s="0"/>
      <c r="JGG86" s="0"/>
      <c r="JGH86" s="0"/>
      <c r="JGI86" s="0"/>
      <c r="JGJ86" s="0"/>
      <c r="JGK86" s="0"/>
      <c r="JGL86" s="0"/>
      <c r="JGM86" s="0"/>
      <c r="JGN86" s="0"/>
      <c r="JGO86" s="0"/>
      <c r="JGP86" s="0"/>
      <c r="JGQ86" s="0"/>
      <c r="JGR86" s="0"/>
      <c r="JGS86" s="0"/>
      <c r="JGT86" s="0"/>
      <c r="JGU86" s="0"/>
      <c r="JGV86" s="0"/>
      <c r="JGW86" s="0"/>
      <c r="JGX86" s="0"/>
      <c r="JGY86" s="0"/>
      <c r="JGZ86" s="0"/>
      <c r="JHA86" s="0"/>
      <c r="JHB86" s="0"/>
      <c r="JHC86" s="0"/>
      <c r="JHD86" s="0"/>
      <c r="JHE86" s="0"/>
      <c r="JHF86" s="0"/>
      <c r="JHG86" s="0"/>
      <c r="JHH86" s="0"/>
      <c r="JHI86" s="0"/>
      <c r="JHJ86" s="0"/>
      <c r="JHK86" s="0"/>
      <c r="JHL86" s="0"/>
      <c r="JHM86" s="0"/>
      <c r="JHN86" s="0"/>
      <c r="JHO86" s="0"/>
      <c r="JHP86" s="0"/>
      <c r="JHQ86" s="0"/>
      <c r="JHR86" s="0"/>
      <c r="JHS86" s="0"/>
      <c r="JHT86" s="0"/>
      <c r="JHU86" s="0"/>
      <c r="JHV86" s="0"/>
      <c r="JHW86" s="0"/>
      <c r="JHX86" s="0"/>
      <c r="JHY86" s="0"/>
      <c r="JHZ86" s="0"/>
      <c r="JIA86" s="0"/>
      <c r="JIB86" s="0"/>
      <c r="JIC86" s="0"/>
      <c r="JID86" s="0"/>
      <c r="JIE86" s="0"/>
      <c r="JIF86" s="0"/>
      <c r="JIG86" s="0"/>
      <c r="JIH86" s="0"/>
      <c r="JII86" s="0"/>
      <c r="JIJ86" s="0"/>
      <c r="JIK86" s="0"/>
      <c r="JIL86" s="0"/>
      <c r="JIM86" s="0"/>
      <c r="JIN86" s="0"/>
      <c r="JIO86" s="0"/>
      <c r="JIP86" s="0"/>
      <c r="JIQ86" s="0"/>
      <c r="JIR86" s="0"/>
      <c r="JIS86" s="0"/>
      <c r="JIT86" s="0"/>
      <c r="JIU86" s="0"/>
      <c r="JIV86" s="0"/>
      <c r="JIW86" s="0"/>
      <c r="JIX86" s="0"/>
      <c r="JIY86" s="0"/>
      <c r="JIZ86" s="0"/>
      <c r="JJA86" s="0"/>
      <c r="JJB86" s="0"/>
      <c r="JJC86" s="0"/>
      <c r="JJD86" s="0"/>
      <c r="JJE86" s="0"/>
      <c r="JJF86" s="0"/>
      <c r="JJG86" s="0"/>
      <c r="JJH86" s="0"/>
      <c r="JJI86" s="0"/>
      <c r="JJJ86" s="0"/>
      <c r="JJK86" s="0"/>
      <c r="JJL86" s="0"/>
      <c r="JJM86" s="0"/>
      <c r="JJN86" s="0"/>
      <c r="JJO86" s="0"/>
      <c r="JJP86" s="0"/>
      <c r="JJQ86" s="0"/>
      <c r="JJR86" s="0"/>
      <c r="JJS86" s="0"/>
      <c r="JJT86" s="0"/>
      <c r="JJU86" s="0"/>
      <c r="JJV86" s="0"/>
      <c r="JJW86" s="0"/>
      <c r="JJX86" s="0"/>
      <c r="JJY86" s="0"/>
      <c r="JJZ86" s="0"/>
      <c r="JKA86" s="0"/>
      <c r="JKB86" s="0"/>
      <c r="JKC86" s="0"/>
      <c r="JKD86" s="0"/>
      <c r="JKE86" s="0"/>
      <c r="JKF86" s="0"/>
      <c r="JKG86" s="0"/>
      <c r="JKH86" s="0"/>
      <c r="JKI86" s="0"/>
      <c r="JKJ86" s="0"/>
      <c r="JKK86" s="0"/>
      <c r="JKL86" s="0"/>
      <c r="JKM86" s="0"/>
      <c r="JKN86" s="0"/>
      <c r="JKO86" s="0"/>
      <c r="JKP86" s="0"/>
      <c r="JKQ86" s="0"/>
      <c r="JKR86" s="0"/>
      <c r="JKS86" s="0"/>
      <c r="JKT86" s="0"/>
      <c r="JKU86" s="0"/>
      <c r="JKV86" s="0"/>
      <c r="JKW86" s="0"/>
      <c r="JKX86" s="0"/>
      <c r="JKY86" s="0"/>
      <c r="JKZ86" s="0"/>
      <c r="JLA86" s="0"/>
      <c r="JLB86" s="0"/>
      <c r="JLC86" s="0"/>
      <c r="JLD86" s="0"/>
      <c r="JLE86" s="0"/>
      <c r="JLF86" s="0"/>
      <c r="JLG86" s="0"/>
      <c r="JLH86" s="0"/>
      <c r="JLI86" s="0"/>
      <c r="JLJ86" s="0"/>
      <c r="JLK86" s="0"/>
      <c r="JLL86" s="0"/>
      <c r="JLM86" s="0"/>
      <c r="JLN86" s="0"/>
      <c r="JLO86" s="0"/>
      <c r="JLP86" s="0"/>
      <c r="JLQ86" s="0"/>
      <c r="JLR86" s="0"/>
      <c r="JLS86" s="0"/>
      <c r="JLT86" s="0"/>
      <c r="JLU86" s="0"/>
      <c r="JLV86" s="0"/>
      <c r="JLW86" s="0"/>
      <c r="JLX86" s="0"/>
      <c r="JLY86" s="0"/>
      <c r="JLZ86" s="0"/>
      <c r="JMA86" s="0"/>
      <c r="JMB86" s="0"/>
      <c r="JMC86" s="0"/>
      <c r="JMD86" s="0"/>
      <c r="JME86" s="0"/>
      <c r="JMF86" s="0"/>
      <c r="JMG86" s="0"/>
      <c r="JMH86" s="0"/>
      <c r="JMI86" s="0"/>
      <c r="JMJ86" s="0"/>
      <c r="JMK86" s="0"/>
      <c r="JML86" s="0"/>
      <c r="JMM86" s="0"/>
      <c r="JMN86" s="0"/>
      <c r="JMO86" s="0"/>
      <c r="JMP86" s="0"/>
      <c r="JMQ86" s="0"/>
      <c r="JMR86" s="0"/>
      <c r="JMS86" s="0"/>
      <c r="JMT86" s="0"/>
      <c r="JMU86" s="0"/>
      <c r="JMV86" s="0"/>
      <c r="JMW86" s="0"/>
      <c r="JMX86" s="0"/>
      <c r="JMY86" s="0"/>
      <c r="JMZ86" s="0"/>
      <c r="JNA86" s="0"/>
      <c r="JNB86" s="0"/>
      <c r="JNC86" s="0"/>
      <c r="JND86" s="0"/>
      <c r="JNE86" s="0"/>
      <c r="JNF86" s="0"/>
      <c r="JNG86" s="0"/>
      <c r="JNH86" s="0"/>
      <c r="JNI86" s="0"/>
      <c r="JNJ86" s="0"/>
      <c r="JNK86" s="0"/>
      <c r="JNL86" s="0"/>
      <c r="JNM86" s="0"/>
      <c r="JNN86" s="0"/>
      <c r="JNO86" s="0"/>
      <c r="JNP86" s="0"/>
      <c r="JNQ86" s="0"/>
      <c r="JNR86" s="0"/>
      <c r="JNS86" s="0"/>
      <c r="JNT86" s="0"/>
      <c r="JNU86" s="0"/>
      <c r="JNV86" s="0"/>
      <c r="JNW86" s="0"/>
      <c r="JNX86" s="0"/>
      <c r="JNY86" s="0"/>
      <c r="JNZ86" s="0"/>
      <c r="JOA86" s="0"/>
      <c r="JOB86" s="0"/>
      <c r="JOC86" s="0"/>
      <c r="JOD86" s="0"/>
      <c r="JOE86" s="0"/>
      <c r="JOF86" s="0"/>
      <c r="JOG86" s="0"/>
      <c r="JOH86" s="0"/>
      <c r="JOI86" s="0"/>
      <c r="JOJ86" s="0"/>
      <c r="JOK86" s="0"/>
      <c r="JOL86" s="0"/>
      <c r="JOM86" s="0"/>
      <c r="JON86" s="0"/>
      <c r="JOO86" s="0"/>
      <c r="JOP86" s="0"/>
      <c r="JOQ86" s="0"/>
      <c r="JOR86" s="0"/>
      <c r="JOS86" s="0"/>
      <c r="JOT86" s="0"/>
      <c r="JOU86" s="0"/>
      <c r="JOV86" s="0"/>
      <c r="JOW86" s="0"/>
      <c r="JOX86" s="0"/>
      <c r="JOY86" s="0"/>
      <c r="JOZ86" s="0"/>
      <c r="JPA86" s="0"/>
      <c r="JPB86" s="0"/>
      <c r="JPC86" s="0"/>
      <c r="JPD86" s="0"/>
      <c r="JPE86" s="0"/>
      <c r="JPF86" s="0"/>
      <c r="JPG86" s="0"/>
      <c r="JPH86" s="0"/>
      <c r="JPI86" s="0"/>
      <c r="JPJ86" s="0"/>
      <c r="JPK86" s="0"/>
      <c r="JPL86" s="0"/>
      <c r="JPM86" s="0"/>
      <c r="JPN86" s="0"/>
      <c r="JPO86" s="0"/>
      <c r="JPP86" s="0"/>
      <c r="JPQ86" s="0"/>
      <c r="JPR86" s="0"/>
      <c r="JPS86" s="0"/>
      <c r="JPT86" s="0"/>
      <c r="JPU86" s="0"/>
      <c r="JPV86" s="0"/>
      <c r="JPW86" s="0"/>
      <c r="JPX86" s="0"/>
      <c r="JPY86" s="0"/>
      <c r="JPZ86" s="0"/>
      <c r="JQA86" s="0"/>
      <c r="JQB86" s="0"/>
      <c r="JQC86" s="0"/>
      <c r="JQD86" s="0"/>
      <c r="JQE86" s="0"/>
      <c r="JQF86" s="0"/>
      <c r="JQG86" s="0"/>
      <c r="JQH86" s="0"/>
      <c r="JQI86" s="0"/>
      <c r="JQJ86" s="0"/>
      <c r="JQK86" s="0"/>
      <c r="JQL86" s="0"/>
      <c r="JQM86" s="0"/>
      <c r="JQN86" s="0"/>
      <c r="JQO86" s="0"/>
      <c r="JQP86" s="0"/>
      <c r="JQQ86" s="0"/>
      <c r="JQR86" s="0"/>
      <c r="JQS86" s="0"/>
      <c r="JQT86" s="0"/>
      <c r="JQU86" s="0"/>
      <c r="JQV86" s="0"/>
      <c r="JQW86" s="0"/>
      <c r="JQX86" s="0"/>
      <c r="JQY86" s="0"/>
      <c r="JQZ86" s="0"/>
      <c r="JRA86" s="0"/>
      <c r="JRB86" s="0"/>
      <c r="JRC86" s="0"/>
      <c r="JRD86" s="0"/>
      <c r="JRE86" s="0"/>
      <c r="JRF86" s="0"/>
      <c r="JRG86" s="0"/>
      <c r="JRH86" s="0"/>
      <c r="JRI86" s="0"/>
      <c r="JRJ86" s="0"/>
      <c r="JRK86" s="0"/>
      <c r="JRL86" s="0"/>
      <c r="JRM86" s="0"/>
      <c r="JRN86" s="0"/>
      <c r="JRO86" s="0"/>
      <c r="JRP86" s="0"/>
      <c r="JRQ86" s="0"/>
      <c r="JRR86" s="0"/>
      <c r="JRS86" s="0"/>
      <c r="JRT86" s="0"/>
      <c r="JRU86" s="0"/>
      <c r="JRV86" s="0"/>
      <c r="JRW86" s="0"/>
      <c r="JRX86" s="0"/>
      <c r="JRY86" s="0"/>
      <c r="JRZ86" s="0"/>
      <c r="JSA86" s="0"/>
      <c r="JSB86" s="0"/>
      <c r="JSC86" s="0"/>
      <c r="JSD86" s="0"/>
      <c r="JSE86" s="0"/>
      <c r="JSF86" s="0"/>
      <c r="JSG86" s="0"/>
      <c r="JSH86" s="0"/>
      <c r="JSI86" s="0"/>
      <c r="JSJ86" s="0"/>
      <c r="JSK86" s="0"/>
      <c r="JSL86" s="0"/>
      <c r="JSM86" s="0"/>
      <c r="JSN86" s="0"/>
      <c r="JSO86" s="0"/>
      <c r="JSP86" s="0"/>
      <c r="JSQ86" s="0"/>
      <c r="JSR86" s="0"/>
      <c r="JSS86" s="0"/>
      <c r="JST86" s="0"/>
      <c r="JSU86" s="0"/>
      <c r="JSV86" s="0"/>
      <c r="JSW86" s="0"/>
      <c r="JSX86" s="0"/>
      <c r="JSY86" s="0"/>
      <c r="JSZ86" s="0"/>
      <c r="JTA86" s="0"/>
      <c r="JTB86" s="0"/>
      <c r="JTC86" s="0"/>
      <c r="JTD86" s="0"/>
      <c r="JTE86" s="0"/>
      <c r="JTF86" s="0"/>
      <c r="JTG86" s="0"/>
      <c r="JTH86" s="0"/>
      <c r="JTI86" s="0"/>
      <c r="JTJ86" s="0"/>
      <c r="JTK86" s="0"/>
      <c r="JTL86" s="0"/>
      <c r="JTM86" s="0"/>
      <c r="JTN86" s="0"/>
      <c r="JTO86" s="0"/>
      <c r="JTP86" s="0"/>
      <c r="JTQ86" s="0"/>
      <c r="JTR86" s="0"/>
      <c r="JTS86" s="0"/>
      <c r="JTT86" s="0"/>
      <c r="JTU86" s="0"/>
      <c r="JTV86" s="0"/>
      <c r="JTW86" s="0"/>
      <c r="JTX86" s="0"/>
      <c r="JTY86" s="0"/>
      <c r="JTZ86" s="0"/>
      <c r="JUA86" s="0"/>
      <c r="JUB86" s="0"/>
      <c r="JUC86" s="0"/>
      <c r="JUD86" s="0"/>
      <c r="JUE86" s="0"/>
      <c r="JUF86" s="0"/>
      <c r="JUG86" s="0"/>
      <c r="JUH86" s="0"/>
      <c r="JUI86" s="0"/>
      <c r="JUJ86" s="0"/>
      <c r="JUK86" s="0"/>
      <c r="JUL86" s="0"/>
      <c r="JUM86" s="0"/>
      <c r="JUN86" s="0"/>
      <c r="JUO86" s="0"/>
      <c r="JUP86" s="0"/>
      <c r="JUQ86" s="0"/>
      <c r="JUR86" s="0"/>
      <c r="JUS86" s="0"/>
      <c r="JUT86" s="0"/>
      <c r="JUU86" s="0"/>
      <c r="JUV86" s="0"/>
      <c r="JUW86" s="0"/>
      <c r="JUX86" s="0"/>
      <c r="JUY86" s="0"/>
      <c r="JUZ86" s="0"/>
      <c r="JVA86" s="0"/>
      <c r="JVB86" s="0"/>
      <c r="JVC86" s="0"/>
      <c r="JVD86" s="0"/>
      <c r="JVE86" s="0"/>
      <c r="JVF86" s="0"/>
      <c r="JVG86" s="0"/>
      <c r="JVH86" s="0"/>
      <c r="JVI86" s="0"/>
      <c r="JVJ86" s="0"/>
      <c r="JVK86" s="0"/>
      <c r="JVL86" s="0"/>
      <c r="JVM86" s="0"/>
      <c r="JVN86" s="0"/>
      <c r="JVO86" s="0"/>
      <c r="JVP86" s="0"/>
      <c r="JVQ86" s="0"/>
      <c r="JVR86" s="0"/>
      <c r="JVS86" s="0"/>
      <c r="JVT86" s="0"/>
      <c r="JVU86" s="0"/>
      <c r="JVV86" s="0"/>
      <c r="JVW86" s="0"/>
      <c r="JVX86" s="0"/>
      <c r="JVY86" s="0"/>
      <c r="JVZ86" s="0"/>
      <c r="JWA86" s="0"/>
      <c r="JWB86" s="0"/>
      <c r="JWC86" s="0"/>
      <c r="JWD86" s="0"/>
      <c r="JWE86" s="0"/>
      <c r="JWF86" s="0"/>
      <c r="JWG86" s="0"/>
      <c r="JWH86" s="0"/>
      <c r="JWI86" s="0"/>
      <c r="JWJ86" s="0"/>
      <c r="JWK86" s="0"/>
      <c r="JWL86" s="0"/>
      <c r="JWM86" s="0"/>
      <c r="JWN86" s="0"/>
      <c r="JWO86" s="0"/>
      <c r="JWP86" s="0"/>
      <c r="JWQ86" s="0"/>
      <c r="JWR86" s="0"/>
      <c r="JWS86" s="0"/>
      <c r="JWT86" s="0"/>
      <c r="JWU86" s="0"/>
      <c r="JWV86" s="0"/>
      <c r="JWW86" s="0"/>
      <c r="JWX86" s="0"/>
      <c r="JWY86" s="0"/>
      <c r="JWZ86" s="0"/>
      <c r="JXA86" s="0"/>
      <c r="JXB86" s="0"/>
      <c r="JXC86" s="0"/>
      <c r="JXD86" s="0"/>
      <c r="JXE86" s="0"/>
      <c r="JXF86" s="0"/>
      <c r="JXG86" s="0"/>
      <c r="JXH86" s="0"/>
      <c r="JXI86" s="0"/>
      <c r="JXJ86" s="0"/>
      <c r="JXK86" s="0"/>
      <c r="JXL86" s="0"/>
      <c r="JXM86" s="0"/>
      <c r="JXN86" s="0"/>
      <c r="JXO86" s="0"/>
      <c r="JXP86" s="0"/>
      <c r="JXQ86" s="0"/>
      <c r="JXR86" s="0"/>
      <c r="JXS86" s="0"/>
      <c r="JXT86" s="0"/>
      <c r="JXU86" s="0"/>
      <c r="JXV86" s="0"/>
      <c r="JXW86" s="0"/>
      <c r="JXX86" s="0"/>
      <c r="JXY86" s="0"/>
      <c r="JXZ86" s="0"/>
      <c r="JYA86" s="0"/>
      <c r="JYB86" s="0"/>
      <c r="JYC86" s="0"/>
      <c r="JYD86" s="0"/>
      <c r="JYE86" s="0"/>
      <c r="JYF86" s="0"/>
      <c r="JYG86" s="0"/>
      <c r="JYH86" s="0"/>
      <c r="JYI86" s="0"/>
      <c r="JYJ86" s="0"/>
      <c r="JYK86" s="0"/>
      <c r="JYL86" s="0"/>
      <c r="JYM86" s="0"/>
      <c r="JYN86" s="0"/>
      <c r="JYO86" s="0"/>
      <c r="JYP86" s="0"/>
      <c r="JYQ86" s="0"/>
      <c r="JYR86" s="0"/>
      <c r="JYS86" s="0"/>
      <c r="JYT86" s="0"/>
      <c r="JYU86" s="0"/>
      <c r="JYV86" s="0"/>
      <c r="JYW86" s="0"/>
      <c r="JYX86" s="0"/>
      <c r="JYY86" s="0"/>
      <c r="JYZ86" s="0"/>
      <c r="JZA86" s="0"/>
      <c r="JZB86" s="0"/>
      <c r="JZC86" s="0"/>
      <c r="JZD86" s="0"/>
      <c r="JZE86" s="0"/>
      <c r="JZF86" s="0"/>
      <c r="JZG86" s="0"/>
      <c r="JZH86" s="0"/>
      <c r="JZI86" s="0"/>
      <c r="JZJ86" s="0"/>
      <c r="JZK86" s="0"/>
      <c r="JZL86" s="0"/>
      <c r="JZM86" s="0"/>
      <c r="JZN86" s="0"/>
      <c r="JZO86" s="0"/>
      <c r="JZP86" s="0"/>
      <c r="JZQ86" s="0"/>
      <c r="JZR86" s="0"/>
      <c r="JZS86" s="0"/>
      <c r="JZT86" s="0"/>
      <c r="JZU86" s="0"/>
      <c r="JZV86" s="0"/>
      <c r="JZW86" s="0"/>
      <c r="JZX86" s="0"/>
      <c r="JZY86" s="0"/>
      <c r="JZZ86" s="0"/>
      <c r="KAA86" s="0"/>
      <c r="KAB86" s="0"/>
      <c r="KAC86" s="0"/>
      <c r="KAD86" s="0"/>
      <c r="KAE86" s="0"/>
      <c r="KAF86" s="0"/>
      <c r="KAG86" s="0"/>
      <c r="KAH86" s="0"/>
      <c r="KAI86" s="0"/>
      <c r="KAJ86" s="0"/>
      <c r="KAK86" s="0"/>
      <c r="KAL86" s="0"/>
      <c r="KAM86" s="0"/>
      <c r="KAN86" s="0"/>
      <c r="KAO86" s="0"/>
      <c r="KAP86" s="0"/>
      <c r="KAQ86" s="0"/>
      <c r="KAR86" s="0"/>
      <c r="KAS86" s="0"/>
      <c r="KAT86" s="0"/>
      <c r="KAU86" s="0"/>
      <c r="KAV86" s="0"/>
      <c r="KAW86" s="0"/>
      <c r="KAX86" s="0"/>
      <c r="KAY86" s="0"/>
      <c r="KAZ86" s="0"/>
      <c r="KBA86" s="0"/>
      <c r="KBB86" s="0"/>
      <c r="KBC86" s="0"/>
      <c r="KBD86" s="0"/>
      <c r="KBE86" s="0"/>
      <c r="KBF86" s="0"/>
      <c r="KBG86" s="0"/>
      <c r="KBH86" s="0"/>
      <c r="KBI86" s="0"/>
      <c r="KBJ86" s="0"/>
      <c r="KBK86" s="0"/>
      <c r="KBL86" s="0"/>
      <c r="KBM86" s="0"/>
      <c r="KBN86" s="0"/>
      <c r="KBO86" s="0"/>
      <c r="KBP86" s="0"/>
      <c r="KBQ86" s="0"/>
      <c r="KBR86" s="0"/>
      <c r="KBS86" s="0"/>
      <c r="KBT86" s="0"/>
      <c r="KBU86" s="0"/>
      <c r="KBV86" s="0"/>
      <c r="KBW86" s="0"/>
      <c r="KBX86" s="0"/>
      <c r="KBY86" s="0"/>
      <c r="KBZ86" s="0"/>
      <c r="KCA86" s="0"/>
      <c r="KCB86" s="0"/>
      <c r="KCC86" s="0"/>
      <c r="KCD86" s="0"/>
      <c r="KCE86" s="0"/>
      <c r="KCF86" s="0"/>
      <c r="KCG86" s="0"/>
      <c r="KCH86" s="0"/>
      <c r="KCI86" s="0"/>
      <c r="KCJ86" s="0"/>
      <c r="KCK86" s="0"/>
      <c r="KCL86" s="0"/>
      <c r="KCM86" s="0"/>
      <c r="KCN86" s="0"/>
      <c r="KCO86" s="0"/>
      <c r="KCP86" s="0"/>
      <c r="KCQ86" s="0"/>
      <c r="KCR86" s="0"/>
      <c r="KCS86" s="0"/>
      <c r="KCT86" s="0"/>
      <c r="KCU86" s="0"/>
      <c r="KCV86" s="0"/>
      <c r="KCW86" s="0"/>
      <c r="KCX86" s="0"/>
      <c r="KCY86" s="0"/>
      <c r="KCZ86" s="0"/>
      <c r="KDA86" s="0"/>
      <c r="KDB86" s="0"/>
      <c r="KDC86" s="0"/>
      <c r="KDD86" s="0"/>
      <c r="KDE86" s="0"/>
      <c r="KDF86" s="0"/>
      <c r="KDG86" s="0"/>
      <c r="KDH86" s="0"/>
      <c r="KDI86" s="0"/>
      <c r="KDJ86" s="0"/>
      <c r="KDK86" s="0"/>
      <c r="KDL86" s="0"/>
      <c r="KDM86" s="0"/>
      <c r="KDN86" s="0"/>
      <c r="KDO86" s="0"/>
      <c r="KDP86" s="0"/>
      <c r="KDQ86" s="0"/>
      <c r="KDR86" s="0"/>
      <c r="KDS86" s="0"/>
      <c r="KDT86" s="0"/>
      <c r="KDU86" s="0"/>
      <c r="KDV86" s="0"/>
      <c r="KDW86" s="0"/>
      <c r="KDX86" s="0"/>
      <c r="KDY86" s="0"/>
      <c r="KDZ86" s="0"/>
      <c r="KEA86" s="0"/>
      <c r="KEB86" s="0"/>
      <c r="KEC86" s="0"/>
      <c r="KED86" s="0"/>
      <c r="KEE86" s="0"/>
      <c r="KEF86" s="0"/>
      <c r="KEG86" s="0"/>
      <c r="KEH86" s="0"/>
      <c r="KEI86" s="0"/>
      <c r="KEJ86" s="0"/>
      <c r="KEK86" s="0"/>
      <c r="KEL86" s="0"/>
      <c r="KEM86" s="0"/>
      <c r="KEN86" s="0"/>
      <c r="KEO86" s="0"/>
      <c r="KEP86" s="0"/>
      <c r="KEQ86" s="0"/>
      <c r="KER86" s="0"/>
      <c r="KES86" s="0"/>
      <c r="KET86" s="0"/>
      <c r="KEU86" s="0"/>
      <c r="KEV86" s="0"/>
      <c r="KEW86" s="0"/>
      <c r="KEX86" s="0"/>
      <c r="KEY86" s="0"/>
      <c r="KEZ86" s="0"/>
      <c r="KFA86" s="0"/>
      <c r="KFB86" s="0"/>
      <c r="KFC86" s="0"/>
      <c r="KFD86" s="0"/>
      <c r="KFE86" s="0"/>
      <c r="KFF86" s="0"/>
      <c r="KFG86" s="0"/>
      <c r="KFH86" s="0"/>
      <c r="KFI86" s="0"/>
      <c r="KFJ86" s="0"/>
      <c r="KFK86" s="0"/>
      <c r="KFL86" s="0"/>
      <c r="KFM86" s="0"/>
      <c r="KFN86" s="0"/>
      <c r="KFO86" s="0"/>
      <c r="KFP86" s="0"/>
      <c r="KFQ86" s="0"/>
      <c r="KFR86" s="0"/>
      <c r="KFS86" s="0"/>
      <c r="KFT86" s="0"/>
      <c r="KFU86" s="0"/>
      <c r="KFV86" s="0"/>
      <c r="KFW86" s="0"/>
      <c r="KFX86" s="0"/>
      <c r="KFY86" s="0"/>
      <c r="KFZ86" s="0"/>
      <c r="KGA86" s="0"/>
      <c r="KGB86" s="0"/>
      <c r="KGC86" s="0"/>
      <c r="KGD86" s="0"/>
      <c r="KGE86" s="0"/>
      <c r="KGF86" s="0"/>
      <c r="KGG86" s="0"/>
      <c r="KGH86" s="0"/>
      <c r="KGI86" s="0"/>
      <c r="KGJ86" s="0"/>
      <c r="KGK86" s="0"/>
      <c r="KGL86" s="0"/>
      <c r="KGM86" s="0"/>
      <c r="KGN86" s="0"/>
      <c r="KGO86" s="0"/>
      <c r="KGP86" s="0"/>
      <c r="KGQ86" s="0"/>
      <c r="KGR86" s="0"/>
      <c r="KGS86" s="0"/>
      <c r="KGT86" s="0"/>
      <c r="KGU86" s="0"/>
      <c r="KGV86" s="0"/>
      <c r="KGW86" s="0"/>
      <c r="KGX86" s="0"/>
      <c r="KGY86" s="0"/>
      <c r="KGZ86" s="0"/>
      <c r="KHA86" s="0"/>
      <c r="KHB86" s="0"/>
      <c r="KHC86" s="0"/>
      <c r="KHD86" s="0"/>
      <c r="KHE86" s="0"/>
      <c r="KHF86" s="0"/>
      <c r="KHG86" s="0"/>
      <c r="KHH86" s="0"/>
      <c r="KHI86" s="0"/>
      <c r="KHJ86" s="0"/>
      <c r="KHK86" s="0"/>
      <c r="KHL86" s="0"/>
      <c r="KHM86" s="0"/>
      <c r="KHN86" s="0"/>
      <c r="KHO86" s="0"/>
      <c r="KHP86" s="0"/>
      <c r="KHQ86" s="0"/>
      <c r="KHR86" s="0"/>
      <c r="KHS86" s="0"/>
      <c r="KHT86" s="0"/>
      <c r="KHU86" s="0"/>
      <c r="KHV86" s="0"/>
      <c r="KHW86" s="0"/>
      <c r="KHX86" s="0"/>
      <c r="KHY86" s="0"/>
      <c r="KHZ86" s="0"/>
      <c r="KIA86" s="0"/>
      <c r="KIB86" s="0"/>
      <c r="KIC86" s="0"/>
      <c r="KID86" s="0"/>
      <c r="KIE86" s="0"/>
      <c r="KIF86" s="0"/>
      <c r="KIG86" s="0"/>
      <c r="KIH86" s="0"/>
      <c r="KII86" s="0"/>
      <c r="KIJ86" s="0"/>
      <c r="KIK86" s="0"/>
      <c r="KIL86" s="0"/>
      <c r="KIM86" s="0"/>
      <c r="KIN86" s="0"/>
      <c r="KIO86" s="0"/>
      <c r="KIP86" s="0"/>
      <c r="KIQ86" s="0"/>
      <c r="KIR86" s="0"/>
      <c r="KIS86" s="0"/>
      <c r="KIT86" s="0"/>
      <c r="KIU86" s="0"/>
      <c r="KIV86" s="0"/>
      <c r="KIW86" s="0"/>
      <c r="KIX86" s="0"/>
      <c r="KIY86" s="0"/>
      <c r="KIZ86" s="0"/>
      <c r="KJA86" s="0"/>
      <c r="KJB86" s="0"/>
      <c r="KJC86" s="0"/>
      <c r="KJD86" s="0"/>
      <c r="KJE86" s="0"/>
      <c r="KJF86" s="0"/>
      <c r="KJG86" s="0"/>
      <c r="KJH86" s="0"/>
      <c r="KJI86" s="0"/>
      <c r="KJJ86" s="0"/>
      <c r="KJK86" s="0"/>
      <c r="KJL86" s="0"/>
      <c r="KJM86" s="0"/>
      <c r="KJN86" s="0"/>
      <c r="KJO86" s="0"/>
      <c r="KJP86" s="0"/>
      <c r="KJQ86" s="0"/>
      <c r="KJR86" s="0"/>
      <c r="KJS86" s="0"/>
      <c r="KJT86" s="0"/>
      <c r="KJU86" s="0"/>
      <c r="KJV86" s="0"/>
      <c r="KJW86" s="0"/>
      <c r="KJX86" s="0"/>
      <c r="KJY86" s="0"/>
      <c r="KJZ86" s="0"/>
      <c r="KKA86" s="0"/>
      <c r="KKB86" s="0"/>
      <c r="KKC86" s="0"/>
      <c r="KKD86" s="0"/>
      <c r="KKE86" s="0"/>
      <c r="KKF86" s="0"/>
      <c r="KKG86" s="0"/>
      <c r="KKH86" s="0"/>
      <c r="KKI86" s="0"/>
      <c r="KKJ86" s="0"/>
      <c r="KKK86" s="0"/>
      <c r="KKL86" s="0"/>
      <c r="KKM86" s="0"/>
      <c r="KKN86" s="0"/>
      <c r="KKO86" s="0"/>
      <c r="KKP86" s="0"/>
      <c r="KKQ86" s="0"/>
      <c r="KKR86" s="0"/>
      <c r="KKS86" s="0"/>
      <c r="KKT86" s="0"/>
      <c r="KKU86" s="0"/>
      <c r="KKV86" s="0"/>
      <c r="KKW86" s="0"/>
      <c r="KKX86" s="0"/>
      <c r="KKY86" s="0"/>
      <c r="KKZ86" s="0"/>
      <c r="KLA86" s="0"/>
      <c r="KLB86" s="0"/>
      <c r="KLC86" s="0"/>
      <c r="KLD86" s="0"/>
      <c r="KLE86" s="0"/>
      <c r="KLF86" s="0"/>
      <c r="KLG86" s="0"/>
      <c r="KLH86" s="0"/>
      <c r="KLI86" s="0"/>
      <c r="KLJ86" s="0"/>
      <c r="KLK86" s="0"/>
      <c r="KLL86" s="0"/>
      <c r="KLM86" s="0"/>
      <c r="KLN86" s="0"/>
      <c r="KLO86" s="0"/>
      <c r="KLP86" s="0"/>
      <c r="KLQ86" s="0"/>
      <c r="KLR86" s="0"/>
      <c r="KLS86" s="0"/>
      <c r="KLT86" s="0"/>
      <c r="KLU86" s="0"/>
      <c r="KLV86" s="0"/>
      <c r="KLW86" s="0"/>
      <c r="KLX86" s="0"/>
      <c r="KLY86" s="0"/>
      <c r="KLZ86" s="0"/>
      <c r="KMA86" s="0"/>
      <c r="KMB86" s="0"/>
      <c r="KMC86" s="0"/>
      <c r="KMD86" s="0"/>
      <c r="KME86" s="0"/>
      <c r="KMF86" s="0"/>
      <c r="KMG86" s="0"/>
      <c r="KMH86" s="0"/>
      <c r="KMI86" s="0"/>
      <c r="KMJ86" s="0"/>
      <c r="KMK86" s="0"/>
      <c r="KML86" s="0"/>
      <c r="KMM86" s="0"/>
      <c r="KMN86" s="0"/>
      <c r="KMO86" s="0"/>
      <c r="KMP86" s="0"/>
      <c r="KMQ86" s="0"/>
      <c r="KMR86" s="0"/>
      <c r="KMS86" s="0"/>
      <c r="KMT86" s="0"/>
      <c r="KMU86" s="0"/>
      <c r="KMV86" s="0"/>
      <c r="KMW86" s="0"/>
      <c r="KMX86" s="0"/>
      <c r="KMY86" s="0"/>
      <c r="KMZ86" s="0"/>
      <c r="KNA86" s="0"/>
      <c r="KNB86" s="0"/>
      <c r="KNC86" s="0"/>
      <c r="KND86" s="0"/>
      <c r="KNE86" s="0"/>
      <c r="KNF86" s="0"/>
      <c r="KNG86" s="0"/>
      <c r="KNH86" s="0"/>
      <c r="KNI86" s="0"/>
      <c r="KNJ86" s="0"/>
      <c r="KNK86" s="0"/>
      <c r="KNL86" s="0"/>
      <c r="KNM86" s="0"/>
      <c r="KNN86" s="0"/>
      <c r="KNO86" s="0"/>
      <c r="KNP86" s="0"/>
      <c r="KNQ86" s="0"/>
      <c r="KNR86" s="0"/>
      <c r="KNS86" s="0"/>
      <c r="KNT86" s="0"/>
      <c r="KNU86" s="0"/>
      <c r="KNV86" s="0"/>
      <c r="KNW86" s="0"/>
      <c r="KNX86" s="0"/>
      <c r="KNY86" s="0"/>
      <c r="KNZ86" s="0"/>
      <c r="KOA86" s="0"/>
      <c r="KOB86" s="0"/>
      <c r="KOC86" s="0"/>
      <c r="KOD86" s="0"/>
      <c r="KOE86" s="0"/>
      <c r="KOF86" s="0"/>
      <c r="KOG86" s="0"/>
      <c r="KOH86" s="0"/>
      <c r="KOI86" s="0"/>
      <c r="KOJ86" s="0"/>
      <c r="KOK86" s="0"/>
      <c r="KOL86" s="0"/>
      <c r="KOM86" s="0"/>
      <c r="KON86" s="0"/>
      <c r="KOO86" s="0"/>
      <c r="KOP86" s="0"/>
      <c r="KOQ86" s="0"/>
      <c r="KOR86" s="0"/>
      <c r="KOS86" s="0"/>
      <c r="KOT86" s="0"/>
      <c r="KOU86" s="0"/>
      <c r="KOV86" s="0"/>
      <c r="KOW86" s="0"/>
      <c r="KOX86" s="0"/>
      <c r="KOY86" s="0"/>
      <c r="KOZ86" s="0"/>
      <c r="KPA86" s="0"/>
      <c r="KPB86" s="0"/>
      <c r="KPC86" s="0"/>
      <c r="KPD86" s="0"/>
      <c r="KPE86" s="0"/>
      <c r="KPF86" s="0"/>
      <c r="KPG86" s="0"/>
      <c r="KPH86" s="0"/>
      <c r="KPI86" s="0"/>
      <c r="KPJ86" s="0"/>
      <c r="KPK86" s="0"/>
      <c r="KPL86" s="0"/>
      <c r="KPM86" s="0"/>
      <c r="KPN86" s="0"/>
      <c r="KPO86" s="0"/>
      <c r="KPP86" s="0"/>
      <c r="KPQ86" s="0"/>
      <c r="KPR86" s="0"/>
      <c r="KPS86" s="0"/>
      <c r="KPT86" s="0"/>
      <c r="KPU86" s="0"/>
      <c r="KPV86" s="0"/>
      <c r="KPW86" s="0"/>
      <c r="KPX86" s="0"/>
      <c r="KPY86" s="0"/>
      <c r="KPZ86" s="0"/>
      <c r="KQA86" s="0"/>
      <c r="KQB86" s="0"/>
      <c r="KQC86" s="0"/>
      <c r="KQD86" s="0"/>
      <c r="KQE86" s="0"/>
      <c r="KQF86" s="0"/>
      <c r="KQG86" s="0"/>
      <c r="KQH86" s="0"/>
      <c r="KQI86" s="0"/>
      <c r="KQJ86" s="0"/>
      <c r="KQK86" s="0"/>
      <c r="KQL86" s="0"/>
      <c r="KQM86" s="0"/>
      <c r="KQN86" s="0"/>
      <c r="KQO86" s="0"/>
      <c r="KQP86" s="0"/>
      <c r="KQQ86" s="0"/>
      <c r="KQR86" s="0"/>
      <c r="KQS86" s="0"/>
      <c r="KQT86" s="0"/>
      <c r="KQU86" s="0"/>
      <c r="KQV86" s="0"/>
      <c r="KQW86" s="0"/>
      <c r="KQX86" s="0"/>
      <c r="KQY86" s="0"/>
      <c r="KQZ86" s="0"/>
      <c r="KRA86" s="0"/>
      <c r="KRB86" s="0"/>
      <c r="KRC86" s="0"/>
      <c r="KRD86" s="0"/>
      <c r="KRE86" s="0"/>
      <c r="KRF86" s="0"/>
      <c r="KRG86" s="0"/>
      <c r="KRH86" s="0"/>
      <c r="KRI86" s="0"/>
      <c r="KRJ86" s="0"/>
      <c r="KRK86" s="0"/>
      <c r="KRL86" s="0"/>
      <c r="KRM86" s="0"/>
      <c r="KRN86" s="0"/>
      <c r="KRO86" s="0"/>
      <c r="KRP86" s="0"/>
      <c r="KRQ86" s="0"/>
      <c r="KRR86" s="0"/>
      <c r="KRS86" s="0"/>
      <c r="KRT86" s="0"/>
      <c r="KRU86" s="0"/>
      <c r="KRV86" s="0"/>
      <c r="KRW86" s="0"/>
      <c r="KRX86" s="0"/>
      <c r="KRY86" s="0"/>
      <c r="KRZ86" s="0"/>
      <c r="KSA86" s="0"/>
      <c r="KSB86" s="0"/>
      <c r="KSC86" s="0"/>
      <c r="KSD86" s="0"/>
      <c r="KSE86" s="0"/>
      <c r="KSF86" s="0"/>
      <c r="KSG86" s="0"/>
      <c r="KSH86" s="0"/>
      <c r="KSI86" s="0"/>
      <c r="KSJ86" s="0"/>
      <c r="KSK86" s="0"/>
      <c r="KSL86" s="0"/>
      <c r="KSM86" s="0"/>
      <c r="KSN86" s="0"/>
      <c r="KSO86" s="0"/>
      <c r="KSP86" s="0"/>
      <c r="KSQ86" s="0"/>
      <c r="KSR86" s="0"/>
      <c r="KSS86" s="0"/>
      <c r="KST86" s="0"/>
      <c r="KSU86" s="0"/>
      <c r="KSV86" s="0"/>
      <c r="KSW86" s="0"/>
      <c r="KSX86" s="0"/>
      <c r="KSY86" s="0"/>
      <c r="KSZ86" s="0"/>
      <c r="KTA86" s="0"/>
      <c r="KTB86" s="0"/>
      <c r="KTC86" s="0"/>
      <c r="KTD86" s="0"/>
      <c r="KTE86" s="0"/>
      <c r="KTF86" s="0"/>
      <c r="KTG86" s="0"/>
      <c r="KTH86" s="0"/>
      <c r="KTI86" s="0"/>
      <c r="KTJ86" s="0"/>
      <c r="KTK86" s="0"/>
      <c r="KTL86" s="0"/>
      <c r="KTM86" s="0"/>
      <c r="KTN86" s="0"/>
      <c r="KTO86" s="0"/>
      <c r="KTP86" s="0"/>
      <c r="KTQ86" s="0"/>
      <c r="KTR86" s="0"/>
      <c r="KTS86" s="0"/>
      <c r="KTT86" s="0"/>
      <c r="KTU86" s="0"/>
      <c r="KTV86" s="0"/>
      <c r="KTW86" s="0"/>
      <c r="KTX86" s="0"/>
      <c r="KTY86" s="0"/>
      <c r="KTZ86" s="0"/>
      <c r="KUA86" s="0"/>
      <c r="KUB86" s="0"/>
      <c r="KUC86" s="0"/>
      <c r="KUD86" s="0"/>
      <c r="KUE86" s="0"/>
      <c r="KUF86" s="0"/>
      <c r="KUG86" s="0"/>
      <c r="KUH86" s="0"/>
      <c r="KUI86" s="0"/>
      <c r="KUJ86" s="0"/>
      <c r="KUK86" s="0"/>
      <c r="KUL86" s="0"/>
      <c r="KUM86" s="0"/>
      <c r="KUN86" s="0"/>
      <c r="KUO86" s="0"/>
      <c r="KUP86" s="0"/>
      <c r="KUQ86" s="0"/>
      <c r="KUR86" s="0"/>
      <c r="KUS86" s="0"/>
      <c r="KUT86" s="0"/>
      <c r="KUU86" s="0"/>
      <c r="KUV86" s="0"/>
      <c r="KUW86" s="0"/>
      <c r="KUX86" s="0"/>
      <c r="KUY86" s="0"/>
      <c r="KUZ86" s="0"/>
      <c r="KVA86" s="0"/>
      <c r="KVB86" s="0"/>
      <c r="KVC86" s="0"/>
      <c r="KVD86" s="0"/>
      <c r="KVE86" s="0"/>
      <c r="KVF86" s="0"/>
      <c r="KVG86" s="0"/>
      <c r="KVH86" s="0"/>
      <c r="KVI86" s="0"/>
      <c r="KVJ86" s="0"/>
      <c r="KVK86" s="0"/>
      <c r="KVL86" s="0"/>
      <c r="KVM86" s="0"/>
      <c r="KVN86" s="0"/>
      <c r="KVO86" s="0"/>
      <c r="KVP86" s="0"/>
      <c r="KVQ86" s="0"/>
      <c r="KVR86" s="0"/>
      <c r="KVS86" s="0"/>
      <c r="KVT86" s="0"/>
      <c r="KVU86" s="0"/>
      <c r="KVV86" s="0"/>
      <c r="KVW86" s="0"/>
      <c r="KVX86" s="0"/>
      <c r="KVY86" s="0"/>
      <c r="KVZ86" s="0"/>
      <c r="KWA86" s="0"/>
      <c r="KWB86" s="0"/>
      <c r="KWC86" s="0"/>
      <c r="KWD86" s="0"/>
      <c r="KWE86" s="0"/>
      <c r="KWF86" s="0"/>
      <c r="KWG86" s="0"/>
      <c r="KWH86" s="0"/>
      <c r="KWI86" s="0"/>
      <c r="KWJ86" s="0"/>
      <c r="KWK86" s="0"/>
      <c r="KWL86" s="0"/>
      <c r="KWM86" s="0"/>
      <c r="KWN86" s="0"/>
      <c r="KWO86" s="0"/>
      <c r="KWP86" s="0"/>
      <c r="KWQ86" s="0"/>
      <c r="KWR86" s="0"/>
      <c r="KWS86" s="0"/>
      <c r="KWT86" s="0"/>
      <c r="KWU86" s="0"/>
      <c r="KWV86" s="0"/>
      <c r="KWW86" s="0"/>
      <c r="KWX86" s="0"/>
      <c r="KWY86" s="0"/>
      <c r="KWZ86" s="0"/>
      <c r="KXA86" s="0"/>
      <c r="KXB86" s="0"/>
      <c r="KXC86" s="0"/>
      <c r="KXD86" s="0"/>
      <c r="KXE86" s="0"/>
      <c r="KXF86" s="0"/>
      <c r="KXG86" s="0"/>
      <c r="KXH86" s="0"/>
      <c r="KXI86" s="0"/>
      <c r="KXJ86" s="0"/>
      <c r="KXK86" s="0"/>
      <c r="KXL86" s="0"/>
      <c r="KXM86" s="0"/>
      <c r="KXN86" s="0"/>
      <c r="KXO86" s="0"/>
      <c r="KXP86" s="0"/>
      <c r="KXQ86" s="0"/>
      <c r="KXR86" s="0"/>
      <c r="KXS86" s="0"/>
      <c r="KXT86" s="0"/>
      <c r="KXU86" s="0"/>
      <c r="KXV86" s="0"/>
      <c r="KXW86" s="0"/>
      <c r="KXX86" s="0"/>
      <c r="KXY86" s="0"/>
      <c r="KXZ86" s="0"/>
      <c r="KYA86" s="0"/>
      <c r="KYB86" s="0"/>
      <c r="KYC86" s="0"/>
      <c r="KYD86" s="0"/>
      <c r="KYE86" s="0"/>
      <c r="KYF86" s="0"/>
      <c r="KYG86" s="0"/>
      <c r="KYH86" s="0"/>
      <c r="KYI86" s="0"/>
      <c r="KYJ86" s="0"/>
      <c r="KYK86" s="0"/>
      <c r="KYL86" s="0"/>
      <c r="KYM86" s="0"/>
      <c r="KYN86" s="0"/>
      <c r="KYO86" s="0"/>
      <c r="KYP86" s="0"/>
      <c r="KYQ86" s="0"/>
      <c r="KYR86" s="0"/>
      <c r="KYS86" s="0"/>
      <c r="KYT86" s="0"/>
      <c r="KYU86" s="0"/>
      <c r="KYV86" s="0"/>
      <c r="KYW86" s="0"/>
      <c r="KYX86" s="0"/>
      <c r="KYY86" s="0"/>
      <c r="KYZ86" s="0"/>
      <c r="KZA86" s="0"/>
      <c r="KZB86" s="0"/>
      <c r="KZC86" s="0"/>
      <c r="KZD86" s="0"/>
      <c r="KZE86" s="0"/>
      <c r="KZF86" s="0"/>
      <c r="KZG86" s="0"/>
      <c r="KZH86" s="0"/>
      <c r="KZI86" s="0"/>
      <c r="KZJ86" s="0"/>
      <c r="KZK86" s="0"/>
      <c r="KZL86" s="0"/>
      <c r="KZM86" s="0"/>
      <c r="KZN86" s="0"/>
      <c r="KZO86" s="0"/>
      <c r="KZP86" s="0"/>
      <c r="KZQ86" s="0"/>
      <c r="KZR86" s="0"/>
      <c r="KZS86" s="0"/>
      <c r="KZT86" s="0"/>
      <c r="KZU86" s="0"/>
      <c r="KZV86" s="0"/>
      <c r="KZW86" s="0"/>
      <c r="KZX86" s="0"/>
      <c r="KZY86" s="0"/>
      <c r="KZZ86" s="0"/>
      <c r="LAA86" s="0"/>
      <c r="LAB86" s="0"/>
      <c r="LAC86" s="0"/>
      <c r="LAD86" s="0"/>
      <c r="LAE86" s="0"/>
      <c r="LAF86" s="0"/>
      <c r="LAG86" s="0"/>
      <c r="LAH86" s="0"/>
      <c r="LAI86" s="0"/>
      <c r="LAJ86" s="0"/>
      <c r="LAK86" s="0"/>
      <c r="LAL86" s="0"/>
      <c r="LAM86" s="0"/>
      <c r="LAN86" s="0"/>
      <c r="LAO86" s="0"/>
      <c r="LAP86" s="0"/>
      <c r="LAQ86" s="0"/>
      <c r="LAR86" s="0"/>
      <c r="LAS86" s="0"/>
      <c r="LAT86" s="0"/>
      <c r="LAU86" s="0"/>
      <c r="LAV86" s="0"/>
      <c r="LAW86" s="0"/>
      <c r="LAX86" s="0"/>
      <c r="LAY86" s="0"/>
      <c r="LAZ86" s="0"/>
      <c r="LBA86" s="0"/>
      <c r="LBB86" s="0"/>
      <c r="LBC86" s="0"/>
      <c r="LBD86" s="0"/>
      <c r="LBE86" s="0"/>
      <c r="LBF86" s="0"/>
      <c r="LBG86" s="0"/>
      <c r="LBH86" s="0"/>
      <c r="LBI86" s="0"/>
      <c r="LBJ86" s="0"/>
      <c r="LBK86" s="0"/>
      <c r="LBL86" s="0"/>
      <c r="LBM86" s="0"/>
      <c r="LBN86" s="0"/>
      <c r="LBO86" s="0"/>
      <c r="LBP86" s="0"/>
      <c r="LBQ86" s="0"/>
      <c r="LBR86" s="0"/>
      <c r="LBS86" s="0"/>
      <c r="LBT86" s="0"/>
      <c r="LBU86" s="0"/>
      <c r="LBV86" s="0"/>
      <c r="LBW86" s="0"/>
      <c r="LBX86" s="0"/>
      <c r="LBY86" s="0"/>
      <c r="LBZ86" s="0"/>
      <c r="LCA86" s="0"/>
      <c r="LCB86" s="0"/>
      <c r="LCC86" s="0"/>
      <c r="LCD86" s="0"/>
      <c r="LCE86" s="0"/>
      <c r="LCF86" s="0"/>
      <c r="LCG86" s="0"/>
      <c r="LCH86" s="0"/>
      <c r="LCI86" s="0"/>
      <c r="LCJ86" s="0"/>
      <c r="LCK86" s="0"/>
      <c r="LCL86" s="0"/>
      <c r="LCM86" s="0"/>
      <c r="LCN86" s="0"/>
      <c r="LCO86" s="0"/>
      <c r="LCP86" s="0"/>
      <c r="LCQ86" s="0"/>
      <c r="LCR86" s="0"/>
      <c r="LCS86" s="0"/>
      <c r="LCT86" s="0"/>
      <c r="LCU86" s="0"/>
      <c r="LCV86" s="0"/>
      <c r="LCW86" s="0"/>
      <c r="LCX86" s="0"/>
      <c r="LCY86" s="0"/>
      <c r="LCZ86" s="0"/>
      <c r="LDA86" s="0"/>
      <c r="LDB86" s="0"/>
      <c r="LDC86" s="0"/>
      <c r="LDD86" s="0"/>
      <c r="LDE86" s="0"/>
      <c r="LDF86" s="0"/>
      <c r="LDG86" s="0"/>
      <c r="LDH86" s="0"/>
      <c r="LDI86" s="0"/>
      <c r="LDJ86" s="0"/>
      <c r="LDK86" s="0"/>
      <c r="LDL86" s="0"/>
      <c r="LDM86" s="0"/>
      <c r="LDN86" s="0"/>
      <c r="LDO86" s="0"/>
      <c r="LDP86" s="0"/>
      <c r="LDQ86" s="0"/>
      <c r="LDR86" s="0"/>
      <c r="LDS86" s="0"/>
      <c r="LDT86" s="0"/>
      <c r="LDU86" s="0"/>
      <c r="LDV86" s="0"/>
      <c r="LDW86" s="0"/>
      <c r="LDX86" s="0"/>
      <c r="LDY86" s="0"/>
      <c r="LDZ86" s="0"/>
      <c r="LEA86" s="0"/>
      <c r="LEB86" s="0"/>
      <c r="LEC86" s="0"/>
      <c r="LED86" s="0"/>
      <c r="LEE86" s="0"/>
      <c r="LEF86" s="0"/>
      <c r="LEG86" s="0"/>
      <c r="LEH86" s="0"/>
      <c r="LEI86" s="0"/>
      <c r="LEJ86" s="0"/>
      <c r="LEK86" s="0"/>
      <c r="LEL86" s="0"/>
      <c r="LEM86" s="0"/>
      <c r="LEN86" s="0"/>
      <c r="LEO86" s="0"/>
      <c r="LEP86" s="0"/>
      <c r="LEQ86" s="0"/>
      <c r="LER86" s="0"/>
      <c r="LES86" s="0"/>
      <c r="LET86" s="0"/>
      <c r="LEU86" s="0"/>
      <c r="LEV86" s="0"/>
      <c r="LEW86" s="0"/>
      <c r="LEX86" s="0"/>
      <c r="LEY86" s="0"/>
      <c r="LEZ86" s="0"/>
      <c r="LFA86" s="0"/>
      <c r="LFB86" s="0"/>
      <c r="LFC86" s="0"/>
      <c r="LFD86" s="0"/>
      <c r="LFE86" s="0"/>
      <c r="LFF86" s="0"/>
      <c r="LFG86" s="0"/>
      <c r="LFH86" s="0"/>
      <c r="LFI86" s="0"/>
      <c r="LFJ86" s="0"/>
      <c r="LFK86" s="0"/>
      <c r="LFL86" s="0"/>
      <c r="LFM86" s="0"/>
      <c r="LFN86" s="0"/>
      <c r="LFO86" s="0"/>
      <c r="LFP86" s="0"/>
      <c r="LFQ86" s="0"/>
      <c r="LFR86" s="0"/>
      <c r="LFS86" s="0"/>
      <c r="LFT86" s="0"/>
      <c r="LFU86" s="0"/>
      <c r="LFV86" s="0"/>
      <c r="LFW86" s="0"/>
      <c r="LFX86" s="0"/>
      <c r="LFY86" s="0"/>
      <c r="LFZ86" s="0"/>
      <c r="LGA86" s="0"/>
      <c r="LGB86" s="0"/>
      <c r="LGC86" s="0"/>
      <c r="LGD86" s="0"/>
      <c r="LGE86" s="0"/>
      <c r="LGF86" s="0"/>
      <c r="LGG86" s="0"/>
      <c r="LGH86" s="0"/>
      <c r="LGI86" s="0"/>
      <c r="LGJ86" s="0"/>
      <c r="LGK86" s="0"/>
      <c r="LGL86" s="0"/>
      <c r="LGM86" s="0"/>
      <c r="LGN86" s="0"/>
      <c r="LGO86" s="0"/>
      <c r="LGP86" s="0"/>
      <c r="LGQ86" s="0"/>
      <c r="LGR86" s="0"/>
      <c r="LGS86" s="0"/>
      <c r="LGT86" s="0"/>
      <c r="LGU86" s="0"/>
      <c r="LGV86" s="0"/>
      <c r="LGW86" s="0"/>
      <c r="LGX86" s="0"/>
      <c r="LGY86" s="0"/>
      <c r="LGZ86" s="0"/>
      <c r="LHA86" s="0"/>
      <c r="LHB86" s="0"/>
      <c r="LHC86" s="0"/>
      <c r="LHD86" s="0"/>
      <c r="LHE86" s="0"/>
      <c r="LHF86" s="0"/>
      <c r="LHG86" s="0"/>
      <c r="LHH86" s="0"/>
      <c r="LHI86" s="0"/>
      <c r="LHJ86" s="0"/>
      <c r="LHK86" s="0"/>
      <c r="LHL86" s="0"/>
      <c r="LHM86" s="0"/>
      <c r="LHN86" s="0"/>
      <c r="LHO86" s="0"/>
      <c r="LHP86" s="0"/>
      <c r="LHQ86" s="0"/>
      <c r="LHR86" s="0"/>
      <c r="LHS86" s="0"/>
      <c r="LHT86" s="0"/>
      <c r="LHU86" s="0"/>
      <c r="LHV86" s="0"/>
      <c r="LHW86" s="0"/>
      <c r="LHX86" s="0"/>
      <c r="LHY86" s="0"/>
      <c r="LHZ86" s="0"/>
      <c r="LIA86" s="0"/>
      <c r="LIB86" s="0"/>
      <c r="LIC86" s="0"/>
      <c r="LID86" s="0"/>
      <c r="LIE86" s="0"/>
      <c r="LIF86" s="0"/>
      <c r="LIG86" s="0"/>
      <c r="LIH86" s="0"/>
      <c r="LII86" s="0"/>
      <c r="LIJ86" s="0"/>
      <c r="LIK86" s="0"/>
      <c r="LIL86" s="0"/>
      <c r="LIM86" s="0"/>
      <c r="LIN86" s="0"/>
      <c r="LIO86" s="0"/>
      <c r="LIP86" s="0"/>
      <c r="LIQ86" s="0"/>
      <c r="LIR86" s="0"/>
      <c r="LIS86" s="0"/>
      <c r="LIT86" s="0"/>
      <c r="LIU86" s="0"/>
      <c r="LIV86" s="0"/>
      <c r="LIW86" s="0"/>
      <c r="LIX86" s="0"/>
      <c r="LIY86" s="0"/>
      <c r="LIZ86" s="0"/>
      <c r="LJA86" s="0"/>
      <c r="LJB86" s="0"/>
      <c r="LJC86" s="0"/>
      <c r="LJD86" s="0"/>
      <c r="LJE86" s="0"/>
      <c r="LJF86" s="0"/>
      <c r="LJG86" s="0"/>
      <c r="LJH86" s="0"/>
      <c r="LJI86" s="0"/>
      <c r="LJJ86" s="0"/>
      <c r="LJK86" s="0"/>
      <c r="LJL86" s="0"/>
      <c r="LJM86" s="0"/>
      <c r="LJN86" s="0"/>
      <c r="LJO86" s="0"/>
      <c r="LJP86" s="0"/>
      <c r="LJQ86" s="0"/>
      <c r="LJR86" s="0"/>
      <c r="LJS86" s="0"/>
      <c r="LJT86" s="0"/>
      <c r="LJU86" s="0"/>
      <c r="LJV86" s="0"/>
      <c r="LJW86" s="0"/>
      <c r="LJX86" s="0"/>
      <c r="LJY86" s="0"/>
      <c r="LJZ86" s="0"/>
      <c r="LKA86" s="0"/>
      <c r="LKB86" s="0"/>
      <c r="LKC86" s="0"/>
      <c r="LKD86" s="0"/>
      <c r="LKE86" s="0"/>
      <c r="LKF86" s="0"/>
      <c r="LKG86" s="0"/>
      <c r="LKH86" s="0"/>
      <c r="LKI86" s="0"/>
      <c r="LKJ86" s="0"/>
      <c r="LKK86" s="0"/>
      <c r="LKL86" s="0"/>
      <c r="LKM86" s="0"/>
      <c r="LKN86" s="0"/>
      <c r="LKO86" s="0"/>
      <c r="LKP86" s="0"/>
      <c r="LKQ86" s="0"/>
      <c r="LKR86" s="0"/>
      <c r="LKS86" s="0"/>
      <c r="LKT86" s="0"/>
      <c r="LKU86" s="0"/>
      <c r="LKV86" s="0"/>
      <c r="LKW86" s="0"/>
      <c r="LKX86" s="0"/>
      <c r="LKY86" s="0"/>
      <c r="LKZ86" s="0"/>
      <c r="LLA86" s="0"/>
      <c r="LLB86" s="0"/>
      <c r="LLC86" s="0"/>
      <c r="LLD86" s="0"/>
      <c r="LLE86" s="0"/>
      <c r="LLF86" s="0"/>
      <c r="LLG86" s="0"/>
      <c r="LLH86" s="0"/>
      <c r="LLI86" s="0"/>
      <c r="LLJ86" s="0"/>
      <c r="LLK86" s="0"/>
      <c r="LLL86" s="0"/>
      <c r="LLM86" s="0"/>
      <c r="LLN86" s="0"/>
      <c r="LLO86" s="0"/>
      <c r="LLP86" s="0"/>
      <c r="LLQ86" s="0"/>
      <c r="LLR86" s="0"/>
      <c r="LLS86" s="0"/>
      <c r="LLT86" s="0"/>
      <c r="LLU86" s="0"/>
      <c r="LLV86" s="0"/>
      <c r="LLW86" s="0"/>
      <c r="LLX86" s="0"/>
      <c r="LLY86" s="0"/>
      <c r="LLZ86" s="0"/>
      <c r="LMA86" s="0"/>
      <c r="LMB86" s="0"/>
      <c r="LMC86" s="0"/>
      <c r="LMD86" s="0"/>
      <c r="LME86" s="0"/>
      <c r="LMF86" s="0"/>
      <c r="LMG86" s="0"/>
      <c r="LMH86" s="0"/>
      <c r="LMI86" s="0"/>
      <c r="LMJ86" s="0"/>
      <c r="LMK86" s="0"/>
      <c r="LML86" s="0"/>
      <c r="LMM86" s="0"/>
      <c r="LMN86" s="0"/>
      <c r="LMO86" s="0"/>
      <c r="LMP86" s="0"/>
      <c r="LMQ86" s="0"/>
      <c r="LMR86" s="0"/>
      <c r="LMS86" s="0"/>
      <c r="LMT86" s="0"/>
      <c r="LMU86" s="0"/>
      <c r="LMV86" s="0"/>
      <c r="LMW86" s="0"/>
      <c r="LMX86" s="0"/>
      <c r="LMY86" s="0"/>
      <c r="LMZ86" s="0"/>
      <c r="LNA86" s="0"/>
      <c r="LNB86" s="0"/>
      <c r="LNC86" s="0"/>
      <c r="LND86" s="0"/>
      <c r="LNE86" s="0"/>
      <c r="LNF86" s="0"/>
      <c r="LNG86" s="0"/>
      <c r="LNH86" s="0"/>
      <c r="LNI86" s="0"/>
      <c r="LNJ86" s="0"/>
      <c r="LNK86" s="0"/>
      <c r="LNL86" s="0"/>
      <c r="LNM86" s="0"/>
      <c r="LNN86" s="0"/>
      <c r="LNO86" s="0"/>
      <c r="LNP86" s="0"/>
      <c r="LNQ86" s="0"/>
      <c r="LNR86" s="0"/>
      <c r="LNS86" s="0"/>
      <c r="LNT86" s="0"/>
      <c r="LNU86" s="0"/>
      <c r="LNV86" s="0"/>
      <c r="LNW86" s="0"/>
      <c r="LNX86" s="0"/>
      <c r="LNY86" s="0"/>
      <c r="LNZ86" s="0"/>
      <c r="LOA86" s="0"/>
      <c r="LOB86" s="0"/>
      <c r="LOC86" s="0"/>
      <c r="LOD86" s="0"/>
      <c r="LOE86" s="0"/>
      <c r="LOF86" s="0"/>
      <c r="LOG86" s="0"/>
      <c r="LOH86" s="0"/>
      <c r="LOI86" s="0"/>
      <c r="LOJ86" s="0"/>
      <c r="LOK86" s="0"/>
      <c r="LOL86" s="0"/>
      <c r="LOM86" s="0"/>
      <c r="LON86" s="0"/>
      <c r="LOO86" s="0"/>
      <c r="LOP86" s="0"/>
      <c r="LOQ86" s="0"/>
      <c r="LOR86" s="0"/>
      <c r="LOS86" s="0"/>
      <c r="LOT86" s="0"/>
      <c r="LOU86" s="0"/>
      <c r="LOV86" s="0"/>
      <c r="LOW86" s="0"/>
      <c r="LOX86" s="0"/>
      <c r="LOY86" s="0"/>
      <c r="LOZ86" s="0"/>
      <c r="LPA86" s="0"/>
      <c r="LPB86" s="0"/>
      <c r="LPC86" s="0"/>
      <c r="LPD86" s="0"/>
      <c r="LPE86" s="0"/>
      <c r="LPF86" s="0"/>
      <c r="LPG86" s="0"/>
      <c r="LPH86" s="0"/>
      <c r="LPI86" s="0"/>
      <c r="LPJ86" s="0"/>
      <c r="LPK86" s="0"/>
      <c r="LPL86" s="0"/>
      <c r="LPM86" s="0"/>
      <c r="LPN86" s="0"/>
      <c r="LPO86" s="0"/>
      <c r="LPP86" s="0"/>
      <c r="LPQ86" s="0"/>
      <c r="LPR86" s="0"/>
      <c r="LPS86" s="0"/>
      <c r="LPT86" s="0"/>
      <c r="LPU86" s="0"/>
      <c r="LPV86" s="0"/>
      <c r="LPW86" s="0"/>
      <c r="LPX86" s="0"/>
      <c r="LPY86" s="0"/>
      <c r="LPZ86" s="0"/>
      <c r="LQA86" s="0"/>
      <c r="LQB86" s="0"/>
      <c r="LQC86" s="0"/>
      <c r="LQD86" s="0"/>
      <c r="LQE86" s="0"/>
      <c r="LQF86" s="0"/>
      <c r="LQG86" s="0"/>
      <c r="LQH86" s="0"/>
      <c r="LQI86" s="0"/>
      <c r="LQJ86" s="0"/>
      <c r="LQK86" s="0"/>
      <c r="LQL86" s="0"/>
      <c r="LQM86" s="0"/>
      <c r="LQN86" s="0"/>
      <c r="LQO86" s="0"/>
      <c r="LQP86" s="0"/>
      <c r="LQQ86" s="0"/>
      <c r="LQR86" s="0"/>
      <c r="LQS86" s="0"/>
      <c r="LQT86" s="0"/>
      <c r="LQU86" s="0"/>
      <c r="LQV86" s="0"/>
      <c r="LQW86" s="0"/>
      <c r="LQX86" s="0"/>
      <c r="LQY86" s="0"/>
      <c r="LQZ86" s="0"/>
      <c r="LRA86" s="0"/>
      <c r="LRB86" s="0"/>
      <c r="LRC86" s="0"/>
      <c r="LRD86" s="0"/>
      <c r="LRE86" s="0"/>
      <c r="LRF86" s="0"/>
      <c r="LRG86" s="0"/>
      <c r="LRH86" s="0"/>
      <c r="LRI86" s="0"/>
      <c r="LRJ86" s="0"/>
      <c r="LRK86" s="0"/>
      <c r="LRL86" s="0"/>
      <c r="LRM86" s="0"/>
      <c r="LRN86" s="0"/>
      <c r="LRO86" s="0"/>
      <c r="LRP86" s="0"/>
      <c r="LRQ86" s="0"/>
      <c r="LRR86" s="0"/>
      <c r="LRS86" s="0"/>
      <c r="LRT86" s="0"/>
      <c r="LRU86" s="0"/>
      <c r="LRV86" s="0"/>
      <c r="LRW86" s="0"/>
      <c r="LRX86" s="0"/>
      <c r="LRY86" s="0"/>
      <c r="LRZ86" s="0"/>
      <c r="LSA86" s="0"/>
      <c r="LSB86" s="0"/>
      <c r="LSC86" s="0"/>
      <c r="LSD86" s="0"/>
      <c r="LSE86" s="0"/>
      <c r="LSF86" s="0"/>
      <c r="LSG86" s="0"/>
      <c r="LSH86" s="0"/>
      <c r="LSI86" s="0"/>
      <c r="LSJ86" s="0"/>
      <c r="LSK86" s="0"/>
      <c r="LSL86" s="0"/>
      <c r="LSM86" s="0"/>
      <c r="LSN86" s="0"/>
      <c r="LSO86" s="0"/>
      <c r="LSP86" s="0"/>
      <c r="LSQ86" s="0"/>
      <c r="LSR86" s="0"/>
      <c r="LSS86" s="0"/>
      <c r="LST86" s="0"/>
      <c r="LSU86" s="0"/>
      <c r="LSV86" s="0"/>
      <c r="LSW86" s="0"/>
      <c r="LSX86" s="0"/>
      <c r="LSY86" s="0"/>
      <c r="LSZ86" s="0"/>
      <c r="LTA86" s="0"/>
      <c r="LTB86" s="0"/>
      <c r="LTC86" s="0"/>
      <c r="LTD86" s="0"/>
      <c r="LTE86" s="0"/>
      <c r="LTF86" s="0"/>
      <c r="LTG86" s="0"/>
      <c r="LTH86" s="0"/>
      <c r="LTI86" s="0"/>
      <c r="LTJ86" s="0"/>
      <c r="LTK86" s="0"/>
      <c r="LTL86" s="0"/>
      <c r="LTM86" s="0"/>
      <c r="LTN86" s="0"/>
      <c r="LTO86" s="0"/>
      <c r="LTP86" s="0"/>
      <c r="LTQ86" s="0"/>
      <c r="LTR86" s="0"/>
      <c r="LTS86" s="0"/>
      <c r="LTT86" s="0"/>
      <c r="LTU86" s="0"/>
      <c r="LTV86" s="0"/>
      <c r="LTW86" s="0"/>
      <c r="LTX86" s="0"/>
      <c r="LTY86" s="0"/>
      <c r="LTZ86" s="0"/>
      <c r="LUA86" s="0"/>
      <c r="LUB86" s="0"/>
      <c r="LUC86" s="0"/>
      <c r="LUD86" s="0"/>
      <c r="LUE86" s="0"/>
      <c r="LUF86" s="0"/>
      <c r="LUG86" s="0"/>
      <c r="LUH86" s="0"/>
      <c r="LUI86" s="0"/>
      <c r="LUJ86" s="0"/>
      <c r="LUK86" s="0"/>
      <c r="LUL86" s="0"/>
      <c r="LUM86" s="0"/>
      <c r="LUN86" s="0"/>
      <c r="LUO86" s="0"/>
      <c r="LUP86" s="0"/>
      <c r="LUQ86" s="0"/>
      <c r="LUR86" s="0"/>
      <c r="LUS86" s="0"/>
      <c r="LUT86" s="0"/>
      <c r="LUU86" s="0"/>
      <c r="LUV86" s="0"/>
      <c r="LUW86" s="0"/>
      <c r="LUX86" s="0"/>
      <c r="LUY86" s="0"/>
      <c r="LUZ86" s="0"/>
      <c r="LVA86" s="0"/>
      <c r="LVB86" s="0"/>
      <c r="LVC86" s="0"/>
      <c r="LVD86" s="0"/>
      <c r="LVE86" s="0"/>
      <c r="LVF86" s="0"/>
      <c r="LVG86" s="0"/>
      <c r="LVH86" s="0"/>
      <c r="LVI86" s="0"/>
      <c r="LVJ86" s="0"/>
      <c r="LVK86" s="0"/>
      <c r="LVL86" s="0"/>
      <c r="LVM86" s="0"/>
      <c r="LVN86" s="0"/>
      <c r="LVO86" s="0"/>
      <c r="LVP86" s="0"/>
      <c r="LVQ86" s="0"/>
      <c r="LVR86" s="0"/>
      <c r="LVS86" s="0"/>
      <c r="LVT86" s="0"/>
      <c r="LVU86" s="0"/>
      <c r="LVV86" s="0"/>
      <c r="LVW86" s="0"/>
      <c r="LVX86" s="0"/>
      <c r="LVY86" s="0"/>
      <c r="LVZ86" s="0"/>
      <c r="LWA86" s="0"/>
      <c r="LWB86" s="0"/>
      <c r="LWC86" s="0"/>
      <c r="LWD86" s="0"/>
      <c r="LWE86" s="0"/>
      <c r="LWF86" s="0"/>
      <c r="LWG86" s="0"/>
      <c r="LWH86" s="0"/>
      <c r="LWI86" s="0"/>
      <c r="LWJ86" s="0"/>
      <c r="LWK86" s="0"/>
      <c r="LWL86" s="0"/>
      <c r="LWM86" s="0"/>
      <c r="LWN86" s="0"/>
      <c r="LWO86" s="0"/>
      <c r="LWP86" s="0"/>
      <c r="LWQ86" s="0"/>
      <c r="LWR86" s="0"/>
      <c r="LWS86" s="0"/>
      <c r="LWT86" s="0"/>
      <c r="LWU86" s="0"/>
      <c r="LWV86" s="0"/>
      <c r="LWW86" s="0"/>
      <c r="LWX86" s="0"/>
      <c r="LWY86" s="0"/>
      <c r="LWZ86" s="0"/>
      <c r="LXA86" s="0"/>
      <c r="LXB86" s="0"/>
      <c r="LXC86" s="0"/>
      <c r="LXD86" s="0"/>
      <c r="LXE86" s="0"/>
      <c r="LXF86" s="0"/>
      <c r="LXG86" s="0"/>
      <c r="LXH86" s="0"/>
      <c r="LXI86" s="0"/>
      <c r="LXJ86" s="0"/>
      <c r="LXK86" s="0"/>
      <c r="LXL86" s="0"/>
      <c r="LXM86" s="0"/>
      <c r="LXN86" s="0"/>
      <c r="LXO86" s="0"/>
      <c r="LXP86" s="0"/>
      <c r="LXQ86" s="0"/>
      <c r="LXR86" s="0"/>
      <c r="LXS86" s="0"/>
      <c r="LXT86" s="0"/>
      <c r="LXU86" s="0"/>
      <c r="LXV86" s="0"/>
      <c r="LXW86" s="0"/>
      <c r="LXX86" s="0"/>
      <c r="LXY86" s="0"/>
      <c r="LXZ86" s="0"/>
      <c r="LYA86" s="0"/>
      <c r="LYB86" s="0"/>
      <c r="LYC86" s="0"/>
      <c r="LYD86" s="0"/>
      <c r="LYE86" s="0"/>
      <c r="LYF86" s="0"/>
      <c r="LYG86" s="0"/>
      <c r="LYH86" s="0"/>
      <c r="LYI86" s="0"/>
      <c r="LYJ86" s="0"/>
      <c r="LYK86" s="0"/>
      <c r="LYL86" s="0"/>
      <c r="LYM86" s="0"/>
      <c r="LYN86" s="0"/>
      <c r="LYO86" s="0"/>
      <c r="LYP86" s="0"/>
      <c r="LYQ86" s="0"/>
      <c r="LYR86" s="0"/>
      <c r="LYS86" s="0"/>
      <c r="LYT86" s="0"/>
      <c r="LYU86" s="0"/>
      <c r="LYV86" s="0"/>
      <c r="LYW86" s="0"/>
      <c r="LYX86" s="0"/>
      <c r="LYY86" s="0"/>
      <c r="LYZ86" s="0"/>
      <c r="LZA86" s="0"/>
      <c r="LZB86" s="0"/>
      <c r="LZC86" s="0"/>
      <c r="LZD86" s="0"/>
      <c r="LZE86" s="0"/>
      <c r="LZF86" s="0"/>
      <c r="LZG86" s="0"/>
      <c r="LZH86" s="0"/>
      <c r="LZI86" s="0"/>
      <c r="LZJ86" s="0"/>
      <c r="LZK86" s="0"/>
      <c r="LZL86" s="0"/>
      <c r="LZM86" s="0"/>
      <c r="LZN86" s="0"/>
      <c r="LZO86" s="0"/>
      <c r="LZP86" s="0"/>
      <c r="LZQ86" s="0"/>
      <c r="LZR86" s="0"/>
      <c r="LZS86" s="0"/>
      <c r="LZT86" s="0"/>
      <c r="LZU86" s="0"/>
      <c r="LZV86" s="0"/>
      <c r="LZW86" s="0"/>
      <c r="LZX86" s="0"/>
      <c r="LZY86" s="0"/>
      <c r="LZZ86" s="0"/>
      <c r="MAA86" s="0"/>
      <c r="MAB86" s="0"/>
      <c r="MAC86" s="0"/>
      <c r="MAD86" s="0"/>
      <c r="MAE86" s="0"/>
      <c r="MAF86" s="0"/>
      <c r="MAG86" s="0"/>
      <c r="MAH86" s="0"/>
      <c r="MAI86" s="0"/>
      <c r="MAJ86" s="0"/>
      <c r="MAK86" s="0"/>
      <c r="MAL86" s="0"/>
      <c r="MAM86" s="0"/>
      <c r="MAN86" s="0"/>
      <c r="MAO86" s="0"/>
      <c r="MAP86" s="0"/>
      <c r="MAQ86" s="0"/>
      <c r="MAR86" s="0"/>
      <c r="MAS86" s="0"/>
      <c r="MAT86" s="0"/>
      <c r="MAU86" s="0"/>
      <c r="MAV86" s="0"/>
      <c r="MAW86" s="0"/>
      <c r="MAX86" s="0"/>
      <c r="MAY86" s="0"/>
      <c r="MAZ86" s="0"/>
      <c r="MBA86" s="0"/>
      <c r="MBB86" s="0"/>
      <c r="MBC86" s="0"/>
      <c r="MBD86" s="0"/>
      <c r="MBE86" s="0"/>
      <c r="MBF86" s="0"/>
      <c r="MBG86" s="0"/>
      <c r="MBH86" s="0"/>
      <c r="MBI86" s="0"/>
      <c r="MBJ86" s="0"/>
      <c r="MBK86" s="0"/>
      <c r="MBL86" s="0"/>
      <c r="MBM86" s="0"/>
      <c r="MBN86" s="0"/>
      <c r="MBO86" s="0"/>
      <c r="MBP86" s="0"/>
      <c r="MBQ86" s="0"/>
      <c r="MBR86" s="0"/>
      <c r="MBS86" s="0"/>
      <c r="MBT86" s="0"/>
      <c r="MBU86" s="0"/>
      <c r="MBV86" s="0"/>
      <c r="MBW86" s="0"/>
      <c r="MBX86" s="0"/>
      <c r="MBY86" s="0"/>
      <c r="MBZ86" s="0"/>
      <c r="MCA86" s="0"/>
      <c r="MCB86" s="0"/>
      <c r="MCC86" s="0"/>
      <c r="MCD86" s="0"/>
      <c r="MCE86" s="0"/>
      <c r="MCF86" s="0"/>
      <c r="MCG86" s="0"/>
      <c r="MCH86" s="0"/>
      <c r="MCI86" s="0"/>
      <c r="MCJ86" s="0"/>
      <c r="MCK86" s="0"/>
      <c r="MCL86" s="0"/>
      <c r="MCM86" s="0"/>
      <c r="MCN86" s="0"/>
      <c r="MCO86" s="0"/>
      <c r="MCP86" s="0"/>
      <c r="MCQ86" s="0"/>
      <c r="MCR86" s="0"/>
      <c r="MCS86" s="0"/>
      <c r="MCT86" s="0"/>
      <c r="MCU86" s="0"/>
      <c r="MCV86" s="0"/>
      <c r="MCW86" s="0"/>
      <c r="MCX86" s="0"/>
      <c r="MCY86" s="0"/>
      <c r="MCZ86" s="0"/>
      <c r="MDA86" s="0"/>
      <c r="MDB86" s="0"/>
      <c r="MDC86" s="0"/>
      <c r="MDD86" s="0"/>
      <c r="MDE86" s="0"/>
      <c r="MDF86" s="0"/>
      <c r="MDG86" s="0"/>
      <c r="MDH86" s="0"/>
      <c r="MDI86" s="0"/>
      <c r="MDJ86" s="0"/>
      <c r="MDK86" s="0"/>
      <c r="MDL86" s="0"/>
      <c r="MDM86" s="0"/>
      <c r="MDN86" s="0"/>
      <c r="MDO86" s="0"/>
      <c r="MDP86" s="0"/>
      <c r="MDQ86" s="0"/>
      <c r="MDR86" s="0"/>
      <c r="MDS86" s="0"/>
      <c r="MDT86" s="0"/>
      <c r="MDU86" s="0"/>
      <c r="MDV86" s="0"/>
      <c r="MDW86" s="0"/>
      <c r="MDX86" s="0"/>
      <c r="MDY86" s="0"/>
      <c r="MDZ86" s="0"/>
      <c r="MEA86" s="0"/>
      <c r="MEB86" s="0"/>
      <c r="MEC86" s="0"/>
      <c r="MED86" s="0"/>
      <c r="MEE86" s="0"/>
      <c r="MEF86" s="0"/>
      <c r="MEG86" s="0"/>
      <c r="MEH86" s="0"/>
      <c r="MEI86" s="0"/>
      <c r="MEJ86" s="0"/>
      <c r="MEK86" s="0"/>
      <c r="MEL86" s="0"/>
      <c r="MEM86" s="0"/>
      <c r="MEN86" s="0"/>
      <c r="MEO86" s="0"/>
      <c r="MEP86" s="0"/>
      <c r="MEQ86" s="0"/>
      <c r="MER86" s="0"/>
      <c r="MES86" s="0"/>
      <c r="MET86" s="0"/>
      <c r="MEU86" s="0"/>
      <c r="MEV86" s="0"/>
      <c r="MEW86" s="0"/>
      <c r="MEX86" s="0"/>
      <c r="MEY86" s="0"/>
      <c r="MEZ86" s="0"/>
      <c r="MFA86" s="0"/>
      <c r="MFB86" s="0"/>
      <c r="MFC86" s="0"/>
      <c r="MFD86" s="0"/>
      <c r="MFE86" s="0"/>
      <c r="MFF86" s="0"/>
      <c r="MFG86" s="0"/>
      <c r="MFH86" s="0"/>
      <c r="MFI86" s="0"/>
      <c r="MFJ86" s="0"/>
      <c r="MFK86" s="0"/>
      <c r="MFL86" s="0"/>
      <c r="MFM86" s="0"/>
      <c r="MFN86" s="0"/>
      <c r="MFO86" s="0"/>
      <c r="MFP86" s="0"/>
      <c r="MFQ86" s="0"/>
      <c r="MFR86" s="0"/>
      <c r="MFS86" s="0"/>
      <c r="MFT86" s="0"/>
      <c r="MFU86" s="0"/>
      <c r="MFV86" s="0"/>
      <c r="MFW86" s="0"/>
      <c r="MFX86" s="0"/>
      <c r="MFY86" s="0"/>
      <c r="MFZ86" s="0"/>
      <c r="MGA86" s="0"/>
      <c r="MGB86" s="0"/>
      <c r="MGC86" s="0"/>
      <c r="MGD86" s="0"/>
      <c r="MGE86" s="0"/>
      <c r="MGF86" s="0"/>
      <c r="MGG86" s="0"/>
      <c r="MGH86" s="0"/>
      <c r="MGI86" s="0"/>
      <c r="MGJ86" s="0"/>
      <c r="MGK86" s="0"/>
      <c r="MGL86" s="0"/>
      <c r="MGM86" s="0"/>
      <c r="MGN86" s="0"/>
      <c r="MGO86" s="0"/>
      <c r="MGP86" s="0"/>
      <c r="MGQ86" s="0"/>
      <c r="MGR86" s="0"/>
      <c r="MGS86" s="0"/>
      <c r="MGT86" s="0"/>
      <c r="MGU86" s="0"/>
      <c r="MGV86" s="0"/>
      <c r="MGW86" s="0"/>
      <c r="MGX86" s="0"/>
      <c r="MGY86" s="0"/>
      <c r="MGZ86" s="0"/>
      <c r="MHA86" s="0"/>
      <c r="MHB86" s="0"/>
      <c r="MHC86" s="0"/>
      <c r="MHD86" s="0"/>
      <c r="MHE86" s="0"/>
      <c r="MHF86" s="0"/>
      <c r="MHG86" s="0"/>
      <c r="MHH86" s="0"/>
      <c r="MHI86" s="0"/>
      <c r="MHJ86" s="0"/>
      <c r="MHK86" s="0"/>
      <c r="MHL86" s="0"/>
      <c r="MHM86" s="0"/>
      <c r="MHN86" s="0"/>
      <c r="MHO86" s="0"/>
      <c r="MHP86" s="0"/>
      <c r="MHQ86" s="0"/>
      <c r="MHR86" s="0"/>
      <c r="MHS86" s="0"/>
      <c r="MHT86" s="0"/>
      <c r="MHU86" s="0"/>
      <c r="MHV86" s="0"/>
      <c r="MHW86" s="0"/>
      <c r="MHX86" s="0"/>
      <c r="MHY86" s="0"/>
      <c r="MHZ86" s="0"/>
      <c r="MIA86" s="0"/>
      <c r="MIB86" s="0"/>
      <c r="MIC86" s="0"/>
      <c r="MID86" s="0"/>
      <c r="MIE86" s="0"/>
      <c r="MIF86" s="0"/>
      <c r="MIG86" s="0"/>
      <c r="MIH86" s="0"/>
      <c r="MII86" s="0"/>
      <c r="MIJ86" s="0"/>
      <c r="MIK86" s="0"/>
      <c r="MIL86" s="0"/>
      <c r="MIM86" s="0"/>
      <c r="MIN86" s="0"/>
      <c r="MIO86" s="0"/>
      <c r="MIP86" s="0"/>
      <c r="MIQ86" s="0"/>
      <c r="MIR86" s="0"/>
      <c r="MIS86" s="0"/>
      <c r="MIT86" s="0"/>
      <c r="MIU86" s="0"/>
      <c r="MIV86" s="0"/>
      <c r="MIW86" s="0"/>
      <c r="MIX86" s="0"/>
      <c r="MIY86" s="0"/>
      <c r="MIZ86" s="0"/>
      <c r="MJA86" s="0"/>
      <c r="MJB86" s="0"/>
      <c r="MJC86" s="0"/>
      <c r="MJD86" s="0"/>
      <c r="MJE86" s="0"/>
      <c r="MJF86" s="0"/>
      <c r="MJG86" s="0"/>
      <c r="MJH86" s="0"/>
      <c r="MJI86" s="0"/>
      <c r="MJJ86" s="0"/>
      <c r="MJK86" s="0"/>
      <c r="MJL86" s="0"/>
      <c r="MJM86" s="0"/>
      <c r="MJN86" s="0"/>
      <c r="MJO86" s="0"/>
      <c r="MJP86" s="0"/>
      <c r="MJQ86" s="0"/>
      <c r="MJR86" s="0"/>
      <c r="MJS86" s="0"/>
      <c r="MJT86" s="0"/>
      <c r="MJU86" s="0"/>
      <c r="MJV86" s="0"/>
      <c r="MJW86" s="0"/>
      <c r="MJX86" s="0"/>
      <c r="MJY86" s="0"/>
      <c r="MJZ86" s="0"/>
      <c r="MKA86" s="0"/>
      <c r="MKB86" s="0"/>
      <c r="MKC86" s="0"/>
      <c r="MKD86" s="0"/>
      <c r="MKE86" s="0"/>
      <c r="MKF86" s="0"/>
      <c r="MKG86" s="0"/>
      <c r="MKH86" s="0"/>
      <c r="MKI86" s="0"/>
      <c r="MKJ86" s="0"/>
      <c r="MKK86" s="0"/>
      <c r="MKL86" s="0"/>
      <c r="MKM86" s="0"/>
      <c r="MKN86" s="0"/>
      <c r="MKO86" s="0"/>
      <c r="MKP86" s="0"/>
      <c r="MKQ86" s="0"/>
      <c r="MKR86" s="0"/>
      <c r="MKS86" s="0"/>
      <c r="MKT86" s="0"/>
      <c r="MKU86" s="0"/>
      <c r="MKV86" s="0"/>
      <c r="MKW86" s="0"/>
      <c r="MKX86" s="0"/>
      <c r="MKY86" s="0"/>
      <c r="MKZ86" s="0"/>
      <c r="MLA86" s="0"/>
      <c r="MLB86" s="0"/>
      <c r="MLC86" s="0"/>
      <c r="MLD86" s="0"/>
      <c r="MLE86" s="0"/>
      <c r="MLF86" s="0"/>
      <c r="MLG86" s="0"/>
      <c r="MLH86" s="0"/>
      <c r="MLI86" s="0"/>
      <c r="MLJ86" s="0"/>
      <c r="MLK86" s="0"/>
      <c r="MLL86" s="0"/>
      <c r="MLM86" s="0"/>
      <c r="MLN86" s="0"/>
      <c r="MLO86" s="0"/>
      <c r="MLP86" s="0"/>
      <c r="MLQ86" s="0"/>
      <c r="MLR86" s="0"/>
      <c r="MLS86" s="0"/>
      <c r="MLT86" s="0"/>
      <c r="MLU86" s="0"/>
      <c r="MLV86" s="0"/>
      <c r="MLW86" s="0"/>
      <c r="MLX86" s="0"/>
      <c r="MLY86" s="0"/>
      <c r="MLZ86" s="0"/>
      <c r="MMA86" s="0"/>
      <c r="MMB86" s="0"/>
      <c r="MMC86" s="0"/>
      <c r="MMD86" s="0"/>
      <c r="MME86" s="0"/>
      <c r="MMF86" s="0"/>
      <c r="MMG86" s="0"/>
      <c r="MMH86" s="0"/>
      <c r="MMI86" s="0"/>
      <c r="MMJ86" s="0"/>
      <c r="MMK86" s="0"/>
      <c r="MML86" s="0"/>
      <c r="MMM86" s="0"/>
      <c r="MMN86" s="0"/>
      <c r="MMO86" s="0"/>
      <c r="MMP86" s="0"/>
      <c r="MMQ86" s="0"/>
      <c r="MMR86" s="0"/>
      <c r="MMS86" s="0"/>
      <c r="MMT86" s="0"/>
      <c r="MMU86" s="0"/>
      <c r="MMV86" s="0"/>
      <c r="MMW86" s="0"/>
      <c r="MMX86" s="0"/>
      <c r="MMY86" s="0"/>
      <c r="MMZ86" s="0"/>
      <c r="MNA86" s="0"/>
      <c r="MNB86" s="0"/>
      <c r="MNC86" s="0"/>
      <c r="MND86" s="0"/>
      <c r="MNE86" s="0"/>
      <c r="MNF86" s="0"/>
      <c r="MNG86" s="0"/>
      <c r="MNH86" s="0"/>
      <c r="MNI86" s="0"/>
      <c r="MNJ86" s="0"/>
      <c r="MNK86" s="0"/>
      <c r="MNL86" s="0"/>
      <c r="MNM86" s="0"/>
      <c r="MNN86" s="0"/>
      <c r="MNO86" s="0"/>
      <c r="MNP86" s="0"/>
      <c r="MNQ86" s="0"/>
      <c r="MNR86" s="0"/>
      <c r="MNS86" s="0"/>
      <c r="MNT86" s="0"/>
      <c r="MNU86" s="0"/>
      <c r="MNV86" s="0"/>
      <c r="MNW86" s="0"/>
      <c r="MNX86" s="0"/>
      <c r="MNY86" s="0"/>
      <c r="MNZ86" s="0"/>
      <c r="MOA86" s="0"/>
      <c r="MOB86" s="0"/>
      <c r="MOC86" s="0"/>
      <c r="MOD86" s="0"/>
      <c r="MOE86" s="0"/>
      <c r="MOF86" s="0"/>
      <c r="MOG86" s="0"/>
      <c r="MOH86" s="0"/>
      <c r="MOI86" s="0"/>
      <c r="MOJ86" s="0"/>
      <c r="MOK86" s="0"/>
      <c r="MOL86" s="0"/>
      <c r="MOM86" s="0"/>
      <c r="MON86" s="0"/>
      <c r="MOO86" s="0"/>
      <c r="MOP86" s="0"/>
      <c r="MOQ86" s="0"/>
      <c r="MOR86" s="0"/>
      <c r="MOS86" s="0"/>
      <c r="MOT86" s="0"/>
      <c r="MOU86" s="0"/>
      <c r="MOV86" s="0"/>
      <c r="MOW86" s="0"/>
      <c r="MOX86" s="0"/>
      <c r="MOY86" s="0"/>
      <c r="MOZ86" s="0"/>
      <c r="MPA86" s="0"/>
      <c r="MPB86" s="0"/>
      <c r="MPC86" s="0"/>
      <c r="MPD86" s="0"/>
      <c r="MPE86" s="0"/>
      <c r="MPF86" s="0"/>
      <c r="MPG86" s="0"/>
      <c r="MPH86" s="0"/>
      <c r="MPI86" s="0"/>
      <c r="MPJ86" s="0"/>
      <c r="MPK86" s="0"/>
      <c r="MPL86" s="0"/>
      <c r="MPM86" s="0"/>
      <c r="MPN86" s="0"/>
      <c r="MPO86" s="0"/>
      <c r="MPP86" s="0"/>
      <c r="MPQ86" s="0"/>
      <c r="MPR86" s="0"/>
      <c r="MPS86" s="0"/>
      <c r="MPT86" s="0"/>
      <c r="MPU86" s="0"/>
      <c r="MPV86" s="0"/>
      <c r="MPW86" s="0"/>
      <c r="MPX86" s="0"/>
      <c r="MPY86" s="0"/>
      <c r="MPZ86" s="0"/>
      <c r="MQA86" s="0"/>
      <c r="MQB86" s="0"/>
      <c r="MQC86" s="0"/>
      <c r="MQD86" s="0"/>
      <c r="MQE86" s="0"/>
      <c r="MQF86" s="0"/>
      <c r="MQG86" s="0"/>
      <c r="MQH86" s="0"/>
      <c r="MQI86" s="0"/>
      <c r="MQJ86" s="0"/>
      <c r="MQK86" s="0"/>
      <c r="MQL86" s="0"/>
      <c r="MQM86" s="0"/>
      <c r="MQN86" s="0"/>
      <c r="MQO86" s="0"/>
      <c r="MQP86" s="0"/>
      <c r="MQQ86" s="0"/>
      <c r="MQR86" s="0"/>
      <c r="MQS86" s="0"/>
      <c r="MQT86" s="0"/>
      <c r="MQU86" s="0"/>
      <c r="MQV86" s="0"/>
      <c r="MQW86" s="0"/>
      <c r="MQX86" s="0"/>
      <c r="MQY86" s="0"/>
      <c r="MQZ86" s="0"/>
      <c r="MRA86" s="0"/>
      <c r="MRB86" s="0"/>
      <c r="MRC86" s="0"/>
      <c r="MRD86" s="0"/>
      <c r="MRE86" s="0"/>
      <c r="MRF86" s="0"/>
      <c r="MRG86" s="0"/>
      <c r="MRH86" s="0"/>
      <c r="MRI86" s="0"/>
      <c r="MRJ86" s="0"/>
      <c r="MRK86" s="0"/>
      <c r="MRL86" s="0"/>
      <c r="MRM86" s="0"/>
      <c r="MRN86" s="0"/>
      <c r="MRO86" s="0"/>
      <c r="MRP86" s="0"/>
      <c r="MRQ86" s="0"/>
      <c r="MRR86" s="0"/>
      <c r="MRS86" s="0"/>
      <c r="MRT86" s="0"/>
      <c r="MRU86" s="0"/>
      <c r="MRV86" s="0"/>
      <c r="MRW86" s="0"/>
      <c r="MRX86" s="0"/>
      <c r="MRY86" s="0"/>
      <c r="MRZ86" s="0"/>
      <c r="MSA86" s="0"/>
      <c r="MSB86" s="0"/>
      <c r="MSC86" s="0"/>
      <c r="MSD86" s="0"/>
      <c r="MSE86" s="0"/>
      <c r="MSF86" s="0"/>
      <c r="MSG86" s="0"/>
      <c r="MSH86" s="0"/>
      <c r="MSI86" s="0"/>
      <c r="MSJ86" s="0"/>
      <c r="MSK86" s="0"/>
      <c r="MSL86" s="0"/>
      <c r="MSM86" s="0"/>
      <c r="MSN86" s="0"/>
      <c r="MSO86" s="0"/>
      <c r="MSP86" s="0"/>
      <c r="MSQ86" s="0"/>
      <c r="MSR86" s="0"/>
      <c r="MSS86" s="0"/>
      <c r="MST86" s="0"/>
      <c r="MSU86" s="0"/>
      <c r="MSV86" s="0"/>
      <c r="MSW86" s="0"/>
      <c r="MSX86" s="0"/>
      <c r="MSY86" s="0"/>
      <c r="MSZ86" s="0"/>
      <c r="MTA86" s="0"/>
      <c r="MTB86" s="0"/>
      <c r="MTC86" s="0"/>
      <c r="MTD86" s="0"/>
      <c r="MTE86" s="0"/>
      <c r="MTF86" s="0"/>
      <c r="MTG86" s="0"/>
      <c r="MTH86" s="0"/>
      <c r="MTI86" s="0"/>
      <c r="MTJ86" s="0"/>
      <c r="MTK86" s="0"/>
      <c r="MTL86" s="0"/>
      <c r="MTM86" s="0"/>
      <c r="MTN86" s="0"/>
      <c r="MTO86" s="0"/>
      <c r="MTP86" s="0"/>
      <c r="MTQ86" s="0"/>
      <c r="MTR86" s="0"/>
      <c r="MTS86" s="0"/>
      <c r="MTT86" s="0"/>
      <c r="MTU86" s="0"/>
      <c r="MTV86" s="0"/>
      <c r="MTW86" s="0"/>
      <c r="MTX86" s="0"/>
      <c r="MTY86" s="0"/>
      <c r="MTZ86" s="0"/>
      <c r="MUA86" s="0"/>
      <c r="MUB86" s="0"/>
      <c r="MUC86" s="0"/>
      <c r="MUD86" s="0"/>
      <c r="MUE86" s="0"/>
      <c r="MUF86" s="0"/>
      <c r="MUG86" s="0"/>
      <c r="MUH86" s="0"/>
      <c r="MUI86" s="0"/>
      <c r="MUJ86" s="0"/>
      <c r="MUK86" s="0"/>
      <c r="MUL86" s="0"/>
      <c r="MUM86" s="0"/>
      <c r="MUN86" s="0"/>
      <c r="MUO86" s="0"/>
      <c r="MUP86" s="0"/>
      <c r="MUQ86" s="0"/>
      <c r="MUR86" s="0"/>
      <c r="MUS86" s="0"/>
      <c r="MUT86" s="0"/>
      <c r="MUU86" s="0"/>
      <c r="MUV86" s="0"/>
      <c r="MUW86" s="0"/>
      <c r="MUX86" s="0"/>
      <c r="MUY86" s="0"/>
      <c r="MUZ86" s="0"/>
      <c r="MVA86" s="0"/>
      <c r="MVB86" s="0"/>
      <c r="MVC86" s="0"/>
      <c r="MVD86" s="0"/>
      <c r="MVE86" s="0"/>
      <c r="MVF86" s="0"/>
      <c r="MVG86" s="0"/>
      <c r="MVH86" s="0"/>
      <c r="MVI86" s="0"/>
      <c r="MVJ86" s="0"/>
      <c r="MVK86" s="0"/>
      <c r="MVL86" s="0"/>
      <c r="MVM86" s="0"/>
      <c r="MVN86" s="0"/>
      <c r="MVO86" s="0"/>
      <c r="MVP86" s="0"/>
      <c r="MVQ86" s="0"/>
      <c r="MVR86" s="0"/>
      <c r="MVS86" s="0"/>
      <c r="MVT86" s="0"/>
      <c r="MVU86" s="0"/>
      <c r="MVV86" s="0"/>
      <c r="MVW86" s="0"/>
      <c r="MVX86" s="0"/>
      <c r="MVY86" s="0"/>
      <c r="MVZ86" s="0"/>
      <c r="MWA86" s="0"/>
      <c r="MWB86" s="0"/>
      <c r="MWC86" s="0"/>
      <c r="MWD86" s="0"/>
      <c r="MWE86" s="0"/>
      <c r="MWF86" s="0"/>
      <c r="MWG86" s="0"/>
      <c r="MWH86" s="0"/>
      <c r="MWI86" s="0"/>
      <c r="MWJ86" s="0"/>
      <c r="MWK86" s="0"/>
      <c r="MWL86" s="0"/>
      <c r="MWM86" s="0"/>
      <c r="MWN86" s="0"/>
      <c r="MWO86" s="0"/>
      <c r="MWP86" s="0"/>
      <c r="MWQ86" s="0"/>
      <c r="MWR86" s="0"/>
      <c r="MWS86" s="0"/>
      <c r="MWT86" s="0"/>
      <c r="MWU86" s="0"/>
      <c r="MWV86" s="0"/>
      <c r="MWW86" s="0"/>
      <c r="MWX86" s="0"/>
      <c r="MWY86" s="0"/>
      <c r="MWZ86" s="0"/>
      <c r="MXA86" s="0"/>
      <c r="MXB86" s="0"/>
      <c r="MXC86" s="0"/>
      <c r="MXD86" s="0"/>
      <c r="MXE86" s="0"/>
      <c r="MXF86" s="0"/>
      <c r="MXG86" s="0"/>
      <c r="MXH86" s="0"/>
      <c r="MXI86" s="0"/>
      <c r="MXJ86" s="0"/>
      <c r="MXK86" s="0"/>
      <c r="MXL86" s="0"/>
      <c r="MXM86" s="0"/>
      <c r="MXN86" s="0"/>
      <c r="MXO86" s="0"/>
      <c r="MXP86" s="0"/>
      <c r="MXQ86" s="0"/>
      <c r="MXR86" s="0"/>
      <c r="MXS86" s="0"/>
      <c r="MXT86" s="0"/>
      <c r="MXU86" s="0"/>
      <c r="MXV86" s="0"/>
      <c r="MXW86" s="0"/>
      <c r="MXX86" s="0"/>
      <c r="MXY86" s="0"/>
      <c r="MXZ86" s="0"/>
      <c r="MYA86" s="0"/>
      <c r="MYB86" s="0"/>
      <c r="MYC86" s="0"/>
      <c r="MYD86" s="0"/>
      <c r="MYE86" s="0"/>
      <c r="MYF86" s="0"/>
      <c r="MYG86" s="0"/>
      <c r="MYH86" s="0"/>
      <c r="MYI86" s="0"/>
      <c r="MYJ86" s="0"/>
      <c r="MYK86" s="0"/>
      <c r="MYL86" s="0"/>
      <c r="MYM86" s="0"/>
      <c r="MYN86" s="0"/>
      <c r="MYO86" s="0"/>
      <c r="MYP86" s="0"/>
      <c r="MYQ86" s="0"/>
      <c r="MYR86" s="0"/>
      <c r="MYS86" s="0"/>
      <c r="MYT86" s="0"/>
      <c r="MYU86" s="0"/>
      <c r="MYV86" s="0"/>
      <c r="MYW86" s="0"/>
      <c r="MYX86" s="0"/>
      <c r="MYY86" s="0"/>
      <c r="MYZ86" s="0"/>
      <c r="MZA86" s="0"/>
      <c r="MZB86" s="0"/>
      <c r="MZC86" s="0"/>
      <c r="MZD86" s="0"/>
      <c r="MZE86" s="0"/>
      <c r="MZF86" s="0"/>
      <c r="MZG86" s="0"/>
      <c r="MZH86" s="0"/>
      <c r="MZI86" s="0"/>
      <c r="MZJ86" s="0"/>
      <c r="MZK86" s="0"/>
      <c r="MZL86" s="0"/>
      <c r="MZM86" s="0"/>
      <c r="MZN86" s="0"/>
      <c r="MZO86" s="0"/>
      <c r="MZP86" s="0"/>
      <c r="MZQ86" s="0"/>
      <c r="MZR86" s="0"/>
      <c r="MZS86" s="0"/>
      <c r="MZT86" s="0"/>
      <c r="MZU86" s="0"/>
      <c r="MZV86" s="0"/>
      <c r="MZW86" s="0"/>
      <c r="MZX86" s="0"/>
      <c r="MZY86" s="0"/>
      <c r="MZZ86" s="0"/>
      <c r="NAA86" s="0"/>
      <c r="NAB86" s="0"/>
      <c r="NAC86" s="0"/>
      <c r="NAD86" s="0"/>
      <c r="NAE86" s="0"/>
      <c r="NAF86" s="0"/>
      <c r="NAG86" s="0"/>
      <c r="NAH86" s="0"/>
      <c r="NAI86" s="0"/>
      <c r="NAJ86" s="0"/>
      <c r="NAK86" s="0"/>
      <c r="NAL86" s="0"/>
      <c r="NAM86" s="0"/>
      <c r="NAN86" s="0"/>
      <c r="NAO86" s="0"/>
      <c r="NAP86" s="0"/>
      <c r="NAQ86" s="0"/>
      <c r="NAR86" s="0"/>
      <c r="NAS86" s="0"/>
      <c r="NAT86" s="0"/>
      <c r="NAU86" s="0"/>
      <c r="NAV86" s="0"/>
      <c r="NAW86" s="0"/>
      <c r="NAX86" s="0"/>
      <c r="NAY86" s="0"/>
      <c r="NAZ86" s="0"/>
      <c r="NBA86" s="0"/>
      <c r="NBB86" s="0"/>
      <c r="NBC86" s="0"/>
      <c r="NBD86" s="0"/>
      <c r="NBE86" s="0"/>
      <c r="NBF86" s="0"/>
      <c r="NBG86" s="0"/>
      <c r="NBH86" s="0"/>
      <c r="NBI86" s="0"/>
      <c r="NBJ86" s="0"/>
      <c r="NBK86" s="0"/>
      <c r="NBL86" s="0"/>
      <c r="NBM86" s="0"/>
      <c r="NBN86" s="0"/>
      <c r="NBO86" s="0"/>
      <c r="NBP86" s="0"/>
      <c r="NBQ86" s="0"/>
      <c r="NBR86" s="0"/>
      <c r="NBS86" s="0"/>
      <c r="NBT86" s="0"/>
      <c r="NBU86" s="0"/>
      <c r="NBV86" s="0"/>
      <c r="NBW86" s="0"/>
      <c r="NBX86" s="0"/>
      <c r="NBY86" s="0"/>
      <c r="NBZ86" s="0"/>
      <c r="NCA86" s="0"/>
      <c r="NCB86" s="0"/>
      <c r="NCC86" s="0"/>
      <c r="NCD86" s="0"/>
      <c r="NCE86" s="0"/>
      <c r="NCF86" s="0"/>
      <c r="NCG86" s="0"/>
      <c r="NCH86" s="0"/>
      <c r="NCI86" s="0"/>
      <c r="NCJ86" s="0"/>
      <c r="NCK86" s="0"/>
      <c r="NCL86" s="0"/>
      <c r="NCM86" s="0"/>
      <c r="NCN86" s="0"/>
      <c r="NCO86" s="0"/>
      <c r="NCP86" s="0"/>
      <c r="NCQ86" s="0"/>
      <c r="NCR86" s="0"/>
      <c r="NCS86" s="0"/>
      <c r="NCT86" s="0"/>
      <c r="NCU86" s="0"/>
      <c r="NCV86" s="0"/>
      <c r="NCW86" s="0"/>
      <c r="NCX86" s="0"/>
      <c r="NCY86" s="0"/>
      <c r="NCZ86" s="0"/>
      <c r="NDA86" s="0"/>
      <c r="NDB86" s="0"/>
      <c r="NDC86" s="0"/>
      <c r="NDD86" s="0"/>
      <c r="NDE86" s="0"/>
      <c r="NDF86" s="0"/>
      <c r="NDG86" s="0"/>
      <c r="NDH86" s="0"/>
      <c r="NDI86" s="0"/>
      <c r="NDJ86" s="0"/>
      <c r="NDK86" s="0"/>
      <c r="NDL86" s="0"/>
      <c r="NDM86" s="0"/>
      <c r="NDN86" s="0"/>
      <c r="NDO86" s="0"/>
      <c r="NDP86" s="0"/>
      <c r="NDQ86" s="0"/>
      <c r="NDR86" s="0"/>
      <c r="NDS86" s="0"/>
      <c r="NDT86" s="0"/>
      <c r="NDU86" s="0"/>
      <c r="NDV86" s="0"/>
      <c r="NDW86" s="0"/>
      <c r="NDX86" s="0"/>
      <c r="NDY86" s="0"/>
      <c r="NDZ86" s="0"/>
      <c r="NEA86" s="0"/>
      <c r="NEB86" s="0"/>
      <c r="NEC86" s="0"/>
      <c r="NED86" s="0"/>
      <c r="NEE86" s="0"/>
      <c r="NEF86" s="0"/>
      <c r="NEG86" s="0"/>
      <c r="NEH86" s="0"/>
      <c r="NEI86" s="0"/>
      <c r="NEJ86" s="0"/>
      <c r="NEK86" s="0"/>
      <c r="NEL86" s="0"/>
      <c r="NEM86" s="0"/>
      <c r="NEN86" s="0"/>
      <c r="NEO86" s="0"/>
      <c r="NEP86" s="0"/>
      <c r="NEQ86" s="0"/>
      <c r="NER86" s="0"/>
      <c r="NES86" s="0"/>
      <c r="NET86" s="0"/>
      <c r="NEU86" s="0"/>
      <c r="NEV86" s="0"/>
      <c r="NEW86" s="0"/>
      <c r="NEX86" s="0"/>
      <c r="NEY86" s="0"/>
      <c r="NEZ86" s="0"/>
      <c r="NFA86" s="0"/>
      <c r="NFB86" s="0"/>
      <c r="NFC86" s="0"/>
      <c r="NFD86" s="0"/>
      <c r="NFE86" s="0"/>
      <c r="NFF86" s="0"/>
      <c r="NFG86" s="0"/>
      <c r="NFH86" s="0"/>
      <c r="NFI86" s="0"/>
      <c r="NFJ86" s="0"/>
      <c r="NFK86" s="0"/>
      <c r="NFL86" s="0"/>
      <c r="NFM86" s="0"/>
      <c r="NFN86" s="0"/>
      <c r="NFO86" s="0"/>
      <c r="NFP86" s="0"/>
      <c r="NFQ86" s="0"/>
      <c r="NFR86" s="0"/>
      <c r="NFS86" s="0"/>
      <c r="NFT86" s="0"/>
      <c r="NFU86" s="0"/>
      <c r="NFV86" s="0"/>
      <c r="NFW86" s="0"/>
      <c r="NFX86" s="0"/>
      <c r="NFY86" s="0"/>
      <c r="NFZ86" s="0"/>
      <c r="NGA86" s="0"/>
      <c r="NGB86" s="0"/>
      <c r="NGC86" s="0"/>
      <c r="NGD86" s="0"/>
      <c r="NGE86" s="0"/>
      <c r="NGF86" s="0"/>
      <c r="NGG86" s="0"/>
      <c r="NGH86" s="0"/>
      <c r="NGI86" s="0"/>
      <c r="NGJ86" s="0"/>
      <c r="NGK86" s="0"/>
      <c r="NGL86" s="0"/>
      <c r="NGM86" s="0"/>
      <c r="NGN86" s="0"/>
      <c r="NGO86" s="0"/>
      <c r="NGP86" s="0"/>
      <c r="NGQ86" s="0"/>
      <c r="NGR86" s="0"/>
      <c r="NGS86" s="0"/>
      <c r="NGT86" s="0"/>
      <c r="NGU86" s="0"/>
      <c r="NGV86" s="0"/>
      <c r="NGW86" s="0"/>
      <c r="NGX86" s="0"/>
      <c r="NGY86" s="0"/>
      <c r="NGZ86" s="0"/>
      <c r="NHA86" s="0"/>
      <c r="NHB86" s="0"/>
      <c r="NHC86" s="0"/>
      <c r="NHD86" s="0"/>
      <c r="NHE86" s="0"/>
      <c r="NHF86" s="0"/>
      <c r="NHG86" s="0"/>
      <c r="NHH86" s="0"/>
      <c r="NHI86" s="0"/>
      <c r="NHJ86" s="0"/>
      <c r="NHK86" s="0"/>
      <c r="NHL86" s="0"/>
      <c r="NHM86" s="0"/>
      <c r="NHN86" s="0"/>
      <c r="NHO86" s="0"/>
      <c r="NHP86" s="0"/>
      <c r="NHQ86" s="0"/>
      <c r="NHR86" s="0"/>
      <c r="NHS86" s="0"/>
      <c r="NHT86" s="0"/>
      <c r="NHU86" s="0"/>
      <c r="NHV86" s="0"/>
      <c r="NHW86" s="0"/>
      <c r="NHX86" s="0"/>
      <c r="NHY86" s="0"/>
      <c r="NHZ86" s="0"/>
      <c r="NIA86" s="0"/>
      <c r="NIB86" s="0"/>
      <c r="NIC86" s="0"/>
      <c r="NID86" s="0"/>
      <c r="NIE86" s="0"/>
      <c r="NIF86" s="0"/>
      <c r="NIG86" s="0"/>
      <c r="NIH86" s="0"/>
      <c r="NII86" s="0"/>
      <c r="NIJ86" s="0"/>
      <c r="NIK86" s="0"/>
      <c r="NIL86" s="0"/>
      <c r="NIM86" s="0"/>
      <c r="NIN86" s="0"/>
      <c r="NIO86" s="0"/>
      <c r="NIP86" s="0"/>
      <c r="NIQ86" s="0"/>
      <c r="NIR86" s="0"/>
      <c r="NIS86" s="0"/>
      <c r="NIT86" s="0"/>
      <c r="NIU86" s="0"/>
      <c r="NIV86" s="0"/>
      <c r="NIW86" s="0"/>
      <c r="NIX86" s="0"/>
      <c r="NIY86" s="0"/>
      <c r="NIZ86" s="0"/>
      <c r="NJA86" s="0"/>
      <c r="NJB86" s="0"/>
      <c r="NJC86" s="0"/>
      <c r="NJD86" s="0"/>
      <c r="NJE86" s="0"/>
      <c r="NJF86" s="0"/>
      <c r="NJG86" s="0"/>
      <c r="NJH86" s="0"/>
      <c r="NJI86" s="0"/>
      <c r="NJJ86" s="0"/>
      <c r="NJK86" s="0"/>
      <c r="NJL86" s="0"/>
      <c r="NJM86" s="0"/>
      <c r="NJN86" s="0"/>
      <c r="NJO86" s="0"/>
      <c r="NJP86" s="0"/>
      <c r="NJQ86" s="0"/>
      <c r="NJR86" s="0"/>
      <c r="NJS86" s="0"/>
      <c r="NJT86" s="0"/>
      <c r="NJU86" s="0"/>
      <c r="NJV86" s="0"/>
      <c r="NJW86" s="0"/>
      <c r="NJX86" s="0"/>
      <c r="NJY86" s="0"/>
      <c r="NJZ86" s="0"/>
      <c r="NKA86" s="0"/>
      <c r="NKB86" s="0"/>
      <c r="NKC86" s="0"/>
      <c r="NKD86" s="0"/>
      <c r="NKE86" s="0"/>
      <c r="NKF86" s="0"/>
      <c r="NKG86" s="0"/>
      <c r="NKH86" s="0"/>
      <c r="NKI86" s="0"/>
      <c r="NKJ86" s="0"/>
      <c r="NKK86" s="0"/>
      <c r="NKL86" s="0"/>
      <c r="NKM86" s="0"/>
      <c r="NKN86" s="0"/>
      <c r="NKO86" s="0"/>
      <c r="NKP86" s="0"/>
      <c r="NKQ86" s="0"/>
      <c r="NKR86" s="0"/>
      <c r="NKS86" s="0"/>
      <c r="NKT86" s="0"/>
      <c r="NKU86" s="0"/>
      <c r="NKV86" s="0"/>
      <c r="NKW86" s="0"/>
      <c r="NKX86" s="0"/>
      <c r="NKY86" s="0"/>
      <c r="NKZ86" s="0"/>
      <c r="NLA86" s="0"/>
      <c r="NLB86" s="0"/>
      <c r="NLC86" s="0"/>
      <c r="NLD86" s="0"/>
      <c r="NLE86" s="0"/>
      <c r="NLF86" s="0"/>
      <c r="NLG86" s="0"/>
      <c r="NLH86" s="0"/>
      <c r="NLI86" s="0"/>
      <c r="NLJ86" s="0"/>
      <c r="NLK86" s="0"/>
      <c r="NLL86" s="0"/>
      <c r="NLM86" s="0"/>
      <c r="NLN86" s="0"/>
      <c r="NLO86" s="0"/>
      <c r="NLP86" s="0"/>
      <c r="NLQ86" s="0"/>
      <c r="NLR86" s="0"/>
      <c r="NLS86" s="0"/>
      <c r="NLT86" s="0"/>
      <c r="NLU86" s="0"/>
      <c r="NLV86" s="0"/>
      <c r="NLW86" s="0"/>
      <c r="NLX86" s="0"/>
      <c r="NLY86" s="0"/>
      <c r="NLZ86" s="0"/>
      <c r="NMA86" s="0"/>
      <c r="NMB86" s="0"/>
      <c r="NMC86" s="0"/>
      <c r="NMD86" s="0"/>
      <c r="NME86" s="0"/>
      <c r="NMF86" s="0"/>
      <c r="NMG86" s="0"/>
      <c r="NMH86" s="0"/>
      <c r="NMI86" s="0"/>
      <c r="NMJ86" s="0"/>
      <c r="NMK86" s="0"/>
      <c r="NML86" s="0"/>
      <c r="NMM86" s="0"/>
      <c r="NMN86" s="0"/>
      <c r="NMO86" s="0"/>
      <c r="NMP86" s="0"/>
      <c r="NMQ86" s="0"/>
      <c r="NMR86" s="0"/>
      <c r="NMS86" s="0"/>
      <c r="NMT86" s="0"/>
      <c r="NMU86" s="0"/>
      <c r="NMV86" s="0"/>
      <c r="NMW86" s="0"/>
      <c r="NMX86" s="0"/>
      <c r="NMY86" s="0"/>
      <c r="NMZ86" s="0"/>
      <c r="NNA86" s="0"/>
      <c r="NNB86" s="0"/>
      <c r="NNC86" s="0"/>
      <c r="NND86" s="0"/>
      <c r="NNE86" s="0"/>
      <c r="NNF86" s="0"/>
      <c r="NNG86" s="0"/>
      <c r="NNH86" s="0"/>
      <c r="NNI86" s="0"/>
      <c r="NNJ86" s="0"/>
      <c r="NNK86" s="0"/>
      <c r="NNL86" s="0"/>
      <c r="NNM86" s="0"/>
      <c r="NNN86" s="0"/>
      <c r="NNO86" s="0"/>
      <c r="NNP86" s="0"/>
      <c r="NNQ86" s="0"/>
      <c r="NNR86" s="0"/>
      <c r="NNS86" s="0"/>
      <c r="NNT86" s="0"/>
      <c r="NNU86" s="0"/>
      <c r="NNV86" s="0"/>
      <c r="NNW86" s="0"/>
      <c r="NNX86" s="0"/>
      <c r="NNY86" s="0"/>
      <c r="NNZ86" s="0"/>
      <c r="NOA86" s="0"/>
      <c r="NOB86" s="0"/>
      <c r="NOC86" s="0"/>
      <c r="NOD86" s="0"/>
      <c r="NOE86" s="0"/>
      <c r="NOF86" s="0"/>
      <c r="NOG86" s="0"/>
      <c r="NOH86" s="0"/>
      <c r="NOI86" s="0"/>
      <c r="NOJ86" s="0"/>
      <c r="NOK86" s="0"/>
      <c r="NOL86" s="0"/>
      <c r="NOM86" s="0"/>
      <c r="NON86" s="0"/>
      <c r="NOO86" s="0"/>
      <c r="NOP86" s="0"/>
      <c r="NOQ86" s="0"/>
      <c r="NOR86" s="0"/>
      <c r="NOS86" s="0"/>
      <c r="NOT86" s="0"/>
      <c r="NOU86" s="0"/>
      <c r="NOV86" s="0"/>
      <c r="NOW86" s="0"/>
      <c r="NOX86" s="0"/>
      <c r="NOY86" s="0"/>
      <c r="NOZ86" s="0"/>
      <c r="NPA86" s="0"/>
      <c r="NPB86" s="0"/>
      <c r="NPC86" s="0"/>
      <c r="NPD86" s="0"/>
      <c r="NPE86" s="0"/>
      <c r="NPF86" s="0"/>
      <c r="NPG86" s="0"/>
      <c r="NPH86" s="0"/>
      <c r="NPI86" s="0"/>
      <c r="NPJ86" s="0"/>
      <c r="NPK86" s="0"/>
      <c r="NPL86" s="0"/>
      <c r="NPM86" s="0"/>
      <c r="NPN86" s="0"/>
      <c r="NPO86" s="0"/>
      <c r="NPP86" s="0"/>
      <c r="NPQ86" s="0"/>
      <c r="NPR86" s="0"/>
      <c r="NPS86" s="0"/>
      <c r="NPT86" s="0"/>
      <c r="NPU86" s="0"/>
      <c r="NPV86" s="0"/>
      <c r="NPW86" s="0"/>
      <c r="NPX86" s="0"/>
      <c r="NPY86" s="0"/>
      <c r="NPZ86" s="0"/>
      <c r="NQA86" s="0"/>
      <c r="NQB86" s="0"/>
      <c r="NQC86" s="0"/>
      <c r="NQD86" s="0"/>
      <c r="NQE86" s="0"/>
      <c r="NQF86" s="0"/>
      <c r="NQG86" s="0"/>
      <c r="NQH86" s="0"/>
      <c r="NQI86" s="0"/>
      <c r="NQJ86" s="0"/>
      <c r="NQK86" s="0"/>
      <c r="NQL86" s="0"/>
      <c r="NQM86" s="0"/>
      <c r="NQN86" s="0"/>
      <c r="NQO86" s="0"/>
      <c r="NQP86" s="0"/>
      <c r="NQQ86" s="0"/>
      <c r="NQR86" s="0"/>
      <c r="NQS86" s="0"/>
      <c r="NQT86" s="0"/>
      <c r="NQU86" s="0"/>
      <c r="NQV86" s="0"/>
      <c r="NQW86" s="0"/>
      <c r="NQX86" s="0"/>
      <c r="NQY86" s="0"/>
      <c r="NQZ86" s="0"/>
      <c r="NRA86" s="0"/>
      <c r="NRB86" s="0"/>
      <c r="NRC86" s="0"/>
      <c r="NRD86" s="0"/>
      <c r="NRE86" s="0"/>
      <c r="NRF86" s="0"/>
      <c r="NRG86" s="0"/>
      <c r="NRH86" s="0"/>
      <c r="NRI86" s="0"/>
      <c r="NRJ86" s="0"/>
      <c r="NRK86" s="0"/>
      <c r="NRL86" s="0"/>
      <c r="NRM86" s="0"/>
      <c r="NRN86" s="0"/>
      <c r="NRO86" s="0"/>
      <c r="NRP86" s="0"/>
      <c r="NRQ86" s="0"/>
      <c r="NRR86" s="0"/>
      <c r="NRS86" s="0"/>
      <c r="NRT86" s="0"/>
      <c r="NRU86" s="0"/>
      <c r="NRV86" s="0"/>
      <c r="NRW86" s="0"/>
      <c r="NRX86" s="0"/>
      <c r="NRY86" s="0"/>
      <c r="NRZ86" s="0"/>
      <c r="NSA86" s="0"/>
      <c r="NSB86" s="0"/>
      <c r="NSC86" s="0"/>
      <c r="NSD86" s="0"/>
      <c r="NSE86" s="0"/>
      <c r="NSF86" s="0"/>
      <c r="NSG86" s="0"/>
      <c r="NSH86" s="0"/>
      <c r="NSI86" s="0"/>
      <c r="NSJ86" s="0"/>
      <c r="NSK86" s="0"/>
      <c r="NSL86" s="0"/>
      <c r="NSM86" s="0"/>
      <c r="NSN86" s="0"/>
      <c r="NSO86" s="0"/>
      <c r="NSP86" s="0"/>
      <c r="NSQ86" s="0"/>
      <c r="NSR86" s="0"/>
      <c r="NSS86" s="0"/>
      <c r="NST86" s="0"/>
      <c r="NSU86" s="0"/>
      <c r="NSV86" s="0"/>
      <c r="NSW86" s="0"/>
      <c r="NSX86" s="0"/>
      <c r="NSY86" s="0"/>
      <c r="NSZ86" s="0"/>
      <c r="NTA86" s="0"/>
      <c r="NTB86" s="0"/>
      <c r="NTC86" s="0"/>
      <c r="NTD86" s="0"/>
      <c r="NTE86" s="0"/>
      <c r="NTF86" s="0"/>
      <c r="NTG86" s="0"/>
      <c r="NTH86" s="0"/>
      <c r="NTI86" s="0"/>
      <c r="NTJ86" s="0"/>
      <c r="NTK86" s="0"/>
      <c r="NTL86" s="0"/>
      <c r="NTM86" s="0"/>
      <c r="NTN86" s="0"/>
      <c r="NTO86" s="0"/>
      <c r="NTP86" s="0"/>
      <c r="NTQ86" s="0"/>
      <c r="NTR86" s="0"/>
      <c r="NTS86" s="0"/>
      <c r="NTT86" s="0"/>
      <c r="NTU86" s="0"/>
      <c r="NTV86" s="0"/>
      <c r="NTW86" s="0"/>
      <c r="NTX86" s="0"/>
      <c r="NTY86" s="0"/>
      <c r="NTZ86" s="0"/>
      <c r="NUA86" s="0"/>
      <c r="NUB86" s="0"/>
      <c r="NUC86" s="0"/>
      <c r="NUD86" s="0"/>
      <c r="NUE86" s="0"/>
      <c r="NUF86" s="0"/>
      <c r="NUG86" s="0"/>
      <c r="NUH86" s="0"/>
      <c r="NUI86" s="0"/>
      <c r="NUJ86" s="0"/>
      <c r="NUK86" s="0"/>
      <c r="NUL86" s="0"/>
      <c r="NUM86" s="0"/>
      <c r="NUN86" s="0"/>
      <c r="NUO86" s="0"/>
      <c r="NUP86" s="0"/>
      <c r="NUQ86" s="0"/>
      <c r="NUR86" s="0"/>
      <c r="NUS86" s="0"/>
      <c r="NUT86" s="0"/>
      <c r="NUU86" s="0"/>
      <c r="NUV86" s="0"/>
      <c r="NUW86" s="0"/>
      <c r="NUX86" s="0"/>
      <c r="NUY86" s="0"/>
      <c r="NUZ86" s="0"/>
      <c r="NVA86" s="0"/>
      <c r="NVB86" s="0"/>
      <c r="NVC86" s="0"/>
      <c r="NVD86" s="0"/>
      <c r="NVE86" s="0"/>
      <c r="NVF86" s="0"/>
      <c r="NVG86" s="0"/>
      <c r="NVH86" s="0"/>
      <c r="NVI86" s="0"/>
      <c r="NVJ86" s="0"/>
      <c r="NVK86" s="0"/>
      <c r="NVL86" s="0"/>
      <c r="NVM86" s="0"/>
      <c r="NVN86" s="0"/>
      <c r="NVO86" s="0"/>
      <c r="NVP86" s="0"/>
      <c r="NVQ86" s="0"/>
      <c r="NVR86" s="0"/>
      <c r="NVS86" s="0"/>
      <c r="NVT86" s="0"/>
      <c r="NVU86" s="0"/>
      <c r="NVV86" s="0"/>
      <c r="NVW86" s="0"/>
      <c r="NVX86" s="0"/>
      <c r="NVY86" s="0"/>
      <c r="NVZ86" s="0"/>
      <c r="NWA86" s="0"/>
      <c r="NWB86" s="0"/>
      <c r="NWC86" s="0"/>
      <c r="NWD86" s="0"/>
      <c r="NWE86" s="0"/>
      <c r="NWF86" s="0"/>
      <c r="NWG86" s="0"/>
      <c r="NWH86" s="0"/>
      <c r="NWI86" s="0"/>
      <c r="NWJ86" s="0"/>
      <c r="NWK86" s="0"/>
      <c r="NWL86" s="0"/>
      <c r="NWM86" s="0"/>
      <c r="NWN86" s="0"/>
      <c r="NWO86" s="0"/>
      <c r="NWP86" s="0"/>
      <c r="NWQ86" s="0"/>
      <c r="NWR86" s="0"/>
      <c r="NWS86" s="0"/>
      <c r="NWT86" s="0"/>
      <c r="NWU86" s="0"/>
      <c r="NWV86" s="0"/>
      <c r="NWW86" s="0"/>
      <c r="NWX86" s="0"/>
      <c r="NWY86" s="0"/>
      <c r="NWZ86" s="0"/>
      <c r="NXA86" s="0"/>
      <c r="NXB86" s="0"/>
      <c r="NXC86" s="0"/>
      <c r="NXD86" s="0"/>
      <c r="NXE86" s="0"/>
      <c r="NXF86" s="0"/>
      <c r="NXG86" s="0"/>
      <c r="NXH86" s="0"/>
      <c r="NXI86" s="0"/>
      <c r="NXJ86" s="0"/>
      <c r="NXK86" s="0"/>
      <c r="NXL86" s="0"/>
      <c r="NXM86" s="0"/>
      <c r="NXN86" s="0"/>
      <c r="NXO86" s="0"/>
      <c r="NXP86" s="0"/>
      <c r="NXQ86" s="0"/>
      <c r="NXR86" s="0"/>
      <c r="NXS86" s="0"/>
      <c r="NXT86" s="0"/>
      <c r="NXU86" s="0"/>
      <c r="NXV86" s="0"/>
      <c r="NXW86" s="0"/>
      <c r="NXX86" s="0"/>
      <c r="NXY86" s="0"/>
      <c r="NXZ86" s="0"/>
      <c r="NYA86" s="0"/>
      <c r="NYB86" s="0"/>
      <c r="NYC86" s="0"/>
      <c r="NYD86" s="0"/>
      <c r="NYE86" s="0"/>
      <c r="NYF86" s="0"/>
      <c r="NYG86" s="0"/>
      <c r="NYH86" s="0"/>
      <c r="NYI86" s="0"/>
      <c r="NYJ86" s="0"/>
      <c r="NYK86" s="0"/>
      <c r="NYL86" s="0"/>
      <c r="NYM86" s="0"/>
      <c r="NYN86" s="0"/>
      <c r="NYO86" s="0"/>
      <c r="NYP86" s="0"/>
      <c r="NYQ86" s="0"/>
      <c r="NYR86" s="0"/>
      <c r="NYS86" s="0"/>
      <c r="NYT86" s="0"/>
      <c r="NYU86" s="0"/>
      <c r="NYV86" s="0"/>
      <c r="NYW86" s="0"/>
      <c r="NYX86" s="0"/>
      <c r="NYY86" s="0"/>
      <c r="NYZ86" s="0"/>
      <c r="NZA86" s="0"/>
      <c r="NZB86" s="0"/>
      <c r="NZC86" s="0"/>
      <c r="NZD86" s="0"/>
      <c r="NZE86" s="0"/>
      <c r="NZF86" s="0"/>
      <c r="NZG86" s="0"/>
      <c r="NZH86" s="0"/>
      <c r="NZI86" s="0"/>
      <c r="NZJ86" s="0"/>
      <c r="NZK86" s="0"/>
      <c r="NZL86" s="0"/>
      <c r="NZM86" s="0"/>
      <c r="NZN86" s="0"/>
      <c r="NZO86" s="0"/>
      <c r="NZP86" s="0"/>
      <c r="NZQ86" s="0"/>
      <c r="NZR86" s="0"/>
      <c r="NZS86" s="0"/>
      <c r="NZT86" s="0"/>
      <c r="NZU86" s="0"/>
      <c r="NZV86" s="0"/>
      <c r="NZW86" s="0"/>
      <c r="NZX86" s="0"/>
      <c r="NZY86" s="0"/>
      <c r="NZZ86" s="0"/>
      <c r="OAA86" s="0"/>
      <c r="OAB86" s="0"/>
      <c r="OAC86" s="0"/>
      <c r="OAD86" s="0"/>
      <c r="OAE86" s="0"/>
      <c r="OAF86" s="0"/>
      <c r="OAG86" s="0"/>
      <c r="OAH86" s="0"/>
      <c r="OAI86" s="0"/>
      <c r="OAJ86" s="0"/>
      <c r="OAK86" s="0"/>
      <c r="OAL86" s="0"/>
      <c r="OAM86" s="0"/>
      <c r="OAN86" s="0"/>
      <c r="OAO86" s="0"/>
      <c r="OAP86" s="0"/>
      <c r="OAQ86" s="0"/>
      <c r="OAR86" s="0"/>
      <c r="OAS86" s="0"/>
      <c r="OAT86" s="0"/>
      <c r="OAU86" s="0"/>
      <c r="OAV86" s="0"/>
      <c r="OAW86" s="0"/>
      <c r="OAX86" s="0"/>
      <c r="OAY86" s="0"/>
      <c r="OAZ86" s="0"/>
      <c r="OBA86" s="0"/>
      <c r="OBB86" s="0"/>
      <c r="OBC86" s="0"/>
      <c r="OBD86" s="0"/>
      <c r="OBE86" s="0"/>
      <c r="OBF86" s="0"/>
      <c r="OBG86" s="0"/>
      <c r="OBH86" s="0"/>
      <c r="OBI86" s="0"/>
      <c r="OBJ86" s="0"/>
      <c r="OBK86" s="0"/>
      <c r="OBL86" s="0"/>
      <c r="OBM86" s="0"/>
      <c r="OBN86" s="0"/>
      <c r="OBO86" s="0"/>
      <c r="OBP86" s="0"/>
      <c r="OBQ86" s="0"/>
      <c r="OBR86" s="0"/>
      <c r="OBS86" s="0"/>
      <c r="OBT86" s="0"/>
      <c r="OBU86" s="0"/>
      <c r="OBV86" s="0"/>
      <c r="OBW86" s="0"/>
      <c r="OBX86" s="0"/>
      <c r="OBY86" s="0"/>
      <c r="OBZ86" s="0"/>
      <c r="OCA86" s="0"/>
      <c r="OCB86" s="0"/>
      <c r="OCC86" s="0"/>
      <c r="OCD86" s="0"/>
      <c r="OCE86" s="0"/>
      <c r="OCF86" s="0"/>
      <c r="OCG86" s="0"/>
      <c r="OCH86" s="0"/>
      <c r="OCI86" s="0"/>
      <c r="OCJ86" s="0"/>
      <c r="OCK86" s="0"/>
      <c r="OCL86" s="0"/>
      <c r="OCM86" s="0"/>
      <c r="OCN86" s="0"/>
      <c r="OCO86" s="0"/>
      <c r="OCP86" s="0"/>
      <c r="OCQ86" s="0"/>
      <c r="OCR86" s="0"/>
      <c r="OCS86" s="0"/>
      <c r="OCT86" s="0"/>
      <c r="OCU86" s="0"/>
      <c r="OCV86" s="0"/>
      <c r="OCW86" s="0"/>
      <c r="OCX86" s="0"/>
      <c r="OCY86" s="0"/>
      <c r="OCZ86" s="0"/>
      <c r="ODA86" s="0"/>
      <c r="ODB86" s="0"/>
      <c r="ODC86" s="0"/>
      <c r="ODD86" s="0"/>
      <c r="ODE86" s="0"/>
      <c r="ODF86" s="0"/>
      <c r="ODG86" s="0"/>
      <c r="ODH86" s="0"/>
      <c r="ODI86" s="0"/>
      <c r="ODJ86" s="0"/>
      <c r="ODK86" s="0"/>
      <c r="ODL86" s="0"/>
      <c r="ODM86" s="0"/>
      <c r="ODN86" s="0"/>
      <c r="ODO86" s="0"/>
      <c r="ODP86" s="0"/>
      <c r="ODQ86" s="0"/>
      <c r="ODR86" s="0"/>
      <c r="ODS86" s="0"/>
      <c r="ODT86" s="0"/>
      <c r="ODU86" s="0"/>
      <c r="ODV86" s="0"/>
      <c r="ODW86" s="0"/>
      <c r="ODX86" s="0"/>
      <c r="ODY86" s="0"/>
      <c r="ODZ86" s="0"/>
      <c r="OEA86" s="0"/>
      <c r="OEB86" s="0"/>
      <c r="OEC86" s="0"/>
      <c r="OED86" s="0"/>
      <c r="OEE86" s="0"/>
      <c r="OEF86" s="0"/>
      <c r="OEG86" s="0"/>
      <c r="OEH86" s="0"/>
      <c r="OEI86" s="0"/>
      <c r="OEJ86" s="0"/>
      <c r="OEK86" s="0"/>
      <c r="OEL86" s="0"/>
      <c r="OEM86" s="0"/>
      <c r="OEN86" s="0"/>
      <c r="OEO86" s="0"/>
      <c r="OEP86" s="0"/>
      <c r="OEQ86" s="0"/>
      <c r="OER86" s="0"/>
      <c r="OES86" s="0"/>
      <c r="OET86" s="0"/>
      <c r="OEU86" s="0"/>
      <c r="OEV86" s="0"/>
      <c r="OEW86" s="0"/>
      <c r="OEX86" s="0"/>
      <c r="OEY86" s="0"/>
      <c r="OEZ86" s="0"/>
      <c r="OFA86" s="0"/>
      <c r="OFB86" s="0"/>
      <c r="OFC86" s="0"/>
      <c r="OFD86" s="0"/>
      <c r="OFE86" s="0"/>
      <c r="OFF86" s="0"/>
      <c r="OFG86" s="0"/>
      <c r="OFH86" s="0"/>
      <c r="OFI86" s="0"/>
      <c r="OFJ86" s="0"/>
      <c r="OFK86" s="0"/>
      <c r="OFL86" s="0"/>
      <c r="OFM86" s="0"/>
      <c r="OFN86" s="0"/>
      <c r="OFO86" s="0"/>
      <c r="OFP86" s="0"/>
      <c r="OFQ86" s="0"/>
      <c r="OFR86" s="0"/>
      <c r="OFS86" s="0"/>
      <c r="OFT86" s="0"/>
      <c r="OFU86" s="0"/>
      <c r="OFV86" s="0"/>
      <c r="OFW86" s="0"/>
      <c r="OFX86" s="0"/>
      <c r="OFY86" s="0"/>
      <c r="OFZ86" s="0"/>
      <c r="OGA86" s="0"/>
      <c r="OGB86" s="0"/>
      <c r="OGC86" s="0"/>
      <c r="OGD86" s="0"/>
      <c r="OGE86" s="0"/>
      <c r="OGF86" s="0"/>
      <c r="OGG86" s="0"/>
      <c r="OGH86" s="0"/>
      <c r="OGI86" s="0"/>
      <c r="OGJ86" s="0"/>
      <c r="OGK86" s="0"/>
      <c r="OGL86" s="0"/>
      <c r="OGM86" s="0"/>
      <c r="OGN86" s="0"/>
      <c r="OGO86" s="0"/>
      <c r="OGP86" s="0"/>
      <c r="OGQ86" s="0"/>
      <c r="OGR86" s="0"/>
      <c r="OGS86" s="0"/>
      <c r="OGT86" s="0"/>
      <c r="OGU86" s="0"/>
      <c r="OGV86" s="0"/>
      <c r="OGW86" s="0"/>
      <c r="OGX86" s="0"/>
      <c r="OGY86" s="0"/>
      <c r="OGZ86" s="0"/>
      <c r="OHA86" s="0"/>
      <c r="OHB86" s="0"/>
      <c r="OHC86" s="0"/>
      <c r="OHD86" s="0"/>
      <c r="OHE86" s="0"/>
      <c r="OHF86" s="0"/>
      <c r="OHG86" s="0"/>
      <c r="OHH86" s="0"/>
      <c r="OHI86" s="0"/>
      <c r="OHJ86" s="0"/>
      <c r="OHK86" s="0"/>
      <c r="OHL86" s="0"/>
      <c r="OHM86" s="0"/>
      <c r="OHN86" s="0"/>
      <c r="OHO86" s="0"/>
      <c r="OHP86" s="0"/>
      <c r="OHQ86" s="0"/>
      <c r="OHR86" s="0"/>
      <c r="OHS86" s="0"/>
      <c r="OHT86" s="0"/>
      <c r="OHU86" s="0"/>
      <c r="OHV86" s="0"/>
      <c r="OHW86" s="0"/>
      <c r="OHX86" s="0"/>
      <c r="OHY86" s="0"/>
      <c r="OHZ86" s="0"/>
      <c r="OIA86" s="0"/>
      <c r="OIB86" s="0"/>
      <c r="OIC86" s="0"/>
      <c r="OID86" s="0"/>
      <c r="OIE86" s="0"/>
      <c r="OIF86" s="0"/>
      <c r="OIG86" s="0"/>
      <c r="OIH86" s="0"/>
      <c r="OII86" s="0"/>
      <c r="OIJ86" s="0"/>
      <c r="OIK86" s="0"/>
      <c r="OIL86" s="0"/>
      <c r="OIM86" s="0"/>
      <c r="OIN86" s="0"/>
      <c r="OIO86" s="0"/>
      <c r="OIP86" s="0"/>
      <c r="OIQ86" s="0"/>
      <c r="OIR86" s="0"/>
      <c r="OIS86" s="0"/>
      <c r="OIT86" s="0"/>
      <c r="OIU86" s="0"/>
      <c r="OIV86" s="0"/>
      <c r="OIW86" s="0"/>
      <c r="OIX86" s="0"/>
      <c r="OIY86" s="0"/>
      <c r="OIZ86" s="0"/>
      <c r="OJA86" s="0"/>
      <c r="OJB86" s="0"/>
      <c r="OJC86" s="0"/>
      <c r="OJD86" s="0"/>
      <c r="OJE86" s="0"/>
      <c r="OJF86" s="0"/>
      <c r="OJG86" s="0"/>
      <c r="OJH86" s="0"/>
      <c r="OJI86" s="0"/>
      <c r="OJJ86" s="0"/>
      <c r="OJK86" s="0"/>
      <c r="OJL86" s="0"/>
      <c r="OJM86" s="0"/>
      <c r="OJN86" s="0"/>
      <c r="OJO86" s="0"/>
      <c r="OJP86" s="0"/>
      <c r="OJQ86" s="0"/>
      <c r="OJR86" s="0"/>
      <c r="OJS86" s="0"/>
      <c r="OJT86" s="0"/>
      <c r="OJU86" s="0"/>
      <c r="OJV86" s="0"/>
      <c r="OJW86" s="0"/>
      <c r="OJX86" s="0"/>
      <c r="OJY86" s="0"/>
      <c r="OJZ86" s="0"/>
      <c r="OKA86" s="0"/>
      <c r="OKB86" s="0"/>
      <c r="OKC86" s="0"/>
      <c r="OKD86" s="0"/>
      <c r="OKE86" s="0"/>
      <c r="OKF86" s="0"/>
      <c r="OKG86" s="0"/>
      <c r="OKH86" s="0"/>
      <c r="OKI86" s="0"/>
      <c r="OKJ86" s="0"/>
      <c r="OKK86" s="0"/>
      <c r="OKL86" s="0"/>
      <c r="OKM86" s="0"/>
      <c r="OKN86" s="0"/>
      <c r="OKO86" s="0"/>
      <c r="OKP86" s="0"/>
      <c r="OKQ86" s="0"/>
      <c r="OKR86" s="0"/>
      <c r="OKS86" s="0"/>
      <c r="OKT86" s="0"/>
      <c r="OKU86" s="0"/>
      <c r="OKV86" s="0"/>
      <c r="OKW86" s="0"/>
      <c r="OKX86" s="0"/>
      <c r="OKY86" s="0"/>
      <c r="OKZ86" s="0"/>
      <c r="OLA86" s="0"/>
      <c r="OLB86" s="0"/>
      <c r="OLC86" s="0"/>
      <c r="OLD86" s="0"/>
      <c r="OLE86" s="0"/>
      <c r="OLF86" s="0"/>
      <c r="OLG86" s="0"/>
      <c r="OLH86" s="0"/>
      <c r="OLI86" s="0"/>
      <c r="OLJ86" s="0"/>
      <c r="OLK86" s="0"/>
      <c r="OLL86" s="0"/>
      <c r="OLM86" s="0"/>
      <c r="OLN86" s="0"/>
      <c r="OLO86" s="0"/>
      <c r="OLP86" s="0"/>
      <c r="OLQ86" s="0"/>
      <c r="OLR86" s="0"/>
      <c r="OLS86" s="0"/>
      <c r="OLT86" s="0"/>
      <c r="OLU86" s="0"/>
      <c r="OLV86" s="0"/>
      <c r="OLW86" s="0"/>
      <c r="OLX86" s="0"/>
      <c r="OLY86" s="0"/>
      <c r="OLZ86" s="0"/>
      <c r="OMA86" s="0"/>
      <c r="OMB86" s="0"/>
      <c r="OMC86" s="0"/>
      <c r="OMD86" s="0"/>
      <c r="OME86" s="0"/>
      <c r="OMF86" s="0"/>
      <c r="OMG86" s="0"/>
      <c r="OMH86" s="0"/>
      <c r="OMI86" s="0"/>
      <c r="OMJ86" s="0"/>
      <c r="OMK86" s="0"/>
      <c r="OML86" s="0"/>
      <c r="OMM86" s="0"/>
      <c r="OMN86" s="0"/>
      <c r="OMO86" s="0"/>
      <c r="OMP86" s="0"/>
      <c r="OMQ86" s="0"/>
      <c r="OMR86" s="0"/>
      <c r="OMS86" s="0"/>
      <c r="OMT86" s="0"/>
      <c r="OMU86" s="0"/>
      <c r="OMV86" s="0"/>
      <c r="OMW86" s="0"/>
      <c r="OMX86" s="0"/>
      <c r="OMY86" s="0"/>
      <c r="OMZ86" s="0"/>
      <c r="ONA86" s="0"/>
      <c r="ONB86" s="0"/>
      <c r="ONC86" s="0"/>
      <c r="OND86" s="0"/>
      <c r="ONE86" s="0"/>
      <c r="ONF86" s="0"/>
      <c r="ONG86" s="0"/>
      <c r="ONH86" s="0"/>
      <c r="ONI86" s="0"/>
      <c r="ONJ86" s="0"/>
      <c r="ONK86" s="0"/>
      <c r="ONL86" s="0"/>
      <c r="ONM86" s="0"/>
      <c r="ONN86" s="0"/>
      <c r="ONO86" s="0"/>
      <c r="ONP86" s="0"/>
      <c r="ONQ86" s="0"/>
      <c r="ONR86" s="0"/>
      <c r="ONS86" s="0"/>
      <c r="ONT86" s="0"/>
      <c r="ONU86" s="0"/>
      <c r="ONV86" s="0"/>
      <c r="ONW86" s="0"/>
      <c r="ONX86" s="0"/>
      <c r="ONY86" s="0"/>
      <c r="ONZ86" s="0"/>
      <c r="OOA86" s="0"/>
      <c r="OOB86" s="0"/>
      <c r="OOC86" s="0"/>
      <c r="OOD86" s="0"/>
      <c r="OOE86" s="0"/>
      <c r="OOF86" s="0"/>
      <c r="OOG86" s="0"/>
      <c r="OOH86" s="0"/>
      <c r="OOI86" s="0"/>
      <c r="OOJ86" s="0"/>
      <c r="OOK86" s="0"/>
      <c r="OOL86" s="0"/>
      <c r="OOM86" s="0"/>
      <c r="OON86" s="0"/>
      <c r="OOO86" s="0"/>
      <c r="OOP86" s="0"/>
      <c r="OOQ86" s="0"/>
      <c r="OOR86" s="0"/>
      <c r="OOS86" s="0"/>
      <c r="OOT86" s="0"/>
      <c r="OOU86" s="0"/>
      <c r="OOV86" s="0"/>
      <c r="OOW86" s="0"/>
      <c r="OOX86" s="0"/>
      <c r="OOY86" s="0"/>
      <c r="OOZ86" s="0"/>
      <c r="OPA86" s="0"/>
      <c r="OPB86" s="0"/>
      <c r="OPC86" s="0"/>
      <c r="OPD86" s="0"/>
      <c r="OPE86" s="0"/>
      <c r="OPF86" s="0"/>
      <c r="OPG86" s="0"/>
      <c r="OPH86" s="0"/>
      <c r="OPI86" s="0"/>
      <c r="OPJ86" s="0"/>
      <c r="OPK86" s="0"/>
      <c r="OPL86" s="0"/>
      <c r="OPM86" s="0"/>
      <c r="OPN86" s="0"/>
      <c r="OPO86" s="0"/>
      <c r="OPP86" s="0"/>
      <c r="OPQ86" s="0"/>
      <c r="OPR86" s="0"/>
      <c r="OPS86" s="0"/>
      <c r="OPT86" s="0"/>
      <c r="OPU86" s="0"/>
      <c r="OPV86" s="0"/>
      <c r="OPW86" s="0"/>
      <c r="OPX86" s="0"/>
      <c r="OPY86" s="0"/>
      <c r="OPZ86" s="0"/>
      <c r="OQA86" s="0"/>
      <c r="OQB86" s="0"/>
      <c r="OQC86" s="0"/>
      <c r="OQD86" s="0"/>
      <c r="OQE86" s="0"/>
      <c r="OQF86" s="0"/>
      <c r="OQG86" s="0"/>
      <c r="OQH86" s="0"/>
      <c r="OQI86" s="0"/>
      <c r="OQJ86" s="0"/>
      <c r="OQK86" s="0"/>
      <c r="OQL86" s="0"/>
      <c r="OQM86" s="0"/>
      <c r="OQN86" s="0"/>
      <c r="OQO86" s="0"/>
      <c r="OQP86" s="0"/>
      <c r="OQQ86" s="0"/>
      <c r="OQR86" s="0"/>
      <c r="OQS86" s="0"/>
      <c r="OQT86" s="0"/>
      <c r="OQU86" s="0"/>
      <c r="OQV86" s="0"/>
      <c r="OQW86" s="0"/>
      <c r="OQX86" s="0"/>
      <c r="OQY86" s="0"/>
      <c r="OQZ86" s="0"/>
      <c r="ORA86" s="0"/>
      <c r="ORB86" s="0"/>
      <c r="ORC86" s="0"/>
      <c r="ORD86" s="0"/>
      <c r="ORE86" s="0"/>
      <c r="ORF86" s="0"/>
      <c r="ORG86" s="0"/>
      <c r="ORH86" s="0"/>
      <c r="ORI86" s="0"/>
      <c r="ORJ86" s="0"/>
      <c r="ORK86" s="0"/>
      <c r="ORL86" s="0"/>
      <c r="ORM86" s="0"/>
      <c r="ORN86" s="0"/>
      <c r="ORO86" s="0"/>
      <c r="ORP86" s="0"/>
      <c r="ORQ86" s="0"/>
      <c r="ORR86" s="0"/>
      <c r="ORS86" s="0"/>
      <c r="ORT86" s="0"/>
      <c r="ORU86" s="0"/>
      <c r="ORV86" s="0"/>
      <c r="ORW86" s="0"/>
      <c r="ORX86" s="0"/>
      <c r="ORY86" s="0"/>
      <c r="ORZ86" s="0"/>
      <c r="OSA86" s="0"/>
      <c r="OSB86" s="0"/>
      <c r="OSC86" s="0"/>
      <c r="OSD86" s="0"/>
      <c r="OSE86" s="0"/>
      <c r="OSF86" s="0"/>
      <c r="OSG86" s="0"/>
      <c r="OSH86" s="0"/>
      <c r="OSI86" s="0"/>
      <c r="OSJ86" s="0"/>
      <c r="OSK86" s="0"/>
      <c r="OSL86" s="0"/>
      <c r="OSM86" s="0"/>
      <c r="OSN86" s="0"/>
      <c r="OSO86" s="0"/>
      <c r="OSP86" s="0"/>
      <c r="OSQ86" s="0"/>
      <c r="OSR86" s="0"/>
      <c r="OSS86" s="0"/>
      <c r="OST86" s="0"/>
      <c r="OSU86" s="0"/>
      <c r="OSV86" s="0"/>
      <c r="OSW86" s="0"/>
      <c r="OSX86" s="0"/>
      <c r="OSY86" s="0"/>
      <c r="OSZ86" s="0"/>
      <c r="OTA86" s="0"/>
      <c r="OTB86" s="0"/>
      <c r="OTC86" s="0"/>
      <c r="OTD86" s="0"/>
      <c r="OTE86" s="0"/>
      <c r="OTF86" s="0"/>
      <c r="OTG86" s="0"/>
      <c r="OTH86" s="0"/>
      <c r="OTI86" s="0"/>
      <c r="OTJ86" s="0"/>
      <c r="OTK86" s="0"/>
      <c r="OTL86" s="0"/>
      <c r="OTM86" s="0"/>
      <c r="OTN86" s="0"/>
      <c r="OTO86" s="0"/>
      <c r="OTP86" s="0"/>
      <c r="OTQ86" s="0"/>
      <c r="OTR86" s="0"/>
      <c r="OTS86" s="0"/>
      <c r="OTT86" s="0"/>
      <c r="OTU86" s="0"/>
      <c r="OTV86" s="0"/>
      <c r="OTW86" s="0"/>
      <c r="OTX86" s="0"/>
      <c r="OTY86" s="0"/>
      <c r="OTZ86" s="0"/>
      <c r="OUA86" s="0"/>
      <c r="OUB86" s="0"/>
      <c r="OUC86" s="0"/>
      <c r="OUD86" s="0"/>
      <c r="OUE86" s="0"/>
      <c r="OUF86" s="0"/>
      <c r="OUG86" s="0"/>
      <c r="OUH86" s="0"/>
      <c r="OUI86" s="0"/>
      <c r="OUJ86" s="0"/>
      <c r="OUK86" s="0"/>
      <c r="OUL86" s="0"/>
      <c r="OUM86" s="0"/>
      <c r="OUN86" s="0"/>
      <c r="OUO86" s="0"/>
      <c r="OUP86" s="0"/>
      <c r="OUQ86" s="0"/>
      <c r="OUR86" s="0"/>
      <c r="OUS86" s="0"/>
      <c r="OUT86" s="0"/>
      <c r="OUU86" s="0"/>
      <c r="OUV86" s="0"/>
      <c r="OUW86" s="0"/>
      <c r="OUX86" s="0"/>
      <c r="OUY86" s="0"/>
      <c r="OUZ86" s="0"/>
      <c r="OVA86" s="0"/>
      <c r="OVB86" s="0"/>
      <c r="OVC86" s="0"/>
      <c r="OVD86" s="0"/>
      <c r="OVE86" s="0"/>
      <c r="OVF86" s="0"/>
      <c r="OVG86" s="0"/>
      <c r="OVH86" s="0"/>
      <c r="OVI86" s="0"/>
      <c r="OVJ86" s="0"/>
      <c r="OVK86" s="0"/>
      <c r="OVL86" s="0"/>
      <c r="OVM86" s="0"/>
      <c r="OVN86" s="0"/>
      <c r="OVO86" s="0"/>
      <c r="OVP86" s="0"/>
      <c r="OVQ86" s="0"/>
      <c r="OVR86" s="0"/>
      <c r="OVS86" s="0"/>
      <c r="OVT86" s="0"/>
      <c r="OVU86" s="0"/>
      <c r="OVV86" s="0"/>
      <c r="OVW86" s="0"/>
      <c r="OVX86" s="0"/>
      <c r="OVY86" s="0"/>
      <c r="OVZ86" s="0"/>
      <c r="OWA86" s="0"/>
      <c r="OWB86" s="0"/>
      <c r="OWC86" s="0"/>
      <c r="OWD86" s="0"/>
      <c r="OWE86" s="0"/>
      <c r="OWF86" s="0"/>
      <c r="OWG86" s="0"/>
      <c r="OWH86" s="0"/>
      <c r="OWI86" s="0"/>
      <c r="OWJ86" s="0"/>
      <c r="OWK86" s="0"/>
      <c r="OWL86" s="0"/>
      <c r="OWM86" s="0"/>
      <c r="OWN86" s="0"/>
      <c r="OWO86" s="0"/>
      <c r="OWP86" s="0"/>
      <c r="OWQ86" s="0"/>
      <c r="OWR86" s="0"/>
      <c r="OWS86" s="0"/>
      <c r="OWT86" s="0"/>
      <c r="OWU86" s="0"/>
      <c r="OWV86" s="0"/>
      <c r="OWW86" s="0"/>
      <c r="OWX86" s="0"/>
      <c r="OWY86" s="0"/>
      <c r="OWZ86" s="0"/>
      <c r="OXA86" s="0"/>
      <c r="OXB86" s="0"/>
      <c r="OXC86" s="0"/>
      <c r="OXD86" s="0"/>
      <c r="OXE86" s="0"/>
      <c r="OXF86" s="0"/>
      <c r="OXG86" s="0"/>
      <c r="OXH86" s="0"/>
      <c r="OXI86" s="0"/>
      <c r="OXJ86" s="0"/>
      <c r="OXK86" s="0"/>
      <c r="OXL86" s="0"/>
      <c r="OXM86" s="0"/>
      <c r="OXN86" s="0"/>
      <c r="OXO86" s="0"/>
      <c r="OXP86" s="0"/>
      <c r="OXQ86" s="0"/>
      <c r="OXR86" s="0"/>
      <c r="OXS86" s="0"/>
      <c r="OXT86" s="0"/>
      <c r="OXU86" s="0"/>
      <c r="OXV86" s="0"/>
      <c r="OXW86" s="0"/>
      <c r="OXX86" s="0"/>
      <c r="OXY86" s="0"/>
      <c r="OXZ86" s="0"/>
      <c r="OYA86" s="0"/>
      <c r="OYB86" s="0"/>
      <c r="OYC86" s="0"/>
      <c r="OYD86" s="0"/>
      <c r="OYE86" s="0"/>
      <c r="OYF86" s="0"/>
      <c r="OYG86" s="0"/>
      <c r="OYH86" s="0"/>
      <c r="OYI86" s="0"/>
      <c r="OYJ86" s="0"/>
      <c r="OYK86" s="0"/>
      <c r="OYL86" s="0"/>
      <c r="OYM86" s="0"/>
      <c r="OYN86" s="0"/>
      <c r="OYO86" s="0"/>
      <c r="OYP86" s="0"/>
      <c r="OYQ86" s="0"/>
      <c r="OYR86" s="0"/>
      <c r="OYS86" s="0"/>
      <c r="OYT86" s="0"/>
      <c r="OYU86" s="0"/>
      <c r="OYV86" s="0"/>
      <c r="OYW86" s="0"/>
      <c r="OYX86" s="0"/>
      <c r="OYY86" s="0"/>
      <c r="OYZ86" s="0"/>
      <c r="OZA86" s="0"/>
      <c r="OZB86" s="0"/>
      <c r="OZC86" s="0"/>
      <c r="OZD86" s="0"/>
      <c r="OZE86" s="0"/>
      <c r="OZF86" s="0"/>
      <c r="OZG86" s="0"/>
      <c r="OZH86" s="0"/>
      <c r="OZI86" s="0"/>
      <c r="OZJ86" s="0"/>
      <c r="OZK86" s="0"/>
      <c r="OZL86" s="0"/>
      <c r="OZM86" s="0"/>
      <c r="OZN86" s="0"/>
      <c r="OZO86" s="0"/>
      <c r="OZP86" s="0"/>
      <c r="OZQ86" s="0"/>
      <c r="OZR86" s="0"/>
      <c r="OZS86" s="0"/>
      <c r="OZT86" s="0"/>
      <c r="OZU86" s="0"/>
      <c r="OZV86" s="0"/>
      <c r="OZW86" s="0"/>
      <c r="OZX86" s="0"/>
      <c r="OZY86" s="0"/>
      <c r="OZZ86" s="0"/>
      <c r="PAA86" s="0"/>
      <c r="PAB86" s="0"/>
      <c r="PAC86" s="0"/>
      <c r="PAD86" s="0"/>
      <c r="PAE86" s="0"/>
      <c r="PAF86" s="0"/>
      <c r="PAG86" s="0"/>
      <c r="PAH86" s="0"/>
      <c r="PAI86" s="0"/>
      <c r="PAJ86" s="0"/>
      <c r="PAK86" s="0"/>
      <c r="PAL86" s="0"/>
      <c r="PAM86" s="0"/>
      <c r="PAN86" s="0"/>
      <c r="PAO86" s="0"/>
      <c r="PAP86" s="0"/>
      <c r="PAQ86" s="0"/>
      <c r="PAR86" s="0"/>
      <c r="PAS86" s="0"/>
      <c r="PAT86" s="0"/>
      <c r="PAU86" s="0"/>
      <c r="PAV86" s="0"/>
      <c r="PAW86" s="0"/>
      <c r="PAX86" s="0"/>
      <c r="PAY86" s="0"/>
      <c r="PAZ86" s="0"/>
      <c r="PBA86" s="0"/>
      <c r="PBB86" s="0"/>
      <c r="PBC86" s="0"/>
      <c r="PBD86" s="0"/>
      <c r="PBE86" s="0"/>
      <c r="PBF86" s="0"/>
      <c r="PBG86" s="0"/>
      <c r="PBH86" s="0"/>
      <c r="PBI86" s="0"/>
      <c r="PBJ86" s="0"/>
      <c r="PBK86" s="0"/>
      <c r="PBL86" s="0"/>
      <c r="PBM86" s="0"/>
      <c r="PBN86" s="0"/>
      <c r="PBO86" s="0"/>
      <c r="PBP86" s="0"/>
      <c r="PBQ86" s="0"/>
      <c r="PBR86" s="0"/>
      <c r="PBS86" s="0"/>
      <c r="PBT86" s="0"/>
      <c r="PBU86" s="0"/>
      <c r="PBV86" s="0"/>
      <c r="PBW86" s="0"/>
      <c r="PBX86" s="0"/>
      <c r="PBY86" s="0"/>
      <c r="PBZ86" s="0"/>
      <c r="PCA86" s="0"/>
      <c r="PCB86" s="0"/>
      <c r="PCC86" s="0"/>
      <c r="PCD86" s="0"/>
      <c r="PCE86" s="0"/>
      <c r="PCF86" s="0"/>
      <c r="PCG86" s="0"/>
      <c r="PCH86" s="0"/>
      <c r="PCI86" s="0"/>
      <c r="PCJ86" s="0"/>
      <c r="PCK86" s="0"/>
      <c r="PCL86" s="0"/>
      <c r="PCM86" s="0"/>
      <c r="PCN86" s="0"/>
      <c r="PCO86" s="0"/>
      <c r="PCP86" s="0"/>
      <c r="PCQ86" s="0"/>
      <c r="PCR86" s="0"/>
      <c r="PCS86" s="0"/>
      <c r="PCT86" s="0"/>
      <c r="PCU86" s="0"/>
      <c r="PCV86" s="0"/>
      <c r="PCW86" s="0"/>
      <c r="PCX86" s="0"/>
      <c r="PCY86" s="0"/>
      <c r="PCZ86" s="0"/>
      <c r="PDA86" s="0"/>
      <c r="PDB86" s="0"/>
      <c r="PDC86" s="0"/>
      <c r="PDD86" s="0"/>
      <c r="PDE86" s="0"/>
      <c r="PDF86" s="0"/>
      <c r="PDG86" s="0"/>
      <c r="PDH86" s="0"/>
      <c r="PDI86" s="0"/>
      <c r="PDJ86" s="0"/>
      <c r="PDK86" s="0"/>
      <c r="PDL86" s="0"/>
      <c r="PDM86" s="0"/>
      <c r="PDN86" s="0"/>
      <c r="PDO86" s="0"/>
      <c r="PDP86" s="0"/>
      <c r="PDQ86" s="0"/>
      <c r="PDR86" s="0"/>
      <c r="PDS86" s="0"/>
      <c r="PDT86" s="0"/>
      <c r="PDU86" s="0"/>
      <c r="PDV86" s="0"/>
      <c r="PDW86" s="0"/>
      <c r="PDX86" s="0"/>
      <c r="PDY86" s="0"/>
      <c r="PDZ86" s="0"/>
      <c r="PEA86" s="0"/>
      <c r="PEB86" s="0"/>
      <c r="PEC86" s="0"/>
      <c r="PED86" s="0"/>
      <c r="PEE86" s="0"/>
      <c r="PEF86" s="0"/>
      <c r="PEG86" s="0"/>
      <c r="PEH86" s="0"/>
      <c r="PEI86" s="0"/>
      <c r="PEJ86" s="0"/>
      <c r="PEK86" s="0"/>
      <c r="PEL86" s="0"/>
      <c r="PEM86" s="0"/>
      <c r="PEN86" s="0"/>
      <c r="PEO86" s="0"/>
      <c r="PEP86" s="0"/>
      <c r="PEQ86" s="0"/>
      <c r="PER86" s="0"/>
      <c r="PES86" s="0"/>
      <c r="PET86" s="0"/>
      <c r="PEU86" s="0"/>
      <c r="PEV86" s="0"/>
      <c r="PEW86" s="0"/>
      <c r="PEX86" s="0"/>
      <c r="PEY86" s="0"/>
      <c r="PEZ86" s="0"/>
      <c r="PFA86" s="0"/>
      <c r="PFB86" s="0"/>
      <c r="PFC86" s="0"/>
      <c r="PFD86" s="0"/>
      <c r="PFE86" s="0"/>
      <c r="PFF86" s="0"/>
      <c r="PFG86" s="0"/>
      <c r="PFH86" s="0"/>
      <c r="PFI86" s="0"/>
      <c r="PFJ86" s="0"/>
      <c r="PFK86" s="0"/>
      <c r="PFL86" s="0"/>
      <c r="PFM86" s="0"/>
      <c r="PFN86" s="0"/>
      <c r="PFO86" s="0"/>
      <c r="PFP86" s="0"/>
      <c r="PFQ86" s="0"/>
      <c r="PFR86" s="0"/>
      <c r="PFS86" s="0"/>
      <c r="PFT86" s="0"/>
      <c r="PFU86" s="0"/>
      <c r="PFV86" s="0"/>
      <c r="PFW86" s="0"/>
      <c r="PFX86" s="0"/>
      <c r="PFY86" s="0"/>
      <c r="PFZ86" s="0"/>
      <c r="PGA86" s="0"/>
      <c r="PGB86" s="0"/>
      <c r="PGC86" s="0"/>
      <c r="PGD86" s="0"/>
      <c r="PGE86" s="0"/>
      <c r="PGF86" s="0"/>
      <c r="PGG86" s="0"/>
      <c r="PGH86" s="0"/>
      <c r="PGI86" s="0"/>
      <c r="PGJ86" s="0"/>
      <c r="PGK86" s="0"/>
      <c r="PGL86" s="0"/>
      <c r="PGM86" s="0"/>
      <c r="PGN86" s="0"/>
      <c r="PGO86" s="0"/>
      <c r="PGP86" s="0"/>
      <c r="PGQ86" s="0"/>
      <c r="PGR86" s="0"/>
      <c r="PGS86" s="0"/>
      <c r="PGT86" s="0"/>
      <c r="PGU86" s="0"/>
      <c r="PGV86" s="0"/>
      <c r="PGW86" s="0"/>
      <c r="PGX86" s="0"/>
      <c r="PGY86" s="0"/>
      <c r="PGZ86" s="0"/>
      <c r="PHA86" s="0"/>
      <c r="PHB86" s="0"/>
      <c r="PHC86" s="0"/>
      <c r="PHD86" s="0"/>
      <c r="PHE86" s="0"/>
      <c r="PHF86" s="0"/>
      <c r="PHG86" s="0"/>
      <c r="PHH86" s="0"/>
      <c r="PHI86" s="0"/>
      <c r="PHJ86" s="0"/>
      <c r="PHK86" s="0"/>
      <c r="PHL86" s="0"/>
      <c r="PHM86" s="0"/>
      <c r="PHN86" s="0"/>
      <c r="PHO86" s="0"/>
      <c r="PHP86" s="0"/>
      <c r="PHQ86" s="0"/>
      <c r="PHR86" s="0"/>
      <c r="PHS86" s="0"/>
      <c r="PHT86" s="0"/>
      <c r="PHU86" s="0"/>
      <c r="PHV86" s="0"/>
      <c r="PHW86" s="0"/>
      <c r="PHX86" s="0"/>
      <c r="PHY86" s="0"/>
      <c r="PHZ86" s="0"/>
      <c r="PIA86" s="0"/>
      <c r="PIB86" s="0"/>
      <c r="PIC86" s="0"/>
      <c r="PID86" s="0"/>
      <c r="PIE86" s="0"/>
      <c r="PIF86" s="0"/>
      <c r="PIG86" s="0"/>
      <c r="PIH86" s="0"/>
      <c r="PII86" s="0"/>
      <c r="PIJ86" s="0"/>
      <c r="PIK86" s="0"/>
      <c r="PIL86" s="0"/>
      <c r="PIM86" s="0"/>
      <c r="PIN86" s="0"/>
      <c r="PIO86" s="0"/>
      <c r="PIP86" s="0"/>
      <c r="PIQ86" s="0"/>
      <c r="PIR86" s="0"/>
      <c r="PIS86" s="0"/>
      <c r="PIT86" s="0"/>
      <c r="PIU86" s="0"/>
      <c r="PIV86" s="0"/>
      <c r="PIW86" s="0"/>
      <c r="PIX86" s="0"/>
      <c r="PIY86" s="0"/>
      <c r="PIZ86" s="0"/>
      <c r="PJA86" s="0"/>
      <c r="PJB86" s="0"/>
      <c r="PJC86" s="0"/>
      <c r="PJD86" s="0"/>
      <c r="PJE86" s="0"/>
      <c r="PJF86" s="0"/>
      <c r="PJG86" s="0"/>
      <c r="PJH86" s="0"/>
      <c r="PJI86" s="0"/>
      <c r="PJJ86" s="0"/>
      <c r="PJK86" s="0"/>
      <c r="PJL86" s="0"/>
      <c r="PJM86" s="0"/>
      <c r="PJN86" s="0"/>
      <c r="PJO86" s="0"/>
      <c r="PJP86" s="0"/>
      <c r="PJQ86" s="0"/>
      <c r="PJR86" s="0"/>
      <c r="PJS86" s="0"/>
      <c r="PJT86" s="0"/>
      <c r="PJU86" s="0"/>
      <c r="PJV86" s="0"/>
      <c r="PJW86" s="0"/>
      <c r="PJX86" s="0"/>
      <c r="PJY86" s="0"/>
      <c r="PJZ86" s="0"/>
      <c r="PKA86" s="0"/>
      <c r="PKB86" s="0"/>
      <c r="PKC86" s="0"/>
      <c r="PKD86" s="0"/>
      <c r="PKE86" s="0"/>
      <c r="PKF86" s="0"/>
      <c r="PKG86" s="0"/>
      <c r="PKH86" s="0"/>
      <c r="PKI86" s="0"/>
      <c r="PKJ86" s="0"/>
      <c r="PKK86" s="0"/>
      <c r="PKL86" s="0"/>
      <c r="PKM86" s="0"/>
      <c r="PKN86" s="0"/>
      <c r="PKO86" s="0"/>
      <c r="PKP86" s="0"/>
      <c r="PKQ86" s="0"/>
      <c r="PKR86" s="0"/>
      <c r="PKS86" s="0"/>
      <c r="PKT86" s="0"/>
      <c r="PKU86" s="0"/>
      <c r="PKV86" s="0"/>
      <c r="PKW86" s="0"/>
      <c r="PKX86" s="0"/>
      <c r="PKY86" s="0"/>
      <c r="PKZ86" s="0"/>
      <c r="PLA86" s="0"/>
      <c r="PLB86" s="0"/>
      <c r="PLC86" s="0"/>
      <c r="PLD86" s="0"/>
      <c r="PLE86" s="0"/>
      <c r="PLF86" s="0"/>
      <c r="PLG86" s="0"/>
      <c r="PLH86" s="0"/>
      <c r="PLI86" s="0"/>
      <c r="PLJ86" s="0"/>
      <c r="PLK86" s="0"/>
      <c r="PLL86" s="0"/>
      <c r="PLM86" s="0"/>
      <c r="PLN86" s="0"/>
      <c r="PLO86" s="0"/>
      <c r="PLP86" s="0"/>
      <c r="PLQ86" s="0"/>
      <c r="PLR86" s="0"/>
      <c r="PLS86" s="0"/>
      <c r="PLT86" s="0"/>
      <c r="PLU86" s="0"/>
      <c r="PLV86" s="0"/>
      <c r="PLW86" s="0"/>
      <c r="PLX86" s="0"/>
      <c r="PLY86" s="0"/>
      <c r="PLZ86" s="0"/>
      <c r="PMA86" s="0"/>
      <c r="PMB86" s="0"/>
      <c r="PMC86" s="0"/>
      <c r="PMD86" s="0"/>
      <c r="PME86" s="0"/>
      <c r="PMF86" s="0"/>
      <c r="PMG86" s="0"/>
      <c r="PMH86" s="0"/>
      <c r="PMI86" s="0"/>
      <c r="PMJ86" s="0"/>
      <c r="PMK86" s="0"/>
      <c r="PML86" s="0"/>
      <c r="PMM86" s="0"/>
      <c r="PMN86" s="0"/>
      <c r="PMO86" s="0"/>
      <c r="PMP86" s="0"/>
      <c r="PMQ86" s="0"/>
      <c r="PMR86" s="0"/>
      <c r="PMS86" s="0"/>
      <c r="PMT86" s="0"/>
      <c r="PMU86" s="0"/>
      <c r="PMV86" s="0"/>
      <c r="PMW86" s="0"/>
      <c r="PMX86" s="0"/>
      <c r="PMY86" s="0"/>
      <c r="PMZ86" s="0"/>
      <c r="PNA86" s="0"/>
      <c r="PNB86" s="0"/>
      <c r="PNC86" s="0"/>
      <c r="PND86" s="0"/>
      <c r="PNE86" s="0"/>
      <c r="PNF86" s="0"/>
      <c r="PNG86" s="0"/>
      <c r="PNH86" s="0"/>
      <c r="PNI86" s="0"/>
      <c r="PNJ86" s="0"/>
      <c r="PNK86" s="0"/>
      <c r="PNL86" s="0"/>
      <c r="PNM86" s="0"/>
      <c r="PNN86" s="0"/>
      <c r="PNO86" s="0"/>
      <c r="PNP86" s="0"/>
      <c r="PNQ86" s="0"/>
      <c r="PNR86" s="0"/>
      <c r="PNS86" s="0"/>
      <c r="PNT86" s="0"/>
      <c r="PNU86" s="0"/>
      <c r="PNV86" s="0"/>
      <c r="PNW86" s="0"/>
      <c r="PNX86" s="0"/>
      <c r="PNY86" s="0"/>
      <c r="PNZ86" s="0"/>
      <c r="POA86" s="0"/>
      <c r="POB86" s="0"/>
      <c r="POC86" s="0"/>
      <c r="POD86" s="0"/>
      <c r="POE86" s="0"/>
      <c r="POF86" s="0"/>
      <c r="POG86" s="0"/>
      <c r="POH86" s="0"/>
      <c r="POI86" s="0"/>
      <c r="POJ86" s="0"/>
      <c r="POK86" s="0"/>
      <c r="POL86" s="0"/>
      <c r="POM86" s="0"/>
      <c r="PON86" s="0"/>
      <c r="POO86" s="0"/>
      <c r="POP86" s="0"/>
      <c r="POQ86" s="0"/>
      <c r="POR86" s="0"/>
      <c r="POS86" s="0"/>
      <c r="POT86" s="0"/>
      <c r="POU86" s="0"/>
      <c r="POV86" s="0"/>
      <c r="POW86" s="0"/>
      <c r="POX86" s="0"/>
      <c r="POY86" s="0"/>
      <c r="POZ86" s="0"/>
      <c r="PPA86" s="0"/>
      <c r="PPB86" s="0"/>
      <c r="PPC86" s="0"/>
      <c r="PPD86" s="0"/>
      <c r="PPE86" s="0"/>
      <c r="PPF86" s="0"/>
      <c r="PPG86" s="0"/>
      <c r="PPH86" s="0"/>
      <c r="PPI86" s="0"/>
      <c r="PPJ86" s="0"/>
      <c r="PPK86" s="0"/>
      <c r="PPL86" s="0"/>
      <c r="PPM86" s="0"/>
      <c r="PPN86" s="0"/>
      <c r="PPO86" s="0"/>
      <c r="PPP86" s="0"/>
      <c r="PPQ86" s="0"/>
      <c r="PPR86" s="0"/>
      <c r="PPS86" s="0"/>
      <c r="PPT86" s="0"/>
      <c r="PPU86" s="0"/>
      <c r="PPV86" s="0"/>
      <c r="PPW86" s="0"/>
      <c r="PPX86" s="0"/>
      <c r="PPY86" s="0"/>
      <c r="PPZ86" s="0"/>
      <c r="PQA86" s="0"/>
      <c r="PQB86" s="0"/>
      <c r="PQC86" s="0"/>
      <c r="PQD86" s="0"/>
      <c r="PQE86" s="0"/>
      <c r="PQF86" s="0"/>
      <c r="PQG86" s="0"/>
      <c r="PQH86" s="0"/>
      <c r="PQI86" s="0"/>
      <c r="PQJ86" s="0"/>
      <c r="PQK86" s="0"/>
      <c r="PQL86" s="0"/>
      <c r="PQM86" s="0"/>
      <c r="PQN86" s="0"/>
      <c r="PQO86" s="0"/>
      <c r="PQP86" s="0"/>
      <c r="PQQ86" s="0"/>
      <c r="PQR86" s="0"/>
      <c r="PQS86" s="0"/>
      <c r="PQT86" s="0"/>
      <c r="PQU86" s="0"/>
      <c r="PQV86" s="0"/>
      <c r="PQW86" s="0"/>
      <c r="PQX86" s="0"/>
      <c r="PQY86" s="0"/>
      <c r="PQZ86" s="0"/>
      <c r="PRA86" s="0"/>
      <c r="PRB86" s="0"/>
      <c r="PRC86" s="0"/>
      <c r="PRD86" s="0"/>
      <c r="PRE86" s="0"/>
      <c r="PRF86" s="0"/>
      <c r="PRG86" s="0"/>
      <c r="PRH86" s="0"/>
      <c r="PRI86" s="0"/>
      <c r="PRJ86" s="0"/>
      <c r="PRK86" s="0"/>
      <c r="PRL86" s="0"/>
      <c r="PRM86" s="0"/>
      <c r="PRN86" s="0"/>
      <c r="PRO86" s="0"/>
      <c r="PRP86" s="0"/>
      <c r="PRQ86" s="0"/>
      <c r="PRR86" s="0"/>
      <c r="PRS86" s="0"/>
      <c r="PRT86" s="0"/>
      <c r="PRU86" s="0"/>
      <c r="PRV86" s="0"/>
      <c r="PRW86" s="0"/>
      <c r="PRX86" s="0"/>
      <c r="PRY86" s="0"/>
      <c r="PRZ86" s="0"/>
      <c r="PSA86" s="0"/>
      <c r="PSB86" s="0"/>
      <c r="PSC86" s="0"/>
      <c r="PSD86" s="0"/>
      <c r="PSE86" s="0"/>
      <c r="PSF86" s="0"/>
      <c r="PSG86" s="0"/>
      <c r="PSH86" s="0"/>
      <c r="PSI86" s="0"/>
      <c r="PSJ86" s="0"/>
      <c r="PSK86" s="0"/>
      <c r="PSL86" s="0"/>
      <c r="PSM86" s="0"/>
      <c r="PSN86" s="0"/>
      <c r="PSO86" s="0"/>
      <c r="PSP86" s="0"/>
      <c r="PSQ86" s="0"/>
      <c r="PSR86" s="0"/>
      <c r="PSS86" s="0"/>
      <c r="PST86" s="0"/>
      <c r="PSU86" s="0"/>
      <c r="PSV86" s="0"/>
      <c r="PSW86" s="0"/>
      <c r="PSX86" s="0"/>
      <c r="PSY86" s="0"/>
      <c r="PSZ86" s="0"/>
      <c r="PTA86" s="0"/>
      <c r="PTB86" s="0"/>
      <c r="PTC86" s="0"/>
      <c r="PTD86" s="0"/>
      <c r="PTE86" s="0"/>
      <c r="PTF86" s="0"/>
      <c r="PTG86" s="0"/>
      <c r="PTH86" s="0"/>
      <c r="PTI86" s="0"/>
      <c r="PTJ86" s="0"/>
      <c r="PTK86" s="0"/>
      <c r="PTL86" s="0"/>
      <c r="PTM86" s="0"/>
      <c r="PTN86" s="0"/>
      <c r="PTO86" s="0"/>
      <c r="PTP86" s="0"/>
      <c r="PTQ86" s="0"/>
      <c r="PTR86" s="0"/>
      <c r="PTS86" s="0"/>
      <c r="PTT86" s="0"/>
      <c r="PTU86" s="0"/>
      <c r="PTV86" s="0"/>
      <c r="PTW86" s="0"/>
      <c r="PTX86" s="0"/>
      <c r="PTY86" s="0"/>
      <c r="PTZ86" s="0"/>
      <c r="PUA86" s="0"/>
      <c r="PUB86" s="0"/>
      <c r="PUC86" s="0"/>
      <c r="PUD86" s="0"/>
      <c r="PUE86" s="0"/>
      <c r="PUF86" s="0"/>
      <c r="PUG86" s="0"/>
      <c r="PUH86" s="0"/>
      <c r="PUI86" s="0"/>
      <c r="PUJ86" s="0"/>
      <c r="PUK86" s="0"/>
      <c r="PUL86" s="0"/>
      <c r="PUM86" s="0"/>
      <c r="PUN86" s="0"/>
      <c r="PUO86" s="0"/>
      <c r="PUP86" s="0"/>
      <c r="PUQ86" s="0"/>
      <c r="PUR86" s="0"/>
      <c r="PUS86" s="0"/>
      <c r="PUT86" s="0"/>
      <c r="PUU86" s="0"/>
      <c r="PUV86" s="0"/>
      <c r="PUW86" s="0"/>
      <c r="PUX86" s="0"/>
      <c r="PUY86" s="0"/>
      <c r="PUZ86" s="0"/>
      <c r="PVA86" s="0"/>
      <c r="PVB86" s="0"/>
      <c r="PVC86" s="0"/>
      <c r="PVD86" s="0"/>
      <c r="PVE86" s="0"/>
      <c r="PVF86" s="0"/>
      <c r="PVG86" s="0"/>
      <c r="PVH86" s="0"/>
      <c r="PVI86" s="0"/>
      <c r="PVJ86" s="0"/>
      <c r="PVK86" s="0"/>
      <c r="PVL86" s="0"/>
      <c r="PVM86" s="0"/>
      <c r="PVN86" s="0"/>
      <c r="PVO86" s="0"/>
      <c r="PVP86" s="0"/>
      <c r="PVQ86" s="0"/>
      <c r="PVR86" s="0"/>
      <c r="PVS86" s="0"/>
      <c r="PVT86" s="0"/>
      <c r="PVU86" s="0"/>
      <c r="PVV86" s="0"/>
      <c r="PVW86" s="0"/>
      <c r="PVX86" s="0"/>
      <c r="PVY86" s="0"/>
      <c r="PVZ86" s="0"/>
      <c r="PWA86" s="0"/>
      <c r="PWB86" s="0"/>
      <c r="PWC86" s="0"/>
      <c r="PWD86" s="0"/>
      <c r="PWE86" s="0"/>
      <c r="PWF86" s="0"/>
      <c r="PWG86" s="0"/>
      <c r="PWH86" s="0"/>
      <c r="PWI86" s="0"/>
      <c r="PWJ86" s="0"/>
      <c r="PWK86" s="0"/>
      <c r="PWL86" s="0"/>
      <c r="PWM86" s="0"/>
      <c r="PWN86" s="0"/>
      <c r="PWO86" s="0"/>
      <c r="PWP86" s="0"/>
      <c r="PWQ86" s="0"/>
      <c r="PWR86" s="0"/>
      <c r="PWS86" s="0"/>
      <c r="PWT86" s="0"/>
      <c r="PWU86" s="0"/>
      <c r="PWV86" s="0"/>
      <c r="PWW86" s="0"/>
      <c r="PWX86" s="0"/>
      <c r="PWY86" s="0"/>
      <c r="PWZ86" s="0"/>
      <c r="PXA86" s="0"/>
      <c r="PXB86" s="0"/>
      <c r="PXC86" s="0"/>
      <c r="PXD86" s="0"/>
      <c r="PXE86" s="0"/>
      <c r="PXF86" s="0"/>
      <c r="PXG86" s="0"/>
      <c r="PXH86" s="0"/>
      <c r="PXI86" s="0"/>
      <c r="PXJ86" s="0"/>
      <c r="PXK86" s="0"/>
      <c r="PXL86" s="0"/>
      <c r="PXM86" s="0"/>
      <c r="PXN86" s="0"/>
      <c r="PXO86" s="0"/>
      <c r="PXP86" s="0"/>
      <c r="PXQ86" s="0"/>
      <c r="PXR86" s="0"/>
      <c r="PXS86" s="0"/>
      <c r="PXT86" s="0"/>
      <c r="PXU86" s="0"/>
      <c r="PXV86" s="0"/>
      <c r="PXW86" s="0"/>
      <c r="PXX86" s="0"/>
      <c r="PXY86" s="0"/>
      <c r="PXZ86" s="0"/>
      <c r="PYA86" s="0"/>
      <c r="PYB86" s="0"/>
      <c r="PYC86" s="0"/>
      <c r="PYD86" s="0"/>
      <c r="PYE86" s="0"/>
      <c r="PYF86" s="0"/>
      <c r="PYG86" s="0"/>
      <c r="PYH86" s="0"/>
      <c r="PYI86" s="0"/>
      <c r="PYJ86" s="0"/>
      <c r="PYK86" s="0"/>
      <c r="PYL86" s="0"/>
      <c r="PYM86" s="0"/>
      <c r="PYN86" s="0"/>
      <c r="PYO86" s="0"/>
      <c r="PYP86" s="0"/>
      <c r="PYQ86" s="0"/>
      <c r="PYR86" s="0"/>
      <c r="PYS86" s="0"/>
      <c r="PYT86" s="0"/>
      <c r="PYU86" s="0"/>
      <c r="PYV86" s="0"/>
      <c r="PYW86" s="0"/>
      <c r="PYX86" s="0"/>
      <c r="PYY86" s="0"/>
      <c r="PYZ86" s="0"/>
      <c r="PZA86" s="0"/>
      <c r="PZB86" s="0"/>
      <c r="PZC86" s="0"/>
      <c r="PZD86" s="0"/>
      <c r="PZE86" s="0"/>
      <c r="PZF86" s="0"/>
      <c r="PZG86" s="0"/>
      <c r="PZH86" s="0"/>
      <c r="PZI86" s="0"/>
      <c r="PZJ86" s="0"/>
      <c r="PZK86" s="0"/>
      <c r="PZL86" s="0"/>
      <c r="PZM86" s="0"/>
      <c r="PZN86" s="0"/>
      <c r="PZO86" s="0"/>
      <c r="PZP86" s="0"/>
      <c r="PZQ86" s="0"/>
      <c r="PZR86" s="0"/>
      <c r="PZS86" s="0"/>
      <c r="PZT86" s="0"/>
      <c r="PZU86" s="0"/>
      <c r="PZV86" s="0"/>
      <c r="PZW86" s="0"/>
      <c r="PZX86" s="0"/>
      <c r="PZY86" s="0"/>
      <c r="PZZ86" s="0"/>
      <c r="QAA86" s="0"/>
      <c r="QAB86" s="0"/>
      <c r="QAC86" s="0"/>
      <c r="QAD86" s="0"/>
      <c r="QAE86" s="0"/>
      <c r="QAF86" s="0"/>
      <c r="QAG86" s="0"/>
      <c r="QAH86" s="0"/>
      <c r="QAI86" s="0"/>
      <c r="QAJ86" s="0"/>
      <c r="QAK86" s="0"/>
      <c r="QAL86" s="0"/>
      <c r="QAM86" s="0"/>
      <c r="QAN86" s="0"/>
      <c r="QAO86" s="0"/>
      <c r="QAP86" s="0"/>
      <c r="QAQ86" s="0"/>
      <c r="QAR86" s="0"/>
      <c r="QAS86" s="0"/>
      <c r="QAT86" s="0"/>
      <c r="QAU86" s="0"/>
      <c r="QAV86" s="0"/>
      <c r="QAW86" s="0"/>
      <c r="QAX86" s="0"/>
      <c r="QAY86" s="0"/>
      <c r="QAZ86" s="0"/>
      <c r="QBA86" s="0"/>
      <c r="QBB86" s="0"/>
      <c r="QBC86" s="0"/>
      <c r="QBD86" s="0"/>
      <c r="QBE86" s="0"/>
      <c r="QBF86" s="0"/>
      <c r="QBG86" s="0"/>
      <c r="QBH86" s="0"/>
      <c r="QBI86" s="0"/>
      <c r="QBJ86" s="0"/>
      <c r="QBK86" s="0"/>
      <c r="QBL86" s="0"/>
      <c r="QBM86" s="0"/>
      <c r="QBN86" s="0"/>
      <c r="QBO86" s="0"/>
      <c r="QBP86" s="0"/>
      <c r="QBQ86" s="0"/>
      <c r="QBR86" s="0"/>
      <c r="QBS86" s="0"/>
      <c r="QBT86" s="0"/>
      <c r="QBU86" s="0"/>
      <c r="QBV86" s="0"/>
      <c r="QBW86" s="0"/>
      <c r="QBX86" s="0"/>
      <c r="QBY86" s="0"/>
      <c r="QBZ86" s="0"/>
      <c r="QCA86" s="0"/>
      <c r="QCB86" s="0"/>
      <c r="QCC86" s="0"/>
      <c r="QCD86" s="0"/>
      <c r="QCE86" s="0"/>
      <c r="QCF86" s="0"/>
      <c r="QCG86" s="0"/>
      <c r="QCH86" s="0"/>
      <c r="QCI86" s="0"/>
      <c r="QCJ86" s="0"/>
      <c r="QCK86" s="0"/>
      <c r="QCL86" s="0"/>
      <c r="QCM86" s="0"/>
      <c r="QCN86" s="0"/>
      <c r="QCO86" s="0"/>
      <c r="QCP86" s="0"/>
      <c r="QCQ86" s="0"/>
      <c r="QCR86" s="0"/>
      <c r="QCS86" s="0"/>
      <c r="QCT86" s="0"/>
      <c r="QCU86" s="0"/>
      <c r="QCV86" s="0"/>
      <c r="QCW86" s="0"/>
      <c r="QCX86" s="0"/>
      <c r="QCY86" s="0"/>
      <c r="QCZ86" s="0"/>
      <c r="QDA86" s="0"/>
      <c r="QDB86" s="0"/>
      <c r="QDC86" s="0"/>
      <c r="QDD86" s="0"/>
      <c r="QDE86" s="0"/>
      <c r="QDF86" s="0"/>
      <c r="QDG86" s="0"/>
      <c r="QDH86" s="0"/>
      <c r="QDI86" s="0"/>
      <c r="QDJ86" s="0"/>
      <c r="QDK86" s="0"/>
      <c r="QDL86" s="0"/>
      <c r="QDM86" s="0"/>
      <c r="QDN86" s="0"/>
      <c r="QDO86" s="0"/>
      <c r="QDP86" s="0"/>
      <c r="QDQ86" s="0"/>
      <c r="QDR86" s="0"/>
      <c r="QDS86" s="0"/>
      <c r="QDT86" s="0"/>
      <c r="QDU86" s="0"/>
      <c r="QDV86" s="0"/>
      <c r="QDW86" s="0"/>
      <c r="QDX86" s="0"/>
      <c r="QDY86" s="0"/>
      <c r="QDZ86" s="0"/>
      <c r="QEA86" s="0"/>
      <c r="QEB86" s="0"/>
      <c r="QEC86" s="0"/>
      <c r="QED86" s="0"/>
      <c r="QEE86" s="0"/>
      <c r="QEF86" s="0"/>
      <c r="QEG86" s="0"/>
      <c r="QEH86" s="0"/>
      <c r="QEI86" s="0"/>
      <c r="QEJ86" s="0"/>
      <c r="QEK86" s="0"/>
      <c r="QEL86" s="0"/>
      <c r="QEM86" s="0"/>
      <c r="QEN86" s="0"/>
      <c r="QEO86" s="0"/>
      <c r="QEP86" s="0"/>
      <c r="QEQ86" s="0"/>
      <c r="QER86" s="0"/>
      <c r="QES86" s="0"/>
      <c r="QET86" s="0"/>
      <c r="QEU86" s="0"/>
      <c r="QEV86" s="0"/>
      <c r="QEW86" s="0"/>
      <c r="QEX86" s="0"/>
      <c r="QEY86" s="0"/>
      <c r="QEZ86" s="0"/>
      <c r="QFA86" s="0"/>
      <c r="QFB86" s="0"/>
      <c r="QFC86" s="0"/>
      <c r="QFD86" s="0"/>
      <c r="QFE86" s="0"/>
      <c r="QFF86" s="0"/>
      <c r="QFG86" s="0"/>
      <c r="QFH86" s="0"/>
      <c r="QFI86" s="0"/>
      <c r="QFJ86" s="0"/>
      <c r="QFK86" s="0"/>
      <c r="QFL86" s="0"/>
      <c r="QFM86" s="0"/>
      <c r="QFN86" s="0"/>
      <c r="QFO86" s="0"/>
      <c r="QFP86" s="0"/>
      <c r="QFQ86" s="0"/>
      <c r="QFR86" s="0"/>
      <c r="QFS86" s="0"/>
      <c r="QFT86" s="0"/>
      <c r="QFU86" s="0"/>
      <c r="QFV86" s="0"/>
      <c r="QFW86" s="0"/>
      <c r="QFX86" s="0"/>
      <c r="QFY86" s="0"/>
      <c r="QFZ86" s="0"/>
      <c r="QGA86" s="0"/>
      <c r="QGB86" s="0"/>
      <c r="QGC86" s="0"/>
      <c r="QGD86" s="0"/>
      <c r="QGE86" s="0"/>
      <c r="QGF86" s="0"/>
      <c r="QGG86" s="0"/>
      <c r="QGH86" s="0"/>
      <c r="QGI86" s="0"/>
      <c r="QGJ86" s="0"/>
      <c r="QGK86" s="0"/>
      <c r="QGL86" s="0"/>
      <c r="QGM86" s="0"/>
      <c r="QGN86" s="0"/>
      <c r="QGO86" s="0"/>
      <c r="QGP86" s="0"/>
      <c r="QGQ86" s="0"/>
      <c r="QGR86" s="0"/>
      <c r="QGS86" s="0"/>
      <c r="QGT86" s="0"/>
      <c r="QGU86" s="0"/>
      <c r="QGV86" s="0"/>
      <c r="QGW86" s="0"/>
      <c r="QGX86" s="0"/>
      <c r="QGY86" s="0"/>
      <c r="QGZ86" s="0"/>
      <c r="QHA86" s="0"/>
      <c r="QHB86" s="0"/>
      <c r="QHC86" s="0"/>
      <c r="QHD86" s="0"/>
      <c r="QHE86" s="0"/>
      <c r="QHF86" s="0"/>
      <c r="QHG86" s="0"/>
      <c r="QHH86" s="0"/>
      <c r="QHI86" s="0"/>
      <c r="QHJ86" s="0"/>
      <c r="QHK86" s="0"/>
      <c r="QHL86" s="0"/>
      <c r="QHM86" s="0"/>
      <c r="QHN86" s="0"/>
      <c r="QHO86" s="0"/>
      <c r="QHP86" s="0"/>
      <c r="QHQ86" s="0"/>
      <c r="QHR86" s="0"/>
      <c r="QHS86" s="0"/>
      <c r="QHT86" s="0"/>
      <c r="QHU86" s="0"/>
      <c r="QHV86" s="0"/>
      <c r="QHW86" s="0"/>
      <c r="QHX86" s="0"/>
      <c r="QHY86" s="0"/>
      <c r="QHZ86" s="0"/>
      <c r="QIA86" s="0"/>
      <c r="QIB86" s="0"/>
      <c r="QIC86" s="0"/>
      <c r="QID86" s="0"/>
      <c r="QIE86" s="0"/>
      <c r="QIF86" s="0"/>
      <c r="QIG86" s="0"/>
      <c r="QIH86" s="0"/>
      <c r="QII86" s="0"/>
      <c r="QIJ86" s="0"/>
      <c r="QIK86" s="0"/>
      <c r="QIL86" s="0"/>
      <c r="QIM86" s="0"/>
      <c r="QIN86" s="0"/>
      <c r="QIO86" s="0"/>
      <c r="QIP86" s="0"/>
      <c r="QIQ86" s="0"/>
      <c r="QIR86" s="0"/>
      <c r="QIS86" s="0"/>
      <c r="QIT86" s="0"/>
      <c r="QIU86" s="0"/>
      <c r="QIV86" s="0"/>
      <c r="QIW86" s="0"/>
      <c r="QIX86" s="0"/>
      <c r="QIY86" s="0"/>
      <c r="QIZ86" s="0"/>
      <c r="QJA86" s="0"/>
      <c r="QJB86" s="0"/>
      <c r="QJC86" s="0"/>
      <c r="QJD86" s="0"/>
      <c r="QJE86" s="0"/>
      <c r="QJF86" s="0"/>
      <c r="QJG86" s="0"/>
      <c r="QJH86" s="0"/>
      <c r="QJI86" s="0"/>
      <c r="QJJ86" s="0"/>
      <c r="QJK86" s="0"/>
      <c r="QJL86" s="0"/>
      <c r="QJM86" s="0"/>
      <c r="QJN86" s="0"/>
      <c r="QJO86" s="0"/>
      <c r="QJP86" s="0"/>
      <c r="QJQ86" s="0"/>
      <c r="QJR86" s="0"/>
      <c r="QJS86" s="0"/>
      <c r="QJT86" s="0"/>
      <c r="QJU86" s="0"/>
      <c r="QJV86" s="0"/>
      <c r="QJW86" s="0"/>
      <c r="QJX86" s="0"/>
      <c r="QJY86" s="0"/>
      <c r="QJZ86" s="0"/>
      <c r="QKA86" s="0"/>
      <c r="QKB86" s="0"/>
      <c r="QKC86" s="0"/>
      <c r="QKD86" s="0"/>
      <c r="QKE86" s="0"/>
      <c r="QKF86" s="0"/>
      <c r="QKG86" s="0"/>
      <c r="QKH86" s="0"/>
      <c r="QKI86" s="0"/>
      <c r="QKJ86" s="0"/>
      <c r="QKK86" s="0"/>
      <c r="QKL86" s="0"/>
      <c r="QKM86" s="0"/>
      <c r="QKN86" s="0"/>
      <c r="QKO86" s="0"/>
      <c r="QKP86" s="0"/>
      <c r="QKQ86" s="0"/>
      <c r="QKR86" s="0"/>
      <c r="QKS86" s="0"/>
      <c r="QKT86" s="0"/>
      <c r="QKU86" s="0"/>
      <c r="QKV86" s="0"/>
      <c r="QKW86" s="0"/>
      <c r="QKX86" s="0"/>
      <c r="QKY86" s="0"/>
      <c r="QKZ86" s="0"/>
      <c r="QLA86" s="0"/>
      <c r="QLB86" s="0"/>
      <c r="QLC86" s="0"/>
      <c r="QLD86" s="0"/>
      <c r="QLE86" s="0"/>
      <c r="QLF86" s="0"/>
      <c r="QLG86" s="0"/>
      <c r="QLH86" s="0"/>
      <c r="QLI86" s="0"/>
      <c r="QLJ86" s="0"/>
      <c r="QLK86" s="0"/>
      <c r="QLL86" s="0"/>
      <c r="QLM86" s="0"/>
      <c r="QLN86" s="0"/>
      <c r="QLO86" s="0"/>
      <c r="QLP86" s="0"/>
      <c r="QLQ86" s="0"/>
      <c r="QLR86" s="0"/>
      <c r="QLS86" s="0"/>
      <c r="QLT86" s="0"/>
      <c r="QLU86" s="0"/>
      <c r="QLV86" s="0"/>
      <c r="QLW86" s="0"/>
      <c r="QLX86" s="0"/>
      <c r="QLY86" s="0"/>
      <c r="QLZ86" s="0"/>
      <c r="QMA86" s="0"/>
      <c r="QMB86" s="0"/>
      <c r="QMC86" s="0"/>
      <c r="QMD86" s="0"/>
      <c r="QME86" s="0"/>
      <c r="QMF86" s="0"/>
      <c r="QMG86" s="0"/>
      <c r="QMH86" s="0"/>
      <c r="QMI86" s="0"/>
      <c r="QMJ86" s="0"/>
      <c r="QMK86" s="0"/>
      <c r="QML86" s="0"/>
      <c r="QMM86" s="0"/>
      <c r="QMN86" s="0"/>
      <c r="QMO86" s="0"/>
      <c r="QMP86" s="0"/>
      <c r="QMQ86" s="0"/>
      <c r="QMR86" s="0"/>
      <c r="QMS86" s="0"/>
      <c r="QMT86" s="0"/>
      <c r="QMU86" s="0"/>
      <c r="QMV86" s="0"/>
      <c r="QMW86" s="0"/>
      <c r="QMX86" s="0"/>
      <c r="QMY86" s="0"/>
      <c r="QMZ86" s="0"/>
      <c r="QNA86" s="0"/>
      <c r="QNB86" s="0"/>
      <c r="QNC86" s="0"/>
      <c r="QND86" s="0"/>
      <c r="QNE86" s="0"/>
      <c r="QNF86" s="0"/>
      <c r="QNG86" s="0"/>
      <c r="QNH86" s="0"/>
      <c r="QNI86" s="0"/>
      <c r="QNJ86" s="0"/>
      <c r="QNK86" s="0"/>
      <c r="QNL86" s="0"/>
      <c r="QNM86" s="0"/>
      <c r="QNN86" s="0"/>
      <c r="QNO86" s="0"/>
      <c r="QNP86" s="0"/>
      <c r="QNQ86" s="0"/>
      <c r="QNR86" s="0"/>
      <c r="QNS86" s="0"/>
      <c r="QNT86" s="0"/>
      <c r="QNU86" s="0"/>
      <c r="QNV86" s="0"/>
      <c r="QNW86" s="0"/>
      <c r="QNX86" s="0"/>
      <c r="QNY86" s="0"/>
      <c r="QNZ86" s="0"/>
      <c r="QOA86" s="0"/>
      <c r="QOB86" s="0"/>
      <c r="QOC86" s="0"/>
      <c r="QOD86" s="0"/>
      <c r="QOE86" s="0"/>
      <c r="QOF86" s="0"/>
      <c r="QOG86" s="0"/>
      <c r="QOH86" s="0"/>
      <c r="QOI86" s="0"/>
      <c r="QOJ86" s="0"/>
      <c r="QOK86" s="0"/>
      <c r="QOL86" s="0"/>
      <c r="QOM86" s="0"/>
      <c r="QON86" s="0"/>
      <c r="QOO86" s="0"/>
      <c r="QOP86" s="0"/>
      <c r="QOQ86" s="0"/>
      <c r="QOR86" s="0"/>
      <c r="QOS86" s="0"/>
      <c r="QOT86" s="0"/>
      <c r="QOU86" s="0"/>
      <c r="QOV86" s="0"/>
      <c r="QOW86" s="0"/>
      <c r="QOX86" s="0"/>
      <c r="QOY86" s="0"/>
      <c r="QOZ86" s="0"/>
      <c r="QPA86" s="0"/>
      <c r="QPB86" s="0"/>
      <c r="QPC86" s="0"/>
      <c r="QPD86" s="0"/>
      <c r="QPE86" s="0"/>
      <c r="QPF86" s="0"/>
      <c r="QPG86" s="0"/>
      <c r="QPH86" s="0"/>
      <c r="QPI86" s="0"/>
      <c r="QPJ86" s="0"/>
      <c r="QPK86" s="0"/>
      <c r="QPL86" s="0"/>
      <c r="QPM86" s="0"/>
      <c r="QPN86" s="0"/>
      <c r="QPO86" s="0"/>
      <c r="QPP86" s="0"/>
      <c r="QPQ86" s="0"/>
      <c r="QPR86" s="0"/>
      <c r="QPS86" s="0"/>
      <c r="QPT86" s="0"/>
      <c r="QPU86" s="0"/>
      <c r="QPV86" s="0"/>
      <c r="QPW86" s="0"/>
      <c r="QPX86" s="0"/>
      <c r="QPY86" s="0"/>
      <c r="QPZ86" s="0"/>
      <c r="QQA86" s="0"/>
      <c r="QQB86" s="0"/>
      <c r="QQC86" s="0"/>
      <c r="QQD86" s="0"/>
      <c r="QQE86" s="0"/>
      <c r="QQF86" s="0"/>
      <c r="QQG86" s="0"/>
      <c r="QQH86" s="0"/>
      <c r="QQI86" s="0"/>
      <c r="QQJ86" s="0"/>
      <c r="QQK86" s="0"/>
      <c r="QQL86" s="0"/>
      <c r="QQM86" s="0"/>
      <c r="QQN86" s="0"/>
      <c r="QQO86" s="0"/>
      <c r="QQP86" s="0"/>
      <c r="QQQ86" s="0"/>
      <c r="QQR86" s="0"/>
      <c r="QQS86" s="0"/>
      <c r="QQT86" s="0"/>
      <c r="QQU86" s="0"/>
      <c r="QQV86" s="0"/>
      <c r="QQW86" s="0"/>
      <c r="QQX86" s="0"/>
      <c r="QQY86" s="0"/>
      <c r="QQZ86" s="0"/>
      <c r="QRA86" s="0"/>
      <c r="QRB86" s="0"/>
      <c r="QRC86" s="0"/>
      <c r="QRD86" s="0"/>
      <c r="QRE86" s="0"/>
      <c r="QRF86" s="0"/>
      <c r="QRG86" s="0"/>
      <c r="QRH86" s="0"/>
      <c r="QRI86" s="0"/>
      <c r="QRJ86" s="0"/>
      <c r="QRK86" s="0"/>
      <c r="QRL86" s="0"/>
      <c r="QRM86" s="0"/>
      <c r="QRN86" s="0"/>
      <c r="QRO86" s="0"/>
      <c r="QRP86" s="0"/>
      <c r="QRQ86" s="0"/>
      <c r="QRR86" s="0"/>
      <c r="QRS86" s="0"/>
      <c r="QRT86" s="0"/>
      <c r="QRU86" s="0"/>
      <c r="QRV86" s="0"/>
      <c r="QRW86" s="0"/>
      <c r="QRX86" s="0"/>
      <c r="QRY86" s="0"/>
      <c r="QRZ86" s="0"/>
      <c r="QSA86" s="0"/>
      <c r="QSB86" s="0"/>
      <c r="QSC86" s="0"/>
      <c r="QSD86" s="0"/>
      <c r="QSE86" s="0"/>
      <c r="QSF86" s="0"/>
      <c r="QSG86" s="0"/>
      <c r="QSH86" s="0"/>
      <c r="QSI86" s="0"/>
      <c r="QSJ86" s="0"/>
      <c r="QSK86" s="0"/>
      <c r="QSL86" s="0"/>
      <c r="QSM86" s="0"/>
      <c r="QSN86" s="0"/>
      <c r="QSO86" s="0"/>
      <c r="QSP86" s="0"/>
      <c r="QSQ86" s="0"/>
      <c r="QSR86" s="0"/>
      <c r="QSS86" s="0"/>
      <c r="QST86" s="0"/>
      <c r="QSU86" s="0"/>
      <c r="QSV86" s="0"/>
      <c r="QSW86" s="0"/>
      <c r="QSX86" s="0"/>
      <c r="QSY86" s="0"/>
      <c r="QSZ86" s="0"/>
      <c r="QTA86" s="0"/>
      <c r="QTB86" s="0"/>
      <c r="QTC86" s="0"/>
      <c r="QTD86" s="0"/>
      <c r="QTE86" s="0"/>
      <c r="QTF86" s="0"/>
      <c r="QTG86" s="0"/>
      <c r="QTH86" s="0"/>
      <c r="QTI86" s="0"/>
      <c r="QTJ86" s="0"/>
      <c r="QTK86" s="0"/>
      <c r="QTL86" s="0"/>
      <c r="QTM86" s="0"/>
      <c r="QTN86" s="0"/>
      <c r="QTO86" s="0"/>
      <c r="QTP86" s="0"/>
      <c r="QTQ86" s="0"/>
      <c r="QTR86" s="0"/>
      <c r="QTS86" s="0"/>
      <c r="QTT86" s="0"/>
      <c r="QTU86" s="0"/>
      <c r="QTV86" s="0"/>
      <c r="QTW86" s="0"/>
      <c r="QTX86" s="0"/>
      <c r="QTY86" s="0"/>
      <c r="QTZ86" s="0"/>
      <c r="QUA86" s="0"/>
      <c r="QUB86" s="0"/>
      <c r="QUC86" s="0"/>
      <c r="QUD86" s="0"/>
      <c r="QUE86" s="0"/>
      <c r="QUF86" s="0"/>
      <c r="QUG86" s="0"/>
      <c r="QUH86" s="0"/>
      <c r="QUI86" s="0"/>
      <c r="QUJ86" s="0"/>
      <c r="QUK86" s="0"/>
      <c r="QUL86" s="0"/>
      <c r="QUM86" s="0"/>
      <c r="QUN86" s="0"/>
      <c r="QUO86" s="0"/>
      <c r="QUP86" s="0"/>
      <c r="QUQ86" s="0"/>
      <c r="QUR86" s="0"/>
      <c r="QUS86" s="0"/>
      <c r="QUT86" s="0"/>
      <c r="QUU86" s="0"/>
      <c r="QUV86" s="0"/>
      <c r="QUW86" s="0"/>
      <c r="QUX86" s="0"/>
      <c r="QUY86" s="0"/>
      <c r="QUZ86" s="0"/>
      <c r="QVA86" s="0"/>
      <c r="QVB86" s="0"/>
      <c r="QVC86" s="0"/>
      <c r="QVD86" s="0"/>
      <c r="QVE86" s="0"/>
      <c r="QVF86" s="0"/>
      <c r="QVG86" s="0"/>
      <c r="QVH86" s="0"/>
      <c r="QVI86" s="0"/>
      <c r="QVJ86" s="0"/>
      <c r="QVK86" s="0"/>
      <c r="QVL86" s="0"/>
      <c r="QVM86" s="0"/>
      <c r="QVN86" s="0"/>
      <c r="QVO86" s="0"/>
      <c r="QVP86" s="0"/>
      <c r="QVQ86" s="0"/>
      <c r="QVR86" s="0"/>
      <c r="QVS86" s="0"/>
      <c r="QVT86" s="0"/>
      <c r="QVU86" s="0"/>
      <c r="QVV86" s="0"/>
      <c r="QVW86" s="0"/>
      <c r="QVX86" s="0"/>
      <c r="QVY86" s="0"/>
      <c r="QVZ86" s="0"/>
      <c r="QWA86" s="0"/>
      <c r="QWB86" s="0"/>
      <c r="QWC86" s="0"/>
      <c r="QWD86" s="0"/>
      <c r="QWE86" s="0"/>
      <c r="QWF86" s="0"/>
      <c r="QWG86" s="0"/>
      <c r="QWH86" s="0"/>
      <c r="QWI86" s="0"/>
      <c r="QWJ86" s="0"/>
      <c r="QWK86" s="0"/>
      <c r="QWL86" s="0"/>
      <c r="QWM86" s="0"/>
      <c r="QWN86" s="0"/>
      <c r="QWO86" s="0"/>
      <c r="QWP86" s="0"/>
      <c r="QWQ86" s="0"/>
      <c r="QWR86" s="0"/>
      <c r="QWS86" s="0"/>
      <c r="QWT86" s="0"/>
      <c r="QWU86" s="0"/>
      <c r="QWV86" s="0"/>
      <c r="QWW86" s="0"/>
      <c r="QWX86" s="0"/>
      <c r="QWY86" s="0"/>
      <c r="QWZ86" s="0"/>
      <c r="QXA86" s="0"/>
      <c r="QXB86" s="0"/>
      <c r="QXC86" s="0"/>
      <c r="QXD86" s="0"/>
      <c r="QXE86" s="0"/>
      <c r="QXF86" s="0"/>
      <c r="QXG86" s="0"/>
      <c r="QXH86" s="0"/>
      <c r="QXI86" s="0"/>
      <c r="QXJ86" s="0"/>
      <c r="QXK86" s="0"/>
      <c r="QXL86" s="0"/>
      <c r="QXM86" s="0"/>
      <c r="QXN86" s="0"/>
      <c r="QXO86" s="0"/>
      <c r="QXP86" s="0"/>
      <c r="QXQ86" s="0"/>
      <c r="QXR86" s="0"/>
      <c r="QXS86" s="0"/>
      <c r="QXT86" s="0"/>
      <c r="QXU86" s="0"/>
      <c r="QXV86" s="0"/>
      <c r="QXW86" s="0"/>
      <c r="QXX86" s="0"/>
      <c r="QXY86" s="0"/>
      <c r="QXZ86" s="0"/>
      <c r="QYA86" s="0"/>
      <c r="QYB86" s="0"/>
      <c r="QYC86" s="0"/>
      <c r="QYD86" s="0"/>
      <c r="QYE86" s="0"/>
      <c r="QYF86" s="0"/>
      <c r="QYG86" s="0"/>
      <c r="QYH86" s="0"/>
      <c r="QYI86" s="0"/>
      <c r="QYJ86" s="0"/>
      <c r="QYK86" s="0"/>
      <c r="QYL86" s="0"/>
      <c r="QYM86" s="0"/>
      <c r="QYN86" s="0"/>
      <c r="QYO86" s="0"/>
      <c r="QYP86" s="0"/>
      <c r="QYQ86" s="0"/>
      <c r="QYR86" s="0"/>
      <c r="QYS86" s="0"/>
      <c r="QYT86" s="0"/>
      <c r="QYU86" s="0"/>
      <c r="QYV86" s="0"/>
      <c r="QYW86" s="0"/>
      <c r="QYX86" s="0"/>
      <c r="QYY86" s="0"/>
      <c r="QYZ86" s="0"/>
      <c r="QZA86" s="0"/>
      <c r="QZB86" s="0"/>
      <c r="QZC86" s="0"/>
      <c r="QZD86" s="0"/>
      <c r="QZE86" s="0"/>
      <c r="QZF86" s="0"/>
      <c r="QZG86" s="0"/>
      <c r="QZH86" s="0"/>
      <c r="QZI86" s="0"/>
      <c r="QZJ86" s="0"/>
      <c r="QZK86" s="0"/>
      <c r="QZL86" s="0"/>
      <c r="QZM86" s="0"/>
      <c r="QZN86" s="0"/>
      <c r="QZO86" s="0"/>
      <c r="QZP86" s="0"/>
      <c r="QZQ86" s="0"/>
      <c r="QZR86" s="0"/>
      <c r="QZS86" s="0"/>
      <c r="QZT86" s="0"/>
      <c r="QZU86" s="0"/>
      <c r="QZV86" s="0"/>
      <c r="QZW86" s="0"/>
      <c r="QZX86" s="0"/>
      <c r="QZY86" s="0"/>
      <c r="QZZ86" s="0"/>
      <c r="RAA86" s="0"/>
      <c r="RAB86" s="0"/>
      <c r="RAC86" s="0"/>
      <c r="RAD86" s="0"/>
      <c r="RAE86" s="0"/>
      <c r="RAF86" s="0"/>
      <c r="RAG86" s="0"/>
      <c r="RAH86" s="0"/>
      <c r="RAI86" s="0"/>
      <c r="RAJ86" s="0"/>
      <c r="RAK86" s="0"/>
      <c r="RAL86" s="0"/>
      <c r="RAM86" s="0"/>
      <c r="RAN86" s="0"/>
      <c r="RAO86" s="0"/>
      <c r="RAP86" s="0"/>
      <c r="RAQ86" s="0"/>
      <c r="RAR86" s="0"/>
      <c r="RAS86" s="0"/>
      <c r="RAT86" s="0"/>
      <c r="RAU86" s="0"/>
      <c r="RAV86" s="0"/>
      <c r="RAW86" s="0"/>
      <c r="RAX86" s="0"/>
      <c r="RAY86" s="0"/>
      <c r="RAZ86" s="0"/>
      <c r="RBA86" s="0"/>
      <c r="RBB86" s="0"/>
      <c r="RBC86" s="0"/>
      <c r="RBD86" s="0"/>
      <c r="RBE86" s="0"/>
      <c r="RBF86" s="0"/>
      <c r="RBG86" s="0"/>
      <c r="RBH86" s="0"/>
      <c r="RBI86" s="0"/>
      <c r="RBJ86" s="0"/>
      <c r="RBK86" s="0"/>
      <c r="RBL86" s="0"/>
      <c r="RBM86" s="0"/>
      <c r="RBN86" s="0"/>
      <c r="RBO86" s="0"/>
      <c r="RBP86" s="0"/>
      <c r="RBQ86" s="0"/>
      <c r="RBR86" s="0"/>
      <c r="RBS86" s="0"/>
      <c r="RBT86" s="0"/>
      <c r="RBU86" s="0"/>
      <c r="RBV86" s="0"/>
      <c r="RBW86" s="0"/>
      <c r="RBX86" s="0"/>
      <c r="RBY86" s="0"/>
      <c r="RBZ86" s="0"/>
      <c r="RCA86" s="0"/>
      <c r="RCB86" s="0"/>
      <c r="RCC86" s="0"/>
      <c r="RCD86" s="0"/>
      <c r="RCE86" s="0"/>
      <c r="RCF86" s="0"/>
      <c r="RCG86" s="0"/>
      <c r="RCH86" s="0"/>
      <c r="RCI86" s="0"/>
      <c r="RCJ86" s="0"/>
      <c r="RCK86" s="0"/>
      <c r="RCL86" s="0"/>
      <c r="RCM86" s="0"/>
      <c r="RCN86" s="0"/>
      <c r="RCO86" s="0"/>
      <c r="RCP86" s="0"/>
      <c r="RCQ86" s="0"/>
      <c r="RCR86" s="0"/>
      <c r="RCS86" s="0"/>
      <c r="RCT86" s="0"/>
      <c r="RCU86" s="0"/>
      <c r="RCV86" s="0"/>
      <c r="RCW86" s="0"/>
      <c r="RCX86" s="0"/>
      <c r="RCY86" s="0"/>
      <c r="RCZ86" s="0"/>
      <c r="RDA86" s="0"/>
      <c r="RDB86" s="0"/>
      <c r="RDC86" s="0"/>
      <c r="RDD86" s="0"/>
      <c r="RDE86" s="0"/>
      <c r="RDF86" s="0"/>
      <c r="RDG86" s="0"/>
      <c r="RDH86" s="0"/>
      <c r="RDI86" s="0"/>
      <c r="RDJ86" s="0"/>
      <c r="RDK86" s="0"/>
      <c r="RDL86" s="0"/>
      <c r="RDM86" s="0"/>
      <c r="RDN86" s="0"/>
      <c r="RDO86" s="0"/>
      <c r="RDP86" s="0"/>
      <c r="RDQ86" s="0"/>
      <c r="RDR86" s="0"/>
      <c r="RDS86" s="0"/>
      <c r="RDT86" s="0"/>
      <c r="RDU86" s="0"/>
      <c r="RDV86" s="0"/>
      <c r="RDW86" s="0"/>
      <c r="RDX86" s="0"/>
      <c r="RDY86" s="0"/>
      <c r="RDZ86" s="0"/>
      <c r="REA86" s="0"/>
      <c r="REB86" s="0"/>
      <c r="REC86" s="0"/>
      <c r="RED86" s="0"/>
      <c r="REE86" s="0"/>
      <c r="REF86" s="0"/>
      <c r="REG86" s="0"/>
      <c r="REH86" s="0"/>
      <c r="REI86" s="0"/>
      <c r="REJ86" s="0"/>
      <c r="REK86" s="0"/>
      <c r="REL86" s="0"/>
      <c r="REM86" s="0"/>
      <c r="REN86" s="0"/>
      <c r="REO86" s="0"/>
      <c r="REP86" s="0"/>
      <c r="REQ86" s="0"/>
      <c r="RER86" s="0"/>
      <c r="RES86" s="0"/>
      <c r="RET86" s="0"/>
      <c r="REU86" s="0"/>
      <c r="REV86" s="0"/>
      <c r="REW86" s="0"/>
      <c r="REX86" s="0"/>
      <c r="REY86" s="0"/>
      <c r="REZ86" s="0"/>
      <c r="RFA86" s="0"/>
      <c r="RFB86" s="0"/>
      <c r="RFC86" s="0"/>
      <c r="RFD86" s="0"/>
      <c r="RFE86" s="0"/>
      <c r="RFF86" s="0"/>
      <c r="RFG86" s="0"/>
      <c r="RFH86" s="0"/>
      <c r="RFI86" s="0"/>
      <c r="RFJ86" s="0"/>
      <c r="RFK86" s="0"/>
      <c r="RFL86" s="0"/>
      <c r="RFM86" s="0"/>
      <c r="RFN86" s="0"/>
      <c r="RFO86" s="0"/>
      <c r="RFP86" s="0"/>
      <c r="RFQ86" s="0"/>
      <c r="RFR86" s="0"/>
      <c r="RFS86" s="0"/>
      <c r="RFT86" s="0"/>
      <c r="RFU86" s="0"/>
      <c r="RFV86" s="0"/>
      <c r="RFW86" s="0"/>
      <c r="RFX86" s="0"/>
      <c r="RFY86" s="0"/>
      <c r="RFZ86" s="0"/>
      <c r="RGA86" s="0"/>
      <c r="RGB86" s="0"/>
      <c r="RGC86" s="0"/>
      <c r="RGD86" s="0"/>
      <c r="RGE86" s="0"/>
      <c r="RGF86" s="0"/>
      <c r="RGG86" s="0"/>
      <c r="RGH86" s="0"/>
      <c r="RGI86" s="0"/>
      <c r="RGJ86" s="0"/>
      <c r="RGK86" s="0"/>
      <c r="RGL86" s="0"/>
      <c r="RGM86" s="0"/>
      <c r="RGN86" s="0"/>
      <c r="RGO86" s="0"/>
      <c r="RGP86" s="0"/>
      <c r="RGQ86" s="0"/>
      <c r="RGR86" s="0"/>
      <c r="RGS86" s="0"/>
      <c r="RGT86" s="0"/>
      <c r="RGU86" s="0"/>
      <c r="RGV86" s="0"/>
      <c r="RGW86" s="0"/>
      <c r="RGX86" s="0"/>
      <c r="RGY86" s="0"/>
      <c r="RGZ86" s="0"/>
      <c r="RHA86" s="0"/>
      <c r="RHB86" s="0"/>
      <c r="RHC86" s="0"/>
      <c r="RHD86" s="0"/>
      <c r="RHE86" s="0"/>
      <c r="RHF86" s="0"/>
      <c r="RHG86" s="0"/>
      <c r="RHH86" s="0"/>
      <c r="RHI86" s="0"/>
      <c r="RHJ86" s="0"/>
      <c r="RHK86" s="0"/>
      <c r="RHL86" s="0"/>
      <c r="RHM86" s="0"/>
      <c r="RHN86" s="0"/>
      <c r="RHO86" s="0"/>
      <c r="RHP86" s="0"/>
      <c r="RHQ86" s="0"/>
      <c r="RHR86" s="0"/>
      <c r="RHS86" s="0"/>
      <c r="RHT86" s="0"/>
      <c r="RHU86" s="0"/>
      <c r="RHV86" s="0"/>
      <c r="RHW86" s="0"/>
      <c r="RHX86" s="0"/>
      <c r="RHY86" s="0"/>
      <c r="RHZ86" s="0"/>
      <c r="RIA86" s="0"/>
      <c r="RIB86" s="0"/>
      <c r="RIC86" s="0"/>
      <c r="RID86" s="0"/>
      <c r="RIE86" s="0"/>
      <c r="RIF86" s="0"/>
      <c r="RIG86" s="0"/>
      <c r="RIH86" s="0"/>
      <c r="RII86" s="0"/>
      <c r="RIJ86" s="0"/>
      <c r="RIK86" s="0"/>
      <c r="RIL86" s="0"/>
      <c r="RIM86" s="0"/>
      <c r="RIN86" s="0"/>
      <c r="RIO86" s="0"/>
      <c r="RIP86" s="0"/>
      <c r="RIQ86" s="0"/>
      <c r="RIR86" s="0"/>
      <c r="RIS86" s="0"/>
      <c r="RIT86" s="0"/>
      <c r="RIU86" s="0"/>
      <c r="RIV86" s="0"/>
      <c r="RIW86" s="0"/>
      <c r="RIX86" s="0"/>
      <c r="RIY86" s="0"/>
      <c r="RIZ86" s="0"/>
      <c r="RJA86" s="0"/>
      <c r="RJB86" s="0"/>
      <c r="RJC86" s="0"/>
      <c r="RJD86" s="0"/>
      <c r="RJE86" s="0"/>
      <c r="RJF86" s="0"/>
      <c r="RJG86" s="0"/>
      <c r="RJH86" s="0"/>
      <c r="RJI86" s="0"/>
      <c r="RJJ86" s="0"/>
      <c r="RJK86" s="0"/>
      <c r="RJL86" s="0"/>
      <c r="RJM86" s="0"/>
      <c r="RJN86" s="0"/>
      <c r="RJO86" s="0"/>
      <c r="RJP86" s="0"/>
      <c r="RJQ86" s="0"/>
      <c r="RJR86" s="0"/>
      <c r="RJS86" s="0"/>
      <c r="RJT86" s="0"/>
      <c r="RJU86" s="0"/>
      <c r="RJV86" s="0"/>
      <c r="RJW86" s="0"/>
      <c r="RJX86" s="0"/>
      <c r="RJY86" s="0"/>
      <c r="RJZ86" s="0"/>
      <c r="RKA86" s="0"/>
      <c r="RKB86" s="0"/>
      <c r="RKC86" s="0"/>
      <c r="RKD86" s="0"/>
      <c r="RKE86" s="0"/>
      <c r="RKF86" s="0"/>
      <c r="RKG86" s="0"/>
      <c r="RKH86" s="0"/>
      <c r="RKI86" s="0"/>
      <c r="RKJ86" s="0"/>
      <c r="RKK86" s="0"/>
      <c r="RKL86" s="0"/>
      <c r="RKM86" s="0"/>
      <c r="RKN86" s="0"/>
      <c r="RKO86" s="0"/>
      <c r="RKP86" s="0"/>
      <c r="RKQ86" s="0"/>
      <c r="RKR86" s="0"/>
      <c r="RKS86" s="0"/>
      <c r="RKT86" s="0"/>
      <c r="RKU86" s="0"/>
      <c r="RKV86" s="0"/>
      <c r="RKW86" s="0"/>
      <c r="RKX86" s="0"/>
      <c r="RKY86" s="0"/>
      <c r="RKZ86" s="0"/>
      <c r="RLA86" s="0"/>
      <c r="RLB86" s="0"/>
      <c r="RLC86" s="0"/>
      <c r="RLD86" s="0"/>
      <c r="RLE86" s="0"/>
      <c r="RLF86" s="0"/>
      <c r="RLG86" s="0"/>
      <c r="RLH86" s="0"/>
      <c r="RLI86" s="0"/>
      <c r="RLJ86" s="0"/>
      <c r="RLK86" s="0"/>
      <c r="RLL86" s="0"/>
      <c r="RLM86" s="0"/>
      <c r="RLN86" s="0"/>
      <c r="RLO86" s="0"/>
      <c r="RLP86" s="0"/>
      <c r="RLQ86" s="0"/>
      <c r="RLR86" s="0"/>
      <c r="RLS86" s="0"/>
      <c r="RLT86" s="0"/>
      <c r="RLU86" s="0"/>
      <c r="RLV86" s="0"/>
      <c r="RLW86" s="0"/>
      <c r="RLX86" s="0"/>
      <c r="RLY86" s="0"/>
      <c r="RLZ86" s="0"/>
      <c r="RMA86" s="0"/>
      <c r="RMB86" s="0"/>
      <c r="RMC86" s="0"/>
      <c r="RMD86" s="0"/>
      <c r="RME86" s="0"/>
      <c r="RMF86" s="0"/>
      <c r="RMG86" s="0"/>
      <c r="RMH86" s="0"/>
      <c r="RMI86" s="0"/>
      <c r="RMJ86" s="0"/>
      <c r="RMK86" s="0"/>
      <c r="RML86" s="0"/>
      <c r="RMM86" s="0"/>
      <c r="RMN86" s="0"/>
      <c r="RMO86" s="0"/>
      <c r="RMP86" s="0"/>
      <c r="RMQ86" s="0"/>
      <c r="RMR86" s="0"/>
      <c r="RMS86" s="0"/>
      <c r="RMT86" s="0"/>
      <c r="RMU86" s="0"/>
      <c r="RMV86" s="0"/>
      <c r="RMW86" s="0"/>
      <c r="RMX86" s="0"/>
      <c r="RMY86" s="0"/>
      <c r="RMZ86" s="0"/>
      <c r="RNA86" s="0"/>
      <c r="RNB86" s="0"/>
      <c r="RNC86" s="0"/>
      <c r="RND86" s="0"/>
      <c r="RNE86" s="0"/>
      <c r="RNF86" s="0"/>
      <c r="RNG86" s="0"/>
      <c r="RNH86" s="0"/>
      <c r="RNI86" s="0"/>
      <c r="RNJ86" s="0"/>
      <c r="RNK86" s="0"/>
      <c r="RNL86" s="0"/>
      <c r="RNM86" s="0"/>
      <c r="RNN86" s="0"/>
      <c r="RNO86" s="0"/>
      <c r="RNP86" s="0"/>
      <c r="RNQ86" s="0"/>
      <c r="RNR86" s="0"/>
      <c r="RNS86" s="0"/>
      <c r="RNT86" s="0"/>
      <c r="RNU86" s="0"/>
      <c r="RNV86" s="0"/>
      <c r="RNW86" s="0"/>
      <c r="RNX86" s="0"/>
      <c r="RNY86" s="0"/>
      <c r="RNZ86" s="0"/>
      <c r="ROA86" s="0"/>
      <c r="ROB86" s="0"/>
      <c r="ROC86" s="0"/>
      <c r="ROD86" s="0"/>
      <c r="ROE86" s="0"/>
      <c r="ROF86" s="0"/>
      <c r="ROG86" s="0"/>
      <c r="ROH86" s="0"/>
      <c r="ROI86" s="0"/>
      <c r="ROJ86" s="0"/>
      <c r="ROK86" s="0"/>
      <c r="ROL86" s="0"/>
      <c r="ROM86" s="0"/>
      <c r="RON86" s="0"/>
      <c r="ROO86" s="0"/>
      <c r="ROP86" s="0"/>
      <c r="ROQ86" s="0"/>
      <c r="ROR86" s="0"/>
      <c r="ROS86" s="0"/>
      <c r="ROT86" s="0"/>
      <c r="ROU86" s="0"/>
      <c r="ROV86" s="0"/>
      <c r="ROW86" s="0"/>
      <c r="ROX86" s="0"/>
      <c r="ROY86" s="0"/>
      <c r="ROZ86" s="0"/>
      <c r="RPA86" s="0"/>
      <c r="RPB86" s="0"/>
      <c r="RPC86" s="0"/>
      <c r="RPD86" s="0"/>
      <c r="RPE86" s="0"/>
      <c r="RPF86" s="0"/>
      <c r="RPG86" s="0"/>
      <c r="RPH86" s="0"/>
      <c r="RPI86" s="0"/>
      <c r="RPJ86" s="0"/>
      <c r="RPK86" s="0"/>
      <c r="RPL86" s="0"/>
      <c r="RPM86" s="0"/>
      <c r="RPN86" s="0"/>
      <c r="RPO86" s="0"/>
      <c r="RPP86" s="0"/>
      <c r="RPQ86" s="0"/>
      <c r="RPR86" s="0"/>
      <c r="RPS86" s="0"/>
      <c r="RPT86" s="0"/>
      <c r="RPU86" s="0"/>
      <c r="RPV86" s="0"/>
      <c r="RPW86" s="0"/>
      <c r="RPX86" s="0"/>
      <c r="RPY86" s="0"/>
      <c r="RPZ86" s="0"/>
      <c r="RQA86" s="0"/>
      <c r="RQB86" s="0"/>
      <c r="RQC86" s="0"/>
      <c r="RQD86" s="0"/>
      <c r="RQE86" s="0"/>
      <c r="RQF86" s="0"/>
      <c r="RQG86" s="0"/>
      <c r="RQH86" s="0"/>
      <c r="RQI86" s="0"/>
      <c r="RQJ86" s="0"/>
      <c r="RQK86" s="0"/>
      <c r="RQL86" s="0"/>
      <c r="RQM86" s="0"/>
      <c r="RQN86" s="0"/>
      <c r="RQO86" s="0"/>
      <c r="RQP86" s="0"/>
      <c r="RQQ86" s="0"/>
      <c r="RQR86" s="0"/>
      <c r="RQS86" s="0"/>
      <c r="RQT86" s="0"/>
      <c r="RQU86" s="0"/>
      <c r="RQV86" s="0"/>
      <c r="RQW86" s="0"/>
      <c r="RQX86" s="0"/>
      <c r="RQY86" s="0"/>
      <c r="RQZ86" s="0"/>
      <c r="RRA86" s="0"/>
      <c r="RRB86" s="0"/>
      <c r="RRC86" s="0"/>
      <c r="RRD86" s="0"/>
      <c r="RRE86" s="0"/>
      <c r="RRF86" s="0"/>
      <c r="RRG86" s="0"/>
      <c r="RRH86" s="0"/>
      <c r="RRI86" s="0"/>
      <c r="RRJ86" s="0"/>
      <c r="RRK86" s="0"/>
      <c r="RRL86" s="0"/>
      <c r="RRM86" s="0"/>
      <c r="RRN86" s="0"/>
      <c r="RRO86" s="0"/>
      <c r="RRP86" s="0"/>
      <c r="RRQ86" s="0"/>
      <c r="RRR86" s="0"/>
      <c r="RRS86" s="0"/>
      <c r="RRT86" s="0"/>
      <c r="RRU86" s="0"/>
      <c r="RRV86" s="0"/>
      <c r="RRW86" s="0"/>
      <c r="RRX86" s="0"/>
      <c r="RRY86" s="0"/>
      <c r="RRZ86" s="0"/>
      <c r="RSA86" s="0"/>
      <c r="RSB86" s="0"/>
      <c r="RSC86" s="0"/>
      <c r="RSD86" s="0"/>
      <c r="RSE86" s="0"/>
      <c r="RSF86" s="0"/>
      <c r="RSG86" s="0"/>
      <c r="RSH86" s="0"/>
      <c r="RSI86" s="0"/>
      <c r="RSJ86" s="0"/>
      <c r="RSK86" s="0"/>
      <c r="RSL86" s="0"/>
      <c r="RSM86" s="0"/>
      <c r="RSN86" s="0"/>
      <c r="RSO86" s="0"/>
      <c r="RSP86" s="0"/>
      <c r="RSQ86" s="0"/>
      <c r="RSR86" s="0"/>
      <c r="RSS86" s="0"/>
      <c r="RST86" s="0"/>
      <c r="RSU86" s="0"/>
      <c r="RSV86" s="0"/>
      <c r="RSW86" s="0"/>
      <c r="RSX86" s="0"/>
      <c r="RSY86" s="0"/>
      <c r="RSZ86" s="0"/>
      <c r="RTA86" s="0"/>
      <c r="RTB86" s="0"/>
      <c r="RTC86" s="0"/>
      <c r="RTD86" s="0"/>
      <c r="RTE86" s="0"/>
      <c r="RTF86" s="0"/>
      <c r="RTG86" s="0"/>
      <c r="RTH86" s="0"/>
      <c r="RTI86" s="0"/>
      <c r="RTJ86" s="0"/>
      <c r="RTK86" s="0"/>
      <c r="RTL86" s="0"/>
      <c r="RTM86" s="0"/>
      <c r="RTN86" s="0"/>
      <c r="RTO86" s="0"/>
      <c r="RTP86" s="0"/>
      <c r="RTQ86" s="0"/>
      <c r="RTR86" s="0"/>
      <c r="RTS86" s="0"/>
      <c r="RTT86" s="0"/>
      <c r="RTU86" s="0"/>
      <c r="RTV86" s="0"/>
      <c r="RTW86" s="0"/>
      <c r="RTX86" s="0"/>
      <c r="RTY86" s="0"/>
      <c r="RTZ86" s="0"/>
      <c r="RUA86" s="0"/>
      <c r="RUB86" s="0"/>
      <c r="RUC86" s="0"/>
      <c r="RUD86" s="0"/>
      <c r="RUE86" s="0"/>
      <c r="RUF86" s="0"/>
      <c r="RUG86" s="0"/>
      <c r="RUH86" s="0"/>
      <c r="RUI86" s="0"/>
      <c r="RUJ86" s="0"/>
      <c r="RUK86" s="0"/>
      <c r="RUL86" s="0"/>
      <c r="RUM86" s="0"/>
      <c r="RUN86" s="0"/>
      <c r="RUO86" s="0"/>
      <c r="RUP86" s="0"/>
      <c r="RUQ86" s="0"/>
      <c r="RUR86" s="0"/>
      <c r="RUS86" s="0"/>
      <c r="RUT86" s="0"/>
      <c r="RUU86" s="0"/>
      <c r="RUV86" s="0"/>
      <c r="RUW86" s="0"/>
      <c r="RUX86" s="0"/>
      <c r="RUY86" s="0"/>
      <c r="RUZ86" s="0"/>
      <c r="RVA86" s="0"/>
      <c r="RVB86" s="0"/>
      <c r="RVC86" s="0"/>
      <c r="RVD86" s="0"/>
      <c r="RVE86" s="0"/>
      <c r="RVF86" s="0"/>
      <c r="RVG86" s="0"/>
      <c r="RVH86" s="0"/>
      <c r="RVI86" s="0"/>
      <c r="RVJ86" s="0"/>
      <c r="RVK86" s="0"/>
      <c r="RVL86" s="0"/>
      <c r="RVM86" s="0"/>
      <c r="RVN86" s="0"/>
      <c r="RVO86" s="0"/>
      <c r="RVP86" s="0"/>
      <c r="RVQ86" s="0"/>
      <c r="RVR86" s="0"/>
      <c r="RVS86" s="0"/>
      <c r="RVT86" s="0"/>
      <c r="RVU86" s="0"/>
      <c r="RVV86" s="0"/>
      <c r="RVW86" s="0"/>
      <c r="RVX86" s="0"/>
      <c r="RVY86" s="0"/>
      <c r="RVZ86" s="0"/>
      <c r="RWA86" s="0"/>
      <c r="RWB86" s="0"/>
      <c r="RWC86" s="0"/>
      <c r="RWD86" s="0"/>
      <c r="RWE86" s="0"/>
      <c r="RWF86" s="0"/>
      <c r="RWG86" s="0"/>
      <c r="RWH86" s="0"/>
      <c r="RWI86" s="0"/>
      <c r="RWJ86" s="0"/>
      <c r="RWK86" s="0"/>
      <c r="RWL86" s="0"/>
      <c r="RWM86" s="0"/>
      <c r="RWN86" s="0"/>
      <c r="RWO86" s="0"/>
      <c r="RWP86" s="0"/>
      <c r="RWQ86" s="0"/>
      <c r="RWR86" s="0"/>
      <c r="RWS86" s="0"/>
      <c r="RWT86" s="0"/>
      <c r="RWU86" s="0"/>
      <c r="RWV86" s="0"/>
      <c r="RWW86" s="0"/>
      <c r="RWX86" s="0"/>
      <c r="RWY86" s="0"/>
      <c r="RWZ86" s="0"/>
      <c r="RXA86" s="0"/>
      <c r="RXB86" s="0"/>
      <c r="RXC86" s="0"/>
      <c r="RXD86" s="0"/>
      <c r="RXE86" s="0"/>
      <c r="RXF86" s="0"/>
      <c r="RXG86" s="0"/>
      <c r="RXH86" s="0"/>
      <c r="RXI86" s="0"/>
      <c r="RXJ86" s="0"/>
      <c r="RXK86" s="0"/>
      <c r="RXL86" s="0"/>
      <c r="RXM86" s="0"/>
      <c r="RXN86" s="0"/>
      <c r="RXO86" s="0"/>
      <c r="RXP86" s="0"/>
      <c r="RXQ86" s="0"/>
      <c r="RXR86" s="0"/>
      <c r="RXS86" s="0"/>
      <c r="RXT86" s="0"/>
      <c r="RXU86" s="0"/>
      <c r="RXV86" s="0"/>
      <c r="RXW86" s="0"/>
      <c r="RXX86" s="0"/>
      <c r="RXY86" s="0"/>
      <c r="RXZ86" s="0"/>
      <c r="RYA86" s="0"/>
      <c r="RYB86" s="0"/>
      <c r="RYC86" s="0"/>
      <c r="RYD86" s="0"/>
      <c r="RYE86" s="0"/>
      <c r="RYF86" s="0"/>
      <c r="RYG86" s="0"/>
      <c r="RYH86" s="0"/>
      <c r="RYI86" s="0"/>
      <c r="RYJ86" s="0"/>
      <c r="RYK86" s="0"/>
      <c r="RYL86" s="0"/>
      <c r="RYM86" s="0"/>
      <c r="RYN86" s="0"/>
      <c r="RYO86" s="0"/>
      <c r="RYP86" s="0"/>
      <c r="RYQ86" s="0"/>
      <c r="RYR86" s="0"/>
      <c r="RYS86" s="0"/>
      <c r="RYT86" s="0"/>
      <c r="RYU86" s="0"/>
      <c r="RYV86" s="0"/>
      <c r="RYW86" s="0"/>
      <c r="RYX86" s="0"/>
      <c r="RYY86" s="0"/>
      <c r="RYZ86" s="0"/>
      <c r="RZA86" s="0"/>
      <c r="RZB86" s="0"/>
      <c r="RZC86" s="0"/>
      <c r="RZD86" s="0"/>
      <c r="RZE86" s="0"/>
      <c r="RZF86" s="0"/>
      <c r="RZG86" s="0"/>
      <c r="RZH86" s="0"/>
      <c r="RZI86" s="0"/>
      <c r="RZJ86" s="0"/>
      <c r="RZK86" s="0"/>
      <c r="RZL86" s="0"/>
      <c r="RZM86" s="0"/>
      <c r="RZN86" s="0"/>
      <c r="RZO86" s="0"/>
      <c r="RZP86" s="0"/>
      <c r="RZQ86" s="0"/>
      <c r="RZR86" s="0"/>
      <c r="RZS86" s="0"/>
      <c r="RZT86" s="0"/>
      <c r="RZU86" s="0"/>
      <c r="RZV86" s="0"/>
      <c r="RZW86" s="0"/>
      <c r="RZX86" s="0"/>
      <c r="RZY86" s="0"/>
      <c r="RZZ86" s="0"/>
      <c r="SAA86" s="0"/>
      <c r="SAB86" s="0"/>
      <c r="SAC86" s="0"/>
      <c r="SAD86" s="0"/>
      <c r="SAE86" s="0"/>
      <c r="SAF86" s="0"/>
      <c r="SAG86" s="0"/>
      <c r="SAH86" s="0"/>
      <c r="SAI86" s="0"/>
      <c r="SAJ86" s="0"/>
      <c r="SAK86" s="0"/>
      <c r="SAL86" s="0"/>
      <c r="SAM86" s="0"/>
      <c r="SAN86" s="0"/>
      <c r="SAO86" s="0"/>
      <c r="SAP86" s="0"/>
      <c r="SAQ86" s="0"/>
      <c r="SAR86" s="0"/>
      <c r="SAS86" s="0"/>
      <c r="SAT86" s="0"/>
      <c r="SAU86" s="0"/>
      <c r="SAV86" s="0"/>
      <c r="SAW86" s="0"/>
      <c r="SAX86" s="0"/>
      <c r="SAY86" s="0"/>
      <c r="SAZ86" s="0"/>
      <c r="SBA86" s="0"/>
      <c r="SBB86" s="0"/>
      <c r="SBC86" s="0"/>
      <c r="SBD86" s="0"/>
      <c r="SBE86" s="0"/>
      <c r="SBF86" s="0"/>
      <c r="SBG86" s="0"/>
      <c r="SBH86" s="0"/>
      <c r="SBI86" s="0"/>
      <c r="SBJ86" s="0"/>
      <c r="SBK86" s="0"/>
      <c r="SBL86" s="0"/>
      <c r="SBM86" s="0"/>
      <c r="SBN86" s="0"/>
      <c r="SBO86" s="0"/>
      <c r="SBP86" s="0"/>
      <c r="SBQ86" s="0"/>
      <c r="SBR86" s="0"/>
      <c r="SBS86" s="0"/>
      <c r="SBT86" s="0"/>
      <c r="SBU86" s="0"/>
      <c r="SBV86" s="0"/>
      <c r="SBW86" s="0"/>
      <c r="SBX86" s="0"/>
      <c r="SBY86" s="0"/>
      <c r="SBZ86" s="0"/>
      <c r="SCA86" s="0"/>
      <c r="SCB86" s="0"/>
      <c r="SCC86" s="0"/>
      <c r="SCD86" s="0"/>
      <c r="SCE86" s="0"/>
      <c r="SCF86" s="0"/>
      <c r="SCG86" s="0"/>
      <c r="SCH86" s="0"/>
      <c r="SCI86" s="0"/>
      <c r="SCJ86" s="0"/>
      <c r="SCK86" s="0"/>
      <c r="SCL86" s="0"/>
      <c r="SCM86" s="0"/>
      <c r="SCN86" s="0"/>
      <c r="SCO86" s="0"/>
      <c r="SCP86" s="0"/>
      <c r="SCQ86" s="0"/>
      <c r="SCR86" s="0"/>
      <c r="SCS86" s="0"/>
      <c r="SCT86" s="0"/>
      <c r="SCU86" s="0"/>
      <c r="SCV86" s="0"/>
      <c r="SCW86" s="0"/>
      <c r="SCX86" s="0"/>
      <c r="SCY86" s="0"/>
      <c r="SCZ86" s="0"/>
      <c r="SDA86" s="0"/>
      <c r="SDB86" s="0"/>
      <c r="SDC86" s="0"/>
      <c r="SDD86" s="0"/>
      <c r="SDE86" s="0"/>
      <c r="SDF86" s="0"/>
      <c r="SDG86" s="0"/>
      <c r="SDH86" s="0"/>
      <c r="SDI86" s="0"/>
      <c r="SDJ86" s="0"/>
      <c r="SDK86" s="0"/>
      <c r="SDL86" s="0"/>
      <c r="SDM86" s="0"/>
      <c r="SDN86" s="0"/>
      <c r="SDO86" s="0"/>
      <c r="SDP86" s="0"/>
      <c r="SDQ86" s="0"/>
      <c r="SDR86" s="0"/>
      <c r="SDS86" s="0"/>
      <c r="SDT86" s="0"/>
      <c r="SDU86" s="0"/>
      <c r="SDV86" s="0"/>
      <c r="SDW86" s="0"/>
      <c r="SDX86" s="0"/>
      <c r="SDY86" s="0"/>
      <c r="SDZ86" s="0"/>
      <c r="SEA86" s="0"/>
      <c r="SEB86" s="0"/>
      <c r="SEC86" s="0"/>
      <c r="SED86" s="0"/>
      <c r="SEE86" s="0"/>
      <c r="SEF86" s="0"/>
      <c r="SEG86" s="0"/>
      <c r="SEH86" s="0"/>
      <c r="SEI86" s="0"/>
      <c r="SEJ86" s="0"/>
      <c r="SEK86" s="0"/>
      <c r="SEL86" s="0"/>
      <c r="SEM86" s="0"/>
      <c r="SEN86" s="0"/>
      <c r="SEO86" s="0"/>
      <c r="SEP86" s="0"/>
      <c r="SEQ86" s="0"/>
      <c r="SER86" s="0"/>
      <c r="SES86" s="0"/>
      <c r="SET86" s="0"/>
      <c r="SEU86" s="0"/>
      <c r="SEV86" s="0"/>
      <c r="SEW86" s="0"/>
      <c r="SEX86" s="0"/>
      <c r="SEY86" s="0"/>
      <c r="SEZ86" s="0"/>
      <c r="SFA86" s="0"/>
      <c r="SFB86" s="0"/>
      <c r="SFC86" s="0"/>
      <c r="SFD86" s="0"/>
      <c r="SFE86" s="0"/>
      <c r="SFF86" s="0"/>
      <c r="SFG86" s="0"/>
      <c r="SFH86" s="0"/>
      <c r="SFI86" s="0"/>
      <c r="SFJ86" s="0"/>
      <c r="SFK86" s="0"/>
      <c r="SFL86" s="0"/>
      <c r="SFM86" s="0"/>
      <c r="SFN86" s="0"/>
      <c r="SFO86" s="0"/>
      <c r="SFP86" s="0"/>
      <c r="SFQ86" s="0"/>
      <c r="SFR86" s="0"/>
      <c r="SFS86" s="0"/>
      <c r="SFT86" s="0"/>
      <c r="SFU86" s="0"/>
      <c r="SFV86" s="0"/>
      <c r="SFW86" s="0"/>
      <c r="SFX86" s="0"/>
      <c r="SFY86" s="0"/>
      <c r="SFZ86" s="0"/>
      <c r="SGA86" s="0"/>
      <c r="SGB86" s="0"/>
      <c r="SGC86" s="0"/>
      <c r="SGD86" s="0"/>
      <c r="SGE86" s="0"/>
      <c r="SGF86" s="0"/>
      <c r="SGG86" s="0"/>
      <c r="SGH86" s="0"/>
      <c r="SGI86" s="0"/>
      <c r="SGJ86" s="0"/>
      <c r="SGK86" s="0"/>
      <c r="SGL86" s="0"/>
      <c r="SGM86" s="0"/>
      <c r="SGN86" s="0"/>
      <c r="SGO86" s="0"/>
      <c r="SGP86" s="0"/>
      <c r="SGQ86" s="0"/>
      <c r="SGR86" s="0"/>
      <c r="SGS86" s="0"/>
      <c r="SGT86" s="0"/>
      <c r="SGU86" s="0"/>
      <c r="SGV86" s="0"/>
      <c r="SGW86" s="0"/>
      <c r="SGX86" s="0"/>
      <c r="SGY86" s="0"/>
      <c r="SGZ86" s="0"/>
      <c r="SHA86" s="0"/>
      <c r="SHB86" s="0"/>
      <c r="SHC86" s="0"/>
      <c r="SHD86" s="0"/>
      <c r="SHE86" s="0"/>
      <c r="SHF86" s="0"/>
      <c r="SHG86" s="0"/>
      <c r="SHH86" s="0"/>
      <c r="SHI86" s="0"/>
      <c r="SHJ86" s="0"/>
      <c r="SHK86" s="0"/>
      <c r="SHL86" s="0"/>
      <c r="SHM86" s="0"/>
      <c r="SHN86" s="0"/>
      <c r="SHO86" s="0"/>
      <c r="SHP86" s="0"/>
      <c r="SHQ86" s="0"/>
      <c r="SHR86" s="0"/>
      <c r="SHS86" s="0"/>
      <c r="SHT86" s="0"/>
      <c r="SHU86" s="0"/>
      <c r="SHV86" s="0"/>
      <c r="SHW86" s="0"/>
      <c r="SHX86" s="0"/>
      <c r="SHY86" s="0"/>
      <c r="SHZ86" s="0"/>
      <c r="SIA86" s="0"/>
      <c r="SIB86" s="0"/>
      <c r="SIC86" s="0"/>
      <c r="SID86" s="0"/>
      <c r="SIE86" s="0"/>
      <c r="SIF86" s="0"/>
      <c r="SIG86" s="0"/>
      <c r="SIH86" s="0"/>
      <c r="SII86" s="0"/>
      <c r="SIJ86" s="0"/>
      <c r="SIK86" s="0"/>
      <c r="SIL86" s="0"/>
      <c r="SIM86" s="0"/>
      <c r="SIN86" s="0"/>
      <c r="SIO86" s="0"/>
      <c r="SIP86" s="0"/>
      <c r="SIQ86" s="0"/>
      <c r="SIR86" s="0"/>
      <c r="SIS86" s="0"/>
      <c r="SIT86" s="0"/>
      <c r="SIU86" s="0"/>
      <c r="SIV86" s="0"/>
      <c r="SIW86" s="0"/>
      <c r="SIX86" s="0"/>
      <c r="SIY86" s="0"/>
      <c r="SIZ86" s="0"/>
      <c r="SJA86" s="0"/>
      <c r="SJB86" s="0"/>
      <c r="SJC86" s="0"/>
      <c r="SJD86" s="0"/>
      <c r="SJE86" s="0"/>
      <c r="SJF86" s="0"/>
      <c r="SJG86" s="0"/>
      <c r="SJH86" s="0"/>
      <c r="SJI86" s="0"/>
      <c r="SJJ86" s="0"/>
      <c r="SJK86" s="0"/>
      <c r="SJL86" s="0"/>
      <c r="SJM86" s="0"/>
      <c r="SJN86" s="0"/>
      <c r="SJO86" s="0"/>
      <c r="SJP86" s="0"/>
      <c r="SJQ86" s="0"/>
      <c r="SJR86" s="0"/>
      <c r="SJS86" s="0"/>
      <c r="SJT86" s="0"/>
      <c r="SJU86" s="0"/>
      <c r="SJV86" s="0"/>
      <c r="SJW86" s="0"/>
      <c r="SJX86" s="0"/>
      <c r="SJY86" s="0"/>
      <c r="SJZ86" s="0"/>
      <c r="SKA86" s="0"/>
      <c r="SKB86" s="0"/>
      <c r="SKC86" s="0"/>
      <c r="SKD86" s="0"/>
      <c r="SKE86" s="0"/>
      <c r="SKF86" s="0"/>
      <c r="SKG86" s="0"/>
      <c r="SKH86" s="0"/>
      <c r="SKI86" s="0"/>
      <c r="SKJ86" s="0"/>
      <c r="SKK86" s="0"/>
      <c r="SKL86" s="0"/>
      <c r="SKM86" s="0"/>
      <c r="SKN86" s="0"/>
      <c r="SKO86" s="0"/>
      <c r="SKP86" s="0"/>
      <c r="SKQ86" s="0"/>
      <c r="SKR86" s="0"/>
      <c r="SKS86" s="0"/>
      <c r="SKT86" s="0"/>
      <c r="SKU86" s="0"/>
      <c r="SKV86" s="0"/>
      <c r="SKW86" s="0"/>
      <c r="SKX86" s="0"/>
      <c r="SKY86" s="0"/>
      <c r="SKZ86" s="0"/>
      <c r="SLA86" s="0"/>
      <c r="SLB86" s="0"/>
      <c r="SLC86" s="0"/>
      <c r="SLD86" s="0"/>
      <c r="SLE86" s="0"/>
      <c r="SLF86" s="0"/>
      <c r="SLG86" s="0"/>
      <c r="SLH86" s="0"/>
      <c r="SLI86" s="0"/>
      <c r="SLJ86" s="0"/>
      <c r="SLK86" s="0"/>
      <c r="SLL86" s="0"/>
      <c r="SLM86" s="0"/>
      <c r="SLN86" s="0"/>
      <c r="SLO86" s="0"/>
      <c r="SLP86" s="0"/>
      <c r="SLQ86" s="0"/>
      <c r="SLR86" s="0"/>
      <c r="SLS86" s="0"/>
      <c r="SLT86" s="0"/>
      <c r="SLU86" s="0"/>
      <c r="SLV86" s="0"/>
      <c r="SLW86" s="0"/>
      <c r="SLX86" s="0"/>
      <c r="SLY86" s="0"/>
      <c r="SLZ86" s="0"/>
      <c r="SMA86" s="0"/>
      <c r="SMB86" s="0"/>
      <c r="SMC86" s="0"/>
      <c r="SMD86" s="0"/>
      <c r="SME86" s="0"/>
      <c r="SMF86" s="0"/>
      <c r="SMG86" s="0"/>
      <c r="SMH86" s="0"/>
      <c r="SMI86" s="0"/>
      <c r="SMJ86" s="0"/>
      <c r="SMK86" s="0"/>
      <c r="SML86" s="0"/>
      <c r="SMM86" s="0"/>
      <c r="SMN86" s="0"/>
      <c r="SMO86" s="0"/>
      <c r="SMP86" s="0"/>
      <c r="SMQ86" s="0"/>
      <c r="SMR86" s="0"/>
      <c r="SMS86" s="0"/>
      <c r="SMT86" s="0"/>
      <c r="SMU86" s="0"/>
      <c r="SMV86" s="0"/>
      <c r="SMW86" s="0"/>
      <c r="SMX86" s="0"/>
      <c r="SMY86" s="0"/>
      <c r="SMZ86" s="0"/>
      <c r="SNA86" s="0"/>
      <c r="SNB86" s="0"/>
      <c r="SNC86" s="0"/>
      <c r="SND86" s="0"/>
      <c r="SNE86" s="0"/>
      <c r="SNF86" s="0"/>
      <c r="SNG86" s="0"/>
      <c r="SNH86" s="0"/>
      <c r="SNI86" s="0"/>
      <c r="SNJ86" s="0"/>
      <c r="SNK86" s="0"/>
      <c r="SNL86" s="0"/>
      <c r="SNM86" s="0"/>
      <c r="SNN86" s="0"/>
      <c r="SNO86" s="0"/>
      <c r="SNP86" s="0"/>
      <c r="SNQ86" s="0"/>
      <c r="SNR86" s="0"/>
      <c r="SNS86" s="0"/>
      <c r="SNT86" s="0"/>
      <c r="SNU86" s="0"/>
      <c r="SNV86" s="0"/>
      <c r="SNW86" s="0"/>
      <c r="SNX86" s="0"/>
      <c r="SNY86" s="0"/>
      <c r="SNZ86" s="0"/>
      <c r="SOA86" s="0"/>
      <c r="SOB86" s="0"/>
      <c r="SOC86" s="0"/>
      <c r="SOD86" s="0"/>
      <c r="SOE86" s="0"/>
      <c r="SOF86" s="0"/>
      <c r="SOG86" s="0"/>
      <c r="SOH86" s="0"/>
      <c r="SOI86" s="0"/>
      <c r="SOJ86" s="0"/>
      <c r="SOK86" s="0"/>
      <c r="SOL86" s="0"/>
      <c r="SOM86" s="0"/>
      <c r="SON86" s="0"/>
      <c r="SOO86" s="0"/>
      <c r="SOP86" s="0"/>
      <c r="SOQ86" s="0"/>
      <c r="SOR86" s="0"/>
      <c r="SOS86" s="0"/>
      <c r="SOT86" s="0"/>
      <c r="SOU86" s="0"/>
      <c r="SOV86" s="0"/>
      <c r="SOW86" s="0"/>
      <c r="SOX86" s="0"/>
      <c r="SOY86" s="0"/>
      <c r="SOZ86" s="0"/>
      <c r="SPA86" s="0"/>
      <c r="SPB86" s="0"/>
      <c r="SPC86" s="0"/>
      <c r="SPD86" s="0"/>
      <c r="SPE86" s="0"/>
      <c r="SPF86" s="0"/>
      <c r="SPG86" s="0"/>
      <c r="SPH86" s="0"/>
      <c r="SPI86" s="0"/>
      <c r="SPJ86" s="0"/>
      <c r="SPK86" s="0"/>
      <c r="SPL86" s="0"/>
      <c r="SPM86" s="0"/>
      <c r="SPN86" s="0"/>
      <c r="SPO86" s="0"/>
      <c r="SPP86" s="0"/>
      <c r="SPQ86" s="0"/>
      <c r="SPR86" s="0"/>
      <c r="SPS86" s="0"/>
      <c r="SPT86" s="0"/>
      <c r="SPU86" s="0"/>
      <c r="SPV86" s="0"/>
      <c r="SPW86" s="0"/>
      <c r="SPX86" s="0"/>
      <c r="SPY86" s="0"/>
      <c r="SPZ86" s="0"/>
      <c r="SQA86" s="0"/>
      <c r="SQB86" s="0"/>
      <c r="SQC86" s="0"/>
      <c r="SQD86" s="0"/>
      <c r="SQE86" s="0"/>
      <c r="SQF86" s="0"/>
      <c r="SQG86" s="0"/>
      <c r="SQH86" s="0"/>
      <c r="SQI86" s="0"/>
      <c r="SQJ86" s="0"/>
      <c r="SQK86" s="0"/>
      <c r="SQL86" s="0"/>
      <c r="SQM86" s="0"/>
      <c r="SQN86" s="0"/>
      <c r="SQO86" s="0"/>
      <c r="SQP86" s="0"/>
      <c r="SQQ86" s="0"/>
      <c r="SQR86" s="0"/>
      <c r="SQS86" s="0"/>
      <c r="SQT86" s="0"/>
      <c r="SQU86" s="0"/>
      <c r="SQV86" s="0"/>
      <c r="SQW86" s="0"/>
      <c r="SQX86" s="0"/>
      <c r="SQY86" s="0"/>
      <c r="SQZ86" s="0"/>
      <c r="SRA86" s="0"/>
      <c r="SRB86" s="0"/>
      <c r="SRC86" s="0"/>
      <c r="SRD86" s="0"/>
      <c r="SRE86" s="0"/>
      <c r="SRF86" s="0"/>
      <c r="SRG86" s="0"/>
      <c r="SRH86" s="0"/>
      <c r="SRI86" s="0"/>
      <c r="SRJ86" s="0"/>
      <c r="SRK86" s="0"/>
      <c r="SRL86" s="0"/>
      <c r="SRM86" s="0"/>
      <c r="SRN86" s="0"/>
      <c r="SRO86" s="0"/>
      <c r="SRP86" s="0"/>
      <c r="SRQ86" s="0"/>
      <c r="SRR86" s="0"/>
      <c r="SRS86" s="0"/>
      <c r="SRT86" s="0"/>
      <c r="SRU86" s="0"/>
      <c r="SRV86" s="0"/>
      <c r="SRW86" s="0"/>
      <c r="SRX86" s="0"/>
      <c r="SRY86" s="0"/>
      <c r="SRZ86" s="0"/>
      <c r="SSA86" s="0"/>
      <c r="SSB86" s="0"/>
      <c r="SSC86" s="0"/>
      <c r="SSD86" s="0"/>
      <c r="SSE86" s="0"/>
      <c r="SSF86" s="0"/>
      <c r="SSG86" s="0"/>
      <c r="SSH86" s="0"/>
      <c r="SSI86" s="0"/>
      <c r="SSJ86" s="0"/>
      <c r="SSK86" s="0"/>
      <c r="SSL86" s="0"/>
      <c r="SSM86" s="0"/>
      <c r="SSN86" s="0"/>
      <c r="SSO86" s="0"/>
      <c r="SSP86" s="0"/>
      <c r="SSQ86" s="0"/>
      <c r="SSR86" s="0"/>
      <c r="SSS86" s="0"/>
      <c r="SST86" s="0"/>
      <c r="SSU86" s="0"/>
      <c r="SSV86" s="0"/>
      <c r="SSW86" s="0"/>
      <c r="SSX86" s="0"/>
      <c r="SSY86" s="0"/>
      <c r="SSZ86" s="0"/>
      <c r="STA86" s="0"/>
      <c r="STB86" s="0"/>
      <c r="STC86" s="0"/>
      <c r="STD86" s="0"/>
      <c r="STE86" s="0"/>
      <c r="STF86" s="0"/>
      <c r="STG86" s="0"/>
      <c r="STH86" s="0"/>
      <c r="STI86" s="0"/>
      <c r="STJ86" s="0"/>
      <c r="STK86" s="0"/>
      <c r="STL86" s="0"/>
      <c r="STM86" s="0"/>
      <c r="STN86" s="0"/>
      <c r="STO86" s="0"/>
      <c r="STP86" s="0"/>
      <c r="STQ86" s="0"/>
      <c r="STR86" s="0"/>
      <c r="STS86" s="0"/>
      <c r="STT86" s="0"/>
      <c r="STU86" s="0"/>
      <c r="STV86" s="0"/>
      <c r="STW86" s="0"/>
      <c r="STX86" s="0"/>
      <c r="STY86" s="0"/>
      <c r="STZ86" s="0"/>
      <c r="SUA86" s="0"/>
      <c r="SUB86" s="0"/>
      <c r="SUC86" s="0"/>
      <c r="SUD86" s="0"/>
      <c r="SUE86" s="0"/>
      <c r="SUF86" s="0"/>
      <c r="SUG86" s="0"/>
      <c r="SUH86" s="0"/>
      <c r="SUI86" s="0"/>
      <c r="SUJ86" s="0"/>
      <c r="SUK86" s="0"/>
      <c r="SUL86" s="0"/>
      <c r="SUM86" s="0"/>
      <c r="SUN86" s="0"/>
      <c r="SUO86" s="0"/>
      <c r="SUP86" s="0"/>
      <c r="SUQ86" s="0"/>
      <c r="SUR86" s="0"/>
      <c r="SUS86" s="0"/>
      <c r="SUT86" s="0"/>
      <c r="SUU86" s="0"/>
      <c r="SUV86" s="0"/>
      <c r="SUW86" s="0"/>
      <c r="SUX86" s="0"/>
      <c r="SUY86" s="0"/>
      <c r="SUZ86" s="0"/>
      <c r="SVA86" s="0"/>
      <c r="SVB86" s="0"/>
      <c r="SVC86" s="0"/>
      <c r="SVD86" s="0"/>
      <c r="SVE86" s="0"/>
      <c r="SVF86" s="0"/>
      <c r="SVG86" s="0"/>
      <c r="SVH86" s="0"/>
      <c r="SVI86" s="0"/>
      <c r="SVJ86" s="0"/>
      <c r="SVK86" s="0"/>
      <c r="SVL86" s="0"/>
      <c r="SVM86" s="0"/>
      <c r="SVN86" s="0"/>
      <c r="SVO86" s="0"/>
      <c r="SVP86" s="0"/>
      <c r="SVQ86" s="0"/>
      <c r="SVR86" s="0"/>
      <c r="SVS86" s="0"/>
      <c r="SVT86" s="0"/>
      <c r="SVU86" s="0"/>
      <c r="SVV86" s="0"/>
      <c r="SVW86" s="0"/>
      <c r="SVX86" s="0"/>
      <c r="SVY86" s="0"/>
      <c r="SVZ86" s="0"/>
      <c r="SWA86" s="0"/>
      <c r="SWB86" s="0"/>
      <c r="SWC86" s="0"/>
      <c r="SWD86" s="0"/>
      <c r="SWE86" s="0"/>
      <c r="SWF86" s="0"/>
      <c r="SWG86" s="0"/>
      <c r="SWH86" s="0"/>
      <c r="SWI86" s="0"/>
      <c r="SWJ86" s="0"/>
      <c r="SWK86" s="0"/>
      <c r="SWL86" s="0"/>
      <c r="SWM86" s="0"/>
      <c r="SWN86" s="0"/>
      <c r="SWO86" s="0"/>
      <c r="SWP86" s="0"/>
      <c r="SWQ86" s="0"/>
      <c r="SWR86" s="0"/>
      <c r="SWS86" s="0"/>
      <c r="SWT86" s="0"/>
      <c r="SWU86" s="0"/>
      <c r="SWV86" s="0"/>
      <c r="SWW86" s="0"/>
      <c r="SWX86" s="0"/>
      <c r="SWY86" s="0"/>
      <c r="SWZ86" s="0"/>
      <c r="SXA86" s="0"/>
      <c r="SXB86" s="0"/>
      <c r="SXC86" s="0"/>
      <c r="SXD86" s="0"/>
      <c r="SXE86" s="0"/>
      <c r="SXF86" s="0"/>
      <c r="SXG86" s="0"/>
      <c r="SXH86" s="0"/>
      <c r="SXI86" s="0"/>
      <c r="SXJ86" s="0"/>
      <c r="SXK86" s="0"/>
      <c r="SXL86" s="0"/>
      <c r="SXM86" s="0"/>
      <c r="SXN86" s="0"/>
      <c r="SXO86" s="0"/>
      <c r="SXP86" s="0"/>
      <c r="SXQ86" s="0"/>
      <c r="SXR86" s="0"/>
      <c r="SXS86" s="0"/>
      <c r="SXT86" s="0"/>
      <c r="SXU86" s="0"/>
      <c r="SXV86" s="0"/>
      <c r="SXW86" s="0"/>
      <c r="SXX86" s="0"/>
      <c r="SXY86" s="0"/>
      <c r="SXZ86" s="0"/>
      <c r="SYA86" s="0"/>
      <c r="SYB86" s="0"/>
      <c r="SYC86" s="0"/>
      <c r="SYD86" s="0"/>
      <c r="SYE86" s="0"/>
      <c r="SYF86" s="0"/>
      <c r="SYG86" s="0"/>
      <c r="SYH86" s="0"/>
      <c r="SYI86" s="0"/>
      <c r="SYJ86" s="0"/>
      <c r="SYK86" s="0"/>
      <c r="SYL86" s="0"/>
      <c r="SYM86" s="0"/>
      <c r="SYN86" s="0"/>
      <c r="SYO86" s="0"/>
      <c r="SYP86" s="0"/>
      <c r="SYQ86" s="0"/>
      <c r="SYR86" s="0"/>
      <c r="SYS86" s="0"/>
      <c r="SYT86" s="0"/>
      <c r="SYU86" s="0"/>
      <c r="SYV86" s="0"/>
      <c r="SYW86" s="0"/>
      <c r="SYX86" s="0"/>
      <c r="SYY86" s="0"/>
      <c r="SYZ86" s="0"/>
      <c r="SZA86" s="0"/>
      <c r="SZB86" s="0"/>
      <c r="SZC86" s="0"/>
      <c r="SZD86" s="0"/>
      <c r="SZE86" s="0"/>
      <c r="SZF86" s="0"/>
      <c r="SZG86" s="0"/>
      <c r="SZH86" s="0"/>
      <c r="SZI86" s="0"/>
      <c r="SZJ86" s="0"/>
      <c r="SZK86" s="0"/>
      <c r="SZL86" s="0"/>
      <c r="SZM86" s="0"/>
      <c r="SZN86" s="0"/>
      <c r="SZO86" s="0"/>
      <c r="SZP86" s="0"/>
      <c r="SZQ86" s="0"/>
      <c r="SZR86" s="0"/>
      <c r="SZS86" s="0"/>
      <c r="SZT86" s="0"/>
      <c r="SZU86" s="0"/>
      <c r="SZV86" s="0"/>
      <c r="SZW86" s="0"/>
      <c r="SZX86" s="0"/>
      <c r="SZY86" s="0"/>
      <c r="SZZ86" s="0"/>
      <c r="TAA86" s="0"/>
      <c r="TAB86" s="0"/>
      <c r="TAC86" s="0"/>
      <c r="TAD86" s="0"/>
      <c r="TAE86" s="0"/>
      <c r="TAF86" s="0"/>
      <c r="TAG86" s="0"/>
      <c r="TAH86" s="0"/>
      <c r="TAI86" s="0"/>
      <c r="TAJ86" s="0"/>
      <c r="TAK86" s="0"/>
      <c r="TAL86" s="0"/>
      <c r="TAM86" s="0"/>
      <c r="TAN86" s="0"/>
      <c r="TAO86" s="0"/>
      <c r="TAP86" s="0"/>
      <c r="TAQ86" s="0"/>
      <c r="TAR86" s="0"/>
      <c r="TAS86" s="0"/>
      <c r="TAT86" s="0"/>
      <c r="TAU86" s="0"/>
      <c r="TAV86" s="0"/>
      <c r="TAW86" s="0"/>
      <c r="TAX86" s="0"/>
      <c r="TAY86" s="0"/>
      <c r="TAZ86" s="0"/>
      <c r="TBA86" s="0"/>
      <c r="TBB86" s="0"/>
      <c r="TBC86" s="0"/>
      <c r="TBD86" s="0"/>
      <c r="TBE86" s="0"/>
      <c r="TBF86" s="0"/>
      <c r="TBG86" s="0"/>
      <c r="TBH86" s="0"/>
      <c r="TBI86" s="0"/>
      <c r="TBJ86" s="0"/>
      <c r="TBK86" s="0"/>
      <c r="TBL86" s="0"/>
      <c r="TBM86" s="0"/>
      <c r="TBN86" s="0"/>
      <c r="TBO86" s="0"/>
      <c r="TBP86" s="0"/>
      <c r="TBQ86" s="0"/>
      <c r="TBR86" s="0"/>
      <c r="TBS86" s="0"/>
      <c r="TBT86" s="0"/>
      <c r="TBU86" s="0"/>
      <c r="TBV86" s="0"/>
      <c r="TBW86" s="0"/>
      <c r="TBX86" s="0"/>
      <c r="TBY86" s="0"/>
      <c r="TBZ86" s="0"/>
      <c r="TCA86" s="0"/>
      <c r="TCB86" s="0"/>
      <c r="TCC86" s="0"/>
      <c r="TCD86" s="0"/>
      <c r="TCE86" s="0"/>
      <c r="TCF86" s="0"/>
      <c r="TCG86" s="0"/>
      <c r="TCH86" s="0"/>
      <c r="TCI86" s="0"/>
      <c r="TCJ86" s="0"/>
      <c r="TCK86" s="0"/>
      <c r="TCL86" s="0"/>
      <c r="TCM86" s="0"/>
      <c r="TCN86" s="0"/>
      <c r="TCO86" s="0"/>
      <c r="TCP86" s="0"/>
      <c r="TCQ86" s="0"/>
      <c r="TCR86" s="0"/>
      <c r="TCS86" s="0"/>
      <c r="TCT86" s="0"/>
      <c r="TCU86" s="0"/>
      <c r="TCV86" s="0"/>
      <c r="TCW86" s="0"/>
      <c r="TCX86" s="0"/>
      <c r="TCY86" s="0"/>
      <c r="TCZ86" s="0"/>
      <c r="TDA86" s="0"/>
      <c r="TDB86" s="0"/>
      <c r="TDC86" s="0"/>
      <c r="TDD86" s="0"/>
      <c r="TDE86" s="0"/>
      <c r="TDF86" s="0"/>
      <c r="TDG86" s="0"/>
      <c r="TDH86" s="0"/>
      <c r="TDI86" s="0"/>
      <c r="TDJ86" s="0"/>
      <c r="TDK86" s="0"/>
      <c r="TDL86" s="0"/>
      <c r="TDM86" s="0"/>
      <c r="TDN86" s="0"/>
      <c r="TDO86" s="0"/>
      <c r="TDP86" s="0"/>
      <c r="TDQ86" s="0"/>
      <c r="TDR86" s="0"/>
      <c r="TDS86" s="0"/>
      <c r="TDT86" s="0"/>
      <c r="TDU86" s="0"/>
      <c r="TDV86" s="0"/>
      <c r="TDW86" s="0"/>
      <c r="TDX86" s="0"/>
      <c r="TDY86" s="0"/>
      <c r="TDZ86" s="0"/>
      <c r="TEA86" s="0"/>
      <c r="TEB86" s="0"/>
      <c r="TEC86" s="0"/>
      <c r="TED86" s="0"/>
      <c r="TEE86" s="0"/>
      <c r="TEF86" s="0"/>
      <c r="TEG86" s="0"/>
      <c r="TEH86" s="0"/>
      <c r="TEI86" s="0"/>
      <c r="TEJ86" s="0"/>
      <c r="TEK86" s="0"/>
      <c r="TEL86" s="0"/>
      <c r="TEM86" s="0"/>
      <c r="TEN86" s="0"/>
      <c r="TEO86" s="0"/>
      <c r="TEP86" s="0"/>
      <c r="TEQ86" s="0"/>
      <c r="TER86" s="0"/>
      <c r="TES86" s="0"/>
      <c r="TET86" s="0"/>
      <c r="TEU86" s="0"/>
      <c r="TEV86" s="0"/>
      <c r="TEW86" s="0"/>
      <c r="TEX86" s="0"/>
      <c r="TEY86" s="0"/>
      <c r="TEZ86" s="0"/>
      <c r="TFA86" s="0"/>
      <c r="TFB86" s="0"/>
      <c r="TFC86" s="0"/>
      <c r="TFD86" s="0"/>
      <c r="TFE86" s="0"/>
      <c r="TFF86" s="0"/>
      <c r="TFG86" s="0"/>
      <c r="TFH86" s="0"/>
      <c r="TFI86" s="0"/>
      <c r="TFJ86" s="0"/>
      <c r="TFK86" s="0"/>
      <c r="TFL86" s="0"/>
      <c r="TFM86" s="0"/>
      <c r="TFN86" s="0"/>
      <c r="TFO86" s="0"/>
      <c r="TFP86" s="0"/>
      <c r="TFQ86" s="0"/>
      <c r="TFR86" s="0"/>
      <c r="TFS86" s="0"/>
      <c r="TFT86" s="0"/>
      <c r="TFU86" s="0"/>
      <c r="TFV86" s="0"/>
      <c r="TFW86" s="0"/>
      <c r="TFX86" s="0"/>
      <c r="TFY86" s="0"/>
      <c r="TFZ86" s="0"/>
      <c r="TGA86" s="0"/>
      <c r="TGB86" s="0"/>
      <c r="TGC86" s="0"/>
      <c r="TGD86" s="0"/>
      <c r="TGE86" s="0"/>
      <c r="TGF86" s="0"/>
      <c r="TGG86" s="0"/>
      <c r="TGH86" s="0"/>
      <c r="TGI86" s="0"/>
      <c r="TGJ86" s="0"/>
      <c r="TGK86" s="0"/>
      <c r="TGL86" s="0"/>
      <c r="TGM86" s="0"/>
      <c r="TGN86" s="0"/>
      <c r="TGO86" s="0"/>
      <c r="TGP86" s="0"/>
      <c r="TGQ86" s="0"/>
      <c r="TGR86" s="0"/>
      <c r="TGS86" s="0"/>
      <c r="TGT86" s="0"/>
      <c r="TGU86" s="0"/>
      <c r="TGV86" s="0"/>
      <c r="TGW86" s="0"/>
      <c r="TGX86" s="0"/>
      <c r="TGY86" s="0"/>
      <c r="TGZ86" s="0"/>
      <c r="THA86" s="0"/>
      <c r="THB86" s="0"/>
      <c r="THC86" s="0"/>
      <c r="THD86" s="0"/>
      <c r="THE86" s="0"/>
      <c r="THF86" s="0"/>
      <c r="THG86" s="0"/>
      <c r="THH86" s="0"/>
      <c r="THI86" s="0"/>
      <c r="THJ86" s="0"/>
      <c r="THK86" s="0"/>
      <c r="THL86" s="0"/>
      <c r="THM86" s="0"/>
      <c r="THN86" s="0"/>
      <c r="THO86" s="0"/>
      <c r="THP86" s="0"/>
      <c r="THQ86" s="0"/>
      <c r="THR86" s="0"/>
      <c r="THS86" s="0"/>
      <c r="THT86" s="0"/>
      <c r="THU86" s="0"/>
      <c r="THV86" s="0"/>
      <c r="THW86" s="0"/>
      <c r="THX86" s="0"/>
      <c r="THY86" s="0"/>
      <c r="THZ86" s="0"/>
      <c r="TIA86" s="0"/>
      <c r="TIB86" s="0"/>
      <c r="TIC86" s="0"/>
      <c r="TID86" s="0"/>
      <c r="TIE86" s="0"/>
      <c r="TIF86" s="0"/>
      <c r="TIG86" s="0"/>
      <c r="TIH86" s="0"/>
      <c r="TII86" s="0"/>
      <c r="TIJ86" s="0"/>
      <c r="TIK86" s="0"/>
      <c r="TIL86" s="0"/>
      <c r="TIM86" s="0"/>
      <c r="TIN86" s="0"/>
      <c r="TIO86" s="0"/>
      <c r="TIP86" s="0"/>
      <c r="TIQ86" s="0"/>
      <c r="TIR86" s="0"/>
      <c r="TIS86" s="0"/>
      <c r="TIT86" s="0"/>
      <c r="TIU86" s="0"/>
      <c r="TIV86" s="0"/>
      <c r="TIW86" s="0"/>
      <c r="TIX86" s="0"/>
      <c r="TIY86" s="0"/>
      <c r="TIZ86" s="0"/>
      <c r="TJA86" s="0"/>
      <c r="TJB86" s="0"/>
      <c r="TJC86" s="0"/>
      <c r="TJD86" s="0"/>
      <c r="TJE86" s="0"/>
      <c r="TJF86" s="0"/>
      <c r="TJG86" s="0"/>
      <c r="TJH86" s="0"/>
      <c r="TJI86" s="0"/>
      <c r="TJJ86" s="0"/>
      <c r="TJK86" s="0"/>
      <c r="TJL86" s="0"/>
      <c r="TJM86" s="0"/>
      <c r="TJN86" s="0"/>
      <c r="TJO86" s="0"/>
      <c r="TJP86" s="0"/>
      <c r="TJQ86" s="0"/>
      <c r="TJR86" s="0"/>
      <c r="TJS86" s="0"/>
      <c r="TJT86" s="0"/>
      <c r="TJU86" s="0"/>
      <c r="TJV86" s="0"/>
      <c r="TJW86" s="0"/>
      <c r="TJX86" s="0"/>
      <c r="TJY86" s="0"/>
      <c r="TJZ86" s="0"/>
      <c r="TKA86" s="0"/>
      <c r="TKB86" s="0"/>
      <c r="TKC86" s="0"/>
      <c r="TKD86" s="0"/>
      <c r="TKE86" s="0"/>
      <c r="TKF86" s="0"/>
      <c r="TKG86" s="0"/>
      <c r="TKH86" s="0"/>
      <c r="TKI86" s="0"/>
      <c r="TKJ86" s="0"/>
      <c r="TKK86" s="0"/>
      <c r="TKL86" s="0"/>
      <c r="TKM86" s="0"/>
      <c r="TKN86" s="0"/>
      <c r="TKO86" s="0"/>
      <c r="TKP86" s="0"/>
      <c r="TKQ86" s="0"/>
      <c r="TKR86" s="0"/>
      <c r="TKS86" s="0"/>
      <c r="TKT86" s="0"/>
      <c r="TKU86" s="0"/>
      <c r="TKV86" s="0"/>
      <c r="TKW86" s="0"/>
      <c r="TKX86" s="0"/>
      <c r="TKY86" s="0"/>
      <c r="TKZ86" s="0"/>
      <c r="TLA86" s="0"/>
      <c r="TLB86" s="0"/>
      <c r="TLC86" s="0"/>
      <c r="TLD86" s="0"/>
      <c r="TLE86" s="0"/>
      <c r="TLF86" s="0"/>
      <c r="TLG86" s="0"/>
      <c r="TLH86" s="0"/>
      <c r="TLI86" s="0"/>
      <c r="TLJ86" s="0"/>
      <c r="TLK86" s="0"/>
      <c r="TLL86" s="0"/>
      <c r="TLM86" s="0"/>
      <c r="TLN86" s="0"/>
      <c r="TLO86" s="0"/>
      <c r="TLP86" s="0"/>
      <c r="TLQ86" s="0"/>
      <c r="TLR86" s="0"/>
      <c r="TLS86" s="0"/>
      <c r="TLT86" s="0"/>
      <c r="TLU86" s="0"/>
      <c r="TLV86" s="0"/>
      <c r="TLW86" s="0"/>
      <c r="TLX86" s="0"/>
      <c r="TLY86" s="0"/>
      <c r="TLZ86" s="0"/>
      <c r="TMA86" s="0"/>
      <c r="TMB86" s="0"/>
      <c r="TMC86" s="0"/>
      <c r="TMD86" s="0"/>
      <c r="TME86" s="0"/>
      <c r="TMF86" s="0"/>
      <c r="TMG86" s="0"/>
      <c r="TMH86" s="0"/>
      <c r="TMI86" s="0"/>
      <c r="TMJ86" s="0"/>
      <c r="TMK86" s="0"/>
      <c r="TML86" s="0"/>
      <c r="TMM86" s="0"/>
      <c r="TMN86" s="0"/>
      <c r="TMO86" s="0"/>
      <c r="TMP86" s="0"/>
      <c r="TMQ86" s="0"/>
      <c r="TMR86" s="0"/>
      <c r="TMS86" s="0"/>
      <c r="TMT86" s="0"/>
      <c r="TMU86" s="0"/>
      <c r="TMV86" s="0"/>
      <c r="TMW86" s="0"/>
      <c r="TMX86" s="0"/>
      <c r="TMY86" s="0"/>
      <c r="TMZ86" s="0"/>
      <c r="TNA86" s="0"/>
      <c r="TNB86" s="0"/>
      <c r="TNC86" s="0"/>
      <c r="TND86" s="0"/>
      <c r="TNE86" s="0"/>
      <c r="TNF86" s="0"/>
      <c r="TNG86" s="0"/>
      <c r="TNH86" s="0"/>
      <c r="TNI86" s="0"/>
      <c r="TNJ86" s="0"/>
      <c r="TNK86" s="0"/>
      <c r="TNL86" s="0"/>
      <c r="TNM86" s="0"/>
      <c r="TNN86" s="0"/>
      <c r="TNO86" s="0"/>
      <c r="TNP86" s="0"/>
      <c r="TNQ86" s="0"/>
      <c r="TNR86" s="0"/>
      <c r="TNS86" s="0"/>
      <c r="TNT86" s="0"/>
      <c r="TNU86" s="0"/>
      <c r="TNV86" s="0"/>
      <c r="TNW86" s="0"/>
      <c r="TNX86" s="0"/>
      <c r="TNY86" s="0"/>
      <c r="TNZ86" s="0"/>
      <c r="TOA86" s="0"/>
      <c r="TOB86" s="0"/>
      <c r="TOC86" s="0"/>
      <c r="TOD86" s="0"/>
      <c r="TOE86" s="0"/>
      <c r="TOF86" s="0"/>
      <c r="TOG86" s="0"/>
      <c r="TOH86" s="0"/>
      <c r="TOI86" s="0"/>
      <c r="TOJ86" s="0"/>
      <c r="TOK86" s="0"/>
      <c r="TOL86" s="0"/>
      <c r="TOM86" s="0"/>
      <c r="TON86" s="0"/>
      <c r="TOO86" s="0"/>
      <c r="TOP86" s="0"/>
      <c r="TOQ86" s="0"/>
      <c r="TOR86" s="0"/>
      <c r="TOS86" s="0"/>
      <c r="TOT86" s="0"/>
      <c r="TOU86" s="0"/>
      <c r="TOV86" s="0"/>
      <c r="TOW86" s="0"/>
      <c r="TOX86" s="0"/>
      <c r="TOY86" s="0"/>
      <c r="TOZ86" s="0"/>
      <c r="TPA86" s="0"/>
      <c r="TPB86" s="0"/>
      <c r="TPC86" s="0"/>
      <c r="TPD86" s="0"/>
      <c r="TPE86" s="0"/>
      <c r="TPF86" s="0"/>
      <c r="TPG86" s="0"/>
      <c r="TPH86" s="0"/>
      <c r="TPI86" s="0"/>
      <c r="TPJ86" s="0"/>
      <c r="TPK86" s="0"/>
      <c r="TPL86" s="0"/>
      <c r="TPM86" s="0"/>
      <c r="TPN86" s="0"/>
      <c r="TPO86" s="0"/>
      <c r="TPP86" s="0"/>
      <c r="TPQ86" s="0"/>
      <c r="TPR86" s="0"/>
      <c r="TPS86" s="0"/>
      <c r="TPT86" s="0"/>
      <c r="TPU86" s="0"/>
      <c r="TPV86" s="0"/>
      <c r="TPW86" s="0"/>
      <c r="TPX86" s="0"/>
      <c r="TPY86" s="0"/>
      <c r="TPZ86" s="0"/>
      <c r="TQA86" s="0"/>
      <c r="TQB86" s="0"/>
      <c r="TQC86" s="0"/>
      <c r="TQD86" s="0"/>
      <c r="TQE86" s="0"/>
      <c r="TQF86" s="0"/>
      <c r="TQG86" s="0"/>
      <c r="TQH86" s="0"/>
      <c r="TQI86" s="0"/>
      <c r="TQJ86" s="0"/>
      <c r="TQK86" s="0"/>
      <c r="TQL86" s="0"/>
      <c r="TQM86" s="0"/>
      <c r="TQN86" s="0"/>
      <c r="TQO86" s="0"/>
      <c r="TQP86" s="0"/>
      <c r="TQQ86" s="0"/>
      <c r="TQR86" s="0"/>
      <c r="TQS86" s="0"/>
      <c r="TQT86" s="0"/>
      <c r="TQU86" s="0"/>
      <c r="TQV86" s="0"/>
      <c r="TQW86" s="0"/>
      <c r="TQX86" s="0"/>
      <c r="TQY86" s="0"/>
      <c r="TQZ86" s="0"/>
      <c r="TRA86" s="0"/>
      <c r="TRB86" s="0"/>
      <c r="TRC86" s="0"/>
      <c r="TRD86" s="0"/>
      <c r="TRE86" s="0"/>
      <c r="TRF86" s="0"/>
      <c r="TRG86" s="0"/>
      <c r="TRH86" s="0"/>
      <c r="TRI86" s="0"/>
      <c r="TRJ86" s="0"/>
      <c r="TRK86" s="0"/>
      <c r="TRL86" s="0"/>
      <c r="TRM86" s="0"/>
      <c r="TRN86" s="0"/>
      <c r="TRO86" s="0"/>
      <c r="TRP86" s="0"/>
      <c r="TRQ86" s="0"/>
      <c r="TRR86" s="0"/>
      <c r="TRS86" s="0"/>
      <c r="TRT86" s="0"/>
      <c r="TRU86" s="0"/>
      <c r="TRV86" s="0"/>
      <c r="TRW86" s="0"/>
      <c r="TRX86" s="0"/>
      <c r="TRY86" s="0"/>
      <c r="TRZ86" s="0"/>
      <c r="TSA86" s="0"/>
      <c r="TSB86" s="0"/>
      <c r="TSC86" s="0"/>
      <c r="TSD86" s="0"/>
      <c r="TSE86" s="0"/>
      <c r="TSF86" s="0"/>
      <c r="TSG86" s="0"/>
      <c r="TSH86" s="0"/>
      <c r="TSI86" s="0"/>
      <c r="TSJ86" s="0"/>
      <c r="TSK86" s="0"/>
      <c r="TSL86" s="0"/>
      <c r="TSM86" s="0"/>
      <c r="TSN86" s="0"/>
      <c r="TSO86" s="0"/>
      <c r="TSP86" s="0"/>
      <c r="TSQ86" s="0"/>
      <c r="TSR86" s="0"/>
      <c r="TSS86" s="0"/>
      <c r="TST86" s="0"/>
      <c r="TSU86" s="0"/>
      <c r="TSV86" s="0"/>
      <c r="TSW86" s="0"/>
      <c r="TSX86" s="0"/>
      <c r="TSY86" s="0"/>
      <c r="TSZ86" s="0"/>
      <c r="TTA86" s="0"/>
      <c r="TTB86" s="0"/>
      <c r="TTC86" s="0"/>
      <c r="TTD86" s="0"/>
      <c r="TTE86" s="0"/>
      <c r="TTF86" s="0"/>
      <c r="TTG86" s="0"/>
      <c r="TTH86" s="0"/>
      <c r="TTI86" s="0"/>
      <c r="TTJ86" s="0"/>
      <c r="TTK86" s="0"/>
      <c r="TTL86" s="0"/>
      <c r="TTM86" s="0"/>
      <c r="TTN86" s="0"/>
      <c r="TTO86" s="0"/>
      <c r="TTP86" s="0"/>
      <c r="TTQ86" s="0"/>
      <c r="TTR86" s="0"/>
      <c r="TTS86" s="0"/>
      <c r="TTT86" s="0"/>
      <c r="TTU86" s="0"/>
      <c r="TTV86" s="0"/>
      <c r="TTW86" s="0"/>
      <c r="TTX86" s="0"/>
      <c r="TTY86" s="0"/>
      <c r="TTZ86" s="0"/>
      <c r="TUA86" s="0"/>
      <c r="TUB86" s="0"/>
      <c r="TUC86" s="0"/>
      <c r="TUD86" s="0"/>
      <c r="TUE86" s="0"/>
      <c r="TUF86" s="0"/>
      <c r="TUG86" s="0"/>
      <c r="TUH86" s="0"/>
      <c r="TUI86" s="0"/>
      <c r="TUJ86" s="0"/>
      <c r="TUK86" s="0"/>
      <c r="TUL86" s="0"/>
      <c r="TUM86" s="0"/>
      <c r="TUN86" s="0"/>
      <c r="TUO86" s="0"/>
      <c r="TUP86" s="0"/>
      <c r="TUQ86" s="0"/>
      <c r="TUR86" s="0"/>
      <c r="TUS86" s="0"/>
      <c r="TUT86" s="0"/>
      <c r="TUU86" s="0"/>
      <c r="TUV86" s="0"/>
      <c r="TUW86" s="0"/>
      <c r="TUX86" s="0"/>
      <c r="TUY86" s="0"/>
      <c r="TUZ86" s="0"/>
      <c r="TVA86" s="0"/>
      <c r="TVB86" s="0"/>
      <c r="TVC86" s="0"/>
      <c r="TVD86" s="0"/>
      <c r="TVE86" s="0"/>
      <c r="TVF86" s="0"/>
      <c r="TVG86" s="0"/>
      <c r="TVH86" s="0"/>
      <c r="TVI86" s="0"/>
      <c r="TVJ86" s="0"/>
      <c r="TVK86" s="0"/>
      <c r="TVL86" s="0"/>
      <c r="TVM86" s="0"/>
      <c r="TVN86" s="0"/>
      <c r="TVO86" s="0"/>
      <c r="TVP86" s="0"/>
      <c r="TVQ86" s="0"/>
      <c r="TVR86" s="0"/>
      <c r="TVS86" s="0"/>
      <c r="TVT86" s="0"/>
      <c r="TVU86" s="0"/>
      <c r="TVV86" s="0"/>
      <c r="TVW86" s="0"/>
      <c r="TVX86" s="0"/>
      <c r="TVY86" s="0"/>
      <c r="TVZ86" s="0"/>
      <c r="TWA86" s="0"/>
      <c r="TWB86" s="0"/>
      <c r="TWC86" s="0"/>
      <c r="TWD86" s="0"/>
      <c r="TWE86" s="0"/>
      <c r="TWF86" s="0"/>
      <c r="TWG86" s="0"/>
      <c r="TWH86" s="0"/>
      <c r="TWI86" s="0"/>
      <c r="TWJ86" s="0"/>
      <c r="TWK86" s="0"/>
      <c r="TWL86" s="0"/>
      <c r="TWM86" s="0"/>
      <c r="TWN86" s="0"/>
      <c r="TWO86" s="0"/>
      <c r="TWP86" s="0"/>
      <c r="TWQ86" s="0"/>
      <c r="TWR86" s="0"/>
      <c r="TWS86" s="0"/>
      <c r="TWT86" s="0"/>
      <c r="TWU86" s="0"/>
      <c r="TWV86" s="0"/>
      <c r="TWW86" s="0"/>
      <c r="TWX86" s="0"/>
      <c r="TWY86" s="0"/>
      <c r="TWZ86" s="0"/>
      <c r="TXA86" s="0"/>
      <c r="TXB86" s="0"/>
      <c r="TXC86" s="0"/>
      <c r="TXD86" s="0"/>
      <c r="TXE86" s="0"/>
      <c r="TXF86" s="0"/>
      <c r="TXG86" s="0"/>
      <c r="TXH86" s="0"/>
      <c r="TXI86" s="0"/>
      <c r="TXJ86" s="0"/>
      <c r="TXK86" s="0"/>
      <c r="TXL86" s="0"/>
      <c r="TXM86" s="0"/>
      <c r="TXN86" s="0"/>
      <c r="TXO86" s="0"/>
      <c r="TXP86" s="0"/>
      <c r="TXQ86" s="0"/>
      <c r="TXR86" s="0"/>
      <c r="TXS86" s="0"/>
      <c r="TXT86" s="0"/>
      <c r="TXU86" s="0"/>
      <c r="TXV86" s="0"/>
      <c r="TXW86" s="0"/>
      <c r="TXX86" s="0"/>
      <c r="TXY86" s="0"/>
      <c r="TXZ86" s="0"/>
      <c r="TYA86" s="0"/>
      <c r="TYB86" s="0"/>
      <c r="TYC86" s="0"/>
      <c r="TYD86" s="0"/>
      <c r="TYE86" s="0"/>
      <c r="TYF86" s="0"/>
      <c r="TYG86" s="0"/>
      <c r="TYH86" s="0"/>
      <c r="TYI86" s="0"/>
      <c r="TYJ86" s="0"/>
      <c r="TYK86" s="0"/>
      <c r="TYL86" s="0"/>
      <c r="TYM86" s="0"/>
      <c r="TYN86" s="0"/>
      <c r="TYO86" s="0"/>
      <c r="TYP86" s="0"/>
      <c r="TYQ86" s="0"/>
      <c r="TYR86" s="0"/>
      <c r="TYS86" s="0"/>
      <c r="TYT86" s="0"/>
      <c r="TYU86" s="0"/>
      <c r="TYV86" s="0"/>
      <c r="TYW86" s="0"/>
      <c r="TYX86" s="0"/>
      <c r="TYY86" s="0"/>
      <c r="TYZ86" s="0"/>
      <c r="TZA86" s="0"/>
      <c r="TZB86" s="0"/>
      <c r="TZC86" s="0"/>
      <c r="TZD86" s="0"/>
      <c r="TZE86" s="0"/>
      <c r="TZF86" s="0"/>
      <c r="TZG86" s="0"/>
      <c r="TZH86" s="0"/>
      <c r="TZI86" s="0"/>
      <c r="TZJ86" s="0"/>
      <c r="TZK86" s="0"/>
      <c r="TZL86" s="0"/>
      <c r="TZM86" s="0"/>
      <c r="TZN86" s="0"/>
      <c r="TZO86" s="0"/>
      <c r="TZP86" s="0"/>
      <c r="TZQ86" s="0"/>
      <c r="TZR86" s="0"/>
      <c r="TZS86" s="0"/>
      <c r="TZT86" s="0"/>
      <c r="TZU86" s="0"/>
      <c r="TZV86" s="0"/>
      <c r="TZW86" s="0"/>
      <c r="TZX86" s="0"/>
      <c r="TZY86" s="0"/>
      <c r="TZZ86" s="0"/>
      <c r="UAA86" s="0"/>
      <c r="UAB86" s="0"/>
      <c r="UAC86" s="0"/>
      <c r="UAD86" s="0"/>
      <c r="UAE86" s="0"/>
      <c r="UAF86" s="0"/>
      <c r="UAG86" s="0"/>
      <c r="UAH86" s="0"/>
      <c r="UAI86" s="0"/>
      <c r="UAJ86" s="0"/>
      <c r="UAK86" s="0"/>
      <c r="UAL86" s="0"/>
      <c r="UAM86" s="0"/>
      <c r="UAN86" s="0"/>
      <c r="UAO86" s="0"/>
      <c r="UAP86" s="0"/>
      <c r="UAQ86" s="0"/>
      <c r="UAR86" s="0"/>
      <c r="UAS86" s="0"/>
      <c r="UAT86" s="0"/>
      <c r="UAU86" s="0"/>
      <c r="UAV86" s="0"/>
      <c r="UAW86" s="0"/>
      <c r="UAX86" s="0"/>
      <c r="UAY86" s="0"/>
      <c r="UAZ86" s="0"/>
      <c r="UBA86" s="0"/>
      <c r="UBB86" s="0"/>
      <c r="UBC86" s="0"/>
      <c r="UBD86" s="0"/>
      <c r="UBE86" s="0"/>
      <c r="UBF86" s="0"/>
      <c r="UBG86" s="0"/>
      <c r="UBH86" s="0"/>
      <c r="UBI86" s="0"/>
      <c r="UBJ86" s="0"/>
      <c r="UBK86" s="0"/>
      <c r="UBL86" s="0"/>
      <c r="UBM86" s="0"/>
      <c r="UBN86" s="0"/>
      <c r="UBO86" s="0"/>
      <c r="UBP86" s="0"/>
      <c r="UBQ86" s="0"/>
      <c r="UBR86" s="0"/>
      <c r="UBS86" s="0"/>
      <c r="UBT86" s="0"/>
      <c r="UBU86" s="0"/>
      <c r="UBV86" s="0"/>
      <c r="UBW86" s="0"/>
      <c r="UBX86" s="0"/>
      <c r="UBY86" s="0"/>
      <c r="UBZ86" s="0"/>
      <c r="UCA86" s="0"/>
      <c r="UCB86" s="0"/>
      <c r="UCC86" s="0"/>
      <c r="UCD86" s="0"/>
      <c r="UCE86" s="0"/>
      <c r="UCF86" s="0"/>
      <c r="UCG86" s="0"/>
      <c r="UCH86" s="0"/>
      <c r="UCI86" s="0"/>
      <c r="UCJ86" s="0"/>
      <c r="UCK86" s="0"/>
      <c r="UCL86" s="0"/>
      <c r="UCM86" s="0"/>
      <c r="UCN86" s="0"/>
      <c r="UCO86" s="0"/>
      <c r="UCP86" s="0"/>
      <c r="UCQ86" s="0"/>
      <c r="UCR86" s="0"/>
      <c r="UCS86" s="0"/>
      <c r="UCT86" s="0"/>
      <c r="UCU86" s="0"/>
      <c r="UCV86" s="0"/>
      <c r="UCW86" s="0"/>
      <c r="UCX86" s="0"/>
      <c r="UCY86" s="0"/>
      <c r="UCZ86" s="0"/>
      <c r="UDA86" s="0"/>
      <c r="UDB86" s="0"/>
      <c r="UDC86" s="0"/>
      <c r="UDD86" s="0"/>
      <c r="UDE86" s="0"/>
      <c r="UDF86" s="0"/>
      <c r="UDG86" s="0"/>
      <c r="UDH86" s="0"/>
      <c r="UDI86" s="0"/>
      <c r="UDJ86" s="0"/>
      <c r="UDK86" s="0"/>
      <c r="UDL86" s="0"/>
      <c r="UDM86" s="0"/>
      <c r="UDN86" s="0"/>
      <c r="UDO86" s="0"/>
      <c r="UDP86" s="0"/>
      <c r="UDQ86" s="0"/>
      <c r="UDR86" s="0"/>
      <c r="UDS86" s="0"/>
      <c r="UDT86" s="0"/>
      <c r="UDU86" s="0"/>
      <c r="UDV86" s="0"/>
      <c r="UDW86" s="0"/>
      <c r="UDX86" s="0"/>
      <c r="UDY86" s="0"/>
      <c r="UDZ86" s="0"/>
      <c r="UEA86" s="0"/>
      <c r="UEB86" s="0"/>
      <c r="UEC86" s="0"/>
      <c r="UED86" s="0"/>
      <c r="UEE86" s="0"/>
      <c r="UEF86" s="0"/>
      <c r="UEG86" s="0"/>
      <c r="UEH86" s="0"/>
      <c r="UEI86" s="0"/>
      <c r="UEJ86" s="0"/>
      <c r="UEK86" s="0"/>
      <c r="UEL86" s="0"/>
      <c r="UEM86" s="0"/>
      <c r="UEN86" s="0"/>
      <c r="UEO86" s="0"/>
      <c r="UEP86" s="0"/>
      <c r="UEQ86" s="0"/>
      <c r="UER86" s="0"/>
      <c r="UES86" s="0"/>
      <c r="UET86" s="0"/>
      <c r="UEU86" s="0"/>
      <c r="UEV86" s="0"/>
      <c r="UEW86" s="0"/>
      <c r="UEX86" s="0"/>
      <c r="UEY86" s="0"/>
      <c r="UEZ86" s="0"/>
      <c r="UFA86" s="0"/>
      <c r="UFB86" s="0"/>
      <c r="UFC86" s="0"/>
      <c r="UFD86" s="0"/>
      <c r="UFE86" s="0"/>
      <c r="UFF86" s="0"/>
      <c r="UFG86" s="0"/>
      <c r="UFH86" s="0"/>
      <c r="UFI86" s="0"/>
      <c r="UFJ86" s="0"/>
      <c r="UFK86" s="0"/>
      <c r="UFL86" s="0"/>
      <c r="UFM86" s="0"/>
      <c r="UFN86" s="0"/>
      <c r="UFO86" s="0"/>
      <c r="UFP86" s="0"/>
      <c r="UFQ86" s="0"/>
      <c r="UFR86" s="0"/>
      <c r="UFS86" s="0"/>
      <c r="UFT86" s="0"/>
      <c r="UFU86" s="0"/>
      <c r="UFV86" s="0"/>
      <c r="UFW86" s="0"/>
      <c r="UFX86" s="0"/>
      <c r="UFY86" s="0"/>
      <c r="UFZ86" s="0"/>
      <c r="UGA86" s="0"/>
      <c r="UGB86" s="0"/>
      <c r="UGC86" s="0"/>
      <c r="UGD86" s="0"/>
      <c r="UGE86" s="0"/>
      <c r="UGF86" s="0"/>
      <c r="UGG86" s="0"/>
      <c r="UGH86" s="0"/>
      <c r="UGI86" s="0"/>
      <c r="UGJ86" s="0"/>
      <c r="UGK86" s="0"/>
      <c r="UGL86" s="0"/>
      <c r="UGM86" s="0"/>
      <c r="UGN86" s="0"/>
      <c r="UGO86" s="0"/>
      <c r="UGP86" s="0"/>
      <c r="UGQ86" s="0"/>
      <c r="UGR86" s="0"/>
      <c r="UGS86" s="0"/>
      <c r="UGT86" s="0"/>
      <c r="UGU86" s="0"/>
      <c r="UGV86" s="0"/>
      <c r="UGW86" s="0"/>
      <c r="UGX86" s="0"/>
      <c r="UGY86" s="0"/>
      <c r="UGZ86" s="0"/>
      <c r="UHA86" s="0"/>
      <c r="UHB86" s="0"/>
      <c r="UHC86" s="0"/>
      <c r="UHD86" s="0"/>
      <c r="UHE86" s="0"/>
      <c r="UHF86" s="0"/>
      <c r="UHG86" s="0"/>
      <c r="UHH86" s="0"/>
      <c r="UHI86" s="0"/>
      <c r="UHJ86" s="0"/>
      <c r="UHK86" s="0"/>
      <c r="UHL86" s="0"/>
      <c r="UHM86" s="0"/>
      <c r="UHN86" s="0"/>
      <c r="UHO86" s="0"/>
      <c r="UHP86" s="0"/>
      <c r="UHQ86" s="0"/>
      <c r="UHR86" s="0"/>
      <c r="UHS86" s="0"/>
      <c r="UHT86" s="0"/>
      <c r="UHU86" s="0"/>
      <c r="UHV86" s="0"/>
      <c r="UHW86" s="0"/>
      <c r="UHX86" s="0"/>
      <c r="UHY86" s="0"/>
      <c r="UHZ86" s="0"/>
      <c r="UIA86" s="0"/>
      <c r="UIB86" s="0"/>
      <c r="UIC86" s="0"/>
      <c r="UID86" s="0"/>
      <c r="UIE86" s="0"/>
      <c r="UIF86" s="0"/>
      <c r="UIG86" s="0"/>
      <c r="UIH86" s="0"/>
      <c r="UII86" s="0"/>
      <c r="UIJ86" s="0"/>
      <c r="UIK86" s="0"/>
      <c r="UIL86" s="0"/>
      <c r="UIM86" s="0"/>
      <c r="UIN86" s="0"/>
      <c r="UIO86" s="0"/>
      <c r="UIP86" s="0"/>
      <c r="UIQ86" s="0"/>
      <c r="UIR86" s="0"/>
      <c r="UIS86" s="0"/>
      <c r="UIT86" s="0"/>
      <c r="UIU86" s="0"/>
      <c r="UIV86" s="0"/>
      <c r="UIW86" s="0"/>
      <c r="UIX86" s="0"/>
      <c r="UIY86" s="0"/>
      <c r="UIZ86" s="0"/>
      <c r="UJA86" s="0"/>
      <c r="UJB86" s="0"/>
      <c r="UJC86" s="0"/>
      <c r="UJD86" s="0"/>
      <c r="UJE86" s="0"/>
      <c r="UJF86" s="0"/>
      <c r="UJG86" s="0"/>
      <c r="UJH86" s="0"/>
      <c r="UJI86" s="0"/>
      <c r="UJJ86" s="0"/>
      <c r="UJK86" s="0"/>
      <c r="UJL86" s="0"/>
      <c r="UJM86" s="0"/>
      <c r="UJN86" s="0"/>
      <c r="UJO86" s="0"/>
      <c r="UJP86" s="0"/>
      <c r="UJQ86" s="0"/>
      <c r="UJR86" s="0"/>
      <c r="UJS86" s="0"/>
      <c r="UJT86" s="0"/>
      <c r="UJU86" s="0"/>
      <c r="UJV86" s="0"/>
      <c r="UJW86" s="0"/>
      <c r="UJX86" s="0"/>
      <c r="UJY86" s="0"/>
      <c r="UJZ86" s="0"/>
      <c r="UKA86" s="0"/>
      <c r="UKB86" s="0"/>
      <c r="UKC86" s="0"/>
      <c r="UKD86" s="0"/>
      <c r="UKE86" s="0"/>
      <c r="UKF86" s="0"/>
      <c r="UKG86" s="0"/>
      <c r="UKH86" s="0"/>
      <c r="UKI86" s="0"/>
      <c r="UKJ86" s="0"/>
      <c r="UKK86" s="0"/>
      <c r="UKL86" s="0"/>
      <c r="UKM86" s="0"/>
      <c r="UKN86" s="0"/>
      <c r="UKO86" s="0"/>
      <c r="UKP86" s="0"/>
      <c r="UKQ86" s="0"/>
      <c r="UKR86" s="0"/>
      <c r="UKS86" s="0"/>
      <c r="UKT86" s="0"/>
      <c r="UKU86" s="0"/>
      <c r="UKV86" s="0"/>
      <c r="UKW86" s="0"/>
      <c r="UKX86" s="0"/>
      <c r="UKY86" s="0"/>
      <c r="UKZ86" s="0"/>
      <c r="ULA86" s="0"/>
      <c r="ULB86" s="0"/>
      <c r="ULC86" s="0"/>
      <c r="ULD86" s="0"/>
      <c r="ULE86" s="0"/>
      <c r="ULF86" s="0"/>
      <c r="ULG86" s="0"/>
      <c r="ULH86" s="0"/>
      <c r="ULI86" s="0"/>
      <c r="ULJ86" s="0"/>
      <c r="ULK86" s="0"/>
      <c r="ULL86" s="0"/>
      <c r="ULM86" s="0"/>
      <c r="ULN86" s="0"/>
      <c r="ULO86" s="0"/>
      <c r="ULP86" s="0"/>
      <c r="ULQ86" s="0"/>
      <c r="ULR86" s="0"/>
      <c r="ULS86" s="0"/>
      <c r="ULT86" s="0"/>
      <c r="ULU86" s="0"/>
      <c r="ULV86" s="0"/>
      <c r="ULW86" s="0"/>
      <c r="ULX86" s="0"/>
      <c r="ULY86" s="0"/>
      <c r="ULZ86" s="0"/>
      <c r="UMA86" s="0"/>
      <c r="UMB86" s="0"/>
      <c r="UMC86" s="0"/>
      <c r="UMD86" s="0"/>
      <c r="UME86" s="0"/>
      <c r="UMF86" s="0"/>
      <c r="UMG86" s="0"/>
      <c r="UMH86" s="0"/>
      <c r="UMI86" s="0"/>
      <c r="UMJ86" s="0"/>
      <c r="UMK86" s="0"/>
      <c r="UML86" s="0"/>
      <c r="UMM86" s="0"/>
      <c r="UMN86" s="0"/>
      <c r="UMO86" s="0"/>
      <c r="UMP86" s="0"/>
      <c r="UMQ86" s="0"/>
      <c r="UMR86" s="0"/>
      <c r="UMS86" s="0"/>
      <c r="UMT86" s="0"/>
      <c r="UMU86" s="0"/>
      <c r="UMV86" s="0"/>
      <c r="UMW86" s="0"/>
      <c r="UMX86" s="0"/>
      <c r="UMY86" s="0"/>
      <c r="UMZ86" s="0"/>
      <c r="UNA86" s="0"/>
      <c r="UNB86" s="0"/>
      <c r="UNC86" s="0"/>
      <c r="UND86" s="0"/>
      <c r="UNE86" s="0"/>
      <c r="UNF86" s="0"/>
      <c r="UNG86" s="0"/>
      <c r="UNH86" s="0"/>
      <c r="UNI86" s="0"/>
      <c r="UNJ86" s="0"/>
      <c r="UNK86" s="0"/>
      <c r="UNL86" s="0"/>
      <c r="UNM86" s="0"/>
      <c r="UNN86" s="0"/>
      <c r="UNO86" s="0"/>
      <c r="UNP86" s="0"/>
      <c r="UNQ86" s="0"/>
      <c r="UNR86" s="0"/>
      <c r="UNS86" s="0"/>
      <c r="UNT86" s="0"/>
      <c r="UNU86" s="0"/>
      <c r="UNV86" s="0"/>
      <c r="UNW86" s="0"/>
      <c r="UNX86" s="0"/>
      <c r="UNY86" s="0"/>
      <c r="UNZ86" s="0"/>
      <c r="UOA86" s="0"/>
      <c r="UOB86" s="0"/>
      <c r="UOC86" s="0"/>
      <c r="UOD86" s="0"/>
      <c r="UOE86" s="0"/>
      <c r="UOF86" s="0"/>
      <c r="UOG86" s="0"/>
      <c r="UOH86" s="0"/>
      <c r="UOI86" s="0"/>
      <c r="UOJ86" s="0"/>
      <c r="UOK86" s="0"/>
      <c r="UOL86" s="0"/>
      <c r="UOM86" s="0"/>
      <c r="UON86" s="0"/>
      <c r="UOO86" s="0"/>
      <c r="UOP86" s="0"/>
      <c r="UOQ86" s="0"/>
      <c r="UOR86" s="0"/>
      <c r="UOS86" s="0"/>
      <c r="UOT86" s="0"/>
      <c r="UOU86" s="0"/>
      <c r="UOV86" s="0"/>
      <c r="UOW86" s="0"/>
      <c r="UOX86" s="0"/>
      <c r="UOY86" s="0"/>
      <c r="UOZ86" s="0"/>
      <c r="UPA86" s="0"/>
      <c r="UPB86" s="0"/>
      <c r="UPC86" s="0"/>
      <c r="UPD86" s="0"/>
      <c r="UPE86" s="0"/>
      <c r="UPF86" s="0"/>
      <c r="UPG86" s="0"/>
      <c r="UPH86" s="0"/>
      <c r="UPI86" s="0"/>
      <c r="UPJ86" s="0"/>
      <c r="UPK86" s="0"/>
      <c r="UPL86" s="0"/>
      <c r="UPM86" s="0"/>
      <c r="UPN86" s="0"/>
      <c r="UPO86" s="0"/>
      <c r="UPP86" s="0"/>
      <c r="UPQ86" s="0"/>
      <c r="UPR86" s="0"/>
      <c r="UPS86" s="0"/>
      <c r="UPT86" s="0"/>
      <c r="UPU86" s="0"/>
      <c r="UPV86" s="0"/>
      <c r="UPW86" s="0"/>
      <c r="UPX86" s="0"/>
      <c r="UPY86" s="0"/>
      <c r="UPZ86" s="0"/>
      <c r="UQA86" s="0"/>
      <c r="UQB86" s="0"/>
      <c r="UQC86" s="0"/>
      <c r="UQD86" s="0"/>
      <c r="UQE86" s="0"/>
      <c r="UQF86" s="0"/>
      <c r="UQG86" s="0"/>
      <c r="UQH86" s="0"/>
      <c r="UQI86" s="0"/>
      <c r="UQJ86" s="0"/>
      <c r="UQK86" s="0"/>
      <c r="UQL86" s="0"/>
      <c r="UQM86" s="0"/>
      <c r="UQN86" s="0"/>
      <c r="UQO86" s="0"/>
      <c r="UQP86" s="0"/>
      <c r="UQQ86" s="0"/>
      <c r="UQR86" s="0"/>
      <c r="UQS86" s="0"/>
      <c r="UQT86" s="0"/>
      <c r="UQU86" s="0"/>
      <c r="UQV86" s="0"/>
      <c r="UQW86" s="0"/>
      <c r="UQX86" s="0"/>
      <c r="UQY86" s="0"/>
      <c r="UQZ86" s="0"/>
      <c r="URA86" s="0"/>
      <c r="URB86" s="0"/>
      <c r="URC86" s="0"/>
      <c r="URD86" s="0"/>
      <c r="URE86" s="0"/>
      <c r="URF86" s="0"/>
      <c r="URG86" s="0"/>
      <c r="URH86" s="0"/>
      <c r="URI86" s="0"/>
      <c r="URJ86" s="0"/>
      <c r="URK86" s="0"/>
      <c r="URL86" s="0"/>
      <c r="URM86" s="0"/>
      <c r="URN86" s="0"/>
      <c r="URO86" s="0"/>
      <c r="URP86" s="0"/>
      <c r="URQ86" s="0"/>
      <c r="URR86" s="0"/>
      <c r="URS86" s="0"/>
      <c r="URT86" s="0"/>
      <c r="URU86" s="0"/>
      <c r="URV86" s="0"/>
      <c r="URW86" s="0"/>
      <c r="URX86" s="0"/>
      <c r="URY86" s="0"/>
      <c r="URZ86" s="0"/>
      <c r="USA86" s="0"/>
      <c r="USB86" s="0"/>
      <c r="USC86" s="0"/>
      <c r="USD86" s="0"/>
      <c r="USE86" s="0"/>
      <c r="USF86" s="0"/>
      <c r="USG86" s="0"/>
      <c r="USH86" s="0"/>
      <c r="USI86" s="0"/>
      <c r="USJ86" s="0"/>
      <c r="USK86" s="0"/>
      <c r="USL86" s="0"/>
      <c r="USM86" s="0"/>
      <c r="USN86" s="0"/>
      <c r="USO86" s="0"/>
      <c r="USP86" s="0"/>
      <c r="USQ86" s="0"/>
      <c r="USR86" s="0"/>
      <c r="USS86" s="0"/>
      <c r="UST86" s="0"/>
      <c r="USU86" s="0"/>
      <c r="USV86" s="0"/>
      <c r="USW86" s="0"/>
      <c r="USX86" s="0"/>
      <c r="USY86" s="0"/>
      <c r="USZ86" s="0"/>
      <c r="UTA86" s="0"/>
      <c r="UTB86" s="0"/>
      <c r="UTC86" s="0"/>
      <c r="UTD86" s="0"/>
      <c r="UTE86" s="0"/>
      <c r="UTF86" s="0"/>
      <c r="UTG86" s="0"/>
      <c r="UTH86" s="0"/>
      <c r="UTI86" s="0"/>
      <c r="UTJ86" s="0"/>
      <c r="UTK86" s="0"/>
      <c r="UTL86" s="0"/>
      <c r="UTM86" s="0"/>
      <c r="UTN86" s="0"/>
      <c r="UTO86" s="0"/>
      <c r="UTP86" s="0"/>
      <c r="UTQ86" s="0"/>
      <c r="UTR86" s="0"/>
      <c r="UTS86" s="0"/>
      <c r="UTT86" s="0"/>
      <c r="UTU86" s="0"/>
      <c r="UTV86" s="0"/>
      <c r="UTW86" s="0"/>
      <c r="UTX86" s="0"/>
      <c r="UTY86" s="0"/>
      <c r="UTZ86" s="0"/>
      <c r="UUA86" s="0"/>
      <c r="UUB86" s="0"/>
      <c r="UUC86" s="0"/>
      <c r="UUD86" s="0"/>
      <c r="UUE86" s="0"/>
      <c r="UUF86" s="0"/>
      <c r="UUG86" s="0"/>
      <c r="UUH86" s="0"/>
      <c r="UUI86" s="0"/>
      <c r="UUJ86" s="0"/>
      <c r="UUK86" s="0"/>
      <c r="UUL86" s="0"/>
      <c r="UUM86" s="0"/>
      <c r="UUN86" s="0"/>
      <c r="UUO86" s="0"/>
      <c r="UUP86" s="0"/>
      <c r="UUQ86" s="0"/>
      <c r="UUR86" s="0"/>
      <c r="UUS86" s="0"/>
      <c r="UUT86" s="0"/>
      <c r="UUU86" s="0"/>
      <c r="UUV86" s="0"/>
      <c r="UUW86" s="0"/>
      <c r="UUX86" s="0"/>
      <c r="UUY86" s="0"/>
      <c r="UUZ86" s="0"/>
      <c r="UVA86" s="0"/>
      <c r="UVB86" s="0"/>
      <c r="UVC86" s="0"/>
      <c r="UVD86" s="0"/>
      <c r="UVE86" s="0"/>
      <c r="UVF86" s="0"/>
      <c r="UVG86" s="0"/>
      <c r="UVH86" s="0"/>
      <c r="UVI86" s="0"/>
      <c r="UVJ86" s="0"/>
      <c r="UVK86" s="0"/>
      <c r="UVL86" s="0"/>
      <c r="UVM86" s="0"/>
      <c r="UVN86" s="0"/>
      <c r="UVO86" s="0"/>
      <c r="UVP86" s="0"/>
      <c r="UVQ86" s="0"/>
      <c r="UVR86" s="0"/>
      <c r="UVS86" s="0"/>
      <c r="UVT86" s="0"/>
      <c r="UVU86" s="0"/>
      <c r="UVV86" s="0"/>
      <c r="UVW86" s="0"/>
      <c r="UVX86" s="0"/>
      <c r="UVY86" s="0"/>
      <c r="UVZ86" s="0"/>
      <c r="UWA86" s="0"/>
      <c r="UWB86" s="0"/>
      <c r="UWC86" s="0"/>
      <c r="UWD86" s="0"/>
      <c r="UWE86" s="0"/>
      <c r="UWF86" s="0"/>
      <c r="UWG86" s="0"/>
      <c r="UWH86" s="0"/>
      <c r="UWI86" s="0"/>
      <c r="UWJ86" s="0"/>
      <c r="UWK86" s="0"/>
      <c r="UWL86" s="0"/>
      <c r="UWM86" s="0"/>
      <c r="UWN86" s="0"/>
      <c r="UWO86" s="0"/>
      <c r="UWP86" s="0"/>
      <c r="UWQ86" s="0"/>
      <c r="UWR86" s="0"/>
      <c r="UWS86" s="0"/>
      <c r="UWT86" s="0"/>
      <c r="UWU86" s="0"/>
      <c r="UWV86" s="0"/>
      <c r="UWW86" s="0"/>
      <c r="UWX86" s="0"/>
      <c r="UWY86" s="0"/>
      <c r="UWZ86" s="0"/>
      <c r="UXA86" s="0"/>
      <c r="UXB86" s="0"/>
      <c r="UXC86" s="0"/>
      <c r="UXD86" s="0"/>
      <c r="UXE86" s="0"/>
      <c r="UXF86" s="0"/>
      <c r="UXG86" s="0"/>
      <c r="UXH86" s="0"/>
      <c r="UXI86" s="0"/>
      <c r="UXJ86" s="0"/>
      <c r="UXK86" s="0"/>
      <c r="UXL86" s="0"/>
      <c r="UXM86" s="0"/>
      <c r="UXN86" s="0"/>
      <c r="UXO86" s="0"/>
      <c r="UXP86" s="0"/>
      <c r="UXQ86" s="0"/>
      <c r="UXR86" s="0"/>
      <c r="UXS86" s="0"/>
      <c r="UXT86" s="0"/>
      <c r="UXU86" s="0"/>
      <c r="UXV86" s="0"/>
      <c r="UXW86" s="0"/>
      <c r="UXX86" s="0"/>
      <c r="UXY86" s="0"/>
      <c r="UXZ86" s="0"/>
      <c r="UYA86" s="0"/>
      <c r="UYB86" s="0"/>
      <c r="UYC86" s="0"/>
      <c r="UYD86" s="0"/>
      <c r="UYE86" s="0"/>
      <c r="UYF86" s="0"/>
      <c r="UYG86" s="0"/>
      <c r="UYH86" s="0"/>
      <c r="UYI86" s="0"/>
      <c r="UYJ86" s="0"/>
      <c r="UYK86" s="0"/>
      <c r="UYL86" s="0"/>
      <c r="UYM86" s="0"/>
      <c r="UYN86" s="0"/>
      <c r="UYO86" s="0"/>
      <c r="UYP86" s="0"/>
      <c r="UYQ86" s="0"/>
      <c r="UYR86" s="0"/>
      <c r="UYS86" s="0"/>
      <c r="UYT86" s="0"/>
      <c r="UYU86" s="0"/>
      <c r="UYV86" s="0"/>
      <c r="UYW86" s="0"/>
      <c r="UYX86" s="0"/>
      <c r="UYY86" s="0"/>
      <c r="UYZ86" s="0"/>
      <c r="UZA86" s="0"/>
      <c r="UZB86" s="0"/>
      <c r="UZC86" s="0"/>
      <c r="UZD86" s="0"/>
      <c r="UZE86" s="0"/>
      <c r="UZF86" s="0"/>
      <c r="UZG86" s="0"/>
      <c r="UZH86" s="0"/>
      <c r="UZI86" s="0"/>
      <c r="UZJ86" s="0"/>
      <c r="UZK86" s="0"/>
      <c r="UZL86" s="0"/>
      <c r="UZM86" s="0"/>
      <c r="UZN86" s="0"/>
      <c r="UZO86" s="0"/>
      <c r="UZP86" s="0"/>
      <c r="UZQ86" s="0"/>
      <c r="UZR86" s="0"/>
      <c r="UZS86" s="0"/>
      <c r="UZT86" s="0"/>
      <c r="UZU86" s="0"/>
      <c r="UZV86" s="0"/>
      <c r="UZW86" s="0"/>
      <c r="UZX86" s="0"/>
      <c r="UZY86" s="0"/>
      <c r="UZZ86" s="0"/>
      <c r="VAA86" s="0"/>
      <c r="VAB86" s="0"/>
      <c r="VAC86" s="0"/>
      <c r="VAD86" s="0"/>
      <c r="VAE86" s="0"/>
      <c r="VAF86" s="0"/>
      <c r="VAG86" s="0"/>
      <c r="VAH86" s="0"/>
      <c r="VAI86" s="0"/>
      <c r="VAJ86" s="0"/>
      <c r="VAK86" s="0"/>
      <c r="VAL86" s="0"/>
      <c r="VAM86" s="0"/>
      <c r="VAN86" s="0"/>
      <c r="VAO86" s="0"/>
      <c r="VAP86" s="0"/>
      <c r="VAQ86" s="0"/>
      <c r="VAR86" s="0"/>
      <c r="VAS86" s="0"/>
      <c r="VAT86" s="0"/>
      <c r="VAU86" s="0"/>
      <c r="VAV86" s="0"/>
      <c r="VAW86" s="0"/>
      <c r="VAX86" s="0"/>
      <c r="VAY86" s="0"/>
      <c r="VAZ86" s="0"/>
      <c r="VBA86" s="0"/>
      <c r="VBB86" s="0"/>
      <c r="VBC86" s="0"/>
      <c r="VBD86" s="0"/>
      <c r="VBE86" s="0"/>
      <c r="VBF86" s="0"/>
      <c r="VBG86" s="0"/>
      <c r="VBH86" s="0"/>
      <c r="VBI86" s="0"/>
      <c r="VBJ86" s="0"/>
      <c r="VBK86" s="0"/>
      <c r="VBL86" s="0"/>
      <c r="VBM86" s="0"/>
      <c r="VBN86" s="0"/>
      <c r="VBO86" s="0"/>
      <c r="VBP86" s="0"/>
      <c r="VBQ86" s="0"/>
      <c r="VBR86" s="0"/>
      <c r="VBS86" s="0"/>
      <c r="VBT86" s="0"/>
      <c r="VBU86" s="0"/>
      <c r="VBV86" s="0"/>
      <c r="VBW86" s="0"/>
      <c r="VBX86" s="0"/>
      <c r="VBY86" s="0"/>
      <c r="VBZ86" s="0"/>
      <c r="VCA86" s="0"/>
      <c r="VCB86" s="0"/>
      <c r="VCC86" s="0"/>
      <c r="VCD86" s="0"/>
      <c r="VCE86" s="0"/>
      <c r="VCF86" s="0"/>
      <c r="VCG86" s="0"/>
      <c r="VCH86" s="0"/>
      <c r="VCI86" s="0"/>
      <c r="VCJ86" s="0"/>
      <c r="VCK86" s="0"/>
      <c r="VCL86" s="0"/>
      <c r="VCM86" s="0"/>
      <c r="VCN86" s="0"/>
      <c r="VCO86" s="0"/>
      <c r="VCP86" s="0"/>
      <c r="VCQ86" s="0"/>
      <c r="VCR86" s="0"/>
      <c r="VCS86" s="0"/>
      <c r="VCT86" s="0"/>
      <c r="VCU86" s="0"/>
      <c r="VCV86" s="0"/>
      <c r="VCW86" s="0"/>
      <c r="VCX86" s="0"/>
      <c r="VCY86" s="0"/>
      <c r="VCZ86" s="0"/>
      <c r="VDA86" s="0"/>
      <c r="VDB86" s="0"/>
      <c r="VDC86" s="0"/>
      <c r="VDD86" s="0"/>
      <c r="VDE86" s="0"/>
      <c r="VDF86" s="0"/>
      <c r="VDG86" s="0"/>
      <c r="VDH86" s="0"/>
      <c r="VDI86" s="0"/>
      <c r="VDJ86" s="0"/>
      <c r="VDK86" s="0"/>
      <c r="VDL86" s="0"/>
      <c r="VDM86" s="0"/>
      <c r="VDN86" s="0"/>
      <c r="VDO86" s="0"/>
      <c r="VDP86" s="0"/>
      <c r="VDQ86" s="0"/>
      <c r="VDR86" s="0"/>
      <c r="VDS86" s="0"/>
      <c r="VDT86" s="0"/>
      <c r="VDU86" s="0"/>
      <c r="VDV86" s="0"/>
      <c r="VDW86" s="0"/>
      <c r="VDX86" s="0"/>
      <c r="VDY86" s="0"/>
      <c r="VDZ86" s="0"/>
      <c r="VEA86" s="0"/>
      <c r="VEB86" s="0"/>
      <c r="VEC86" s="0"/>
      <c r="VED86" s="0"/>
      <c r="VEE86" s="0"/>
      <c r="VEF86" s="0"/>
      <c r="VEG86" s="0"/>
      <c r="VEH86" s="0"/>
      <c r="VEI86" s="0"/>
      <c r="VEJ86" s="0"/>
      <c r="VEK86" s="0"/>
      <c r="VEL86" s="0"/>
      <c r="VEM86" s="0"/>
      <c r="VEN86" s="0"/>
      <c r="VEO86" s="0"/>
      <c r="VEP86" s="0"/>
      <c r="VEQ86" s="0"/>
      <c r="VER86" s="0"/>
      <c r="VES86" s="0"/>
      <c r="VET86" s="0"/>
      <c r="VEU86" s="0"/>
      <c r="VEV86" s="0"/>
      <c r="VEW86" s="0"/>
      <c r="VEX86" s="0"/>
      <c r="VEY86" s="0"/>
      <c r="VEZ86" s="0"/>
      <c r="VFA86" s="0"/>
      <c r="VFB86" s="0"/>
      <c r="VFC86" s="0"/>
      <c r="VFD86" s="0"/>
      <c r="VFE86" s="0"/>
      <c r="VFF86" s="0"/>
      <c r="VFG86" s="0"/>
      <c r="VFH86" s="0"/>
      <c r="VFI86" s="0"/>
      <c r="VFJ86" s="0"/>
      <c r="VFK86" s="0"/>
      <c r="VFL86" s="0"/>
      <c r="VFM86" s="0"/>
      <c r="VFN86" s="0"/>
      <c r="VFO86" s="0"/>
      <c r="VFP86" s="0"/>
      <c r="VFQ86" s="0"/>
      <c r="VFR86" s="0"/>
      <c r="VFS86" s="0"/>
      <c r="VFT86" s="0"/>
      <c r="VFU86" s="0"/>
      <c r="VFV86" s="0"/>
      <c r="VFW86" s="0"/>
      <c r="VFX86" s="0"/>
      <c r="VFY86" s="0"/>
      <c r="VFZ86" s="0"/>
      <c r="VGA86" s="0"/>
      <c r="VGB86" s="0"/>
      <c r="VGC86" s="0"/>
      <c r="VGD86" s="0"/>
      <c r="VGE86" s="0"/>
      <c r="VGF86" s="0"/>
      <c r="VGG86" s="0"/>
      <c r="VGH86" s="0"/>
      <c r="VGI86" s="0"/>
      <c r="VGJ86" s="0"/>
      <c r="VGK86" s="0"/>
      <c r="VGL86" s="0"/>
      <c r="VGM86" s="0"/>
      <c r="VGN86" s="0"/>
      <c r="VGO86" s="0"/>
      <c r="VGP86" s="0"/>
      <c r="VGQ86" s="0"/>
      <c r="VGR86" s="0"/>
      <c r="VGS86" s="0"/>
      <c r="VGT86" s="0"/>
      <c r="VGU86" s="0"/>
      <c r="VGV86" s="0"/>
      <c r="VGW86" s="0"/>
      <c r="VGX86" s="0"/>
      <c r="VGY86" s="0"/>
      <c r="VGZ86" s="0"/>
      <c r="VHA86" s="0"/>
      <c r="VHB86" s="0"/>
      <c r="VHC86" s="0"/>
      <c r="VHD86" s="0"/>
      <c r="VHE86" s="0"/>
      <c r="VHF86" s="0"/>
      <c r="VHG86" s="0"/>
      <c r="VHH86" s="0"/>
      <c r="VHI86" s="0"/>
      <c r="VHJ86" s="0"/>
      <c r="VHK86" s="0"/>
      <c r="VHL86" s="0"/>
      <c r="VHM86" s="0"/>
      <c r="VHN86" s="0"/>
      <c r="VHO86" s="0"/>
      <c r="VHP86" s="0"/>
      <c r="VHQ86" s="0"/>
      <c r="VHR86" s="0"/>
      <c r="VHS86" s="0"/>
      <c r="VHT86" s="0"/>
      <c r="VHU86" s="0"/>
      <c r="VHV86" s="0"/>
      <c r="VHW86" s="0"/>
      <c r="VHX86" s="0"/>
      <c r="VHY86" s="0"/>
      <c r="VHZ86" s="0"/>
      <c r="VIA86" s="0"/>
      <c r="VIB86" s="0"/>
      <c r="VIC86" s="0"/>
      <c r="VID86" s="0"/>
      <c r="VIE86" s="0"/>
      <c r="VIF86" s="0"/>
      <c r="VIG86" s="0"/>
      <c r="VIH86" s="0"/>
      <c r="VII86" s="0"/>
      <c r="VIJ86" s="0"/>
      <c r="VIK86" s="0"/>
      <c r="VIL86" s="0"/>
      <c r="VIM86" s="0"/>
      <c r="VIN86" s="0"/>
      <c r="VIO86" s="0"/>
      <c r="VIP86" s="0"/>
      <c r="VIQ86" s="0"/>
      <c r="VIR86" s="0"/>
      <c r="VIS86" s="0"/>
      <c r="VIT86" s="0"/>
      <c r="VIU86" s="0"/>
      <c r="VIV86" s="0"/>
      <c r="VIW86" s="0"/>
      <c r="VIX86" s="0"/>
      <c r="VIY86" s="0"/>
      <c r="VIZ86" s="0"/>
      <c r="VJA86" s="0"/>
      <c r="VJB86" s="0"/>
      <c r="VJC86" s="0"/>
      <c r="VJD86" s="0"/>
      <c r="VJE86" s="0"/>
      <c r="VJF86" s="0"/>
      <c r="VJG86" s="0"/>
      <c r="VJH86" s="0"/>
      <c r="VJI86" s="0"/>
      <c r="VJJ86" s="0"/>
      <c r="VJK86" s="0"/>
      <c r="VJL86" s="0"/>
      <c r="VJM86" s="0"/>
      <c r="VJN86" s="0"/>
      <c r="VJO86" s="0"/>
      <c r="VJP86" s="0"/>
      <c r="VJQ86" s="0"/>
      <c r="VJR86" s="0"/>
      <c r="VJS86" s="0"/>
      <c r="VJT86" s="0"/>
      <c r="VJU86" s="0"/>
      <c r="VJV86" s="0"/>
      <c r="VJW86" s="0"/>
      <c r="VJX86" s="0"/>
      <c r="VJY86" s="0"/>
      <c r="VJZ86" s="0"/>
      <c r="VKA86" s="0"/>
      <c r="VKB86" s="0"/>
      <c r="VKC86" s="0"/>
      <c r="VKD86" s="0"/>
      <c r="VKE86" s="0"/>
      <c r="VKF86" s="0"/>
      <c r="VKG86" s="0"/>
      <c r="VKH86" s="0"/>
      <c r="VKI86" s="0"/>
      <c r="VKJ86" s="0"/>
      <c r="VKK86" s="0"/>
      <c r="VKL86" s="0"/>
      <c r="VKM86" s="0"/>
      <c r="VKN86" s="0"/>
      <c r="VKO86" s="0"/>
      <c r="VKP86" s="0"/>
      <c r="VKQ86" s="0"/>
      <c r="VKR86" s="0"/>
      <c r="VKS86" s="0"/>
      <c r="VKT86" s="0"/>
      <c r="VKU86" s="0"/>
      <c r="VKV86" s="0"/>
      <c r="VKW86" s="0"/>
      <c r="VKX86" s="0"/>
      <c r="VKY86" s="0"/>
      <c r="VKZ86" s="0"/>
      <c r="VLA86" s="0"/>
      <c r="VLB86" s="0"/>
      <c r="VLC86" s="0"/>
      <c r="VLD86" s="0"/>
      <c r="VLE86" s="0"/>
      <c r="VLF86" s="0"/>
      <c r="VLG86" s="0"/>
      <c r="VLH86" s="0"/>
      <c r="VLI86" s="0"/>
      <c r="VLJ86" s="0"/>
      <c r="VLK86" s="0"/>
      <c r="VLL86" s="0"/>
      <c r="VLM86" s="0"/>
      <c r="VLN86" s="0"/>
      <c r="VLO86" s="0"/>
      <c r="VLP86" s="0"/>
      <c r="VLQ86" s="0"/>
      <c r="VLR86" s="0"/>
      <c r="VLS86" s="0"/>
      <c r="VLT86" s="0"/>
      <c r="VLU86" s="0"/>
      <c r="VLV86" s="0"/>
      <c r="VLW86" s="0"/>
      <c r="VLX86" s="0"/>
      <c r="VLY86" s="0"/>
      <c r="VLZ86" s="0"/>
      <c r="VMA86" s="0"/>
      <c r="VMB86" s="0"/>
      <c r="VMC86" s="0"/>
      <c r="VMD86" s="0"/>
      <c r="VME86" s="0"/>
      <c r="VMF86" s="0"/>
      <c r="VMG86" s="0"/>
      <c r="VMH86" s="0"/>
      <c r="VMI86" s="0"/>
      <c r="VMJ86" s="0"/>
      <c r="VMK86" s="0"/>
      <c r="VML86" s="0"/>
      <c r="VMM86" s="0"/>
      <c r="VMN86" s="0"/>
      <c r="VMO86" s="0"/>
      <c r="VMP86" s="0"/>
      <c r="VMQ86" s="0"/>
      <c r="VMR86" s="0"/>
      <c r="VMS86" s="0"/>
      <c r="VMT86" s="0"/>
      <c r="VMU86" s="0"/>
      <c r="VMV86" s="0"/>
      <c r="VMW86" s="0"/>
      <c r="VMX86" s="0"/>
      <c r="VMY86" s="0"/>
      <c r="VMZ86" s="0"/>
      <c r="VNA86" s="0"/>
      <c r="VNB86" s="0"/>
      <c r="VNC86" s="0"/>
      <c r="VND86" s="0"/>
      <c r="VNE86" s="0"/>
      <c r="VNF86" s="0"/>
      <c r="VNG86" s="0"/>
      <c r="VNH86" s="0"/>
      <c r="VNI86" s="0"/>
      <c r="VNJ86" s="0"/>
      <c r="VNK86" s="0"/>
      <c r="VNL86" s="0"/>
      <c r="VNM86" s="0"/>
      <c r="VNN86" s="0"/>
      <c r="VNO86" s="0"/>
      <c r="VNP86" s="0"/>
      <c r="VNQ86" s="0"/>
      <c r="VNR86" s="0"/>
      <c r="VNS86" s="0"/>
      <c r="VNT86" s="0"/>
      <c r="VNU86" s="0"/>
      <c r="VNV86" s="0"/>
      <c r="VNW86" s="0"/>
      <c r="VNX86" s="0"/>
      <c r="VNY86" s="0"/>
      <c r="VNZ86" s="0"/>
      <c r="VOA86" s="0"/>
      <c r="VOB86" s="0"/>
      <c r="VOC86" s="0"/>
      <c r="VOD86" s="0"/>
      <c r="VOE86" s="0"/>
      <c r="VOF86" s="0"/>
      <c r="VOG86" s="0"/>
      <c r="VOH86" s="0"/>
      <c r="VOI86" s="0"/>
      <c r="VOJ86" s="0"/>
      <c r="VOK86" s="0"/>
      <c r="VOL86" s="0"/>
      <c r="VOM86" s="0"/>
      <c r="VON86" s="0"/>
      <c r="VOO86" s="0"/>
      <c r="VOP86" s="0"/>
      <c r="VOQ86" s="0"/>
      <c r="VOR86" s="0"/>
      <c r="VOS86" s="0"/>
      <c r="VOT86" s="0"/>
      <c r="VOU86" s="0"/>
      <c r="VOV86" s="0"/>
      <c r="VOW86" s="0"/>
      <c r="VOX86" s="0"/>
      <c r="VOY86" s="0"/>
      <c r="VOZ86" s="0"/>
      <c r="VPA86" s="0"/>
      <c r="VPB86" s="0"/>
      <c r="VPC86" s="0"/>
      <c r="VPD86" s="0"/>
      <c r="VPE86" s="0"/>
      <c r="VPF86" s="0"/>
      <c r="VPG86" s="0"/>
      <c r="VPH86" s="0"/>
      <c r="VPI86" s="0"/>
      <c r="VPJ86" s="0"/>
      <c r="VPK86" s="0"/>
      <c r="VPL86" s="0"/>
      <c r="VPM86" s="0"/>
      <c r="VPN86" s="0"/>
      <c r="VPO86" s="0"/>
      <c r="VPP86" s="0"/>
      <c r="VPQ86" s="0"/>
      <c r="VPR86" s="0"/>
      <c r="VPS86" s="0"/>
      <c r="VPT86" s="0"/>
      <c r="VPU86" s="0"/>
      <c r="VPV86" s="0"/>
      <c r="VPW86" s="0"/>
      <c r="VPX86" s="0"/>
      <c r="VPY86" s="0"/>
      <c r="VPZ86" s="0"/>
      <c r="VQA86" s="0"/>
      <c r="VQB86" s="0"/>
      <c r="VQC86" s="0"/>
      <c r="VQD86" s="0"/>
      <c r="VQE86" s="0"/>
      <c r="VQF86" s="0"/>
      <c r="VQG86" s="0"/>
      <c r="VQH86" s="0"/>
      <c r="VQI86" s="0"/>
      <c r="VQJ86" s="0"/>
      <c r="VQK86" s="0"/>
      <c r="VQL86" s="0"/>
      <c r="VQM86" s="0"/>
      <c r="VQN86" s="0"/>
      <c r="VQO86" s="0"/>
      <c r="VQP86" s="0"/>
      <c r="VQQ86" s="0"/>
      <c r="VQR86" s="0"/>
      <c r="VQS86" s="0"/>
      <c r="VQT86" s="0"/>
      <c r="VQU86" s="0"/>
      <c r="VQV86" s="0"/>
      <c r="VQW86" s="0"/>
      <c r="VQX86" s="0"/>
      <c r="VQY86" s="0"/>
      <c r="VQZ86" s="0"/>
      <c r="VRA86" s="0"/>
      <c r="VRB86" s="0"/>
      <c r="VRC86" s="0"/>
      <c r="VRD86" s="0"/>
      <c r="VRE86" s="0"/>
      <c r="VRF86" s="0"/>
      <c r="VRG86" s="0"/>
      <c r="VRH86" s="0"/>
      <c r="VRI86" s="0"/>
      <c r="VRJ86" s="0"/>
      <c r="VRK86" s="0"/>
      <c r="VRL86" s="0"/>
      <c r="VRM86" s="0"/>
      <c r="VRN86" s="0"/>
      <c r="VRO86" s="0"/>
      <c r="VRP86" s="0"/>
      <c r="VRQ86" s="0"/>
      <c r="VRR86" s="0"/>
      <c r="VRS86" s="0"/>
      <c r="VRT86" s="0"/>
      <c r="VRU86" s="0"/>
      <c r="VRV86" s="0"/>
      <c r="VRW86" s="0"/>
      <c r="VRX86" s="0"/>
      <c r="VRY86" s="0"/>
      <c r="VRZ86" s="0"/>
      <c r="VSA86" s="0"/>
      <c r="VSB86" s="0"/>
      <c r="VSC86" s="0"/>
      <c r="VSD86" s="0"/>
      <c r="VSE86" s="0"/>
      <c r="VSF86" s="0"/>
      <c r="VSG86" s="0"/>
      <c r="VSH86" s="0"/>
      <c r="VSI86" s="0"/>
      <c r="VSJ86" s="0"/>
      <c r="VSK86" s="0"/>
      <c r="VSL86" s="0"/>
      <c r="VSM86" s="0"/>
      <c r="VSN86" s="0"/>
      <c r="VSO86" s="0"/>
      <c r="VSP86" s="0"/>
      <c r="VSQ86" s="0"/>
      <c r="VSR86" s="0"/>
      <c r="VSS86" s="0"/>
      <c r="VST86" s="0"/>
      <c r="VSU86" s="0"/>
      <c r="VSV86" s="0"/>
      <c r="VSW86" s="0"/>
      <c r="VSX86" s="0"/>
      <c r="VSY86" s="0"/>
      <c r="VSZ86" s="0"/>
      <c r="VTA86" s="0"/>
      <c r="VTB86" s="0"/>
      <c r="VTC86" s="0"/>
      <c r="VTD86" s="0"/>
      <c r="VTE86" s="0"/>
      <c r="VTF86" s="0"/>
      <c r="VTG86" s="0"/>
      <c r="VTH86" s="0"/>
      <c r="VTI86" s="0"/>
      <c r="VTJ86" s="0"/>
      <c r="VTK86" s="0"/>
      <c r="VTL86" s="0"/>
      <c r="VTM86" s="0"/>
      <c r="VTN86" s="0"/>
      <c r="VTO86" s="0"/>
      <c r="VTP86" s="0"/>
      <c r="VTQ86" s="0"/>
      <c r="VTR86" s="0"/>
      <c r="VTS86" s="0"/>
      <c r="VTT86" s="0"/>
      <c r="VTU86" s="0"/>
      <c r="VTV86" s="0"/>
      <c r="VTW86" s="0"/>
      <c r="VTX86" s="0"/>
      <c r="VTY86" s="0"/>
      <c r="VTZ86" s="0"/>
      <c r="VUA86" s="0"/>
      <c r="VUB86" s="0"/>
      <c r="VUC86" s="0"/>
      <c r="VUD86" s="0"/>
      <c r="VUE86" s="0"/>
      <c r="VUF86" s="0"/>
      <c r="VUG86" s="0"/>
      <c r="VUH86" s="0"/>
      <c r="VUI86" s="0"/>
      <c r="VUJ86" s="0"/>
      <c r="VUK86" s="0"/>
      <c r="VUL86" s="0"/>
      <c r="VUM86" s="0"/>
      <c r="VUN86" s="0"/>
      <c r="VUO86" s="0"/>
      <c r="VUP86" s="0"/>
      <c r="VUQ86" s="0"/>
      <c r="VUR86" s="0"/>
      <c r="VUS86" s="0"/>
      <c r="VUT86" s="0"/>
      <c r="VUU86" s="0"/>
      <c r="VUV86" s="0"/>
      <c r="VUW86" s="0"/>
      <c r="VUX86" s="0"/>
      <c r="VUY86" s="0"/>
      <c r="VUZ86" s="0"/>
      <c r="VVA86" s="0"/>
      <c r="VVB86" s="0"/>
      <c r="VVC86" s="0"/>
      <c r="VVD86" s="0"/>
      <c r="VVE86" s="0"/>
      <c r="VVF86" s="0"/>
      <c r="VVG86" s="0"/>
      <c r="VVH86" s="0"/>
      <c r="VVI86" s="0"/>
      <c r="VVJ86" s="0"/>
      <c r="VVK86" s="0"/>
      <c r="VVL86" s="0"/>
      <c r="VVM86" s="0"/>
      <c r="VVN86" s="0"/>
      <c r="VVO86" s="0"/>
      <c r="VVP86" s="0"/>
      <c r="VVQ86" s="0"/>
      <c r="VVR86" s="0"/>
      <c r="VVS86" s="0"/>
      <c r="VVT86" s="0"/>
      <c r="VVU86" s="0"/>
      <c r="VVV86" s="0"/>
      <c r="VVW86" s="0"/>
      <c r="VVX86" s="0"/>
      <c r="VVY86" s="0"/>
      <c r="VVZ86" s="0"/>
      <c r="VWA86" s="0"/>
      <c r="VWB86" s="0"/>
      <c r="VWC86" s="0"/>
      <c r="VWD86" s="0"/>
      <c r="VWE86" s="0"/>
      <c r="VWF86" s="0"/>
      <c r="VWG86" s="0"/>
      <c r="VWH86" s="0"/>
      <c r="VWI86" s="0"/>
      <c r="VWJ86" s="0"/>
      <c r="VWK86" s="0"/>
      <c r="VWL86" s="0"/>
      <c r="VWM86" s="0"/>
      <c r="VWN86" s="0"/>
      <c r="VWO86" s="0"/>
      <c r="VWP86" s="0"/>
      <c r="VWQ86" s="0"/>
      <c r="VWR86" s="0"/>
      <c r="VWS86" s="0"/>
      <c r="VWT86" s="0"/>
      <c r="VWU86" s="0"/>
      <c r="VWV86" s="0"/>
      <c r="VWW86" s="0"/>
      <c r="VWX86" s="0"/>
      <c r="VWY86" s="0"/>
      <c r="VWZ86" s="0"/>
      <c r="VXA86" s="0"/>
      <c r="VXB86" s="0"/>
      <c r="VXC86" s="0"/>
      <c r="VXD86" s="0"/>
      <c r="VXE86" s="0"/>
      <c r="VXF86" s="0"/>
      <c r="VXG86" s="0"/>
      <c r="VXH86" s="0"/>
      <c r="VXI86" s="0"/>
      <c r="VXJ86" s="0"/>
      <c r="VXK86" s="0"/>
      <c r="VXL86" s="0"/>
      <c r="VXM86" s="0"/>
      <c r="VXN86" s="0"/>
      <c r="VXO86" s="0"/>
      <c r="VXP86" s="0"/>
      <c r="VXQ86" s="0"/>
      <c r="VXR86" s="0"/>
      <c r="VXS86" s="0"/>
      <c r="VXT86" s="0"/>
      <c r="VXU86" s="0"/>
      <c r="VXV86" s="0"/>
      <c r="VXW86" s="0"/>
      <c r="VXX86" s="0"/>
      <c r="VXY86" s="0"/>
      <c r="VXZ86" s="0"/>
      <c r="VYA86" s="0"/>
      <c r="VYB86" s="0"/>
      <c r="VYC86" s="0"/>
      <c r="VYD86" s="0"/>
      <c r="VYE86" s="0"/>
      <c r="VYF86" s="0"/>
      <c r="VYG86" s="0"/>
      <c r="VYH86" s="0"/>
      <c r="VYI86" s="0"/>
      <c r="VYJ86" s="0"/>
      <c r="VYK86" s="0"/>
      <c r="VYL86" s="0"/>
      <c r="VYM86" s="0"/>
      <c r="VYN86" s="0"/>
      <c r="VYO86" s="0"/>
      <c r="VYP86" s="0"/>
      <c r="VYQ86" s="0"/>
      <c r="VYR86" s="0"/>
      <c r="VYS86" s="0"/>
      <c r="VYT86" s="0"/>
      <c r="VYU86" s="0"/>
      <c r="VYV86" s="0"/>
      <c r="VYW86" s="0"/>
      <c r="VYX86" s="0"/>
      <c r="VYY86" s="0"/>
      <c r="VYZ86" s="0"/>
      <c r="VZA86" s="0"/>
      <c r="VZB86" s="0"/>
      <c r="VZC86" s="0"/>
      <c r="VZD86" s="0"/>
      <c r="VZE86" s="0"/>
      <c r="VZF86" s="0"/>
      <c r="VZG86" s="0"/>
      <c r="VZH86" s="0"/>
      <c r="VZI86" s="0"/>
      <c r="VZJ86" s="0"/>
      <c r="VZK86" s="0"/>
      <c r="VZL86" s="0"/>
      <c r="VZM86" s="0"/>
      <c r="VZN86" s="0"/>
      <c r="VZO86" s="0"/>
      <c r="VZP86" s="0"/>
      <c r="VZQ86" s="0"/>
      <c r="VZR86" s="0"/>
      <c r="VZS86" s="0"/>
      <c r="VZT86" s="0"/>
      <c r="VZU86" s="0"/>
      <c r="VZV86" s="0"/>
      <c r="VZW86" s="0"/>
      <c r="VZX86" s="0"/>
      <c r="VZY86" s="0"/>
      <c r="VZZ86" s="0"/>
      <c r="WAA86" s="0"/>
      <c r="WAB86" s="0"/>
      <c r="WAC86" s="0"/>
      <c r="WAD86" s="0"/>
      <c r="WAE86" s="0"/>
      <c r="WAF86" s="0"/>
      <c r="WAG86" s="0"/>
      <c r="WAH86" s="0"/>
      <c r="WAI86" s="0"/>
      <c r="WAJ86" s="0"/>
      <c r="WAK86" s="0"/>
      <c r="WAL86" s="0"/>
      <c r="WAM86" s="0"/>
      <c r="WAN86" s="0"/>
      <c r="WAO86" s="0"/>
      <c r="WAP86" s="0"/>
      <c r="WAQ86" s="0"/>
      <c r="WAR86" s="0"/>
      <c r="WAS86" s="0"/>
      <c r="WAT86" s="0"/>
      <c r="WAU86" s="0"/>
      <c r="WAV86" s="0"/>
      <c r="WAW86" s="0"/>
      <c r="WAX86" s="0"/>
      <c r="WAY86" s="0"/>
      <c r="WAZ86" s="0"/>
      <c r="WBA86" s="0"/>
      <c r="WBB86" s="0"/>
      <c r="WBC86" s="0"/>
      <c r="WBD86" s="0"/>
      <c r="WBE86" s="0"/>
      <c r="WBF86" s="0"/>
      <c r="WBG86" s="0"/>
      <c r="WBH86" s="0"/>
      <c r="WBI86" s="0"/>
      <c r="WBJ86" s="0"/>
      <c r="WBK86" s="0"/>
      <c r="WBL86" s="0"/>
      <c r="WBM86" s="0"/>
      <c r="WBN86" s="0"/>
      <c r="WBO86" s="0"/>
      <c r="WBP86" s="0"/>
      <c r="WBQ86" s="0"/>
      <c r="WBR86" s="0"/>
      <c r="WBS86" s="0"/>
      <c r="WBT86" s="0"/>
      <c r="WBU86" s="0"/>
      <c r="WBV86" s="0"/>
      <c r="WBW86" s="0"/>
      <c r="WBX86" s="0"/>
      <c r="WBY86" s="0"/>
      <c r="WBZ86" s="0"/>
      <c r="WCA86" s="0"/>
      <c r="WCB86" s="0"/>
      <c r="WCC86" s="0"/>
      <c r="WCD86" s="0"/>
      <c r="WCE86" s="0"/>
      <c r="WCF86" s="0"/>
      <c r="WCG86" s="0"/>
      <c r="WCH86" s="0"/>
      <c r="WCI86" s="0"/>
      <c r="WCJ86" s="0"/>
      <c r="WCK86" s="0"/>
      <c r="WCL86" s="0"/>
      <c r="WCM86" s="0"/>
      <c r="WCN86" s="0"/>
      <c r="WCO86" s="0"/>
      <c r="WCP86" s="0"/>
      <c r="WCQ86" s="0"/>
      <c r="WCR86" s="0"/>
      <c r="WCS86" s="0"/>
      <c r="WCT86" s="0"/>
      <c r="WCU86" s="0"/>
      <c r="WCV86" s="0"/>
      <c r="WCW86" s="0"/>
      <c r="WCX86" s="0"/>
      <c r="WCY86" s="0"/>
      <c r="WCZ86" s="0"/>
      <c r="WDA86" s="0"/>
      <c r="WDB86" s="0"/>
      <c r="WDC86" s="0"/>
      <c r="WDD86" s="0"/>
      <c r="WDE86" s="0"/>
      <c r="WDF86" s="0"/>
      <c r="WDG86" s="0"/>
      <c r="WDH86" s="0"/>
      <c r="WDI86" s="0"/>
      <c r="WDJ86" s="0"/>
      <c r="WDK86" s="0"/>
      <c r="WDL86" s="0"/>
      <c r="WDM86" s="0"/>
      <c r="WDN86" s="0"/>
      <c r="WDO86" s="0"/>
      <c r="WDP86" s="0"/>
      <c r="WDQ86" s="0"/>
      <c r="WDR86" s="0"/>
      <c r="WDS86" s="0"/>
      <c r="WDT86" s="0"/>
      <c r="WDU86" s="0"/>
      <c r="WDV86" s="0"/>
      <c r="WDW86" s="0"/>
      <c r="WDX86" s="0"/>
      <c r="WDY86" s="0"/>
      <c r="WDZ86" s="0"/>
      <c r="WEA86" s="0"/>
      <c r="WEB86" s="0"/>
      <c r="WEC86" s="0"/>
      <c r="WED86" s="0"/>
      <c r="WEE86" s="0"/>
      <c r="WEF86" s="0"/>
      <c r="WEG86" s="0"/>
      <c r="WEH86" s="0"/>
      <c r="WEI86" s="0"/>
      <c r="WEJ86" s="0"/>
      <c r="WEK86" s="0"/>
      <c r="WEL86" s="0"/>
      <c r="WEM86" s="0"/>
      <c r="WEN86" s="0"/>
      <c r="WEO86" s="0"/>
      <c r="WEP86" s="0"/>
      <c r="WEQ86" s="0"/>
      <c r="WER86" s="0"/>
      <c r="WES86" s="0"/>
      <c r="WET86" s="0"/>
      <c r="WEU86" s="0"/>
      <c r="WEV86" s="0"/>
      <c r="WEW86" s="0"/>
      <c r="WEX86" s="0"/>
      <c r="WEY86" s="0"/>
      <c r="WEZ86" s="0"/>
      <c r="WFA86" s="0"/>
      <c r="WFB86" s="0"/>
      <c r="WFC86" s="0"/>
      <c r="WFD86" s="0"/>
      <c r="WFE86" s="0"/>
      <c r="WFF86" s="0"/>
      <c r="WFG86" s="0"/>
      <c r="WFH86" s="0"/>
      <c r="WFI86" s="0"/>
      <c r="WFJ86" s="0"/>
      <c r="WFK86" s="0"/>
      <c r="WFL86" s="0"/>
      <c r="WFM86" s="0"/>
      <c r="WFN86" s="0"/>
      <c r="WFO86" s="0"/>
      <c r="WFP86" s="0"/>
      <c r="WFQ86" s="0"/>
      <c r="WFR86" s="0"/>
      <c r="WFS86" s="0"/>
      <c r="WFT86" s="0"/>
      <c r="WFU86" s="0"/>
      <c r="WFV86" s="0"/>
      <c r="WFW86" s="0"/>
      <c r="WFX86" s="0"/>
      <c r="WFY86" s="0"/>
      <c r="WFZ86" s="0"/>
      <c r="WGA86" s="0"/>
      <c r="WGB86" s="0"/>
      <c r="WGC86" s="0"/>
      <c r="WGD86" s="0"/>
      <c r="WGE86" s="0"/>
      <c r="WGF86" s="0"/>
      <c r="WGG86" s="0"/>
      <c r="WGH86" s="0"/>
      <c r="WGI86" s="0"/>
      <c r="WGJ86" s="0"/>
      <c r="WGK86" s="0"/>
      <c r="WGL86" s="0"/>
      <c r="WGM86" s="0"/>
      <c r="WGN86" s="0"/>
      <c r="WGO86" s="0"/>
      <c r="WGP86" s="0"/>
      <c r="WGQ86" s="0"/>
      <c r="WGR86" s="0"/>
      <c r="WGS86" s="0"/>
      <c r="WGT86" s="0"/>
      <c r="WGU86" s="0"/>
      <c r="WGV86" s="0"/>
      <c r="WGW86" s="0"/>
      <c r="WGX86" s="0"/>
      <c r="WGY86" s="0"/>
      <c r="WGZ86" s="0"/>
      <c r="WHA86" s="0"/>
      <c r="WHB86" s="0"/>
      <c r="WHC86" s="0"/>
      <c r="WHD86" s="0"/>
      <c r="WHE86" s="0"/>
      <c r="WHF86" s="0"/>
      <c r="WHG86" s="0"/>
      <c r="WHH86" s="0"/>
      <c r="WHI86" s="0"/>
      <c r="WHJ86" s="0"/>
      <c r="WHK86" s="0"/>
      <c r="WHL86" s="0"/>
      <c r="WHM86" s="0"/>
      <c r="WHN86" s="0"/>
      <c r="WHO86" s="0"/>
      <c r="WHP86" s="0"/>
      <c r="WHQ86" s="0"/>
      <c r="WHR86" s="0"/>
      <c r="WHS86" s="0"/>
      <c r="WHT86" s="0"/>
      <c r="WHU86" s="0"/>
      <c r="WHV86" s="0"/>
      <c r="WHW86" s="0"/>
      <c r="WHX86" s="0"/>
      <c r="WHY86" s="0"/>
      <c r="WHZ86" s="0"/>
      <c r="WIA86" s="0"/>
      <c r="WIB86" s="0"/>
      <c r="WIC86" s="0"/>
      <c r="WID86" s="0"/>
      <c r="WIE86" s="0"/>
      <c r="WIF86" s="0"/>
      <c r="WIG86" s="0"/>
      <c r="WIH86" s="0"/>
      <c r="WII86" s="0"/>
      <c r="WIJ86" s="0"/>
      <c r="WIK86" s="0"/>
      <c r="WIL86" s="0"/>
      <c r="WIM86" s="0"/>
      <c r="WIN86" s="0"/>
      <c r="WIO86" s="0"/>
      <c r="WIP86" s="0"/>
      <c r="WIQ86" s="0"/>
      <c r="WIR86" s="0"/>
      <c r="WIS86" s="0"/>
      <c r="WIT86" s="0"/>
      <c r="WIU86" s="0"/>
      <c r="WIV86" s="0"/>
      <c r="WIW86" s="0"/>
      <c r="WIX86" s="0"/>
      <c r="WIY86" s="0"/>
      <c r="WIZ86" s="0"/>
      <c r="WJA86" s="0"/>
      <c r="WJB86" s="0"/>
      <c r="WJC86" s="0"/>
      <c r="WJD86" s="0"/>
      <c r="WJE86" s="0"/>
      <c r="WJF86" s="0"/>
      <c r="WJG86" s="0"/>
      <c r="WJH86" s="0"/>
      <c r="WJI86" s="0"/>
      <c r="WJJ86" s="0"/>
      <c r="WJK86" s="0"/>
      <c r="WJL86" s="0"/>
      <c r="WJM86" s="0"/>
      <c r="WJN86" s="0"/>
      <c r="WJO86" s="0"/>
      <c r="WJP86" s="0"/>
      <c r="WJQ86" s="0"/>
      <c r="WJR86" s="0"/>
      <c r="WJS86" s="0"/>
      <c r="WJT86" s="0"/>
      <c r="WJU86" s="0"/>
      <c r="WJV86" s="0"/>
      <c r="WJW86" s="0"/>
      <c r="WJX86" s="0"/>
      <c r="WJY86" s="0"/>
      <c r="WJZ86" s="0"/>
      <c r="WKA86" s="0"/>
      <c r="WKB86" s="0"/>
      <c r="WKC86" s="0"/>
      <c r="WKD86" s="0"/>
      <c r="WKE86" s="0"/>
      <c r="WKF86" s="0"/>
      <c r="WKG86" s="0"/>
      <c r="WKH86" s="0"/>
      <c r="WKI86" s="0"/>
      <c r="WKJ86" s="0"/>
      <c r="WKK86" s="0"/>
      <c r="WKL86" s="0"/>
      <c r="WKM86" s="0"/>
      <c r="WKN86" s="0"/>
      <c r="WKO86" s="0"/>
      <c r="WKP86" s="0"/>
      <c r="WKQ86" s="0"/>
      <c r="WKR86" s="0"/>
      <c r="WKS86" s="0"/>
      <c r="WKT86" s="0"/>
      <c r="WKU86" s="0"/>
      <c r="WKV86" s="0"/>
      <c r="WKW86" s="0"/>
      <c r="WKX86" s="0"/>
      <c r="WKY86" s="0"/>
      <c r="WKZ86" s="0"/>
      <c r="WLA86" s="0"/>
      <c r="WLB86" s="0"/>
      <c r="WLC86" s="0"/>
      <c r="WLD86" s="0"/>
      <c r="WLE86" s="0"/>
      <c r="WLF86" s="0"/>
      <c r="WLG86" s="0"/>
      <c r="WLH86" s="0"/>
      <c r="WLI86" s="0"/>
      <c r="WLJ86" s="0"/>
      <c r="WLK86" s="0"/>
      <c r="WLL86" s="0"/>
      <c r="WLM86" s="0"/>
      <c r="WLN86" s="0"/>
      <c r="WLO86" s="0"/>
      <c r="WLP86" s="0"/>
      <c r="WLQ86" s="0"/>
      <c r="WLR86" s="0"/>
      <c r="WLS86" s="0"/>
      <c r="WLT86" s="0"/>
      <c r="WLU86" s="0"/>
      <c r="WLV86" s="0"/>
      <c r="WLW86" s="0"/>
      <c r="WLX86" s="0"/>
      <c r="WLY86" s="0"/>
      <c r="WLZ86" s="0"/>
      <c r="WMA86" s="0"/>
      <c r="WMB86" s="0"/>
      <c r="WMC86" s="0"/>
      <c r="WMD86" s="0"/>
      <c r="WME86" s="0"/>
      <c r="WMF86" s="0"/>
      <c r="WMG86" s="0"/>
      <c r="WMH86" s="0"/>
      <c r="WMI86" s="0"/>
      <c r="WMJ86" s="0"/>
      <c r="WMK86" s="0"/>
      <c r="WML86" s="0"/>
      <c r="WMM86" s="0"/>
      <c r="WMN86" s="0"/>
      <c r="WMO86" s="0"/>
      <c r="WMP86" s="0"/>
      <c r="WMQ86" s="0"/>
      <c r="WMR86" s="0"/>
      <c r="WMS86" s="0"/>
      <c r="WMT86" s="0"/>
      <c r="WMU86" s="0"/>
      <c r="WMV86" s="0"/>
      <c r="WMW86" s="0"/>
      <c r="WMX86" s="0"/>
      <c r="WMY86" s="0"/>
      <c r="WMZ86" s="0"/>
      <c r="WNA86" s="0"/>
      <c r="WNB86" s="0"/>
      <c r="WNC86" s="0"/>
      <c r="WND86" s="0"/>
      <c r="WNE86" s="0"/>
      <c r="WNF86" s="0"/>
      <c r="WNG86" s="0"/>
      <c r="WNH86" s="0"/>
      <c r="WNI86" s="0"/>
      <c r="WNJ86" s="0"/>
      <c r="WNK86" s="0"/>
      <c r="WNL86" s="0"/>
      <c r="WNM86" s="0"/>
      <c r="WNN86" s="0"/>
      <c r="WNO86" s="0"/>
      <c r="WNP86" s="0"/>
      <c r="WNQ86" s="0"/>
      <c r="WNR86" s="0"/>
      <c r="WNS86" s="0"/>
      <c r="WNT86" s="0"/>
      <c r="WNU86" s="0"/>
      <c r="WNV86" s="0"/>
      <c r="WNW86" s="0"/>
      <c r="WNX86" s="0"/>
      <c r="WNY86" s="0"/>
      <c r="WNZ86" s="0"/>
      <c r="WOA86" s="0"/>
      <c r="WOB86" s="0"/>
      <c r="WOC86" s="0"/>
      <c r="WOD86" s="0"/>
      <c r="WOE86" s="0"/>
      <c r="WOF86" s="0"/>
      <c r="WOG86" s="0"/>
      <c r="WOH86" s="0"/>
      <c r="WOI86" s="0"/>
      <c r="WOJ86" s="0"/>
      <c r="WOK86" s="0"/>
      <c r="WOL86" s="0"/>
      <c r="WOM86" s="0"/>
      <c r="WON86" s="0"/>
      <c r="WOO86" s="0"/>
      <c r="WOP86" s="0"/>
      <c r="WOQ86" s="0"/>
      <c r="WOR86" s="0"/>
      <c r="WOS86" s="0"/>
      <c r="WOT86" s="0"/>
      <c r="WOU86" s="0"/>
      <c r="WOV86" s="0"/>
      <c r="WOW86" s="0"/>
      <c r="WOX86" s="0"/>
      <c r="WOY86" s="0"/>
      <c r="WOZ86" s="0"/>
      <c r="WPA86" s="0"/>
      <c r="WPB86" s="0"/>
      <c r="WPC86" s="0"/>
      <c r="WPD86" s="0"/>
      <c r="WPE86" s="0"/>
      <c r="WPF86" s="0"/>
      <c r="WPG86" s="0"/>
      <c r="WPH86" s="0"/>
      <c r="WPI86" s="0"/>
      <c r="WPJ86" s="0"/>
      <c r="WPK86" s="0"/>
      <c r="WPL86" s="0"/>
      <c r="WPM86" s="0"/>
      <c r="WPN86" s="0"/>
      <c r="WPO86" s="0"/>
      <c r="WPP86" s="0"/>
      <c r="WPQ86" s="0"/>
      <c r="WPR86" s="0"/>
      <c r="WPS86" s="0"/>
      <c r="WPT86" s="0"/>
      <c r="WPU86" s="0"/>
      <c r="WPV86" s="0"/>
      <c r="WPW86" s="0"/>
      <c r="WPX86" s="0"/>
      <c r="WPY86" s="0"/>
      <c r="WPZ86" s="0"/>
      <c r="WQA86" s="0"/>
      <c r="WQB86" s="0"/>
      <c r="WQC86" s="0"/>
      <c r="WQD86" s="0"/>
      <c r="WQE86" s="0"/>
      <c r="WQF86" s="0"/>
      <c r="WQG86" s="0"/>
      <c r="WQH86" s="0"/>
      <c r="WQI86" s="0"/>
      <c r="WQJ86" s="0"/>
      <c r="WQK86" s="0"/>
      <c r="WQL86" s="0"/>
      <c r="WQM86" s="0"/>
      <c r="WQN86" s="0"/>
      <c r="WQO86" s="0"/>
      <c r="WQP86" s="0"/>
      <c r="WQQ86" s="0"/>
      <c r="WQR86" s="0"/>
      <c r="WQS86" s="0"/>
      <c r="WQT86" s="0"/>
      <c r="WQU86" s="0"/>
      <c r="WQV86" s="0"/>
      <c r="WQW86" s="0"/>
      <c r="WQX86" s="0"/>
      <c r="WQY86" s="0"/>
      <c r="WQZ86" s="0"/>
      <c r="WRA86" s="0"/>
      <c r="WRB86" s="0"/>
      <c r="WRC86" s="0"/>
      <c r="WRD86" s="0"/>
      <c r="WRE86" s="0"/>
      <c r="WRF86" s="0"/>
      <c r="WRG86" s="0"/>
      <c r="WRH86" s="0"/>
      <c r="WRI86" s="0"/>
      <c r="WRJ86" s="0"/>
      <c r="WRK86" s="0"/>
      <c r="WRL86" s="0"/>
      <c r="WRM86" s="0"/>
      <c r="WRN86" s="0"/>
      <c r="WRO86" s="0"/>
      <c r="WRP86" s="0"/>
      <c r="WRQ86" s="0"/>
      <c r="WRR86" s="0"/>
      <c r="WRS86" s="0"/>
      <c r="WRT86" s="0"/>
      <c r="WRU86" s="0"/>
      <c r="WRV86" s="0"/>
      <c r="WRW86" s="0"/>
      <c r="WRX86" s="0"/>
      <c r="WRY86" s="0"/>
      <c r="WRZ86" s="0"/>
      <c r="WSA86" s="0"/>
      <c r="WSB86" s="0"/>
      <c r="WSC86" s="0"/>
      <c r="WSD86" s="0"/>
      <c r="WSE86" s="0"/>
      <c r="WSF86" s="0"/>
      <c r="WSG86" s="0"/>
      <c r="WSH86" s="0"/>
      <c r="WSI86" s="0"/>
      <c r="WSJ86" s="0"/>
      <c r="WSK86" s="0"/>
      <c r="WSL86" s="0"/>
      <c r="WSM86" s="0"/>
      <c r="WSN86" s="0"/>
      <c r="WSO86" s="0"/>
      <c r="WSP86" s="0"/>
      <c r="WSQ86" s="0"/>
      <c r="WSR86" s="0"/>
      <c r="WSS86" s="0"/>
      <c r="WST86" s="0"/>
      <c r="WSU86" s="0"/>
      <c r="WSV86" s="0"/>
      <c r="WSW86" s="0"/>
      <c r="WSX86" s="0"/>
      <c r="WSY86" s="0"/>
      <c r="WSZ86" s="0"/>
      <c r="WTA86" s="0"/>
      <c r="WTB86" s="0"/>
      <c r="WTC86" s="0"/>
      <c r="WTD86" s="0"/>
      <c r="WTE86" s="0"/>
      <c r="WTF86" s="0"/>
      <c r="WTG86" s="0"/>
      <c r="WTH86" s="0"/>
      <c r="WTI86" s="0"/>
      <c r="WTJ86" s="0"/>
      <c r="WTK86" s="0"/>
      <c r="WTL86" s="0"/>
      <c r="WTM86" s="0"/>
      <c r="WTN86" s="0"/>
      <c r="WTO86" s="0"/>
      <c r="WTP86" s="0"/>
      <c r="WTQ86" s="0"/>
      <c r="WTR86" s="0"/>
      <c r="WTS86" s="0"/>
      <c r="WTT86" s="0"/>
      <c r="WTU86" s="0"/>
      <c r="WTV86" s="0"/>
      <c r="WTW86" s="0"/>
      <c r="WTX86" s="0"/>
      <c r="WTY86" s="0"/>
      <c r="WTZ86" s="0"/>
      <c r="WUA86" s="0"/>
      <c r="WUB86" s="0"/>
      <c r="WUC86" s="0"/>
      <c r="WUD86" s="0"/>
      <c r="WUE86" s="0"/>
      <c r="WUF86" s="0"/>
      <c r="WUG86" s="0"/>
      <c r="WUH86" s="0"/>
      <c r="WUI86" s="0"/>
      <c r="WUJ86" s="0"/>
      <c r="WUK86" s="0"/>
      <c r="WUL86" s="0"/>
      <c r="WUM86" s="0"/>
      <c r="WUN86" s="0"/>
      <c r="WUO86" s="0"/>
      <c r="WUP86" s="0"/>
      <c r="WUQ86" s="0"/>
      <c r="WUR86" s="0"/>
      <c r="WUS86" s="0"/>
      <c r="WUT86" s="0"/>
      <c r="WUU86" s="0"/>
      <c r="WUV86" s="0"/>
      <c r="WUW86" s="0"/>
      <c r="WUX86" s="0"/>
      <c r="WUY86" s="0"/>
      <c r="WUZ86" s="0"/>
      <c r="WVA86" s="0"/>
      <c r="WVB86" s="0"/>
      <c r="WVC86" s="0"/>
      <c r="WVD86" s="0"/>
      <c r="WVE86" s="0"/>
      <c r="WVF86" s="0"/>
      <c r="WVG86" s="0"/>
      <c r="WVH86" s="0"/>
      <c r="WVI86" s="0"/>
      <c r="WVJ86" s="0"/>
      <c r="WVK86" s="0"/>
      <c r="WVL86" s="0"/>
      <c r="WVM86" s="0"/>
      <c r="WVN86" s="0"/>
      <c r="WVO86" s="0"/>
      <c r="WVP86" s="0"/>
      <c r="WVQ86" s="0"/>
      <c r="WVR86" s="0"/>
      <c r="WVS86" s="0"/>
      <c r="WVT86" s="0"/>
      <c r="WVU86" s="0"/>
      <c r="WVV86" s="0"/>
      <c r="WVW86" s="0"/>
      <c r="WVX86" s="0"/>
      <c r="WVY86" s="0"/>
      <c r="WVZ86" s="0"/>
      <c r="WWA86" s="0"/>
      <c r="WWB86" s="0"/>
      <c r="WWC86" s="0"/>
      <c r="WWD86" s="0"/>
      <c r="WWE86" s="0"/>
      <c r="WWF86" s="0"/>
      <c r="WWG86" s="0"/>
      <c r="WWH86" s="0"/>
      <c r="WWI86" s="0"/>
      <c r="WWJ86" s="0"/>
      <c r="WWK86" s="0"/>
      <c r="WWL86" s="0"/>
      <c r="WWM86" s="0"/>
      <c r="WWN86" s="0"/>
      <c r="WWO86" s="0"/>
      <c r="WWP86" s="0"/>
      <c r="WWQ86" s="0"/>
      <c r="WWR86" s="0"/>
      <c r="WWS86" s="0"/>
      <c r="WWT86" s="0"/>
      <c r="WWU86" s="0"/>
      <c r="WWV86" s="0"/>
      <c r="WWW86" s="0"/>
      <c r="WWX86" s="0"/>
      <c r="WWY86" s="0"/>
      <c r="WWZ86" s="0"/>
      <c r="WXA86" s="0"/>
      <c r="WXB86" s="0"/>
      <c r="WXC86" s="0"/>
      <c r="WXD86" s="0"/>
      <c r="WXE86" s="0"/>
      <c r="WXF86" s="0"/>
      <c r="WXG86" s="0"/>
      <c r="WXH86" s="0"/>
      <c r="WXI86" s="0"/>
      <c r="WXJ86" s="0"/>
      <c r="WXK86" s="0"/>
      <c r="WXL86" s="0"/>
      <c r="WXM86" s="0"/>
      <c r="WXN86" s="0"/>
      <c r="WXO86" s="0"/>
      <c r="WXP86" s="0"/>
      <c r="WXQ86" s="0"/>
      <c r="WXR86" s="0"/>
      <c r="WXS86" s="0"/>
      <c r="WXT86" s="0"/>
      <c r="WXU86" s="0"/>
      <c r="WXV86" s="0"/>
      <c r="WXW86" s="0"/>
      <c r="WXX86" s="0"/>
      <c r="WXY86" s="0"/>
      <c r="WXZ86" s="0"/>
      <c r="WYA86" s="0"/>
      <c r="WYB86" s="0"/>
      <c r="WYC86" s="0"/>
      <c r="WYD86" s="0"/>
      <c r="WYE86" s="0"/>
      <c r="WYF86" s="0"/>
      <c r="WYG86" s="0"/>
      <c r="WYH86" s="0"/>
      <c r="WYI86" s="0"/>
      <c r="WYJ86" s="0"/>
      <c r="WYK86" s="0"/>
      <c r="WYL86" s="0"/>
      <c r="WYM86" s="0"/>
      <c r="WYN86" s="0"/>
      <c r="WYO86" s="0"/>
      <c r="WYP86" s="0"/>
      <c r="WYQ86" s="0"/>
      <c r="WYR86" s="0"/>
      <c r="WYS86" s="0"/>
      <c r="WYT86" s="0"/>
      <c r="WYU86" s="0"/>
      <c r="WYV86" s="0"/>
      <c r="WYW86" s="0"/>
      <c r="WYX86" s="0"/>
      <c r="WYY86" s="0"/>
      <c r="WYZ86" s="0"/>
      <c r="WZA86" s="0"/>
      <c r="WZB86" s="0"/>
      <c r="WZC86" s="0"/>
      <c r="WZD86" s="0"/>
      <c r="WZE86" s="0"/>
      <c r="WZF86" s="0"/>
      <c r="WZG86" s="0"/>
      <c r="WZH86" s="0"/>
      <c r="WZI86" s="0"/>
      <c r="WZJ86" s="0"/>
      <c r="WZK86" s="0"/>
      <c r="WZL86" s="0"/>
      <c r="WZM86" s="0"/>
      <c r="WZN86" s="0"/>
      <c r="WZO86" s="0"/>
      <c r="WZP86" s="0"/>
      <c r="WZQ86" s="0"/>
      <c r="WZR86" s="0"/>
      <c r="WZS86" s="0"/>
      <c r="WZT86" s="0"/>
      <c r="WZU86" s="0"/>
      <c r="WZV86" s="0"/>
      <c r="WZW86" s="0"/>
      <c r="WZX86" s="0"/>
      <c r="WZY86" s="0"/>
      <c r="WZZ86" s="0"/>
      <c r="XAA86" s="0"/>
      <c r="XAB86" s="0"/>
      <c r="XAC86" s="0"/>
      <c r="XAD86" s="0"/>
      <c r="XAE86" s="0"/>
      <c r="XAF86" s="0"/>
      <c r="XAG86" s="0"/>
      <c r="XAH86" s="0"/>
      <c r="XAI86" s="0"/>
      <c r="XAJ86" s="0"/>
      <c r="XAK86" s="0"/>
      <c r="XAL86" s="0"/>
      <c r="XAM86" s="0"/>
      <c r="XAN86" s="0"/>
      <c r="XAO86" s="0"/>
      <c r="XAP86" s="0"/>
      <c r="XAQ86" s="0"/>
      <c r="XAR86" s="0"/>
      <c r="XAS86" s="0"/>
      <c r="XAT86" s="0"/>
      <c r="XAU86" s="0"/>
      <c r="XAV86" s="0"/>
      <c r="XAW86" s="0"/>
      <c r="XAX86" s="0"/>
      <c r="XAY86" s="0"/>
      <c r="XAZ86" s="0"/>
      <c r="XBA86" s="0"/>
      <c r="XBB86" s="0"/>
      <c r="XBC86" s="0"/>
      <c r="XBD86" s="0"/>
      <c r="XBE86" s="0"/>
      <c r="XBF86" s="0"/>
      <c r="XBG86" s="0"/>
      <c r="XBH86" s="0"/>
      <c r="XBI86" s="0"/>
      <c r="XBJ86" s="0"/>
      <c r="XBK86" s="0"/>
      <c r="XBL86" s="0"/>
      <c r="XBM86" s="0"/>
      <c r="XBN86" s="0"/>
      <c r="XBO86" s="0"/>
      <c r="XBP86" s="0"/>
      <c r="XBQ86" s="0"/>
      <c r="XBR86" s="0"/>
      <c r="XBS86" s="0"/>
      <c r="XBT86" s="0"/>
      <c r="XBU86" s="0"/>
      <c r="XBV86" s="0"/>
      <c r="XBW86" s="0"/>
      <c r="XBX86" s="0"/>
      <c r="XBY86" s="0"/>
      <c r="XBZ86" s="0"/>
      <c r="XCA86" s="0"/>
      <c r="XCB86" s="0"/>
      <c r="XCC86" s="0"/>
      <c r="XCD86" s="0"/>
      <c r="XCE86" s="0"/>
      <c r="XCF86" s="0"/>
      <c r="XCG86" s="0"/>
      <c r="XCH86" s="0"/>
      <c r="XCI86" s="0"/>
      <c r="XCJ86" s="0"/>
      <c r="XCK86" s="0"/>
      <c r="XCL86" s="0"/>
      <c r="XCM86" s="0"/>
      <c r="XCN86" s="0"/>
      <c r="XCO86" s="0"/>
      <c r="XCP86" s="0"/>
      <c r="XCQ86" s="0"/>
      <c r="XCR86" s="0"/>
      <c r="XCS86" s="0"/>
      <c r="XCT86" s="0"/>
      <c r="XCU86" s="0"/>
      <c r="XCV86" s="0"/>
      <c r="XCW86" s="0"/>
      <c r="XCX86" s="0"/>
      <c r="XCY86" s="0"/>
      <c r="XCZ86" s="0"/>
      <c r="XDA86" s="0"/>
      <c r="XDB86" s="0"/>
      <c r="XDC86" s="0"/>
      <c r="XDD86" s="0"/>
      <c r="XDE86" s="0"/>
      <c r="XDF86" s="0"/>
      <c r="XDG86" s="0"/>
      <c r="XDH86" s="0"/>
      <c r="XDI86" s="0"/>
      <c r="XDJ86" s="0"/>
      <c r="XDK86" s="0"/>
      <c r="XDL86" s="0"/>
      <c r="XDM86" s="0"/>
      <c r="XDN86" s="0"/>
      <c r="XDO86" s="0"/>
      <c r="XDP86" s="0"/>
      <c r="XDQ86" s="0"/>
      <c r="XDR86" s="0"/>
      <c r="XDS86" s="0"/>
      <c r="XDT86" s="0"/>
      <c r="XDU86" s="0"/>
      <c r="XDV86" s="0"/>
      <c r="XDW86" s="0"/>
      <c r="XDX86" s="0"/>
      <c r="XDY86" s="0"/>
      <c r="XDZ86" s="0"/>
      <c r="XEA86" s="0"/>
      <c r="XEB86" s="0"/>
      <c r="XEC86" s="0"/>
      <c r="XED86" s="0"/>
      <c r="XEE86" s="0"/>
      <c r="XEF86" s="0"/>
      <c r="XEG86" s="0"/>
      <c r="XEH86" s="0"/>
      <c r="XEI86" s="0"/>
      <c r="XEJ86" s="0"/>
      <c r="XEK86" s="0"/>
      <c r="XEL86" s="0"/>
      <c r="XEM86" s="0"/>
      <c r="XEN86" s="0"/>
      <c r="XEO86" s="0"/>
      <c r="XEP86" s="0"/>
      <c r="XEQ86" s="0"/>
      <c r="XER86" s="0"/>
      <c r="XES86" s="0"/>
      <c r="XET86" s="0"/>
      <c r="XEU86" s="0"/>
      <c r="XEV86" s="0"/>
      <c r="XEW86" s="0"/>
      <c r="XEX86" s="0"/>
      <c r="XEY86" s="0"/>
      <c r="XEZ86" s="0"/>
      <c r="XFA86" s="0"/>
      <c r="XFB86" s="0"/>
      <c r="XFC86" s="0"/>
      <c r="XFD86" s="0"/>
    </row>
    <row r="87" s="19" customFormat="true" ht="13.8" hidden="false" customHeight="false" outlineLevel="0" collapsed="false">
      <c r="A87" s="19" t="s">
        <v>510</v>
      </c>
      <c r="B87" s="19" t="s">
        <v>511</v>
      </c>
      <c r="C87" s="19" t="n">
        <v>487</v>
      </c>
      <c r="E87" s="19" t="n">
        <v>518</v>
      </c>
      <c r="F87" s="19" t="s">
        <v>89</v>
      </c>
      <c r="G87" s="19" t="s">
        <v>90</v>
      </c>
      <c r="H87" s="19" t="s">
        <v>372</v>
      </c>
      <c r="I87" s="19" t="s">
        <v>389</v>
      </c>
      <c r="J87" s="19" t="n">
        <v>2018</v>
      </c>
      <c r="M87" s="19" t="n">
        <v>6</v>
      </c>
      <c r="N87" s="19" t="n">
        <v>4800</v>
      </c>
      <c r="O87" s="25" t="n">
        <v>2700</v>
      </c>
      <c r="P87" s="26"/>
      <c r="Q87" s="26"/>
      <c r="R87" s="26"/>
      <c r="S87" s="26"/>
      <c r="T87" s="26"/>
      <c r="U87" s="26"/>
      <c r="V87" s="26"/>
      <c r="W87" s="19" t="n">
        <v>204</v>
      </c>
      <c r="X87" s="25"/>
      <c r="Y87" s="19" t="n">
        <v>6</v>
      </c>
      <c r="Z87" s="19" t="n">
        <v>225</v>
      </c>
      <c r="AA87" s="27" t="n">
        <f aca="false">IF(AND(W87&gt;0,Z87&gt;0),(Z87/((W87+X87)*10)),"")</f>
        <v>0.110294117647059</v>
      </c>
      <c r="AB87" s="19" t="n">
        <v>85</v>
      </c>
      <c r="AC87" s="19" t="n">
        <f aca="false">ROUND(AB87*1.6, 0)</f>
        <v>136</v>
      </c>
      <c r="AF87" s="19" t="n">
        <v>20.2</v>
      </c>
      <c r="AG87" s="19" t="n">
        <v>20.2</v>
      </c>
      <c r="AJ87" s="28" t="n">
        <v>60</v>
      </c>
      <c r="AK87" s="19" t="str">
        <f aca="false">CONCATENATE(VLOOKUP(AL87, 'Voxel Sizes'!$A$2:$B$18,2,FALSE()),"x",INT(AH87*15), "x", INT(AI87*15))</f>
        <v>198x0x0</v>
      </c>
      <c r="AL87" s="19" t="n">
        <f aca="false">ROUND(15*((AG87*10)/256),0)</f>
        <v>12</v>
      </c>
      <c r="AN87" s="1" t="str">
        <f aca="false">CONCATENATE(VLOOKUP(AL87,Constants!$A$2:$C$16,IF(AM87&lt;&gt;"", 3, 2), FALSE()),IF(AM87&lt;&gt;"",CONCATENATE(",",VLOOKUP(AM87,$B:$AN,38,FALSE())),""))</f>
        <v>4,4,4</v>
      </c>
      <c r="AP87" s="29"/>
      <c r="AQ87" s="29"/>
      <c r="AR87" s="19" t="s">
        <v>512</v>
      </c>
      <c r="AS87" s="19" t="s">
        <v>513</v>
      </c>
      <c r="AT87" s="19" t="s">
        <v>514</v>
      </c>
      <c r="AX87" s="19" t="n">
        <v>30</v>
      </c>
      <c r="AY87" s="30" t="str">
        <f aca="false">IF(L87&lt;&gt;"",MAX(16,(L87-J87)+8),"")</f>
        <v/>
      </c>
      <c r="AZ87" s="19" t="n">
        <v>-15</v>
      </c>
      <c r="BA87" s="19" t="n">
        <v>-30</v>
      </c>
      <c r="BB87" s="19" t="n">
        <f aca="false">MIN(AB87/150, 1)*30</f>
        <v>17</v>
      </c>
      <c r="BC87" s="19" t="n">
        <f aca="false">MIN(N87/4000, 1)*20</f>
        <v>20</v>
      </c>
      <c r="BD87" s="19" t="n">
        <f aca="false">MIN(Z87/400,1)*20</f>
        <v>11.25</v>
      </c>
      <c r="BE87" s="27" t="n">
        <f aca="false">1-(MAX(J87-1900, 0)/750)</f>
        <v>0.842666666666667</v>
      </c>
      <c r="BF87" s="19" t="n">
        <f aca="false">((MAX($M87,1)*MIN($AJ87/300,1)))*IF(G87="Wagon",50,10)</f>
        <v>12</v>
      </c>
      <c r="BG87" s="1" t="n">
        <f aca="false">VLOOKUP($H87,Constants!$I:$K, 2, FALSE())</f>
        <v>0.85</v>
      </c>
      <c r="BH87" s="1" t="n">
        <f aca="false">VLOOKUP($H87,Constants!$I:$K, 3, FALSE())*IF(AND(G87="multiple_unit",AB87&lt;110),0.75,1)</f>
        <v>1.8</v>
      </c>
      <c r="BI87" s="1" t="n">
        <f aca="false">INT(POWER(((Constants!$G$2+$BB87+$BC87+$BD87+$BF87)*$BE87)*$BH87, 1.05))+$BA87</f>
        <v>94</v>
      </c>
      <c r="BJ87" s="1" t="n">
        <f aca="false">INT(POWER((((Constants!$G$1+$BB87+$BC87+$BD87+$BF87)*($BE87))*$BG87),IF($G87="wagon",1,1.2)))+$AZ87</f>
        <v>104</v>
      </c>
      <c r="BK87" s="31" t="n">
        <f aca="false">BI87*IF($G87="wagon",62.5,781.25)</f>
        <v>73437.5</v>
      </c>
      <c r="BL87" s="31" t="n">
        <f aca="false">BJ87*IF($G87="wagon",2.73,81.25)</f>
        <v>8450</v>
      </c>
      <c r="BS87" s="19" t="s">
        <v>463</v>
      </c>
      <c r="BT87" s="19" t="n">
        <v>3</v>
      </c>
      <c r="BX87" s="19" t="s">
        <v>95</v>
      </c>
      <c r="BY87" s="1" t="s">
        <v>482</v>
      </c>
      <c r="BZ87" s="32" t="s">
        <v>97</v>
      </c>
      <c r="CA87" s="19" t="str">
        <f aca="false">CONCATENATE(BY87,"_",BZ87)</f>
        <v>mod_EMU</v>
      </c>
      <c r="CB87" s="19" t="str">
        <f aca="false">_xlfn.CONCAT(H87, "_",I87)</f>
        <v>dual_electric_DUAL_POWER</v>
      </c>
      <c r="CC87" s="33" t="str">
        <f aca="false" t="array" ref="CC87:CC87">_xlfn.CONCAT("{BLACK}Length: {GOLD}", TEXT(ROUNDUP(IF(AQ87&lt;&gt;"",SUM(VALUE(_xlfn.TEXTSPLIT(AQ87, ","))), SUM(VALUE(_xlfn.TEXTSPLIT(AN87, ",")))*IF(M87, M87, 1))/16, 1), "#,##0.0"), " tiles{}")</f>
        <v>{BLACK}Length: {GOLD}4.5 tiles{}</v>
      </c>
      <c r="CD87" s="1" t="str">
        <f aca="false">VLOOKUP($CB87, Constants!$M:$N, 2, FALSE())</f>
        <v>{BLACK}Powered by: {GOLD}25kV AC / 750V DC</v>
      </c>
      <c r="CE87" s="19" t="str">
        <f aca="false">IF(M87&gt;1,_xlfn.CONCAT("{BLACK}Cars: {GOLD}", M87),"")</f>
        <v>{BLACK}Cars: {GOLD}6</v>
      </c>
      <c r="CF87" s="19" t="s">
        <v>515</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
      </c>
      <c r="CH87" s="1" t="str">
        <f aca="false">_xlfn.CONCAT(CD87,IF(CD87 &lt;&gt; "", " ", ""),CE87,IF(OR(CE87&lt;&gt;"", CD87&lt;&gt;""), "{}",""), CC87, CG87,"{SILVER}", CF87)</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88" s="19" customFormat="true" ht="13.8" hidden="false" customHeight="false" outlineLevel="0" collapsed="false">
      <c r="A88" s="19" t="s">
        <v>516</v>
      </c>
      <c r="B88" s="19" t="s">
        <v>517</v>
      </c>
      <c r="C88" s="19" t="n">
        <v>488</v>
      </c>
      <c r="E88" s="19" t="n">
        <v>519</v>
      </c>
      <c r="F88" s="19" t="s">
        <v>89</v>
      </c>
      <c r="G88" s="19" t="s">
        <v>90</v>
      </c>
      <c r="H88" s="19" t="s">
        <v>91</v>
      </c>
      <c r="I88" s="19" t="s">
        <v>92</v>
      </c>
      <c r="J88" s="19" t="n">
        <v>2020</v>
      </c>
      <c r="M88" s="19" t="n">
        <v>12</v>
      </c>
      <c r="N88" s="19" t="n">
        <v>7000</v>
      </c>
      <c r="O88" s="25" t="n">
        <v>2700</v>
      </c>
      <c r="P88" s="26"/>
      <c r="Q88" s="26"/>
      <c r="R88" s="26"/>
      <c r="S88" s="26"/>
      <c r="T88" s="26"/>
      <c r="U88" s="26"/>
      <c r="V88" s="26"/>
      <c r="W88" s="19" t="n">
        <v>204</v>
      </c>
      <c r="X88" s="25"/>
      <c r="Y88" s="19" t="n">
        <v>5</v>
      </c>
      <c r="Z88" s="19" t="n">
        <v>400</v>
      </c>
      <c r="AA88" s="27" t="n">
        <f aca="false">IF(AND(W88&gt;0,Z88&gt;0),(Z88/((W88+X88)*10)),"")</f>
        <v>0.196078431372549</v>
      </c>
      <c r="AB88" s="19" t="n">
        <v>100</v>
      </c>
      <c r="AC88" s="19" t="n">
        <f aca="false">ROUND(AB88*1.6, 0)</f>
        <v>160</v>
      </c>
      <c r="AF88" s="19" t="n">
        <v>19.7</v>
      </c>
      <c r="AG88" s="19" t="n">
        <v>20</v>
      </c>
      <c r="AJ88" s="28" t="n">
        <v>60</v>
      </c>
      <c r="AK88" s="19" t="str">
        <f aca="false">CONCATENATE(VLOOKUP(AL88, 'Voxel Sizes'!$A$2:$B$18,2,FALSE()),"x",INT(AH88*15), "x", INT(AI88*15))</f>
        <v>198x0x0</v>
      </c>
      <c r="AL88" s="19" t="n">
        <f aca="false">ROUND(15*((AG88*10)/256),0)</f>
        <v>12</v>
      </c>
      <c r="AN88" s="1" t="str">
        <f aca="false">CONCATENATE(VLOOKUP(AL88,Constants!$A$2:$C$16,IF(AM88&lt;&gt;"", 3, 2), FALSE()),IF(AM88&lt;&gt;"",CONCATENATE(",",VLOOKUP(AM88,$B:$AN,38,FALSE())),""))</f>
        <v>4,4,4</v>
      </c>
      <c r="AO88" s="19" t="s">
        <v>518</v>
      </c>
      <c r="AP88" s="29"/>
      <c r="AQ88" s="29"/>
      <c r="AR88"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88" s="19" t="str">
        <f aca="false">STAD_745_NS</f>
        <v>1,1,1,1,0,0,0,0,0,0,1,1</v>
      </c>
      <c r="AU88" s="19" t="s">
        <v>519</v>
      </c>
      <c r="AX88" s="19" t="n">
        <v>30</v>
      </c>
      <c r="AY88" s="30" t="str">
        <f aca="false">IF(L88&lt;&gt;"",MAX(16,(L88-J88)+8),"")</f>
        <v/>
      </c>
      <c r="AZ88" s="19" t="n">
        <v>-15</v>
      </c>
      <c r="BA88" s="19" t="n">
        <v>-30</v>
      </c>
      <c r="BB88" s="19" t="n">
        <f aca="false">MIN(AB88/150, 1)*30</f>
        <v>20</v>
      </c>
      <c r="BC88" s="19" t="n">
        <f aca="false">MIN(N88/4000, 1)*20</f>
        <v>20</v>
      </c>
      <c r="BD88" s="19" t="n">
        <f aca="false">MIN(Z88/400,1)*20</f>
        <v>20</v>
      </c>
      <c r="BE88" s="27" t="n">
        <f aca="false">1-(MAX(J88-1900, 0)/750)</f>
        <v>0.84</v>
      </c>
      <c r="BF88" s="19" t="n">
        <f aca="false">((MAX($M88,1)*MIN($AJ88/300,1)))*IF(G88="Wagon",50,10)</f>
        <v>24</v>
      </c>
      <c r="BG88" s="1" t="n">
        <f aca="false">VLOOKUP($H88,Constants!$I:$K, 2, FALSE())</f>
        <v>0.85</v>
      </c>
      <c r="BH88" s="1" t="n">
        <f aca="false">VLOOKUP($H88,Constants!$I:$K, 3, FALSE())*IF(AND(G88="multiple_unit",AB88&lt;110),0.75,1)</f>
        <v>1.725</v>
      </c>
      <c r="BI88" s="1" t="n">
        <f aca="false">INT(POWER(((Constants!$G$2+$BB88+$BC88+$BD88+$BF88)*$BE88)*$BH88, 1.05))+$BA88</f>
        <v>134</v>
      </c>
      <c r="BJ88" s="1" t="n">
        <f aca="false">INT(POWER((((Constants!$G$1+$BB88+$BC88+$BD88+$BF88)*($BE88))*$BG88),IF($G88="wagon",1,1.2)))+$AZ88</f>
        <v>150</v>
      </c>
      <c r="BK88" s="31" t="n">
        <f aca="false">BI88*IF($G88="wagon",62.5,781.25)</f>
        <v>104687.5</v>
      </c>
      <c r="BL88" s="31" t="n">
        <f aca="false">BJ88*IF($G88="wagon",2.73,81.25)</f>
        <v>12187.5</v>
      </c>
      <c r="BS88" s="19" t="s">
        <v>203</v>
      </c>
      <c r="BT88" s="19" t="n">
        <v>2</v>
      </c>
      <c r="BX88" s="19" t="s">
        <v>95</v>
      </c>
      <c r="BY88" s="1" t="s">
        <v>482</v>
      </c>
      <c r="BZ88" s="32" t="s">
        <v>97</v>
      </c>
      <c r="CA88" s="19" t="str">
        <f aca="false">CONCATENATE(BY88,"_",BZ88)</f>
        <v>mod_EMU</v>
      </c>
      <c r="CB88" s="19" t="str">
        <f aca="false">_xlfn.CONCAT(H88, "_",I88)</f>
        <v>electric_ELRL</v>
      </c>
      <c r="CC88" s="33" t="str">
        <f aca="false" t="array" ref="CC88:CC88">_xlfn.CONCAT("{BLACK}Length: {GOLD}", TEXT(ROUNDUP(IF(AQ88&lt;&gt;"",SUM(VALUE(_xlfn.TEXTSPLIT(AQ88, ","))), SUM(VALUE(_xlfn.TEXTSPLIT(AN88, ",")))*IF(M88, M88, 1))/16, 1), "#,##0.0"), " tiles{}")</f>
        <v>{BLACK}Length: {GOLD}9.0 tiles{}</v>
      </c>
      <c r="CD88" s="1" t="str">
        <f aca="false">VLOOKUP($CB88, Constants!$M:$N, 2, FALSE())</f>
        <v>{BLACK}Powered by: {GOLD}25kV AC</v>
      </c>
      <c r="CE88" s="19" t="str">
        <f aca="false">IF(M88&gt;1,_xlfn.CONCAT("{BLACK}Cars: {GOLD}", M88),"")</f>
        <v>{BLACK}Cars: {GOLD}12</v>
      </c>
      <c r="CF88" s="19" t="s">
        <v>520</v>
      </c>
      <c r="CG88" s="1" t="str">
        <f aca="false">IF(BW88="buffet","{YELLOW}25% long distance bonus for consist{}",IF(BY88="BRAKE","{YELLOW}Speed bonus for slow wagons{}",IF(BU88&gt;190,CONCATENATE("{YELLOW}",INT((BU88-185)/1.85),"% bonus for long distance travel{}"),IF(AND(BU88&lt;180,BU88&lt;&gt;0),CONCATENATE("{YELLOW}",INT((185-BU88)/1.85),"% penalty for long distance travel{}"),""))))</f>
        <v/>
      </c>
      <c r="CH88" s="1" t="str">
        <f aca="false">_xlfn.CONCAT(CD88,IF(CD88 &lt;&gt; "", " ", ""),CE88,IF(OR(CE88&lt;&gt;"", CD88&lt;&gt;""), "{}",""), CC88, CG88,"{SILVER}", CF88)</f>
        <v>{BLACK}Powered by: {GOLD}25kV AC {BLACK}Cars: {GOLD}12{}{BLACK}Length: {GOLD}9.0 tiles{}{SILVER}Stadler’s Class 745 units replaced Class 90 hauled trains on the GEML. The semi-articulated design was required to meet crashworthiness specifications.</v>
      </c>
    </row>
    <row r="89" customFormat="false" ht="13.8" hidden="false" customHeight="false" outlineLevel="0" collapsed="false">
      <c r="A89" s="1" t="s">
        <v>521</v>
      </c>
      <c r="B89" s="1" t="s">
        <v>522</v>
      </c>
      <c r="C89" s="1" t="n">
        <v>490</v>
      </c>
      <c r="E89" s="1" t="n">
        <v>520</v>
      </c>
      <c r="F89" s="1" t="s">
        <v>89</v>
      </c>
      <c r="G89" s="1" t="s">
        <v>90</v>
      </c>
      <c r="H89" s="1" t="s">
        <v>255</v>
      </c>
      <c r="I89" s="1" t="s">
        <v>92</v>
      </c>
      <c r="J89" s="1" t="n">
        <v>2022</v>
      </c>
      <c r="M89" s="1" t="n">
        <v>5</v>
      </c>
      <c r="N89" s="1" t="n">
        <v>4800</v>
      </c>
      <c r="O89" s="2" t="n">
        <v>3950</v>
      </c>
      <c r="W89" s="1" t="n">
        <v>235</v>
      </c>
      <c r="Y89" s="1" t="n">
        <v>5</v>
      </c>
      <c r="Z89" s="1" t="n">
        <v>195</v>
      </c>
      <c r="AA89" s="4" t="n">
        <f aca="false">IF(AND(W89&gt;0,Z89&gt;0),(Z89/((W89+X89)*10)),"")</f>
        <v>0.0829787234042553</v>
      </c>
      <c r="AB89" s="1" t="n">
        <v>125</v>
      </c>
      <c r="AC89" s="1" t="n">
        <f aca="false">ROUND(AB89*1.6, 0)</f>
        <v>200</v>
      </c>
      <c r="AF89" s="1" t="n">
        <v>24</v>
      </c>
      <c r="AG89" s="1" t="n">
        <v>22</v>
      </c>
      <c r="AJ89" s="5" t="n">
        <v>60</v>
      </c>
      <c r="AK89" s="19" t="str">
        <f aca="false">CONCATENATE(VLOOKUP(AL89, 'Voxel Sizes'!$A$2:$B$18,2,FALSE()),"x",INT(AH89*15), "x", INT(AI89*15))</f>
        <v>214x0x0</v>
      </c>
      <c r="AL89" s="1" t="n">
        <f aca="false">ROUND(15*((AG89*10)/256),0)</f>
        <v>13</v>
      </c>
      <c r="AN89" s="1" t="str">
        <f aca="false">CONCATENATE(VLOOKUP(AL89,Constants!$A$2:$C$16,IF(AM89&lt;&gt;"", 3, 2), FALSE()),IF(AM89&lt;&gt;"",CONCATENATE(",",VLOOKUP(AM89,$B:$AN,38,FALSE())),""))</f>
        <v>4,5,4</v>
      </c>
      <c r="AO89" s="1" t="n">
        <v>12</v>
      </c>
      <c r="AR89" s="1" t="s">
        <v>523</v>
      </c>
      <c r="AS89" s="1" t="s">
        <v>524</v>
      </c>
      <c r="AT89" s="1" t="s">
        <v>480</v>
      </c>
      <c r="AX89" s="1" t="n">
        <v>30</v>
      </c>
      <c r="AY89" s="6" t="str">
        <f aca="false">IF(L89&lt;&gt;"",MAX(16,(L89-J89)+8),"")</f>
        <v/>
      </c>
      <c r="AZ89" s="1" t="n">
        <v>-15</v>
      </c>
      <c r="BA89" s="1" t="n">
        <v>-30</v>
      </c>
      <c r="BB89" s="1" t="n">
        <f aca="false">MIN(AB89/150, 1)*30</f>
        <v>25</v>
      </c>
      <c r="BC89" s="1" t="n">
        <f aca="false">MIN(N89/4000, 1)*20</f>
        <v>20</v>
      </c>
      <c r="BD89" s="1" t="n">
        <f aca="false">MIN(Z89/400,1)*20</f>
        <v>9.75</v>
      </c>
      <c r="BE89" s="4" t="n">
        <f aca="false">1-(MAX(J89-1900, 0)/750)</f>
        <v>0.837333333333333</v>
      </c>
      <c r="BF89" s="1" t="n">
        <f aca="false">((MAX($M89,1)*MIN($AJ89/300,1)))*IF(G89="Wagon",50,10)</f>
        <v>10</v>
      </c>
      <c r="BG89" s="1" t="n">
        <f aca="false">VLOOKUP($H89,Constants!$I:$K, 2, FALSE())</f>
        <v>0.9</v>
      </c>
      <c r="BH89" s="1" t="n">
        <f aca="false">VLOOKUP($H89,Constants!$I:$K, 3, FALSE())*IF(AND(G89="multiple_unit",AB89&lt;110),0.75,1)</f>
        <v>2.5</v>
      </c>
      <c r="BI89" s="1" t="n">
        <f aca="false">INT(POWER(((Constants!$G$2+$BB89+$BC89+$BD89+$BF89)*$BE89)*$BH89, 1.05))+$BA89</f>
        <v>157</v>
      </c>
      <c r="BJ89" s="1" t="n">
        <f aca="false">INT(POWER((((Constants!$G$1+$BB89+$BC89+$BD89+$BF89)*($BE89))*$BG89),IF($G89="wagon",1,1.2)))+$AZ89</f>
        <v>121</v>
      </c>
      <c r="BK89" s="20" t="n">
        <f aca="false">BI89*IF($G89="wagon",62.5,781.25)</f>
        <v>122656.25</v>
      </c>
      <c r="BL89" s="20" t="n">
        <f aca="false">BJ89*IF($G89="wagon",2.73,81.25)</f>
        <v>9831.25</v>
      </c>
      <c r="BS89" s="1" t="s">
        <v>463</v>
      </c>
      <c r="BT89" s="1" t="n">
        <v>10</v>
      </c>
      <c r="BU89" s="1" t="n">
        <v>222</v>
      </c>
      <c r="BX89" s="1" t="s">
        <v>95</v>
      </c>
      <c r="BY89" s="1" t="s">
        <v>482</v>
      </c>
      <c r="BZ89" s="18" t="s">
        <v>226</v>
      </c>
      <c r="CA89" s="1" t="str">
        <f aca="false">CONCATENATE(BY89,"_",BZ89)</f>
        <v>mod_EMU (Express)</v>
      </c>
      <c r="CB89" s="1" t="str">
        <f aca="false">_xlfn.CONCAT(H89, "_",I89)</f>
        <v>dual_power_ELRL</v>
      </c>
      <c r="CC89" s="21" t="str">
        <f aca="false">_xlfn.CONCAT("{BLACK}Length: {GOLD}", TEXT(ROUNDUP(IF(AQ89&lt;&gt;"",SUM(VALUE(_xlfn.TEXTSPLIT(AQ89, ","))), SUM(VALUE(_xlfn.TEXTSPLIT(AN89, ",")))*IF(M89, M89, 1))/16, 1), "#,##0.0"), " tiles{}")</f>
        <v>{BLACK}Length: {GOLD}4.1 tiles{}</v>
      </c>
      <c r="CD89" s="1" t="str">
        <f aca="false">VLOOKUP($CB89, Constants!$M:$N, 2, FALSE())</f>
        <v>{BLACK}Powered by: {GOLD}25kV AC / Diesel</v>
      </c>
      <c r="CE89" s="1" t="str">
        <f aca="false">IF(M89&gt;1,_xlfn.CONCAT("{BLACK}Cars: {GOLD}", M89),"")</f>
        <v>{BLACK}Cars: {GOLD}5</v>
      </c>
      <c r="CF89" s="1" t="s">
        <v>525</v>
      </c>
      <c r="CG89" s="1" t="str">
        <f aca="false">IF(BW89="buffet","{YELLOW}25% long distance bonus for consist{}",IF(BY89="BRAKE","{YELLOW}Speed bonus for slow wagons{}",IF(BU89&gt;190,CONCATENATE("{YELLOW}",INT((BU89-185)/1.85),"% bonus for long distance travel{}"),IF(AND(BU89&lt;180,BU89&lt;&gt;0),CONCATENATE("{YELLOW}",INT((185-BU89)/1.85),"% penalty for long distance travel{}"),""))))</f>
        <v>{YELLOW}20% bonus for long distance travel{}</v>
      </c>
      <c r="CH89" s="1" t="str">
        <f aca="false">_xlfn.CONCAT(CD89,IF(CD89 &lt;&gt; "", " ", ""),CE89,IF(OR(CE89&lt;&gt;"", CD89&lt;&gt;""), "{}",""), CC89, CG89,"{SILVER}", CF89)</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89" s="1"/>
      <c r="CJ89" s="1"/>
    </row>
    <row r="90" customFormat="false" ht="13.8" hidden="false" customHeight="false" outlineLevel="0" collapsed="false">
      <c r="A90" s="1" t="s">
        <v>526</v>
      </c>
      <c r="B90" s="1" t="s">
        <v>527</v>
      </c>
      <c r="C90" s="1" t="n">
        <v>20</v>
      </c>
      <c r="E90" s="1" t="n">
        <v>1020</v>
      </c>
      <c r="F90" s="1" t="s">
        <v>89</v>
      </c>
      <c r="G90" s="1" t="s">
        <v>528</v>
      </c>
      <c r="H90" s="1" t="s">
        <v>528</v>
      </c>
      <c r="I90" s="1" t="s">
        <v>153</v>
      </c>
      <c r="J90" s="1" t="n">
        <v>1907</v>
      </c>
      <c r="K90" s="1" t="n">
        <v>1950</v>
      </c>
      <c r="L90" s="1" t="n">
        <v>1961</v>
      </c>
      <c r="W90" s="1" t="n">
        <v>6.4</v>
      </c>
      <c r="Y90" s="1" t="n">
        <v>3</v>
      </c>
      <c r="AA90" s="4" t="str">
        <f aca="false">IF(AND(W90&gt;0,Z90&gt;0),(Z90/((W90+X90)*10)),"")</f>
        <v/>
      </c>
      <c r="AB90" s="1" t="n">
        <v>50</v>
      </c>
      <c r="AC90" s="1" t="n">
        <f aca="false">ROUND(AB90*1.6, 0)</f>
        <v>80</v>
      </c>
      <c r="AF90" s="1" t="n">
        <v>6</v>
      </c>
      <c r="AG90" s="1" t="n">
        <v>8</v>
      </c>
      <c r="AH90" s="1" t="n">
        <v>2.5</v>
      </c>
      <c r="AI90" s="1" t="n">
        <v>3.35</v>
      </c>
      <c r="AJ90" s="5" t="n">
        <v>13</v>
      </c>
      <c r="AK90" s="19" t="str">
        <f aca="false">CONCATENATE(VLOOKUP(AL90, 'Voxel Sizes'!$A$2:$B$18,2,FALSE()),"x",INT(AH90*15), "x", INT(AI90*15))</f>
        <v>82x37x50</v>
      </c>
      <c r="AL90" s="1" t="n">
        <f aca="false">ROUND(15*((AG90*10)/256),0)</f>
        <v>5</v>
      </c>
      <c r="AN90" s="1" t="str">
        <f aca="false">CONCATENATE(VLOOKUP(AL90,Constants!$A$2:$C$16,IF(AM90&lt;&gt;"", 3, 2), FALSE()),IF(AM90&lt;&gt;"",CONCATENATE(",",VLOOKUP(AM90,$B:$AN,38,FALSE())),""))</f>
        <v>2,1,2</v>
      </c>
      <c r="AX90" s="1" t="n">
        <v>30</v>
      </c>
      <c r="AY90" s="6" t="n">
        <f aca="false">IF(L90&lt;&gt;"",MAX(16,(L90-J90)+8),"")</f>
        <v>62</v>
      </c>
      <c r="AZ90" s="1" t="n">
        <v>5</v>
      </c>
      <c r="BA90" s="1" t="n">
        <v>0</v>
      </c>
      <c r="BB90" s="1" t="n">
        <f aca="false">MIN(AB90/150, 1)*30</f>
        <v>10</v>
      </c>
      <c r="BC90" s="1" t="n">
        <f aca="false">MIN(N90/4000, 1)*20</f>
        <v>0</v>
      </c>
      <c r="BD90" s="1" t="n">
        <f aca="false">MIN(Z90/400,1)*20</f>
        <v>0</v>
      </c>
      <c r="BE90" s="4" t="n">
        <f aca="false">1-(MAX(J90-1900, 0)/750)</f>
        <v>0.990666666666667</v>
      </c>
      <c r="BF90" s="1" t="n">
        <f aca="false">((MAX($M90,1)*MIN($AJ90/300,1)))*IF(G90="Wagon",50,10)</f>
        <v>2.16666666666667</v>
      </c>
      <c r="BG90" s="1" t="n">
        <f aca="false">VLOOKUP($H90,Constants!$I:$K, 2, FALSE())</f>
        <v>1</v>
      </c>
      <c r="BH90" s="1" t="n">
        <f aca="false">VLOOKUP($H90,Constants!$I:$K, 3, FALSE())*IF(AND(G90="multiple_unit",AB90&lt;110),0.75,1)</f>
        <v>0.45</v>
      </c>
      <c r="BI90" s="1" t="n">
        <f aca="false">INT(POWER(((Constants!$G$2+$BB90+$BC90+$BD90+$BF90)*$BE90)*$BH90, 1.05))+$BA90</f>
        <v>8</v>
      </c>
      <c r="BJ90" s="1" t="n">
        <f aca="false">INT(POWER((((Constants!$G$1+$BB90+$BC90+$BD90+$BF90)*($BE90))*$BG90),IF($G90="wagon",1,1.2)))+$AZ90</f>
        <v>31</v>
      </c>
      <c r="BK90" s="20" t="n">
        <f aca="false">BI90*IF($G90="wagon",62.5,781.25)</f>
        <v>500</v>
      </c>
      <c r="BL90" s="20" t="n">
        <f aca="false">BJ90*IF($G90="wagon",2.73,81.25)</f>
        <v>84.63</v>
      </c>
      <c r="BT90" s="1" t="n">
        <v>1</v>
      </c>
      <c r="BU90" s="1" t="n">
        <v>185</v>
      </c>
      <c r="BV90" s="18" t="s">
        <v>529</v>
      </c>
      <c r="BW90" s="18"/>
      <c r="BX90" s="1" t="s">
        <v>530</v>
      </c>
      <c r="BY90" s="1" t="str">
        <f aca="false">VLOOKUP(J90,Eras!$A$2:$C$10, 2, TRUE())</f>
        <v>edw</v>
      </c>
      <c r="BZ90" s="18" t="s">
        <v>531</v>
      </c>
      <c r="CA90" s="1" t="str">
        <f aca="false">CONCATENATE(BY90,"_",BZ90)</f>
        <v>edw_Tanker</v>
      </c>
      <c r="CB90" s="1" t="str">
        <f aca="false">_xlfn.CONCAT(H90, "_",I90)</f>
        <v>wagon_RAIL</v>
      </c>
      <c r="CC90" s="21" t="str">
        <f aca="false">_xlfn.CONCAT("{BLACK}Length: {GOLD}", TEXT(ROUNDUP(IF(AQ90&lt;&gt;"",SUM(VALUE(_xlfn.TEXTSPLIT(AQ90, ","))), SUM(VALUE(_xlfn.TEXTSPLIT(AN90, ",")))*IF(M90, M90, 1))/16, 1), "#,##0.0"), " tiles{}")</f>
        <v>{BLACK}Length: {GOLD}0.4 tiles{}</v>
      </c>
      <c r="CD90" s="1" t="str">
        <f aca="false">VLOOKUP($CB90, Constants!$M:$N, 2, FALSE())</f>
        <v/>
      </c>
      <c r="CE90" s="1" t="str">
        <f aca="false">IF(M90&gt;1,_xlfn.CONCAT("{BLACK}Cars: {GOLD}", M90),"")</f>
        <v/>
      </c>
      <c r="CF90" s="1" t="s">
        <v>532</v>
      </c>
      <c r="CG90" s="1" t="str">
        <f aca="false">IF(BW90="buffet","{YELLOW}25% long distance bonus for consist{}",IF(BY90="BRAKE","{YELLOW}Speed bonus for slow wagons{}",IF(BU90&gt;190,CONCATENATE("{YELLOW}",INT((BU90-185)/1.85),"% bonus for long distance travel{}"),IF(AND(BU90&lt;180,BU90&lt;&gt;0),CONCATENATE("{YELLOW}",INT((185-BU90)/1.85),"% penalty for long distance travel{}"),""))))</f>
        <v/>
      </c>
      <c r="CH90" s="1" t="str">
        <f aca="false">_xlfn.CONCAT(CD90,IF(CD90 &lt;&gt; "", " ", ""),CE90,IF(OR(CE90&lt;&gt;"", CD90&lt;&gt;""), "{}",""), CC90, CG90,"{SILVER}", CF90)</f>
        <v>{BLACK}Length: {GOLD}0.4 tiles{}{SILVER}The standard RCH Salt Wagon design of 1907 was long-lived in private ownership and saw some use beyond sodium chloride, which was largely used as part of the chemical industry.</v>
      </c>
      <c r="CI90" s="1"/>
      <c r="CJ90" s="1"/>
    </row>
    <row r="91" customFormat="false" ht="13.8" hidden="false" customHeight="false" outlineLevel="0" collapsed="false">
      <c r="A91" s="1" t="s">
        <v>533</v>
      </c>
      <c r="B91" s="1" t="s">
        <v>534</v>
      </c>
      <c r="C91" s="1" t="n">
        <v>25</v>
      </c>
      <c r="E91" s="1" t="n">
        <v>1025</v>
      </c>
      <c r="F91" s="1" t="s">
        <v>89</v>
      </c>
      <c r="G91" s="1" t="s">
        <v>528</v>
      </c>
      <c r="H91" s="1" t="s">
        <v>528</v>
      </c>
      <c r="I91" s="1" t="s">
        <v>153</v>
      </c>
      <c r="J91" s="1" t="n">
        <v>1955</v>
      </c>
      <c r="K91" s="1" t="n">
        <v>1980</v>
      </c>
      <c r="L91" s="1" t="n">
        <v>1987</v>
      </c>
      <c r="W91" s="1" t="n">
        <v>13.4</v>
      </c>
      <c r="Y91" s="1" t="n">
        <v>5</v>
      </c>
      <c r="AA91" s="4" t="str">
        <f aca="false">IF(AND(W91&gt;0,Z91&gt;0),(Z91/((W91+X91)*10)),"")</f>
        <v/>
      </c>
      <c r="AB91" s="1" t="n">
        <v>50</v>
      </c>
      <c r="AC91" s="1" t="n">
        <f aca="false">ROUND(AB91*1.6, 0)</f>
        <v>80</v>
      </c>
      <c r="AF91" s="1" t="n">
        <v>6</v>
      </c>
      <c r="AG91" s="1" t="n">
        <v>8</v>
      </c>
      <c r="AH91" s="1" t="n">
        <v>2.5</v>
      </c>
      <c r="AI91" s="1" t="n">
        <v>3.35</v>
      </c>
      <c r="AJ91" s="5" t="n">
        <v>20</v>
      </c>
      <c r="AK91" s="19" t="str">
        <f aca="false">CONCATENATE(VLOOKUP(AL91, 'Voxel Sizes'!$A$2:$B$18,2,FALSE()),"x",INT(AH91*15), "x", INT(AI91*15))</f>
        <v>82x37x50</v>
      </c>
      <c r="AL91" s="1" t="n">
        <f aca="false">ROUND(15*((AG91*10)/256),0)</f>
        <v>5</v>
      </c>
      <c r="AN91" s="1" t="str">
        <f aca="false">CONCATENATE(VLOOKUP(AL91,Constants!$A$2:$C$16,IF(AM91&lt;&gt;"", 3, 2), FALSE()),IF(AM91&lt;&gt;"",CONCATENATE(",",VLOOKUP(AM91,$B:$AN,38,FALSE())),""))</f>
        <v>2,1,2</v>
      </c>
      <c r="AX91" s="1" t="n">
        <v>30</v>
      </c>
      <c r="AY91" s="6" t="n">
        <f aca="false">IF(L91&lt;&gt;"",MAX(16,(L91-J91)+8),"")</f>
        <v>40</v>
      </c>
      <c r="AZ91" s="1" t="n">
        <v>5</v>
      </c>
      <c r="BB91" s="1" t="n">
        <f aca="false">MIN(AB91/150, 1)*30</f>
        <v>10</v>
      </c>
      <c r="BC91" s="1" t="n">
        <f aca="false">MIN(N91/4000, 1)*20</f>
        <v>0</v>
      </c>
      <c r="BD91" s="1" t="n">
        <f aca="false">MIN(Z91/400,1)*20</f>
        <v>0</v>
      </c>
      <c r="BE91" s="4" t="n">
        <f aca="false">1-(MAX(J91-1900, 0)/750)</f>
        <v>0.926666666666667</v>
      </c>
      <c r="BF91" s="1" t="n">
        <f aca="false">((MAX($M91,1)*MIN($AJ91/300,1)))*IF(G91="Wagon",50,10)</f>
        <v>3.33333333333333</v>
      </c>
      <c r="BG91" s="1" t="n">
        <f aca="false">VLOOKUP($H91,Constants!$I:$K, 2, FALSE())</f>
        <v>1</v>
      </c>
      <c r="BH91" s="1" t="n">
        <f aca="false">VLOOKUP($H91,Constants!$I:$K, 3, FALSE())*IF(AND(G91="multiple_unit",AB91&lt;110),0.75,1)</f>
        <v>0.45</v>
      </c>
      <c r="BI91" s="1" t="n">
        <f aca="false">INT(POWER(((Constants!$G$2+$BB91+$BC91+$BD91+$BF91)*$BE91)*$BH91, 1.05))+$BA91</f>
        <v>8</v>
      </c>
      <c r="BJ91" s="1" t="n">
        <f aca="false">INT(POWER((((Constants!$G$1+$BB91+$BC91+$BD91+$BF91)*($BE91))*$BG91),IF($G91="wagon",1,1.2)))+$AZ91</f>
        <v>31</v>
      </c>
      <c r="BK91" s="20" t="n">
        <f aca="false">BI91*IF($G91="wagon",62.5,781.25)</f>
        <v>500</v>
      </c>
      <c r="BL91" s="20" t="n">
        <f aca="false">BJ91*IF($G91="wagon",2.73,81.25)</f>
        <v>84.63</v>
      </c>
      <c r="BT91" s="1" t="n">
        <v>1</v>
      </c>
      <c r="BU91" s="1" t="n">
        <v>185</v>
      </c>
      <c r="BV91" s="1" t="s">
        <v>529</v>
      </c>
      <c r="BX91" s="1" t="s">
        <v>535</v>
      </c>
      <c r="BY91" s="1" t="str">
        <f aca="false">VLOOKUP(J91,Eras!$A$2:$C$10, 2, TRUE())</f>
        <v>dsl</v>
      </c>
      <c r="BZ91" s="18" t="s">
        <v>531</v>
      </c>
      <c r="CA91" s="1" t="str">
        <f aca="false">CONCATENATE(BY91,"_",BZ91)</f>
        <v>dsl_Tanker</v>
      </c>
      <c r="CB91" s="1" t="str">
        <f aca="false">_xlfn.CONCAT(H91, "_",I91)</f>
        <v>wagon_RAIL</v>
      </c>
      <c r="CC91" s="21" t="str">
        <f aca="false">_xlfn.CONCAT("{BLACK}Length: {GOLD}", TEXT(ROUNDUP(IF(AQ91&lt;&gt;"",SUM(VALUE(_xlfn.TEXTSPLIT(AQ91, ","))), SUM(VALUE(_xlfn.TEXTSPLIT(AN91, ",")))*IF(M91, M91, 1))/16, 1), "#,##0.0"), " tiles{}")</f>
        <v>{BLACK}Length: {GOLD}0.4 tiles{}</v>
      </c>
      <c r="CD91" s="1" t="str">
        <f aca="false">VLOOKUP($CB91, Constants!$M:$N, 2, FALSE())</f>
        <v/>
      </c>
      <c r="CE91" s="1" t="str">
        <f aca="false">IF(M91&gt;1,_xlfn.CONCAT("{BLACK}Cars: {GOLD}", M91),"")</f>
        <v/>
      </c>
      <c r="CF91" s="1" t="s">
        <v>536</v>
      </c>
      <c r="CG91" s="1" t="str">
        <f aca="false">IF(BW91="buffet","{YELLOW}25% long distance bonus for consist{}",IF(BY91="BRAKE","{YELLOW}Speed bonus for slow wagons{}",IF(BU91&gt;190,CONCATENATE("{YELLOW}",INT((BU91-185)/1.85),"% bonus for long distance travel{}"),IF(AND(BU91&lt;180,BU91&lt;&gt;0),CONCATENATE("{YELLOW}",INT((185-BU91)/1.85),"% penalty for long distance travel{}"),""))))</f>
        <v/>
      </c>
      <c r="CH91" s="1" t="str">
        <f aca="false">_xlfn.CONCAT(CD91,IF(CD91 &lt;&gt; "", " ", ""),CE91,IF(OR(CE91&lt;&gt;"", CD91&lt;&gt;""), "{}",""), CC91, CG91,"{SILVER}", CF91)</f>
        <v>{BLACK}Length: {GOLD}0.4 tiles{}{SILVER}The Presflo covered hopper was designed specifically to carry cement powder, being unloaded via a pressurized air connection and liquefaction of the cargo.</v>
      </c>
      <c r="CI91" s="1" t="n">
        <v>1</v>
      </c>
      <c r="CJ91" s="1"/>
    </row>
    <row r="92" customFormat="false" ht="13.8" hidden="false" customHeight="false" outlineLevel="0" collapsed="false">
      <c r="A92" s="18" t="s">
        <v>537</v>
      </c>
      <c r="B92" s="18" t="s">
        <v>538</v>
      </c>
      <c r="C92" s="1" t="n">
        <v>26</v>
      </c>
      <c r="E92" s="1" t="n">
        <v>1026</v>
      </c>
      <c r="F92" s="1" t="s">
        <v>89</v>
      </c>
      <c r="G92" s="1" t="s">
        <v>528</v>
      </c>
      <c r="H92" s="1" t="s">
        <v>528</v>
      </c>
      <c r="I92" s="1" t="s">
        <v>153</v>
      </c>
      <c r="J92" s="1" t="n">
        <v>1968</v>
      </c>
      <c r="K92" s="1" t="n">
        <v>2012</v>
      </c>
      <c r="L92" s="1" t="n">
        <v>2022</v>
      </c>
      <c r="W92" s="1" t="n">
        <v>12.4</v>
      </c>
      <c r="Y92" s="1" t="n">
        <v>4</v>
      </c>
      <c r="AA92" s="4" t="str">
        <f aca="false">IF(AND(W92&gt;0,Z92&gt;0),(Z92/((W92+X92)*10)),"")</f>
        <v/>
      </c>
      <c r="AB92" s="1" t="n">
        <v>50</v>
      </c>
      <c r="AC92" s="1" t="n">
        <f aca="false">ROUND(AB92*1.6, 0)</f>
        <v>80</v>
      </c>
      <c r="AF92" s="1" t="n">
        <v>8</v>
      </c>
      <c r="AG92" s="1" t="n">
        <v>8</v>
      </c>
      <c r="AH92" s="1" t="n">
        <v>2.6</v>
      </c>
      <c r="AI92" s="1" t="n">
        <v>3.9</v>
      </c>
      <c r="AJ92" s="5" t="n">
        <v>33</v>
      </c>
      <c r="AK92" s="19" t="str">
        <f aca="false">CONCATENATE(VLOOKUP(AL92, 'Voxel Sizes'!$A$2:$B$18,2,FALSE()),"x",INT(AH92*15), "x", INT(AI92*15))</f>
        <v>82x39x58</v>
      </c>
      <c r="AL92" s="1" t="n">
        <f aca="false">ROUND(15*((AG92*10)/256),0)</f>
        <v>5</v>
      </c>
      <c r="AN92" s="1" t="str">
        <f aca="false">CONCATENATE(VLOOKUP(AL92,Constants!$A$2:$C$16,IF(AM92&lt;&gt;"", 3, 2), FALSE()),IF(AM92&lt;&gt;"",CONCATENATE(",",VLOOKUP(AM92,$B:$AN,38,FALSE())),""))</f>
        <v>2,1,2</v>
      </c>
      <c r="AX92" s="1" t="n">
        <v>30</v>
      </c>
      <c r="AY92" s="6" t="n">
        <f aca="false">IF(L92&lt;&gt;"",MAX(16,(L92-J92)+8),"")</f>
        <v>62</v>
      </c>
      <c r="AZ92" s="1" t="n">
        <v>5</v>
      </c>
      <c r="BB92" s="1" t="n">
        <f aca="false">MIN(AB92/150, 1)*30</f>
        <v>10</v>
      </c>
      <c r="BC92" s="1" t="n">
        <f aca="false">MIN(N92/4000, 1)*20</f>
        <v>0</v>
      </c>
      <c r="BD92" s="1" t="n">
        <f aca="false">MIN(Z92/400,1)*20</f>
        <v>0</v>
      </c>
      <c r="BE92" s="4" t="n">
        <f aca="false">1-(MAX(J92-1900, 0)/750)</f>
        <v>0.909333333333333</v>
      </c>
      <c r="BF92" s="1" t="n">
        <f aca="false">((MAX($M92,1)*MIN($AJ92/300,1)))*IF(G92="Wagon",50,10)</f>
        <v>5.5</v>
      </c>
      <c r="BG92" s="1" t="n">
        <f aca="false">VLOOKUP($H92,Constants!$I:$K, 2, FALSE())</f>
        <v>1</v>
      </c>
      <c r="BH92" s="1" t="n">
        <f aca="false">VLOOKUP($H92,Constants!$I:$K, 3, FALSE())*IF(AND(G92="multiple_unit",AB92&lt;110),0.75,1)</f>
        <v>0.45</v>
      </c>
      <c r="BI92" s="1" t="n">
        <f aca="false">INT(POWER(((Constants!$G$2+$BB92+$BC92+$BD92+$BF92)*$BE92)*$BH92, 1.05))+$BA92</f>
        <v>9</v>
      </c>
      <c r="BJ92" s="1" t="n">
        <f aca="false">INT(POWER((((Constants!$G$1+$BB92+$BC92+$BD92+$BF92)*($BE92))*$BG92),IF($G92="wagon",1,1.2)))+$AZ92</f>
        <v>32</v>
      </c>
      <c r="BK92" s="20" t="n">
        <f aca="false">BI92*IF($G92="wagon",62.5,781.25)</f>
        <v>562.5</v>
      </c>
      <c r="BL92" s="20" t="n">
        <f aca="false">BJ92*IF($G92="wagon",2.73,81.25)</f>
        <v>87.36</v>
      </c>
      <c r="BT92" s="1" t="n">
        <v>1</v>
      </c>
      <c r="BU92" s="1" t="n">
        <v>185</v>
      </c>
      <c r="BV92" s="1" t="s">
        <v>529</v>
      </c>
      <c r="BX92" s="1" t="s">
        <v>535</v>
      </c>
      <c r="BY92" s="1" t="str">
        <f aca="false">VLOOKUP(J92,Eras!$A$2:$C$10, 2, TRUE())</f>
        <v>dsl</v>
      </c>
      <c r="BZ92" s="18" t="s">
        <v>531</v>
      </c>
      <c r="CA92" s="1" t="str">
        <f aca="false">CONCATENATE(BY92,"_",BZ92)</f>
        <v>dsl_Tanker</v>
      </c>
      <c r="CB92" s="1" t="str">
        <f aca="false">_xlfn.CONCAT(H92, "_",I92)</f>
        <v>wagon_RAIL</v>
      </c>
      <c r="CC92" s="21" t="str">
        <f aca="false">_xlfn.CONCAT("{BLACK}Length: {GOLD}", TEXT(ROUNDUP(IF(AQ92&lt;&gt;"",SUM(VALUE(_xlfn.TEXTSPLIT(AQ92, ","))), SUM(VALUE(_xlfn.TEXTSPLIT(AN92, ",")))*IF(M92, M92, 1))/16, 1), "#,##0.0"), " tiles{}")</f>
        <v>{BLACK}Length: {GOLD}0.4 tiles{}</v>
      </c>
      <c r="CD92" s="1" t="str">
        <f aca="false">VLOOKUP($CB92, Constants!$M:$N, 2, FALSE())</f>
        <v/>
      </c>
      <c r="CE92" s="1" t="str">
        <f aca="false">IF(M92&gt;1,_xlfn.CONCAT("{BLACK}Cars: {GOLD}", M92),"")</f>
        <v/>
      </c>
      <c r="CF92" s="1" t="s">
        <v>539</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
      </c>
      <c r="CH92" s="1" t="str">
        <f aca="false">_xlfn.CONCAT(CD92,IF(CD92 &lt;&gt; "", " ", ""),CE92,IF(OR(CE92&lt;&gt;"", CD92&lt;&gt;""), "{}",""), CC92, CG92,"{SILVER}", CF92)</f>
        <v>{BLACK}Length: {GOLD}0.4 tiles{}{SILVER}The PCA tanker, with it’s notable depressed-center ‘vee’ appearance, could carry large amounts of cement and was a common sight in mixed freight trains.</v>
      </c>
      <c r="CI92" s="1" t="n">
        <v>1</v>
      </c>
      <c r="CJ92" s="1"/>
    </row>
    <row r="93" customFormat="false" ht="13.8" hidden="false" customHeight="false" outlineLevel="0" collapsed="false">
      <c r="A93" s="18" t="s">
        <v>540</v>
      </c>
      <c r="B93" s="18" t="s">
        <v>541</v>
      </c>
      <c r="C93" s="1" t="n">
        <v>27</v>
      </c>
      <c r="E93" s="1" t="n">
        <v>1027</v>
      </c>
      <c r="F93" s="1" t="s">
        <v>89</v>
      </c>
      <c r="G93" s="1" t="s">
        <v>528</v>
      </c>
      <c r="H93" s="1" t="s">
        <v>528</v>
      </c>
      <c r="I93" s="1" t="s">
        <v>153</v>
      </c>
      <c r="J93" s="1" t="n">
        <v>2007</v>
      </c>
      <c r="W93" s="1" t="n">
        <v>19.9</v>
      </c>
      <c r="Y93" s="1" t="n">
        <v>5</v>
      </c>
      <c r="AA93" s="4" t="str">
        <f aca="false">IF(AND(W93&gt;0,Z93&gt;0),(Z93/((W93+X93)*10)),"")</f>
        <v/>
      </c>
      <c r="AB93" s="1" t="n">
        <v>75</v>
      </c>
      <c r="AC93" s="1" t="n">
        <f aca="false">ROUND(AB93*1.6, 0)</f>
        <v>120</v>
      </c>
      <c r="AF93" s="1" t="n">
        <v>16.2</v>
      </c>
      <c r="AG93" s="1" t="n">
        <v>17</v>
      </c>
      <c r="AH93" s="1" t="n">
        <v>2.7</v>
      </c>
      <c r="AI93" s="1" t="n">
        <v>3.8</v>
      </c>
      <c r="AJ93" s="5" t="n">
        <v>80</v>
      </c>
      <c r="AK93" s="19" t="str">
        <f aca="false">CONCATENATE(VLOOKUP(AL93, 'Voxel Sizes'!$A$2:$B$18,2,FALSE()),"x",INT(AH93*15), "x", INT(AI93*15))</f>
        <v>164x40x57</v>
      </c>
      <c r="AL93" s="1" t="n">
        <f aca="false">ROUND(15*((AG93*10)/256),0)</f>
        <v>10</v>
      </c>
      <c r="AN93" s="1" t="str">
        <f aca="false">CONCATENATE(VLOOKUP(AL93,Constants!$A$2:$C$16,IF(AM93&lt;&gt;"", 3, 2), FALSE()),IF(AM93&lt;&gt;"",CONCATENATE(",",VLOOKUP(AM93,$B:$AN,38,FALSE())),""))</f>
        <v>4,2,4</v>
      </c>
      <c r="AX93" s="1" t="n">
        <v>30</v>
      </c>
      <c r="AY93" s="6" t="str">
        <f aca="false">IF(L93&lt;&gt;"",MAX(16,(L93-J93)+8),"")</f>
        <v/>
      </c>
      <c r="BB93" s="1" t="n">
        <f aca="false">MIN(AB93/150, 1)*30</f>
        <v>15</v>
      </c>
      <c r="BC93" s="1" t="n">
        <f aca="false">MIN(N93/4000, 1)*20</f>
        <v>0</v>
      </c>
      <c r="BD93" s="1" t="n">
        <f aca="false">MIN(Z93/400,1)*20</f>
        <v>0</v>
      </c>
      <c r="BE93" s="4" t="n">
        <f aca="false">1-(MAX(J93-1900, 0)/750)</f>
        <v>0.857333333333333</v>
      </c>
      <c r="BF93" s="1" t="n">
        <f aca="false">((MAX($M93,1)*MIN($AJ93/300,1)))*IF(G93="Wagon",50,10)</f>
        <v>13.3333333333333</v>
      </c>
      <c r="BG93" s="1" t="n">
        <f aca="false">VLOOKUP($H93,Constants!$I:$K, 2, FALSE())</f>
        <v>1</v>
      </c>
      <c r="BH93" s="1" t="n">
        <f aca="false">VLOOKUP($H93,Constants!$I:$K, 3, FALSE())*IF(AND(G93="multiple_unit",AB93&lt;110),0.75,1)</f>
        <v>0.45</v>
      </c>
      <c r="BI93" s="1" t="n">
        <f aca="false">INT(POWER(((Constants!$G$2+$BB93+$BC93+$BD93+$BF93)*$BE93)*$BH93, 1.05))+$BA93</f>
        <v>14</v>
      </c>
      <c r="BJ93" s="1" t="n">
        <f aca="false">INT(POWER((((Constants!$G$1+$BB93+$BC93+$BD93+$BF93)*($BE93))*$BG93),IF($G93="wagon",1,1.2)))+$AZ93</f>
        <v>37</v>
      </c>
      <c r="BK93" s="20" t="n">
        <f aca="false">BI93*IF($G93="wagon",62.5,781.25)</f>
        <v>875</v>
      </c>
      <c r="BL93" s="20" t="n">
        <f aca="false">BJ93*IF($G93="wagon",2.73,81.25)</f>
        <v>101.01</v>
      </c>
      <c r="BT93" s="1" t="n">
        <v>1</v>
      </c>
      <c r="BU93" s="1" t="n">
        <v>185</v>
      </c>
      <c r="BV93" s="1" t="s">
        <v>542</v>
      </c>
      <c r="BX93" s="1" t="s">
        <v>535</v>
      </c>
      <c r="BY93" s="1" t="str">
        <f aca="false">VLOOKUP(J93,Eras!$A$2:$C$10, 2, TRUE())</f>
        <v>mod</v>
      </c>
      <c r="BZ93" s="18" t="s">
        <v>531</v>
      </c>
      <c r="CA93" s="1" t="str">
        <f aca="false">CONCATENATE(BY93,"_",BZ93)</f>
        <v>mod_Tanker</v>
      </c>
      <c r="CB93" s="1" t="str">
        <f aca="false">_xlfn.CONCAT(H93, "_",I93)</f>
        <v>wagon_RAIL</v>
      </c>
      <c r="CC93" s="21" t="str">
        <f aca="false">_xlfn.CONCAT("{BLACK}Length: {GOLD}", TEXT(ROUNDUP(IF(AQ93&lt;&gt;"",SUM(VALUE(_xlfn.TEXTSPLIT(AQ93, ","))), SUM(VALUE(_xlfn.TEXTSPLIT(AN93, ",")))*IF(M93, M93, 1))/16, 1), "#,##0.0"), " tiles{}")</f>
        <v>{BLACK}Length: {GOLD}0.7 tiles{}</v>
      </c>
      <c r="CD93" s="1" t="str">
        <f aca="false">VLOOKUP($CB93, Constants!$M:$N, 2, FALSE())</f>
        <v/>
      </c>
      <c r="CE93" s="1" t="str">
        <f aca="false">IF(M93&gt;1,_xlfn.CONCAT("{BLACK}Cars: {GOLD}", M93),"")</f>
        <v/>
      </c>
      <c r="CF93" s="1" t="s">
        <v>543</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
      </c>
      <c r="CH93" s="1" t="str">
        <f aca="false">_xlfn.CONCAT(CD93,IF(CD93 &lt;&gt; "", " ", ""),CE93,IF(OR(CE93&lt;&gt;"", CD93&lt;&gt;""), "{}",""), CC93, CG93,"{SILVER}", CF93)</f>
        <v>{BLACK}Length: {GOLD}0.7 tiles{}{SILVER}By the 2000s the BR-era 2-axle cement tankers then in use were beginning to show their age. They were replaced by these large bogie tank wagons built in Germany, with a distinctive fish-belly shape.</v>
      </c>
      <c r="CI93" s="1"/>
      <c r="CJ93" s="1"/>
    </row>
    <row r="94" customFormat="false" ht="13.8" hidden="false" customHeight="false" outlineLevel="0" collapsed="false">
      <c r="A94" s="18" t="s">
        <v>544</v>
      </c>
      <c r="B94" s="18" t="s">
        <v>545</v>
      </c>
      <c r="C94" s="1" t="n">
        <v>96</v>
      </c>
      <c r="E94" s="1" t="n">
        <v>1090</v>
      </c>
      <c r="F94" s="1" t="s">
        <v>89</v>
      </c>
      <c r="G94" s="1" t="s">
        <v>528</v>
      </c>
      <c r="H94" s="1" t="s">
        <v>546</v>
      </c>
      <c r="I94" s="1" t="s">
        <v>153</v>
      </c>
      <c r="J94" s="1" t="n">
        <v>1924</v>
      </c>
      <c r="K94" s="1" t="n">
        <v>1955</v>
      </c>
      <c r="L94" s="1" t="n">
        <v>1961</v>
      </c>
      <c r="W94" s="1" t="n">
        <v>20</v>
      </c>
      <c r="Y94" s="1" t="n">
        <v>4</v>
      </c>
      <c r="AA94" s="4" t="str">
        <f aca="false">IF(AND(W94&gt;0,Z94&gt;0),(Z94/((W94+X94)*10)),"")</f>
        <v/>
      </c>
      <c r="AB94" s="1" t="n">
        <v>60</v>
      </c>
      <c r="AC94" s="1" t="n">
        <f aca="false">ROUND(AB94*1.6, 0)</f>
        <v>96</v>
      </c>
      <c r="AF94" s="1" t="n">
        <v>6.1</v>
      </c>
      <c r="AG94" s="1" t="n">
        <v>8</v>
      </c>
      <c r="AH94" s="1" t="n">
        <v>2.5</v>
      </c>
      <c r="AI94" s="1" t="n">
        <v>3.35</v>
      </c>
      <c r="AJ94" s="5" t="n">
        <v>0</v>
      </c>
      <c r="AK94" s="19" t="str">
        <f aca="false">CONCATENATE(VLOOKUP(AL94, 'Voxel Sizes'!$A$2:$B$18,2,FALSE()),"x",INT(AH94*15), "x", INT(AI94*15))</f>
        <v>82x37x50</v>
      </c>
      <c r="AL94" s="1" t="n">
        <f aca="false">ROUND(15*((AG94*10)/256),0)</f>
        <v>5</v>
      </c>
      <c r="AN94" s="1" t="str">
        <f aca="false">CONCATENATE(VLOOKUP(AL94,Constants!$A$2:$C$16,IF(AM94&lt;&gt;"", 3, 2), FALSE()),IF(AM94&lt;&gt;"",CONCATENATE(",",VLOOKUP(AM94,$B:$AN,38,FALSE())),""))</f>
        <v>2,1,2</v>
      </c>
      <c r="AX94" s="1" t="n">
        <v>50</v>
      </c>
      <c r="AY94" s="6" t="n">
        <f aca="false">IF(L94&lt;&gt;"",MAX(16,(L94-J94)+8),"")</f>
        <v>45</v>
      </c>
      <c r="AZ94" s="1" t="n">
        <v>12</v>
      </c>
      <c r="BA94" s="1" t="n">
        <v>6</v>
      </c>
      <c r="BB94" s="1" t="n">
        <f aca="false">MIN(AB94/150, 1)*30</f>
        <v>12</v>
      </c>
      <c r="BC94" s="1" t="n">
        <f aca="false">MIN(N94/4000, 1)*20</f>
        <v>0</v>
      </c>
      <c r="BD94" s="1" t="n">
        <f aca="false">MIN(Z94/400,1)*20</f>
        <v>0</v>
      </c>
      <c r="BE94" s="4" t="n">
        <f aca="false">1-(MAX(J94-1900, 0)/750)</f>
        <v>0.968</v>
      </c>
      <c r="BF94" s="1" t="n">
        <f aca="false">((MAX($M94,1)*MIN($AJ94/300,1)))*IF(G94="Wagon",50,10)</f>
        <v>0</v>
      </c>
      <c r="BG94" s="1" t="n">
        <f aca="false">VLOOKUP($H94,Constants!$I:$K, 2, FALSE())</f>
        <v>1</v>
      </c>
      <c r="BH94" s="1" t="n">
        <f aca="false">VLOOKUP($H94,Constants!$I:$K, 3, FALSE())*IF(AND(G94="multiple_unit",AB94&lt;110),0.75,1)</f>
        <v>0.4</v>
      </c>
      <c r="BI94" s="1" t="n">
        <f aca="false">INT(POWER(((Constants!$G$2+$BB94+$BC94+$BD94+$BF94)*$BE94)*$BH94, 1.05))+$BA94</f>
        <v>13</v>
      </c>
      <c r="BJ94" s="1" t="n">
        <f aca="false">INT(POWER((((Constants!$G$1+$BB94+$BC94+$BD94+$BF94)*($BE94))*$BG94),IF($G94="wagon",1,1.2)))+$AZ94</f>
        <v>38</v>
      </c>
      <c r="BK94" s="20" t="n">
        <f aca="false">BI94*IF($G94="wagon",62.5,781.25)</f>
        <v>812.5</v>
      </c>
      <c r="BL94" s="20" t="n">
        <f aca="false">BJ94*IF($G94="wagon",2.73,81.25)</f>
        <v>103.74</v>
      </c>
      <c r="BT94" s="1" t="n">
        <v>1</v>
      </c>
      <c r="BV94" s="18" t="s">
        <v>547</v>
      </c>
      <c r="BW94" s="18"/>
      <c r="BX94" s="18" t="s">
        <v>548</v>
      </c>
      <c r="BY94" s="1" t="str">
        <f aca="false">VLOOKUP(J94,Eras!$A$2:$C$10, 2, TRUE())</f>
        <v>big4</v>
      </c>
      <c r="BZ94" s="18" t="s">
        <v>549</v>
      </c>
      <c r="CA94" s="1" t="str">
        <f aca="false">CONCATENATE(BY94,"_",BZ94)</f>
        <v>big4_Extra</v>
      </c>
      <c r="CB94" s="1" t="str">
        <f aca="false">_xlfn.CONCAT(H94, "_",I94)</f>
        <v>brake_RAIL</v>
      </c>
      <c r="CC94" s="21" t="str">
        <f aca="false">_xlfn.CONCAT("{BLACK}Length: {GOLD}", TEXT(ROUNDUP(IF(AQ94&lt;&gt;"",SUM(VALUE(_xlfn.TEXTSPLIT(AQ94, ","))), SUM(VALUE(_xlfn.TEXTSPLIT(AN94, ",")))*IF(M94, M94, 1))/16, 1), "#,##0.0"), " tiles{}")</f>
        <v>{BLACK}Length: {GOLD}0.4 tiles{}</v>
      </c>
      <c r="CD94" s="1" t="str">
        <f aca="false">VLOOKUP($CB94, Constants!$M:$N, 2, FALSE())</f>
        <v/>
      </c>
      <c r="CE94" s="1" t="str">
        <f aca="false">IF(M94&gt;1,_xlfn.CONCAT("{BLACK}Cars: {GOLD}", M94),"")</f>
        <v/>
      </c>
      <c r="CF94" s="1" t="s">
        <v>550</v>
      </c>
      <c r="CG94" s="1" t="str">
        <f aca="false">IF(BX94="buffet","{YELLOW}25% long distance bonus for consist{}",IF(BY94="BRAKE","{YELLOW}Speed bonus for slow wagons{}",IF(BU94&gt;190,CONCATENATE("{YELLOW}",INT((BU94-185)/1.85),"% bonus for long distance travel{}"),IF(AND(BU94&lt;180,BU94&lt;&gt;0),CONCATENATE("{YELLOW}",INT((185-BU94)/1.85),"% penalty for long distance travel{}"),""))))</f>
        <v/>
      </c>
      <c r="CH94" s="1" t="str">
        <f aca="false">_xlfn.CONCAT(CD94,IF(CD94 &lt;&gt; "", " ", ""),CE94,IF(OR(CE94&lt;&gt;"", CD94&lt;&gt;""), "{}",""), CC94, CG94,"{SILVER}", CF94)</f>
        <v>{BLACK}Length: {GOLD}0.4 tiles{}{SILVER}This Midland Railway design of Brake Van was also built by the LMS - over 800 were constructed and they were still extant into the early 1960s.</v>
      </c>
      <c r="CI94" s="1"/>
      <c r="CJ94" s="1"/>
    </row>
    <row r="95" customFormat="false" ht="13.8" hidden="false" customHeight="false" outlineLevel="0" collapsed="false">
      <c r="A95" s="18" t="s">
        <v>551</v>
      </c>
      <c r="B95" s="18" t="s">
        <v>552</v>
      </c>
      <c r="C95" s="1" t="n">
        <v>97</v>
      </c>
      <c r="E95" s="1" t="n">
        <v>1091</v>
      </c>
      <c r="F95" s="1" t="s">
        <v>89</v>
      </c>
      <c r="G95" s="1" t="s">
        <v>528</v>
      </c>
      <c r="H95" s="1" t="s">
        <v>546</v>
      </c>
      <c r="I95" s="1" t="s">
        <v>153</v>
      </c>
      <c r="J95" s="1" t="n">
        <v>1938</v>
      </c>
      <c r="K95" s="1" t="n">
        <v>1969</v>
      </c>
      <c r="L95" s="1" t="n">
        <v>1988</v>
      </c>
      <c r="W95" s="1" t="n">
        <v>20</v>
      </c>
      <c r="Y95" s="1" t="n">
        <v>4</v>
      </c>
      <c r="AA95" s="4" t="str">
        <f aca="false">IF(AND(W95&gt;0,Z95&gt;0),(Z95/((W95+X95)*10)),"")</f>
        <v/>
      </c>
      <c r="AB95" s="1" t="n">
        <v>60</v>
      </c>
      <c r="AC95" s="1" t="n">
        <f aca="false">ROUND(AB95*1.6, 0)</f>
        <v>96</v>
      </c>
      <c r="AF95" s="1" t="n">
        <v>10</v>
      </c>
      <c r="AG95" s="1" t="n">
        <v>10</v>
      </c>
      <c r="AH95" s="1" t="n">
        <v>2.5</v>
      </c>
      <c r="AI95" s="1" t="n">
        <v>3.35</v>
      </c>
      <c r="AJ95" s="5" t="n">
        <v>0</v>
      </c>
      <c r="AK95" s="19" t="str">
        <f aca="false">CONCATENATE(VLOOKUP(AL95, 'Voxel Sizes'!$A$2:$B$18,2,FALSE()),"x",INT(AH95*15), "x", INT(AI95*15))</f>
        <v>102x37x50</v>
      </c>
      <c r="AL95" s="1" t="n">
        <f aca="false">ROUND(15*((AG95*10)/256),0)</f>
        <v>6</v>
      </c>
      <c r="AN95" s="1" t="str">
        <f aca="false">CONCATENATE(VLOOKUP(AL95,Constants!$A$2:$C$16,IF(AM95&lt;&gt;"", 3, 2), FALSE()),IF(AM95&lt;&gt;"",CONCATENATE(",",VLOOKUP(AM95,$B:$AN,38,FALSE())),""))</f>
        <v>2,2,2</v>
      </c>
      <c r="AX95" s="1" t="n">
        <v>50</v>
      </c>
      <c r="AY95" s="6" t="n">
        <f aca="false">IF(L95&lt;&gt;"",MAX(16,(L95-J95)+8),"")</f>
        <v>58</v>
      </c>
      <c r="AZ95" s="1" t="n">
        <v>12</v>
      </c>
      <c r="BA95" s="1" t="n">
        <v>6</v>
      </c>
      <c r="BB95" s="1" t="n">
        <f aca="false">MIN(AB95/150, 1)*30</f>
        <v>12</v>
      </c>
      <c r="BC95" s="1" t="n">
        <f aca="false">MIN(N95/4000, 1)*20</f>
        <v>0</v>
      </c>
      <c r="BD95" s="1" t="n">
        <f aca="false">MIN(Z95/400,1)*20</f>
        <v>0</v>
      </c>
      <c r="BE95" s="4" t="n">
        <f aca="false">1-(MAX(J95-1900, 0)/750)</f>
        <v>0.949333333333333</v>
      </c>
      <c r="BF95" s="1" t="n">
        <f aca="false">((MAX($M95,1)*MIN($AJ95/300,1)))*IF(G95="Wagon",50,10)</f>
        <v>0</v>
      </c>
      <c r="BG95" s="1" t="n">
        <f aca="false">VLOOKUP($H95,Constants!$I:$K, 2, FALSE())</f>
        <v>1</v>
      </c>
      <c r="BH95" s="1" t="n">
        <f aca="false">VLOOKUP($H95,Constants!$I:$K, 3, FALSE())*IF(AND(G95="multiple_unit",AB95&lt;110),0.75,1)</f>
        <v>0.4</v>
      </c>
      <c r="BI95" s="1" t="n">
        <f aca="false">INT(POWER(((Constants!$G$2+$BB95+$BC95+$BD95+$BF95)*$BE95)*$BH95, 1.05))+$BA95</f>
        <v>13</v>
      </c>
      <c r="BJ95" s="1" t="n">
        <f aca="false">INT(POWER((((Constants!$G$1+$BB95+$BC95+$BD95+$BF95)*($BE95))*$BG95),IF($G95="wagon",1,1.2)))+$AZ95</f>
        <v>37</v>
      </c>
      <c r="BK95" s="20" t="n">
        <f aca="false">BI95*IF($G95="wagon",62.5,781.25)</f>
        <v>812.5</v>
      </c>
      <c r="BL95" s="20" t="n">
        <f aca="false">BJ95*IF($G95="wagon",2.73,81.25)</f>
        <v>101.01</v>
      </c>
      <c r="BT95" s="1" t="n">
        <v>1</v>
      </c>
      <c r="BV95" s="18" t="s">
        <v>547</v>
      </c>
      <c r="BW95" s="18"/>
      <c r="BX95" s="18" t="s">
        <v>548</v>
      </c>
      <c r="BY95" s="1" t="str">
        <f aca="false">VLOOKUP(J95,Eras!$A$2:$C$10, 2, TRUE())</f>
        <v>big4</v>
      </c>
      <c r="BZ95" s="18" t="s">
        <v>549</v>
      </c>
      <c r="CA95" s="1" t="str">
        <f aca="false">CONCATENATE(BY95,"_",BZ95)</f>
        <v>big4_Extra</v>
      </c>
      <c r="CB95" s="1" t="str">
        <f aca="false">_xlfn.CONCAT(H95, "_",I95)</f>
        <v>brake_RAIL</v>
      </c>
      <c r="CC95" s="21" t="str">
        <f aca="false">_xlfn.CONCAT("{BLACK}Length: {GOLD}", TEXT(ROUNDUP(IF(AQ95&lt;&gt;"",SUM(VALUE(_xlfn.TEXTSPLIT(AQ95, ","))), SUM(VALUE(_xlfn.TEXTSPLIT(AN95, ",")))*IF(M95, M95, 1))/16, 1), "#,##0.0"), " tiles{}")</f>
        <v>{BLACK}Length: {GOLD}0.4 tiles{}</v>
      </c>
      <c r="CD95" s="1" t="str">
        <f aca="false">VLOOKUP($CB95, Constants!$M:$N, 2, FALSE())</f>
        <v/>
      </c>
      <c r="CE95" s="1" t="str">
        <f aca="false">IF(M95&gt;1,_xlfn.CONCAT("{BLACK}Cars: {GOLD}", M95),"")</f>
        <v/>
      </c>
      <c r="CF95" s="1" t="s">
        <v>553</v>
      </c>
      <c r="CG95" s="1" t="str">
        <f aca="false">IF(BX95="buffet","{YELLOW}25% long distance bonus for consist{}",IF(BY95="BRAKE","{YELLOW}Speed bonus for slow wagons{}",IF(BU95&gt;190,CONCATENATE("{YELLOW}",INT((BU95-185)/1.85),"% bonus for long distance travel{}"),IF(AND(BU95&lt;180,BU95&lt;&gt;0),CONCATENATE("{YELLOW}",INT((185-BU95)/1.85),"% penalty for long distance travel{}"),""))))</f>
        <v/>
      </c>
      <c r="CH95" s="1" t="str">
        <f aca="false">_xlfn.CONCAT(CD95,IF(CD95 &lt;&gt; "", " ", ""),CE95,IF(OR(CE95&lt;&gt;"", CD95&lt;&gt;""), "{}",""), CC95, CG95,"{SILVER}", CF95)</f>
        <v>{BLACK}Length: {GOLD}0.4 tiles{}{SILVER}The native design of LMS Brake Van had a sizable veranda at both ends. Once again, they lasted well into BR ownership as part of Engineers’ trains.</v>
      </c>
      <c r="CI95" s="1"/>
      <c r="CJ95" s="1"/>
    </row>
    <row r="96" customFormat="false" ht="13.8" hidden="false" customHeight="false" outlineLevel="0" collapsed="false">
      <c r="A96" s="18" t="s">
        <v>554</v>
      </c>
      <c r="B96" s="18" t="s">
        <v>555</v>
      </c>
      <c r="C96" s="1" t="n">
        <v>21</v>
      </c>
      <c r="E96" s="1" t="n">
        <v>1021</v>
      </c>
      <c r="F96" s="1" t="s">
        <v>89</v>
      </c>
      <c r="G96" s="1" t="s">
        <v>528</v>
      </c>
      <c r="H96" s="1" t="s">
        <v>528</v>
      </c>
      <c r="I96" s="1" t="s">
        <v>153</v>
      </c>
      <c r="J96" s="1" t="n">
        <v>1936</v>
      </c>
      <c r="K96" s="1" t="n">
        <v>1962</v>
      </c>
      <c r="L96" s="1" t="n">
        <v>1966</v>
      </c>
      <c r="W96" s="1" t="n">
        <v>10.1</v>
      </c>
      <c r="Y96" s="1" t="n">
        <v>4</v>
      </c>
      <c r="AA96" s="4" t="str">
        <f aca="false">IF(AND(W96&gt;0,Z96&gt;0),(Z96/((W96+X96)*10)),"")</f>
        <v/>
      </c>
      <c r="AB96" s="1" t="n">
        <v>45</v>
      </c>
      <c r="AC96" s="1" t="n">
        <f aca="false">ROUND(AB96*1.6, 0)</f>
        <v>72</v>
      </c>
      <c r="AF96" s="1" t="n">
        <v>9</v>
      </c>
      <c r="AG96" s="1" t="n">
        <v>9</v>
      </c>
      <c r="AH96" s="1" t="n">
        <v>2.5</v>
      </c>
      <c r="AI96" s="1" t="n">
        <v>3.35</v>
      </c>
      <c r="AJ96" s="5" t="n">
        <v>20</v>
      </c>
      <c r="AK96" s="19" t="str">
        <f aca="false">CONCATENATE(VLOOKUP(AL96, 'Voxel Sizes'!$A$2:$B$18,2,FALSE()),"x",INT(AH96*15), "x", INT(AI96*15))</f>
        <v>82x37x50</v>
      </c>
      <c r="AL96" s="1" t="n">
        <f aca="false">ROUND(15*((AG96*10)/256),0)</f>
        <v>5</v>
      </c>
      <c r="AN96" s="1" t="str">
        <f aca="false">CONCATENATE(VLOOKUP(AL96,Constants!$A$2:$C$16,IF(AM96&lt;&gt;"", 3, 2), FALSE()),IF(AM96&lt;&gt;"",CONCATENATE(",",VLOOKUP(AM96,$B:$AN,38,FALSE())),""))</f>
        <v>2,1,2</v>
      </c>
      <c r="AX96" s="1" t="n">
        <v>30</v>
      </c>
      <c r="AY96" s="6" t="n">
        <f aca="false">IF(L96&lt;&gt;"",MAX(16,(L96-J96)+8),"")</f>
        <v>38</v>
      </c>
      <c r="AZ96" s="1" t="n">
        <v>5</v>
      </c>
      <c r="BB96" s="1" t="n">
        <f aca="false">MIN(AB96/150, 1)*30</f>
        <v>9</v>
      </c>
      <c r="BC96" s="1" t="n">
        <f aca="false">MIN(N96/4000, 1)*20</f>
        <v>0</v>
      </c>
      <c r="BD96" s="1" t="n">
        <f aca="false">MIN(Z96/400,1)*20</f>
        <v>0</v>
      </c>
      <c r="BE96" s="4" t="n">
        <f aca="false">1-(MAX(J96-1900, 0)/750)</f>
        <v>0.952</v>
      </c>
      <c r="BF96" s="1" t="n">
        <f aca="false">((MAX($M96,1)*MIN($AJ96/300,1)))*IF(G96="Wagon",50,10)</f>
        <v>3.33333333333333</v>
      </c>
      <c r="BG96" s="1" t="n">
        <f aca="false">VLOOKUP($H96,Constants!$I:$K, 2, FALSE())</f>
        <v>1</v>
      </c>
      <c r="BH96" s="1" t="n">
        <f aca="false">VLOOKUP($H96,Constants!$I:$K, 3, FALSE())*IF(AND(G96="multiple_unit",AB96&lt;110),0.75,1)</f>
        <v>0.45</v>
      </c>
      <c r="BI96" s="1" t="n">
        <f aca="false">INT(POWER(((Constants!$G$2+$BB96+$BC96+$BD96+$BF96)*$BE96)*$BH96, 1.05))+$BA96</f>
        <v>8</v>
      </c>
      <c r="BJ96" s="1" t="n">
        <f aca="false">INT(POWER((((Constants!$G$1+$BB96+$BC96+$BD96+$BF96)*($BE96))*$BG96),IF($G96="wagon",1,1.2)))+$AZ96</f>
        <v>31</v>
      </c>
      <c r="BK96" s="20" t="n">
        <f aca="false">BI96*IF($G96="wagon",62.5,781.25)</f>
        <v>500</v>
      </c>
      <c r="BL96" s="20" t="n">
        <f aca="false">BJ96*IF($G96="wagon",2.73,81.25)</f>
        <v>84.63</v>
      </c>
      <c r="BT96" s="1" t="n">
        <v>1</v>
      </c>
      <c r="BU96" s="1" t="n">
        <v>185</v>
      </c>
      <c r="BV96" s="1" t="s">
        <v>542</v>
      </c>
      <c r="BX96" s="1" t="s">
        <v>556</v>
      </c>
      <c r="BY96" s="1" t="str">
        <f aca="false">VLOOKUP(J96,Eras!$A$2:$C$10, 2, TRUE())</f>
        <v>big4</v>
      </c>
      <c r="BZ96" s="18" t="s">
        <v>531</v>
      </c>
      <c r="CA96" s="1" t="str">
        <f aca="false">CONCATENATE(BY96,"_",BZ96)</f>
        <v>big4_Tanker</v>
      </c>
      <c r="CB96" s="1" t="str">
        <f aca="false">_xlfn.CONCAT(H96, "_",I96)</f>
        <v>wagon_RAIL</v>
      </c>
      <c r="CC96" s="21" t="str">
        <f aca="false">_xlfn.CONCAT("{BLACK}Length: {GOLD}", TEXT(ROUNDUP(IF(AQ96&lt;&gt;"",SUM(VALUE(_xlfn.TEXTSPLIT(AQ96, ","))), SUM(VALUE(_xlfn.TEXTSPLIT(AN96, ",")))*IF(M96, M96, 1))/16, 1), "#,##0.0"), " tiles{}")</f>
        <v>{BLACK}Length: {GOLD}0.4 tiles{}</v>
      </c>
      <c r="CD96" s="1" t="str">
        <f aca="false">VLOOKUP($CB96, Constants!$M:$N, 2, FALSE())</f>
        <v/>
      </c>
      <c r="CE96" s="1" t="str">
        <f aca="false">IF(M96&gt;1,_xlfn.CONCAT("{BLACK}Cars: {GOLD}", M96),"")</f>
        <v/>
      </c>
      <c r="CF96" s="1" t="s">
        <v>557</v>
      </c>
      <c r="CG96" s="1" t="str">
        <f aca="false">IF(BW96="buffet","{YELLOW}25% long distance bonus for consist{}",IF(BY96="BRAKE","{YELLOW}Speed bonus for slow wagons{}",IF(BU96&gt;190,CONCATENATE("{YELLOW}",INT((BU96-185)/1.85),"% bonus for long distance travel{}"),IF(AND(BU96&lt;180,BU96&lt;&gt;0),CONCATENATE("{YELLOW}",INT((185-BU96)/1.85),"% penalty for long distance travel{}"),""))))</f>
        <v/>
      </c>
      <c r="CH96" s="1" t="str">
        <f aca="false">_xlfn.CONCAT(CD96,IF(CD96 &lt;&gt; "", " ", ""),CE96,IF(OR(CE96&lt;&gt;"", CD96&lt;&gt;""), "{}",""), CC96, CG96,"{SILVER}", CF96)</f>
        <v>{BLACK}Length: {GOLD}0.4 tiles{}{SILVER}The LMS Grain Hooper was later standardised into the BR COVGRAIN standard design. Long-distance bulk grain service in covered hoppers was a significant efficiency gain over shipping bagged grain by the vanload.</v>
      </c>
      <c r="CI96" s="1"/>
      <c r="CJ96" s="1"/>
    </row>
    <row r="97" customFormat="false" ht="13.8" hidden="false" customHeight="false" outlineLevel="0" collapsed="false">
      <c r="A97" s="18" t="s">
        <v>558</v>
      </c>
      <c r="B97" s="18" t="s">
        <v>559</v>
      </c>
      <c r="C97" s="1" t="n">
        <v>98</v>
      </c>
      <c r="E97" s="1" t="n">
        <v>1092</v>
      </c>
      <c r="F97" s="1" t="s">
        <v>89</v>
      </c>
      <c r="G97" s="1" t="s">
        <v>528</v>
      </c>
      <c r="H97" s="1" t="s">
        <v>546</v>
      </c>
      <c r="I97" s="1" t="s">
        <v>153</v>
      </c>
      <c r="J97" s="1" t="n">
        <v>1936</v>
      </c>
      <c r="K97" s="1" t="n">
        <v>1990</v>
      </c>
      <c r="L97" s="1" t="n">
        <v>1998</v>
      </c>
      <c r="W97" s="1" t="n">
        <v>26</v>
      </c>
      <c r="Y97" s="1" t="n">
        <v>4</v>
      </c>
      <c r="AA97" s="4" t="str">
        <f aca="false">IF(AND(W97&gt;0,Z97&gt;0),(Z97/((W97+X97)*10)),"")</f>
        <v/>
      </c>
      <c r="AB97" s="1" t="n">
        <v>75</v>
      </c>
      <c r="AC97" s="1" t="n">
        <f aca="false">ROUND(AB97*1.6, 0)</f>
        <v>120</v>
      </c>
      <c r="AF97" s="1" t="n">
        <v>12.8</v>
      </c>
      <c r="AG97" s="1" t="n">
        <v>12.8</v>
      </c>
      <c r="AH97" s="1" t="n">
        <v>2.5</v>
      </c>
      <c r="AI97" s="1" t="n">
        <v>3.35</v>
      </c>
      <c r="AJ97" s="5" t="n">
        <v>0</v>
      </c>
      <c r="AK97" s="19" t="str">
        <f aca="false">CONCATENATE(VLOOKUP(AL97, 'Voxel Sizes'!$A$2:$B$18,2,FALSE()),"x",INT(AH97*15), "x", INT(AI97*15))</f>
        <v>136x37x50</v>
      </c>
      <c r="AL97" s="1" t="n">
        <f aca="false">ROUND(15*((AG97*10)/256),0)</f>
        <v>8</v>
      </c>
      <c r="AN97" s="1" t="str">
        <f aca="false">CONCATENATE(VLOOKUP(AL97,Constants!$A$2:$C$16,IF(AM97&lt;&gt;"", 3, 2), FALSE()),IF(AM97&lt;&gt;"",CONCATENATE(",",VLOOKUP(AM97,$B:$AN,38,FALSE())),""))</f>
        <v>2,4,2</v>
      </c>
      <c r="AX97" s="1" t="n">
        <v>50</v>
      </c>
      <c r="AY97" s="6" t="n">
        <f aca="false">IF(L97&lt;&gt;"",MAX(16,(L97-J97)+8),"")</f>
        <v>70</v>
      </c>
      <c r="BB97" s="1" t="n">
        <f aca="false">MIN(AB97/150, 1)*30</f>
        <v>15</v>
      </c>
      <c r="BC97" s="1" t="n">
        <f aca="false">MIN(N97/4000, 1)*20</f>
        <v>0</v>
      </c>
      <c r="BD97" s="1" t="n">
        <f aca="false">MIN(Z97/400,1)*20</f>
        <v>0</v>
      </c>
      <c r="BE97" s="4" t="n">
        <f aca="false">1-(MAX(J97-1900, 0)/750)</f>
        <v>0.952</v>
      </c>
      <c r="BF97" s="1" t="n">
        <f aca="false">((MAX($M97,1)*MIN($AJ97/300,1)))*IF(G97="Wagon",50,10)</f>
        <v>0</v>
      </c>
      <c r="BG97" s="1" t="n">
        <f aca="false">VLOOKUP($H97,Constants!$I:$K, 2, FALSE())</f>
        <v>1</v>
      </c>
      <c r="BH97" s="1" t="n">
        <f aca="false">VLOOKUP($H97,Constants!$I:$K, 3, FALSE())*IF(AND(G97="multiple_unit",AB97&lt;110),0.75,1)</f>
        <v>0.4</v>
      </c>
      <c r="BI97" s="1" t="n">
        <f aca="false">INT(POWER(((Constants!$G$2+$BB97+$BC97+$BD97+$BF97)*$BE97)*$BH97, 1.05))+$BA97</f>
        <v>8</v>
      </c>
      <c r="BJ97" s="1" t="n">
        <f aca="false">INT(POWER((((Constants!$G$1+$BB97+$BC97+$BD97+$BF97)*($BE97))*$BG97),IF($G97="wagon",1,1.2)))+$AZ97</f>
        <v>28</v>
      </c>
      <c r="BK97" s="20" t="n">
        <f aca="false">BI97*IF($G97="wagon",62.5,781.25)</f>
        <v>500</v>
      </c>
      <c r="BL97" s="20" t="n">
        <f aca="false">BJ97*IF($G97="wagon",2.73,81.25)</f>
        <v>76.44</v>
      </c>
      <c r="BT97" s="1" t="n">
        <v>1</v>
      </c>
      <c r="BV97" s="18" t="s">
        <v>547</v>
      </c>
      <c r="BW97" s="18"/>
      <c r="BX97" s="18" t="s">
        <v>548</v>
      </c>
      <c r="BY97" s="1" t="str">
        <f aca="false">VLOOKUP(J97,Eras!$A$2:$C$10, 2, TRUE())</f>
        <v>big4</v>
      </c>
      <c r="BZ97" s="18" t="s">
        <v>549</v>
      </c>
      <c r="CA97" s="1" t="str">
        <f aca="false">CONCATENATE(BY97,"_",BZ97)</f>
        <v>big4_Extra</v>
      </c>
      <c r="CB97" s="1" t="str">
        <f aca="false">_xlfn.CONCAT(H97, "_",I97)</f>
        <v>brake_RAIL</v>
      </c>
      <c r="CC97" s="21" t="str">
        <f aca="false">_xlfn.CONCAT("{BLACK}Length: {GOLD}", TEXT(ROUNDUP(IF(AQ97&lt;&gt;"",SUM(VALUE(_xlfn.TEXTSPLIT(AQ97, ","))), SUM(VALUE(_xlfn.TEXTSPLIT(AN97, ",")))*IF(M97, M97, 1))/16, 1), "#,##0.0"), " tiles{}")</f>
        <v>{BLACK}Length: {GOLD}0.5 tiles{}</v>
      </c>
      <c r="CD97" s="1" t="str">
        <f aca="false">VLOOKUP($CB97, Constants!$M:$N, 2, FALSE())</f>
        <v/>
      </c>
      <c r="CE97" s="1" t="str">
        <f aca="false">IF(M97&gt;1,_xlfn.CONCAT("{BLACK}Cars: {GOLD}", M97),"")</f>
        <v/>
      </c>
      <c r="CF97" s="1" t="s">
        <v>560</v>
      </c>
      <c r="CG97" s="1" t="str">
        <f aca="false">IF(BX97="buffet","{YELLOW}25% long distance bonus for consist{}",IF(BY97="BRAKE","{YELLOW}Speed bonus for slow wagons{}",IF(BU97&gt;190,CONCATENATE("{YELLOW}",INT((BU97-185)/1.85),"% bonus for long distance travel{}"),IF(AND(BU97&lt;180,BU97&lt;&gt;0),CONCATENATE("{YELLOW}",INT((185-BU97)/1.85),"% penalty for long distance travel{}"),""))))</f>
        <v/>
      </c>
      <c r="CH97" s="1" t="str">
        <f aca="false">_xlfn.CONCAT(CD97,IF(CD97 &lt;&gt; "", " ", ""),CE97,IF(OR(CE97&lt;&gt;"", CD97&lt;&gt;""), "{}",""), CC97, CG97,"{SILVER}", CF97)</f>
        <v>{BLACK}Length: {GOLD}0.5 tiles{}{SILVER}The first SR ‘Queen Mary’ Brake vans converted from LBSCR ‘Milk Van’ MLVs, and lasted in departmental and limited freight service into the 2000s! A shed on rails with a stove and a desk has 1000 uses.</v>
      </c>
      <c r="CI97" s="1"/>
      <c r="CJ97" s="1"/>
    </row>
    <row r="98" s="18" customFormat="true" ht="13.8" hidden="false" customHeight="false" outlineLevel="0" collapsed="false">
      <c r="A98" s="18" t="s">
        <v>561</v>
      </c>
      <c r="B98" s="18" t="s">
        <v>562</v>
      </c>
      <c r="C98" s="1" t="n">
        <v>99</v>
      </c>
      <c r="D98" s="1" t="n">
        <v>98</v>
      </c>
      <c r="E98" s="1" t="n">
        <v>1093</v>
      </c>
      <c r="F98" s="1" t="s">
        <v>89</v>
      </c>
      <c r="G98" s="1" t="s">
        <v>528</v>
      </c>
      <c r="H98" s="1" t="s">
        <v>546</v>
      </c>
      <c r="I98" s="1" t="s">
        <v>153</v>
      </c>
      <c r="J98" s="1" t="n">
        <v>1936</v>
      </c>
      <c r="K98" s="1" t="n">
        <v>1990</v>
      </c>
      <c r="L98" s="1" t="n">
        <v>1998</v>
      </c>
      <c r="M98" s="1"/>
      <c r="N98" s="1"/>
      <c r="O98" s="2"/>
      <c r="P98" s="3"/>
      <c r="Q98" s="3"/>
      <c r="R98" s="3"/>
      <c r="S98" s="3"/>
      <c r="T98" s="3"/>
      <c r="U98" s="3"/>
      <c r="V98" s="3"/>
      <c r="W98" s="1" t="n">
        <v>26</v>
      </c>
      <c r="X98" s="2"/>
      <c r="Y98" s="1" t="n">
        <v>4</v>
      </c>
      <c r="Z98" s="1"/>
      <c r="AA98" s="4" t="str">
        <f aca="false">IF(AND(W98&gt;0,Z98&gt;0),(Z98/((W98+X98)*10)),"")</f>
        <v/>
      </c>
      <c r="AB98" s="1" t="n">
        <v>75</v>
      </c>
      <c r="AC98" s="1" t="n">
        <f aca="false">ROUND(AB98*1.6, 0)</f>
        <v>120</v>
      </c>
      <c r="AD98" s="1"/>
      <c r="AE98" s="1"/>
      <c r="AF98" s="1" t="n">
        <v>12.8</v>
      </c>
      <c r="AG98" s="1" t="n">
        <v>12.8</v>
      </c>
      <c r="AH98" s="1" t="n">
        <v>2.5</v>
      </c>
      <c r="AI98" s="1" t="n">
        <v>3.35</v>
      </c>
      <c r="AJ98" s="5" t="n">
        <v>0</v>
      </c>
      <c r="AK98" s="19" t="str">
        <f aca="false">CONCATENATE(VLOOKUP(AL98, 'Voxel Sizes'!$A$2:$B$18,2,FALSE()),"x",INT(AH98*15), "x", INT(AI98*15))</f>
        <v>136x37x50</v>
      </c>
      <c r="AL98" s="1" t="n">
        <f aca="false">ROUND(15*((AG98*10)/256),0)</f>
        <v>8</v>
      </c>
      <c r="AM98" s="1"/>
      <c r="AN98" s="1" t="str">
        <f aca="false">CONCATENATE(VLOOKUP(AL98,Constants!$A$2:$C$16,IF(AM98&lt;&gt;"", 3, 2), FALSE()),IF(AM98&lt;&gt;"",CONCATENATE(",",VLOOKUP(AM98,$B:$AN,38,FALSE())),""))</f>
        <v>2,4,2</v>
      </c>
      <c r="AO98" s="1"/>
      <c r="AP98" s="7"/>
      <c r="AQ98" s="7"/>
      <c r="AR98" s="1"/>
      <c r="AS98" s="1"/>
      <c r="AT98" s="1"/>
      <c r="AU98" s="1"/>
      <c r="AV98" s="1"/>
      <c r="AW98" s="1"/>
      <c r="AX98" s="1" t="n">
        <v>50</v>
      </c>
      <c r="AY98" s="6" t="n">
        <f aca="false">IF(L98&lt;&gt;"",MAX(16,(L98-J98)+8),"")</f>
        <v>70</v>
      </c>
      <c r="AZ98" s="1"/>
      <c r="BA98" s="1"/>
      <c r="BB98" s="1" t="n">
        <f aca="false">MIN(AB98/150, 1)*30</f>
        <v>15</v>
      </c>
      <c r="BC98" s="1" t="n">
        <f aca="false">MIN(N98/4000, 1)*20</f>
        <v>0</v>
      </c>
      <c r="BD98" s="1" t="n">
        <f aca="false">MIN(Z98/400,1)*20</f>
        <v>0</v>
      </c>
      <c r="BE98" s="4" t="n">
        <f aca="false">1-(MAX(J98-1900, 0)/750)</f>
        <v>0.952</v>
      </c>
      <c r="BF98" s="1" t="n">
        <f aca="false">((MAX($M98,1)*MIN($AJ98/300,1)))*IF(G98="Wagon",50,10)</f>
        <v>0</v>
      </c>
      <c r="BG98" s="1" t="n">
        <f aca="false">VLOOKUP($H98,Constants!$I:$K, 2, FALSE())</f>
        <v>1</v>
      </c>
      <c r="BH98" s="1" t="n">
        <f aca="false">VLOOKUP($H98,Constants!$I:$K, 3, FALSE())*IF(AND(G98="multiple_unit",AB98&lt;110),0.75,1)</f>
        <v>0.4</v>
      </c>
      <c r="BI98" s="1" t="n">
        <f aca="false">INT(POWER(((Constants!$G$2+$BB98+$BC98+$BD98+$BF98)*$BE98)*$BH98, 1.05))+$BA98</f>
        <v>8</v>
      </c>
      <c r="BJ98" s="1" t="n">
        <f aca="false">INT(POWER((((Constants!$G$1+$BB98+$BC98+$BD98+$BF98)*($BE98))*$BG98),IF($G98="wagon",1,1.2)))+$AZ98</f>
        <v>28</v>
      </c>
      <c r="BK98" s="20" t="n">
        <f aca="false">BI98*IF($G98="wagon",62.5,781.25)</f>
        <v>500</v>
      </c>
      <c r="BL98" s="20" t="n">
        <f aca="false">BJ98*IF($G98="wagon",2.73,81.25)</f>
        <v>76.44</v>
      </c>
      <c r="BM98" s="1"/>
      <c r="BN98" s="1"/>
      <c r="BO98" s="1"/>
      <c r="BP98" s="1"/>
      <c r="BQ98" s="1"/>
      <c r="BR98" s="1"/>
      <c r="BS98" s="1"/>
      <c r="BT98" s="1" t="n">
        <v>1</v>
      </c>
      <c r="BU98" s="1"/>
      <c r="BX98" s="18" t="s">
        <v>548</v>
      </c>
      <c r="BY98" s="1" t="str">
        <f aca="false">VLOOKUP(J98,Eras!$A$2:$C$10, 2, TRUE())</f>
        <v>big4</v>
      </c>
      <c r="BZ98" s="18" t="s">
        <v>549</v>
      </c>
      <c r="CA98" s="1" t="str">
        <f aca="false">CONCATENATE(BY98,"_",BZ98)</f>
        <v>big4_Extra</v>
      </c>
      <c r="CB98" s="1" t="str">
        <f aca="false">_xlfn.CONCAT(H98, "_",I98)</f>
        <v>brake_RAIL</v>
      </c>
      <c r="CC98" s="21" t="str">
        <f aca="false">_xlfn.CONCAT("{BLACK}Length: {GOLD}", TEXT(ROUNDUP(IF(AQ98&lt;&gt;"",SUM(VALUE(_xlfn.TEXTSPLIT(AQ98, ","))), SUM(VALUE(_xlfn.TEXTSPLIT(AN98, ",")))*IF(M98, M98, 1))/16, 1), "#,##0.0"), " tiles{}")</f>
        <v>{BLACK}Length: {GOLD}0.5 tiles{}</v>
      </c>
      <c r="CD98" s="1" t="str">
        <f aca="false">VLOOKUP($CB98, Constants!$M:$N, 2, FALSE())</f>
        <v/>
      </c>
      <c r="CE98" s="1" t="str">
        <f aca="false">IF(M98&gt;1,_xlfn.CONCAT("{BLACK}Cars: {GOLD}", M98),"")</f>
        <v/>
      </c>
      <c r="CF98" s="1" t="s">
        <v>563</v>
      </c>
      <c r="CG98" s="1" t="str">
        <f aca="false">IF(BX98="buffet","{YELLOW}25% long distance bonus for consist{}",IF(BY98="BRAKE","{YELLOW}Speed bonus for slow wagons{}",IF(BU98&gt;190,CONCATENATE("{YELLOW}",INT((BU98-185)/1.85),"% bonus for long distance travel{}"),IF(AND(BU98&lt;180,BU98&lt;&gt;0),CONCATENATE("{YELLOW}",INT((185-BU98)/1.85),"% penalty for long distance travel{}"),""))))</f>
        <v/>
      </c>
      <c r="CH98" s="1" t="str">
        <f aca="false">_xlfn.CONCAT(CD98,IF(CD98 &lt;&gt; "", " ", ""),CE98,IF(OR(CE98&lt;&gt;"", CD98&lt;&gt;""), "{}",""), CC98, CG98,"{SILVER}", CF98)</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EG98" s="1"/>
      <c r="EH98" s="1"/>
      <c r="EI98" s="1"/>
      <c r="EJ98" s="1"/>
      <c r="EK98" s="1"/>
      <c r="EL98" s="1"/>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c r="GF98" s="1"/>
      <c r="GG98" s="1"/>
      <c r="GH98" s="1"/>
      <c r="GI98" s="1"/>
      <c r="GJ98" s="1"/>
      <c r="GK98" s="1"/>
      <c r="GL98" s="1"/>
      <c r="GM98" s="1"/>
      <c r="GN98" s="1"/>
      <c r="GO98" s="1"/>
      <c r="GP98" s="1"/>
      <c r="GQ98" s="1"/>
      <c r="GR98" s="1"/>
      <c r="GS98" s="1"/>
      <c r="GT98" s="1"/>
      <c r="GU98" s="1"/>
      <c r="GV98" s="1"/>
      <c r="GW98" s="1"/>
      <c r="GX98" s="1"/>
      <c r="GY98" s="1"/>
      <c r="GZ98" s="1"/>
      <c r="HA98" s="1"/>
      <c r="HB98" s="1"/>
      <c r="HC98" s="1"/>
      <c r="HD98" s="1"/>
      <c r="HE98" s="1"/>
      <c r="HF98" s="1"/>
      <c r="HG98" s="1"/>
      <c r="HH98" s="1"/>
      <c r="HI98" s="1"/>
      <c r="HJ98" s="1"/>
      <c r="HK98" s="1"/>
      <c r="HL98" s="1"/>
      <c r="HM98" s="1"/>
      <c r="HN98" s="1"/>
      <c r="HO98" s="1"/>
      <c r="HP98" s="1"/>
      <c r="HQ98" s="1"/>
      <c r="HR98" s="1"/>
      <c r="HS98" s="1"/>
      <c r="HT98" s="1"/>
      <c r="HU98" s="1"/>
      <c r="HV98" s="1"/>
      <c r="HW98" s="1"/>
      <c r="HX98" s="1"/>
      <c r="HY98" s="1"/>
      <c r="HZ98" s="1"/>
      <c r="IA98" s="1"/>
      <c r="IB98" s="1"/>
      <c r="IC98" s="1"/>
      <c r="ID98" s="1"/>
      <c r="IE98" s="1"/>
      <c r="IF98" s="1"/>
      <c r="IG98" s="1"/>
      <c r="IH98" s="1"/>
      <c r="II98" s="1"/>
      <c r="IJ98" s="1"/>
      <c r="IK98" s="1"/>
      <c r="IL98" s="1"/>
      <c r="IM98" s="1"/>
      <c r="IN98" s="1"/>
      <c r="IO98" s="1"/>
      <c r="IP98" s="1"/>
      <c r="IQ98" s="1"/>
      <c r="IR98" s="1"/>
      <c r="IS98" s="1"/>
      <c r="IT98" s="1"/>
      <c r="IU98" s="1"/>
      <c r="IV98" s="1"/>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C98" s="1"/>
      <c r="ND98" s="1"/>
      <c r="NE98" s="1"/>
      <c r="NF98" s="1"/>
      <c r="NG98" s="1"/>
      <c r="NH98" s="1"/>
      <c r="NI98" s="1"/>
      <c r="NJ98" s="1"/>
      <c r="NK98" s="1"/>
      <c r="NL98" s="1"/>
      <c r="NM98" s="1"/>
      <c r="NN98" s="1"/>
      <c r="NO98" s="1"/>
      <c r="NP98" s="1"/>
      <c r="NQ98" s="1"/>
      <c r="NR98" s="1"/>
      <c r="NS98" s="1"/>
      <c r="NT98" s="1"/>
      <c r="NU98" s="1"/>
      <c r="NV98" s="1"/>
      <c r="NW98" s="1"/>
      <c r="NX98" s="1"/>
      <c r="NY98" s="1"/>
      <c r="NZ98" s="1"/>
      <c r="OA98" s="1"/>
      <c r="OB98" s="1"/>
      <c r="OC98" s="1"/>
      <c r="OD98" s="1"/>
      <c r="OE98" s="1"/>
      <c r="OF98" s="1"/>
      <c r="OG98" s="1"/>
      <c r="OH98" s="1"/>
      <c r="OI98" s="1"/>
      <c r="OJ98" s="1"/>
      <c r="OK98" s="1"/>
      <c r="OL98" s="1"/>
      <c r="OM98" s="1"/>
      <c r="ON98" s="1"/>
      <c r="OO98" s="1"/>
      <c r="OP98" s="1"/>
      <c r="OQ98" s="1"/>
      <c r="OR98" s="1"/>
      <c r="OS98" s="1"/>
      <c r="OT98" s="1"/>
      <c r="OU98" s="1"/>
      <c r="OV98" s="1"/>
      <c r="OW98" s="1"/>
      <c r="OX98" s="1"/>
      <c r="OY98" s="1"/>
      <c r="OZ98" s="1"/>
      <c r="PA98" s="1"/>
      <c r="PB98" s="1"/>
      <c r="PC98" s="1"/>
      <c r="PD98" s="1"/>
      <c r="PE98" s="1"/>
      <c r="PF98" s="1"/>
      <c r="PG98" s="1"/>
      <c r="PH98" s="1"/>
      <c r="PI98" s="1"/>
      <c r="PJ98" s="1"/>
      <c r="PK98" s="1"/>
      <c r="PL98" s="1"/>
      <c r="PM98" s="1"/>
      <c r="PN98" s="1"/>
      <c r="PO98" s="1"/>
      <c r="PP98" s="1"/>
      <c r="PQ98" s="1"/>
      <c r="PR98" s="1"/>
      <c r="PS98" s="1"/>
      <c r="PT98" s="1"/>
      <c r="PU98" s="1"/>
      <c r="PV98" s="1"/>
      <c r="PW98" s="1"/>
      <c r="PX98" s="1"/>
      <c r="PY98" s="1"/>
      <c r="PZ98" s="1"/>
      <c r="QA98" s="1"/>
      <c r="QB98" s="1"/>
      <c r="QC98" s="1"/>
      <c r="QD98" s="1"/>
      <c r="QE98" s="1"/>
      <c r="QF98" s="1"/>
      <c r="QG98" s="1"/>
      <c r="QH98" s="1"/>
      <c r="QI98" s="1"/>
      <c r="QJ98" s="1"/>
      <c r="QK98" s="1"/>
      <c r="QL98" s="1"/>
      <c r="QM98" s="1"/>
      <c r="QN98" s="1"/>
      <c r="QO98" s="1"/>
      <c r="QP98" s="1"/>
      <c r="QQ98" s="1"/>
      <c r="QR98" s="1"/>
      <c r="QS98" s="1"/>
      <c r="QT98" s="1"/>
      <c r="QU98" s="1"/>
      <c r="QV98" s="1"/>
      <c r="QW98" s="1"/>
      <c r="QX98" s="1"/>
      <c r="QY98" s="1"/>
      <c r="QZ98" s="1"/>
      <c r="RA98" s="1"/>
      <c r="RB98" s="1"/>
      <c r="RC98" s="1"/>
      <c r="RD98" s="1"/>
      <c r="RE98" s="1"/>
      <c r="RF98" s="1"/>
      <c r="RG98" s="1"/>
      <c r="RH98" s="1"/>
      <c r="RI98" s="1"/>
      <c r="RJ98" s="1"/>
      <c r="RK98" s="1"/>
      <c r="RL98" s="1"/>
      <c r="RM98" s="1"/>
      <c r="RN98" s="1"/>
      <c r="RO98" s="1"/>
      <c r="RP98" s="1"/>
      <c r="RQ98" s="1"/>
      <c r="RR98" s="1"/>
      <c r="RS98" s="1"/>
      <c r="RT98" s="1"/>
      <c r="RU98" s="1"/>
      <c r="RV98" s="1"/>
      <c r="RW98" s="1"/>
      <c r="RX98" s="1"/>
      <c r="RY98" s="1"/>
      <c r="RZ98" s="1"/>
      <c r="SA98" s="1"/>
      <c r="SB98" s="1"/>
      <c r="SC98" s="1"/>
      <c r="SD98" s="1"/>
      <c r="SE98" s="1"/>
      <c r="SF98" s="1"/>
      <c r="SG98" s="1"/>
      <c r="SH98" s="1"/>
      <c r="SI98" s="1"/>
      <c r="SJ98" s="1"/>
      <c r="SK98" s="1"/>
      <c r="SL98" s="1"/>
      <c r="SM98" s="1"/>
      <c r="SN98" s="1"/>
      <c r="SO98" s="1"/>
      <c r="SP98" s="1"/>
      <c r="SQ98" s="1"/>
      <c r="SR98" s="1"/>
      <c r="SS98" s="1"/>
      <c r="ST98" s="1"/>
      <c r="SU98" s="1"/>
      <c r="SV98" s="1"/>
      <c r="SW98" s="1"/>
      <c r="SX98" s="1"/>
      <c r="SY98" s="1"/>
      <c r="SZ98" s="1"/>
      <c r="TA98" s="1"/>
      <c r="TB98" s="1"/>
      <c r="TC98" s="1"/>
      <c r="TD98" s="1"/>
      <c r="TE98" s="1"/>
      <c r="TF98" s="1"/>
      <c r="TG98" s="1"/>
      <c r="TH98" s="1"/>
      <c r="TI98" s="1"/>
      <c r="TJ98" s="1"/>
      <c r="TK98" s="1"/>
      <c r="TL98" s="1"/>
      <c r="TM98" s="1"/>
      <c r="TN98" s="1"/>
      <c r="TO98" s="1"/>
      <c r="TP98" s="1"/>
      <c r="TQ98" s="1"/>
      <c r="TR98" s="1"/>
      <c r="TS98" s="1"/>
      <c r="TT98" s="1"/>
      <c r="TU98" s="1"/>
      <c r="TV98" s="1"/>
      <c r="TW98" s="1"/>
      <c r="TX98" s="1"/>
      <c r="TY98" s="1"/>
      <c r="TZ98" s="1"/>
      <c r="UA98" s="1"/>
      <c r="UB98" s="1"/>
      <c r="UC98" s="1"/>
      <c r="UD98" s="1"/>
      <c r="UE98" s="1"/>
      <c r="UF98" s="1"/>
      <c r="UG98" s="1"/>
      <c r="UH98" s="1"/>
      <c r="UI98" s="1"/>
      <c r="UJ98" s="1"/>
      <c r="UK98" s="1"/>
      <c r="UL98" s="1"/>
      <c r="UM98" s="1"/>
      <c r="UN98" s="1"/>
      <c r="UO98" s="1"/>
      <c r="UP98" s="1"/>
      <c r="UQ98" s="1"/>
      <c r="UR98" s="1"/>
      <c r="US98" s="1"/>
      <c r="UT98" s="1"/>
      <c r="UU98" s="1"/>
      <c r="UV98" s="1"/>
      <c r="UW98" s="1"/>
      <c r="UX98" s="1"/>
      <c r="UY98" s="1"/>
      <c r="UZ98" s="1"/>
      <c r="VA98" s="1"/>
      <c r="VB98" s="1"/>
      <c r="VC98" s="1"/>
      <c r="VD98" s="1"/>
      <c r="VE98" s="1"/>
      <c r="VF98" s="1"/>
      <c r="VG98" s="1"/>
      <c r="VH98" s="1"/>
      <c r="VI98" s="1"/>
      <c r="VJ98" s="1"/>
      <c r="VK98" s="1"/>
      <c r="VL98" s="1"/>
      <c r="VM98" s="1"/>
      <c r="VN98" s="1"/>
      <c r="VO98" s="1"/>
      <c r="VP98" s="1"/>
      <c r="VQ98" s="1"/>
      <c r="VR98" s="1"/>
      <c r="VS98" s="1"/>
      <c r="VT98" s="1"/>
      <c r="VU98" s="1"/>
      <c r="VV98" s="1"/>
      <c r="VW98" s="1"/>
      <c r="VX98" s="1"/>
      <c r="VY98" s="1"/>
      <c r="VZ98" s="1"/>
      <c r="WA98" s="1"/>
      <c r="WB98" s="1"/>
      <c r="WC98" s="1"/>
      <c r="WD98" s="1"/>
      <c r="WE98" s="1"/>
      <c r="WF98" s="1"/>
      <c r="WG98" s="1"/>
      <c r="WH98" s="1"/>
      <c r="WI98" s="1"/>
      <c r="WJ98" s="1"/>
      <c r="WK98" s="1"/>
      <c r="WL98" s="1"/>
      <c r="WM98" s="1"/>
      <c r="WN98" s="1"/>
      <c r="WO98" s="1"/>
      <c r="WP98" s="1"/>
      <c r="WQ98" s="1"/>
      <c r="WR98" s="1"/>
      <c r="WS98" s="1"/>
      <c r="WT98" s="1"/>
      <c r="WU98" s="1"/>
      <c r="WV98" s="1"/>
      <c r="WW98" s="1"/>
      <c r="WX98" s="1"/>
      <c r="WY98" s="1"/>
      <c r="WZ98" s="1"/>
      <c r="XA98" s="1"/>
      <c r="XB98" s="1"/>
      <c r="XC98" s="1"/>
      <c r="XD98" s="1"/>
      <c r="XE98" s="1"/>
      <c r="XF98" s="1"/>
      <c r="XG98" s="1"/>
      <c r="XH98" s="1"/>
      <c r="XI98" s="1"/>
      <c r="XJ98" s="1"/>
      <c r="XK98" s="1"/>
      <c r="XL98" s="1"/>
      <c r="XM98" s="1"/>
      <c r="XN98" s="1"/>
      <c r="XO98" s="1"/>
      <c r="XP98" s="1"/>
      <c r="XQ98" s="1"/>
      <c r="XR98" s="1"/>
      <c r="XS98" s="1"/>
      <c r="XT98" s="1"/>
      <c r="XU98" s="1"/>
      <c r="XV98" s="1"/>
      <c r="XW98" s="1"/>
      <c r="XX98" s="1"/>
      <c r="XY98" s="1"/>
      <c r="XZ98" s="1"/>
      <c r="YA98" s="1"/>
      <c r="YB98" s="1"/>
      <c r="YC98" s="1"/>
      <c r="YD98" s="1"/>
      <c r="YE98" s="1"/>
      <c r="YF98" s="1"/>
      <c r="YG98" s="1"/>
      <c r="YH98" s="1"/>
      <c r="YI98" s="1"/>
      <c r="YJ98" s="1"/>
      <c r="YK98" s="1"/>
      <c r="YL98" s="1"/>
      <c r="YM98" s="1"/>
      <c r="YN98" s="1"/>
      <c r="YO98" s="1"/>
      <c r="YP98" s="1"/>
      <c r="YQ98" s="1"/>
      <c r="YR98" s="1"/>
      <c r="YS98" s="1"/>
      <c r="YT98" s="1"/>
      <c r="YU98" s="1"/>
      <c r="YV98" s="1"/>
      <c r="YW98" s="1"/>
      <c r="YX98" s="1"/>
      <c r="YY98" s="1"/>
      <c r="YZ98" s="1"/>
      <c r="ZA98" s="1"/>
      <c r="ZB98" s="1"/>
      <c r="ZC98" s="1"/>
      <c r="ZD98" s="1"/>
      <c r="ZE98" s="1"/>
      <c r="ZF98" s="1"/>
      <c r="ZG98" s="1"/>
      <c r="ZH98" s="1"/>
      <c r="ZI98" s="1"/>
      <c r="ZJ98" s="1"/>
      <c r="ZK98" s="1"/>
      <c r="ZL98" s="1"/>
      <c r="ZM98" s="1"/>
      <c r="ZN98" s="1"/>
      <c r="ZO98" s="1"/>
      <c r="ZP98" s="1"/>
      <c r="ZQ98" s="1"/>
      <c r="ZR98" s="1"/>
      <c r="ZS98" s="1"/>
      <c r="ZT98" s="1"/>
      <c r="ZU98" s="1"/>
      <c r="ZV98" s="1"/>
      <c r="ZW98" s="1"/>
      <c r="ZX98" s="1"/>
      <c r="ZY98" s="1"/>
      <c r="ZZ98" s="1"/>
      <c r="AAA98" s="1"/>
      <c r="AAB98" s="1"/>
      <c r="AAC98" s="1"/>
      <c r="AAD98" s="1"/>
      <c r="AAE98" s="1"/>
      <c r="AAF98" s="1"/>
      <c r="AAG98" s="1"/>
      <c r="AAH98" s="1"/>
      <c r="AAI98" s="1"/>
      <c r="AAJ98" s="1"/>
      <c r="AAK98" s="1"/>
      <c r="AAL98" s="1"/>
      <c r="AAM98" s="1"/>
      <c r="AAN98" s="1"/>
      <c r="AAO98" s="1"/>
      <c r="AAP98" s="1"/>
      <c r="AAQ98" s="1"/>
      <c r="AAR98" s="1"/>
      <c r="AAS98" s="1"/>
      <c r="AAT98" s="1"/>
      <c r="AAU98" s="1"/>
      <c r="AAV98" s="1"/>
      <c r="AAW98" s="1"/>
      <c r="AAX98" s="1"/>
      <c r="AAY98" s="1"/>
      <c r="AAZ98" s="1"/>
      <c r="ABA98" s="1"/>
      <c r="ABB98" s="1"/>
      <c r="ABC98" s="1"/>
      <c r="ABD98" s="1"/>
      <c r="ABE98" s="1"/>
      <c r="ABF98" s="1"/>
      <c r="ABG98" s="1"/>
      <c r="ABH98" s="1"/>
      <c r="ABI98" s="1"/>
      <c r="ABJ98" s="1"/>
      <c r="ABK98" s="1"/>
      <c r="ABL98" s="1"/>
      <c r="ABM98" s="1"/>
      <c r="ABN98" s="1"/>
      <c r="ABO98" s="1"/>
      <c r="ABP98" s="1"/>
      <c r="ABQ98" s="1"/>
      <c r="ABR98" s="1"/>
      <c r="ABS98" s="1"/>
      <c r="ABT98" s="1"/>
      <c r="ABU98" s="1"/>
      <c r="ABV98" s="1"/>
      <c r="ABW98" s="1"/>
      <c r="ABX98" s="1"/>
      <c r="ABY98" s="1"/>
      <c r="ABZ98" s="1"/>
      <c r="ACA98" s="1"/>
      <c r="ACB98" s="1"/>
      <c r="ACC98" s="1"/>
      <c r="ACD98" s="1"/>
      <c r="ACE98" s="1"/>
      <c r="ACF98" s="1"/>
      <c r="ACG98" s="1"/>
      <c r="ACH98" s="1"/>
      <c r="ACI98" s="1"/>
      <c r="ACJ98" s="1"/>
      <c r="ACK98" s="1"/>
      <c r="ACL98" s="1"/>
      <c r="ACM98" s="1"/>
      <c r="ACN98" s="1"/>
      <c r="ACO98" s="1"/>
      <c r="ACP98" s="1"/>
      <c r="ACQ98" s="1"/>
      <c r="ACR98" s="1"/>
      <c r="ACS98" s="1"/>
      <c r="ACT98" s="1"/>
      <c r="ACU98" s="1"/>
      <c r="ACV98" s="1"/>
      <c r="ACW98" s="1"/>
      <c r="ACX98" s="1"/>
      <c r="ACY98" s="1"/>
      <c r="ACZ98" s="1"/>
      <c r="ADA98" s="1"/>
      <c r="ADB98" s="1"/>
      <c r="ADC98" s="1"/>
      <c r="ADD98" s="1"/>
      <c r="ADE98" s="1"/>
      <c r="ADF98" s="1"/>
      <c r="ADG98" s="1"/>
      <c r="ADH98" s="1"/>
      <c r="ADI98" s="1"/>
      <c r="ADJ98" s="1"/>
      <c r="ADK98" s="1"/>
      <c r="ADL98" s="1"/>
      <c r="ADM98" s="1"/>
      <c r="ADN98" s="1"/>
      <c r="ADO98" s="1"/>
      <c r="ADP98" s="1"/>
      <c r="ADQ98" s="1"/>
      <c r="ADR98" s="1"/>
      <c r="ADS98" s="1"/>
      <c r="ADT98" s="1"/>
      <c r="ADU98" s="1"/>
      <c r="ADV98" s="1"/>
      <c r="ADW98" s="1"/>
      <c r="ADX98" s="1"/>
      <c r="ADY98" s="1"/>
      <c r="ADZ98" s="1"/>
      <c r="AEA98" s="1"/>
      <c r="AEB98" s="1"/>
      <c r="AEC98" s="1"/>
      <c r="AED98" s="1"/>
      <c r="AEE98" s="1"/>
      <c r="AEF98" s="1"/>
      <c r="AEG98" s="1"/>
      <c r="AEH98" s="1"/>
      <c r="AEI98" s="1"/>
      <c r="AEJ98" s="1"/>
      <c r="AEK98" s="1"/>
      <c r="AEL98" s="1"/>
      <c r="AEM98" s="1"/>
      <c r="AEN98" s="1"/>
      <c r="AEO98" s="1"/>
      <c r="AEP98" s="1"/>
      <c r="AEQ98" s="1"/>
      <c r="AER98" s="1"/>
      <c r="AES98" s="1"/>
      <c r="AET98" s="1"/>
      <c r="AEU98" s="1"/>
      <c r="AEV98" s="1"/>
      <c r="AEW98" s="1"/>
      <c r="AEX98" s="1"/>
      <c r="AEY98" s="1"/>
      <c r="AEZ98" s="1"/>
      <c r="AFA98" s="1"/>
      <c r="AFB98" s="1"/>
      <c r="AFC98" s="1"/>
      <c r="AFD98" s="1"/>
      <c r="AFE98" s="1"/>
      <c r="AFF98" s="1"/>
      <c r="AFG98" s="1"/>
      <c r="AFH98" s="1"/>
      <c r="AFI98" s="1"/>
      <c r="AFJ98" s="1"/>
      <c r="AFK98" s="1"/>
      <c r="AFL98" s="1"/>
      <c r="AFM98" s="1"/>
      <c r="AFN98" s="1"/>
      <c r="AFO98" s="1"/>
      <c r="AFP98" s="1"/>
      <c r="AFQ98" s="1"/>
      <c r="AFR98" s="1"/>
      <c r="AFS98" s="1"/>
      <c r="AFT98" s="1"/>
      <c r="AFU98" s="1"/>
      <c r="AFV98" s="1"/>
      <c r="AFW98" s="1"/>
      <c r="AFX98" s="1"/>
      <c r="AFY98" s="1"/>
      <c r="AFZ98" s="1"/>
      <c r="AGA98" s="1"/>
      <c r="AGB98" s="1"/>
      <c r="AGC98" s="1"/>
      <c r="AGD98" s="1"/>
      <c r="AGE98" s="1"/>
      <c r="AGF98" s="1"/>
      <c r="AGG98" s="1"/>
      <c r="AGH98" s="1"/>
      <c r="AGI98" s="1"/>
      <c r="AGJ98" s="1"/>
      <c r="AGK98" s="1"/>
      <c r="AGL98" s="1"/>
      <c r="AGM98" s="1"/>
      <c r="AGN98" s="1"/>
      <c r="AGO98" s="1"/>
      <c r="AGP98" s="1"/>
      <c r="AGQ98" s="1"/>
      <c r="AGR98" s="1"/>
      <c r="AGS98" s="1"/>
      <c r="AGT98" s="1"/>
      <c r="AGU98" s="1"/>
      <c r="AGV98" s="1"/>
      <c r="AGW98" s="1"/>
      <c r="AGX98" s="1"/>
      <c r="AGY98" s="1"/>
      <c r="AGZ98" s="1"/>
      <c r="AHA98" s="1"/>
      <c r="AHB98" s="1"/>
      <c r="AHC98" s="1"/>
      <c r="AHD98" s="1"/>
      <c r="AHE98" s="1"/>
      <c r="AHF98" s="1"/>
      <c r="AHG98" s="1"/>
      <c r="AHH98" s="1"/>
      <c r="AHI98" s="1"/>
      <c r="AHJ98" s="1"/>
      <c r="AHK98" s="1"/>
      <c r="AHL98" s="1"/>
      <c r="AHM98" s="1"/>
      <c r="AHN98" s="1"/>
      <c r="AHO98" s="1"/>
      <c r="AHP98" s="1"/>
      <c r="AHQ98" s="1"/>
      <c r="AHR98" s="1"/>
      <c r="AHS98" s="1"/>
      <c r="AHT98" s="1"/>
      <c r="AHU98" s="1"/>
      <c r="AHV98" s="1"/>
      <c r="AHW98" s="1"/>
      <c r="AHX98" s="1"/>
      <c r="AHY98" s="1"/>
      <c r="AHZ98" s="1"/>
      <c r="AIA98" s="1"/>
      <c r="AIB98" s="1"/>
      <c r="AIC98" s="1"/>
      <c r="AID98" s="1"/>
      <c r="AIE98" s="1"/>
      <c r="AIF98" s="1"/>
      <c r="AIG98" s="1"/>
      <c r="AIH98" s="1"/>
      <c r="AII98" s="1"/>
      <c r="AIJ98" s="1"/>
      <c r="AIK98" s="1"/>
      <c r="AIL98" s="1"/>
      <c r="AIM98" s="1"/>
      <c r="AIN98" s="1"/>
      <c r="AIO98" s="1"/>
      <c r="AIP98" s="1"/>
      <c r="AIQ98" s="1"/>
      <c r="AIR98" s="1"/>
      <c r="AIS98" s="1"/>
      <c r="AIT98" s="1"/>
      <c r="AIU98" s="1"/>
      <c r="AIV98" s="1"/>
      <c r="AIW98" s="1"/>
      <c r="AIX98" s="1"/>
      <c r="AIY98" s="1"/>
      <c r="AIZ98" s="1"/>
      <c r="AJA98" s="1"/>
      <c r="AJB98" s="1"/>
      <c r="AJC98" s="1"/>
      <c r="AJD98" s="1"/>
      <c r="AJE98" s="1"/>
      <c r="AJF98" s="1"/>
      <c r="AJG98" s="1"/>
      <c r="AJH98" s="1"/>
      <c r="AJI98" s="1"/>
      <c r="AJJ98" s="1"/>
      <c r="AJK98" s="1"/>
      <c r="AJL98" s="1"/>
      <c r="AJM98" s="1"/>
      <c r="AJN98" s="1"/>
      <c r="AJO98" s="1"/>
      <c r="AJP98" s="1"/>
      <c r="AJQ98" s="1"/>
      <c r="AJR98" s="1"/>
      <c r="AJS98" s="1"/>
      <c r="AJT98" s="1"/>
      <c r="AJU98" s="1"/>
      <c r="AJV98" s="1"/>
      <c r="AJW98" s="1"/>
      <c r="AJX98" s="1"/>
      <c r="AJY98" s="1"/>
      <c r="AJZ98" s="1"/>
      <c r="AKA98" s="1"/>
      <c r="AKB98" s="1"/>
      <c r="AKC98" s="1"/>
      <c r="AKD98" s="1"/>
      <c r="AKE98" s="1"/>
      <c r="AKF98" s="1"/>
      <c r="AKG98" s="1"/>
      <c r="AKH98" s="1"/>
      <c r="AKI98" s="1"/>
      <c r="AKJ98" s="1"/>
      <c r="AKK98" s="1"/>
      <c r="AKL98" s="1"/>
      <c r="AKM98" s="1"/>
      <c r="AKN98" s="1"/>
      <c r="AKO98" s="1"/>
      <c r="AKP98" s="1"/>
      <c r="AKQ98" s="1"/>
      <c r="AKR98" s="1"/>
      <c r="AKS98" s="1"/>
      <c r="AKT98" s="1"/>
      <c r="AKU98" s="1"/>
      <c r="AKV98" s="1"/>
      <c r="AKW98" s="1"/>
      <c r="AKX98" s="1"/>
      <c r="AKY98" s="1"/>
      <c r="AKZ98" s="1"/>
      <c r="ALA98" s="1"/>
      <c r="ALB98" s="1"/>
      <c r="ALC98" s="1"/>
      <c r="ALD98" s="1"/>
      <c r="ALE98" s="1"/>
      <c r="ALF98" s="1"/>
      <c r="ALG98" s="1"/>
      <c r="ALH98" s="1"/>
      <c r="ALI98" s="1"/>
      <c r="ALJ98" s="1"/>
      <c r="ALK98" s="1"/>
      <c r="ALL98" s="1"/>
      <c r="ALM98" s="1"/>
      <c r="ALN98" s="1"/>
      <c r="ALO98" s="1"/>
      <c r="ALP98" s="1"/>
      <c r="ALQ98" s="1"/>
      <c r="ALR98" s="1"/>
      <c r="ALS98" s="1"/>
      <c r="ALT98" s="1"/>
      <c r="ALU98" s="1"/>
      <c r="ALV98" s="1"/>
      <c r="ALW98" s="1"/>
      <c r="ALX98" s="1"/>
      <c r="ALY98" s="1"/>
      <c r="ALZ98" s="1"/>
      <c r="AMA98" s="1"/>
      <c r="AMB98" s="1"/>
      <c r="AMC98" s="1"/>
      <c r="AMD98" s="1"/>
      <c r="AME98" s="1"/>
      <c r="AMF98" s="1"/>
      <c r="AMG98" s="1"/>
      <c r="AMH98" s="1"/>
      <c r="AMI98" s="1"/>
      <c r="AMJ98" s="1"/>
    </row>
    <row r="99" customFormat="false" ht="13.8" hidden="false" customHeight="false" outlineLevel="0" collapsed="false">
      <c r="A99" s="18" t="s">
        <v>564</v>
      </c>
      <c r="B99" s="18" t="s">
        <v>565</v>
      </c>
      <c r="C99" s="1" t="n">
        <v>22</v>
      </c>
      <c r="E99" s="1" t="n">
        <v>1027</v>
      </c>
      <c r="F99" s="1" t="s">
        <v>89</v>
      </c>
      <c r="G99" s="1" t="s">
        <v>528</v>
      </c>
      <c r="H99" s="1" t="s">
        <v>528</v>
      </c>
      <c r="I99" s="1" t="s">
        <v>153</v>
      </c>
      <c r="J99" s="1" t="n">
        <v>1955</v>
      </c>
      <c r="K99" s="1" t="n">
        <v>1974</v>
      </c>
      <c r="L99" s="1" t="n">
        <v>1982</v>
      </c>
      <c r="W99" s="1" t="n">
        <v>9.7</v>
      </c>
      <c r="Y99" s="1" t="n">
        <v>4</v>
      </c>
      <c r="AA99" s="4" t="str">
        <f aca="false">IF(AND(W99&gt;0,Z99&gt;0),(Z99/((W99+X99)*10)),"")</f>
        <v/>
      </c>
      <c r="AB99" s="1" t="n">
        <v>60</v>
      </c>
      <c r="AC99" s="1" t="n">
        <f aca="false">ROUND(AB99*1.6, 0)</f>
        <v>96</v>
      </c>
      <c r="AF99" s="1" t="n">
        <v>7.6</v>
      </c>
      <c r="AG99" s="1" t="n">
        <v>8</v>
      </c>
      <c r="AH99" s="1" t="n">
        <v>2.5</v>
      </c>
      <c r="AI99" s="1" t="n">
        <v>3.35</v>
      </c>
      <c r="AJ99" s="5" t="n">
        <v>22</v>
      </c>
      <c r="AK99" s="19" t="str">
        <f aca="false">CONCATENATE(VLOOKUP(AL99, 'Voxel Sizes'!$A$2:$B$18,2,FALSE()),"x",INT(AH99*15), "x", INT(AI99*15))</f>
        <v>82x37x50</v>
      </c>
      <c r="AL99" s="1" t="n">
        <f aca="false">ROUND(15*((AG99*10)/256),0)</f>
        <v>5</v>
      </c>
      <c r="AN99" s="1" t="str">
        <f aca="false">CONCATENATE(VLOOKUP(AL99,Constants!$A$2:$C$16,IF(AM99&lt;&gt;"", 3, 2), FALSE()),IF(AM99&lt;&gt;"",CONCATENATE(",",VLOOKUP(AM99,$B:$AN,38,FALSE())),""))</f>
        <v>2,1,2</v>
      </c>
      <c r="AX99" s="1" t="n">
        <v>30</v>
      </c>
      <c r="AY99" s="6" t="n">
        <f aca="false">IF(L99&lt;&gt;"",MAX(16,(L99-J99)+8),"")</f>
        <v>35</v>
      </c>
      <c r="AZ99" s="1" t="n">
        <v>5</v>
      </c>
      <c r="BB99" s="1" t="n">
        <f aca="false">MIN(AB99/150, 1)*30</f>
        <v>12</v>
      </c>
      <c r="BC99" s="1" t="n">
        <f aca="false">MIN(N99/4000, 1)*20</f>
        <v>0</v>
      </c>
      <c r="BD99" s="1" t="n">
        <f aca="false">MIN(Z99/400,1)*20</f>
        <v>0</v>
      </c>
      <c r="BE99" s="4" t="n">
        <f aca="false">1-(MAX(J99-1900, 0)/750)</f>
        <v>0.926666666666667</v>
      </c>
      <c r="BF99" s="1" t="n">
        <f aca="false">((MAX($M99,1)*MIN($AJ99/300,1)))*IF(G99="Wagon",50,10)</f>
        <v>3.66666666666667</v>
      </c>
      <c r="BG99" s="1" t="n">
        <f aca="false">VLOOKUP($H99,Constants!$I:$K, 2, FALSE())</f>
        <v>1</v>
      </c>
      <c r="BH99" s="1" t="n">
        <f aca="false">VLOOKUP($H99,Constants!$I:$K, 3, FALSE())*IF(AND(G99="multiple_unit",AB99&lt;110),0.75,1)</f>
        <v>0.45</v>
      </c>
      <c r="BI99" s="1" t="n">
        <f aca="false">INT(POWER(((Constants!$G$2+$BB99+$BC99+$BD99+$BF99)*$BE99)*$BH99, 1.05))+$BA99</f>
        <v>9</v>
      </c>
      <c r="BJ99" s="1" t="n">
        <f aca="false">INT(POWER((((Constants!$G$1+$BB99+$BC99+$BD99+$BF99)*($BE99))*$BG99),IF($G99="wagon",1,1.2)))+$AZ99</f>
        <v>33</v>
      </c>
      <c r="BK99" s="20" t="n">
        <f aca="false">BI99*IF($G99="wagon",62.5,781.25)</f>
        <v>562.5</v>
      </c>
      <c r="BL99" s="20" t="n">
        <f aca="false">BJ99*IF($G99="wagon",2.73,81.25)</f>
        <v>90.09</v>
      </c>
      <c r="BT99" s="1" t="n">
        <v>1</v>
      </c>
      <c r="BU99" s="1" t="n">
        <v>185</v>
      </c>
      <c r="BV99" s="1" t="s">
        <v>542</v>
      </c>
      <c r="BX99" s="1" t="s">
        <v>556</v>
      </c>
      <c r="BY99" s="1" t="str">
        <f aca="false">VLOOKUP(J99,Eras!$A$2:$C$10, 2, TRUE())</f>
        <v>dsl</v>
      </c>
      <c r="BZ99" s="18" t="s">
        <v>531</v>
      </c>
      <c r="CA99" s="1" t="str">
        <f aca="false">CONCATENATE(BY99,"_",BZ99)</f>
        <v>dsl_Tanker</v>
      </c>
      <c r="CB99" s="1" t="str">
        <f aca="false">_xlfn.CONCAT(H99, "_",I99)</f>
        <v>wagon_RAIL</v>
      </c>
      <c r="CC99" s="21" t="str">
        <f aca="false">_xlfn.CONCAT("{BLACK}Length: {GOLD}", TEXT(ROUNDUP(IF(AQ99&lt;&gt;"",SUM(VALUE(_xlfn.TEXTSPLIT(AQ99, ","))), SUM(VALUE(_xlfn.TEXTSPLIT(AN99, ",")))*IF(M99, M99, 1))/16, 1), "#,##0.0"), " tiles{}")</f>
        <v>{BLACK}Length: {GOLD}0.4 tiles{}</v>
      </c>
      <c r="CD99" s="1" t="str">
        <f aca="false">VLOOKUP($CB99, Constants!$M:$N, 2, FALSE())</f>
        <v/>
      </c>
      <c r="CE99" s="1" t="str">
        <f aca="false">IF(M99&gt;1,_xlfn.CONCAT("{BLACK}Cars: {GOLD}", M99),"")</f>
        <v/>
      </c>
      <c r="CF99" s="1" t="s">
        <v>566</v>
      </c>
      <c r="CG99" s="1" t="str">
        <f aca="false">IF(BW99="buffet","{YELLOW}25% long distance bonus for consist{}",IF(BY99="BRAKE","{YELLOW}Speed bonus for slow wagons{}",IF(BU99&gt;190,CONCATENATE("{YELLOW}",INT((BU99-185)/1.85),"% bonus for long distance travel{}"),IF(AND(BU99&lt;180,BU99&lt;&gt;0),CONCATENATE("{YELLOW}",INT((185-BU99)/1.85),"% penalty for long distance travel{}"),""))))</f>
        <v/>
      </c>
      <c r="CH99" s="1" t="str">
        <f aca="false">_xlfn.CONCAT(CD99,IF(CD99 &lt;&gt; "", " ", ""),CE99,IF(OR(CE99&lt;&gt;"", CD99&lt;&gt;""), "{}",""), CC99, CG99,"{SILVER}", CF99)</f>
        <v>{BLACK}Length: {GOLD}0.4 tiles{}{SILVER}This is a representative BR GRAINFIT wagon, a vacuum-braked bulk hopper derived from the 1930s LMS design.</v>
      </c>
      <c r="CI99" s="1"/>
      <c r="CJ99" s="1"/>
    </row>
    <row r="100" customFormat="false" ht="13.8" hidden="false" customHeight="false" outlineLevel="0" collapsed="false">
      <c r="A100" s="18" t="s">
        <v>567</v>
      </c>
      <c r="B100" s="18" t="s">
        <v>568</v>
      </c>
      <c r="C100" s="1" t="n">
        <v>23</v>
      </c>
      <c r="E100" s="1" t="n">
        <v>1029</v>
      </c>
      <c r="F100" s="1" t="s">
        <v>89</v>
      </c>
      <c r="G100" s="1" t="s">
        <v>528</v>
      </c>
      <c r="H100" s="1" t="s">
        <v>528</v>
      </c>
      <c r="I100" s="1" t="s">
        <v>153</v>
      </c>
      <c r="J100" s="1" t="n">
        <v>1966</v>
      </c>
      <c r="K100" s="1" t="n">
        <v>1996</v>
      </c>
      <c r="L100" s="1" t="n">
        <v>2002</v>
      </c>
      <c r="W100" s="1" t="n">
        <v>12.9</v>
      </c>
      <c r="Y100" s="1" t="n">
        <v>5</v>
      </c>
      <c r="AA100" s="4" t="str">
        <f aca="false">IF(AND(W100&gt;0,Z100&gt;0),(Z100/((W100+X100)*10)),"")</f>
        <v/>
      </c>
      <c r="AB100" s="1" t="n">
        <v>60</v>
      </c>
      <c r="AC100" s="1" t="n">
        <f aca="false">ROUND(AB100*1.6, 0)</f>
        <v>96</v>
      </c>
      <c r="AF100" s="1" t="n">
        <v>8.8</v>
      </c>
      <c r="AG100" s="1" t="n">
        <v>10</v>
      </c>
      <c r="AH100" s="1" t="n">
        <v>2.7</v>
      </c>
      <c r="AI100" s="1" t="n">
        <v>3.8</v>
      </c>
      <c r="AJ100" s="5" t="n">
        <v>36</v>
      </c>
      <c r="AK100" s="19" t="str">
        <f aca="false">CONCATENATE(VLOOKUP(AL100, 'Voxel Sizes'!$A$2:$B$18,2,FALSE()),"x",INT(AH100*15), "x", INT(AI100*15))</f>
        <v>102x40x57</v>
      </c>
      <c r="AL100" s="1" t="n">
        <f aca="false">ROUND(15*((AG100*10)/256),0)</f>
        <v>6</v>
      </c>
      <c r="AN100" s="1" t="str">
        <f aca="false">CONCATENATE(VLOOKUP(AL100,Constants!$A$2:$C$16,IF(AM100&lt;&gt;"", 3, 2), FALSE()),IF(AM100&lt;&gt;"",CONCATENATE(",",VLOOKUP(AM100,$B:$AN,38,FALSE())),""))</f>
        <v>2,2,2</v>
      </c>
      <c r="AX100" s="1" t="n">
        <v>30</v>
      </c>
      <c r="AY100" s="6" t="n">
        <f aca="false">IF(L100&lt;&gt;"",MAX(16,(L100-J100)+8),"")</f>
        <v>44</v>
      </c>
      <c r="BB100" s="1" t="n">
        <f aca="false">MIN(AB100/150, 1)*30</f>
        <v>12</v>
      </c>
      <c r="BC100" s="1" t="n">
        <f aca="false">MIN(N100/4000, 1)*20</f>
        <v>0</v>
      </c>
      <c r="BD100" s="1" t="n">
        <f aca="false">MIN(Z100/400,1)*20</f>
        <v>0</v>
      </c>
      <c r="BE100" s="4" t="n">
        <f aca="false">1-(MAX(J100-1900, 0)/750)</f>
        <v>0.912</v>
      </c>
      <c r="BF100" s="1" t="n">
        <f aca="false">((MAX($M100,1)*MIN($AJ100/300,1)))*IF(G100="Wagon",50,10)</f>
        <v>6</v>
      </c>
      <c r="BG100" s="1" t="n">
        <f aca="false">VLOOKUP($H100,Constants!$I:$K, 2, FALSE())</f>
        <v>1</v>
      </c>
      <c r="BH100" s="1" t="n">
        <f aca="false">VLOOKUP($H100,Constants!$I:$K, 3, FALSE())*IF(AND(G100="multiple_unit",AB100&lt;110),0.75,1)</f>
        <v>0.45</v>
      </c>
      <c r="BI100" s="1" t="n">
        <f aca="false">INT(POWER(((Constants!$G$2+$BB100+$BC100+$BD100+$BF100)*$BE100)*$BH100, 1.05))+$BA100</f>
        <v>10</v>
      </c>
      <c r="BJ100" s="1" t="n">
        <f aca="false">INT(POWER((((Constants!$G$1+$BB100+$BC100+$BD100+$BF100)*($BE100))*$BG100),IF($G100="wagon",1,1.2)))+$AZ100</f>
        <v>30</v>
      </c>
      <c r="BK100" s="20" t="n">
        <f aca="false">BI100*IF($G100="wagon",62.5,781.25)</f>
        <v>625</v>
      </c>
      <c r="BL100" s="20" t="n">
        <f aca="false">BJ100*IF($G100="wagon",2.73,81.25)</f>
        <v>81.9</v>
      </c>
      <c r="BT100" s="1" t="n">
        <v>1</v>
      </c>
      <c r="BU100" s="1" t="n">
        <v>185</v>
      </c>
      <c r="BV100" s="1" t="s">
        <v>542</v>
      </c>
      <c r="BX100" s="1" t="s">
        <v>556</v>
      </c>
      <c r="BY100" s="1" t="str">
        <f aca="false">VLOOKUP(J100,Eras!$A$2:$C$10, 2, TRUE())</f>
        <v>dsl</v>
      </c>
      <c r="BZ100" s="18" t="s">
        <v>531</v>
      </c>
      <c r="CA100" s="1" t="str">
        <f aca="false">CONCATENATE(BY100,"_",BZ100)</f>
        <v>dsl_Tanker</v>
      </c>
      <c r="CB100" s="1" t="str">
        <f aca="false">_xlfn.CONCAT(H100, "_",I100)</f>
        <v>wagon_RAIL</v>
      </c>
      <c r="CC100" s="21" t="str">
        <f aca="false">_xlfn.CONCAT("{BLACK}Length: {GOLD}", TEXT(ROUNDUP(IF(AQ100&lt;&gt;"",SUM(VALUE(_xlfn.TEXTSPLIT(AQ100, ","))), SUM(VALUE(_xlfn.TEXTSPLIT(AN100, ",")))*IF(M100, M100, 1))/16, 1), "#,##0.0"), " tiles{}")</f>
        <v>{BLACK}Length: {GOLD}0.4 tiles{}</v>
      </c>
      <c r="CD100" s="1" t="str">
        <f aca="false">VLOOKUP($CB100, Constants!$M:$N, 2, FALSE())</f>
        <v/>
      </c>
      <c r="CE100" s="1" t="str">
        <f aca="false">IF(M100&gt;1,_xlfn.CONCAT("{BLACK}Cars: {GOLD}", M100),"")</f>
        <v/>
      </c>
      <c r="CF100" s="1" t="s">
        <v>569</v>
      </c>
      <c r="CG100" s="1" t="str">
        <f aca="false">IF(BW100="buffet","{YELLOW}25% long distance bonus for consist{}",IF(BY100="BRAKE","{YELLOW}Speed bonus for slow wagons{}",IF(BU100&gt;190,CONCATENATE("{YELLOW}",INT((BU100-185)/1.85),"% bonus for long distance travel{}"),IF(AND(BU100&lt;180,BU100&lt;&gt;0),CONCATENATE("{YELLOW}",INT((185-BU100)/1.85),"% penalty for long distance travel{}"),""))))</f>
        <v/>
      </c>
      <c r="CH100" s="1" t="str">
        <f aca="false">_xlfn.CONCAT(CD100,IF(CD100 &lt;&gt; "", " ", ""),CE100,IF(OR(CE100&lt;&gt;"", CD100&lt;&gt;""), "{}",""), CC100, CG100,"{SILVER}", CF100)</f>
        <v>{BLACK}Length: {GOLD}0.4 tiles{}{SILVER}The BR ‘Whiskey Covhops’ were a common sight on long-distance freight trains from southern England, headed for the distilleries of Scotland.</v>
      </c>
      <c r="CI100" s="1"/>
      <c r="CJ100" s="1"/>
    </row>
    <row r="101" customFormat="false" ht="13.8" hidden="false" customHeight="false" outlineLevel="0" collapsed="false">
      <c r="A101" s="1" t="s">
        <v>570</v>
      </c>
      <c r="B101" s="1" t="s">
        <v>571</v>
      </c>
      <c r="C101" s="1" t="n">
        <v>32</v>
      </c>
      <c r="E101" s="1" t="n">
        <v>1031</v>
      </c>
      <c r="F101" s="1" t="s">
        <v>89</v>
      </c>
      <c r="G101" s="1" t="s">
        <v>528</v>
      </c>
      <c r="H101" s="1" t="s">
        <v>528</v>
      </c>
      <c r="I101" s="1" t="s">
        <v>153</v>
      </c>
      <c r="J101" s="1" t="n">
        <v>1973</v>
      </c>
      <c r="W101" s="1" t="n">
        <v>22.7</v>
      </c>
      <c r="Y101" s="1" t="n">
        <v>5</v>
      </c>
      <c r="AA101" s="4" t="str">
        <f aca="false">IF(AND(W101&gt;0,Z101&gt;0),(Z101/((W101+X101)*10)),"")</f>
        <v/>
      </c>
      <c r="AB101" s="1" t="n">
        <v>75</v>
      </c>
      <c r="AC101" s="1" t="n">
        <f aca="false">ROUND(AB101*1.6, 0)</f>
        <v>120</v>
      </c>
      <c r="AF101" s="1" t="n">
        <v>18.3</v>
      </c>
      <c r="AG101" s="1" t="n">
        <v>18.3</v>
      </c>
      <c r="AH101" s="1" t="n">
        <v>2.7</v>
      </c>
      <c r="AI101" s="1" t="n">
        <v>3.8</v>
      </c>
      <c r="AJ101" s="5" t="n">
        <v>56</v>
      </c>
      <c r="AK101" s="19" t="str">
        <f aca="false">CONCATENATE(VLOOKUP(AL101, 'Voxel Sizes'!$A$2:$B$18,2,FALSE()),"x",INT(AH101*15), "x", INT(AI101*15))</f>
        <v>186x40x57</v>
      </c>
      <c r="AL101" s="1" t="n">
        <f aca="false">ROUND(15*((AG101*10)/256),0)</f>
        <v>11</v>
      </c>
      <c r="AN101" s="1" t="str">
        <f aca="false">CONCATENATE(VLOOKUP(AL101,Constants!$A$2:$C$16,IF(AM101&lt;&gt;"", 3, 2), FALSE()),IF(AM101&lt;&gt;"",CONCATENATE(",",VLOOKUP(AM101,$B:$AN,38,FALSE())),""))</f>
        <v>4,3,4</v>
      </c>
      <c r="AX101" s="1" t="n">
        <v>30</v>
      </c>
      <c r="AY101" s="6" t="str">
        <f aca="false">IF(L101&lt;&gt;"",MAX(16,(L101-J101)+8),"")</f>
        <v/>
      </c>
      <c r="BB101" s="1" t="n">
        <f aca="false">MIN(AB101/150, 1)*30</f>
        <v>15</v>
      </c>
      <c r="BC101" s="1" t="n">
        <f aca="false">MIN(N101/4000, 1)*20</f>
        <v>0</v>
      </c>
      <c r="BD101" s="1" t="n">
        <f aca="false">MIN(Z101/400,1)*20</f>
        <v>0</v>
      </c>
      <c r="BE101" s="4" t="n">
        <f aca="false">1-(MAX(J101-1900, 0)/750)</f>
        <v>0.902666666666667</v>
      </c>
      <c r="BF101" s="1" t="n">
        <f aca="false">((MAX($M101,1)*MIN($AJ101/300,1)))*IF(G101="Wagon",50,10)</f>
        <v>9.33333333333333</v>
      </c>
      <c r="BG101" s="1" t="n">
        <f aca="false">VLOOKUP($H101,Constants!$I:$K, 2, FALSE())</f>
        <v>1</v>
      </c>
      <c r="BH101" s="1" t="n">
        <f aca="false">VLOOKUP($H101,Constants!$I:$K, 3, FALSE())*IF(AND(G101="multiple_unit",AB101&lt;110),0.75,1)</f>
        <v>0.45</v>
      </c>
      <c r="BI101" s="1" t="n">
        <f aca="false">INT(POWER(((Constants!$G$2+$BB101+$BC101+$BD101+$BF101)*$BE101)*$BH101, 1.05))+$BA101</f>
        <v>13</v>
      </c>
      <c r="BJ101" s="1" t="n">
        <f aca="false">INT(POWER((((Constants!$G$1+$BB101+$BC101+$BD101+$BF101)*($BE101))*$BG101),IF($G101="wagon",1,1.2)))+$AZ101</f>
        <v>35</v>
      </c>
      <c r="BK101" s="20" t="n">
        <f aca="false">BI101*IF($G101="wagon",62.5,781.25)</f>
        <v>812.5</v>
      </c>
      <c r="BL101" s="20" t="n">
        <f aca="false">BJ101*IF($G101="wagon",2.73,81.25)</f>
        <v>95.55</v>
      </c>
      <c r="BT101" s="1" t="n">
        <v>1</v>
      </c>
      <c r="BU101" s="1" t="n">
        <v>185</v>
      </c>
      <c r="BV101" s="1" t="s">
        <v>542</v>
      </c>
      <c r="BX101" s="1" t="s">
        <v>556</v>
      </c>
      <c r="BY101" s="1" t="str">
        <f aca="false">VLOOKUP(J101,Eras!$A$2:$C$10, 2, TRUE())</f>
        <v>lbr</v>
      </c>
      <c r="BZ101" s="18" t="s">
        <v>531</v>
      </c>
      <c r="CA101" s="1" t="str">
        <f aca="false">CONCATENATE(BY101,"_",BZ101)</f>
        <v>lbr_Tanker</v>
      </c>
      <c r="CB101" s="1" t="str">
        <f aca="false">_xlfn.CONCAT(H101, "_",I101)</f>
        <v>wagon_RAIL</v>
      </c>
      <c r="CC101" s="21" t="str">
        <f aca="false">_xlfn.CONCAT("{BLACK}Length: {GOLD}", TEXT(ROUNDUP(IF(AQ101&lt;&gt;"",SUM(VALUE(_xlfn.TEXTSPLIT(AQ101, ","))), SUM(VALUE(_xlfn.TEXTSPLIT(AN101, ",")))*IF(M101, M101, 1))/16, 1), "#,##0.0"), " tiles{}")</f>
        <v>{BLACK}Length: {GOLD}0.7 tiles{}</v>
      </c>
      <c r="CD101" s="1" t="str">
        <f aca="false">VLOOKUP($CB101, Constants!$M:$N, 2, FALSE())</f>
        <v/>
      </c>
      <c r="CE101" s="1" t="str">
        <f aca="false">IF(M101&gt;1,_xlfn.CONCAT("{BLACK}Cars: {GOLD}", M101),"")</f>
        <v/>
      </c>
      <c r="CF101" s="1" t="s">
        <v>572</v>
      </c>
      <c r="CG101" s="1" t="str">
        <f aca="false">IF(BW101="buffet","{YELLOW}25% long distance bonus for consist{}",IF(BY101="BRAKE","{YELLOW}Speed bonus for slow wagons{}",IF(BU101&gt;190,CONCATENATE("{YELLOW}",INT((BU101-185)/1.85),"% bonus for long distance travel{}"),IF(AND(BU101&lt;180,BU101&lt;&gt;0),CONCATENATE("{YELLOW}",INT((185-BU101)/1.85),"% penalty for long distance travel{}"),""))))</f>
        <v/>
      </c>
      <c r="CH101" s="1" t="str">
        <f aca="false">_xlfn.CONCAT(CD101,IF(CD101 &lt;&gt; "", " ", ""),CE101,IF(OR(CE101&lt;&gt;"", CD101&lt;&gt;""), "{}",""), CC101, CG101,"{SILVER}", CF101)</f>
        <v>{BLACK}Length: {GOLD}0.7 tiles{}{SILVER}Large bogie covered hoppers first appeared in Britain in the mid 1970s. These were frequently privately owned and registered as international vehicles. This slab-sided ‘Polybulk’ example was built in France.</v>
      </c>
      <c r="CI101" s="1" t="n">
        <v>1</v>
      </c>
      <c r="CJ101" s="1"/>
    </row>
    <row r="102" customFormat="false" ht="13.8" hidden="false" customHeight="false" outlineLevel="0" collapsed="false">
      <c r="A102" s="1" t="s">
        <v>573</v>
      </c>
      <c r="B102" s="1" t="s">
        <v>574</v>
      </c>
      <c r="C102" s="1" t="n">
        <v>33</v>
      </c>
      <c r="E102" s="1" t="n">
        <v>1033</v>
      </c>
      <c r="F102" s="1" t="s">
        <v>89</v>
      </c>
      <c r="G102" s="1" t="s">
        <v>528</v>
      </c>
      <c r="H102" s="1" t="s">
        <v>528</v>
      </c>
      <c r="I102" s="1" t="s">
        <v>153</v>
      </c>
      <c r="J102" s="1" t="n">
        <v>1962</v>
      </c>
      <c r="K102" s="1" t="n">
        <v>1994</v>
      </c>
      <c r="L102" s="1" t="n">
        <v>2000</v>
      </c>
      <c r="W102" s="1" t="n">
        <v>14.8</v>
      </c>
      <c r="Y102" s="1" t="n">
        <v>4</v>
      </c>
      <c r="AA102" s="4" t="str">
        <f aca="false">IF(AND(W102&gt;0,Z102&gt;0),(Z102/((W102+X102)*10)),"")</f>
        <v/>
      </c>
      <c r="AB102" s="1" t="n">
        <v>60</v>
      </c>
      <c r="AC102" s="1" t="n">
        <f aca="false">ROUND(AB102*1.6, 0)</f>
        <v>96</v>
      </c>
      <c r="AF102" s="1" t="n">
        <v>14</v>
      </c>
      <c r="AG102" s="1" t="n">
        <v>14</v>
      </c>
      <c r="AH102" s="1" t="n">
        <v>2.7</v>
      </c>
      <c r="AI102" s="1" t="n">
        <v>3.8</v>
      </c>
      <c r="AJ102" s="5" t="n">
        <v>34</v>
      </c>
      <c r="AK102" s="19" t="str">
        <f aca="false">CONCATENATE(VLOOKUP(AL102, 'Voxel Sizes'!$A$2:$B$18,2,FALSE()),"x",INT(AH102*15), "x", INT(AI102*15))</f>
        <v>136x40x57</v>
      </c>
      <c r="AL102" s="1" t="n">
        <f aca="false">ROUND(15*((AG102*10)/256),0)</f>
        <v>8</v>
      </c>
      <c r="AN102" s="1" t="str">
        <f aca="false">CONCATENATE(VLOOKUP(AL102,Constants!$A$2:$C$16,IF(AM102&lt;&gt;"", 3, 2), FALSE()),IF(AM102&lt;&gt;"",CONCATENATE(",",VLOOKUP(AM102,$B:$AN,38,FALSE())),""))</f>
        <v>2,4,2</v>
      </c>
      <c r="AW102" s="19" t="s">
        <v>575</v>
      </c>
      <c r="AX102" s="1" t="n">
        <v>30</v>
      </c>
      <c r="AY102" s="6" t="n">
        <f aca="false">IF(L102&lt;&gt;"",MAX(16,(L102-J102)+8),"")</f>
        <v>46</v>
      </c>
      <c r="BB102" s="1" t="n">
        <f aca="false">MIN(AB102/150, 1)*30</f>
        <v>12</v>
      </c>
      <c r="BC102" s="1" t="n">
        <f aca="false">MIN(N102/4000, 1)*20</f>
        <v>0</v>
      </c>
      <c r="BD102" s="1" t="n">
        <f aca="false">MIN(Z102/400,1)*20</f>
        <v>0</v>
      </c>
      <c r="BE102" s="4" t="n">
        <f aca="false">1-(MAX(J102-1900, 0)/750)</f>
        <v>0.917333333333333</v>
      </c>
      <c r="BF102" s="1" t="n">
        <f aca="false">((MAX($M102,1)*MIN($AJ102/300,1)))*IF(G102="Wagon",50,10)</f>
        <v>5.66666666666667</v>
      </c>
      <c r="BG102" s="1" t="n">
        <f aca="false">VLOOKUP($H102,Constants!$I:$K, 2, FALSE())</f>
        <v>1</v>
      </c>
      <c r="BH102" s="1" t="n">
        <f aca="false">VLOOKUP($H102,Constants!$I:$K, 3, FALSE())*IF(AND(G102="multiple_unit",AB102&lt;110),0.75,1)</f>
        <v>0.45</v>
      </c>
      <c r="BI102" s="1" t="n">
        <f aca="false">INT(POWER(((Constants!$G$2+$BB102+$BC102+$BD102+$BF102)*$BE102)*$BH102, 1.05))+$BA102</f>
        <v>10</v>
      </c>
      <c r="BJ102" s="1" t="n">
        <f aca="false">INT(POWER((((Constants!$G$1+$BB102+$BC102+$BD102+$BF102)*($BE102))*$BG102),IF($G102="wagon",1,1.2)))+$AZ102</f>
        <v>29</v>
      </c>
      <c r="BK102" s="20" t="n">
        <f aca="false">BI102*IF($G102="wagon",62.5,781.25)</f>
        <v>625</v>
      </c>
      <c r="BL102" s="20" t="n">
        <f aca="false">BJ102*IF($G102="wagon",2.73,81.25)</f>
        <v>79.17</v>
      </c>
      <c r="BT102" s="1" t="n">
        <v>1</v>
      </c>
      <c r="BU102" s="1" t="n">
        <v>185</v>
      </c>
      <c r="BV102" s="1" t="s">
        <v>576</v>
      </c>
      <c r="BX102" s="1" t="s">
        <v>438</v>
      </c>
      <c r="BY102" s="1" t="str">
        <f aca="false">VLOOKUP(J102,Eras!$A$2:$C$10, 2, TRUE())</f>
        <v>dsl</v>
      </c>
      <c r="BZ102" s="18" t="s">
        <v>576</v>
      </c>
      <c r="CA102" s="1" t="str">
        <f aca="false">CONCATENATE(BY102,"_",BZ102)</f>
        <v>dsl_Van</v>
      </c>
      <c r="CB102" s="1" t="str">
        <f aca="false">_xlfn.CONCAT(H102, "_",I102)</f>
        <v>wagon_RAIL</v>
      </c>
      <c r="CC102" s="21" t="str">
        <f aca="false">_xlfn.CONCAT("{BLACK}Length: {GOLD}", TEXT(ROUNDUP(IF(AQ102&lt;&gt;"",SUM(VALUE(_xlfn.TEXTSPLIT(AQ102, ","))), SUM(VALUE(_xlfn.TEXTSPLIT(AN102, ",")))*IF(M102, M102, 1))/16, 1), "#,##0.0"), " tiles{}")</f>
        <v>{BLACK}Length: {GOLD}0.5 tiles{}</v>
      </c>
      <c r="CD102" s="1" t="str">
        <f aca="false">VLOOKUP($CB102, Constants!$M:$N, 2, FALSE())</f>
        <v/>
      </c>
      <c r="CE102" s="1" t="str">
        <f aca="false">IF(M102&gt;1,_xlfn.CONCAT("{BLACK}Cars: {GOLD}", M102),"")</f>
        <v/>
      </c>
      <c r="CF102" s="1" t="s">
        <v>577</v>
      </c>
      <c r="CG102" s="1" t="str">
        <f aca="false">IF(BW102="buffet","{YELLOW}25% long distance bonus for consist{}",IF(BY102="BRAKE","{YELLOW}Speed bonus for slow wagons{}",IF(BU102&gt;190,CONCATENATE("{YELLOW}",INT((BU102-185)/1.85),"% bonus for long distance travel{}"),IF(AND(BU102&lt;180,BU102&lt;&gt;0),CONCATENATE("{YELLOW}",INT((185-BU102)/1.85),"% penalty for long distance travel{}"),""))))</f>
        <v/>
      </c>
      <c r="CH102" s="1" t="str">
        <f aca="false">_xlfn.CONCAT(CD102,IF(CD102 &lt;&gt; "", " ", ""),CE102,IF(OR(CE102&lt;&gt;"", CD102&lt;&gt;""), "{}",""), CC102, CG102,"{SILVER}", CF102)</f>
        <v>{BLACK}Length: {GOLD}0.5 tiles{}{SILVER}BR’s two-axle Ferry Vans were built for interoperation with european service via cross-channel ferry services, allowing British companies to send goods directly to continental customers.</v>
      </c>
      <c r="CI102" s="1"/>
      <c r="CJ102" s="1"/>
    </row>
    <row r="103" customFormat="false" ht="13.8" hidden="false" customHeight="false" outlineLevel="0" collapsed="false">
      <c r="A103" s="1" t="s">
        <v>578</v>
      </c>
      <c r="B103" s="1" t="s">
        <v>579</v>
      </c>
      <c r="C103" s="1" t="n">
        <v>35</v>
      </c>
      <c r="E103" s="1" t="n">
        <v>1035</v>
      </c>
      <c r="F103" s="1" t="s">
        <v>89</v>
      </c>
      <c r="G103" s="1" t="s">
        <v>528</v>
      </c>
      <c r="H103" s="1" t="s">
        <v>528</v>
      </c>
      <c r="I103" s="1" t="s">
        <v>153</v>
      </c>
      <c r="J103" s="1" t="n">
        <v>1977</v>
      </c>
      <c r="W103" s="1" t="n">
        <v>26</v>
      </c>
      <c r="Y103" s="1" t="n">
        <v>4</v>
      </c>
      <c r="AA103" s="4" t="str">
        <f aca="false">IF(AND(W103&gt;0,Z103&gt;0),(Z103/((W103+X103)*10)),"")</f>
        <v/>
      </c>
      <c r="AB103" s="1" t="n">
        <v>60</v>
      </c>
      <c r="AC103" s="1" t="n">
        <f aca="false">ROUND(AB103*1.6, 0)</f>
        <v>96</v>
      </c>
      <c r="AF103" s="1" t="n">
        <v>21.7</v>
      </c>
      <c r="AG103" s="1" t="n">
        <v>21.7</v>
      </c>
      <c r="AI103" s="1" t="n">
        <v>3.8</v>
      </c>
      <c r="AJ103" s="5" t="n">
        <v>58</v>
      </c>
      <c r="AK103" s="19" t="str">
        <f aca="false">CONCATENATE(VLOOKUP(AL103, 'Voxel Sizes'!$A$2:$B$18,2,FALSE()),"x",INT(AH103*15), "x", INT(AI103*15))</f>
        <v>214x0x57</v>
      </c>
      <c r="AL103" s="1" t="n">
        <f aca="false">ROUND(15*((AG103*10)/256),0)</f>
        <v>13</v>
      </c>
      <c r="AN103" s="1" t="str">
        <f aca="false">CONCATENATE(VLOOKUP(AL103,Constants!$A$2:$C$16,IF(AM103&lt;&gt;"", 3, 2), FALSE()),IF(AM103&lt;&gt;"",CONCATENATE(",",VLOOKUP(AM103,$B:$AN,38,FALSE())),""))</f>
        <v>4,5,4</v>
      </c>
      <c r="AW103" s="19"/>
      <c r="AX103" s="1" t="n">
        <v>30</v>
      </c>
      <c r="AY103" s="6" t="str">
        <f aca="false">IF(L103&lt;&gt;"",MAX(16,(L103-J103)+8),"")</f>
        <v/>
      </c>
      <c r="BB103" s="1" t="n">
        <f aca="false">MIN(AB103/150, 1)*30</f>
        <v>12</v>
      </c>
      <c r="BC103" s="1" t="n">
        <f aca="false">MIN(N103/4000, 1)*20</f>
        <v>0</v>
      </c>
      <c r="BD103" s="1" t="n">
        <f aca="false">MIN(Z103/400,1)*20</f>
        <v>0</v>
      </c>
      <c r="BE103" s="4" t="n">
        <f aca="false">1-(MAX(J103-1900, 0)/750)</f>
        <v>0.897333333333333</v>
      </c>
      <c r="BF103" s="1" t="n">
        <f aca="false">((MAX($M103,1)*MIN($AJ103/300,1)))*IF(G103="Wagon",50,10)</f>
        <v>9.66666666666667</v>
      </c>
      <c r="BG103" s="1" t="n">
        <f aca="false">VLOOKUP($H103,Constants!$I:$K, 2, FALSE())</f>
        <v>1</v>
      </c>
      <c r="BH103" s="1" t="n">
        <f aca="false">VLOOKUP($H103,Constants!$I:$K, 3, FALSE())*IF(AND(G103="multiple_unit",AB103&lt;110),0.75,1)</f>
        <v>0.45</v>
      </c>
      <c r="BI103" s="1" t="n">
        <f aca="false">INT(POWER(((Constants!$G$2+$BB103+$BC103+$BD103+$BF103)*$BE103)*$BH103, 1.05))+$BA103</f>
        <v>12</v>
      </c>
      <c r="BJ103" s="1" t="n">
        <f aca="false">INT(POWER((((Constants!$G$1+$BB103+$BC103+$BD103+$BF103)*($BE103))*$BG103),IF($G103="wagon",1,1.2)))+$AZ103</f>
        <v>32</v>
      </c>
      <c r="BK103" s="20" t="n">
        <f aca="false">BI103*IF($G103="wagon",62.5,781.25)</f>
        <v>750</v>
      </c>
      <c r="BL103" s="20" t="n">
        <f aca="false">BJ103*IF($G103="wagon",2.73,81.25)</f>
        <v>87.36</v>
      </c>
      <c r="BT103" s="1" t="n">
        <v>1</v>
      </c>
      <c r="BU103" s="1" t="n">
        <v>185</v>
      </c>
      <c r="BV103" s="1" t="s">
        <v>576</v>
      </c>
      <c r="BX103" s="1" t="s">
        <v>438</v>
      </c>
      <c r="BY103" s="1" t="str">
        <f aca="false">VLOOKUP(J103,Eras!$A$2:$C$10, 2, TRUE())</f>
        <v>lbr</v>
      </c>
      <c r="BZ103" s="18" t="s">
        <v>576</v>
      </c>
      <c r="CA103" s="1" t="str">
        <f aca="false">CONCATENATE(BY103,"_",BZ103)</f>
        <v>lbr_Van</v>
      </c>
      <c r="CB103" s="1" t="str">
        <f aca="false">_xlfn.CONCAT(H103, "_",I103)</f>
        <v>wagon_RAIL</v>
      </c>
      <c r="CC103" s="21" t="str">
        <f aca="false">_xlfn.CONCAT("{BLACK}Length: {GOLD}", TEXT(ROUNDUP(IF(AQ103&lt;&gt;"",SUM(VALUE(_xlfn.TEXTSPLIT(AQ103, ","))), SUM(VALUE(_xlfn.TEXTSPLIT(AN103, ",")))*IF(M103, M103, 1))/16, 1), "#,##0.0"), " tiles{}")</f>
        <v>{BLACK}Length: {GOLD}0.9 tiles{}</v>
      </c>
      <c r="CD103" s="1" t="str">
        <f aca="false">VLOOKUP($CB103, Constants!$M:$N, 2, FALSE())</f>
        <v/>
      </c>
      <c r="CE103" s="1" t="str">
        <f aca="false">IF(M103&gt;1,_xlfn.CONCAT("{BLACK}Cars: {GOLD}", M103),"")</f>
        <v/>
      </c>
      <c r="CF103" s="1" t="s">
        <v>580</v>
      </c>
      <c r="CG103" s="1" t="str">
        <f aca="false">IF(BW103="buffet","{YELLOW}25% long distance bonus for consist{}",IF(BY103="BRAKE","{YELLOW}Speed bonus for slow wagons{}",IF(BU103&gt;190,CONCATENATE("{YELLOW}",INT((BU103-185)/1.85),"% bonus for long distance travel{}"),IF(AND(BU103&lt;180,BU103&lt;&gt;0),CONCATENATE("{YELLOW}",INT((185-BU103)/1.85),"% penalty for long distance travel{}"),""))))</f>
        <v/>
      </c>
      <c r="CH103" s="1" t="str">
        <f aca="false">_xlfn.CONCAT(CD103,IF(CD103 &lt;&gt; "", " ", ""),CE103,IF(OR(CE103&lt;&gt;"", CD103&lt;&gt;""), "{}",""), CC103, CG103,"{SILVER}", CF103)</f>
        <v>{BLACK}Length: {GOLD}0.9 tiles{}{SILVER}The prominent CARGOWAGGON-lettered vans began arriving in international traffic during the late 1970s and 1980s. These large goods wagons were reliable and high-capacity. The whole hood lifts and slides to permit forklift access to the wagon.</v>
      </c>
      <c r="CI103" s="1"/>
      <c r="CJ103" s="1"/>
    </row>
    <row r="104" customFormat="false" ht="13.8" hidden="false" customHeight="false" outlineLevel="0" collapsed="false">
      <c r="A104" s="1" t="s">
        <v>581</v>
      </c>
      <c r="B104" s="1" t="s">
        <v>582</v>
      </c>
      <c r="C104" s="1" t="n">
        <v>36</v>
      </c>
      <c r="E104" s="19" t="n">
        <v>1037</v>
      </c>
      <c r="F104" s="1" t="s">
        <v>89</v>
      </c>
      <c r="G104" s="1" t="s">
        <v>324</v>
      </c>
      <c r="H104" s="1" t="s">
        <v>528</v>
      </c>
      <c r="I104" s="1" t="s">
        <v>153</v>
      </c>
      <c r="J104" s="1" t="n">
        <v>1987</v>
      </c>
      <c r="M104" s="1" t="n">
        <v>2</v>
      </c>
      <c r="W104" s="1" t="n">
        <v>27.3</v>
      </c>
      <c r="Y104" s="1" t="n">
        <v>4</v>
      </c>
      <c r="AA104" s="4" t="str">
        <f aca="false">IF(AND(W104&gt;0,Z104&gt;0),(Z104/((W104+X104)*10)),"")</f>
        <v/>
      </c>
      <c r="AB104" s="1" t="n">
        <v>60</v>
      </c>
      <c r="AC104" s="1" t="n">
        <f aca="false">ROUND(AB104*1.6, 0)</f>
        <v>96</v>
      </c>
      <c r="AF104" s="1" t="n">
        <v>13.5</v>
      </c>
      <c r="AG104" s="1" t="n">
        <v>13.5</v>
      </c>
      <c r="AI104" s="1" t="n">
        <v>3.8</v>
      </c>
      <c r="AJ104" s="5" t="n">
        <v>34</v>
      </c>
      <c r="AK104" s="19" t="str">
        <f aca="false">CONCATENATE(VLOOKUP(AL104, 'Voxel Sizes'!$A$2:$B$18,2,FALSE()),"x",INT(AH104*15), "x", INT(AI104*15))</f>
        <v>136x0x57</v>
      </c>
      <c r="AL104" s="1" t="n">
        <f aca="false">ROUND(15*((AG104*10)/256),0)</f>
        <v>8</v>
      </c>
      <c r="AN104" s="1" t="str">
        <f aca="false">CONCATENATE(VLOOKUP(AL104,Constants!$A$2:$C$16,IF(AM104&lt;&gt;"", 3, 2), FALSE()),IF(AM104&lt;&gt;"",CONCATENATE(",",VLOOKUP(AM104,$B:$AN,38,FALSE())),""))</f>
        <v>2,4,2</v>
      </c>
      <c r="AR104" s="1" t="s">
        <v>583</v>
      </c>
      <c r="AT104" s="1" t="s">
        <v>113</v>
      </c>
      <c r="AU104" s="1" t="s">
        <v>584</v>
      </c>
      <c r="AW104" s="19"/>
      <c r="AX104" s="1" t="n">
        <v>30</v>
      </c>
      <c r="AY104" s="6" t="str">
        <f aca="false">IF(L104&lt;&gt;"",MAX(16,(L104-J104)+8),"")</f>
        <v/>
      </c>
      <c r="BB104" s="1" t="n">
        <f aca="false">MIN(AB104/150, 1)*30</f>
        <v>12</v>
      </c>
      <c r="BC104" s="1" t="n">
        <f aca="false">MIN(N104/4000, 1)*20</f>
        <v>0</v>
      </c>
      <c r="BD104" s="1" t="n">
        <f aca="false">MIN(Z104/400,1)*20</f>
        <v>0</v>
      </c>
      <c r="BE104" s="4" t="n">
        <f aca="false">1-(MAX(J104-1900, 0)/750)</f>
        <v>0.884</v>
      </c>
      <c r="BF104" s="1" t="n">
        <f aca="false">((MAX($M104,1)*MIN($AJ104/300,1)))*IF(G104="Wagon",50,10)</f>
        <v>2.26666666666667</v>
      </c>
      <c r="BG104" s="1" t="n">
        <f aca="false">VLOOKUP($H104,Constants!$I:$K, 2, FALSE())</f>
        <v>1</v>
      </c>
      <c r="BH104" s="1" t="n">
        <f aca="false">VLOOKUP($H104,Constants!$I:$K, 3, FALSE())*IF(AND(G104="multiple_unit",AB104&lt;110),0.75,1)</f>
        <v>0.45</v>
      </c>
      <c r="BI104" s="1" t="n">
        <f aca="false">INT(POWER(((Constants!$G$2+$BB104+$BC104+$BD104+$BF104)*$BE104)*$BH104, 1.05))+$BA104</f>
        <v>8</v>
      </c>
      <c r="BJ104" s="1" t="n">
        <f aca="false">INT(POWER((((Constants!$G$1+$BB104+$BC104+$BD104+$BF104)*($BE104))*$BG104),IF($G104="wagon",1,1.2)))+$AZ104</f>
        <v>49</v>
      </c>
      <c r="BK104" s="20" t="n">
        <f aca="false">BI104*IF($G104="wagon",62.5,781.25)</f>
        <v>6250</v>
      </c>
      <c r="BL104" s="20" t="n">
        <f aca="false">BJ104*IF($G104="wagon",2.73,81.25)</f>
        <v>3981.25</v>
      </c>
      <c r="BT104" s="1" t="n">
        <v>1</v>
      </c>
      <c r="BU104" s="1" t="n">
        <v>185</v>
      </c>
      <c r="BV104" s="1" t="s">
        <v>576</v>
      </c>
      <c r="BX104" s="1" t="s">
        <v>438</v>
      </c>
      <c r="BY104" s="1" t="str">
        <f aca="false">VLOOKUP(J104,Eras!$A$2:$C$10, 2, TRUE())</f>
        <v>lbr</v>
      </c>
      <c r="BZ104" s="18" t="s">
        <v>576</v>
      </c>
      <c r="CA104" s="1" t="str">
        <f aca="false">CONCATENATE(BY104,"_",BZ104)</f>
        <v>lbr_Van</v>
      </c>
      <c r="CB104" s="1" t="str">
        <f aca="false">_xlfn.CONCAT(H104, "_",I104)</f>
        <v>wagon_RAIL</v>
      </c>
      <c r="CC104" s="21" t="str">
        <f aca="false">_xlfn.CONCAT("{BLACK}Length: {GOLD}", TEXT(ROUNDUP(IF(AQ104&lt;&gt;"",SUM(VALUE(_xlfn.TEXTSPLIT(AQ104, ","))), SUM(VALUE(_xlfn.TEXTSPLIT(AN104, ",")))*IF(M104, M104, 1))/16, 1), "#,##0.0"), " tiles{}")</f>
        <v>{BLACK}Length: {GOLD}1.0 tiles{}</v>
      </c>
      <c r="CD104" s="1" t="str">
        <f aca="false">VLOOKUP($CB104, Constants!$M:$N, 2, FALSE())</f>
        <v/>
      </c>
      <c r="CE104" s="1" t="str">
        <f aca="false">IF(M104&gt;1,_xlfn.CONCAT("{BLACK}Cars: {GOLD}", M104),"")</f>
        <v>{BLACK}Cars: {GOLD}2</v>
      </c>
      <c r="CF104" s="1" t="s">
        <v>585</v>
      </c>
      <c r="CG104" s="1" t="str">
        <f aca="false">IF(BW104="buffet","{YELLOW}25% long distance bonus for consist{}",IF(BY104="BRAKE","{YELLOW}Speed bonus for slow wagons{}",IF(BU104&gt;190,CONCATENATE("{YELLOW}",INT((BU104-185)/1.85),"% bonus for long distance travel{}"),IF(AND(BU104&lt;180,BU104&lt;&gt;0),CONCATENATE("{YELLOW}",INT((185-BU104)/1.85),"% penalty for long distance travel{}"),""))))</f>
        <v/>
      </c>
      <c r="CH104" s="1" t="str">
        <f aca="false">_xlfn.CONCAT(CD104,IF(CD104 &lt;&gt; "", " ", ""),CE104,IF(OR(CE104&lt;&gt;"", CD104&lt;&gt;""), "{}",""), CC104, CG104,"{SILVER}", CF104)</f>
        <v>{BLACK}Cars: {GOLD}2{}{BLACK}Length: {GOLD}1.0 tiles{}{SILVER}Built as permanently-coupled pairs of two-axle wagons, supposedly to capture an EU subsidy, these smaller cargowaggon sets continue to see service within the UK.</v>
      </c>
      <c r="CI104" s="1"/>
      <c r="CJ104" s="1"/>
      <c r="XFD104" s="19"/>
    </row>
    <row r="105" customFormat="false" ht="13.8" hidden="false" customHeight="false" outlineLevel="0" collapsed="false">
      <c r="A105" s="1" t="s">
        <v>586</v>
      </c>
      <c r="B105" s="1" t="s">
        <v>587</v>
      </c>
      <c r="C105" s="1" t="n">
        <v>37</v>
      </c>
      <c r="E105" s="1" t="n">
        <v>1036</v>
      </c>
      <c r="F105" s="1" t="s">
        <v>89</v>
      </c>
      <c r="G105" s="1" t="s">
        <v>528</v>
      </c>
      <c r="H105" s="1" t="s">
        <v>528</v>
      </c>
      <c r="I105" s="1" t="s">
        <v>153</v>
      </c>
      <c r="J105" s="1" t="n">
        <v>1977</v>
      </c>
      <c r="W105" s="1" t="n">
        <v>25</v>
      </c>
      <c r="Y105" s="1" t="n">
        <v>4</v>
      </c>
      <c r="AA105" s="4" t="str">
        <f aca="false">IF(AND(W105&gt;0,Z105&gt;0),(Z105/((W105+X105)*10)),"")</f>
        <v/>
      </c>
      <c r="AB105" s="1" t="n">
        <v>60</v>
      </c>
      <c r="AC105" s="1" t="n">
        <f aca="false">ROUND(AB105*1.6, 0)</f>
        <v>96</v>
      </c>
      <c r="AF105" s="1" t="n">
        <v>21.7</v>
      </c>
      <c r="AG105" s="1" t="n">
        <v>21.7</v>
      </c>
      <c r="AI105" s="1" t="n">
        <v>3.8</v>
      </c>
      <c r="AJ105" s="5" t="n">
        <v>65</v>
      </c>
      <c r="AK105" s="19" t="str">
        <f aca="false">CONCATENATE(VLOOKUP(AL105, 'Voxel Sizes'!$A$2:$B$18,2,FALSE()),"x",INT(AH105*15), "x", INT(AI105*15))</f>
        <v>214x0x57</v>
      </c>
      <c r="AL105" s="1" t="n">
        <f aca="false">ROUND(15*((AG105*10)/256),0)</f>
        <v>13</v>
      </c>
      <c r="AN105" s="1" t="str">
        <f aca="false">CONCATENATE(VLOOKUP(AL105,Constants!$A$2:$C$16,IF(AM105&lt;&gt;"", 3, 2), FALSE()),IF(AM105&lt;&gt;"",CONCATENATE(",",VLOOKUP(AM105,$B:$AN,38,FALSE())),""))</f>
        <v>4,5,4</v>
      </c>
      <c r="AW105" s="19"/>
      <c r="AX105" s="1" t="n">
        <v>30</v>
      </c>
      <c r="AY105" s="6" t="str">
        <f aca="false">IF(L105&lt;&gt;"",MAX(16,(L105-J105)+8),"")</f>
        <v/>
      </c>
      <c r="BB105" s="1" t="n">
        <f aca="false">MIN(AB105/150, 1)*30</f>
        <v>12</v>
      </c>
      <c r="BC105" s="1" t="n">
        <f aca="false">MIN(N105/4000, 1)*20</f>
        <v>0</v>
      </c>
      <c r="BD105" s="1" t="n">
        <f aca="false">MIN(Z105/400,1)*20</f>
        <v>0</v>
      </c>
      <c r="BE105" s="4" t="n">
        <f aca="false">1-(MAX(J105-1900, 0)/750)</f>
        <v>0.897333333333333</v>
      </c>
      <c r="BF105" s="1" t="n">
        <f aca="false">((MAX($M105,1)*MIN($AJ105/300,1)))*IF(G105="Wagon",50,10)</f>
        <v>10.8333333333333</v>
      </c>
      <c r="BG105" s="1" t="n">
        <f aca="false">VLOOKUP($H105,Constants!$I:$K, 2, FALSE())</f>
        <v>1</v>
      </c>
      <c r="BH105" s="1" t="n">
        <f aca="false">VLOOKUP($H105,Constants!$I:$K, 3, FALSE())*IF(AND(G105="multiple_unit",AB105&lt;110),0.75,1)</f>
        <v>0.45</v>
      </c>
      <c r="BI105" s="1" t="n">
        <f aca="false">INT(POWER(((Constants!$G$2+$BB105+$BC105+$BD105+$BF105)*$BE105)*$BH105, 1.05))+$BA105</f>
        <v>12</v>
      </c>
      <c r="BJ105" s="1" t="n">
        <f aca="false">INT(POWER((((Constants!$G$1+$BB105+$BC105+$BD105+$BF105)*($BE105))*$BG105),IF($G105="wagon",1,1.2)))+$AZ105</f>
        <v>33</v>
      </c>
      <c r="BK105" s="20" t="n">
        <f aca="false">BI105*IF($G105="wagon",62.5,781.25)</f>
        <v>750</v>
      </c>
      <c r="BL105" s="20" t="n">
        <f aca="false">BJ105*IF($G105="wagon",2.73,81.25)</f>
        <v>90.09</v>
      </c>
      <c r="BT105" s="1" t="n">
        <v>1</v>
      </c>
      <c r="BU105" s="1" t="n">
        <v>185</v>
      </c>
      <c r="BV105" s="32" t="s">
        <v>588</v>
      </c>
      <c r="BW105" s="32"/>
      <c r="BX105" s="32" t="s">
        <v>589</v>
      </c>
      <c r="BY105" s="1" t="str">
        <f aca="false">VLOOKUP(J105,Eras!$A$2:$C$10, 2, TRUE())</f>
        <v>lbr</v>
      </c>
      <c r="BZ105" s="18" t="s">
        <v>590</v>
      </c>
      <c r="CA105" s="1" t="str">
        <f aca="false">CONCATENATE(BY105,"_",BZ105)</f>
        <v>lbr_Flat Wagon</v>
      </c>
      <c r="CB105" s="1" t="str">
        <f aca="false">_xlfn.CONCAT(H105, "_",I105)</f>
        <v>wagon_RAIL</v>
      </c>
      <c r="CC105" s="21" t="str">
        <f aca="false">_xlfn.CONCAT("{BLACK}Length: {GOLD}", TEXT(ROUNDUP(IF(AQ105&lt;&gt;"",SUM(VALUE(_xlfn.TEXTSPLIT(AQ105, ","))), SUM(VALUE(_xlfn.TEXTSPLIT(AN105, ",")))*IF(M105, M105, 1))/16, 1), "#,##0.0"), " tiles{}")</f>
        <v>{BLACK}Length: {GOLD}0.9 tiles{}</v>
      </c>
      <c r="CD105" s="1" t="str">
        <f aca="false">VLOOKUP($CB105, Constants!$M:$N, 2, FALSE())</f>
        <v/>
      </c>
      <c r="CE105" s="1" t="str">
        <f aca="false">IF(M105&gt;1,_xlfn.CONCAT("{BLACK}Cars: {GOLD}", M105),"")</f>
        <v/>
      </c>
      <c r="CF105" s="1" t="s">
        <v>591</v>
      </c>
      <c r="CG105" s="1" t="str">
        <f aca="false">IF(BX105="buffet","{YELLOW}25% long distance bonus for consist{}",IF(BY105="BRAKE","{YELLOW}Speed bonus for slow wagons{}",IF(BU105&gt;190,CONCATENATE("{YELLOW}",INT((BU105-185)/1.85),"% bonus for long distance travel{}"),IF(AND(BU105&lt;180,BU105&lt;&gt;0),CONCATENATE("{YELLOW}",INT((185-BU105)/1.85),"% penalty for long distance travel{}"),""))))</f>
        <v/>
      </c>
      <c r="CH105" s="1" t="str">
        <f aca="false">_xlfn.CONCAT(CD105,IF(CD105 &lt;&gt; "", " ", ""),CE105,IF(OR(CE105&lt;&gt;"", CD105&lt;&gt;""), "{}",""), CC105, CG105,"{SILVER}", CF105)</f>
        <v>{BLACK}Length: {GOLD}0.9 tiles{}{SILVER}The basic chassis of the Cargowaggon van adapted naturally to a sturdy, high-capacity flat wagon, used for steel, wood and other cargo, then later adapted for departmental work carrying welded rail and as match wagons.</v>
      </c>
      <c r="CI105" s="1"/>
      <c r="CJ105" s="1"/>
      <c r="XFD105" s="19"/>
    </row>
    <row r="106" customFormat="false" ht="13.8" hidden="false" customHeight="false" outlineLevel="0" collapsed="false">
      <c r="A106" s="18" t="s">
        <v>592</v>
      </c>
      <c r="B106" s="18" t="s">
        <v>593</v>
      </c>
      <c r="C106" s="1" t="n">
        <v>101</v>
      </c>
      <c r="E106" s="1" t="n">
        <v>1101</v>
      </c>
      <c r="F106" s="1" t="s">
        <v>89</v>
      </c>
      <c r="G106" s="1" t="s">
        <v>528</v>
      </c>
      <c r="H106" s="1" t="s">
        <v>594</v>
      </c>
      <c r="I106" s="1" t="s">
        <v>153</v>
      </c>
      <c r="J106" s="1" t="n">
        <v>1905</v>
      </c>
      <c r="K106" s="1" t="n">
        <v>1960</v>
      </c>
      <c r="L106" s="1" t="n">
        <v>1960</v>
      </c>
      <c r="W106" s="1" t="n">
        <v>39</v>
      </c>
      <c r="Y106" s="1" t="n">
        <v>4</v>
      </c>
      <c r="AA106" s="4" t="str">
        <f aca="false">IF(AND(W106&gt;0,Z106&gt;0),(Z106/((W106+X106)*10)),"")</f>
        <v/>
      </c>
      <c r="AB106" s="1" t="n">
        <v>90</v>
      </c>
      <c r="AC106" s="1" t="n">
        <f aca="false">ROUND(AB106*1.6, 0)</f>
        <v>144</v>
      </c>
      <c r="AF106" s="1" t="n">
        <v>19.8</v>
      </c>
      <c r="AG106" s="1" t="n">
        <v>20</v>
      </c>
      <c r="AH106" s="1" t="n">
        <v>2.82</v>
      </c>
      <c r="AI106" s="1" t="n">
        <v>3.79</v>
      </c>
      <c r="AJ106" s="5" t="n">
        <v>18</v>
      </c>
      <c r="AK106" s="19" t="str">
        <f aca="false">CONCATENATE(VLOOKUP(AL106, 'Voxel Sizes'!$A$2:$B$18,2,FALSE()),"x",INT(AH106*15), "x", INT(AI106*15))</f>
        <v>198x42x56</v>
      </c>
      <c r="AL106" s="1" t="n">
        <f aca="false">ROUND(15*((AG106*10)/256),0)</f>
        <v>12</v>
      </c>
      <c r="AN106" s="1" t="str">
        <f aca="false">CONCATENATE(VLOOKUP(AL106,Constants!$A$2:$C$16,IF(AM106&lt;&gt;"", 3, 2), FALSE()),IF(AM106&lt;&gt;"",CONCATENATE(",",VLOOKUP(AM106,$B:$AN,38,FALSE())),""))</f>
        <v>4,4,4</v>
      </c>
      <c r="AX106" s="1" t="n">
        <v>30</v>
      </c>
      <c r="AY106" s="6" t="n">
        <f aca="false">IF(L106&lt;&gt;"",MAX(16,(L106-J106)+8),"")</f>
        <v>63</v>
      </c>
      <c r="AZ106" s="1" t="n">
        <v>1000</v>
      </c>
      <c r="BA106" s="1" t="n">
        <v>110</v>
      </c>
      <c r="BB106" s="1" t="n">
        <f aca="false">MIN(AB106/150, 1)*30</f>
        <v>18</v>
      </c>
      <c r="BC106" s="1" t="n">
        <f aca="false">MIN(N106/4000, 1)*20</f>
        <v>0</v>
      </c>
      <c r="BD106" s="1" t="n">
        <f aca="false">MIN(Z106/400,1)*20</f>
        <v>0</v>
      </c>
      <c r="BE106" s="4" t="n">
        <f aca="false">1-(MAX(J106-1900, 0)/750)</f>
        <v>0.993333333333333</v>
      </c>
      <c r="BF106" s="1" t="n">
        <f aca="false">((MAX($M106,1)*MIN($AJ106/300,1)))*IF(G106="Wagon",50,10)</f>
        <v>3</v>
      </c>
      <c r="BG106" s="1" t="n">
        <f aca="false">VLOOKUP($H106,Constants!$I:$K, 2, FALSE())</f>
        <v>1.5</v>
      </c>
      <c r="BH106" s="1" t="n">
        <f aca="false">VLOOKUP($H106,Constants!$I:$K, 3, FALSE())*IF(AND(G106="multiple_unit",AB106&lt;110),0.75,1)</f>
        <v>0.7</v>
      </c>
      <c r="BI106" s="1" t="n">
        <f aca="false">INT(POWER(((Constants!$G$2+$BB106+$BC106+$BD106+$BF106)*$BE106)*$BH106, 1.05))+$BA106</f>
        <v>130</v>
      </c>
      <c r="BJ106" s="1" t="n">
        <f aca="false">INT(POWER((((Constants!$G$1+$BB106+$BC106+$BD106+$BF106)*($BE106))*$BG106),IF($G106="wagon",1,1.2)))+$AZ106</f>
        <v>1053</v>
      </c>
      <c r="BK106" s="20" t="n">
        <f aca="false">BI106*IF($G106="wagon",62.5,781.25)</f>
        <v>8125</v>
      </c>
      <c r="BL106" s="20" t="n">
        <f aca="false">BJ106*IF($G106="wagon",2.73,81.25)</f>
        <v>2874.69</v>
      </c>
      <c r="BT106" s="1" t="n">
        <v>2</v>
      </c>
      <c r="BU106" s="1" t="n">
        <v>278</v>
      </c>
      <c r="BV106" s="1" t="s">
        <v>225</v>
      </c>
      <c r="BX106" s="1" t="s">
        <v>95</v>
      </c>
      <c r="BY106" s="1" t="str">
        <f aca="false">VLOOKUP(J106,Eras!$A$2:$C$10, 2, TRUE())</f>
        <v>edw</v>
      </c>
      <c r="BZ106" s="18" t="s">
        <v>595</v>
      </c>
      <c r="CA106" s="1" t="str">
        <f aca="false">CONCATENATE(BY106,"_",BZ106)</f>
        <v>edw_Carriage</v>
      </c>
      <c r="CB106" s="1" t="str">
        <f aca="false">_xlfn.CONCAT(H106, "_",I106)</f>
        <v>luxury_carriage_RAIL</v>
      </c>
      <c r="CC106" s="21" t="str">
        <f aca="false">_xlfn.CONCAT("{BLACK}Length: {GOLD}", TEXT(ROUNDUP(IF(AQ106&lt;&gt;"",SUM(VALUE(_xlfn.TEXTSPLIT(AQ106, ","))), SUM(VALUE(_xlfn.TEXTSPLIT(AN106, ",")))*IF(M106, M106, 1))/16, 1), "#,##0.0"), " tiles{}")</f>
        <v>{BLACK}Length: {GOLD}0.8 tiles{}</v>
      </c>
      <c r="CD106" s="1" t="str">
        <f aca="false">VLOOKUP($CB106, Constants!$M:$N, 2, FALSE())</f>
        <v/>
      </c>
      <c r="CE106" s="1" t="str">
        <f aca="false">IF(M106&gt;1,_xlfn.CONCAT("{BLACK}Cars: {GOLD}", M106),"")</f>
        <v/>
      </c>
      <c r="CF106" s="1" t="s">
        <v>596</v>
      </c>
      <c r="CG106" s="1" t="str">
        <f aca="false">IF(BW106="buffet","{YELLOW}25% long distance bonus for consist{}",IF(BY106="BRAKE","{YELLOW}Speed bonus for slow wagons{}",IF(BU106&gt;190,CONCATENATE("{YELLOW}",INT((BU106-185)/1.85),"% bonus for long distance travel{}"),IF(AND(BU106&lt;180,BU106&lt;&gt;0),CONCATENATE("{YELLOW}",INT((185-BU106)/1.85),"% penalty for long distance travel{}"),""))))</f>
        <v>{YELLOW}50% bonus for long distance travel{}</v>
      </c>
      <c r="CH106" s="1" t="str">
        <f aca="false">_xlfn.CONCAT(CD106,IF(CD106 &lt;&gt; "", " ", ""),CE106,IF(OR(CE106&lt;&gt;"", CD106&lt;&gt;""), "{}",""), CC106, CG106,"{SILVER}", CF106)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106" s="1"/>
      <c r="CJ106" s="1"/>
    </row>
    <row r="107" customFormat="false" ht="13.8" hidden="false" customHeight="false" outlineLevel="0" collapsed="false">
      <c r="A107" s="18" t="s">
        <v>597</v>
      </c>
      <c r="B107" s="18" t="s">
        <v>598</v>
      </c>
      <c r="C107" s="1" t="n">
        <v>1111</v>
      </c>
      <c r="E107" s="1" t="n">
        <v>1102</v>
      </c>
      <c r="F107" s="1" t="s">
        <v>89</v>
      </c>
      <c r="G107" s="1" t="s">
        <v>528</v>
      </c>
      <c r="H107" s="1" t="s">
        <v>594</v>
      </c>
      <c r="I107" s="1" t="s">
        <v>153</v>
      </c>
      <c r="J107" s="1" t="n">
        <v>1936</v>
      </c>
      <c r="K107" s="1" t="n">
        <v>1974</v>
      </c>
      <c r="L107" s="1" t="n">
        <v>1980</v>
      </c>
      <c r="W107" s="1" t="n">
        <v>38</v>
      </c>
      <c r="Y107" s="1" t="n">
        <v>4</v>
      </c>
      <c r="AA107" s="4" t="str">
        <f aca="false">IF(AND(W107&gt;0,Z107&gt;0),(Z107/((W107+X107)*10)),"")</f>
        <v/>
      </c>
      <c r="AB107" s="1" t="n">
        <v>90</v>
      </c>
      <c r="AC107" s="1" t="n">
        <f aca="false">ROUND(AB107*1.6, 0)</f>
        <v>144</v>
      </c>
      <c r="AF107" s="1" t="n">
        <v>19.2</v>
      </c>
      <c r="AG107" s="1" t="n">
        <v>20</v>
      </c>
      <c r="AH107" s="1" t="n">
        <v>2.82</v>
      </c>
      <c r="AI107" s="1" t="n">
        <v>3.79</v>
      </c>
      <c r="AJ107" s="5" t="n">
        <v>18</v>
      </c>
      <c r="AK107" s="19" t="str">
        <f aca="false">CONCATENATE(VLOOKUP(AL107, 'Voxel Sizes'!$A$2:$B$18,2,FALSE()),"x",INT(AH107*15), "x", INT(AI107*15))</f>
        <v>198x42x56</v>
      </c>
      <c r="AL107" s="1" t="n">
        <f aca="false">ROUND(15*((AG107*10)/256),0)</f>
        <v>12</v>
      </c>
      <c r="AN107" s="1" t="str">
        <f aca="false">CONCATENATE(VLOOKUP(AL107,Constants!$A$2:$C$16,IF(AM107&lt;&gt;"", 3, 2), FALSE()),IF(AM107&lt;&gt;"",CONCATENATE(",",VLOOKUP(AM107,$B:$AN,38,FALSE())),""))</f>
        <v>4,4,4</v>
      </c>
      <c r="AW107" s="19" t="s">
        <v>599</v>
      </c>
      <c r="AX107" s="1" t="n">
        <v>30</v>
      </c>
      <c r="AY107" s="6" t="n">
        <f aca="false">IF(L107&lt;&gt;"",MAX(16,(L107-J107)+8),"")</f>
        <v>52</v>
      </c>
      <c r="AZ107" s="1" t="n">
        <v>1000</v>
      </c>
      <c r="BA107" s="1" t="n">
        <v>110</v>
      </c>
      <c r="BB107" s="1" t="n">
        <f aca="false">MIN(AB107/150, 1)*30</f>
        <v>18</v>
      </c>
      <c r="BC107" s="1" t="n">
        <f aca="false">MIN(N107/4000, 1)*20</f>
        <v>0</v>
      </c>
      <c r="BD107" s="1" t="n">
        <f aca="false">MIN(Z107/400,1)*20</f>
        <v>0</v>
      </c>
      <c r="BE107" s="4" t="n">
        <f aca="false">1-(MAX(J107-1900, 0)/750)</f>
        <v>0.952</v>
      </c>
      <c r="BF107" s="1" t="n">
        <f aca="false">((MAX($M107,1)*MIN($AJ107/300,1)))*IF(G107="Wagon",50,10)</f>
        <v>3</v>
      </c>
      <c r="BG107" s="1" t="n">
        <f aca="false">VLOOKUP($H107,Constants!$I:$K, 2, FALSE())</f>
        <v>1.5</v>
      </c>
      <c r="BH107" s="1" t="n">
        <f aca="false">VLOOKUP($H107,Constants!$I:$K, 3, FALSE())*IF(AND(G107="multiple_unit",AB107&lt;110),0.75,1)</f>
        <v>0.7</v>
      </c>
      <c r="BI107" s="1" t="n">
        <f aca="false">INT(POWER(((Constants!$G$2+$BB107+$BC107+$BD107+$BF107)*$BE107)*$BH107, 1.05))+$BA107</f>
        <v>129</v>
      </c>
      <c r="BJ107" s="1" t="n">
        <f aca="false">INT(POWER((((Constants!$G$1+$BB107+$BC107+$BD107+$BF107)*($BE107))*$BG107),IF($G107="wagon",1,1.2)))+$AZ107</f>
        <v>1051</v>
      </c>
      <c r="BK107" s="20" t="n">
        <f aca="false">BI107*IF($G107="wagon",62.5,781.25)</f>
        <v>8062.5</v>
      </c>
      <c r="BL107" s="20" t="n">
        <f aca="false">BJ107*IF($G107="wagon",2.73,81.25)</f>
        <v>2869.23</v>
      </c>
      <c r="BT107" s="1" t="n">
        <v>2</v>
      </c>
      <c r="BU107" s="1" t="n">
        <v>278</v>
      </c>
      <c r="BV107" s="1" t="s">
        <v>225</v>
      </c>
      <c r="BX107" s="1" t="s">
        <v>95</v>
      </c>
      <c r="BY107" s="1" t="str">
        <f aca="false">VLOOKUP(J107,Eras!$A$2:$C$10, 2, TRUE())</f>
        <v>big4</v>
      </c>
      <c r="BZ107" s="18" t="s">
        <v>595</v>
      </c>
      <c r="CA107" s="1" t="str">
        <f aca="false">CONCATENATE(BY107,"_",BZ107)</f>
        <v>big4_Carriage</v>
      </c>
      <c r="CB107" s="1" t="str">
        <f aca="false">_xlfn.CONCAT(H107, "_",I107)</f>
        <v>luxury_carriage_RAIL</v>
      </c>
      <c r="CC107" s="21" t="str">
        <f aca="false">_xlfn.CONCAT("{BLACK}Length: {GOLD}", TEXT(ROUNDUP(IF(AQ107&lt;&gt;"",SUM(VALUE(_xlfn.TEXTSPLIT(AQ107, ","))), SUM(VALUE(_xlfn.TEXTSPLIT(AN107, ",")))*IF(M107, M107, 1))/16, 1), "#,##0.0"), " tiles{}")</f>
        <v>{BLACK}Length: {GOLD}0.8 tiles{}</v>
      </c>
      <c r="CD107" s="1" t="str">
        <f aca="false">VLOOKUP($CB107, Constants!$M:$N, 2, FALSE())</f>
        <v/>
      </c>
      <c r="CE107" s="1" t="str">
        <f aca="false">IF(M107&gt;1,_xlfn.CONCAT("{BLACK}Cars: {GOLD}", M107),"")</f>
        <v/>
      </c>
      <c r="CF107" s="1" t="s">
        <v>600</v>
      </c>
      <c r="CG107" s="1" t="str">
        <f aca="false">IF(BW107="buffet","{YELLOW}25% long distance bonus for consist{}",IF(BY107="BRAKE","{YELLOW}Speed bonus for slow wagons{}",IF(BU107&gt;190,CONCATENATE("{YELLOW}",INT((BU107-185)/1.85),"% bonus for long distance travel{}"),IF(AND(BU107&lt;180,BU107&lt;&gt;0),CONCATENATE("{YELLOW}",INT((185-BU107)/1.85),"% penalty for long distance travel{}"),""))))</f>
        <v>{YELLOW}50% bonus for long distance travel{}</v>
      </c>
      <c r="CH107" s="1" t="str">
        <f aca="false">_xlfn.CONCAT(CD107,IF(CD107 &lt;&gt; "", " ", ""),CE107,IF(OR(CE107&lt;&gt;"", CD107&lt;&gt;""), "{}",""), CC107, CG107,"{SILVER}", CF107)</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107" s="1"/>
      <c r="CJ107" s="1"/>
      <c r="XFD107" s="19"/>
    </row>
    <row r="108" customFormat="false" ht="13.8" hidden="false" customHeight="false" outlineLevel="0" collapsed="false">
      <c r="A108" s="18" t="s">
        <v>601</v>
      </c>
      <c r="B108" s="18" t="s">
        <v>602</v>
      </c>
      <c r="C108" s="1" t="n">
        <v>1112</v>
      </c>
      <c r="E108" s="1" t="n">
        <v>1103</v>
      </c>
      <c r="F108" s="1" t="s">
        <v>89</v>
      </c>
      <c r="G108" s="1" t="s">
        <v>528</v>
      </c>
      <c r="H108" s="1" t="s">
        <v>603</v>
      </c>
      <c r="I108" s="1" t="s">
        <v>153</v>
      </c>
      <c r="J108" s="1" t="n">
        <v>1936</v>
      </c>
      <c r="K108" s="1" t="n">
        <v>1974</v>
      </c>
      <c r="L108" s="1" t="n">
        <v>1980</v>
      </c>
      <c r="W108" s="1" t="n">
        <v>21</v>
      </c>
      <c r="Y108" s="1" t="n">
        <v>4</v>
      </c>
      <c r="AA108" s="4" t="str">
        <f aca="false">IF(AND(W108&gt;0,Z108&gt;0),(Z108/((W108+X108)*10)),"")</f>
        <v/>
      </c>
      <c r="AB108" s="1" t="n">
        <v>90</v>
      </c>
      <c r="AC108" s="1" t="n">
        <f aca="false">ROUND(AB108*1.6, 0)</f>
        <v>144</v>
      </c>
      <c r="AF108" s="1" t="n">
        <v>12.1</v>
      </c>
      <c r="AG108" s="1" t="n">
        <v>12</v>
      </c>
      <c r="AH108" s="1" t="n">
        <v>2.82</v>
      </c>
      <c r="AI108" s="1" t="n">
        <v>3.79</v>
      </c>
      <c r="AJ108" s="5" t="n">
        <v>18</v>
      </c>
      <c r="AK108" s="19" t="str">
        <f aca="false">CONCATENATE(VLOOKUP(AL108, 'Voxel Sizes'!$A$2:$B$18,2,FALSE()),"x",INT(AH108*15), "x", INT(AI108*15))</f>
        <v>120x42x56</v>
      </c>
      <c r="AL108" s="1" t="n">
        <f aca="false">ROUND(15*((AG108*10)/256),0)</f>
        <v>7</v>
      </c>
      <c r="AN108" s="1" t="str">
        <f aca="false">CONCATENATE(VLOOKUP(AL108,Constants!$A$2:$C$16,IF(AM108&lt;&gt;"", 3, 2), FALSE()),IF(AM108&lt;&gt;"",CONCATENATE(",",VLOOKUP(AM108,$B:$AN,38,FALSE())),""))</f>
        <v>2,3,2</v>
      </c>
      <c r="AW108" s="19" t="s">
        <v>604</v>
      </c>
      <c r="AX108" s="1" t="n">
        <v>30</v>
      </c>
      <c r="AY108" s="6" t="n">
        <f aca="false">IF(L108&lt;&gt;"",MAX(16,(L108-J108)+8),"")</f>
        <v>52</v>
      </c>
      <c r="AZ108" s="1" t="n">
        <v>1000</v>
      </c>
      <c r="BA108" s="1" t="n">
        <v>110</v>
      </c>
      <c r="BB108" s="1" t="n">
        <f aca="false">MIN(AB108/150, 1)*30</f>
        <v>18</v>
      </c>
      <c r="BC108" s="1" t="n">
        <f aca="false">MIN(N108/4000, 1)*20</f>
        <v>0</v>
      </c>
      <c r="BD108" s="1" t="n">
        <f aca="false">MIN(Z108/400,1)*20</f>
        <v>0</v>
      </c>
      <c r="BE108" s="4" t="n">
        <f aca="false">1-(MAX(J108-1900, 0)/750)</f>
        <v>0.952</v>
      </c>
      <c r="BF108" s="1" t="n">
        <f aca="false">((MAX($M108,1)*MIN($AJ108/300,1)))*IF(G108="Wagon",50,10)</f>
        <v>3</v>
      </c>
      <c r="BG108" s="1" t="n">
        <f aca="false">VLOOKUP($H108,Constants!$I:$K, 2, FALSE())</f>
        <v>1.2</v>
      </c>
      <c r="BH108" s="1" t="n">
        <f aca="false">VLOOKUP($H108,Constants!$I:$K, 3, FALSE())*IF(AND(G108="multiple_unit",AB108&lt;110),0.75,1)</f>
        <v>0.6</v>
      </c>
      <c r="BI108" s="1" t="n">
        <f aca="false">INT(POWER(((Constants!$G$2+$BB108+$BC108+$BD108+$BF108)*$BE108)*$BH108, 1.05))+$BA108</f>
        <v>126</v>
      </c>
      <c r="BJ108" s="1" t="n">
        <f aca="false">INT(POWER((((Constants!$G$1+$BB108+$BC108+$BD108+$BF108)*($BE108))*$BG108),IF($G108="wagon",1,1.2)))+$AZ108</f>
        <v>1041</v>
      </c>
      <c r="BK108" s="20" t="n">
        <f aca="false">BI108*IF($G108="wagon",62.5,781.25)</f>
        <v>7875</v>
      </c>
      <c r="BL108" s="20" t="n">
        <f aca="false">BJ108*IF($G108="wagon",2.73,81.25)</f>
        <v>2841.93</v>
      </c>
      <c r="BT108" s="1" t="n">
        <v>2</v>
      </c>
      <c r="BU108" s="1" t="n">
        <v>185</v>
      </c>
      <c r="BV108" s="1" t="s">
        <v>368</v>
      </c>
      <c r="BX108" s="1" t="s">
        <v>148</v>
      </c>
      <c r="BY108" s="1" t="str">
        <f aca="false">VLOOKUP(J108,Eras!$A$2:$C$10, 2, TRUE())</f>
        <v>big4</v>
      </c>
      <c r="BZ108" s="18" t="s">
        <v>595</v>
      </c>
      <c r="CA108" s="1" t="str">
        <f aca="false">CONCATENATE(BY108,"_",BZ108)</f>
        <v>big4_Carriage</v>
      </c>
      <c r="CB108" s="1" t="str">
        <f aca="false">_xlfn.CONCAT(H108, "_",I108)</f>
        <v>carriage_RAIL</v>
      </c>
      <c r="CC108" s="21" t="str">
        <f aca="false">_xlfn.CONCAT("{BLACK}Length: {GOLD}", TEXT(ROUNDUP(IF(AQ108&lt;&gt;"",SUM(VALUE(_xlfn.TEXTSPLIT(AQ108, ","))), SUM(VALUE(_xlfn.TEXTSPLIT(AN108, ",")))*IF(M108, M108, 1))/16, 1), "#,##0.0"), " tiles{}")</f>
        <v>{BLACK}Length: {GOLD}0.5 tiles{}</v>
      </c>
      <c r="CD108" s="1" t="str">
        <f aca="false">VLOOKUP($CB108, Constants!$M:$N, 2, FALSE())</f>
        <v/>
      </c>
      <c r="CE108" s="1" t="str">
        <f aca="false">IF(M108&gt;1,_xlfn.CONCAT("{BLACK}Cars: {GOLD}", M108),"")</f>
        <v/>
      </c>
      <c r="CF108" s="1" t="s">
        <v>605</v>
      </c>
      <c r="CG108" s="1" t="str">
        <f aca="false">IF(BW108="buffet","{YELLOW}25% long distance bonus for consist{}",IF(BY108="BRAKE","{YELLOW}Speed bonus for slow wagons{}",IF(BU108&gt;190,CONCATENATE("{YELLOW}",INT((BU108-185)/1.85),"% bonus for long distance travel{}"),IF(AND(BU108&lt;180,BU108&lt;&gt;0),CONCATENATE("{YELLOW}",INT((185-BU108)/1.85),"% penalty for long distance travel{}"),""))))</f>
        <v/>
      </c>
      <c r="CH108" s="1" t="str">
        <f aca="false">_xlfn.CONCAT(CD108,IF(CD108 &lt;&gt; "", " ", ""),CE108,IF(OR(CE108&lt;&gt;"", CD108&lt;&gt;""), "{}",""), CC108, CG108,"{SILVER}", CF108)</f>
        <v>{BLACK}Length: {GOLD}0.5 tiles{}{SILVER}These two-axle baggage cars were a fixture of the night ferry service, running with the sleeping cars on the 11 hour schedule from London to Paris.</v>
      </c>
      <c r="CI108" s="1"/>
      <c r="CJ108" s="1"/>
      <c r="XFD108" s="19"/>
    </row>
    <row r="109" customFormat="false" ht="13.8" hidden="false" customHeight="false" outlineLevel="0" collapsed="false">
      <c r="A109" s="18" t="s">
        <v>606</v>
      </c>
      <c r="B109" s="18" t="s">
        <v>607</v>
      </c>
      <c r="C109" s="1" t="n">
        <v>108</v>
      </c>
      <c r="E109" s="1" t="n">
        <v>1111</v>
      </c>
      <c r="F109" s="1" t="s">
        <v>89</v>
      </c>
      <c r="G109" s="1" t="s">
        <v>528</v>
      </c>
      <c r="H109" s="1" t="s">
        <v>603</v>
      </c>
      <c r="I109" s="1" t="s">
        <v>153</v>
      </c>
      <c r="J109" s="1" t="n">
        <v>1957</v>
      </c>
      <c r="K109" s="1" t="n">
        <v>1981</v>
      </c>
      <c r="L109" s="1" t="n">
        <v>2002</v>
      </c>
      <c r="W109" s="1" t="n">
        <v>33</v>
      </c>
      <c r="Y109" s="1" t="n">
        <v>4</v>
      </c>
      <c r="AA109" s="4" t="str">
        <f aca="false">IF(AND(W109&gt;0,Z109&gt;0),(Z109/((W109+X109)*10)),"")</f>
        <v/>
      </c>
      <c r="AB109" s="1" t="n">
        <v>100</v>
      </c>
      <c r="AC109" s="1" t="n">
        <f aca="false">ROUND(AB109*1.6, 0)</f>
        <v>160</v>
      </c>
      <c r="AF109" s="1" t="n">
        <v>18.4</v>
      </c>
      <c r="AG109" s="1" t="n">
        <v>18</v>
      </c>
      <c r="AH109" s="1" t="n">
        <v>2.82</v>
      </c>
      <c r="AI109" s="1" t="n">
        <v>3.79</v>
      </c>
      <c r="AJ109" s="5" t="n">
        <v>65</v>
      </c>
      <c r="AK109" s="19" t="str">
        <f aca="false">CONCATENATE(VLOOKUP(AL109, 'Voxel Sizes'!$A$2:$B$18,2,FALSE()),"x",INT(AH109*15), "x", INT(AI109*15))</f>
        <v>186x42x56</v>
      </c>
      <c r="AL109" s="1" t="n">
        <f aca="false">ROUND(15*((AG109*10)/256),0)</f>
        <v>11</v>
      </c>
      <c r="AN109" s="1" t="str">
        <f aca="false">CONCATENATE(VLOOKUP(AL109,Constants!$A$2:$C$16,IF(AM109&lt;&gt;"", 3, 2), FALSE()),IF(AM109&lt;&gt;"",CONCATENATE(",",VLOOKUP(AM109,$B:$AN,38,FALSE())),""))</f>
        <v>4,3,4</v>
      </c>
      <c r="AW109" s="19"/>
      <c r="AX109" s="1" t="n">
        <v>30</v>
      </c>
      <c r="AY109" s="6" t="n">
        <f aca="false">IF(L109&lt;&gt;"",MAX(16,(L109-J109)+8),"")</f>
        <v>53</v>
      </c>
      <c r="AZ109" s="1" t="n">
        <v>55</v>
      </c>
      <c r="BA109" s="1" t="n">
        <v>25</v>
      </c>
      <c r="BB109" s="1" t="n">
        <f aca="false">MIN(AB109/150, 1)*30</f>
        <v>20</v>
      </c>
      <c r="BC109" s="1" t="n">
        <f aca="false">MIN(N109/4000, 1)*20</f>
        <v>0</v>
      </c>
      <c r="BD109" s="1" t="n">
        <f aca="false">MIN(Z109/400,1)*20</f>
        <v>0</v>
      </c>
      <c r="BE109" s="4" t="n">
        <f aca="false">1-(MAX(J109-1900, 0)/750)</f>
        <v>0.924</v>
      </c>
      <c r="BF109" s="1" t="n">
        <f aca="false">((MAX($M109,1)*MIN($AJ109/300,1)))*IF(G109="Wagon",50,10)</f>
        <v>10.8333333333333</v>
      </c>
      <c r="BG109" s="1" t="n">
        <f aca="false">VLOOKUP($H109,Constants!$I:$K, 2, FALSE())</f>
        <v>1.2</v>
      </c>
      <c r="BH109" s="1" t="n">
        <f aca="false">VLOOKUP($H109,Constants!$I:$K, 3, FALSE())*IF(AND(G109="multiple_unit",AB109&lt;110),0.75,1)</f>
        <v>0.6</v>
      </c>
      <c r="BI109" s="1" t="n">
        <f aca="false">INT(POWER(((Constants!$G$2+$BB109+$BC109+$BD109+$BF109)*$BE109)*$BH109, 1.05))+$BA109</f>
        <v>48</v>
      </c>
      <c r="BJ109" s="1" t="n">
        <f aca="false">INT(POWER((((Constants!$G$1+$BB109+$BC109+$BD109+$BF109)*($BE109))*$BG109),IF($G109="wagon",1,1.2)))+$AZ109</f>
        <v>105</v>
      </c>
      <c r="BK109" s="20" t="n">
        <f aca="false">BI109*IF($G109="wagon",62.5,781.25)</f>
        <v>3000</v>
      </c>
      <c r="BL109" s="20" t="n">
        <f aca="false">BJ109*IF($G109="wagon",2.73,81.25)</f>
        <v>286.65</v>
      </c>
      <c r="BT109" s="1" t="n">
        <v>1</v>
      </c>
      <c r="BU109" s="1" t="n">
        <v>185</v>
      </c>
      <c r="BV109" s="1" t="s">
        <v>368</v>
      </c>
      <c r="BX109" s="1" t="s">
        <v>148</v>
      </c>
      <c r="BY109" s="1" t="str">
        <f aca="false">VLOOKUP(J109,Eras!$A$2:$C$10, 2, TRUE())</f>
        <v>dsl</v>
      </c>
      <c r="BZ109" s="18" t="s">
        <v>608</v>
      </c>
      <c r="CA109" s="1" t="str">
        <f aca="false">CONCATENATE(BY109,"_",BZ109)</f>
        <v>dsl_Mail Carriage</v>
      </c>
      <c r="CB109" s="1" t="str">
        <f aca="false">_xlfn.CONCAT(H109, "_",I109)</f>
        <v>carriage_RAIL</v>
      </c>
      <c r="CC109" s="21" t="str">
        <f aca="false">_xlfn.CONCAT("{BLACK}Length: {GOLD}", TEXT(ROUNDUP(IF(AQ109&lt;&gt;"",SUM(VALUE(_xlfn.TEXTSPLIT(AQ109, ","))), SUM(VALUE(_xlfn.TEXTSPLIT(AN109, ",")))*IF(M109, M109, 1))/16, 1), "#,##0.0"), " tiles{}")</f>
        <v>{BLACK}Length: {GOLD}0.7 tiles{}</v>
      </c>
      <c r="CD109" s="1" t="str">
        <f aca="false">VLOOKUP($CB109, Constants!$M:$N, 2, FALSE())</f>
        <v/>
      </c>
      <c r="CE109" s="1" t="str">
        <f aca="false">IF(M109&gt;1,_xlfn.CONCAT("{BLACK}Cars: {GOLD}", M109),"")</f>
        <v/>
      </c>
      <c r="CF109" s="1" t="s">
        <v>609</v>
      </c>
      <c r="CG109" s="1" t="str">
        <f aca="false">IF(BW109="buffet","{YELLOW}25% long distance bonus for consist{}",IF(BY109="BRAKE","{YELLOW}Speed bonus for slow wagons{}",IF(BU109&gt;190,CONCATENATE("{YELLOW}",INT((BU109-185)/1.85),"% bonus for long distance travel{}"),IF(AND(BU109&lt;180,BU109&lt;&gt;0),CONCATENATE("{YELLOW}",INT((185-BU109)/1.85),"% penalty for long distance travel{}"),""))))</f>
        <v/>
      </c>
      <c r="CH109" s="1" t="str">
        <f aca="false">_xlfn.CONCAT(CD109,IF(CD109 &lt;&gt; "", " ", ""),CE109,IF(OR(CE109&lt;&gt;"", CD109&lt;&gt;""), "{}",""), CC109, CG109,"{SILVER}", CF109)</f>
        <v>{BLACK}Length: {GOLD}0.7 tiles{}{SILVER}The standard parcels and baggage car on British Rail for decades, the Mk1 Brake Gangwayed was extremely versatile. This represents a standard 57’ frame example, making it noticably shorter than the standard Mk1 coach.</v>
      </c>
      <c r="CI109" s="1"/>
      <c r="CJ109" s="1"/>
    </row>
    <row r="110" customFormat="false" ht="13.8" hidden="false" customHeight="false" outlineLevel="0" collapsed="false">
      <c r="A110" s="18" t="s">
        <v>610</v>
      </c>
      <c r="B110" s="18" t="s">
        <v>611</v>
      </c>
      <c r="C110" s="1" t="n">
        <v>109</v>
      </c>
      <c r="D110" s="1" t="n">
        <v>108</v>
      </c>
      <c r="E110" s="1" t="n">
        <v>1112</v>
      </c>
      <c r="F110" s="1" t="s">
        <v>89</v>
      </c>
      <c r="G110" s="1" t="s">
        <v>528</v>
      </c>
      <c r="H110" s="1" t="s">
        <v>603</v>
      </c>
      <c r="I110" s="1" t="s">
        <v>153</v>
      </c>
      <c r="J110" s="1" t="n">
        <v>1975</v>
      </c>
      <c r="K110" s="1" t="n">
        <v>1998</v>
      </c>
      <c r="L110" s="1" t="n">
        <v>2002</v>
      </c>
      <c r="W110" s="1" t="n">
        <v>33</v>
      </c>
      <c r="Y110" s="1" t="n">
        <v>4</v>
      </c>
      <c r="AA110" s="4" t="str">
        <f aca="false">IF(AND(W110&gt;0,Z110&gt;0),(Z110/((W110+X110)*10)),"")</f>
        <v/>
      </c>
      <c r="AB110" s="1" t="n">
        <v>110</v>
      </c>
      <c r="AC110" s="1" t="n">
        <f aca="false">ROUND(AB110*1.6, 0)</f>
        <v>176</v>
      </c>
      <c r="AF110" s="1" t="n">
        <v>18.4</v>
      </c>
      <c r="AG110" s="1" t="n">
        <v>18</v>
      </c>
      <c r="AH110" s="1" t="n">
        <v>2.82</v>
      </c>
      <c r="AI110" s="1" t="n">
        <v>3.79</v>
      </c>
      <c r="AJ110" s="5" t="n">
        <v>65</v>
      </c>
      <c r="AK110" s="19" t="str">
        <f aca="false">CONCATENATE(VLOOKUP(AL110, 'Voxel Sizes'!$A$2:$B$18,2,FALSE()),"x",INT(AH110*15), "x", INT(AI110*15))</f>
        <v>186x42x56</v>
      </c>
      <c r="AL110" s="1" t="n">
        <f aca="false">ROUND(15*((AG110*10)/256),0)</f>
        <v>11</v>
      </c>
      <c r="AN110" s="1" t="str">
        <f aca="false">CONCATENATE(VLOOKUP(AL110,Constants!$A$2:$C$16,IF(AM110&lt;&gt;"", 3, 2), FALSE()),IF(AM110&lt;&gt;"",CONCATENATE(",",VLOOKUP(AM110,$B:$AN,38,FALSE())),""))</f>
        <v>4,3,4</v>
      </c>
      <c r="AW110" s="19"/>
      <c r="AX110" s="1" t="n">
        <v>30</v>
      </c>
      <c r="AY110" s="6" t="n">
        <f aca="false">IF(L110&lt;&gt;"",MAX(16,(L110-J110)+8),"")</f>
        <v>35</v>
      </c>
      <c r="AZ110" s="1" t="n">
        <v>75</v>
      </c>
      <c r="BA110" s="1" t="n">
        <v>35</v>
      </c>
      <c r="BB110" s="1" t="n">
        <f aca="false">MIN(AB110/150, 1)*30</f>
        <v>22</v>
      </c>
      <c r="BC110" s="1" t="n">
        <f aca="false">MIN(N110/4000, 1)*20</f>
        <v>0</v>
      </c>
      <c r="BD110" s="1" t="n">
        <f aca="false">MIN(Z110/400,1)*20</f>
        <v>0</v>
      </c>
      <c r="BE110" s="4" t="n">
        <f aca="false">1-(MAX(J110-1900, 0)/750)</f>
        <v>0.9</v>
      </c>
      <c r="BF110" s="1" t="n">
        <f aca="false">((MAX($M110,1)*MIN($AJ110/300,1)))*IF(G110="Wagon",50,10)</f>
        <v>10.8333333333333</v>
      </c>
      <c r="BG110" s="1" t="n">
        <f aca="false">VLOOKUP($H110,Constants!$I:$K, 2, FALSE())</f>
        <v>1.2</v>
      </c>
      <c r="BH110" s="1" t="n">
        <f aca="false">VLOOKUP($H110,Constants!$I:$K, 3, FALSE())*IF(AND(G110="multiple_unit",AB110&lt;110),0.75,1)</f>
        <v>0.6</v>
      </c>
      <c r="BI110" s="1" t="n">
        <f aca="false">INT(POWER(((Constants!$G$2+$BB110+$BC110+$BD110+$BF110)*$BE110)*$BH110, 1.05))+$BA110</f>
        <v>58</v>
      </c>
      <c r="BJ110" s="1" t="n">
        <f aca="false">INT(POWER((((Constants!$G$1+$BB110+$BC110+$BD110+$BF110)*($BE110))*$BG110),IF($G110="wagon",1,1.2)))+$AZ110</f>
        <v>126</v>
      </c>
      <c r="BK110" s="20" t="n">
        <f aca="false">BI110*IF($G110="wagon",62.5,781.25)</f>
        <v>3625</v>
      </c>
      <c r="BL110" s="20" t="n">
        <f aca="false">BJ110*IF($G110="wagon",2.73,81.25)</f>
        <v>343.98</v>
      </c>
      <c r="BT110" s="1" t="n">
        <v>1</v>
      </c>
      <c r="BU110" s="1" t="n">
        <v>185</v>
      </c>
      <c r="BV110" s="1" t="s">
        <v>368</v>
      </c>
      <c r="BX110" s="1" t="s">
        <v>148</v>
      </c>
      <c r="BY110" s="1" t="str">
        <f aca="false">VLOOKUP(J110,Eras!$A$2:$C$10, 2, TRUE())</f>
        <v>lbr</v>
      </c>
      <c r="BZ110" s="18" t="s">
        <v>608</v>
      </c>
      <c r="CA110" s="1" t="str">
        <f aca="false">CONCATENATE(BY110,"_",BZ110)</f>
        <v>lbr_Mail Carriage</v>
      </c>
      <c r="CB110" s="1" t="str">
        <f aca="false">_xlfn.CONCAT(H110, "_",I110)</f>
        <v>carriage_RAIL</v>
      </c>
      <c r="CC110" s="21" t="str">
        <f aca="false">_xlfn.CONCAT("{BLACK}Length: {GOLD}", TEXT(ROUNDUP(IF(AQ110&lt;&gt;"",SUM(VALUE(_xlfn.TEXTSPLIT(AQ110, ","))), SUM(VALUE(_xlfn.TEXTSPLIT(AN110, ",")))*IF(M110, M110, 1))/16, 1), "#,##0.0"), " tiles{}")</f>
        <v>{BLACK}Length: {GOLD}0.7 tiles{}</v>
      </c>
      <c r="CD110" s="1" t="str">
        <f aca="false">VLOOKUP($CB110, Constants!$M:$N, 2, FALSE())</f>
        <v/>
      </c>
      <c r="CE110" s="1" t="str">
        <f aca="false">IF(M110&gt;1,_xlfn.CONCAT("{BLACK}Cars: {GOLD}", M110),"")</f>
        <v/>
      </c>
      <c r="CF110" s="1" t="s">
        <v>612</v>
      </c>
      <c r="CG110" s="1" t="str">
        <f aca="false">IF(BW110="buffet","{YELLOW}25% long distance bonus for consist{}",IF(BY110="BRAKE","{YELLOW}Speed bonus for slow wagons{}",IF(BU110&gt;190,CONCATENATE("{YELLOW}",INT((BU110-185)/1.85),"% bonus for long distance travel{}"),IF(AND(BU110&lt;180,BU110&lt;&gt;0),CONCATENATE("{YELLOW}",INT((185-BU110)/1.85),"% penalty for long distance travel{}"),""))))</f>
        <v/>
      </c>
      <c r="CH110" s="1" t="str">
        <f aca="false">_xlfn.CONCAT(CD110,IF(CD110 &lt;&gt; "", " ", ""),CE110,IF(OR(CE110&lt;&gt;"", CD110&lt;&gt;""), "{}",""), CC110, CG110,"{SILVER}", CF110)</f>
        <v>{BLACK}Length: {GOLD}0.7 tiles{}{SILVER}In the 1980s a number of BG vehicles were upgraded with B4 bogies and cleared for travel at 110mph, to provide additional capacity within fast passenger services, which were typically run with Mark 2 stock.</v>
      </c>
      <c r="CI110" s="1"/>
      <c r="CJ110" s="1"/>
    </row>
    <row r="111" customFormat="false" ht="13.8" hidden="false" customHeight="false" outlineLevel="0" collapsed="false">
      <c r="A111" s="18" t="s">
        <v>613</v>
      </c>
      <c r="B111" s="18" t="s">
        <v>614</v>
      </c>
      <c r="C111" s="1" t="n">
        <v>110</v>
      </c>
      <c r="D111" s="1" t="n">
        <v>108</v>
      </c>
      <c r="E111" s="1" t="n">
        <v>1113</v>
      </c>
      <c r="F111" s="1" t="s">
        <v>89</v>
      </c>
      <c r="G111" s="1" t="s">
        <v>528</v>
      </c>
      <c r="H111" s="1" t="s">
        <v>603</v>
      </c>
      <c r="I111" s="1" t="s">
        <v>153</v>
      </c>
      <c r="J111" s="1" t="n">
        <v>1989</v>
      </c>
      <c r="K111" s="1" t="n">
        <v>2002</v>
      </c>
      <c r="L111" s="1" t="n">
        <v>2002</v>
      </c>
      <c r="W111" s="1" t="n">
        <v>33</v>
      </c>
      <c r="Y111" s="1" t="n">
        <v>5</v>
      </c>
      <c r="AA111" s="4" t="str">
        <f aca="false">IF(AND(W111&gt;0,Z111&gt;0),(Z111/((W111+X111)*10)),"")</f>
        <v/>
      </c>
      <c r="AB111" s="1" t="n">
        <v>100</v>
      </c>
      <c r="AC111" s="1" t="n">
        <f aca="false">ROUND(AB111*1.6, 0)</f>
        <v>160</v>
      </c>
      <c r="AF111" s="1" t="n">
        <v>18.4</v>
      </c>
      <c r="AG111" s="1" t="n">
        <v>18</v>
      </c>
      <c r="AH111" s="1" t="n">
        <v>2.82</v>
      </c>
      <c r="AI111" s="1" t="n">
        <v>3.79</v>
      </c>
      <c r="AJ111" s="5" t="n">
        <v>72</v>
      </c>
      <c r="AK111" s="19" t="str">
        <f aca="false">CONCATENATE(VLOOKUP(AL111, 'Voxel Sizes'!$A$2:$B$18,2,FALSE()),"x",INT(AH111*15), "x", INT(AI111*15))</f>
        <v>186x42x56</v>
      </c>
      <c r="AL111" s="1" t="n">
        <f aca="false">ROUND(15*((AG111*10)/256),0)</f>
        <v>11</v>
      </c>
      <c r="AN111" s="1" t="str">
        <f aca="false">CONCATENATE(VLOOKUP(AL111,Constants!$A$2:$C$16,IF(AM111&lt;&gt;"", 3, 2), FALSE()),IF(AM111&lt;&gt;"",CONCATENATE(",",VLOOKUP(AM111,$B:$AN,38,FALSE())),""))</f>
        <v>4,3,4</v>
      </c>
      <c r="AW111" s="19"/>
      <c r="AX111" s="1" t="n">
        <v>30</v>
      </c>
      <c r="AY111" s="6" t="n">
        <f aca="false">IF(L111&lt;&gt;"",MAX(16,(L111-J111)+8),"")</f>
        <v>21</v>
      </c>
      <c r="AZ111" s="1" t="n">
        <v>65</v>
      </c>
      <c r="BA111" s="1" t="n">
        <v>45</v>
      </c>
      <c r="BB111" s="1" t="n">
        <f aca="false">MIN(AB111/150, 1)*30</f>
        <v>20</v>
      </c>
      <c r="BC111" s="1" t="n">
        <f aca="false">MIN(N111/4000, 1)*20</f>
        <v>0</v>
      </c>
      <c r="BD111" s="1" t="n">
        <f aca="false">MIN(Z111/400,1)*20</f>
        <v>0</v>
      </c>
      <c r="BE111" s="4" t="n">
        <f aca="false">1-(MAX(J111-1900, 0)/750)</f>
        <v>0.881333333333333</v>
      </c>
      <c r="BF111" s="1" t="n">
        <f aca="false">((MAX($M111,1)*MIN($AJ111/300,1)))*IF(G111="Wagon",50,10)</f>
        <v>12</v>
      </c>
      <c r="BG111" s="1" t="n">
        <f aca="false">VLOOKUP($H111,Constants!$I:$K, 2, FALSE())</f>
        <v>1.2</v>
      </c>
      <c r="BH111" s="1" t="n">
        <f aca="false">VLOOKUP($H111,Constants!$I:$K, 3, FALSE())*IF(AND(G111="multiple_unit",AB111&lt;110),0.75,1)</f>
        <v>0.6</v>
      </c>
      <c r="BI111" s="1" t="n">
        <f aca="false">INT(POWER(((Constants!$G$2+$BB111+$BC111+$BD111+$BF111)*$BE111)*$BH111, 1.05))+$BA111</f>
        <v>67</v>
      </c>
      <c r="BJ111" s="1" t="n">
        <f aca="false">INT(POWER((((Constants!$G$1+$BB111+$BC111+$BD111+$BF111)*($BE111))*$BG111),IF($G111="wagon",1,1.2)))+$AZ111</f>
        <v>114</v>
      </c>
      <c r="BK111" s="20" t="n">
        <f aca="false">BI111*IF($G111="wagon",62.5,781.25)</f>
        <v>4187.5</v>
      </c>
      <c r="BL111" s="20" t="n">
        <f aca="false">BJ111*IF($G111="wagon",2.73,81.25)</f>
        <v>311.22</v>
      </c>
      <c r="BT111" s="1" t="n">
        <v>1</v>
      </c>
      <c r="BU111" s="1" t="n">
        <v>185</v>
      </c>
      <c r="BV111" s="1" t="s">
        <v>368</v>
      </c>
      <c r="BX111" s="1" t="s">
        <v>148</v>
      </c>
      <c r="BY111" s="1" t="str">
        <f aca="false">VLOOKUP(J111,Eras!$A$2:$C$10, 2, TRUE())</f>
        <v>lbr</v>
      </c>
      <c r="BZ111" s="18" t="s">
        <v>608</v>
      </c>
      <c r="CA111" s="1" t="str">
        <f aca="false">CONCATENATE(BY111,"_",BZ111)</f>
        <v>lbr_Mail Carriage</v>
      </c>
      <c r="CB111" s="1" t="str">
        <f aca="false">_xlfn.CONCAT(H111, "_",I111)</f>
        <v>carriage_RAIL</v>
      </c>
      <c r="CC111" s="21" t="str">
        <f aca="false">_xlfn.CONCAT("{BLACK}Length: {GOLD}", TEXT(ROUNDUP(IF(AQ111&lt;&gt;"",SUM(VALUE(_xlfn.TEXTSPLIT(AQ111, ","))), SUM(VALUE(_xlfn.TEXTSPLIT(AN111, ",")))*IF(M111, M111, 1))/16, 1), "#,##0.0"), " tiles{}")</f>
        <v>{BLACK}Length: {GOLD}0.7 tiles{}</v>
      </c>
      <c r="CD111" s="1" t="str">
        <f aca="false">VLOOKUP($CB111, Constants!$M:$N, 2, FALSE())</f>
        <v/>
      </c>
      <c r="CE111" s="1" t="str">
        <f aca="false">IF(M111&gt;1,_xlfn.CONCAT("{BLACK}Cars: {GOLD}", M111),"")</f>
        <v/>
      </c>
      <c r="CF111" s="1" t="s">
        <v>615</v>
      </c>
      <c r="CG111" s="1" t="str">
        <f aca="false">IF(BW111="buffet","{YELLOW}25% long distance bonus for consist{}",IF(BY111="BRAKE","{YELLOW}Speed bonus for slow wagons{}",IF(BU111&gt;190,CONCATENATE("{YELLOW}",INT((BU111-185)/1.85),"% bonus for long distance travel{}"),IF(AND(BU111&lt;180,BU111&lt;&gt;0),CONCATENATE("{YELLOW}",INT((185-BU111)/1.85),"% penalty for long distance travel{}"),""))))</f>
        <v/>
      </c>
      <c r="CH111" s="1" t="str">
        <f aca="false">_xlfn.CONCAT(CD111,IF(CD111 &lt;&gt; "", " ", ""),CE111,IF(OR(CE111&lt;&gt;"", CD111&lt;&gt;""), "{}",""), CC111, CG111,"{SILVER}", CF111)</f>
        <v>{BLACK}Length: {GOLD}0.7 tiles{}{SILVER}By the 90s parcels traffic was in decline on the railway, and increasingly movement focused on fixed flows between mail terminals. As a result, a number of vehicles were rebuilt with roller shutter doors for faster loading.</v>
      </c>
      <c r="CI111" s="1"/>
      <c r="CJ111" s="1"/>
    </row>
    <row r="112" s="19" customFormat="true" ht="13.8" hidden="false" customHeight="false" outlineLevel="0" collapsed="false">
      <c r="A112" s="18" t="s">
        <v>616</v>
      </c>
      <c r="B112" s="18" t="s">
        <v>617</v>
      </c>
      <c r="C112" s="1" t="n">
        <v>85</v>
      </c>
      <c r="D112" s="1"/>
      <c r="E112" s="1" t="n">
        <v>1185</v>
      </c>
      <c r="F112" s="1" t="s">
        <v>89</v>
      </c>
      <c r="G112" s="1" t="s">
        <v>528</v>
      </c>
      <c r="H112" s="1" t="s">
        <v>528</v>
      </c>
      <c r="I112" s="1" t="s">
        <v>153</v>
      </c>
      <c r="J112" s="1" t="n">
        <v>1958</v>
      </c>
      <c r="K112" s="1" t="n">
        <v>1975</v>
      </c>
      <c r="L112" s="1" t="n">
        <v>1990</v>
      </c>
      <c r="M112" s="1"/>
      <c r="N112" s="1"/>
      <c r="O112" s="2"/>
      <c r="P112" s="3"/>
      <c r="Q112" s="3"/>
      <c r="R112" s="3"/>
      <c r="S112" s="3"/>
      <c r="T112" s="3"/>
      <c r="U112" s="3"/>
      <c r="V112" s="3"/>
      <c r="W112" s="1" t="n">
        <v>21</v>
      </c>
      <c r="X112" s="2"/>
      <c r="Y112" s="1" t="n">
        <v>4</v>
      </c>
      <c r="Z112" s="1"/>
      <c r="AA112" s="4" t="str">
        <f aca="false">IF(AND(W112&gt;0,Z112&gt;0),(Z112/((W112+X112)*10)),"")</f>
        <v/>
      </c>
      <c r="AB112" s="1" t="n">
        <v>80</v>
      </c>
      <c r="AC112" s="1" t="n">
        <f aca="false">ROUND(AB112*1.6, 0)</f>
        <v>128</v>
      </c>
      <c r="AD112" s="1"/>
      <c r="AE112" s="1"/>
      <c r="AF112" s="1" t="n">
        <v>19.8</v>
      </c>
      <c r="AG112" s="1" t="n">
        <v>20</v>
      </c>
      <c r="AH112" s="1" t="n">
        <v>2.82</v>
      </c>
      <c r="AI112" s="1" t="n">
        <v>3.79</v>
      </c>
      <c r="AJ112" s="5" t="n">
        <v>12</v>
      </c>
      <c r="AK112" s="19" t="str">
        <f aca="false">CONCATENATE(VLOOKUP(AL112, 'Voxel Sizes'!$A$2:$B$18,2,FALSE()),"x",INT(AH112*15), "x", INT(AI112*15))</f>
        <v>198x42x56</v>
      </c>
      <c r="AL112" s="1" t="n">
        <f aca="false">ROUND(15*((AG112*10)/256),0)</f>
        <v>12</v>
      </c>
      <c r="AM112" s="1"/>
      <c r="AN112" s="1" t="str">
        <f aca="false">CONCATENATE(VLOOKUP(AL112,Constants!$A$2:$C$16,IF(AM112&lt;&gt;"", 3, 2), FALSE()),IF(AM112&lt;&gt;"",CONCATENATE(",",VLOOKUP(AM112,$B:$AN,38,FALSE())),""))</f>
        <v>4,4,4</v>
      </c>
      <c r="AO112" s="1"/>
      <c r="AP112" s="7"/>
      <c r="AQ112" s="7"/>
      <c r="AR112" s="1"/>
      <c r="AS112" s="1"/>
      <c r="AT112" s="1"/>
      <c r="AU112" s="1"/>
      <c r="AV112" s="1"/>
      <c r="AX112" s="1" t="n">
        <v>30</v>
      </c>
      <c r="AY112" s="6" t="n">
        <f aca="false">IF(L112&lt;&gt;"",MAX(16,(L112-J112)+8),"")</f>
        <v>40</v>
      </c>
      <c r="AZ112" s="1"/>
      <c r="BA112" s="1"/>
      <c r="BB112" s="1" t="n">
        <f aca="false">MIN(AB112/150, 1)*30</f>
        <v>16</v>
      </c>
      <c r="BC112" s="1" t="n">
        <f aca="false">MIN(N112/4000, 1)*20</f>
        <v>0</v>
      </c>
      <c r="BD112" s="1" t="n">
        <f aca="false">MIN(Z112/400,1)*20</f>
        <v>0</v>
      </c>
      <c r="BE112" s="4" t="n">
        <f aca="false">1-(MAX(J112-1900, 0)/750)</f>
        <v>0.922666666666667</v>
      </c>
      <c r="BF112" s="1" t="n">
        <f aca="false">((MAX($M112,1)*MIN($AJ112/300,1)))*IF(G112="Wagon",50,10)</f>
        <v>2</v>
      </c>
      <c r="BG112" s="1" t="n">
        <f aca="false">VLOOKUP($H112,Constants!$I:$K, 2, FALSE())</f>
        <v>1</v>
      </c>
      <c r="BH112" s="1" t="n">
        <f aca="false">VLOOKUP($H112,Constants!$I:$K, 3, FALSE())*IF(AND(G112="multiple_unit",AB112&lt;110),0.75,1)</f>
        <v>0.45</v>
      </c>
      <c r="BI112" s="1" t="n">
        <f aca="false">INT(POWER(((Constants!$G$2+$BB112+$BC112+$BD112+$BF112)*$BE112)*$BH112, 1.05))+$BA112</f>
        <v>10</v>
      </c>
      <c r="BJ112" s="1" t="n">
        <f aca="false">INT(POWER((((Constants!$G$1+$BB112+$BC112+$BD112+$BF112)*($BE112))*$BG112),IF($G112="wagon",1,1.2)))+$AZ112</f>
        <v>30</v>
      </c>
      <c r="BK112" s="20" t="n">
        <f aca="false">BI112*IF($G112="wagon",62.5,781.25)</f>
        <v>625</v>
      </c>
      <c r="BL112" s="20" t="n">
        <f aca="false">BJ112*IF($G112="wagon",2.73,81.25)</f>
        <v>81.9</v>
      </c>
      <c r="BM112" s="1"/>
      <c r="BN112" s="1"/>
      <c r="BO112" s="1"/>
      <c r="BP112" s="1"/>
      <c r="BQ112" s="1"/>
      <c r="BR112" s="1"/>
      <c r="BS112" s="1"/>
      <c r="BT112" s="1" t="n">
        <v>2</v>
      </c>
      <c r="BU112" s="1" t="n">
        <v>278</v>
      </c>
      <c r="BV112" s="1" t="s">
        <v>618</v>
      </c>
      <c r="BW112" s="1"/>
      <c r="BX112" s="1" t="s">
        <v>95</v>
      </c>
      <c r="BY112" s="1" t="str">
        <f aca="false">VLOOKUP(J112,Eras!$A$2:$C$10, 2, TRUE())</f>
        <v>dsl</v>
      </c>
      <c r="BZ112" s="18" t="s">
        <v>595</v>
      </c>
      <c r="CA112" s="1" t="str">
        <f aca="false">CONCATENATE(BY112,"_",BZ112)</f>
        <v>dsl_Carriage</v>
      </c>
      <c r="CB112" s="1" t="str">
        <f aca="false">_xlfn.CONCAT(H112, "_",I112)</f>
        <v>wagon_RAIL</v>
      </c>
      <c r="CC112" s="21" t="str">
        <f aca="false">_xlfn.CONCAT("{BLACK}Length: {GOLD}", TEXT(ROUNDUP(IF(AQ112&lt;&gt;"",SUM(VALUE(_xlfn.TEXTSPLIT(AQ112, ","))), SUM(VALUE(_xlfn.TEXTSPLIT(AN112, ",")))*IF(M112, M112, 1))/16, 1), "#,##0.0"), " tiles{}")</f>
        <v>{BLACK}Length: {GOLD}0.8 tiles{}</v>
      </c>
      <c r="CD112" s="1" t="str">
        <f aca="false">VLOOKUP($CB112, Constants!$M:$N, 2, FALSE())</f>
        <v/>
      </c>
      <c r="CE112" s="1" t="str">
        <f aca="false">IF(M112&gt;1,_xlfn.CONCAT("{BLACK}Cars: {GOLD}", M112),"")</f>
        <v/>
      </c>
      <c r="CF112" s="1" t="s">
        <v>619</v>
      </c>
      <c r="CG112" s="1" t="str">
        <f aca="false">IF(BW112="buffet","{YELLOW}25% long distance bonus for consist{}",IF(BY112="BRAKE","{YELLOW}Speed bonus for slow wagons{}",IF(BU112&gt;190,CONCATENATE("{YELLOW}",INT((BU112-185)/1.85),"% bonus for long distance travel (for passengers){}"),IF(AND(BU112&lt;180,BU112&lt;&gt;0),CONCATENATE("{YELLOW}",INT((185-BU112)/1.85),"% penalty for long distance travel{}"),""))))</f>
        <v>{YELLOW}50% bonus for long distance travel (for passengers){}</v>
      </c>
      <c r="CH112" s="1" t="str">
        <f aca="false">_xlfn.CONCAT(CD112,IF(CD112 &lt;&gt; "", " ", ""),CE112,IF(OR(CE112&lt;&gt;"", CD112&lt;&gt;""), "{}",""), CC112, CG112,"{SILVER}", CF112)</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112" s="1"/>
      <c r="XFB112" s="1"/>
      <c r="XFC112" s="4"/>
      <c r="XFD112" s="1"/>
    </row>
    <row r="113" s="19" customFormat="true" ht="13.8" hidden="false" customHeight="false" outlineLevel="0" collapsed="false">
      <c r="A113" s="18" t="s">
        <v>620</v>
      </c>
      <c r="B113" s="18" t="s">
        <v>621</v>
      </c>
      <c r="C113" s="1" t="n">
        <v>86</v>
      </c>
      <c r="D113" s="1"/>
      <c r="E113" s="1" t="n">
        <v>1186</v>
      </c>
      <c r="F113" s="1" t="s">
        <v>89</v>
      </c>
      <c r="G113" s="1" t="s">
        <v>324</v>
      </c>
      <c r="H113" s="1" t="s">
        <v>528</v>
      </c>
      <c r="I113" s="1" t="s">
        <v>153</v>
      </c>
      <c r="J113" s="1" t="n">
        <v>1964</v>
      </c>
      <c r="K113" s="1" t="n">
        <v>1985</v>
      </c>
      <c r="L113" s="1" t="n">
        <v>1990</v>
      </c>
      <c r="M113" s="1" t="n">
        <v>4</v>
      </c>
      <c r="N113" s="1"/>
      <c r="O113" s="2"/>
      <c r="P113" s="3"/>
      <c r="Q113" s="3"/>
      <c r="R113" s="3"/>
      <c r="S113" s="3"/>
      <c r="T113" s="3"/>
      <c r="U113" s="3"/>
      <c r="V113" s="3"/>
      <c r="W113" s="1" t="n">
        <v>87</v>
      </c>
      <c r="X113" s="2"/>
      <c r="Y113" s="1" t="n">
        <v>4</v>
      </c>
      <c r="Z113" s="1"/>
      <c r="AA113" s="4" t="str">
        <f aca="false">IF(AND(W113&gt;0,Z113&gt;0),(Z113/((W113+X113)*10)),"")</f>
        <v/>
      </c>
      <c r="AB113" s="1" t="n">
        <v>75</v>
      </c>
      <c r="AC113" s="1" t="n">
        <f aca="false">ROUND(AB113*1.6, 0)</f>
        <v>120</v>
      </c>
      <c r="AD113" s="1"/>
      <c r="AE113" s="1"/>
      <c r="AF113" s="1" t="n">
        <v>16.4</v>
      </c>
      <c r="AG113" s="1" t="n">
        <v>15</v>
      </c>
      <c r="AH113" s="1" t="n">
        <v>2.82</v>
      </c>
      <c r="AI113" s="1" t="n">
        <v>3.79</v>
      </c>
      <c r="AJ113" s="5" t="n">
        <v>18</v>
      </c>
      <c r="AK113" s="19" t="str">
        <f aca="false">CONCATENATE(VLOOKUP(AL113, 'Voxel Sizes'!$A$2:$B$18,2,FALSE()),"x",INT(AH113*15), "x", INT(AI113*15))</f>
        <v>152x42x56</v>
      </c>
      <c r="AL113" s="1" t="n">
        <f aca="false">ROUND(15*((AG113*10)/256),0)</f>
        <v>9</v>
      </c>
      <c r="AM113" s="1"/>
      <c r="AN113" s="1" t="str">
        <f aca="false">CONCATENATE(VLOOKUP(AL113,Constants!$A$2:$C$16,IF(AM113&lt;&gt;"", 3, 2), FALSE()),IF(AM113&lt;&gt;"",CONCATENATE(",",VLOOKUP(AM113,$B:$AN,38,FALSE())),""))</f>
        <v>2,5,2</v>
      </c>
      <c r="AO113" s="1"/>
      <c r="AP113" s="35" t="s">
        <v>622</v>
      </c>
      <c r="AQ113" s="7" t="s">
        <v>623</v>
      </c>
      <c r="AR113" s="1" t="s">
        <v>624</v>
      </c>
      <c r="AS113" s="1"/>
      <c r="AT113" s="1" t="s">
        <v>163</v>
      </c>
      <c r="AU113" s="1" t="s">
        <v>625</v>
      </c>
      <c r="AV113" s="1"/>
      <c r="AX113" s="1" t="n">
        <v>30</v>
      </c>
      <c r="AY113" s="6" t="n">
        <f aca="false">IF(L113&lt;&gt;"",MAX(16,(L113-J113)+8),"")</f>
        <v>34</v>
      </c>
      <c r="AZ113" s="1"/>
      <c r="BA113" s="1"/>
      <c r="BB113" s="1" t="n">
        <f aca="false">MIN(AB113/150, 1)*30</f>
        <v>15</v>
      </c>
      <c r="BC113" s="1" t="n">
        <f aca="false">MIN(N113/4000, 1)*20</f>
        <v>0</v>
      </c>
      <c r="BD113" s="1" t="n">
        <f aca="false">MIN(Z113/400,1)*20</f>
        <v>0</v>
      </c>
      <c r="BE113" s="4" t="n">
        <f aca="false">1-(MAX(J113-1900, 0)/750)</f>
        <v>0.914666666666667</v>
      </c>
      <c r="BF113" s="1" t="n">
        <f aca="false">((MAX($M113,1)*MIN($AJ113/300,1)))*IF(G113="Wagon",50,10)</f>
        <v>2.4</v>
      </c>
      <c r="BG113" s="1" t="n">
        <f aca="false">VLOOKUP($H113,Constants!$I:$K, 2, FALSE())</f>
        <v>1</v>
      </c>
      <c r="BH113" s="1" t="n">
        <f aca="false">VLOOKUP($H113,Constants!$I:$K, 3, FALSE())*IF(AND(G113="multiple_unit",AB113&lt;110),0.75,1)</f>
        <v>0.45</v>
      </c>
      <c r="BI113" s="1" t="n">
        <f aca="false">INT(POWER(((Constants!$G$2+$BB113+$BC113+$BD113+$BF113)*$BE113)*$BH113, 1.05))+$BA113</f>
        <v>10</v>
      </c>
      <c r="BJ113" s="1" t="n">
        <f aca="false">INT(POWER((((Constants!$G$1+$BB113+$BC113+$BD113+$BF113)*($BE113))*$BG113),IF($G113="wagon",1,1.2)))+$AZ113</f>
        <v>58</v>
      </c>
      <c r="BK113" s="20" t="n">
        <f aca="false">BI113*IF($G113="wagon",62.5,781.25)</f>
        <v>7812.5</v>
      </c>
      <c r="BL113" s="20" t="n">
        <f aca="false">BJ113*IF($G113="wagon",2.73,81.25)</f>
        <v>4712.5</v>
      </c>
      <c r="BM113" s="1"/>
      <c r="BN113" s="1"/>
      <c r="BO113" s="1"/>
      <c r="BP113" s="1"/>
      <c r="BQ113" s="1"/>
      <c r="BR113" s="1"/>
      <c r="BS113" s="1"/>
      <c r="BT113" s="1" t="n">
        <v>2</v>
      </c>
      <c r="BU113" s="1" t="n">
        <v>278</v>
      </c>
      <c r="BV113" s="1" t="s">
        <v>618</v>
      </c>
      <c r="BW113" s="1"/>
      <c r="BX113" s="1" t="s">
        <v>95</v>
      </c>
      <c r="BY113" s="1" t="str">
        <f aca="false">VLOOKUP(J113,Eras!$A$2:$C$10, 2, TRUE())</f>
        <v>dsl</v>
      </c>
      <c r="BZ113" s="18" t="s">
        <v>595</v>
      </c>
      <c r="CA113" s="1" t="str">
        <f aca="false">CONCATENATE(BY113,"_",BZ113)</f>
        <v>dsl_Carriage</v>
      </c>
      <c r="CB113" s="1" t="str">
        <f aca="false">_xlfn.CONCAT(H113, "_",I113)</f>
        <v>wagon_RAIL</v>
      </c>
      <c r="CC113" s="21" t="str">
        <f aca="false">_xlfn.CONCAT("{BLACK}Length: {GOLD}", TEXT(ROUNDUP(IF(AQ113&lt;&gt;"",SUM(VALUE(_xlfn.TEXTSPLIT(AQ113, ","))), SUM(VALUE(_xlfn.TEXTSPLIT(AN113, ",")))*IF(M113, M113, 1))/16, 1), "#,##0.0"), " tiles{}")</f>
        <v>{BLACK}Length: {GOLD}2.4 tiles{}</v>
      </c>
      <c r="CD113" s="1" t="str">
        <f aca="false">VLOOKUP($CB113, Constants!$M:$N, 2, FALSE())</f>
        <v/>
      </c>
      <c r="CE113" s="1" t="str">
        <f aca="false">IF(M113&gt;1,_xlfn.CONCAT("{BLACK}Cars: {GOLD}", M113),"")</f>
        <v>{BLACK}Cars: {GOLD}4</v>
      </c>
      <c r="CF113" s="1" t="s">
        <v>626</v>
      </c>
      <c r="CG113" s="1" t="str">
        <f aca="false">IF(BW113="buffet","{YELLOW}25% long distance bonus for consist{}",IF(BY113="BRAKE","{YELLOW}Speed bonus for slow wagons{}",IF(BU113&gt;190,CONCATENATE("{YELLOW}",INT((BU113-185)/1.85),"% bonus for long distance travel (for passengers){}"),IF(AND(BU113&lt;180,BU113&lt;&gt;0),CONCATENATE("{YELLOW}",INT((185-BU113)/1.85),"% penalty for long distance travel{}"),""))))</f>
        <v>{YELLOW}50% bonus for long distance travel (for passengers){}</v>
      </c>
      <c r="CH113" s="1" t="str">
        <f aca="false">_xlfn.CONCAT(CD113,IF(CD113 &lt;&gt; "", " ", ""),CE113,IF(OR(CE113&lt;&gt;"", CD113&lt;&gt;""), "{}",""), CC113, CG113,"{SILVER}", CF113)</f>
        <v>{BLACK}Cars: {GOLD}4{}{BLACK}Length: {GOLD}2.4 tiles{}{YELLOW}50% bonus for long distance travel (for passengers){}{SILVER}Large and articulated, the cartic 4 sets were built for motorail services and used to move new cars from factories to export.</v>
      </c>
      <c r="XFA113" s="1"/>
      <c r="XFB113" s="1"/>
      <c r="XFC113" s="4"/>
      <c r="XFD113" s="1"/>
    </row>
    <row r="114" customFormat="false" ht="13.8" hidden="false" customHeight="false" outlineLevel="0" collapsed="false">
      <c r="A114" s="18" t="s">
        <v>627</v>
      </c>
      <c r="B114" s="18" t="s">
        <v>628</v>
      </c>
      <c r="C114" s="1" t="n">
        <v>102</v>
      </c>
      <c r="E114" s="1" t="n">
        <v>1104</v>
      </c>
      <c r="F114" s="1" t="s">
        <v>89</v>
      </c>
      <c r="G114" s="1" t="s">
        <v>528</v>
      </c>
      <c r="H114" s="1" t="s">
        <v>603</v>
      </c>
      <c r="I114" s="1" t="s">
        <v>153</v>
      </c>
      <c r="J114" s="1" t="n">
        <v>1955</v>
      </c>
      <c r="K114" s="1" t="n">
        <v>1981</v>
      </c>
      <c r="L114" s="1" t="n">
        <v>1987</v>
      </c>
      <c r="W114" s="1" t="n">
        <v>33</v>
      </c>
      <c r="Y114" s="1" t="n">
        <v>4</v>
      </c>
      <c r="AA114" s="4" t="str">
        <f aca="false">IF(AND(W114&gt;0,Z114&gt;0),(Z114/((W114+X114)*10)),"")</f>
        <v/>
      </c>
      <c r="AB114" s="1" t="n">
        <v>100</v>
      </c>
      <c r="AC114" s="1" t="n">
        <f aca="false">ROUND(AB114*1.6, 0)</f>
        <v>160</v>
      </c>
      <c r="AF114" s="1" t="n">
        <v>13.8</v>
      </c>
      <c r="AG114" s="1" t="n">
        <v>14</v>
      </c>
      <c r="AH114" s="1" t="n">
        <v>2.82</v>
      </c>
      <c r="AI114" s="1" t="n">
        <v>3.79</v>
      </c>
      <c r="AJ114" s="5" t="n">
        <v>22</v>
      </c>
      <c r="AK114" s="19" t="str">
        <f aca="false">CONCATENATE(VLOOKUP(AL114, 'Voxel Sizes'!$A$2:$B$18,2,FALSE()),"x",INT(AH114*15), "x", INT(AI114*15))</f>
        <v>136x42x56</v>
      </c>
      <c r="AL114" s="1" t="n">
        <f aca="false">ROUND(15*((AG114*10)/256),0)</f>
        <v>8</v>
      </c>
      <c r="AN114" s="1" t="str">
        <f aca="false">CONCATENATE(VLOOKUP(AL114,Constants!$A$2:$C$16,IF(AM114&lt;&gt;"", 3, 2), FALSE()),IF(AM114&lt;&gt;"",CONCATENATE(",",VLOOKUP(AM114,$B:$AN,38,FALSE())),""))</f>
        <v>2,4,2</v>
      </c>
      <c r="AW114" s="19" t="s">
        <v>629</v>
      </c>
      <c r="AX114" s="1" t="n">
        <v>30</v>
      </c>
      <c r="AY114" s="6" t="n">
        <f aca="false">IF(L114&lt;&gt;"",MAX(16,(L114-J114)+8),"")</f>
        <v>40</v>
      </c>
      <c r="AZ114" s="1" t="n">
        <v>1000</v>
      </c>
      <c r="BA114" s="1" t="n">
        <v>110</v>
      </c>
      <c r="BB114" s="1" t="n">
        <f aca="false">MIN(AB114/150, 1)*30</f>
        <v>20</v>
      </c>
      <c r="BC114" s="1" t="n">
        <f aca="false">MIN(N114/4000, 1)*20</f>
        <v>0</v>
      </c>
      <c r="BD114" s="1" t="n">
        <f aca="false">MIN(Z114/400,1)*20</f>
        <v>0</v>
      </c>
      <c r="BE114" s="4" t="n">
        <f aca="false">1-(MAX(J114-1900, 0)/750)</f>
        <v>0.926666666666667</v>
      </c>
      <c r="BF114" s="1" t="n">
        <f aca="false">((MAX($M114,1)*MIN($AJ114/300,1)))*IF(G114="Wagon",50,10)</f>
        <v>3.66666666666667</v>
      </c>
      <c r="BG114" s="1" t="n">
        <f aca="false">VLOOKUP($H114,Constants!$I:$K, 2, FALSE())</f>
        <v>1.2</v>
      </c>
      <c r="BH114" s="1" t="n">
        <f aca="false">VLOOKUP($H114,Constants!$I:$K, 3, FALSE())*IF(AND(G114="multiple_unit",AB114&lt;110),0.75,1)</f>
        <v>0.6</v>
      </c>
      <c r="BI114" s="1" t="n">
        <f aca="false">INT(POWER(((Constants!$G$2+$BB114+$BC114+$BD114+$BF114)*$BE114)*$BH114, 1.05))+$BA114</f>
        <v>128</v>
      </c>
      <c r="BJ114" s="1" t="n">
        <f aca="false">INT(POWER((((Constants!$G$1+$BB114+$BC114+$BD114+$BF114)*($BE114))*$BG114),IF($G114="wagon",1,1.2)))+$AZ114</f>
        <v>1042</v>
      </c>
      <c r="BK114" s="20" t="n">
        <f aca="false">BI114*IF($G114="wagon",62.5,781.25)</f>
        <v>8000</v>
      </c>
      <c r="BL114" s="20" t="n">
        <f aca="false">BJ114*IF($G114="wagon",2.73,81.25)</f>
        <v>2844.66</v>
      </c>
      <c r="BT114" s="1" t="n">
        <v>2</v>
      </c>
      <c r="BU114" s="1" t="n">
        <v>278</v>
      </c>
      <c r="BV114" s="1" t="s">
        <v>225</v>
      </c>
      <c r="BX114" s="1" t="s">
        <v>95</v>
      </c>
      <c r="BY114" s="1" t="str">
        <f aca="false">VLOOKUP(J114,Eras!$A$2:$C$10, 2, TRUE())</f>
        <v>dsl</v>
      </c>
      <c r="BZ114" s="18" t="s">
        <v>595</v>
      </c>
      <c r="CA114" s="1" t="str">
        <f aca="false">CONCATENATE(BY114,"_",BZ114)</f>
        <v>dsl_Carriage</v>
      </c>
      <c r="CB114" s="1" t="str">
        <f aca="false">_xlfn.CONCAT(H114, "_",I114)</f>
        <v>carriage_RAIL</v>
      </c>
      <c r="CC114" s="21" t="str">
        <f aca="false">_xlfn.CONCAT("{BLACK}Length: {GOLD}", TEXT(ROUNDUP(IF(AQ114&lt;&gt;"",SUM(VALUE(_xlfn.TEXTSPLIT(AQ114, ","))), SUM(VALUE(_xlfn.TEXTSPLIT(AN114, ",")))*IF(M114, M114, 1))/16, 1), "#,##0.0"), " tiles{}")</f>
        <v>{BLACK}Length: {GOLD}0.5 tiles{}</v>
      </c>
      <c r="CD114" s="1" t="str">
        <f aca="false">VLOOKUP($CB114, Constants!$M:$N, 2, FALSE())</f>
        <v/>
      </c>
      <c r="CE114" s="1" t="str">
        <f aca="false">IF(M114&gt;1,_xlfn.CONCAT("{BLACK}Cars: {GOLD}", M114),"")</f>
        <v/>
      </c>
      <c r="CF114" s="1" t="s">
        <v>630</v>
      </c>
      <c r="CG114" s="1" t="str">
        <f aca="false">IF(BW114="buffet","{YELLOW}25% long distance bonus for consist{}",IF(BY114="BRAKE","{YELLOW}Speed bonus for slow wagons{}",IF(BU114&gt;190,CONCATENATE("{YELLOW}",INT((BU114-185)/1.85),"% bonus for long distance travel{}"),IF(AND(BU114&lt;180,BU114&lt;&gt;0),CONCATENATE("{YELLOW}",INT((185-BU114)/1.85),"% penalty for long distance travel{}"),""))))</f>
        <v>{YELLOW}50% bonus for long distance travel{}</v>
      </c>
      <c r="CH114" s="1" t="str">
        <f aca="false">_xlfn.CONCAT(CD114,IF(CD114 &lt;&gt; "", " ", ""),CE114,IF(OR(CE114&lt;&gt;"", CD114&lt;&gt;""), "{}",""), CC114, CG114,"{SILVER}", CF114)</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114" s="1"/>
      <c r="CJ114" s="1"/>
    </row>
    <row r="115" customFormat="false" ht="13.8" hidden="false" customHeight="false" outlineLevel="0" collapsed="false">
      <c r="A115" s="1" t="s">
        <v>631</v>
      </c>
      <c r="B115" s="1" t="s">
        <v>632</v>
      </c>
      <c r="C115" s="1" t="n">
        <v>103</v>
      </c>
      <c r="E115" s="1" t="n">
        <v>1105</v>
      </c>
      <c r="F115" s="1" t="s">
        <v>89</v>
      </c>
      <c r="G115" s="1" t="s">
        <v>528</v>
      </c>
      <c r="H115" s="1" t="s">
        <v>603</v>
      </c>
      <c r="I115" s="1" t="s">
        <v>153</v>
      </c>
      <c r="J115" s="1" t="n">
        <v>1975</v>
      </c>
      <c r="W115" s="1" t="n">
        <v>34</v>
      </c>
      <c r="Y115" s="1" t="n">
        <v>3</v>
      </c>
      <c r="AA115" s="4" t="str">
        <f aca="false">IF(AND(W115&gt;0,Z115&gt;0),(Z115/((W115+X115)*10)),"")</f>
        <v/>
      </c>
      <c r="AB115" s="1" t="n">
        <v>125</v>
      </c>
      <c r="AC115" s="1" t="n">
        <f aca="false">ROUND(AB115*1.6, 0)</f>
        <v>200</v>
      </c>
      <c r="AF115" s="1" t="n">
        <v>23</v>
      </c>
      <c r="AG115" s="1" t="n">
        <v>23</v>
      </c>
      <c r="AH115" s="1" t="n">
        <v>2.82</v>
      </c>
      <c r="AI115" s="1" t="n">
        <v>3.79</v>
      </c>
      <c r="AJ115" s="5" t="n">
        <v>24</v>
      </c>
      <c r="AK115" s="19" t="str">
        <f aca="false">CONCATENATE(VLOOKUP(AL115, 'Voxel Sizes'!$A$2:$B$18,2,FALSE()),"x",INT(AH115*15), "x", INT(AI115*15))</f>
        <v>214x42x56</v>
      </c>
      <c r="AL115" s="1" t="n">
        <f aca="false">ROUND(15*((AG115*10)/256),0)</f>
        <v>13</v>
      </c>
      <c r="AN115" s="1" t="str">
        <f aca="false">CONCATENATE(VLOOKUP(AL115,Constants!$A$2:$C$16,IF(AM115&lt;&gt;"", 3, 2), FALSE()),IF(AM115&lt;&gt;"",CONCATENATE(",",VLOOKUP(AM115,$B:$AN,38,FALSE())),""))</f>
        <v>4,5,4</v>
      </c>
      <c r="AW115" s="19" t="s">
        <v>633</v>
      </c>
      <c r="AX115" s="1" t="n">
        <v>30</v>
      </c>
      <c r="AY115" s="6" t="str">
        <f aca="false">IF(L115&lt;&gt;"",MAX(16,(L115-J115)+8),"")</f>
        <v/>
      </c>
      <c r="AZ115" s="1" t="n">
        <v>1150</v>
      </c>
      <c r="BA115" s="1" t="n">
        <v>150</v>
      </c>
      <c r="BB115" s="1" t="n">
        <f aca="false">MIN(AB115/150, 1)*30</f>
        <v>25</v>
      </c>
      <c r="BC115" s="1" t="n">
        <f aca="false">MIN(N115/4000, 1)*20</f>
        <v>0</v>
      </c>
      <c r="BD115" s="1" t="n">
        <f aca="false">MIN(Z115/400,1)*20</f>
        <v>0</v>
      </c>
      <c r="BE115" s="4" t="n">
        <f aca="false">1-(MAX(J115-1900, 0)/750)</f>
        <v>0.9</v>
      </c>
      <c r="BF115" s="1" t="n">
        <f aca="false">((MAX($M115,1)*MIN($AJ115/300,1)))*IF(G115="Wagon",50,10)</f>
        <v>4</v>
      </c>
      <c r="BG115" s="1" t="n">
        <f aca="false">VLOOKUP($H115,Constants!$I:$K, 2, FALSE())</f>
        <v>1.2</v>
      </c>
      <c r="BH115" s="1" t="n">
        <f aca="false">VLOOKUP($H115,Constants!$I:$K, 3, FALSE())*IF(AND(G115="multiple_unit",AB115&lt;110),0.75,1)</f>
        <v>0.6</v>
      </c>
      <c r="BI115" s="1" t="n">
        <f aca="false">INT(POWER(((Constants!$G$2+$BB115+$BC115+$BD115+$BF115)*$BE115)*$BH115, 1.05))+$BA115</f>
        <v>171</v>
      </c>
      <c r="BJ115" s="1" t="n">
        <f aca="false">INT(POWER((((Constants!$G$1+$BB115+$BC115+$BD115+$BF115)*($BE115))*$BG115),IF($G115="wagon",1,1.2)))+$AZ115</f>
        <v>1197</v>
      </c>
      <c r="BK115" s="20" t="n">
        <f aca="false">BI115*IF($G115="wagon",62.5,781.25)</f>
        <v>10687.5</v>
      </c>
      <c r="BL115" s="20" t="n">
        <f aca="false">BJ115*IF($G115="wagon",2.73,81.25)</f>
        <v>3267.81</v>
      </c>
      <c r="BT115" s="1" t="n">
        <v>2</v>
      </c>
      <c r="BU115" s="1" t="n">
        <v>278</v>
      </c>
      <c r="BV115" s="1" t="s">
        <v>225</v>
      </c>
      <c r="BX115" s="1" t="s">
        <v>95</v>
      </c>
      <c r="BY115" s="1" t="str">
        <f aca="false">VLOOKUP(J115,Eras!$A$2:$C$10, 2, TRUE())</f>
        <v>lbr</v>
      </c>
      <c r="BZ115" s="18" t="s">
        <v>595</v>
      </c>
      <c r="CA115" s="1" t="str">
        <f aca="false">CONCATENATE(BY115,"_",BZ115)</f>
        <v>lbr_Carriage</v>
      </c>
      <c r="CB115" s="1" t="str">
        <f aca="false">_xlfn.CONCAT(H115, "_",I115)</f>
        <v>carriage_RAIL</v>
      </c>
      <c r="CC115" s="21" t="str">
        <f aca="false">_xlfn.CONCAT("{BLACK}Length: {GOLD}", TEXT(ROUNDUP(IF(AQ115&lt;&gt;"",SUM(VALUE(_xlfn.TEXTSPLIT(AQ115, ","))), SUM(VALUE(_xlfn.TEXTSPLIT(AN115, ",")))*IF(M115, M115, 1))/16, 1), "#,##0.0"), " tiles{}")</f>
        <v>{BLACK}Length: {GOLD}0.9 tiles{}</v>
      </c>
      <c r="CD115" s="1" t="str">
        <f aca="false">VLOOKUP($CB115, Constants!$M:$N, 2, FALSE())</f>
        <v/>
      </c>
      <c r="CE115" s="1" t="str">
        <f aca="false">IF(M115&gt;1,_xlfn.CONCAT("{BLACK}Cars: {GOLD}", M115),"")</f>
        <v/>
      </c>
      <c r="CF115" s="1" t="s">
        <v>634</v>
      </c>
      <c r="CG115" s="1" t="str">
        <f aca="false">IF(BW115="buffet","{YELLOW}25% long distance bonus for consist{}",IF(BY115="BRAKE","{YELLOW}Speed bonus for slow wagons{}",IF(BU115&gt;190,CONCATENATE("{YELLOW}",INT((BU115-185)/1.85),"% bonus for long distance travel{}"),IF(AND(BU115&lt;180,BU115&lt;&gt;0),CONCATENATE("{YELLOW}",INT((185-BU115)/1.85),"% penalty for long distance travel{}"),""))))</f>
        <v>{YELLOW}50% bonus for long distance travel{}</v>
      </c>
      <c r="CH115" s="1" t="str">
        <f aca="false">_xlfn.CONCAT(CD115,IF(CD115 &lt;&gt; "", " ", ""),CE115,IF(OR(CE115&lt;&gt;"", CD115&lt;&gt;""), "{}",""), CC115, CG115,"{SILVER}", CF115)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115" s="1"/>
      <c r="CJ115" s="1"/>
    </row>
    <row r="116" customFormat="false" ht="13.8" hidden="false" customHeight="false" outlineLevel="0" collapsed="false">
      <c r="A116" s="1" t="s">
        <v>635</v>
      </c>
      <c r="B116" s="1" t="s">
        <v>636</v>
      </c>
      <c r="C116" s="1" t="n">
        <v>120</v>
      </c>
      <c r="D116" s="1" t="n">
        <v>121</v>
      </c>
      <c r="E116" s="1" t="n">
        <v>1108</v>
      </c>
      <c r="F116" s="1" t="s">
        <v>89</v>
      </c>
      <c r="G116" s="1" t="s">
        <v>324</v>
      </c>
      <c r="H116" s="1" t="s">
        <v>594</v>
      </c>
      <c r="I116" s="1" t="s">
        <v>153</v>
      </c>
      <c r="J116" s="1" t="n">
        <v>1997</v>
      </c>
      <c r="M116" s="1" t="n">
        <v>7</v>
      </c>
      <c r="W116" s="1" t="n">
        <v>363.4</v>
      </c>
      <c r="Y116" s="1" t="n">
        <v>3</v>
      </c>
      <c r="AA116" s="4" t="str">
        <f aca="false">IF(AND(W116&gt;0,Z116&gt;0),(Z116/((W116+X116)*10)),"")</f>
        <v/>
      </c>
      <c r="AB116" s="1" t="n">
        <v>125</v>
      </c>
      <c r="AC116" s="1" t="n">
        <f aca="false">ROUND(AB116*1.6, 0)</f>
        <v>200</v>
      </c>
      <c r="AF116" s="1" t="n">
        <v>23</v>
      </c>
      <c r="AG116" s="1" t="n">
        <v>23</v>
      </c>
      <c r="AH116" s="1" t="n">
        <v>2.82</v>
      </c>
      <c r="AI116" s="1" t="n">
        <v>3.79</v>
      </c>
      <c r="AJ116" s="5" t="n">
        <v>25</v>
      </c>
      <c r="AK116" s="19" t="str">
        <f aca="false">CONCATENATE(VLOOKUP(AL116, 'Voxel Sizes'!$A$2:$B$18,2,FALSE()),"x",INT(AH116*15), "x", INT(AI116*15))</f>
        <v>214x42x56</v>
      </c>
      <c r="AL116" s="1" t="n">
        <f aca="false">ROUND(15*((AG116*10)/256),0)</f>
        <v>13</v>
      </c>
      <c r="AN116" s="1" t="str">
        <f aca="false">CONCATENATE(VLOOKUP(AL116,Constants!$A$2:$C$16,IF(AM116&lt;&gt;"", 3, 2), FALSE()),IF(AM116&lt;&gt;"",CONCATENATE(",",VLOOKUP(AM116,$B:$AN,38,FALSE())),""))</f>
        <v>4,5,4</v>
      </c>
      <c r="AR116" s="1" t="s">
        <v>637</v>
      </c>
      <c r="AT116" s="1" t="s">
        <v>638</v>
      </c>
      <c r="AU116" s="1" t="s">
        <v>639</v>
      </c>
      <c r="AW116" s="19"/>
      <c r="AX116" s="1" t="n">
        <v>30</v>
      </c>
      <c r="AY116" s="6" t="str">
        <f aca="false">IF(L116&lt;&gt;"",MAX(16,(L116-J116)+8),"")</f>
        <v/>
      </c>
      <c r="AZ116" s="1" t="n">
        <v>170</v>
      </c>
      <c r="BA116" s="1" t="n">
        <v>80</v>
      </c>
      <c r="BB116" s="1" t="n">
        <f aca="false">MIN(AB116/150, 1)*30</f>
        <v>25</v>
      </c>
      <c r="BC116" s="1" t="n">
        <f aca="false">MIN(N116/4000, 1)*20</f>
        <v>0</v>
      </c>
      <c r="BD116" s="1" t="n">
        <f aca="false">MIN(Z116/400,1)*20</f>
        <v>0</v>
      </c>
      <c r="BE116" s="4" t="n">
        <f aca="false">1-(MAX(J116-1900, 0)/750)</f>
        <v>0.870666666666667</v>
      </c>
      <c r="BF116" s="1" t="n">
        <f aca="false">((MAX($M116,1)*MIN($AJ116/300,1)))*IF(G116="Wagon",50,10)</f>
        <v>5.83333333333333</v>
      </c>
      <c r="BG116" s="1" t="n">
        <f aca="false">VLOOKUP($H116,Constants!$I:$K, 2, FALSE())</f>
        <v>1.5</v>
      </c>
      <c r="BH116" s="1" t="n">
        <f aca="false">VLOOKUP($H116,Constants!$I:$K, 3, FALSE())*IF(AND(G116="multiple_unit",AB116&lt;110),0.75,1)</f>
        <v>0.7</v>
      </c>
      <c r="BI116" s="1" t="n">
        <f aca="false">INT(POWER(((Constants!$G$2+$BB116+$BC116+$BD116+$BF116)*$BE116)*$BH116, 1.05))+$BA116</f>
        <v>105</v>
      </c>
      <c r="BJ116" s="1" t="n">
        <f aca="false">INT(POWER((((Constants!$G$1+$BB116+$BC116+$BD116+$BF116)*($BE116))*$BG116),IF($G116="wagon",1,1.2)))+$AZ116</f>
        <v>305</v>
      </c>
      <c r="BK116" s="20" t="n">
        <f aca="false">BI116*IF($G116="wagon",62.5,781.25)</f>
        <v>82031.25</v>
      </c>
      <c r="BL116" s="20" t="n">
        <f aca="false">BJ116*IF($G116="wagon",2.73,81.25)</f>
        <v>24781.25</v>
      </c>
      <c r="BT116" s="1" t="n">
        <v>2</v>
      </c>
      <c r="BU116" s="1" t="n">
        <v>185</v>
      </c>
      <c r="BV116" s="1" t="s">
        <v>225</v>
      </c>
      <c r="BW116" s="1" t="s">
        <v>640</v>
      </c>
      <c r="BX116" s="1" t="s">
        <v>95</v>
      </c>
      <c r="BY116" s="1" t="str">
        <f aca="false">VLOOKUP(J116,Eras!$A$2:$C$10, 2, TRUE())</f>
        <v>prv</v>
      </c>
      <c r="BZ116" s="18" t="s">
        <v>595</v>
      </c>
      <c r="CA116" s="1" t="str">
        <f aca="false">CONCATENATE(BY116,"_",BZ116)</f>
        <v>prv_Carriage</v>
      </c>
      <c r="CB116" s="1" t="str">
        <f aca="false">_xlfn.CONCAT(H116, "_",I116)</f>
        <v>luxury_carriage_RAIL</v>
      </c>
      <c r="CC116" s="21" t="str">
        <f aca="false">_xlfn.CONCAT("{BLACK}Length: {GOLD}", TEXT(ROUNDUP(IF(AQ116&lt;&gt;"",SUM(VALUE(_xlfn.TEXTSPLIT(AQ116, ","))), SUM(VALUE(_xlfn.TEXTSPLIT(AN116, ",")))*IF(M116, M116, 1))/16, 1), "#,##0.0"), " tiles{}")</f>
        <v>{BLACK}Length: {GOLD}5.7 tiles{}</v>
      </c>
      <c r="CD116" s="1" t="str">
        <f aca="false">VLOOKUP($CB116, Constants!$M:$N, 2, FALSE())</f>
        <v/>
      </c>
      <c r="CE116" s="1" t="str">
        <f aca="false">IF(M116&gt;1,_xlfn.CONCAT("{BLACK}Cars: {GOLD}", M116),"")</f>
        <v>{BLACK}Cars: {GOLD}7</v>
      </c>
      <c r="CF116" s="1" t="s">
        <v>641</v>
      </c>
      <c r="CG116" s="18" t="s">
        <v>642</v>
      </c>
      <c r="CH116" s="1" t="str">
        <f aca="false">_xlfn.CONCAT(CD116,IF(CD116 &lt;&gt; "", " ", ""),CE116,IF(OR(CE116&lt;&gt;"", CD116&lt;&gt;""), "{}",""), CC116, CG116,"{SILVER}", CF116)</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116" s="1"/>
      <c r="CJ116" s="1"/>
    </row>
    <row r="117" customFormat="false" ht="13.8" hidden="false" customHeight="false" outlineLevel="0" collapsed="false">
      <c r="A117" s="1" t="s">
        <v>643</v>
      </c>
      <c r="B117" s="1" t="s">
        <v>644</v>
      </c>
      <c r="C117" s="1" t="n">
        <v>121</v>
      </c>
      <c r="E117" s="1" t="n">
        <v>1109</v>
      </c>
      <c r="F117" s="1" t="s">
        <v>89</v>
      </c>
      <c r="G117" s="1" t="s">
        <v>324</v>
      </c>
      <c r="H117" s="1" t="s">
        <v>594</v>
      </c>
      <c r="I117" s="1" t="s">
        <v>153</v>
      </c>
      <c r="J117" s="1" t="n">
        <v>1997</v>
      </c>
      <c r="M117" s="1" t="n">
        <v>8</v>
      </c>
      <c r="W117" s="1" t="n">
        <v>419.8</v>
      </c>
      <c r="Y117" s="1" t="n">
        <v>3</v>
      </c>
      <c r="AA117" s="4" t="str">
        <f aca="false">IF(AND(W117&gt;0,Z117&gt;0),(Z117/((W117+X117)*10)),"")</f>
        <v/>
      </c>
      <c r="AB117" s="1" t="n">
        <v>125</v>
      </c>
      <c r="AC117" s="1" t="n">
        <f aca="false">ROUND(AB117*1.6, 0)</f>
        <v>200</v>
      </c>
      <c r="AF117" s="1" t="n">
        <v>23</v>
      </c>
      <c r="AG117" s="1" t="n">
        <v>23</v>
      </c>
      <c r="AH117" s="1" t="n">
        <v>2.82</v>
      </c>
      <c r="AI117" s="1" t="n">
        <v>3.79</v>
      </c>
      <c r="AJ117" s="5" t="n">
        <v>25</v>
      </c>
      <c r="AK117" s="19" t="str">
        <f aca="false">CONCATENATE(VLOOKUP(AL117, 'Voxel Sizes'!$A$2:$B$18,2,FALSE()),"x",INT(AH117*15), "x", INT(AI117*15))</f>
        <v>214x42x56</v>
      </c>
      <c r="AL117" s="1" t="n">
        <f aca="false">ROUND(15*((AG117*10)/256),0)</f>
        <v>13</v>
      </c>
      <c r="AN117" s="1" t="str">
        <f aca="false">CONCATENATE(VLOOKUP(AL117,Constants!$A$2:$C$16,IF(AM117&lt;&gt;"", 3, 2), FALSE()),IF(AM117&lt;&gt;"",CONCATENATE(",",VLOOKUP(AM117,$B:$AN,38,FALSE())),""))</f>
        <v>4,5,4</v>
      </c>
      <c r="AR117" s="18" t="s">
        <v>645</v>
      </c>
      <c r="AT117" s="1" t="s">
        <v>209</v>
      </c>
      <c r="AU117" s="1" t="s">
        <v>639</v>
      </c>
      <c r="AW117" s="19"/>
      <c r="AX117" s="1" t="n">
        <v>30</v>
      </c>
      <c r="AY117" s="6" t="str">
        <f aca="false">IF(L117&lt;&gt;"",MAX(16,(L117-J117)+8),"")</f>
        <v/>
      </c>
      <c r="AZ117" s="1" t="n">
        <v>180</v>
      </c>
      <c r="BA117" s="1" t="n">
        <v>90</v>
      </c>
      <c r="BB117" s="1" t="n">
        <f aca="false">MIN(AB117/150, 1)*30</f>
        <v>25</v>
      </c>
      <c r="BC117" s="1" t="n">
        <f aca="false">MIN(N117/4000, 1)*20</f>
        <v>0</v>
      </c>
      <c r="BD117" s="1" t="n">
        <f aca="false">MIN(Z117/400,1)*20</f>
        <v>0</v>
      </c>
      <c r="BE117" s="4" t="n">
        <f aca="false">1-(MAX(J117-1900, 0)/750)</f>
        <v>0.870666666666667</v>
      </c>
      <c r="BF117" s="1" t="n">
        <f aca="false">((MAX($M117,1)*MIN($AJ117/300,1)))*IF(G117="Wagon",50,10)</f>
        <v>6.66666666666667</v>
      </c>
      <c r="BG117" s="1" t="n">
        <f aca="false">VLOOKUP($H117,Constants!$I:$K, 2, FALSE())</f>
        <v>1.5</v>
      </c>
      <c r="BH117" s="1" t="n">
        <f aca="false">VLOOKUP($H117,Constants!$I:$K, 3, FALSE())*IF(AND(G117="multiple_unit",AB117&lt;110),0.75,1)</f>
        <v>0.7</v>
      </c>
      <c r="BI117" s="1" t="n">
        <f aca="false">INT(POWER(((Constants!$G$2+$BB117+$BC117+$BD117+$BF117)*$BE117)*$BH117, 1.05))+$BA117</f>
        <v>116</v>
      </c>
      <c r="BJ117" s="1" t="n">
        <f aca="false">INT(POWER((((Constants!$G$1+$BB117+$BC117+$BD117+$BF117)*($BE117))*$BG117),IF($G117="wagon",1,1.2)))+$AZ117</f>
        <v>318</v>
      </c>
      <c r="BK117" s="20" t="n">
        <f aca="false">BI117*IF($G117="wagon",62.5,781.25)</f>
        <v>90625</v>
      </c>
      <c r="BL117" s="20" t="n">
        <f aca="false">BJ117*IF($G117="wagon",2.73,81.25)</f>
        <v>25837.5</v>
      </c>
      <c r="BT117" s="1" t="n">
        <v>2</v>
      </c>
      <c r="BU117" s="1" t="n">
        <v>185</v>
      </c>
      <c r="BV117" s="1" t="s">
        <v>225</v>
      </c>
      <c r="BW117" s="1" t="s">
        <v>640</v>
      </c>
      <c r="BX117" s="1" t="s">
        <v>95</v>
      </c>
      <c r="BY117" s="1" t="str">
        <f aca="false">VLOOKUP(J117,Eras!$A$2:$C$10, 2, TRUE())</f>
        <v>prv</v>
      </c>
      <c r="BZ117" s="18" t="s">
        <v>595</v>
      </c>
      <c r="CA117" s="1" t="str">
        <f aca="false">CONCATENATE(BY117,"_",BZ117)</f>
        <v>prv_Carriage</v>
      </c>
      <c r="CB117" s="1" t="str">
        <f aca="false">_xlfn.CONCAT(H117, "_",I117)</f>
        <v>luxury_carriage_RAIL</v>
      </c>
      <c r="CC117" s="21" t="str">
        <f aca="false">_xlfn.CONCAT("{BLACK}Length: {GOLD}", TEXT(ROUNDUP(IF(AQ117&lt;&gt;"",SUM(VALUE(_xlfn.TEXTSPLIT(AQ117, ","))), SUM(VALUE(_xlfn.TEXTSPLIT(AN117, ",")))*IF(M117, M117, 1))/16, 1), "#,##0.0"), " tiles{}")</f>
        <v>{BLACK}Length: {GOLD}6.5 tiles{}</v>
      </c>
      <c r="CD117" s="1" t="str">
        <f aca="false">VLOOKUP($CB117, Constants!$M:$N, 2, FALSE())</f>
        <v/>
      </c>
      <c r="CE117" s="1" t="str">
        <f aca="false">IF(M117&gt;1,_xlfn.CONCAT("{BLACK}Cars: {GOLD}", M117),"")</f>
        <v>{BLACK}Cars: {GOLD}8</v>
      </c>
      <c r="CF117" s="1" t="s">
        <v>646</v>
      </c>
      <c r="CG117" s="18" t="s">
        <v>642</v>
      </c>
      <c r="CH117" s="1" t="str">
        <f aca="false">_xlfn.CONCAT(CD117,IF(CD117 &lt;&gt; "", " ", ""),CE117,IF(OR(CE117&lt;&gt;"", CD117&lt;&gt;""), "{}",""), CC117, CG117,"{SILVER}", CF117)</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117" s="1"/>
      <c r="CJ117" s="1"/>
    </row>
    <row r="118" customFormat="false" ht="13.8" hidden="false" customHeight="false" outlineLevel="0" collapsed="false">
      <c r="A118" s="1" t="s">
        <v>647</v>
      </c>
      <c r="B118" s="1" t="s">
        <v>648</v>
      </c>
      <c r="C118" s="1" t="n">
        <v>122</v>
      </c>
      <c r="D118" s="1" t="n">
        <v>121</v>
      </c>
      <c r="E118" s="1" t="n">
        <v>1110</v>
      </c>
      <c r="F118" s="1" t="s">
        <v>89</v>
      </c>
      <c r="G118" s="1" t="s">
        <v>528</v>
      </c>
      <c r="H118" s="1" t="s">
        <v>649</v>
      </c>
      <c r="I118" s="1" t="s">
        <v>153</v>
      </c>
      <c r="J118" s="1" t="n">
        <v>1997</v>
      </c>
      <c r="W118" s="1" t="n">
        <v>46.1</v>
      </c>
      <c r="Y118" s="1" t="n">
        <v>3</v>
      </c>
      <c r="AA118" s="4" t="str">
        <f aca="false">IF(AND(W118&gt;0,Z118&gt;0),(Z118/((W118+X118)*10)),"")</f>
        <v/>
      </c>
      <c r="AB118" s="1" t="n">
        <v>125</v>
      </c>
      <c r="AC118" s="1" t="n">
        <f aca="false">ROUND(AB118*1.6, 0)</f>
        <v>200</v>
      </c>
      <c r="AF118" s="1" t="n">
        <v>23</v>
      </c>
      <c r="AG118" s="1" t="n">
        <v>23</v>
      </c>
      <c r="AH118" s="1" t="n">
        <v>2.82</v>
      </c>
      <c r="AI118" s="1" t="n">
        <v>3.79</v>
      </c>
      <c r="AJ118" s="5" t="n">
        <v>0</v>
      </c>
      <c r="AK118" s="19" t="str">
        <f aca="false">CONCATENATE(VLOOKUP(AL118, 'Voxel Sizes'!$A$2:$B$18,2,FALSE()),"x",INT(AH118*15), "x", INT(AI118*15))</f>
        <v>214x42x56</v>
      </c>
      <c r="AL118" s="1" t="n">
        <f aca="false">ROUND(15*((AG118*10)/256),0)</f>
        <v>13</v>
      </c>
      <c r="AN118" s="1" t="str">
        <f aca="false">CONCATENATE(VLOOKUP(AL118,Constants!$A$2:$C$16,IF(AM118&lt;&gt;"", 3, 2), FALSE()),IF(AM118&lt;&gt;"",CONCATENATE(",",VLOOKUP(AM118,$B:$AN,38,FALSE())),""))</f>
        <v>4,5,4</v>
      </c>
      <c r="AW118" s="19"/>
      <c r="AX118" s="1" t="n">
        <v>30</v>
      </c>
      <c r="AY118" s="6" t="str">
        <f aca="false">IF(L118&lt;&gt;"",MAX(16,(L118-J118)+8),"")</f>
        <v/>
      </c>
      <c r="AZ118" s="1" t="n">
        <v>1250</v>
      </c>
      <c r="BA118" s="1" t="n">
        <v>150</v>
      </c>
      <c r="BB118" s="1" t="n">
        <f aca="false">MIN(AB118/150, 1)*30</f>
        <v>25</v>
      </c>
      <c r="BC118" s="1" t="n">
        <f aca="false">MIN(N118/4000, 1)*20</f>
        <v>0</v>
      </c>
      <c r="BD118" s="1" t="n">
        <f aca="false">MIN(Z118/400,1)*20</f>
        <v>0</v>
      </c>
      <c r="BE118" s="4" t="n">
        <f aca="false">1-(MAX(J118-1900, 0)/750)</f>
        <v>0.870666666666667</v>
      </c>
      <c r="BF118" s="1" t="n">
        <f aca="false">((MAX($M118,1)*MIN($AJ118/300,1)))*IF(G118="Wagon",50,10)</f>
        <v>0</v>
      </c>
      <c r="BG118" s="1" t="n">
        <f aca="false">VLOOKUP($H118,Constants!$I:$K, 2, FALSE())</f>
        <v>1</v>
      </c>
      <c r="BH118" s="1" t="n">
        <f aca="false">VLOOKUP($H118,Constants!$I:$K, 3, FALSE())*IF(AND(G118="multiple_unit",AB118&lt;110),0.75,1)</f>
        <v>2</v>
      </c>
      <c r="BI118" s="1" t="n">
        <f aca="false">INT(POWER(((Constants!$G$2+$BB118+$BC118+$BD118+$BF118)*$BE118)*$BH118, 1.05))+$BA118</f>
        <v>213</v>
      </c>
      <c r="BJ118" s="1" t="n">
        <f aca="false">INT(POWER((((Constants!$G$1+$BB118+$BC118+$BD118+$BF118)*($BE118))*$BG118),IF($G118="wagon",1,1.2)))+$AZ118</f>
        <v>1284</v>
      </c>
      <c r="BK118" s="20" t="n">
        <f aca="false">BI118*IF($G118="wagon",62.5,781.25)</f>
        <v>13312.5</v>
      </c>
      <c r="BL118" s="20" t="n">
        <f aca="false">BJ118*IF($G118="wagon",2.73,81.25)</f>
        <v>3505.32</v>
      </c>
      <c r="BT118" s="1" t="n">
        <v>2</v>
      </c>
      <c r="BU118" s="1" t="n">
        <v>185</v>
      </c>
      <c r="BV118" s="1" t="s">
        <v>225</v>
      </c>
      <c r="BW118" s="1" t="s">
        <v>649</v>
      </c>
      <c r="BX118" s="1" t="s">
        <v>95</v>
      </c>
      <c r="BY118" s="1" t="str">
        <f aca="false">VLOOKUP(J118,Eras!$A$2:$C$10, 2, TRUE())</f>
        <v>prv</v>
      </c>
      <c r="BZ118" s="18" t="s">
        <v>595</v>
      </c>
      <c r="CA118" s="1" t="str">
        <f aca="false">CONCATENATE(BY118,"_",BZ118)</f>
        <v>prv_Carriage</v>
      </c>
      <c r="CB118" s="1" t="str">
        <f aca="false">_xlfn.CONCAT(H118, "_",I118)</f>
        <v>generator_car_RAIL</v>
      </c>
      <c r="CC118" s="21" t="str">
        <f aca="false">_xlfn.CONCAT("{BLACK}Length: {GOLD}", TEXT(ROUNDUP(IF(AQ118&lt;&gt;"",SUM(VALUE(_xlfn.TEXTSPLIT(AQ118, ","))), SUM(VALUE(_xlfn.TEXTSPLIT(AN118, ",")))*IF(M118, M118, 1))/16, 1), "#,##0.0"), " tiles{}")</f>
        <v>{BLACK}Length: {GOLD}0.9 tiles{}</v>
      </c>
      <c r="CD118" s="1" t="str">
        <f aca="false">VLOOKUP($CB118, Constants!$M:$N, 2, FALSE())</f>
        <v>{BLACK}Powered by: {GOLD}Diesel</v>
      </c>
      <c r="CE118" s="1" t="str">
        <f aca="false">IF(M118&gt;1,_xlfn.CONCAT("{BLACK}Cars: {GOLD}", M118),"")</f>
        <v/>
      </c>
      <c r="CF118" s="1" t="s">
        <v>650</v>
      </c>
      <c r="CG118" s="1" t="str">
        <f aca="false">IF(BW118="buffet","{YELLOW}25% long distance bonus for consist{}",IF(BY118="BRAKE","{YELLOW}Speed bonus for slow wagons{}",IF(BU118&gt;190,CONCATENATE("{YELLOW}",INT((BU118-185)/1.85),"% bonus for long distance travel{}"),IF(AND(BU118&lt;180,BU118&lt;&gt;0),CONCATENATE("{YELLOW}",INT((185-BU118)/1.85),"% penalty for long distance travel{}"),""))))</f>
        <v/>
      </c>
      <c r="CH118" s="1" t="str">
        <f aca="false">_xlfn.CONCAT(CD118,IF(CD118 &lt;&gt; "", " ", ""),CE118,IF(OR(CE118&lt;&gt;"", CD118&lt;&gt;""), "{}",""), CC118, CG118,"{SILVER}", CF118)</f>
        <v>{BLACK}Powered by: {GOLD}Diesel {}{BLACK}Length: {GOLD}0.9 tiles{}{SILVER}The Nightstar rolling stock was so power-hungry that a number of Mk3 Sleepers were converted with 450 kVA generator sets for use when away from electrified areas.</v>
      </c>
      <c r="CI118" s="1"/>
      <c r="CJ118" s="1"/>
    </row>
    <row r="119" customFormat="false" ht="13.8" hidden="false" customHeight="false" outlineLevel="0" collapsed="false">
      <c r="A119" s="1" t="s">
        <v>651</v>
      </c>
      <c r="B119" s="1" t="s">
        <v>652</v>
      </c>
      <c r="C119" s="1" t="n">
        <v>123</v>
      </c>
      <c r="D119" s="1" t="n">
        <v>121</v>
      </c>
      <c r="E119" s="1" t="n">
        <v>1111</v>
      </c>
      <c r="F119" s="1" t="s">
        <v>89</v>
      </c>
      <c r="G119" s="1" t="s">
        <v>528</v>
      </c>
      <c r="H119" s="1" t="s">
        <v>649</v>
      </c>
      <c r="I119" s="1" t="s">
        <v>153</v>
      </c>
      <c r="J119" s="1" t="n">
        <v>1997</v>
      </c>
      <c r="W119" s="1" t="n">
        <v>46.1</v>
      </c>
      <c r="Y119" s="1" t="n">
        <v>3</v>
      </c>
      <c r="AA119" s="4" t="str">
        <f aca="false">IF(AND(W119&gt;0,Z119&gt;0),(Z119/((W119+X119)*10)),"")</f>
        <v/>
      </c>
      <c r="AB119" s="1" t="n">
        <v>125</v>
      </c>
      <c r="AC119" s="1" t="n">
        <f aca="false">ROUND(AB119*1.6, 0)</f>
        <v>200</v>
      </c>
      <c r="AF119" s="1" t="n">
        <v>23</v>
      </c>
      <c r="AG119" s="1" t="n">
        <v>23</v>
      </c>
      <c r="AH119" s="1" t="n">
        <v>2.82</v>
      </c>
      <c r="AI119" s="1" t="n">
        <v>3.79</v>
      </c>
      <c r="AJ119" s="5" t="n">
        <v>0</v>
      </c>
      <c r="AK119" s="19" t="str">
        <f aca="false">CONCATENATE(VLOOKUP(AL119, 'Voxel Sizes'!$A$2:$B$18,2,FALSE()),"x",INT(AH119*15), "x", INT(AI119*15))</f>
        <v>214x42x56</v>
      </c>
      <c r="AL119" s="1" t="n">
        <f aca="false">ROUND(15*((AG119*10)/256),0)</f>
        <v>13</v>
      </c>
      <c r="AN119" s="1" t="str">
        <f aca="false">CONCATENATE(VLOOKUP(AL119,Constants!$A$2:$C$16,IF(AM119&lt;&gt;"", 3, 2), FALSE()),IF(AM119&lt;&gt;"",CONCATENATE(",",VLOOKUP(AM119,$B:$AN,38,FALSE())),""))</f>
        <v>4,5,4</v>
      </c>
      <c r="AW119" s="19"/>
      <c r="AX119" s="1" t="n">
        <v>30</v>
      </c>
      <c r="AY119" s="6" t="str">
        <f aca="false">IF(L119&lt;&gt;"",MAX(16,(L119-J119)+8),"")</f>
        <v/>
      </c>
      <c r="AZ119" s="1" t="n">
        <v>1250</v>
      </c>
      <c r="BA119" s="1" t="n">
        <v>150</v>
      </c>
      <c r="BB119" s="1" t="n">
        <f aca="false">MIN(AB119/150, 1)*30</f>
        <v>25</v>
      </c>
      <c r="BC119" s="1" t="n">
        <f aca="false">MIN(N119/4000, 1)*20</f>
        <v>0</v>
      </c>
      <c r="BD119" s="1" t="n">
        <f aca="false">MIN(Z119/400,1)*20</f>
        <v>0</v>
      </c>
      <c r="BE119" s="4" t="n">
        <f aca="false">1-(MAX(J119-1900, 0)/750)</f>
        <v>0.870666666666667</v>
      </c>
      <c r="BF119" s="1" t="n">
        <f aca="false">((MAX($M119,1)*MIN($AJ119/300,1)))*IF(G119="Wagon",50,10)</f>
        <v>0</v>
      </c>
      <c r="BG119" s="1" t="n">
        <f aca="false">VLOOKUP($H119,Constants!$I:$K, 2, FALSE())</f>
        <v>1</v>
      </c>
      <c r="BH119" s="1" t="n">
        <f aca="false">VLOOKUP($H119,Constants!$I:$K, 3, FALSE())*IF(AND(G119="multiple_unit",AB119&lt;110),0.75,1)</f>
        <v>2</v>
      </c>
      <c r="BI119" s="1" t="n">
        <f aca="false">INT(POWER(((Constants!$G$2+$BB119+$BC119+$BD119+$BF119)*$BE119)*$BH119, 1.05))+$BA119</f>
        <v>213</v>
      </c>
      <c r="BJ119" s="1" t="n">
        <f aca="false">INT(POWER((((Constants!$G$1+$BB119+$BC119+$BD119+$BF119)*($BE119))*$BG119),IF($G119="wagon",1,1.2)))+$AZ119</f>
        <v>1284</v>
      </c>
      <c r="BK119" s="20" t="n">
        <f aca="false">BI119*IF($G119="wagon",62.5,781.25)</f>
        <v>13312.5</v>
      </c>
      <c r="BL119" s="20" t="n">
        <f aca="false">BJ119*IF($G119="wagon",2.73,81.25)</f>
        <v>3505.32</v>
      </c>
      <c r="BT119" s="1" t="n">
        <v>2</v>
      </c>
      <c r="BU119" s="1" t="n">
        <v>185</v>
      </c>
      <c r="BV119" s="1" t="s">
        <v>225</v>
      </c>
      <c r="BW119" s="1" t="s">
        <v>649</v>
      </c>
      <c r="BX119" s="1" t="s">
        <v>95</v>
      </c>
      <c r="BY119" s="1" t="str">
        <f aca="false">VLOOKUP(J119,Eras!$A$2:$C$10, 2, TRUE())</f>
        <v>prv</v>
      </c>
      <c r="BZ119" s="18" t="s">
        <v>595</v>
      </c>
      <c r="CA119" s="1" t="str">
        <f aca="false">CONCATENATE(BY119,"_",BZ119)</f>
        <v>prv_Carriage</v>
      </c>
      <c r="CB119" s="1" t="str">
        <f aca="false">_xlfn.CONCAT(H119, "_",I119)</f>
        <v>generator_car_RAIL</v>
      </c>
      <c r="CC119" s="21" t="str">
        <f aca="false">_xlfn.CONCAT("{BLACK}Length: {GOLD}", TEXT(ROUNDUP(IF(AQ119&lt;&gt;"",SUM(VALUE(_xlfn.TEXTSPLIT(AQ119, ","))), SUM(VALUE(_xlfn.TEXTSPLIT(AN119, ",")))*IF(M119, M119, 1))/16, 1), "#,##0.0"), " tiles{}")</f>
        <v>{BLACK}Length: {GOLD}0.9 tiles{}</v>
      </c>
      <c r="CD119" s="1" t="str">
        <f aca="false">VLOOKUP($CB119, Constants!$M:$N, 2, FALSE())</f>
        <v>{BLACK}Powered by: {GOLD}Diesel</v>
      </c>
      <c r="CE119" s="1" t="str">
        <f aca="false">IF(M119&gt;1,_xlfn.CONCAT("{BLACK}Cars: {GOLD}", M119),"")</f>
        <v/>
      </c>
      <c r="CF119" s="1" t="s">
        <v>650</v>
      </c>
      <c r="CG119" s="1" t="str">
        <f aca="false">IF(BW119="buffet","{YELLOW}25% long distance bonus for consist{}",IF(BY119="BRAKE","{YELLOW}Speed bonus for slow wagons{}",IF(BU119&gt;190,CONCATENATE("{YELLOW}",INT((BU119-185)/1.85),"% bonus for long distance travel{}"),IF(AND(BU119&lt;180,BU119&lt;&gt;0),CONCATENATE("{YELLOW}",INT((185-BU119)/1.85),"% penalty for long distance travel{}"),""))))</f>
        <v/>
      </c>
      <c r="CH119" s="1" t="str">
        <f aca="false">_xlfn.CONCAT(CD119,IF(CD119 &lt;&gt; "", " ", ""),CE119,IF(OR(CE119&lt;&gt;"", CD119&lt;&gt;""), "{}",""), CC119, CG119,"{SILVER}", CF119)</f>
        <v>{BLACK}Powered by: {GOLD}Diesel {}{BLACK}Length: {GOLD}0.9 tiles{}{SILVER}The Nightstar rolling stock was so power-hungry that a number of Mk3 Sleepers were converted with 450 kVA generator sets for use when away from electrified areas.</v>
      </c>
      <c r="CI119" s="1"/>
      <c r="CJ119" s="1"/>
    </row>
    <row r="120" customFormat="false" ht="13.8" hidden="false" customHeight="false" outlineLevel="0" collapsed="false">
      <c r="A120" s="1" t="s">
        <v>653</v>
      </c>
      <c r="B120" s="1" t="s">
        <v>654</v>
      </c>
      <c r="C120" s="1" t="n">
        <v>105</v>
      </c>
      <c r="E120" s="1" t="n">
        <v>1112</v>
      </c>
      <c r="F120" s="1" t="s">
        <v>89</v>
      </c>
      <c r="G120" s="1" t="s">
        <v>528</v>
      </c>
      <c r="H120" s="1" t="s">
        <v>603</v>
      </c>
      <c r="I120" s="1" t="s">
        <v>153</v>
      </c>
      <c r="J120" s="1" t="n">
        <v>2018</v>
      </c>
      <c r="W120" s="1" t="n">
        <v>43</v>
      </c>
      <c r="Y120" s="1" t="n">
        <v>3</v>
      </c>
      <c r="AA120" s="4" t="str">
        <f aca="false">IF(AND(W120&gt;0,Z120&gt;0),(Z120/((W120+X120)*10)),"")</f>
        <v/>
      </c>
      <c r="AB120" s="1" t="n">
        <v>125</v>
      </c>
      <c r="AC120" s="1" t="n">
        <f aca="false">ROUND(AB120*1.6, 0)</f>
        <v>200</v>
      </c>
      <c r="AF120" s="1" t="n">
        <v>22.2</v>
      </c>
      <c r="AG120" s="1" t="n">
        <v>22</v>
      </c>
      <c r="AH120" s="1" t="n">
        <v>2.75</v>
      </c>
      <c r="AI120" s="1" t="n">
        <v>3.79</v>
      </c>
      <c r="AJ120" s="5" t="n">
        <v>10</v>
      </c>
      <c r="AK120" s="19" t="str">
        <f aca="false">CONCATENATE(VLOOKUP(AL120, 'Voxel Sizes'!$A$2:$B$18,2,FALSE()),"x",INT(AH120*15), "x", INT(AI120*15))</f>
        <v>214x41x56</v>
      </c>
      <c r="AL120" s="1" t="n">
        <f aca="false">ROUND(15*((AG120*10)/256),0)</f>
        <v>13</v>
      </c>
      <c r="AN120" s="1" t="str">
        <f aca="false">CONCATENATE(VLOOKUP(AL120,Constants!$A$2:$C$16,IF(AM120&lt;&gt;"", 3, 2), FALSE()),IF(AM120&lt;&gt;"",CONCATENATE(",",VLOOKUP(AM120,$B:$AN,38,FALSE())),""))</f>
        <v>4,5,4</v>
      </c>
      <c r="AW120" s="19" t="s">
        <v>655</v>
      </c>
      <c r="AX120" s="1" t="n">
        <v>30</v>
      </c>
      <c r="AY120" s="6" t="str">
        <f aca="false">IF(L120&lt;&gt;"",MAX(16,(L120-J120)+8),"")</f>
        <v/>
      </c>
      <c r="AZ120" s="1" t="n">
        <v>1150</v>
      </c>
      <c r="BA120" s="1" t="n">
        <v>150</v>
      </c>
      <c r="BB120" s="1" t="n">
        <f aca="false">MIN(AB120/150, 1)*30</f>
        <v>25</v>
      </c>
      <c r="BC120" s="1" t="n">
        <f aca="false">MIN(N120/4000, 1)*20</f>
        <v>0</v>
      </c>
      <c r="BD120" s="1" t="n">
        <f aca="false">MIN(Z120/400,1)*20</f>
        <v>0</v>
      </c>
      <c r="BE120" s="4" t="n">
        <f aca="false">1-(MAX(J120-1900, 0)/750)</f>
        <v>0.842666666666667</v>
      </c>
      <c r="BF120" s="1" t="n">
        <f aca="false">((MAX($M120,1)*MIN($AJ120/300,1)))*IF(G120="Wagon",50,10)</f>
        <v>1.66666666666667</v>
      </c>
      <c r="BG120" s="1" t="n">
        <f aca="false">VLOOKUP($H120,Constants!$I:$K, 2, FALSE())</f>
        <v>1.2</v>
      </c>
      <c r="BH120" s="1" t="n">
        <f aca="false">VLOOKUP($H120,Constants!$I:$K, 3, FALSE())*IF(AND(G120="multiple_unit",AB120&lt;110),0.75,1)</f>
        <v>0.6</v>
      </c>
      <c r="BI120" s="1" t="n">
        <f aca="false">INT(POWER(((Constants!$G$2+$BB120+$BC120+$BD120+$BF120)*$BE120)*$BH120, 1.05))+$BA120</f>
        <v>168</v>
      </c>
      <c r="BJ120" s="1" t="n">
        <f aca="false">INT(POWER((((Constants!$G$1+$BB120+$BC120+$BD120+$BF120)*($BE120))*$BG120),IF($G120="wagon",1,1.2)))+$AZ120</f>
        <v>1192</v>
      </c>
      <c r="BK120" s="20" t="n">
        <f aca="false">BI120*IF($G120="wagon",62.5,781.25)</f>
        <v>10500</v>
      </c>
      <c r="BL120" s="20" t="n">
        <f aca="false">BJ120*IF($G120="wagon",2.73,81.25)</f>
        <v>3254.16</v>
      </c>
      <c r="BT120" s="1" t="n">
        <v>2</v>
      </c>
      <c r="BU120" s="1" t="n">
        <v>278</v>
      </c>
      <c r="BV120" s="1" t="s">
        <v>225</v>
      </c>
      <c r="BX120" s="1" t="s">
        <v>95</v>
      </c>
      <c r="BY120" s="1" t="str">
        <f aca="false">VLOOKUP(J120,Eras!$A$2:$C$10, 2, TRUE())</f>
        <v>mod</v>
      </c>
      <c r="BZ120" s="18" t="s">
        <v>595</v>
      </c>
      <c r="CA120" s="1" t="str">
        <f aca="false">CONCATENATE(BY120,"_",BZ120)</f>
        <v>mod_Carriage</v>
      </c>
      <c r="CB120" s="1" t="str">
        <f aca="false">_xlfn.CONCAT(H120, "_",I120)</f>
        <v>carriage_RAIL</v>
      </c>
      <c r="CC120" s="21" t="str">
        <f aca="false">_xlfn.CONCAT("{BLACK}Length: {GOLD}", TEXT(ROUNDUP(IF(AQ120&lt;&gt;"",SUM(VALUE(_xlfn.TEXTSPLIT(AQ120, ","))), SUM(VALUE(_xlfn.TEXTSPLIT(AN120, ",")))*IF(M120, M120, 1))/16, 1), "#,##0.0"), " tiles{}")</f>
        <v>{BLACK}Length: {GOLD}0.9 tiles{}</v>
      </c>
      <c r="CD120" s="1" t="str">
        <f aca="false">VLOOKUP($CB120, Constants!$M:$N, 2, FALSE())</f>
        <v/>
      </c>
      <c r="CE120" s="1" t="str">
        <f aca="false">IF(M120&gt;1,_xlfn.CONCAT("{BLACK}Cars: {GOLD}", M120),"")</f>
        <v/>
      </c>
      <c r="CF120" s="1" t="s">
        <v>656</v>
      </c>
      <c r="CG120" s="1" t="str">
        <f aca="false">IF(BW120="buffet","{YELLOW}25% long distance bonus for consist{}",IF(BY120="BRAKE","{YELLOW}Speed bonus for slow wagons{}",IF(BU120&gt;190,CONCATENATE("{YELLOW}",INT((BU120-185)/1.85),"% bonus for long distance travel{}"),IF(AND(BU120&lt;180,BU120&lt;&gt;0),CONCATENATE("{YELLOW}",INT((185-BU120)/1.85),"% penalty for long distance travel{}"),""))))</f>
        <v>{YELLOW}50% bonus for long distance travel{}</v>
      </c>
      <c r="CH120" s="1" t="str">
        <f aca="false">_xlfn.CONCAT(CD120,IF(CD120 &lt;&gt; "", " ", ""),CE120,IF(OR(CE120&lt;&gt;"", CD120&lt;&gt;""), "{}",""), CC120, CG120,"{SILVER}", CF120)</f>
        <v>{BLACK}Length: {GOLD}0.9 tiles{}{YELLOW}50% bonus for long distance travel{}{SILVER}The Mk5 sleeper trains were procured to replace Mk3 sleepers. With the end of double berths, these trains have an even lower capacity than what they replaced!</v>
      </c>
      <c r="CI120" s="1"/>
      <c r="CJ120" s="1"/>
    </row>
    <row r="121" customFormat="false" ht="13.8" hidden="false" customHeight="false" outlineLevel="0" collapsed="false">
      <c r="A121" s="1" t="s">
        <v>657</v>
      </c>
      <c r="B121" s="1" t="s">
        <v>658</v>
      </c>
      <c r="C121" s="1" t="n">
        <v>106</v>
      </c>
      <c r="D121" s="1" t="n">
        <v>105</v>
      </c>
      <c r="E121" s="1" t="n">
        <v>1113</v>
      </c>
      <c r="F121" s="1" t="s">
        <v>89</v>
      </c>
      <c r="G121" s="1" t="s">
        <v>528</v>
      </c>
      <c r="H121" s="1" t="s">
        <v>603</v>
      </c>
      <c r="I121" s="1" t="s">
        <v>153</v>
      </c>
      <c r="J121" s="1" t="n">
        <v>2018</v>
      </c>
      <c r="W121" s="1" t="n">
        <v>43</v>
      </c>
      <c r="Y121" s="1" t="n">
        <v>3</v>
      </c>
      <c r="AA121" s="4" t="str">
        <f aca="false">IF(AND(W121&gt;0,Z121&gt;0),(Z121/((W121+X121)*10)),"")</f>
        <v/>
      </c>
      <c r="AB121" s="1" t="n">
        <v>125</v>
      </c>
      <c r="AC121" s="1" t="n">
        <f aca="false">ROUND(AB121*1.6, 0)</f>
        <v>200</v>
      </c>
      <c r="AF121" s="1" t="n">
        <v>22.2</v>
      </c>
      <c r="AG121" s="1" t="n">
        <v>22</v>
      </c>
      <c r="AH121" s="1" t="n">
        <v>2.75</v>
      </c>
      <c r="AI121" s="1" t="n">
        <v>3.79</v>
      </c>
      <c r="AJ121" s="5" t="n">
        <v>30</v>
      </c>
      <c r="AK121" s="19" t="str">
        <f aca="false">CONCATENATE(VLOOKUP(AL121, 'Voxel Sizes'!$A$2:$B$18,2,FALSE()),"x",INT(AH121*15), "x", INT(AI121*15))</f>
        <v>214x41x56</v>
      </c>
      <c r="AL121" s="1" t="n">
        <f aca="false">ROUND(15*((AG121*10)/256),0)</f>
        <v>13</v>
      </c>
      <c r="AN121" s="1" t="str">
        <f aca="false">CONCATENATE(VLOOKUP(AL121,Constants!$A$2:$C$16,IF(AM121&lt;&gt;"", 3, 2), FALSE()),IF(AM121&lt;&gt;"",CONCATENATE(",",VLOOKUP(AM121,$B:$AN,38,FALSE())),""))</f>
        <v>4,5,4</v>
      </c>
      <c r="AW121" s="19" t="s">
        <v>659</v>
      </c>
      <c r="AX121" s="1" t="n">
        <v>30</v>
      </c>
      <c r="AY121" s="6" t="str">
        <f aca="false">IF(L121&lt;&gt;"",MAX(16,(L121-J121)+8),"")</f>
        <v/>
      </c>
      <c r="AZ121" s="1" t="n">
        <v>1150</v>
      </c>
      <c r="BA121" s="1" t="n">
        <v>150</v>
      </c>
      <c r="BB121" s="1" t="n">
        <f aca="false">MIN(AB121/150, 1)*30</f>
        <v>25</v>
      </c>
      <c r="BC121" s="1" t="n">
        <f aca="false">MIN(N121/4000, 1)*20</f>
        <v>0</v>
      </c>
      <c r="BD121" s="1" t="n">
        <f aca="false">MIN(Z121/400,1)*20</f>
        <v>0</v>
      </c>
      <c r="BE121" s="4" t="n">
        <f aca="false">1-(MAX(J121-1900, 0)/750)</f>
        <v>0.842666666666667</v>
      </c>
      <c r="BF121" s="1" t="n">
        <f aca="false">((MAX($M121,1)*MIN($AJ121/300,1)))*IF(G121="Wagon",50,10)</f>
        <v>5</v>
      </c>
      <c r="BG121" s="1" t="n">
        <f aca="false">VLOOKUP($H121,Constants!$I:$K, 2, FALSE())</f>
        <v>1.2</v>
      </c>
      <c r="BH121" s="1" t="n">
        <f aca="false">VLOOKUP($H121,Constants!$I:$K, 3, FALSE())*IF(AND(G121="multiple_unit",AB121&lt;110),0.75,1)</f>
        <v>0.6</v>
      </c>
      <c r="BI121" s="1" t="n">
        <f aca="false">INT(POWER(((Constants!$G$2+$BB121+$BC121+$BD121+$BF121)*$BE121)*$BH121, 1.05))+$BA121</f>
        <v>170</v>
      </c>
      <c r="BJ121" s="1" t="n">
        <f aca="false">INT(POWER((((Constants!$G$1+$BB121+$BC121+$BD121+$BF121)*($BE121))*$BG121),IF($G121="wagon",1,1.2)))+$AZ121</f>
        <v>1195</v>
      </c>
      <c r="BK121" s="20" t="n">
        <f aca="false">BI121*IF($G121="wagon",62.5,781.25)</f>
        <v>10625</v>
      </c>
      <c r="BL121" s="20" t="n">
        <f aca="false">BJ121*IF($G121="wagon",2.73,81.25)</f>
        <v>3262.35</v>
      </c>
      <c r="BT121" s="1" t="n">
        <v>2</v>
      </c>
      <c r="BU121" s="1" t="n">
        <v>222</v>
      </c>
      <c r="BV121" s="1" t="s">
        <v>225</v>
      </c>
      <c r="BX121" s="1" t="s">
        <v>95</v>
      </c>
      <c r="BY121" s="1" t="str">
        <f aca="false">VLOOKUP(J121,Eras!$A$2:$C$10, 2, TRUE())</f>
        <v>mod</v>
      </c>
      <c r="BZ121" s="18" t="s">
        <v>595</v>
      </c>
      <c r="CA121" s="1" t="str">
        <f aca="false">CONCATENATE(BY121,"_",BZ121)</f>
        <v>mod_Carriage</v>
      </c>
      <c r="CB121" s="1" t="str">
        <f aca="false">_xlfn.CONCAT(H121, "_",I121)</f>
        <v>carriage_RAIL</v>
      </c>
      <c r="CC121" s="21" t="str">
        <f aca="false">_xlfn.CONCAT("{BLACK}Length: {GOLD}", TEXT(ROUNDUP(IF(AQ121&lt;&gt;"",SUM(VALUE(_xlfn.TEXTSPLIT(AQ121, ","))), SUM(VALUE(_xlfn.TEXTSPLIT(AN121, ",")))*IF(M121, M121, 1))/16, 1), "#,##0.0"), " tiles{}")</f>
        <v>{BLACK}Length: {GOLD}0.9 tiles{}</v>
      </c>
      <c r="CD121" s="1" t="str">
        <f aca="false">VLOOKUP($CB121, Constants!$M:$N, 2, FALSE())</f>
        <v/>
      </c>
      <c r="CE121" s="1" t="str">
        <f aca="false">IF(M121&gt;1,_xlfn.CONCAT("{BLACK}Cars: {GOLD}", M121),"")</f>
        <v/>
      </c>
      <c r="CF121" s="1" t="s">
        <v>660</v>
      </c>
      <c r="CG121" s="1" t="str">
        <f aca="false">IF(BW121="buffet","{YELLOW}25% long distance bonus for consist{}",IF(BY121="BRAKE","{YELLOW}Speed bonus for slow wagons{}",IF(BU121&gt;190,CONCATENATE("{YELLOW}",INT((BU121-185)/1.85),"% bonus for long distance travel{}"),IF(AND(BU121&lt;180,BU121&lt;&gt;0),CONCATENATE("{YELLOW}",INT((185-BU121)/1.85),"% penalty for long distance travel{}"),""))))</f>
        <v>{YELLOW}20% bonus for long distance travel{}</v>
      </c>
      <c r="CH121" s="1" t="str">
        <f aca="false">_xlfn.CONCAT(CD121,IF(CD121 &lt;&gt; "", " ", ""),CE121,IF(OR(CE121&lt;&gt;"", CD121&lt;&gt;""), "{}",""), CC121, CG121,"{SILVER}", CF121)</f>
        <v>{BLACK}Length: {GOLD}0.9 tiles{}{YELLOW}20% bonus for long distance travel{}{SILVER}Mk5 sleeper services make up for their pathetic berth count with conventional seated stock, featuring a 2+1 airline style seating and not enough recline in the seats.</v>
      </c>
      <c r="CI121" s="1"/>
      <c r="CJ121" s="1"/>
    </row>
    <row r="122" customFormat="false" ht="13.8" hidden="false" customHeight="false" outlineLevel="0" collapsed="false">
      <c r="A122" s="1" t="s">
        <v>661</v>
      </c>
      <c r="B122" s="1" t="s">
        <v>662</v>
      </c>
      <c r="C122" s="1" t="n">
        <v>107</v>
      </c>
      <c r="D122" s="1" t="n">
        <v>105</v>
      </c>
      <c r="E122" s="1" t="n">
        <v>1114</v>
      </c>
      <c r="F122" s="1" t="s">
        <v>89</v>
      </c>
      <c r="G122" s="1" t="s">
        <v>528</v>
      </c>
      <c r="H122" s="1" t="s">
        <v>603</v>
      </c>
      <c r="I122" s="1" t="s">
        <v>153</v>
      </c>
      <c r="J122" s="1" t="n">
        <v>2018</v>
      </c>
      <c r="W122" s="1" t="n">
        <v>43</v>
      </c>
      <c r="Y122" s="1" t="n">
        <v>3</v>
      </c>
      <c r="AA122" s="4" t="str">
        <f aca="false">IF(AND(W122&gt;0,Z122&gt;0),(Z122/((W122+X122)*10)),"")</f>
        <v/>
      </c>
      <c r="AB122" s="1" t="n">
        <v>125</v>
      </c>
      <c r="AC122" s="1" t="n">
        <f aca="false">ROUND(AB122*1.6, 0)</f>
        <v>200</v>
      </c>
      <c r="AF122" s="1" t="n">
        <v>22.2</v>
      </c>
      <c r="AG122" s="1" t="n">
        <v>22</v>
      </c>
      <c r="AH122" s="1" t="n">
        <v>2.75</v>
      </c>
      <c r="AI122" s="1" t="n">
        <v>3.79</v>
      </c>
      <c r="AJ122" s="5" t="n">
        <v>0</v>
      </c>
      <c r="AK122" s="19" t="str">
        <f aca="false">CONCATENATE(VLOOKUP(AL122, 'Voxel Sizes'!$A$2:$B$18,2,FALSE()),"x",INT(AH122*15), "x", INT(AI122*15))</f>
        <v>214x41x56</v>
      </c>
      <c r="AL122" s="1" t="n">
        <f aca="false">ROUND(15*((AG122*10)/256),0)</f>
        <v>13</v>
      </c>
      <c r="AN122" s="1" t="str">
        <f aca="false">CONCATENATE(VLOOKUP(AL122,Constants!$A$2:$C$16,IF(AM122&lt;&gt;"", 3, 2), FALSE()),IF(AM122&lt;&gt;"",CONCATENATE(",",VLOOKUP(AM122,$B:$AN,38,FALSE())),""))</f>
        <v>4,5,4</v>
      </c>
      <c r="AW122" s="19" t="s">
        <v>663</v>
      </c>
      <c r="AX122" s="1" t="n">
        <v>30</v>
      </c>
      <c r="AY122" s="6" t="str">
        <f aca="false">IF(L122&lt;&gt;"",MAX(16,(L122-J122)+8),"")</f>
        <v/>
      </c>
      <c r="AZ122" s="1" t="n">
        <v>1150</v>
      </c>
      <c r="BA122" s="1" t="n">
        <v>150</v>
      </c>
      <c r="BB122" s="1" t="n">
        <f aca="false">MIN(AB122/150, 1)*30</f>
        <v>25</v>
      </c>
      <c r="BC122" s="1" t="n">
        <f aca="false">MIN(N122/4000, 1)*20</f>
        <v>0</v>
      </c>
      <c r="BD122" s="1" t="n">
        <f aca="false">MIN(Z122/400,1)*20</f>
        <v>0</v>
      </c>
      <c r="BE122" s="4" t="n">
        <f aca="false">1-(MAX(J122-1900, 0)/750)</f>
        <v>0.842666666666667</v>
      </c>
      <c r="BF122" s="1" t="n">
        <f aca="false">((MAX($M122,1)*MIN($AJ122/300,1)))*IF(G122="Wagon",50,10)</f>
        <v>0</v>
      </c>
      <c r="BG122" s="1" t="n">
        <f aca="false">VLOOKUP($H122,Constants!$I:$K, 2, FALSE())</f>
        <v>1.2</v>
      </c>
      <c r="BH122" s="1" t="n">
        <f aca="false">VLOOKUP($H122,Constants!$I:$K, 3, FALSE())*IF(AND(G122="multiple_unit",AB122&lt;110),0.75,1)</f>
        <v>0.6</v>
      </c>
      <c r="BI122" s="1" t="n">
        <f aca="false">INT(POWER(((Constants!$G$2+$BB122+$BC122+$BD122+$BF122)*$BE122)*$BH122, 1.05))+$BA122</f>
        <v>167</v>
      </c>
      <c r="BJ122" s="1" t="n">
        <f aca="false">INT(POWER((((Constants!$G$1+$BB122+$BC122+$BD122+$BF122)*($BE122))*$BG122),IF($G122="wagon",1,1.2)))+$AZ122</f>
        <v>1190</v>
      </c>
      <c r="BK122" s="20" t="n">
        <f aca="false">BI122*IF($G122="wagon",62.5,781.25)</f>
        <v>10437.5</v>
      </c>
      <c r="BL122" s="20" t="n">
        <f aca="false">BJ122*IF($G122="wagon",2.73,81.25)</f>
        <v>3248.7</v>
      </c>
      <c r="BT122" s="1" t="n">
        <v>2</v>
      </c>
      <c r="BU122" s="1" t="n">
        <v>278</v>
      </c>
      <c r="BV122" s="1" t="s">
        <v>225</v>
      </c>
      <c r="BW122" s="18" t="s">
        <v>233</v>
      </c>
      <c r="BX122" s="1" t="s">
        <v>95</v>
      </c>
      <c r="BY122" s="1" t="str">
        <f aca="false">VLOOKUP(J122,Eras!$A$2:$C$10, 2, TRUE())</f>
        <v>mod</v>
      </c>
      <c r="BZ122" s="18" t="s">
        <v>595</v>
      </c>
      <c r="CA122" s="1" t="str">
        <f aca="false">CONCATENATE(BY122,"_",BZ122)</f>
        <v>mod_Carriage</v>
      </c>
      <c r="CB122" s="1" t="str">
        <f aca="false">_xlfn.CONCAT(H122, "_",I122)</f>
        <v>carriage_RAIL</v>
      </c>
      <c r="CC122" s="21" t="str">
        <f aca="false">_xlfn.CONCAT("{BLACK}Length: {GOLD}", TEXT(ROUNDUP(IF(AQ122&lt;&gt;"",SUM(VALUE(_xlfn.TEXTSPLIT(AQ122, ","))), SUM(VALUE(_xlfn.TEXTSPLIT(AN122, ",")))*IF(M122, M122, 1))/16, 1), "#,##0.0"), " tiles{}")</f>
        <v>{BLACK}Length: {GOLD}0.9 tiles{}</v>
      </c>
      <c r="CD122" s="1" t="str">
        <f aca="false">VLOOKUP($CB122, Constants!$M:$N, 2, FALSE())</f>
        <v/>
      </c>
      <c r="CE122" s="1" t="str">
        <f aca="false">IF(M122&gt;1,_xlfn.CONCAT("{BLACK}Cars: {GOLD}", M122),"")</f>
        <v/>
      </c>
      <c r="CF122" s="1" t="s">
        <v>664</v>
      </c>
      <c r="CG122" s="1" t="str">
        <f aca="false">IF(BW122="buffet","{YELLOW}25% long distance bonus for consist{}",IF(BY122="BRAKE","{YELLOW}Speed bonus for slow wagons{}",IF(BU122&gt;190,CONCATENATE("{YELLOW}",INT((BU122-185)/1.85),"% bonus for long distance travel{}"),IF(AND(BU122&lt;180,BU122&lt;&gt;0),CONCATENATE("{YELLOW}",INT((185-BU122)/1.85),"% penalty for long distance travel{}"),""))))</f>
        <v>{YELLOW}25% long distance bonus for consist{}</v>
      </c>
      <c r="CH122" s="1" t="str">
        <f aca="false">_xlfn.CONCAT(CD122,IF(CD122 &lt;&gt; "", " ", ""),CE122,IF(OR(CE122&lt;&gt;"", CD122&lt;&gt;""), "{}",""), CC122, CG122,"{SILVER}", CF122)</f>
        <v>{BLACK}Length: {GOLD}0.9 tiles{}{YELLOW}25% long distance bonus for consist{}{SILVER}The Mk5 ‘Club Car’ is the dining facility for sleeper services, but the 30 seats within are not bookable for travel.</v>
      </c>
      <c r="CI122" s="1"/>
      <c r="CJ122" s="1"/>
    </row>
    <row r="123" s="1" customFormat="true" ht="13.8" hidden="false" customHeight="false" outlineLevel="0" collapsed="false"/>
    <row r="124" s="1" customFormat="true" ht="13.8" hidden="false" customHeight="false" outlineLevel="0" collapsed="false"/>
    <row r="125" s="1" customFormat="true" ht="13.8" hidden="false" customHeight="false" outlineLevel="0" collapsed="false">
      <c r="O125" s="45"/>
      <c r="P125" s="45"/>
      <c r="Q125" s="45"/>
      <c r="R125" s="45"/>
      <c r="S125" s="45"/>
      <c r="T125" s="46"/>
      <c r="U125" s="45"/>
      <c r="V125" s="45"/>
      <c r="X125" s="45"/>
      <c r="AA125" s="4"/>
      <c r="AJ125" s="45"/>
      <c r="AP125" s="45"/>
      <c r="AQ125" s="45"/>
      <c r="BE125" s="4"/>
      <c r="BK125" s="20"/>
      <c r="BL125" s="20"/>
    </row>
    <row r="126" s="1" customFormat="true" ht="13.8" hidden="false" customHeight="false" outlineLevel="0" collapsed="false"/>
    <row r="127" s="1" customFormat="true" ht="13.8" hidden="false" customHeight="false" outlineLevel="0" collapsed="false"/>
    <row r="128" s="1" customFormat="true" ht="13.8" hidden="false" customHeight="false" outlineLevel="0" collapsed="false">
      <c r="O128" s="45"/>
      <c r="P128" s="45"/>
      <c r="Q128" s="45"/>
      <c r="R128" s="45"/>
      <c r="S128" s="45"/>
      <c r="T128" s="46"/>
      <c r="U128" s="45"/>
      <c r="V128" s="45"/>
      <c r="X128" s="45"/>
      <c r="AA128" s="4"/>
      <c r="AJ128" s="45"/>
      <c r="AP128" s="45"/>
      <c r="AQ128" s="45"/>
      <c r="BE128" s="4"/>
      <c r="BK128" s="20"/>
      <c r="BL128" s="20"/>
    </row>
    <row r="129" s="1" customFormat="true" ht="13.8" hidden="false" customHeight="false" outlineLevel="0" collapsed="false">
      <c r="O129" s="45"/>
      <c r="P129" s="45"/>
      <c r="Q129" s="45"/>
      <c r="R129" s="45"/>
      <c r="S129" s="45"/>
      <c r="T129" s="46"/>
      <c r="U129" s="45"/>
      <c r="V129" s="45"/>
      <c r="X129" s="45"/>
      <c r="AA129" s="4"/>
      <c r="AJ129" s="45"/>
      <c r="AP129" s="45"/>
      <c r="AQ129" s="45"/>
      <c r="BE129" s="4"/>
      <c r="BK129" s="20"/>
      <c r="BL129" s="20"/>
    </row>
    <row r="130" s="1" customFormat="true" ht="13.8" hidden="false" customHeight="false" outlineLevel="0" collapsed="false">
      <c r="O130" s="45"/>
      <c r="P130" s="45"/>
      <c r="Q130" s="45"/>
      <c r="R130" s="45"/>
      <c r="S130" s="45"/>
      <c r="T130" s="46"/>
      <c r="U130" s="45"/>
      <c r="V130" s="45"/>
      <c r="X130" s="45"/>
      <c r="AA130" s="4"/>
      <c r="AJ130" s="45"/>
      <c r="AP130" s="45"/>
      <c r="AQ130" s="45"/>
      <c r="BE130" s="4"/>
      <c r="BK130" s="20"/>
      <c r="BL130" s="20"/>
    </row>
    <row r="131" s="1" customFormat="true" ht="13.8" hidden="false" customHeight="false" outlineLevel="0" collapsed="false">
      <c r="O131" s="45"/>
      <c r="P131" s="45"/>
      <c r="Q131" s="45"/>
      <c r="R131" s="45"/>
      <c r="S131" s="45"/>
      <c r="T131" s="46"/>
      <c r="U131" s="45"/>
      <c r="V131" s="45"/>
      <c r="X131" s="45"/>
      <c r="AA131" s="4"/>
      <c r="AJ131" s="45"/>
      <c r="AP131" s="45"/>
      <c r="AQ131" s="45"/>
      <c r="BE131" s="4"/>
      <c r="BK131" s="20"/>
      <c r="BL131" s="20"/>
    </row>
    <row r="132" s="1" customFormat="true" ht="13.8" hidden="false" customHeight="false" outlineLevel="0" collapsed="false">
      <c r="O132" s="45"/>
      <c r="P132" s="45"/>
      <c r="Q132" s="45"/>
      <c r="R132" s="45"/>
      <c r="S132" s="45"/>
      <c r="T132" s="46"/>
      <c r="U132" s="45"/>
      <c r="V132" s="45"/>
      <c r="X132" s="45"/>
      <c r="AA132" s="4"/>
      <c r="AJ132" s="45"/>
      <c r="AP132" s="45"/>
      <c r="AQ132" s="45"/>
      <c r="BE132" s="4"/>
      <c r="BK132" s="20"/>
      <c r="BL132" s="20"/>
    </row>
    <row r="133" s="1" customFormat="true" ht="13.8" hidden="false" customHeight="false" outlineLevel="0" collapsed="false">
      <c r="O133" s="45"/>
      <c r="P133" s="45"/>
      <c r="Q133" s="45"/>
      <c r="R133" s="45"/>
      <c r="S133" s="45"/>
      <c r="T133" s="46"/>
      <c r="U133" s="45"/>
      <c r="V133" s="45"/>
      <c r="X133" s="45"/>
      <c r="AA133" s="4"/>
      <c r="AJ133" s="45"/>
      <c r="AP133" s="45"/>
      <c r="AQ133" s="45"/>
      <c r="BE133" s="4"/>
      <c r="BK133" s="20"/>
      <c r="BL133" s="20"/>
    </row>
    <row r="134" s="1" customFormat="true" ht="13.8" hidden="false" customHeight="false" outlineLevel="0" collapsed="false">
      <c r="O134" s="45"/>
      <c r="P134" s="45"/>
      <c r="Q134" s="45"/>
      <c r="R134" s="45"/>
      <c r="S134" s="45"/>
      <c r="T134" s="46"/>
      <c r="U134" s="45"/>
      <c r="V134" s="45"/>
      <c r="X134" s="45"/>
      <c r="AA134" s="4"/>
      <c r="AJ134" s="45"/>
      <c r="AP134" s="45"/>
      <c r="AQ134" s="45"/>
      <c r="BE134" s="4"/>
      <c r="BK134" s="20"/>
      <c r="BL134" s="20"/>
    </row>
    <row r="135" s="1" customFormat="true" ht="13.8" hidden="false" customHeight="false" outlineLevel="0" collapsed="false">
      <c r="O135" s="45"/>
      <c r="P135" s="45"/>
      <c r="Q135" s="45"/>
      <c r="R135" s="45"/>
      <c r="S135" s="45"/>
      <c r="T135" s="46"/>
      <c r="U135" s="45"/>
      <c r="V135" s="45"/>
      <c r="X135" s="45"/>
      <c r="AA135" s="4"/>
      <c r="AJ135" s="45"/>
      <c r="AP135" s="45"/>
      <c r="AQ135" s="45"/>
      <c r="BE135" s="4"/>
      <c r="BK135" s="20"/>
      <c r="BL135" s="20"/>
    </row>
    <row r="136" s="1" customFormat="true" ht="13.8" hidden="false" customHeight="false" outlineLevel="0" collapsed="false">
      <c r="O136" s="45"/>
      <c r="P136" s="45"/>
      <c r="Q136" s="45"/>
      <c r="R136" s="45"/>
      <c r="S136" s="45"/>
      <c r="T136" s="45"/>
      <c r="U136" s="45"/>
      <c r="V136" s="45"/>
      <c r="X136" s="45"/>
      <c r="AA136" s="4"/>
      <c r="AJ136" s="45"/>
      <c r="AP136" s="45"/>
      <c r="AQ136" s="45"/>
      <c r="BE136" s="4"/>
      <c r="BK136" s="20"/>
      <c r="BL136" s="20"/>
    </row>
    <row r="137" s="1" customFormat="true" ht="13.8" hidden="false" customHeight="false" outlineLevel="0" collapsed="false">
      <c r="O137" s="45"/>
      <c r="P137" s="45"/>
      <c r="Q137" s="45"/>
      <c r="R137" s="45"/>
      <c r="S137" s="45"/>
      <c r="T137" s="46"/>
      <c r="U137" s="45"/>
      <c r="V137" s="45"/>
      <c r="X137" s="45"/>
      <c r="AA137" s="4"/>
      <c r="AJ137" s="45"/>
      <c r="AP137" s="45"/>
      <c r="AQ137" s="45"/>
      <c r="BE137" s="4"/>
      <c r="BK137" s="20"/>
      <c r="BL137" s="20"/>
    </row>
    <row r="138" s="1" customFormat="true" ht="13.8" hidden="false" customHeight="false" outlineLevel="0" collapsed="false">
      <c r="O138" s="45"/>
      <c r="P138" s="45"/>
      <c r="Q138" s="45"/>
      <c r="R138" s="45"/>
      <c r="S138" s="45"/>
      <c r="T138" s="45"/>
      <c r="U138" s="45"/>
      <c r="V138" s="45"/>
      <c r="X138" s="45"/>
      <c r="AA138" s="4"/>
      <c r="AJ138" s="45"/>
      <c r="AP138" s="45"/>
      <c r="AQ138" s="45"/>
      <c r="BE138" s="4"/>
      <c r="BK138" s="20"/>
      <c r="BL138" s="20"/>
    </row>
    <row r="139" s="1" customFormat="true" ht="13.8" hidden="false" customHeight="false" outlineLevel="0" collapsed="false">
      <c r="O139" s="45"/>
      <c r="P139" s="45"/>
      <c r="Q139" s="45"/>
      <c r="R139" s="45"/>
      <c r="S139" s="45"/>
      <c r="T139" s="45"/>
      <c r="U139" s="45"/>
      <c r="V139" s="45"/>
      <c r="X139" s="45"/>
      <c r="AA139" s="4"/>
      <c r="AJ139" s="45"/>
      <c r="AP139" s="45"/>
      <c r="AQ139" s="45"/>
      <c r="BE139" s="4"/>
      <c r="BK139" s="20"/>
      <c r="BL139" s="20"/>
    </row>
    <row r="140" s="1" customFormat="true" ht="13.8" hidden="false" customHeight="false" outlineLevel="0" collapsed="false">
      <c r="O140" s="45"/>
      <c r="P140" s="45"/>
      <c r="Q140" s="45"/>
      <c r="R140" s="45"/>
      <c r="S140" s="45"/>
      <c r="T140" s="45"/>
      <c r="U140" s="45"/>
      <c r="V140" s="45"/>
      <c r="X140" s="45"/>
      <c r="AA140" s="4"/>
      <c r="AJ140" s="45"/>
      <c r="AP140" s="45"/>
      <c r="AQ140" s="45"/>
      <c r="BE140" s="4"/>
      <c r="BK140" s="20"/>
      <c r="BL140" s="20"/>
    </row>
    <row r="141" s="1" customFormat="true" ht="13.8" hidden="false" customHeight="false" outlineLevel="0" collapsed="false">
      <c r="O141" s="45"/>
      <c r="P141" s="45"/>
      <c r="Q141" s="45"/>
      <c r="R141" s="45"/>
      <c r="S141" s="45"/>
      <c r="T141" s="45"/>
      <c r="U141" s="45"/>
      <c r="V141" s="45"/>
      <c r="X141" s="45"/>
      <c r="AA141" s="4"/>
      <c r="AJ141" s="45"/>
      <c r="AP141" s="45"/>
      <c r="AQ141" s="45"/>
      <c r="BE141" s="4"/>
      <c r="BK141" s="20"/>
      <c r="BL141" s="20"/>
    </row>
    <row r="142" s="1" customFormat="true" ht="13.8" hidden="false" customHeight="false" outlineLevel="0" collapsed="false">
      <c r="O142" s="45"/>
      <c r="P142" s="45"/>
      <c r="Q142" s="45"/>
      <c r="R142" s="45"/>
      <c r="S142" s="45"/>
      <c r="T142" s="45"/>
      <c r="U142" s="45"/>
      <c r="V142" s="45"/>
      <c r="X142" s="45"/>
      <c r="AA142" s="4"/>
      <c r="AJ142" s="45"/>
      <c r="AP142" s="45"/>
      <c r="AQ142" s="45"/>
      <c r="BE142" s="4"/>
      <c r="BK142" s="20"/>
      <c r="BL142" s="20"/>
    </row>
    <row r="143" s="1" customFormat="true" ht="13.8" hidden="false" customHeight="false" outlineLevel="0" collapsed="false">
      <c r="O143" s="45"/>
      <c r="P143" s="45"/>
      <c r="Q143" s="45"/>
      <c r="R143" s="45"/>
      <c r="S143" s="45"/>
      <c r="T143" s="45"/>
      <c r="U143" s="45"/>
      <c r="V143" s="45"/>
      <c r="X143" s="45"/>
      <c r="AA143" s="4"/>
      <c r="AJ143" s="45"/>
      <c r="AP143" s="45"/>
      <c r="AQ143" s="45"/>
      <c r="BE143" s="4"/>
      <c r="BK143" s="20"/>
      <c r="BL143" s="20"/>
    </row>
    <row r="144" s="1" customFormat="true" ht="13.8" hidden="false" customHeight="false" outlineLevel="0" collapsed="false">
      <c r="O144" s="45"/>
      <c r="P144" s="45"/>
      <c r="Q144" s="45"/>
      <c r="R144" s="45"/>
      <c r="S144" s="45"/>
      <c r="T144" s="45"/>
      <c r="U144" s="45"/>
      <c r="V144" s="45"/>
      <c r="X144" s="45"/>
      <c r="AA144" s="4"/>
      <c r="AJ144" s="45"/>
      <c r="AP144" s="45"/>
      <c r="AQ144" s="45"/>
      <c r="BE144" s="4"/>
      <c r="BK144" s="20"/>
      <c r="BL144" s="20"/>
    </row>
    <row r="145" s="1" customFormat="true" ht="13.8" hidden="false" customHeight="false" outlineLevel="0" collapsed="false">
      <c r="O145" s="45"/>
      <c r="P145" s="45"/>
      <c r="Q145" s="45"/>
      <c r="R145" s="45"/>
      <c r="S145" s="45"/>
      <c r="T145" s="45"/>
      <c r="U145" s="45"/>
      <c r="V145" s="45"/>
      <c r="X145" s="45"/>
      <c r="AA145" s="4"/>
      <c r="AJ145" s="45"/>
      <c r="AP145" s="45"/>
      <c r="AQ145" s="45"/>
      <c r="BE145" s="4"/>
      <c r="BK145" s="20"/>
      <c r="BL145" s="20"/>
    </row>
    <row r="146" s="1" customFormat="true" ht="13.8" hidden="false" customHeight="false" outlineLevel="0" collapsed="false">
      <c r="O146" s="45"/>
      <c r="P146" s="45"/>
      <c r="Q146" s="45"/>
      <c r="R146" s="45"/>
      <c r="S146" s="45"/>
      <c r="T146" s="45"/>
      <c r="U146" s="45"/>
      <c r="V146" s="45"/>
      <c r="X146" s="45"/>
      <c r="AA146" s="4"/>
      <c r="AJ146" s="45"/>
      <c r="AP146" s="45"/>
      <c r="AQ146" s="45"/>
      <c r="BE146" s="4"/>
      <c r="BK146" s="20"/>
      <c r="BL146" s="20"/>
    </row>
    <row r="147" s="1" customFormat="true" ht="12.75" hidden="false" customHeight="true" outlineLevel="0" collapsed="false">
      <c r="O147" s="45"/>
      <c r="P147" s="45"/>
      <c r="Q147" s="45"/>
      <c r="R147" s="45"/>
      <c r="S147" s="45"/>
      <c r="T147" s="45"/>
      <c r="U147" s="45"/>
      <c r="V147" s="45"/>
      <c r="X147" s="45"/>
      <c r="AA147" s="4"/>
      <c r="AJ147" s="45"/>
      <c r="AP147" s="45"/>
      <c r="AQ147" s="45"/>
      <c r="BE147" s="4"/>
      <c r="BK147" s="20"/>
      <c r="BL147" s="20"/>
    </row>
    <row r="148" s="1" customFormat="true" ht="13.8" hidden="false" customHeight="false" outlineLevel="0" collapsed="false">
      <c r="O148" s="45"/>
      <c r="P148" s="45"/>
      <c r="Q148" s="45"/>
      <c r="R148" s="45"/>
      <c r="S148" s="45"/>
      <c r="T148" s="45"/>
      <c r="U148" s="45"/>
      <c r="V148" s="45"/>
      <c r="X148" s="45"/>
      <c r="AA148" s="4"/>
      <c r="AJ148" s="45"/>
      <c r="AP148" s="45"/>
      <c r="AQ148" s="45"/>
      <c r="BE148" s="4"/>
      <c r="BK148" s="20"/>
      <c r="BL148" s="20"/>
    </row>
    <row r="149" s="1" customFormat="true" ht="13.8" hidden="false" customHeight="false" outlineLevel="0" collapsed="false">
      <c r="O149" s="45"/>
      <c r="P149" s="45"/>
      <c r="Q149" s="45"/>
      <c r="R149" s="45"/>
      <c r="S149" s="45"/>
      <c r="T149" s="45"/>
      <c r="U149" s="45"/>
      <c r="V149" s="45"/>
      <c r="X149" s="45"/>
      <c r="AA149" s="4"/>
      <c r="AJ149" s="45"/>
      <c r="AP149" s="45"/>
      <c r="AQ149" s="45"/>
      <c r="BE149" s="4"/>
      <c r="BK149" s="20"/>
      <c r="BL149" s="20"/>
    </row>
    <row r="150" s="1" customFormat="true" ht="13.8" hidden="false" customHeight="false" outlineLevel="0" collapsed="false">
      <c r="O150" s="45"/>
      <c r="P150" s="45"/>
      <c r="Q150" s="45"/>
      <c r="R150" s="45"/>
      <c r="S150" s="45"/>
      <c r="T150" s="45"/>
      <c r="U150" s="45"/>
      <c r="V150" s="45"/>
      <c r="X150" s="45"/>
      <c r="AA150" s="4"/>
      <c r="AJ150" s="45"/>
      <c r="AP150" s="45"/>
      <c r="AQ150" s="45"/>
      <c r="BE150" s="4"/>
      <c r="BK150" s="20"/>
      <c r="BL150" s="20"/>
    </row>
    <row r="151" s="1" customFormat="true" ht="13.8" hidden="false" customHeight="false" outlineLevel="0" collapsed="false">
      <c r="O151" s="45"/>
      <c r="P151" s="45"/>
      <c r="Q151" s="45"/>
      <c r="R151" s="45"/>
      <c r="S151" s="45"/>
      <c r="T151" s="45"/>
      <c r="U151" s="45"/>
      <c r="V151" s="45"/>
      <c r="X151" s="45"/>
      <c r="AA151" s="4"/>
      <c r="AJ151" s="45"/>
      <c r="AP151" s="45"/>
      <c r="AQ151" s="45"/>
      <c r="BE151" s="4"/>
      <c r="BK151" s="20"/>
      <c r="BL151" s="20"/>
    </row>
    <row r="152" s="1" customFormat="true" ht="13.8" hidden="false" customHeight="false" outlineLevel="0" collapsed="false">
      <c r="O152" s="45"/>
      <c r="P152" s="45"/>
      <c r="Q152" s="45"/>
      <c r="R152" s="45"/>
      <c r="S152" s="45"/>
      <c r="T152" s="45"/>
      <c r="U152" s="45"/>
      <c r="V152" s="45"/>
      <c r="X152" s="45"/>
      <c r="AA152" s="4"/>
      <c r="AJ152" s="45"/>
      <c r="AP152" s="45"/>
      <c r="AQ152" s="45"/>
      <c r="BE152" s="4"/>
      <c r="BK152" s="20"/>
      <c r="BL152" s="20"/>
    </row>
    <row r="153" s="1" customFormat="true" ht="13.8" hidden="false" customHeight="false" outlineLevel="0" collapsed="false">
      <c r="O153" s="45"/>
      <c r="P153" s="45"/>
      <c r="Q153" s="45"/>
      <c r="R153" s="45"/>
      <c r="S153" s="45"/>
      <c r="T153" s="45"/>
      <c r="U153" s="45"/>
      <c r="V153" s="45"/>
      <c r="X153" s="45"/>
      <c r="AA153" s="4"/>
      <c r="AJ153" s="45"/>
      <c r="AP153" s="45"/>
      <c r="AQ153" s="45"/>
      <c r="BE153" s="4"/>
      <c r="BK153" s="20"/>
      <c r="BL153" s="20"/>
    </row>
    <row r="154" s="1" customFormat="true" ht="13.8" hidden="false" customHeight="false" outlineLevel="0" collapsed="false">
      <c r="O154" s="45"/>
      <c r="P154" s="45"/>
      <c r="Q154" s="45"/>
      <c r="R154" s="45"/>
      <c r="S154" s="45"/>
      <c r="T154" s="45"/>
      <c r="U154" s="45"/>
      <c r="V154" s="45"/>
      <c r="X154" s="45"/>
      <c r="AA154" s="4"/>
      <c r="AJ154" s="45"/>
      <c r="AP154" s="45"/>
      <c r="AQ154" s="45"/>
      <c r="BE154" s="4"/>
      <c r="BK154" s="20"/>
      <c r="BL154" s="20"/>
    </row>
    <row r="155" s="1" customFormat="true" ht="13.8" hidden="false" customHeight="false" outlineLevel="0" collapsed="false">
      <c r="O155" s="45"/>
      <c r="P155" s="45"/>
      <c r="Q155" s="45"/>
      <c r="R155" s="45"/>
      <c r="S155" s="45"/>
      <c r="T155" s="45"/>
      <c r="U155" s="45"/>
      <c r="V155" s="45"/>
      <c r="X155" s="45"/>
      <c r="AA155" s="4"/>
      <c r="AJ155" s="45"/>
      <c r="AP155" s="45"/>
      <c r="AQ155" s="45"/>
      <c r="BE155" s="4"/>
      <c r="BK155" s="20"/>
      <c r="BL155" s="20"/>
    </row>
    <row r="156" s="1" customFormat="true" ht="13.8" hidden="false" customHeight="false" outlineLevel="0" collapsed="false">
      <c r="O156" s="45"/>
      <c r="P156" s="45"/>
      <c r="Q156" s="45"/>
      <c r="R156" s="45"/>
      <c r="S156" s="45"/>
      <c r="T156" s="46"/>
      <c r="U156" s="45"/>
      <c r="V156" s="45"/>
      <c r="X156" s="45"/>
      <c r="AA156" s="4"/>
      <c r="AJ156" s="45"/>
      <c r="AP156" s="45"/>
      <c r="AQ156" s="45"/>
      <c r="BE156" s="4"/>
      <c r="BK156" s="20"/>
      <c r="BL156" s="20"/>
    </row>
    <row r="157" s="1" customFormat="true" ht="13.8" hidden="false" customHeight="false" outlineLevel="0" collapsed="false">
      <c r="O157" s="45"/>
      <c r="P157" s="45"/>
      <c r="Q157" s="45"/>
      <c r="R157" s="45"/>
      <c r="S157" s="45"/>
      <c r="T157" s="46"/>
      <c r="U157" s="45"/>
      <c r="V157" s="45"/>
      <c r="X157" s="45"/>
      <c r="AA157" s="4"/>
      <c r="AJ157" s="45"/>
      <c r="AP157" s="45"/>
      <c r="AQ157" s="45"/>
      <c r="BE157" s="4"/>
      <c r="BK157" s="20"/>
      <c r="BL157" s="20"/>
    </row>
    <row r="158" s="1" customFormat="true" ht="13.8" hidden="false" customHeight="false" outlineLevel="0" collapsed="false">
      <c r="O158" s="45"/>
      <c r="P158" s="45"/>
      <c r="Q158" s="45"/>
      <c r="R158" s="45"/>
      <c r="S158" s="45"/>
      <c r="T158" s="46"/>
      <c r="U158" s="45"/>
      <c r="V158" s="45"/>
      <c r="X158" s="45"/>
      <c r="AA158" s="4"/>
      <c r="AJ158" s="45"/>
      <c r="AP158" s="45"/>
      <c r="AQ158" s="45"/>
      <c r="BE158" s="4"/>
      <c r="BK158" s="20"/>
      <c r="BL158" s="20"/>
    </row>
    <row r="159" s="1" customFormat="true" ht="13.8" hidden="false" customHeight="false" outlineLevel="0" collapsed="false">
      <c r="O159" s="45"/>
      <c r="P159" s="45"/>
      <c r="Q159" s="45"/>
      <c r="R159" s="45"/>
      <c r="S159" s="45"/>
      <c r="T159" s="46"/>
      <c r="U159" s="45"/>
      <c r="V159" s="45"/>
      <c r="X159" s="45"/>
      <c r="AA159" s="4"/>
      <c r="AJ159" s="45"/>
      <c r="AP159" s="45"/>
      <c r="AQ159" s="45"/>
      <c r="BE159" s="4"/>
      <c r="BK159" s="20"/>
      <c r="BL159" s="20"/>
    </row>
    <row r="160" s="1" customFormat="true" ht="13.8" hidden="false" customHeight="false" outlineLevel="0" collapsed="false">
      <c r="O160" s="45"/>
      <c r="P160" s="45"/>
      <c r="Q160" s="45"/>
      <c r="R160" s="45"/>
      <c r="S160" s="45"/>
      <c r="T160" s="46"/>
      <c r="U160" s="45"/>
      <c r="V160" s="45"/>
      <c r="X160" s="45"/>
      <c r="AA160" s="4"/>
      <c r="AJ160" s="45"/>
      <c r="AP160" s="45"/>
      <c r="AQ160" s="45"/>
      <c r="BE160" s="4"/>
      <c r="BK160" s="20"/>
      <c r="BL160" s="20"/>
    </row>
    <row r="161" s="1" customFormat="true" ht="13.8" hidden="false" customHeight="false" outlineLevel="0" collapsed="false">
      <c r="O161" s="45"/>
      <c r="P161" s="45"/>
      <c r="Q161" s="45"/>
      <c r="R161" s="45"/>
      <c r="S161" s="45"/>
      <c r="T161" s="46"/>
      <c r="U161" s="45"/>
      <c r="V161" s="45"/>
      <c r="X161" s="45"/>
      <c r="AA161" s="4"/>
      <c r="AJ161" s="45"/>
      <c r="AP161" s="45"/>
      <c r="AQ161" s="45"/>
      <c r="BE161" s="4"/>
      <c r="BK161" s="20"/>
      <c r="BL161" s="20"/>
    </row>
    <row r="162" s="1" customFormat="true" ht="13.8" hidden="false" customHeight="false" outlineLevel="0" collapsed="false">
      <c r="O162" s="45"/>
      <c r="P162" s="45"/>
      <c r="Q162" s="45"/>
      <c r="R162" s="45"/>
      <c r="S162" s="45"/>
      <c r="T162" s="46"/>
      <c r="U162" s="45"/>
      <c r="V162" s="45"/>
      <c r="X162" s="45"/>
      <c r="AA162" s="4"/>
      <c r="AJ162" s="45"/>
      <c r="AP162" s="45"/>
      <c r="AQ162" s="45"/>
      <c r="BE162" s="4"/>
      <c r="BK162" s="20"/>
      <c r="BL162" s="20"/>
    </row>
    <row r="163" s="1" customFormat="true" ht="13.8" hidden="false" customHeight="false" outlineLevel="0" collapsed="false">
      <c r="O163" s="45"/>
      <c r="P163" s="45"/>
      <c r="Q163" s="45"/>
      <c r="R163" s="45"/>
      <c r="S163" s="45"/>
      <c r="T163" s="46"/>
      <c r="U163" s="45"/>
      <c r="V163" s="45"/>
      <c r="X163" s="45"/>
      <c r="AA163" s="4"/>
      <c r="AJ163" s="45"/>
      <c r="AP163" s="45"/>
      <c r="AQ163" s="45"/>
      <c r="BE163" s="4"/>
      <c r="BK163" s="20"/>
      <c r="BL163" s="20"/>
    </row>
    <row r="164" s="1" customFormat="true" ht="13.8" hidden="false" customHeight="false" outlineLevel="0" collapsed="false">
      <c r="O164" s="45"/>
      <c r="P164" s="45"/>
      <c r="Q164" s="45"/>
      <c r="R164" s="45"/>
      <c r="S164" s="45"/>
      <c r="T164" s="46"/>
      <c r="U164" s="45"/>
      <c r="V164" s="45"/>
      <c r="X164" s="45"/>
      <c r="AA164" s="4"/>
      <c r="AJ164" s="45"/>
      <c r="AP164" s="45"/>
      <c r="AQ164" s="45"/>
      <c r="BE164" s="4"/>
      <c r="BK164" s="20"/>
      <c r="BL164" s="20"/>
    </row>
    <row r="165" s="1" customFormat="true" ht="13.8" hidden="false" customHeight="false" outlineLevel="0" collapsed="false">
      <c r="O165" s="45"/>
      <c r="P165" s="45"/>
      <c r="Q165" s="45"/>
      <c r="R165" s="45"/>
      <c r="S165" s="45"/>
      <c r="T165" s="46"/>
      <c r="U165" s="45"/>
      <c r="V165" s="45"/>
      <c r="X165" s="45"/>
      <c r="AA165" s="4"/>
      <c r="AJ165" s="45"/>
      <c r="AP165" s="45"/>
      <c r="AQ165" s="45"/>
      <c r="BE165" s="4"/>
      <c r="BK165" s="20"/>
      <c r="BL165" s="20"/>
    </row>
    <row r="166" s="1" customFormat="true" ht="13.8" hidden="false" customHeight="false" outlineLevel="0" collapsed="false">
      <c r="O166" s="45"/>
      <c r="P166" s="45"/>
      <c r="Q166" s="45"/>
      <c r="R166" s="45"/>
      <c r="S166" s="45"/>
      <c r="T166" s="46"/>
      <c r="U166" s="45"/>
      <c r="V166" s="45"/>
      <c r="X166" s="45"/>
      <c r="AA166" s="4"/>
      <c r="AJ166" s="45"/>
      <c r="AP166" s="45"/>
      <c r="AQ166" s="45"/>
      <c r="BE166" s="4"/>
      <c r="BK166" s="20"/>
      <c r="BL166" s="20"/>
    </row>
    <row r="167" s="1" customFormat="true" ht="13.8" hidden="false" customHeight="false" outlineLevel="0" collapsed="false">
      <c r="O167" s="45"/>
      <c r="P167" s="45"/>
      <c r="Q167" s="45"/>
      <c r="R167" s="45"/>
      <c r="S167" s="45"/>
      <c r="T167" s="46"/>
      <c r="U167" s="45"/>
      <c r="V167" s="45"/>
      <c r="X167" s="45"/>
      <c r="AA167" s="4"/>
      <c r="AJ167" s="45"/>
      <c r="AP167" s="45"/>
      <c r="AQ167" s="45"/>
      <c r="BE167" s="4"/>
      <c r="BK167" s="20"/>
      <c r="BL167" s="20"/>
    </row>
    <row r="168" s="1" customFormat="true" ht="13.8" hidden="false" customHeight="false" outlineLevel="0" collapsed="false">
      <c r="O168" s="45"/>
      <c r="P168" s="45"/>
      <c r="Q168" s="45"/>
      <c r="R168" s="45"/>
      <c r="S168" s="45"/>
      <c r="T168" s="46"/>
      <c r="U168" s="45"/>
      <c r="V168" s="45"/>
      <c r="X168" s="45"/>
      <c r="AA168" s="4"/>
      <c r="AJ168" s="45"/>
      <c r="AP168" s="45"/>
      <c r="AQ168" s="45"/>
      <c r="BE168" s="4"/>
      <c r="BK168" s="20"/>
      <c r="BL168" s="20"/>
    </row>
    <row r="169" s="1" customFormat="true" ht="13.8" hidden="false" customHeight="false" outlineLevel="0" collapsed="false">
      <c r="O169" s="45"/>
      <c r="P169" s="45"/>
      <c r="Q169" s="45"/>
      <c r="R169" s="45"/>
      <c r="S169" s="45"/>
      <c r="T169" s="46"/>
      <c r="U169" s="45"/>
      <c r="V169" s="45"/>
      <c r="X169" s="45"/>
      <c r="AA169" s="4"/>
      <c r="AJ169" s="45"/>
      <c r="AP169" s="45"/>
      <c r="AQ169" s="45"/>
      <c r="BE169" s="4"/>
      <c r="BK169" s="20"/>
      <c r="BL169" s="20"/>
    </row>
    <row r="170" s="1" customFormat="true" ht="13.8" hidden="false" customHeight="false" outlineLevel="0" collapsed="false">
      <c r="O170" s="45"/>
      <c r="P170" s="45"/>
      <c r="Q170" s="45"/>
      <c r="R170" s="45"/>
      <c r="S170" s="45"/>
      <c r="T170" s="46"/>
      <c r="U170" s="45"/>
      <c r="V170" s="45"/>
      <c r="X170" s="45"/>
      <c r="AA170" s="4"/>
      <c r="AJ170" s="45"/>
      <c r="AP170" s="45"/>
      <c r="AQ170" s="45"/>
      <c r="BE170" s="4"/>
      <c r="BK170" s="20"/>
      <c r="BL170" s="20"/>
    </row>
    <row r="171" s="1" customFormat="true" ht="13.8" hidden="false" customHeight="false" outlineLevel="0" collapsed="false">
      <c r="O171" s="45"/>
      <c r="P171" s="45"/>
      <c r="Q171" s="45"/>
      <c r="R171" s="45"/>
      <c r="S171" s="45"/>
      <c r="T171" s="45"/>
      <c r="U171" s="45"/>
      <c r="V171" s="45"/>
      <c r="X171" s="45"/>
      <c r="AA171" s="4"/>
      <c r="AJ171" s="45"/>
      <c r="AP171" s="45"/>
      <c r="AQ171" s="45"/>
      <c r="BE171" s="4"/>
      <c r="BK171" s="20"/>
      <c r="BL171" s="20"/>
    </row>
    <row r="172" s="1" customFormat="true" ht="13.8" hidden="false" customHeight="false" outlineLevel="0" collapsed="false">
      <c r="O172" s="45"/>
      <c r="P172" s="45"/>
      <c r="Q172" s="45"/>
      <c r="R172" s="45"/>
      <c r="S172" s="45"/>
      <c r="T172" s="45"/>
      <c r="U172" s="45"/>
      <c r="V172" s="45"/>
      <c r="X172" s="45"/>
      <c r="AA172" s="4"/>
      <c r="AJ172" s="45"/>
      <c r="AP172" s="45"/>
      <c r="AQ172" s="45"/>
      <c r="BE172" s="4"/>
      <c r="BK172" s="20"/>
      <c r="BL172" s="20"/>
    </row>
    <row r="173" s="1" customFormat="true" ht="13.8" hidden="false" customHeight="false" outlineLevel="0" collapsed="false">
      <c r="O173" s="45"/>
      <c r="P173" s="45"/>
      <c r="Q173" s="45"/>
      <c r="R173" s="45"/>
      <c r="S173" s="45"/>
      <c r="T173" s="45"/>
      <c r="U173" s="45"/>
      <c r="V173" s="45"/>
      <c r="X173" s="45"/>
      <c r="AA173" s="4"/>
      <c r="AJ173" s="45"/>
      <c r="AP173" s="45"/>
      <c r="AQ173" s="45"/>
      <c r="BE173" s="4"/>
      <c r="BK173" s="20"/>
      <c r="BL173" s="20"/>
    </row>
    <row r="174" s="1" customFormat="true" ht="13.8" hidden="false" customHeight="false" outlineLevel="0" collapsed="false">
      <c r="O174" s="45"/>
      <c r="P174" s="45"/>
      <c r="Q174" s="45"/>
      <c r="R174" s="45"/>
      <c r="S174" s="45"/>
      <c r="T174" s="45"/>
      <c r="U174" s="45"/>
      <c r="V174" s="45"/>
      <c r="X174" s="45"/>
      <c r="AA174" s="4"/>
      <c r="AJ174" s="45"/>
      <c r="AP174" s="45"/>
      <c r="AQ174" s="45"/>
      <c r="BE174" s="4"/>
      <c r="BK174" s="20"/>
      <c r="BL174" s="20"/>
    </row>
    <row r="175" s="1" customFormat="true" ht="13.8" hidden="false" customHeight="false" outlineLevel="0" collapsed="false">
      <c r="O175" s="45"/>
      <c r="P175" s="45"/>
      <c r="Q175" s="45"/>
      <c r="R175" s="45"/>
      <c r="S175" s="45"/>
      <c r="T175" s="45"/>
      <c r="U175" s="45"/>
      <c r="V175" s="45"/>
      <c r="X175" s="45"/>
      <c r="AA175" s="4"/>
      <c r="AJ175" s="45"/>
      <c r="AP175" s="45"/>
      <c r="AQ175" s="45"/>
      <c r="BE175" s="4"/>
      <c r="BK175" s="20"/>
      <c r="BL175" s="20"/>
    </row>
    <row r="176" s="1" customFormat="true" ht="13.8" hidden="false" customHeight="false" outlineLevel="0" collapsed="false">
      <c r="O176" s="45"/>
      <c r="P176" s="45"/>
      <c r="Q176" s="45"/>
      <c r="R176" s="45"/>
      <c r="S176" s="45"/>
      <c r="T176" s="45"/>
      <c r="U176" s="45"/>
      <c r="V176" s="45"/>
      <c r="X176" s="45"/>
      <c r="AA176" s="4"/>
      <c r="AJ176" s="45"/>
      <c r="AP176" s="45"/>
      <c r="AQ176" s="45"/>
      <c r="BE176" s="4"/>
      <c r="BK176" s="20"/>
      <c r="BL176" s="20"/>
      <c r="CC176" s="10"/>
    </row>
    <row r="177" s="1" customFormat="true" ht="13.8" hidden="false" customHeight="false" outlineLevel="0" collapsed="false">
      <c r="O177" s="45"/>
      <c r="P177" s="45"/>
      <c r="Q177" s="45"/>
      <c r="R177" s="45"/>
      <c r="S177" s="45"/>
      <c r="T177" s="45"/>
      <c r="U177" s="45"/>
      <c r="V177" s="45"/>
      <c r="X177" s="45"/>
      <c r="AA177" s="4"/>
      <c r="AJ177" s="45"/>
      <c r="AP177" s="45"/>
      <c r="AQ177" s="45"/>
      <c r="BE177" s="4"/>
      <c r="BK177" s="20"/>
      <c r="BL177" s="20"/>
      <c r="CC177" s="10"/>
    </row>
    <row r="178" s="1" customFormat="true" ht="13.8" hidden="false" customHeight="false" outlineLevel="0" collapsed="false">
      <c r="O178" s="45"/>
      <c r="P178" s="45"/>
      <c r="Q178" s="45"/>
      <c r="R178" s="45"/>
      <c r="S178" s="45"/>
      <c r="T178" s="45"/>
      <c r="U178" s="45"/>
      <c r="V178" s="45"/>
      <c r="X178" s="45"/>
      <c r="AA178" s="4"/>
      <c r="AJ178" s="45"/>
      <c r="AP178" s="45"/>
      <c r="AQ178" s="45"/>
      <c r="BE178" s="4"/>
      <c r="BK178" s="20"/>
      <c r="BL178" s="20"/>
      <c r="CC178" s="10"/>
    </row>
    <row r="179" s="1" customFormat="true" ht="13.8" hidden="false" customHeight="false" outlineLevel="0" collapsed="false">
      <c r="O179" s="45"/>
      <c r="P179" s="45"/>
      <c r="Q179" s="45"/>
      <c r="R179" s="45"/>
      <c r="S179" s="45"/>
      <c r="T179" s="45"/>
      <c r="U179" s="45"/>
      <c r="V179" s="45"/>
      <c r="X179" s="45"/>
      <c r="AA179" s="4"/>
      <c r="AJ179" s="45"/>
      <c r="AP179" s="45"/>
      <c r="AQ179" s="45"/>
      <c r="BE179" s="4"/>
      <c r="BK179" s="20"/>
      <c r="BL179" s="20"/>
      <c r="CC179" s="10"/>
    </row>
    <row r="180" s="1" customFormat="true" ht="13.8" hidden="false" customHeight="false" outlineLevel="0" collapsed="false">
      <c r="O180" s="45"/>
      <c r="P180" s="45"/>
      <c r="Q180" s="45"/>
      <c r="R180" s="45"/>
      <c r="S180" s="45"/>
      <c r="T180" s="45"/>
      <c r="U180" s="45"/>
      <c r="V180" s="45"/>
      <c r="X180" s="45"/>
      <c r="AA180" s="4"/>
      <c r="AJ180" s="45"/>
      <c r="AP180" s="45"/>
      <c r="AQ180" s="45"/>
      <c r="BE180" s="4"/>
      <c r="BK180" s="20"/>
      <c r="BL180" s="20"/>
      <c r="CC180" s="10"/>
    </row>
    <row r="181" s="1" customFormat="true" ht="13.8" hidden="false" customHeight="false" outlineLevel="0" collapsed="false">
      <c r="O181" s="45"/>
      <c r="P181" s="45"/>
      <c r="Q181" s="45"/>
      <c r="R181" s="45"/>
      <c r="S181" s="45"/>
      <c r="T181" s="45"/>
      <c r="U181" s="45"/>
      <c r="V181" s="45"/>
      <c r="X181" s="45"/>
      <c r="AA181" s="4"/>
      <c r="AJ181" s="45"/>
      <c r="AP181" s="45"/>
      <c r="AQ181" s="45"/>
      <c r="BE181" s="4"/>
      <c r="BK181" s="20"/>
      <c r="BL181" s="20"/>
      <c r="CC181" s="10"/>
    </row>
    <row r="182" s="1" customFormat="true" ht="13.8" hidden="false" customHeight="false" outlineLevel="0" collapsed="false">
      <c r="O182" s="45"/>
      <c r="P182" s="45"/>
      <c r="Q182" s="45"/>
      <c r="R182" s="45"/>
      <c r="S182" s="45"/>
      <c r="T182" s="45"/>
      <c r="U182" s="45"/>
      <c r="V182" s="45"/>
      <c r="X182" s="45"/>
      <c r="AA182" s="4"/>
      <c r="AJ182" s="45"/>
      <c r="AP182" s="45"/>
      <c r="AQ182" s="45"/>
      <c r="BE182" s="4"/>
      <c r="BK182" s="20"/>
      <c r="BL182" s="20"/>
      <c r="CC182" s="10"/>
    </row>
    <row r="183" s="1" customFormat="true" ht="13.8" hidden="false" customHeight="false" outlineLevel="0" collapsed="false">
      <c r="O183" s="45"/>
      <c r="P183" s="45"/>
      <c r="Q183" s="45"/>
      <c r="R183" s="45"/>
      <c r="S183" s="45"/>
      <c r="T183" s="45"/>
      <c r="U183" s="45"/>
      <c r="V183" s="45"/>
      <c r="X183" s="45"/>
      <c r="AA183" s="4"/>
      <c r="AJ183" s="45"/>
      <c r="AP183" s="45"/>
      <c r="AQ183" s="45"/>
      <c r="BE183" s="4"/>
      <c r="BK183" s="20"/>
      <c r="BL183" s="20"/>
      <c r="CC183" s="10"/>
    </row>
    <row r="184" s="1" customFormat="true" ht="13.8" hidden="false" customHeight="false" outlineLevel="0" collapsed="false">
      <c r="O184" s="45"/>
      <c r="P184" s="45"/>
      <c r="Q184" s="45"/>
      <c r="R184" s="45"/>
      <c r="S184" s="45"/>
      <c r="T184" s="45"/>
      <c r="U184" s="45"/>
      <c r="V184" s="45"/>
      <c r="X184" s="45"/>
      <c r="AA184" s="4"/>
      <c r="AJ184" s="45"/>
      <c r="AP184" s="45"/>
      <c r="AQ184" s="45"/>
      <c r="BE184" s="4"/>
      <c r="BK184" s="20"/>
      <c r="BL184" s="20"/>
      <c r="CC184" s="10"/>
    </row>
    <row r="185" s="1" customFormat="true" ht="13.8" hidden="false" customHeight="false" outlineLevel="0" collapsed="false">
      <c r="O185" s="45"/>
      <c r="P185" s="45"/>
      <c r="Q185" s="45"/>
      <c r="R185" s="45"/>
      <c r="S185" s="45"/>
      <c r="T185" s="45"/>
      <c r="U185" s="45"/>
      <c r="V185" s="45"/>
      <c r="X185" s="45"/>
      <c r="AA185" s="4"/>
      <c r="AJ185" s="45"/>
      <c r="AP185" s="45"/>
      <c r="AQ185" s="45"/>
      <c r="BE185" s="4"/>
      <c r="BK185" s="20"/>
      <c r="BL185" s="20"/>
      <c r="CC185" s="10"/>
    </row>
    <row r="186" s="1" customFormat="true" ht="13.8" hidden="false" customHeight="false" outlineLevel="0" collapsed="false">
      <c r="O186" s="45"/>
      <c r="P186" s="45"/>
      <c r="Q186" s="45"/>
      <c r="R186" s="45"/>
      <c r="S186" s="45"/>
      <c r="T186" s="45"/>
      <c r="U186" s="45"/>
      <c r="V186" s="45"/>
      <c r="X186" s="45"/>
      <c r="AA186" s="4"/>
      <c r="AJ186" s="45"/>
      <c r="AP186" s="45"/>
      <c r="AQ186" s="45"/>
      <c r="BE186" s="4"/>
      <c r="BK186" s="20"/>
      <c r="BL186" s="20"/>
      <c r="CC186" s="10"/>
    </row>
    <row r="1048576" customFormat="false" ht="12.8" hidden="false" customHeight="true" outlineLevel="0" collapsed="false"/>
  </sheetData>
  <autoFilter ref="A1:CH122"/>
  <conditionalFormatting sqref="C12:C13 C78 C34">
    <cfRule type="duplicateValues" priority="2" aboveAverage="0" equalAverage="0" bottom="0" percent="0" rank="0" text="" dxfId="11"/>
  </conditionalFormatting>
  <conditionalFormatting sqref="C56:C57">
    <cfRule type="duplicateValues" priority="3" aboveAverage="0" equalAverage="0" bottom="0" percent="0" rank="0" text="" dxfId="12"/>
  </conditionalFormatting>
  <conditionalFormatting sqref="C77">
    <cfRule type="duplicateValues" priority="4" aboveAverage="0" equalAverage="0" bottom="0" percent="0" rank="0" text="" dxfId="11"/>
  </conditionalFormatting>
  <conditionalFormatting sqref="C89 C55 C52">
    <cfRule type="duplicateValues" priority="5" aboveAverage="0" equalAverage="0" bottom="0" percent="0" rank="0" text="" dxfId="13"/>
  </conditionalFormatting>
  <conditionalFormatting sqref="C67 C60 C62">
    <cfRule type="duplicateValues" priority="6" aboveAverage="0" equalAverage="0" bottom="0" percent="0" rank="0" text="" dxfId="14"/>
  </conditionalFormatting>
  <conditionalFormatting sqref="C61 C63">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0:C21">
    <cfRule type="duplicateValues" priority="9" aboveAverage="0" equalAverage="0" bottom="0" percent="0" rank="0" text="" dxfId="16"/>
  </conditionalFormatting>
  <conditionalFormatting sqref="C73:C76 C87:C88">
    <cfRule type="duplicateValues" priority="10" aboveAverage="0" equalAverage="0" bottom="0" percent="0" rank="0" text="" dxfId="17"/>
  </conditionalFormatting>
  <conditionalFormatting sqref="C64:C65 C58:C59">
    <cfRule type="duplicateValues" priority="11" aboveAverage="0" equalAverage="0" bottom="0" percent="0" rank="0" text="" dxfId="18"/>
  </conditionalFormatting>
  <conditionalFormatting sqref="C37:C42 C31:C33">
    <cfRule type="duplicateValues" priority="12" aboveAverage="0" equalAverage="0" bottom="0" percent="0" rank="0" text="" dxfId="19"/>
  </conditionalFormatting>
  <conditionalFormatting sqref="C81:C86">
    <cfRule type="duplicateValues" priority="13" aboveAverage="0" equalAverage="0" bottom="0" percent="0" rank="0" text="" dxfId="20"/>
  </conditionalFormatting>
  <dataValidations count="19">
    <dataValidation allowBlank="true" errorStyle="stop" operator="equal" showDropDown="false" showErrorMessage="true" showInputMessage="true" sqref="BZ1 BZ35:BZ36"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22:BZ27 BZ34 BZ66 BZ68:BZ72 BZ78:BZ80" type="list">
      <formula1>'Gameplay Planning'!$1:$1</formula1>
      <formula2>0</formula2>
    </dataValidation>
    <dataValidation allowBlank="true" errorStyle="stop" operator="equal" showDropDown="false" showErrorMessage="true" showInputMessage="true" sqref="BZ14:BZ19 BZ28:BZ30" type="list">
      <formula1>'Gameplay Planning'!$1:$1</formula1>
      <formula2>0</formula2>
    </dataValidation>
    <dataValidation allowBlank="true" errorStyle="stop" operator="equal" showDropDown="false" showErrorMessage="true" showInputMessage="true" sqref="BZ20:BZ21" type="list">
      <formula1>'Gameplay Planning'!$1:$1</formula1>
      <formula2>0</formula2>
    </dataValidation>
    <dataValidation allowBlank="true" errorStyle="stop" operator="equal" showDropDown="false" showErrorMessage="true" showInputMessage="true" sqref="BZ43:BZ47 BZ50:BZ51" type="list">
      <formula1>'Gameplay Planning'!$1:$1</formula1>
      <formula2>0</formula2>
    </dataValidation>
    <dataValidation allowBlank="true" errorStyle="stop" operator="equal" showDropDown="false" showErrorMessage="true" showInputMessage="true" sqref="BZ48:BZ49" type="list">
      <formula1>'Gameplay Planning'!$1:$1</formula1>
      <formula2>0</formula2>
    </dataValidation>
    <dataValidation allowBlank="true" errorStyle="stop" operator="equal" showDropDown="false" showErrorMessage="true" showInputMessage="true" sqref="BZ52:BZ55 BZ89" type="list">
      <formula1>'Gameplay Planning'!$1:$1</formula1>
      <formula2>0</formula2>
    </dataValidation>
    <dataValidation allowBlank="true" errorStyle="stop" operator="equal" showDropDown="false" showErrorMessage="true" showInputMessage="true" sqref="BZ56:BZ57" type="list">
      <formula1>'Gameplay Planning'!$1:$1</formula1>
      <formula2>0</formula2>
    </dataValidation>
    <dataValidation allowBlank="true" errorStyle="stop" operator="equal" showDropDown="false" showErrorMessage="true" showInputMessage="true" sqref="BZ60:BZ64 BZ67" type="list">
      <formula1>'Gameplay Planning'!$1:$1</formula1>
      <formula2>0</formula2>
    </dataValidation>
    <dataValidation allowBlank="true" errorStyle="stop" operator="equal" showDropDown="false" showErrorMessage="true" showInputMessage="true" sqref="BZ77" type="list">
      <formula1>'Gameplay Planning'!$1:$1</formula1>
      <formula2>0</formula2>
    </dataValidation>
    <dataValidation allowBlank="true" errorStyle="stop" operator="equal" showDropDown="false" showErrorMessage="true" showInputMessage="true" sqref="BZ90:BZ92 BZ94:BZ99" type="list">
      <formula1>'Gameplay Planning'!$1:$1</formula1>
      <formula2>0</formula2>
    </dataValidation>
    <dataValidation allowBlank="true" errorStyle="stop" operator="equal" showDropDown="false" showErrorMessage="true" showInputMessage="true" sqref="BZ93 BZ100:BZ105" type="list">
      <formula1>'Gameplay Planning'!$1:$1</formula1>
      <formula2>0</formula2>
    </dataValidation>
    <dataValidation allowBlank="true" errorStyle="stop" operator="equal" showDropDown="false" showErrorMessage="true" showInputMessage="true" sqref="BZ106:BZ122" type="list">
      <formula1>'Gameplay Planning'!$1:$1</formula1>
      <formula2>0</formula2>
    </dataValidation>
    <dataValidation allowBlank="true" errorStyle="stop" operator="equal" showDropDown="false" showErrorMessage="true" showInputMessage="true" sqref="CB143 CB187:CB1101" type="list">
      <formula1>'Gameplay Planning'!$1:$1</formula1>
      <formula2>0</formula2>
    </dataValidation>
    <dataValidation allowBlank="true" errorStyle="stop" operator="between" showDropDown="false" showErrorMessage="true" showInputMessage="true" sqref="BZ73:BZ76 BZ87:BZ88" type="list">
      <formula1>'Gameplay Planning'!$1:$1</formula1>
      <formula2>0</formula2>
    </dataValidation>
    <dataValidation allowBlank="true" errorStyle="stop" operator="between" showDropDown="false" showErrorMessage="true" showInputMessage="true" sqref="BZ58:BZ59 BZ65" type="list">
      <formula1>'Gameplay Planning'!$1:$1</formula1>
      <formula2>0</formula2>
    </dataValidation>
    <dataValidation allowBlank="true" errorStyle="stop" operator="between" showDropDown="false" showErrorMessage="true" showInputMessage="true" sqref="BZ31:BZ33 BZ37:BZ42" type="list">
      <formula1>'Gameplay Planning'!$1:$1</formula1>
      <formula2>0</formula2>
    </dataValidation>
    <dataValidation allowBlank="true" errorStyle="stop" operator="between" showDropDown="false" showErrorMessage="true" showInputMessage="true" sqref="BZ81:BZ8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2" width="28.99"/>
    <col collapsed="false" customWidth="true" hidden="false" outlineLevel="0" max="4" min="3" style="32" width="17.3"/>
    <col collapsed="false" customWidth="true" hidden="false" outlineLevel="0" max="5" min="5" style="32" width="6.57"/>
    <col collapsed="false" customWidth="true" hidden="false" outlineLevel="0" max="8" min="8" style="32" width="11.99"/>
    <col collapsed="false" customWidth="true" hidden="false" outlineLevel="0" max="10" min="9" style="32" width="16.14"/>
    <col collapsed="false" customWidth="true" hidden="false" outlineLevel="0" max="11" min="11" style="32" width="13.3"/>
    <col collapsed="false" customWidth="true" hidden="false" outlineLevel="0" max="13" min="13" style="32" width="14.01"/>
    <col collapsed="false" customWidth="true" hidden="false" outlineLevel="0" max="15" min="15" style="32" width="13.7"/>
    <col collapsed="false" customWidth="true" hidden="false" outlineLevel="0" max="16" min="16" style="32" width="3.15"/>
    <col collapsed="false" customWidth="true" hidden="false" outlineLevel="0" max="18" min="18" style="32" width="12.57"/>
    <col collapsed="false" customWidth="true" hidden="false" outlineLevel="0" max="19" min="19" style="32" width="12.43"/>
    <col collapsed="false" customWidth="true" hidden="false" outlineLevel="0" max="20" min="20" style="32" width="10.85"/>
    <col collapsed="false" customWidth="true" hidden="false" outlineLevel="0" max="21" min="21" style="32" width="4.43"/>
    <col collapsed="false" customWidth="true" hidden="false" outlineLevel="0" max="22" min="22" style="32" width="7"/>
  </cols>
  <sheetData>
    <row r="1" customFormat="false" ht="15" hidden="false" customHeight="false" outlineLevel="0" collapsed="false">
      <c r="C1" s="47" t="s">
        <v>665</v>
      </c>
      <c r="D1" s="47" t="s">
        <v>666</v>
      </c>
      <c r="E1" s="47" t="s">
        <v>154</v>
      </c>
      <c r="F1" s="47" t="s">
        <v>361</v>
      </c>
      <c r="G1" s="47" t="s">
        <v>376</v>
      </c>
      <c r="H1" s="47" t="s">
        <v>475</v>
      </c>
      <c r="I1" s="47" t="s">
        <v>342</v>
      </c>
      <c r="J1" s="47" t="s">
        <v>667</v>
      </c>
      <c r="K1" s="47" t="s">
        <v>266</v>
      </c>
      <c r="L1" s="47" t="s">
        <v>166</v>
      </c>
      <c r="M1" s="47" t="s">
        <v>205</v>
      </c>
      <c r="N1" s="47" t="s">
        <v>97</v>
      </c>
      <c r="O1" s="47" t="s">
        <v>226</v>
      </c>
      <c r="P1" s="47" t="s">
        <v>668</v>
      </c>
      <c r="Q1" s="47" t="s">
        <v>595</v>
      </c>
      <c r="R1" s="47" t="s">
        <v>608</v>
      </c>
      <c r="S1" s="47" t="s">
        <v>669</v>
      </c>
      <c r="T1" s="47" t="s">
        <v>590</v>
      </c>
      <c r="U1" s="47" t="s">
        <v>576</v>
      </c>
      <c r="V1" s="47" t="s">
        <v>531</v>
      </c>
      <c r="W1" s="47" t="s">
        <v>549</v>
      </c>
    </row>
    <row r="2" customFormat="false" ht="15" hidden="false" customHeight="false" outlineLevel="0" collapsed="false">
      <c r="A2" s="47" t="s">
        <v>670</v>
      </c>
      <c r="B2" s="47" t="s">
        <v>671</v>
      </c>
    </row>
    <row r="3" customFormat="false" ht="15" hidden="false" customHeight="false" outlineLevel="0" collapsed="false">
      <c r="A3" s="32" t="s">
        <v>672</v>
      </c>
      <c r="B3" s="32"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2" t="s">
        <v>673</v>
      </c>
      <c r="B4" s="32"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2" t="s">
        <v>96</v>
      </c>
      <c r="B5" s="32"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2" t="s">
        <v>143</v>
      </c>
      <c r="B6" s="32"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2</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2" t="s">
        <v>674</v>
      </c>
      <c r="B7" s="32"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2" t="s">
        <v>204</v>
      </c>
      <c r="B8" s="32"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2</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1</v>
      </c>
      <c r="V8" s="19" t="n">
        <f aca="false">COUNTIF(Table!$CA:$CA,CONCATENATE($A8,"_",V$1))</f>
        <v>4</v>
      </c>
      <c r="W8" s="19" t="n">
        <f aca="false">COUNTIF(Table!$CA:$CA,CONCATENATE($A8,"_",W$1))</f>
        <v>0</v>
      </c>
    </row>
    <row r="9" customFormat="false" ht="15" hidden="false" customHeight="false" outlineLevel="0" collapsed="false">
      <c r="A9" s="32" t="s">
        <v>244</v>
      </c>
      <c r="B9" s="32"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2</v>
      </c>
      <c r="L9" s="19" t="n">
        <f aca="false">COUNTIF(Table!$CA:$CA,CONCATENATE($A9,"_",L$1))</f>
        <v>8</v>
      </c>
      <c r="M9" s="19" t="n">
        <f aca="false">COUNTIF(Table!$CA:$CA,CONCATENATE($A9,"_",M$1))</f>
        <v>2</v>
      </c>
      <c r="N9" s="19" t="n">
        <f aca="false">COUNTIF(Table!$CA:$CA,CONCATENATE($A9,"_",N$1))</f>
        <v>3</v>
      </c>
      <c r="O9" s="19" t="n">
        <f aca="false">COUNTIF(Table!$CA:$CA,CONCATENATE($A9,"_",O$1))</f>
        <v>14</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1</v>
      </c>
      <c r="U9" s="19" t="n">
        <f aca="false">COUNTIF(Table!$CA:$CA,CONCATENATE($A9,"_",U$1))</f>
        <v>2</v>
      </c>
      <c r="V9" s="19" t="n">
        <f aca="false">COUNTIF(Table!$CA:$CA,CONCATENATE($A9,"_",V$1))</f>
        <v>1</v>
      </c>
      <c r="W9" s="19" t="n">
        <f aca="false">COUNTIF(Table!$CA:$CA,CONCATENATE($A9,"_",W$1))</f>
        <v>0</v>
      </c>
    </row>
    <row r="10" customFormat="false" ht="15" hidden="false" customHeight="false" outlineLevel="0" collapsed="false">
      <c r="A10" s="32" t="s">
        <v>439</v>
      </c>
      <c r="B10" s="32"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2</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2" t="s">
        <v>482</v>
      </c>
      <c r="B11" s="32"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10</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21">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2" width="9.58"/>
    <col collapsed="false" customWidth="true" hidden="false" outlineLevel="0" max="2" min="2" style="32" width="5.43"/>
    <col collapsed="false" customWidth="true" hidden="false" outlineLevel="0" max="3" min="3" style="32" width="28.99"/>
  </cols>
  <sheetData>
    <row r="1" customFormat="false" ht="15" hidden="false" customHeight="false" outlineLevel="0" collapsed="false">
      <c r="A1" s="47" t="s">
        <v>675</v>
      </c>
      <c r="B1" s="47" t="s">
        <v>676</v>
      </c>
      <c r="C1" s="47" t="s">
        <v>677</v>
      </c>
    </row>
    <row r="2" customFormat="false" ht="15" hidden="false" customHeight="false" outlineLevel="0" collapsed="false">
      <c r="A2" s="32" t="n">
        <v>1700</v>
      </c>
      <c r="B2" s="32" t="s">
        <v>672</v>
      </c>
      <c r="C2" s="32" t="s">
        <v>678</v>
      </c>
    </row>
    <row r="3" customFormat="false" ht="15" hidden="false" customHeight="false" outlineLevel="0" collapsed="false">
      <c r="A3" s="32" t="n">
        <v>1850</v>
      </c>
      <c r="B3" s="32" t="s">
        <v>673</v>
      </c>
      <c r="C3" s="32" t="s">
        <v>679</v>
      </c>
    </row>
    <row r="4" customFormat="false" ht="15" hidden="false" customHeight="false" outlineLevel="0" collapsed="false">
      <c r="A4" s="32" t="n">
        <v>1900</v>
      </c>
      <c r="B4" s="32" t="s">
        <v>96</v>
      </c>
      <c r="C4" s="32" t="s">
        <v>680</v>
      </c>
    </row>
    <row r="5" customFormat="false" ht="15" hidden="false" customHeight="false" outlineLevel="0" collapsed="false">
      <c r="A5" s="32" t="n">
        <v>1923</v>
      </c>
      <c r="B5" s="32" t="s">
        <v>143</v>
      </c>
      <c r="C5" s="32" t="s">
        <v>681</v>
      </c>
    </row>
    <row r="6" customFormat="false" ht="15" hidden="false" customHeight="false" outlineLevel="0" collapsed="false">
      <c r="A6" s="32" t="n">
        <v>1948</v>
      </c>
      <c r="B6" s="32" t="s">
        <v>674</v>
      </c>
      <c r="C6" s="32" t="s">
        <v>682</v>
      </c>
    </row>
    <row r="7" customFormat="false" ht="15" hidden="false" customHeight="false" outlineLevel="0" collapsed="false">
      <c r="A7" s="32" t="n">
        <v>1955</v>
      </c>
      <c r="B7" s="32" t="s">
        <v>204</v>
      </c>
      <c r="C7" s="32" t="s">
        <v>683</v>
      </c>
    </row>
    <row r="8" customFormat="false" ht="15" hidden="false" customHeight="false" outlineLevel="0" collapsed="false">
      <c r="A8" s="32" t="n">
        <v>1970</v>
      </c>
      <c r="B8" s="32" t="s">
        <v>244</v>
      </c>
      <c r="C8" s="32" t="s">
        <v>684</v>
      </c>
    </row>
    <row r="9" customFormat="false" ht="15" hidden="false" customHeight="false" outlineLevel="0" collapsed="false">
      <c r="A9" s="32" t="n">
        <v>1995</v>
      </c>
      <c r="B9" s="32" t="s">
        <v>439</v>
      </c>
      <c r="C9" s="32" t="s">
        <v>685</v>
      </c>
    </row>
    <row r="10" customFormat="false" ht="15" hidden="false" customHeight="false" outlineLevel="0" collapsed="false">
      <c r="A10" s="32" t="n">
        <v>2005</v>
      </c>
      <c r="B10" s="32" t="s">
        <v>482</v>
      </c>
      <c r="C10" s="32" t="s">
        <v>686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2" width="7"/>
    <col collapsed="false" customWidth="true" hidden="false" outlineLevel="0" max="2" min="2" style="32" width="13.3"/>
    <col collapsed="false" customWidth="true" hidden="false" outlineLevel="0" max="3" min="3" style="32" width="20.14"/>
    <col collapsed="false" customWidth="true" hidden="false" outlineLevel="0" max="6" min="6" style="32" width="27.43"/>
    <col collapsed="false" customWidth="true" hidden="false" outlineLevel="0" max="9" min="9" style="32" width="14.69"/>
    <col collapsed="false" customWidth="true" hidden="false" outlineLevel="0" max="10" min="10" style="32" width="18.13"/>
    <col collapsed="false" customWidth="true" hidden="false" outlineLevel="0" max="11" min="11" style="32" width="18.86"/>
    <col collapsed="false" customWidth="true" hidden="false" outlineLevel="0" max="13" min="13" style="32" width="19.72"/>
    <col collapsed="false" customWidth="true" hidden="false" outlineLevel="0" max="14" min="14" style="32" width="27.28"/>
    <col collapsed="false" customWidth="true" hidden="false" outlineLevel="0" max="15" min="15" style="32" width="6.7"/>
  </cols>
  <sheetData>
    <row r="1" customFormat="false" ht="15" hidden="false" customHeight="false" outlineLevel="0" collapsed="false">
      <c r="A1" s="47" t="s">
        <v>687</v>
      </c>
      <c r="B1" s="47" t="s">
        <v>688</v>
      </c>
      <c r="C1" s="47" t="s">
        <v>689</v>
      </c>
      <c r="F1" s="47" t="s">
        <v>690</v>
      </c>
      <c r="G1" s="32" t="n">
        <v>15</v>
      </c>
      <c r="I1" s="47" t="s">
        <v>691</v>
      </c>
      <c r="J1" s="47" t="s">
        <v>692</v>
      </c>
      <c r="K1" s="47" t="s">
        <v>693</v>
      </c>
      <c r="M1" s="47" t="s">
        <v>694</v>
      </c>
      <c r="N1" s="47" t="s">
        <v>695</v>
      </c>
      <c r="O1" s="47" t="s">
        <v>13</v>
      </c>
    </row>
    <row r="2" customFormat="false" ht="15" hidden="false" customHeight="false" outlineLevel="0" collapsed="false">
      <c r="A2" s="32" t="n">
        <v>0</v>
      </c>
      <c r="B2" s="32" t="s">
        <v>696</v>
      </c>
      <c r="F2" s="47" t="s">
        <v>697</v>
      </c>
      <c r="G2" s="32" t="n">
        <v>5</v>
      </c>
      <c r="I2" s="32" t="s">
        <v>152</v>
      </c>
      <c r="J2" s="32" t="n">
        <v>1</v>
      </c>
      <c r="K2" s="32" t="n">
        <v>2</v>
      </c>
      <c r="M2" s="32" t="s">
        <v>285</v>
      </c>
      <c r="N2" s="32" t="str">
        <f aca="false">IF(O2&lt;&gt;"", _xlfn.CONCAT("{BLACK}Powered by: {GOLD}",O2), "")</f>
        <v>{BLACK}Powered by: {GOLD}Diesel</v>
      </c>
      <c r="O2" s="32" t="s">
        <v>698</v>
      </c>
    </row>
    <row r="3" customFormat="false" ht="15" hidden="false" customHeight="false" outlineLevel="0" collapsed="false">
      <c r="A3" s="32" t="n">
        <v>3</v>
      </c>
      <c r="B3" s="32" t="s">
        <v>176</v>
      </c>
      <c r="C3" s="32" t="s">
        <v>176</v>
      </c>
      <c r="I3" s="32" t="s">
        <v>91</v>
      </c>
      <c r="J3" s="32" t="n">
        <v>0.85</v>
      </c>
      <c r="K3" s="32" t="n">
        <v>2.3</v>
      </c>
      <c r="M3" s="32" t="s">
        <v>699</v>
      </c>
      <c r="N3" s="32" t="str">
        <f aca="false">IF(O3&lt;&gt;"", _xlfn.CONCAT("{BLACK}Powered by: {GOLD}",O3), "")</f>
        <v>{BLACK}Powered by: {GOLD}Steam</v>
      </c>
      <c r="O3" s="32" t="s">
        <v>700</v>
      </c>
    </row>
    <row r="4" customFormat="false" ht="15" hidden="false" customHeight="false" outlineLevel="0" collapsed="false">
      <c r="A4" s="32" t="n">
        <v>4</v>
      </c>
      <c r="B4" s="32" t="s">
        <v>701</v>
      </c>
      <c r="C4" s="32" t="s">
        <v>701</v>
      </c>
      <c r="I4" s="32" t="s">
        <v>702</v>
      </c>
      <c r="J4" s="32" t="n">
        <v>1.15</v>
      </c>
      <c r="K4" s="32" t="n">
        <v>1.7</v>
      </c>
      <c r="M4" s="32" t="s">
        <v>703</v>
      </c>
      <c r="N4" s="32" t="str">
        <f aca="false">IF(O4&lt;&gt;"", _xlfn.CONCAT("{BLACK}Powered by: {GOLD}",O4), "")</f>
        <v>{BLACK}Powered by: {GOLD}25kV AC</v>
      </c>
      <c r="O4" s="32" t="s">
        <v>704</v>
      </c>
    </row>
    <row r="5" customFormat="false" ht="15" hidden="false" customHeight="false" outlineLevel="0" collapsed="false">
      <c r="A5" s="32" t="n">
        <v>5</v>
      </c>
      <c r="B5" s="32" t="s">
        <v>705</v>
      </c>
      <c r="C5" s="32" t="s">
        <v>705</v>
      </c>
      <c r="I5" s="32" t="s">
        <v>255</v>
      </c>
      <c r="J5" s="32" t="n">
        <v>0.9</v>
      </c>
      <c r="K5" s="32" t="n">
        <v>2.5</v>
      </c>
      <c r="M5" s="32" t="s">
        <v>706</v>
      </c>
      <c r="N5" s="32" t="str">
        <f aca="false">IF(O5&lt;&gt;"", _xlfn.CONCAT("{BLACK}Powered by: {GOLD}",O5), "")</f>
        <v>{BLACK}Powered by: {GOLD}750V DC</v>
      </c>
      <c r="O5" s="32" t="s">
        <v>707</v>
      </c>
    </row>
    <row r="6" customFormat="false" ht="15" hidden="false" customHeight="false" outlineLevel="0" collapsed="false">
      <c r="A6" s="32" t="n">
        <v>6</v>
      </c>
      <c r="B6" s="32" t="s">
        <v>708</v>
      </c>
      <c r="C6" s="32" t="s">
        <v>708</v>
      </c>
      <c r="I6" s="32" t="s">
        <v>372</v>
      </c>
      <c r="J6" s="32" t="n">
        <v>0.85</v>
      </c>
      <c r="K6" s="32" t="n">
        <v>2.4</v>
      </c>
      <c r="M6" s="32" t="s">
        <v>709</v>
      </c>
      <c r="N6" s="32" t="str">
        <f aca="false">IF(O6&lt;&gt;"", _xlfn.CONCAT("{BLACK}Powered by: {GOLD}",O6), "")</f>
        <v/>
      </c>
    </row>
    <row r="7" customFormat="false" ht="15" hidden="false" customHeight="false" outlineLevel="0" collapsed="false">
      <c r="A7" s="32" t="n">
        <v>7</v>
      </c>
      <c r="B7" s="32" t="s">
        <v>710</v>
      </c>
      <c r="C7" s="32" t="s">
        <v>710</v>
      </c>
      <c r="I7" s="32" t="s">
        <v>603</v>
      </c>
      <c r="J7" s="32" t="n">
        <v>1.2</v>
      </c>
      <c r="K7" s="32" t="n">
        <v>0.6</v>
      </c>
      <c r="M7" s="32" t="s">
        <v>711</v>
      </c>
      <c r="N7" s="32" t="str">
        <f aca="false">IF(O7&lt;&gt;"", _xlfn.CONCAT("{BLACK}Powered by: {GOLD}",O7), "")</f>
        <v/>
      </c>
    </row>
    <row r="8" customFormat="false" ht="15" hidden="false" customHeight="false" outlineLevel="0" collapsed="false">
      <c r="A8" s="32" t="n">
        <v>8</v>
      </c>
      <c r="B8" s="32" t="s">
        <v>712</v>
      </c>
      <c r="C8" s="32" t="s">
        <v>712</v>
      </c>
      <c r="I8" s="32" t="s">
        <v>594</v>
      </c>
      <c r="J8" s="32" t="n">
        <v>1.5</v>
      </c>
      <c r="K8" s="32" t="n">
        <v>0.7</v>
      </c>
      <c r="M8" s="32" t="s">
        <v>713</v>
      </c>
      <c r="N8" s="32" t="str">
        <f aca="false">IF(O8&lt;&gt;"", _xlfn.CONCAT("{BLACK}Powered by: {GOLD}",O8), "")</f>
        <v/>
      </c>
    </row>
    <row r="9" customFormat="false" ht="15" hidden="false" customHeight="false" outlineLevel="0" collapsed="false">
      <c r="A9" s="32" t="n">
        <v>9</v>
      </c>
      <c r="B9" s="32" t="s">
        <v>714</v>
      </c>
      <c r="C9" s="32" t="s">
        <v>714</v>
      </c>
      <c r="I9" s="32" t="s">
        <v>528</v>
      </c>
      <c r="J9" s="32" t="n">
        <v>1</v>
      </c>
      <c r="K9" s="32" t="n">
        <v>0.45</v>
      </c>
      <c r="M9" s="32" t="s">
        <v>715</v>
      </c>
      <c r="N9" s="32" t="str">
        <f aca="false">IF(O9&lt;&gt;"", _xlfn.CONCAT("{BLACK}Powered by: {GOLD}",O9), "")</f>
        <v/>
      </c>
    </row>
    <row r="10" customFormat="false" ht="15" hidden="false" customHeight="false" outlineLevel="0" collapsed="false">
      <c r="A10" s="32" t="n">
        <v>10</v>
      </c>
      <c r="B10" s="32" t="s">
        <v>716</v>
      </c>
      <c r="C10" s="32" t="s">
        <v>716</v>
      </c>
      <c r="I10" s="32" t="s">
        <v>546</v>
      </c>
      <c r="J10" s="32" t="n">
        <v>1</v>
      </c>
      <c r="K10" s="32" t="n">
        <v>0.4</v>
      </c>
      <c r="M10" s="32" t="s">
        <v>717</v>
      </c>
      <c r="N10" s="32" t="str">
        <f aca="false">IF(O10&lt;&gt;"", _xlfn.CONCAT("{BLACK}Powered by: {GOLD}",O10), "")</f>
        <v>{BLACK}Powered by: {GOLD}Steam</v>
      </c>
      <c r="O10" s="32" t="s">
        <v>700</v>
      </c>
    </row>
    <row r="11" customFormat="false" ht="15" hidden="false" customHeight="false" outlineLevel="0" collapsed="false">
      <c r="A11" s="32" t="n">
        <v>11</v>
      </c>
      <c r="B11" s="32" t="s">
        <v>718</v>
      </c>
      <c r="C11" s="32" t="s">
        <v>718</v>
      </c>
      <c r="I11" s="32" t="s">
        <v>719</v>
      </c>
      <c r="J11" s="32" t="n">
        <v>0.9</v>
      </c>
      <c r="K11" s="32" t="n">
        <v>1.6</v>
      </c>
      <c r="M11" s="32" t="s">
        <v>720</v>
      </c>
      <c r="N11" s="32" t="str">
        <f aca="false">IF(O11&lt;&gt;"", _xlfn.CONCAT("{BLACK}Powered by: {GOLD}",O11), "")</f>
        <v>{BLACK}Powered by: {GOLD}750V DC / Diesel</v>
      </c>
      <c r="O11" s="32" t="s">
        <v>721</v>
      </c>
    </row>
    <row r="12" customFormat="false" ht="15" hidden="false" customHeight="false" outlineLevel="0" collapsed="false">
      <c r="A12" s="32" t="n">
        <v>12</v>
      </c>
      <c r="B12" s="32" t="s">
        <v>722</v>
      </c>
      <c r="C12" s="32" t="s">
        <v>722</v>
      </c>
      <c r="I12" s="32" t="s">
        <v>38</v>
      </c>
      <c r="J12" s="32" t="n">
        <v>0</v>
      </c>
      <c r="K12" s="32" t="n">
        <v>0</v>
      </c>
      <c r="M12" s="32" t="s">
        <v>723</v>
      </c>
      <c r="N12" s="32" t="str">
        <f aca="false">IF(O12&lt;&gt;"", _xlfn.CONCAT("{BLACK}Powered by: {GOLD}",O12), "")</f>
        <v>{BLACK}Powered by: {GOLD}25kV AC / 750V DC</v>
      </c>
      <c r="O12" s="32" t="s">
        <v>724</v>
      </c>
    </row>
    <row r="13" customFormat="false" ht="15" hidden="false" customHeight="false" outlineLevel="0" collapsed="false">
      <c r="A13" s="32" t="n">
        <v>13</v>
      </c>
      <c r="B13" s="32" t="s">
        <v>725</v>
      </c>
      <c r="C13" s="32" t="s">
        <v>725</v>
      </c>
      <c r="I13" s="32" t="s">
        <v>726</v>
      </c>
      <c r="J13" s="32" t="n">
        <v>1.05</v>
      </c>
      <c r="K13" s="32" t="n">
        <v>1.9</v>
      </c>
      <c r="M13" s="32" t="s">
        <v>727</v>
      </c>
      <c r="N13" s="32" t="str">
        <f aca="false">IF(O13&lt;&gt;"", _xlfn.CONCAT("{BLACK}Powered by: {GOLD}",O13), "")</f>
        <v/>
      </c>
    </row>
    <row r="14" customFormat="false" ht="15" hidden="false" customHeight="false" outlineLevel="0" collapsed="false">
      <c r="A14" s="32" t="n">
        <v>14</v>
      </c>
      <c r="B14" s="32" t="s">
        <v>728</v>
      </c>
      <c r="C14" s="32" t="s">
        <v>728</v>
      </c>
      <c r="I14" s="32" t="s">
        <v>729</v>
      </c>
      <c r="J14" s="32" t="n">
        <v>0.98</v>
      </c>
      <c r="K14" s="32" t="n">
        <v>1.88</v>
      </c>
      <c r="M14" s="32" t="s">
        <v>730</v>
      </c>
      <c r="N14" s="32" t="str">
        <f aca="false">IF(O14&lt;&gt;"", _xlfn.CONCAT("{BLACK}Powered by: {GOLD}",O14), "")</f>
        <v/>
      </c>
    </row>
    <row r="15" customFormat="false" ht="15" hidden="false" customHeight="false" outlineLevel="0" collapsed="false">
      <c r="A15" s="32" t="n">
        <v>15</v>
      </c>
      <c r="B15" s="32" t="s">
        <v>731</v>
      </c>
      <c r="C15" s="32" t="s">
        <v>731</v>
      </c>
      <c r="I15" s="32" t="s">
        <v>732</v>
      </c>
      <c r="J15" s="32" t="n">
        <v>0.5</v>
      </c>
      <c r="K15" s="32" t="n">
        <v>0.5</v>
      </c>
      <c r="M15" s="32" t="s">
        <v>733</v>
      </c>
      <c r="N15" s="32" t="str">
        <f aca="false">IF(O15&lt;&gt;"", _xlfn.CONCAT("{BLACK}Powered by: {GOLD}",O15), "")</f>
        <v/>
      </c>
    </row>
    <row r="16" customFormat="false" ht="15" hidden="false" customHeight="false" outlineLevel="0" collapsed="false">
      <c r="A16" s="32" t="n">
        <v>16</v>
      </c>
      <c r="B16" s="32" t="s">
        <v>734</v>
      </c>
      <c r="C16" s="32" t="s">
        <v>734</v>
      </c>
      <c r="I16" s="32" t="s">
        <v>316</v>
      </c>
      <c r="J16" s="32" t="n">
        <v>0.85</v>
      </c>
      <c r="K16" s="32" t="n">
        <v>2.3</v>
      </c>
      <c r="M16" s="32" t="s">
        <v>735</v>
      </c>
      <c r="N16" s="32" t="str">
        <f aca="false">IF(O16&lt;&gt;"", _xlfn.CONCAT("{BLACK}Powered by: {GOLD}",O16), "")</f>
        <v>{BLACK}Powered by: {GOLD}Petrol</v>
      </c>
      <c r="O16" s="32" t="s">
        <v>736</v>
      </c>
    </row>
    <row r="17" customFormat="false" ht="15" hidden="false" customHeight="false" outlineLevel="0" collapsed="false">
      <c r="I17" s="32" t="s">
        <v>737</v>
      </c>
      <c r="J17" s="32" t="n">
        <v>1</v>
      </c>
      <c r="K17" s="32" t="n">
        <v>2</v>
      </c>
      <c r="M17" s="32" t="s">
        <v>738</v>
      </c>
      <c r="N17" s="32" t="str">
        <f aca="false">IF(O17&lt;&gt;"", _xlfn.CONCAT("{BLACK}Powered by: {GOLD}",O17), "")</f>
        <v>{BLACK}Powered by: {GOLD}25kV AC / Diesel</v>
      </c>
      <c r="O17" s="32" t="s">
        <v>739</v>
      </c>
    </row>
    <row r="18" customFormat="false" ht="15" hidden="false" customHeight="false" outlineLevel="0" collapsed="false">
      <c r="I18" s="32" t="s">
        <v>740</v>
      </c>
      <c r="J18" s="32" t="n">
        <v>0.8</v>
      </c>
      <c r="K18" s="32" t="n">
        <v>2.3</v>
      </c>
      <c r="M18" s="32" t="s">
        <v>741</v>
      </c>
      <c r="N18" s="32" t="str">
        <f aca="false">IF(O18&lt;&gt;"", _xlfn.CONCAT("{BLACK}Powered by: {GOLD}",O18), "")</f>
        <v>{BLACK}Powered by: {GOLD}LPG / Flywheel</v>
      </c>
      <c r="O18" s="32" t="s">
        <v>742</v>
      </c>
    </row>
    <row r="19" customFormat="false" ht="15" hidden="false" customHeight="false" outlineLevel="0" collapsed="false">
      <c r="I19" s="32" t="s">
        <v>649</v>
      </c>
      <c r="J19" s="32" t="n">
        <v>1</v>
      </c>
      <c r="K19" s="32" t="n">
        <v>2</v>
      </c>
      <c r="M19" s="32" t="s">
        <v>743</v>
      </c>
      <c r="N19" s="32" t="str">
        <f aca="false">IF(O19&lt;&gt;"", _xlfn.CONCAT("{BLACK}Powered by: {GOLD}",O19), "")</f>
        <v/>
      </c>
    </row>
    <row r="20" customFormat="false" ht="15" hidden="false" customHeight="false" outlineLevel="0" collapsed="false">
      <c r="M20" s="32" t="s">
        <v>744</v>
      </c>
      <c r="N20" s="32" t="str">
        <f aca="false">IF(O20&lt;&gt;"", _xlfn.CONCAT("{BLACK}Powered by: {GOLD}",O20), "")</f>
        <v>{BLACK}Powered by: {GOLD}Steam</v>
      </c>
      <c r="O20" s="32" t="s">
        <v>700</v>
      </c>
    </row>
    <row r="21" customFormat="false" ht="15" hidden="false" customHeight="false" outlineLevel="0" collapsed="false">
      <c r="M21" s="32" t="s">
        <v>745</v>
      </c>
      <c r="N21" s="32" t="str">
        <f aca="false">IF(O21&lt;&gt;"", _xlfn.CONCAT("{BLACK}Powered by: {GOLD}",O21), "")</f>
        <v/>
      </c>
    </row>
    <row r="22" customFormat="false" ht="15" hidden="false" customHeight="false" outlineLevel="0" collapsed="false">
      <c r="M22" s="32" t="s">
        <v>746</v>
      </c>
      <c r="N22" s="32" t="str">
        <f aca="false">IF(O22&lt;&gt;"", _xlfn.CONCAT("{BLACK}Powered by: {GOLD}",O22), "")</f>
        <v>{BLACK}Powered by: {GOLD}Grass and hay</v>
      </c>
      <c r="O22" s="32" t="s">
        <v>747</v>
      </c>
    </row>
    <row r="23" customFormat="false" ht="15" hidden="false" customHeight="false" outlineLevel="0" collapsed="false">
      <c r="M23" s="32" t="s">
        <v>748</v>
      </c>
      <c r="N23" s="32" t="str">
        <f aca="false">IF(O23&lt;&gt;"", _xlfn.CONCAT("{BLACK}Powered by: {GOLD}",O23), "")</f>
        <v>{BLACK}Powered by: {GOLD}630V DC</v>
      </c>
      <c r="O23" s="32" t="s">
        <v>749</v>
      </c>
    </row>
    <row r="24" customFormat="false" ht="15" hidden="false" customHeight="false" outlineLevel="0" collapsed="false">
      <c r="M24" s="32" t="s">
        <v>750</v>
      </c>
      <c r="N24" s="32" t="str">
        <f aca="false">IF(O24&lt;&gt;"", _xlfn.CONCAT("{BLACK}Powered by: {GOLD}",O24), "")</f>
        <v/>
      </c>
    </row>
    <row r="25" customFormat="false" ht="15" hidden="false" customHeight="false" outlineLevel="0" collapsed="false">
      <c r="M25" s="32" t="s">
        <v>751</v>
      </c>
      <c r="N25" s="32" t="str">
        <f aca="false">IF(O25&lt;&gt;"", _xlfn.CONCAT("{BLACK}Powered by: {GOLD}",O25), "")</f>
        <v/>
      </c>
    </row>
    <row r="26" customFormat="false" ht="15" hidden="false" customHeight="false" outlineLevel="0" collapsed="false">
      <c r="M26" s="32" t="s">
        <v>752</v>
      </c>
      <c r="N26" s="32" t="str">
        <f aca="false">IF(O26&lt;&gt;"", _xlfn.CONCAT("{BLACK}Powered by: {GOLD}",O26), "")</f>
        <v>{BLACK}Powered by: {GOLD}Grass and hay</v>
      </c>
      <c r="O26" s="32" t="s">
        <v>747</v>
      </c>
    </row>
    <row r="27" customFormat="false" ht="15" hidden="false" customHeight="false" outlineLevel="0" collapsed="false">
      <c r="M27" s="32" t="s">
        <v>753</v>
      </c>
      <c r="N27" s="32" t="str">
        <f aca="false">IF(O27&lt;&gt;"", _xlfn.CONCAT("{BLACK}Powered by: {GOLD}",O27), "")</f>
        <v/>
      </c>
    </row>
    <row r="28" customFormat="false" ht="15" hidden="false" customHeight="false" outlineLevel="0" collapsed="false">
      <c r="M28" s="32" t="s">
        <v>754</v>
      </c>
      <c r="N28" s="32" t="str">
        <f aca="false">IF(O28&lt;&gt;"", _xlfn.CONCAT("{BLACK}Powered by: {GOLD}",O28), "")</f>
        <v>{BLACK}Powered by: {GOLD}Diesel</v>
      </c>
      <c r="O28" s="32" t="s">
        <v>698</v>
      </c>
    </row>
    <row r="29" customFormat="false" ht="15" hidden="false" customHeight="false" outlineLevel="0" collapsed="false">
      <c r="M29" s="32" t="s">
        <v>755</v>
      </c>
      <c r="N29" s="32" t="str">
        <f aca="false">IF(O29&lt;&gt;"", _xlfn.CONCAT("{BLACK}Powered by: {GOLD}",O29), "")</f>
        <v/>
      </c>
      <c r="O29" s="32" t="str">
        <f aca="false">IF(P29&lt;&gt;"", _xlfn.CONCAT("{BLACK}Powered by: {GOLD}",P29), "")</f>
        <v/>
      </c>
    </row>
    <row r="30" customFormat="false" ht="15" hidden="false" customHeight="false" outlineLevel="0" collapsed="false">
      <c r="M30" s="32" t="s">
        <v>756</v>
      </c>
      <c r="N30" s="32" t="str">
        <f aca="false">IF(O30&lt;&gt;"", _xlfn.CONCAT("{BLACK}Powered by: {GOLD}",O30), "")</f>
        <v>{BLACK}Powered by: {GOLD}Gas Turbine</v>
      </c>
      <c r="O30" s="32" t="s">
        <v>757</v>
      </c>
    </row>
    <row r="31" customFormat="false" ht="15" hidden="false" customHeight="false" outlineLevel="0" collapsed="false">
      <c r="M31" s="32" t="s">
        <v>758</v>
      </c>
      <c r="N31" s="32" t="str">
        <f aca="false">IF(O31&lt;&gt;"", _xlfn.CONCAT("{BLACK}Powered by: {GOLD}",O31), "")</f>
        <v>{BLACK}Powered by: {GOLD}Petrol</v>
      </c>
      <c r="O31" s="32" t="s">
        <v>736</v>
      </c>
    </row>
    <row r="32" customFormat="false" ht="15" hidden="false" customHeight="false" outlineLevel="0" collapsed="false">
      <c r="M32" s="32" t="s">
        <v>759</v>
      </c>
      <c r="N32" s="32" t="str">
        <f aca="false">IF(O32&lt;&gt;"", _xlfn.CONCAT("{BLACK}Powered by: {GOLD}",O32), "")</f>
        <v/>
      </c>
    </row>
    <row r="33" customFormat="false" ht="15" hidden="false" customHeight="false" outlineLevel="0" collapsed="false">
      <c r="M33" s="32" t="s">
        <v>760</v>
      </c>
      <c r="N33" s="32" t="str">
        <f aca="false">IF(O33&lt;&gt;"", _xlfn.CONCAT("{BLACK}Powered by: {GOLD}",O33), "")</f>
        <v>{BLACK}Powered by: {GOLD}750V DC / Battery</v>
      </c>
      <c r="O33" s="32" t="s">
        <v>761</v>
      </c>
    </row>
    <row r="34" customFormat="false" ht="15" hidden="false" customHeight="true" outlineLevel="0" collapsed="false">
      <c r="M34" s="32" t="s">
        <v>762</v>
      </c>
      <c r="N34" s="32" t="str">
        <f aca="false">IF(O34&lt;&gt;"", _xlfn.CONCAT("{BLACK}Powered by: {GOLD}",O34), "")</f>
        <v>{BLACK}Powered by: {GOLD}25kV AC</v>
      </c>
      <c r="O34" s="32" t="s">
        <v>704</v>
      </c>
    </row>
    <row r="35" customFormat="false" ht="15" hidden="false" customHeight="true" outlineLevel="0" collapsed="false">
      <c r="M35" s="32" t="s">
        <v>763</v>
      </c>
      <c r="N35" s="32" t="str">
        <f aca="false">IF(O35&lt;&gt;"", _xlfn.CONCAT("{BLACK}Powered by: {GOLD}",O35), "")</f>
        <v>{BLACK}Powered by: {GOLD}Diesel</v>
      </c>
      <c r="O35" s="32" t="s">
        <v>698</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2" width="10.71"/>
    <col collapsed="false" customWidth="true" hidden="false" outlineLevel="0" max="4" min="3" style="32" width="21.43"/>
  </cols>
  <sheetData>
    <row r="1" customFormat="false" ht="15" hidden="false" customHeight="false" outlineLevel="0" collapsed="false">
      <c r="A1" s="47" t="s">
        <v>764</v>
      </c>
      <c r="B1" s="47" t="s">
        <v>765</v>
      </c>
      <c r="C1" s="47" t="s">
        <v>766</v>
      </c>
      <c r="D1" s="47" t="s">
        <v>767</v>
      </c>
    </row>
    <row r="2" customFormat="false" ht="15" hidden="false" customHeight="false" outlineLevel="0" collapsed="false">
      <c r="A2" s="32" t="n">
        <v>0</v>
      </c>
      <c r="B2" s="32" t="n">
        <f aca="false">IF(D2,D2,C2)</f>
        <v>0</v>
      </c>
      <c r="C2" s="32" t="n">
        <f aca="false">INT(A2*(256/15))</f>
        <v>0</v>
      </c>
      <c r="D2" s="47"/>
    </row>
    <row r="3" customFormat="false" ht="15" hidden="false" customHeight="false" outlineLevel="0" collapsed="false">
      <c r="A3" s="32" t="n">
        <v>1</v>
      </c>
      <c r="B3" s="32" t="n">
        <f aca="false">IF(D3,D3,C3)</f>
        <v>17</v>
      </c>
      <c r="C3" s="32" t="n">
        <f aca="false">INT(A3*(256/15))</f>
        <v>17</v>
      </c>
    </row>
    <row r="4" customFormat="false" ht="15" hidden="false" customHeight="false" outlineLevel="0" collapsed="false">
      <c r="A4" s="32" t="n">
        <v>2</v>
      </c>
      <c r="B4" s="32" t="n">
        <f aca="false">IF(D4,D4,C4)</f>
        <v>34</v>
      </c>
      <c r="C4" s="32" t="n">
        <f aca="false">INT(A4*(256/15))</f>
        <v>34</v>
      </c>
    </row>
    <row r="5" customFormat="false" ht="15" hidden="false" customHeight="false" outlineLevel="0" collapsed="false">
      <c r="A5" s="32" t="n">
        <v>3</v>
      </c>
      <c r="B5" s="32" t="n">
        <f aca="false">IF(D5,D5,C5)</f>
        <v>51</v>
      </c>
      <c r="C5" s="32" t="n">
        <f aca="false">INT(A5*(256/15))</f>
        <v>51</v>
      </c>
    </row>
    <row r="6" customFormat="false" ht="15" hidden="false" customHeight="false" outlineLevel="0" collapsed="false">
      <c r="A6" s="32" t="n">
        <v>4</v>
      </c>
      <c r="B6" s="32" t="n">
        <f aca="false">IF(D6,D6,C6)</f>
        <v>66</v>
      </c>
      <c r="C6" s="32" t="n">
        <f aca="false">INT(A6*(256/15))</f>
        <v>68</v>
      </c>
      <c r="D6" s="32" t="n">
        <v>66</v>
      </c>
    </row>
    <row r="7" customFormat="false" ht="15" hidden="false" customHeight="false" outlineLevel="0" collapsed="false">
      <c r="A7" s="32" t="n">
        <v>5</v>
      </c>
      <c r="B7" s="32" t="n">
        <f aca="false">IF(D7,D7,C7)</f>
        <v>82</v>
      </c>
      <c r="C7" s="32" t="n">
        <f aca="false">INT(A7*(256/15))</f>
        <v>85</v>
      </c>
      <c r="D7" s="32" t="n">
        <v>82</v>
      </c>
    </row>
    <row r="8" customFormat="false" ht="15" hidden="false" customHeight="false" outlineLevel="0" collapsed="false">
      <c r="A8" s="32" t="n">
        <v>6</v>
      </c>
      <c r="B8" s="32" t="n">
        <f aca="false">IF(D8,D8,C8)</f>
        <v>102</v>
      </c>
      <c r="C8" s="32" t="n">
        <f aca="false">INT(A8*(256/15))</f>
        <v>102</v>
      </c>
      <c r="D8" s="32" t="n">
        <v>102</v>
      </c>
    </row>
    <row r="9" customFormat="false" ht="15" hidden="false" customHeight="false" outlineLevel="0" collapsed="false">
      <c r="A9" s="32" t="n">
        <v>7</v>
      </c>
      <c r="B9" s="32" t="n">
        <f aca="false">IF(D9,D9,C9)</f>
        <v>120</v>
      </c>
      <c r="C9" s="32" t="n">
        <f aca="false">INT(A9*(256/15))</f>
        <v>119</v>
      </c>
      <c r="D9" s="32" t="n">
        <v>120</v>
      </c>
    </row>
    <row r="10" customFormat="false" ht="15" hidden="false" customHeight="false" outlineLevel="0" collapsed="false">
      <c r="A10" s="32" t="n">
        <v>8</v>
      </c>
      <c r="B10" s="32" t="n">
        <f aca="false">IF(D10,D10,C10)</f>
        <v>136</v>
      </c>
      <c r="C10" s="32" t="n">
        <f aca="false">INT(A10*(256/15))</f>
        <v>136</v>
      </c>
      <c r="D10" s="32" t="n">
        <v>136</v>
      </c>
    </row>
    <row r="11" customFormat="false" ht="15" hidden="false" customHeight="false" outlineLevel="0" collapsed="false">
      <c r="A11" s="32" t="n">
        <v>9</v>
      </c>
      <c r="B11" s="32" t="n">
        <f aca="false">IF(D11,D11,C11)</f>
        <v>152</v>
      </c>
      <c r="C11" s="32" t="n">
        <f aca="false">INT(A11*(256/15))</f>
        <v>153</v>
      </c>
      <c r="D11" s="32" t="n">
        <v>152</v>
      </c>
    </row>
    <row r="12" customFormat="false" ht="15" hidden="false" customHeight="false" outlineLevel="0" collapsed="false">
      <c r="A12" s="32" t="n">
        <v>10</v>
      </c>
      <c r="B12" s="32" t="n">
        <f aca="false">IF(D12,D12,C12)</f>
        <v>164</v>
      </c>
      <c r="C12" s="32" t="n">
        <f aca="false">INT(A12*(256/15))</f>
        <v>170</v>
      </c>
      <c r="D12" s="32" t="n">
        <v>164</v>
      </c>
    </row>
    <row r="13" customFormat="false" ht="15" hidden="false" customHeight="false" outlineLevel="0" collapsed="false">
      <c r="A13" s="32" t="n">
        <v>11</v>
      </c>
      <c r="B13" s="32" t="n">
        <f aca="false">IF(D13,D13,C13)</f>
        <v>186</v>
      </c>
      <c r="C13" s="32" t="n">
        <f aca="false">INT(A13*(256/15))</f>
        <v>187</v>
      </c>
      <c r="D13" s="32" t="n">
        <v>186</v>
      </c>
    </row>
    <row r="14" customFormat="false" ht="15" hidden="false" customHeight="false" outlineLevel="0" collapsed="false">
      <c r="A14" s="32" t="n">
        <v>12</v>
      </c>
      <c r="B14" s="32" t="n">
        <f aca="false">IF(D14,D14,C14)</f>
        <v>198</v>
      </c>
      <c r="C14" s="32" t="n">
        <f aca="false">INT(A14*(256/15))</f>
        <v>204</v>
      </c>
      <c r="D14" s="32" t="n">
        <v>198</v>
      </c>
    </row>
    <row r="15" customFormat="false" ht="15" hidden="false" customHeight="false" outlineLevel="0" collapsed="false">
      <c r="A15" s="32" t="n">
        <v>13</v>
      </c>
      <c r="B15" s="32" t="n">
        <v>214</v>
      </c>
      <c r="C15" s="32" t="n">
        <f aca="false">INT(A15*(256/15))</f>
        <v>221</v>
      </c>
    </row>
    <row r="16" customFormat="false" ht="15" hidden="false" customHeight="false" outlineLevel="0" collapsed="false">
      <c r="A16" s="32" t="n">
        <v>14</v>
      </c>
      <c r="B16" s="32" t="n">
        <f aca="false">IF(D16,D16,C16)</f>
        <v>238</v>
      </c>
      <c r="C16" s="32" t="n">
        <f aca="false">INT(A16*(256/15))</f>
        <v>238</v>
      </c>
    </row>
    <row r="17" customFormat="false" ht="15" hidden="false" customHeight="false" outlineLevel="0" collapsed="false">
      <c r="A17" s="32" t="n">
        <v>15</v>
      </c>
      <c r="B17" s="32" t="n">
        <f aca="false">IF(D17,D17,C17)</f>
        <v>256</v>
      </c>
      <c r="C17" s="32" t="n">
        <f aca="false">INT(A17*(256/15))</f>
        <v>256</v>
      </c>
    </row>
    <row r="18" customFormat="false" ht="15" hidden="false" customHeight="false" outlineLevel="0" collapsed="false">
      <c r="A18" s="32" t="n">
        <v>16</v>
      </c>
      <c r="B18" s="32" t="n">
        <f aca="false">IF(D18,D18,C18)</f>
        <v>273</v>
      </c>
      <c r="C18" s="32"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2" width="11.43"/>
    <col collapsed="false" customWidth="true" hidden="false" outlineLevel="0" max="2" min="2" style="32" width="29.86"/>
    <col collapsed="false" customWidth="true" hidden="false" outlineLevel="0" max="7" min="3" style="32" width="25.85"/>
    <col collapsed="false" customWidth="true" hidden="false" outlineLevel="0" max="9" min="8" style="32" width="26.81"/>
    <col collapsed="false" customWidth="true" hidden="false" outlineLevel="0" max="10" min="10" style="32" width="16.33"/>
    <col collapsed="false" customWidth="true" hidden="false" outlineLevel="0" max="11" min="11" style="32" width="16.18"/>
    <col collapsed="false" customWidth="true" hidden="false" outlineLevel="0" max="12" min="12" style="32" width="19.79"/>
    <col collapsed="false" customWidth="true" hidden="false" outlineLevel="0" max="14" min="13" style="32" width="16.65"/>
    <col collapsed="false" customWidth="true" hidden="false" outlineLevel="0" max="15" min="15" style="32" width="16.33"/>
    <col collapsed="false" customWidth="true" hidden="false" outlineLevel="0" max="16" min="16" style="32" width="18.37"/>
    <col collapsed="false" customWidth="true" hidden="false" outlineLevel="0" max="17" min="17" style="32" width="18.21"/>
  </cols>
  <sheetData>
    <row r="1" customFormat="false" ht="15" hidden="false" customHeight="false" outlineLevel="0" collapsed="false">
      <c r="B1" s="32" t="n">
        <v>1</v>
      </c>
      <c r="C1" s="32" t="n">
        <v>2</v>
      </c>
      <c r="D1" s="32" t="n">
        <v>3</v>
      </c>
      <c r="E1" s="32" t="n">
        <v>4</v>
      </c>
      <c r="F1" s="32" t="n">
        <v>5</v>
      </c>
      <c r="G1" s="32" t="n">
        <v>6</v>
      </c>
      <c r="H1" s="32" t="n">
        <v>7</v>
      </c>
      <c r="I1" s="32" t="n">
        <v>8</v>
      </c>
      <c r="J1" s="32" t="n">
        <v>9</v>
      </c>
      <c r="K1" s="32" t="n">
        <v>10</v>
      </c>
      <c r="L1" s="32" t="n">
        <v>11</v>
      </c>
      <c r="M1" s="32" t="n">
        <v>12</v>
      </c>
      <c r="N1" s="32" t="n">
        <v>13</v>
      </c>
      <c r="O1" s="32" t="n">
        <v>14</v>
      </c>
      <c r="P1" s="32" t="n">
        <v>15</v>
      </c>
      <c r="Q1" s="32" t="n">
        <v>16</v>
      </c>
      <c r="R1" s="32" t="n">
        <v>17</v>
      </c>
      <c r="S1" s="32" t="n">
        <v>18</v>
      </c>
      <c r="T1" s="32" t="n">
        <v>19</v>
      </c>
      <c r="U1" s="32" t="n">
        <v>20</v>
      </c>
    </row>
    <row r="2" customFormat="false" ht="15" hidden="false" customHeight="false" outlineLevel="0" collapsed="false">
      <c r="B2" s="32" t="s">
        <v>768</v>
      </c>
    </row>
    <row r="3" customFormat="false" ht="15" hidden="false" customHeight="false" outlineLevel="0" collapsed="false">
      <c r="A3" s="32" t="s">
        <v>769</v>
      </c>
      <c r="B3" s="32" t="s">
        <v>319</v>
      </c>
      <c r="C3" s="32" t="s">
        <v>770</v>
      </c>
      <c r="D3" s="32" t="s">
        <v>770</v>
      </c>
      <c r="E3" s="32" t="s">
        <v>770</v>
      </c>
      <c r="F3" s="32" t="s">
        <v>770</v>
      </c>
      <c r="G3" s="32" t="s">
        <v>771</v>
      </c>
      <c r="H3" s="32" t="s">
        <v>772</v>
      </c>
      <c r="I3" s="32" t="s">
        <v>772</v>
      </c>
      <c r="J3" s="32" t="s">
        <v>352</v>
      </c>
      <c r="K3" s="32" t="s">
        <v>770</v>
      </c>
      <c r="L3" s="32" t="s">
        <v>770</v>
      </c>
      <c r="M3" s="32" t="s">
        <v>770</v>
      </c>
      <c r="N3" s="32" t="s">
        <v>770</v>
      </c>
      <c r="O3" s="32" t="s">
        <v>773</v>
      </c>
    </row>
    <row r="4" customFormat="false" ht="15" hidden="false" customHeight="false" outlineLevel="0" collapsed="false">
      <c r="A4" s="32" t="s">
        <v>774</v>
      </c>
      <c r="B4" s="32" t="n">
        <v>1</v>
      </c>
      <c r="C4" s="32" t="n">
        <v>1</v>
      </c>
      <c r="D4" s="32" t="n">
        <v>0</v>
      </c>
      <c r="E4" s="32" t="n">
        <v>0</v>
      </c>
      <c r="F4" s="32" t="n">
        <v>0</v>
      </c>
      <c r="G4" s="32" t="n">
        <v>1</v>
      </c>
      <c r="H4" s="32" t="n">
        <v>1</v>
      </c>
      <c r="I4" s="32" t="n">
        <v>0</v>
      </c>
      <c r="J4" s="32" t="n">
        <v>1</v>
      </c>
      <c r="K4" s="32" t="n">
        <v>0</v>
      </c>
      <c r="L4" s="32" t="n">
        <v>0</v>
      </c>
      <c r="M4" s="32" t="n">
        <v>0</v>
      </c>
      <c r="N4" s="32" t="n">
        <v>0</v>
      </c>
      <c r="O4" s="32" t="n">
        <v>1</v>
      </c>
    </row>
    <row r="6" customFormat="false" ht="14.25" hidden="false" customHeight="true" outlineLevel="0" collapsed="false">
      <c r="B6" s="32" t="s">
        <v>775</v>
      </c>
    </row>
    <row r="7" customFormat="false" ht="15" hidden="false" customHeight="false" outlineLevel="0" collapsed="false">
      <c r="A7" s="32" t="s">
        <v>769</v>
      </c>
      <c r="B7" s="32" t="s">
        <v>394</v>
      </c>
      <c r="C7" s="32" t="s">
        <v>776</v>
      </c>
      <c r="D7" s="32" t="s">
        <v>777</v>
      </c>
      <c r="E7" s="32" t="s">
        <v>777</v>
      </c>
      <c r="F7" s="32" t="s">
        <v>777</v>
      </c>
      <c r="G7" s="32" t="s">
        <v>777</v>
      </c>
      <c r="H7" s="32" t="s">
        <v>778</v>
      </c>
      <c r="I7" s="32" t="s">
        <v>777</v>
      </c>
      <c r="J7" s="32" t="s">
        <v>777</v>
      </c>
      <c r="K7" s="32" t="s">
        <v>779</v>
      </c>
      <c r="L7" s="32" t="s">
        <v>780</v>
      </c>
      <c r="M7" s="32" t="s">
        <v>781</v>
      </c>
      <c r="N7" s="32" t="s">
        <v>781</v>
      </c>
      <c r="O7" s="32" t="s">
        <v>782</v>
      </c>
      <c r="P7" s="32" t="s">
        <v>781</v>
      </c>
      <c r="Q7" s="32" t="s">
        <v>781</v>
      </c>
      <c r="R7" s="32" t="s">
        <v>781</v>
      </c>
      <c r="S7" s="32" t="s">
        <v>781</v>
      </c>
      <c r="T7" s="32" t="s">
        <v>783</v>
      </c>
      <c r="U7" s="32" t="s">
        <v>398</v>
      </c>
    </row>
    <row r="8" customFormat="false" ht="15" hidden="false" customHeight="false" outlineLevel="0" collapsed="false">
      <c r="A8" s="32" t="s">
        <v>774</v>
      </c>
      <c r="B8" s="32" t="n">
        <v>1</v>
      </c>
      <c r="C8" s="32" t="n">
        <v>1</v>
      </c>
      <c r="D8" s="32" t="n">
        <v>1</v>
      </c>
      <c r="E8" s="32" t="n">
        <v>0</v>
      </c>
      <c r="F8" s="32" t="n">
        <v>0</v>
      </c>
      <c r="G8" s="32" t="n">
        <v>0</v>
      </c>
      <c r="H8" s="32" t="n">
        <v>1</v>
      </c>
      <c r="I8" s="32" t="n">
        <v>0</v>
      </c>
      <c r="J8" s="32" t="n">
        <v>0</v>
      </c>
      <c r="K8" s="32" t="n">
        <v>1</v>
      </c>
      <c r="L8" s="32" t="n">
        <v>1</v>
      </c>
      <c r="M8" s="32" t="n">
        <v>1</v>
      </c>
      <c r="N8" s="32" t="n">
        <v>0</v>
      </c>
      <c r="O8" s="32" t="n">
        <v>1</v>
      </c>
      <c r="P8" s="32" t="n">
        <v>0</v>
      </c>
      <c r="Q8" s="32" t="n">
        <v>0</v>
      </c>
      <c r="R8" s="32" t="n">
        <v>0</v>
      </c>
      <c r="S8" s="32" t="n">
        <v>0</v>
      </c>
      <c r="T8" s="32" t="n">
        <v>1</v>
      </c>
      <c r="U8" s="32" t="n">
        <v>1</v>
      </c>
    </row>
    <row r="9" customFormat="false" ht="15" hidden="false" customHeight="false" outlineLevel="0" collapsed="false">
      <c r="A9" s="32" t="s">
        <v>687</v>
      </c>
      <c r="B9" s="32" t="n">
        <v>22.15</v>
      </c>
      <c r="C9" s="32" t="n">
        <v>21.84</v>
      </c>
      <c r="D9" s="32" t="n">
        <v>18.7</v>
      </c>
      <c r="E9" s="32" t="n">
        <v>18.7</v>
      </c>
      <c r="F9" s="32" t="n">
        <v>18.7</v>
      </c>
      <c r="G9" s="32" t="n">
        <v>18.7</v>
      </c>
      <c r="H9" s="32" t="n">
        <v>18.7</v>
      </c>
      <c r="I9" s="32" t="n">
        <v>18.7</v>
      </c>
      <c r="J9" s="32" t="n">
        <v>18.7</v>
      </c>
      <c r="K9" s="32" t="n">
        <v>21.84</v>
      </c>
      <c r="L9" s="32" t="n">
        <v>21.84</v>
      </c>
      <c r="M9" s="32" t="n">
        <v>18.7</v>
      </c>
      <c r="N9" s="32" t="n">
        <v>18.7</v>
      </c>
      <c r="O9" s="32" t="n">
        <v>18.7</v>
      </c>
      <c r="P9" s="32" t="n">
        <v>18.7</v>
      </c>
      <c r="Q9" s="32" t="n">
        <v>18.7</v>
      </c>
      <c r="R9" s="32" t="n">
        <v>18.7</v>
      </c>
      <c r="S9" s="32" t="n">
        <v>18.7</v>
      </c>
      <c r="T9" s="32" t="n">
        <v>21.84</v>
      </c>
      <c r="U9" s="32" t="n">
        <v>22.15</v>
      </c>
    </row>
    <row r="10" customFormat="false" ht="15" hidden="false" customHeight="false" outlineLevel="0" collapsed="false">
      <c r="A10" s="32" t="s">
        <v>784</v>
      </c>
      <c r="B10" s="32" t="n">
        <f aca="false">ROUND(15*((B9*10)/256),0)</f>
        <v>13</v>
      </c>
      <c r="C10" s="32" t="n">
        <f aca="false">ROUND(15*((C9*10)/256),0)</f>
        <v>13</v>
      </c>
      <c r="D10" s="32" t="n">
        <f aca="false">ROUND(15*((D9*10)/256),0)</f>
        <v>11</v>
      </c>
      <c r="E10" s="32" t="n">
        <f aca="false">ROUND(15*((E9*10)/256),0)</f>
        <v>11</v>
      </c>
      <c r="F10" s="32" t="n">
        <f aca="false">ROUND(15*((F9*10)/256),0)</f>
        <v>11</v>
      </c>
      <c r="G10" s="32" t="n">
        <f aca="false">ROUND(15*((G9*10)/256),0)</f>
        <v>11</v>
      </c>
      <c r="H10" s="32" t="n">
        <f aca="false">ROUND(15*((H9*10)/256),0)</f>
        <v>11</v>
      </c>
      <c r="I10" s="32" t="n">
        <f aca="false">ROUND(15*((I9*10)/256),0)</f>
        <v>11</v>
      </c>
      <c r="J10" s="32" t="n">
        <f aca="false">ROUND(15*((J9*10)/256),0)</f>
        <v>11</v>
      </c>
      <c r="K10" s="32" t="n">
        <f aca="false">ROUND(15*((K9*10)/256),0)</f>
        <v>13</v>
      </c>
      <c r="L10" s="32" t="n">
        <f aca="false">ROUND(15*((L9*10)/256),0)</f>
        <v>13</v>
      </c>
      <c r="M10" s="32" t="n">
        <f aca="false">ROUND(15*((M9*10)/256),0)</f>
        <v>11</v>
      </c>
      <c r="N10" s="32" t="n">
        <f aca="false">ROUND(15*((N9*10)/256),0)</f>
        <v>11</v>
      </c>
      <c r="O10" s="32" t="n">
        <f aca="false">ROUND(15*((O9*10)/256),0)</f>
        <v>11</v>
      </c>
      <c r="P10" s="32" t="n">
        <f aca="false">ROUND(15*((P9*10)/256),0)</f>
        <v>11</v>
      </c>
      <c r="Q10" s="32" t="n">
        <f aca="false">ROUND(15*((Q9*10)/256),0)</f>
        <v>11</v>
      </c>
      <c r="R10" s="32" t="n">
        <f aca="false">ROUND(15*((R9*10)/256),0)</f>
        <v>11</v>
      </c>
      <c r="S10" s="32" t="n">
        <f aca="false">ROUND(15*((S9*10)/256),0)</f>
        <v>11</v>
      </c>
      <c r="T10" s="32" t="n">
        <f aca="false">ROUND(15*((T9*10)/256),0)</f>
        <v>13</v>
      </c>
      <c r="U10" s="32" t="n">
        <f aca="false">ROUND(15*((U9*10)/256),0)</f>
        <v>13</v>
      </c>
    </row>
    <row r="11" customFormat="false" ht="15" hidden="false" customHeight="false" outlineLevel="0" collapsed="false">
      <c r="A11" s="32" t="s">
        <v>785</v>
      </c>
      <c r="B11" s="32" t="str">
        <f aca="false">VLOOKUP(B10,Constants!$A$1:$B$16,2,FALSE())</f>
        <v>4,5,4</v>
      </c>
      <c r="C11" s="32" t="str">
        <f aca="false">VLOOKUP(C10,Constants!$A$1:$B$16,2,FALSE())</f>
        <v>4,5,4</v>
      </c>
      <c r="D11" s="32" t="str">
        <f aca="false">VLOOKUP(D10,Constants!$A$1:$B$16,2,FALSE())</f>
        <v>4,3,4</v>
      </c>
      <c r="E11" s="32" t="str">
        <f aca="false">VLOOKUP(E10,Constants!$A$1:$B$16,2,FALSE())</f>
        <v>4,3,4</v>
      </c>
      <c r="F11" s="32" t="str">
        <f aca="false">VLOOKUP(F10,Constants!$A$1:$B$16,2,FALSE())</f>
        <v>4,3,4</v>
      </c>
      <c r="G11" s="32" t="str">
        <f aca="false">VLOOKUP(G10,Constants!$A$1:$B$16,2,FALSE())</f>
        <v>4,3,4</v>
      </c>
      <c r="H11" s="32" t="str">
        <f aca="false">VLOOKUP(H10,Constants!$A$1:$B$16,2,FALSE())</f>
        <v>4,3,4</v>
      </c>
      <c r="I11" s="32" t="str">
        <f aca="false">VLOOKUP(I10,Constants!$A$1:$B$16,2,FALSE())</f>
        <v>4,3,4</v>
      </c>
      <c r="J11" s="32" t="str">
        <f aca="false">VLOOKUP(J10,Constants!$A$1:$B$16,2,FALSE())</f>
        <v>4,3,4</v>
      </c>
      <c r="K11" s="32" t="str">
        <f aca="false">VLOOKUP(K10,Constants!$A$1:$B$16,2,FALSE())</f>
        <v>4,5,4</v>
      </c>
      <c r="L11" s="32" t="str">
        <f aca="false">VLOOKUP(L10,Constants!$A$1:$B$16,2,FALSE())</f>
        <v>4,5,4</v>
      </c>
      <c r="M11" s="32" t="str">
        <f aca="false">VLOOKUP(M10,Constants!$A$1:$B$16,2,FALSE())</f>
        <v>4,3,4</v>
      </c>
      <c r="N11" s="32" t="str">
        <f aca="false">VLOOKUP(N10,Constants!$A$1:$B$16,2,FALSE())</f>
        <v>4,3,4</v>
      </c>
      <c r="O11" s="32" t="str">
        <f aca="false">VLOOKUP(O10,Constants!$A$1:$B$16,2,FALSE())</f>
        <v>4,3,4</v>
      </c>
      <c r="P11" s="32" t="str">
        <f aca="false">VLOOKUP(P10,Constants!$A$1:$B$16,2,FALSE())</f>
        <v>4,3,4</v>
      </c>
      <c r="Q11" s="32" t="str">
        <f aca="false">VLOOKUP(Q10,Constants!$A$1:$B$16,2,FALSE())</f>
        <v>4,3,4</v>
      </c>
      <c r="R11" s="32" t="str">
        <f aca="false">VLOOKUP(R10,Constants!$A$1:$B$16,2,FALSE())</f>
        <v>4,3,4</v>
      </c>
      <c r="S11" s="32" t="str">
        <f aca="false">VLOOKUP(S10,Constants!$A$1:$B$16,2,FALSE())</f>
        <v>4,3,4</v>
      </c>
      <c r="T11" s="32" t="str">
        <f aca="false">VLOOKUP(T10,Constants!$A$1:$B$16,2,FALSE())</f>
        <v>4,5,4</v>
      </c>
      <c r="U11" s="32" t="str">
        <f aca="false">VLOOKUP(U10,Constants!$A$1:$B$16,2,FALSE())</f>
        <v>4,5,4</v>
      </c>
    </row>
    <row r="13" customFormat="false" ht="15" hidden="false" customHeight="false" outlineLevel="0" collapsed="false">
      <c r="B13" s="32"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2" t="str">
        <f aca="false">_xlfn.TEXTJOIN(",",TRUE(),  B8:Z8)</f>
        <v>1,1,1,0,0,0,1,0,0,1,1,1,0,1,0,0,0,0,1,1</v>
      </c>
    </row>
    <row r="15" customFormat="false" ht="15" hidden="false" customHeight="false" outlineLevel="0" collapsed="false">
      <c r="B15" s="32" t="str">
        <f aca="false">_xlfn.TEXTJOIN(",",TRUE(),  B9:Z9)</f>
        <v>22.15,21.84,18.7,18.7,18.7,18.7,18.7,18.7,18.7,21.84,21.84,18.7,18.7,18.7,18.7,18.7,18.7,18.7,21.84,22.15</v>
      </c>
    </row>
    <row r="16" customFormat="false" ht="15" hidden="false" customHeight="false" outlineLevel="0" collapsed="false">
      <c r="B16" s="32" t="str">
        <f aca="false">_xlfn.TEXTJOIN(",",TRUE(),  B10:Z10)</f>
        <v>13,13,11,11,11,11,11,11,11,13,13,11,11,11,11,11,11,11,13,13</v>
      </c>
    </row>
    <row r="17" customFormat="false" ht="15" hidden="false" customHeight="false" outlineLevel="0" collapsed="false">
      <c r="B17" s="32" t="str">
        <f aca="false">_xlfn.TEXTJOIN(",",TRUE(),  B11:Z11)</f>
        <v>4,5,4,4,5,4,4,3,4,4,3,4,4,3,4,4,3,4,4,3,4,4,3,4,4,3,4,4,5,4,4,5,4,4,3,4,4,3,4,4,3,4,4,3,4,4,3,4,4,3,4,4,3,4,4,5,4,4,5,4</v>
      </c>
    </row>
    <row r="19" customFormat="false" ht="15" hidden="false" customHeight="false" outlineLevel="0" collapsed="false">
      <c r="B19" s="32" t="s">
        <v>786</v>
      </c>
    </row>
    <row r="20" customFormat="false" ht="15" hidden="false" customHeight="false" outlineLevel="0" collapsed="false">
      <c r="A20" s="32" t="s">
        <v>769</v>
      </c>
      <c r="B20" s="32" t="s">
        <v>402</v>
      </c>
      <c r="C20" s="32" t="s">
        <v>776</v>
      </c>
      <c r="D20" s="32" t="s">
        <v>777</v>
      </c>
      <c r="E20" s="32" t="s">
        <v>777</v>
      </c>
      <c r="F20" s="32" t="s">
        <v>777</v>
      </c>
      <c r="G20" s="32" t="s">
        <v>778</v>
      </c>
      <c r="H20" s="32" t="s">
        <v>777</v>
      </c>
      <c r="I20" s="32" t="s">
        <v>779</v>
      </c>
      <c r="J20" s="32" t="s">
        <v>780</v>
      </c>
      <c r="K20" s="32" t="s">
        <v>781</v>
      </c>
      <c r="L20" s="32" t="s">
        <v>782</v>
      </c>
      <c r="M20" s="32" t="s">
        <v>781</v>
      </c>
      <c r="N20" s="32" t="s">
        <v>781</v>
      </c>
      <c r="O20" s="32" t="s">
        <v>781</v>
      </c>
      <c r="P20" s="32" t="s">
        <v>783</v>
      </c>
      <c r="Q20" s="32" t="s">
        <v>406</v>
      </c>
      <c r="R20" s="32"/>
      <c r="S20" s="32"/>
      <c r="T20" s="32"/>
      <c r="U20" s="32"/>
    </row>
    <row r="21" customFormat="false" ht="15" hidden="false" customHeight="false" outlineLevel="0" collapsed="false">
      <c r="A21" s="32" t="s">
        <v>774</v>
      </c>
      <c r="B21" s="32" t="n">
        <v>0</v>
      </c>
      <c r="C21" s="32" t="n">
        <v>0</v>
      </c>
      <c r="D21" s="32" t="n">
        <v>0</v>
      </c>
      <c r="E21" s="32" t="n">
        <v>0</v>
      </c>
      <c r="F21" s="32" t="n">
        <v>0</v>
      </c>
      <c r="G21" s="32" t="n">
        <v>0</v>
      </c>
      <c r="H21" s="32" t="n">
        <v>0</v>
      </c>
      <c r="I21" s="32" t="n">
        <v>0</v>
      </c>
      <c r="J21" s="32" t="n">
        <v>0</v>
      </c>
      <c r="K21" s="32" t="n">
        <v>0</v>
      </c>
      <c r="L21" s="32" t="n">
        <v>0</v>
      </c>
      <c r="M21" s="32" t="n">
        <v>0</v>
      </c>
      <c r="N21" s="32" t="n">
        <v>0</v>
      </c>
      <c r="O21" s="32" t="n">
        <v>0</v>
      </c>
      <c r="P21" s="32" t="n">
        <v>0</v>
      </c>
      <c r="Q21" s="32" t="n">
        <v>0</v>
      </c>
      <c r="R21" s="32"/>
      <c r="S21" s="32"/>
      <c r="T21" s="32"/>
      <c r="U21" s="32"/>
    </row>
    <row r="22" customFormat="false" ht="15" hidden="false" customHeight="false" outlineLevel="0" collapsed="false">
      <c r="A22" s="32" t="s">
        <v>687</v>
      </c>
      <c r="B22" s="32" t="n">
        <v>22.15</v>
      </c>
      <c r="C22" s="32" t="n">
        <v>21.84</v>
      </c>
      <c r="D22" s="32" t="n">
        <v>18.7</v>
      </c>
      <c r="E22" s="32" t="n">
        <v>18.7</v>
      </c>
      <c r="F22" s="32" t="n">
        <v>18.7</v>
      </c>
      <c r="G22" s="32" t="n">
        <v>18.7</v>
      </c>
      <c r="H22" s="32" t="n">
        <v>18.7</v>
      </c>
      <c r="I22" s="32" t="n">
        <v>21.84</v>
      </c>
      <c r="J22" s="32" t="n">
        <v>21.84</v>
      </c>
      <c r="K22" s="32" t="n">
        <v>18.7</v>
      </c>
      <c r="L22" s="32" t="n">
        <v>18.7</v>
      </c>
      <c r="M22" s="32" t="n">
        <v>18.7</v>
      </c>
      <c r="N22" s="32" t="n">
        <v>18.7</v>
      </c>
      <c r="O22" s="32" t="n">
        <v>18.7</v>
      </c>
      <c r="P22" s="32" t="n">
        <v>21.84</v>
      </c>
      <c r="Q22" s="32" t="n">
        <v>22.15</v>
      </c>
      <c r="R22" s="32"/>
      <c r="S22" s="32"/>
      <c r="T22" s="32"/>
      <c r="U22" s="32"/>
    </row>
    <row r="23" customFormat="false" ht="15" hidden="false" customHeight="false" outlineLevel="0" collapsed="false">
      <c r="A23" s="32" t="s">
        <v>784</v>
      </c>
      <c r="B23" s="32" t="n">
        <f aca="false">ROUND(15*((B22*10)/256),0)</f>
        <v>13</v>
      </c>
      <c r="C23" s="32" t="n">
        <f aca="false">ROUND(15*((C22*10)/256),0)</f>
        <v>13</v>
      </c>
      <c r="D23" s="32" t="n">
        <f aca="false">ROUND(15*((D22*10)/256),0)</f>
        <v>11</v>
      </c>
      <c r="E23" s="32" t="n">
        <f aca="false">ROUND(15*((E22*10)/256),0)</f>
        <v>11</v>
      </c>
      <c r="F23" s="32" t="n">
        <f aca="false">ROUND(15*((F22*10)/256),0)</f>
        <v>11</v>
      </c>
      <c r="G23" s="32" t="n">
        <f aca="false">ROUND(15*((G22*10)/256),0)</f>
        <v>11</v>
      </c>
      <c r="H23" s="32" t="n">
        <f aca="false">ROUND(15*((H22*10)/256),0)</f>
        <v>11</v>
      </c>
      <c r="I23" s="32" t="n">
        <f aca="false">ROUND(15*((I22*10)/256),0)</f>
        <v>13</v>
      </c>
      <c r="J23" s="32" t="n">
        <f aca="false">ROUND(15*((J22*10)/256),0)</f>
        <v>13</v>
      </c>
      <c r="K23" s="32" t="n">
        <f aca="false">ROUND(15*((K22*10)/256),0)</f>
        <v>11</v>
      </c>
      <c r="L23" s="32" t="n">
        <f aca="false">ROUND(15*((L22*10)/256),0)</f>
        <v>11</v>
      </c>
      <c r="M23" s="32" t="n">
        <f aca="false">ROUND(15*((M22*10)/256),0)</f>
        <v>11</v>
      </c>
      <c r="N23" s="32" t="n">
        <f aca="false">ROUND(15*((N22*10)/256),0)</f>
        <v>11</v>
      </c>
      <c r="O23" s="32" t="n">
        <f aca="false">ROUND(15*((O22*10)/256),0)</f>
        <v>11</v>
      </c>
      <c r="P23" s="32" t="n">
        <f aca="false">ROUND(15*((P22*10)/256),0)</f>
        <v>13</v>
      </c>
      <c r="Q23" s="32" t="n">
        <f aca="false">ROUND(15*((Q22*10)/256),0)</f>
        <v>13</v>
      </c>
      <c r="R23" s="32"/>
      <c r="S23" s="32"/>
      <c r="T23" s="32"/>
      <c r="U23" s="32"/>
    </row>
    <row r="24" customFormat="false" ht="15" hidden="false" customHeight="false" outlineLevel="0" collapsed="false">
      <c r="A24" s="32" t="s">
        <v>785</v>
      </c>
      <c r="B24" s="32" t="str">
        <f aca="false">VLOOKUP(B23,Constants!$A$1:$B$16,2,FALSE())</f>
        <v>4,5,4</v>
      </c>
      <c r="C24" s="32" t="str">
        <f aca="false">VLOOKUP(C23,Constants!$A$1:$B$16,2,FALSE())</f>
        <v>4,5,4</v>
      </c>
      <c r="D24" s="32" t="str">
        <f aca="false">VLOOKUP(D23,Constants!$A$1:$B$16,2,FALSE())</f>
        <v>4,3,4</v>
      </c>
      <c r="E24" s="32" t="str">
        <f aca="false">VLOOKUP(E23,Constants!$A$1:$B$16,2,FALSE())</f>
        <v>4,3,4</v>
      </c>
      <c r="F24" s="32" t="str">
        <f aca="false">VLOOKUP(F23,Constants!$A$1:$B$16,2,FALSE())</f>
        <v>4,3,4</v>
      </c>
      <c r="G24" s="32" t="str">
        <f aca="false">VLOOKUP(G23,Constants!$A$1:$B$16,2,FALSE())</f>
        <v>4,3,4</v>
      </c>
      <c r="H24" s="32" t="str">
        <f aca="false">VLOOKUP(H23,Constants!$A$1:$B$16,2,FALSE())</f>
        <v>4,3,4</v>
      </c>
      <c r="I24" s="32" t="str">
        <f aca="false">VLOOKUP(I23,Constants!$A$1:$B$16,2,FALSE())</f>
        <v>4,5,4</v>
      </c>
      <c r="J24" s="32" t="str">
        <f aca="false">VLOOKUP(J23,Constants!$A$1:$B$16,2,FALSE())</f>
        <v>4,5,4</v>
      </c>
      <c r="K24" s="32" t="str">
        <f aca="false">VLOOKUP(K23,Constants!$A$1:$B$16,2,FALSE())</f>
        <v>4,3,4</v>
      </c>
      <c r="L24" s="32" t="str">
        <f aca="false">VLOOKUP(L23,Constants!$A$1:$B$16,2,FALSE())</f>
        <v>4,3,4</v>
      </c>
      <c r="M24" s="32" t="str">
        <f aca="false">VLOOKUP(M23,Constants!$A$1:$B$16,2,FALSE())</f>
        <v>4,3,4</v>
      </c>
      <c r="N24" s="32" t="str">
        <f aca="false">VLOOKUP(N23,Constants!$A$1:$B$16,2,FALSE())</f>
        <v>4,3,4</v>
      </c>
      <c r="O24" s="32" t="str">
        <f aca="false">VLOOKUP(O23,Constants!$A$1:$B$16,2,FALSE())</f>
        <v>4,3,4</v>
      </c>
      <c r="P24" s="32" t="str">
        <f aca="false">VLOOKUP(P23,Constants!$A$1:$B$16,2,FALSE())</f>
        <v>4,5,4</v>
      </c>
      <c r="Q24" s="32" t="str">
        <f aca="false">VLOOKUP(Q23,Constants!$A$1:$B$16,2,FALSE())</f>
        <v>4,5,4</v>
      </c>
      <c r="R24" s="32"/>
      <c r="S24" s="32"/>
      <c r="T24" s="32"/>
      <c r="U24" s="32"/>
    </row>
    <row r="26" customFormat="false" ht="15" hidden="false" customHeight="false" outlineLevel="0" collapsed="false">
      <c r="B26" s="32"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2" t="str">
        <f aca="false">_xlfn.TEXTJOIN(",",TRUE(),  B21:Z21)</f>
        <v>0,0,0,0,0,0,0,0,0,0,0,0,0,0,0,0</v>
      </c>
    </row>
    <row r="28" customFormat="false" ht="15" hidden="false" customHeight="false" outlineLevel="0" collapsed="false">
      <c r="B28" s="32" t="str">
        <f aca="false">_xlfn.TEXTJOIN(",",TRUE(),  B22:Z22)</f>
        <v>22.15,21.84,18.7,18.7,18.7,18.7,18.7,21.84,21.84,18.7,18.7,18.7,18.7,18.7,21.84,22.15</v>
      </c>
    </row>
    <row r="29" customFormat="false" ht="15" hidden="false" customHeight="false" outlineLevel="0" collapsed="false">
      <c r="B29" s="32" t="str">
        <f aca="false">_xlfn.TEXTJOIN(",",TRUE(),  B23:Z23)</f>
        <v>13,13,11,11,11,11,11,13,13,11,11,11,11,11,13,13</v>
      </c>
    </row>
    <row r="30" customFormat="false" ht="15" hidden="false" customHeight="true" outlineLevel="0" collapsed="false">
      <c r="B30" s="32"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2" t="s">
        <v>787</v>
      </c>
    </row>
    <row r="33" customFormat="false" ht="15" hidden="false" customHeight="false" outlineLevel="0" collapsed="false">
      <c r="A33" s="32" t="s">
        <v>769</v>
      </c>
      <c r="B33" s="32" t="s">
        <v>114</v>
      </c>
      <c r="C33" s="32" t="s">
        <v>788</v>
      </c>
      <c r="D33" s="32" t="s">
        <v>146</v>
      </c>
      <c r="E33" s="32" t="s">
        <v>114</v>
      </c>
      <c r="F33" s="32" t="s">
        <v>788</v>
      </c>
    </row>
    <row r="34" customFormat="false" ht="15" hidden="false" customHeight="false" outlineLevel="0" collapsed="false">
      <c r="A34" s="32" t="s">
        <v>774</v>
      </c>
      <c r="B34" s="32" t="n">
        <v>1</v>
      </c>
      <c r="C34" s="32" t="n">
        <v>1</v>
      </c>
      <c r="D34" s="32" t="n">
        <v>1</v>
      </c>
      <c r="E34" s="32" t="n">
        <v>0</v>
      </c>
      <c r="F34" s="32" t="n">
        <v>0</v>
      </c>
    </row>
    <row r="35" customFormat="false" ht="15" hidden="false" customHeight="false" outlineLevel="0" collapsed="false">
      <c r="A35" s="32" t="s">
        <v>687</v>
      </c>
      <c r="B35" s="32" t="n">
        <v>17.5</v>
      </c>
      <c r="C35" s="32" t="n">
        <v>17.5</v>
      </c>
      <c r="D35" s="32" t="n">
        <v>12.8</v>
      </c>
      <c r="E35" s="32" t="n">
        <v>17.5</v>
      </c>
      <c r="F35" s="32" t="n">
        <v>17.5</v>
      </c>
    </row>
    <row r="36" customFormat="false" ht="15" hidden="false" customHeight="false" outlineLevel="0" collapsed="false">
      <c r="A36" s="32" t="s">
        <v>784</v>
      </c>
      <c r="B36" s="32" t="n">
        <f aca="false">ROUND(15*((B35*10)/256),0)</f>
        <v>10</v>
      </c>
      <c r="C36" s="32" t="n">
        <f aca="false">ROUND(15*((C35*10)/256),0)</f>
        <v>10</v>
      </c>
      <c r="D36" s="32" t="n">
        <f aca="false">ROUND(15*((D35*10)/256),0)</f>
        <v>8</v>
      </c>
      <c r="E36" s="32" t="n">
        <f aca="false">ROUND(15*((E35*10)/256),0)</f>
        <v>10</v>
      </c>
      <c r="F36" s="32" t="n">
        <f aca="false">ROUND(15*((F35*10)/256),0)</f>
        <v>10</v>
      </c>
    </row>
    <row r="37" customFormat="false" ht="15" hidden="false" customHeight="false" outlineLevel="0" collapsed="false">
      <c r="A37" s="32" t="s">
        <v>785</v>
      </c>
      <c r="B37" s="32" t="str">
        <f aca="false">VLOOKUP(B36,Constants!$A$1:$B$16,2,FALSE())</f>
        <v>4,2,4</v>
      </c>
      <c r="C37" s="32" t="str">
        <f aca="false">VLOOKUP(C36,Constants!$A$1:$B$16,2,FALSE())</f>
        <v>4,2,4</v>
      </c>
      <c r="D37" s="32" t="str">
        <f aca="false">VLOOKUP(D36,Constants!$A$1:$B$16,2,FALSE())</f>
        <v>2,4,2</v>
      </c>
      <c r="E37" s="32" t="str">
        <f aca="false">VLOOKUP(E36,Constants!$A$1:$B$16,2,FALSE())</f>
        <v>4,2,4</v>
      </c>
      <c r="F37" s="32" t="str">
        <f aca="false">VLOOKUP(F36,Constants!$A$1:$B$16,2,FALSE())</f>
        <v>4,2,4</v>
      </c>
    </row>
    <row r="38" customFormat="false" ht="15" hidden="false" customHeight="false" outlineLevel="0" collapsed="false">
      <c r="A38" s="32" t="s">
        <v>789</v>
      </c>
      <c r="B38" s="32" t="n">
        <v>0</v>
      </c>
      <c r="C38" s="32" t="n">
        <v>0</v>
      </c>
      <c r="D38" s="32" t="n">
        <v>0</v>
      </c>
      <c r="E38" s="32" t="n">
        <v>0</v>
      </c>
      <c r="F38" s="32" t="n">
        <v>0</v>
      </c>
    </row>
    <row r="39" customFormat="false" ht="15" hidden="false" customHeight="true" outlineLevel="0" collapsed="false">
      <c r="B39" s="32" t="str">
        <f aca="false">_xlfn.TEXTJOIN(",",TRUE(),  B33:P33)</f>
        <v>lbscr_emu_dt,lbscr_emu_dt_rev,lbscr_emu_mlv,lbscr_emu_dt,lbscr_emu_dt_rev</v>
      </c>
    </row>
    <row r="40" customFormat="false" ht="15" hidden="false" customHeight="false" outlineLevel="0" collapsed="false">
      <c r="B40" s="32" t="str">
        <f aca="false">_xlfn.TEXTJOIN(",",TRUE(),  B34:P34)</f>
        <v>1,1,1,0,0</v>
      </c>
    </row>
    <row r="41" customFormat="false" ht="15" hidden="false" customHeight="false" outlineLevel="0" collapsed="false">
      <c r="B41" s="32" t="str">
        <f aca="false">_xlfn.TEXTJOIN(",",TRUE(),  B37:P37)</f>
        <v>4,2,4,4,2,4,2,4,2,4,2,4,4,2,4</v>
      </c>
    </row>
    <row r="42" customFormat="false" ht="15" hidden="false" customHeight="false" outlineLevel="0" collapsed="false">
      <c r="B42" s="32" t="str">
        <f aca="false">_xlfn.TEXTJOIN(",",TRUE(),  B36:U36)</f>
        <v>10,10,8,10,10</v>
      </c>
    </row>
    <row r="43" customFormat="false" ht="15" hidden="false" customHeight="false" outlineLevel="0" collapsed="false">
      <c r="B43" s="32" t="n">
        <f aca="false">SUM(B38:Y38)</f>
        <v>0</v>
      </c>
    </row>
    <row r="45" customFormat="false" ht="15" hidden="false" customHeight="false" outlineLevel="0" collapsed="false">
      <c r="B45" s="32" t="s">
        <v>790</v>
      </c>
    </row>
    <row r="46" customFormat="false" ht="15" hidden="false" customHeight="false" outlineLevel="0" collapsed="false">
      <c r="A46" s="32" t="s">
        <v>769</v>
      </c>
      <c r="B46" s="32" t="s">
        <v>639</v>
      </c>
      <c r="C46" s="32" t="s">
        <v>791</v>
      </c>
      <c r="D46" s="32" t="s">
        <v>792</v>
      </c>
      <c r="E46" s="32" t="s">
        <v>793</v>
      </c>
      <c r="F46" s="32" t="s">
        <v>793</v>
      </c>
      <c r="G46" s="32" t="s">
        <v>793</v>
      </c>
      <c r="H46" s="32" t="s">
        <v>793</v>
      </c>
      <c r="I46" s="32" t="s">
        <v>794</v>
      </c>
    </row>
    <row r="47" customFormat="false" ht="15" hidden="false" customHeight="false" outlineLevel="0" collapsed="false">
      <c r="A47" s="32" t="s">
        <v>774</v>
      </c>
      <c r="B47" s="32" t="n">
        <v>1</v>
      </c>
      <c r="C47" s="32" t="n">
        <v>1</v>
      </c>
      <c r="D47" s="32" t="n">
        <v>1</v>
      </c>
      <c r="E47" s="32" t="n">
        <v>1</v>
      </c>
      <c r="F47" s="32" t="n">
        <v>0</v>
      </c>
      <c r="G47" s="32" t="n">
        <v>0</v>
      </c>
      <c r="H47" s="32" t="n">
        <v>0</v>
      </c>
      <c r="I47" s="32" t="n">
        <v>1</v>
      </c>
    </row>
    <row r="48" customFormat="false" ht="15" hidden="false" customHeight="false" outlineLevel="0" collapsed="false">
      <c r="A48" s="32" t="s">
        <v>687</v>
      </c>
      <c r="B48" s="32" t="n">
        <v>23</v>
      </c>
      <c r="C48" s="32" t="n">
        <v>23</v>
      </c>
      <c r="D48" s="32" t="n">
        <v>23</v>
      </c>
      <c r="E48" s="32" t="n">
        <v>23</v>
      </c>
      <c r="F48" s="32" t="n">
        <v>23</v>
      </c>
      <c r="G48" s="32" t="n">
        <v>23</v>
      </c>
      <c r="H48" s="32" t="n">
        <v>23</v>
      </c>
      <c r="I48" s="32" t="n">
        <v>23</v>
      </c>
    </row>
    <row r="49" customFormat="false" ht="15" hidden="false" customHeight="false" outlineLevel="0" collapsed="false">
      <c r="A49" s="32" t="s">
        <v>784</v>
      </c>
      <c r="B49" s="32" t="n">
        <f aca="false">ROUND(15*((B48*10)/256),0)</f>
        <v>13</v>
      </c>
      <c r="C49" s="32" t="n">
        <f aca="false">ROUND(15*((C48*10)/256),0)</f>
        <v>13</v>
      </c>
      <c r="D49" s="32" t="n">
        <f aca="false">ROUND(15*((D48*10)/256),0)</f>
        <v>13</v>
      </c>
      <c r="E49" s="32" t="n">
        <f aca="false">ROUND(15*((E48*10)/256),0)</f>
        <v>13</v>
      </c>
      <c r="F49" s="32" t="n">
        <f aca="false">ROUND(15*((F48*10)/256),0)</f>
        <v>13</v>
      </c>
      <c r="G49" s="32" t="n">
        <f aca="false">ROUND(15*((G48*10)/256),0)</f>
        <v>13</v>
      </c>
      <c r="H49" s="32" t="n">
        <f aca="false">ROUND(15*((H48*10)/256),0)</f>
        <v>13</v>
      </c>
      <c r="I49" s="32" t="n">
        <f aca="false">ROUND(15*((I48*10)/256),0)</f>
        <v>13</v>
      </c>
    </row>
    <row r="50" customFormat="false" ht="15" hidden="false" customHeight="false" outlineLevel="0" collapsed="false">
      <c r="A50" s="32" t="s">
        <v>785</v>
      </c>
      <c r="B50" s="32" t="str">
        <f aca="false">VLOOKUP(B49,Constants!$A$1:$B$16,2,FALSE())</f>
        <v>4,5,4</v>
      </c>
      <c r="C50" s="32" t="str">
        <f aca="false">VLOOKUP(C49,Constants!$A$1:$B$16,2,FALSE())</f>
        <v>4,5,4</v>
      </c>
      <c r="D50" s="32" t="str">
        <f aca="false">VLOOKUP(D49,Constants!$A$1:$B$16,2,FALSE())</f>
        <v>4,5,4</v>
      </c>
      <c r="E50" s="32" t="str">
        <f aca="false">VLOOKUP(E49,Constants!$A$1:$B$16,2,FALSE())</f>
        <v>4,5,4</v>
      </c>
      <c r="F50" s="32" t="str">
        <f aca="false">VLOOKUP(F49,Constants!$A$1:$B$16,2,FALSE())</f>
        <v>4,5,4</v>
      </c>
      <c r="G50" s="32" t="str">
        <f aca="false">VLOOKUP(G49,Constants!$A$1:$B$16,2,FALSE())</f>
        <v>4,5,4</v>
      </c>
      <c r="H50" s="32" t="str">
        <f aca="false">VLOOKUP(H49,Constants!$A$1:$B$16,2,FALSE())</f>
        <v>4,5,4</v>
      </c>
      <c r="I50" s="32" t="str">
        <f aca="false">VLOOKUP(I49,Constants!$A$1:$B$16,2,FALSE())</f>
        <v>4,5,4</v>
      </c>
    </row>
    <row r="51" customFormat="false" ht="15" hidden="false" customHeight="true" outlineLevel="0" collapsed="false">
      <c r="A51" s="32" t="s">
        <v>789</v>
      </c>
      <c r="B51" s="32" t="n">
        <v>50.2</v>
      </c>
      <c r="C51" s="32" t="n">
        <v>50.2</v>
      </c>
      <c r="D51" s="32" t="n">
        <v>52.9</v>
      </c>
      <c r="E51" s="32" t="n">
        <v>53.3</v>
      </c>
      <c r="F51" s="32" t="n">
        <v>53.3</v>
      </c>
      <c r="G51" s="32" t="n">
        <v>53.3</v>
      </c>
      <c r="H51" s="32" t="n">
        <v>53.3</v>
      </c>
      <c r="I51" s="32" t="n">
        <v>53.3</v>
      </c>
    </row>
    <row r="52" customFormat="false" ht="15" hidden="false" customHeight="false" outlineLevel="0" collapsed="false">
      <c r="B52" s="32"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2" t="str">
        <f aca="false">_xlfn.TEXTJOIN(",",TRUE(),  B47:P47)</f>
        <v>1,1,1,1,0,0,0,1</v>
      </c>
    </row>
    <row r="54" customFormat="false" ht="15" hidden="false" customHeight="false" outlineLevel="0" collapsed="false">
      <c r="B54" s="32" t="str">
        <f aca="false">_xlfn.TEXTJOIN(",",TRUE(),  B50:P50)</f>
        <v>4,5,4,4,5,4,4,5,4,4,5,4,4,5,4,4,5,4,4,5,4,4,5,4</v>
      </c>
    </row>
    <row r="55" customFormat="false" ht="15" hidden="false" customHeight="false" outlineLevel="0" collapsed="false">
      <c r="B55" s="32" t="str">
        <f aca="false">_xlfn.TEXTJOIN(",",TRUE(),  B49:U49)</f>
        <v>13,13,13,13,13,13,13,13</v>
      </c>
    </row>
    <row r="56" customFormat="false" ht="15" hidden="false" customHeight="true" outlineLevel="0" collapsed="false">
      <c r="B56" s="32" t="n">
        <f aca="false">SUM(B51:Y51)</f>
        <v>419.8</v>
      </c>
    </row>
    <row r="57" customFormat="false" ht="15" hidden="false" customHeight="true" outlineLevel="0" collapsed="false">
      <c r="B57" s="32" t="s">
        <v>795</v>
      </c>
    </row>
    <row r="58" customFormat="false" ht="15" hidden="false" customHeight="true" outlineLevel="0" collapsed="false">
      <c r="A58" s="32" t="s">
        <v>769</v>
      </c>
      <c r="B58" s="32" t="s">
        <v>639</v>
      </c>
      <c r="C58" s="32" t="s">
        <v>791</v>
      </c>
      <c r="D58" s="32" t="s">
        <v>791</v>
      </c>
      <c r="E58" s="32" t="s">
        <v>792</v>
      </c>
      <c r="F58" s="32" t="s">
        <v>793</v>
      </c>
      <c r="G58" s="32" t="s">
        <v>793</v>
      </c>
      <c r="H58" s="32" t="s">
        <v>794</v>
      </c>
    </row>
    <row r="59" customFormat="false" ht="15" hidden="false" customHeight="true" outlineLevel="0" collapsed="false">
      <c r="A59" s="32" t="s">
        <v>774</v>
      </c>
      <c r="B59" s="32" t="n">
        <v>0</v>
      </c>
      <c r="C59" s="32" t="n">
        <v>0</v>
      </c>
      <c r="D59" s="32" t="n">
        <v>0</v>
      </c>
      <c r="E59" s="32" t="n">
        <v>0</v>
      </c>
      <c r="F59" s="32" t="n">
        <v>0</v>
      </c>
      <c r="G59" s="32" t="n">
        <v>0</v>
      </c>
      <c r="H59" s="32" t="n">
        <v>0</v>
      </c>
    </row>
    <row r="60" customFormat="false" ht="15" hidden="false" customHeight="true" outlineLevel="0" collapsed="false">
      <c r="A60" s="32" t="s">
        <v>687</v>
      </c>
      <c r="B60" s="32" t="n">
        <v>23</v>
      </c>
      <c r="C60" s="32" t="n">
        <v>23</v>
      </c>
      <c r="D60" s="32" t="n">
        <v>23</v>
      </c>
      <c r="E60" s="32" t="n">
        <v>23</v>
      </c>
      <c r="F60" s="32" t="n">
        <v>23</v>
      </c>
      <c r="G60" s="32" t="n">
        <v>23</v>
      </c>
      <c r="H60" s="32" t="n">
        <v>23</v>
      </c>
    </row>
    <row r="61" customFormat="false" ht="15" hidden="false" customHeight="true" outlineLevel="0" collapsed="false">
      <c r="A61" s="32" t="s">
        <v>784</v>
      </c>
      <c r="B61" s="32" t="n">
        <f aca="false">ROUND(15*((B60*10)/256),0)</f>
        <v>13</v>
      </c>
      <c r="C61" s="32" t="n">
        <f aca="false">ROUND(15*((C60*10)/256),0)</f>
        <v>13</v>
      </c>
      <c r="D61" s="32" t="n">
        <f aca="false">ROUND(15*((D60*10)/256),0)</f>
        <v>13</v>
      </c>
      <c r="E61" s="32" t="n">
        <f aca="false">ROUND(15*((E60*10)/256),0)</f>
        <v>13</v>
      </c>
      <c r="F61" s="32" t="n">
        <f aca="false">ROUND(15*((F60*10)/256),0)</f>
        <v>13</v>
      </c>
      <c r="G61" s="32" t="n">
        <f aca="false">ROUND(15*((G60*10)/256),0)</f>
        <v>13</v>
      </c>
      <c r="H61" s="32" t="n">
        <f aca="false">ROUND(15*((H60*10)/256),0)</f>
        <v>13</v>
      </c>
    </row>
    <row r="62" customFormat="false" ht="15" hidden="false" customHeight="true" outlineLevel="0" collapsed="false">
      <c r="A62" s="32" t="s">
        <v>785</v>
      </c>
      <c r="B62" s="32" t="str">
        <f aca="false">VLOOKUP(B61,Constants!$A$1:$B$16,2,FALSE())</f>
        <v>4,5,4</v>
      </c>
      <c r="C62" s="32" t="str">
        <f aca="false">VLOOKUP(C61,Constants!$A$1:$B$16,2,FALSE())</f>
        <v>4,5,4</v>
      </c>
      <c r="D62" s="32" t="str">
        <f aca="false">VLOOKUP(D61,Constants!$A$1:$B$16,2,FALSE())</f>
        <v>4,5,4</v>
      </c>
      <c r="E62" s="32" t="str">
        <f aca="false">VLOOKUP(E61,Constants!$A$1:$B$16,2,FALSE())</f>
        <v>4,5,4</v>
      </c>
      <c r="F62" s="32" t="str">
        <f aca="false">VLOOKUP(F61,Constants!$A$1:$B$16,2,FALSE())</f>
        <v>4,5,4</v>
      </c>
      <c r="G62" s="32" t="str">
        <f aca="false">VLOOKUP(G61,Constants!$A$1:$B$16,2,FALSE())</f>
        <v>4,5,4</v>
      </c>
      <c r="H62" s="32" t="str">
        <f aca="false">VLOOKUP(H61,Constants!$A$1:$B$16,2,FALSE())</f>
        <v>4,5,4</v>
      </c>
    </row>
    <row r="63" customFormat="false" ht="15" hidden="false" customHeight="true" outlineLevel="0" collapsed="false">
      <c r="A63" s="32" t="s">
        <v>789</v>
      </c>
      <c r="B63" s="32" t="n">
        <v>50.2</v>
      </c>
      <c r="C63" s="32" t="n">
        <v>50.2</v>
      </c>
      <c r="D63" s="32" t="n">
        <v>50.2</v>
      </c>
      <c r="E63" s="32" t="n">
        <v>52.9</v>
      </c>
      <c r="F63" s="32" t="n">
        <v>53.3</v>
      </c>
      <c r="G63" s="32" t="n">
        <v>53.3</v>
      </c>
      <c r="H63" s="32" t="n">
        <v>53.3</v>
      </c>
    </row>
    <row r="64" customFormat="false" ht="15" hidden="false" customHeight="true" outlineLevel="0" collapsed="false">
      <c r="B64" s="32"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2" t="str">
        <f aca="false">_xlfn.TEXTJOIN(",",TRUE(),  B59:P59)</f>
        <v>0,0,0,0,0,0,0</v>
      </c>
    </row>
    <row r="66" customFormat="false" ht="15" hidden="false" customHeight="true" outlineLevel="0" collapsed="false">
      <c r="B66" s="32" t="str">
        <f aca="false">_xlfn.TEXTJOIN(",",TRUE(),  B62:P62)</f>
        <v>4,5,4,4,5,4,4,5,4,4,5,4,4,5,4,4,5,4,4,5,4</v>
      </c>
    </row>
    <row r="67" customFormat="false" ht="15" hidden="false" customHeight="true" outlineLevel="0" collapsed="false">
      <c r="B67" s="32" t="str">
        <f aca="false">_xlfn.TEXTJOIN(",",TRUE(),  B61:U61)</f>
        <v>13,13,13,13,13,13,13</v>
      </c>
    </row>
    <row r="68" customFormat="false" ht="15" hidden="false" customHeight="true" outlineLevel="0" collapsed="false">
      <c r="B68" s="32" t="n">
        <f aca="false">SUM(B63:Y63)</f>
        <v>363.4</v>
      </c>
    </row>
    <row r="73" customFormat="false" ht="15" hidden="false" customHeight="true" outlineLevel="0" collapsed="false">
      <c r="B73" s="32" t="s">
        <v>796</v>
      </c>
    </row>
    <row r="74" customFormat="false" ht="15" hidden="false" customHeight="true" outlineLevel="0" collapsed="false">
      <c r="A74" s="32" t="s">
        <v>769</v>
      </c>
      <c r="B74" s="32" t="s">
        <v>487</v>
      </c>
      <c r="C74" s="32" t="s">
        <v>797</v>
      </c>
      <c r="D74" s="32" t="s">
        <v>798</v>
      </c>
      <c r="E74" s="32" t="s">
        <v>799</v>
      </c>
      <c r="F74" s="32" t="s">
        <v>799</v>
      </c>
      <c r="G74" s="32" t="s">
        <v>798</v>
      </c>
      <c r="H74" s="32" t="s">
        <v>799</v>
      </c>
      <c r="I74" s="32" t="s">
        <v>800</v>
      </c>
      <c r="J74" s="32" t="s">
        <v>800</v>
      </c>
      <c r="K74" s="32" t="s">
        <v>801</v>
      </c>
      <c r="L74" s="32" t="s">
        <v>802</v>
      </c>
      <c r="M74" s="32" t="s">
        <v>801</v>
      </c>
      <c r="N74" s="32" t="s">
        <v>801</v>
      </c>
      <c r="O74" s="32" t="s">
        <v>802</v>
      </c>
      <c r="P74" s="32" t="s">
        <v>803</v>
      </c>
      <c r="Q74" s="32" t="s">
        <v>804</v>
      </c>
      <c r="R74" s="32"/>
      <c r="S74" s="32"/>
      <c r="T74" s="32"/>
      <c r="U74" s="32"/>
    </row>
    <row r="75" customFormat="false" ht="15" hidden="false" customHeight="true" outlineLevel="0" collapsed="false">
      <c r="A75" s="32" t="s">
        <v>774</v>
      </c>
      <c r="B75" s="32" t="n">
        <v>1</v>
      </c>
      <c r="C75" s="32" t="n">
        <v>1</v>
      </c>
      <c r="D75" s="32" t="n">
        <v>1</v>
      </c>
      <c r="E75" s="32" t="n">
        <v>1</v>
      </c>
      <c r="F75" s="32" t="n">
        <v>0</v>
      </c>
      <c r="G75" s="32" t="n">
        <v>0</v>
      </c>
      <c r="H75" s="32" t="n">
        <v>0</v>
      </c>
      <c r="I75" s="32" t="n">
        <v>1</v>
      </c>
      <c r="J75" s="32" t="n">
        <v>0</v>
      </c>
      <c r="K75" s="32" t="n">
        <v>1</v>
      </c>
      <c r="L75" s="32" t="n">
        <v>1</v>
      </c>
      <c r="M75" s="32" t="n">
        <v>0</v>
      </c>
      <c r="N75" s="32" t="n">
        <v>0</v>
      </c>
      <c r="O75" s="32" t="n">
        <v>0</v>
      </c>
      <c r="P75" s="32" t="n">
        <v>1</v>
      </c>
      <c r="Q75" s="32" t="n">
        <v>1</v>
      </c>
      <c r="R75" s="32"/>
      <c r="S75" s="32"/>
      <c r="T75" s="32"/>
      <c r="U75" s="32"/>
    </row>
    <row r="76" customFormat="false" ht="15" hidden="false" customHeight="true" outlineLevel="0" collapsed="false">
      <c r="A76" s="32" t="s">
        <v>687</v>
      </c>
      <c r="B76" s="32" t="n">
        <v>25.7</v>
      </c>
      <c r="C76" s="32" t="n">
        <v>24.2</v>
      </c>
      <c r="D76" s="32" t="n">
        <v>24.2</v>
      </c>
      <c r="E76" s="32" t="n">
        <v>24.2</v>
      </c>
      <c r="F76" s="32" t="n">
        <v>24.2</v>
      </c>
      <c r="G76" s="32" t="n">
        <v>24.2</v>
      </c>
      <c r="H76" s="32" t="n">
        <v>24.2</v>
      </c>
      <c r="I76" s="32" t="n">
        <v>24.2</v>
      </c>
      <c r="J76" s="32" t="n">
        <v>24.2</v>
      </c>
      <c r="K76" s="32" t="n">
        <v>24.2</v>
      </c>
      <c r="L76" s="32" t="n">
        <v>24.2</v>
      </c>
      <c r="M76" s="32" t="n">
        <v>24.2</v>
      </c>
      <c r="N76" s="32" t="n">
        <v>24.2</v>
      </c>
      <c r="O76" s="32" t="n">
        <v>24.2</v>
      </c>
      <c r="P76" s="32" t="n">
        <v>24.2</v>
      </c>
      <c r="Q76" s="32" t="n">
        <v>25.7</v>
      </c>
      <c r="R76" s="32"/>
      <c r="S76" s="32"/>
      <c r="T76" s="32"/>
      <c r="U76" s="32"/>
    </row>
    <row r="77" customFormat="false" ht="15" hidden="false" customHeight="true" outlineLevel="0" collapsed="false">
      <c r="A77" s="32" t="s">
        <v>784</v>
      </c>
      <c r="B77" s="32" t="n">
        <f aca="false">ROUND(15*((B76*10)/256),0)</f>
        <v>15</v>
      </c>
      <c r="C77" s="32" t="n">
        <f aca="false">ROUND(15*((C76*10)/256),0)</f>
        <v>14</v>
      </c>
      <c r="D77" s="32" t="n">
        <f aca="false">ROUND(15*((D76*10)/256),0)</f>
        <v>14</v>
      </c>
      <c r="E77" s="32" t="n">
        <f aca="false">ROUND(15*((E76*10)/256),0)</f>
        <v>14</v>
      </c>
      <c r="F77" s="32" t="n">
        <f aca="false">ROUND(15*((F76*10)/256),0)</f>
        <v>14</v>
      </c>
      <c r="G77" s="32" t="n">
        <f aca="false">ROUND(15*((G76*10)/256),0)</f>
        <v>14</v>
      </c>
      <c r="H77" s="32" t="n">
        <f aca="false">ROUND(15*((H76*10)/256),0)</f>
        <v>14</v>
      </c>
      <c r="I77" s="32" t="n">
        <f aca="false">ROUND(15*((I76*10)/256),0)</f>
        <v>14</v>
      </c>
      <c r="J77" s="32" t="n">
        <f aca="false">ROUND(15*((J76*10)/256),0)</f>
        <v>14</v>
      </c>
      <c r="K77" s="32" t="n">
        <f aca="false">ROUND(15*((K76*10)/256),0)</f>
        <v>14</v>
      </c>
      <c r="L77" s="32" t="n">
        <f aca="false">ROUND(15*((L76*10)/256),0)</f>
        <v>14</v>
      </c>
      <c r="M77" s="32" t="n">
        <f aca="false">ROUND(15*((M76*10)/256),0)</f>
        <v>14</v>
      </c>
      <c r="N77" s="32" t="n">
        <f aca="false">ROUND(15*((N76*10)/256),0)</f>
        <v>14</v>
      </c>
      <c r="O77" s="32" t="n">
        <f aca="false">ROUND(15*((O76*10)/256),0)</f>
        <v>14</v>
      </c>
      <c r="P77" s="32" t="n">
        <f aca="false">ROUND(15*((P76*10)/256),0)</f>
        <v>14</v>
      </c>
      <c r="Q77" s="32" t="n">
        <f aca="false">ROUND(15*((Q76*10)/256),0)</f>
        <v>15</v>
      </c>
      <c r="R77" s="32"/>
      <c r="S77" s="32"/>
      <c r="T77" s="32"/>
      <c r="U77" s="32"/>
    </row>
    <row r="78" customFormat="false" ht="15" hidden="false" customHeight="true" outlineLevel="0" collapsed="false">
      <c r="A78" s="32" t="s">
        <v>785</v>
      </c>
      <c r="B78" s="32" t="str">
        <f aca="false">VLOOKUP(B77,Constants!$A$1:$B$16,2,FALSE())</f>
        <v>4,7,4</v>
      </c>
      <c r="C78" s="32" t="str">
        <f aca="false">VLOOKUP(C77,Constants!$A$1:$B$16,2,FALSE())</f>
        <v>4,6,4</v>
      </c>
      <c r="D78" s="32" t="str">
        <f aca="false">VLOOKUP(D77,Constants!$A$1:$B$16,2,FALSE())</f>
        <v>4,6,4</v>
      </c>
      <c r="E78" s="32" t="str">
        <f aca="false">VLOOKUP(E77,Constants!$A$1:$B$16,2,FALSE())</f>
        <v>4,6,4</v>
      </c>
      <c r="F78" s="32" t="str">
        <f aca="false">VLOOKUP(F77,Constants!$A$1:$B$16,2,FALSE())</f>
        <v>4,6,4</v>
      </c>
      <c r="G78" s="32" t="str">
        <f aca="false">VLOOKUP(G77,Constants!$A$1:$B$16,2,FALSE())</f>
        <v>4,6,4</v>
      </c>
      <c r="H78" s="32" t="str">
        <f aca="false">VLOOKUP(H77,Constants!$A$1:$B$16,2,FALSE())</f>
        <v>4,6,4</v>
      </c>
      <c r="I78" s="32" t="str">
        <f aca="false">VLOOKUP(I77,Constants!$A$1:$B$16,2,FALSE())</f>
        <v>4,6,4</v>
      </c>
      <c r="J78" s="32" t="str">
        <f aca="false">VLOOKUP(J77,Constants!$A$1:$B$16,2,FALSE())</f>
        <v>4,6,4</v>
      </c>
      <c r="K78" s="32" t="str">
        <f aca="false">VLOOKUP(K77,Constants!$A$1:$B$16,2,FALSE())</f>
        <v>4,6,4</v>
      </c>
      <c r="L78" s="32" t="str">
        <f aca="false">VLOOKUP(L77,Constants!$A$1:$B$16,2,FALSE())</f>
        <v>4,6,4</v>
      </c>
      <c r="M78" s="32" t="str">
        <f aca="false">VLOOKUP(M77,Constants!$A$1:$B$16,2,FALSE())</f>
        <v>4,6,4</v>
      </c>
      <c r="N78" s="32" t="str">
        <f aca="false">VLOOKUP(N77,Constants!$A$1:$B$16,2,FALSE())</f>
        <v>4,6,4</v>
      </c>
      <c r="O78" s="32" t="str">
        <f aca="false">VLOOKUP(O77,Constants!$A$1:$B$16,2,FALSE())</f>
        <v>4,6,4</v>
      </c>
      <c r="P78" s="32" t="str">
        <f aca="false">VLOOKUP(P77,Constants!$A$1:$B$16,2,FALSE())</f>
        <v>4,6,4</v>
      </c>
      <c r="Q78" s="32" t="str">
        <f aca="false">VLOOKUP(Q77,Constants!$A$1:$B$16,2,FALSE())</f>
        <v>4,7,4</v>
      </c>
      <c r="R78" s="32"/>
      <c r="S78" s="32"/>
      <c r="T78" s="32"/>
      <c r="U78" s="32"/>
    </row>
    <row r="80" customFormat="false" ht="15" hidden="false" customHeight="true" outlineLevel="0" collapsed="false">
      <c r="B80" s="32"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2" t="str">
        <f aca="false">_xlfn.TEXTJOIN(",",TRUE(),  B75:Z75)</f>
        <v>1,1,1,1,0,0,0,1,0,1,1,0,0,0,1,1</v>
      </c>
    </row>
    <row r="82" customFormat="false" ht="15" hidden="false" customHeight="true" outlineLevel="0" collapsed="false">
      <c r="B82" s="32" t="str">
        <f aca="false">_xlfn.TEXTJOIN(",",TRUE(),  B76:Z76)</f>
        <v>25.7,24.2,24.2,24.2,24.2,24.2,24.2,24.2,24.2,24.2,24.2,24.2,24.2,24.2,24.2,25.7</v>
      </c>
    </row>
    <row r="83" customFormat="false" ht="15" hidden="false" customHeight="true" outlineLevel="0" collapsed="false">
      <c r="B83" s="32" t="str">
        <f aca="false">_xlfn.TEXTJOIN(",",TRUE(),  B77:Z77)</f>
        <v>15,14,14,14,14,14,14,14,14,14,14,14,14,14,14,15</v>
      </c>
    </row>
    <row r="84" customFormat="false" ht="15" hidden="false" customHeight="true" outlineLevel="0" collapsed="false">
      <c r="B84" s="32" t="str">
        <f aca="false">_xlfn.TEXTJOIN(",",TRUE(),  B78:Z78)</f>
        <v>4,7,4,4,6,4,4,6,4,4,6,4,4,6,4,4,6,4,4,6,4,4,6,4,4,6,4,4,6,4,4,6,4,4,6,4,4,6,4,4,6,4,4,6,4,4,7,4</v>
      </c>
    </row>
    <row r="86" customFormat="false" ht="15" hidden="false" customHeight="true" outlineLevel="0" collapsed="false">
      <c r="B86" s="32" t="s">
        <v>805</v>
      </c>
    </row>
    <row r="87" customFormat="false" ht="15" hidden="false" customHeight="true" outlineLevel="0" collapsed="false">
      <c r="A87" s="32" t="s">
        <v>769</v>
      </c>
      <c r="B87" s="32" t="s">
        <v>487</v>
      </c>
      <c r="C87" s="32" t="s">
        <v>797</v>
      </c>
      <c r="D87" s="32" t="s">
        <v>799</v>
      </c>
      <c r="E87" s="32" t="s">
        <v>798</v>
      </c>
      <c r="F87" s="32" t="s">
        <v>799</v>
      </c>
      <c r="G87" s="32" t="s">
        <v>800</v>
      </c>
      <c r="H87" s="32" t="s">
        <v>800</v>
      </c>
      <c r="I87" s="32" t="s">
        <v>801</v>
      </c>
      <c r="J87" s="32" t="s">
        <v>802</v>
      </c>
      <c r="K87" s="32" t="s">
        <v>801</v>
      </c>
      <c r="L87" s="32" t="s">
        <v>803</v>
      </c>
      <c r="M87" s="32" t="s">
        <v>804</v>
      </c>
      <c r="P87" s="19"/>
      <c r="Q87" s="19"/>
      <c r="R87" s="32"/>
      <c r="S87" s="32"/>
      <c r="T87" s="32"/>
      <c r="U87" s="32"/>
    </row>
    <row r="88" customFormat="false" ht="15" hidden="false" customHeight="true" outlineLevel="0" collapsed="false">
      <c r="A88" s="32" t="s">
        <v>774</v>
      </c>
      <c r="B88" s="32" t="n">
        <v>0</v>
      </c>
      <c r="C88" s="32" t="n">
        <v>0</v>
      </c>
      <c r="D88" s="32" t="n">
        <v>0</v>
      </c>
      <c r="E88" s="32" t="n">
        <v>0</v>
      </c>
      <c r="F88" s="32" t="n">
        <v>0</v>
      </c>
      <c r="G88" s="32" t="n">
        <v>0</v>
      </c>
      <c r="H88" s="32" t="n">
        <v>0</v>
      </c>
      <c r="I88" s="32" t="n">
        <v>0</v>
      </c>
      <c r="J88" s="32" t="n">
        <v>0</v>
      </c>
      <c r="K88" s="32" t="n">
        <v>0</v>
      </c>
      <c r="L88" s="32" t="n">
        <v>0</v>
      </c>
      <c r="M88" s="32" t="n">
        <v>0</v>
      </c>
      <c r="P88" s="19"/>
      <c r="Q88" s="19"/>
      <c r="R88" s="32"/>
      <c r="S88" s="32"/>
      <c r="T88" s="32"/>
      <c r="U88" s="32"/>
    </row>
    <row r="89" customFormat="false" ht="15" hidden="false" customHeight="true" outlineLevel="0" collapsed="false">
      <c r="A89" s="32" t="s">
        <v>687</v>
      </c>
      <c r="B89" s="32" t="n">
        <v>25.7</v>
      </c>
      <c r="C89" s="32" t="n">
        <v>24.2</v>
      </c>
      <c r="D89" s="32" t="n">
        <v>24.2</v>
      </c>
      <c r="E89" s="32" t="n">
        <v>24.2</v>
      </c>
      <c r="F89" s="32" t="n">
        <v>24.2</v>
      </c>
      <c r="G89" s="32" t="n">
        <v>24.2</v>
      </c>
      <c r="H89" s="32" t="n">
        <v>24.2</v>
      </c>
      <c r="I89" s="32" t="n">
        <v>24.2</v>
      </c>
      <c r="J89" s="32" t="n">
        <v>24.2</v>
      </c>
      <c r="K89" s="32" t="n">
        <v>24.2</v>
      </c>
      <c r="L89" s="32" t="n">
        <v>24.2</v>
      </c>
      <c r="M89" s="32" t="n">
        <v>25.7</v>
      </c>
      <c r="P89" s="19"/>
      <c r="Q89" s="19"/>
      <c r="R89" s="32"/>
      <c r="S89" s="32"/>
      <c r="T89" s="32"/>
      <c r="U89" s="32"/>
    </row>
    <row r="90" customFormat="false" ht="15" hidden="false" customHeight="true" outlineLevel="0" collapsed="false">
      <c r="A90" s="32" t="s">
        <v>784</v>
      </c>
      <c r="B90" s="32" t="n">
        <f aca="false">ROUND(15*((B89*10)/256),0)</f>
        <v>15</v>
      </c>
      <c r="C90" s="32" t="n">
        <f aca="false">ROUND(15*((C89*10)/256),0)</f>
        <v>14</v>
      </c>
      <c r="D90" s="32" t="n">
        <f aca="false">ROUND(15*((D89*10)/256),0)</f>
        <v>14</v>
      </c>
      <c r="E90" s="32" t="n">
        <f aca="false">ROUND(15*((E89*10)/256),0)</f>
        <v>14</v>
      </c>
      <c r="F90" s="32" t="n">
        <f aca="false">ROUND(15*((F89*10)/256),0)</f>
        <v>14</v>
      </c>
      <c r="G90" s="32" t="n">
        <f aca="false">ROUND(15*((G89*10)/256),0)</f>
        <v>14</v>
      </c>
      <c r="H90" s="32" t="n">
        <f aca="false">ROUND(15*((H89*10)/256),0)</f>
        <v>14</v>
      </c>
      <c r="I90" s="32" t="n">
        <f aca="false">ROUND(15*((I89*10)/256),0)</f>
        <v>14</v>
      </c>
      <c r="J90" s="32" t="n">
        <f aca="false">ROUND(15*((J89*10)/256),0)</f>
        <v>14</v>
      </c>
      <c r="K90" s="32" t="n">
        <f aca="false">ROUND(15*((K89*10)/256),0)</f>
        <v>14</v>
      </c>
      <c r="L90" s="32" t="n">
        <f aca="false">ROUND(15*((L89*10)/256),0)</f>
        <v>14</v>
      </c>
      <c r="M90" s="32" t="n">
        <f aca="false">ROUND(15*((M89*10)/256),0)</f>
        <v>15</v>
      </c>
      <c r="P90" s="19"/>
      <c r="Q90" s="19"/>
      <c r="R90" s="32"/>
      <c r="S90" s="32"/>
      <c r="T90" s="32"/>
      <c r="U90" s="32"/>
    </row>
    <row r="91" customFormat="false" ht="15" hidden="false" customHeight="true" outlineLevel="0" collapsed="false">
      <c r="A91" s="32" t="s">
        <v>785</v>
      </c>
      <c r="B91" s="32" t="str">
        <f aca="false">VLOOKUP(B90,Constants!$A$1:$B$16,2,FALSE())</f>
        <v>4,7,4</v>
      </c>
      <c r="C91" s="32" t="str">
        <f aca="false">VLOOKUP(C90,Constants!$A$1:$B$16,2,FALSE())</f>
        <v>4,6,4</v>
      </c>
      <c r="D91" s="32" t="str">
        <f aca="false">VLOOKUP(D90,Constants!$A$1:$B$16,2,FALSE())</f>
        <v>4,6,4</v>
      </c>
      <c r="E91" s="32" t="str">
        <f aca="false">VLOOKUP(E90,Constants!$A$1:$B$16,2,FALSE())</f>
        <v>4,6,4</v>
      </c>
      <c r="F91" s="32" t="str">
        <f aca="false">VLOOKUP(F90,Constants!$A$1:$B$16,2,FALSE())</f>
        <v>4,6,4</v>
      </c>
      <c r="G91" s="32" t="str">
        <f aca="false">VLOOKUP(G90,Constants!$A$1:$B$16,2,FALSE())</f>
        <v>4,6,4</v>
      </c>
      <c r="H91" s="32" t="str">
        <f aca="false">VLOOKUP(H90,Constants!$A$1:$B$16,2,FALSE())</f>
        <v>4,6,4</v>
      </c>
      <c r="I91" s="32" t="str">
        <f aca="false">VLOOKUP(I90,Constants!$A$1:$B$16,2,FALSE())</f>
        <v>4,6,4</v>
      </c>
      <c r="J91" s="32" t="str">
        <f aca="false">VLOOKUP(J90,Constants!$A$1:$B$16,2,FALSE())</f>
        <v>4,6,4</v>
      </c>
      <c r="K91" s="32" t="str">
        <f aca="false">VLOOKUP(K90,Constants!$A$1:$B$16,2,FALSE())</f>
        <v>4,6,4</v>
      </c>
      <c r="L91" s="32" t="str">
        <f aca="false">VLOOKUP(L90,Constants!$A$1:$B$16,2,FALSE())</f>
        <v>4,6,4</v>
      </c>
      <c r="M91" s="32" t="str">
        <f aca="false">VLOOKUP(M90,Constants!$A$1:$B$16,2,FALSE())</f>
        <v>4,7,4</v>
      </c>
      <c r="P91" s="19"/>
      <c r="Q91" s="19"/>
      <c r="R91" s="32"/>
      <c r="S91" s="32"/>
      <c r="T91" s="32"/>
      <c r="U91" s="32"/>
    </row>
    <row r="92" customFormat="false" ht="15" hidden="false" customHeight="true" outlineLevel="0" collapsed="false">
      <c r="P92" s="19"/>
      <c r="Q92" s="19"/>
    </row>
    <row r="93" customFormat="false" ht="15" hidden="false" customHeight="true" outlineLevel="0" collapsed="false">
      <c r="B93" s="32"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2" t="str">
        <f aca="false">_xlfn.TEXTJOIN(",",TRUE(),  B88:Z88)</f>
        <v>0,0,0,0,0,0,0,0,0,0,0,0</v>
      </c>
    </row>
    <row r="95" customFormat="false" ht="15" hidden="false" customHeight="true" outlineLevel="0" collapsed="false">
      <c r="B95" s="32" t="str">
        <f aca="false">_xlfn.TEXTJOIN(",",TRUE(),  B89:Z89)</f>
        <v>25.7,24.2,24.2,24.2,24.2,24.2,24.2,24.2,24.2,24.2,24.2,25.7</v>
      </c>
    </row>
    <row r="96" customFormat="false" ht="15" hidden="false" customHeight="true" outlineLevel="0" collapsed="false">
      <c r="B96" s="32" t="str">
        <f aca="false">_xlfn.TEXTJOIN(",",TRUE(),  B90:Z90)</f>
        <v>15,14,14,14,14,14,14,14,14,14,14,15</v>
      </c>
    </row>
    <row r="97" customFormat="false" ht="15" hidden="false" customHeight="true" outlineLevel="0" collapsed="false">
      <c r="B97" s="32" t="str">
        <f aca="false">_xlfn.TEXTJOIN(",",TRUE(),  B91:Z91)</f>
        <v>4,7,4,4,6,4,4,6,4,4,6,4,4,6,4,4,6,4,4,6,4,4,6,4,4,6,4,4,6,4,4,6,4,4,7,4</v>
      </c>
    </row>
    <row r="99" customFormat="false" ht="15" hidden="false" customHeight="true" outlineLevel="0" collapsed="false">
      <c r="B99" s="32" t="s">
        <v>806</v>
      </c>
    </row>
    <row r="100" customFormat="false" ht="15" hidden="false" customHeight="true" outlineLevel="0" collapsed="false">
      <c r="A100" s="32" t="s">
        <v>769</v>
      </c>
      <c r="B100" s="32" t="s">
        <v>519</v>
      </c>
      <c r="C100" s="32" t="s">
        <v>807</v>
      </c>
      <c r="D100" s="32" t="s">
        <v>808</v>
      </c>
      <c r="E100" s="32" t="s">
        <v>809</v>
      </c>
      <c r="F100" s="32" t="s">
        <v>808</v>
      </c>
      <c r="G100" s="32" t="s">
        <v>809</v>
      </c>
      <c r="H100" s="32" t="s">
        <v>808</v>
      </c>
      <c r="I100" s="32" t="s">
        <v>809</v>
      </c>
      <c r="J100" s="32" t="s">
        <v>808</v>
      </c>
      <c r="K100" s="32" t="s">
        <v>809</v>
      </c>
      <c r="L100" s="32" t="s">
        <v>810</v>
      </c>
      <c r="M100" s="32" t="s">
        <v>811</v>
      </c>
    </row>
    <row r="101" customFormat="false" ht="15" hidden="false" customHeight="true" outlineLevel="0" collapsed="false">
      <c r="A101" s="32" t="s">
        <v>774</v>
      </c>
      <c r="B101" s="32" t="n">
        <v>1</v>
      </c>
      <c r="C101" s="32" t="n">
        <v>1</v>
      </c>
      <c r="D101" s="32" t="n">
        <v>1</v>
      </c>
      <c r="E101" s="32" t="n">
        <v>1</v>
      </c>
      <c r="F101" s="32" t="n">
        <v>0</v>
      </c>
      <c r="G101" s="32" t="n">
        <v>0</v>
      </c>
      <c r="H101" s="32" t="n">
        <v>0</v>
      </c>
      <c r="I101" s="32" t="n">
        <v>0</v>
      </c>
      <c r="J101" s="32" t="n">
        <v>0</v>
      </c>
      <c r="K101" s="32" t="n">
        <v>0</v>
      </c>
      <c r="L101" s="32" t="n">
        <v>1</v>
      </c>
      <c r="M101" s="32" t="n">
        <v>1</v>
      </c>
    </row>
    <row r="102" customFormat="false" ht="15" hidden="false" customHeight="true" outlineLevel="0" collapsed="false">
      <c r="A102" s="32" t="s">
        <v>687</v>
      </c>
      <c r="B102" s="32" t="n">
        <v>20</v>
      </c>
      <c r="C102" s="32" t="n">
        <v>20</v>
      </c>
      <c r="D102" s="32" t="n">
        <v>20</v>
      </c>
      <c r="E102" s="32" t="n">
        <v>20</v>
      </c>
      <c r="F102" s="32" t="n">
        <v>20</v>
      </c>
      <c r="G102" s="32" t="n">
        <v>20</v>
      </c>
      <c r="H102" s="32" t="n">
        <v>20</v>
      </c>
      <c r="I102" s="32" t="n">
        <v>20</v>
      </c>
      <c r="J102" s="32" t="n">
        <v>20</v>
      </c>
      <c r="K102" s="32" t="n">
        <v>20</v>
      </c>
      <c r="L102" s="32" t="n">
        <v>20</v>
      </c>
      <c r="M102" s="32" t="n">
        <v>20</v>
      </c>
    </row>
    <row r="103" customFormat="false" ht="15" hidden="false" customHeight="true" outlineLevel="0" collapsed="false">
      <c r="A103" s="32" t="s">
        <v>784</v>
      </c>
      <c r="B103" s="32" t="n">
        <f aca="false">ROUND(15*((B102*10)/256),0)</f>
        <v>12</v>
      </c>
      <c r="C103" s="32" t="n">
        <f aca="false">ROUND(15*((C102*10)/256),0)</f>
        <v>12</v>
      </c>
      <c r="D103" s="32" t="n">
        <f aca="false">ROUND(15*((D102*10)/256),0)</f>
        <v>12</v>
      </c>
      <c r="E103" s="32" t="n">
        <f aca="false">ROUND(15*((E102*10)/256),0)</f>
        <v>12</v>
      </c>
      <c r="F103" s="32" t="n">
        <f aca="false">ROUND(15*((F102*10)/256),0)</f>
        <v>12</v>
      </c>
      <c r="G103" s="32" t="n">
        <f aca="false">ROUND(15*((G102*10)/256),0)</f>
        <v>12</v>
      </c>
      <c r="H103" s="32" t="n">
        <f aca="false">ROUND(15*((H102*10)/256),0)</f>
        <v>12</v>
      </c>
      <c r="I103" s="32" t="n">
        <f aca="false">ROUND(15*((I102*10)/256),0)</f>
        <v>12</v>
      </c>
      <c r="J103" s="32" t="n">
        <f aca="false">ROUND(15*((J102*10)/256),0)</f>
        <v>12</v>
      </c>
      <c r="K103" s="32" t="n">
        <f aca="false">ROUND(15*((K102*10)/256),0)</f>
        <v>12</v>
      </c>
      <c r="L103" s="32" t="n">
        <f aca="false">ROUND(15*((L102*10)/256),0)</f>
        <v>12</v>
      </c>
      <c r="M103" s="32" t="n">
        <f aca="false">ROUND(15*((M102*10)/256),0)</f>
        <v>12</v>
      </c>
    </row>
    <row r="104" customFormat="false" ht="15" hidden="false" customHeight="true" outlineLevel="0" collapsed="false">
      <c r="A104" s="32" t="s">
        <v>785</v>
      </c>
      <c r="B104" s="32" t="str">
        <f aca="false">VLOOKUP(B103,Constants!$A$1:$B$16,2,FALSE())</f>
        <v>4,4,4</v>
      </c>
      <c r="C104" s="32" t="str">
        <f aca="false">VLOOKUP(C103,Constants!$A$1:$B$16,2,FALSE())</f>
        <v>4,4,4</v>
      </c>
      <c r="D104" s="32" t="str">
        <f aca="false">VLOOKUP(D103,Constants!$A$1:$B$16,2,FALSE())</f>
        <v>4,4,4</v>
      </c>
      <c r="E104" s="32" t="str">
        <f aca="false">VLOOKUP(E103,Constants!$A$1:$B$16,2,FALSE())</f>
        <v>4,4,4</v>
      </c>
      <c r="F104" s="32" t="str">
        <f aca="false">VLOOKUP(F103,Constants!$A$1:$B$16,2,FALSE())</f>
        <v>4,4,4</v>
      </c>
      <c r="G104" s="32" t="str">
        <f aca="false">VLOOKUP(G103,Constants!$A$1:$B$16,2,FALSE())</f>
        <v>4,4,4</v>
      </c>
      <c r="H104" s="32" t="str">
        <f aca="false">VLOOKUP(H103,Constants!$A$1:$B$16,2,FALSE())</f>
        <v>4,4,4</v>
      </c>
      <c r="I104" s="32" t="str">
        <f aca="false">VLOOKUP(I103,Constants!$A$1:$B$16,2,FALSE())</f>
        <v>4,4,4</v>
      </c>
      <c r="J104" s="32" t="str">
        <f aca="false">VLOOKUP(J103,Constants!$A$1:$B$16,2,FALSE())</f>
        <v>4,4,4</v>
      </c>
      <c r="K104" s="32" t="str">
        <f aca="false">VLOOKUP(K103,Constants!$A$1:$B$16,2,FALSE())</f>
        <v>4,4,4</v>
      </c>
      <c r="L104" s="32" t="str">
        <f aca="false">VLOOKUP(L103,Constants!$A$1:$B$16,2,FALSE())</f>
        <v>4,4,4</v>
      </c>
      <c r="M104" s="32" t="str">
        <f aca="false">VLOOKUP(M103,Constants!$A$1:$B$16,2,FALSE())</f>
        <v>4,4,4</v>
      </c>
    </row>
    <row r="106" customFormat="false" ht="15" hidden="false" customHeight="true" outlineLevel="0" collapsed="false">
      <c r="B106" s="32"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2" t="str">
        <f aca="false">_xlfn.TEXTJOIN(",",TRUE(),  B101:Z101)</f>
        <v>1,1,1,1,0,0,0,0,0,0,1,1</v>
      </c>
    </row>
    <row r="108" customFormat="false" ht="15" hidden="false" customHeight="true" outlineLevel="0" collapsed="false">
      <c r="B108" s="32" t="str">
        <f aca="false">_xlfn.TEXTJOIN(",",TRUE(),  B102:Z102)</f>
        <v>20,20,20,20,20,20,20,20,20,20,20,20</v>
      </c>
    </row>
    <row r="109" customFormat="false" ht="15" hidden="false" customHeight="true" outlineLevel="0" collapsed="false">
      <c r="B109" s="32" t="str">
        <f aca="false">_xlfn.TEXTJOIN(",",TRUE(),  B103:Z103)</f>
        <v>12,12,12,12,12,12,12,12,12,12,12,12</v>
      </c>
    </row>
    <row r="110" customFormat="false" ht="15" hidden="false" customHeight="true" outlineLevel="0" collapsed="false">
      <c r="B110" s="32"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43" activeCellId="0" sqref="A43"/>
    </sheetView>
  </sheetViews>
  <sheetFormatPr defaultColWidth="10.19921875" defaultRowHeight="12.8" customHeight="true" zeroHeight="false" outlineLevelRow="0" outlineLevelCol="0"/>
  <cols>
    <col collapsed="false" customWidth="true" hidden="false" outlineLevel="0" max="1" min="1" style="32" width="14.37"/>
  </cols>
  <sheetData>
    <row r="1" customFormat="false" ht="13.8" hidden="false" customHeight="false" outlineLevel="0" collapsed="false">
      <c r="A1" s="32" t="s">
        <v>812</v>
      </c>
      <c r="B1" s="32" t="s">
        <v>813</v>
      </c>
      <c r="C1" s="32" t="s">
        <v>814</v>
      </c>
      <c r="D1" s="32" t="s">
        <v>12</v>
      </c>
      <c r="E1" s="32" t="s">
        <v>815</v>
      </c>
    </row>
    <row r="2" customFormat="false" ht="13.8" hidden="false" customHeight="false" outlineLevel="0" collapsed="false">
      <c r="A2" s="32" t="s">
        <v>816</v>
      </c>
      <c r="B2" s="32" t="n">
        <f aca="false">(33.7+24+26.75+24.15+24.3+31.9)</f>
        <v>164.8</v>
      </c>
      <c r="C2" s="32" t="n">
        <f aca="false">52+72+28+43+47+25</f>
        <v>267</v>
      </c>
      <c r="D2" s="32" t="n">
        <v>6</v>
      </c>
      <c r="E2" s="32" t="n">
        <f aca="false">C2/D2</f>
        <v>44.5</v>
      </c>
    </row>
    <row r="3" customFormat="false" ht="13.8" hidden="false" customHeight="false" outlineLevel="0" collapsed="false">
      <c r="A3" s="32" t="s">
        <v>817</v>
      </c>
      <c r="B3" s="32" t="n">
        <f aca="false">B2+24</f>
        <v>188.8</v>
      </c>
      <c r="C3" s="32" t="n">
        <f aca="false">C2+72+72-42</f>
        <v>369</v>
      </c>
      <c r="D3" s="32" t="n">
        <v>7</v>
      </c>
      <c r="E3" s="32" t="n">
        <f aca="false">C3/D3</f>
        <v>52.7142857142857</v>
      </c>
    </row>
    <row r="4" customFormat="false" ht="13.8" hidden="false" customHeight="false" outlineLevel="0" collapsed="false">
      <c r="A4" s="32" t="s">
        <v>818</v>
      </c>
      <c r="B4" s="32" t="n">
        <f aca="false">(33.7+31.9)</f>
        <v>65.6</v>
      </c>
      <c r="C4" s="32" t="n">
        <f aca="false">52+25</f>
        <v>77</v>
      </c>
      <c r="D4" s="32" t="n">
        <v>2</v>
      </c>
      <c r="E4" s="32" t="n">
        <f aca="false">C4/D4</f>
        <v>38.5</v>
      </c>
    </row>
    <row r="5" customFormat="false" ht="13.8" hidden="false" customHeight="false" outlineLevel="0" collapsed="false">
      <c r="A5" s="32" t="s">
        <v>819</v>
      </c>
      <c r="B5" s="32" t="n">
        <f aca="false">(31.9 * 2) + (24.3 * 8)</f>
        <v>258.2</v>
      </c>
      <c r="C5" s="32" t="n">
        <f aca="false">60+72+72+72+72+18+47+47+36</f>
        <v>496</v>
      </c>
      <c r="D5" s="32" t="n">
        <v>10</v>
      </c>
      <c r="E5" s="32" t="n">
        <f aca="false">C5/D5</f>
        <v>49.6</v>
      </c>
    </row>
    <row r="6" customFormat="false" ht="13.8" hidden="false" customHeight="false" outlineLevel="0" collapsed="false">
      <c r="A6" s="32" t="s">
        <v>820</v>
      </c>
      <c r="B6" s="32" t="n">
        <f aca="false">(31.9 * 2) + (24.3 * 6)</f>
        <v>209.6</v>
      </c>
      <c r="C6" s="32" t="n">
        <f aca="false">60+72+72+18+47+36</f>
        <v>305</v>
      </c>
      <c r="D6" s="32" t="n">
        <v>6</v>
      </c>
      <c r="E6" s="32" t="n">
        <f aca="false">C6/D6</f>
        <v>50.8333333333333</v>
      </c>
    </row>
    <row r="7" customFormat="false" ht="13.8" hidden="false" customHeight="false" outlineLevel="0" collapsed="false">
      <c r="A7" s="32" t="s">
        <v>821</v>
      </c>
      <c r="B7" s="32" t="str">
        <f aca="false">_xlfn.TEXTJOIN(",",1,A13:A22)</f>
        <v>apt_half_6,apt_half_6_rev,apt_powercar,apt_half_2,apt_half_2_rev,apt_q_dvt,apt_s_dm,apt_s_10,apt_s_6</v>
      </c>
    </row>
    <row r="8" customFormat="false" ht="13.8" hidden="false" customHeight="false" outlineLevel="0" collapsed="false">
      <c r="B8" s="32"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2" t="s">
        <v>822</v>
      </c>
      <c r="B10" s="32"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2" t="s">
        <v>823</v>
      </c>
      <c r="B12" s="32" t="s">
        <v>824</v>
      </c>
    </row>
    <row r="13" customFormat="false" ht="13.8" hidden="false" customHeight="false" outlineLevel="0" collapsed="false">
      <c r="A13" s="32" t="s">
        <v>315</v>
      </c>
      <c r="B13" s="18" t="s">
        <v>212</v>
      </c>
    </row>
    <row r="14" customFormat="false" ht="13.8" hidden="false" customHeight="false" outlineLevel="0" collapsed="false">
      <c r="A14" s="32" t="s">
        <v>323</v>
      </c>
      <c r="B14" s="18" t="s">
        <v>217</v>
      </c>
    </row>
    <row r="15" customFormat="false" ht="13.8" hidden="false" customHeight="false" outlineLevel="0" collapsed="false">
      <c r="A15" s="32" t="s">
        <v>338</v>
      </c>
      <c r="B15" s="18" t="s">
        <v>222</v>
      </c>
    </row>
    <row r="16" customFormat="false" ht="13.8" hidden="false" customHeight="false" outlineLevel="0" collapsed="false">
      <c r="A16" s="32" t="s">
        <v>330</v>
      </c>
      <c r="B16" s="18" t="s">
        <v>229</v>
      </c>
    </row>
    <row r="17" customFormat="false" ht="13.8" hidden="false" customHeight="false" outlineLevel="0" collapsed="false">
      <c r="A17" s="32" t="s">
        <v>334</v>
      </c>
      <c r="B17" s="18" t="s">
        <v>236</v>
      </c>
    </row>
    <row r="18" customFormat="false" ht="13.8" hidden="false" customHeight="false" outlineLevel="0" collapsed="false">
      <c r="A18" s="32" t="s">
        <v>346</v>
      </c>
    </row>
    <row r="19" customFormat="false" ht="13.8" hidden="false" customHeight="false" outlineLevel="0" collapsed="false">
      <c r="A19" s="32" t="s">
        <v>341</v>
      </c>
    </row>
    <row r="20" customFormat="false" ht="13.8" hidden="false" customHeight="false" outlineLevel="0" collapsed="false">
      <c r="A20" s="32" t="s">
        <v>349</v>
      </c>
    </row>
    <row r="21" customFormat="false" ht="13.8" hidden="false" customHeight="false" outlineLevel="0" collapsed="false">
      <c r="A21" s="32" t="s">
        <v>356</v>
      </c>
    </row>
    <row r="22" customFormat="false" ht="13.8" hidden="false" customHeight="false" outlineLevel="0" collapsed="false"/>
    <row r="29" customFormat="false" ht="12.8" hidden="false" customHeight="true" outlineLevel="0" collapsed="false">
      <c r="A29" s="32" t="s">
        <v>825</v>
      </c>
      <c r="B29" s="32" t="str">
        <f aca="false">_xlfn.TEXTJOIN(",",1,A30:A40)</f>
        <v>class_141,class_150,class_151,class_153,class_153_mail,super_sprinter,express_sprinter_2car,express_sprinter_3car,sprinter_hybrid,class_170,class_170_3car</v>
      </c>
    </row>
    <row r="30" customFormat="false" ht="12.8" hidden="false" customHeight="true" outlineLevel="0" collapsed="false">
      <c r="A30" s="19" t="s">
        <v>269</v>
      </c>
    </row>
    <row r="31" customFormat="false" ht="12.8" hidden="false" customHeight="true" outlineLevel="0" collapsed="false">
      <c r="A31" s="19" t="s">
        <v>274</v>
      </c>
    </row>
    <row r="32" customFormat="false" ht="12.8" hidden="false" customHeight="true" outlineLevel="0" collapsed="false">
      <c r="A32" s="1" t="s">
        <v>279</v>
      </c>
    </row>
    <row r="33" customFormat="false" ht="12.8" hidden="false" customHeight="true" outlineLevel="0" collapsed="false">
      <c r="A33" s="1" t="s">
        <v>283</v>
      </c>
    </row>
    <row r="34" customFormat="false" ht="12.8" hidden="false" customHeight="true" outlineLevel="0" collapsed="false">
      <c r="A34" s="1" t="s">
        <v>288</v>
      </c>
    </row>
    <row r="35" customFormat="false" ht="12.8" hidden="false" customHeight="true" outlineLevel="0" collapsed="false">
      <c r="A35" s="19" t="s">
        <v>292</v>
      </c>
    </row>
    <row r="36" customFormat="false" ht="12.8" hidden="false" customHeight="true" outlineLevel="0" collapsed="false">
      <c r="A36" s="19" t="s">
        <v>296</v>
      </c>
    </row>
    <row r="37" customFormat="false" ht="12.8" hidden="false" customHeight="true" outlineLevel="0" collapsed="false">
      <c r="A37" s="19" t="s">
        <v>300</v>
      </c>
    </row>
    <row r="38" customFormat="false" ht="12.8" hidden="false" customHeight="true" outlineLevel="0" collapsed="false">
      <c r="A38" s="19" t="s">
        <v>304</v>
      </c>
    </row>
    <row r="39" customFormat="false" ht="12.8" hidden="false" customHeight="true" outlineLevel="0" collapsed="false">
      <c r="A39" s="19" t="s">
        <v>308</v>
      </c>
    </row>
    <row r="40" customFormat="false" ht="12.8" hidden="false" customHeight="true" outlineLevel="0" collapsed="false">
      <c r="A40" s="19" t="s">
        <v>312</v>
      </c>
    </row>
    <row r="42" customFormat="false" ht="12.8" hidden="false" customHeight="true" outlineLevel="0" collapsed="false">
      <c r="A42" s="32" t="s">
        <v>826</v>
      </c>
      <c r="B42" s="32" t="str">
        <f aca="false">_xlfn.TEXTJOIN(",",1,A43:A53)</f>
        <v>class_800_azuma,class_800_9,class_801_5,class_801_9,class_802_5,class_802_9</v>
      </c>
    </row>
    <row r="43" customFormat="false" ht="12.8" hidden="false" customHeight="true" outlineLevel="0" collapsed="false">
      <c r="A43" s="0" t="s">
        <v>493</v>
      </c>
    </row>
    <row r="44" customFormat="false" ht="12.8" hidden="false" customHeight="true" outlineLevel="0" collapsed="false">
      <c r="A44" s="0" t="s">
        <v>498</v>
      </c>
    </row>
    <row r="45" customFormat="false" ht="12.8" hidden="false" customHeight="true" outlineLevel="0" collapsed="false">
      <c r="A45" s="0" t="s">
        <v>501</v>
      </c>
    </row>
    <row r="46" customFormat="false" ht="12.8" hidden="false" customHeight="true" outlineLevel="0" collapsed="false">
      <c r="A46" s="0" t="s">
        <v>504</v>
      </c>
    </row>
    <row r="47" customFormat="false" ht="12.8" hidden="false" customHeight="true" outlineLevel="0" collapsed="false">
      <c r="A47" s="0" t="s">
        <v>506</v>
      </c>
    </row>
    <row r="48" customFormat="false" ht="12.8" hidden="false" customHeight="true" outlineLevel="0" collapsed="false">
      <c r="A48" s="0" t="s">
        <v>509</v>
      </c>
    </row>
    <row r="49" customFormat="false" ht="12.8" hidden="false" customHeight="true" outlineLevel="0" collapsed="false">
      <c r="A49" s="19"/>
    </row>
    <row r="50" customFormat="false" ht="12.8" hidden="false" customHeight="true" outlineLevel="0" collapsed="false">
      <c r="A50" s="19"/>
    </row>
    <row r="51" customFormat="false" ht="12.8" hidden="false" customHeight="true" outlineLevel="0" collapsed="false">
      <c r="A51" s="19"/>
    </row>
    <row r="52" customFormat="false" ht="12.8" hidden="false" customHeight="true" outlineLevel="0" collapsed="false">
      <c r="A52" s="19"/>
    </row>
    <row r="53" customFormat="false" ht="12.8" hidden="false" customHeight="true" outlineLevel="0" collapsed="false">
      <c r="A53" s="19"/>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2" width="47.71"/>
  </cols>
  <sheetData>
    <row r="1" customFormat="false" ht="13.8" hidden="false" customHeight="false" outlineLevel="0" collapsed="false">
      <c r="A1" s="48" t="s">
        <v>827</v>
      </c>
      <c r="B1" s="48" t="s">
        <v>828</v>
      </c>
      <c r="C1" s="48" t="s">
        <v>829</v>
      </c>
      <c r="D1" s="48" t="n">
        <v>0</v>
      </c>
      <c r="E1" s="32" t="s">
        <v>830</v>
      </c>
    </row>
    <row r="2" customFormat="false" ht="13.8" hidden="false" customHeight="false" outlineLevel="0" collapsed="false">
      <c r="A2" s="48" t="s">
        <v>831</v>
      </c>
      <c r="B2" s="48" t="s">
        <v>832</v>
      </c>
      <c r="C2" s="48" t="s">
        <v>829</v>
      </c>
      <c r="D2" s="48" t="n">
        <v>1</v>
      </c>
      <c r="E2" s="32" t="s">
        <v>830</v>
      </c>
    </row>
    <row r="3" customFormat="false" ht="13.8" hidden="false" customHeight="false" outlineLevel="0" collapsed="false">
      <c r="A3" s="48" t="s">
        <v>833</v>
      </c>
      <c r="B3" s="48" t="s">
        <v>834</v>
      </c>
      <c r="C3" s="48" t="s">
        <v>829</v>
      </c>
      <c r="D3" s="48" t="n">
        <v>2</v>
      </c>
      <c r="E3" s="32" t="s">
        <v>830</v>
      </c>
    </row>
    <row r="4" customFormat="false" ht="13.8" hidden="false" customHeight="false" outlineLevel="0" collapsed="false">
      <c r="A4" s="48" t="s">
        <v>835</v>
      </c>
      <c r="B4" s="48" t="s">
        <v>836</v>
      </c>
      <c r="C4" s="48" t="s">
        <v>829</v>
      </c>
      <c r="D4" s="48" t="n">
        <v>3</v>
      </c>
      <c r="E4" s="32" t="s">
        <v>830</v>
      </c>
    </row>
    <row r="5" customFormat="false" ht="13.8" hidden="false" customHeight="false" outlineLevel="0" collapsed="false">
      <c r="A5" s="48" t="s">
        <v>837</v>
      </c>
      <c r="B5" s="48" t="s">
        <v>838</v>
      </c>
      <c r="C5" s="48" t="s">
        <v>829</v>
      </c>
      <c r="D5" s="48" t="n">
        <v>4</v>
      </c>
      <c r="E5" s="32" t="s">
        <v>830</v>
      </c>
    </row>
    <row r="6" customFormat="false" ht="13.8" hidden="false" customHeight="false" outlineLevel="0" collapsed="false">
      <c r="A6" s="48" t="s">
        <v>839</v>
      </c>
      <c r="B6" s="48" t="s">
        <v>840</v>
      </c>
      <c r="C6" s="48" t="s">
        <v>829</v>
      </c>
      <c r="D6" s="48" t="n">
        <v>5</v>
      </c>
      <c r="E6" s="32" t="s">
        <v>830</v>
      </c>
    </row>
    <row r="7" customFormat="false" ht="13.8" hidden="false" customHeight="false" outlineLevel="0" collapsed="false">
      <c r="A7" s="48" t="s">
        <v>841</v>
      </c>
      <c r="B7" s="48" t="s">
        <v>842</v>
      </c>
      <c r="C7" s="48" t="s">
        <v>829</v>
      </c>
      <c r="D7" s="48" t="n">
        <v>6</v>
      </c>
      <c r="E7" s="32" t="s">
        <v>830</v>
      </c>
    </row>
    <row r="8" customFormat="false" ht="13.8" hidden="false" customHeight="false" outlineLevel="0" collapsed="false">
      <c r="A8" s="48" t="s">
        <v>843</v>
      </c>
      <c r="B8" s="48" t="s">
        <v>844</v>
      </c>
      <c r="C8" s="48" t="s">
        <v>829</v>
      </c>
      <c r="D8" s="48" t="n">
        <v>7</v>
      </c>
      <c r="E8" s="32" t="s">
        <v>830</v>
      </c>
    </row>
    <row r="9" customFormat="false" ht="13.8" hidden="false" customHeight="false" outlineLevel="0" collapsed="false">
      <c r="A9" s="48" t="s">
        <v>845</v>
      </c>
      <c r="B9" s="48" t="s">
        <v>846</v>
      </c>
      <c r="C9" s="48" t="s">
        <v>829</v>
      </c>
      <c r="D9" s="48" t="n">
        <v>8</v>
      </c>
      <c r="E9" s="32" t="s">
        <v>830</v>
      </c>
    </row>
    <row r="10" customFormat="false" ht="13.8" hidden="false" customHeight="false" outlineLevel="0" collapsed="false">
      <c r="A10" s="48" t="s">
        <v>847</v>
      </c>
      <c r="B10" s="48" t="s">
        <v>848</v>
      </c>
      <c r="C10" s="48" t="s">
        <v>829</v>
      </c>
      <c r="D10" s="48" t="n">
        <v>9</v>
      </c>
      <c r="E10" s="32" t="s">
        <v>830</v>
      </c>
    </row>
    <row r="11" customFormat="false" ht="13.8" hidden="false" customHeight="false" outlineLevel="0" collapsed="false">
      <c r="A11" s="48" t="s">
        <v>849</v>
      </c>
      <c r="B11" s="48" t="s">
        <v>850</v>
      </c>
      <c r="C11" s="48" t="s">
        <v>829</v>
      </c>
      <c r="D11" s="48" t="n">
        <v>10</v>
      </c>
      <c r="E11" s="32" t="s">
        <v>830</v>
      </c>
    </row>
    <row r="12" customFormat="false" ht="13.8" hidden="false" customHeight="false" outlineLevel="0" collapsed="false">
      <c r="A12" s="48" t="s">
        <v>851</v>
      </c>
      <c r="B12" s="48" t="s">
        <v>852</v>
      </c>
      <c r="C12" s="48" t="s">
        <v>829</v>
      </c>
      <c r="D12" s="48" t="n">
        <v>11</v>
      </c>
      <c r="E12" s="32" t="s">
        <v>830</v>
      </c>
    </row>
    <row r="13" customFormat="false" ht="13.8" hidden="false" customHeight="false" outlineLevel="0" collapsed="false">
      <c r="A13" s="48" t="s">
        <v>853</v>
      </c>
      <c r="B13" s="48" t="s">
        <v>854</v>
      </c>
      <c r="C13" s="48" t="s">
        <v>829</v>
      </c>
      <c r="D13" s="48" t="n">
        <v>12</v>
      </c>
      <c r="E13" s="32" t="s">
        <v>830</v>
      </c>
    </row>
    <row r="14" customFormat="false" ht="13.8" hidden="false" customHeight="false" outlineLevel="0" collapsed="false">
      <c r="A14" s="48" t="s">
        <v>855</v>
      </c>
      <c r="B14" s="48" t="s">
        <v>856</v>
      </c>
      <c r="C14" s="48" t="s">
        <v>829</v>
      </c>
      <c r="D14" s="48" t="n">
        <v>13</v>
      </c>
      <c r="E14" s="32" t="s">
        <v>830</v>
      </c>
    </row>
    <row r="15" customFormat="false" ht="13.8" hidden="false" customHeight="false" outlineLevel="0" collapsed="false">
      <c r="A15" s="48" t="s">
        <v>857</v>
      </c>
      <c r="B15" s="48" t="s">
        <v>858</v>
      </c>
      <c r="C15" s="48" t="s">
        <v>829</v>
      </c>
      <c r="D15" s="48" t="n">
        <v>14</v>
      </c>
      <c r="E15" s="32" t="s">
        <v>830</v>
      </c>
    </row>
    <row r="16" customFormat="false" ht="13.8" hidden="false" customHeight="false" outlineLevel="0" collapsed="false">
      <c r="A16" s="48" t="s">
        <v>859</v>
      </c>
      <c r="B16" s="48" t="s">
        <v>860</v>
      </c>
      <c r="C16" s="48" t="s">
        <v>829</v>
      </c>
      <c r="D16" s="48" t="n">
        <v>15</v>
      </c>
      <c r="E16" s="32" t="s">
        <v>830</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117"/>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9" t="s">
        <v>0</v>
      </c>
      <c r="B1" s="50" t="s">
        <v>1</v>
      </c>
      <c r="C1" s="50" t="s">
        <v>7</v>
      </c>
      <c r="D1" s="50" t="s">
        <v>9</v>
      </c>
      <c r="E1" s="50" t="s">
        <v>12</v>
      </c>
      <c r="F1" s="50" t="s">
        <v>83</v>
      </c>
      <c r="G1" s="51" t="s">
        <v>861</v>
      </c>
    </row>
    <row r="2" customFormat="false" ht="13.8" hidden="false" customHeight="false" outlineLevel="0" collapsed="false">
      <c r="A2" s="52" t="s">
        <v>567</v>
      </c>
      <c r="B2" s="53" t="s">
        <v>568</v>
      </c>
      <c r="C2" s="53" t="s">
        <v>528</v>
      </c>
      <c r="D2" s="53" t="n">
        <v>1966</v>
      </c>
      <c r="E2" s="53" t="s">
        <v>861</v>
      </c>
      <c r="F2" s="53" t="s">
        <v>569</v>
      </c>
      <c r="G2" s="54"/>
    </row>
    <row r="3" customFormat="false" ht="13.8" hidden="false" customHeight="false" outlineLevel="0" collapsed="false">
      <c r="A3" s="52" t="s">
        <v>570</v>
      </c>
      <c r="B3" s="53" t="s">
        <v>571</v>
      </c>
      <c r="C3" s="53" t="s">
        <v>528</v>
      </c>
      <c r="D3" s="53" t="n">
        <v>1973</v>
      </c>
      <c r="E3" s="53" t="s">
        <v>861</v>
      </c>
      <c r="F3" s="53" t="s">
        <v>572</v>
      </c>
      <c r="G3" s="54"/>
    </row>
    <row r="4" customFormat="false" ht="13.8" hidden="false" customHeight="false" outlineLevel="0" collapsed="false">
      <c r="A4" s="52" t="s">
        <v>533</v>
      </c>
      <c r="B4" s="53" t="s">
        <v>534</v>
      </c>
      <c r="C4" s="53" t="s">
        <v>528</v>
      </c>
      <c r="D4" s="53" t="n">
        <v>1955</v>
      </c>
      <c r="E4" s="53" t="s">
        <v>861</v>
      </c>
      <c r="F4" s="53" t="s">
        <v>536</v>
      </c>
      <c r="G4" s="54"/>
    </row>
    <row r="5" customFormat="false" ht="13.8" hidden="false" customHeight="false" outlineLevel="0" collapsed="false">
      <c r="A5" s="52" t="s">
        <v>477</v>
      </c>
      <c r="B5" s="53" t="s">
        <v>478</v>
      </c>
      <c r="C5" s="53" t="s">
        <v>91</v>
      </c>
      <c r="D5" s="53" t="n">
        <v>2012</v>
      </c>
      <c r="E5" s="53" t="n">
        <v>5</v>
      </c>
      <c r="F5" s="53" t="s">
        <v>483</v>
      </c>
      <c r="G5" s="54"/>
    </row>
    <row r="6" customFormat="false" ht="13.8" hidden="false" customHeight="false" outlineLevel="0" collapsed="false">
      <c r="A6" s="52" t="s">
        <v>159</v>
      </c>
      <c r="B6" s="53" t="s">
        <v>160</v>
      </c>
      <c r="C6" s="53" t="s">
        <v>152</v>
      </c>
      <c r="D6" s="53" t="n">
        <v>1956</v>
      </c>
      <c r="E6" s="53" t="n">
        <v>4</v>
      </c>
      <c r="F6" s="53" t="s">
        <v>167</v>
      </c>
      <c r="G6" s="54"/>
    </row>
    <row r="7" customFormat="false" ht="13.8" hidden="false" customHeight="false" outlineLevel="0" collapsed="false">
      <c r="A7" s="52" t="s">
        <v>168</v>
      </c>
      <c r="B7" s="53" t="s">
        <v>169</v>
      </c>
      <c r="C7" s="53" t="s">
        <v>152</v>
      </c>
      <c r="D7" s="53" t="n">
        <v>1956</v>
      </c>
      <c r="E7" s="53" t="n">
        <v>6</v>
      </c>
      <c r="F7" s="53" t="s">
        <v>167</v>
      </c>
      <c r="G7" s="54"/>
    </row>
    <row r="8" customFormat="false" ht="13.8" hidden="false" customHeight="false" outlineLevel="0" collapsed="false">
      <c r="A8" s="52" t="s">
        <v>180</v>
      </c>
      <c r="B8" s="53" t="s">
        <v>181</v>
      </c>
      <c r="C8" s="53" t="s">
        <v>152</v>
      </c>
      <c r="D8" s="53" t="n">
        <v>1957</v>
      </c>
      <c r="E8" s="53" t="n">
        <v>2</v>
      </c>
      <c r="F8" s="53" t="s">
        <v>179</v>
      </c>
      <c r="G8" s="54"/>
    </row>
    <row r="9" customFormat="false" ht="13.8" hidden="false" customHeight="false" outlineLevel="0" collapsed="false">
      <c r="A9" s="52" t="s">
        <v>173</v>
      </c>
      <c r="B9" s="53" t="s">
        <v>174</v>
      </c>
      <c r="C9" s="53" t="s">
        <v>152</v>
      </c>
      <c r="D9" s="53" t="n">
        <v>1957</v>
      </c>
      <c r="E9" s="53" t="n">
        <v>3</v>
      </c>
      <c r="F9" s="53" t="s">
        <v>179</v>
      </c>
      <c r="G9" s="54"/>
    </row>
    <row r="10" customFormat="false" ht="13.8" hidden="false" customHeight="false" outlineLevel="0" collapsed="false">
      <c r="A10" s="52" t="s">
        <v>211</v>
      </c>
      <c r="B10" s="53" t="s">
        <v>212</v>
      </c>
      <c r="C10" s="53" t="s">
        <v>91</v>
      </c>
      <c r="D10" s="53" t="n">
        <v>1959</v>
      </c>
      <c r="E10" s="53" t="n">
        <v>4</v>
      </c>
      <c r="F10" s="53" t="s">
        <v>215</v>
      </c>
      <c r="G10" s="54"/>
    </row>
    <row r="11" customFormat="false" ht="13.8" hidden="false" customHeight="false" outlineLevel="0" collapsed="false">
      <c r="A11" s="52" t="s">
        <v>216</v>
      </c>
      <c r="B11" s="53" t="s">
        <v>217</v>
      </c>
      <c r="C11" s="53" t="s">
        <v>91</v>
      </c>
      <c r="D11" s="53" t="n">
        <v>1959</v>
      </c>
      <c r="E11" s="53" t="n">
        <v>3</v>
      </c>
      <c r="F11" s="53" t="s">
        <v>220</v>
      </c>
      <c r="G11" s="54"/>
    </row>
    <row r="12" customFormat="false" ht="13.8" hidden="false" customHeight="false" outlineLevel="0" collapsed="false">
      <c r="A12" s="52" t="s">
        <v>221</v>
      </c>
      <c r="B12" s="53" t="s">
        <v>222</v>
      </c>
      <c r="C12" s="53" t="s">
        <v>91</v>
      </c>
      <c r="D12" s="53" t="n">
        <v>1962</v>
      </c>
      <c r="E12" s="53" t="n">
        <v>2</v>
      </c>
      <c r="F12" s="53" t="s">
        <v>227</v>
      </c>
      <c r="G12" s="54"/>
    </row>
    <row r="13" customFormat="false" ht="13.8" hidden="false" customHeight="false" outlineLevel="0" collapsed="false">
      <c r="A13" s="52" t="s">
        <v>228</v>
      </c>
      <c r="B13" s="53" t="s">
        <v>229</v>
      </c>
      <c r="C13" s="53" t="s">
        <v>91</v>
      </c>
      <c r="D13" s="53" t="n">
        <v>1962</v>
      </c>
      <c r="E13" s="53" t="n">
        <v>4</v>
      </c>
      <c r="F13" s="53" t="s">
        <v>234</v>
      </c>
      <c r="G13" s="54"/>
    </row>
    <row r="14" customFormat="false" ht="13.8" hidden="false" customHeight="false" outlineLevel="0" collapsed="false">
      <c r="A14" s="52" t="s">
        <v>235</v>
      </c>
      <c r="B14" s="53" t="s">
        <v>236</v>
      </c>
      <c r="C14" s="53" t="s">
        <v>91</v>
      </c>
      <c r="D14" s="53" t="n">
        <v>1962</v>
      </c>
      <c r="E14" s="53" t="n">
        <v>4</v>
      </c>
      <c r="F14" s="53" t="s">
        <v>239</v>
      </c>
      <c r="G14" s="54"/>
    </row>
    <row r="15" customFormat="false" ht="13.8" hidden="false" customHeight="false" outlineLevel="0" collapsed="false">
      <c r="A15" s="52" t="s">
        <v>246</v>
      </c>
      <c r="B15" s="53" t="s">
        <v>247</v>
      </c>
      <c r="C15" s="53" t="s">
        <v>91</v>
      </c>
      <c r="D15" s="53" t="n">
        <v>1956</v>
      </c>
      <c r="E15" s="53" t="n">
        <v>4</v>
      </c>
      <c r="F15" s="53" t="s">
        <v>252</v>
      </c>
      <c r="G15" s="54"/>
    </row>
    <row r="16" customFormat="false" ht="13.8" hidden="false" customHeight="false" outlineLevel="0" collapsed="false">
      <c r="A16" s="52" t="s">
        <v>253</v>
      </c>
      <c r="B16" s="53" t="s">
        <v>254</v>
      </c>
      <c r="C16" s="53" t="s">
        <v>255</v>
      </c>
      <c r="D16" s="53" t="n">
        <v>1959</v>
      </c>
      <c r="E16" s="53" t="n">
        <v>1</v>
      </c>
      <c r="F16" s="53" t="s">
        <v>258</v>
      </c>
      <c r="G16" s="54"/>
    </row>
    <row r="17" customFormat="false" ht="13.8" hidden="false" customHeight="false" outlineLevel="0" collapsed="false">
      <c r="A17" s="52" t="s">
        <v>259</v>
      </c>
      <c r="B17" s="53" t="s">
        <v>260</v>
      </c>
      <c r="C17" s="53" t="s">
        <v>91</v>
      </c>
      <c r="D17" s="53" t="n">
        <v>1959</v>
      </c>
      <c r="E17" s="53" t="n">
        <v>1</v>
      </c>
      <c r="F17" s="53" t="s">
        <v>262</v>
      </c>
      <c r="G17" s="54"/>
    </row>
    <row r="18" customFormat="false" ht="13.8" hidden="false" customHeight="false" outlineLevel="0" collapsed="false">
      <c r="A18" s="52" t="s">
        <v>473</v>
      </c>
      <c r="B18" s="53" t="s">
        <v>474</v>
      </c>
      <c r="C18" s="53" t="s">
        <v>255</v>
      </c>
      <c r="D18" s="53" t="n">
        <v>2014</v>
      </c>
      <c r="E18" s="53" t="s">
        <v>861</v>
      </c>
      <c r="F18" s="53" t="s">
        <v>476</v>
      </c>
      <c r="G18" s="54"/>
    </row>
    <row r="19" customFormat="false" ht="13.8" hidden="false" customHeight="false" outlineLevel="0" collapsed="false">
      <c r="A19" s="52" t="s">
        <v>564</v>
      </c>
      <c r="B19" s="53" t="s">
        <v>565</v>
      </c>
      <c r="C19" s="53" t="s">
        <v>528</v>
      </c>
      <c r="D19" s="53" t="n">
        <v>1955</v>
      </c>
      <c r="E19" s="53" t="s">
        <v>861</v>
      </c>
      <c r="F19" s="53" t="s">
        <v>566</v>
      </c>
      <c r="G19" s="54"/>
    </row>
    <row r="20" customFormat="false" ht="13.8" hidden="false" customHeight="false" outlineLevel="0" collapsed="false">
      <c r="A20" s="52" t="s">
        <v>363</v>
      </c>
      <c r="B20" s="53" t="s">
        <v>364</v>
      </c>
      <c r="C20" s="53" t="s">
        <v>316</v>
      </c>
      <c r="D20" s="53" t="n">
        <v>1986</v>
      </c>
      <c r="E20" s="53" t="s">
        <v>861</v>
      </c>
      <c r="F20" s="53" t="s">
        <v>365</v>
      </c>
      <c r="G20" s="54"/>
    </row>
    <row r="21" customFormat="false" ht="13.8" hidden="false" customHeight="false" outlineLevel="0" collapsed="false">
      <c r="A21" s="52" t="s">
        <v>610</v>
      </c>
      <c r="B21" s="53" t="s">
        <v>611</v>
      </c>
      <c r="C21" s="53" t="s">
        <v>603</v>
      </c>
      <c r="D21" s="53" t="n">
        <v>1975</v>
      </c>
      <c r="E21" s="53" t="s">
        <v>861</v>
      </c>
      <c r="F21" s="53" t="s">
        <v>612</v>
      </c>
      <c r="G21" s="54"/>
    </row>
    <row r="22" customFormat="false" ht="13.8" hidden="false" customHeight="false" outlineLevel="0" collapsed="false">
      <c r="A22" s="52" t="s">
        <v>606</v>
      </c>
      <c r="B22" s="53" t="s">
        <v>607</v>
      </c>
      <c r="C22" s="53" t="s">
        <v>603</v>
      </c>
      <c r="D22" s="53" t="n">
        <v>1957</v>
      </c>
      <c r="E22" s="53" t="s">
        <v>861</v>
      </c>
      <c r="F22" s="53" t="s">
        <v>609</v>
      </c>
      <c r="G22" s="54"/>
    </row>
    <row r="23" customFormat="false" ht="13.8" hidden="false" customHeight="false" outlineLevel="0" collapsed="false">
      <c r="A23" s="52" t="s">
        <v>627</v>
      </c>
      <c r="B23" s="53" t="s">
        <v>628</v>
      </c>
      <c r="C23" s="53" t="s">
        <v>603</v>
      </c>
      <c r="D23" s="53" t="n">
        <v>1955</v>
      </c>
      <c r="E23" s="53" t="s">
        <v>861</v>
      </c>
      <c r="F23" s="53" t="s">
        <v>630</v>
      </c>
      <c r="G23" s="54"/>
    </row>
    <row r="24" customFormat="false" ht="13.8" hidden="false" customHeight="false" outlineLevel="0" collapsed="false">
      <c r="A24" s="52" t="s">
        <v>613</v>
      </c>
      <c r="B24" s="53" t="s">
        <v>614</v>
      </c>
      <c r="C24" s="53" t="s">
        <v>603</v>
      </c>
      <c r="D24" s="53" t="n">
        <v>1989</v>
      </c>
      <c r="E24" s="53" t="s">
        <v>861</v>
      </c>
      <c r="F24" s="53" t="s">
        <v>615</v>
      </c>
      <c r="G24" s="54"/>
    </row>
    <row r="25" customFormat="false" ht="13.8" hidden="false" customHeight="false" outlineLevel="0" collapsed="false">
      <c r="A25" s="52" t="s">
        <v>631</v>
      </c>
      <c r="B25" s="53" t="s">
        <v>632</v>
      </c>
      <c r="C25" s="53" t="s">
        <v>603</v>
      </c>
      <c r="D25" s="53" t="n">
        <v>1975</v>
      </c>
      <c r="E25" s="53" t="s">
        <v>861</v>
      </c>
      <c r="F25" s="53" t="s">
        <v>634</v>
      </c>
      <c r="G25" s="54"/>
    </row>
    <row r="26" customFormat="false" ht="13.8" hidden="false" customHeight="false" outlineLevel="0" collapsed="false">
      <c r="A26" s="52" t="s">
        <v>348</v>
      </c>
      <c r="B26" s="53" t="s">
        <v>349</v>
      </c>
      <c r="C26" s="53" t="s">
        <v>316</v>
      </c>
      <c r="D26" s="53" t="n">
        <v>1986</v>
      </c>
      <c r="E26" s="53" t="n">
        <v>10</v>
      </c>
      <c r="F26" s="53" t="s">
        <v>354</v>
      </c>
      <c r="G26" s="54"/>
    </row>
    <row r="27" customFormat="false" ht="13.8" hidden="false" customHeight="false" outlineLevel="0" collapsed="false">
      <c r="A27" s="52" t="s">
        <v>355</v>
      </c>
      <c r="B27" s="53" t="s">
        <v>356</v>
      </c>
      <c r="C27" s="53" t="s">
        <v>316</v>
      </c>
      <c r="D27" s="53" t="n">
        <v>1986</v>
      </c>
      <c r="E27" s="53" t="n">
        <v>6</v>
      </c>
      <c r="F27" s="53" t="s">
        <v>354</v>
      </c>
      <c r="G27" s="54"/>
    </row>
    <row r="28" customFormat="false" ht="13.8" hidden="false" customHeight="false" outlineLevel="0" collapsed="false">
      <c r="A28" s="52" t="s">
        <v>340</v>
      </c>
      <c r="B28" s="53" t="s">
        <v>341</v>
      </c>
      <c r="C28" s="53" t="s">
        <v>91</v>
      </c>
      <c r="D28" s="53" t="n">
        <v>1986</v>
      </c>
      <c r="E28" s="53" t="s">
        <v>861</v>
      </c>
      <c r="F28" s="53" t="s">
        <v>344</v>
      </c>
      <c r="G28" s="54"/>
    </row>
    <row r="29" customFormat="false" ht="13.8" hidden="false" customHeight="false" outlineLevel="0" collapsed="false">
      <c r="A29" s="52" t="s">
        <v>345</v>
      </c>
      <c r="B29" s="53" t="s">
        <v>346</v>
      </c>
      <c r="C29" s="53" t="s">
        <v>316</v>
      </c>
      <c r="D29" s="53" t="n">
        <v>1986</v>
      </c>
      <c r="E29" s="53" t="s">
        <v>861</v>
      </c>
      <c r="F29" s="53" t="s">
        <v>347</v>
      </c>
      <c r="G29" s="54"/>
    </row>
    <row r="30" customFormat="false" ht="13.8" hidden="false" customHeight="false" outlineLevel="0" collapsed="false">
      <c r="A30" s="52" t="s">
        <v>192</v>
      </c>
      <c r="B30" s="53" t="s">
        <v>190</v>
      </c>
      <c r="C30" s="53" t="s">
        <v>152</v>
      </c>
      <c r="D30" s="53" t="n">
        <v>1982</v>
      </c>
      <c r="E30" s="53" t="n">
        <v>3</v>
      </c>
      <c r="F30" s="53" t="s">
        <v>196</v>
      </c>
      <c r="G30" s="54"/>
    </row>
    <row r="31" customFormat="false" ht="13.8" hidden="false" customHeight="false" outlineLevel="0" collapsed="false">
      <c r="A31" s="52" t="s">
        <v>185</v>
      </c>
      <c r="B31" s="53" t="s">
        <v>186</v>
      </c>
      <c r="C31" s="53" t="s">
        <v>152</v>
      </c>
      <c r="D31" s="53" t="n">
        <v>1982</v>
      </c>
      <c r="E31" s="53" t="n">
        <v>4</v>
      </c>
      <c r="F31" s="53" t="s">
        <v>191</v>
      </c>
      <c r="G31" s="54"/>
    </row>
    <row r="32" customFormat="false" ht="13.8" hidden="false" customHeight="false" outlineLevel="0" collapsed="false">
      <c r="A32" s="52" t="s">
        <v>329</v>
      </c>
      <c r="B32" s="53" t="s">
        <v>330</v>
      </c>
      <c r="C32" s="53" t="s">
        <v>316</v>
      </c>
      <c r="D32" s="53" t="n">
        <v>1979</v>
      </c>
      <c r="E32" s="53" t="n">
        <v>2</v>
      </c>
      <c r="F32" s="53" t="s">
        <v>332</v>
      </c>
      <c r="G32" s="54"/>
    </row>
    <row r="33" customFormat="false" ht="13.8" hidden="false" customHeight="false" outlineLevel="0" collapsed="false">
      <c r="A33" s="52" t="s">
        <v>333</v>
      </c>
      <c r="B33" s="53" t="s">
        <v>334</v>
      </c>
      <c r="C33" s="53" t="s">
        <v>316</v>
      </c>
      <c r="D33" s="53" t="n">
        <v>1979</v>
      </c>
      <c r="E33" s="53" t="n">
        <v>2</v>
      </c>
      <c r="F33" s="53" t="s">
        <v>336</v>
      </c>
      <c r="G33" s="54"/>
    </row>
    <row r="34" customFormat="false" ht="13.8" hidden="false" customHeight="false" outlineLevel="0" collapsed="false">
      <c r="A34" s="52" t="s">
        <v>314</v>
      </c>
      <c r="B34" s="53" t="s">
        <v>315</v>
      </c>
      <c r="C34" s="53" t="s">
        <v>316</v>
      </c>
      <c r="D34" s="53" t="n">
        <v>1979</v>
      </c>
      <c r="E34" s="53" t="n">
        <v>6</v>
      </c>
      <c r="F34" s="53" t="s">
        <v>321</v>
      </c>
      <c r="G34" s="54"/>
    </row>
    <row r="35" customFormat="false" ht="13.8" hidden="false" customHeight="false" outlineLevel="0" collapsed="false">
      <c r="A35" s="52" t="s">
        <v>322</v>
      </c>
      <c r="B35" s="53" t="s">
        <v>323</v>
      </c>
      <c r="C35" s="53" t="s">
        <v>316</v>
      </c>
      <c r="D35" s="53" t="n">
        <v>1979</v>
      </c>
      <c r="E35" s="53" t="n">
        <v>6</v>
      </c>
      <c r="F35" s="53" t="s">
        <v>328</v>
      </c>
      <c r="G35" s="54"/>
    </row>
    <row r="36" customFormat="false" ht="13.8" hidden="false" customHeight="false" outlineLevel="0" collapsed="false">
      <c r="A36" s="52" t="s">
        <v>337</v>
      </c>
      <c r="B36" s="53" t="s">
        <v>338</v>
      </c>
      <c r="C36" s="53" t="s">
        <v>91</v>
      </c>
      <c r="D36" s="53" t="n">
        <v>1979</v>
      </c>
      <c r="E36" s="53" t="s">
        <v>861</v>
      </c>
      <c r="F36" s="53" t="s">
        <v>339</v>
      </c>
      <c r="G36" s="54"/>
    </row>
    <row r="37" customFormat="false" ht="13.8" hidden="false" customHeight="false" outlineLevel="0" collapsed="false">
      <c r="A37" s="52" t="s">
        <v>379</v>
      </c>
      <c r="B37" s="53" t="s">
        <v>380</v>
      </c>
      <c r="C37" s="53" t="s">
        <v>152</v>
      </c>
      <c r="D37" s="53" t="n">
        <v>1985</v>
      </c>
      <c r="E37" s="53" t="s">
        <v>861</v>
      </c>
      <c r="F37" s="53" t="s">
        <v>381</v>
      </c>
      <c r="G37" s="54"/>
    </row>
    <row r="38" customFormat="false" ht="13.8" hidden="false" customHeight="false" outlineLevel="0" collapsed="false">
      <c r="A38" s="52" t="s">
        <v>359</v>
      </c>
      <c r="B38" s="53" t="s">
        <v>360</v>
      </c>
      <c r="C38" s="53" t="s">
        <v>152</v>
      </c>
      <c r="D38" s="53" t="n">
        <v>1986</v>
      </c>
      <c r="E38" s="53" t="s">
        <v>861</v>
      </c>
      <c r="F38" s="53" t="s">
        <v>362</v>
      </c>
      <c r="G38" s="54"/>
    </row>
    <row r="39" customFormat="false" ht="13.8" hidden="false" customHeight="false" outlineLevel="0" collapsed="false">
      <c r="A39" s="52" t="s">
        <v>366</v>
      </c>
      <c r="B39" s="53" t="s">
        <v>367</v>
      </c>
      <c r="C39" s="53" t="s">
        <v>316</v>
      </c>
      <c r="D39" s="53" t="n">
        <v>1986</v>
      </c>
      <c r="E39" s="53" t="s">
        <v>861</v>
      </c>
      <c r="F39" s="53" t="s">
        <v>369</v>
      </c>
      <c r="G39" s="54"/>
    </row>
    <row r="40" customFormat="false" ht="13.8" hidden="false" customHeight="false" outlineLevel="0" collapsed="false">
      <c r="A40" s="52" t="s">
        <v>427</v>
      </c>
      <c r="B40" s="53" t="s">
        <v>425</v>
      </c>
      <c r="C40" s="53" t="s">
        <v>91</v>
      </c>
      <c r="D40" s="53" t="n">
        <v>1993</v>
      </c>
      <c r="E40" s="53" t="n">
        <v>2</v>
      </c>
      <c r="F40" s="53" t="s">
        <v>429</v>
      </c>
      <c r="G40" s="54"/>
    </row>
    <row r="41" customFormat="false" ht="13.8" hidden="false" customHeight="false" outlineLevel="0" collapsed="false">
      <c r="A41" s="52" t="s">
        <v>374</v>
      </c>
      <c r="B41" s="53" t="s">
        <v>375</v>
      </c>
      <c r="C41" s="53" t="s">
        <v>91</v>
      </c>
      <c r="D41" s="53" t="n">
        <v>1985</v>
      </c>
      <c r="E41" s="53" t="s">
        <v>861</v>
      </c>
      <c r="F41" s="53" t="s">
        <v>378</v>
      </c>
      <c r="G41" s="54"/>
    </row>
    <row r="42" customFormat="false" ht="13.8" hidden="false" customHeight="false" outlineLevel="0" collapsed="false">
      <c r="A42" s="52" t="s">
        <v>370</v>
      </c>
      <c r="B42" s="53" t="s">
        <v>371</v>
      </c>
      <c r="C42" s="53" t="s">
        <v>372</v>
      </c>
      <c r="D42" s="53" t="n">
        <v>1986</v>
      </c>
      <c r="E42" s="53" t="s">
        <v>861</v>
      </c>
      <c r="F42" s="53" t="s">
        <v>373</v>
      </c>
      <c r="G42" s="54"/>
    </row>
    <row r="43" customFormat="false" ht="13.8" hidden="false" customHeight="false" outlineLevel="0" collapsed="false">
      <c r="A43" s="52" t="s">
        <v>653</v>
      </c>
      <c r="B43" s="53" t="s">
        <v>654</v>
      </c>
      <c r="C43" s="53" t="s">
        <v>603</v>
      </c>
      <c r="D43" s="53" t="n">
        <v>2018</v>
      </c>
      <c r="E43" s="53" t="s">
        <v>861</v>
      </c>
      <c r="F43" s="53" t="s">
        <v>656</v>
      </c>
      <c r="G43" s="54"/>
    </row>
    <row r="44" customFormat="false" ht="13.8" hidden="false" customHeight="false" outlineLevel="0" collapsed="false">
      <c r="A44" s="52" t="s">
        <v>661</v>
      </c>
      <c r="B44" s="53" t="s">
        <v>662</v>
      </c>
      <c r="C44" s="53" t="s">
        <v>603</v>
      </c>
      <c r="D44" s="53" t="n">
        <v>2018</v>
      </c>
      <c r="E44" s="53" t="s">
        <v>861</v>
      </c>
      <c r="F44" s="53" t="s">
        <v>664</v>
      </c>
      <c r="G44" s="54"/>
    </row>
    <row r="45" customFormat="false" ht="13.8" hidden="false" customHeight="false" outlineLevel="0" collapsed="false">
      <c r="A45" s="52" t="s">
        <v>657</v>
      </c>
      <c r="B45" s="53" t="s">
        <v>658</v>
      </c>
      <c r="C45" s="53" t="s">
        <v>603</v>
      </c>
      <c r="D45" s="53" t="n">
        <v>2018</v>
      </c>
      <c r="E45" s="53" t="s">
        <v>861</v>
      </c>
      <c r="F45" s="53" t="s">
        <v>660</v>
      </c>
      <c r="G45" s="54"/>
    </row>
    <row r="46" customFormat="false" ht="13.8" hidden="false" customHeight="false" outlineLevel="0" collapsed="false">
      <c r="A46" s="52" t="s">
        <v>430</v>
      </c>
      <c r="B46" s="53" t="s">
        <v>431</v>
      </c>
      <c r="C46" s="53" t="s">
        <v>152</v>
      </c>
      <c r="D46" s="53" t="n">
        <v>1994</v>
      </c>
      <c r="E46" s="53" t="s">
        <v>861</v>
      </c>
      <c r="F46" s="53" t="s">
        <v>432</v>
      </c>
      <c r="G46" s="54"/>
    </row>
    <row r="47" customFormat="false" ht="13.8" hidden="false" customHeight="false" outlineLevel="0" collapsed="false">
      <c r="A47" s="52" t="s">
        <v>647</v>
      </c>
      <c r="B47" s="53" t="s">
        <v>648</v>
      </c>
      <c r="C47" s="53" t="s">
        <v>649</v>
      </c>
      <c r="D47" s="53" t="n">
        <v>1997</v>
      </c>
      <c r="E47" s="53" t="s">
        <v>861</v>
      </c>
      <c r="F47" s="53" t="s">
        <v>650</v>
      </c>
      <c r="G47" s="54"/>
    </row>
    <row r="48" customFormat="false" ht="13.8" hidden="false" customHeight="false" outlineLevel="0" collapsed="false">
      <c r="A48" s="52" t="s">
        <v>651</v>
      </c>
      <c r="B48" s="53" t="s">
        <v>652</v>
      </c>
      <c r="C48" s="53" t="s">
        <v>649</v>
      </c>
      <c r="D48" s="53" t="n">
        <v>1997</v>
      </c>
      <c r="E48" s="53" t="s">
        <v>861</v>
      </c>
      <c r="F48" s="53" t="s">
        <v>650</v>
      </c>
      <c r="G48" s="54"/>
    </row>
    <row r="49" customFormat="false" ht="13.8" hidden="false" customHeight="false" outlineLevel="0" collapsed="false">
      <c r="A49" s="52" t="s">
        <v>635</v>
      </c>
      <c r="B49" s="53" t="s">
        <v>636</v>
      </c>
      <c r="C49" s="53" t="s">
        <v>594</v>
      </c>
      <c r="D49" s="53" t="n">
        <v>1997</v>
      </c>
      <c r="E49" s="53" t="n">
        <v>7</v>
      </c>
      <c r="F49" s="53" t="s">
        <v>641</v>
      </c>
      <c r="G49" s="54"/>
    </row>
    <row r="50" customFormat="false" ht="13.8" hidden="false" customHeight="false" outlineLevel="0" collapsed="false">
      <c r="A50" s="52" t="s">
        <v>643</v>
      </c>
      <c r="B50" s="53" t="s">
        <v>644</v>
      </c>
      <c r="C50" s="53" t="s">
        <v>594</v>
      </c>
      <c r="D50" s="53" t="n">
        <v>1997</v>
      </c>
      <c r="E50" s="53" t="n">
        <v>8</v>
      </c>
      <c r="F50" s="53" t="s">
        <v>646</v>
      </c>
      <c r="G50" s="54"/>
    </row>
    <row r="51" customFormat="false" ht="13.8" hidden="false" customHeight="false" outlineLevel="0" collapsed="false">
      <c r="A51" s="52" t="s">
        <v>393</v>
      </c>
      <c r="B51" s="53" t="s">
        <v>394</v>
      </c>
      <c r="C51" s="53" t="s">
        <v>372</v>
      </c>
      <c r="D51" s="53" t="n">
        <v>1992</v>
      </c>
      <c r="E51" s="53" t="n">
        <v>20</v>
      </c>
      <c r="F51" s="53" t="s">
        <v>400</v>
      </c>
      <c r="G51" s="54"/>
    </row>
    <row r="52" customFormat="false" ht="13.8" hidden="false" customHeight="false" outlineLevel="0" collapsed="false">
      <c r="A52" s="52" t="s">
        <v>401</v>
      </c>
      <c r="B52" s="53" t="s">
        <v>402</v>
      </c>
      <c r="C52" s="53" t="s">
        <v>372</v>
      </c>
      <c r="D52" s="53" t="n">
        <v>1992</v>
      </c>
      <c r="E52" s="53" t="n">
        <v>16</v>
      </c>
      <c r="F52" s="53" t="s">
        <v>408</v>
      </c>
      <c r="G52" s="54"/>
    </row>
    <row r="53" customFormat="false" ht="13.8" hidden="false" customHeight="false" outlineLevel="0" collapsed="false">
      <c r="A53" s="52" t="s">
        <v>521</v>
      </c>
      <c r="B53" s="53" t="s">
        <v>522</v>
      </c>
      <c r="C53" s="53" t="s">
        <v>255</v>
      </c>
      <c r="D53" s="53" t="n">
        <v>2022</v>
      </c>
      <c r="E53" s="53" t="n">
        <v>5</v>
      </c>
      <c r="F53" s="53" t="s">
        <v>525</v>
      </c>
      <c r="G53" s="54"/>
    </row>
    <row r="54" customFormat="false" ht="13.8" hidden="false" customHeight="false" outlineLevel="0" collapsed="false">
      <c r="A54" s="52" t="s">
        <v>540</v>
      </c>
      <c r="B54" s="53" t="s">
        <v>541</v>
      </c>
      <c r="C54" s="53" t="s">
        <v>528</v>
      </c>
      <c r="D54" s="53" t="n">
        <v>2007</v>
      </c>
      <c r="E54" s="53" t="s">
        <v>861</v>
      </c>
      <c r="F54" s="53" t="s">
        <v>543</v>
      </c>
      <c r="G54" s="54"/>
    </row>
    <row r="55" customFormat="false" ht="13.8" hidden="false" customHeight="false" outlineLevel="0" collapsed="false">
      <c r="A55" s="52" t="s">
        <v>110</v>
      </c>
      <c r="B55" s="53" t="s">
        <v>111</v>
      </c>
      <c r="C55" s="53" t="s">
        <v>91</v>
      </c>
      <c r="D55" s="53" t="n">
        <v>1911</v>
      </c>
      <c r="E55" s="53" t="n">
        <v>2</v>
      </c>
      <c r="F55" s="53" t="s">
        <v>116</v>
      </c>
      <c r="G55" s="54"/>
    </row>
    <row r="56" customFormat="false" ht="13.8" hidden="false" customHeight="false" outlineLevel="0" collapsed="false">
      <c r="A56" s="52" t="s">
        <v>117</v>
      </c>
      <c r="B56" s="53" t="s">
        <v>118</v>
      </c>
      <c r="C56" s="53" t="s">
        <v>91</v>
      </c>
      <c r="D56" s="53" t="n">
        <v>1911</v>
      </c>
      <c r="E56" s="53" t="n">
        <v>3</v>
      </c>
      <c r="F56" s="53" t="s">
        <v>116</v>
      </c>
      <c r="G56" s="54"/>
    </row>
    <row r="57" customFormat="false" ht="13.8" hidden="false" customHeight="false" outlineLevel="0" collapsed="false">
      <c r="A57" s="52" t="s">
        <v>122</v>
      </c>
      <c r="B57" s="53" t="s">
        <v>123</v>
      </c>
      <c r="C57" s="53" t="s">
        <v>91</v>
      </c>
      <c r="D57" s="53" t="n">
        <v>1911</v>
      </c>
      <c r="E57" s="53" t="n">
        <v>4</v>
      </c>
      <c r="F57" s="53" t="s">
        <v>116</v>
      </c>
      <c r="G57" s="54"/>
    </row>
    <row r="58" customFormat="false" ht="13.8" hidden="false" customHeight="false" outlineLevel="0" collapsed="false">
      <c r="A58" s="52" t="s">
        <v>127</v>
      </c>
      <c r="B58" s="53" t="s">
        <v>128</v>
      </c>
      <c r="C58" s="53" t="s">
        <v>91</v>
      </c>
      <c r="D58" s="53" t="n">
        <v>1911</v>
      </c>
      <c r="E58" s="53" t="n">
        <v>5</v>
      </c>
      <c r="F58" s="53" t="s">
        <v>116</v>
      </c>
      <c r="G58" s="54"/>
    </row>
    <row r="59" customFormat="false" ht="13.8" hidden="false" customHeight="false" outlineLevel="0" collapsed="false">
      <c r="A59" s="52" t="s">
        <v>132</v>
      </c>
      <c r="B59" s="53" t="s">
        <v>133</v>
      </c>
      <c r="C59" s="53" t="s">
        <v>91</v>
      </c>
      <c r="D59" s="53" t="n">
        <v>1911</v>
      </c>
      <c r="E59" s="53" t="n">
        <v>6</v>
      </c>
      <c r="F59" s="53" t="s">
        <v>116</v>
      </c>
      <c r="G59" s="54"/>
    </row>
    <row r="60" customFormat="false" ht="13.8" hidden="false" customHeight="false" outlineLevel="0" collapsed="false">
      <c r="A60" s="52" t="s">
        <v>137</v>
      </c>
      <c r="B60" s="53" t="s">
        <v>138</v>
      </c>
      <c r="C60" s="53" t="s">
        <v>91</v>
      </c>
      <c r="D60" s="53" t="n">
        <v>1925</v>
      </c>
      <c r="E60" s="53" t="n">
        <v>5</v>
      </c>
      <c r="F60" s="53" t="s">
        <v>144</v>
      </c>
      <c r="G60" s="54"/>
    </row>
    <row r="61" customFormat="false" ht="13.8" hidden="false" customHeight="false" outlineLevel="0" collapsed="false">
      <c r="A61" s="52" t="s">
        <v>145</v>
      </c>
      <c r="B61" s="53" t="s">
        <v>146</v>
      </c>
      <c r="C61" s="53" t="s">
        <v>91</v>
      </c>
      <c r="D61" s="53" t="n">
        <v>1925</v>
      </c>
      <c r="E61" s="53" t="s">
        <v>861</v>
      </c>
      <c r="F61" s="53" t="s">
        <v>149</v>
      </c>
      <c r="G61" s="54"/>
    </row>
    <row r="62" customFormat="false" ht="13.8" hidden="false" customHeight="false" outlineLevel="0" collapsed="false">
      <c r="A62" s="52" t="s">
        <v>282</v>
      </c>
      <c r="B62" s="53" t="s">
        <v>283</v>
      </c>
      <c r="C62" s="53" t="s">
        <v>152</v>
      </c>
      <c r="D62" s="53" t="n">
        <v>1991</v>
      </c>
      <c r="E62" s="53" t="n">
        <v>1</v>
      </c>
      <c r="F62" s="53" t="s">
        <v>286</v>
      </c>
      <c r="G62" s="54"/>
    </row>
    <row r="63" customFormat="false" ht="13.8" hidden="false" customHeight="false" outlineLevel="0" collapsed="false">
      <c r="A63" s="52" t="s">
        <v>551</v>
      </c>
      <c r="B63" s="53" t="s">
        <v>552</v>
      </c>
      <c r="C63" s="53" t="s">
        <v>546</v>
      </c>
      <c r="D63" s="53" t="n">
        <v>1938</v>
      </c>
      <c r="E63" s="53" t="s">
        <v>861</v>
      </c>
      <c r="F63" s="53" t="s">
        <v>553</v>
      </c>
      <c r="G63" s="54"/>
    </row>
    <row r="64" customFormat="false" ht="13.8" hidden="false" customHeight="false" outlineLevel="0" collapsed="false">
      <c r="A64" s="52" t="s">
        <v>554</v>
      </c>
      <c r="B64" s="53" t="s">
        <v>555</v>
      </c>
      <c r="C64" s="53" t="s">
        <v>528</v>
      </c>
      <c r="D64" s="53" t="n">
        <v>1936</v>
      </c>
      <c r="E64" s="53" t="s">
        <v>861</v>
      </c>
      <c r="F64" s="53" t="s">
        <v>557</v>
      </c>
      <c r="G64" s="54"/>
    </row>
    <row r="65" customFormat="false" ht="13.8" hidden="false" customHeight="false" outlineLevel="0" collapsed="false">
      <c r="A65" s="52" t="s">
        <v>592</v>
      </c>
      <c r="B65" s="53" t="s">
        <v>593</v>
      </c>
      <c r="C65" s="53" t="s">
        <v>594</v>
      </c>
      <c r="D65" s="53" t="n">
        <v>1905</v>
      </c>
      <c r="E65" s="53" t="s">
        <v>861</v>
      </c>
      <c r="F65" s="53" t="s">
        <v>596</v>
      </c>
      <c r="G65" s="54"/>
    </row>
    <row r="66" customFormat="false" ht="13.8" hidden="false" customHeight="false" outlineLevel="0" collapsed="false">
      <c r="A66" s="55" t="s">
        <v>197</v>
      </c>
      <c r="B66" s="53" t="s">
        <v>207</v>
      </c>
      <c r="C66" s="53" t="s">
        <v>152</v>
      </c>
      <c r="D66" s="53" t="n">
        <v>1960</v>
      </c>
      <c r="E66" s="53" t="n">
        <v>8</v>
      </c>
      <c r="F66" s="53" t="s">
        <v>210</v>
      </c>
      <c r="G66" s="54"/>
    </row>
    <row r="67" customFormat="false" ht="13.8" hidden="false" customHeight="false" outlineLevel="0" collapsed="false">
      <c r="A67" s="56"/>
      <c r="B67" s="53" t="s">
        <v>198</v>
      </c>
      <c r="C67" s="53" t="s">
        <v>152</v>
      </c>
      <c r="D67" s="53" t="n">
        <v>1960</v>
      </c>
      <c r="E67" s="53" t="n">
        <v>6</v>
      </c>
      <c r="F67" s="53" t="s">
        <v>206</v>
      </c>
      <c r="G67" s="54"/>
    </row>
    <row r="68" customFormat="false" ht="13.8" hidden="false" customHeight="false" outlineLevel="0" collapsed="false">
      <c r="A68" s="52" t="s">
        <v>278</v>
      </c>
      <c r="B68" s="53" t="s">
        <v>279</v>
      </c>
      <c r="C68" s="53" t="s">
        <v>152</v>
      </c>
      <c r="D68" s="53" t="n">
        <v>1985</v>
      </c>
      <c r="E68" s="53" t="n">
        <v>3</v>
      </c>
      <c r="F68" s="53" t="s">
        <v>281</v>
      </c>
      <c r="G68" s="54"/>
    </row>
    <row r="69" customFormat="false" ht="13.8" hidden="false" customHeight="false" outlineLevel="0" collapsed="false">
      <c r="A69" s="52" t="s">
        <v>544</v>
      </c>
      <c r="B69" s="53" t="s">
        <v>545</v>
      </c>
      <c r="C69" s="53" t="s">
        <v>546</v>
      </c>
      <c r="D69" s="53" t="n">
        <v>1924</v>
      </c>
      <c r="E69" s="53" t="s">
        <v>861</v>
      </c>
      <c r="F69" s="53" t="s">
        <v>550</v>
      </c>
      <c r="G69" s="54"/>
    </row>
    <row r="70" customFormat="false" ht="13.8" hidden="false" customHeight="false" outlineLevel="0" collapsed="false">
      <c r="A70" s="52" t="s">
        <v>87</v>
      </c>
      <c r="B70" s="53" t="s">
        <v>88</v>
      </c>
      <c r="C70" s="53" t="s">
        <v>91</v>
      </c>
      <c r="D70" s="53" t="n">
        <v>1907</v>
      </c>
      <c r="E70" s="53" t="n">
        <v>1</v>
      </c>
      <c r="F70" s="53" t="s">
        <v>98</v>
      </c>
      <c r="G70" s="54"/>
    </row>
    <row r="71" customFormat="false" ht="13.8" hidden="false" customHeight="false" outlineLevel="0" collapsed="false">
      <c r="A71" s="52" t="s">
        <v>99</v>
      </c>
      <c r="B71" s="53" t="s">
        <v>100</v>
      </c>
      <c r="C71" s="53" t="s">
        <v>91</v>
      </c>
      <c r="D71" s="53" t="n">
        <v>1907</v>
      </c>
      <c r="E71" s="53" t="n">
        <v>2</v>
      </c>
      <c r="F71" s="53" t="s">
        <v>98</v>
      </c>
      <c r="G71" s="54"/>
    </row>
    <row r="72" customFormat="false" ht="13.8" hidden="false" customHeight="false" outlineLevel="0" collapsed="false">
      <c r="A72" s="52" t="s">
        <v>105</v>
      </c>
      <c r="B72" s="53" t="s">
        <v>106</v>
      </c>
      <c r="C72" s="53" t="s">
        <v>91</v>
      </c>
      <c r="D72" s="53" t="n">
        <v>1907</v>
      </c>
      <c r="E72" s="53" t="n">
        <v>3</v>
      </c>
      <c r="F72" s="53" t="s">
        <v>98</v>
      </c>
      <c r="G72" s="54"/>
    </row>
    <row r="73" customFormat="false" ht="13.8" hidden="false" customHeight="false" outlineLevel="0" collapsed="false">
      <c r="A73" s="52" t="s">
        <v>537</v>
      </c>
      <c r="B73" s="53" t="s">
        <v>538</v>
      </c>
      <c r="C73" s="53" t="s">
        <v>528</v>
      </c>
      <c r="D73" s="53" t="n">
        <v>1968</v>
      </c>
      <c r="E73" s="53" t="s">
        <v>861</v>
      </c>
      <c r="F73" s="53" t="s">
        <v>539</v>
      </c>
      <c r="G73" s="54"/>
    </row>
    <row r="74" customFormat="false" ht="13.8" hidden="false" customHeight="false" outlineLevel="0" collapsed="false">
      <c r="A74" s="52" t="s">
        <v>526</v>
      </c>
      <c r="B74" s="53" t="s">
        <v>527</v>
      </c>
      <c r="C74" s="53" t="s">
        <v>528</v>
      </c>
      <c r="D74" s="53" t="n">
        <v>1907</v>
      </c>
      <c r="E74" s="53" t="s">
        <v>861</v>
      </c>
      <c r="F74" s="53" t="s">
        <v>532</v>
      </c>
      <c r="G74" s="54"/>
    </row>
    <row r="75" customFormat="false" ht="13.8" hidden="false" customHeight="false" outlineLevel="0" collapsed="false">
      <c r="A75" s="52" t="s">
        <v>150</v>
      </c>
      <c r="B75" s="53" t="s">
        <v>151</v>
      </c>
      <c r="C75" s="53" t="s">
        <v>152</v>
      </c>
      <c r="D75" s="53" t="n">
        <v>1936</v>
      </c>
      <c r="E75" s="53" t="s">
        <v>861</v>
      </c>
      <c r="F75" s="53" t="s">
        <v>155</v>
      </c>
      <c r="G75" s="54"/>
    </row>
    <row r="76" customFormat="false" ht="13.8" hidden="false" customHeight="false" outlineLevel="0" collapsed="false">
      <c r="A76" s="52" t="s">
        <v>156</v>
      </c>
      <c r="B76" s="53" t="s">
        <v>157</v>
      </c>
      <c r="C76" s="53" t="s">
        <v>152</v>
      </c>
      <c r="D76" s="53" t="n">
        <v>1938</v>
      </c>
      <c r="E76" s="53" t="s">
        <v>861</v>
      </c>
      <c r="F76" s="53" t="s">
        <v>158</v>
      </c>
      <c r="G76" s="54"/>
    </row>
    <row r="77" customFormat="false" ht="13.8" hidden="false" customHeight="false" outlineLevel="0" collapsed="false">
      <c r="A77" s="55" t="s">
        <v>484</v>
      </c>
      <c r="B77" s="53" t="s">
        <v>489</v>
      </c>
      <c r="C77" s="53" t="s">
        <v>91</v>
      </c>
      <c r="D77" s="53" t="n">
        <v>2014</v>
      </c>
      <c r="E77" s="53" t="n">
        <v>12</v>
      </c>
      <c r="F77" s="53" t="s">
        <v>491</v>
      </c>
      <c r="G77" s="54"/>
    </row>
    <row r="78" customFormat="false" ht="13.8" hidden="false" customHeight="false" outlineLevel="0" collapsed="false">
      <c r="A78" s="56"/>
      <c r="B78" s="53" t="s">
        <v>485</v>
      </c>
      <c r="C78" s="53" t="s">
        <v>91</v>
      </c>
      <c r="D78" s="53" t="n">
        <v>2014</v>
      </c>
      <c r="E78" s="53" t="n">
        <v>16</v>
      </c>
      <c r="F78" s="53" t="s">
        <v>488</v>
      </c>
      <c r="G78" s="54"/>
    </row>
    <row r="79" customFormat="false" ht="13.8" hidden="false" customHeight="false" outlineLevel="0" collapsed="false">
      <c r="A79" s="52" t="s">
        <v>558</v>
      </c>
      <c r="B79" s="53" t="s">
        <v>559</v>
      </c>
      <c r="C79" s="53" t="s">
        <v>546</v>
      </c>
      <c r="D79" s="53" t="n">
        <v>1936</v>
      </c>
      <c r="E79" s="53" t="s">
        <v>861</v>
      </c>
      <c r="F79" s="53" t="s">
        <v>560</v>
      </c>
      <c r="G79" s="54"/>
    </row>
    <row r="80" customFormat="false" ht="13.8" hidden="false" customHeight="false" outlineLevel="0" collapsed="false">
      <c r="A80" s="52" t="s">
        <v>561</v>
      </c>
      <c r="B80" s="53" t="s">
        <v>562</v>
      </c>
      <c r="C80" s="53" t="s">
        <v>546</v>
      </c>
      <c r="D80" s="53" t="n">
        <v>1936</v>
      </c>
      <c r="E80" s="53" t="s">
        <v>861</v>
      </c>
      <c r="F80" s="53" t="s">
        <v>563</v>
      </c>
      <c r="G80" s="54"/>
    </row>
    <row r="81" customFormat="false" ht="13.8" hidden="false" customHeight="false" outlineLevel="0" collapsed="false">
      <c r="A81" s="52" t="s">
        <v>240</v>
      </c>
      <c r="B81" s="53" t="s">
        <v>241</v>
      </c>
      <c r="C81" s="53" t="s">
        <v>91</v>
      </c>
      <c r="D81" s="53" t="n">
        <v>1975</v>
      </c>
      <c r="E81" s="53" t="n">
        <v>2</v>
      </c>
      <c r="F81" s="53" t="s">
        <v>245</v>
      </c>
      <c r="G81" s="54"/>
    </row>
    <row r="82" customFormat="false" ht="13.8" hidden="false" customHeight="false" outlineLevel="0" collapsed="false">
      <c r="A82" s="52" t="s">
        <v>441</v>
      </c>
      <c r="B82" s="53" t="s">
        <v>442</v>
      </c>
      <c r="C82" s="53" t="s">
        <v>152</v>
      </c>
      <c r="D82" s="53" t="n">
        <v>1999</v>
      </c>
      <c r="E82" s="53" t="n">
        <v>2</v>
      </c>
      <c r="F82" s="53" t="s">
        <v>440</v>
      </c>
      <c r="G82" s="54"/>
    </row>
    <row r="83" customFormat="false" ht="13.8" hidden="false" customHeight="false" outlineLevel="0" collapsed="false">
      <c r="A83" s="52" t="s">
        <v>445</v>
      </c>
      <c r="B83" s="53" t="s">
        <v>446</v>
      </c>
      <c r="C83" s="53" t="s">
        <v>152</v>
      </c>
      <c r="D83" s="53" t="n">
        <v>1999</v>
      </c>
      <c r="E83" s="53" t="n">
        <v>3</v>
      </c>
      <c r="F83" s="53" t="s">
        <v>440</v>
      </c>
      <c r="G83" s="54"/>
    </row>
    <row r="84" customFormat="false" ht="13.8" hidden="false" customHeight="false" outlineLevel="0" collapsed="false">
      <c r="A84" s="52" t="s">
        <v>448</v>
      </c>
      <c r="B84" s="53" t="s">
        <v>449</v>
      </c>
      <c r="C84" s="53" t="s">
        <v>152</v>
      </c>
      <c r="D84" s="53" t="n">
        <v>1999</v>
      </c>
      <c r="E84" s="53" t="n">
        <v>4</v>
      </c>
      <c r="F84" s="53" t="s">
        <v>440</v>
      </c>
      <c r="G84" s="54"/>
    </row>
    <row r="85" customFormat="false" ht="13.8" hidden="false" customHeight="false" outlineLevel="0" collapsed="false">
      <c r="A85" s="52" t="s">
        <v>451</v>
      </c>
      <c r="B85" s="53" t="s">
        <v>452</v>
      </c>
      <c r="C85" s="53" t="s">
        <v>152</v>
      </c>
      <c r="D85" s="53" t="n">
        <v>1999</v>
      </c>
      <c r="E85" s="53" t="n">
        <v>5</v>
      </c>
      <c r="F85" s="53" t="s">
        <v>440</v>
      </c>
      <c r="G85" s="54"/>
    </row>
    <row r="86" customFormat="false" ht="13.8" hidden="false" customHeight="false" outlineLevel="0" collapsed="false">
      <c r="A86" s="52" t="s">
        <v>433</v>
      </c>
      <c r="B86" s="53" t="s">
        <v>434</v>
      </c>
      <c r="C86" s="53" t="s">
        <v>152</v>
      </c>
      <c r="D86" s="53" t="n">
        <v>1999</v>
      </c>
      <c r="E86" s="53" t="n">
        <v>1</v>
      </c>
      <c r="F86" s="53" t="s">
        <v>440</v>
      </c>
      <c r="G86" s="54"/>
    </row>
    <row r="87" customFormat="false" ht="13.8" hidden="false" customHeight="false" outlineLevel="0" collapsed="false">
      <c r="A87" s="55" t="s">
        <v>454</v>
      </c>
      <c r="B87" s="53" t="s">
        <v>455</v>
      </c>
      <c r="C87" s="53" t="s">
        <v>152</v>
      </c>
      <c r="D87" s="53" t="n">
        <v>2003</v>
      </c>
      <c r="E87" s="53" t="n">
        <v>4</v>
      </c>
      <c r="F87" s="53" t="s">
        <v>459</v>
      </c>
      <c r="G87" s="54"/>
    </row>
    <row r="88" customFormat="false" ht="13.8" hidden="false" customHeight="false" outlineLevel="0" collapsed="false">
      <c r="A88" s="57"/>
      <c r="B88" s="53" t="s">
        <v>460</v>
      </c>
      <c r="C88" s="53" t="s">
        <v>152</v>
      </c>
      <c r="D88" s="53" t="n">
        <v>2003</v>
      </c>
      <c r="E88" s="53" t="n">
        <v>5</v>
      </c>
      <c r="F88" s="53" t="s">
        <v>459</v>
      </c>
      <c r="G88" s="54"/>
    </row>
    <row r="89" customFormat="false" ht="13.8" hidden="false" customHeight="false" outlineLevel="0" collapsed="false">
      <c r="A89" s="57"/>
      <c r="B89" s="53" t="s">
        <v>464</v>
      </c>
      <c r="C89" s="53" t="s">
        <v>152</v>
      </c>
      <c r="D89" s="53" t="n">
        <v>2003</v>
      </c>
      <c r="E89" s="53" t="n">
        <v>7</v>
      </c>
      <c r="F89" s="53" t="s">
        <v>459</v>
      </c>
      <c r="G89" s="54"/>
    </row>
    <row r="90" customFormat="false" ht="13.8" hidden="false" customHeight="false" outlineLevel="0" collapsed="false">
      <c r="A90" s="56"/>
      <c r="B90" s="53" t="s">
        <v>469</v>
      </c>
      <c r="C90" s="53" t="s">
        <v>152</v>
      </c>
      <c r="D90" s="53" t="n">
        <v>2003</v>
      </c>
      <c r="E90" s="53" t="n">
        <v>9</v>
      </c>
      <c r="F90" s="53" t="s">
        <v>459</v>
      </c>
      <c r="G90" s="54"/>
    </row>
    <row r="91" customFormat="false" ht="13.8" hidden="false" customHeight="false" outlineLevel="0" collapsed="false">
      <c r="A91" s="52" t="s">
        <v>287</v>
      </c>
      <c r="B91" s="53" t="s">
        <v>288</v>
      </c>
      <c r="C91" s="53" t="s">
        <v>152</v>
      </c>
      <c r="D91" s="53" t="n">
        <v>1991</v>
      </c>
      <c r="E91" s="53" t="n">
        <v>1</v>
      </c>
      <c r="F91" s="53" t="s">
        <v>290</v>
      </c>
      <c r="G91" s="54"/>
    </row>
    <row r="92" customFormat="false" ht="13.8" hidden="false" customHeight="false" outlineLevel="0" collapsed="false">
      <c r="A92" s="52" t="s">
        <v>510</v>
      </c>
      <c r="B92" s="53" t="s">
        <v>511</v>
      </c>
      <c r="C92" s="53" t="s">
        <v>372</v>
      </c>
      <c r="D92" s="53" t="n">
        <v>2018</v>
      </c>
      <c r="E92" s="53" t="n">
        <v>6</v>
      </c>
      <c r="F92" s="53" t="s">
        <v>515</v>
      </c>
      <c r="G92" s="54"/>
    </row>
    <row r="93" customFormat="false" ht="13.8" hidden="false" customHeight="false" outlineLevel="0" collapsed="false">
      <c r="A93" s="52" t="s">
        <v>516</v>
      </c>
      <c r="B93" s="53" t="s">
        <v>517</v>
      </c>
      <c r="C93" s="53" t="s">
        <v>91</v>
      </c>
      <c r="D93" s="53" t="n">
        <v>2020</v>
      </c>
      <c r="E93" s="53" t="n">
        <v>12</v>
      </c>
      <c r="F93" s="53" t="s">
        <v>520</v>
      </c>
      <c r="G93" s="54"/>
    </row>
    <row r="94" customFormat="false" ht="13.8" hidden="false" customHeight="false" outlineLevel="0" collapsed="false">
      <c r="A94" s="52" t="s">
        <v>616</v>
      </c>
      <c r="B94" s="53" t="s">
        <v>617</v>
      </c>
      <c r="C94" s="53" t="s">
        <v>528</v>
      </c>
      <c r="D94" s="53" t="n">
        <v>1958</v>
      </c>
      <c r="E94" s="53" t="s">
        <v>861</v>
      </c>
      <c r="F94" s="53" t="s">
        <v>619</v>
      </c>
      <c r="G94" s="54"/>
    </row>
    <row r="95" customFormat="false" ht="13.8" hidden="false" customHeight="false" outlineLevel="0" collapsed="false">
      <c r="A95" s="52" t="s">
        <v>620</v>
      </c>
      <c r="B95" s="53" t="s">
        <v>621</v>
      </c>
      <c r="C95" s="53" t="s">
        <v>528</v>
      </c>
      <c r="D95" s="53" t="n">
        <v>1964</v>
      </c>
      <c r="E95" s="53" t="n">
        <v>4</v>
      </c>
      <c r="F95" s="53" t="s">
        <v>626</v>
      </c>
      <c r="G95" s="54"/>
    </row>
    <row r="96" customFormat="false" ht="13.8" hidden="false" customHeight="false" outlineLevel="0" collapsed="false">
      <c r="A96" s="52" t="s">
        <v>601</v>
      </c>
      <c r="B96" s="53" t="s">
        <v>602</v>
      </c>
      <c r="C96" s="53" t="s">
        <v>603</v>
      </c>
      <c r="D96" s="53" t="n">
        <v>1936</v>
      </c>
      <c r="E96" s="53" t="s">
        <v>861</v>
      </c>
      <c r="F96" s="53" t="s">
        <v>605</v>
      </c>
      <c r="G96" s="54"/>
    </row>
    <row r="97" customFormat="false" ht="13.8" hidden="false" customHeight="false" outlineLevel="0" collapsed="false">
      <c r="A97" s="52" t="s">
        <v>597</v>
      </c>
      <c r="B97" s="53" t="s">
        <v>598</v>
      </c>
      <c r="C97" s="53" t="s">
        <v>594</v>
      </c>
      <c r="D97" s="53" t="n">
        <v>1936</v>
      </c>
      <c r="E97" s="53" t="s">
        <v>861</v>
      </c>
      <c r="F97" s="53" t="s">
        <v>600</v>
      </c>
      <c r="G97" s="54"/>
    </row>
    <row r="98" customFormat="false" ht="13.8" hidden="false" customHeight="false" outlineLevel="0" collapsed="false">
      <c r="A98" s="52" t="s">
        <v>573</v>
      </c>
      <c r="B98" s="53" t="s">
        <v>574</v>
      </c>
      <c r="C98" s="53" t="s">
        <v>528</v>
      </c>
      <c r="D98" s="53" t="n">
        <v>1962</v>
      </c>
      <c r="E98" s="53" t="s">
        <v>861</v>
      </c>
      <c r="F98" s="53" t="s">
        <v>577</v>
      </c>
      <c r="G98" s="54"/>
    </row>
    <row r="99" customFormat="false" ht="13.8" hidden="false" customHeight="false" outlineLevel="0" collapsed="false">
      <c r="A99" s="52" t="s">
        <v>586</v>
      </c>
      <c r="B99" s="53" t="s">
        <v>587</v>
      </c>
      <c r="C99" s="53" t="s">
        <v>528</v>
      </c>
      <c r="D99" s="53" t="n">
        <v>1977</v>
      </c>
      <c r="E99" s="53" t="s">
        <v>861</v>
      </c>
      <c r="F99" s="53" t="s">
        <v>591</v>
      </c>
      <c r="G99" s="54"/>
    </row>
    <row r="100" customFormat="false" ht="13.8" hidden="false" customHeight="false" outlineLevel="0" collapsed="false">
      <c r="A100" s="52" t="s">
        <v>578</v>
      </c>
      <c r="B100" s="53" t="s">
        <v>579</v>
      </c>
      <c r="C100" s="53" t="s">
        <v>528</v>
      </c>
      <c r="D100" s="53" t="n">
        <v>1977</v>
      </c>
      <c r="E100" s="53" t="s">
        <v>861</v>
      </c>
      <c r="F100" s="53" t="s">
        <v>580</v>
      </c>
      <c r="G100" s="54"/>
    </row>
    <row r="101" customFormat="false" ht="13.8" hidden="false" customHeight="false" outlineLevel="0" collapsed="false">
      <c r="A101" s="52" t="s">
        <v>581</v>
      </c>
      <c r="B101" s="53" t="s">
        <v>582</v>
      </c>
      <c r="C101" s="53" t="s">
        <v>528</v>
      </c>
      <c r="D101" s="53" t="n">
        <v>1987</v>
      </c>
      <c r="E101" s="53" t="n">
        <v>2</v>
      </c>
      <c r="F101" s="53" t="s">
        <v>585</v>
      </c>
      <c r="G101" s="54"/>
    </row>
    <row r="102" customFormat="false" ht="13.8" hidden="false" customHeight="false" outlineLevel="0" collapsed="false">
      <c r="A102" s="52" t="s">
        <v>382</v>
      </c>
      <c r="B102" s="53" t="s">
        <v>383</v>
      </c>
      <c r="C102" s="53" t="s">
        <v>91</v>
      </c>
      <c r="D102" s="53" t="n">
        <v>1988</v>
      </c>
      <c r="E102" s="53" t="n">
        <v>5</v>
      </c>
      <c r="F102" s="53" t="s">
        <v>387</v>
      </c>
      <c r="G102" s="54"/>
    </row>
    <row r="103" customFormat="false" ht="13.8" hidden="false" customHeight="false" outlineLevel="0" collapsed="false">
      <c r="A103" s="52" t="s">
        <v>388</v>
      </c>
      <c r="B103" s="53" t="s">
        <v>386</v>
      </c>
      <c r="C103" s="53" t="s">
        <v>372</v>
      </c>
      <c r="D103" s="53" t="n">
        <v>1988</v>
      </c>
      <c r="E103" s="53" t="n">
        <v>5</v>
      </c>
      <c r="F103" s="53" t="s">
        <v>862</v>
      </c>
      <c r="G103" s="54"/>
    </row>
    <row r="104" customFormat="false" ht="13.8" hidden="false" customHeight="false" outlineLevel="0" collapsed="false">
      <c r="A104" s="52" t="s">
        <v>421</v>
      </c>
      <c r="B104" s="53" t="s">
        <v>422</v>
      </c>
      <c r="C104" s="53" t="s">
        <v>91</v>
      </c>
      <c r="D104" s="53" t="n">
        <v>1992</v>
      </c>
      <c r="E104" s="53" t="n">
        <v>4</v>
      </c>
      <c r="F104" s="53" t="s">
        <v>426</v>
      </c>
      <c r="G104" s="54"/>
    </row>
    <row r="105" customFormat="false" ht="13.8" hidden="false" customHeight="false" outlineLevel="0" collapsed="false">
      <c r="A105" s="55" t="s">
        <v>409</v>
      </c>
      <c r="B105" s="53" t="s">
        <v>410</v>
      </c>
      <c r="C105" s="53" t="s">
        <v>372</v>
      </c>
      <c r="D105" s="53" t="n">
        <v>1992</v>
      </c>
      <c r="E105" s="53" t="n">
        <v>20</v>
      </c>
      <c r="F105" s="53" t="s">
        <v>400</v>
      </c>
      <c r="G105" s="54"/>
    </row>
    <row r="106" customFormat="false" ht="13.8" hidden="false" customHeight="false" outlineLevel="0" collapsed="false">
      <c r="A106" s="56"/>
      <c r="B106" s="53" t="s">
        <v>413</v>
      </c>
      <c r="C106" s="53" t="s">
        <v>372</v>
      </c>
      <c r="D106" s="53" t="n">
        <v>1992</v>
      </c>
      <c r="E106" s="53" t="n">
        <v>16</v>
      </c>
      <c r="F106" s="53" t="s">
        <v>408</v>
      </c>
      <c r="G106" s="54"/>
    </row>
    <row r="107" customFormat="false" ht="13.8" hidden="false" customHeight="false" outlineLevel="0" collapsed="false">
      <c r="A107" s="52" t="s">
        <v>416</v>
      </c>
      <c r="B107" s="53" t="s">
        <v>417</v>
      </c>
      <c r="C107" s="53" t="s">
        <v>372</v>
      </c>
      <c r="D107" s="53" t="n">
        <v>1994</v>
      </c>
      <c r="E107" s="53" t="n">
        <v>4</v>
      </c>
      <c r="F107" s="53" t="s">
        <v>420</v>
      </c>
      <c r="G107" s="54"/>
    </row>
    <row r="108" customFormat="false" ht="13.8" hidden="false" customHeight="false" outlineLevel="0" collapsed="false">
      <c r="A108" s="55" t="s">
        <v>307</v>
      </c>
      <c r="B108" s="53" t="s">
        <v>308</v>
      </c>
      <c r="C108" s="53" t="s">
        <v>152</v>
      </c>
      <c r="D108" s="53" t="n">
        <v>1998</v>
      </c>
      <c r="E108" s="53" t="n">
        <v>2</v>
      </c>
      <c r="F108" s="53" t="s">
        <v>311</v>
      </c>
      <c r="G108" s="54"/>
    </row>
    <row r="109" customFormat="false" ht="13.8" hidden="false" customHeight="false" outlineLevel="0" collapsed="false">
      <c r="A109" s="56"/>
      <c r="B109" s="53" t="s">
        <v>312</v>
      </c>
      <c r="C109" s="53" t="s">
        <v>152</v>
      </c>
      <c r="D109" s="53" t="n">
        <v>1998</v>
      </c>
      <c r="E109" s="53" t="n">
        <v>3</v>
      </c>
      <c r="F109" s="53" t="s">
        <v>311</v>
      </c>
      <c r="G109" s="54"/>
    </row>
    <row r="110" customFormat="false" ht="13.8" hidden="false" customHeight="false" outlineLevel="0" collapsed="false">
      <c r="A110" s="52" t="s">
        <v>273</v>
      </c>
      <c r="B110" s="53" t="s">
        <v>274</v>
      </c>
      <c r="C110" s="53" t="s">
        <v>152</v>
      </c>
      <c r="D110" s="53" t="n">
        <v>1984</v>
      </c>
      <c r="E110" s="53" t="n">
        <v>2</v>
      </c>
      <c r="F110" s="53" t="s">
        <v>277</v>
      </c>
      <c r="G110" s="54"/>
    </row>
    <row r="111" customFormat="false" ht="13.8" hidden="false" customHeight="false" outlineLevel="0" collapsed="false">
      <c r="A111" s="55" t="s">
        <v>295</v>
      </c>
      <c r="B111" s="53" t="s">
        <v>296</v>
      </c>
      <c r="C111" s="53" t="s">
        <v>152</v>
      </c>
      <c r="D111" s="53" t="n">
        <v>1989</v>
      </c>
      <c r="E111" s="53" t="n">
        <v>2</v>
      </c>
      <c r="F111" s="53" t="s">
        <v>299</v>
      </c>
      <c r="G111" s="54"/>
    </row>
    <row r="112" customFormat="false" ht="13.8" hidden="false" customHeight="false" outlineLevel="0" collapsed="false">
      <c r="A112" s="56"/>
      <c r="B112" s="53" t="s">
        <v>300</v>
      </c>
      <c r="C112" s="53" t="s">
        <v>152</v>
      </c>
      <c r="D112" s="53" t="n">
        <v>1989</v>
      </c>
      <c r="E112" s="53" t="n">
        <v>3</v>
      </c>
      <c r="F112" s="53" t="s">
        <v>299</v>
      </c>
      <c r="G112" s="54"/>
    </row>
    <row r="113" customFormat="false" ht="13.8" hidden="false" customHeight="false" outlineLevel="0" collapsed="false">
      <c r="A113" s="52" t="s">
        <v>303</v>
      </c>
      <c r="B113" s="53" t="s">
        <v>304</v>
      </c>
      <c r="C113" s="53" t="s">
        <v>152</v>
      </c>
      <c r="D113" s="53" t="n">
        <v>1989</v>
      </c>
      <c r="E113" s="53" t="n">
        <v>2</v>
      </c>
      <c r="F113" s="53" t="s">
        <v>306</v>
      </c>
      <c r="G113" s="54"/>
    </row>
    <row r="114" customFormat="false" ht="13.8" hidden="false" customHeight="false" outlineLevel="0" collapsed="false">
      <c r="A114" s="52" t="s">
        <v>268</v>
      </c>
      <c r="B114" s="53" t="s">
        <v>269</v>
      </c>
      <c r="C114" s="53" t="s">
        <v>152</v>
      </c>
      <c r="D114" s="53" t="n">
        <v>1984</v>
      </c>
      <c r="E114" s="53" t="n">
        <v>2</v>
      </c>
      <c r="F114" s="53" t="s">
        <v>272</v>
      </c>
      <c r="G114" s="54"/>
    </row>
    <row r="115" customFormat="false" ht="13.8" hidden="false" customHeight="false" outlineLevel="0" collapsed="false">
      <c r="A115" s="52" t="s">
        <v>263</v>
      </c>
      <c r="B115" s="53" t="s">
        <v>264</v>
      </c>
      <c r="C115" s="53" t="s">
        <v>152</v>
      </c>
      <c r="D115" s="53" t="n">
        <v>1979</v>
      </c>
      <c r="E115" s="53" t="n">
        <v>1</v>
      </c>
      <c r="F115" s="53" t="s">
        <v>267</v>
      </c>
      <c r="G115" s="54"/>
    </row>
    <row r="116" customFormat="false" ht="13.8" hidden="false" customHeight="false" outlineLevel="0" collapsed="false">
      <c r="A116" s="52" t="s">
        <v>291</v>
      </c>
      <c r="B116" s="53" t="s">
        <v>292</v>
      </c>
      <c r="C116" s="53" t="s">
        <v>152</v>
      </c>
      <c r="D116" s="53" t="n">
        <v>1988</v>
      </c>
      <c r="E116" s="53" t="n">
        <v>2</v>
      </c>
      <c r="F116" s="53" t="s">
        <v>294</v>
      </c>
      <c r="G116" s="54"/>
    </row>
    <row r="117" customFormat="false" ht="13.8" hidden="false" customHeight="false" outlineLevel="0" collapsed="false">
      <c r="A117" s="58" t="s">
        <v>863</v>
      </c>
      <c r="B117" s="59"/>
      <c r="C117" s="59"/>
      <c r="D117" s="59"/>
      <c r="E117" s="59"/>
      <c r="F117" s="60"/>
      <c r="G117" s="61"/>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9114</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2026-04-12T17:11:25Z</dcterms:modified>
  <cp:revision>508</cp:revision>
  <dc:subject/>
  <dc:title/>
</cp:coreProperties>
</file>

<file path=docProps/custom.xml><?xml version="1.0" encoding="utf-8"?>
<Properties xmlns="http://schemas.openxmlformats.org/officeDocument/2006/custom-properties" xmlns:vt="http://schemas.openxmlformats.org/officeDocument/2006/docPropsVTypes"/>
</file>