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Classes" sheetId="8" state="visible" r:id="rId11"/>
  </sheets>
  <externalReferences>
    <externalReference r:id="rId12"/>
  </externalReferences>
  <definedNames>
    <definedName function="false" hidden="true" localSheetId="0" name="_xlnm._FilterDatabase" vbProcedure="false">Table!$A$1:$CH$32</definedName>
    <definedName function="false" hidden="false" name="ACEMUVEHICLES" vbProcedure="false">'MU Tables'!$B$10</definedName>
    <definedName function="false" hidden="false" name="APTMUVehicles" vbProcedure="false">'MU Tables'!$B$7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<sst xmlns="http://schemas.openxmlformats.org/spreadsheetml/2006/main" count="911" uniqueCount="500">
  <si>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</si>
  <si>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</si>
  <si>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</si>
  <si>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</si>
  <si>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</si>
  <si>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</si>
  <si>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</si>
  <si>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</si>
  <si>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</si>
  <si>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</si>
  <si>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</si>
  <si>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</si>
  <si>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</si>
  <si>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</si>
  <si>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</si>
  <si>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</si>
  <si>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</si>
  <si>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</si>
  <si>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</si>
  <si>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</si>
  <si>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</si>
  <si>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</si>
  <si>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</si>
  <si>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</si>
  <si>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</si>
  <si>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</si>
  <si>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</si>
  <si>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</si>
  <si>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</si>
  <si>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</si>
  <si>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</si>
  <si>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</si>
  <si>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</si>
  <si>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</si>
  <si>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</si>
  <si>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</si>
  <si>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</si>
  <si>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</si>
  <si>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</si>
  <si>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</si>
  <si>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</si>
  <si>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</si>
  <si>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</si>
  <si>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</si>
  <si>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</si>
  <si>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</si>
  <si>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</si>
  <si>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</si>
  <si>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random_flip_vehicle</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</si>
  <si>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</si>
  <si>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</si>
  <si>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</si>
  <si>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</si>
  <si>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</si>
  <si>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</si>
  <si>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</si>
  <si>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</si>
  <si>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</si>
  <si>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</si>
  <si>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</si>
  <si>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</si>
  <si>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</si>
  <si>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</si>
  <si>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</si>
  <si>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</si>
  <si>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</si>
  <si>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</si>
  <si>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</si>
  <si>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</si>
  <si>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</si>
  <si>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</si>
  <si>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</si>
  <si>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</si>
  <si>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</si>
  <si>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</si>
  <si>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</si>
  <si>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</si>
  <si>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</si>
  <si>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</si>
  <si>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</si>
  <si>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</si>
  <si>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</si>
  <si>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</si>
  <si>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</si>
  <si>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</si>
  <si>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</si>
  <si>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</si>
  <si>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Ruston and Hornsby 48DS</t>
  </si>
  <si>
    <t xml:space="preserve">ruston_48</t>
  </si>
  <si>
    <t xml:space="preserve">FEAT_TRAINS</t>
  </si>
  <si>
    <t xml:space="preserve">locomotive</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</si>
  <si>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</si>
  <si>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</si>
  <si>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</si>
  <si>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</si>
  <si>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</si>
  <si>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</si>
  <si>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without vastly increasing cost.</t>
  </si>
  <si>
    <t xml:space="preserve">Metro-Cammell Class 151</t>
  </si>
  <si>
    <t xml:space="preserve">class_151</t>
  </si>
  <si>
    <t xml:space="preserve">multiple_unit</t>
  </si>
  <si>
    <t xml:space="preserve">class_151,class_151_mid,class_151_rear</t>
  </si>
  <si>
    <t xml:space="preserve">1,1,1</t>
  </si>
  <si>
    <t xml:space="preserve">class_153</t>
  </si>
  <si>
    <t xml:space="preserve">PASS</t>
  </si>
  <si>
    <t xml:space="preserve">DMU</t>
  </si>
  <si>
    <t xml:space="preserve">A class of 2 prototype DMUs built to compete for the contract that became the Class 150 fleet purchase. These units suffered with gearbox issues and the BREL type won the contest instead.</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</si>
  <si>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</si>
  <si>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</si>
  <si>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</si>
  <si>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</si>
  <si>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</si>
  <si>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</si>
  <si>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</si>
  <si>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</si>
  <si>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</si>
  <si>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</si>
  <si>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</si>
  <si>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</si>
  <si>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0,0,0,0,0,0</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</si>
  <si>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</si>
  <si>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</si>
  <si>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</si>
  <si>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</si>
  <si>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</si>
  <si>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</si>
  <si>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</si>
  <si>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</si>
  <si>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</si>
  <si>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</si>
  <si>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</si>
  <si>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</si>
  <si>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</si>
  <si>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</si>
  <si>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</si>
  <si>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</si>
  <si>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</si>
  <si>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</si>
  <si>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</si>
  <si>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</si>
  <si>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</si>
  <si>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1,0,1</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</si>
  <si>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</si>
  <si>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</si>
  <si>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 Class 302 “AM2”</t>
  </si>
  <si>
    <t xml:space="preserve">class_302_4car</t>
  </si>
  <si>
    <t xml:space="preserve">electric</t>
  </si>
  <si>
    <t xml:space="preserve">ELRL</t>
  </si>
  <si>
    <t xml:space="preserve">br_am2,br_am2_mid,br_am2_power,br_am2_rear</t>
  </si>
  <si>
    <t xml:space="preserve">br_am2</t>
  </si>
  <si>
    <t xml:space="preserve">EMU</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</si>
  <si>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</si>
  <si>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</si>
  <si>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</si>
  <si>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</si>
  <si>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</si>
  <si>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MAIL</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</si>
  <si>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</si>
  <si>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</si>
  <si>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</si>
  <si>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</si>
  <si>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1,1</t>
  </si>
  <si>
    <t xml:space="preserve">br_am9_1</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</si>
  <si>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</si>
  <si>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</si>
  <si>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</si>
  <si>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</si>
  <si>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</si>
  <si>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</si>
  <si>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</si>
  <si>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</si>
  <si>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</si>
  <si>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</si>
  <si>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</si>
  <si>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</si>
  <si>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</si>
  <si>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</si>
  <si>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Alstom Class 458/5 "5JUP"</t>
  </si>
  <si>
    <t xml:space="preserve">class_458_5</t>
  </si>
  <si>
    <t xml:space="preserve">THIRD_RAIL</t>
  </si>
  <si>
    <t xml:space="preserve">class_458,alstom_juniper_mid,alstom_juniper_mid,alstom_juniper_mid,class_458_rear</t>
  </si>
  <si>
    <t xml:space="preserve">1,1,0,0,1</t>
  </si>
  <si>
    <t xml:space="preserve">class_458</t>
  </si>
  <si>
    <t xml:space="preserve">The suburban conversion of ex-class 460 trains, now through-gangwayed and in 5 car formations. 4 of the former Class 460 baggage vehicles were scrapped as part of the conversion program.</t>
  </si>
  <si>
    <t xml:space="preserve">BR Class 411 “4CEP”</t>
  </si>
  <si>
    <t xml:space="preserve">br_class_411</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</si>
  <si>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</si>
  <si>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</si>
  <si>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</si>
  <si>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</si>
  <si>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</si>
  <si>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</si>
  <si>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</si>
  <si>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</si>
  <si>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</si>
  <si>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</si>
  <si>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</si>
  <si>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</si>
  <si>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</si>
  <si>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</si>
  <si>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Leyland/Hunslet Class 153 "Super Sprinter" </t>
  </si>
  <si>
    <t xml:space="preserve">234x44x53</t>
  </si>
  <si>
    <t xml:space="preserve">lbr_DMU</t>
  </si>
  <si>
    <t xml:space="preserve">diesel_RAIL</t>
  </si>
  <si>
    <t xml:space="preserve">{BLACK}Cars: {GOLD}2</t>
  </si>
  <si>
    <t xml:space="preserve">The Class 153 was a conversion of earlier Class 155 units, 35 of which were split in two with small cabs added at the inner ends.</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</si>
  <si>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</si>
  <si>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</si>
  <si>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</si>
  <si>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</si>
  <si>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</si>
  <si>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</si>
  <si>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param_max_mu_length == 0</t>
  </si>
  <si>
    <t xml:space="preserve">A 6-car unpowered half-rake of APT-P vehicles. Pair with the Non-Driving power car and a reversed set for a complete unit.</t>
  </si>
  <si>
    <t xml:space="preserve">BREL Class 370 "APT-P" (6 car trailing set)</t>
  </si>
  <si>
    <t xml:space="preserve">apt_half_6_rev</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</si>
  <si>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</si>
  <si>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</si>
  <si>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</si>
  <si>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</si>
  <si>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</si>
  <si>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</si>
  <si>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</si>
  <si>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</si>
  <si>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</si>
  <si>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</si>
  <si>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</si>
  <si>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</si>
  <si>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</si>
  <si>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</si>
  <si>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</si>
  <si>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</si>
  <si>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</si>
  <si>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concept_trains</t>
  </si>
  <si>
    <t xml:space="preserve">Express (Electric)</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</si>
  <si>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</si>
  <si>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</si>
  <si>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</si>
  <si>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</si>
  <si>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</si>
  <si>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</si>
  <si>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</si>
  <si>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</si>
  <si>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</si>
  <si>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</si>
  <si>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</si>
  <si>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</si>
  <si>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</si>
  <si>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</si>
  <si>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</si>
  <si>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</si>
  <si>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</si>
  <si>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</si>
  <si>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</si>
  <si>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</si>
  <si>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</si>
  <si>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</si>
  <si>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</si>
  <si>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</si>
  <si>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</si>
  <si>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</si>
  <si>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</si>
  <si>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</si>
  <si>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</si>
  <si>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</si>
  <si>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</si>
  <si>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</si>
  <si>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</si>
  <si>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</si>
  <si>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</si>
  <si>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</si>
  <si>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</si>
  <si>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</si>
  <si>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</si>
  <si>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</si>
  <si>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</si>
  <si>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</si>
  <si>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</si>
  <si>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</si>
  <si>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</si>
  <si>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</si>
  <si>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</si>
  <si>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</si>
  <si>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</si>
  <si>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</si>
  <si>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LNWR Sleeping Car</t>
  </si>
  <si>
    <t xml:space="preserve">passenger_coach_lnwr_sleeper</t>
  </si>
  <si>
    <t xml:space="preserve">luxury_carriage</t>
  </si>
  <si>
    <t xml:space="preserve">Passengers</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</si>
  <si>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</si>
  <si>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</si>
  <si>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BR Mk1 Sleeper</t>
  </si>
  <si>
    <t xml:space="preserve">passenger_coach_mk1_sleeper</t>
  </si>
  <si>
    <t xml:space="preserve">carriage</t>
  </si>
  <si>
    <t xml:space="preserv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</si>
  <si>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</si>
  <si>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</si>
  <si>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</si>
  <si>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</si>
  <si>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</si>
  <si>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CAF Mk5 Sleeper (Berths)</t>
  </si>
  <si>
    <t xml:space="preserve">passenger_coach_mk5_sleeper</t>
  </si>
  <si>
    <t xml:space="preserv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</si>
  <si>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</si>
  <si>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</si>
  <si>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</si>
  <si>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</si>
  <si>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</si>
  <si>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</si>
  <si>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</si>
  <si>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passenger_coach_mk5_sleeper_club_rev</t>
  </si>
  <si>
    <t xml:space="preserve">The Mk5 ‘Club Car’ is the dining facility for sleeper services, but the 30 seats within are not bookable for travel.</t>
  </si>
  <si>
    <t xml:space="preserve">Passenger</t>
  </si>
  <si>
    <t xml:space="preserve">Mixed Traffic</t>
  </si>
  <si>
    <t xml:space="preserve">Express</t>
  </si>
  <si>
    <t xml:space="preserve">Freight</t>
  </si>
  <si>
    <t xml:space="preserve">Freight (Electric)</t>
  </si>
  <si>
    <t xml:space="preserve">DMU (Cheap)</t>
  </si>
  <si>
    <t xml:space="preserve">DMU (Express)</t>
  </si>
  <si>
    <t xml:space="preserve">LU</t>
  </si>
  <si>
    <t xml:space="preserve">Mail Carriage</t>
  </si>
  <si>
    <t xml:space="preserve">Open Wagon</t>
  </si>
  <si>
    <t xml:space="preserve">Flat Wagon</t>
  </si>
  <si>
    <t xml:space="preserve">Van</t>
  </si>
  <si>
    <t xml:space="preserve">Extra</t>
  </si>
  <si>
    <t xml:space="preserve">Era</t>
  </si>
  <si>
    <t xml:space="preserve">(name)</t>
  </si>
  <si>
    <t xml:space="preserve">early</t>
  </si>
  <si>
    <t xml:space="preserve">vct</t>
  </si>
  <si>
    <t xml:space="preserve">edw</t>
  </si>
  <si>
    <t xml:space="preserve">big4</t>
  </si>
  <si>
    <t xml:space="preserve">ebr</t>
  </si>
  <si>
    <t xml:space="preserve">dsl</t>
  </si>
  <si>
    <t xml:space="preserve">lbr</t>
  </si>
  <si>
    <t xml:space="preserve">prv</t>
  </si>
  <si>
    <t xml:space="preserve">mod</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</si>
  <si>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</si>
  <si>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</si>
  <si>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</si>
  <si>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</si>
  <si>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</si>
  <si>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</si>
  <si>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</si>
  <si>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</si>
  <si>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</si>
  <si>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</si>
  <si>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</si>
  <si>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</si>
  <si>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</si>
  <si>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</si>
  <si>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</si>
  <si>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</si>
  <si>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</si>
  <si>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</si>
  <si>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</si>
  <si>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</si>
  <si>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</si>
  <si>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na</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</si>
  <si>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</si>
  <si>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</si>
  <si>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</si>
  <si>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</si>
  <si>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</si>
  <si>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</si>
  <si>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</si>
  <si>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</si>
  <si>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</si>
  <si>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</si>
  <si>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</si>
  <si>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</si>
  <si>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dual_electric</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</si>
  <si>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</si>
  <si>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</si>
  <si>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</si>
  <si>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</si>
  <si>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</si>
  <si>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</si>
  <si>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</si>
  <si>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</si>
  <si>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brake</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</si>
  <si>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</si>
  <si>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</si>
  <si>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</si>
  <si>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</si>
  <si>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</si>
  <si>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</si>
  <si>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</si>
  <si>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</si>
  <si>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</si>
  <si>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</si>
  <si>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</si>
  <si>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</si>
  <si>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</si>
  <si>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</si>
  <si>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</si>
  <si>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</si>
  <si>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</si>
  <si>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</si>
  <si>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</si>
  <si>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</si>
  <si>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</si>
  <si>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</si>
  <si>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</si>
  <si>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</si>
  <si>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</si>
  <si>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</si>
  <si>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</si>
  <si>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</si>
  <si>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</si>
  <si>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</si>
  <si>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</si>
  <si>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</si>
  <si>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</si>
  <si>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</si>
  <si>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</si>
  <si>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</si>
  <si>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</si>
  <si>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</si>
  <si>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</si>
  <si>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</si>
  <si>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</si>
  <si>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</si>
  <si>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</si>
  <si>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</si>
  <si>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</si>
  <si>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</si>
  <si>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</si>
  <si>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</si>
  <si>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</si>
  <si>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</si>
  <si>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</si>
  <si>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</si>
  <si>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</si>
  <si>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</si>
  <si>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</si>
  <si>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</si>
  <si>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</si>
  <si>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</si>
  <si>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</si>
  <si>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</si>
  <si>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</si>
  <si>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</si>
  <si>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</si>
  <si>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</si>
  <si>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</si>
  <si>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</si>
  <si>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</si>
  <si>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</si>
  <si>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t>
  </si>
  <si>
    <t xml:space="preserve">stadler_class_755_mid</t>
  </si>
  <si>
    <t xml:space="preserve">stadler_class_755_motor</t>
  </si>
  <si>
    <t xml:space="preserve">stadler_class_755_mid_rev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</si>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</sst>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5">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s>
  <fills count="11">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s>
  <borders count="2">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41">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6"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5" fontId="0" fillId="7" borderId="0" xfId="0" applyFont="false" applyBorder="false" applyAlignment="true" applyProtection="true">
      <alignment horizontal="general" vertical="bottom" textRotation="0" wrapText="false" indent="0" shrinkToFit="false"/>
      <protection locked="true" hidden="false"/>
    </xf>
    <xf numFmtId="167" fontId="0" fillId="8" borderId="0" xfId="0" applyFont="fals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6" fontId="0" fillId="0" borderId="1" xfId="0" applyFont="false" applyBorder="tru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3">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color rgb="FF9C0006"/>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M1" t="str">
            <v>power_type</v>
          </cell>
        </row>
        <row r="2">
          <cell r="G2">
            <v>5</v>
          </cell>
        </row>
        <row r="2">
          <cell r="M2" t="str">
            <v>diesel_RAIL</v>
          </cell>
        </row>
        <row r="3">
          <cell r="M3" t="str">
            <v>steam_RAIL</v>
          </cell>
        </row>
        <row r="4">
          <cell r="M4" t="str">
            <v>electric_ELRL</v>
          </cell>
        </row>
        <row r="5">
          <cell r="M5" t="str">
            <v>electric_THIRD_RAIL</v>
          </cell>
        </row>
        <row r="6">
          <cell r="M6" t="str">
            <v>tender_RAIL</v>
          </cell>
        </row>
        <row r="7">
          <cell r="M7" t="str">
            <v>carriage_RAIL</v>
          </cell>
        </row>
        <row r="8">
          <cell r="M8" t="str">
            <v>luxury_carriage_RAIL</v>
          </cell>
        </row>
        <row r="9">
          <cell r="M9" t="str">
            <v>wagon_RAIL</v>
          </cell>
        </row>
        <row r="10">
          <cell r="M10" t="str">
            <v>steam_NGRL</v>
          </cell>
        </row>
        <row r="11">
          <cell r="M11" t="str">
            <v>dual_power_RAIL</v>
          </cell>
        </row>
        <row r="12">
          <cell r="M12" t="str">
            <v>dual_electric_DUAL_POWER</v>
          </cell>
        </row>
        <row r="13">
          <cell r="M13" t="str">
            <v>brake_RAIL</v>
          </cell>
        </row>
        <row r="14">
          <cell r="M14" t="str">
            <v>tube_RAIL</v>
          </cell>
        </row>
        <row r="15">
          <cell r="M15" t="str">
            <v>_</v>
          </cell>
        </row>
        <row r="16">
          <cell r="M16" t="str">
            <v>petrol_RAIL</v>
          </cell>
        </row>
        <row r="17">
          <cell r="M17" t="str">
            <v>dual_power_ELRL</v>
          </cell>
        </row>
        <row r="18">
          <cell r="M18" t="str">
            <v>lpgflywheel_RAIL</v>
          </cell>
        </row>
        <row r="19">
          <cell r="M19" t="str">
            <v>wagon_PLATEWAY</v>
          </cell>
        </row>
        <row r="20">
          <cell r="M20" t="str">
            <v>steam_PLATEWAY</v>
          </cell>
        </row>
        <row r="21">
          <cell r="M21" t="str">
            <v>carriage_PLATEWAY</v>
          </cell>
        </row>
        <row r="22">
          <cell r="M22" t="str">
            <v>horses_PLATEWAY</v>
          </cell>
        </row>
        <row r="23">
          <cell r="M23" t="str">
            <v>tube_FOURTH_RAIL</v>
          </cell>
        </row>
        <row r="24">
          <cell r="M24" t="str">
            <v>brake_PLATEWAY</v>
          </cell>
        </row>
        <row r="25">
          <cell r="M25" t="str">
            <v>carriage_FOURTH_RAIL</v>
          </cell>
        </row>
        <row r="26">
          <cell r="M26" t="str">
            <v>none_RAIL</v>
          </cell>
        </row>
        <row r="27">
          <cell r="M27" t="str">
            <v>gas_turbine_RAIL</v>
          </cell>
        </row>
        <row r="28">
          <cell r="M28" t="str">
            <v>dual_power_BATTERY</v>
          </cell>
        </row>
        <row r="29">
          <cell r="M29" t="str">
            <v>power_desc</v>
          </cell>
        </row>
        <row r="30">
          <cell r="M30" t="str">
            <v>{BLACK}Powered by: {GOLD}Diesel</v>
          </cell>
        </row>
        <row r="31">
          <cell r="M31" t="str">
            <v>{BLACK}Powered by: {GOLD}Steam</v>
          </cell>
        </row>
        <row r="32">
          <cell r="M32" t="str">
            <v>{BLACK}Powered by: {GOLD}25kV AC</v>
          </cell>
        </row>
        <row r="33">
          <cell r="M33" t="str">
            <v>{BLACK}Powered by: {GOLD}750V DC</v>
          </cell>
        </row>
        <row r="39">
          <cell r="M39" t="str">
            <v>{BLACK}Powered by: {GOLD}750V DC / Diesel</v>
          </cell>
        </row>
        <row r="40">
          <cell r="M40" t="str">
            <v>{BLACK}Powered by: {GOLD}25kV AC / 750V DC</v>
          </cell>
        </row>
        <row r="44">
          <cell r="M44" t="str">
            <v>{BLACK}Powered by: {GOLD}Petrol</v>
          </cell>
        </row>
        <row r="45">
          <cell r="M45" t="str">
            <v>{BLACK}Powered by: {GOLD}25kV AC / Diesel</v>
          </cell>
        </row>
        <row r="46">
          <cell r="M46" t="str">
            <v>{BLACK}Powered by: {GOLD}LPG / Flywheel</v>
          </cell>
        </row>
        <row r="48">
          <cell r="M48" t="str">
            <v>{BLACK}Powered by: {GOLD}Steam</v>
          </cell>
        </row>
        <row r="50">
          <cell r="M50" t="str">
            <v>{BLACK}Powered by: {GOLD}Grass and hay</v>
          </cell>
        </row>
        <row r="51">
          <cell r="M51" t="str">
            <v>{BLACK}Powered by: {GOLD}630V DC</v>
          </cell>
        </row>
        <row r="55">
          <cell r="M55" t="str">
            <v>{BLACK}Powered by: {GOLD}Gas Turbine</v>
          </cell>
        </row>
        <row r="56">
          <cell r="M56" t="str">
            <v>{BLACK}Powered by: {GOLD}750V DC / Battery</v>
          </cell>
        </row>
      </sheetData>
      <sheetData sheetId="4">
        <row r="2">
          <cell r="A2">
            <v>0</v>
          </cell>
          <cell r="B2">
            <v>0</v>
          </cell>
        </row>
        <row r="3">
          <cell r="A3">
            <v>1</v>
          </cell>
          <cell r="B3">
            <v>17</v>
          </cell>
        </row>
        <row r="4">
          <cell r="A4">
            <v>2</v>
          </cell>
          <cell r="B4">
            <v>34</v>
          </cell>
        </row>
        <row r="5">
          <cell r="A5">
            <v>3</v>
          </cell>
          <cell r="B5">
            <v>51</v>
          </cell>
        </row>
        <row r="6">
          <cell r="A6">
            <v>4</v>
          </cell>
          <cell r="B6">
            <v>60</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Set>
  </externalBook>
</externalLink>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MJ108"/>
  <sheetViews>
    <sheetView showFormulas="false" showGridLines="true" showRowColHeaders="true" showZeros="true" rightToLeft="false" tabSelected="true" showOutlineSymbols="true" defaultGridColor="true" view="normal" topLeftCell="A1" colorId="64" zoomScale="89" zoomScaleNormal="89" zoomScalePageLayoutView="100" workbookViewId="0">
      <selection pane="topLeft" activeCell="A35" activeCellId="0" sqref="A35"/>
    </sheetView>
  </sheetViews>
  <sheetFormatPr defaultColWidth="8.625" defaultRowHeight="13.8" customHeight="tru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9" min="48" style="1" width="9.43"/>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8.12"/>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6"/>
    <col collapsed="false" customWidth="true" hidden="false" outlineLevel="0" max="72" min="72" style="1" width="22.29"/>
    <col collapsed="false" customWidth="true" hidden="false" outlineLevel="0" max="73" min="73" style="1" width="31.16"/>
    <col collapsed="false" customWidth="false" hidden="false" outlineLevel="0" max="74" min="74" style="1" width="8.61"/>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3"/>
    <col collapsed="false" customWidth="true" hidden="false" outlineLevel="0" max="80" min="80" style="1" width="15.72"/>
    <col collapsed="false" customWidth="true" hidden="false" outlineLevel="0" max="81" min="81" style="10" width="21.71"/>
    <col collapsed="false" customWidth="true" hidden="false" outlineLevel="0" max="83" min="82" style="10" width="26.29"/>
    <col collapsed="false" customWidth="true" hidden="false" outlineLevel="0" max="84" min="84" style="10" width="28.99"/>
    <col collapsed="false" customWidth="true" hidden="false" outlineLevel="0" max="85" min="85" style="10" width="53.61"/>
    <col collapsed="false" customWidth="true" hidden="false" outlineLevel="0" max="86" min="86" style="1" width="220.1"/>
    <col collapsed="false" customWidth="true" hidden="false" outlineLevel="0" max="88" min="87" style="10" width="9.13"/>
    <col collapsed="false" customWidth="false" hidden="false" outlineLevel="0" max="1024" min="90" style="1" width="8.61"/>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7" t="s">
        <v>74</v>
      </c>
      <c r="BX1" s="11" t="s">
        <v>75</v>
      </c>
      <c r="BY1" s="11" t="s">
        <v>76</v>
      </c>
      <c r="BZ1" s="11" t="s">
        <v>77</v>
      </c>
      <c r="CA1" s="11" t="s">
        <v>78</v>
      </c>
      <c r="CB1" s="11" t="s">
        <v>79</v>
      </c>
      <c r="CC1" s="18" t="s">
        <v>80</v>
      </c>
      <c r="CD1" s="11" t="s">
        <v>81</v>
      </c>
      <c r="CE1" s="11" t="s">
        <v>82</v>
      </c>
      <c r="CF1" s="11" t="s">
        <v>83</v>
      </c>
      <c r="CG1" s="11" t="s">
        <v>84</v>
      </c>
      <c r="CH1" s="11" t="s">
        <v>85</v>
      </c>
      <c r="CI1" s="11" t="s">
        <v>86</v>
      </c>
      <c r="CJ1" s="1"/>
    </row>
    <row r="2" s="19" customFormat="true" ht="13.8" hidden="false" customHeight="false" outlineLevel="0" collapsed="false">
      <c r="A2" s="19" t="s">
        <v>87</v>
      </c>
      <c r="B2" s="19" t="s">
        <v>88</v>
      </c>
      <c r="C2" s="20" t="n">
        <v>40</v>
      </c>
      <c r="E2" s="19" t="n">
        <v>1</v>
      </c>
      <c r="F2" s="19" t="s">
        <v>89</v>
      </c>
      <c r="G2" s="19" t="s">
        <v>90</v>
      </c>
      <c r="H2" s="19" t="s">
        <v>91</v>
      </c>
      <c r="I2" s="19" t="s">
        <v>92</v>
      </c>
      <c r="J2" s="19" t="n">
        <v>1936</v>
      </c>
      <c r="K2" s="19" t="n">
        <v>1960</v>
      </c>
      <c r="L2" s="19" t="n">
        <v>1985</v>
      </c>
      <c r="N2" s="19" t="n">
        <v>45</v>
      </c>
      <c r="O2" s="21"/>
      <c r="P2" s="22"/>
      <c r="Q2" s="22"/>
      <c r="R2" s="22"/>
      <c r="S2" s="22"/>
      <c r="T2" s="23"/>
      <c r="U2" s="22"/>
      <c r="V2" s="22"/>
      <c r="W2" s="19" t="n">
        <v>7</v>
      </c>
      <c r="X2" s="21"/>
      <c r="Y2" s="19" t="n">
        <v>5</v>
      </c>
      <c r="Z2" s="19" t="n">
        <v>15</v>
      </c>
      <c r="AA2" s="24" t="n">
        <f aca="false">IF(AND(W2&gt;0,Z2&gt;0),(Z2/((W2+X2)*10)),"")</f>
        <v>0.214285714285714</v>
      </c>
      <c r="AB2" s="19" t="n">
        <v>12</v>
      </c>
      <c r="AC2" s="19" t="n">
        <f aca="false">ROUND(AB2*1.6, 0)</f>
        <v>19</v>
      </c>
      <c r="AF2" s="19" t="n">
        <v>5.5</v>
      </c>
      <c r="AG2" s="19" t="n">
        <v>6</v>
      </c>
      <c r="AH2" s="19" t="n">
        <v>2.4</v>
      </c>
      <c r="AI2" s="19" t="n">
        <v>3.32</v>
      </c>
      <c r="AJ2" s="25" t="n">
        <v>0</v>
      </c>
      <c r="AK2" s="1" t="str">
        <f aca="false">CONCATENATE(VLOOKUP(AL2, '[1]Voxel Sizes'!$A$2:$B$18,2,FALSE()),"x",INT(AH2*15), "x", INT(AI2*15))</f>
        <v>60x36x49</v>
      </c>
      <c r="AL2" s="1" t="n">
        <f aca="false">ROUND(15*((AG2*10)/256),0)</f>
        <v>4</v>
      </c>
      <c r="AN2" s="1" t="str">
        <f aca="false">CONCATENATE(VLOOKUP(AL2,Constants!$A$2:$C$16,IF(AM2&lt;&gt;"", 3, 2), FALSE()),IF(AM2&lt;&gt;"",CONCATENATE(",",VLOOKUP(AM2,$B:$AN,38,FALSE())),""))</f>
        <v>1,2,1</v>
      </c>
      <c r="AP2" s="26"/>
      <c r="AQ2" s="26"/>
      <c r="AX2" s="19" t="n">
        <v>60</v>
      </c>
      <c r="AY2" s="27" t="n">
        <f aca="false">IF(L2&lt;&gt;"",MAX(16,(L2-J2)+8),"")</f>
        <v>57</v>
      </c>
      <c r="AZ2" s="19" t="n">
        <v>-11</v>
      </c>
      <c r="BA2" s="19" t="n">
        <v>-14</v>
      </c>
      <c r="BB2" s="28" t="n">
        <f aca="false">MIN(AB2/150, 1)*30</f>
        <v>2.4</v>
      </c>
      <c r="BC2" s="28" t="n">
        <f aca="false">MIN(N2/4000, 1)*20</f>
        <v>0.225</v>
      </c>
      <c r="BD2" s="28" t="n">
        <f aca="false">MIN(Z2/400,1)*20</f>
        <v>0.75</v>
      </c>
      <c r="BE2" s="29" t="n">
        <f aca="false">1-(MAX(J2-1900, 0)/750)</f>
        <v>0.952</v>
      </c>
      <c r="BF2" s="28" t="n">
        <f aca="false">((MAX($M2,1)*MIN($AJ2/300,1)))*IF(G2="Wagon",50,10)</f>
        <v>0</v>
      </c>
      <c r="BG2" s="20" t="n">
        <f aca="false">VLOOKUP($H2,Constants!$I:$K, 2, FALSE())</f>
        <v>1</v>
      </c>
      <c r="BH2" s="20" t="n">
        <f aca="false">VLOOKUP($H2,Constants!$I:$K, 3, FALSE())*IF(AND(G2="multiple_unit",AB2&lt;110),0.75,1)</f>
        <v>2</v>
      </c>
      <c r="BI2" s="20" t="n">
        <f aca="false">INT(POWER(((Constants!$G$2+$BB2+$BC2+$BD2+$BF2)*$BE2)*$BH2, 1.05))+$BA2</f>
        <v>4</v>
      </c>
      <c r="BJ2" s="20" t="n">
        <f aca="false">INT(POWER((((Constants!$G$1+$BB2+$BC2+$BD2+$BF2)*($BE2))*$BG2),IF($G2="wagon",1,1.2)))+$AZ2</f>
        <v>20</v>
      </c>
      <c r="BK2" s="30" t="n">
        <f aca="false">BI2*IF($G2="wagon",62.5,781.25)</f>
        <v>3125</v>
      </c>
      <c r="BL2" s="30" t="n">
        <f aca="false">BJ2*IF($G2="wagon",2.73,81.25)</f>
        <v>1625</v>
      </c>
      <c r="BT2" s="19" t="n">
        <v>5</v>
      </c>
      <c r="BY2" s="20" t="str">
        <f aca="false">VLOOKUP(J2,Eras!$A$2:$C$10, 2, TRUE())</f>
        <v>big4</v>
      </c>
      <c r="BZ2" s="19" t="s">
        <v>93</v>
      </c>
      <c r="CA2" s="31" t="str">
        <f aca="false">CONCATENATE(BY2,"_",BZ2)</f>
        <v>big4_Cheap</v>
      </c>
      <c r="CB2" s="31" t="str">
        <f aca="false">_xlfn.CONCAT(H2, "_",I2)</f>
        <v>diesel_RAIL</v>
      </c>
      <c r="CC2" s="32" t="str">
        <f aca="false" t="array" ref="CC2:CC2">IF(AN2&lt;&gt;"na", _xlfn.CONCAT("{BLACK}Length: {GOLD}", TEXT(ROUNDUP(IF(AQ2&lt;&gt;"",SUM(VALUE(_xlfn.TEXTSPLIT(AQ2, ","))), SUM(VALUE(_xlfn.TEXTSPLIT(AN2, ",")))*IF(M2, M2, 1))/16, 1),"#,##0.0"), " tiles{}"), "")</f>
        <v>{BLACK}Length: {GOLD}0.3 tiles{}</v>
      </c>
      <c r="CD2" s="1" t="str">
        <f aca="false">VLOOKUP($CB2, Constants!$M:$N, 2, FALSE())</f>
        <v>{BLACK}Powered by: {GOLD}Diesel</v>
      </c>
      <c r="CE2" s="31" t="str">
        <f aca="false">IF(AND(M2&gt;1,BO2&lt;&gt;1),_xlfn.CONCAT("{BLACK}Cars: {GOLD}", M2),"")</f>
        <v/>
      </c>
      <c r="CF2" s="19" t="s">
        <v>94</v>
      </c>
      <c r="CG2" s="19" t="str">
        <f aca="false">IF($BT2="!param_no_gameplay_units","{GREEN}Included for gameplay purposes","")</f>
        <v/>
      </c>
      <c r="CH2" s="1" t="str">
        <f aca="false">_xlfn.CONCAT(CD2,IF(CD2 &lt;&gt; "", " ", ""),CE2,IF(OR(CE2&lt;&gt;"", CD2&lt;&gt;""), "{}",""), CC2, CG2,"{SILVER}", CF2)</f>
        <v>{BLACK}Powered by: {GOLD}Diesel {}{BLACK}Length: {GOLD}0.3 tiles{}{SILVER}A “Really Useless Engine” – these small, simple industrial locomotives saw service in many industrial yards but were almost never seen on the boader network.</v>
      </c>
      <c r="CJ2" s="20"/>
      <c r="CK2" s="20"/>
    </row>
    <row r="3" s="20" customFormat="true" ht="13.8" hidden="false" customHeight="false" outlineLevel="0" collapsed="false">
      <c r="A3" s="19" t="s">
        <v>95</v>
      </c>
      <c r="B3" s="19" t="s">
        <v>96</v>
      </c>
      <c r="C3" s="20" t="n">
        <v>41</v>
      </c>
      <c r="D3" s="19"/>
      <c r="E3" s="19" t="n">
        <v>2</v>
      </c>
      <c r="F3" s="19" t="s">
        <v>89</v>
      </c>
      <c r="G3" s="19" t="s">
        <v>90</v>
      </c>
      <c r="H3" s="19" t="s">
        <v>91</v>
      </c>
      <c r="I3" s="19" t="s">
        <v>92</v>
      </c>
      <c r="J3" s="19" t="n">
        <v>1938</v>
      </c>
      <c r="K3" s="19" t="n">
        <v>1966</v>
      </c>
      <c r="L3" s="19" t="n">
        <v>1991</v>
      </c>
      <c r="M3" s="19"/>
      <c r="N3" s="19" t="n">
        <v>84</v>
      </c>
      <c r="O3" s="21"/>
      <c r="P3" s="22"/>
      <c r="Q3" s="22"/>
      <c r="R3" s="22"/>
      <c r="S3" s="22"/>
      <c r="T3" s="23"/>
      <c r="U3" s="22"/>
      <c r="V3" s="22"/>
      <c r="W3" s="19" t="n">
        <v>17</v>
      </c>
      <c r="X3" s="21"/>
      <c r="Y3" s="19" t="n">
        <v>5</v>
      </c>
      <c r="Z3" s="19" t="n">
        <v>60</v>
      </c>
      <c r="AA3" s="24" t="n">
        <f aca="false">IF(AND(W3&gt;0,Z3&gt;0),(Z3/((W3+X3)*10)),"")</f>
        <v>0.352941176470588</v>
      </c>
      <c r="AB3" s="19" t="n">
        <v>18</v>
      </c>
      <c r="AC3" s="19" t="n">
        <f aca="false">ROUND(AB3*1.6, 0)</f>
        <v>29</v>
      </c>
      <c r="AD3" s="19"/>
      <c r="AE3" s="19"/>
      <c r="AF3" s="19" t="n">
        <v>6.2</v>
      </c>
      <c r="AG3" s="19" t="n">
        <v>8</v>
      </c>
      <c r="AH3" s="19" t="n">
        <v>2.4</v>
      </c>
      <c r="AI3" s="19" t="n">
        <v>3.32</v>
      </c>
      <c r="AJ3" s="25" t="n">
        <v>0</v>
      </c>
      <c r="AK3" s="1" t="str">
        <f aca="false">CONCATENATE(VLOOKUP(AL3, '[1]Voxel Sizes'!$A$2:$B$18,2,FALSE()),"x",INT(AH3*15), "x", INT(AI3*15))</f>
        <v>82x36x49</v>
      </c>
      <c r="AL3" s="1" t="n">
        <f aca="false">ROUND(15*((AG3*10)/256),0)</f>
        <v>5</v>
      </c>
      <c r="AM3" s="19"/>
      <c r="AN3" s="1" t="str">
        <f aca="false">CONCATENATE(VLOOKUP(AL3,Constants!$A$2:$C$16,IF(AM3&lt;&gt;"", 3, 2), FALSE()),IF(AM3&lt;&gt;"",CONCATENATE(",",VLOOKUP(AM3,$B:$AN,38,FALSE())),""))</f>
        <v>2,1,2</v>
      </c>
      <c r="AO3" s="19"/>
      <c r="AP3" s="26"/>
      <c r="AQ3" s="26"/>
      <c r="AR3" s="19"/>
      <c r="AS3" s="19"/>
      <c r="AT3" s="19"/>
      <c r="AU3" s="19"/>
      <c r="AV3" s="19"/>
      <c r="AW3" s="19"/>
      <c r="AX3" s="19" t="n">
        <v>60</v>
      </c>
      <c r="AY3" s="27" t="n">
        <f aca="false">IF(L3&lt;&gt;"",MAX(16,(L3-J3)+8),"")</f>
        <v>61</v>
      </c>
      <c r="AZ3" s="19" t="n">
        <v>-11</v>
      </c>
      <c r="BA3" s="19" t="n">
        <v>-14</v>
      </c>
      <c r="BB3" s="28" t="n">
        <f aca="false">MIN(AB3/150, 1)*30</f>
        <v>3.6</v>
      </c>
      <c r="BC3" s="28" t="n">
        <f aca="false">MIN(N3/4000, 1)*20</f>
        <v>0.42</v>
      </c>
      <c r="BD3" s="28" t="n">
        <f aca="false">MIN(Z3/400,1)*20</f>
        <v>3</v>
      </c>
      <c r="BE3" s="29" t="n">
        <f aca="false">1-(MAX(J3-1900, 0)/750)</f>
        <v>0.949333333333333</v>
      </c>
      <c r="BF3" s="28" t="n">
        <f aca="false">((MAX($M3,1)*MIN($AJ3/300,1)))*IF(G3="Wagon",50,10)</f>
        <v>0</v>
      </c>
      <c r="BG3" s="20" t="n">
        <f aca="false">VLOOKUP($H3,Constants!$I:$K, 2, FALSE())</f>
        <v>1</v>
      </c>
      <c r="BH3" s="20" t="n">
        <f aca="false">VLOOKUP($H3,Constants!$I:$K, 3, FALSE())*IF(AND(G3="multiple_unit",AB3&lt;110),0.75,1)</f>
        <v>2</v>
      </c>
      <c r="BI3" s="20" t="n">
        <f aca="false">INT(POWER(((Constants!$G$2+$BB3+$BC3+$BD3+$BF3)*$BE3)*$BH3, 1.05))+$BA3</f>
        <v>12</v>
      </c>
      <c r="BJ3" s="20" t="n">
        <f aca="false">INT(POWER((((Constants!$G$1+$BB3+$BC3+$BD3+$BF3)*($BE3))*$BG3),IF($G3="wagon",1,1.2)))+$AZ3</f>
        <v>27</v>
      </c>
      <c r="BK3" s="30" t="n">
        <f aca="false">BI3*IF($G3="wagon",62.5,781.25)</f>
        <v>9375</v>
      </c>
      <c r="BL3" s="30" t="n">
        <f aca="false">BJ3*IF($G3="wagon",2.73,81.25)</f>
        <v>2193.75</v>
      </c>
      <c r="BM3" s="19"/>
      <c r="BN3" s="19"/>
      <c r="BO3" s="19"/>
      <c r="BP3" s="19"/>
      <c r="BQ3" s="19"/>
      <c r="BR3" s="19"/>
      <c r="BS3" s="19"/>
      <c r="BT3" s="19" t="n">
        <v>5</v>
      </c>
      <c r="BU3" s="19"/>
      <c r="BV3" s="19"/>
      <c r="BW3" s="19"/>
      <c r="BX3" s="19"/>
      <c r="BY3" s="20" t="str">
        <f aca="false">VLOOKUP(J3,Eras!$A$2:$C$10, 2, TRUE())</f>
        <v>big4</v>
      </c>
      <c r="BZ3" s="19" t="s">
        <v>93</v>
      </c>
      <c r="CA3" s="31" t="str">
        <f aca="false">CONCATENATE(BY3,"_",BZ3)</f>
        <v>big4_Cheap</v>
      </c>
      <c r="CB3" s="31" t="str">
        <f aca="false">_xlfn.CONCAT(H3, "_",I3)</f>
        <v>diesel_RAIL</v>
      </c>
      <c r="CC3" s="32" t="str">
        <f aca="false" t="array" ref="CC3:CC3">IF(AN3&lt;&gt;"na", _xlfn.CONCAT("{BLACK}Length: {GOLD}", TEXT(ROUNDUP(IF(AQ3&lt;&gt;"",SUM(VALUE(_xlfn.TEXTSPLIT(AQ3, ","))), SUM(VALUE(_xlfn.TEXTSPLIT(AN3, ",")))*IF(M3, M3, 1))/16, 1),"#,##0.0"), " tiles{}"), "")</f>
        <v>{BLACK}Length: {GOLD}0.4 tiles{}</v>
      </c>
      <c r="CD3" s="1" t="str">
        <f aca="false">VLOOKUP($CB3, Constants!$M:$N, 2, FALSE())</f>
        <v>{BLACK}Powered by: {GOLD}Diesel</v>
      </c>
      <c r="CE3" s="31" t="str">
        <f aca="false">IF(AND(M3&gt;1,BO3&lt;&gt;1),_xlfn.CONCAT("{BLACK}Cars: {GOLD}", M3),"")</f>
        <v/>
      </c>
      <c r="CF3" s="19" t="s">
        <v>97</v>
      </c>
      <c r="CG3" s="19" t="str">
        <f aca="false">IF($BT3="!param_no_gameplay_units","{GREEN}Included for gameplay purposes","")</f>
        <v/>
      </c>
      <c r="CH3" s="1" t="str">
        <f aca="false">_xlfn.CONCAT(CD3,IF(CD3 &lt;&gt; "", " ", ""),CE3,IF(OR(CE3&lt;&gt;"", CD3&lt;&gt;""), "{}",""), CC3, CG3,"{SILVER}", CF3)</f>
        <v>{BLACK}Powered by: {GOLD}Diesel {}{BLACK}Length: {GOLD}0.4 tiles{}{SILVER}A mild upgrade in power made the Ruston 88 significantly more effective without vastly increasing cost.</v>
      </c>
      <c r="CI3" s="19"/>
    </row>
    <row r="4" customFormat="false" ht="13.8" hidden="false" customHeight="false" outlineLevel="0" collapsed="false">
      <c r="A4" s="20" t="s">
        <v>98</v>
      </c>
      <c r="B4" s="20" t="s">
        <v>99</v>
      </c>
      <c r="C4" s="20" t="n">
        <v>151</v>
      </c>
      <c r="D4" s="20"/>
      <c r="E4" s="20" t="n">
        <v>153</v>
      </c>
      <c r="F4" s="20" t="s">
        <v>89</v>
      </c>
      <c r="G4" s="20" t="s">
        <v>100</v>
      </c>
      <c r="H4" s="1" t="s">
        <v>91</v>
      </c>
      <c r="I4" s="1" t="s">
        <v>92</v>
      </c>
      <c r="J4" s="20" t="n">
        <v>1985</v>
      </c>
      <c r="K4" s="20" t="n">
        <v>2015</v>
      </c>
      <c r="L4" s="20" t="n">
        <v>2025</v>
      </c>
      <c r="M4" s="20" t="n">
        <v>3</v>
      </c>
      <c r="N4" s="20" t="n">
        <v>855</v>
      </c>
      <c r="O4" s="21"/>
      <c r="P4" s="22"/>
      <c r="Q4" s="22"/>
      <c r="R4" s="22"/>
      <c r="S4" s="22"/>
      <c r="T4" s="22"/>
      <c r="U4" s="22"/>
      <c r="V4" s="22"/>
      <c r="W4" s="20" t="n">
        <v>97</v>
      </c>
      <c r="X4" s="21"/>
      <c r="Y4" s="20" t="n">
        <v>5</v>
      </c>
      <c r="Z4" s="20" t="n">
        <v>145</v>
      </c>
      <c r="AA4" s="24" t="n">
        <f aca="false">IF(AND(W4&gt;0,Z4&gt;0),(Z4/((W4+X4)*10)),"")</f>
        <v>0.149484536082474</v>
      </c>
      <c r="AB4" s="20" t="n">
        <v>75</v>
      </c>
      <c r="AC4" s="20" t="n">
        <f aca="false">ROUND(AB4*1.6, 0)</f>
        <v>120</v>
      </c>
      <c r="AD4" s="20"/>
      <c r="AE4" s="20"/>
      <c r="AF4" s="20" t="n">
        <v>19.9</v>
      </c>
      <c r="AG4" s="20" t="n">
        <v>20</v>
      </c>
      <c r="AH4" s="20" t="n">
        <v>2.8</v>
      </c>
      <c r="AI4" s="20" t="n">
        <v>3.84</v>
      </c>
      <c r="AJ4" s="25" t="n">
        <v>77</v>
      </c>
      <c r="AK4" s="20" t="str">
        <f aca="false">CONCATENATE(VLOOKUP(AL4, '[1]Voxel Sizes'!$A$2:$B$18,2,FALSE()),"x",INT(AH4*15), "x", INT(AI4*15))</f>
        <v>198x42x57</v>
      </c>
      <c r="AL4" s="20" t="n">
        <f aca="false">ROUND(15*((AG4*10)/256),0)</f>
        <v>12</v>
      </c>
      <c r="AM4" s="20"/>
      <c r="AN4" s="1" t="str">
        <f aca="false">CONCATENATE(VLOOKUP(AL4,Constants!$A$2:$C$16,IF(AM4&lt;&gt;"", 3, 2), FALSE()),IF(AM4&lt;&gt;"",CONCATENATE(",",VLOOKUP(AM4,$B:$AN,38,FALSE())),""))</f>
        <v>4,4,4</v>
      </c>
      <c r="AO4" s="20" t="n">
        <v>4</v>
      </c>
      <c r="AP4" s="26"/>
      <c r="AQ4" s="26"/>
      <c r="AR4" s="20" t="s">
        <v>101</v>
      </c>
      <c r="AS4" s="20"/>
      <c r="AT4" s="20" t="s">
        <v>102</v>
      </c>
      <c r="AU4" s="20" t="s">
        <v>99</v>
      </c>
      <c r="AV4" s="20"/>
      <c r="AW4" s="20"/>
      <c r="AX4" s="20" t="n">
        <v>27</v>
      </c>
      <c r="AY4" s="27" t="n">
        <f aca="false">IF(L4&lt;&gt;"",MAX(16,(L4-J4)+8),"")</f>
        <v>48</v>
      </c>
      <c r="AZ4" s="20" t="n">
        <v>-15</v>
      </c>
      <c r="BA4" s="20" t="n">
        <v>-25</v>
      </c>
      <c r="BB4" s="20" t="n">
        <f aca="false">MIN(AB4/150, 1)*30</f>
        <v>15</v>
      </c>
      <c r="BC4" s="20" t="n">
        <f aca="false">MIN(N4/4000, 1)*20</f>
        <v>4.275</v>
      </c>
      <c r="BD4" s="20" t="n">
        <f aca="false">MIN(Z4/400,1)*20</f>
        <v>7.25</v>
      </c>
      <c r="BE4" s="24" t="n">
        <f aca="false">1-(MAX(J4-1900, 0)/750)</f>
        <v>0.886666666666667</v>
      </c>
      <c r="BF4" s="20" t="n">
        <f aca="false">((MAX($M4,1)*MIN($AJ4/300,1)))*IF(G4="Wagon",50,10)</f>
        <v>7.7</v>
      </c>
      <c r="BG4" s="20" t="n">
        <f aca="false">VLOOKUP($H4,Constants!$I:$K, 2, FALSE())</f>
        <v>1</v>
      </c>
      <c r="BH4" s="20" t="n">
        <f aca="false">VLOOKUP($H4,Constants!$I:$K, 3, FALSE())*IF(AND(G4="multiple_unit",AB4&lt;110),0.75,1)</f>
        <v>1.5</v>
      </c>
      <c r="BI4" s="20" t="n">
        <f aca="false">INT(POWER((([1]Constants!$G$2+$BB4+$BC4+$BD4+$BF4)*$BE4)*$BH4, 1.05))+$BA4</f>
        <v>38</v>
      </c>
      <c r="BJ4" s="20" t="n">
        <f aca="false">INT(POWER(((([1]Constants!$G$1+$BB4+$BC4+$BD4+$BF4)*($BE4))*$BG4),IF($G4="wagon",1,1.2)))+$AZ4</f>
        <v>77</v>
      </c>
      <c r="BK4" s="33" t="n">
        <f aca="false">BI4*IF($G4="wagon",62.5,781.25)</f>
        <v>29687.5</v>
      </c>
      <c r="BL4" s="33" t="n">
        <f aca="false">BJ4*IF($G4="wagon",2.73,81.25)</f>
        <v>6256.25</v>
      </c>
      <c r="BM4" s="20"/>
      <c r="BN4" s="20"/>
      <c r="BO4" s="20"/>
      <c r="BP4" s="20"/>
      <c r="BQ4" s="20" t="s">
        <v>103</v>
      </c>
      <c r="BR4" s="20"/>
      <c r="BS4" s="20"/>
      <c r="BT4" s="20" t="n">
        <v>4</v>
      </c>
      <c r="BU4" s="20" t="n">
        <v>185</v>
      </c>
      <c r="BV4" s="20"/>
      <c r="BW4" s="20"/>
      <c r="BX4" s="20" t="s">
        <v>104</v>
      </c>
      <c r="BY4" s="20" t="str">
        <f aca="false">VLOOKUP(J4,[1]Eras!$A$2:$C$10, 2, TRUE())</f>
        <v>lbr</v>
      </c>
      <c r="BZ4" s="19" t="s">
        <v>105</v>
      </c>
      <c r="CA4" s="20" t="str">
        <f aca="false">CONCATENATE(BY4,"_",BZ4)</f>
        <v>lbr_DMU</v>
      </c>
      <c r="CB4" s="20" t="str">
        <f aca="false">_xlfn.CONCAT(H4, "_",I4)</f>
        <v>diesel_RAIL</v>
      </c>
      <c r="CC4" s="32" t="str">
        <f aca="false" t="array" ref="CC4:CC4">_xlfn.CONCAT("{BLACK}Length: {GOLD}", TEXT(ROUNDUP(IF(AQ4&lt;&gt;"",SUM(VALUE(_xlfn.TEXTSPLIT(AQ4, ","))), SUM(VALUE(_xlfn.TEXTSPLIT(AN4, ",")))*IF(M4, M4, 1))/16, 1), "#,##0.0"), " tiles{}")</f>
        <v>{BLACK}Length: {GOLD}2.3 tiles{}</v>
      </c>
      <c r="CD4" s="1" t="str">
        <f aca="false">VLOOKUP($CB4, Constants!$M:$N, 2, FALSE())</f>
        <v>{BLACK}Powered by: {GOLD}Diesel</v>
      </c>
      <c r="CE4" s="20" t="str">
        <f aca="false">IF(M4&gt;1,_xlfn.CONCAT("{BLACK}Cars: {GOLD}", M4),"")</f>
        <v>{BLACK}Cars: {GOLD}3</v>
      </c>
      <c r="CF4" s="20" t="s">
        <v>106</v>
      </c>
      <c r="CG4" s="20" t="str">
        <f aca="false">IF(BW4="buffet","{YELLOW}25% long distance bonus for consist{}",IF(BY4="BRAKE","{YELLOW}Speed bonus for slow wagons{}",IF(BU4&gt;190,CONCATENATE("{YELLOW}",INT((BU4-185)/1.85),"% bonus for long distance travel{}"),IF(AND(BU4&lt;180,BU4&lt;&gt;0),CONCATENATE("{YELLOW}",INT((185-BU4)/1.85),"% penalty for long distance travel{}"),""))))</f>
        <v/>
      </c>
      <c r="CH4" s="1" t="str">
        <f aca="false">_xlfn.CONCAT(CD4,IF(CD4 &lt;&gt; "", " ", ""),CE4,IF(OR(CE4&lt;&gt;"", CD4&lt;&gt;""), "{}",""), CC4, CG4,"{SILVER}", CF4)</f>
        <v>{BLACK}Powered by: {GOLD}Diesel {BLACK}Cars: {GOLD}3{}{BLACK}Length: {GOLD}2.3 tiles{}{SILVER}A class of 2 prototype DMUs built to compete for the contract that became the Class 150 fleet purchase. These units suffered with gearbox issues and the BREL type won the contest instead.</v>
      </c>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c r="EC4" s="20"/>
      <c r="ED4" s="20"/>
      <c r="EE4" s="20"/>
      <c r="EF4" s="20"/>
      <c r="EG4" s="20"/>
      <c r="EH4" s="20"/>
      <c r="EI4" s="20"/>
      <c r="EJ4" s="20"/>
      <c r="EK4" s="20"/>
      <c r="EL4" s="20"/>
      <c r="EM4" s="20"/>
      <c r="EN4" s="20"/>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c r="GZ4" s="20"/>
      <c r="HA4" s="20"/>
      <c r="HB4" s="20"/>
      <c r="HC4" s="20"/>
      <c r="HD4" s="20"/>
      <c r="HE4" s="20"/>
      <c r="HF4" s="20"/>
      <c r="HG4" s="20"/>
      <c r="HH4" s="20"/>
      <c r="HI4" s="20"/>
      <c r="HJ4" s="20"/>
      <c r="HK4" s="20"/>
      <c r="HL4" s="20"/>
      <c r="HM4" s="20"/>
      <c r="HN4" s="20"/>
      <c r="HO4" s="20"/>
      <c r="HP4" s="20"/>
      <c r="HQ4" s="20"/>
      <c r="HR4" s="20"/>
      <c r="HS4" s="20"/>
      <c r="HT4" s="20"/>
      <c r="HU4" s="20"/>
      <c r="HV4" s="20"/>
      <c r="HW4" s="20"/>
      <c r="HX4" s="20"/>
      <c r="HY4" s="20"/>
      <c r="HZ4" s="20"/>
      <c r="IA4" s="20"/>
      <c r="IB4" s="20"/>
      <c r="IC4" s="20"/>
      <c r="ID4" s="20"/>
      <c r="IE4" s="20"/>
      <c r="IF4" s="20"/>
      <c r="IG4" s="20"/>
      <c r="IH4" s="20"/>
      <c r="II4" s="20"/>
      <c r="IJ4" s="20"/>
      <c r="IK4" s="20"/>
      <c r="IL4" s="20"/>
      <c r="IM4" s="20"/>
      <c r="IN4" s="20"/>
      <c r="IO4" s="20"/>
      <c r="IP4" s="20"/>
      <c r="IQ4" s="20"/>
      <c r="IR4" s="20"/>
      <c r="IS4" s="20"/>
      <c r="IT4" s="20"/>
      <c r="IU4" s="20"/>
      <c r="IV4" s="20"/>
      <c r="IW4" s="20"/>
      <c r="IX4" s="20"/>
      <c r="IY4" s="20"/>
      <c r="IZ4" s="20"/>
      <c r="JA4" s="20"/>
      <c r="JB4" s="20"/>
      <c r="JC4" s="20"/>
      <c r="JD4" s="20"/>
      <c r="JE4" s="20"/>
      <c r="JF4" s="20"/>
      <c r="JG4" s="20"/>
      <c r="JH4" s="20"/>
      <c r="JI4" s="20"/>
      <c r="JJ4" s="20"/>
      <c r="JK4" s="20"/>
      <c r="JL4" s="20"/>
      <c r="JM4" s="20"/>
      <c r="JN4" s="20"/>
      <c r="JO4" s="20"/>
      <c r="JP4" s="20"/>
      <c r="JQ4" s="20"/>
      <c r="JR4" s="20"/>
      <c r="JS4" s="20"/>
      <c r="JT4" s="20"/>
      <c r="JU4" s="20"/>
      <c r="JV4" s="20"/>
      <c r="JW4" s="20"/>
      <c r="JX4" s="20"/>
      <c r="JY4" s="20"/>
      <c r="JZ4" s="20"/>
      <c r="KA4" s="20"/>
      <c r="KB4" s="20"/>
      <c r="KC4" s="20"/>
      <c r="KD4" s="20"/>
      <c r="KE4" s="20"/>
      <c r="KF4" s="20"/>
      <c r="KG4" s="20"/>
      <c r="KH4" s="20"/>
      <c r="KI4" s="20"/>
      <c r="KJ4" s="20"/>
      <c r="KK4" s="20"/>
      <c r="KL4" s="20"/>
      <c r="KM4" s="20"/>
      <c r="KN4" s="20"/>
      <c r="KO4" s="20"/>
      <c r="KP4" s="20"/>
      <c r="KQ4" s="20"/>
      <c r="KR4" s="20"/>
      <c r="KS4" s="20"/>
      <c r="KT4" s="20"/>
      <c r="KU4" s="20"/>
      <c r="KV4" s="20"/>
      <c r="KW4" s="20"/>
      <c r="KX4" s="20"/>
      <c r="KY4" s="20"/>
      <c r="KZ4" s="20"/>
      <c r="LA4" s="20"/>
      <c r="LB4" s="20"/>
      <c r="LC4" s="20"/>
      <c r="LD4" s="20"/>
      <c r="LE4" s="20"/>
      <c r="LF4" s="20"/>
      <c r="LG4" s="20"/>
      <c r="LH4" s="20"/>
      <c r="LI4" s="20"/>
      <c r="LJ4" s="20"/>
      <c r="LK4" s="20"/>
      <c r="LL4" s="20"/>
      <c r="LM4" s="20"/>
      <c r="LN4" s="20"/>
      <c r="LO4" s="20"/>
      <c r="LP4" s="20"/>
      <c r="LQ4" s="20"/>
      <c r="LR4" s="20"/>
      <c r="LS4" s="20"/>
      <c r="LT4" s="20"/>
      <c r="LU4" s="20"/>
      <c r="LV4" s="20"/>
      <c r="LW4" s="20"/>
      <c r="LX4" s="20"/>
      <c r="LY4" s="20"/>
      <c r="LZ4" s="20"/>
      <c r="MA4" s="20"/>
      <c r="MB4" s="20"/>
      <c r="MC4" s="20"/>
      <c r="MD4" s="20"/>
      <c r="ME4" s="20"/>
      <c r="MF4" s="20"/>
      <c r="MG4" s="20"/>
      <c r="MH4" s="20"/>
      <c r="MI4" s="20"/>
      <c r="MJ4" s="20"/>
      <c r="MK4" s="20"/>
      <c r="ML4" s="20"/>
      <c r="MM4" s="20"/>
      <c r="MN4" s="20"/>
      <c r="MO4" s="20"/>
      <c r="MP4" s="20"/>
      <c r="MQ4" s="20"/>
      <c r="MR4" s="20"/>
      <c r="MS4" s="20"/>
      <c r="MT4" s="20"/>
      <c r="MU4" s="20"/>
      <c r="MV4" s="20"/>
      <c r="MW4" s="20"/>
      <c r="MX4" s="20"/>
      <c r="MY4" s="20"/>
      <c r="MZ4" s="20"/>
      <c r="NA4" s="20"/>
      <c r="NB4" s="20"/>
      <c r="NC4" s="20"/>
      <c r="ND4" s="20"/>
      <c r="NE4" s="20"/>
      <c r="NF4" s="20"/>
      <c r="NG4" s="20"/>
      <c r="NH4" s="20"/>
      <c r="NI4" s="20"/>
      <c r="NJ4" s="20"/>
      <c r="NK4" s="20"/>
      <c r="NL4" s="20"/>
      <c r="NM4" s="20"/>
      <c r="NN4" s="20"/>
      <c r="NO4" s="20"/>
      <c r="NP4" s="20"/>
      <c r="NQ4" s="20"/>
      <c r="NR4" s="20"/>
      <c r="NS4" s="20"/>
      <c r="NT4" s="20"/>
      <c r="NU4" s="20"/>
      <c r="NV4" s="20"/>
      <c r="NW4" s="20"/>
      <c r="NX4" s="20"/>
      <c r="NY4" s="20"/>
      <c r="NZ4" s="20"/>
      <c r="OA4" s="20"/>
      <c r="OB4" s="20"/>
      <c r="OC4" s="20"/>
      <c r="OD4" s="20"/>
      <c r="OE4" s="20"/>
      <c r="OF4" s="20"/>
      <c r="OG4" s="20"/>
      <c r="OH4" s="20"/>
      <c r="OI4" s="20"/>
      <c r="OJ4" s="20"/>
      <c r="OK4" s="20"/>
      <c r="OL4" s="20"/>
      <c r="OM4" s="20"/>
      <c r="ON4" s="20"/>
      <c r="OO4" s="20"/>
      <c r="OP4" s="20"/>
      <c r="OQ4" s="20"/>
      <c r="OR4" s="20"/>
      <c r="OS4" s="20"/>
      <c r="OT4" s="20"/>
      <c r="OU4" s="20"/>
      <c r="OV4" s="20"/>
      <c r="OW4" s="20"/>
      <c r="OX4" s="20"/>
      <c r="OY4" s="20"/>
      <c r="OZ4" s="20"/>
      <c r="PA4" s="20"/>
      <c r="PB4" s="20"/>
      <c r="PC4" s="20"/>
      <c r="PD4" s="20"/>
      <c r="PE4" s="20"/>
      <c r="PF4" s="20"/>
      <c r="PG4" s="20"/>
      <c r="PH4" s="20"/>
      <c r="PI4" s="20"/>
      <c r="PJ4" s="20"/>
      <c r="PK4" s="20"/>
      <c r="PL4" s="20"/>
      <c r="PM4" s="20"/>
      <c r="PN4" s="20"/>
      <c r="PO4" s="20"/>
      <c r="PP4" s="20"/>
      <c r="PQ4" s="20"/>
      <c r="PR4" s="20"/>
      <c r="PS4" s="20"/>
      <c r="PT4" s="20"/>
      <c r="PU4" s="20"/>
      <c r="PV4" s="20"/>
      <c r="PW4" s="20"/>
      <c r="PX4" s="20"/>
      <c r="PY4" s="20"/>
      <c r="PZ4" s="20"/>
      <c r="QA4" s="20"/>
      <c r="QB4" s="20"/>
      <c r="QC4" s="20"/>
      <c r="QD4" s="20"/>
      <c r="QE4" s="20"/>
      <c r="QF4" s="20"/>
      <c r="QG4" s="20"/>
      <c r="QH4" s="20"/>
      <c r="QI4" s="20"/>
      <c r="QJ4" s="20"/>
      <c r="QK4" s="20"/>
      <c r="QL4" s="20"/>
      <c r="QM4" s="20"/>
      <c r="QN4" s="20"/>
      <c r="QO4" s="20"/>
      <c r="QP4" s="20"/>
      <c r="QQ4" s="20"/>
      <c r="QR4" s="20"/>
      <c r="QS4" s="20"/>
      <c r="QT4" s="20"/>
      <c r="QU4" s="20"/>
      <c r="QV4" s="20"/>
      <c r="QW4" s="20"/>
      <c r="QX4" s="20"/>
      <c r="QY4" s="20"/>
      <c r="QZ4" s="20"/>
      <c r="RA4" s="20"/>
      <c r="RB4" s="20"/>
      <c r="RC4" s="20"/>
      <c r="RD4" s="20"/>
      <c r="RE4" s="20"/>
      <c r="RF4" s="20"/>
      <c r="RG4" s="20"/>
      <c r="RH4" s="20"/>
      <c r="RI4" s="20"/>
      <c r="RJ4" s="20"/>
      <c r="RK4" s="20"/>
      <c r="RL4" s="20"/>
      <c r="RM4" s="20"/>
      <c r="RN4" s="20"/>
      <c r="RO4" s="20"/>
      <c r="RP4" s="20"/>
      <c r="RQ4" s="20"/>
      <c r="RR4" s="20"/>
      <c r="RS4" s="20"/>
      <c r="RT4" s="20"/>
      <c r="RU4" s="20"/>
      <c r="RV4" s="20"/>
      <c r="RW4" s="20"/>
      <c r="RX4" s="20"/>
      <c r="RY4" s="20"/>
      <c r="RZ4" s="20"/>
      <c r="SA4" s="20"/>
      <c r="SB4" s="20"/>
      <c r="SC4" s="20"/>
      <c r="SD4" s="20"/>
      <c r="SE4" s="20"/>
      <c r="SF4" s="20"/>
      <c r="SG4" s="20"/>
      <c r="SH4" s="20"/>
      <c r="SI4" s="20"/>
      <c r="SJ4" s="20"/>
      <c r="SK4" s="20"/>
      <c r="SL4" s="20"/>
      <c r="SM4" s="20"/>
      <c r="SN4" s="20"/>
      <c r="SO4" s="20"/>
      <c r="SP4" s="20"/>
      <c r="SQ4" s="20"/>
      <c r="SR4" s="20"/>
      <c r="SS4" s="20"/>
      <c r="ST4" s="20"/>
      <c r="SU4" s="20"/>
      <c r="SV4" s="20"/>
      <c r="SW4" s="20"/>
      <c r="SX4" s="20"/>
      <c r="SY4" s="20"/>
      <c r="SZ4" s="20"/>
      <c r="TA4" s="20"/>
      <c r="TB4" s="20"/>
      <c r="TC4" s="20"/>
      <c r="TD4" s="20"/>
      <c r="TE4" s="20"/>
      <c r="TF4" s="20"/>
      <c r="TG4" s="20"/>
      <c r="TH4" s="20"/>
      <c r="TI4" s="20"/>
      <c r="TJ4" s="20"/>
      <c r="TK4" s="20"/>
      <c r="TL4" s="20"/>
      <c r="TM4" s="20"/>
      <c r="TN4" s="20"/>
      <c r="TO4" s="20"/>
      <c r="TP4" s="20"/>
      <c r="TQ4" s="20"/>
      <c r="TR4" s="20"/>
      <c r="TS4" s="20"/>
      <c r="TT4" s="20"/>
      <c r="TU4" s="20"/>
      <c r="TV4" s="20"/>
      <c r="TW4" s="20"/>
      <c r="TX4" s="20"/>
      <c r="TY4" s="20"/>
      <c r="TZ4" s="20"/>
      <c r="UA4" s="20"/>
      <c r="UB4" s="20"/>
      <c r="UC4" s="20"/>
      <c r="UD4" s="20"/>
      <c r="UE4" s="20"/>
      <c r="UF4" s="20"/>
      <c r="UG4" s="20"/>
      <c r="UH4" s="20"/>
      <c r="UI4" s="20"/>
      <c r="UJ4" s="20"/>
      <c r="UK4" s="20"/>
      <c r="UL4" s="20"/>
      <c r="UM4" s="20"/>
      <c r="UN4" s="20"/>
      <c r="UO4" s="20"/>
      <c r="UP4" s="20"/>
      <c r="UQ4" s="20"/>
      <c r="UR4" s="20"/>
      <c r="US4" s="20"/>
      <c r="UT4" s="20"/>
      <c r="UU4" s="20"/>
      <c r="UV4" s="20"/>
      <c r="UW4" s="20"/>
      <c r="UX4" s="20"/>
      <c r="UY4" s="20"/>
      <c r="UZ4" s="20"/>
      <c r="VA4" s="20"/>
      <c r="VB4" s="20"/>
      <c r="VC4" s="20"/>
      <c r="VD4" s="20"/>
      <c r="VE4" s="20"/>
      <c r="VF4" s="20"/>
      <c r="VG4" s="20"/>
      <c r="VH4" s="20"/>
      <c r="VI4" s="20"/>
      <c r="VJ4" s="20"/>
      <c r="VK4" s="20"/>
      <c r="VL4" s="20"/>
      <c r="VM4" s="20"/>
      <c r="VN4" s="20"/>
      <c r="VO4" s="20"/>
      <c r="VP4" s="20"/>
      <c r="VQ4" s="20"/>
      <c r="VR4" s="20"/>
      <c r="VS4" s="20"/>
      <c r="VT4" s="20"/>
      <c r="VU4" s="20"/>
      <c r="VV4" s="20"/>
      <c r="VW4" s="20"/>
      <c r="VX4" s="20"/>
      <c r="VY4" s="20"/>
      <c r="VZ4" s="20"/>
      <c r="WA4" s="20"/>
      <c r="WB4" s="20"/>
      <c r="WC4" s="20"/>
      <c r="WD4" s="20"/>
      <c r="WE4" s="20"/>
      <c r="WF4" s="20"/>
      <c r="WG4" s="20"/>
      <c r="WH4" s="20"/>
      <c r="WI4" s="20"/>
      <c r="WJ4" s="20"/>
      <c r="WK4" s="20"/>
      <c r="WL4" s="20"/>
      <c r="WM4" s="20"/>
      <c r="WN4" s="20"/>
      <c r="WO4" s="20"/>
      <c r="WP4" s="20"/>
      <c r="WQ4" s="20"/>
      <c r="WR4" s="20"/>
      <c r="WS4" s="20"/>
      <c r="WT4" s="20"/>
      <c r="WU4" s="20"/>
      <c r="WV4" s="20"/>
      <c r="WW4" s="20"/>
      <c r="WX4" s="20"/>
      <c r="WY4" s="20"/>
      <c r="WZ4" s="20"/>
      <c r="XA4" s="20"/>
      <c r="XB4" s="20"/>
      <c r="XC4" s="20"/>
      <c r="XD4" s="20"/>
      <c r="XE4" s="20"/>
      <c r="XF4" s="20"/>
      <c r="XG4" s="20"/>
      <c r="XH4" s="20"/>
      <c r="XI4" s="20"/>
      <c r="XJ4" s="20"/>
      <c r="XK4" s="20"/>
      <c r="XL4" s="20"/>
      <c r="XM4" s="20"/>
      <c r="XN4" s="20"/>
      <c r="XO4" s="20"/>
      <c r="XP4" s="20"/>
      <c r="XQ4" s="20"/>
      <c r="XR4" s="20"/>
      <c r="XS4" s="20"/>
      <c r="XT4" s="20"/>
      <c r="XU4" s="20"/>
      <c r="XV4" s="20"/>
      <c r="XW4" s="20"/>
      <c r="XX4" s="20"/>
      <c r="XY4" s="20"/>
      <c r="XZ4" s="20"/>
      <c r="YA4" s="20"/>
      <c r="YB4" s="20"/>
      <c r="YC4" s="20"/>
      <c r="YD4" s="20"/>
      <c r="YE4" s="20"/>
      <c r="YF4" s="20"/>
      <c r="YG4" s="20"/>
      <c r="YH4" s="20"/>
      <c r="YI4" s="20"/>
      <c r="YJ4" s="20"/>
      <c r="YK4" s="20"/>
      <c r="YL4" s="20"/>
      <c r="YM4" s="20"/>
      <c r="YN4" s="20"/>
      <c r="YO4" s="20"/>
      <c r="YP4" s="20"/>
      <c r="YQ4" s="20"/>
      <c r="YR4" s="20"/>
      <c r="YS4" s="20"/>
      <c r="YT4" s="20"/>
      <c r="YU4" s="20"/>
      <c r="YV4" s="20"/>
      <c r="YW4" s="20"/>
      <c r="YX4" s="20"/>
      <c r="YY4" s="20"/>
      <c r="YZ4" s="20"/>
      <c r="ZA4" s="20"/>
      <c r="ZB4" s="20"/>
      <c r="ZC4" s="20"/>
      <c r="ZD4" s="20"/>
      <c r="ZE4" s="20"/>
      <c r="ZF4" s="20"/>
      <c r="ZG4" s="20"/>
      <c r="ZH4" s="20"/>
      <c r="ZI4" s="20"/>
      <c r="ZJ4" s="20"/>
      <c r="ZK4" s="20"/>
      <c r="ZL4" s="20"/>
      <c r="ZM4" s="20"/>
      <c r="ZN4" s="20"/>
      <c r="ZO4" s="20"/>
      <c r="ZP4" s="20"/>
      <c r="ZQ4" s="20"/>
      <c r="ZR4" s="20"/>
      <c r="ZS4" s="20"/>
      <c r="ZT4" s="20"/>
      <c r="ZU4" s="20"/>
      <c r="ZV4" s="20"/>
      <c r="ZW4" s="20"/>
      <c r="ZX4" s="20"/>
      <c r="ZY4" s="20"/>
      <c r="ZZ4" s="20"/>
      <c r="AAA4" s="20"/>
      <c r="AAB4" s="20"/>
      <c r="AAC4" s="20"/>
      <c r="AAD4" s="20"/>
      <c r="AAE4" s="20"/>
      <c r="AAF4" s="20"/>
      <c r="AAG4" s="20"/>
      <c r="AAH4" s="20"/>
      <c r="AAI4" s="20"/>
      <c r="AAJ4" s="20"/>
      <c r="AAK4" s="20"/>
      <c r="AAL4" s="20"/>
      <c r="AAM4" s="20"/>
      <c r="AAN4" s="20"/>
      <c r="AAO4" s="20"/>
      <c r="AAP4" s="20"/>
      <c r="AAQ4" s="20"/>
      <c r="AAR4" s="20"/>
      <c r="AAS4" s="20"/>
      <c r="AAT4" s="20"/>
      <c r="AAU4" s="20"/>
      <c r="AAV4" s="20"/>
      <c r="AAW4" s="20"/>
      <c r="AAX4" s="20"/>
      <c r="AAY4" s="20"/>
      <c r="AAZ4" s="20"/>
      <c r="ABA4" s="20"/>
      <c r="ABB4" s="20"/>
      <c r="ABC4" s="20"/>
      <c r="ABD4" s="20"/>
      <c r="ABE4" s="20"/>
      <c r="ABF4" s="20"/>
      <c r="ABG4" s="20"/>
      <c r="ABH4" s="20"/>
      <c r="ABI4" s="20"/>
      <c r="ABJ4" s="20"/>
      <c r="ABK4" s="20"/>
      <c r="ABL4" s="20"/>
      <c r="ABM4" s="20"/>
      <c r="ABN4" s="20"/>
      <c r="ABO4" s="20"/>
      <c r="ABP4" s="20"/>
      <c r="ABQ4" s="20"/>
      <c r="ABR4" s="20"/>
      <c r="ABS4" s="20"/>
      <c r="ABT4" s="20"/>
      <c r="ABU4" s="20"/>
      <c r="ABV4" s="20"/>
      <c r="ABW4" s="20"/>
      <c r="ABX4" s="20"/>
      <c r="ABY4" s="20"/>
      <c r="ABZ4" s="20"/>
      <c r="ACA4" s="20"/>
      <c r="ACB4" s="20"/>
      <c r="ACC4" s="20"/>
      <c r="ACD4" s="20"/>
      <c r="ACE4" s="20"/>
      <c r="ACF4" s="20"/>
      <c r="ACG4" s="20"/>
      <c r="ACH4" s="20"/>
      <c r="ACI4" s="20"/>
      <c r="ACJ4" s="20"/>
      <c r="ACK4" s="20"/>
      <c r="ACL4" s="20"/>
      <c r="ACM4" s="20"/>
      <c r="ACN4" s="20"/>
      <c r="ACO4" s="20"/>
      <c r="ACP4" s="20"/>
      <c r="ACQ4" s="20"/>
      <c r="ACR4" s="20"/>
      <c r="ACS4" s="20"/>
      <c r="ACT4" s="20"/>
      <c r="ACU4" s="20"/>
      <c r="ACV4" s="20"/>
      <c r="ACW4" s="20"/>
      <c r="ACX4" s="20"/>
      <c r="ACY4" s="20"/>
      <c r="ACZ4" s="20"/>
      <c r="ADA4" s="20"/>
      <c r="ADB4" s="20"/>
      <c r="ADC4" s="20"/>
      <c r="ADD4" s="20"/>
      <c r="ADE4" s="20"/>
      <c r="ADF4" s="20"/>
      <c r="ADG4" s="20"/>
      <c r="ADH4" s="20"/>
      <c r="ADI4" s="20"/>
      <c r="ADJ4" s="20"/>
      <c r="ADK4" s="20"/>
      <c r="ADL4" s="20"/>
      <c r="ADM4" s="20"/>
      <c r="ADN4" s="20"/>
      <c r="ADO4" s="20"/>
      <c r="ADP4" s="20"/>
      <c r="ADQ4" s="20"/>
      <c r="ADR4" s="20"/>
      <c r="ADS4" s="20"/>
      <c r="ADT4" s="20"/>
      <c r="ADU4" s="20"/>
      <c r="ADV4" s="20"/>
      <c r="ADW4" s="20"/>
      <c r="ADX4" s="20"/>
      <c r="ADY4" s="20"/>
      <c r="ADZ4" s="20"/>
      <c r="AEA4" s="20"/>
      <c r="AEB4" s="20"/>
      <c r="AEC4" s="20"/>
      <c r="AED4" s="20"/>
      <c r="AEE4" s="20"/>
      <c r="AEF4" s="20"/>
      <c r="AEG4" s="20"/>
      <c r="AEH4" s="20"/>
      <c r="AEI4" s="20"/>
      <c r="AEJ4" s="20"/>
      <c r="AEK4" s="20"/>
      <c r="AEL4" s="20"/>
      <c r="AEM4" s="20"/>
      <c r="AEN4" s="20"/>
      <c r="AEO4" s="20"/>
      <c r="AEP4" s="20"/>
      <c r="AEQ4" s="20"/>
      <c r="AER4" s="20"/>
      <c r="AES4" s="20"/>
      <c r="AET4" s="20"/>
      <c r="AEU4" s="20"/>
      <c r="AEV4" s="20"/>
      <c r="AEW4" s="20"/>
      <c r="AEX4" s="20"/>
      <c r="AEY4" s="20"/>
      <c r="AEZ4" s="20"/>
      <c r="AFA4" s="20"/>
      <c r="AFB4" s="20"/>
      <c r="AFC4" s="20"/>
      <c r="AFD4" s="20"/>
      <c r="AFE4" s="20"/>
      <c r="AFF4" s="20"/>
      <c r="AFG4" s="20"/>
      <c r="AFH4" s="20"/>
      <c r="AFI4" s="20"/>
      <c r="AFJ4" s="20"/>
      <c r="AFK4" s="20"/>
      <c r="AFL4" s="20"/>
      <c r="AFM4" s="20"/>
      <c r="AFN4" s="20"/>
      <c r="AFO4" s="20"/>
      <c r="AFP4" s="20"/>
      <c r="AFQ4" s="20"/>
      <c r="AFR4" s="20"/>
      <c r="AFS4" s="20"/>
      <c r="AFT4" s="20"/>
      <c r="AFU4" s="20"/>
      <c r="AFV4" s="20"/>
      <c r="AFW4" s="20"/>
      <c r="AFX4" s="20"/>
      <c r="AFY4" s="20"/>
      <c r="AFZ4" s="20"/>
      <c r="AGA4" s="20"/>
      <c r="AGB4" s="20"/>
      <c r="AGC4" s="20"/>
      <c r="AGD4" s="20"/>
      <c r="AGE4" s="20"/>
      <c r="AGF4" s="20"/>
      <c r="AGG4" s="20"/>
      <c r="AGH4" s="20"/>
      <c r="AGI4" s="20"/>
      <c r="AGJ4" s="20"/>
      <c r="AGK4" s="20"/>
      <c r="AGL4" s="20"/>
      <c r="AGM4" s="20"/>
      <c r="AGN4" s="20"/>
      <c r="AGO4" s="20"/>
      <c r="AGP4" s="20"/>
      <c r="AGQ4" s="20"/>
      <c r="AGR4" s="20"/>
      <c r="AGS4" s="20"/>
      <c r="AGT4" s="20"/>
      <c r="AGU4" s="20"/>
      <c r="AGV4" s="20"/>
      <c r="AGW4" s="20"/>
      <c r="AGX4" s="20"/>
      <c r="AGY4" s="20"/>
      <c r="AGZ4" s="20"/>
      <c r="AHA4" s="20"/>
      <c r="AHB4" s="20"/>
      <c r="AHC4" s="20"/>
      <c r="AHD4" s="20"/>
      <c r="AHE4" s="20"/>
      <c r="AHF4" s="20"/>
      <c r="AHG4" s="20"/>
      <c r="AHH4" s="20"/>
      <c r="AHI4" s="20"/>
      <c r="AHJ4" s="20"/>
      <c r="AHK4" s="20"/>
      <c r="AHL4" s="20"/>
      <c r="AHM4" s="20"/>
      <c r="AHN4" s="20"/>
      <c r="AHO4" s="20"/>
      <c r="AHP4" s="20"/>
      <c r="AHQ4" s="20"/>
      <c r="AHR4" s="20"/>
      <c r="AHS4" s="20"/>
      <c r="AHT4" s="20"/>
      <c r="AHU4" s="20"/>
      <c r="AHV4" s="20"/>
      <c r="AHW4" s="20"/>
      <c r="AHX4" s="20"/>
      <c r="AHY4" s="20"/>
      <c r="AHZ4" s="20"/>
      <c r="AIA4" s="20"/>
      <c r="AIB4" s="20"/>
      <c r="AIC4" s="20"/>
      <c r="AID4" s="20"/>
      <c r="AIE4" s="20"/>
      <c r="AIF4" s="20"/>
      <c r="AIG4" s="20"/>
      <c r="AIH4" s="20"/>
      <c r="AII4" s="20"/>
      <c r="AIJ4" s="20"/>
      <c r="AIK4" s="20"/>
      <c r="AIL4" s="20"/>
      <c r="AIM4" s="20"/>
      <c r="AIN4" s="20"/>
      <c r="AIO4" s="20"/>
      <c r="AIP4" s="20"/>
      <c r="AIQ4" s="20"/>
      <c r="AIR4" s="20"/>
      <c r="AIS4" s="20"/>
      <c r="AIT4" s="20"/>
      <c r="AIU4" s="20"/>
      <c r="AIV4" s="20"/>
      <c r="AIW4" s="20"/>
      <c r="AIX4" s="20"/>
      <c r="AIY4" s="20"/>
      <c r="AIZ4" s="20"/>
      <c r="AJA4" s="20"/>
      <c r="AJB4" s="20"/>
      <c r="AJC4" s="20"/>
      <c r="AJD4" s="20"/>
      <c r="AJE4" s="20"/>
      <c r="AJF4" s="20"/>
      <c r="AJG4" s="20"/>
      <c r="AJH4" s="20"/>
      <c r="AJI4" s="20"/>
      <c r="AJJ4" s="20"/>
      <c r="AJK4" s="20"/>
      <c r="AJL4" s="20"/>
      <c r="AJM4" s="20"/>
      <c r="AJN4" s="20"/>
      <c r="AJO4" s="20"/>
      <c r="AJP4" s="20"/>
      <c r="AJQ4" s="20"/>
      <c r="AJR4" s="20"/>
      <c r="AJS4" s="20"/>
      <c r="AJT4" s="20"/>
      <c r="AJU4" s="20"/>
      <c r="AJV4" s="20"/>
      <c r="AJW4" s="20"/>
      <c r="AJX4" s="20"/>
      <c r="AJY4" s="20"/>
      <c r="AJZ4" s="20"/>
      <c r="AKA4" s="20"/>
      <c r="AKB4" s="20"/>
      <c r="AKC4" s="20"/>
      <c r="AKD4" s="20"/>
      <c r="AKE4" s="20"/>
      <c r="AKF4" s="20"/>
      <c r="AKG4" s="20"/>
      <c r="AKH4" s="20"/>
      <c r="AKI4" s="20"/>
      <c r="AKJ4" s="20"/>
      <c r="AKK4" s="20"/>
      <c r="AKL4" s="20"/>
      <c r="AKM4" s="20"/>
      <c r="AKN4" s="20"/>
      <c r="AKO4" s="20"/>
      <c r="AKP4" s="20"/>
      <c r="AKQ4" s="20"/>
      <c r="AKR4" s="20"/>
      <c r="AKS4" s="20"/>
      <c r="AKT4" s="20"/>
      <c r="AKU4" s="20"/>
      <c r="AKV4" s="20"/>
      <c r="AKW4" s="20"/>
      <c r="AKX4" s="20"/>
      <c r="AKY4" s="20"/>
      <c r="AKZ4" s="20"/>
      <c r="ALA4" s="20"/>
      <c r="ALB4" s="20"/>
      <c r="ALC4" s="20"/>
      <c r="ALD4" s="20"/>
      <c r="ALE4" s="20"/>
      <c r="ALF4" s="20"/>
      <c r="ALG4" s="20"/>
      <c r="ALH4" s="20"/>
      <c r="ALI4" s="20"/>
      <c r="ALJ4" s="20"/>
      <c r="ALK4" s="20"/>
      <c r="ALL4" s="20"/>
      <c r="ALM4" s="20"/>
      <c r="ALN4" s="20"/>
      <c r="ALO4" s="20"/>
      <c r="ALP4" s="20"/>
      <c r="ALQ4" s="20"/>
      <c r="ALR4" s="20"/>
      <c r="ALS4" s="20"/>
      <c r="ALT4" s="20"/>
      <c r="ALU4" s="20"/>
      <c r="ALV4" s="20"/>
      <c r="ALW4" s="20"/>
      <c r="ALX4" s="20"/>
      <c r="ALY4" s="20"/>
      <c r="ALZ4" s="20"/>
      <c r="AMA4" s="20"/>
      <c r="AMB4" s="20"/>
      <c r="AMC4" s="20"/>
      <c r="AMD4" s="20"/>
      <c r="AME4" s="20"/>
      <c r="AMF4" s="20"/>
      <c r="AMG4" s="20"/>
      <c r="AMH4" s="20"/>
      <c r="AMI4" s="20"/>
      <c r="AMJ4" s="20"/>
    </row>
    <row r="5" customFormat="false" ht="13.8" hidden="false" customHeight="false" outlineLevel="0" collapsed="false">
      <c r="A5" s="1" t="s">
        <v>107</v>
      </c>
      <c r="B5" s="1" t="s">
        <v>108</v>
      </c>
      <c r="C5" s="1" t="n">
        <v>201</v>
      </c>
      <c r="E5" s="1" t="n">
        <v>20</v>
      </c>
      <c r="F5" s="1" t="s">
        <v>89</v>
      </c>
      <c r="G5" s="1" t="s">
        <v>100</v>
      </c>
      <c r="H5" s="1" t="s">
        <v>91</v>
      </c>
      <c r="I5" s="1" t="s">
        <v>92</v>
      </c>
      <c r="J5" s="1" t="n">
        <v>1956</v>
      </c>
      <c r="K5" s="1" t="n">
        <v>1989</v>
      </c>
      <c r="L5" s="1" t="n">
        <v>2004</v>
      </c>
      <c r="M5" s="1" t="n">
        <v>4</v>
      </c>
      <c r="N5" s="1" t="n">
        <v>1000</v>
      </c>
      <c r="W5" s="1" t="n">
        <v>180</v>
      </c>
      <c r="Y5" s="1" t="n">
        <v>5</v>
      </c>
      <c r="Z5" s="1" t="n">
        <v>85</v>
      </c>
      <c r="AA5" s="4" t="n">
        <f aca="false">IF(AND(W5&gt;0,Z5&gt;0),(Z5/((W5+X5)*10)),"")</f>
        <v>0.0472222222222222</v>
      </c>
      <c r="AB5" s="1" t="n">
        <v>75</v>
      </c>
      <c r="AC5" s="1" t="n">
        <f aca="false">ROUND(AB5*1.6, 0)</f>
        <v>120</v>
      </c>
      <c r="AF5" s="1" t="n">
        <v>17.37</v>
      </c>
      <c r="AG5" s="1" t="n">
        <v>18</v>
      </c>
      <c r="AH5" s="1" t="n">
        <v>2.5</v>
      </c>
      <c r="AI5" s="1" t="n">
        <v>3.77</v>
      </c>
      <c r="AJ5" s="5" t="n">
        <v>37</v>
      </c>
      <c r="AK5" s="1" t="str">
        <f aca="false">CONCATENATE(VLOOKUP(AL5, '[1]Voxel Sizes'!$A$2:$B$18,2,FALSE()),"x",INT(AH5*15), "x", INT(AI5*15))</f>
        <v>186x37x56</v>
      </c>
      <c r="AL5" s="1" t="n">
        <f aca="false">ROUND(15*((AG5*10)/256),0)</f>
        <v>11</v>
      </c>
      <c r="AN5" s="1" t="str">
        <f aca="false">CONCATENATE(VLOOKUP(AL5,Constants!$A$2:$C$16,IF(AM5&lt;&gt;"", 3, 2), FALSE()),IF(AM5&lt;&gt;"",CONCATENATE(",",VLOOKUP(AM5,$B:$AN,38,FALSE())),""))</f>
        <v>4,3,4</v>
      </c>
      <c r="AO5" s="20" t="s">
        <v>109</v>
      </c>
      <c r="AR5" s="1" t="s">
        <v>110</v>
      </c>
      <c r="AT5" s="1" t="s">
        <v>111</v>
      </c>
      <c r="AU5" s="1" t="s">
        <v>112</v>
      </c>
      <c r="AX5" s="1" t="n">
        <v>45</v>
      </c>
      <c r="AY5" s="6" t="n">
        <f aca="false">IF(L5&lt;&gt;"",MAX(16,(L5-J5)+8),"")</f>
        <v>56</v>
      </c>
      <c r="AZ5" s="1" t="n">
        <v>-10</v>
      </c>
      <c r="BA5" s="1" t="n">
        <v>-15</v>
      </c>
      <c r="BB5" s="20" t="n">
        <f aca="false">MIN(AB5/150, 1)*30</f>
        <v>15</v>
      </c>
      <c r="BC5" s="20" t="n">
        <f aca="false">MIN(N5/4000, 1)*20</f>
        <v>5</v>
      </c>
      <c r="BD5" s="20" t="n">
        <f aca="false">MIN(Z5/400,1)*20</f>
        <v>4.25</v>
      </c>
      <c r="BE5" s="24" t="n">
        <f aca="false">1-(MAX(J5-1900, 0)/750)</f>
        <v>0.925333333333333</v>
      </c>
      <c r="BF5" s="20" t="n">
        <f aca="false">((MAX($M5,1)*MIN($AJ5/300,1)))*IF(G5="Wagon",50,10)</f>
        <v>4.93333333333333</v>
      </c>
      <c r="BG5" s="20" t="n">
        <f aca="false">VLOOKUP($H5,Constants!$I:$K, 2, FALSE())</f>
        <v>1</v>
      </c>
      <c r="BH5" s="20" t="n">
        <f aca="false">VLOOKUP($H5,Constants!$I:$K, 3, FALSE())*IF(AND(G5="multiple_unit",AB5&lt;110),0.75,1)</f>
        <v>1.5</v>
      </c>
      <c r="BI5" s="20" t="n">
        <f aca="false">INT(POWER(((Constants!$G$2+$BB5+$BC5+$BD5+$BF5)*$BE5)*$BH5, 1.05))+$BA5</f>
        <v>42</v>
      </c>
      <c r="BJ5" s="20" t="n">
        <f aca="false">INT(POWER((((Constants!$G$1+$BB5+$BC5+$BD5+$BF5)*($BE5))*$BG5),IF($G5="wagon",1,1.2)))+$AZ5</f>
        <v>75</v>
      </c>
      <c r="BK5" s="34" t="n">
        <f aca="false">BI5*IF($G5="wagon",62.5,781.25)</f>
        <v>32812.5</v>
      </c>
      <c r="BL5" s="34" t="n">
        <f aca="false">BJ5*IF($G5="wagon",2.73,81.25)</f>
        <v>6093.75</v>
      </c>
      <c r="BQ5" s="1" t="s">
        <v>113</v>
      </c>
      <c r="BT5" s="1" t="n">
        <v>2</v>
      </c>
      <c r="BX5" s="1" t="s">
        <v>104</v>
      </c>
      <c r="BY5" s="20" t="str">
        <f aca="false">VLOOKUP(J5,Eras!$A$2:$C$10, 2, TRUE())</f>
        <v>dsl</v>
      </c>
      <c r="BZ5" s="35" t="s">
        <v>105</v>
      </c>
      <c r="CA5" s="1" t="str">
        <f aca="false">CONCATENATE(BY5,"_",BZ5)</f>
        <v>dsl_DMU</v>
      </c>
      <c r="CB5" s="1" t="str">
        <f aca="false">_xlfn.CONCAT(H5, "_",I5)</f>
        <v>diesel_RAIL</v>
      </c>
      <c r="CC5" s="36" t="str">
        <f aca="false" t="array" ref="CC5:CC5">_xlfn.CONCAT("{BLACK}Length: {GOLD}", TEXT(ROUNDUP(IF(AQ5&lt;&gt;"",SUM(VALUE(_xlfn.TEXTSPLIT(AQ5, ","))), SUM(VALUE(_xlfn.TEXTSPLIT(AN5, ",")))*IF(M5, M5, 1))/16, 1), "#,##0.0"), " tiles{}")</f>
        <v>{BLACK}Length: {GOLD}2.8 tiles{}</v>
      </c>
      <c r="CD5" s="1" t="str">
        <f aca="false">VLOOKUP($CB5, Constants!$M:$N, 2, FALSE())</f>
        <v>{BLACK}Powered by: {GOLD}Diesel</v>
      </c>
      <c r="CE5" s="1" t="str">
        <f aca="false">IF(M5&gt;1,_xlfn.CONCAT("{BLACK}Cars: {GOLD}", M5),"")</f>
        <v>{BLACK}Cars: {GOLD}4</v>
      </c>
      <c r="CF5" s="1" t="s">
        <v>114</v>
      </c>
      <c r="CG5" s="1" t="str">
        <f aca="false">IF(BX5="BRAKE","{YELLOW}Speed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5" s="1"/>
      <c r="CJ5" s="1"/>
    </row>
    <row r="6" customFormat="false" ht="13.8" hidden="false" customHeight="false" outlineLevel="0" collapsed="false">
      <c r="A6" s="1" t="s">
        <v>115</v>
      </c>
      <c r="B6" s="1" t="s">
        <v>116</v>
      </c>
      <c r="C6" s="1" t="n">
        <v>202</v>
      </c>
      <c r="D6" s="1" t="n">
        <v>201</v>
      </c>
      <c r="E6" s="1" t="n">
        <v>22</v>
      </c>
      <c r="F6" s="1" t="s">
        <v>89</v>
      </c>
      <c r="G6" s="1" t="s">
        <v>100</v>
      </c>
      <c r="H6" s="1" t="s">
        <v>91</v>
      </c>
      <c r="I6" s="1" t="s">
        <v>92</v>
      </c>
      <c r="J6" s="1" t="n">
        <v>1956</v>
      </c>
      <c r="K6" s="1" t="n">
        <v>1989</v>
      </c>
      <c r="L6" s="1" t="n">
        <v>2004</v>
      </c>
      <c r="M6" s="1" t="n">
        <v>6</v>
      </c>
      <c r="N6" s="1" t="n">
        <v>1000</v>
      </c>
      <c r="W6" s="1" t="n">
        <v>238</v>
      </c>
      <c r="Y6" s="1" t="n">
        <v>5</v>
      </c>
      <c r="Z6" s="1" t="n">
        <v>85</v>
      </c>
      <c r="AA6" s="4" t="n">
        <f aca="false">IF(AND(W6&gt;0,Z6&gt;0),(Z6/((W6+X6)*10)),"")</f>
        <v>0.0357142857142857</v>
      </c>
      <c r="AB6" s="1" t="n">
        <v>75</v>
      </c>
      <c r="AC6" s="1" t="n">
        <f aca="false">ROUND(AB6*1.6, 0)</f>
        <v>120</v>
      </c>
      <c r="AF6" s="1" t="n">
        <v>17.37</v>
      </c>
      <c r="AG6" s="1" t="n">
        <v>18</v>
      </c>
      <c r="AH6" s="1" t="n">
        <v>2.5</v>
      </c>
      <c r="AI6" s="1" t="n">
        <v>3.77</v>
      </c>
      <c r="AJ6" s="5" t="n">
        <v>42</v>
      </c>
      <c r="AK6" s="1" t="str">
        <f aca="false">CONCATENATE(VLOOKUP(AL6, '[1]Voxel Sizes'!$A$2:$B$18,2,FALSE()),"x",INT(AH6*15), "x", INT(AI6*15))</f>
        <v>186x37x56</v>
      </c>
      <c r="AL6" s="1" t="n">
        <f aca="false">ROUND(15*((AG6*10)/256),0)</f>
        <v>11</v>
      </c>
      <c r="AN6" s="1" t="str">
        <f aca="false">CONCATENATE(VLOOKUP(AL6,Constants!$A$2:$C$16,IF(AM6&lt;&gt;"", 3, 2), FALSE()),IF(AM6&lt;&gt;"",CONCATENATE(",",VLOOKUP(AM6,$B:$AN,38,FALSE())),""))</f>
        <v>4,3,4</v>
      </c>
      <c r="AO6" s="1" t="s">
        <v>117</v>
      </c>
      <c r="AR6" s="1" t="s">
        <v>118</v>
      </c>
      <c r="AT6" s="1" t="s">
        <v>119</v>
      </c>
      <c r="AU6" s="1" t="s">
        <v>112</v>
      </c>
      <c r="AX6" s="1" t="n">
        <v>45</v>
      </c>
      <c r="AY6" s="6" t="n">
        <f aca="false">IF(L6&lt;&gt;"",MAX(16,(L6-J6)+8),"")</f>
        <v>56</v>
      </c>
      <c r="AZ6" s="1" t="n">
        <v>-10</v>
      </c>
      <c r="BA6" s="1" t="n">
        <v>-15</v>
      </c>
      <c r="BB6" s="20" t="n">
        <f aca="false">MIN(AB6/150, 1)*30</f>
        <v>15</v>
      </c>
      <c r="BC6" s="20" t="n">
        <f aca="false">MIN(N6/4000, 1)*20</f>
        <v>5</v>
      </c>
      <c r="BD6" s="20" t="n">
        <f aca="false">MIN(Z6/400,1)*20</f>
        <v>4.25</v>
      </c>
      <c r="BE6" s="24" t="n">
        <f aca="false">1-(MAX(J6-1900, 0)/750)</f>
        <v>0.925333333333333</v>
      </c>
      <c r="BF6" s="20" t="n">
        <f aca="false">((MAX($M6,1)*MIN($AJ6/300,1)))*IF(G6="Wagon",50,10)</f>
        <v>8.4</v>
      </c>
      <c r="BG6" s="20" t="n">
        <f aca="false">VLOOKUP($H6,Constants!$I:$K, 2, FALSE())</f>
        <v>1</v>
      </c>
      <c r="BH6" s="20" t="n">
        <f aca="false">VLOOKUP($H6,Constants!$I:$K, 3, FALSE())*IF(AND(G6="multiple_unit",AB6&lt;110),0.75,1)</f>
        <v>1.5</v>
      </c>
      <c r="BI6" s="20" t="n">
        <f aca="false">INT(POWER(((Constants!$G$2+$BB6+$BC6+$BD6+$BF6)*$BE6)*$BH6, 1.05))+$BA6</f>
        <v>48</v>
      </c>
      <c r="BJ6" s="20" t="n">
        <f aca="false">INT(POWER((((Constants!$G$1+$BB6+$BC6+$BD6+$BF6)*($BE6))*$BG6),IF($G6="wagon",1,1.2)))+$AZ6</f>
        <v>84</v>
      </c>
      <c r="BK6" s="34" t="n">
        <f aca="false">BI6*IF($G6="wagon",62.5,781.25)</f>
        <v>37500</v>
      </c>
      <c r="BL6" s="34" t="n">
        <f aca="false">BJ6*IF($G6="wagon",2.73,81.25)</f>
        <v>6825</v>
      </c>
      <c r="BQ6" s="19" t="s">
        <v>120</v>
      </c>
      <c r="BT6" s="1" t="n">
        <v>2</v>
      </c>
      <c r="BX6" s="1" t="s">
        <v>104</v>
      </c>
      <c r="BY6" s="20" t="str">
        <f aca="false">VLOOKUP(J6,Eras!$A$2:$C$10, 2, TRUE())</f>
        <v>dsl</v>
      </c>
      <c r="BZ6" s="35" t="s">
        <v>105</v>
      </c>
      <c r="CA6" s="1" t="str">
        <f aca="false">CONCATENATE(BY6,"_",BZ6)</f>
        <v>dsl_DMU</v>
      </c>
      <c r="CB6" s="1" t="str">
        <f aca="false">_xlfn.CONCAT(H6, "_",I6)</f>
        <v>diesel_RAIL</v>
      </c>
      <c r="CC6" s="36" t="str">
        <f aca="false" t="array" ref="CC6:CC6">_xlfn.CONCAT("{BLACK}Length: {GOLD}", TEXT(ROUNDUP(IF(AQ6&lt;&gt;"",SUM(VALUE(_xlfn.TEXTSPLIT(AQ6, ","))), SUM(VALUE(_xlfn.TEXTSPLIT(AN6, ",")))*IF(M6, M6, 1))/16, 1), "#,##0.0"), " tiles{}")</f>
        <v>{BLACK}Length: {GOLD}4.2 tiles{}</v>
      </c>
      <c r="CD6" s="1" t="str">
        <f aca="false">VLOOKUP($CB6, Constants!$M:$N, 2, FALSE())</f>
        <v>{BLACK}Powered by: {GOLD}Diesel</v>
      </c>
      <c r="CE6" s="1" t="str">
        <f aca="false">IF(M6&gt;1,_xlfn.CONCAT("{BLACK}Cars: {GOLD}", M6),"")</f>
        <v>{BLACK}Cars: {GOLD}6</v>
      </c>
      <c r="CF6" s="1" t="s">
        <v>114</v>
      </c>
      <c r="CG6" s="1" t="str">
        <f aca="false">IF(BX6="BRAKE","{YELLOW}Speed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6" s="1"/>
      <c r="CJ6" s="1"/>
    </row>
    <row r="7" customFormat="false" ht="13.8" hidden="false" customHeight="false" outlineLevel="0" collapsed="false">
      <c r="A7" s="1" t="s">
        <v>121</v>
      </c>
      <c r="B7" s="1" t="s">
        <v>122</v>
      </c>
      <c r="C7" s="1" t="n">
        <v>205</v>
      </c>
      <c r="E7" s="1" t="n">
        <v>24</v>
      </c>
      <c r="F7" s="1" t="s">
        <v>89</v>
      </c>
      <c r="G7" s="1" t="s">
        <v>100</v>
      </c>
      <c r="H7" s="1" t="s">
        <v>91</v>
      </c>
      <c r="I7" s="1" t="s">
        <v>92</v>
      </c>
      <c r="J7" s="1" t="n">
        <v>1957</v>
      </c>
      <c r="K7" s="1" t="n">
        <v>1989</v>
      </c>
      <c r="L7" s="1" t="n">
        <v>2004</v>
      </c>
      <c r="M7" s="1" t="n">
        <v>3</v>
      </c>
      <c r="N7" s="1" t="n">
        <v>600</v>
      </c>
      <c r="W7" s="1" t="n">
        <f aca="false">32.5+25</f>
        <v>57.5</v>
      </c>
      <c r="Y7" s="1" t="n">
        <v>5</v>
      </c>
      <c r="Z7" s="1" t="n">
        <v>85</v>
      </c>
      <c r="AA7" s="4" t="n">
        <f aca="false">IF(AND(W7&gt;0,Z7&gt;0),(Z7/((W7+X7)*10)),"")</f>
        <v>0.147826086956522</v>
      </c>
      <c r="AB7" s="1" t="n">
        <v>75</v>
      </c>
      <c r="AC7" s="1" t="n">
        <f aca="false">ROUND(AB7*1.6, 0)</f>
        <v>120</v>
      </c>
      <c r="AF7" s="1" t="n">
        <v>19.5</v>
      </c>
      <c r="AG7" s="1" t="n">
        <v>20</v>
      </c>
      <c r="AH7" s="1" t="n">
        <v>2.7</v>
      </c>
      <c r="AI7" s="1" t="n">
        <v>3.77</v>
      </c>
      <c r="AJ7" s="5" t="n">
        <v>51</v>
      </c>
      <c r="AK7" s="1" t="str">
        <f aca="false">CONCATENATE(VLOOKUP(AL7, '[1]Voxel Sizes'!$A$2:$B$18,2,FALSE()),"x",INT(AH7*15), "x", INT(AI7*15))</f>
        <v>198x40x56</v>
      </c>
      <c r="AL7" s="1" t="n">
        <f aca="false">ROUND(15*((AG7*10)/256),0)</f>
        <v>12</v>
      </c>
      <c r="AN7" s="1" t="str">
        <f aca="false">CONCATENATE(VLOOKUP(AL7,Constants!$A$2:$C$16,IF(AM7&lt;&gt;"", 3, 2), FALSE()),IF(AM7&lt;&gt;"",CONCATENATE(",",VLOOKUP(AM7,$B:$AN,38,FALSE())),""))</f>
        <v>4,4,4</v>
      </c>
      <c r="AR7" s="1" t="s">
        <v>123</v>
      </c>
      <c r="AT7" s="1" t="s">
        <v>102</v>
      </c>
      <c r="AU7" s="1" t="s">
        <v>124</v>
      </c>
      <c r="AX7" s="1" t="n">
        <v>45</v>
      </c>
      <c r="AY7" s="6" t="n">
        <f aca="false">IF(L7&lt;&gt;"",MAX(16,(L7-J7)+8),"")</f>
        <v>55</v>
      </c>
      <c r="AZ7" s="1" t="n">
        <v>-10</v>
      </c>
      <c r="BA7" s="1" t="n">
        <v>-15</v>
      </c>
      <c r="BB7" s="20" t="n">
        <f aca="false">MIN(AB7/150, 1)*30</f>
        <v>15</v>
      </c>
      <c r="BC7" s="20" t="n">
        <f aca="false">MIN(N7/4000, 1)*20</f>
        <v>3</v>
      </c>
      <c r="BD7" s="20" t="n">
        <f aca="false">MIN(Z7/400,1)*20</f>
        <v>4.25</v>
      </c>
      <c r="BE7" s="24" t="n">
        <f aca="false">1-(MAX(J7-1900, 0)/750)</f>
        <v>0.924</v>
      </c>
      <c r="BF7" s="20" t="n">
        <f aca="false">((MAX($M7,1)*MIN($AJ7/300,1)))*IF(G7="Wagon",50,10)</f>
        <v>5.1</v>
      </c>
      <c r="BG7" s="20" t="n">
        <f aca="false">VLOOKUP($H7,Constants!$I:$K, 2, FALSE())</f>
        <v>1</v>
      </c>
      <c r="BH7" s="20" t="n">
        <f aca="false">VLOOKUP($H7,Constants!$I:$K, 3, FALSE())*IF(AND(G7="multiple_unit",AB7&lt;110),0.75,1)</f>
        <v>1.5</v>
      </c>
      <c r="BI7" s="20" t="n">
        <f aca="false">INT(POWER(((Constants!$G$2+$BB7+$BC7+$BD7+$BF7)*$BE7)*$BH7, 1.05))+$BA7</f>
        <v>39</v>
      </c>
      <c r="BJ7" s="20" t="n">
        <f aca="false">INT(POWER((((Constants!$G$1+$BB7+$BC7+$BD7+$BF7)*($BE7))*$BG7),IF($G7="wagon",1,1.2)))+$AZ7</f>
        <v>71</v>
      </c>
      <c r="BK7" s="34" t="n">
        <f aca="false">BI7*IF($G7="wagon",62.5,781.25)</f>
        <v>30468.75</v>
      </c>
      <c r="BL7" s="34" t="n">
        <f aca="false">BJ7*IF($G7="wagon",2.73,81.25)</f>
        <v>5768.75</v>
      </c>
      <c r="BQ7" s="1" t="s">
        <v>125</v>
      </c>
      <c r="BT7" s="1" t="n">
        <v>2</v>
      </c>
      <c r="BX7" s="1" t="s">
        <v>104</v>
      </c>
      <c r="BY7" s="20" t="str">
        <f aca="false">VLOOKUP(J7,Eras!$A$2:$C$10, 2, TRUE())</f>
        <v>dsl</v>
      </c>
      <c r="BZ7" s="35" t="s">
        <v>105</v>
      </c>
      <c r="CA7" s="1" t="str">
        <f aca="false">CONCATENATE(BY7,"_",BZ7)</f>
        <v>dsl_DMU</v>
      </c>
      <c r="CB7" s="1" t="str">
        <f aca="false">_xlfn.CONCAT(H7, "_",I7)</f>
        <v>diesel_RAIL</v>
      </c>
      <c r="CC7" s="36" t="str">
        <f aca="false" t="array" ref="CC7:CC7">_xlfn.CONCAT("{BLACK}Length: {GOLD}", TEXT(ROUNDUP(IF(AQ7&lt;&gt;"",SUM(VALUE(_xlfn.TEXTSPLIT(AQ7, ","))), SUM(VALUE(_xlfn.TEXTSPLIT(AN7, ",")))*IF(M7, M7, 1))/16, 1), "#,##0.0"), " tiles{}")</f>
        <v>{BLACK}Length: {GOLD}2.3 tiles{}</v>
      </c>
      <c r="CD7" s="1" t="str">
        <f aca="false">VLOOKUP($CB7, Constants!$M:$N, 2, FALSE())</f>
        <v>{BLACK}Powered by: {GOLD}Diesel</v>
      </c>
      <c r="CE7" s="1" t="str">
        <f aca="false">IF(M7&gt;1,_xlfn.CONCAT("{BLACK}Cars: {GOLD}", M7),"")</f>
        <v>{BLACK}Cars: {GOLD}3</v>
      </c>
      <c r="CF7" s="1" t="s">
        <v>126</v>
      </c>
      <c r="CG7" s="1" t="str">
        <f aca="false">IF(BX7="BRAKE","{YELLOW}Speed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{GOLD}Diesel {BLACK}Cars: {GOLD}3{}{BLACK}Length: {GOLD}2.3 tiles{}{SILVER}Class 205 units were a relatively numerous class of high-density non-corridor multiple units that worked services across Hampshire. In many ways they were the classic ‘Thumper’ unit.</v>
      </c>
      <c r="CI7" s="1"/>
      <c r="CJ7" s="1"/>
    </row>
    <row r="8" s="19" customFormat="true" ht="13.8" hidden="false" customHeight="false" outlineLevel="0" collapsed="false">
      <c r="A8" s="1" t="s">
        <v>127</v>
      </c>
      <c r="B8" s="1" t="s">
        <v>128</v>
      </c>
      <c r="C8" s="1" t="n">
        <v>206</v>
      </c>
      <c r="D8" s="1" t="n">
        <v>205</v>
      </c>
      <c r="E8" s="1" t="n">
        <v>26</v>
      </c>
      <c r="F8" s="1" t="s">
        <v>89</v>
      </c>
      <c r="G8" s="1" t="s">
        <v>100</v>
      </c>
      <c r="H8" s="1" t="s">
        <v>91</v>
      </c>
      <c r="I8" s="1" t="s">
        <v>92</v>
      </c>
      <c r="J8" s="1" t="n">
        <v>1957</v>
      </c>
      <c r="K8" s="1" t="n">
        <v>1989</v>
      </c>
      <c r="L8" s="1" t="n">
        <v>2004</v>
      </c>
      <c r="M8" s="1" t="n">
        <v>2</v>
      </c>
      <c r="N8" s="1" t="n">
        <v>600</v>
      </c>
      <c r="O8" s="2"/>
      <c r="P8" s="3"/>
      <c r="Q8" s="3"/>
      <c r="R8" s="3"/>
      <c r="S8" s="3"/>
      <c r="T8" s="3"/>
      <c r="U8" s="3"/>
      <c r="V8" s="3"/>
      <c r="W8" s="1" t="n">
        <f aca="false">32.5+25</f>
        <v>57.5</v>
      </c>
      <c r="X8" s="2"/>
      <c r="Y8" s="1" t="n">
        <v>5</v>
      </c>
      <c r="Z8" s="1" t="n">
        <v>85</v>
      </c>
      <c r="AA8" s="4" t="n">
        <f aca="false">IF(AND(W8&gt;0,Z8&gt;0),(Z8/((W8+X8)*10)),"")</f>
        <v>0.147826086956522</v>
      </c>
      <c r="AB8" s="1" t="n">
        <v>75</v>
      </c>
      <c r="AC8" s="1" t="n">
        <f aca="false">ROUND(AB8*1.6, 0)</f>
        <v>120</v>
      </c>
      <c r="AD8" s="1"/>
      <c r="AE8" s="1"/>
      <c r="AF8" s="1" t="n">
        <v>19.5</v>
      </c>
      <c r="AG8" s="1" t="n">
        <v>20</v>
      </c>
      <c r="AH8" s="1" t="n">
        <v>2.7</v>
      </c>
      <c r="AI8" s="1" t="n">
        <v>3.77</v>
      </c>
      <c r="AJ8" s="5" t="n">
        <v>51</v>
      </c>
      <c r="AK8" s="1" t="str">
        <f aca="false">CONCATENATE(VLOOKUP(AL8, '[1]Voxel Sizes'!$A$2:$B$18,2,FALSE()),"x",INT(AH8*15), "x", INT(AI8*15))</f>
        <v>198x40x56</v>
      </c>
      <c r="AL8" s="1" t="n">
        <f aca="false">ROUND(15*((AG8*10)/256),0)</f>
        <v>12</v>
      </c>
      <c r="AM8" s="1"/>
      <c r="AN8" s="1" t="str">
        <f aca="false">CONCATENATE(VLOOKUP(AL8,Constants!$A$2:$C$16,IF(AM8&lt;&gt;"", 3, 2), FALSE()),IF(AM8&lt;&gt;"",CONCATENATE(",",VLOOKUP(AM8,$B:$AN,38,FALSE())),""))</f>
        <v>4,4,4</v>
      </c>
      <c r="AO8" s="1"/>
      <c r="AP8" s="7"/>
      <c r="AQ8" s="7"/>
      <c r="AR8" s="1" t="s">
        <v>129</v>
      </c>
      <c r="AS8" s="1"/>
      <c r="AT8" s="1" t="s">
        <v>130</v>
      </c>
      <c r="AU8" s="1" t="s">
        <v>124</v>
      </c>
      <c r="AV8" s="1"/>
      <c r="AW8" s="1"/>
      <c r="AX8" s="1" t="n">
        <v>45</v>
      </c>
      <c r="AY8" s="6" t="n">
        <f aca="false">IF(L8&lt;&gt;"",MAX(16,(L8-J8)+8),"")</f>
        <v>55</v>
      </c>
      <c r="AZ8" s="1" t="n">
        <v>-10</v>
      </c>
      <c r="BA8" s="1" t="n">
        <v>-15</v>
      </c>
      <c r="BB8" s="20" t="n">
        <f aca="false">MIN(AB8/150, 1)*30</f>
        <v>15</v>
      </c>
      <c r="BC8" s="20" t="n">
        <f aca="false">MIN(N8/4000, 1)*20</f>
        <v>3</v>
      </c>
      <c r="BD8" s="20" t="n">
        <f aca="false">MIN(Z8/400,1)*20</f>
        <v>4.25</v>
      </c>
      <c r="BE8" s="24" t="n">
        <f aca="false">1-(MAX(J8-1900, 0)/750)</f>
        <v>0.924</v>
      </c>
      <c r="BF8" s="20" t="n">
        <f aca="false">((MAX($M8,1)*MIN($AJ8/300,1)))*IF(G8="Wagon",50,10)</f>
        <v>3.4</v>
      </c>
      <c r="BG8" s="20" t="n">
        <f aca="false">VLOOKUP($H8,Constants!$I:$K, 2, FALSE())</f>
        <v>1</v>
      </c>
      <c r="BH8" s="20" t="n">
        <f aca="false">VLOOKUP($H8,Constants!$I:$K, 3, FALSE())*IF(AND(G8="multiple_unit",AB8&lt;110),0.75,1)</f>
        <v>1.5</v>
      </c>
      <c r="BI8" s="20" t="n">
        <f aca="false">INT(POWER(((Constants!$G$2+$BB8+$BC8+$BD8+$BF8)*$BE8)*$BH8, 1.05))+$BA8</f>
        <v>36</v>
      </c>
      <c r="BJ8" s="20" t="n">
        <f aca="false">INT(POWER((((Constants!$G$1+$BB8+$BC8+$BD8+$BF8)*($BE8))*$BG8),IF($G8="wagon",1,1.2)))+$AZ8</f>
        <v>67</v>
      </c>
      <c r="BK8" s="34" t="n">
        <f aca="false">BI8*IF($G8="wagon",62.5,781.25)</f>
        <v>28125</v>
      </c>
      <c r="BL8" s="34" t="n">
        <f aca="false">BJ8*IF($G8="wagon",2.73,81.25)</f>
        <v>5443.75</v>
      </c>
      <c r="BM8" s="1"/>
      <c r="BN8" s="1"/>
      <c r="BO8" s="1"/>
      <c r="BP8" s="1"/>
      <c r="BQ8" s="1" t="s">
        <v>131</v>
      </c>
      <c r="BR8" s="1"/>
      <c r="BS8" s="1"/>
      <c r="BT8" s="1" t="n">
        <v>2</v>
      </c>
      <c r="BU8" s="1"/>
      <c r="BV8" s="1"/>
      <c r="BW8" s="1"/>
      <c r="BX8" s="1" t="s">
        <v>104</v>
      </c>
      <c r="BY8" s="20" t="str">
        <f aca="false">VLOOKUP(J8,Eras!$A$2:$C$10, 2, TRUE())</f>
        <v>dsl</v>
      </c>
      <c r="BZ8" s="35" t="s">
        <v>105</v>
      </c>
      <c r="CA8" s="1" t="str">
        <f aca="false">CONCATENATE(BY8,"_",BZ8)</f>
        <v>dsl_DMU</v>
      </c>
      <c r="CB8" s="1" t="str">
        <f aca="false">_xlfn.CONCAT(H8, "_",I8)</f>
        <v>diesel_RAIL</v>
      </c>
      <c r="CC8" s="36" t="str">
        <f aca="false" t="array" ref="CC8:CC8">_xlfn.CONCAT("{BLACK}Length: {GOLD}", TEXT(ROUNDUP(IF(AQ8&lt;&gt;"",SUM(VALUE(_xlfn.TEXTSPLIT(AQ8, ","))), SUM(VALUE(_xlfn.TEXTSPLIT(AN8, ",")))*IF(M8, M8, 1))/16, 1), "#,##0.0"), " tiles{}")</f>
        <v>{BLACK}Length: {GOLD}1.5 tiles{}</v>
      </c>
      <c r="CD8" s="1" t="str">
        <f aca="false">VLOOKUP($CB8, Constants!$M:$N, 2, FALSE())</f>
        <v>{BLACK}Powered by: {GOLD}Diesel</v>
      </c>
      <c r="CE8" s="1" t="str">
        <f aca="false">IF(M8&gt;1,_xlfn.CONCAT("{BLACK}Cars: {GOLD}", M8),"")</f>
        <v>{BLACK}Cars: {GOLD}2</v>
      </c>
      <c r="CF8" s="1" t="s">
        <v>126</v>
      </c>
      <c r="CG8" s="1" t="str">
        <f aca="false">IF(BX8="BRAKE","{YELLOW}Speed bonus for slow wagons{}",IF(BU8&gt;190,CONCATENATE("{YELLOW}",INT((BU8-185)/1.85),"% Bonus for long distance travel{}"),IF(AND(BU8&lt;180,BU8&lt;&gt;0),CONCATENATE("{YELLOW}",INT((185-BU8)/1.85),"% Penalty for long distance travel{}"),"")))</f>
        <v/>
      </c>
      <c r="CH8" s="1" t="str">
        <f aca="false">_xlfn.CONCAT(CD8,IF(CD8 &lt;&gt; "", " ", ""),CE8,IF(OR(CE8&lt;&gt;"", CD8&lt;&gt;""), "{}",""), CC8, CG8,"{SILVER}", CF8)</f>
        <v>{BLACK}Powered by: {GOLD}Diesel {BLACK}Cars: {GOLD}2{}{BLACK}Length: {GOLD}1.5 tiles{}{SILVER}Class 205 units were a relatively numerous class of high-density non-corridor multiple units that worked services across Hampshire. In many ways they were the classic ‘Thumper’ unit.</v>
      </c>
      <c r="CI8" s="1"/>
      <c r="CJ8" s="1"/>
      <c r="CK8" s="20"/>
    </row>
    <row r="9" customFormat="false" ht="13.8" hidden="false" customHeight="false" outlineLevel="0" collapsed="false">
      <c r="A9" s="1" t="s">
        <v>132</v>
      </c>
      <c r="B9" s="1" t="s">
        <v>133</v>
      </c>
      <c r="C9" s="1" t="n">
        <v>210</v>
      </c>
      <c r="E9" s="1" t="n">
        <v>28</v>
      </c>
      <c r="F9" s="1" t="s">
        <v>89</v>
      </c>
      <c r="G9" s="1" t="s">
        <v>100</v>
      </c>
      <c r="H9" s="1" t="s">
        <v>91</v>
      </c>
      <c r="I9" s="1" t="s">
        <v>92</v>
      </c>
      <c r="J9" s="1" t="n">
        <v>1982</v>
      </c>
      <c r="K9" s="1" t="n">
        <v>2002</v>
      </c>
      <c r="L9" s="1" t="n">
        <v>2006</v>
      </c>
      <c r="M9" s="1" t="n">
        <v>4</v>
      </c>
      <c r="N9" s="1" t="n">
        <v>1000</v>
      </c>
      <c r="W9" s="1" t="n">
        <v>144</v>
      </c>
      <c r="Y9" s="1" t="n">
        <v>5</v>
      </c>
      <c r="Z9" s="1" t="n">
        <v>92</v>
      </c>
      <c r="AA9" s="4" t="n">
        <f aca="false">IF(AND(W9&gt;0,Z9&gt;0),(Z9/((W9+X9)*10)),"")</f>
        <v>0.0638888888888889</v>
      </c>
      <c r="AB9" s="1" t="n">
        <v>90</v>
      </c>
      <c r="AC9" s="1" t="n">
        <f aca="false">ROUND(AB9*1.6, 0)</f>
        <v>144</v>
      </c>
      <c r="AF9" s="1" t="n">
        <v>19.8</v>
      </c>
      <c r="AG9" s="1" t="n">
        <v>20</v>
      </c>
      <c r="AH9" s="1" t="n">
        <v>2.5</v>
      </c>
      <c r="AI9" s="1" t="n">
        <v>3.77</v>
      </c>
      <c r="AJ9" s="5" t="n">
        <v>64</v>
      </c>
      <c r="AK9" s="1" t="str">
        <f aca="false">CONCATENATE(VLOOKUP(AL9, '[1]Voxel Sizes'!$A$2:$B$18,2,FALSE()),"x",INT(AH9*15), "x", INT(AI9*15))</f>
        <v>198x37x56</v>
      </c>
      <c r="AL9" s="1" t="n">
        <f aca="false">ROUND(15*((AG9*10)/256),0)</f>
        <v>12</v>
      </c>
      <c r="AN9" s="1" t="str">
        <f aca="false">CONCATENATE(VLOOKUP(AL9,Constants!$A$2:$C$16,IF(AM9&lt;&gt;"", 3, 2), FALSE()),IF(AM9&lt;&gt;"",CONCATENATE(",",VLOOKUP(AM9,$B:$AN,38,FALSE())),""))</f>
        <v>4,4,4</v>
      </c>
      <c r="AO9" s="20" t="n">
        <v>1</v>
      </c>
      <c r="AR9" s="1" t="s">
        <v>134</v>
      </c>
      <c r="AT9" s="1" t="s">
        <v>135</v>
      </c>
      <c r="AU9" s="1" t="s">
        <v>136</v>
      </c>
      <c r="AX9" s="1" t="n">
        <v>45</v>
      </c>
      <c r="AY9" s="6" t="n">
        <f aca="false">IF(L9&lt;&gt;"",MAX(16,(L9-J9)+8),"")</f>
        <v>32</v>
      </c>
      <c r="AZ9" s="1" t="n">
        <v>10</v>
      </c>
      <c r="BB9" s="20" t="n">
        <f aca="false">MIN(AB9/150, 1)*30</f>
        <v>18</v>
      </c>
      <c r="BC9" s="20" t="n">
        <f aca="false">MIN(N9/4000, 1)*20</f>
        <v>5</v>
      </c>
      <c r="BD9" s="20" t="n">
        <f aca="false">MIN(Z9/400,1)*20</f>
        <v>4.6</v>
      </c>
      <c r="BE9" s="24" t="n">
        <f aca="false">1-(MAX(J9-1900, 0)/750)</f>
        <v>0.890666666666667</v>
      </c>
      <c r="BF9" s="20" t="n">
        <f aca="false">((MAX($M9,1)*MIN($AJ9/300,1)))*IF(G9="Wagon",50,10)</f>
        <v>8.53333333333333</v>
      </c>
      <c r="BG9" s="20" t="n">
        <f aca="false">VLOOKUP($H9,Constants!$I:$K, 2, FALSE())</f>
        <v>1</v>
      </c>
      <c r="BH9" s="20" t="n">
        <f aca="false">VLOOKUP($H9,Constants!$I:$K, 3, FALSE())*IF(AND(G9="multiple_unit",AB9&lt;110),0.75,1)</f>
        <v>1.5</v>
      </c>
      <c r="BI9" s="20" t="n">
        <f aca="false">INT(POWER(((Constants!$G$2+$BB9+$BC9+$BD9+$BF9)*$BE9)*$BH9, 1.05))+$BA9</f>
        <v>67</v>
      </c>
      <c r="BJ9" s="20" t="n">
        <f aca="false">INT(POWER((((Constants!$G$1+$BB9+$BC9+$BD9+$BF9)*($BE9))*$BG9),IF($G9="wagon",1,1.2)))+$AZ9</f>
        <v>107</v>
      </c>
      <c r="BK9" s="34" t="n">
        <f aca="false">BI9*IF($G9="wagon",62.5,781.25)</f>
        <v>52343.75</v>
      </c>
      <c r="BL9" s="34" t="n">
        <f aca="false">BJ9*IF($G9="wagon",2.73,81.25)</f>
        <v>8693.75</v>
      </c>
      <c r="BQ9" s="1" t="s">
        <v>137</v>
      </c>
      <c r="BT9" s="1" t="n">
        <v>2</v>
      </c>
      <c r="BX9" s="1" t="s">
        <v>104</v>
      </c>
      <c r="BY9" s="20" t="str">
        <f aca="false">VLOOKUP(J9,Eras!$A$2:$C$10, 2, TRUE())</f>
        <v>lbr</v>
      </c>
      <c r="BZ9" s="35" t="s">
        <v>105</v>
      </c>
      <c r="CA9" s="1" t="str">
        <f aca="false">CONCATENATE(BY9,"_",BZ9)</f>
        <v>lbr_DMU</v>
      </c>
      <c r="CB9" s="1" t="str">
        <f aca="false">_xlfn.CONCAT(H9, "_",I9)</f>
        <v>diesel_RAIL</v>
      </c>
      <c r="CC9" s="36" t="str">
        <f aca="false" t="array" ref="CC9:CC9">_xlfn.CONCAT("{BLACK}Length: {GOLD}", TEXT(ROUNDUP(IF(AQ9&lt;&gt;"",SUM(VALUE(_xlfn.TEXTSPLIT(AQ9, ","))), SUM(VALUE(_xlfn.TEXTSPLIT(AN9, ",")))*IF(M9, M9, 1))/16, 1), "#,##0.0"), " tiles{}")</f>
        <v>{BLACK}Length: {GOLD}3.0 tiles{}</v>
      </c>
      <c r="CD9" s="1" t="str">
        <f aca="false">VLOOKUP($CB9, Constants!$M:$N, 2, FALSE())</f>
        <v>{BLACK}Powered by: {GOLD}Diesel</v>
      </c>
      <c r="CE9" s="1" t="str">
        <f aca="false">IF(M9&gt;1,_xlfn.CONCAT("{BLACK}Cars: {GOLD}", M9),"")</f>
        <v>{BLACK}Cars: {GOLD}4</v>
      </c>
      <c r="CF9" s="1" t="s">
        <v>138</v>
      </c>
      <c r="CG9" s="1" t="str">
        <f aca="false">IF(BX9="BRAKE","{YELLOW}Speed bonus for slow wagons{}",IF(BU9&gt;190,CONCATENATE("{YELLOW}",INT((BU9-185)/1.85),"% Bonus for long distance travel{}"),IF(AND(BU9&lt;180,BU9&lt;&gt;0),CONCATENATE("{YELLOW}",INT((185-BU9)/1.85),"% Penalty for long distance travel{}"),"")))</f>
        <v/>
      </c>
      <c r="CH9" s="1" t="str">
        <f aca="false">_xlfn.CONCAT(CD9,IF(CD9 &lt;&gt; "", " ", ""),CE9,IF(OR(CE9&lt;&gt;"", CD9&lt;&gt;""), "{}",""), CC9, CG9,"{SILVER}", CF9)</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CI9" s="1"/>
      <c r="CJ9" s="1"/>
    </row>
    <row r="10" customFormat="false" ht="13.8" hidden="false" customHeight="false" outlineLevel="0" collapsed="false">
      <c r="A10" s="1" t="s">
        <v>139</v>
      </c>
      <c r="B10" s="1" t="s">
        <v>137</v>
      </c>
      <c r="C10" s="1" t="n">
        <v>211</v>
      </c>
      <c r="D10" s="1" t="n">
        <v>210</v>
      </c>
      <c r="E10" s="1" t="n">
        <v>29</v>
      </c>
      <c r="F10" s="1" t="s">
        <v>89</v>
      </c>
      <c r="G10" s="1" t="s">
        <v>100</v>
      </c>
      <c r="H10" s="1" t="s">
        <v>91</v>
      </c>
      <c r="I10" s="1" t="s">
        <v>92</v>
      </c>
      <c r="J10" s="1" t="n">
        <v>1982</v>
      </c>
      <c r="K10" s="1" t="n">
        <v>2002</v>
      </c>
      <c r="L10" s="1" t="n">
        <v>2006</v>
      </c>
      <c r="M10" s="1" t="n">
        <v>3</v>
      </c>
      <c r="N10" s="1" t="n">
        <v>1000</v>
      </c>
      <c r="W10" s="1" t="n">
        <v>118</v>
      </c>
      <c r="Y10" s="1" t="n">
        <v>5</v>
      </c>
      <c r="Z10" s="1" t="n">
        <v>92</v>
      </c>
      <c r="AA10" s="4" t="n">
        <f aca="false">IF(AND(W10&gt;0,Z10&gt;0),(Z10/((W10+X10)*10)),"")</f>
        <v>0.0779661016949153</v>
      </c>
      <c r="AB10" s="1" t="n">
        <v>90</v>
      </c>
      <c r="AC10" s="1" t="n">
        <f aca="false">ROUND(AB10*1.6, 0)</f>
        <v>144</v>
      </c>
      <c r="AF10" s="1" t="n">
        <v>19.8</v>
      </c>
      <c r="AG10" s="1" t="n">
        <v>20</v>
      </c>
      <c r="AH10" s="1" t="n">
        <v>2.5</v>
      </c>
      <c r="AI10" s="1" t="n">
        <v>3.77</v>
      </c>
      <c r="AJ10" s="5" t="n">
        <v>67</v>
      </c>
      <c r="AK10" s="1" t="str">
        <f aca="false">CONCATENATE(VLOOKUP(AL10, '[1]Voxel Sizes'!$A$2:$B$18,2,FALSE()),"x",INT(AH10*15), "x", INT(AI10*15))</f>
        <v>198x37x56</v>
      </c>
      <c r="AL10" s="1" t="n">
        <f aca="false">ROUND(15*((AG10*10)/256),0)</f>
        <v>12</v>
      </c>
      <c r="AN10" s="1" t="str">
        <f aca="false">CONCATENATE(VLOOKUP(AL10,Constants!$A$2:$C$16,IF(AM10&lt;&gt;"", 3, 2), FALSE()),IF(AM10&lt;&gt;"",CONCATENATE(",",VLOOKUP(AM10,$B:$AN,38,FALSE())),""))</f>
        <v>4,4,4</v>
      </c>
      <c r="AO10" s="20" t="n">
        <v>8</v>
      </c>
      <c r="AR10" s="1" t="s">
        <v>140</v>
      </c>
      <c r="AT10" s="1" t="s">
        <v>141</v>
      </c>
      <c r="AU10" s="1" t="s">
        <v>142</v>
      </c>
      <c r="AX10" s="1" t="n">
        <v>45</v>
      </c>
      <c r="AY10" s="6" t="n">
        <f aca="false">IF(L10&lt;&gt;"",MAX(16,(L10-J10)+8),"")</f>
        <v>32</v>
      </c>
      <c r="AZ10" s="1" t="n">
        <v>10</v>
      </c>
      <c r="BB10" s="20" t="n">
        <f aca="false">MIN(AB10/150, 1)*30</f>
        <v>18</v>
      </c>
      <c r="BC10" s="20" t="n">
        <f aca="false">MIN(N10/4000, 1)*20</f>
        <v>5</v>
      </c>
      <c r="BD10" s="20" t="n">
        <f aca="false">MIN(Z10/400,1)*20</f>
        <v>4.6</v>
      </c>
      <c r="BE10" s="24" t="n">
        <f aca="false">1-(MAX(J10-1900, 0)/750)</f>
        <v>0.890666666666667</v>
      </c>
      <c r="BF10" s="20" t="n">
        <f aca="false">((MAX($M10,1)*MIN($AJ10/300,1)))*IF(G10="Wagon",50,10)</f>
        <v>6.7</v>
      </c>
      <c r="BG10" s="20" t="n">
        <f aca="false">VLOOKUP($H10,Constants!$I:$K, 2, FALSE())</f>
        <v>1</v>
      </c>
      <c r="BH10" s="20" t="n">
        <f aca="false">VLOOKUP($H10,Constants!$I:$K, 3, FALSE())*IF(AND(G10="multiple_unit",AB10&lt;110),0.75,1)</f>
        <v>1.5</v>
      </c>
      <c r="BI10" s="20" t="n">
        <f aca="false">INT(POWER(((Constants!$G$2+$BB10+$BC10+$BD10+$BF10)*$BE10)*$BH10, 1.05))+$BA10</f>
        <v>64</v>
      </c>
      <c r="BJ10" s="20" t="n">
        <f aca="false">INT(POWER((((Constants!$G$1+$BB10+$BC10+$BD10+$BF10)*($BE10))*$BG10),IF($G10="wagon",1,1.2)))+$AZ10</f>
        <v>103</v>
      </c>
      <c r="BK10" s="34" t="n">
        <f aca="false">BI10*IF($G10="wagon",62.5,781.25)</f>
        <v>50000</v>
      </c>
      <c r="BL10" s="34" t="n">
        <f aca="false">BJ10*IF($G10="wagon",2.73,81.25)</f>
        <v>8368.75</v>
      </c>
      <c r="BQ10" s="1" t="s">
        <v>133</v>
      </c>
      <c r="BT10" s="1" t="n">
        <v>2</v>
      </c>
      <c r="BX10" s="1" t="s">
        <v>104</v>
      </c>
      <c r="BY10" s="20" t="str">
        <f aca="false">VLOOKUP(J10,Eras!$A$2:$C$10, 2, TRUE())</f>
        <v>lbr</v>
      </c>
      <c r="BZ10" s="35" t="s">
        <v>105</v>
      </c>
      <c r="CA10" s="1" t="str">
        <f aca="false">CONCATENATE(BY10,"_",BZ10)</f>
        <v>lbr_DMU</v>
      </c>
      <c r="CB10" s="1" t="str">
        <f aca="false">_xlfn.CONCAT(H10, "_",I10)</f>
        <v>diesel_RAIL</v>
      </c>
      <c r="CC10" s="36" t="str">
        <f aca="false" t="array" ref="CC10:CC10">_xlfn.CONCAT("{BLACK}Length: {GOLD}", TEXT(ROUNDUP(IF(AQ10&lt;&gt;"",SUM(VALUE(_xlfn.TEXTSPLIT(AQ10, ","))), SUM(VALUE(_xlfn.TEXTSPLIT(AN10, ",")))*IF(M10, M10, 1))/16, 1), "#,##0.0"), " tiles{}")</f>
        <v>{BLACK}Length: {GOLD}2.3 tiles{}</v>
      </c>
      <c r="CD10" s="1" t="str">
        <f aca="false">VLOOKUP($CB10, Constants!$M:$N, 2, FALSE())</f>
        <v>{BLACK}Powered by: {GOLD}Diesel</v>
      </c>
      <c r="CE10" s="1" t="str">
        <f aca="false">IF(M10&gt;1,_xlfn.CONCAT("{BLACK}Cars: {GOLD}", M10),"")</f>
        <v>{BLACK}Cars: {GOLD}3</v>
      </c>
      <c r="CF10" s="1" t="s">
        <v>143</v>
      </c>
      <c r="CG10" s="1" t="str">
        <f aca="false">IF(BX10="BRAKE","{YELLOW}Speed bonus for slow wagons{}",IF(BU10&gt;190,CONCATENATE("{YELLOW}",INT((BU10-185)/1.85),"% Bonus for long distance travel{}"),IF(AND(BU10&lt;180,BU10&lt;&gt;0),CONCATENATE("{YELLOW}",INT((185-BU10)/1.85),"% Penalty for long distance travel{}"),"")))</f>
        <v/>
      </c>
      <c r="CH10" s="1" t="str">
        <f aca="false">_xlfn.CONCAT(CD10,IF(CD10 &lt;&gt; "", " ", ""),CE10,IF(OR(CE10&lt;&gt;"", CD10&lt;&gt;""), "{}",""), CC10, CG10,"{SILVER}", CF10)</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CI10" s="1"/>
      <c r="CJ10" s="1"/>
    </row>
    <row r="11" s="19" customFormat="true" ht="13.8" hidden="false" customHeight="false" outlineLevel="0" collapsed="false">
      <c r="A11" s="35" t="s">
        <v>144</v>
      </c>
      <c r="B11" s="35" t="s">
        <v>145</v>
      </c>
      <c r="C11" s="1" t="n">
        <v>302</v>
      </c>
      <c r="D11" s="1"/>
      <c r="E11" s="1" t="n">
        <v>30</v>
      </c>
      <c r="F11" s="1" t="s">
        <v>89</v>
      </c>
      <c r="G11" s="1" t="s">
        <v>100</v>
      </c>
      <c r="H11" s="20" t="s">
        <v>146</v>
      </c>
      <c r="I11" s="1" t="s">
        <v>147</v>
      </c>
      <c r="J11" s="1" t="n">
        <v>1959</v>
      </c>
      <c r="K11" s="1" t="n">
        <v>1982</v>
      </c>
      <c r="L11" s="1" t="n">
        <v>1992</v>
      </c>
      <c r="M11" s="1" t="n">
        <v>4</v>
      </c>
      <c r="N11" s="1" t="n">
        <v>768</v>
      </c>
      <c r="O11" s="2"/>
      <c r="P11" s="3"/>
      <c r="Q11" s="3"/>
      <c r="R11" s="3"/>
      <c r="S11" s="3"/>
      <c r="T11" s="3"/>
      <c r="U11" s="3"/>
      <c r="V11" s="3"/>
      <c r="W11" s="1" t="n">
        <v>157</v>
      </c>
      <c r="X11" s="2"/>
      <c r="Y11" s="20" t="n">
        <v>5</v>
      </c>
      <c r="Z11" s="20" t="n">
        <v>130</v>
      </c>
      <c r="AA11" s="24" t="n">
        <f aca="false">IF(AND(W11&gt;0,Z11&gt;0),(Z11/((W11+X11)*10)),"")</f>
        <v>0.0828025477707006</v>
      </c>
      <c r="AB11" s="20" t="n">
        <v>75</v>
      </c>
      <c r="AC11" s="20" t="n">
        <f aca="false">ROUND(AB11*1.6, 0)</f>
        <v>120</v>
      </c>
      <c r="AD11" s="20"/>
      <c r="AE11" s="20"/>
      <c r="AF11" s="20" t="n">
        <v>20.3</v>
      </c>
      <c r="AG11" s="20" t="n">
        <v>20</v>
      </c>
      <c r="AH11" s="20" t="n">
        <v>2.82</v>
      </c>
      <c r="AI11" s="20" t="n">
        <v>3.97</v>
      </c>
      <c r="AJ11" s="25" t="n">
        <v>57</v>
      </c>
      <c r="AK11" s="20" t="str">
        <f aca="false">CONCATENATE(VLOOKUP(AL11, '[1]Voxel Sizes'!$A$2:$B$18,2,FALSE()),"x",INT(AH11*15), "x", INT(AI11*15))</f>
        <v>198x42x59</v>
      </c>
      <c r="AL11" s="20" t="n">
        <f aca="false">ROUND(15*((AG11*10)/256),0)</f>
        <v>12</v>
      </c>
      <c r="AM11" s="20"/>
      <c r="AN11" s="1" t="str">
        <f aca="false">CONCATENATE(VLOOKUP(AL11,Constants!$A$2:$C$16,IF(AM11&lt;&gt;"", 3, 2), FALSE()),IF(AM11&lt;&gt;"",CONCATENATE(",",VLOOKUP(AM11,$B:$AN,38,FALSE())),""))</f>
        <v>4,4,4</v>
      </c>
      <c r="AO11" s="20" t="n">
        <v>6</v>
      </c>
      <c r="AP11" s="26"/>
      <c r="AQ11" s="26"/>
      <c r="AR11" s="20" t="s">
        <v>148</v>
      </c>
      <c r="AS11" s="20"/>
      <c r="AT11" s="20" t="s">
        <v>135</v>
      </c>
      <c r="AU11" s="20" t="s">
        <v>149</v>
      </c>
      <c r="AV11" s="20"/>
      <c r="AW11" s="20"/>
      <c r="AX11" s="20" t="n">
        <v>32</v>
      </c>
      <c r="AY11" s="27" t="n">
        <f aca="false">IF(L11&lt;&gt;"",MAX(16,(L11-J11)+8),"")</f>
        <v>41</v>
      </c>
      <c r="AZ11" s="20" t="n">
        <v>-10</v>
      </c>
      <c r="BA11" s="20" t="n">
        <v>-20</v>
      </c>
      <c r="BB11" s="20" t="n">
        <f aca="false">MIN(AB11/150, 1)*30</f>
        <v>15</v>
      </c>
      <c r="BC11" s="20" t="n">
        <f aca="false">MIN(N11/4000, 1)*20</f>
        <v>3.84</v>
      </c>
      <c r="BD11" s="20" t="n">
        <f aca="false">MIN(Z11/400,1)*20</f>
        <v>6.5</v>
      </c>
      <c r="BE11" s="24" t="n">
        <f aca="false">1-(MAX(J11-1900, 0)/750)</f>
        <v>0.921333333333333</v>
      </c>
      <c r="BF11" s="20" t="n">
        <f aca="false">((MAX($M11,1)*MIN($AJ11/300,1)))*IF(G11="Wagon",50,10)</f>
        <v>7.6</v>
      </c>
      <c r="BG11" s="20" t="n">
        <f aca="false">VLOOKUP($H11,Constants!$I:$K, 2, FALSE())</f>
        <v>0.85</v>
      </c>
      <c r="BH11" s="20" t="n">
        <f aca="false">VLOOKUP($H11,Constants!$I:$K, 3, FALSE())*IF(AND(G11="multiple_unit",AB11&lt;110),0.75,1)</f>
        <v>1.725</v>
      </c>
      <c r="BI11" s="20" t="n">
        <f aca="false">INT(POWER((([1]Constants!$G$2+$BB11+$BC11+$BD11+$BF11)*$BE11)*$BH11, 1.05))+$BA11</f>
        <v>54</v>
      </c>
      <c r="BJ11" s="20" t="n">
        <f aca="false">INT(POWER(((([1]Constants!$G$1+$BB11+$BC11+$BD11+$BF11)*($BE11))*$BG11),IF($G11="wagon",1,1.2)))+$AZ11</f>
        <v>67</v>
      </c>
      <c r="BK11" s="33" t="n">
        <f aca="false">BI11*IF($G11="wagon",62.5,781.25)</f>
        <v>42187.5</v>
      </c>
      <c r="BL11" s="33" t="n">
        <f aca="false">BJ11*IF($G11="wagon",2.73,81.25)</f>
        <v>5443.75</v>
      </c>
      <c r="BM11" s="20"/>
      <c r="BN11" s="20"/>
      <c r="BO11" s="20"/>
      <c r="BP11" s="20"/>
      <c r="BQ11" s="20" t="str">
        <f aca="false">_xlfn.ORG.LIBREOFFICE.REGEX(_xlfn.ORG.LIBREOFFICE.REGEX(ACEMUVEHICLES, _xlfn.CONCAT(B11, ",?"), ""), ",$", "")</f>
        <v>class_302_parcels,class_309_2car,class_309_2_4car_buf,class_309_3_4car</v>
      </c>
      <c r="BR11" s="20"/>
      <c r="BS11" s="20"/>
      <c r="BT11" s="20" t="n">
        <v>6</v>
      </c>
      <c r="BU11" s="20" t="n">
        <v>185</v>
      </c>
      <c r="BV11" s="20"/>
      <c r="BW11" s="20"/>
      <c r="BX11" s="20" t="s">
        <v>104</v>
      </c>
      <c r="BY11" s="20" t="str">
        <f aca="false">VLOOKUP(J11,[1]Eras!$A$2:$C$10, 2, TRUE())</f>
        <v>dsl</v>
      </c>
      <c r="BZ11" s="19" t="s">
        <v>150</v>
      </c>
      <c r="CA11" s="20" t="str">
        <f aca="false">CONCATENATE(BY11,"_",BZ11)</f>
        <v>dsl_EMU</v>
      </c>
      <c r="CB11" s="20" t="str">
        <f aca="false">_xlfn.CONCAT(H11, "_",I11)</f>
        <v>electric_ELRL</v>
      </c>
      <c r="CC11" s="32" t="str">
        <f aca="false" t="array" ref="CC11:CC11">_xlfn.CONCAT("{BLACK}Length: {GOLD}", TEXT(ROUNDUP(IF(AQ11&lt;&gt;"",SUM(VALUE(_xlfn.TEXTSPLIT(AQ11, ","))), SUM(VALUE(_xlfn.TEXTSPLIT(AN11, ",")))*IF(M11, M11, 1))/16, 1), "#,##0.0"), " tiles{}")</f>
        <v>{BLACK}Length: {GOLD}3.0 tiles{}</v>
      </c>
      <c r="CD11" s="1" t="str">
        <f aca="false">VLOOKUP($CB11, Constants!$M:$N, 2, FALSE())</f>
        <v>{BLACK}Powered by: {GOLD}25kV AC</v>
      </c>
      <c r="CE11" s="20" t="str">
        <f aca="false">IF(M11&gt;1,_xlfn.CONCAT("{BLACK}Cars: {GOLD}", M11),"")</f>
        <v>{BLACK}Cars: {GOLD}4</v>
      </c>
      <c r="CF11" s="20" t="s">
        <v>151</v>
      </c>
      <c r="CG11" s="20" t="str">
        <f aca="false">IF($BT11="!param_no_gameplay_units","{GREEN}Included for gameplay purposes","")</f>
        <v/>
      </c>
      <c r="CH11" s="1" t="str">
        <f aca="false">_xlfn.CONCAT(CD11,IF(CD11 &lt;&gt; "", " ", ""),CE11,IF(OR(CE11&lt;&gt;"", CD11&lt;&gt;""), "{}",""), CC11, CG11,"{SILVER}", CF11)</f>
        <v>{BLACK}Powered by: {GOLD}25kV AC {BLACK}Cars: {GOLD}4{}{BLACK}Length: {GOLD}3.0 tiles{}{SILVER}A suburban Mk1 EMU that mainly operated out of East London on the LT&amp;S line. Here we represent the refurbished condition of these units, which lasted until 1998.</v>
      </c>
      <c r="CI11" s="20"/>
      <c r="CJ11" s="20"/>
      <c r="CK11" s="20"/>
    </row>
    <row r="12" s="19" customFormat="true" ht="13.8" hidden="false" customHeight="false" outlineLevel="0" collapsed="false">
      <c r="A12" s="35" t="s">
        <v>152</v>
      </c>
      <c r="B12" s="35" t="s">
        <v>153</v>
      </c>
      <c r="C12" s="1" t="n">
        <v>303</v>
      </c>
      <c r="D12" s="1" t="n">
        <v>302</v>
      </c>
      <c r="E12" s="1" t="n">
        <v>32</v>
      </c>
      <c r="F12" s="1" t="s">
        <v>89</v>
      </c>
      <c r="G12" s="1" t="s">
        <v>100</v>
      </c>
      <c r="H12" s="20" t="s">
        <v>146</v>
      </c>
      <c r="I12" s="1" t="s">
        <v>147</v>
      </c>
      <c r="J12" s="1" t="n">
        <v>1959</v>
      </c>
      <c r="K12" s="1" t="n">
        <v>1982</v>
      </c>
      <c r="L12" s="1" t="n">
        <v>1992</v>
      </c>
      <c r="M12" s="1" t="n">
        <v>3</v>
      </c>
      <c r="N12" s="1" t="n">
        <v>768</v>
      </c>
      <c r="O12" s="2"/>
      <c r="P12" s="3"/>
      <c r="Q12" s="3"/>
      <c r="R12" s="3"/>
      <c r="S12" s="3"/>
      <c r="T12" s="3"/>
      <c r="U12" s="3"/>
      <c r="V12" s="3"/>
      <c r="W12" s="1" t="n">
        <v>124</v>
      </c>
      <c r="X12" s="2"/>
      <c r="Y12" s="20" t="n">
        <v>5</v>
      </c>
      <c r="Z12" s="20" t="n">
        <v>130</v>
      </c>
      <c r="AA12" s="24" t="n">
        <f aca="false">IF(AND(W12&gt;0,Z12&gt;0),(Z12/((W12+X12)*10)),"")</f>
        <v>0.104838709677419</v>
      </c>
      <c r="AB12" s="20" t="n">
        <v>75</v>
      </c>
      <c r="AC12" s="20" t="n">
        <f aca="false">ROUND(AB12*1.6, 0)</f>
        <v>120</v>
      </c>
      <c r="AD12" s="20"/>
      <c r="AE12" s="20"/>
      <c r="AF12" s="20" t="n">
        <v>20.3</v>
      </c>
      <c r="AG12" s="20" t="n">
        <v>20</v>
      </c>
      <c r="AH12" s="20" t="n">
        <v>2.82</v>
      </c>
      <c r="AI12" s="20" t="n">
        <v>3.97</v>
      </c>
      <c r="AJ12" s="25" t="n">
        <v>57</v>
      </c>
      <c r="AK12" s="20" t="str">
        <f aca="false">CONCATENATE(VLOOKUP(AL12, '[1]Voxel Sizes'!$A$2:$B$18,2,FALSE()),"x",INT(AH12*15), "x", INT(AI12*15))</f>
        <v>198x42x59</v>
      </c>
      <c r="AL12" s="20" t="n">
        <f aca="false">ROUND(15*((AG12*10)/256),0)</f>
        <v>12</v>
      </c>
      <c r="AM12" s="20"/>
      <c r="AN12" s="1" t="str">
        <f aca="false">CONCATENATE(VLOOKUP(AL12,Constants!$A$2:$C$16,IF(AM12&lt;&gt;"", 3, 2), FALSE()),IF(AM12&lt;&gt;"",CONCATENATE(",",VLOOKUP(AM12,$B:$AN,38,FALSE())),""))</f>
        <v>4,4,4</v>
      </c>
      <c r="AO12" s="20" t="n">
        <v>3</v>
      </c>
      <c r="AP12" s="26"/>
      <c r="AQ12" s="26"/>
      <c r="AR12" s="20" t="s">
        <v>154</v>
      </c>
      <c r="AS12" s="20"/>
      <c r="AT12" s="20" t="s">
        <v>102</v>
      </c>
      <c r="AU12" s="20" t="s">
        <v>155</v>
      </c>
      <c r="AV12" s="20"/>
      <c r="AW12" s="20"/>
      <c r="AX12" s="20" t="n">
        <v>32</v>
      </c>
      <c r="AY12" s="27" t="n">
        <f aca="false">IF(L12&lt;&gt;"",MAX(16,(L12-J12)+8),"")</f>
        <v>41</v>
      </c>
      <c r="AZ12" s="20" t="n">
        <v>-15</v>
      </c>
      <c r="BA12" s="20" t="n">
        <v>-20</v>
      </c>
      <c r="BB12" s="20" t="n">
        <f aca="false">MIN(AB12/150, 1)*30</f>
        <v>15</v>
      </c>
      <c r="BC12" s="20" t="n">
        <f aca="false">MIN(N12/4000, 1)*20</f>
        <v>3.84</v>
      </c>
      <c r="BD12" s="20" t="n">
        <f aca="false">MIN(Z12/400,1)*20</f>
        <v>6.5</v>
      </c>
      <c r="BE12" s="24" t="n">
        <f aca="false">1-(MAX(J12-1900, 0)/750)</f>
        <v>0.921333333333333</v>
      </c>
      <c r="BF12" s="20" t="n">
        <f aca="false">((MAX($M12,1)*MIN($AJ12/300,1)))*IF(G12="Wagon",50,10)</f>
        <v>5.7</v>
      </c>
      <c r="BG12" s="20" t="n">
        <f aca="false">VLOOKUP($H12,Constants!$I:$K, 2, FALSE())</f>
        <v>0.85</v>
      </c>
      <c r="BH12" s="20" t="n">
        <f aca="false">VLOOKUP($H12,Constants!$I:$K, 3, FALSE())*IF(AND(G12="multiple_unit",AB12&lt;110),0.75,1)</f>
        <v>1.725</v>
      </c>
      <c r="BI12" s="20" t="n">
        <f aca="false">INT(POWER((([1]Constants!$G$2+$BB12+$BC12+$BD12+$BF12)*$BE12)*$BH12, 1.05))+$BA12</f>
        <v>50</v>
      </c>
      <c r="BJ12" s="20" t="n">
        <f aca="false">INT(POWER(((([1]Constants!$G$1+$BB12+$BC12+$BD12+$BF12)*($BE12))*$BG12),IF($G12="wagon",1,1.2)))+$AZ12</f>
        <v>58</v>
      </c>
      <c r="BK12" s="33" t="n">
        <f aca="false">BI12*IF($G12="wagon",62.5,781.25)</f>
        <v>39062.5</v>
      </c>
      <c r="BL12" s="33" t="n">
        <f aca="false">BJ12*IF($G12="wagon",2.73,81.25)</f>
        <v>4712.5</v>
      </c>
      <c r="BM12" s="20"/>
      <c r="BN12" s="20"/>
      <c r="BO12" s="20"/>
      <c r="BP12" s="20"/>
      <c r="BQ12" s="20" t="str">
        <f aca="false">_xlfn.ORG.LIBREOFFICE.REGEX(_xlfn.ORG.LIBREOFFICE.REGEX(ACEMUVEHICLES, _xlfn.CONCAT(B12, ",?"), ""), ",$", "")</f>
        <v>class_302_4car,class_309_2car,class_309_2_4car_buf,class_309_3_4car</v>
      </c>
      <c r="BR12" s="20"/>
      <c r="BS12" s="20"/>
      <c r="BT12" s="20" t="n">
        <v>6</v>
      </c>
      <c r="BU12" s="20" t="n">
        <v>185</v>
      </c>
      <c r="BV12" s="20"/>
      <c r="BW12" s="20"/>
      <c r="BX12" s="20" t="s">
        <v>156</v>
      </c>
      <c r="BY12" s="20" t="str">
        <f aca="false">VLOOKUP(J12,[1]Eras!$A$2:$C$10, 2, TRUE())</f>
        <v>dsl</v>
      </c>
      <c r="BZ12" s="19" t="s">
        <v>150</v>
      </c>
      <c r="CA12" s="20" t="str">
        <f aca="false">CONCATENATE(BY12,"_",BZ12)</f>
        <v>dsl_EMU</v>
      </c>
      <c r="CB12" s="20" t="str">
        <f aca="false">_xlfn.CONCAT(H12, "_",I12)</f>
        <v>electric_ELRL</v>
      </c>
      <c r="CC12" s="32" t="str">
        <f aca="false" t="array" ref="CC12:CC12">_xlfn.CONCAT("{BLACK}Length: {GOLD}", TEXT(ROUNDUP(IF(AQ12&lt;&gt;"",SUM(VALUE(_xlfn.TEXTSPLIT(AQ12, ","))), SUM(VALUE(_xlfn.TEXTSPLIT(AN12, ",")))*IF(M12, M12, 1))/16, 1), "#,##0.0"), " tiles{}")</f>
        <v>{BLACK}Length: {GOLD}2.3 tiles{}</v>
      </c>
      <c r="CD12" s="1" t="str">
        <f aca="false">VLOOKUP($CB12, Constants!$M:$N, 2, FALSE())</f>
        <v>{BLACK}Powered by: {GOLD}25kV AC</v>
      </c>
      <c r="CE12" s="20" t="str">
        <f aca="false">IF(M12&gt;1,_xlfn.CONCAT("{BLACK}Cars: {GOLD}", M12),"")</f>
        <v>{BLACK}Cars: {GOLD}3</v>
      </c>
      <c r="CF12" s="20" t="s">
        <v>157</v>
      </c>
      <c r="CG12" s="20" t="str">
        <f aca="false">IF($BT12="!param_no_gameplay_units","{GREEN}Included for gameplay purposes","")</f>
        <v/>
      </c>
      <c r="CH12" s="1" t="str">
        <f aca="false">_xlfn.CONCAT(CD12,IF(CD12 &lt;&gt; "", " ", ""),CE12,IF(OR(CE12&lt;&gt;"", CD12&lt;&gt;""), "{}",""), CC12, CG12,"{SILVER}", CF12)</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12" s="20"/>
      <c r="CJ12" s="20"/>
      <c r="CK12" s="20"/>
    </row>
    <row r="13" s="20" customFormat="true" ht="13.8" hidden="false" customHeight="false" outlineLevel="0" collapsed="false">
      <c r="A13" s="35" t="s">
        <v>158</v>
      </c>
      <c r="B13" s="35" t="s">
        <v>159</v>
      </c>
      <c r="C13" s="1" t="n">
        <v>309</v>
      </c>
      <c r="D13" s="1" t="n">
        <v>310</v>
      </c>
      <c r="E13" s="1" t="n">
        <v>39</v>
      </c>
      <c r="F13" s="1" t="s">
        <v>89</v>
      </c>
      <c r="G13" s="1" t="s">
        <v>100</v>
      </c>
      <c r="H13" s="20" t="s">
        <v>146</v>
      </c>
      <c r="I13" s="1" t="s">
        <v>147</v>
      </c>
      <c r="J13" s="1" t="n">
        <v>1962</v>
      </c>
      <c r="K13" s="1" t="n">
        <v>1990</v>
      </c>
      <c r="L13" s="1" t="n">
        <v>2000</v>
      </c>
      <c r="M13" s="1" t="n">
        <v>2</v>
      </c>
      <c r="N13" s="1" t="n">
        <v>1128</v>
      </c>
      <c r="O13" s="2"/>
      <c r="P13" s="3"/>
      <c r="Q13" s="3"/>
      <c r="R13" s="3"/>
      <c r="S13" s="3"/>
      <c r="T13" s="3"/>
      <c r="U13" s="3"/>
      <c r="V13" s="3"/>
      <c r="W13" s="1" t="n">
        <v>101</v>
      </c>
      <c r="X13" s="2"/>
      <c r="Y13" s="20" t="n">
        <v>5</v>
      </c>
      <c r="Z13" s="20" t="n">
        <v>205</v>
      </c>
      <c r="AA13" s="24" t="n">
        <f aca="false">IF(AND(W13&gt;0,Z13&gt;0),(Z13/((W13+X13)*10)),"")</f>
        <v>0.202970297029703</v>
      </c>
      <c r="AB13" s="20" t="n">
        <v>100</v>
      </c>
      <c r="AC13" s="20" t="n">
        <f aca="false">ROUND(AB13*1.6, 0)</f>
        <v>160</v>
      </c>
      <c r="AF13" s="20" t="n">
        <v>20.3</v>
      </c>
      <c r="AG13" s="20" t="n">
        <v>20</v>
      </c>
      <c r="AH13" s="20" t="n">
        <v>2.82</v>
      </c>
      <c r="AI13" s="20" t="n">
        <v>3.97</v>
      </c>
      <c r="AJ13" s="25" t="n">
        <v>54</v>
      </c>
      <c r="AK13" s="20" t="str">
        <f aca="false">CONCATENATE(VLOOKUP(AL13, '[1]Voxel Sizes'!$A$2:$B$18,2,FALSE()),"x",INT(AH13*15), "x", INT(AI13*15))</f>
        <v>198x42x59</v>
      </c>
      <c r="AL13" s="20" t="n">
        <f aca="false">ROUND(15*((AG13*10)/256),0)</f>
        <v>12</v>
      </c>
      <c r="AN13" s="1" t="str">
        <f aca="false">CONCATENATE(VLOOKUP(AL13,Constants!$A$2:$C$16,IF(AM13&lt;&gt;"", 3, 2), FALSE()),IF(AM13&lt;&gt;"",CONCATENATE(",",VLOOKUP(AM13,$B:$AN,38,FALSE())),""))</f>
        <v>4,4,4</v>
      </c>
      <c r="AO13" s="20" t="n">
        <v>6</v>
      </c>
      <c r="AP13" s="26"/>
      <c r="AQ13" s="26"/>
      <c r="AR13" s="20" t="s">
        <v>160</v>
      </c>
      <c r="AT13" s="20" t="s">
        <v>161</v>
      </c>
      <c r="AU13" s="20" t="s">
        <v>162</v>
      </c>
      <c r="AX13" s="20" t="n">
        <v>35</v>
      </c>
      <c r="AY13" s="27" t="n">
        <f aca="false">IF(L13&lt;&gt;"",MAX(16,(L13-J13)+8),"")</f>
        <v>46</v>
      </c>
      <c r="AZ13" s="20" t="n">
        <v>-15</v>
      </c>
      <c r="BA13" s="20" t="n">
        <v>-60</v>
      </c>
      <c r="BB13" s="20" t="n">
        <f aca="false">MIN(AB13/150, 1)*30</f>
        <v>20</v>
      </c>
      <c r="BC13" s="20" t="n">
        <f aca="false">MIN(N13/4000, 1)*20</f>
        <v>5.64</v>
      </c>
      <c r="BD13" s="20" t="n">
        <f aca="false">MIN(Z13/400,1)*20</f>
        <v>10.25</v>
      </c>
      <c r="BE13" s="24" t="n">
        <f aca="false">1-(MAX(J13-1900, 0)/750)</f>
        <v>0.917333333333333</v>
      </c>
      <c r="BF13" s="20" t="n">
        <f aca="false">((MAX($M13,1)*MIN($AJ13/300,1)))*IF(G13="Wagon",50,10)</f>
        <v>3.6</v>
      </c>
      <c r="BG13" s="20" t="n">
        <f aca="false">VLOOKUP($H13,Constants!$I:$K, 2, FALSE())</f>
        <v>0.85</v>
      </c>
      <c r="BH13" s="20" t="n">
        <f aca="false">VLOOKUP($H13,Constants!$I:$K, 3, FALSE())*IF(AND(G13="multiple_unit",AB13&lt;110),0.75,1)</f>
        <v>1.725</v>
      </c>
      <c r="BI13" s="20" t="n">
        <f aca="false">INT(POWER((([1]Constants!$G$2+$BB13+$BC13+$BD13+$BF13)*$BE13)*$BH13, 1.05))+$BA13</f>
        <v>27</v>
      </c>
      <c r="BJ13" s="20" t="n">
        <f aca="false">INT(POWER(((([1]Constants!$G$1+$BB13+$BC13+$BD13+$BF13)*($BE13))*$BG13),IF($G13="wagon",1,1.2)))+$AZ13</f>
        <v>74</v>
      </c>
      <c r="BK13" s="33" t="n">
        <f aca="false">BI13*IF($G13="wagon",62.5,781.25)</f>
        <v>21093.75</v>
      </c>
      <c r="BL13" s="33" t="n">
        <f aca="false">BJ13*IF($G13="wagon",2.73,81.25)</f>
        <v>6012.5</v>
      </c>
      <c r="BQ13" s="20" t="str">
        <f aca="false">_xlfn.ORG.LIBREOFFICE.REGEX(_xlfn.ORG.LIBREOFFICE.REGEX(ACEMUVEHICLES, _xlfn.CONCAT(B13, ",?"), ""), ",$", "")</f>
        <v>class_302_4car,class_302_parcels,class_309_2_4car_buf,class_309_3_4car</v>
      </c>
      <c r="BT13" s="20" t="n">
        <v>6</v>
      </c>
      <c r="BU13" s="20" t="n">
        <v>185</v>
      </c>
      <c r="BW13" s="19"/>
      <c r="BX13" s="20" t="s">
        <v>104</v>
      </c>
      <c r="BY13" s="20" t="str">
        <f aca="false">VLOOKUP(J13,[1]Eras!$A$2:$C$10, 2, TRUE())</f>
        <v>dsl</v>
      </c>
      <c r="BZ13" s="19" t="s">
        <v>163</v>
      </c>
      <c r="CA13" s="20" t="str">
        <f aca="false">CONCATENATE(BY13,"_",BZ13)</f>
        <v>dsl_EMU (Express)</v>
      </c>
      <c r="CB13" s="20" t="str">
        <f aca="false">_xlfn.CONCAT(H13, "_",I13)</f>
        <v>electric_ELRL</v>
      </c>
      <c r="CC13" s="32" t="str">
        <f aca="false" t="array" ref="CC13:CC13">_xlfn.CONCAT("{BLACK}Length: {GOLD}", TEXT(ROUNDUP(IF(AQ13&lt;&gt;"",SUM(VALUE(_xlfn.TEXTSPLIT(AQ13, ","))), SUM(VALUE(_xlfn.TEXTSPLIT(AN13, ",")))*IF(M13, M13, 1))/16, 1), "#,##0.0"), " tiles{}")</f>
        <v>{BLACK}Length: {GOLD}1.5 tiles{}</v>
      </c>
      <c r="CD13" s="1" t="str">
        <f aca="false">VLOOKUP($CB13, Constants!$M:$N, 2, FALSE())</f>
        <v>{BLACK}Powered by: {GOLD}25kV AC</v>
      </c>
      <c r="CE13" s="20" t="str">
        <f aca="false">IF(M13&gt;1,_xlfn.CONCAT("{BLACK}Cars: {GOLD}", M13),"")</f>
        <v>{BLACK}Cars: {GOLD}2</v>
      </c>
      <c r="CF13" s="20" t="s">
        <v>164</v>
      </c>
      <c r="CG13" s="20" t="str">
        <f aca="false">IF($BT13="!param_no_gameplay_units","{GREEN}Included for gameplay purposes","")</f>
        <v/>
      </c>
      <c r="CH13" s="1" t="str">
        <f aca="false">_xlfn.CONCAT(CD13,IF(CD13 &lt;&gt; "", " ", ""),CE13,IF(OR(CE13&lt;&gt;"", CD13&lt;&gt;""), "{}",""), CC13, CG13,"{SILVER}", CF13)</f>
        <v>{BLACK}Powered by: {GOLD}25kV AC {BLACK}Cars: {GOLD}2{}{BLACK}Length: {GOLD}1.5 tiles{}{SILVER}The ‘Clacton’ units were iconic express EMUs of the GEML’s early electrification. This subclass represents a 2 car formation, used to boost 2nd class capacity and power on peak time services.</v>
      </c>
    </row>
    <row r="14" s="20" customFormat="true" ht="13.8" hidden="false" customHeight="false" outlineLevel="0" collapsed="false">
      <c r="A14" s="35" t="s">
        <v>165</v>
      </c>
      <c r="B14" s="35" t="s">
        <v>166</v>
      </c>
      <c r="C14" s="1" t="n">
        <v>310</v>
      </c>
      <c r="D14" s="1"/>
      <c r="E14" s="1" t="n">
        <v>40</v>
      </c>
      <c r="F14" s="1" t="s">
        <v>89</v>
      </c>
      <c r="G14" s="1" t="s">
        <v>100</v>
      </c>
      <c r="H14" s="20" t="s">
        <v>146</v>
      </c>
      <c r="I14" s="1" t="s">
        <v>147</v>
      </c>
      <c r="J14" s="1" t="n">
        <v>1962</v>
      </c>
      <c r="K14" s="1" t="n">
        <v>1990</v>
      </c>
      <c r="L14" s="1" t="n">
        <v>2000</v>
      </c>
      <c r="M14" s="1" t="n">
        <v>4</v>
      </c>
      <c r="N14" s="1" t="n">
        <v>1128</v>
      </c>
      <c r="O14" s="2"/>
      <c r="P14" s="3"/>
      <c r="Q14" s="3"/>
      <c r="R14" s="3"/>
      <c r="S14" s="3"/>
      <c r="T14" s="3"/>
      <c r="U14" s="3"/>
      <c r="V14" s="3"/>
      <c r="W14" s="1" t="n">
        <v>171</v>
      </c>
      <c r="X14" s="2"/>
      <c r="Y14" s="20" t="n">
        <v>5</v>
      </c>
      <c r="Z14" s="20" t="n">
        <v>205</v>
      </c>
      <c r="AA14" s="24" t="n">
        <f aca="false">IF(AND(W14&gt;0,Z14&gt;0),(Z14/((W14+X14)*10)),"")</f>
        <v>0.119883040935673</v>
      </c>
      <c r="AB14" s="20" t="n">
        <v>100</v>
      </c>
      <c r="AC14" s="20" t="n">
        <f aca="false">ROUND(AB14*1.6, 0)</f>
        <v>160</v>
      </c>
      <c r="AF14" s="20" t="n">
        <v>20.3</v>
      </c>
      <c r="AG14" s="20" t="n">
        <v>20</v>
      </c>
      <c r="AH14" s="20" t="n">
        <v>2.82</v>
      </c>
      <c r="AI14" s="20" t="n">
        <v>3.97</v>
      </c>
      <c r="AJ14" s="25" t="n">
        <v>41</v>
      </c>
      <c r="AK14" s="20" t="str">
        <f aca="false">CONCATENATE(VLOOKUP(AL14, '[1]Voxel Sizes'!$A$2:$B$18,2,FALSE()),"x",INT(AH14*15), "x", INT(AI14*15))</f>
        <v>198x42x59</v>
      </c>
      <c r="AL14" s="20" t="n">
        <f aca="false">ROUND(15*((AG14*10)/256),0)</f>
        <v>12</v>
      </c>
      <c r="AN14" s="1" t="str">
        <f aca="false">CONCATENATE(VLOOKUP(AL14,Constants!$A$2:$C$16,IF(AM14&lt;&gt;"", 3, 2), FALSE()),IF(AM14&lt;&gt;"",CONCATENATE(",",VLOOKUP(AM14,$B:$AN,38,FALSE())),""))</f>
        <v>4,4,4</v>
      </c>
      <c r="AO14" s="20" t="n">
        <v>6</v>
      </c>
      <c r="AP14" s="26"/>
      <c r="AQ14" s="26"/>
      <c r="AR14" s="20" t="s">
        <v>167</v>
      </c>
      <c r="AT14" s="20" t="s">
        <v>168</v>
      </c>
      <c r="AU14" s="20" t="s">
        <v>169</v>
      </c>
      <c r="AX14" s="20" t="n">
        <v>35</v>
      </c>
      <c r="AY14" s="27" t="n">
        <f aca="false">IF(L14&lt;&gt;"",MAX(16,(L14-J14)+8),"")</f>
        <v>46</v>
      </c>
      <c r="AZ14" s="20" t="n">
        <v>25</v>
      </c>
      <c r="BA14" s="20" t="n">
        <v>-15</v>
      </c>
      <c r="BB14" s="20" t="n">
        <f aca="false">MIN(AB14/150, 1)*30</f>
        <v>20</v>
      </c>
      <c r="BC14" s="20" t="n">
        <f aca="false">MIN(N14/4000, 1)*20</f>
        <v>5.64</v>
      </c>
      <c r="BD14" s="20" t="n">
        <f aca="false">MIN(Z14/400,1)*20</f>
        <v>10.25</v>
      </c>
      <c r="BE14" s="24" t="n">
        <f aca="false">1-(MAX(J14-1900, 0)/750)</f>
        <v>0.917333333333333</v>
      </c>
      <c r="BF14" s="20" t="n">
        <f aca="false">((MAX($M14,1)*MIN($AJ14/300,1)))*IF(G14="Wagon",50,10)</f>
        <v>5.46666666666667</v>
      </c>
      <c r="BG14" s="20" t="n">
        <f aca="false">VLOOKUP($H14,Constants!$I:$K, 2, FALSE())</f>
        <v>0.85</v>
      </c>
      <c r="BH14" s="20" t="n">
        <f aca="false">VLOOKUP($H14,Constants!$I:$K, 3, FALSE())*IF(AND(G14="multiple_unit",AB14&lt;110),0.75,1)</f>
        <v>1.725</v>
      </c>
      <c r="BI14" s="20" t="n">
        <f aca="false">INT(POWER((([1]Constants!$G$2+$BB14+$BC14+$BD14+$BF14)*$BE14)*$BH14, 1.05))+$BA14</f>
        <v>75</v>
      </c>
      <c r="BJ14" s="20" t="n">
        <f aca="false">INT(POWER(((([1]Constants!$G$1+$BB14+$BC14+$BD14+$BF14)*($BE14))*$BG14),IF($G14="wagon",1,1.2)))+$AZ14</f>
        <v>118</v>
      </c>
      <c r="BK14" s="33" t="n">
        <f aca="false">BI14*IF($G14="wagon",62.5,781.25)</f>
        <v>58593.75</v>
      </c>
      <c r="BL14" s="33" t="n">
        <f aca="false">BJ14*IF($G14="wagon",2.73,81.25)</f>
        <v>9587.5</v>
      </c>
      <c r="BQ14" s="20" t="str">
        <f aca="false">_xlfn.ORG.LIBREOFFICE.REGEX(_xlfn.ORG.LIBREOFFICE.REGEX(ACEMUVEHICLES, _xlfn.CONCAT(B14, ",?"), ""), ",$", "")</f>
        <v>class_302_4car,class_302_parcels,class_309_2car,class_309_3_4car</v>
      </c>
      <c r="BT14" s="20" t="n">
        <v>6</v>
      </c>
      <c r="BU14" s="20" t="n">
        <v>185</v>
      </c>
      <c r="BW14" s="19" t="s">
        <v>170</v>
      </c>
      <c r="BX14" s="20" t="s">
        <v>104</v>
      </c>
      <c r="BY14" s="20" t="str">
        <f aca="false">VLOOKUP(J14,[1]Eras!$A$2:$C$10, 2, TRUE())</f>
        <v>dsl</v>
      </c>
      <c r="BZ14" s="19" t="s">
        <v>163</v>
      </c>
      <c r="CA14" s="20" t="str">
        <f aca="false">CONCATENATE(BY14,"_",BZ14)</f>
        <v>dsl_EMU (Express)</v>
      </c>
      <c r="CB14" s="20" t="str">
        <f aca="false">_xlfn.CONCAT(H14, "_",I14)</f>
        <v>electric_ELRL</v>
      </c>
      <c r="CC14" s="32" t="str">
        <f aca="false" t="array" ref="CC14:CC14">_xlfn.CONCAT("{BLACK}Length: {GOLD}", TEXT(ROUNDUP(IF(AQ14&lt;&gt;"",SUM(VALUE(_xlfn.TEXTSPLIT(AQ14, ","))), SUM(VALUE(_xlfn.TEXTSPLIT(AN14, ",")))*IF(M14, M14, 1))/16, 1), "#,##0.0"), " tiles{}")</f>
        <v>{BLACK}Length: {GOLD}3.0 tiles{}</v>
      </c>
      <c r="CD14" s="1" t="str">
        <f aca="false">VLOOKUP($CB14, Constants!$M:$N, 2, FALSE())</f>
        <v>{BLACK}Powered by: {GOLD}25kV AC</v>
      </c>
      <c r="CE14" s="20" t="str">
        <f aca="false">IF(M14&gt;1,_xlfn.CONCAT("{BLACK}Cars: {GOLD}", M14),"")</f>
        <v>{BLACK}Cars: {GOLD}4</v>
      </c>
      <c r="CF14" s="20" t="s">
        <v>171</v>
      </c>
      <c r="CG14" s="20" t="str">
        <f aca="false">IF(BW14="buffet","{YELLOW}25% long distance bonus for consist{}",IF(BY14="BRAKE","{YELLOW}Speed bonus for slow wagons{}",IF(BU14&gt;190,CONCATENATE("{YELLOW}",INT((BU14-185)/1.85),"% bonus for long distance travel{}"),IF(AND(BU14&lt;180,BU14&lt;&gt;0),CONCATENATE("{YELLOW}",INT((185-BU14)/1.85),"% penalty for long distance travel{}"),""))))</f>
        <v>{YELLOW}25% long distance bonus for consist{}</v>
      </c>
      <c r="CH14" s="1" t="str">
        <f aca="false">_xlfn.CONCAT(CD14,IF(CD14 &lt;&gt; "", " ", ""),CE14,IF(OR(CE14&lt;&gt;"", CD14&lt;&gt;""), "{}",""), CC14, CG14,"{SILVER}", CF14)</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row>
    <row r="15" s="20" customFormat="true" ht="13.8" hidden="false" customHeight="false" outlineLevel="0" collapsed="false">
      <c r="A15" s="35" t="s">
        <v>172</v>
      </c>
      <c r="B15" s="35" t="s">
        <v>173</v>
      </c>
      <c r="C15" s="1" t="n">
        <v>311</v>
      </c>
      <c r="D15" s="1" t="n">
        <v>310</v>
      </c>
      <c r="E15" s="1" t="n">
        <v>41</v>
      </c>
      <c r="F15" s="1" t="s">
        <v>89</v>
      </c>
      <c r="G15" s="1" t="s">
        <v>100</v>
      </c>
      <c r="H15" s="20" t="s">
        <v>146</v>
      </c>
      <c r="I15" s="1" t="s">
        <v>147</v>
      </c>
      <c r="J15" s="1" t="n">
        <v>1962</v>
      </c>
      <c r="K15" s="1" t="n">
        <v>1990</v>
      </c>
      <c r="L15" s="1" t="n">
        <v>2000</v>
      </c>
      <c r="M15" s="1" t="n">
        <v>4</v>
      </c>
      <c r="N15" s="1" t="n">
        <v>1128</v>
      </c>
      <c r="O15" s="2"/>
      <c r="P15" s="3"/>
      <c r="Q15" s="3"/>
      <c r="R15" s="3"/>
      <c r="S15" s="3"/>
      <c r="T15" s="3"/>
      <c r="U15" s="3"/>
      <c r="V15" s="3"/>
      <c r="W15" s="1" t="n">
        <v>170</v>
      </c>
      <c r="X15" s="2"/>
      <c r="Y15" s="20" t="n">
        <v>5</v>
      </c>
      <c r="Z15" s="20" t="n">
        <v>205</v>
      </c>
      <c r="AA15" s="24" t="n">
        <f aca="false">IF(AND(W15&gt;0,Z15&gt;0),(Z15/((W15+X15)*10)),"")</f>
        <v>0.120588235294118</v>
      </c>
      <c r="AB15" s="20" t="n">
        <v>100</v>
      </c>
      <c r="AC15" s="20" t="n">
        <f aca="false">ROUND(AB15*1.6, 0)</f>
        <v>160</v>
      </c>
      <c r="AF15" s="20" t="n">
        <v>20.3</v>
      </c>
      <c r="AG15" s="20" t="n">
        <v>20</v>
      </c>
      <c r="AH15" s="20" t="n">
        <v>2.82</v>
      </c>
      <c r="AI15" s="20" t="n">
        <v>3.97</v>
      </c>
      <c r="AJ15" s="25" t="n">
        <v>53</v>
      </c>
      <c r="AK15" s="20" t="str">
        <f aca="false">CONCATENATE(VLOOKUP(AL15, '[1]Voxel Sizes'!$A$2:$B$18,2,FALSE()),"x",INT(AH15*15), "x", INT(AI15*15))</f>
        <v>198x42x59</v>
      </c>
      <c r="AL15" s="20" t="n">
        <f aca="false">ROUND(15*((AG15*10)/256),0)</f>
        <v>12</v>
      </c>
      <c r="AN15" s="1" t="str">
        <f aca="false">CONCATENATE(VLOOKUP(AL15,Constants!$A$2:$C$16,IF(AM15&lt;&gt;"", 3, 2), FALSE()),IF(AM15&lt;&gt;"",CONCATENATE(",",VLOOKUP(AM15,$B:$AN,38,FALSE())),""))</f>
        <v>4,4,4</v>
      </c>
      <c r="AO15" s="20" t="n">
        <v>6</v>
      </c>
      <c r="AP15" s="26"/>
      <c r="AQ15" s="26"/>
      <c r="AR15" s="20" t="s">
        <v>174</v>
      </c>
      <c r="AT15" s="20" t="s">
        <v>175</v>
      </c>
      <c r="AU15" s="20" t="s">
        <v>169</v>
      </c>
      <c r="AX15" s="20" t="n">
        <v>35</v>
      </c>
      <c r="AY15" s="27" t="n">
        <f aca="false">IF(L15&lt;&gt;"",MAX(16,(L15-J15)+8),"")</f>
        <v>46</v>
      </c>
      <c r="AZ15" s="20" t="n">
        <v>-10</v>
      </c>
      <c r="BA15" s="20" t="n">
        <v>-30</v>
      </c>
      <c r="BB15" s="20" t="n">
        <f aca="false">MIN(AB15/150, 1)*30</f>
        <v>20</v>
      </c>
      <c r="BC15" s="20" t="n">
        <f aca="false">MIN(N15/4000, 1)*20</f>
        <v>5.64</v>
      </c>
      <c r="BD15" s="20" t="n">
        <f aca="false">MIN(Z15/400,1)*20</f>
        <v>10.25</v>
      </c>
      <c r="BE15" s="24" t="n">
        <f aca="false">1-(MAX(J15-1900, 0)/750)</f>
        <v>0.917333333333333</v>
      </c>
      <c r="BF15" s="20" t="n">
        <f aca="false">((MAX($M15,1)*MIN($AJ15/300,1)))*IF(G15="Wagon",50,10)</f>
        <v>7.06666666666667</v>
      </c>
      <c r="BG15" s="20" t="n">
        <f aca="false">VLOOKUP($H15,Constants!$I:$K, 2, FALSE())</f>
        <v>0.85</v>
      </c>
      <c r="BH15" s="20" t="n">
        <f aca="false">VLOOKUP($H15,Constants!$I:$K, 3, FALSE())*IF(AND(G15="multiple_unit",AB15&lt;110),0.75,1)</f>
        <v>1.725</v>
      </c>
      <c r="BI15" s="20" t="n">
        <f aca="false">INT(POWER((([1]Constants!$G$2+$BB15+$BC15+$BD15+$BF15)*$BE15)*$BH15, 1.05))+$BA15</f>
        <v>64</v>
      </c>
      <c r="BJ15" s="20" t="n">
        <f aca="false">INT(POWER(((([1]Constants!$G$1+$BB15+$BC15+$BD15+$BF15)*($BE15))*$BG15),IF($G15="wagon",1,1.2)))+$AZ15</f>
        <v>86</v>
      </c>
      <c r="BK15" s="33" t="n">
        <f aca="false">BI15*IF($G15="wagon",62.5,781.25)</f>
        <v>50000</v>
      </c>
      <c r="BL15" s="33" t="n">
        <f aca="false">BJ15*IF($G15="wagon",2.73,81.25)</f>
        <v>6987.5</v>
      </c>
      <c r="BQ15" s="20" t="str">
        <f aca="false">_xlfn.ORG.LIBREOFFICE.REGEX(_xlfn.ORG.LIBREOFFICE.REGEX(ACEMUVEHICLES, _xlfn.CONCAT(B15, ",?"), ""), ",$", "")</f>
        <v>class_302_4car,class_302_parcels,class_309_2car,class_309_2_4car_buf</v>
      </c>
      <c r="BT15" s="20" t="n">
        <v>6</v>
      </c>
      <c r="BU15" s="20" t="n">
        <v>185</v>
      </c>
      <c r="BW15" s="19"/>
      <c r="BX15" s="20" t="s">
        <v>104</v>
      </c>
      <c r="BY15" s="20" t="str">
        <f aca="false">VLOOKUP(J15,[1]Eras!$A$2:$C$10, 2, TRUE())</f>
        <v>dsl</v>
      </c>
      <c r="BZ15" s="19" t="s">
        <v>163</v>
      </c>
      <c r="CA15" s="20" t="str">
        <f aca="false">CONCATENATE(BY15,"_",BZ15)</f>
        <v>dsl_EMU (Express)</v>
      </c>
      <c r="CB15" s="20" t="str">
        <f aca="false">_xlfn.CONCAT(H15, "_",I15)</f>
        <v>electric_ELRL</v>
      </c>
      <c r="CC15" s="32" t="str">
        <f aca="false" t="array" ref="CC15:CC15">_xlfn.CONCAT("{BLACK}Length: {GOLD}", TEXT(ROUNDUP(IF(AQ15&lt;&gt;"",SUM(VALUE(_xlfn.TEXTSPLIT(AQ15, ","))), SUM(VALUE(_xlfn.TEXTSPLIT(AN15, ",")))*IF(M15, M15, 1))/16, 1), "#,##0.0"), " tiles{}")</f>
        <v>{BLACK}Length: {GOLD}3.0 tiles{}</v>
      </c>
      <c r="CD15" s="1" t="str">
        <f aca="false">VLOOKUP($CB15, Constants!$M:$N, 2, FALSE())</f>
        <v>{BLACK}Powered by: {GOLD}25kV AC</v>
      </c>
      <c r="CE15" s="20" t="str">
        <f aca="false">IF(M15&gt;1,_xlfn.CONCAT("{BLACK}Cars: {GOLD}", M15),"")</f>
        <v>{BLACK}Cars: {GOLD}4</v>
      </c>
      <c r="CF15" s="20" t="s">
        <v>176</v>
      </c>
      <c r="CG15" s="20"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{GOLD}25kV AC {BLACK}Cars: {GOLD}4{}{BLACK}Length: {GOLD}3.0 tiles{}{SILVER}The ‘Clacton’ units were iconic express EMUs of the GEML’s early electrification. This subclass represents a basic 4 car formation complete.</v>
      </c>
    </row>
    <row r="16" s="20" customFormat="true" ht="13.8" hidden="false" customHeight="false" outlineLevel="0" collapsed="false">
      <c r="A16" s="20" t="s">
        <v>177</v>
      </c>
      <c r="B16" s="20" t="s">
        <v>178</v>
      </c>
      <c r="C16" s="20" t="n">
        <v>484</v>
      </c>
      <c r="E16" s="20" t="n">
        <v>161</v>
      </c>
      <c r="F16" s="20" t="s">
        <v>89</v>
      </c>
      <c r="G16" s="20" t="s">
        <v>100</v>
      </c>
      <c r="H16" s="20" t="s">
        <v>146</v>
      </c>
      <c r="I16" s="20" t="s">
        <v>179</v>
      </c>
      <c r="J16" s="20" t="n">
        <v>2012</v>
      </c>
      <c r="M16" s="20" t="n">
        <v>5</v>
      </c>
      <c r="N16" s="20" t="n">
        <v>3620</v>
      </c>
      <c r="O16" s="21"/>
      <c r="P16" s="22"/>
      <c r="Q16" s="22"/>
      <c r="R16" s="22"/>
      <c r="S16" s="22"/>
      <c r="T16" s="22"/>
      <c r="U16" s="22"/>
      <c r="V16" s="22"/>
      <c r="W16" s="20" t="n">
        <v>200</v>
      </c>
      <c r="X16" s="21"/>
      <c r="Y16" s="20" t="n">
        <v>5</v>
      </c>
      <c r="Z16" s="20" t="n">
        <v>240</v>
      </c>
      <c r="AA16" s="24" t="n">
        <f aca="false">IF(AND(W16&gt;0,Z16&gt;0),(Z16/((W16+X16)*10)),"")</f>
        <v>0.12</v>
      </c>
      <c r="AB16" s="20" t="n">
        <v>100</v>
      </c>
      <c r="AC16" s="20" t="n">
        <f aca="false">ROUND(AB16*1.6, 0)</f>
        <v>160</v>
      </c>
      <c r="AG16" s="20" t="n">
        <v>21</v>
      </c>
      <c r="AJ16" s="25" t="n">
        <v>54</v>
      </c>
      <c r="AK16" s="20" t="str">
        <f aca="false">CONCATENATE(VLOOKUP(AL16, '[1]Voxel Sizes'!$A$2:$B$18,2,FALSE()),"x",INT(AH16*15), "x", INT(AI16*15))</f>
        <v>198x0x0</v>
      </c>
      <c r="AL16" s="20" t="n">
        <f aca="false">ROUND(15*((AG16*10)/256),0)</f>
        <v>12</v>
      </c>
      <c r="AN16" s="1" t="str">
        <f aca="false">CONCATENATE(VLOOKUP(AL16,Constants!$A$2:$C$16,IF(AM16&lt;&gt;"", 3, 2), FALSE()),IF(AM16&lt;&gt;"",CONCATENATE(",",VLOOKUP(AM16,$B:$AN,38,FALSE())),""))</f>
        <v>4,4,4</v>
      </c>
      <c r="AP16" s="26"/>
      <c r="AQ16" s="26"/>
      <c r="AR16" s="20" t="s">
        <v>180</v>
      </c>
      <c r="AT16" s="20" t="s">
        <v>181</v>
      </c>
      <c r="AU16" s="20" t="s">
        <v>182</v>
      </c>
      <c r="AX16" s="20" t="n">
        <v>27</v>
      </c>
      <c r="AY16" s="27" t="str">
        <f aca="false">IF(L16&lt;&gt;"",MAX(16,(L16-J16)+8),"")</f>
        <v/>
      </c>
      <c r="AZ16" s="20" t="n">
        <v>-15</v>
      </c>
      <c r="BA16" s="20" t="n">
        <v>-30</v>
      </c>
      <c r="BB16" s="20" t="n">
        <f aca="false">MIN(AB16/150, 1)*30</f>
        <v>20</v>
      </c>
      <c r="BC16" s="20" t="n">
        <f aca="false">MIN(N16/4000, 1)*20</f>
        <v>18.1</v>
      </c>
      <c r="BD16" s="20" t="n">
        <f aca="false">MIN(Z16/400,1)*20</f>
        <v>12</v>
      </c>
      <c r="BE16" s="24" t="n">
        <f aca="false">1-(MAX(J16-1900, 0)/750)</f>
        <v>0.850666666666667</v>
      </c>
      <c r="BF16" s="20" t="n">
        <f aca="false">((MAX($M16,1)*MIN($AJ16/300,1)))*IF(G16="Wagon",50,10)</f>
        <v>9</v>
      </c>
      <c r="BG16" s="20" t="n">
        <f aca="false">VLOOKUP($H16,Constants!$I:$K, 2, FALSE())</f>
        <v>0.85</v>
      </c>
      <c r="BH16" s="20" t="n">
        <f aca="false">VLOOKUP($H16,Constants!$I:$K, 3, FALSE())*IF(AND(G16="multiple_unit",AB16&lt;110),0.75,1)</f>
        <v>1.725</v>
      </c>
      <c r="BI16" s="20" t="n">
        <f aca="false">INT(POWER((([1]Constants!$G$2+$BB16+$BC16+$BD16+$BF16)*$BE16)*$BH16, 1.05))+$BA16</f>
        <v>88</v>
      </c>
      <c r="BJ16" s="20" t="n">
        <f aca="false">INT(POWER(((([1]Constants!$G$1+$BB16+$BC16+$BD16+$BF16)*($BE16))*$BG16),IF($G16="wagon",1,1.2)))+$AZ16</f>
        <v>103</v>
      </c>
      <c r="BK16" s="33" t="n">
        <f aca="false">BI16*IF($G16="wagon",62.5,781.25)</f>
        <v>68750</v>
      </c>
      <c r="BL16" s="33" t="n">
        <f aca="false">BJ16*IF($G16="wagon",2.73,81.25)</f>
        <v>8368.75</v>
      </c>
      <c r="BT16" s="20" t="n">
        <v>4</v>
      </c>
      <c r="BU16" s="20" t="n">
        <v>205</v>
      </c>
      <c r="BX16" s="20" t="s">
        <v>104</v>
      </c>
      <c r="BY16" s="20" t="str">
        <f aca="false">VLOOKUP(J16,[1]Eras!$A$2:$C$10, 2, TRUE())</f>
        <v>mod</v>
      </c>
      <c r="BZ16" s="19" t="s">
        <v>163</v>
      </c>
      <c r="CA16" s="20" t="str">
        <f aca="false">CONCATENATE(BY16,"_",BZ16)</f>
        <v>mod_EMU (Express)</v>
      </c>
      <c r="CB16" s="20" t="str">
        <f aca="false">_xlfn.CONCAT(H16, "_",I16)</f>
        <v>electric_THIRD_RAIL</v>
      </c>
      <c r="CC16" s="32" t="str">
        <f aca="false" t="array" ref="CC16:CC16">_xlfn.CONCAT("{BLACK}Length: {GOLD}", TEXT(ROUNDUP(IF(AQ16&lt;&gt;"",SUM(VALUE(_xlfn.TEXTSPLIT(AQ16, ","))), SUM(VALUE(_xlfn.TEXTSPLIT(AN16, ",")))*IF(M16, M16, 1))/16, 1), "#,##0.0"), " tiles{}")</f>
        <v>{BLACK}Length: {GOLD}3.8 tiles{}</v>
      </c>
      <c r="CD16" s="1" t="str">
        <f aca="false">VLOOKUP($CB16, Constants!$M:$N, 2, FALSE())</f>
        <v>{BLACK}Powered by: {GOLD}750V DC</v>
      </c>
      <c r="CE16" s="20" t="str">
        <f aca="false">IF(M16&gt;1,_xlfn.CONCAT("{BLACK}Cars: {GOLD}", M16),"")</f>
        <v>{BLACK}Cars: {GOLD}5</v>
      </c>
      <c r="CF16" s="20" t="s">
        <v>183</v>
      </c>
      <c r="CG16" s="20" t="str">
        <f aca="false">IF(BW16="buffet","{YELLOW}25% long distance bonus for consist{}",IF(BY16="BRAKE","{YELLOW}Speed bonus for slow wagons{}",IF(BU16&gt;190,CONCATENATE("{YELLOW}",INT((BU16-185)/1.85),"% bonus for long distance travel{}"),IF(AND(BU16&lt;180,BU16&lt;&gt;0),CONCATENATE("{YELLOW}",INT((185-BU16)/1.85),"% penalty for long distance travel{}"),""))))</f>
        <v>{YELLOW}10% bonus for long distance travel{}</v>
      </c>
      <c r="CH16" s="1" t="str">
        <f aca="false">_xlfn.CONCAT(CD16,IF(CD16 &lt;&gt; "", " ", ""),CE16,IF(OR(CE16&lt;&gt;"", CD16&lt;&gt;""), "{}",""), CC16, CG16,"{SILVER}", CF16)</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row>
    <row r="17" s="19" customFormat="true" ht="13.8" hidden="false" customHeight="false" outlineLevel="0" collapsed="false">
      <c r="A17" s="1" t="s">
        <v>184</v>
      </c>
      <c r="B17" s="1" t="s">
        <v>185</v>
      </c>
      <c r="C17" s="1" t="n">
        <v>411</v>
      </c>
      <c r="D17" s="1"/>
      <c r="E17" s="1" t="n">
        <v>413</v>
      </c>
      <c r="F17" s="1" t="s">
        <v>89</v>
      </c>
      <c r="G17" s="1" t="s">
        <v>100</v>
      </c>
      <c r="H17" s="1" t="s">
        <v>146</v>
      </c>
      <c r="I17" s="1" t="s">
        <v>179</v>
      </c>
      <c r="J17" s="1" t="n">
        <v>1956</v>
      </c>
      <c r="K17" s="1" t="n">
        <v>1989</v>
      </c>
      <c r="L17" s="1" t="n">
        <v>2004</v>
      </c>
      <c r="M17" s="1" t="n">
        <v>4</v>
      </c>
      <c r="N17" s="1" t="n">
        <v>500</v>
      </c>
      <c r="O17" s="2"/>
      <c r="P17" s="3"/>
      <c r="Q17" s="3"/>
      <c r="R17" s="3"/>
      <c r="S17" s="3"/>
      <c r="T17" s="3"/>
      <c r="U17" s="3"/>
      <c r="V17" s="3"/>
      <c r="W17" s="1" t="n">
        <v>46.2</v>
      </c>
      <c r="X17" s="2"/>
      <c r="Y17" s="1" t="n">
        <v>5</v>
      </c>
      <c r="Z17" s="1" t="n">
        <v>95</v>
      </c>
      <c r="AA17" s="4" t="n">
        <f aca="false">IF(AND(W17&gt;0,Z17&gt;0),(Z17/((W17+X17)*10)),"")</f>
        <v>0.205627705627706</v>
      </c>
      <c r="AB17" s="1" t="n">
        <v>90</v>
      </c>
      <c r="AC17" s="1" t="n">
        <f aca="false">ROUND(AB17*1.6, 0)</f>
        <v>144</v>
      </c>
      <c r="AD17" s="1"/>
      <c r="AE17" s="1"/>
      <c r="AF17" s="1" t="n">
        <v>19.64</v>
      </c>
      <c r="AG17" s="1" t="n">
        <v>20</v>
      </c>
      <c r="AH17" s="1" t="n">
        <v>2.7</v>
      </c>
      <c r="AI17" s="1" t="n">
        <v>3.77</v>
      </c>
      <c r="AJ17" s="5" t="n">
        <v>56</v>
      </c>
      <c r="AK17" s="1" t="str">
        <f aca="false">CONCATENATE(VLOOKUP(AL17, '[1]Voxel Sizes'!$A$2:$B$18,2,FALSE()),"x",INT(AH17*15), "x", INT(AI17*15))</f>
        <v>198x40x56</v>
      </c>
      <c r="AL17" s="1" t="n">
        <f aca="false">ROUND(15*((AG17*10)/256),0)</f>
        <v>12</v>
      </c>
      <c r="AM17" s="1"/>
      <c r="AN17" s="1" t="str">
        <f aca="false">CONCATENATE(VLOOKUP(AL17,Constants!$A$2:$C$16,IF(AM17&lt;&gt;"", 3, 2), FALSE()),IF(AM17&lt;&gt;"",CONCATENATE(",",VLOOKUP(AM17,$B:$AN,38,FALSE())),""))</f>
        <v>4,4,4</v>
      </c>
      <c r="AO17" s="1"/>
      <c r="AP17" s="7"/>
      <c r="AQ17" s="7"/>
      <c r="AR17" s="1" t="s">
        <v>186</v>
      </c>
      <c r="AS17" s="1"/>
      <c r="AT17" s="1" t="s">
        <v>135</v>
      </c>
      <c r="AU17" s="1" t="s">
        <v>187</v>
      </c>
      <c r="AV17" s="1"/>
      <c r="AW17" s="1"/>
      <c r="AX17" s="1" t="n">
        <v>45</v>
      </c>
      <c r="AY17" s="6" t="n">
        <f aca="false">IF(L17&lt;&gt;"",MAX(16,(L17-J17)+8),"")</f>
        <v>56</v>
      </c>
      <c r="AZ17" s="1" t="n">
        <v>-10</v>
      </c>
      <c r="BA17" s="1"/>
      <c r="BB17" s="20" t="n">
        <f aca="false">MIN(AB17/150, 1)*30</f>
        <v>18</v>
      </c>
      <c r="BC17" s="20" t="n">
        <f aca="false">MIN(N17/4000, 1)*20</f>
        <v>2.5</v>
      </c>
      <c r="BD17" s="20" t="n">
        <f aca="false">MIN(Z17/400,1)*20</f>
        <v>4.75</v>
      </c>
      <c r="BE17" s="24" t="n">
        <f aca="false">1-(MAX(J17-1900, 0)/750)</f>
        <v>0.925333333333333</v>
      </c>
      <c r="BF17" s="20" t="n">
        <f aca="false">((MAX($M17,1)*MIN($AJ17/300,1)))*IF(G17="Wagon",50,10)</f>
        <v>7.46666666666667</v>
      </c>
      <c r="BG17" s="20" t="n">
        <f aca="false">VLOOKUP($H17,Constants!$I:$K, 2, FALSE())</f>
        <v>0.85</v>
      </c>
      <c r="BH17" s="20" t="n">
        <f aca="false">VLOOKUP($H17,Constants!$I:$K, 3, FALSE())*IF(AND(G17="multiple_unit",AB17&lt;110),0.75,1)</f>
        <v>1.725</v>
      </c>
      <c r="BI17" s="20" t="n">
        <f aca="false">INT(POWER(((Constants!$G$2+$BB17+$BC17+$BD17+$BF17)*$BE17)*$BH17, 1.05))+$BA17</f>
        <v>73</v>
      </c>
      <c r="BJ17" s="20" t="n">
        <f aca="false">INT(POWER((((Constants!$G$1+$BB17+$BC17+$BD17+$BF17)*($BE17))*$BG17),IF($G17="wagon",1,1.2)))+$AZ17</f>
        <v>67</v>
      </c>
      <c r="BK17" s="34" t="n">
        <f aca="false">BI17*IF($G17="wagon",62.5,781.25)</f>
        <v>57031.25</v>
      </c>
      <c r="BL17" s="34" t="n">
        <f aca="false">BJ17*IF($G17="wagon",2.73,81.25)</f>
        <v>5443.75</v>
      </c>
      <c r="BM17" s="1"/>
      <c r="BN17" s="1"/>
      <c r="BO17" s="1"/>
      <c r="BP17" s="1"/>
      <c r="BQ17" s="1" t="s">
        <v>188</v>
      </c>
      <c r="BR17" s="1"/>
      <c r="BS17" s="1"/>
      <c r="BT17" s="1" t="n">
        <v>2</v>
      </c>
      <c r="BU17" s="1"/>
      <c r="BV17" s="1"/>
      <c r="BW17" s="1"/>
      <c r="BX17" s="1" t="s">
        <v>104</v>
      </c>
      <c r="BY17" s="20" t="str">
        <f aca="false">VLOOKUP(J17,Eras!$A$2:$C$10, 2, TRUE())</f>
        <v>dsl</v>
      </c>
      <c r="BZ17" s="35" t="s">
        <v>150</v>
      </c>
      <c r="CA17" s="1" t="str">
        <f aca="false">CONCATENATE(BY17,"_",BZ17)</f>
        <v>dsl_EMU</v>
      </c>
      <c r="CB17" s="1" t="str">
        <f aca="false">_xlfn.CONCAT(H17, "_",I17)</f>
        <v>electric_THIRD_RAIL</v>
      </c>
      <c r="CC17" s="36" t="str">
        <f aca="false" t="array" ref="CC17:CC17">_xlfn.CONCAT("{BLACK}Length: {GOLD}", TEXT(ROUNDUP(IF(AQ17&lt;&gt;"",SUM(VALUE(_xlfn.TEXTSPLIT(AQ17, ","))), SUM(VALUE(_xlfn.TEXTSPLIT(AN17, ",")))*IF(M17, M17, 1))/16, 1), "#,##0.0"), " tiles{}")</f>
        <v>{BLACK}Length: {GOLD}3.0 tiles{}</v>
      </c>
      <c r="CD17" s="1" t="str">
        <f aca="false">VLOOKUP($CB17, Constants!$M:$N, 2, FALSE())</f>
        <v>{BLACK}Powered by: {GOLD}750V DC</v>
      </c>
      <c r="CE17" s="1" t="str">
        <f aca="false">IF(M17&gt;1,_xlfn.CONCAT("{BLACK}Cars: {GOLD}", M17),"")</f>
        <v>{BLACK}Cars: {GOLD}4</v>
      </c>
      <c r="CF17" s="1" t="s">
        <v>189</v>
      </c>
      <c r="CG17" s="20"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{GOLD}750V DC {BLACK}Cars: {GOLD}4{}{BLACK}Length: {GOLD}3.0 tiles{}{SILVER}The archetypal Mk1 Express EMU – 4CEP units were an evolution of the earlier southern 4COR units. 133 were built and they enjoyed a long career into the early 2000s.</v>
      </c>
      <c r="CI17" s="1"/>
      <c r="CJ17" s="1"/>
      <c r="CK17" s="20"/>
    </row>
    <row r="18" customFormat="false" ht="13.8" hidden="false" customHeight="false" outlineLevel="0" collapsed="false">
      <c r="A18" s="1" t="s">
        <v>190</v>
      </c>
      <c r="B18" s="1" t="s">
        <v>191</v>
      </c>
      <c r="C18" s="1" t="n">
        <v>419</v>
      </c>
      <c r="E18" s="1" t="n">
        <v>421</v>
      </c>
      <c r="F18" s="1" t="s">
        <v>89</v>
      </c>
      <c r="G18" s="1" t="s">
        <v>90</v>
      </c>
      <c r="H18" s="1" t="s">
        <v>192</v>
      </c>
      <c r="I18" s="1" t="s">
        <v>193</v>
      </c>
      <c r="J18" s="1" t="n">
        <v>1959</v>
      </c>
      <c r="K18" s="1" t="n">
        <v>1989</v>
      </c>
      <c r="L18" s="1" t="n">
        <v>2004</v>
      </c>
      <c r="M18" s="1" t="n">
        <v>1</v>
      </c>
      <c r="N18" s="1" t="n">
        <v>500</v>
      </c>
      <c r="W18" s="1" t="n">
        <v>46.2</v>
      </c>
      <c r="Y18" s="1" t="n">
        <v>5</v>
      </c>
      <c r="Z18" s="1" t="n">
        <v>95</v>
      </c>
      <c r="AA18" s="4" t="n">
        <f aca="false">IF(AND(W18&gt;0,Z18&gt;0),(Z18/((W18+X18)*10)),"")</f>
        <v>0.205627705627706</v>
      </c>
      <c r="AB18" s="1" t="n">
        <v>90</v>
      </c>
      <c r="AC18" s="1" t="n">
        <f aca="false">ROUND(AB18*1.6, 0)</f>
        <v>144</v>
      </c>
      <c r="AF18" s="1" t="n">
        <v>19.64</v>
      </c>
      <c r="AG18" s="1" t="n">
        <v>20</v>
      </c>
      <c r="AH18" s="1" t="n">
        <v>2.7</v>
      </c>
      <c r="AI18" s="1" t="n">
        <v>3.77</v>
      </c>
      <c r="AJ18" s="5" t="n">
        <v>38</v>
      </c>
      <c r="AK18" s="1" t="str">
        <f aca="false">CONCATENATE(VLOOKUP(AL18, '[1]Voxel Sizes'!$A$2:$B$18,2,FALSE()),"x",INT(AH18*15), "x", INT(AI18*15))</f>
        <v>198x40x56</v>
      </c>
      <c r="AL18" s="1" t="n">
        <f aca="false">ROUND(15*((AG18*10)/256),0)</f>
        <v>12</v>
      </c>
      <c r="AN18" s="1" t="str">
        <f aca="false">CONCATENATE(VLOOKUP(AL18,Constants!$A$2:$C$16,IF(AM18&lt;&gt;"", 3, 2), FALSE()),IF(AM18&lt;&gt;"",CONCATENATE(",",VLOOKUP(AM18,$B:$AN,38,FALSE())),""))</f>
        <v>4,4,4</v>
      </c>
      <c r="AR18" s="1" t="s">
        <v>191</v>
      </c>
      <c r="AT18" s="1" t="n">
        <v>1</v>
      </c>
      <c r="AX18" s="1" t="n">
        <v>45</v>
      </c>
      <c r="AY18" s="6" t="n">
        <f aca="false">IF(L18&lt;&gt;"",MAX(16,(L18-J18)+8),"")</f>
        <v>53</v>
      </c>
      <c r="BA18" s="1" t="n">
        <v>-45</v>
      </c>
      <c r="BB18" s="20" t="n">
        <f aca="false">MIN(AB18/150, 1)*30</f>
        <v>18</v>
      </c>
      <c r="BC18" s="20" t="n">
        <f aca="false">MIN(N18/4000, 1)*20</f>
        <v>2.5</v>
      </c>
      <c r="BD18" s="20" t="n">
        <f aca="false">MIN(Z18/400,1)*20</f>
        <v>4.75</v>
      </c>
      <c r="BE18" s="24" t="n">
        <f aca="false">1-(MAX(J18-1900, 0)/750)</f>
        <v>0.921333333333333</v>
      </c>
      <c r="BF18" s="20" t="n">
        <f aca="false">((MAX($M18,1)*MIN($AJ18/300,1)))*IF(G18="Wagon",50,10)</f>
        <v>1.26666666666667</v>
      </c>
      <c r="BG18" s="20" t="n">
        <f aca="false">VLOOKUP($H18,Constants!$I:$K, 2, FALSE())</f>
        <v>0.9</v>
      </c>
      <c r="BH18" s="20" t="n">
        <f aca="false">VLOOKUP($H18,Constants!$I:$K, 3, FALSE())*IF(AND(G18="multiple_unit",AB18&lt;110),0.75,1)</f>
        <v>2.5</v>
      </c>
      <c r="BI18" s="20" t="n">
        <f aca="false">INT(POWER(((Constants!$G$2+$BB18+$BC18+$BD18+$BF18)*$BE18)*$BH18, 1.05))+$BA18</f>
        <v>44</v>
      </c>
      <c r="BJ18" s="20" t="n">
        <f aca="false">INT(POWER((((Constants!$G$1+$BB18+$BC18+$BD18+$BF18)*($BE18))*$BG18),IF($G18="wagon",1,1.2)))+$AZ18</f>
        <v>69</v>
      </c>
      <c r="BK18" s="34" t="n">
        <f aca="false">BI18*IF($G18="wagon",62.5,781.25)</f>
        <v>34375</v>
      </c>
      <c r="BL18" s="34" t="n">
        <f aca="false">BJ18*IF($G18="wagon",2.73,81.25)</f>
        <v>5606.25</v>
      </c>
      <c r="BQ18" s="1" t="s">
        <v>194</v>
      </c>
      <c r="BT18" s="1" t="n">
        <v>2</v>
      </c>
      <c r="BX18" s="1" t="s">
        <v>156</v>
      </c>
      <c r="BY18" s="20" t="str">
        <f aca="false">VLOOKUP(J18,Eras!$A$2:$C$10, 2, TRUE())</f>
        <v>dsl</v>
      </c>
      <c r="BZ18" s="35" t="s">
        <v>150</v>
      </c>
      <c r="CA18" s="1" t="str">
        <f aca="false">CONCATENATE(BY18,"_",BZ18)</f>
        <v>dsl_EMU</v>
      </c>
      <c r="CB18" s="1" t="str">
        <f aca="false">_xlfn.CONCAT(H18, "_",I18)</f>
        <v>dual_power_BATTERY</v>
      </c>
      <c r="CC18" s="36" t="str">
        <f aca="false" t="array" ref="CC18:CC18">_xlfn.CONCAT("{BLACK}Length: {GOLD}", TEXT(ROUNDUP(IF(AQ18&lt;&gt;"",SUM(VALUE(_xlfn.TEXTSPLIT(AQ18, ","))), SUM(VALUE(_xlfn.TEXTSPLIT(AN18, ",")))*IF(M18, M18, 1))/16, 1), "#,##0.0"), " tiles{}")</f>
        <v>{BLACK}Length: {GOLD}0.8 tiles{}</v>
      </c>
      <c r="CD18" s="1" t="str">
        <f aca="false">VLOOKUP($CB18, Constants!$M:$N, 2, FALSE())</f>
        <v>{BLACK}Powered by: {GOLD}750V DC / Battery</v>
      </c>
      <c r="CE18" s="1" t="str">
        <f aca="false">IF(M18&gt;1,_xlfn.CONCAT("{BLACK}Cars: {GOLD}", M18),"")</f>
        <v/>
      </c>
      <c r="CF18" s="1" t="s">
        <v>195</v>
      </c>
      <c r="CG18" s="20" t="str">
        <f aca="false">IF(BW18="buffet","{YELLOW}25% long distance bonus for consist{}",IF(BY18="BRAKE","{YELLOW}Speed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{GOLD}750V DC / Battery {}{BLACK}Length: {GOLD}0.8 tiles{}{SILVER}The Class 419 Motor Luggage Van was used to extend the luggage capacity of express services and was capable of running on it’s own batteries within non-electrified areas.</v>
      </c>
      <c r="CI18" s="1"/>
      <c r="CJ18" s="1"/>
      <c r="CK18" s="20"/>
    </row>
    <row r="19" customFormat="false" ht="13.8" hidden="false" customHeight="false" outlineLevel="0" collapsed="false">
      <c r="A19" s="1" t="s">
        <v>196</v>
      </c>
      <c r="B19" s="1" t="s">
        <v>197</v>
      </c>
      <c r="C19" s="1" t="n">
        <v>489</v>
      </c>
      <c r="E19" s="1" t="n">
        <v>491</v>
      </c>
      <c r="F19" s="1" t="s">
        <v>89</v>
      </c>
      <c r="G19" s="1" t="s">
        <v>90</v>
      </c>
      <c r="H19" s="1" t="s">
        <v>146</v>
      </c>
      <c r="I19" s="1" t="s">
        <v>179</v>
      </c>
      <c r="J19" s="1" t="n">
        <v>1959</v>
      </c>
      <c r="K19" s="1" t="n">
        <v>1989</v>
      </c>
      <c r="L19" s="1" t="n">
        <v>2005</v>
      </c>
      <c r="M19" s="1" t="n">
        <v>1</v>
      </c>
      <c r="N19" s="1" t="n">
        <v>500</v>
      </c>
      <c r="W19" s="1" t="n">
        <v>40.5</v>
      </c>
      <c r="Y19" s="1" t="n">
        <v>5</v>
      </c>
      <c r="Z19" s="1" t="n">
        <v>95</v>
      </c>
      <c r="AA19" s="4" t="n">
        <f aca="false">IF(AND(W19&gt;0,Z19&gt;0),(Z19/((W19+X19)*10)),"")</f>
        <v>0.234567901234568</v>
      </c>
      <c r="AB19" s="1" t="n">
        <v>90</v>
      </c>
      <c r="AC19" s="1" t="n">
        <f aca="false">ROUND(AB19*1.6, 0)</f>
        <v>144</v>
      </c>
      <c r="AF19" s="1" t="n">
        <v>19.64</v>
      </c>
      <c r="AG19" s="1" t="n">
        <v>20</v>
      </c>
      <c r="AH19" s="1" t="n">
        <v>2.7</v>
      </c>
      <c r="AI19" s="1" t="n">
        <v>3.77</v>
      </c>
      <c r="AJ19" s="5" t="n">
        <v>38</v>
      </c>
      <c r="AK19" s="1" t="str">
        <f aca="false">CONCATENATE(VLOOKUP(AL19, '[1]Voxel Sizes'!$A$2:$B$18,2,FALSE()),"x",INT(AH19*15), "x", INT(AI19*15))</f>
        <v>198x40x56</v>
      </c>
      <c r="AL19" s="1" t="n">
        <f aca="false">ROUND(15*((AG19*10)/256),0)</f>
        <v>12</v>
      </c>
      <c r="AN19" s="1" t="str">
        <f aca="false">CONCATENATE(VLOOKUP(AL19,Constants!$A$2:$C$16,IF(AM19&lt;&gt;"", 3, 2), FALSE()),IF(AM19&lt;&gt;"",CONCATENATE(",",VLOOKUP(AM19,$B:$AN,38,FALSE())),""))</f>
        <v>4,4,4</v>
      </c>
      <c r="AR19" s="1" t="s">
        <v>197</v>
      </c>
      <c r="AT19" s="1" t="n">
        <v>1</v>
      </c>
      <c r="AX19" s="1" t="n">
        <v>45</v>
      </c>
      <c r="AY19" s="6" t="n">
        <f aca="false">IF(L19&lt;&gt;"",MAX(16,(L19-J19)+8),"")</f>
        <v>54</v>
      </c>
      <c r="BA19" s="1" t="n">
        <v>-45</v>
      </c>
      <c r="BB19" s="20" t="n">
        <f aca="false">MIN(AB19/150, 1)*30</f>
        <v>18</v>
      </c>
      <c r="BC19" s="20" t="n">
        <f aca="false">MIN(N19/4000, 1)*20</f>
        <v>2.5</v>
      </c>
      <c r="BD19" s="20" t="n">
        <f aca="false">MIN(Z19/400,1)*20</f>
        <v>4.75</v>
      </c>
      <c r="BE19" s="24" t="n">
        <f aca="false">1-(MAX(J19-1900, 0)/750)</f>
        <v>0.921333333333333</v>
      </c>
      <c r="BF19" s="20" t="n">
        <f aca="false">((MAX($M19,1)*MIN($AJ19/300,1)))*IF(G19="Wagon",50,10)</f>
        <v>1.26666666666667</v>
      </c>
      <c r="BG19" s="20" t="n">
        <f aca="false">VLOOKUP($H19,Constants!$I:$K, 2, FALSE())</f>
        <v>0.85</v>
      </c>
      <c r="BH19" s="20" t="n">
        <f aca="false">VLOOKUP($H19,Constants!$I:$K, 3, FALSE())*IF(AND(G19="multiple_unit",AB19&lt;110),0.75,1)</f>
        <v>2.3</v>
      </c>
      <c r="BI19" s="20" t="n">
        <f aca="false">INT(POWER(((Constants!$G$2+$BB19+$BC19+$BD19+$BF19)*$BE19)*$BH19, 1.05))+$BA19</f>
        <v>37</v>
      </c>
      <c r="BJ19" s="20" t="n">
        <f aca="false">INT(POWER((((Constants!$G$1+$BB19+$BC19+$BD19+$BF19)*($BE19))*$BG19),IF($G19="wagon",1,1.2)))+$AZ19</f>
        <v>65</v>
      </c>
      <c r="BK19" s="34" t="n">
        <f aca="false">BI19*IF($G19="wagon",62.5,781.25)</f>
        <v>28906.25</v>
      </c>
      <c r="BL19" s="34" t="n">
        <f aca="false">BJ19*IF($G19="wagon",2.73,81.25)</f>
        <v>5281.25</v>
      </c>
      <c r="BM19" s="1" t="n">
        <v>1</v>
      </c>
      <c r="BN19" s="1" t="n">
        <v>1</v>
      </c>
      <c r="BQ19" s="1" t="s">
        <v>198</v>
      </c>
      <c r="BT19" s="1" t="n">
        <v>2</v>
      </c>
      <c r="BX19" s="1" t="s">
        <v>156</v>
      </c>
      <c r="BY19" s="20" t="str">
        <f aca="false">VLOOKUP(J19,Eras!$A$2:$C$10, 2, TRUE())</f>
        <v>dsl</v>
      </c>
      <c r="BZ19" s="35" t="s">
        <v>150</v>
      </c>
      <c r="CA19" s="1" t="str">
        <f aca="false">CONCATENATE(BY19,"_",BZ19)</f>
        <v>dsl_EMU</v>
      </c>
      <c r="CB19" s="1" t="str">
        <f aca="false">_xlfn.CONCAT(H19, "_",I19)</f>
        <v>electric_THIRD_RAIL</v>
      </c>
      <c r="CC19" s="36" t="str">
        <f aca="false" t="array" ref="CC19:CC19">_xlfn.CONCAT("{BLACK}Length: {GOLD}", TEXT(ROUNDUP(IF(AQ19&lt;&gt;"",SUM(VALUE(_xlfn.TEXTSPLIT(AQ19, ","))), SUM(VALUE(_xlfn.TEXTSPLIT(AN19, ",")))*IF(M19, M19, 1))/16, 1), "#,##0.0"), " tiles{}")</f>
        <v>{BLACK}Length: {GOLD}0.8 tiles{}</v>
      </c>
      <c r="CD19" s="1" t="str">
        <f aca="false">VLOOKUP($CB19, Constants!$M:$N, 2, FALSE())</f>
        <v>{BLACK}Powered by: {GOLD}750V DC</v>
      </c>
      <c r="CE19" s="1" t="str">
        <f aca="false">IF(M19&gt;1,_xlfn.CONCAT("{BLACK}Cars: {GOLD}", M19),"")</f>
        <v/>
      </c>
      <c r="CF19" s="1" t="s">
        <v>199</v>
      </c>
      <c r="CG19" s="20" t="str">
        <f aca="false">IF(BW19="buffet","{YELLOW}25% long distance bonus for consist{}",IF(BY19="BRAKE","{YELLOW}Speed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{GOLD}750V DC {}{BLACK}Length: {GOLD}0.8 tiles{}{SILVER}A late conversion of the 2HAP driving motor to a cab and luggage car for Gatwick Express services</v>
      </c>
      <c r="CI19" s="1"/>
      <c r="CJ19" s="1"/>
    </row>
    <row r="20" customFormat="false" ht="13.8" hidden="false" customHeight="false" outlineLevel="0" collapsed="false">
      <c r="A20" s="1" t="s">
        <v>200</v>
      </c>
      <c r="B20" s="1" t="s">
        <v>103</v>
      </c>
      <c r="C20" s="1" t="n">
        <v>153</v>
      </c>
      <c r="E20" s="1" t="n">
        <v>155</v>
      </c>
      <c r="F20" s="1" t="s">
        <v>89</v>
      </c>
      <c r="G20" s="1" t="s">
        <v>100</v>
      </c>
      <c r="H20" s="1" t="s">
        <v>91</v>
      </c>
      <c r="I20" s="1" t="s">
        <v>92</v>
      </c>
      <c r="J20" s="1" t="n">
        <v>1991</v>
      </c>
      <c r="M20" s="1" t="n">
        <v>1</v>
      </c>
      <c r="N20" s="1" t="n">
        <v>213</v>
      </c>
      <c r="W20" s="1" t="n">
        <v>41.2</v>
      </c>
      <c r="Y20" s="1" t="n">
        <v>5</v>
      </c>
      <c r="Z20" s="1" t="n">
        <v>55</v>
      </c>
      <c r="AA20" s="4" t="n">
        <v>0.153631284916201</v>
      </c>
      <c r="AB20" s="1" t="n">
        <v>75</v>
      </c>
      <c r="AC20" s="1" t="n">
        <v>120</v>
      </c>
      <c r="AF20" s="1" t="n">
        <v>23.2</v>
      </c>
      <c r="AG20" s="1" t="n">
        <v>23.2</v>
      </c>
      <c r="AH20" s="1" t="n">
        <v>2.7</v>
      </c>
      <c r="AI20" s="1" t="n">
        <v>3.7</v>
      </c>
      <c r="AJ20" s="5" t="n">
        <v>72</v>
      </c>
      <c r="AK20" s="1" t="s">
        <v>201</v>
      </c>
      <c r="AL20" s="1" t="n">
        <f aca="false">ROUND(15*((AG20*10)/256),0)</f>
        <v>14</v>
      </c>
      <c r="AN20" s="1" t="str">
        <f aca="false">CONCATENATE(VLOOKUP(AL20,Constants!$A$2:$C$16,IF(AM20&lt;&gt;"", 3, 2), FALSE()),IF(AM20&lt;&gt;"",CONCATENATE(",",VLOOKUP(AM20,$B:$AN,38,FALSE())),""))</f>
        <v>4,6,4</v>
      </c>
      <c r="AR20" s="1" t="s">
        <v>103</v>
      </c>
      <c r="AT20" s="1" t="n">
        <v>1</v>
      </c>
      <c r="AX20" s="1" t="n">
        <v>33</v>
      </c>
      <c r="AZ20" s="1" t="n">
        <v>-10</v>
      </c>
      <c r="BA20" s="1" t="n">
        <v>-15</v>
      </c>
      <c r="BB20" s="20" t="n">
        <f aca="false">MIN(AB20/150, 1)*30</f>
        <v>15</v>
      </c>
      <c r="BC20" s="20" t="n">
        <f aca="false">MIN(N20/4000, 1)*20</f>
        <v>1.065</v>
      </c>
      <c r="BD20" s="20" t="n">
        <f aca="false">MIN(Z20/400,1)*20</f>
        <v>2.75</v>
      </c>
      <c r="BE20" s="24" t="n">
        <f aca="false">1-(MAX(J20-1900, 0)/750)</f>
        <v>0.878666666666667</v>
      </c>
      <c r="BF20" s="20" t="n">
        <f aca="false">((MAX($M20,1)*MIN($AJ20/300,1)))*IF(G20="Wagon",50,10)</f>
        <v>2.4</v>
      </c>
      <c r="BG20" s="20" t="n">
        <f aca="false">VLOOKUP($H20,Constants!$I:$K, 2, FALSE())</f>
        <v>1</v>
      </c>
      <c r="BH20" s="20" t="n">
        <f aca="false">VLOOKUP($H20,Constants!$I:$K, 3, FALSE())*IF(AND(G20="multiple_unit",AB20&lt;110),0.75,1)</f>
        <v>1.5</v>
      </c>
      <c r="BI20" s="20" t="n">
        <f aca="false">INT(POWER(((Constants!$G$2+$BB20+$BC20+$BD20+$BF20)*$BE20)*$BH20, 1.05))+$BA20</f>
        <v>26</v>
      </c>
      <c r="BJ20" s="20" t="n">
        <f aca="false">INT(POWER((((Constants!$G$1+$BB20+$BC20+$BD20+$BF20)*($BE20))*$BG20),IF($G20="wagon",1,1.2)))+$AZ20</f>
        <v>53</v>
      </c>
      <c r="BK20" s="34" t="n">
        <f aca="false">BI20*IF($G20="wagon",62.5,781.25)</f>
        <v>20312.5</v>
      </c>
      <c r="BL20" s="34" t="n">
        <f aca="false">BJ20*IF($G20="wagon",2.73,81.25)</f>
        <v>4306.25</v>
      </c>
      <c r="BQ20" s="1" t="s">
        <v>99</v>
      </c>
      <c r="BT20" s="1" t="n">
        <v>4</v>
      </c>
      <c r="BU20" s="1" t="n">
        <v>185</v>
      </c>
      <c r="BX20" s="1" t="s">
        <v>104</v>
      </c>
      <c r="BY20" s="20" t="str">
        <f aca="false">VLOOKUP(J20,Eras!$A$2:$C$10, 2, TRUE())</f>
        <v>lbr</v>
      </c>
      <c r="BZ20" s="35" t="s">
        <v>105</v>
      </c>
      <c r="CA20" s="1" t="s">
        <v>202</v>
      </c>
      <c r="CB20" s="1" t="s">
        <v>203</v>
      </c>
      <c r="CC20" s="36" t="str">
        <f aca="false" t="array" ref="CC20:CC22">_xlfn.CONCAT("{BLACK}Length: {GOLD}", TEXT(ROUNDUP(IF(AQ20&lt;&gt;"",SUM(VALUE(_xlfn.TEXTSPLIT(AQ20, ","))), SUM(VALUE(_xlfn.TEXTSPLIT(AN20, ",")))*IF(M20, M20, 1))/16, 1), "#,##0.0"), " tiles{}")</f>
        <v>{BLACK}Length: {GOLD}0.9 tiles{}</v>
      </c>
      <c r="CD20" s="1" t="str">
        <f aca="false">VLOOKUP($CB20, Constants!$M:$N, 2, FALSE())</f>
        <v>{BLACK}Powered by: {GOLD}Diesel</v>
      </c>
      <c r="CE20" s="1" t="s">
        <v>204</v>
      </c>
      <c r="CF20" s="1" t="s">
        <v>205</v>
      </c>
      <c r="CG20" s="20" t="str">
        <f aca="false">IF(BW20="buffet","{YELLOW}25% long distance bonus for consist{}",IF(BY20="BRAKE","{YELLOW}Speed bonus for slow wagons{}",IF(BU20&gt;190,CONCATENATE("{YELLOW}",INT((BU20-185)/1.85),"% bonus for long distance travel{}"),IF(AND(BU20&lt;180,BU20&lt;&gt;0),CONCATENATE("{YELLOW}",INT((185-BU20)/1.85),"% penalty for long distance travel{}"),""))))</f>
        <v/>
      </c>
      <c r="CH20" s="1" t="str">
        <f aca="false">_xlfn.CONCAT(CD20,IF(CD20 &lt;&gt; "", " ", ""),CE20,IF(OR(CE20&lt;&gt;"", CD20&lt;&gt;""), "{}",""), CC20, CG20,"{SILVER}", CF20)</f>
        <v>{BLACK}Powered by: {GOLD}Diesel {BLACK}Cars: {GOLD}2{}{BLACK}Length: {GOLD}0.9 tiles{}{SILVER}The Class 153 was a conversion of earlier Class 155 units, 35 of which were split in two with small cabs added at the inner ends.</v>
      </c>
      <c r="CI20" s="1"/>
      <c r="CJ20" s="1"/>
    </row>
    <row r="21" customFormat="false" ht="13.8" hidden="false" customHeight="false" outlineLevel="0" collapsed="false">
      <c r="A21" s="35" t="s">
        <v>206</v>
      </c>
      <c r="B21" s="35" t="s">
        <v>207</v>
      </c>
      <c r="C21" s="35" t="n">
        <v>370</v>
      </c>
      <c r="D21" s="1" t="n">
        <v>372</v>
      </c>
      <c r="E21" s="35" t="n">
        <v>372</v>
      </c>
      <c r="F21" s="35" t="s">
        <v>89</v>
      </c>
      <c r="G21" s="35" t="s">
        <v>100</v>
      </c>
      <c r="H21" s="35" t="s">
        <v>208</v>
      </c>
      <c r="I21" s="35" t="s">
        <v>92</v>
      </c>
      <c r="J21" s="35" t="n">
        <v>1979</v>
      </c>
      <c r="K21" s="35" t="n">
        <v>1986</v>
      </c>
      <c r="L21" s="35" t="n">
        <v>1988</v>
      </c>
      <c r="M21" s="35" t="n">
        <v>6</v>
      </c>
      <c r="N21" s="35" t="n">
        <v>10</v>
      </c>
      <c r="W21" s="35" t="n">
        <v>164.8</v>
      </c>
      <c r="Y21" s="35" t="n">
        <v>4</v>
      </c>
      <c r="Z21" s="35" t="n">
        <v>5</v>
      </c>
      <c r="AA21" s="4" t="n">
        <f aca="false">IF(AND(W21&gt;0,Z21&gt;0),(Z21/((W21+X21)*10)),"")</f>
        <v>0.00303398058252427</v>
      </c>
      <c r="AB21" s="35" t="n">
        <v>155</v>
      </c>
      <c r="AC21" s="35" t="n">
        <f aca="false">ROUND(AB21*1.6, 0)</f>
        <v>248</v>
      </c>
      <c r="AD21" s="35"/>
      <c r="AE21" s="35"/>
      <c r="AF21" s="35" t="n">
        <v>20.9</v>
      </c>
      <c r="AG21" s="35" t="n">
        <v>20.9</v>
      </c>
      <c r="AH21" s="35" t="n">
        <v>2.7</v>
      </c>
      <c r="AI21" s="35" t="n">
        <v>3.5</v>
      </c>
      <c r="AJ21" s="5" t="n">
        <v>44</v>
      </c>
      <c r="AK21" s="35" t="str">
        <f aca="false">CONCATENATE(VLOOKUP(AL21, '[1]Voxel Sizes'!$A$2:$B$18,2,FALSE()),"x",INT(AH21*15), "x", INT(AI21*15))</f>
        <v>198x40x52</v>
      </c>
      <c r="AL21" s="35" t="n">
        <f aca="false">ROUND(15*((AG21*10)/256),0)</f>
        <v>12</v>
      </c>
      <c r="AM21" s="35"/>
      <c r="AN21" s="1" t="str">
        <f aca="false">CONCATENATE(VLOOKUP(AL21,Constants!$A$2:$C$16,IF(AM21&lt;&gt;"", 3, 2), FALSE()),IF(AM21&lt;&gt;"",CONCATENATE(",",VLOOKUP(AM21,$B:$AN,38,FALSE())),""))</f>
        <v>4,4,4</v>
      </c>
      <c r="AO21" s="35"/>
      <c r="AR21" s="35" t="s">
        <v>209</v>
      </c>
      <c r="AS21" s="35"/>
      <c r="AT21" s="35" t="s">
        <v>210</v>
      </c>
      <c r="AU21" s="35" t="s">
        <v>211</v>
      </c>
      <c r="AV21" s="35"/>
      <c r="AW21" s="35"/>
      <c r="AX21" s="35" t="n">
        <v>12</v>
      </c>
      <c r="AY21" s="6" t="n">
        <f aca="false">IF(L21&lt;&gt;"",MAX(16,(L21-J21)+8),"")</f>
        <v>17</v>
      </c>
      <c r="AZ21" s="35"/>
      <c r="BA21" s="35" t="n">
        <v>-20</v>
      </c>
      <c r="BB21" s="20" t="n">
        <f aca="false">MIN(AB21/150, 1)*30</f>
        <v>30</v>
      </c>
      <c r="BC21" s="20" t="n">
        <f aca="false">MIN(N21/4000, 1)*20</f>
        <v>0.05</v>
      </c>
      <c r="BD21" s="20" t="n">
        <f aca="false">MIN(Z21/400,1)*20</f>
        <v>0.25</v>
      </c>
      <c r="BE21" s="24" t="n">
        <f aca="false">1-(MAX(J21-1900, 0)/750)</f>
        <v>0.894666666666667</v>
      </c>
      <c r="BF21" s="20" t="n">
        <f aca="false">((MAX($M21,1)*MIN($AJ21/300,1)))*IF(G21="Wagon",50,10)</f>
        <v>8.8</v>
      </c>
      <c r="BG21" s="20" t="n">
        <f aca="false">VLOOKUP($H21,Constants!$I:$K, 2, FALSE())</f>
        <v>0.85</v>
      </c>
      <c r="BH21" s="20" t="n">
        <f aca="false">VLOOKUP($H21,Constants!$I:$K, 3, FALSE())*IF(AND(G21="multiple_unit",AB21&lt;110),0.75,1)</f>
        <v>2.3</v>
      </c>
      <c r="BI21" s="20" t="n">
        <f aca="false">INT(POWER(((Constants!$G$2+$BB21+$BC21+$BD21+$BF21)*$BE21)*$BH21, 1.05))+$BA21</f>
        <v>93</v>
      </c>
      <c r="BJ21" s="20" t="n">
        <f aca="false">INT(POWER((((Constants!$G$1+$BB21+$BC21+$BD21+$BF21)*($BE21))*$BG21),IF($G21="wagon",1,1.2)))+$AZ21</f>
        <v>86</v>
      </c>
      <c r="BK21" s="34" t="n">
        <f aca="false">BI21*IF($G21="wagon",62.5,781.25)</f>
        <v>72656.25</v>
      </c>
      <c r="BL21" s="34" t="n">
        <f aca="false">BJ21*IF($G21="wagon",2.73,81.25)</f>
        <v>6987.5</v>
      </c>
      <c r="BP21" s="35" t="n">
        <v>1</v>
      </c>
      <c r="BQ21" s="35" t="str">
        <f aca="false">_xlfn.ORG.LIBREOFFICE.REGEX(_xlfn.ORG.LIBREOFFICE.REGEX(APTMUVehicles, _xlfn.CONCAT(B21, ",?"), ""), ",$", "")</f>
        <v>apt_half_6_rev,apt_powercar,apt_half_2,apt_half_2_rev,apt_q_dvt,apt_s_dm,apt_s_10,apt_s_6</v>
      </c>
      <c r="BR21" s="35"/>
      <c r="BS21" s="35" t="s">
        <v>212</v>
      </c>
      <c r="BT21" s="35" t="n">
        <v>8</v>
      </c>
      <c r="BU21" s="35" t="n">
        <v>222</v>
      </c>
      <c r="BX21" s="35" t="s">
        <v>104</v>
      </c>
      <c r="BY21" s="20" t="str">
        <f aca="false">VLOOKUP(J21,Eras!$A$2:$C$10, 2, TRUE())</f>
        <v>lbr</v>
      </c>
      <c r="BZ21" s="35" t="s">
        <v>163</v>
      </c>
      <c r="CA21" s="35" t="str">
        <f aca="false">CONCATENATE(BY21,"_",BZ21)</f>
        <v>lbr_EMU (Express)</v>
      </c>
      <c r="CB21" s="35" t="str">
        <f aca="false">_xlfn.CONCAT(H21, "_",I21)</f>
        <v>none_RAIL</v>
      </c>
      <c r="CC21" s="36" t="str">
        <v>{BLACK}Length: {GOLD}0.9 tiles{}</v>
      </c>
      <c r="CD21" s="35" t="str">
        <f aca="false">VLOOKUP($CB21, Constants!$M:$N, 2, FALSE())</f>
        <v/>
      </c>
      <c r="CE21" s="35" t="str">
        <f aca="false">IF(M21&gt;1,_xlfn.CONCAT("{BLACK}Cars: {GOLD}", M21),"")</f>
        <v>{BLACK}Cars: {GOLD}6</v>
      </c>
      <c r="CF21" s="35" t="s">
        <v>213</v>
      </c>
      <c r="CG21" s="20" t="str">
        <f aca="false">IF(BW21="buffet","{YELLOW}25% long distance bonus for consist{}",IF(BY21="BRAKE","{YELLOW}Speed bonus for slow wagons{}",IF(BU21&gt;190,CONCATENATE("{YELLOW}",INT((BU21-185)/1.85),"% bonus for long distance travel{}"),IF(AND(BU21&lt;180,BU21&lt;&gt;0),CONCATENATE("{YELLOW}",INT((185-BU21)/1.85),"% penalty for long distance travel{}"),""))))</f>
        <v>{YELLOW}20% bonus for long distance travel{}</v>
      </c>
      <c r="CH21" s="35" t="str">
        <f aca="false">_xlfn.CONCAT(CD21,IF(CD21 &lt;&gt; "", " ", ""),CE21,IF(OR(CE21&lt;&gt;"", CD21&lt;&gt;""), "{}",""), CC21, CG21,"{SILVER}", CF21)</f>
        <v>{BLACK}Cars: {GOLD}6{}{BLACK}Length: {GOLD}0.9 tiles{}{YELLOW}20% bonus for long distance travel{}{SILVER}A 6-car unpowered half-rake of APT-P vehicles. Pair with the Non-Driving power car and a reversed set for a complete unit.</v>
      </c>
      <c r="CI21" s="35"/>
      <c r="CJ21" s="35"/>
    </row>
    <row r="22" customFormat="false" ht="13.8" hidden="false" customHeight="false" outlineLevel="0" collapsed="false">
      <c r="A22" s="1" t="s">
        <v>214</v>
      </c>
      <c r="B22" s="1" t="s">
        <v>215</v>
      </c>
      <c r="C22" s="1" t="n">
        <v>371</v>
      </c>
      <c r="D22" s="1" t="n">
        <v>372</v>
      </c>
      <c r="E22" s="1" t="n">
        <v>373</v>
      </c>
      <c r="F22" s="1" t="s">
        <v>89</v>
      </c>
      <c r="G22" s="1" t="s">
        <v>100</v>
      </c>
      <c r="H22" s="1" t="s">
        <v>208</v>
      </c>
      <c r="I22" s="1" t="s">
        <v>92</v>
      </c>
      <c r="J22" s="1" t="n">
        <v>1979</v>
      </c>
      <c r="K22" s="1" t="n">
        <v>1986</v>
      </c>
      <c r="L22" s="1" t="n">
        <v>1988</v>
      </c>
      <c r="M22" s="1" t="n">
        <v>6</v>
      </c>
      <c r="N22" s="1" t="n">
        <v>10</v>
      </c>
      <c r="W22" s="1" t="n">
        <v>164.8</v>
      </c>
      <c r="Y22" s="1" t="n">
        <v>4</v>
      </c>
      <c r="Z22" s="1" t="n">
        <v>5</v>
      </c>
      <c r="AA22" s="4" t="n">
        <f aca="false">IF(AND(W22&gt;0,Z22&gt;0),(Z22/((W22+X22)*10)),"")</f>
        <v>0.00303398058252427</v>
      </c>
      <c r="AB22" s="1" t="n">
        <v>155</v>
      </c>
      <c r="AC22" s="1" t="n">
        <f aca="false">ROUND(AB22*1.6, 0)</f>
        <v>248</v>
      </c>
      <c r="AF22" s="1" t="n">
        <v>20.9</v>
      </c>
      <c r="AG22" s="1" t="n">
        <v>20.9</v>
      </c>
      <c r="AH22" s="1" t="n">
        <v>2.7</v>
      </c>
      <c r="AI22" s="1" t="n">
        <v>3.5</v>
      </c>
      <c r="AJ22" s="5" t="n">
        <v>44</v>
      </c>
      <c r="AK22" s="1" t="str">
        <f aca="false">CONCATENATE(VLOOKUP(AL22, '[1]Voxel Sizes'!$A$2:$B$18,2,FALSE()),"x",INT(AH22*15), "x", INT(AI22*15))</f>
        <v>198x40x52</v>
      </c>
      <c r="AL22" s="1" t="n">
        <f aca="false">ROUND(15*((AG22*10)/256),0)</f>
        <v>12</v>
      </c>
      <c r="AN22" s="1" t="str">
        <f aca="false">CONCATENATE(VLOOKUP(AL22,Constants!$A$2:$C$16,IF(AM22&lt;&gt;"", 3, 2), FALSE()),IF(AM22&lt;&gt;"",CONCATENATE(",",VLOOKUP(AM22,$B:$AN,38,FALSE())),""))</f>
        <v>4,4,4</v>
      </c>
      <c r="AR22" s="1" t="s">
        <v>216</v>
      </c>
      <c r="AT22" s="1" t="s">
        <v>217</v>
      </c>
      <c r="AU22" s="1" t="s">
        <v>218</v>
      </c>
      <c r="AX22" s="1" t="n">
        <v>12</v>
      </c>
      <c r="AY22" s="6" t="n">
        <f aca="false">IF(L22&lt;&gt;"",MAX(16,(L22-J22)+8),"")</f>
        <v>17</v>
      </c>
      <c r="AZ22" s="1" t="n">
        <v>-20</v>
      </c>
      <c r="BA22" s="1" t="n">
        <v>-20</v>
      </c>
      <c r="BB22" s="20" t="n">
        <f aca="false">MIN(AB22/150, 1)*30</f>
        <v>30</v>
      </c>
      <c r="BC22" s="20" t="n">
        <f aca="false">MIN(N22/4000, 1)*20</f>
        <v>0.05</v>
      </c>
      <c r="BD22" s="20" t="n">
        <f aca="false">MIN(Z22/400,1)*20</f>
        <v>0.25</v>
      </c>
      <c r="BE22" s="24" t="n">
        <f aca="false">1-(MAX(J22-1900, 0)/750)</f>
        <v>0.894666666666667</v>
      </c>
      <c r="BF22" s="20" t="n">
        <f aca="false">((MAX($M22,1)*MIN($AJ22/300,1)))*IF(G22="Wagon",50,10)</f>
        <v>8.8</v>
      </c>
      <c r="BG22" s="20" t="n">
        <f aca="false">VLOOKUP($H22,Constants!$I:$K, 2, FALSE())</f>
        <v>0.85</v>
      </c>
      <c r="BH22" s="20" t="n">
        <f aca="false">VLOOKUP($H22,Constants!$I:$K, 3, FALSE())*IF(AND(G22="multiple_unit",AB22&lt;110),0.75,1)</f>
        <v>2.3</v>
      </c>
      <c r="BI22" s="20" t="n">
        <f aca="false">INT(POWER(((Constants!$G$2+$BB22+$BC22+$BD22+$BF22)*$BE22)*$BH22, 1.05))+$BA22</f>
        <v>93</v>
      </c>
      <c r="BJ22" s="20" t="n">
        <f aca="false">INT(POWER((((Constants!$G$1+$BB22+$BC22+$BD22+$BF22)*($BE22))*$BG22),IF($G22="wagon",1,1.2)))+$AZ22</f>
        <v>66</v>
      </c>
      <c r="BK22" s="34" t="n">
        <f aca="false">BI22*IF($G22="wagon",62.5,781.25)</f>
        <v>72656.25</v>
      </c>
      <c r="BL22" s="34" t="n">
        <f aca="false">BJ22*IF($G22="wagon",2.73,81.25)</f>
        <v>5362.5</v>
      </c>
      <c r="BO22" s="1" t="n">
        <v>1</v>
      </c>
      <c r="BP22" s="1" t="n">
        <v>1</v>
      </c>
      <c r="BQ22" s="1" t="str">
        <f aca="false">_xlfn.ORG.LIBREOFFICE.REGEX(_xlfn.ORG.LIBREOFFICE.REGEX(APTMUVehicles, _xlfn.CONCAT(B22, ",?"), ""), ",$", "")</f>
        <v>apt_half_6,apt_powercar,apt_half_2,apt_half_2_rev,apt_q_dvt,apt_s_dm,apt_s_10,apt_s_6</v>
      </c>
      <c r="BS22" s="1" t="s">
        <v>212</v>
      </c>
      <c r="BT22" s="1" t="n">
        <v>8</v>
      </c>
      <c r="BU22" s="1" t="n">
        <v>222</v>
      </c>
      <c r="BX22" s="1" t="s">
        <v>104</v>
      </c>
      <c r="BY22" s="20" t="str">
        <f aca="false">VLOOKUP(J22,Eras!$A$2:$C$10, 2, TRUE())</f>
        <v>lbr</v>
      </c>
      <c r="BZ22" s="35" t="s">
        <v>163</v>
      </c>
      <c r="CA22" s="1" t="str">
        <f aca="false">CONCATENATE(BY22,"_",BZ22)</f>
        <v>lbr_EMU (Express)</v>
      </c>
      <c r="CB22" s="1" t="str">
        <f aca="false">_xlfn.CONCAT(H22, "_",I22)</f>
        <v>none_RAIL</v>
      </c>
      <c r="CC22" s="36" t="str">
        <v>{BLACK}Length: {GOLD}0.9 tiles{}</v>
      </c>
      <c r="CD22" s="1" t="str">
        <f aca="false">VLOOKUP($CB22, Constants!$M:$N, 2, FALSE())</f>
        <v/>
      </c>
      <c r="CE22" s="1" t="str">
        <f aca="false">IF(M22&gt;1,_xlfn.CONCAT("{BLACK}Cars: {GOLD}", M22),"")</f>
        <v>{BLACK}Cars: {GOLD}6</v>
      </c>
      <c r="CF22" s="1" t="s">
        <v>219</v>
      </c>
      <c r="CG22" s="20" t="str">
        <f aca="false">IF(BW22="buffet","{YELLOW}25% long distance bonus for consist{}",IF(BY22="BRAKE","{YELLOW}Speed bonus for slow wagons{}",IF(BU22&gt;190,CONCATENATE("{YELLOW}",INT((BU22-185)/1.85),"% bonus for long distance travel{}"),IF(AND(BU22&lt;180,BU22&lt;&gt;0),CONCATENATE("{YELLOW}",INT((185-BU22)/1.85),"% penalty for long distance travel{}"),""))))</f>
        <v>{YELLOW}20% bonus for long distance travel{}</v>
      </c>
      <c r="CH22" s="1" t="str">
        <f aca="false">_xlfn.CONCAT(CD22,IF(CD22 &lt;&gt; "", " ", ""),CE22,IF(OR(CE22&lt;&gt;"", CD22&lt;&gt;""), "{}",""), CC22, CG22,"{SILVER}", CF22)</f>
        <v>{BLACK}Cars: {GOLD}6{}{BLACK}Length: {GOLD}0.9 tiles{}{YELLOW}20% bonus for long distance travel{}{SILVER}A 6-car half-rake of APT-P vehicles. This is the rear half of a formation.</v>
      </c>
      <c r="CI22" s="1"/>
      <c r="CJ22" s="1"/>
    </row>
    <row r="23" customFormat="false" ht="13.8" hidden="false" customHeight="false" outlineLevel="0" collapsed="false">
      <c r="A23" s="1" t="s">
        <v>220</v>
      </c>
      <c r="B23" s="1" t="s">
        <v>221</v>
      </c>
      <c r="C23" s="1" t="n">
        <v>372</v>
      </c>
      <c r="E23" s="1" t="n">
        <v>374</v>
      </c>
      <c r="F23" s="1" t="s">
        <v>89</v>
      </c>
      <c r="G23" s="1" t="s">
        <v>100</v>
      </c>
      <c r="H23" s="1" t="s">
        <v>208</v>
      </c>
      <c r="I23" s="1" t="s">
        <v>92</v>
      </c>
      <c r="J23" s="1" t="n">
        <v>1979</v>
      </c>
      <c r="K23" s="1" t="n">
        <v>1986</v>
      </c>
      <c r="L23" s="1" t="n">
        <v>1988</v>
      </c>
      <c r="M23" s="1" t="n">
        <v>2</v>
      </c>
      <c r="N23" s="1" t="n">
        <v>10</v>
      </c>
      <c r="W23" s="1" t="n">
        <v>65.6</v>
      </c>
      <c r="Y23" s="1" t="n">
        <v>4</v>
      </c>
      <c r="Z23" s="1" t="n">
        <v>5</v>
      </c>
      <c r="AA23" s="4" t="n">
        <f aca="false">IF(AND(W23&gt;0,Z23&gt;0),(Z23/((W23+X23)*10)),"")</f>
        <v>0.0076219512195122</v>
      </c>
      <c r="AB23" s="1" t="n">
        <v>155</v>
      </c>
      <c r="AC23" s="1" t="n">
        <f aca="false">ROUND(AB23*1.6, 0)</f>
        <v>248</v>
      </c>
      <c r="AF23" s="1" t="n">
        <v>20.9</v>
      </c>
      <c r="AG23" s="1" t="n">
        <v>20.9</v>
      </c>
      <c r="AH23" s="1" t="n">
        <v>2.7</v>
      </c>
      <c r="AI23" s="1" t="n">
        <v>3.5</v>
      </c>
      <c r="AJ23" s="5" t="n">
        <v>39</v>
      </c>
      <c r="AK23" s="1" t="str">
        <f aca="false">CONCATENATE(VLOOKUP(AL23, '[1]Voxel Sizes'!$A$2:$B$18,2,FALSE()),"x",INT(AH23*15), "x", INT(AI23*15))</f>
        <v>198x40x52</v>
      </c>
      <c r="AL23" s="1" t="n">
        <f aca="false">ROUND(15*((AG23*10)/256),0)</f>
        <v>12</v>
      </c>
      <c r="AN23" s="1" t="str">
        <f aca="false">CONCATENATE(VLOOKUP(AL23,Constants!$A$2:$C$16,IF(AM23&lt;&gt;"", 3, 2), FALSE()),IF(AM23&lt;&gt;"",CONCATENATE(",",VLOOKUP(AM23,$B:$AN,38,FALSE())),""))</f>
        <v>4,4,4</v>
      </c>
      <c r="AR23" s="1" t="s">
        <v>222</v>
      </c>
      <c r="AT23" s="1" t="s">
        <v>130</v>
      </c>
      <c r="AU23" s="1" t="s">
        <v>211</v>
      </c>
      <c r="AX23" s="1" t="n">
        <v>12</v>
      </c>
      <c r="AY23" s="6" t="n">
        <f aca="false">IF(L23&lt;&gt;"",MAX(16,(L23-J23)+8),"")</f>
        <v>17</v>
      </c>
      <c r="AZ23" s="1" t="n">
        <v>-45</v>
      </c>
      <c r="BA23" s="1" t="n">
        <v>-65</v>
      </c>
      <c r="BB23" s="20" t="n">
        <f aca="false">MIN(AB23/150, 1)*30</f>
        <v>30</v>
      </c>
      <c r="BC23" s="20" t="n">
        <f aca="false">MIN(N23/4000, 1)*20</f>
        <v>0.05</v>
      </c>
      <c r="BD23" s="20" t="n">
        <f aca="false">MIN(Z23/400,1)*20</f>
        <v>0.25</v>
      </c>
      <c r="BE23" s="24" t="n">
        <f aca="false">1-(MAX(J23-1900, 0)/750)</f>
        <v>0.894666666666667</v>
      </c>
      <c r="BF23" s="20" t="n">
        <f aca="false">((MAX($M23,1)*MIN($AJ23/300,1)))*IF(G23="Wagon",50,10)</f>
        <v>2.6</v>
      </c>
      <c r="BG23" s="20" t="n">
        <f aca="false">VLOOKUP($H23,Constants!$I:$K, 2, FALSE())</f>
        <v>0.85</v>
      </c>
      <c r="BH23" s="20" t="n">
        <f aca="false">VLOOKUP($H23,Constants!$I:$K, 3, FALSE())*IF(AND(G23="multiple_unit",AB23&lt;110),0.75,1)</f>
        <v>2.3</v>
      </c>
      <c r="BI23" s="20" t="n">
        <f aca="false">INT(POWER(((Constants!$G$2+$BB23+$BC23+$BD23+$BF23)*$BE23)*$BH23, 1.05))+$BA23</f>
        <v>31</v>
      </c>
      <c r="BJ23" s="20" t="n">
        <f aca="false">INT(POWER((((Constants!$G$1+$BB23+$BC23+$BD23+$BF23)*($BE23))*$BG23),IF($G23="wagon",1,1.2)))+$AZ23</f>
        <v>29</v>
      </c>
      <c r="BK23" s="34" t="n">
        <f aca="false">BI23*IF($G23="wagon",62.5,781.25)</f>
        <v>24218.75</v>
      </c>
      <c r="BL23" s="34" t="n">
        <f aca="false">BJ23*IF($G23="wagon",2.73,81.25)</f>
        <v>2356.25</v>
      </c>
      <c r="BP23" s="1" t="n">
        <v>1</v>
      </c>
      <c r="BQ23" s="1" t="str">
        <f aca="false">_xlfn.ORG.LIBREOFFICE.REGEX(_xlfn.ORG.LIBREOFFICE.REGEX(APTMUVehicles, _xlfn.CONCAT(B23, ",?"), ""), ",$", "")</f>
        <v>apt_half_6,apt_half_6_rev,apt_powercar,apt_half_2_rev,apt_q_dvt,apt_s_dm,apt_s_10,apt_s_6</v>
      </c>
      <c r="BT23" s="1" t="n">
        <v>8</v>
      </c>
      <c r="BU23" s="1" t="n">
        <v>185</v>
      </c>
      <c r="BX23" s="1" t="s">
        <v>104</v>
      </c>
      <c r="BY23" s="20" t="str">
        <f aca="false">VLOOKUP(J23,Eras!$A$2:$C$10, 2, TRUE())</f>
        <v>lbr</v>
      </c>
      <c r="BZ23" s="35" t="s">
        <v>163</v>
      </c>
      <c r="CA23" s="1" t="str">
        <f aca="false">CONCATENATE(BY23,"_",BZ23)</f>
        <v>lbr_EMU (Express)</v>
      </c>
      <c r="CB23" s="1" t="str">
        <f aca="false">_xlfn.CONCAT(H23, "_",I23)</f>
        <v>none_RAIL</v>
      </c>
      <c r="CC23" s="36" t="str">
        <f aca="false" t="array" ref="CC23:CC23">_xlfn.CONCAT("{BLACK}Length: {GOLD}", TEXT(ROUNDUP(IF(AQ23&lt;&gt;"",SUM(VALUE(_xlfn.TEXTSPLIT(AQ23, ","))), SUM(VALUE(_xlfn.TEXTSPLIT(AN23, ",")))*IF(M23, M23, 1))/16, 1), "#,##0.0"), " tiles{}")</f>
        <v>{BLACK}Length: {GOLD}1.5 tiles{}</v>
      </c>
      <c r="CD23" s="1" t="str">
        <f aca="false">VLOOKUP($CB23, Constants!$M:$N, 2, FALSE())</f>
        <v/>
      </c>
      <c r="CE23" s="1" t="str">
        <f aca="false">IF(M23&gt;1,_xlfn.CONCAT("{BLACK}Cars: {GOLD}", M23),"")</f>
        <v>{BLACK}Cars: {GOLD}2</v>
      </c>
      <c r="CF23" s="1" t="s">
        <v>223</v>
      </c>
      <c r="CG23" s="20"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{BLACK}Cars: {GOLD}2{}{BLACK}Length: {GOLD}1.5 tiles{}{SILVER}A minimal 2-car half-rake of APT-P Vehicles. Lack of dining facilities makes this much less attractive for passengers. Pair with the Non-Driving power car and a reversed set for a complete unit.</v>
      </c>
      <c r="CI23" s="1"/>
      <c r="CJ23" s="1"/>
    </row>
    <row r="24" customFormat="false" ht="13.8" hidden="false" customHeight="false" outlineLevel="0" collapsed="false">
      <c r="A24" s="1" t="s">
        <v>224</v>
      </c>
      <c r="B24" s="1" t="s">
        <v>225</v>
      </c>
      <c r="C24" s="1" t="n">
        <v>373</v>
      </c>
      <c r="D24" s="1" t="n">
        <v>372</v>
      </c>
      <c r="E24" s="1" t="n">
        <v>375</v>
      </c>
      <c r="F24" s="1" t="s">
        <v>89</v>
      </c>
      <c r="G24" s="1" t="s">
        <v>100</v>
      </c>
      <c r="H24" s="1" t="s">
        <v>208</v>
      </c>
      <c r="I24" s="1" t="s">
        <v>92</v>
      </c>
      <c r="J24" s="1" t="n">
        <v>1979</v>
      </c>
      <c r="K24" s="1" t="n">
        <v>1986</v>
      </c>
      <c r="L24" s="1" t="n">
        <v>1988</v>
      </c>
      <c r="M24" s="1" t="n">
        <v>2</v>
      </c>
      <c r="N24" s="1" t="n">
        <v>10</v>
      </c>
      <c r="W24" s="1" t="n">
        <v>65.6</v>
      </c>
      <c r="Y24" s="1" t="n">
        <v>4</v>
      </c>
      <c r="Z24" s="1" t="n">
        <v>5</v>
      </c>
      <c r="AA24" s="4" t="n">
        <f aca="false">IF(AND(W24&gt;0,Z24&gt;0),(Z24/((W24+X24)*10)),"")</f>
        <v>0.0076219512195122</v>
      </c>
      <c r="AB24" s="1" t="n">
        <v>155</v>
      </c>
      <c r="AC24" s="1" t="n">
        <f aca="false">ROUND(AB24*1.6, 0)</f>
        <v>248</v>
      </c>
      <c r="AF24" s="1" t="n">
        <v>20.9</v>
      </c>
      <c r="AG24" s="1" t="n">
        <v>20.9</v>
      </c>
      <c r="AH24" s="1" t="n">
        <v>2.7</v>
      </c>
      <c r="AI24" s="1" t="n">
        <v>3.5</v>
      </c>
      <c r="AJ24" s="5" t="n">
        <v>39</v>
      </c>
      <c r="AK24" s="1" t="str">
        <f aca="false">CONCATENATE(VLOOKUP(AL24, '[1]Voxel Sizes'!$A$2:$B$18,2,FALSE()),"x",INT(AH24*15), "x", INT(AI24*15))</f>
        <v>198x40x52</v>
      </c>
      <c r="AL24" s="1" t="n">
        <f aca="false">ROUND(15*((AG24*10)/256),0)</f>
        <v>12</v>
      </c>
      <c r="AN24" s="1" t="str">
        <f aca="false">CONCATENATE(VLOOKUP(AL24,Constants!$A$2:$C$16,IF(AM24&lt;&gt;"", 3, 2), FALSE()),IF(AM24&lt;&gt;"",CONCATENATE(",",VLOOKUP(AM24,$B:$AN,38,FALSE())),""))</f>
        <v>4,4,4</v>
      </c>
      <c r="AR24" s="1" t="s">
        <v>226</v>
      </c>
      <c r="AT24" s="1" t="s">
        <v>130</v>
      </c>
      <c r="AU24" s="1" t="s">
        <v>218</v>
      </c>
      <c r="AX24" s="1" t="n">
        <v>12</v>
      </c>
      <c r="AY24" s="6" t="n">
        <f aca="false">IF(L24&lt;&gt;"",MAX(16,(L24-J24)+8),"")</f>
        <v>17</v>
      </c>
      <c r="AZ24" s="1" t="n">
        <v>-60</v>
      </c>
      <c r="BA24" s="1" t="n">
        <v>-65</v>
      </c>
      <c r="BB24" s="20" t="n">
        <f aca="false">MIN(AB24/150, 1)*30</f>
        <v>30</v>
      </c>
      <c r="BC24" s="20" t="n">
        <f aca="false">MIN(N24/4000, 1)*20</f>
        <v>0.05</v>
      </c>
      <c r="BD24" s="20" t="n">
        <f aca="false">MIN(Z24/400,1)*20</f>
        <v>0.25</v>
      </c>
      <c r="BE24" s="24" t="n">
        <f aca="false">1-(MAX(J24-1900, 0)/750)</f>
        <v>0.894666666666667</v>
      </c>
      <c r="BF24" s="20" t="n">
        <f aca="false">((MAX($M24,1)*MIN($AJ24/300,1)))*IF(G24="Wagon",50,10)</f>
        <v>2.6</v>
      </c>
      <c r="BG24" s="20" t="n">
        <f aca="false">VLOOKUP($H24,Constants!$I:$K, 2, FALSE())</f>
        <v>0.85</v>
      </c>
      <c r="BH24" s="20" t="n">
        <f aca="false">VLOOKUP($H24,Constants!$I:$K, 3, FALSE())*IF(AND(G24="multiple_unit",AB24&lt;110),0.75,1)</f>
        <v>2.3</v>
      </c>
      <c r="BI24" s="20" t="n">
        <f aca="false">INT(POWER(((Constants!$G$2+$BB24+$BC24+$BD24+$BF24)*$BE24)*$BH24, 1.05))+$BA24</f>
        <v>31</v>
      </c>
      <c r="BJ24" s="20" t="n">
        <f aca="false">INT(POWER((((Constants!$G$1+$BB24+$BC24+$BD24+$BF24)*($BE24))*$BG24),IF($G24="wagon",1,1.2)))+$AZ24</f>
        <v>14</v>
      </c>
      <c r="BK24" s="34" t="n">
        <f aca="false">BI24*IF($G24="wagon",62.5,781.25)</f>
        <v>24218.75</v>
      </c>
      <c r="BL24" s="34" t="n">
        <f aca="false">BJ24*IF($G24="wagon",2.73,81.25)</f>
        <v>1137.5</v>
      </c>
      <c r="BO24" s="1" t="n">
        <v>1</v>
      </c>
      <c r="BP24" s="1" t="n">
        <v>1</v>
      </c>
      <c r="BQ24" s="1" t="str">
        <f aca="false">_xlfn.ORG.LIBREOFFICE.REGEX(_xlfn.ORG.LIBREOFFICE.REGEX(APTMUVehicles, _xlfn.CONCAT(B24, ",?"), ""), ",$", "")</f>
        <v>apt_half_6,apt_half_6_rev,apt_powercar,apt_half_2,apt_q_dvt,apt_s_dm,apt_s_10,apt_s_6</v>
      </c>
      <c r="BT24" s="1" t="n">
        <v>8</v>
      </c>
      <c r="BU24" s="1" t="n">
        <v>185</v>
      </c>
      <c r="BX24" s="1" t="s">
        <v>104</v>
      </c>
      <c r="BY24" s="20" t="str">
        <f aca="false">VLOOKUP(J24,Eras!$A$2:$C$10, 2, TRUE())</f>
        <v>lbr</v>
      </c>
      <c r="BZ24" s="35" t="s">
        <v>163</v>
      </c>
      <c r="CA24" s="1" t="str">
        <f aca="false">CONCATENATE(BY24,"_",BZ24)</f>
        <v>lbr_EMU (Express)</v>
      </c>
      <c r="CB24" s="1" t="str">
        <f aca="false">_xlfn.CONCAT(H24, "_",I24)</f>
        <v>none_RAIL</v>
      </c>
      <c r="CC24" s="36" t="str">
        <f aca="false" t="array" ref="CC24:CC24">_xlfn.CONCAT("{BLACK}Length: {GOLD}", TEXT(ROUNDUP(IF(AQ24&lt;&gt;"",SUM(VALUE(_xlfn.TEXTSPLIT(AQ24, ","))), SUM(VALUE(_xlfn.TEXTSPLIT(AN24, ",")))*IF(M24, M24, 1))/16, 1), "#,##0.0"), " tiles{}")</f>
        <v>{BLACK}Length: {GOLD}1.5 tiles{}</v>
      </c>
      <c r="CD24" s="1" t="str">
        <f aca="false">VLOOKUP($CB24, Constants!$M:$N, 2, FALSE())</f>
        <v/>
      </c>
      <c r="CE24" s="1" t="str">
        <f aca="false">IF(M24&gt;1,_xlfn.CONCAT("{BLACK}Cars: {GOLD}", M24),"")</f>
        <v>{BLACK}Cars: {GOLD}2</v>
      </c>
      <c r="CF24" s="1" t="s">
        <v>227</v>
      </c>
      <c r="CG24" s="20"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{BLACK}Cars: {GOLD}2{}{BLACK}Length: {GOLD}1.5 tiles{}{SILVER}A minimal 2-car half-rake of APT-P Vehicles. Lack of dining facilities makes this much less attractive for passengers. This is the rear half of a formation.</v>
      </c>
      <c r="CI24" s="1"/>
      <c r="CJ24" s="1"/>
    </row>
    <row r="25" customFormat="false" ht="13.8" hidden="false" customHeight="false" outlineLevel="0" collapsed="false">
      <c r="A25" s="1" t="s">
        <v>228</v>
      </c>
      <c r="B25" s="1" t="s">
        <v>229</v>
      </c>
      <c r="C25" s="1" t="n">
        <v>374</v>
      </c>
      <c r="D25" s="1" t="n">
        <v>372</v>
      </c>
      <c r="E25" s="1" t="n">
        <v>376</v>
      </c>
      <c r="F25" s="1" t="s">
        <v>89</v>
      </c>
      <c r="G25" s="35" t="s">
        <v>90</v>
      </c>
      <c r="H25" s="1" t="s">
        <v>146</v>
      </c>
      <c r="I25" s="1" t="s">
        <v>147</v>
      </c>
      <c r="J25" s="1" t="n">
        <v>1979</v>
      </c>
      <c r="K25" s="1" t="n">
        <v>1986</v>
      </c>
      <c r="L25" s="1" t="n">
        <v>1988</v>
      </c>
      <c r="N25" s="1" t="n">
        <v>4000</v>
      </c>
      <c r="W25" s="1" t="n">
        <v>67.5</v>
      </c>
      <c r="Y25" s="1" t="n">
        <v>4</v>
      </c>
      <c r="Z25" s="1" t="n">
        <v>210</v>
      </c>
      <c r="AA25" s="4" t="n">
        <f aca="false">IF(AND(W25&gt;0,Z25&gt;0),(Z25/((W25+X25)*10)),"")</f>
        <v>0.311111111111111</v>
      </c>
      <c r="AB25" s="1" t="n">
        <v>155</v>
      </c>
      <c r="AC25" s="1" t="n">
        <f aca="false">ROUND(AB25*1.6, 0)</f>
        <v>248</v>
      </c>
      <c r="AF25" s="1" t="n">
        <v>20.9</v>
      </c>
      <c r="AG25" s="1" t="n">
        <v>20.9</v>
      </c>
      <c r="AH25" s="1" t="n">
        <v>2.7</v>
      </c>
      <c r="AI25" s="1" t="n">
        <v>3.5</v>
      </c>
      <c r="AJ25" s="5" t="n">
        <v>0</v>
      </c>
      <c r="AK25" s="1" t="str">
        <f aca="false">CONCATENATE(VLOOKUP(AL25, '[1]Voxel Sizes'!$A$2:$B$18,2,FALSE()),"x",INT(AH25*15), "x", INT(AI25*15))</f>
        <v>198x40x52</v>
      </c>
      <c r="AL25" s="1" t="n">
        <f aca="false">ROUND(15*((AG25*10)/256),0)</f>
        <v>12</v>
      </c>
      <c r="AN25" s="1" t="str">
        <f aca="false">CONCATENATE(VLOOKUP(AL25,Constants!$A$2:$C$16,IF(AM25&lt;&gt;"", 3, 2), FALSE()),IF(AM25&lt;&gt;"",CONCATENATE(",",VLOOKUP(AM25,$B:$AN,38,FALSE())),""))</f>
        <v>4,4,4</v>
      </c>
      <c r="AX25" s="1" t="n">
        <v>12</v>
      </c>
      <c r="AY25" s="6" t="n">
        <f aca="false">IF(L25&lt;&gt;"",MAX(16,(L25-J25)+8),"")</f>
        <v>17</v>
      </c>
      <c r="AZ25" s="1" t="n">
        <v>25</v>
      </c>
      <c r="BA25" s="1" t="n">
        <v>-90</v>
      </c>
      <c r="BB25" s="20" t="n">
        <f aca="false">MIN(AB25/150, 1)*30</f>
        <v>30</v>
      </c>
      <c r="BC25" s="20" t="n">
        <f aca="false">MIN(N25/4000, 1)*20</f>
        <v>20</v>
      </c>
      <c r="BD25" s="20" t="n">
        <f aca="false">MIN(Z25/400,1)*20</f>
        <v>10.5</v>
      </c>
      <c r="BE25" s="24" t="n">
        <f aca="false">1-(MAX(J25-1900, 0)/750)</f>
        <v>0.894666666666667</v>
      </c>
      <c r="BF25" s="20" t="n">
        <f aca="false">((MAX($M25,1)*MIN($AJ25/300,1)))*IF(G25="Wagon",50,10)</f>
        <v>0</v>
      </c>
      <c r="BG25" s="20" t="n">
        <f aca="false">VLOOKUP($H25,Constants!$I:$K, 2, FALSE())</f>
        <v>0.85</v>
      </c>
      <c r="BH25" s="20" t="n">
        <f aca="false">VLOOKUP($H25,Constants!$I:$K, 3, FALSE())*IF(AND(G25="multiple_unit",AB25&lt;110),0.75,1)</f>
        <v>2.3</v>
      </c>
      <c r="BI25" s="20" t="n">
        <f aca="false">INT(POWER(((Constants!$G$2+$BB25+$BC25+$BD25+$BF25)*$BE25)*$BH25, 1.05))+$BA25</f>
        <v>82</v>
      </c>
      <c r="BJ25" s="20" t="n">
        <f aca="false">INT(POWER((((Constants!$G$1+$BB25+$BC25+$BD25+$BF25)*($BE25))*$BG25),IF($G25="wagon",1,1.2)))+$AZ25</f>
        <v>154</v>
      </c>
      <c r="BK25" s="34" t="n">
        <f aca="false">BI25*IF($G25="wagon",62.5,781.25)</f>
        <v>64062.5</v>
      </c>
      <c r="BL25" s="34" t="n">
        <f aca="false">BJ25*IF($G25="wagon",2.73,81.25)</f>
        <v>12512.5</v>
      </c>
      <c r="BM25" s="1" t="n">
        <v>2</v>
      </c>
      <c r="BO25" s="1" t="n">
        <v>1</v>
      </c>
      <c r="BP25" s="1" t="n">
        <v>1</v>
      </c>
      <c r="BQ25" s="1" t="str">
        <f aca="false">_xlfn.ORG.LIBREOFFICE.REGEX(_xlfn.ORG.LIBREOFFICE.REGEX(APTMUVehicles, _xlfn.CONCAT(B25, ",?"), ""), ",$", "")</f>
        <v>apt_half_6,apt_half_6_rev,apt_half_2,apt_half_2_rev,apt_q_dvt,apt_s_dm,apt_s_10,apt_s_6</v>
      </c>
      <c r="BT25" s="1" t="n">
        <v>8</v>
      </c>
      <c r="BY25" s="20" t="str">
        <f aca="false">VLOOKUP(J25,Eras!$A$2:$C$10, 2, TRUE())</f>
        <v>lbr</v>
      </c>
      <c r="BZ25" s="35" t="s">
        <v>163</v>
      </c>
      <c r="CA25" s="1" t="str">
        <f aca="false">CONCATENATE(BY25,"_",BZ25)</f>
        <v>lbr_EMU (Express)</v>
      </c>
      <c r="CB25" s="1" t="str">
        <f aca="false">_xlfn.CONCAT(H25, "_",I25)</f>
        <v>electric_ELRL</v>
      </c>
      <c r="CC25" s="36" t="str">
        <f aca="false" t="array" ref="CC25:CC25">_xlfn.CONCAT("{BLACK}Length: {GOLD}", TEXT(ROUNDUP(IF(AQ25&lt;&gt;"",SUM(VALUE(_xlfn.TEXTSPLIT(AQ25, ","))), SUM(VALUE(_xlfn.TEXTSPLIT(AN25, ",")))*IF(M25, M25, 1))/16, 1), "#,##0.0"), " tiles{}")</f>
        <v>{BLACK}Length: {GOLD}0.8 tiles{}</v>
      </c>
      <c r="CD25" s="1" t="str">
        <f aca="false">VLOOKUP($CB25, Constants!$M:$N, 2, FALSE())</f>
        <v>{BLACK}Powered by: {GOLD}25kV AC</v>
      </c>
      <c r="CE25" s="1" t="str">
        <f aca="false">IF(M25&gt;1,_xlfn.CONCAT("{BLACK}Cars: {GOLD}", M25),"")</f>
        <v/>
      </c>
      <c r="CF25" s="1" t="s">
        <v>230</v>
      </c>
      <c r="CG25" s="20" t="str">
        <f aca="false">IF(BW25="buffet","{YELLOW}25% long distance bonus for consist{}",IF(BY25="BRAKE","{YELLOW}Speed bonus for slow wagons{}",IF(BU25&gt;190,CONCATENATE("{YELLOW}",INT((BU25-185)/1.85),"% bonus for long distance travel{}"),IF(AND(BU25&lt;180,BU25&lt;&gt;0),CONCATENATE("{YELLOW}",INT((185-BU25)/1.85),"% penalty for long distance travel{}"),""))))</f>
        <v/>
      </c>
      <c r="CH25" s="1" t="str">
        <f aca="false">_xlfn.CONCAT(CD25,IF(CD25 &lt;&gt; "", " ", ""),CE25,IF(OR(CE25&lt;&gt;"", CD25&lt;&gt;""), "{}",""), CC25, CG25,"{SILVER}", CF25)</f>
        <v>{BLACK}Powered by: {GOLD}25kV AC {}{BLACK}Length: {GOLD}0.8 tiles{}{SILVER}An APT-P centre power car</v>
      </c>
      <c r="CI25" s="1"/>
      <c r="CJ25" s="1"/>
    </row>
    <row r="26" customFormat="false" ht="13.8" hidden="false" customHeight="false" outlineLevel="0" collapsed="false">
      <c r="A26" s="35" t="s">
        <v>231</v>
      </c>
      <c r="B26" s="35" t="s">
        <v>232</v>
      </c>
      <c r="C26" s="35" t="n">
        <v>380</v>
      </c>
      <c r="D26" s="35" t="n">
        <v>386</v>
      </c>
      <c r="E26" s="35" t="n">
        <v>382</v>
      </c>
      <c r="F26" s="35" t="s">
        <v>89</v>
      </c>
      <c r="G26" s="35" t="s">
        <v>90</v>
      </c>
      <c r="H26" s="35" t="s">
        <v>146</v>
      </c>
      <c r="I26" s="35" t="s">
        <v>147</v>
      </c>
      <c r="J26" s="35" t="n">
        <v>1986</v>
      </c>
      <c r="K26" s="35" t="n">
        <v>1991</v>
      </c>
      <c r="L26" s="35" t="n">
        <v>1994</v>
      </c>
      <c r="M26" s="35"/>
      <c r="N26" s="35" t="n">
        <v>4000</v>
      </c>
      <c r="W26" s="1" t="n">
        <v>76.8</v>
      </c>
      <c r="Y26" s="1" t="n">
        <v>4</v>
      </c>
      <c r="Z26" s="1" t="n">
        <v>210</v>
      </c>
      <c r="AA26" s="4" t="n">
        <f aca="false">IF(AND(W26&gt;0,Z26&gt;0),(Z26/((W26+X26)*10)),"")</f>
        <v>0.2734375</v>
      </c>
      <c r="AB26" s="1" t="n">
        <v>140</v>
      </c>
      <c r="AC26" s="1" t="n">
        <f aca="false">ROUND(AB26*1.6, 0)</f>
        <v>224</v>
      </c>
      <c r="AF26" s="1" t="n">
        <v>22</v>
      </c>
      <c r="AG26" s="1" t="n">
        <v>22</v>
      </c>
      <c r="AH26" s="1" t="n">
        <v>2.7</v>
      </c>
      <c r="AI26" s="1" t="n">
        <v>3.5</v>
      </c>
      <c r="AJ26" s="5" t="n">
        <v>0</v>
      </c>
      <c r="AK26" s="1" t="str">
        <f aca="false">CONCATENATE(VLOOKUP(AL26, '[1]Voxel Sizes'!$A$2:$B$18,2,FALSE()),"x",INT(AH26*15), "x", INT(AI26*15))</f>
        <v>214x40x52</v>
      </c>
      <c r="AL26" s="1" t="n">
        <f aca="false">ROUND(15*((AG26*10)/256),0)</f>
        <v>13</v>
      </c>
      <c r="AN26" s="1" t="str">
        <f aca="false">CONCATENATE(VLOOKUP(AL26,Constants!$A$2:$C$16,IF(AM26&lt;&gt;"", 3, 2), FALSE()),IF(AM26&lt;&gt;"",CONCATENATE(",",VLOOKUP(AM26,$B:$AN,38,FALSE())),""))</f>
        <v>4,5,4</v>
      </c>
      <c r="AX26" s="1" t="n">
        <v>20</v>
      </c>
      <c r="AY26" s="6" t="n">
        <f aca="false">IF(L26&lt;&gt;"",MAX(16,(L26-J26)+8),"")</f>
        <v>16</v>
      </c>
      <c r="AZ26" s="1" t="n">
        <v>-35</v>
      </c>
      <c r="BA26" s="1" t="n">
        <v>-60</v>
      </c>
      <c r="BB26" s="20" t="n">
        <f aca="false">MIN(AB26/150, 1)*30</f>
        <v>28</v>
      </c>
      <c r="BC26" s="20" t="n">
        <f aca="false">MIN(N26/4000, 1)*20</f>
        <v>20</v>
      </c>
      <c r="BD26" s="20" t="n">
        <f aca="false">MIN(Z26/400,1)*20</f>
        <v>10.5</v>
      </c>
      <c r="BE26" s="24" t="n">
        <f aca="false">1-(MAX(J26-1900, 0)/750)</f>
        <v>0.885333333333333</v>
      </c>
      <c r="BF26" s="20" t="n">
        <f aca="false">((MAX($M26,1)*MIN($AJ26/300,1)))*IF(G26="Wagon",50,10)</f>
        <v>0</v>
      </c>
      <c r="BG26" s="20" t="n">
        <f aca="false">VLOOKUP($H26,Constants!$I:$K, 2, FALSE())</f>
        <v>0.85</v>
      </c>
      <c r="BH26" s="20" t="n">
        <f aca="false">VLOOKUP($H26,Constants!$I:$K, 3, FALSE())*IF(AND(G26="multiple_unit",AB26&lt;110),0.75,1)</f>
        <v>2.3</v>
      </c>
      <c r="BI26" s="20" t="n">
        <f aca="false">INT(POWER(((Constants!$G$2+$BB26+$BC26+$BD26+$BF26)*$BE26)*$BH26, 1.05))+$BA26</f>
        <v>104</v>
      </c>
      <c r="BJ26" s="20" t="n">
        <f aca="false">INT(POWER((((Constants!$G$1+$BB26+$BC26+$BD26+$BF26)*($BE26))*$BG26),IF($G26="wagon",1,1.2)))+$AZ26</f>
        <v>88</v>
      </c>
      <c r="BK26" s="34" t="n">
        <f aca="false">BI26*IF($G26="wagon",62.5,781.25)</f>
        <v>81250</v>
      </c>
      <c r="BL26" s="34" t="n">
        <f aca="false">BJ26*IF($G26="wagon",2.73,81.25)</f>
        <v>7150</v>
      </c>
      <c r="BM26" s="1" t="n">
        <v>1</v>
      </c>
      <c r="BN26" s="1" t="n">
        <v>1</v>
      </c>
      <c r="BP26" s="1" t="n">
        <v>1</v>
      </c>
      <c r="BQ26" s="1" t="str">
        <f aca="false">_xlfn.ORG.LIBREOFFICE.REGEX(_xlfn.ORG.LIBREOFFICE.REGEX(APTMUVehicles, _xlfn.CONCAT(B26, ",?"), ""), ",$", "")</f>
        <v>apt_half_6,apt_half_6_rev,apt_powercar,apt_half_2,apt_half_2_rev,apt_q_dvt,apt_s_10,apt_s_6</v>
      </c>
      <c r="BS26" s="1" t="s">
        <v>233</v>
      </c>
      <c r="BT26" s="1" t="n">
        <v>7</v>
      </c>
      <c r="BY26" s="20" t="str">
        <f aca="false">VLOOKUP(J26,Eras!$A$2:$C$10, 2, TRUE())</f>
        <v>lbr</v>
      </c>
      <c r="BZ26" s="35" t="s">
        <v>234</v>
      </c>
      <c r="CA26" s="1" t="str">
        <f aca="false">CONCATENATE(BY26,"_",BZ26)</f>
        <v>lbr_Express (Electric)</v>
      </c>
      <c r="CB26" s="1" t="str">
        <f aca="false">_xlfn.CONCAT(H26, "_",I26)</f>
        <v>electric_ELRL</v>
      </c>
      <c r="CC26" s="36" t="str">
        <f aca="false" t="array" ref="CC26:CC26">_xlfn.CONCAT("{BLACK}Length: {GOLD}", TEXT(ROUNDUP(IF(AQ26&lt;&gt;"",SUM(VALUE(_xlfn.TEXTSPLIT(AQ26, ","))), SUM(VALUE(_xlfn.TEXTSPLIT(AN26, ",")))*IF(M26, M26, 1))/16, 1), "#,##0.0"), " tiles{}")</f>
        <v>{BLACK}Length: {GOLD}0.9 tiles{}</v>
      </c>
      <c r="CD26" s="1" t="str">
        <f aca="false">VLOOKUP($CB26, Constants!$M:$N, 2, FALSE())</f>
        <v>{BLACK}Powered by: {GOLD}25kV AC</v>
      </c>
      <c r="CE26" s="1" t="str">
        <f aca="false">IF(M26&gt;1,_xlfn.CONCAT("{BLACK}Cars: {GOLD}", M26),"")</f>
        <v/>
      </c>
      <c r="CF26" s="1" t="s">
        <v>235</v>
      </c>
      <c r="CG26" s="20" t="str">
        <f aca="false">IF(BW26="buffet","{YELLOW}25% long distance bonus for consist{}",IF(BY26="BRAKE","{YELLOW}Speed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{BLACK}Powered by: {GOLD}25kV AC {}{BLACK}Length: {GOLD}0.9 tiles{}{SILVER}The APT-S was a rework of the APT concept towards more conventional rolling stock, with a driving motor car, articulated trailers and a DVT.</v>
      </c>
      <c r="CI26" s="1"/>
      <c r="CJ26" s="1"/>
    </row>
    <row r="27" customFormat="false" ht="13.8" hidden="false" customHeight="false" outlineLevel="0" collapsed="false">
      <c r="A27" s="35" t="s">
        <v>236</v>
      </c>
      <c r="B27" s="35" t="s">
        <v>237</v>
      </c>
      <c r="C27" s="35" t="n">
        <v>382</v>
      </c>
      <c r="D27" s="1" t="n">
        <v>386</v>
      </c>
      <c r="E27" s="35" t="n">
        <v>384</v>
      </c>
      <c r="F27" s="35" t="s">
        <v>89</v>
      </c>
      <c r="G27" s="35" t="s">
        <v>90</v>
      </c>
      <c r="H27" s="35" t="s">
        <v>208</v>
      </c>
      <c r="I27" s="35" t="s">
        <v>92</v>
      </c>
      <c r="J27" s="35" t="n">
        <v>1986</v>
      </c>
      <c r="K27" s="35" t="n">
        <v>1991</v>
      </c>
      <c r="L27" s="35" t="n">
        <v>1994</v>
      </c>
      <c r="M27" s="35"/>
      <c r="N27" s="35" t="n">
        <v>100</v>
      </c>
      <c r="W27" s="1" t="n">
        <v>38.4</v>
      </c>
      <c r="Y27" s="1" t="n">
        <v>4</v>
      </c>
      <c r="Z27" s="1" t="n">
        <v>5</v>
      </c>
      <c r="AA27" s="4" t="n">
        <f aca="false">IF(AND(W27&gt;0,Z27&gt;0),(Z27/((W27+X27)*10)),"")</f>
        <v>0.0130208333333333</v>
      </c>
      <c r="AB27" s="1" t="n">
        <v>140</v>
      </c>
      <c r="AC27" s="1" t="n">
        <f aca="false">ROUND(AB27*1.6, 0)</f>
        <v>224</v>
      </c>
      <c r="AF27" s="1" t="n">
        <v>22</v>
      </c>
      <c r="AG27" s="1" t="n">
        <v>22</v>
      </c>
      <c r="AH27" s="1" t="n">
        <v>2.7</v>
      </c>
      <c r="AI27" s="1" t="n">
        <v>3.5</v>
      </c>
      <c r="AJ27" s="5" t="n">
        <v>36</v>
      </c>
      <c r="AK27" s="1" t="str">
        <f aca="false">CONCATENATE(VLOOKUP(AL27, '[1]Voxel Sizes'!$A$2:$B$18,2,FALSE()),"x",INT(AH27*15), "x", INT(AI27*15))</f>
        <v>214x40x52</v>
      </c>
      <c r="AL27" s="1" t="n">
        <f aca="false">ROUND(15*((AG27*10)/256),0)</f>
        <v>13</v>
      </c>
      <c r="AN27" s="1" t="str">
        <f aca="false">CONCATENATE(VLOOKUP(AL27,Constants!$A$2:$C$16,IF(AM27&lt;&gt;"", 3, 2), FALSE()),IF(AM27&lt;&gt;"",CONCATENATE(",",VLOOKUP(AM27,$B:$AN,38,FALSE())),""))</f>
        <v>4,5,4</v>
      </c>
      <c r="AX27" s="1" t="n">
        <v>20</v>
      </c>
      <c r="AY27" s="6" t="n">
        <f aca="false">IF(L27&lt;&gt;"",MAX(16,(L27-J27)+8),"")</f>
        <v>16</v>
      </c>
      <c r="AZ27" s="1" t="n">
        <v>-35</v>
      </c>
      <c r="BA27" s="1" t="n">
        <v>-60</v>
      </c>
      <c r="BB27" s="20" t="n">
        <f aca="false">MIN(AB27/150, 1)*30</f>
        <v>28</v>
      </c>
      <c r="BC27" s="20" t="n">
        <f aca="false">MIN(N27/4000, 1)*20</f>
        <v>0.5</v>
      </c>
      <c r="BD27" s="20" t="n">
        <f aca="false">MIN(Z27/400,1)*20</f>
        <v>0.25</v>
      </c>
      <c r="BE27" s="24" t="n">
        <f aca="false">1-(MAX(J27-1900, 0)/750)</f>
        <v>0.885333333333333</v>
      </c>
      <c r="BF27" s="20" t="n">
        <f aca="false">((MAX($M27,1)*MIN($AJ27/300,1)))*IF(G27="Wagon",50,10)</f>
        <v>1.2</v>
      </c>
      <c r="BG27" s="20" t="n">
        <f aca="false">VLOOKUP($H27,Constants!$I:$K, 2, FALSE())</f>
        <v>0.85</v>
      </c>
      <c r="BH27" s="20" t="n">
        <f aca="false">VLOOKUP($H27,Constants!$I:$K, 3, FALSE())*IF(AND(G27="multiple_unit",AB27&lt;110),0.75,1)</f>
        <v>2.3</v>
      </c>
      <c r="BI27" s="20" t="n">
        <f aca="false">INT(POWER(((Constants!$G$2+$BB27+$BC27+$BD27+$BF27)*$BE27)*$BH27, 1.05))+$BA27</f>
        <v>28</v>
      </c>
      <c r="BJ27" s="20" t="n">
        <f aca="false">INT(POWER((((Constants!$G$1+$BB27+$BC27+$BD27+$BF27)*($BE27))*$BG27),IF($G27="wagon",1,1.2)))+$AZ27</f>
        <v>33</v>
      </c>
      <c r="BK27" s="34" t="n">
        <f aca="false">BI27*IF($G27="wagon",62.5,781.25)</f>
        <v>21875</v>
      </c>
      <c r="BL27" s="34" t="n">
        <f aca="false">BJ27*IF($G27="wagon",2.73,81.25)</f>
        <v>2681.25</v>
      </c>
      <c r="BM27" s="1" t="n">
        <v>1</v>
      </c>
      <c r="BN27" s="1" t="n">
        <v>1</v>
      </c>
      <c r="BP27" s="1" t="n">
        <v>1</v>
      </c>
      <c r="BQ27" s="1" t="str">
        <f aca="false">_xlfn.ORG.LIBREOFFICE.REGEX(_xlfn.ORG.LIBREOFFICE.REGEX(APTMUVehicles, _xlfn.CONCAT(B27, ",?"), ""), ",$", "")</f>
        <v>apt_half_6,apt_half_6_rev,apt_powercar,apt_half_2,apt_half_2_rev,apt_s_dm,apt_s_10,apt_s_6</v>
      </c>
      <c r="BS27" s="1" t="s">
        <v>233</v>
      </c>
      <c r="BT27" s="1" t="n">
        <v>7</v>
      </c>
      <c r="BU27" s="1" t="n">
        <v>185</v>
      </c>
      <c r="BX27" s="1" t="s">
        <v>156</v>
      </c>
      <c r="BY27" s="20" t="str">
        <f aca="false">VLOOKUP(J27,Eras!$A$2:$C$10, 2, TRUE())</f>
        <v>lbr</v>
      </c>
      <c r="BZ27" s="35" t="s">
        <v>234</v>
      </c>
      <c r="CA27" s="1" t="str">
        <f aca="false">CONCATENATE(BY27,"_",BZ27)</f>
        <v>lbr_Express (Electric)</v>
      </c>
      <c r="CB27" s="1" t="str">
        <f aca="false">_xlfn.CONCAT(H27, "_",I27)</f>
        <v>none_RAIL</v>
      </c>
      <c r="CC27" s="36" t="str">
        <f aca="false" t="array" ref="CC27:CC27">_xlfn.CONCAT("{BLACK}Length: {GOLD}", TEXT(ROUNDUP(IF(AQ27&lt;&gt;"",SUM(VALUE(_xlfn.TEXTSPLIT(AQ27, ","))), SUM(VALUE(_xlfn.TEXTSPLIT(AN27, ",")))*IF(M27, M27, 1))/16, 1), "#,##0.0"), " tiles{}")</f>
        <v>{BLACK}Length: {GOLD}0.9 tiles{}</v>
      </c>
      <c r="CD27" s="1" t="str">
        <f aca="false">VLOOKUP($CB27, Constants!$M:$N, 2, FALSE())</f>
        <v/>
      </c>
      <c r="CE27" s="1" t="str">
        <f aca="false">IF(M27&gt;1,_xlfn.CONCAT("{BLACK}Cars: {GOLD}", M27),"")</f>
        <v/>
      </c>
      <c r="CF27" s="1" t="s">
        <v>238</v>
      </c>
      <c r="CG27" s="20" t="str">
        <f aca="false">IF(BW27="buffet","{YELLOW}25% long distance bonus for consist{}",IF(BY27="BRAKE","{YELLOW}Speed bonus for slow wagons{}",IF(BU27&gt;190,CONCATENATE("{YELLOW}",INT((BU27-185)/1.85),"% bonus for long distance travel{}"),IF(AND(BU27&lt;180,BU27&lt;&gt;0),CONCATENATE("{YELLOW}",INT((185-BU27)/1.85),"% penalty for long distance travel{}"),""))))</f>
        <v/>
      </c>
      <c r="CH27" s="1" t="str">
        <f aca="false">_xlfn.CONCAT(CD27,IF(CD27 &lt;&gt; "", " ", ""),CE27,IF(OR(CE27&lt;&gt;"", CD27&lt;&gt;""), "{}",""), CC27, CG27,"{SILVER}", CF27)</f>
        <v>{BLACK}Length: {GOLD}0.9 tiles{}{SILVER}The APT-Q was proposed to rationalise existing APT-P stock into usable 6-car tains, with a single non-driving power car and a new-build DVT.</v>
      </c>
      <c r="CI27" s="1"/>
      <c r="CJ27" s="1"/>
    </row>
    <row r="28" customFormat="false" ht="13.8" hidden="false" customHeight="false" outlineLevel="0" collapsed="false">
      <c r="A28" s="1" t="s">
        <v>239</v>
      </c>
      <c r="B28" s="1" t="s">
        <v>240</v>
      </c>
      <c r="C28" s="1" t="n">
        <v>384</v>
      </c>
      <c r="D28" s="1" t="n">
        <v>386</v>
      </c>
      <c r="E28" s="1" t="n">
        <v>386</v>
      </c>
      <c r="F28" s="1" t="s">
        <v>89</v>
      </c>
      <c r="G28" s="1" t="s">
        <v>100</v>
      </c>
      <c r="H28" s="1" t="s">
        <v>208</v>
      </c>
      <c r="I28" s="1" t="s">
        <v>92</v>
      </c>
      <c r="J28" s="1" t="n">
        <v>1986</v>
      </c>
      <c r="K28" s="1" t="n">
        <v>1991</v>
      </c>
      <c r="L28" s="1" t="n">
        <v>1994</v>
      </c>
      <c r="M28" s="1" t="n">
        <v>10</v>
      </c>
      <c r="N28" s="1" t="n">
        <v>10</v>
      </c>
      <c r="W28" s="35" t="n">
        <v>258.2</v>
      </c>
      <c r="Y28" s="1" t="n">
        <v>4</v>
      </c>
      <c r="Z28" s="1" t="n">
        <v>5</v>
      </c>
      <c r="AA28" s="4" t="n">
        <f aca="false">IF(AND(W28&gt;0,Z28&gt;0),(Z28/((W28+X28)*10)),"")</f>
        <v>0.00193648334624322</v>
      </c>
      <c r="AB28" s="1" t="n">
        <v>140</v>
      </c>
      <c r="AC28" s="1" t="n">
        <f aca="false">ROUND(AB28*1.6, 0)</f>
        <v>224</v>
      </c>
      <c r="AF28" s="1" t="n">
        <v>20.9</v>
      </c>
      <c r="AG28" s="1" t="n">
        <v>20.9</v>
      </c>
      <c r="AH28" s="1" t="n">
        <v>2.7</v>
      </c>
      <c r="AI28" s="1" t="n">
        <v>3.5</v>
      </c>
      <c r="AJ28" s="5" t="n">
        <v>49</v>
      </c>
      <c r="AK28" s="1" t="str">
        <f aca="false">CONCATENATE(VLOOKUP(AL28, '[1]Voxel Sizes'!$A$2:$B$18,2,FALSE()),"x",INT(AH28*15), "x", INT(AI28*15))</f>
        <v>198x40x52</v>
      </c>
      <c r="AL28" s="1" t="n">
        <f aca="false">ROUND(15*((AG28*10)/256),0)</f>
        <v>12</v>
      </c>
      <c r="AN28" s="1" t="str">
        <f aca="false">CONCATENATE(VLOOKUP(AL28,Constants!$A$2:$C$16,IF(AM28&lt;&gt;"", 3, 2), FALSE()),IF(AM28&lt;&gt;"",CONCATENATE(",",VLOOKUP(AM28,$B:$AN,38,FALSE())),""))</f>
        <v>4,4,4</v>
      </c>
      <c r="AR28" s="1" t="s">
        <v>241</v>
      </c>
      <c r="AT28" s="1" t="s">
        <v>242</v>
      </c>
      <c r="AU28" s="1" t="s">
        <v>243</v>
      </c>
      <c r="AX28" s="1" t="n">
        <v>20</v>
      </c>
      <c r="AY28" s="6" t="n">
        <f aca="false">IF(L28&lt;&gt;"",MAX(16,(L28-J28)+8),"")</f>
        <v>16</v>
      </c>
      <c r="AZ28" s="1" t="n">
        <v>-45</v>
      </c>
      <c r="BA28" s="1" t="n">
        <v>-65</v>
      </c>
      <c r="BB28" s="20" t="n">
        <f aca="false">MIN(AB28/150, 1)*30</f>
        <v>28</v>
      </c>
      <c r="BC28" s="20" t="n">
        <f aca="false">MIN(N28/4000, 1)*20</f>
        <v>0.05</v>
      </c>
      <c r="BD28" s="20" t="n">
        <f aca="false">MIN(Z28/400,1)*20</f>
        <v>0.25</v>
      </c>
      <c r="BE28" s="24" t="n">
        <f aca="false">1-(MAX(J28-1900, 0)/750)</f>
        <v>0.885333333333333</v>
      </c>
      <c r="BF28" s="20" t="n">
        <f aca="false">((MAX($M28,1)*MIN($AJ28/300,1)))*IF(G28="Wagon",50,10)</f>
        <v>16.3333333333333</v>
      </c>
      <c r="BG28" s="20" t="n">
        <f aca="false">VLOOKUP($H28,Constants!$I:$K, 2, FALSE())</f>
        <v>0.85</v>
      </c>
      <c r="BH28" s="20" t="n">
        <f aca="false">VLOOKUP($H28,Constants!$I:$K, 3, FALSE())*IF(AND(G28="multiple_unit",AB28&lt;110),0.75,1)</f>
        <v>2.3</v>
      </c>
      <c r="BI28" s="20" t="n">
        <f aca="false">INT(POWER(((Constants!$G$2+$BB28+$BC28+$BD28+$BF28)*$BE28)*$BH28, 1.05))+$BA28</f>
        <v>62</v>
      </c>
      <c r="BJ28" s="20" t="n">
        <f aca="false">INT(POWER((((Constants!$G$1+$BB28+$BC28+$BD28+$BF28)*($BE28))*$BG28),IF($G28="wagon",1,1.2)))+$AZ28</f>
        <v>51</v>
      </c>
      <c r="BK28" s="34" t="n">
        <f aca="false">BI28*IF($G28="wagon",62.5,781.25)</f>
        <v>48437.5</v>
      </c>
      <c r="BL28" s="34" t="n">
        <f aca="false">BJ28*IF($G28="wagon",2.73,81.25)</f>
        <v>4143.75</v>
      </c>
      <c r="BO28" s="1" t="n">
        <v>1</v>
      </c>
      <c r="BP28" s="1" t="n">
        <v>1</v>
      </c>
      <c r="BQ28" s="1" t="str">
        <f aca="false">_xlfn.ORG.LIBREOFFICE.REGEX(_xlfn.ORG.LIBREOFFICE.REGEX(APTMUVehicles, _xlfn.CONCAT(B28, ",?"), ""), ",$", "")</f>
        <v>apt_half_6,apt_half_6_rev,apt_powercar,apt_half_2,apt_half_2_rev,apt_q_dvt,apt_s_dm,apt_s_6</v>
      </c>
      <c r="BS28" s="35" t="s">
        <v>244</v>
      </c>
      <c r="BT28" s="1" t="n">
        <v>7</v>
      </c>
      <c r="BU28" s="1" t="n">
        <v>222</v>
      </c>
      <c r="BX28" s="1" t="s">
        <v>104</v>
      </c>
      <c r="BY28" s="20" t="str">
        <f aca="false">VLOOKUP(J28,Eras!$A$2:$C$10, 2, TRUE())</f>
        <v>lbr</v>
      </c>
      <c r="BZ28" s="35" t="s">
        <v>163</v>
      </c>
      <c r="CA28" s="1" t="str">
        <f aca="false">CONCATENATE(BY28,"_",BZ28)</f>
        <v>lbr_EMU (Express)</v>
      </c>
      <c r="CB28" s="1" t="str">
        <f aca="false">_xlfn.CONCAT(H28, "_",I28)</f>
        <v>none_RAIL</v>
      </c>
      <c r="CC28" s="36" t="str">
        <f aca="false" t="array" ref="CC28:CC28">_xlfn.CONCAT("{BLACK}Length: {GOLD}", TEXT(ROUNDUP(IF(AQ28&lt;&gt;"",SUM(VALUE(_xlfn.TEXTSPLIT(AQ28, ","))), SUM(VALUE(_xlfn.TEXTSPLIT(AN28, ",")))*IF(M28, M28, 1))/16, 1), "#,##0.0"), " tiles{}")</f>
        <v>{BLACK}Length: {GOLD}7.5 tiles{}</v>
      </c>
      <c r="CD28" s="1" t="str">
        <f aca="false">VLOOKUP($CB28, Constants!$M:$N, 2, FALSE())</f>
        <v/>
      </c>
      <c r="CE28" s="1" t="str">
        <f aca="false">IF(M28&gt;1,_xlfn.CONCAT("{BLACK}Cars: {GOLD}", M28),"")</f>
        <v>{BLACK}Cars: {GOLD}10</v>
      </c>
      <c r="CF28" s="1" t="s">
        <v>245</v>
      </c>
      <c r="CG28" s="20" t="str">
        <f aca="false">IF(BW28="buffet","{YELLOW}25% long distance bonus for consist{}",IF(BY28="BRAKE","{YELLOW}Speed bonus for slow wagons{}",IF(BU28&gt;190,CONCATENATE("{YELLOW}",INT((BU28-185)/1.85),"% bonus for long distance travel{}"),IF(AND(BU28&lt;180,BU28&lt;&gt;0),CONCATENATE("{YELLOW}",INT((185-BU28)/1.85),"% penalty for long distance travel{}"),""))))</f>
        <v>{YELLOW}20% bonus for long distance travel{}</v>
      </c>
      <c r="CH28" s="1" t="str">
        <f aca="false">_xlfn.CONCAT(CD28,IF(CD28 &lt;&gt; "", " ", ""),CE28,IF(OR(CE28&lt;&gt;"", CD28&lt;&gt;""), "{}",""), CC28, CG28,"{SILVER}", CF28)</f>
        <v>{BLACK}Cars: {GOLD}10{}{BLACK}Length: {GOLD}7.5 tiles{}{YELLOW}20% bonus for long distance travel{}{SILVER}An articulated trailer rake of APT-S Vehicles, intended to run with a Driving Motor and a DVT but also usable in other weird combinations.</v>
      </c>
      <c r="CI28" s="1"/>
      <c r="CJ28" s="1"/>
    </row>
    <row r="29" s="20" customFormat="true" ht="13.8" hidden="false" customHeight="false" outlineLevel="0" collapsed="false">
      <c r="A29" s="1" t="s">
        <v>246</v>
      </c>
      <c r="B29" s="1" t="s">
        <v>247</v>
      </c>
      <c r="C29" s="1" t="n">
        <v>386</v>
      </c>
      <c r="D29" s="1"/>
      <c r="E29" s="1" t="n">
        <v>388</v>
      </c>
      <c r="F29" s="1" t="s">
        <v>89</v>
      </c>
      <c r="G29" s="1" t="s">
        <v>100</v>
      </c>
      <c r="H29" s="1" t="s">
        <v>208</v>
      </c>
      <c r="I29" s="1" t="s">
        <v>92</v>
      </c>
      <c r="J29" s="1" t="n">
        <v>1986</v>
      </c>
      <c r="K29" s="1" t="n">
        <v>1991</v>
      </c>
      <c r="L29" s="1" t="n">
        <v>1994</v>
      </c>
      <c r="M29" s="1" t="n">
        <v>6</v>
      </c>
      <c r="N29" s="1" t="n">
        <v>10</v>
      </c>
      <c r="O29" s="2"/>
      <c r="P29" s="3"/>
      <c r="Q29" s="3"/>
      <c r="R29" s="3"/>
      <c r="S29" s="3"/>
      <c r="T29" s="3"/>
      <c r="U29" s="3"/>
      <c r="V29" s="3"/>
      <c r="W29" s="1" t="n">
        <v>209.6</v>
      </c>
      <c r="X29" s="2"/>
      <c r="Y29" s="1" t="n">
        <v>4</v>
      </c>
      <c r="Z29" s="1" t="n">
        <v>5</v>
      </c>
      <c r="AA29" s="4" t="n">
        <f aca="false">IF(AND(W29&gt;0,Z29&gt;0),(Z29/((W29+X29)*10)),"")</f>
        <v>0.00238549618320611</v>
      </c>
      <c r="AB29" s="1" t="n">
        <v>140</v>
      </c>
      <c r="AC29" s="1" t="n">
        <f aca="false">ROUND(AB29*1.6, 0)</f>
        <v>224</v>
      </c>
      <c r="AD29" s="1"/>
      <c r="AE29" s="1"/>
      <c r="AF29" s="1" t="n">
        <v>20.9</v>
      </c>
      <c r="AG29" s="1" t="n">
        <v>20.9</v>
      </c>
      <c r="AH29" s="1" t="n">
        <v>2.7</v>
      </c>
      <c r="AI29" s="1" t="n">
        <v>3.5</v>
      </c>
      <c r="AJ29" s="5" t="n">
        <v>50</v>
      </c>
      <c r="AK29" s="1" t="str">
        <f aca="false">CONCATENATE(VLOOKUP(AL29, '[1]Voxel Sizes'!$A$2:$B$18,2,FALSE()),"x",INT(AH29*15), "x", INT(AI29*15))</f>
        <v>198x40x52</v>
      </c>
      <c r="AL29" s="1" t="n">
        <f aca="false">ROUND(15*((AG29*10)/256),0)</f>
        <v>12</v>
      </c>
      <c r="AM29" s="1"/>
      <c r="AN29" s="1" t="str">
        <f aca="false">CONCATENATE(VLOOKUP(AL29,Constants!$A$2:$C$16,IF(AM29&lt;&gt;"", 3, 2), FALSE()),IF(AM29&lt;&gt;"",CONCATENATE(",",VLOOKUP(AM29,$B:$AN,38,FALSE())),""))</f>
        <v>4,4,4</v>
      </c>
      <c r="AO29" s="1"/>
      <c r="AP29" s="7"/>
      <c r="AQ29" s="7"/>
      <c r="AR29" s="1" t="s">
        <v>248</v>
      </c>
      <c r="AS29" s="1"/>
      <c r="AT29" s="1" t="s">
        <v>119</v>
      </c>
      <c r="AU29" s="1" t="s">
        <v>243</v>
      </c>
      <c r="AV29" s="1"/>
      <c r="AW29" s="1"/>
      <c r="AX29" s="1" t="n">
        <v>20</v>
      </c>
      <c r="AY29" s="6" t="n">
        <f aca="false">IF(L29&lt;&gt;"",MAX(16,(L29-J29)+8),"")</f>
        <v>16</v>
      </c>
      <c r="AZ29" s="1" t="n">
        <v>-45</v>
      </c>
      <c r="BA29" s="1" t="n">
        <v>-65</v>
      </c>
      <c r="BB29" s="20" t="n">
        <f aca="false">MIN(AB29/150, 1)*30</f>
        <v>28</v>
      </c>
      <c r="BC29" s="20" t="n">
        <f aca="false">MIN(N29/4000, 1)*20</f>
        <v>0.05</v>
      </c>
      <c r="BD29" s="20" t="n">
        <f aca="false">MIN(Z29/400,1)*20</f>
        <v>0.25</v>
      </c>
      <c r="BE29" s="24" t="n">
        <f aca="false">1-(MAX(J29-1900, 0)/750)</f>
        <v>0.885333333333333</v>
      </c>
      <c r="BF29" s="20" t="n">
        <f aca="false">((MAX($M29,1)*MIN($AJ29/300,1)))*IF(G29="Wagon",50,10)</f>
        <v>10</v>
      </c>
      <c r="BG29" s="20" t="n">
        <f aca="false">VLOOKUP($H29,Constants!$I:$K, 2, FALSE())</f>
        <v>0.85</v>
      </c>
      <c r="BH29" s="20" t="n">
        <f aca="false">VLOOKUP($H29,Constants!$I:$K, 3, FALSE())*IF(AND(G29="multiple_unit",AB29&lt;110),0.75,1)</f>
        <v>2.3</v>
      </c>
      <c r="BI29" s="20" t="n">
        <f aca="false">INT(POWER(((Constants!$G$2+$BB29+$BC29+$BD29+$BF29)*$BE29)*$BH29, 1.05))+$BA29</f>
        <v>45</v>
      </c>
      <c r="BJ29" s="20" t="n">
        <f aca="false">INT(POWER((((Constants!$G$1+$BB29+$BC29+$BD29+$BF29)*($BE29))*$BG29),IF($G29="wagon",1,1.2)))+$AZ29</f>
        <v>38</v>
      </c>
      <c r="BK29" s="34" t="n">
        <f aca="false">BI29*IF($G29="wagon",62.5,781.25)</f>
        <v>35156.25</v>
      </c>
      <c r="BL29" s="34" t="n">
        <f aca="false">BJ29*IF($G29="wagon",2.73,81.25)</f>
        <v>3087.5</v>
      </c>
      <c r="BM29" s="1"/>
      <c r="BN29" s="1"/>
      <c r="BO29" s="1" t="n">
        <v>1</v>
      </c>
      <c r="BP29" s="1" t="n">
        <v>1</v>
      </c>
      <c r="BQ29" s="1" t="str">
        <f aca="false">_xlfn.ORG.LIBREOFFICE.REGEX(_xlfn.ORG.LIBREOFFICE.REGEX(APTMUVehicles, _xlfn.CONCAT(B29, ",?"), ""), ",$", "")</f>
        <v>apt_half_6,apt_half_6_rev,apt_powercar,apt_half_2,apt_half_2_rev,apt_q_dvt,apt_s_dm,apt_s_10</v>
      </c>
      <c r="BR29" s="1"/>
      <c r="BS29" s="35" t="s">
        <v>249</v>
      </c>
      <c r="BT29" s="1" t="n">
        <v>7</v>
      </c>
      <c r="BU29" s="1" t="n">
        <v>222</v>
      </c>
      <c r="BV29" s="1"/>
      <c r="BW29" s="1"/>
      <c r="BX29" s="1" t="s">
        <v>104</v>
      </c>
      <c r="BY29" s="20" t="str">
        <f aca="false">VLOOKUP(J29,Eras!$A$2:$C$10, 2, TRUE())</f>
        <v>lbr</v>
      </c>
      <c r="BZ29" s="35" t="s">
        <v>163</v>
      </c>
      <c r="CA29" s="1" t="str">
        <f aca="false">CONCATENATE(BY29,"_",BZ29)</f>
        <v>lbr_EMU (Express)</v>
      </c>
      <c r="CB29" s="1" t="str">
        <f aca="false">_xlfn.CONCAT(H29, "_",I29)</f>
        <v>none_RAIL</v>
      </c>
      <c r="CC29" s="36" t="str">
        <f aca="false" t="array" ref="CC29:CC29">_xlfn.CONCAT("{BLACK}Length: {GOLD}", TEXT(ROUNDUP(IF(AQ29&lt;&gt;"",SUM(VALUE(_xlfn.TEXTSPLIT(AQ29, ","))), SUM(VALUE(_xlfn.TEXTSPLIT(AN29, ",")))*IF(M29, M29, 1))/16, 1), "#,##0.0"), " tiles{}")</f>
        <v>{BLACK}Length: {GOLD}4.5 tiles{}</v>
      </c>
      <c r="CD29" s="1" t="str">
        <f aca="false">VLOOKUP($CB29, Constants!$M:$N, 2, FALSE())</f>
        <v/>
      </c>
      <c r="CE29" s="1" t="str">
        <f aca="false">IF(M29&gt;1,_xlfn.CONCAT("{BLACK}Cars: {GOLD}", M29),"")</f>
        <v>{BLACK}Cars: {GOLD}6</v>
      </c>
      <c r="CF29" s="1" t="s">
        <v>245</v>
      </c>
      <c r="CG29" s="20" t="str">
        <f aca="false">IF(BW29="buffet","{YELLOW}25% long distance bonus for consist{}",IF(BY29="BRAKE","{YELLOW}Speed bonus for slow wagons{}",IF(BU29&gt;190,CONCATENATE("{YELLOW}",INT((BU29-185)/1.85),"% bonus for long distance travel{}"),IF(AND(BU29&lt;180,BU29&lt;&gt;0),CONCATENATE("{YELLOW}",INT((185-BU29)/1.85),"% penalty for long distance travel{}"),""))))</f>
        <v>{YELLOW}20% bonus for long distance travel{}</v>
      </c>
      <c r="CH29" s="1" t="str">
        <f aca="false">_xlfn.CONCAT(CD29,IF(CD29 &lt;&gt; "", " ", ""),CE29,IF(OR(CE29&lt;&gt;"", CD29&lt;&gt;""), "{}",""), CC29, CG29,"{SILVER}", CF29)</f>
        <v>{BLACK}Cars: {GOLD}6{}{BLACK}Length: {GOLD}4.5 tiles{}{YELLOW}20% bonus for long distance travel{}{SILVER}An articulated trailer rake of APT-S Vehicles, intended to run with a Driving Motor and a DVT but also usable in other weird combinations.</v>
      </c>
      <c r="CI29" s="1"/>
      <c r="CJ29" s="1"/>
    </row>
    <row r="30" s="20" customFormat="true" ht="13.8" hidden="false" customHeight="false" outlineLevel="0" collapsed="false">
      <c r="A30" s="20" t="s">
        <v>250</v>
      </c>
      <c r="B30" s="20" t="s">
        <v>251</v>
      </c>
      <c r="C30" s="20" t="n">
        <v>473</v>
      </c>
      <c r="E30" s="20" t="n">
        <v>475</v>
      </c>
      <c r="F30" s="20" t="s">
        <v>89</v>
      </c>
      <c r="G30" s="20" t="s">
        <v>90</v>
      </c>
      <c r="H30" s="20" t="s">
        <v>192</v>
      </c>
      <c r="I30" s="20" t="s">
        <v>92</v>
      </c>
      <c r="J30" s="20" t="n">
        <v>2014</v>
      </c>
      <c r="N30" s="20" t="n">
        <v>1600</v>
      </c>
      <c r="O30" s="21"/>
      <c r="P30" s="22"/>
      <c r="Q30" s="22"/>
      <c r="R30" s="22"/>
      <c r="S30" s="22"/>
      <c r="T30" s="22"/>
      <c r="U30" s="22"/>
      <c r="V30" s="22"/>
      <c r="W30" s="20" t="n">
        <v>78</v>
      </c>
      <c r="X30" s="21"/>
      <c r="Z30" s="20" t="n">
        <v>186</v>
      </c>
      <c r="AA30" s="24" t="n">
        <f aca="false">IF(AND(W30&gt;0,Z30&gt;0),(Z30/((W30+X30)*10)),"")</f>
        <v>0.238461538461538</v>
      </c>
      <c r="AB30" s="20" t="n">
        <v>90</v>
      </c>
      <c r="AC30" s="20" t="n">
        <f aca="false">ROUND(AB30*1.6, 0)</f>
        <v>144</v>
      </c>
      <c r="AF30" s="20" t="n">
        <v>16.36</v>
      </c>
      <c r="AG30" s="20" t="n">
        <v>16.36</v>
      </c>
      <c r="AJ30" s="25" t="n">
        <v>0</v>
      </c>
      <c r="AK30" s="20" t="str">
        <f aca="false">CONCATENATE(VLOOKUP(AL30, '[1]Voxel Sizes'!$A$2:$B$18,2,FALSE()),"x",INT(AH30*15), "x", INT(AI30*15))</f>
        <v>164x0x0</v>
      </c>
      <c r="AL30" s="20" t="n">
        <f aca="false">ROUND(15*((AG30*10)/256),0)</f>
        <v>10</v>
      </c>
      <c r="AN30" s="1" t="str">
        <f aca="false">CONCATENATE(VLOOKUP(AL30,Constants!$A$2:$C$16,IF(AM30&lt;&gt;"", 3, 2), FALSE()),IF(AM30&lt;&gt;"",CONCATENATE(",",VLOOKUP(AM30,$B:$AN,38,FALSE())),""))</f>
        <v>4,2,4</v>
      </c>
      <c r="AP30" s="26"/>
      <c r="AQ30" s="26"/>
      <c r="AX30" s="20" t="n">
        <v>33</v>
      </c>
      <c r="AY30" s="27" t="str">
        <f aca="false">IF(L30&lt;&gt;"",MAX(16,(L30-J30)+8),"")</f>
        <v/>
      </c>
      <c r="BB30" s="20" t="n">
        <f aca="false">MIN(AB30/150, 1)*30</f>
        <v>18</v>
      </c>
      <c r="BC30" s="20" t="n">
        <f aca="false">MIN(N30/4000, 1)*20</f>
        <v>8</v>
      </c>
      <c r="BD30" s="20" t="n">
        <f aca="false">MIN(Z30/400,1)*20</f>
        <v>9.3</v>
      </c>
      <c r="BE30" s="24" t="n">
        <f aca="false">1-(MAX(J30-1900, 0)/750)</f>
        <v>0.848</v>
      </c>
      <c r="BF30" s="20" t="n">
        <f aca="false">((MAX($M30,1)*MIN($AJ30/300,1)))*IF(G30="Wagon",50,10)</f>
        <v>0</v>
      </c>
      <c r="BG30" s="20" t="n">
        <f aca="false">VLOOKUP($H30,Constants!$I:$K, 2, FALSE())</f>
        <v>0.9</v>
      </c>
      <c r="BH30" s="20" t="n">
        <f aca="false">VLOOKUP($H30,Constants!$I:$K, 3, FALSE())*IF(AND(G30="multiple_unit",AB30&lt;110),0.75,1)</f>
        <v>2.5</v>
      </c>
      <c r="BI30" s="20" t="n">
        <f aca="false">INT(POWER(((Constants!$G$2+$BB30+$BC30+$BD30+$BF30)*$BE30)*$BH30, 1.05))+$BA30</f>
        <v>106</v>
      </c>
      <c r="BJ30" s="20" t="n">
        <f aca="false">INT(POWER((((Constants!$G$1+$BB30+$BC30+$BD30+$BF30)*($BE30))*$BG30),IF($G30="wagon",1,1.2)))+$AZ30</f>
        <v>79</v>
      </c>
      <c r="BK30" s="33" t="n">
        <f aca="false">BI30*IF($G30="wagon",62.5,781.25)</f>
        <v>82812.5</v>
      </c>
      <c r="BL30" s="33" t="n">
        <f aca="false">BJ30*IF($G30="wagon",2.73,81.25)</f>
        <v>6418.75</v>
      </c>
      <c r="BT30" s="20" t="n">
        <v>10</v>
      </c>
      <c r="BY30" s="20" t="str">
        <f aca="false">VLOOKUP(J30,Eras!$A$2:$C$10, 2, TRUE())</f>
        <v>mod</v>
      </c>
      <c r="BZ30" s="19" t="s">
        <v>252</v>
      </c>
      <c r="CA30" s="20" t="str">
        <f aca="false">CONCATENATE(BY30,"_",BZ30)</f>
        <v>mod_MT (Electric)</v>
      </c>
      <c r="CB30" s="20" t="str">
        <f aca="false">_xlfn.CONCAT(H30, "_",I30)</f>
        <v>dual_power_RAIL</v>
      </c>
      <c r="CC30" s="32" t="str">
        <f aca="false" t="array" ref="CC30:CC30">_xlfn.CONCAT("{BLACK}Length: {GOLD}", TEXT(ROUNDUP(IF(AQ30&lt;&gt;"",SUM(VALUE(_xlfn.TEXTSPLIT(AQ30, ","))), SUM(VALUE(_xlfn.TEXTSPLIT(AN30, ",")))*IF(M30, M30, 1))/16, 1), "#,##0.0"), " tiles{}")</f>
        <v>{BLACK}Length: {GOLD}0.7 tiles{}</v>
      </c>
      <c r="CD30" s="20" t="str">
        <f aca="false">VLOOKUP($CB30, [1]Constants!$M$1:$N$1048576, 2, FALSE())</f>
        <v>{BLACK}Powered by: {GOLD}750V DC / Diesel</v>
      </c>
      <c r="CE30" s="20" t="str">
        <f aca="false">IF(M30&gt;1,_xlfn.CONCAT("{BLACK}Cars: {GOLD}", M30),"")</f>
        <v/>
      </c>
      <c r="CF30" s="20" t="s">
        <v>253</v>
      </c>
      <c r="CG30" s="20" t="str">
        <f aca="false">IF(BW30="buffet","{YELLOW}25% long distance bonus for consist{}",IF(BY30="BRAKE","{YELLOW}Speed bonus for slow wagons{}",IF(BU30&gt;190,CONCATENATE("{YELLOW}",INT((BU30-185)/1.85),"% bonus for long distance travel{}"),IF(AND(BU30&lt;180,BU30&lt;&gt;0),CONCATENATE("{YELLOW}",INT((185-BU30)/1.85),"% penalty for long distance travel{}"),""))))</f>
        <v/>
      </c>
      <c r="CH30" s="1" t="str">
        <f aca="false">_xlfn.CONCAT(CD30,IF(CD30 &lt;&gt; "", " ", ""),CE30,IF(OR(CE30&lt;&gt;"", CD30&lt;&gt;""), "{}",""), CC30, CG30,"{SILVER}", CF30)</f>
        <v>{BLACK}Powered by: {GOLD}750V DC / Diesel {}{BLACK}Length: {GOLD}0.7 tiles{}{SILVER}These re-engined and modernized Class 73s retained their ability to run from the third rail but received diesel engines capable of operating at an equivalent power level.</v>
      </c>
    </row>
    <row r="31" customFormat="false" ht="13.8" hidden="false" customHeight="false" outlineLevel="0" collapsed="false">
      <c r="A31" s="1" t="s">
        <v>254</v>
      </c>
      <c r="B31" s="1" t="s">
        <v>255</v>
      </c>
      <c r="C31" s="1" t="n">
        <v>20</v>
      </c>
      <c r="E31" s="1" t="n">
        <v>1020</v>
      </c>
      <c r="F31" s="1" t="s">
        <v>89</v>
      </c>
      <c r="G31" s="1" t="s">
        <v>256</v>
      </c>
      <c r="H31" s="1" t="s">
        <v>256</v>
      </c>
      <c r="I31" s="1" t="s">
        <v>92</v>
      </c>
      <c r="J31" s="1" t="n">
        <v>1907</v>
      </c>
      <c r="K31" s="1" t="n">
        <v>1950</v>
      </c>
      <c r="L31" s="1" t="n">
        <v>1961</v>
      </c>
      <c r="W31" s="1" t="n">
        <v>6.4</v>
      </c>
      <c r="Y31" s="1" t="n">
        <v>3</v>
      </c>
      <c r="AA31" s="4" t="str">
        <f aca="false">IF(AND(W31&gt;0,Z31&gt;0),(Z31/((W31+X31)*10)),"")</f>
        <v/>
      </c>
      <c r="AB31" s="1" t="n">
        <v>50</v>
      </c>
      <c r="AC31" s="1" t="n">
        <f aca="false">ROUND(AB31*1.6, 0)</f>
        <v>80</v>
      </c>
      <c r="AF31" s="1" t="n">
        <v>6</v>
      </c>
      <c r="AG31" s="1" t="n">
        <v>8</v>
      </c>
      <c r="AH31" s="1" t="n">
        <v>2.5</v>
      </c>
      <c r="AI31" s="1" t="n">
        <v>3.35</v>
      </c>
      <c r="AJ31" s="5" t="n">
        <v>13</v>
      </c>
      <c r="AK31" s="1" t="str">
        <f aca="false">CONCATENATE(VLOOKUP(AL31, '[1]Voxel Sizes'!$A$2:$B$18,2,FALSE()),"x",INT(AH31*15), "x", INT(AI31*15))</f>
        <v>82x37x50</v>
      </c>
      <c r="AL31" s="1" t="n">
        <f aca="false">ROUND(15*((AG31*10)/256),0)</f>
        <v>5</v>
      </c>
      <c r="AN31" s="1" t="str">
        <f aca="false">CONCATENATE(VLOOKUP(AL31,Constants!$A$2:$C$16,IF(AM31&lt;&gt;"", 3, 2), FALSE()),IF(AM31&lt;&gt;"",CONCATENATE(",",VLOOKUP(AM31,$B:$AN,38,FALSE())),""))</f>
        <v>2,1,2</v>
      </c>
      <c r="AX31" s="1" t="n">
        <v>30</v>
      </c>
      <c r="AY31" s="6" t="n">
        <f aca="false">IF(L31&lt;&gt;"",MAX(16,(L31-J31)+8),"")</f>
        <v>62</v>
      </c>
      <c r="AZ31" s="1" t="n">
        <v>5</v>
      </c>
      <c r="BA31" s="1" t="n">
        <v>0</v>
      </c>
      <c r="BB31" s="20" t="n">
        <f aca="false">MIN(AB31/150, 1)*30</f>
        <v>10</v>
      </c>
      <c r="BC31" s="20" t="n">
        <f aca="false">MIN(N31/4000, 1)*20</f>
        <v>0</v>
      </c>
      <c r="BD31" s="20" t="n">
        <f aca="false">MIN(Z31/400,1)*20</f>
        <v>0</v>
      </c>
      <c r="BE31" s="24" t="n">
        <f aca="false">1-(MAX(J31-1900, 0)/750)</f>
        <v>0.990666666666667</v>
      </c>
      <c r="BF31" s="20" t="n">
        <f aca="false">((MAX($M31,1)*MIN($AJ31/300,1)))*IF(G31="Wagon",50,10)</f>
        <v>2.16666666666667</v>
      </c>
      <c r="BG31" s="20" t="n">
        <f aca="false">VLOOKUP($H31,Constants!$I:$K, 2, FALSE())</f>
        <v>1</v>
      </c>
      <c r="BH31" s="20" t="n">
        <f aca="false">VLOOKUP($H31,Constants!$I:$K, 3, FALSE())*IF(AND(G31="multiple_unit",AB31&lt;110),0.75,1)</f>
        <v>0.45</v>
      </c>
      <c r="BI31" s="20" t="n">
        <f aca="false">INT(POWER(((Constants!$G$2+$BB31+$BC31+$BD31+$BF31)*$BE31)*$BH31, 1.05))+$BA31</f>
        <v>8</v>
      </c>
      <c r="BJ31" s="20" t="n">
        <f aca="false">INT(POWER((((Constants!$G$1+$BB31+$BC31+$BD31+$BF31)*($BE31))*$BG31),IF($G31="wagon",1,1.2)))+$AZ31</f>
        <v>31</v>
      </c>
      <c r="BK31" s="34" t="n">
        <f aca="false">BI31*IF($G31="wagon",62.5,781.25)</f>
        <v>500</v>
      </c>
      <c r="BL31" s="34" t="n">
        <f aca="false">BJ31*IF($G31="wagon",2.73,81.25)</f>
        <v>84.63</v>
      </c>
      <c r="BT31" s="1" t="n">
        <v>1</v>
      </c>
      <c r="BU31" s="1" t="n">
        <v>185</v>
      </c>
      <c r="BV31" s="19" t="s">
        <v>257</v>
      </c>
      <c r="BW31" s="19"/>
      <c r="BX31" s="1" t="s">
        <v>258</v>
      </c>
      <c r="BY31" s="20" t="str">
        <f aca="false">VLOOKUP(J31,Eras!$A$2:$C$10, 2, TRUE())</f>
        <v>edw</v>
      </c>
      <c r="BZ31" s="35" t="s">
        <v>259</v>
      </c>
      <c r="CA31" s="1" t="str">
        <f aca="false">CONCATENATE(BY31,"_",BZ31)</f>
        <v>edw_Tanker</v>
      </c>
      <c r="CB31" s="1" t="str">
        <f aca="false">_xlfn.CONCAT(H31, "_",I31)</f>
        <v>wagon_RAIL</v>
      </c>
      <c r="CC31" s="36" t="str">
        <f aca="false" t="array" ref="CC31:CC31">_xlfn.CONCAT("{BLACK}Length: {GOLD}", TEXT(ROUNDUP(IF(AQ31&lt;&gt;"",SUM(VALUE(_xlfn.TEXTSPLIT(AQ31, ","))), SUM(VALUE(_xlfn.TEXTSPLIT(AN31, ",")))*IF(M31, M31, 1))/16, 1), "#,##0.0"), " tiles{}")</f>
        <v>{BLACK}Length: {GOLD}0.4 tiles{}</v>
      </c>
      <c r="CD31" s="1" t="str">
        <f aca="false">VLOOKUP($CB31, Constants!$M:$N, 2, FALSE())</f>
        <v/>
      </c>
      <c r="CE31" s="1" t="str">
        <f aca="false">IF(M31&gt;1,_xlfn.CONCAT("{BLACK}Cars: {GOLD}", M31),"")</f>
        <v/>
      </c>
      <c r="CF31" s="1" t="s">
        <v>260</v>
      </c>
      <c r="CG31" s="20" t="str">
        <f aca="false">IF(BW31="buffet","{YELLOW}25% long distance bonus for consist{}",IF(BY31="BRAKE","{YELLOW}Speed bonus for slow wagons{}",IF(BU31&gt;190,CONCATENATE("{YELLOW}",INT((BU31-185)/1.85),"% bonus for long distance travel{}"),IF(AND(BU31&lt;180,BU31&lt;&gt;0),CONCATENATE("{YELLOW}",INT((185-BU31)/1.85),"% penalty for long distance travel{}"),""))))</f>
        <v/>
      </c>
      <c r="CH31" s="1" t="str">
        <f aca="false">_xlfn.CONCAT(CD31,IF(CD31 &lt;&gt; "", " ", ""),CE31,IF(OR(CE31&lt;&gt;"", CD31&lt;&gt;""), "{}",""), CC31, CG31,"{SILVER}", CF31)</f>
        <v>{BLACK}Length: {GOLD}0.4 tiles{}{SILVER}The standard RCH Salt Wagon design of 1907 was long-lived in private ownership and saw some use beyond sodium chloride, which was largely used as part of the chemical industry.</v>
      </c>
      <c r="CI31" s="1"/>
      <c r="CJ31" s="1"/>
      <c r="CK31" s="20"/>
    </row>
    <row r="32" customFormat="false" ht="13.8" hidden="false" customHeight="false" outlineLevel="0" collapsed="false">
      <c r="A32" s="1" t="s">
        <v>261</v>
      </c>
      <c r="B32" s="1" t="s">
        <v>262</v>
      </c>
      <c r="C32" s="1" t="n">
        <v>25</v>
      </c>
      <c r="E32" s="1" t="n">
        <v>1025</v>
      </c>
      <c r="F32" s="1" t="s">
        <v>89</v>
      </c>
      <c r="G32" s="1" t="s">
        <v>256</v>
      </c>
      <c r="H32" s="1" t="s">
        <v>256</v>
      </c>
      <c r="I32" s="1" t="s">
        <v>92</v>
      </c>
      <c r="J32" s="1" t="n">
        <v>1955</v>
      </c>
      <c r="K32" s="1" t="n">
        <v>1980</v>
      </c>
      <c r="L32" s="1" t="n">
        <v>1987</v>
      </c>
      <c r="W32" s="1" t="n">
        <v>13.4</v>
      </c>
      <c r="Y32" s="1" t="n">
        <v>5</v>
      </c>
      <c r="AA32" s="4" t="str">
        <f aca="false">IF(AND(W32&gt;0,Z32&gt;0),(Z32/((W32+X32)*10)),"")</f>
        <v/>
      </c>
      <c r="AB32" s="1" t="n">
        <v>50</v>
      </c>
      <c r="AC32" s="1" t="n">
        <f aca="false">ROUND(AB32*1.6, 0)</f>
        <v>80</v>
      </c>
      <c r="AF32" s="1" t="n">
        <v>6</v>
      </c>
      <c r="AG32" s="1" t="n">
        <v>8</v>
      </c>
      <c r="AH32" s="1" t="n">
        <v>2.5</v>
      </c>
      <c r="AI32" s="1" t="n">
        <v>3.35</v>
      </c>
      <c r="AJ32" s="5" t="n">
        <v>20</v>
      </c>
      <c r="AK32" s="1" t="str">
        <f aca="false">CONCATENATE(VLOOKUP(AL32, '[1]Voxel Sizes'!$A$2:$B$18,2,FALSE()),"x",INT(AH32*15), "x", INT(AI32*15))</f>
        <v>82x37x50</v>
      </c>
      <c r="AL32" s="1" t="n">
        <f aca="false">ROUND(15*((AG32*10)/256),0)</f>
        <v>5</v>
      </c>
      <c r="AN32" s="1" t="str">
        <f aca="false">CONCATENATE(VLOOKUP(AL32,Constants!$A$2:$C$16,IF(AM32&lt;&gt;"", 3, 2), FALSE()),IF(AM32&lt;&gt;"",CONCATENATE(",",VLOOKUP(AM32,$B:$AN,38,FALSE())),""))</f>
        <v>2,1,2</v>
      </c>
      <c r="AX32" s="1" t="n">
        <v>30</v>
      </c>
      <c r="AY32" s="6" t="n">
        <f aca="false">IF(L32&lt;&gt;"",MAX(16,(L32-J32)+8),"")</f>
        <v>40</v>
      </c>
      <c r="AZ32" s="1" t="n">
        <v>5</v>
      </c>
      <c r="BB32" s="20" t="n">
        <f aca="false">MIN(AB32/150, 1)*30</f>
        <v>10</v>
      </c>
      <c r="BC32" s="20" t="n">
        <f aca="false">MIN(N32/4000, 1)*20</f>
        <v>0</v>
      </c>
      <c r="BD32" s="20" t="n">
        <f aca="false">MIN(Z32/400,1)*20</f>
        <v>0</v>
      </c>
      <c r="BE32" s="24" t="n">
        <f aca="false">1-(MAX(J32-1900, 0)/750)</f>
        <v>0.926666666666667</v>
      </c>
      <c r="BF32" s="20" t="n">
        <f aca="false">((MAX($M32,1)*MIN($AJ32/300,1)))*IF(G32="Wagon",50,10)</f>
        <v>3.33333333333333</v>
      </c>
      <c r="BG32" s="20" t="n">
        <f aca="false">VLOOKUP($H32,Constants!$I:$K, 2, FALSE())</f>
        <v>1</v>
      </c>
      <c r="BH32" s="20" t="n">
        <f aca="false">VLOOKUP($H32,Constants!$I:$K, 3, FALSE())*IF(AND(G32="multiple_unit",AB32&lt;110),0.75,1)</f>
        <v>0.45</v>
      </c>
      <c r="BI32" s="20" t="n">
        <f aca="false">INT(POWER(((Constants!$G$2+$BB32+$BC32+$BD32+$BF32)*$BE32)*$BH32, 1.05))+$BA32</f>
        <v>8</v>
      </c>
      <c r="BJ32" s="20" t="n">
        <f aca="false">INT(POWER((((Constants!$G$1+$BB32+$BC32+$BD32+$BF32)*($BE32))*$BG32),IF($G32="wagon",1,1.2)))+$AZ32</f>
        <v>31</v>
      </c>
      <c r="BK32" s="34" t="n">
        <f aca="false">BI32*IF($G32="wagon",62.5,781.25)</f>
        <v>500</v>
      </c>
      <c r="BL32" s="34" t="n">
        <f aca="false">BJ32*IF($G32="wagon",2.73,81.25)</f>
        <v>84.63</v>
      </c>
      <c r="BT32" s="1" t="n">
        <v>1</v>
      </c>
      <c r="BU32" s="1" t="n">
        <v>185</v>
      </c>
      <c r="BV32" s="1" t="s">
        <v>257</v>
      </c>
      <c r="BX32" s="1" t="s">
        <v>263</v>
      </c>
      <c r="BY32" s="20" t="str">
        <f aca="false">VLOOKUP(J32,Eras!$A$2:$C$10, 2, TRUE())</f>
        <v>dsl</v>
      </c>
      <c r="BZ32" s="35" t="s">
        <v>259</v>
      </c>
      <c r="CA32" s="1" t="str">
        <f aca="false">CONCATENATE(BY32,"_",BZ32)</f>
        <v>dsl_Tanker</v>
      </c>
      <c r="CB32" s="1" t="str">
        <f aca="false">_xlfn.CONCAT(H32, "_",I32)</f>
        <v>wagon_RAIL</v>
      </c>
      <c r="CC32" s="36" t="str">
        <f aca="false" t="array" ref="CC32:CC32">_xlfn.CONCAT("{BLACK}Length: {GOLD}", TEXT(ROUNDUP(IF(AQ32&lt;&gt;"",SUM(VALUE(_xlfn.TEXTSPLIT(AQ32, ","))), SUM(VALUE(_xlfn.TEXTSPLIT(AN32, ",")))*IF(M32, M32, 1))/16, 1), "#,##0.0"), " tiles{}")</f>
        <v>{BLACK}Length: {GOLD}0.4 tiles{}</v>
      </c>
      <c r="CD32" s="1" t="str">
        <f aca="false">VLOOKUP($CB32, Constants!$M:$N, 2, FALSE())</f>
        <v/>
      </c>
      <c r="CE32" s="1" t="str">
        <f aca="false">IF(M32&gt;1,_xlfn.CONCAT("{BLACK}Cars: {GOLD}", M32),"")</f>
        <v/>
      </c>
      <c r="CF32" s="1" t="s">
        <v>264</v>
      </c>
      <c r="CG32" s="20" t="str">
        <f aca="false">IF(BW32="buffet","{YELLOW}25% long distance bonus for consist{}",IF(BY32="BRAKE","{YELLOW}Speed bonus for slow wagons{}",IF(BU32&gt;190,CONCATENATE("{YELLOW}",INT((BU32-185)/1.85),"% bonus for long distance travel{}"),IF(AND(BU32&lt;180,BU32&lt;&gt;0),CONCATENATE("{YELLOW}",INT((185-BU32)/1.85),"% penalty for long distance travel{}"),""))))</f>
        <v/>
      </c>
      <c r="CH32" s="1" t="str">
        <f aca="false">_xlfn.CONCAT(CD32,IF(CD32 &lt;&gt; "", " ", ""),CE32,IF(OR(CE32&lt;&gt;"", CD32&lt;&gt;""), "{}",""), CC32, CG32,"{SILVER}", CF32)</f>
        <v>{BLACK}Length: {GOLD}0.4 tiles{}{SILVER}The Presflo covered hopper was designed specifically to carry cement powder, being unloaded via a pressurized air connection and liquefaction of the cargo.</v>
      </c>
      <c r="CI32" s="1" t="n">
        <v>1</v>
      </c>
      <c r="CJ32" s="1"/>
    </row>
    <row r="33" customFormat="false" ht="13.8" hidden="false" customHeight="false" outlineLevel="0" collapsed="false">
      <c r="A33" s="35" t="s">
        <v>265</v>
      </c>
      <c r="B33" s="35" t="s">
        <v>266</v>
      </c>
      <c r="C33" s="1" t="n">
        <v>26</v>
      </c>
      <c r="E33" s="1" t="n">
        <v>1026</v>
      </c>
      <c r="F33" s="1" t="s">
        <v>89</v>
      </c>
      <c r="G33" s="1" t="s">
        <v>256</v>
      </c>
      <c r="H33" s="1" t="s">
        <v>256</v>
      </c>
      <c r="I33" s="1" t="s">
        <v>92</v>
      </c>
      <c r="J33" s="1" t="n">
        <v>1968</v>
      </c>
      <c r="K33" s="1" t="n">
        <v>2012</v>
      </c>
      <c r="L33" s="1" t="n">
        <v>2022</v>
      </c>
      <c r="W33" s="1" t="n">
        <v>12.4</v>
      </c>
      <c r="Y33" s="1" t="n">
        <v>4</v>
      </c>
      <c r="AA33" s="4" t="str">
        <f aca="false">IF(AND(W33&gt;0,Z33&gt;0),(Z33/((W33+X33)*10)),"")</f>
        <v/>
      </c>
      <c r="AB33" s="1" t="n">
        <v>50</v>
      </c>
      <c r="AC33" s="1" t="n">
        <f aca="false">ROUND(AB33*1.6, 0)</f>
        <v>80</v>
      </c>
      <c r="AF33" s="1" t="n">
        <v>8</v>
      </c>
      <c r="AG33" s="1" t="n">
        <v>8</v>
      </c>
      <c r="AH33" s="1" t="n">
        <v>2.6</v>
      </c>
      <c r="AI33" s="1" t="n">
        <v>3.9</v>
      </c>
      <c r="AJ33" s="5" t="n">
        <v>33</v>
      </c>
      <c r="AK33" s="1" t="str">
        <f aca="false">CONCATENATE(VLOOKUP(AL33, '[1]Voxel Sizes'!$A$2:$B$18,2,FALSE()),"x",INT(AH33*15), "x", INT(AI33*15))</f>
        <v>82x39x58</v>
      </c>
      <c r="AL33" s="1" t="n">
        <f aca="false">ROUND(15*((AG33*10)/256),0)</f>
        <v>5</v>
      </c>
      <c r="AN33" s="1" t="str">
        <f aca="false">CONCATENATE(VLOOKUP(AL33,Constants!$A$2:$C$16,IF(AM33&lt;&gt;"", 3, 2), FALSE()),IF(AM33&lt;&gt;"",CONCATENATE(",",VLOOKUP(AM33,$B:$AN,38,FALSE())),""))</f>
        <v>2,1,2</v>
      </c>
      <c r="AX33" s="1" t="n">
        <v>30</v>
      </c>
      <c r="AY33" s="6" t="n">
        <f aca="false">IF(L33&lt;&gt;"",MAX(16,(L33-J33)+8),"")</f>
        <v>62</v>
      </c>
      <c r="AZ33" s="1" t="n">
        <v>5</v>
      </c>
      <c r="BB33" s="20" t="n">
        <f aca="false">MIN(AB33/150, 1)*30</f>
        <v>10</v>
      </c>
      <c r="BC33" s="20" t="n">
        <f aca="false">MIN(N33/4000, 1)*20</f>
        <v>0</v>
      </c>
      <c r="BD33" s="20" t="n">
        <f aca="false">MIN(Z33/400,1)*20</f>
        <v>0</v>
      </c>
      <c r="BE33" s="24" t="n">
        <f aca="false">1-(MAX(J33-1900, 0)/750)</f>
        <v>0.909333333333333</v>
      </c>
      <c r="BF33" s="20" t="n">
        <f aca="false">((MAX($M33,1)*MIN($AJ33/300,1)))*IF(G33="Wagon",50,10)</f>
        <v>5.5</v>
      </c>
      <c r="BG33" s="20" t="n">
        <f aca="false">VLOOKUP($H33,Constants!$I:$K, 2, FALSE())</f>
        <v>1</v>
      </c>
      <c r="BH33" s="20" t="n">
        <f aca="false">VLOOKUP($H33,Constants!$I:$K, 3, FALSE())*IF(AND(G33="multiple_unit",AB33&lt;110),0.75,1)</f>
        <v>0.45</v>
      </c>
      <c r="BI33" s="20" t="n">
        <f aca="false">INT(POWER(((Constants!$G$2+$BB33+$BC33+$BD33+$BF33)*$BE33)*$BH33, 1.05))+$BA33</f>
        <v>9</v>
      </c>
      <c r="BJ33" s="20" t="n">
        <f aca="false">INT(POWER((((Constants!$G$1+$BB33+$BC33+$BD33+$BF33)*($BE33))*$BG33),IF($G33="wagon",1,1.2)))+$AZ33</f>
        <v>32</v>
      </c>
      <c r="BK33" s="34" t="n">
        <f aca="false">BI33*IF($G33="wagon",62.5,781.25)</f>
        <v>562.5</v>
      </c>
      <c r="BL33" s="34" t="n">
        <f aca="false">BJ33*IF($G33="wagon",2.73,81.25)</f>
        <v>87.36</v>
      </c>
      <c r="BT33" s="1" t="n">
        <v>1</v>
      </c>
      <c r="BU33" s="1" t="n">
        <v>185</v>
      </c>
      <c r="BV33" s="1" t="s">
        <v>257</v>
      </c>
      <c r="BX33" s="1" t="s">
        <v>263</v>
      </c>
      <c r="BY33" s="20" t="str">
        <f aca="false">VLOOKUP(J33,Eras!$A$2:$C$10, 2, TRUE())</f>
        <v>dsl</v>
      </c>
      <c r="BZ33" s="35" t="s">
        <v>259</v>
      </c>
      <c r="CA33" s="1" t="str">
        <f aca="false">CONCATENATE(BY33,"_",BZ33)</f>
        <v>dsl_Tanker</v>
      </c>
      <c r="CB33" s="1" t="str">
        <f aca="false">_xlfn.CONCAT(H33, "_",I33)</f>
        <v>wagon_RAIL</v>
      </c>
      <c r="CC33" s="36" t="str">
        <f aca="false" t="array" ref="CC33:CC33">_xlfn.CONCAT("{BLACK}Length: {GOLD}", TEXT(ROUNDUP(IF(AQ33&lt;&gt;"",SUM(VALUE(_xlfn.TEXTSPLIT(AQ33, ","))), SUM(VALUE(_xlfn.TEXTSPLIT(AN33, ",")))*IF(M33, M33, 1))/16, 1), "#,##0.0"), " tiles{}")</f>
        <v>{BLACK}Length: {GOLD}0.4 tiles{}</v>
      </c>
      <c r="CD33" s="1" t="str">
        <f aca="false">VLOOKUP($CB33, Constants!$M:$N, 2, FALSE())</f>
        <v/>
      </c>
      <c r="CE33" s="1" t="str">
        <f aca="false">IF(M33&gt;1,_xlfn.CONCAT("{BLACK}Cars: {GOLD}", M33),"")</f>
        <v/>
      </c>
      <c r="CF33" s="1" t="s">
        <v>267</v>
      </c>
      <c r="CG33" s="20" t="str">
        <f aca="false">IF(BW33="buffet","{YELLOW}25% long distance bonus for consist{}",IF(BY33="BRAKE","{YELLOW}Speed bonus for slow wagons{}",IF(BU33&gt;190,CONCATENATE("{YELLOW}",INT((BU33-185)/1.85),"% bonus for long distance travel{}"),IF(AND(BU33&lt;180,BU33&lt;&gt;0),CONCATENATE("{YELLOW}",INT((185-BU33)/1.85),"% penalty for long distance travel{}"),""))))</f>
        <v/>
      </c>
      <c r="CH33" s="1" t="str">
        <f aca="false">_xlfn.CONCAT(CD33,IF(CD33 &lt;&gt; "", " ", ""),CE33,IF(OR(CE33&lt;&gt;"", CD33&lt;&gt;""), "{}",""), CC33, CG33,"{SILVER}", CF33)</f>
        <v>{BLACK}Length: {GOLD}0.4 tiles{}{SILVER}The PCA tanker, with it’s notable depressed-center ‘vee’ appearance, could carry large amounts of cement and was a common sight in mixed freight trains.</v>
      </c>
      <c r="CI33" s="1"/>
      <c r="CJ33" s="1"/>
      <c r="CK33" s="20"/>
    </row>
    <row r="34" customFormat="false" ht="13.8" hidden="false" customHeight="false" outlineLevel="0" collapsed="false">
      <c r="A34" s="35" t="s">
        <v>268</v>
      </c>
      <c r="B34" s="35" t="s">
        <v>269</v>
      </c>
      <c r="C34" s="1" t="n">
        <v>27</v>
      </c>
      <c r="E34" s="1" t="n">
        <v>1027</v>
      </c>
      <c r="F34" s="1" t="s">
        <v>89</v>
      </c>
      <c r="G34" s="1" t="s">
        <v>256</v>
      </c>
      <c r="H34" s="1" t="s">
        <v>256</v>
      </c>
      <c r="I34" s="1" t="s">
        <v>92</v>
      </c>
      <c r="J34" s="1" t="n">
        <v>2007</v>
      </c>
      <c r="W34" s="1" t="n">
        <v>19.9</v>
      </c>
      <c r="Y34" s="1" t="n">
        <v>5</v>
      </c>
      <c r="AA34" s="4" t="str">
        <f aca="false">IF(AND(W34&gt;0,Z34&gt;0),(Z34/((W34+X34)*10)),"")</f>
        <v/>
      </c>
      <c r="AB34" s="1" t="n">
        <v>75</v>
      </c>
      <c r="AC34" s="1" t="n">
        <f aca="false">ROUND(AB34*1.6, 0)</f>
        <v>120</v>
      </c>
      <c r="AF34" s="1" t="n">
        <v>16.2</v>
      </c>
      <c r="AG34" s="1" t="n">
        <v>17</v>
      </c>
      <c r="AH34" s="1" t="n">
        <v>2.7</v>
      </c>
      <c r="AI34" s="1" t="n">
        <v>3.8</v>
      </c>
      <c r="AJ34" s="5" t="n">
        <v>80</v>
      </c>
      <c r="AK34" s="1" t="str">
        <f aca="false">CONCATENATE(VLOOKUP(AL34, '[1]Voxel Sizes'!$A$2:$B$18,2,FALSE()),"x",INT(AH34*15), "x", INT(AI34*15))</f>
        <v>164x40x57</v>
      </c>
      <c r="AL34" s="1" t="n">
        <f aca="false">ROUND(15*((AG34*10)/256),0)</f>
        <v>10</v>
      </c>
      <c r="AN34" s="1" t="str">
        <f aca="false">CONCATENATE(VLOOKUP(AL34,Constants!$A$2:$C$16,IF(AM34&lt;&gt;"", 3, 2), FALSE()),IF(AM34&lt;&gt;"",CONCATENATE(",",VLOOKUP(AM34,$B:$AN,38,FALSE())),""))</f>
        <v>4,2,4</v>
      </c>
      <c r="AX34" s="1" t="n">
        <v>30</v>
      </c>
      <c r="AY34" s="6" t="str">
        <f aca="false">IF(L34&lt;&gt;"",MAX(16,(L34-J34)+8),"")</f>
        <v/>
      </c>
      <c r="BB34" s="20" t="n">
        <f aca="false">MIN(AB34/150, 1)*30</f>
        <v>15</v>
      </c>
      <c r="BC34" s="20" t="n">
        <f aca="false">MIN(N34/4000, 1)*20</f>
        <v>0</v>
      </c>
      <c r="BD34" s="20" t="n">
        <f aca="false">MIN(Z34/400,1)*20</f>
        <v>0</v>
      </c>
      <c r="BE34" s="24" t="n">
        <f aca="false">1-(MAX(J34-1900, 0)/750)</f>
        <v>0.857333333333333</v>
      </c>
      <c r="BF34" s="20" t="n">
        <f aca="false">((MAX($M34,1)*MIN($AJ34/300,1)))*IF(G34="Wagon",50,10)</f>
        <v>13.3333333333333</v>
      </c>
      <c r="BG34" s="20" t="n">
        <f aca="false">VLOOKUP($H34,Constants!$I:$K, 2, FALSE())</f>
        <v>1</v>
      </c>
      <c r="BH34" s="20" t="n">
        <f aca="false">VLOOKUP($H34,Constants!$I:$K, 3, FALSE())*IF(AND(G34="multiple_unit",AB34&lt;110),0.75,1)</f>
        <v>0.45</v>
      </c>
      <c r="BI34" s="20" t="n">
        <f aca="false">INT(POWER(((Constants!$G$2+$BB34+$BC34+$BD34+$BF34)*$BE34)*$BH34, 1.05))+$BA34</f>
        <v>14</v>
      </c>
      <c r="BJ34" s="20" t="n">
        <f aca="false">INT(POWER((((Constants!$G$1+$BB34+$BC34+$BD34+$BF34)*($BE34))*$BG34),IF($G34="wagon",1,1.2)))+$AZ34</f>
        <v>37</v>
      </c>
      <c r="BK34" s="34" t="n">
        <f aca="false">BI34*IF($G34="wagon",62.5,781.25)</f>
        <v>875</v>
      </c>
      <c r="BL34" s="34" t="n">
        <f aca="false">BJ34*IF($G34="wagon",2.73,81.25)</f>
        <v>101.01</v>
      </c>
      <c r="BT34" s="1" t="n">
        <v>1</v>
      </c>
      <c r="BU34" s="1" t="n">
        <v>185</v>
      </c>
      <c r="BV34" s="1" t="s">
        <v>270</v>
      </c>
      <c r="BX34" s="1" t="s">
        <v>263</v>
      </c>
      <c r="BY34" s="20" t="str">
        <f aca="false">VLOOKUP(J34,Eras!$A$2:$C$10, 2, TRUE())</f>
        <v>mod</v>
      </c>
      <c r="BZ34" s="35" t="s">
        <v>259</v>
      </c>
      <c r="CA34" s="1" t="str">
        <f aca="false">CONCATENATE(BY34,"_",BZ34)</f>
        <v>mod_Tanker</v>
      </c>
      <c r="CB34" s="1" t="str">
        <f aca="false">_xlfn.CONCAT(H34, "_",I34)</f>
        <v>wagon_RAIL</v>
      </c>
      <c r="CC34" s="36" t="str">
        <f aca="false" t="array" ref="CC34:CC34">_xlfn.CONCAT("{BLACK}Length: {GOLD}", TEXT(ROUNDUP(IF(AQ34&lt;&gt;"",SUM(VALUE(_xlfn.TEXTSPLIT(AQ34, ","))), SUM(VALUE(_xlfn.TEXTSPLIT(AN34, ",")))*IF(M34, M34, 1))/16, 1), "#,##0.0"), " tiles{}")</f>
        <v>{BLACK}Length: {GOLD}0.7 tiles{}</v>
      </c>
      <c r="CD34" s="1" t="str">
        <f aca="false">VLOOKUP($CB34, Constants!$M:$N, 2, FALSE())</f>
        <v/>
      </c>
      <c r="CE34" s="1" t="str">
        <f aca="false">IF(M34&gt;1,_xlfn.CONCAT("{BLACK}Cars: {GOLD}", M34),"")</f>
        <v/>
      </c>
      <c r="CF34" s="1" t="s">
        <v>271</v>
      </c>
      <c r="CG34" s="20" t="str">
        <f aca="false">IF(BW34="buffet","{YELLOW}25% long distance bonus for consist{}",IF(BY34="BRAKE","{YELLOW}Speed bonus for slow wagons{}",IF(BU34&gt;190,CONCATENATE("{YELLOW}",INT((BU34-185)/1.85),"% bonus for long distance travel{}"),IF(AND(BU34&lt;180,BU34&lt;&gt;0),CONCATENATE("{YELLOW}",INT((185-BU34)/1.85),"% penalty for long distance travel{}"),""))))</f>
        <v/>
      </c>
      <c r="CH34" s="1" t="str">
        <f aca="false">_xlfn.CONCAT(CD34,IF(CD34 &lt;&gt; "", " ", ""),CE34,IF(OR(CE34&lt;&gt;"", CD34&lt;&gt;""), "{}",""), CC34, CG34,"{SILVER}", CF34)</f>
        <v>{BLACK}Length: {GOLD}0.7 tiles{}{SILVER}By the 2000s the BR-era 2-axle cement tankers then in use were beginning to show their age. They were replaced by these large bogie tank wagons built in Germany, with a distinctive fish-belly shape.</v>
      </c>
      <c r="CI34" s="1"/>
      <c r="CJ34" s="1"/>
      <c r="CK34" s="20"/>
    </row>
    <row r="35" customFormat="false" ht="13.8" hidden="false" customHeight="false" outlineLevel="0" collapsed="false">
      <c r="A35" s="35" t="s">
        <v>272</v>
      </c>
      <c r="B35" s="35" t="s">
        <v>273</v>
      </c>
      <c r="C35" s="1" t="n">
        <v>21</v>
      </c>
      <c r="E35" s="1" t="n">
        <v>1021</v>
      </c>
      <c r="F35" s="1" t="s">
        <v>89</v>
      </c>
      <c r="G35" s="1" t="s">
        <v>256</v>
      </c>
      <c r="H35" s="1" t="s">
        <v>256</v>
      </c>
      <c r="I35" s="1" t="s">
        <v>92</v>
      </c>
      <c r="J35" s="1" t="n">
        <v>1936</v>
      </c>
      <c r="K35" s="1" t="n">
        <v>1962</v>
      </c>
      <c r="L35" s="1" t="n">
        <v>1966</v>
      </c>
      <c r="W35" s="1" t="n">
        <v>10.1</v>
      </c>
      <c r="Y35" s="1" t="n">
        <v>4</v>
      </c>
      <c r="AA35" s="4" t="str">
        <f aca="false">IF(AND(W35&gt;0,Z35&gt;0),(Z35/((W35+X35)*10)),"")</f>
        <v/>
      </c>
      <c r="AB35" s="1" t="n">
        <v>45</v>
      </c>
      <c r="AC35" s="1" t="n">
        <f aca="false">ROUND(AB35*1.6, 0)</f>
        <v>72</v>
      </c>
      <c r="AF35" s="1" t="n">
        <v>7.4</v>
      </c>
      <c r="AG35" s="1" t="n">
        <v>8</v>
      </c>
      <c r="AH35" s="1" t="n">
        <v>2.5</v>
      </c>
      <c r="AI35" s="1" t="n">
        <v>3.35</v>
      </c>
      <c r="AJ35" s="5" t="n">
        <v>20</v>
      </c>
      <c r="AK35" s="1" t="str">
        <f aca="false">CONCATENATE(VLOOKUP(AL35, '[1]Voxel Sizes'!$A$2:$B$18,2,FALSE()),"x",INT(AH35*15), "x", INT(AI35*15))</f>
        <v>82x37x50</v>
      </c>
      <c r="AL35" s="1" t="n">
        <f aca="false">ROUND(15*((AG35*10)/256),0)</f>
        <v>5</v>
      </c>
      <c r="AN35" s="1" t="str">
        <f aca="false">CONCATENATE(VLOOKUP(AL35,Constants!$A$2:$C$16,IF(AM35&lt;&gt;"", 3, 2), FALSE()),IF(AM35&lt;&gt;"",CONCATENATE(",",VLOOKUP(AM35,$B:$AN,38,FALSE())),""))</f>
        <v>2,1,2</v>
      </c>
      <c r="AX35" s="1" t="n">
        <v>30</v>
      </c>
      <c r="AY35" s="6" t="n">
        <f aca="false">IF(L35&lt;&gt;"",MAX(16,(L35-J35)+8),"")</f>
        <v>38</v>
      </c>
      <c r="AZ35" s="1" t="n">
        <v>5</v>
      </c>
      <c r="BB35" s="20" t="n">
        <f aca="false">MIN(AB35/150, 1)*30</f>
        <v>9</v>
      </c>
      <c r="BC35" s="20" t="n">
        <f aca="false">MIN(N35/4000, 1)*20</f>
        <v>0</v>
      </c>
      <c r="BD35" s="20" t="n">
        <f aca="false">MIN(Z35/400,1)*20</f>
        <v>0</v>
      </c>
      <c r="BE35" s="24" t="n">
        <f aca="false">1-(MAX(J35-1900, 0)/750)</f>
        <v>0.952</v>
      </c>
      <c r="BF35" s="20" t="n">
        <f aca="false">((MAX($M35,1)*MIN($AJ35/300,1)))*IF(G35="Wagon",50,10)</f>
        <v>3.33333333333333</v>
      </c>
      <c r="BG35" s="20" t="n">
        <f aca="false">VLOOKUP($H35,Constants!$I:$K, 2, FALSE())</f>
        <v>1</v>
      </c>
      <c r="BH35" s="20" t="n">
        <f aca="false">VLOOKUP($H35,Constants!$I:$K, 3, FALSE())*IF(AND(G35="multiple_unit",AB35&lt;110),0.75,1)</f>
        <v>0.45</v>
      </c>
      <c r="BI35" s="20" t="n">
        <f aca="false">INT(POWER(((Constants!$G$2+$BB35+$BC35+$BD35+$BF35)*$BE35)*$BH35, 1.05))+$BA35</f>
        <v>8</v>
      </c>
      <c r="BJ35" s="20" t="n">
        <f aca="false">INT(POWER((((Constants!$G$1+$BB35+$BC35+$BD35+$BF35)*($BE35))*$BG35),IF($G35="wagon",1,1.2)))+$AZ35</f>
        <v>31</v>
      </c>
      <c r="BK35" s="34" t="n">
        <f aca="false">BI35*IF($G35="wagon",62.5,781.25)</f>
        <v>500</v>
      </c>
      <c r="BL35" s="34" t="n">
        <f aca="false">BJ35*IF($G35="wagon",2.73,81.25)</f>
        <v>84.63</v>
      </c>
      <c r="BT35" s="1" t="n">
        <v>1</v>
      </c>
      <c r="BU35" s="1" t="n">
        <v>185</v>
      </c>
      <c r="BV35" s="1" t="s">
        <v>270</v>
      </c>
      <c r="BX35" s="1" t="s">
        <v>274</v>
      </c>
      <c r="BY35" s="20" t="str">
        <f aca="false">VLOOKUP(J35,Eras!$A$2:$C$10, 2, TRUE())</f>
        <v>big4</v>
      </c>
      <c r="BZ35" s="35" t="s">
        <v>259</v>
      </c>
      <c r="CA35" s="1" t="str">
        <f aca="false">CONCATENATE(BY35,"_",BZ35)</f>
        <v>big4_Tanker</v>
      </c>
      <c r="CB35" s="1" t="str">
        <f aca="false">_xlfn.CONCAT(H35, "_",I35)</f>
        <v>wagon_RAIL</v>
      </c>
      <c r="CC35" s="36" t="str">
        <f aca="false" t="array" ref="CC35:CC35">_xlfn.CONCAT("{BLACK}Length: {GOLD}", TEXT(ROUNDUP(IF(AQ35&lt;&gt;"",SUM(VALUE(_xlfn.TEXTSPLIT(AQ35, ","))), SUM(VALUE(_xlfn.TEXTSPLIT(AN35, ",")))*IF(M35, M35, 1))/16, 1), "#,##0.0"), " tiles{}")</f>
        <v>{BLACK}Length: {GOLD}0.4 tiles{}</v>
      </c>
      <c r="CD35" s="1" t="str">
        <f aca="false">VLOOKUP($CB35, Constants!$M:$N, 2, FALSE())</f>
        <v/>
      </c>
      <c r="CE35" s="1" t="str">
        <f aca="false">IF(M35&gt;1,_xlfn.CONCAT("{BLACK}Cars: {GOLD}", M35),"")</f>
        <v/>
      </c>
      <c r="CF35" s="1" t="s">
        <v>275</v>
      </c>
      <c r="CG35" s="20" t="str">
        <f aca="false">IF(BW35="buffet","{YELLOW}25% long distance bonus for consist{}",IF(BY35="BRAKE","{YELLOW}Speed bonus for slow wagons{}",IF(BU35&gt;190,CONCATENATE("{YELLOW}",INT((BU35-185)/1.85),"% bonus for long distance travel{}"),IF(AND(BU35&lt;180,BU35&lt;&gt;0),CONCATENATE("{YELLOW}",INT((185-BU35)/1.85),"% penalty for long distance travel{}"),""))))</f>
        <v/>
      </c>
      <c r="CH35" s="1" t="str">
        <f aca="false">_xlfn.CONCAT(CD35,IF(CD35 &lt;&gt; "", " ", ""),CE35,IF(OR(CE35&lt;&gt;"", CD35&lt;&gt;""), "{}",""), CC35, CG35,"{SILVER}", CF35)</f>
        <v>{BLACK}Length: {GOLD}0.4 tiles{}{SILVER}The LMS Grain Hooper was later standardised into the BR COVGRAIN standard design. Long-distance bulk grain service in covered hoppers was a significant efficiency gain over shipping bagged grain by the vanload.</v>
      </c>
      <c r="CI35" s="1"/>
      <c r="CJ35" s="1"/>
      <c r="CK35" s="20"/>
    </row>
    <row r="36" customFormat="false" ht="13.8" hidden="false" customHeight="false" outlineLevel="0" collapsed="false">
      <c r="A36" s="37" t="s">
        <v>276</v>
      </c>
      <c r="B36" s="37" t="s">
        <v>277</v>
      </c>
      <c r="C36" s="1" t="n">
        <v>22</v>
      </c>
      <c r="E36" s="1" t="n">
        <v>1022</v>
      </c>
      <c r="F36" s="1" t="s">
        <v>89</v>
      </c>
      <c r="G36" s="1" t="s">
        <v>256</v>
      </c>
      <c r="H36" s="1" t="s">
        <v>256</v>
      </c>
      <c r="I36" s="1" t="s">
        <v>92</v>
      </c>
      <c r="J36" s="1" t="n">
        <v>1955</v>
      </c>
      <c r="K36" s="1" t="n">
        <v>1974</v>
      </c>
      <c r="L36" s="1" t="n">
        <v>1982</v>
      </c>
      <c r="W36" s="1" t="n">
        <v>9.7</v>
      </c>
      <c r="Y36" s="1" t="n">
        <v>4</v>
      </c>
      <c r="AA36" s="4" t="str">
        <f aca="false">IF(AND(W36&gt;0,Z36&gt;0),(Z36/((W36+X36)*10)),"")</f>
        <v/>
      </c>
      <c r="AB36" s="1" t="n">
        <v>60</v>
      </c>
      <c r="AC36" s="1" t="n">
        <f aca="false">ROUND(AB36*1.6, 0)</f>
        <v>96</v>
      </c>
      <c r="AF36" s="1" t="n">
        <v>7.6</v>
      </c>
      <c r="AG36" s="1" t="n">
        <v>8</v>
      </c>
      <c r="AH36" s="1" t="n">
        <v>2.5</v>
      </c>
      <c r="AI36" s="1" t="n">
        <v>3.35</v>
      </c>
      <c r="AJ36" s="5" t="n">
        <v>22</v>
      </c>
      <c r="AK36" s="1" t="str">
        <f aca="false">CONCATENATE(VLOOKUP(AL36, '[1]Voxel Sizes'!$A$2:$B$18,2,FALSE()),"x",INT(AH36*15), "x", INT(AI36*15))</f>
        <v>82x37x50</v>
      </c>
      <c r="AL36" s="1" t="n">
        <f aca="false">ROUND(15*((AG36*10)/256),0)</f>
        <v>5</v>
      </c>
      <c r="AN36" s="1" t="str">
        <f aca="false">CONCATENATE(VLOOKUP(AL36,Constants!$A$2:$C$16,IF(AM36&lt;&gt;"", 3, 2), FALSE()),IF(AM36&lt;&gt;"",CONCATENATE(",",VLOOKUP(AM36,$B:$AN,38,FALSE())),""))</f>
        <v>2,1,2</v>
      </c>
      <c r="AX36" s="1" t="n">
        <v>30</v>
      </c>
      <c r="AY36" s="6" t="n">
        <f aca="false">IF(L36&lt;&gt;"",MAX(16,(L36-J36)+8),"")</f>
        <v>35</v>
      </c>
      <c r="AZ36" s="1" t="n">
        <v>5</v>
      </c>
      <c r="BB36" s="20" t="n">
        <f aca="false">MIN(AB36/150, 1)*30</f>
        <v>12</v>
      </c>
      <c r="BC36" s="20" t="n">
        <f aca="false">MIN(N36/4000, 1)*20</f>
        <v>0</v>
      </c>
      <c r="BD36" s="20" t="n">
        <f aca="false">MIN(Z36/400,1)*20</f>
        <v>0</v>
      </c>
      <c r="BE36" s="24" t="n">
        <f aca="false">1-(MAX(J36-1900, 0)/750)</f>
        <v>0.926666666666667</v>
      </c>
      <c r="BF36" s="20" t="n">
        <f aca="false">((MAX($M36,1)*MIN($AJ36/300,1)))*IF(G36="Wagon",50,10)</f>
        <v>3.66666666666667</v>
      </c>
      <c r="BG36" s="20" t="n">
        <f aca="false">VLOOKUP($H36,Constants!$I:$K, 2, FALSE())</f>
        <v>1</v>
      </c>
      <c r="BH36" s="20" t="n">
        <f aca="false">VLOOKUP($H36,Constants!$I:$K, 3, FALSE())*IF(AND(G36="multiple_unit",AB36&lt;110),0.75,1)</f>
        <v>0.45</v>
      </c>
      <c r="BI36" s="20" t="n">
        <f aca="false">INT(POWER(((Constants!$G$2+$BB36+$BC36+$BD36+$BF36)*$BE36)*$BH36, 1.05))+$BA36</f>
        <v>9</v>
      </c>
      <c r="BJ36" s="20" t="n">
        <f aca="false">INT(POWER((((Constants!$G$1+$BB36+$BC36+$BD36+$BF36)*($BE36))*$BG36),IF($G36="wagon",1,1.2)))+$AZ36</f>
        <v>33</v>
      </c>
      <c r="BK36" s="34" t="n">
        <f aca="false">BI36*IF($G36="wagon",62.5,781.25)</f>
        <v>562.5</v>
      </c>
      <c r="BL36" s="34" t="n">
        <f aca="false">BJ36*IF($G36="wagon",2.73,81.25)</f>
        <v>90.09</v>
      </c>
      <c r="BT36" s="1" t="n">
        <v>1</v>
      </c>
      <c r="BU36" s="1" t="n">
        <v>185</v>
      </c>
      <c r="BV36" s="1" t="s">
        <v>270</v>
      </c>
      <c r="BX36" s="1" t="s">
        <v>274</v>
      </c>
      <c r="BY36" s="20" t="str">
        <f aca="false">VLOOKUP(J36,Eras!$A$2:$C$10, 2, TRUE())</f>
        <v>dsl</v>
      </c>
      <c r="BZ36" s="35" t="s">
        <v>259</v>
      </c>
      <c r="CA36" s="1" t="str">
        <f aca="false">CONCATENATE(BY36,"_",BZ36)</f>
        <v>dsl_Tanker</v>
      </c>
      <c r="CB36" s="1" t="str">
        <f aca="false">_xlfn.CONCAT(H36, "_",I36)</f>
        <v>wagon_RAIL</v>
      </c>
      <c r="CC36" s="36" t="str">
        <f aca="false" t="array" ref="CC36:CC36">_xlfn.CONCAT("{BLACK}Length: {GOLD}", TEXT(ROUNDUP(IF(AQ36&lt;&gt;"",SUM(VALUE(_xlfn.TEXTSPLIT(AQ36, ","))), SUM(VALUE(_xlfn.TEXTSPLIT(AN36, ",")))*IF(M36, M36, 1))/16, 1), "#,##0.0"), " tiles{}")</f>
        <v>{BLACK}Length: {GOLD}0.4 tiles{}</v>
      </c>
      <c r="CD36" s="1" t="str">
        <f aca="false">VLOOKUP($CB36, Constants!$M:$N, 2, FALSE())</f>
        <v/>
      </c>
      <c r="CE36" s="1" t="str">
        <f aca="false">IF(M36&gt;1,_xlfn.CONCAT("{BLACK}Cars: {GOLD}", M36),"")</f>
        <v/>
      </c>
      <c r="CF36" s="1" t="s">
        <v>278</v>
      </c>
      <c r="CG36" s="20" t="str">
        <f aca="false">IF(BW36="buffet","{YELLOW}25% long distance bonus for consist{}",IF(BY36="BRAKE","{YELLOW}Speed bonus for slow wagons{}",IF(BU36&gt;190,CONCATENATE("{YELLOW}",INT((BU36-185)/1.85),"% bonus for long distance travel{}"),IF(AND(BU36&lt;180,BU36&lt;&gt;0),CONCATENATE("{YELLOW}",INT((185-BU36)/1.85),"% penalty for long distance travel{}"),""))))</f>
        <v/>
      </c>
      <c r="CH36" s="1" t="str">
        <f aca="false">_xlfn.CONCAT(CD36,IF(CD36 &lt;&gt; "", " ", ""),CE36,IF(OR(CE36&lt;&gt;"", CD36&lt;&gt;""), "{}",""), CC36, CG36,"{SILVER}", CF36)</f>
        <v>{BLACK}Length: {GOLD}0.4 tiles{}{SILVER}This is a representative BR GRAINFIT wagon, a vacuum-braked bulk hopper derived from the 1930s LMS design.</v>
      </c>
      <c r="CI36" s="1"/>
      <c r="CJ36" s="1"/>
      <c r="CK36" s="20"/>
    </row>
    <row r="37" customFormat="false" ht="13.8" hidden="false" customHeight="false" outlineLevel="0" collapsed="false">
      <c r="A37" s="37" t="s">
        <v>279</v>
      </c>
      <c r="B37" s="37" t="s">
        <v>280</v>
      </c>
      <c r="C37" s="1" t="n">
        <v>23</v>
      </c>
      <c r="E37" s="1" t="n">
        <v>1023</v>
      </c>
      <c r="F37" s="1" t="s">
        <v>89</v>
      </c>
      <c r="G37" s="1" t="s">
        <v>256</v>
      </c>
      <c r="H37" s="1" t="s">
        <v>256</v>
      </c>
      <c r="I37" s="1" t="s">
        <v>92</v>
      </c>
      <c r="J37" s="1" t="n">
        <v>1966</v>
      </c>
      <c r="K37" s="1" t="n">
        <v>1996</v>
      </c>
      <c r="L37" s="1" t="n">
        <v>2002</v>
      </c>
      <c r="W37" s="1" t="n">
        <v>12.9</v>
      </c>
      <c r="Y37" s="1" t="n">
        <v>5</v>
      </c>
      <c r="AA37" s="4" t="str">
        <f aca="false">IF(AND(W37&gt;0,Z37&gt;0),(Z37/((W37+X37)*10)),"")</f>
        <v/>
      </c>
      <c r="AB37" s="1" t="n">
        <v>60</v>
      </c>
      <c r="AC37" s="1" t="n">
        <f aca="false">ROUND(AB37*1.6, 0)</f>
        <v>96</v>
      </c>
      <c r="AF37" s="1" t="n">
        <v>8.8</v>
      </c>
      <c r="AG37" s="1" t="n">
        <v>10</v>
      </c>
      <c r="AH37" s="1" t="n">
        <v>2.7</v>
      </c>
      <c r="AI37" s="1" t="n">
        <v>3.8</v>
      </c>
      <c r="AJ37" s="5" t="n">
        <v>36</v>
      </c>
      <c r="AK37" s="1" t="str">
        <f aca="false">CONCATENATE(VLOOKUP(AL37, '[1]Voxel Sizes'!$A$2:$B$18,2,FALSE()),"x",INT(AH37*15), "x", INT(AI37*15))</f>
        <v>102x40x57</v>
      </c>
      <c r="AL37" s="1" t="n">
        <f aca="false">ROUND(15*((AG37*10)/256),0)</f>
        <v>6</v>
      </c>
      <c r="AN37" s="1" t="str">
        <f aca="false">CONCATENATE(VLOOKUP(AL37,Constants!$A$2:$C$16,IF(AM37&lt;&gt;"", 3, 2), FALSE()),IF(AM37&lt;&gt;"",CONCATENATE(",",VLOOKUP(AM37,$B:$AN,38,FALSE())),""))</f>
        <v>2,2,2</v>
      </c>
      <c r="AX37" s="1" t="n">
        <v>30</v>
      </c>
      <c r="AY37" s="6" t="n">
        <f aca="false">IF(L37&lt;&gt;"",MAX(16,(L37-J37)+8),"")</f>
        <v>44</v>
      </c>
      <c r="BB37" s="20" t="n">
        <f aca="false">MIN(AB37/150, 1)*30</f>
        <v>12</v>
      </c>
      <c r="BC37" s="20" t="n">
        <f aca="false">MIN(N37/4000, 1)*20</f>
        <v>0</v>
      </c>
      <c r="BD37" s="20" t="n">
        <f aca="false">MIN(Z37/400,1)*20</f>
        <v>0</v>
      </c>
      <c r="BE37" s="24" t="n">
        <f aca="false">1-(MAX(J37-1900, 0)/750)</f>
        <v>0.912</v>
      </c>
      <c r="BF37" s="20" t="n">
        <f aca="false">((MAX($M37,1)*MIN($AJ37/300,1)))*IF(G37="Wagon",50,10)</f>
        <v>6</v>
      </c>
      <c r="BG37" s="20" t="n">
        <f aca="false">VLOOKUP($H37,Constants!$I:$K, 2, FALSE())</f>
        <v>1</v>
      </c>
      <c r="BH37" s="20" t="n">
        <f aca="false">VLOOKUP($H37,Constants!$I:$K, 3, FALSE())*IF(AND(G37="multiple_unit",AB37&lt;110),0.75,1)</f>
        <v>0.45</v>
      </c>
      <c r="BI37" s="20" t="n">
        <f aca="false">INT(POWER(((Constants!$G$2+$BB37+$BC37+$BD37+$BF37)*$BE37)*$BH37, 1.05))+$BA37</f>
        <v>10</v>
      </c>
      <c r="BJ37" s="20" t="n">
        <f aca="false">INT(POWER((((Constants!$G$1+$BB37+$BC37+$BD37+$BF37)*($BE37))*$BG37),IF($G37="wagon",1,1.2)))+$AZ37</f>
        <v>30</v>
      </c>
      <c r="BK37" s="34" t="n">
        <f aca="false">BI37*IF($G37="wagon",62.5,781.25)</f>
        <v>625</v>
      </c>
      <c r="BL37" s="34" t="n">
        <f aca="false">BJ37*IF($G37="wagon",2.73,81.25)</f>
        <v>81.9</v>
      </c>
      <c r="BT37" s="1" t="n">
        <v>1</v>
      </c>
      <c r="BU37" s="1" t="n">
        <v>185</v>
      </c>
      <c r="BV37" s="1" t="s">
        <v>270</v>
      </c>
      <c r="BX37" s="1" t="s">
        <v>274</v>
      </c>
      <c r="BY37" s="20" t="str">
        <f aca="false">VLOOKUP(J37,Eras!$A$2:$C$10, 2, TRUE())</f>
        <v>dsl</v>
      </c>
      <c r="BZ37" s="35" t="s">
        <v>259</v>
      </c>
      <c r="CA37" s="1" t="str">
        <f aca="false">CONCATENATE(BY37,"_",BZ37)</f>
        <v>dsl_Tanker</v>
      </c>
      <c r="CB37" s="1" t="str">
        <f aca="false">_xlfn.CONCAT(H37, "_",I37)</f>
        <v>wagon_RAIL</v>
      </c>
      <c r="CC37" s="36" t="str">
        <f aca="false" t="array" ref="CC37:CC37">_xlfn.CONCAT("{BLACK}Length: {GOLD}", TEXT(ROUNDUP(IF(AQ37&lt;&gt;"",SUM(VALUE(_xlfn.TEXTSPLIT(AQ37, ","))), SUM(VALUE(_xlfn.TEXTSPLIT(AN37, ",")))*IF(M37, M37, 1))/16, 1), "#,##0.0"), " tiles{}")</f>
        <v>{BLACK}Length: {GOLD}0.4 tiles{}</v>
      </c>
      <c r="CD37" s="1" t="str">
        <f aca="false">VLOOKUP($CB37, Constants!$M:$N, 2, FALSE())</f>
        <v/>
      </c>
      <c r="CE37" s="1" t="str">
        <f aca="false">IF(M37&gt;1,_xlfn.CONCAT("{BLACK}Cars: {GOLD}", M37),"")</f>
        <v/>
      </c>
      <c r="CF37" s="1" t="s">
        <v>281</v>
      </c>
      <c r="CG37" s="20" t="str">
        <f aca="false">IF(BW37="buffet","{YELLOW}25% long distance bonus for consist{}",IF(BY37="BRAKE","{YELLOW}Speed bonus for slow wagons{}",IF(BU37&gt;190,CONCATENATE("{YELLOW}",INT((BU37-185)/1.85),"% bonus for long distance travel{}"),IF(AND(BU37&lt;180,BU37&lt;&gt;0),CONCATENATE("{YELLOW}",INT((185-BU37)/1.85),"% penalty for long distance travel{}"),""))))</f>
        <v/>
      </c>
      <c r="CH37" s="1" t="str">
        <f aca="false">_xlfn.CONCAT(CD37,IF(CD37 &lt;&gt; "", " ", ""),CE37,IF(OR(CE37&lt;&gt;"", CD37&lt;&gt;""), "{}",""), CC37, CG37,"{SILVER}", CF37)</f>
        <v>{BLACK}Length: {GOLD}0.4 tiles{}{SILVER}The BR ‘Whiskey Covhops’ were a common sight on long-distance freight trains from southern England, headed for the distilleries of Scotland.</v>
      </c>
      <c r="CI37" s="1"/>
      <c r="CJ37" s="1"/>
      <c r="CK37" s="20"/>
    </row>
    <row r="38" customFormat="false" ht="13.8" hidden="false" customHeight="false" outlineLevel="0" collapsed="false">
      <c r="A38" s="1" t="s">
        <v>282</v>
      </c>
      <c r="B38" s="1" t="s">
        <v>283</v>
      </c>
      <c r="C38" s="1" t="n">
        <v>32</v>
      </c>
      <c r="E38" s="1" t="n">
        <v>1024</v>
      </c>
      <c r="F38" s="1" t="s">
        <v>89</v>
      </c>
      <c r="G38" s="1" t="s">
        <v>256</v>
      </c>
      <c r="H38" s="1" t="s">
        <v>256</v>
      </c>
      <c r="I38" s="1" t="s">
        <v>92</v>
      </c>
      <c r="J38" s="1" t="n">
        <v>1973</v>
      </c>
      <c r="W38" s="1" t="n">
        <v>22.7</v>
      </c>
      <c r="Y38" s="1" t="n">
        <v>5</v>
      </c>
      <c r="AA38" s="4" t="str">
        <f aca="false">IF(AND(W38&gt;0,Z38&gt;0),(Z38/((W38+X38)*10)),"")</f>
        <v/>
      </c>
      <c r="AB38" s="1" t="n">
        <v>75</v>
      </c>
      <c r="AC38" s="1" t="n">
        <f aca="false">ROUND(AB38*1.6, 0)</f>
        <v>120</v>
      </c>
      <c r="AF38" s="1" t="n">
        <v>18.3</v>
      </c>
      <c r="AG38" s="1" t="n">
        <v>18.3</v>
      </c>
      <c r="AH38" s="1" t="n">
        <v>2.7</v>
      </c>
      <c r="AI38" s="1" t="n">
        <v>3.8</v>
      </c>
      <c r="AJ38" s="5" t="n">
        <v>56</v>
      </c>
      <c r="AK38" s="1" t="str">
        <f aca="false">CONCATENATE(VLOOKUP(AL38, '[1]Voxel Sizes'!$A$2:$B$18,2,FALSE()),"x",INT(AH38*15), "x", INT(AI38*15))</f>
        <v>186x40x57</v>
      </c>
      <c r="AL38" s="1" t="n">
        <f aca="false">ROUND(15*((AG38*10)/256),0)</f>
        <v>11</v>
      </c>
      <c r="AN38" s="1" t="str">
        <f aca="false">CONCATENATE(VLOOKUP(AL38,Constants!$A$2:$C$16,IF(AM38&lt;&gt;"", 3, 2), FALSE()),IF(AM38&lt;&gt;"",CONCATENATE(",",VLOOKUP(AM38,$B:$AN,38,FALSE())),""))</f>
        <v>4,3,4</v>
      </c>
      <c r="AX38" s="1" t="n">
        <v>30</v>
      </c>
      <c r="AY38" s="6" t="str">
        <f aca="false">IF(L38&lt;&gt;"",MAX(16,(L38-J38)+8),"")</f>
        <v/>
      </c>
      <c r="BB38" s="20" t="n">
        <f aca="false">MIN(AB38/150, 1)*30</f>
        <v>15</v>
      </c>
      <c r="BC38" s="20" t="n">
        <f aca="false">MIN(N38/4000, 1)*20</f>
        <v>0</v>
      </c>
      <c r="BD38" s="20" t="n">
        <f aca="false">MIN(Z38/400,1)*20</f>
        <v>0</v>
      </c>
      <c r="BE38" s="24" t="n">
        <f aca="false">1-(MAX(J38-1900, 0)/750)</f>
        <v>0.902666666666667</v>
      </c>
      <c r="BF38" s="20" t="n">
        <f aca="false">((MAX($M38,1)*MIN($AJ38/300,1)))*IF(G38="Wagon",50,10)</f>
        <v>9.33333333333333</v>
      </c>
      <c r="BG38" s="20" t="n">
        <f aca="false">VLOOKUP($H38,Constants!$I:$K, 2, FALSE())</f>
        <v>1</v>
      </c>
      <c r="BH38" s="20" t="n">
        <f aca="false">VLOOKUP($H38,Constants!$I:$K, 3, FALSE())*IF(AND(G38="multiple_unit",AB38&lt;110),0.75,1)</f>
        <v>0.45</v>
      </c>
      <c r="BI38" s="20" t="n">
        <f aca="false">INT(POWER(((Constants!$G$2+$BB38+$BC38+$BD38+$BF38)*$BE38)*$BH38, 1.05))+$BA38</f>
        <v>13</v>
      </c>
      <c r="BJ38" s="20" t="n">
        <f aca="false">INT(POWER((((Constants!$G$1+$BB38+$BC38+$BD38+$BF38)*($BE38))*$BG38),IF($G38="wagon",1,1.2)))+$AZ38</f>
        <v>35</v>
      </c>
      <c r="BK38" s="34" t="n">
        <f aca="false">BI38*IF($G38="wagon",62.5,781.25)</f>
        <v>812.5</v>
      </c>
      <c r="BL38" s="34" t="n">
        <f aca="false">BJ38*IF($G38="wagon",2.73,81.25)</f>
        <v>95.55</v>
      </c>
      <c r="BT38" s="1" t="n">
        <v>1</v>
      </c>
      <c r="BU38" s="1" t="n">
        <v>185</v>
      </c>
      <c r="BV38" s="1" t="s">
        <v>270</v>
      </c>
      <c r="BX38" s="1" t="s">
        <v>274</v>
      </c>
      <c r="BY38" s="20" t="str">
        <f aca="false">VLOOKUP(J38,Eras!$A$2:$C$10, 2, TRUE())</f>
        <v>lbr</v>
      </c>
      <c r="BZ38" s="35" t="s">
        <v>259</v>
      </c>
      <c r="CA38" s="1" t="str">
        <f aca="false">CONCATENATE(BY38,"_",BZ38)</f>
        <v>lbr_Tanker</v>
      </c>
      <c r="CB38" s="1" t="str">
        <f aca="false">_xlfn.CONCAT(H38, "_",I38)</f>
        <v>wagon_RAIL</v>
      </c>
      <c r="CC38" s="36" t="str">
        <f aca="false" t="array" ref="CC38:CC38">_xlfn.CONCAT("{BLACK}Length: {GOLD}", TEXT(ROUNDUP(IF(AQ38&lt;&gt;"",SUM(VALUE(_xlfn.TEXTSPLIT(AQ38, ","))), SUM(VALUE(_xlfn.TEXTSPLIT(AN38, ",")))*IF(M38, M38, 1))/16, 1), "#,##0.0"), " tiles{}")</f>
        <v>{BLACK}Length: {GOLD}0.7 tiles{}</v>
      </c>
      <c r="CD38" s="1" t="str">
        <f aca="false">VLOOKUP($CB38, Constants!$M:$N, 2, FALSE())</f>
        <v/>
      </c>
      <c r="CE38" s="1" t="str">
        <f aca="false">IF(M38&gt;1,_xlfn.CONCAT("{BLACK}Cars: {GOLD}", M38),"")</f>
        <v/>
      </c>
      <c r="CF38" s="1" t="s">
        <v>284</v>
      </c>
      <c r="CG38" s="20" t="str">
        <f aca="false">IF(BW38="buffet","{YELLOW}25% long distance bonus for consist{}",IF(BY38="BRAKE","{YELLOW}Speed bonus for slow wagons{}",IF(BU38&gt;190,CONCATENATE("{YELLOW}",INT((BU38-185)/1.85),"% bonus for long distance travel{}"),IF(AND(BU38&lt;180,BU38&lt;&gt;0),CONCATENATE("{YELLOW}",INT((185-BU38)/1.85),"% penalty for long distance travel{}"),""))))</f>
        <v/>
      </c>
      <c r="CH38" s="1" t="str">
        <f aca="false">_xlfn.CONCAT(CD38,IF(CD38 &lt;&gt; "", " ", ""),CE38,IF(OR(CE38&lt;&gt;"", CD38&lt;&gt;""), "{}",""), CC38, CG38,"{SILVER}", CF38)</f>
        <v>{BLACK}Length: {GOLD}0.7 tiles{}{SILVER}Large bogie covered hoppers first appeared in Britain in the mid 1970s. These were frequently privately owned and registered as international vehicles. This slab-sided ‘Polybulk’ example was built in France.</v>
      </c>
      <c r="CI38" s="1"/>
      <c r="CJ38" s="1"/>
    </row>
    <row r="39" s="1" customFormat="true" ht="13.8" hidden="false" customHeight="false" outlineLevel="0" collapsed="false">
      <c r="A39" s="35" t="s">
        <v>285</v>
      </c>
      <c r="B39" s="35" t="s">
        <v>286</v>
      </c>
      <c r="C39" s="1" t="n">
        <v>101</v>
      </c>
      <c r="E39" s="1" t="n">
        <v>1101</v>
      </c>
      <c r="F39" s="1" t="s">
        <v>89</v>
      </c>
      <c r="G39" s="1" t="s">
        <v>256</v>
      </c>
      <c r="H39" s="1" t="s">
        <v>287</v>
      </c>
      <c r="I39" s="1" t="s">
        <v>92</v>
      </c>
      <c r="J39" s="1" t="n">
        <v>1905</v>
      </c>
      <c r="K39" s="1" t="n">
        <v>1960</v>
      </c>
      <c r="L39" s="1" t="n">
        <v>1960</v>
      </c>
      <c r="N39" s="20"/>
      <c r="O39" s="21"/>
      <c r="P39" s="22"/>
      <c r="Q39" s="22"/>
      <c r="R39" s="22"/>
      <c r="S39" s="22"/>
      <c r="T39" s="22"/>
      <c r="U39" s="22"/>
      <c r="V39" s="22"/>
      <c r="W39" s="20" t="n">
        <v>39</v>
      </c>
      <c r="X39" s="21"/>
      <c r="Y39" s="20" t="n">
        <v>4</v>
      </c>
      <c r="Z39" s="20"/>
      <c r="AA39" s="24" t="str">
        <f aca="false">IF(AND(W39&gt;0,Z39&gt;0),(Z39/((W39+X39)*10)),"")</f>
        <v/>
      </c>
      <c r="AB39" s="20" t="n">
        <v>90</v>
      </c>
      <c r="AC39" s="20" t="n">
        <f aca="false">ROUND(AB39*1.6, 0)</f>
        <v>144</v>
      </c>
      <c r="AD39" s="20"/>
      <c r="AE39" s="20"/>
      <c r="AF39" s="20" t="n">
        <v>19.8</v>
      </c>
      <c r="AG39" s="20" t="n">
        <v>20</v>
      </c>
      <c r="AH39" s="20" t="n">
        <v>2.82</v>
      </c>
      <c r="AI39" s="20" t="n">
        <v>3.79</v>
      </c>
      <c r="AJ39" s="25" t="n">
        <v>18</v>
      </c>
      <c r="AK39" s="20" t="str">
        <f aca="false">CONCATENATE(VLOOKUP(AL39, '[1]Voxel Sizes'!$A$2:$B$18,2,FALSE()),"x",INT(AH39*15), "x", INT(AI39*15))</f>
        <v>198x42x56</v>
      </c>
      <c r="AL39" s="20" t="n">
        <f aca="false">ROUND(15*((AG39*10)/256),0)</f>
        <v>12</v>
      </c>
      <c r="AM39" s="20"/>
      <c r="AN39" s="1" t="str">
        <f aca="false">CONCATENATE(VLOOKUP(AL39,Constants!$A$2:$C$16,IF(AM39&lt;&gt;"", 3, 2), FALSE()),IF(AM39&lt;&gt;"",CONCATENATE(",",VLOOKUP(AM39,$B:$AN,38,FALSE())),""))</f>
        <v>4,4,4</v>
      </c>
      <c r="AO39" s="20"/>
      <c r="AP39" s="26"/>
      <c r="AQ39" s="26"/>
      <c r="AR39" s="20"/>
      <c r="AS39" s="20"/>
      <c r="AT39" s="20"/>
      <c r="AU39" s="20"/>
      <c r="AV39" s="20"/>
      <c r="AW39" s="20"/>
      <c r="AX39" s="20" t="n">
        <v>30</v>
      </c>
      <c r="AY39" s="27" t="n">
        <f aca="false">IF(L39&lt;&gt;"",MAX(16,(L39-J39)+8),"")</f>
        <v>63</v>
      </c>
      <c r="AZ39" s="20" t="n">
        <v>1000</v>
      </c>
      <c r="BA39" s="20" t="n">
        <v>110</v>
      </c>
      <c r="BB39" s="20" t="n">
        <f aca="false">MIN(AB39/150, 1)*30</f>
        <v>18</v>
      </c>
      <c r="BC39" s="20" t="n">
        <f aca="false">MIN(N39/4000, 1)*20</f>
        <v>0</v>
      </c>
      <c r="BD39" s="20" t="n">
        <f aca="false">MIN(Z39/400,1)*20</f>
        <v>0</v>
      </c>
      <c r="BE39" s="24" t="n">
        <f aca="false">1-(MAX(J39-1900, 0)/750)</f>
        <v>0.993333333333333</v>
      </c>
      <c r="BF39" s="20" t="n">
        <f aca="false">((MAX($M39,1)*MIN($AJ39/300,1)))*IF(G39="Wagon",50,10)</f>
        <v>3</v>
      </c>
      <c r="BG39" s="20" t="n">
        <f aca="false">VLOOKUP($H39,Constants!$I:$K, 2, FALSE())</f>
        <v>1.5</v>
      </c>
      <c r="BH39" s="20" t="n">
        <f aca="false">VLOOKUP($H39,Constants!$I:$K, 3, FALSE())*IF(AND(G39="multiple_unit",AB39&lt;110),0.75,1)</f>
        <v>0.7</v>
      </c>
      <c r="BI39" s="20" t="n">
        <f aca="false">INT(POWER(((Constants!$G$2+$BB39+$BC39+$BD39+$BF39)*$BE39)*$BH39, 1.05))+$BA39</f>
        <v>130</v>
      </c>
      <c r="BJ39" s="20" t="n">
        <f aca="false">INT(POWER((((Constants!$G$1+$BB39+$BC39+$BD39+$BF39)*($BE39))*$BG39),IF($G39="wagon",1,1.2)))+$AZ39</f>
        <v>1053</v>
      </c>
      <c r="BK39" s="33" t="n">
        <f aca="false">BI39*IF($G39="wagon",62.5,781.25)</f>
        <v>8125</v>
      </c>
      <c r="BL39" s="33" t="n">
        <f aca="false">BJ39*IF($G39="wagon",2.73,81.25)</f>
        <v>2874.69</v>
      </c>
      <c r="BM39" s="20"/>
      <c r="BN39" s="20"/>
      <c r="BO39" s="20"/>
      <c r="BP39" s="20"/>
      <c r="BQ39" s="20"/>
      <c r="BR39" s="20"/>
      <c r="BS39" s="20"/>
      <c r="BT39" s="20" t="n">
        <v>2</v>
      </c>
      <c r="BU39" s="20" t="n">
        <v>278</v>
      </c>
      <c r="BV39" s="20" t="s">
        <v>288</v>
      </c>
      <c r="BW39" s="20"/>
      <c r="BX39" s="20" t="s">
        <v>104</v>
      </c>
      <c r="BY39" s="20" t="str">
        <f aca="false">VLOOKUP(J39,Eras!$A$2:$C$10, 2, TRUE())</f>
        <v>edw</v>
      </c>
      <c r="BZ39" s="19" t="s">
        <v>289</v>
      </c>
      <c r="CA39" s="20" t="str">
        <f aca="false">CONCATENATE(BY39,"_",BZ39)</f>
        <v>edw_Carriage</v>
      </c>
      <c r="CB39" s="20" t="str">
        <f aca="false">_xlfn.CONCAT(H39, "_",I39)</f>
        <v>luxury_carriage_RAIL</v>
      </c>
      <c r="CC39" s="32" t="str">
        <f aca="false" t="array" ref="CC39:CC39">_xlfn.CONCAT("{BLACK}Length: {GOLD}", TEXT(ROUNDUP(IF(AQ39&lt;&gt;"",SUM(VALUE(_xlfn.TEXTSPLIT(AQ39, ","))), SUM(VALUE(_xlfn.TEXTSPLIT(AN39, ",")))*IF(M39, M39, 1))/16, 1), "#,##0.0"), " tiles{}")</f>
        <v>{BLACK}Length: {GOLD}0.8 tiles{}</v>
      </c>
      <c r="CD39" s="20" t="str">
        <f aca="false">VLOOKUP($CB39, [1]Constants!$M$1:$N$1048576, 2, FALSE())</f>
        <v/>
      </c>
      <c r="CE39" s="20" t="str">
        <f aca="false">IF(M39&gt;1,_xlfn.CONCAT("{BLACK}Cars: {GOLD}", M39),"")</f>
        <v/>
      </c>
      <c r="CF39" s="20" t="s">
        <v>290</v>
      </c>
      <c r="CG39" s="20" t="str">
        <f aca="false">IF(BW39="buffet","{YELLOW}25% long distance bonus for consist{}",IF(BY39="BRAKE","{YELLOW}Speed bonus for slow wagons{}",IF(BU39&gt;190,CONCATENATE("{YELLOW}",INT((BU39-185)/1.85),"% bonus for long distance travel{}"),IF(AND(BU39&lt;180,BU39&lt;&gt;0),CONCATENATE("{YELLOW}",INT((185-BU39)/1.85),"% penalty for long distance travel{}"),""))))</f>
        <v>{YELLOW}50% bonus for long distance travel{}</v>
      </c>
      <c r="CH39" s="1" t="str">
        <f aca="false">_xlfn.CONCAT(CD39,IF(CD39 &lt;&gt; "", " ", ""),CE39,IF(OR(CE39&lt;&gt;"", CD39&lt;&gt;""), "{}",""), CC39, CG39,"{SILVER}", CF39)</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39" s="20"/>
      <c r="CK39" s="20"/>
    </row>
    <row r="40" s="1" customFormat="true" ht="13.8" hidden="false" customHeight="false" outlineLevel="0" collapsed="false">
      <c r="A40" s="35" t="s">
        <v>291</v>
      </c>
      <c r="B40" s="35" t="s">
        <v>292</v>
      </c>
      <c r="C40" s="1" t="n">
        <v>102</v>
      </c>
      <c r="E40" s="1" t="n">
        <v>1102</v>
      </c>
      <c r="F40" s="1" t="s">
        <v>89</v>
      </c>
      <c r="G40" s="1" t="s">
        <v>256</v>
      </c>
      <c r="H40" s="1" t="s">
        <v>293</v>
      </c>
      <c r="I40" s="1" t="s">
        <v>92</v>
      </c>
      <c r="J40" s="1" t="n">
        <v>1957</v>
      </c>
      <c r="K40" s="1" t="n">
        <v>1981</v>
      </c>
      <c r="L40" s="1" t="n">
        <v>1987</v>
      </c>
      <c r="N40" s="20"/>
      <c r="O40" s="21"/>
      <c r="P40" s="22"/>
      <c r="Q40" s="22"/>
      <c r="R40" s="22"/>
      <c r="S40" s="22"/>
      <c r="T40" s="22"/>
      <c r="U40" s="22"/>
      <c r="V40" s="22"/>
      <c r="W40" s="20" t="n">
        <v>33</v>
      </c>
      <c r="X40" s="21"/>
      <c r="Y40" s="20" t="n">
        <v>4</v>
      </c>
      <c r="Z40" s="20"/>
      <c r="AA40" s="24" t="str">
        <f aca="false">IF(AND(W40&gt;0,Z40&gt;0),(Z40/((W40+X40)*10)),"")</f>
        <v/>
      </c>
      <c r="AB40" s="20" t="n">
        <v>100</v>
      </c>
      <c r="AC40" s="20" t="n">
        <f aca="false">ROUND(AB40*1.6, 0)</f>
        <v>160</v>
      </c>
      <c r="AD40" s="20"/>
      <c r="AE40" s="20"/>
      <c r="AF40" s="20" t="n">
        <v>19.8</v>
      </c>
      <c r="AG40" s="20" t="n">
        <v>20</v>
      </c>
      <c r="AH40" s="20" t="n">
        <v>2.82</v>
      </c>
      <c r="AI40" s="20" t="n">
        <v>3.79</v>
      </c>
      <c r="AJ40" s="25" t="n">
        <v>22</v>
      </c>
      <c r="AK40" s="20" t="str">
        <f aca="false">CONCATENATE(VLOOKUP(AL40, '[1]Voxel Sizes'!$A$2:$B$18,2,FALSE()),"x",INT(AH40*15), "x", INT(AI40*15))</f>
        <v>198x42x56</v>
      </c>
      <c r="AL40" s="20" t="n">
        <f aca="false">ROUND(15*((AG40*10)/256),0)</f>
        <v>12</v>
      </c>
      <c r="AM40" s="20"/>
      <c r="AN40" s="1" t="str">
        <f aca="false">CONCATENATE(VLOOKUP(AL40,Constants!$A$2:$C$16,IF(AM40&lt;&gt;"", 3, 2), FALSE()),IF(AM40&lt;&gt;"",CONCATENATE(",",VLOOKUP(AM40,$B:$AN,38,FALSE())),""))</f>
        <v>4,4,4</v>
      </c>
      <c r="AO40" s="20"/>
      <c r="AP40" s="26"/>
      <c r="AQ40" s="26"/>
      <c r="AR40" s="20"/>
      <c r="AS40" s="20"/>
      <c r="AT40" s="20"/>
      <c r="AU40" s="20"/>
      <c r="AV40" s="20"/>
      <c r="AW40" s="20" t="s">
        <v>294</v>
      </c>
      <c r="AX40" s="20" t="n">
        <v>30</v>
      </c>
      <c r="AY40" s="27" t="n">
        <f aca="false">IF(L40&lt;&gt;"",MAX(16,(L40-J40)+8),"")</f>
        <v>38</v>
      </c>
      <c r="AZ40" s="20" t="n">
        <v>1000</v>
      </c>
      <c r="BA40" s="20" t="n">
        <v>110</v>
      </c>
      <c r="BB40" s="20" t="n">
        <f aca="false">MIN(AB40/150, 1)*30</f>
        <v>20</v>
      </c>
      <c r="BC40" s="20" t="n">
        <f aca="false">MIN(N40/4000, 1)*20</f>
        <v>0</v>
      </c>
      <c r="BD40" s="20" t="n">
        <f aca="false">MIN(Z40/400,1)*20</f>
        <v>0</v>
      </c>
      <c r="BE40" s="24" t="n">
        <f aca="false">1-(MAX(J40-1900, 0)/750)</f>
        <v>0.924</v>
      </c>
      <c r="BF40" s="20" t="n">
        <f aca="false">((MAX($M40,1)*MIN($AJ40/300,1)))*IF(G40="Wagon",50,10)</f>
        <v>3.66666666666667</v>
      </c>
      <c r="BG40" s="20" t="n">
        <f aca="false">VLOOKUP($H40,Constants!$I:$K, 2, FALSE())</f>
        <v>1.2</v>
      </c>
      <c r="BH40" s="20" t="n">
        <f aca="false">VLOOKUP($H40,Constants!$I:$K, 3, FALSE())*IF(AND(G40="multiple_unit",AB40&lt;110),0.75,1)</f>
        <v>0.6</v>
      </c>
      <c r="BI40" s="20" t="n">
        <f aca="false">INT(POWER(((Constants!$G$2+$BB40+$BC40+$BD40+$BF40)*$BE40)*$BH40, 1.05))+$BA40</f>
        <v>128</v>
      </c>
      <c r="BJ40" s="20" t="n">
        <f aca="false">INT(POWER((((Constants!$G$1+$BB40+$BC40+$BD40+$BF40)*($BE40))*$BG40),IF($G40="wagon",1,1.2)))+$AZ40</f>
        <v>1042</v>
      </c>
      <c r="BK40" s="33" t="n">
        <f aca="false">BI40*IF($G40="wagon",62.5,781.25)</f>
        <v>8000</v>
      </c>
      <c r="BL40" s="33" t="n">
        <f aca="false">BJ40*IF($G40="wagon",2.73,81.25)</f>
        <v>2844.66</v>
      </c>
      <c r="BM40" s="20"/>
      <c r="BN40" s="20"/>
      <c r="BO40" s="20"/>
      <c r="BP40" s="20"/>
      <c r="BQ40" s="20"/>
      <c r="BR40" s="20"/>
      <c r="BS40" s="20"/>
      <c r="BT40" s="20" t="n">
        <v>2</v>
      </c>
      <c r="BU40" s="20" t="n">
        <v>278</v>
      </c>
      <c r="BV40" s="20" t="s">
        <v>288</v>
      </c>
      <c r="BW40" s="20"/>
      <c r="BX40" s="20" t="s">
        <v>104</v>
      </c>
      <c r="BY40" s="20" t="str">
        <f aca="false">VLOOKUP(J40,Eras!$A$2:$C$10, 2, TRUE())</f>
        <v>dsl</v>
      </c>
      <c r="BZ40" s="19" t="s">
        <v>289</v>
      </c>
      <c r="CA40" s="20" t="str">
        <f aca="false">CONCATENATE(BY40,"_",BZ40)</f>
        <v>dsl_Carriage</v>
      </c>
      <c r="CB40" s="20" t="str">
        <f aca="false">_xlfn.CONCAT(H40, "_",I40)</f>
        <v>carriage_RAIL</v>
      </c>
      <c r="CC40" s="32" t="str">
        <f aca="false" t="array" ref="CC40:CC40">_xlfn.CONCAT("{BLACK}Length: {GOLD}", TEXT(ROUNDUP(IF(AQ40&lt;&gt;"",SUM(VALUE(_xlfn.TEXTSPLIT(AQ40, ","))), SUM(VALUE(_xlfn.TEXTSPLIT(AN40, ",")))*IF(M40, M40, 1))/16, 1), "#,##0.0"), " tiles{}")</f>
        <v>{BLACK}Length: {GOLD}0.8 tiles{}</v>
      </c>
      <c r="CD40" s="20" t="str">
        <f aca="false">VLOOKUP($CB40, [1]Constants!$M$1:$N$1048576, 2, FALSE())</f>
        <v/>
      </c>
      <c r="CE40" s="20" t="str">
        <f aca="false">IF(M40&gt;1,_xlfn.CONCAT("{BLACK}Cars: {GOLD}", M40),"")</f>
        <v/>
      </c>
      <c r="CF40" s="20" t="s">
        <v>295</v>
      </c>
      <c r="CG40" s="20" t="str">
        <f aca="false">IF(BW40="buffet","{YELLOW}25% long distance bonus for consist{}",IF(BY40="BRAKE","{YELLOW}Speed bonus for slow wagons{}",IF(BU40&gt;190,CONCATENATE("{YELLOW}",INT((BU40-185)/1.85),"% bonus for long distance travel{}"),IF(AND(BU40&lt;180,BU40&lt;&gt;0),CONCATENATE("{YELLOW}",INT((185-BU40)/1.85),"% penalty for long distance travel{}"),""))))</f>
        <v>{YELLOW}50% bonus for long distance travel{}</v>
      </c>
      <c r="CH40" s="1" t="str">
        <f aca="false">_xlfn.CONCAT(CD40,IF(CD40 &lt;&gt; "", " ", ""),CE40,IF(OR(CE40&lt;&gt;"", CD40&lt;&gt;""), "{}",""), CC40, CG40,"{SILVER}", CF40)</f>
        <v>{BLACK}Length: {GOLD}0.8 tiles{}{YELLOW}50% bonus for long distance travel{}{SILVER}The Mk1 Sleeper was built in relatively large numbers. The type was not especially popular with passengers, but the service was still an improvement on sleeping in ordinary compartment stock of the time.</v>
      </c>
      <c r="CI40" s="20"/>
      <c r="CK40" s="20"/>
    </row>
    <row r="41" s="20" customFormat="true" ht="13.8" hidden="false" customHeight="false" outlineLevel="0" collapsed="false">
      <c r="A41" s="1" t="s">
        <v>296</v>
      </c>
      <c r="B41" s="1" t="s">
        <v>297</v>
      </c>
      <c r="C41" s="1" t="n">
        <v>103</v>
      </c>
      <c r="D41" s="1"/>
      <c r="E41" s="1" t="n">
        <v>1103</v>
      </c>
      <c r="F41" s="1" t="s">
        <v>89</v>
      </c>
      <c r="G41" s="1" t="s">
        <v>256</v>
      </c>
      <c r="H41" s="1" t="s">
        <v>293</v>
      </c>
      <c r="I41" s="1" t="s">
        <v>92</v>
      </c>
      <c r="J41" s="20" t="n">
        <v>1975</v>
      </c>
      <c r="O41" s="21"/>
      <c r="P41" s="22"/>
      <c r="Q41" s="22"/>
      <c r="R41" s="22"/>
      <c r="S41" s="22"/>
      <c r="T41" s="22"/>
      <c r="U41" s="22"/>
      <c r="V41" s="22"/>
      <c r="W41" s="20" t="n">
        <v>34</v>
      </c>
      <c r="X41" s="21"/>
      <c r="Y41" s="20" t="n">
        <v>3</v>
      </c>
      <c r="AA41" s="24" t="str">
        <f aca="false">IF(AND(W41&gt;0,Z41&gt;0),(Z41/((W41+X41)*10)),"")</f>
        <v/>
      </c>
      <c r="AB41" s="20" t="n">
        <v>125</v>
      </c>
      <c r="AC41" s="20" t="n">
        <f aca="false">ROUND(AB41*1.6, 0)</f>
        <v>200</v>
      </c>
      <c r="AF41" s="20" t="n">
        <v>23</v>
      </c>
      <c r="AG41" s="20" t="n">
        <v>23</v>
      </c>
      <c r="AH41" s="20" t="n">
        <v>2.82</v>
      </c>
      <c r="AI41" s="20" t="n">
        <v>3.79</v>
      </c>
      <c r="AJ41" s="25" t="n">
        <v>24</v>
      </c>
      <c r="AK41" s="20" t="str">
        <f aca="false">CONCATENATE(VLOOKUP(AL41, '[1]Voxel Sizes'!$A$2:$B$18,2,FALSE()),"x",INT(AH41*15), "x", INT(AI41*15))</f>
        <v>214x42x56</v>
      </c>
      <c r="AL41" s="20" t="n">
        <f aca="false">ROUND(15*((AG41*10)/256),0)</f>
        <v>13</v>
      </c>
      <c r="AN41" s="1" t="str">
        <f aca="false">CONCATENATE(VLOOKUP(AL41,Constants!$A$2:$C$16,IF(AM41&lt;&gt;"", 3, 2), FALSE()),IF(AM41&lt;&gt;"",CONCATENATE(",",VLOOKUP(AM41,$B:$AN,38,FALSE())),""))</f>
        <v>4,5,4</v>
      </c>
      <c r="AP41" s="26"/>
      <c r="AQ41" s="26"/>
      <c r="AW41" s="20" t="s">
        <v>298</v>
      </c>
      <c r="AX41" s="20" t="n">
        <v>30</v>
      </c>
      <c r="AY41" s="27" t="str">
        <f aca="false">IF(L41&lt;&gt;"",MAX(16,(L41-J41)+8),"")</f>
        <v/>
      </c>
      <c r="AZ41" s="20" t="n">
        <v>1150</v>
      </c>
      <c r="BA41" s="20" t="n">
        <v>150</v>
      </c>
      <c r="BB41" s="20" t="n">
        <f aca="false">MIN(AB41/150, 1)*30</f>
        <v>25</v>
      </c>
      <c r="BC41" s="20" t="n">
        <f aca="false">MIN(N41/4000, 1)*20</f>
        <v>0</v>
      </c>
      <c r="BD41" s="20" t="n">
        <f aca="false">MIN(Z41/400,1)*20</f>
        <v>0</v>
      </c>
      <c r="BE41" s="24" t="n">
        <f aca="false">1-(MAX(J41-1900, 0)/750)</f>
        <v>0.9</v>
      </c>
      <c r="BF41" s="20" t="n">
        <f aca="false">((MAX($M41,1)*MIN($AJ41/300,1)))*IF(G41="Wagon",50,10)</f>
        <v>4</v>
      </c>
      <c r="BG41" s="20" t="n">
        <f aca="false">VLOOKUP($H41,Constants!$I:$K, 2, FALSE())</f>
        <v>1.2</v>
      </c>
      <c r="BH41" s="20" t="n">
        <f aca="false">VLOOKUP($H41,Constants!$I:$K, 3, FALSE())*IF(AND(G41="multiple_unit",AB41&lt;110),0.75,1)</f>
        <v>0.6</v>
      </c>
      <c r="BI41" s="20" t="n">
        <f aca="false">INT(POWER(((Constants!$G$2+$BB41+$BC41+$BD41+$BF41)*$BE41)*$BH41, 1.05))+$BA41</f>
        <v>171</v>
      </c>
      <c r="BJ41" s="20" t="n">
        <f aca="false">INT(POWER((((Constants!$G$1+$BB41+$BC41+$BD41+$BF41)*($BE41))*$BG41),IF($G41="wagon",1,1.2)))+$AZ41</f>
        <v>1197</v>
      </c>
      <c r="BK41" s="33" t="n">
        <f aca="false">BI41*IF($G41="wagon",62.5,781.25)</f>
        <v>10687.5</v>
      </c>
      <c r="BL41" s="33" t="n">
        <f aca="false">BJ41*IF($G41="wagon",2.73,81.25)</f>
        <v>3267.81</v>
      </c>
      <c r="BT41" s="20" t="n">
        <v>2</v>
      </c>
      <c r="BU41" s="20" t="n">
        <v>278</v>
      </c>
      <c r="BV41" s="20" t="s">
        <v>288</v>
      </c>
      <c r="BX41" s="20" t="s">
        <v>104</v>
      </c>
      <c r="BY41" s="20" t="str">
        <f aca="false">VLOOKUP(J41,Eras!$A$2:$C$10, 2, TRUE())</f>
        <v>lbr</v>
      </c>
      <c r="BZ41" s="19" t="s">
        <v>289</v>
      </c>
      <c r="CA41" s="20" t="str">
        <f aca="false">CONCATENATE(BY41,"_",BZ41)</f>
        <v>lbr_Carriage</v>
      </c>
      <c r="CB41" s="20" t="str">
        <f aca="false">_xlfn.CONCAT(H41, "_",I41)</f>
        <v>carriage_RAIL</v>
      </c>
      <c r="CC41" s="32" t="str">
        <f aca="false" t="array" ref="CC41:CC41">_xlfn.CONCAT("{BLACK}Length: {GOLD}", TEXT(ROUNDUP(IF(AQ41&lt;&gt;"",SUM(VALUE(_xlfn.TEXTSPLIT(AQ41, ","))), SUM(VALUE(_xlfn.TEXTSPLIT(AN41, ",")))*IF(M41, M41, 1))/16, 1), "#,##0.0"), " tiles{}")</f>
        <v>{BLACK}Length: {GOLD}0.9 tiles{}</v>
      </c>
      <c r="CD41" s="20" t="str">
        <f aca="false">VLOOKUP($CB41, [1]Constants!$M$1:$N$1048576, 2, FALSE())</f>
        <v/>
      </c>
      <c r="CE41" s="20" t="str">
        <f aca="false">IF(M41&gt;1,_xlfn.CONCAT("{BLACK}Cars: {GOLD}", M41),"")</f>
        <v/>
      </c>
      <c r="CF41" s="20" t="s">
        <v>299</v>
      </c>
      <c r="CG41" s="20" t="str">
        <f aca="false">IF(BW41="buffet","{YELLOW}25% long distance bonus for consist{}",IF(BY41="BRAKE","{YELLOW}Speed bonus for slow wagons{}",IF(BU41&gt;190,CONCATENATE("{YELLOW}",INT((BU41-185)/1.85),"% bonus for long distance travel{}"),IF(AND(BU41&lt;180,BU41&lt;&gt;0),CONCATENATE("{YELLOW}",INT((185-BU41)/1.85),"% penalty for long distance travel{}"),""))))</f>
        <v>{YELLOW}50% bonus for long distance travel{}</v>
      </c>
      <c r="CH41" s="1" t="str">
        <f aca="false">_xlfn.CONCAT(CD41,IF(CD41 &lt;&gt; "", " ", ""),CE41,IF(OR(CE41&lt;&gt;"", CD41&lt;&gt;""), "{}",""), CC41, CG41,"{SILVER}", CF41)</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J41" s="1"/>
    </row>
    <row r="42" customFormat="false" ht="13.8" hidden="false" customHeight="false" outlineLevel="0" collapsed="false">
      <c r="A42" s="1" t="s">
        <v>300</v>
      </c>
      <c r="B42" s="1" t="s">
        <v>301</v>
      </c>
      <c r="C42" s="1" t="n">
        <v>105</v>
      </c>
      <c r="E42" s="1" t="n">
        <v>1105</v>
      </c>
      <c r="F42" s="1" t="s">
        <v>89</v>
      </c>
      <c r="G42" s="1" t="s">
        <v>256</v>
      </c>
      <c r="H42" s="1" t="s">
        <v>293</v>
      </c>
      <c r="I42" s="1" t="s">
        <v>92</v>
      </c>
      <c r="J42" s="20" t="n">
        <v>2018</v>
      </c>
      <c r="K42" s="20"/>
      <c r="L42" s="20"/>
      <c r="M42" s="20"/>
      <c r="N42" s="20"/>
      <c r="O42" s="21"/>
      <c r="P42" s="22"/>
      <c r="Q42" s="22"/>
      <c r="R42" s="22"/>
      <c r="S42" s="22"/>
      <c r="T42" s="22"/>
      <c r="U42" s="22"/>
      <c r="V42" s="22"/>
      <c r="W42" s="20" t="n">
        <v>43</v>
      </c>
      <c r="X42" s="21"/>
      <c r="Y42" s="20" t="n">
        <v>3</v>
      </c>
      <c r="Z42" s="20"/>
      <c r="AA42" s="24" t="str">
        <f aca="false">IF(AND(W42&gt;0,Z42&gt;0),(Z42/((W42+X42)*10)),"")</f>
        <v/>
      </c>
      <c r="AB42" s="20" t="n">
        <v>125</v>
      </c>
      <c r="AC42" s="20" t="n">
        <f aca="false">ROUND(AB42*1.6, 0)</f>
        <v>200</v>
      </c>
      <c r="AD42" s="20"/>
      <c r="AE42" s="20"/>
      <c r="AF42" s="20" t="n">
        <v>22.2</v>
      </c>
      <c r="AG42" s="20" t="n">
        <v>22</v>
      </c>
      <c r="AH42" s="20" t="n">
        <v>2.75</v>
      </c>
      <c r="AI42" s="20" t="n">
        <v>3.79</v>
      </c>
      <c r="AJ42" s="25" t="n">
        <v>10</v>
      </c>
      <c r="AK42" s="20" t="str">
        <f aca="false">CONCATENATE(VLOOKUP(AL42, '[1]Voxel Sizes'!$A$2:$B$18,2,FALSE()),"x",INT(AH42*15), "x", INT(AI42*15))</f>
        <v>214x41x56</v>
      </c>
      <c r="AL42" s="20" t="n">
        <f aca="false">ROUND(15*((AG42*10)/256),0)</f>
        <v>13</v>
      </c>
      <c r="AM42" s="20"/>
      <c r="AN42" s="1" t="str">
        <f aca="false">CONCATENATE(VLOOKUP(AL42,Constants!$A$2:$C$16,IF(AM42&lt;&gt;"", 3, 2), FALSE()),IF(AM42&lt;&gt;"",CONCATENATE(",",VLOOKUP(AM42,$B:$AN,38,FALSE())),""))</f>
        <v>4,5,4</v>
      </c>
      <c r="AO42" s="20"/>
      <c r="AP42" s="26"/>
      <c r="AQ42" s="26"/>
      <c r="AR42" s="20"/>
      <c r="AS42" s="20"/>
      <c r="AT42" s="20"/>
      <c r="AU42" s="20"/>
      <c r="AV42" s="20"/>
      <c r="AW42" s="1" t="s">
        <v>302</v>
      </c>
      <c r="AX42" s="20" t="n">
        <v>30</v>
      </c>
      <c r="AY42" s="27" t="str">
        <f aca="false">IF(L42&lt;&gt;"",MAX(16,(L42-J42)+8),"")</f>
        <v/>
      </c>
      <c r="AZ42" s="20" t="n">
        <v>1150</v>
      </c>
      <c r="BA42" s="20" t="n">
        <v>150</v>
      </c>
      <c r="BB42" s="20" t="n">
        <f aca="false">MIN(AB42/150, 1)*30</f>
        <v>25</v>
      </c>
      <c r="BC42" s="20" t="n">
        <f aca="false">MIN(N42/4000, 1)*20</f>
        <v>0</v>
      </c>
      <c r="BD42" s="20" t="n">
        <f aca="false">MIN(Z42/400,1)*20</f>
        <v>0</v>
      </c>
      <c r="BE42" s="24" t="n">
        <f aca="false">1-(MAX(J42-1900, 0)/750)</f>
        <v>0.842666666666667</v>
      </c>
      <c r="BF42" s="20" t="n">
        <f aca="false">((MAX($M42,1)*MIN($AJ42/300,1)))*IF(G42="Wagon",50,10)</f>
        <v>1.66666666666667</v>
      </c>
      <c r="BG42" s="20" t="n">
        <f aca="false">VLOOKUP($H42,Constants!$I:$K, 2, FALSE())</f>
        <v>1.2</v>
      </c>
      <c r="BH42" s="20" t="n">
        <f aca="false">VLOOKUP($H42,Constants!$I:$K, 3, FALSE())*IF(AND(G42="multiple_unit",AB42&lt;110),0.75,1)</f>
        <v>0.6</v>
      </c>
      <c r="BI42" s="20" t="n">
        <f aca="false">INT(POWER(((Constants!$G$2+$BB42+$BC42+$BD42+$BF42)*$BE42)*$BH42, 1.05))+$BA42</f>
        <v>168</v>
      </c>
      <c r="BJ42" s="20" t="n">
        <f aca="false">INT(POWER((((Constants!$G$1+$BB42+$BC42+$BD42+$BF42)*($BE42))*$BG42),IF($G42="wagon",1,1.2)))+$AZ42</f>
        <v>1192</v>
      </c>
      <c r="BK42" s="33" t="n">
        <f aca="false">BI42*IF($G42="wagon",62.5,781.25)</f>
        <v>10500</v>
      </c>
      <c r="BL42" s="33" t="n">
        <f aca="false">BJ42*IF($G42="wagon",2.73,81.25)</f>
        <v>3254.16</v>
      </c>
      <c r="BM42" s="20"/>
      <c r="BN42" s="20"/>
      <c r="BO42" s="20"/>
      <c r="BP42" s="20"/>
      <c r="BQ42" s="20"/>
      <c r="BR42" s="20"/>
      <c r="BS42" s="20"/>
      <c r="BT42" s="20" t="n">
        <v>2</v>
      </c>
      <c r="BU42" s="20" t="n">
        <v>278</v>
      </c>
      <c r="BV42" s="20" t="s">
        <v>288</v>
      </c>
      <c r="BW42" s="20"/>
      <c r="BX42" s="20" t="s">
        <v>104</v>
      </c>
      <c r="BY42" s="20" t="str">
        <f aca="false">VLOOKUP(J42,Eras!$A$2:$C$10, 2, TRUE())</f>
        <v>mod</v>
      </c>
      <c r="BZ42" s="19" t="s">
        <v>289</v>
      </c>
      <c r="CA42" s="20" t="str">
        <f aca="false">CONCATENATE(BY42,"_",BZ42)</f>
        <v>mod_Carriage</v>
      </c>
      <c r="CB42" s="20" t="str">
        <f aca="false">_xlfn.CONCAT(H42, "_",I42)</f>
        <v>carriage_RAIL</v>
      </c>
      <c r="CC42" s="32" t="str">
        <f aca="false" t="array" ref="CC42:CC42">_xlfn.CONCAT("{BLACK}Length: {GOLD}", TEXT(ROUNDUP(IF(AQ42&lt;&gt;"",SUM(VALUE(_xlfn.TEXTSPLIT(AQ42, ","))), SUM(VALUE(_xlfn.TEXTSPLIT(AN42, ",")))*IF(M42, M42, 1))/16, 1), "#,##0.0"), " tiles{}")</f>
        <v>{BLACK}Length: {GOLD}0.9 tiles{}</v>
      </c>
      <c r="CD42" s="20" t="str">
        <f aca="false">VLOOKUP($CB42, [1]Constants!$M$1:$N$1048576, 2, FALSE())</f>
        <v/>
      </c>
      <c r="CE42" s="20" t="str">
        <f aca="false">IF(M42&gt;1,_xlfn.CONCAT("{BLACK}Cars: {GOLD}", M42),"")</f>
        <v/>
      </c>
      <c r="CF42" s="20" t="s">
        <v>303</v>
      </c>
      <c r="CG42" s="20" t="str">
        <f aca="false">IF(BW42="buffet","{YELLOW}25% long distance bonus for consist{}",IF(BY42="BRAKE","{YELLOW}Speed bonus for slow wagons{}",IF(BU42&gt;190,CONCATENATE("{YELLOW}",INT((BU42-185)/1.85),"% bonus for long distance travel{}"),IF(AND(BU42&lt;180,BU42&lt;&gt;0),CONCATENATE("{YELLOW}",INT((185-BU42)/1.85),"% penalty for long distance travel{}"),""))))</f>
        <v>{YELLOW}50% bonus for long distance travel{}</v>
      </c>
      <c r="CH42" s="1" t="str">
        <f aca="false">_xlfn.CONCAT(CD42,IF(CD42 &lt;&gt; "", " ", ""),CE42,IF(OR(CE42&lt;&gt;"", CD42&lt;&gt;""), "{}",""), CC42, CG42,"{SILVER}", CF42)</f>
        <v>{BLACK}Length: {GOLD}0.9 tiles{}{YELLOW}50% bonus for long distance travel{}{SILVER}The Mk5 sleeper trains were procured to replace Mk3 sleepers. With the end of double berths, these trains have an even lower capacity than what they replaced!</v>
      </c>
      <c r="CI42" s="20"/>
      <c r="CJ42" s="1"/>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c r="EC42" s="20"/>
      <c r="ED42" s="20"/>
      <c r="EE42" s="20"/>
      <c r="EF42" s="20"/>
      <c r="EG42" s="20"/>
      <c r="EH42" s="20"/>
      <c r="EI42" s="20"/>
      <c r="EJ42" s="20"/>
      <c r="EK42" s="20"/>
      <c r="EL42" s="20"/>
      <c r="EM42" s="20"/>
      <c r="EN42" s="20"/>
      <c r="EO42" s="20"/>
      <c r="EP42" s="20"/>
      <c r="EQ42" s="20"/>
      <c r="ER42" s="20"/>
      <c r="ES42" s="20"/>
      <c r="ET42" s="20"/>
      <c r="EU42" s="20"/>
      <c r="EV42" s="20"/>
      <c r="EW42" s="20"/>
      <c r="EX42" s="20"/>
      <c r="EY42" s="20"/>
      <c r="EZ42" s="20"/>
      <c r="FA42" s="20"/>
      <c r="FB42" s="20"/>
      <c r="FC42" s="20"/>
      <c r="FD42" s="20"/>
      <c r="FE42" s="20"/>
      <c r="FF42" s="20"/>
      <c r="FG42" s="20"/>
      <c r="FH42" s="20"/>
      <c r="FI42" s="20"/>
      <c r="FJ42" s="20"/>
      <c r="FK42" s="20"/>
      <c r="FL42" s="20"/>
      <c r="FM42" s="20"/>
      <c r="FN42" s="20"/>
      <c r="FO42" s="20"/>
      <c r="FP42" s="20"/>
      <c r="FQ42" s="20"/>
      <c r="FR42" s="20"/>
      <c r="FS42" s="20"/>
      <c r="FT42" s="20"/>
      <c r="FU42" s="20"/>
      <c r="FV42" s="20"/>
      <c r="FW42" s="20"/>
      <c r="FX42" s="20"/>
      <c r="FY42" s="20"/>
      <c r="FZ42" s="20"/>
      <c r="GA42" s="20"/>
      <c r="GB42" s="20"/>
      <c r="GC42" s="20"/>
      <c r="GD42" s="20"/>
      <c r="GE42" s="20"/>
      <c r="GF42" s="20"/>
      <c r="GG42" s="20"/>
      <c r="GH42" s="20"/>
      <c r="GI42" s="20"/>
      <c r="GJ42" s="20"/>
      <c r="GK42" s="20"/>
      <c r="GL42" s="20"/>
      <c r="GM42" s="20"/>
      <c r="GN42" s="20"/>
      <c r="GO42" s="20"/>
      <c r="GP42" s="20"/>
      <c r="GQ42" s="20"/>
      <c r="GR42" s="20"/>
      <c r="GS42" s="20"/>
      <c r="GT42" s="20"/>
      <c r="GU42" s="20"/>
      <c r="GV42" s="20"/>
      <c r="GW42" s="20"/>
      <c r="GX42" s="20"/>
      <c r="GY42" s="20"/>
      <c r="GZ42" s="20"/>
      <c r="HA42" s="20"/>
      <c r="HB42" s="20"/>
      <c r="HC42" s="20"/>
      <c r="HD42" s="20"/>
      <c r="HE42" s="20"/>
      <c r="HF42" s="20"/>
      <c r="HG42" s="20"/>
      <c r="HH42" s="20"/>
      <c r="HI42" s="20"/>
      <c r="HJ42" s="20"/>
      <c r="HK42" s="20"/>
      <c r="HL42" s="20"/>
      <c r="HM42" s="20"/>
      <c r="HN42" s="20"/>
      <c r="HO42" s="20"/>
      <c r="HP42" s="20"/>
      <c r="HQ42" s="20"/>
      <c r="HR42" s="20"/>
      <c r="HS42" s="20"/>
      <c r="HT42" s="20"/>
      <c r="HU42" s="20"/>
      <c r="HV42" s="20"/>
      <c r="HW42" s="20"/>
      <c r="HX42" s="20"/>
      <c r="HY42" s="20"/>
      <c r="HZ42" s="20"/>
      <c r="IA42" s="20"/>
      <c r="IB42" s="20"/>
      <c r="IC42" s="20"/>
      <c r="ID42" s="20"/>
      <c r="IE42" s="20"/>
      <c r="IF42" s="20"/>
      <c r="IG42" s="20"/>
      <c r="IH42" s="20"/>
      <c r="II42" s="20"/>
      <c r="IJ42" s="20"/>
      <c r="IK42" s="20"/>
      <c r="IL42" s="20"/>
      <c r="IM42" s="20"/>
      <c r="IN42" s="20"/>
      <c r="IO42" s="20"/>
      <c r="IP42" s="20"/>
      <c r="IQ42" s="20"/>
      <c r="IR42" s="20"/>
      <c r="IS42" s="20"/>
      <c r="IT42" s="20"/>
      <c r="IU42" s="20"/>
      <c r="IV42" s="20"/>
      <c r="IW42" s="20"/>
      <c r="IX42" s="20"/>
      <c r="IY42" s="20"/>
      <c r="IZ42" s="20"/>
      <c r="JA42" s="20"/>
      <c r="JB42" s="20"/>
      <c r="JC42" s="20"/>
      <c r="JD42" s="20"/>
      <c r="JE42" s="20"/>
      <c r="JF42" s="20"/>
      <c r="JG42" s="20"/>
      <c r="JH42" s="20"/>
      <c r="JI42" s="20"/>
      <c r="JJ42" s="20"/>
      <c r="JK42" s="20"/>
      <c r="JL42" s="20"/>
      <c r="JM42" s="20"/>
      <c r="JN42" s="20"/>
      <c r="JO42" s="20"/>
      <c r="JP42" s="20"/>
      <c r="JQ42" s="20"/>
      <c r="JR42" s="20"/>
      <c r="JS42" s="20"/>
      <c r="JT42" s="20"/>
      <c r="JU42" s="20"/>
      <c r="JV42" s="20"/>
      <c r="JW42" s="20"/>
      <c r="JX42" s="20"/>
      <c r="JY42" s="20"/>
      <c r="JZ42" s="20"/>
      <c r="KA42" s="20"/>
      <c r="KB42" s="20"/>
      <c r="KC42" s="20"/>
      <c r="KD42" s="20"/>
      <c r="KE42" s="20"/>
      <c r="KF42" s="20"/>
      <c r="KG42" s="20"/>
      <c r="KH42" s="20"/>
      <c r="KI42" s="20"/>
      <c r="KJ42" s="20"/>
      <c r="KK42" s="20"/>
      <c r="KL42" s="20"/>
      <c r="KM42" s="20"/>
      <c r="KN42" s="20"/>
      <c r="KO42" s="20"/>
      <c r="KP42" s="20"/>
      <c r="KQ42" s="20"/>
      <c r="KR42" s="20"/>
      <c r="KS42" s="20"/>
      <c r="KT42" s="20"/>
      <c r="KU42" s="20"/>
      <c r="KV42" s="20"/>
      <c r="KW42" s="20"/>
      <c r="KX42" s="20"/>
      <c r="KY42" s="20"/>
      <c r="KZ42" s="20"/>
      <c r="LA42" s="20"/>
      <c r="LB42" s="20"/>
      <c r="LC42" s="20"/>
      <c r="LD42" s="20"/>
      <c r="LE42" s="20"/>
      <c r="LF42" s="20"/>
      <c r="LG42" s="20"/>
      <c r="LH42" s="20"/>
      <c r="LI42" s="20"/>
      <c r="LJ42" s="20"/>
      <c r="LK42" s="20"/>
      <c r="LL42" s="20"/>
      <c r="LM42" s="20"/>
      <c r="LN42" s="20"/>
      <c r="LO42" s="20"/>
      <c r="LP42" s="20"/>
      <c r="LQ42" s="20"/>
      <c r="LR42" s="20"/>
      <c r="LS42" s="20"/>
      <c r="LT42" s="20"/>
      <c r="LU42" s="20"/>
      <c r="LV42" s="20"/>
      <c r="LW42" s="20"/>
      <c r="LX42" s="20"/>
      <c r="LY42" s="20"/>
      <c r="LZ42" s="20"/>
      <c r="MA42" s="20"/>
      <c r="MB42" s="20"/>
      <c r="MC42" s="20"/>
      <c r="MD42" s="20"/>
      <c r="ME42" s="20"/>
      <c r="MF42" s="20"/>
      <c r="MG42" s="20"/>
      <c r="MH42" s="20"/>
      <c r="MI42" s="20"/>
      <c r="MJ42" s="20"/>
      <c r="MK42" s="20"/>
      <c r="ML42" s="20"/>
      <c r="MM42" s="20"/>
      <c r="MN42" s="20"/>
      <c r="MO42" s="20"/>
      <c r="MP42" s="20"/>
      <c r="MQ42" s="20"/>
      <c r="MR42" s="20"/>
      <c r="MS42" s="20"/>
      <c r="MT42" s="20"/>
      <c r="MU42" s="20"/>
      <c r="MV42" s="20"/>
      <c r="MW42" s="20"/>
      <c r="MX42" s="20"/>
      <c r="MY42" s="20"/>
      <c r="MZ42" s="20"/>
      <c r="NA42" s="20"/>
      <c r="NB42" s="20"/>
      <c r="NC42" s="20"/>
      <c r="ND42" s="20"/>
      <c r="NE42" s="20"/>
      <c r="NF42" s="20"/>
      <c r="NG42" s="20"/>
      <c r="NH42" s="20"/>
      <c r="NI42" s="20"/>
      <c r="NJ42" s="20"/>
      <c r="NK42" s="20"/>
      <c r="NL42" s="20"/>
      <c r="NM42" s="20"/>
      <c r="NN42" s="20"/>
      <c r="NO42" s="20"/>
      <c r="NP42" s="20"/>
      <c r="NQ42" s="20"/>
      <c r="NR42" s="20"/>
      <c r="NS42" s="20"/>
      <c r="NT42" s="20"/>
      <c r="NU42" s="20"/>
      <c r="NV42" s="20"/>
      <c r="NW42" s="20"/>
      <c r="NX42" s="20"/>
      <c r="NY42" s="20"/>
      <c r="NZ42" s="20"/>
      <c r="OA42" s="20"/>
      <c r="OB42" s="20"/>
      <c r="OC42" s="20"/>
      <c r="OD42" s="20"/>
      <c r="OE42" s="20"/>
      <c r="OF42" s="20"/>
      <c r="OG42" s="20"/>
      <c r="OH42" s="20"/>
      <c r="OI42" s="20"/>
      <c r="OJ42" s="20"/>
      <c r="OK42" s="20"/>
      <c r="OL42" s="20"/>
      <c r="OM42" s="20"/>
      <c r="ON42" s="20"/>
      <c r="OO42" s="20"/>
      <c r="OP42" s="20"/>
      <c r="OQ42" s="20"/>
      <c r="OR42" s="20"/>
      <c r="OS42" s="20"/>
      <c r="OT42" s="20"/>
      <c r="OU42" s="20"/>
      <c r="OV42" s="20"/>
      <c r="OW42" s="20"/>
      <c r="OX42" s="20"/>
      <c r="OY42" s="20"/>
      <c r="OZ42" s="20"/>
      <c r="PA42" s="20"/>
      <c r="PB42" s="20"/>
      <c r="PC42" s="20"/>
      <c r="PD42" s="20"/>
      <c r="PE42" s="20"/>
      <c r="PF42" s="20"/>
      <c r="PG42" s="20"/>
      <c r="PH42" s="20"/>
      <c r="PI42" s="20"/>
      <c r="PJ42" s="20"/>
      <c r="PK42" s="20"/>
      <c r="PL42" s="20"/>
      <c r="PM42" s="20"/>
      <c r="PN42" s="20"/>
      <c r="PO42" s="20"/>
      <c r="PP42" s="20"/>
      <c r="PQ42" s="20"/>
      <c r="PR42" s="20"/>
      <c r="PS42" s="20"/>
      <c r="PT42" s="20"/>
      <c r="PU42" s="20"/>
      <c r="PV42" s="20"/>
      <c r="PW42" s="20"/>
      <c r="PX42" s="20"/>
      <c r="PY42" s="20"/>
      <c r="PZ42" s="20"/>
      <c r="QA42" s="20"/>
      <c r="QB42" s="20"/>
      <c r="QC42" s="20"/>
      <c r="QD42" s="20"/>
      <c r="QE42" s="20"/>
      <c r="QF42" s="20"/>
      <c r="QG42" s="20"/>
      <c r="QH42" s="20"/>
      <c r="QI42" s="20"/>
      <c r="QJ42" s="20"/>
      <c r="QK42" s="20"/>
      <c r="QL42" s="20"/>
      <c r="QM42" s="20"/>
      <c r="QN42" s="20"/>
      <c r="QO42" s="20"/>
      <c r="QP42" s="20"/>
      <c r="QQ42" s="20"/>
      <c r="QR42" s="20"/>
      <c r="QS42" s="20"/>
      <c r="QT42" s="20"/>
      <c r="QU42" s="20"/>
      <c r="QV42" s="20"/>
      <c r="QW42" s="20"/>
      <c r="QX42" s="20"/>
      <c r="QY42" s="20"/>
      <c r="QZ42" s="20"/>
      <c r="RA42" s="20"/>
      <c r="RB42" s="20"/>
      <c r="RC42" s="20"/>
      <c r="RD42" s="20"/>
      <c r="RE42" s="20"/>
      <c r="RF42" s="20"/>
      <c r="RG42" s="20"/>
      <c r="RH42" s="20"/>
      <c r="RI42" s="20"/>
      <c r="RJ42" s="20"/>
      <c r="RK42" s="20"/>
      <c r="RL42" s="20"/>
      <c r="RM42" s="20"/>
      <c r="RN42" s="20"/>
      <c r="RO42" s="20"/>
      <c r="RP42" s="20"/>
      <c r="RQ42" s="20"/>
      <c r="RR42" s="20"/>
      <c r="RS42" s="20"/>
      <c r="RT42" s="20"/>
      <c r="RU42" s="20"/>
      <c r="RV42" s="20"/>
      <c r="RW42" s="20"/>
      <c r="RX42" s="20"/>
      <c r="RY42" s="20"/>
      <c r="RZ42" s="20"/>
      <c r="SA42" s="20"/>
      <c r="SB42" s="20"/>
      <c r="SC42" s="20"/>
      <c r="SD42" s="20"/>
      <c r="SE42" s="20"/>
      <c r="SF42" s="20"/>
      <c r="SG42" s="20"/>
      <c r="SH42" s="20"/>
      <c r="SI42" s="20"/>
      <c r="SJ42" s="20"/>
      <c r="SK42" s="20"/>
      <c r="SL42" s="20"/>
      <c r="SM42" s="20"/>
      <c r="SN42" s="20"/>
      <c r="SO42" s="20"/>
      <c r="SP42" s="20"/>
      <c r="SQ42" s="20"/>
      <c r="SR42" s="20"/>
      <c r="SS42" s="20"/>
      <c r="ST42" s="20"/>
      <c r="SU42" s="20"/>
      <c r="SV42" s="20"/>
      <c r="SW42" s="20"/>
      <c r="SX42" s="20"/>
      <c r="SY42" s="20"/>
      <c r="SZ42" s="20"/>
      <c r="TA42" s="20"/>
      <c r="TB42" s="20"/>
      <c r="TC42" s="20"/>
      <c r="TD42" s="20"/>
      <c r="TE42" s="20"/>
      <c r="TF42" s="20"/>
      <c r="TG42" s="20"/>
      <c r="TH42" s="20"/>
      <c r="TI42" s="20"/>
      <c r="TJ42" s="20"/>
      <c r="TK42" s="20"/>
      <c r="TL42" s="20"/>
      <c r="TM42" s="20"/>
      <c r="TN42" s="20"/>
      <c r="TO42" s="20"/>
      <c r="TP42" s="20"/>
      <c r="TQ42" s="20"/>
      <c r="TR42" s="20"/>
      <c r="TS42" s="20"/>
      <c r="TT42" s="20"/>
      <c r="TU42" s="20"/>
      <c r="TV42" s="20"/>
      <c r="TW42" s="20"/>
      <c r="TX42" s="20"/>
      <c r="TY42" s="20"/>
      <c r="TZ42" s="20"/>
      <c r="UA42" s="20"/>
      <c r="UB42" s="20"/>
      <c r="UC42" s="20"/>
      <c r="UD42" s="20"/>
      <c r="UE42" s="20"/>
      <c r="UF42" s="20"/>
      <c r="UG42" s="20"/>
      <c r="UH42" s="20"/>
      <c r="UI42" s="20"/>
      <c r="UJ42" s="20"/>
      <c r="UK42" s="20"/>
      <c r="UL42" s="20"/>
      <c r="UM42" s="20"/>
      <c r="UN42" s="20"/>
      <c r="UO42" s="20"/>
      <c r="UP42" s="20"/>
      <c r="UQ42" s="20"/>
      <c r="UR42" s="20"/>
      <c r="US42" s="20"/>
      <c r="UT42" s="20"/>
      <c r="UU42" s="20"/>
      <c r="UV42" s="20"/>
      <c r="UW42" s="20"/>
      <c r="UX42" s="20"/>
      <c r="UY42" s="20"/>
      <c r="UZ42" s="20"/>
      <c r="VA42" s="20"/>
      <c r="VB42" s="20"/>
      <c r="VC42" s="20"/>
      <c r="VD42" s="20"/>
      <c r="VE42" s="20"/>
      <c r="VF42" s="20"/>
      <c r="VG42" s="20"/>
      <c r="VH42" s="20"/>
      <c r="VI42" s="20"/>
      <c r="VJ42" s="20"/>
      <c r="VK42" s="20"/>
      <c r="VL42" s="20"/>
      <c r="VM42" s="20"/>
      <c r="VN42" s="20"/>
      <c r="VO42" s="20"/>
      <c r="VP42" s="20"/>
      <c r="VQ42" s="20"/>
      <c r="VR42" s="20"/>
      <c r="VS42" s="20"/>
      <c r="VT42" s="20"/>
      <c r="VU42" s="20"/>
      <c r="VV42" s="20"/>
      <c r="VW42" s="20"/>
      <c r="VX42" s="20"/>
      <c r="VY42" s="20"/>
      <c r="VZ42" s="20"/>
      <c r="WA42" s="20"/>
      <c r="WB42" s="20"/>
      <c r="WC42" s="20"/>
      <c r="WD42" s="20"/>
      <c r="WE42" s="20"/>
      <c r="WF42" s="20"/>
      <c r="WG42" s="20"/>
      <c r="WH42" s="20"/>
      <c r="WI42" s="20"/>
      <c r="WJ42" s="20"/>
      <c r="WK42" s="20"/>
      <c r="WL42" s="20"/>
      <c r="WM42" s="20"/>
      <c r="WN42" s="20"/>
      <c r="WO42" s="20"/>
      <c r="WP42" s="20"/>
      <c r="WQ42" s="20"/>
      <c r="WR42" s="20"/>
      <c r="WS42" s="20"/>
      <c r="WT42" s="20"/>
      <c r="WU42" s="20"/>
      <c r="WV42" s="20"/>
      <c r="WW42" s="20"/>
      <c r="WX42" s="20"/>
      <c r="WY42" s="20"/>
      <c r="WZ42" s="20"/>
      <c r="XA42" s="20"/>
      <c r="XB42" s="20"/>
      <c r="XC42" s="20"/>
      <c r="XD42" s="20"/>
      <c r="XE42" s="20"/>
      <c r="XF42" s="20"/>
      <c r="XG42" s="20"/>
      <c r="XH42" s="20"/>
      <c r="XI42" s="20"/>
      <c r="XJ42" s="20"/>
      <c r="XK42" s="20"/>
      <c r="XL42" s="20"/>
      <c r="XM42" s="20"/>
      <c r="XN42" s="20"/>
      <c r="XO42" s="20"/>
      <c r="XP42" s="20"/>
      <c r="XQ42" s="20"/>
      <c r="XR42" s="20"/>
      <c r="XS42" s="20"/>
      <c r="XT42" s="20"/>
      <c r="XU42" s="20"/>
      <c r="XV42" s="20"/>
      <c r="XW42" s="20"/>
      <c r="XX42" s="20"/>
      <c r="XY42" s="20"/>
      <c r="XZ42" s="20"/>
      <c r="YA42" s="20"/>
      <c r="YB42" s="20"/>
      <c r="YC42" s="20"/>
      <c r="YD42" s="20"/>
      <c r="YE42" s="20"/>
      <c r="YF42" s="20"/>
      <c r="YG42" s="20"/>
      <c r="YH42" s="20"/>
      <c r="YI42" s="20"/>
      <c r="YJ42" s="20"/>
      <c r="YK42" s="20"/>
      <c r="YL42" s="20"/>
      <c r="YM42" s="20"/>
      <c r="YN42" s="20"/>
      <c r="YO42" s="20"/>
      <c r="YP42" s="20"/>
      <c r="YQ42" s="20"/>
      <c r="YR42" s="20"/>
      <c r="YS42" s="20"/>
      <c r="YT42" s="20"/>
      <c r="YU42" s="20"/>
      <c r="YV42" s="20"/>
      <c r="YW42" s="20"/>
      <c r="YX42" s="20"/>
      <c r="YY42" s="20"/>
      <c r="YZ42" s="20"/>
      <c r="ZA42" s="20"/>
      <c r="ZB42" s="20"/>
      <c r="ZC42" s="20"/>
      <c r="ZD42" s="20"/>
      <c r="ZE42" s="20"/>
      <c r="ZF42" s="20"/>
      <c r="ZG42" s="20"/>
      <c r="ZH42" s="20"/>
      <c r="ZI42" s="20"/>
      <c r="ZJ42" s="20"/>
      <c r="ZK42" s="20"/>
      <c r="ZL42" s="20"/>
      <c r="ZM42" s="20"/>
      <c r="ZN42" s="20"/>
      <c r="ZO42" s="20"/>
      <c r="ZP42" s="20"/>
      <c r="ZQ42" s="20"/>
      <c r="ZR42" s="20"/>
      <c r="ZS42" s="20"/>
      <c r="ZT42" s="20"/>
      <c r="ZU42" s="20"/>
      <c r="ZV42" s="20"/>
      <c r="ZW42" s="20"/>
      <c r="ZX42" s="20"/>
      <c r="ZY42" s="20"/>
      <c r="ZZ42" s="20"/>
      <c r="AAA42" s="20"/>
      <c r="AAB42" s="20"/>
      <c r="AAC42" s="20"/>
      <c r="AAD42" s="20"/>
      <c r="AAE42" s="20"/>
      <c r="AAF42" s="20"/>
      <c r="AAG42" s="20"/>
      <c r="AAH42" s="20"/>
      <c r="AAI42" s="20"/>
      <c r="AAJ42" s="20"/>
      <c r="AAK42" s="20"/>
      <c r="AAL42" s="20"/>
      <c r="AAM42" s="20"/>
      <c r="AAN42" s="20"/>
      <c r="AAO42" s="20"/>
      <c r="AAP42" s="20"/>
      <c r="AAQ42" s="20"/>
      <c r="AAR42" s="20"/>
      <c r="AAS42" s="20"/>
      <c r="AAT42" s="20"/>
      <c r="AAU42" s="20"/>
      <c r="AAV42" s="20"/>
      <c r="AAW42" s="20"/>
      <c r="AAX42" s="20"/>
      <c r="AAY42" s="20"/>
      <c r="AAZ42" s="20"/>
      <c r="ABA42" s="20"/>
      <c r="ABB42" s="20"/>
      <c r="ABC42" s="20"/>
      <c r="ABD42" s="20"/>
      <c r="ABE42" s="20"/>
      <c r="ABF42" s="20"/>
      <c r="ABG42" s="20"/>
      <c r="ABH42" s="20"/>
      <c r="ABI42" s="20"/>
      <c r="ABJ42" s="20"/>
      <c r="ABK42" s="20"/>
      <c r="ABL42" s="20"/>
      <c r="ABM42" s="20"/>
      <c r="ABN42" s="20"/>
      <c r="ABO42" s="20"/>
      <c r="ABP42" s="20"/>
      <c r="ABQ42" s="20"/>
      <c r="ABR42" s="20"/>
      <c r="ABS42" s="20"/>
      <c r="ABT42" s="20"/>
      <c r="ABU42" s="20"/>
      <c r="ABV42" s="20"/>
      <c r="ABW42" s="20"/>
      <c r="ABX42" s="20"/>
      <c r="ABY42" s="20"/>
      <c r="ABZ42" s="20"/>
      <c r="ACA42" s="20"/>
      <c r="ACB42" s="20"/>
      <c r="ACC42" s="20"/>
      <c r="ACD42" s="20"/>
      <c r="ACE42" s="20"/>
      <c r="ACF42" s="20"/>
      <c r="ACG42" s="20"/>
      <c r="ACH42" s="20"/>
      <c r="ACI42" s="20"/>
      <c r="ACJ42" s="20"/>
      <c r="ACK42" s="20"/>
      <c r="ACL42" s="20"/>
      <c r="ACM42" s="20"/>
      <c r="ACN42" s="20"/>
      <c r="ACO42" s="20"/>
      <c r="ACP42" s="20"/>
      <c r="ACQ42" s="20"/>
      <c r="ACR42" s="20"/>
      <c r="ACS42" s="20"/>
      <c r="ACT42" s="20"/>
      <c r="ACU42" s="20"/>
      <c r="ACV42" s="20"/>
      <c r="ACW42" s="20"/>
      <c r="ACX42" s="20"/>
      <c r="ACY42" s="20"/>
      <c r="ACZ42" s="20"/>
      <c r="ADA42" s="20"/>
      <c r="ADB42" s="20"/>
      <c r="ADC42" s="20"/>
      <c r="ADD42" s="20"/>
      <c r="ADE42" s="20"/>
      <c r="ADF42" s="20"/>
      <c r="ADG42" s="20"/>
      <c r="ADH42" s="20"/>
      <c r="ADI42" s="20"/>
      <c r="ADJ42" s="20"/>
      <c r="ADK42" s="20"/>
      <c r="ADL42" s="20"/>
      <c r="ADM42" s="20"/>
      <c r="ADN42" s="20"/>
      <c r="ADO42" s="20"/>
      <c r="ADP42" s="20"/>
      <c r="ADQ42" s="20"/>
      <c r="ADR42" s="20"/>
      <c r="ADS42" s="20"/>
      <c r="ADT42" s="20"/>
      <c r="ADU42" s="20"/>
      <c r="ADV42" s="20"/>
      <c r="ADW42" s="20"/>
      <c r="ADX42" s="20"/>
      <c r="ADY42" s="20"/>
      <c r="ADZ42" s="20"/>
      <c r="AEA42" s="20"/>
      <c r="AEB42" s="20"/>
      <c r="AEC42" s="20"/>
      <c r="AED42" s="20"/>
      <c r="AEE42" s="20"/>
      <c r="AEF42" s="20"/>
      <c r="AEG42" s="20"/>
      <c r="AEH42" s="20"/>
      <c r="AEI42" s="20"/>
      <c r="AEJ42" s="20"/>
      <c r="AEK42" s="20"/>
      <c r="AEL42" s="20"/>
      <c r="AEM42" s="20"/>
      <c r="AEN42" s="20"/>
      <c r="AEO42" s="20"/>
      <c r="AEP42" s="20"/>
      <c r="AEQ42" s="20"/>
      <c r="AER42" s="20"/>
      <c r="AES42" s="20"/>
      <c r="AET42" s="20"/>
      <c r="AEU42" s="20"/>
      <c r="AEV42" s="20"/>
      <c r="AEW42" s="20"/>
      <c r="AEX42" s="20"/>
      <c r="AEY42" s="20"/>
      <c r="AEZ42" s="20"/>
      <c r="AFA42" s="20"/>
      <c r="AFB42" s="20"/>
      <c r="AFC42" s="20"/>
      <c r="AFD42" s="20"/>
      <c r="AFE42" s="20"/>
      <c r="AFF42" s="20"/>
      <c r="AFG42" s="20"/>
      <c r="AFH42" s="20"/>
      <c r="AFI42" s="20"/>
      <c r="AFJ42" s="20"/>
      <c r="AFK42" s="20"/>
      <c r="AFL42" s="20"/>
      <c r="AFM42" s="20"/>
      <c r="AFN42" s="20"/>
      <c r="AFO42" s="20"/>
      <c r="AFP42" s="20"/>
      <c r="AFQ42" s="20"/>
      <c r="AFR42" s="20"/>
      <c r="AFS42" s="20"/>
      <c r="AFT42" s="20"/>
      <c r="AFU42" s="20"/>
      <c r="AFV42" s="20"/>
      <c r="AFW42" s="20"/>
      <c r="AFX42" s="20"/>
      <c r="AFY42" s="20"/>
      <c r="AFZ42" s="20"/>
      <c r="AGA42" s="20"/>
      <c r="AGB42" s="20"/>
      <c r="AGC42" s="20"/>
      <c r="AGD42" s="20"/>
      <c r="AGE42" s="20"/>
      <c r="AGF42" s="20"/>
      <c r="AGG42" s="20"/>
      <c r="AGH42" s="20"/>
      <c r="AGI42" s="20"/>
      <c r="AGJ42" s="20"/>
      <c r="AGK42" s="20"/>
      <c r="AGL42" s="20"/>
      <c r="AGM42" s="20"/>
      <c r="AGN42" s="20"/>
      <c r="AGO42" s="20"/>
      <c r="AGP42" s="20"/>
      <c r="AGQ42" s="20"/>
      <c r="AGR42" s="20"/>
      <c r="AGS42" s="20"/>
      <c r="AGT42" s="20"/>
      <c r="AGU42" s="20"/>
      <c r="AGV42" s="20"/>
      <c r="AGW42" s="20"/>
      <c r="AGX42" s="20"/>
      <c r="AGY42" s="20"/>
      <c r="AGZ42" s="20"/>
      <c r="AHA42" s="20"/>
      <c r="AHB42" s="20"/>
      <c r="AHC42" s="20"/>
      <c r="AHD42" s="20"/>
      <c r="AHE42" s="20"/>
      <c r="AHF42" s="20"/>
      <c r="AHG42" s="20"/>
      <c r="AHH42" s="20"/>
      <c r="AHI42" s="20"/>
      <c r="AHJ42" s="20"/>
      <c r="AHK42" s="20"/>
      <c r="AHL42" s="20"/>
      <c r="AHM42" s="20"/>
      <c r="AHN42" s="20"/>
      <c r="AHO42" s="20"/>
      <c r="AHP42" s="20"/>
      <c r="AHQ42" s="20"/>
      <c r="AHR42" s="20"/>
      <c r="AHS42" s="20"/>
      <c r="AHT42" s="20"/>
      <c r="AHU42" s="20"/>
      <c r="AHV42" s="20"/>
      <c r="AHW42" s="20"/>
      <c r="AHX42" s="20"/>
      <c r="AHY42" s="20"/>
      <c r="AHZ42" s="20"/>
      <c r="AIA42" s="20"/>
      <c r="AIB42" s="20"/>
      <c r="AIC42" s="20"/>
      <c r="AID42" s="20"/>
      <c r="AIE42" s="20"/>
      <c r="AIF42" s="20"/>
      <c r="AIG42" s="20"/>
      <c r="AIH42" s="20"/>
      <c r="AII42" s="20"/>
      <c r="AIJ42" s="20"/>
      <c r="AIK42" s="20"/>
      <c r="AIL42" s="20"/>
      <c r="AIM42" s="20"/>
      <c r="AIN42" s="20"/>
      <c r="AIO42" s="20"/>
      <c r="AIP42" s="20"/>
      <c r="AIQ42" s="20"/>
      <c r="AIR42" s="20"/>
      <c r="AIS42" s="20"/>
      <c r="AIT42" s="20"/>
      <c r="AIU42" s="20"/>
      <c r="AIV42" s="20"/>
      <c r="AIW42" s="20"/>
      <c r="AIX42" s="20"/>
      <c r="AIY42" s="20"/>
      <c r="AIZ42" s="20"/>
      <c r="AJA42" s="20"/>
      <c r="AJB42" s="20"/>
      <c r="AJC42" s="20"/>
      <c r="AJD42" s="20"/>
      <c r="AJE42" s="20"/>
      <c r="AJF42" s="20"/>
      <c r="AJG42" s="20"/>
      <c r="AJH42" s="20"/>
      <c r="AJI42" s="20"/>
      <c r="AJJ42" s="20"/>
      <c r="AJK42" s="20"/>
      <c r="AJL42" s="20"/>
      <c r="AJM42" s="20"/>
      <c r="AJN42" s="20"/>
      <c r="AJO42" s="20"/>
      <c r="AJP42" s="20"/>
      <c r="AJQ42" s="20"/>
      <c r="AJR42" s="20"/>
      <c r="AJS42" s="20"/>
      <c r="AJT42" s="20"/>
      <c r="AJU42" s="20"/>
      <c r="AJV42" s="20"/>
      <c r="AJW42" s="20"/>
      <c r="AJX42" s="20"/>
      <c r="AJY42" s="20"/>
      <c r="AJZ42" s="20"/>
      <c r="AKA42" s="20"/>
      <c r="AKB42" s="20"/>
      <c r="AKC42" s="20"/>
      <c r="AKD42" s="20"/>
      <c r="AKE42" s="20"/>
      <c r="AKF42" s="20"/>
      <c r="AKG42" s="20"/>
      <c r="AKH42" s="20"/>
      <c r="AKI42" s="20"/>
      <c r="AKJ42" s="20"/>
      <c r="AKK42" s="20"/>
      <c r="AKL42" s="20"/>
      <c r="AKM42" s="20"/>
      <c r="AKN42" s="20"/>
      <c r="AKO42" s="20"/>
      <c r="AKP42" s="20"/>
      <c r="AKQ42" s="20"/>
      <c r="AKR42" s="20"/>
      <c r="AKS42" s="20"/>
      <c r="AKT42" s="20"/>
      <c r="AKU42" s="20"/>
      <c r="AKV42" s="20"/>
      <c r="AKW42" s="20"/>
      <c r="AKX42" s="20"/>
      <c r="AKY42" s="20"/>
      <c r="AKZ42" s="20"/>
      <c r="ALA42" s="20"/>
      <c r="ALB42" s="20"/>
      <c r="ALC42" s="20"/>
      <c r="ALD42" s="20"/>
      <c r="ALE42" s="20"/>
      <c r="ALF42" s="20"/>
      <c r="ALG42" s="20"/>
      <c r="ALH42" s="20"/>
      <c r="ALI42" s="20"/>
      <c r="ALJ42" s="20"/>
      <c r="ALK42" s="20"/>
      <c r="ALL42" s="20"/>
      <c r="ALM42" s="20"/>
      <c r="ALN42" s="20"/>
      <c r="ALO42" s="20"/>
      <c r="ALP42" s="20"/>
      <c r="ALQ42" s="20"/>
      <c r="ALR42" s="20"/>
      <c r="ALS42" s="20"/>
      <c r="ALT42" s="20"/>
      <c r="ALU42" s="20"/>
      <c r="ALV42" s="20"/>
      <c r="ALW42" s="20"/>
      <c r="ALX42" s="20"/>
      <c r="ALY42" s="20"/>
      <c r="ALZ42" s="20"/>
      <c r="AMA42" s="20"/>
      <c r="AMB42" s="20"/>
      <c r="AMC42" s="20"/>
      <c r="AMD42" s="20"/>
      <c r="AME42" s="20"/>
      <c r="AMF42" s="20"/>
      <c r="AMG42" s="20"/>
      <c r="AMH42" s="20"/>
      <c r="AMI42" s="20"/>
      <c r="AMJ42" s="20"/>
    </row>
    <row r="43" customFormat="false" ht="13.8" hidden="false" customHeight="false" outlineLevel="0" collapsed="false">
      <c r="A43" s="1" t="s">
        <v>304</v>
      </c>
      <c r="B43" s="1" t="s">
        <v>305</v>
      </c>
      <c r="C43" s="1" t="n">
        <v>106</v>
      </c>
      <c r="D43" s="1" t="n">
        <v>105</v>
      </c>
      <c r="E43" s="1" t="n">
        <v>1106</v>
      </c>
      <c r="F43" s="1" t="s">
        <v>89</v>
      </c>
      <c r="G43" s="1" t="s">
        <v>256</v>
      </c>
      <c r="H43" s="1" t="s">
        <v>293</v>
      </c>
      <c r="I43" s="1" t="s">
        <v>92</v>
      </c>
      <c r="J43" s="20" t="n">
        <v>2018</v>
      </c>
      <c r="K43" s="20"/>
      <c r="L43" s="20"/>
      <c r="M43" s="20"/>
      <c r="N43" s="20"/>
      <c r="O43" s="21"/>
      <c r="P43" s="22"/>
      <c r="Q43" s="22"/>
      <c r="R43" s="22"/>
      <c r="S43" s="22"/>
      <c r="T43" s="22"/>
      <c r="U43" s="22"/>
      <c r="V43" s="22"/>
      <c r="W43" s="20" t="n">
        <v>43</v>
      </c>
      <c r="X43" s="21"/>
      <c r="Y43" s="20" t="n">
        <v>3</v>
      </c>
      <c r="Z43" s="20"/>
      <c r="AA43" s="24" t="str">
        <f aca="false">IF(AND(W43&gt;0,Z43&gt;0),(Z43/((W43+X43)*10)),"")</f>
        <v/>
      </c>
      <c r="AB43" s="20" t="n">
        <v>125</v>
      </c>
      <c r="AC43" s="20" t="n">
        <f aca="false">ROUND(AB43*1.6, 0)</f>
        <v>200</v>
      </c>
      <c r="AD43" s="20"/>
      <c r="AE43" s="20"/>
      <c r="AF43" s="20" t="n">
        <v>22.2</v>
      </c>
      <c r="AG43" s="20" t="n">
        <v>22</v>
      </c>
      <c r="AH43" s="20" t="n">
        <v>2.75</v>
      </c>
      <c r="AI43" s="20" t="n">
        <v>3.79</v>
      </c>
      <c r="AJ43" s="25" t="n">
        <v>30</v>
      </c>
      <c r="AK43" s="20" t="str">
        <f aca="false">CONCATENATE(VLOOKUP(AL43, '[1]Voxel Sizes'!$A$2:$B$18,2,FALSE()),"x",INT(AH43*15), "x", INT(AI43*15))</f>
        <v>214x41x56</v>
      </c>
      <c r="AL43" s="20" t="n">
        <f aca="false">ROUND(15*((AG43*10)/256),0)</f>
        <v>13</v>
      </c>
      <c r="AM43" s="20"/>
      <c r="AN43" s="1" t="str">
        <f aca="false">CONCATENATE(VLOOKUP(AL43,Constants!$A$2:$C$16,IF(AM43&lt;&gt;"", 3, 2), FALSE()),IF(AM43&lt;&gt;"",CONCATENATE(",",VLOOKUP(AM43,$B:$AN,38,FALSE())),""))</f>
        <v>4,5,4</v>
      </c>
      <c r="AO43" s="20"/>
      <c r="AP43" s="26"/>
      <c r="AQ43" s="26"/>
      <c r="AR43" s="20"/>
      <c r="AS43" s="20"/>
      <c r="AT43" s="20"/>
      <c r="AU43" s="20"/>
      <c r="AV43" s="20"/>
      <c r="AW43" s="1" t="s">
        <v>306</v>
      </c>
      <c r="AX43" s="20" t="n">
        <v>30</v>
      </c>
      <c r="AY43" s="27" t="str">
        <f aca="false">IF(L43&lt;&gt;"",MAX(16,(L43-J43)+8),"")</f>
        <v/>
      </c>
      <c r="AZ43" s="20" t="n">
        <v>1150</v>
      </c>
      <c r="BA43" s="20" t="n">
        <v>150</v>
      </c>
      <c r="BB43" s="20" t="n">
        <f aca="false">MIN(AB43/150, 1)*30</f>
        <v>25</v>
      </c>
      <c r="BC43" s="20" t="n">
        <f aca="false">MIN(N43/4000, 1)*20</f>
        <v>0</v>
      </c>
      <c r="BD43" s="20" t="n">
        <f aca="false">MIN(Z43/400,1)*20</f>
        <v>0</v>
      </c>
      <c r="BE43" s="24" t="n">
        <f aca="false">1-(MAX(J43-1900, 0)/750)</f>
        <v>0.842666666666667</v>
      </c>
      <c r="BF43" s="20" t="n">
        <f aca="false">((MAX($M43,1)*MIN($AJ43/300,1)))*IF(G43="Wagon",50,10)</f>
        <v>5</v>
      </c>
      <c r="BG43" s="20" t="n">
        <f aca="false">VLOOKUP($H43,Constants!$I:$K, 2, FALSE())</f>
        <v>1.2</v>
      </c>
      <c r="BH43" s="20" t="n">
        <f aca="false">VLOOKUP($H43,Constants!$I:$K, 3, FALSE())*IF(AND(G43="multiple_unit",AB43&lt;110),0.75,1)</f>
        <v>0.6</v>
      </c>
      <c r="BI43" s="20" t="n">
        <f aca="false">INT(POWER(((Constants!$G$2+$BB43+$BC43+$BD43+$BF43)*$BE43)*$BH43, 1.05))+$BA43</f>
        <v>170</v>
      </c>
      <c r="BJ43" s="20" t="n">
        <f aca="false">INT(POWER((((Constants!$G$1+$BB43+$BC43+$BD43+$BF43)*($BE43))*$BG43),IF($G43="wagon",1,1.2)))+$AZ43</f>
        <v>1195</v>
      </c>
      <c r="BK43" s="33" t="n">
        <f aca="false">BI43*IF($G43="wagon",62.5,781.25)</f>
        <v>10625</v>
      </c>
      <c r="BL43" s="33" t="n">
        <f aca="false">BJ43*IF($G43="wagon",2.73,81.25)</f>
        <v>3262.35</v>
      </c>
      <c r="BM43" s="20"/>
      <c r="BN43" s="20"/>
      <c r="BO43" s="20"/>
      <c r="BP43" s="20"/>
      <c r="BQ43" s="20"/>
      <c r="BR43" s="20"/>
      <c r="BS43" s="20"/>
      <c r="BT43" s="20" t="n">
        <v>2</v>
      </c>
      <c r="BU43" s="20" t="n">
        <v>222</v>
      </c>
      <c r="BV43" s="20" t="s">
        <v>288</v>
      </c>
      <c r="BW43" s="20"/>
      <c r="BX43" s="20" t="s">
        <v>104</v>
      </c>
      <c r="BY43" s="20" t="str">
        <f aca="false">VLOOKUP(J43,Eras!$A$2:$C$10, 2, TRUE())</f>
        <v>mod</v>
      </c>
      <c r="BZ43" s="19" t="s">
        <v>289</v>
      </c>
      <c r="CA43" s="20" t="str">
        <f aca="false">CONCATENATE(BY43,"_",BZ43)</f>
        <v>mod_Carriage</v>
      </c>
      <c r="CB43" s="20" t="str">
        <f aca="false">_xlfn.CONCAT(H43, "_",I43)</f>
        <v>carriage_RAIL</v>
      </c>
      <c r="CC43" s="32" t="str">
        <f aca="false" t="array" ref="CC43:CC43">_xlfn.CONCAT("{BLACK}Length: {GOLD}", TEXT(ROUNDUP(IF(AQ43&lt;&gt;"",SUM(VALUE(_xlfn.TEXTSPLIT(AQ43, ","))), SUM(VALUE(_xlfn.TEXTSPLIT(AN43, ",")))*IF(M43, M43, 1))/16, 1), "#,##0.0"), " tiles{}")</f>
        <v>{BLACK}Length: {GOLD}0.9 tiles{}</v>
      </c>
      <c r="CD43" s="20" t="str">
        <f aca="false">VLOOKUP($CB43, [1]Constants!$M$1:$N$1048576, 2, FALSE())</f>
        <v/>
      </c>
      <c r="CE43" s="20" t="str">
        <f aca="false">IF(M43&gt;1,_xlfn.CONCAT("{BLACK}Cars: {GOLD}", M43),"")</f>
        <v/>
      </c>
      <c r="CF43" s="20" t="s">
        <v>307</v>
      </c>
      <c r="CG43" s="20" t="str">
        <f aca="false">IF(BW43="buffet","{YELLOW}25% long distance bonus for consist{}",IF(BY43="BRAKE","{YELLOW}Speed bonus for slow wagons{}",IF(BU43&gt;190,CONCATENATE("{YELLOW}",INT((BU43-185)/1.85),"% bonus for long distance travel{}"),IF(AND(BU43&lt;180,BU43&lt;&gt;0),CONCATENATE("{YELLOW}",INT((185-BU43)/1.85),"% penalty for long distance travel{}"),""))))</f>
        <v>{YELLOW}20% bonus for long distance travel{}</v>
      </c>
      <c r="CH43" s="1" t="str">
        <f aca="false">_xlfn.CONCAT(CD43,IF(CD43 &lt;&gt; "", " ", ""),CE43,IF(OR(CE43&lt;&gt;"", CD43&lt;&gt;""), "{}",""), CC43, CG43,"{SILVER}", CF43)</f>
        <v>{BLACK}Length: {GOLD}0.9 tiles{}{YELLOW}20% bonus for long distance travel{}{SILVER}Mk5 sleeper services make up for their pathetic berth count with conventional seated stock, featuring a 2+1 airline style seating and not enough recline in the seats.</v>
      </c>
      <c r="CI43" s="20"/>
      <c r="CJ43" s="1"/>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c r="FM43" s="20"/>
      <c r="FN43" s="20"/>
      <c r="FO43" s="20"/>
      <c r="FP43" s="20"/>
      <c r="FQ43" s="20"/>
      <c r="FR43" s="20"/>
      <c r="FS43" s="20"/>
      <c r="FT43" s="20"/>
      <c r="FU43" s="20"/>
      <c r="FV43" s="20"/>
      <c r="FW43" s="20"/>
      <c r="FX43" s="20"/>
      <c r="FY43" s="20"/>
      <c r="FZ43" s="20"/>
      <c r="GA43" s="20"/>
      <c r="GB43" s="20"/>
      <c r="GC43" s="20"/>
      <c r="GD43" s="20"/>
      <c r="GE43" s="20"/>
      <c r="GF43" s="20"/>
      <c r="GG43" s="20"/>
      <c r="GH43" s="20"/>
      <c r="GI43" s="20"/>
      <c r="GJ43" s="20"/>
      <c r="GK43" s="20"/>
      <c r="GL43" s="20"/>
      <c r="GM43" s="20"/>
      <c r="GN43" s="20"/>
      <c r="GO43" s="20"/>
      <c r="GP43" s="20"/>
      <c r="GQ43" s="20"/>
      <c r="GR43" s="20"/>
      <c r="GS43" s="20"/>
      <c r="GT43" s="20"/>
      <c r="GU43" s="20"/>
      <c r="GV43" s="20"/>
      <c r="GW43" s="20"/>
      <c r="GX43" s="20"/>
      <c r="GY43" s="20"/>
      <c r="GZ43" s="20"/>
      <c r="HA43" s="20"/>
      <c r="HB43" s="20"/>
      <c r="HC43" s="20"/>
      <c r="HD43" s="20"/>
      <c r="HE43" s="20"/>
      <c r="HF43" s="20"/>
      <c r="HG43" s="20"/>
      <c r="HH43" s="20"/>
      <c r="HI43" s="20"/>
      <c r="HJ43" s="20"/>
      <c r="HK43" s="20"/>
      <c r="HL43" s="20"/>
      <c r="HM43" s="20"/>
      <c r="HN43" s="20"/>
      <c r="HO43" s="20"/>
      <c r="HP43" s="20"/>
      <c r="HQ43" s="20"/>
      <c r="HR43" s="20"/>
      <c r="HS43" s="20"/>
      <c r="HT43" s="20"/>
      <c r="HU43" s="20"/>
      <c r="HV43" s="20"/>
      <c r="HW43" s="20"/>
      <c r="HX43" s="20"/>
      <c r="HY43" s="20"/>
      <c r="HZ43" s="20"/>
      <c r="IA43" s="20"/>
      <c r="IB43" s="20"/>
      <c r="IC43" s="20"/>
      <c r="ID43" s="20"/>
      <c r="IE43" s="20"/>
      <c r="IF43" s="20"/>
      <c r="IG43" s="20"/>
      <c r="IH43" s="20"/>
      <c r="II43" s="20"/>
      <c r="IJ43" s="20"/>
      <c r="IK43" s="20"/>
      <c r="IL43" s="20"/>
      <c r="IM43" s="20"/>
      <c r="IN43" s="20"/>
      <c r="IO43" s="20"/>
      <c r="IP43" s="20"/>
      <c r="IQ43" s="20"/>
      <c r="IR43" s="20"/>
      <c r="IS43" s="20"/>
      <c r="IT43" s="20"/>
      <c r="IU43" s="20"/>
      <c r="IV43" s="20"/>
      <c r="IW43" s="20"/>
      <c r="IX43" s="20"/>
      <c r="IY43" s="20"/>
      <c r="IZ43" s="20"/>
      <c r="JA43" s="20"/>
      <c r="JB43" s="20"/>
      <c r="JC43" s="20"/>
      <c r="JD43" s="20"/>
      <c r="JE43" s="20"/>
      <c r="JF43" s="20"/>
      <c r="JG43" s="20"/>
      <c r="JH43" s="20"/>
      <c r="JI43" s="20"/>
      <c r="JJ43" s="20"/>
      <c r="JK43" s="20"/>
      <c r="JL43" s="20"/>
      <c r="JM43" s="20"/>
      <c r="JN43" s="20"/>
      <c r="JO43" s="20"/>
      <c r="JP43" s="20"/>
      <c r="JQ43" s="20"/>
      <c r="JR43" s="20"/>
      <c r="JS43" s="20"/>
      <c r="JT43" s="20"/>
      <c r="JU43" s="20"/>
      <c r="JV43" s="20"/>
      <c r="JW43" s="20"/>
      <c r="JX43" s="20"/>
      <c r="JY43" s="20"/>
      <c r="JZ43" s="20"/>
      <c r="KA43" s="20"/>
      <c r="KB43" s="20"/>
      <c r="KC43" s="20"/>
      <c r="KD43" s="20"/>
      <c r="KE43" s="20"/>
      <c r="KF43" s="20"/>
      <c r="KG43" s="20"/>
      <c r="KH43" s="20"/>
      <c r="KI43" s="20"/>
      <c r="KJ43" s="20"/>
      <c r="KK43" s="20"/>
      <c r="KL43" s="20"/>
      <c r="KM43" s="20"/>
      <c r="KN43" s="20"/>
      <c r="KO43" s="20"/>
      <c r="KP43" s="20"/>
      <c r="KQ43" s="20"/>
      <c r="KR43" s="20"/>
      <c r="KS43" s="20"/>
      <c r="KT43" s="20"/>
      <c r="KU43" s="20"/>
      <c r="KV43" s="20"/>
      <c r="KW43" s="20"/>
      <c r="KX43" s="20"/>
      <c r="KY43" s="20"/>
      <c r="KZ43" s="20"/>
      <c r="LA43" s="20"/>
      <c r="LB43" s="20"/>
      <c r="LC43" s="20"/>
      <c r="LD43" s="20"/>
      <c r="LE43" s="20"/>
      <c r="LF43" s="20"/>
      <c r="LG43" s="20"/>
      <c r="LH43" s="20"/>
      <c r="LI43" s="20"/>
      <c r="LJ43" s="20"/>
      <c r="LK43" s="20"/>
      <c r="LL43" s="20"/>
      <c r="LM43" s="20"/>
      <c r="LN43" s="20"/>
      <c r="LO43" s="20"/>
      <c r="LP43" s="20"/>
      <c r="LQ43" s="20"/>
      <c r="LR43" s="20"/>
      <c r="LS43" s="20"/>
      <c r="LT43" s="20"/>
      <c r="LU43" s="20"/>
      <c r="LV43" s="20"/>
      <c r="LW43" s="20"/>
      <c r="LX43" s="20"/>
      <c r="LY43" s="20"/>
      <c r="LZ43" s="20"/>
      <c r="MA43" s="20"/>
      <c r="MB43" s="20"/>
      <c r="MC43" s="20"/>
      <c r="MD43" s="20"/>
      <c r="ME43" s="20"/>
      <c r="MF43" s="20"/>
      <c r="MG43" s="20"/>
      <c r="MH43" s="20"/>
      <c r="MI43" s="20"/>
      <c r="MJ43" s="20"/>
      <c r="MK43" s="20"/>
      <c r="ML43" s="20"/>
      <c r="MM43" s="20"/>
      <c r="MN43" s="20"/>
      <c r="MO43" s="20"/>
      <c r="MP43" s="20"/>
      <c r="MQ43" s="20"/>
      <c r="MR43" s="20"/>
      <c r="MS43" s="20"/>
      <c r="MT43" s="20"/>
      <c r="MU43" s="20"/>
      <c r="MV43" s="20"/>
      <c r="MW43" s="20"/>
      <c r="MX43" s="20"/>
      <c r="MY43" s="20"/>
      <c r="MZ43" s="20"/>
      <c r="NA43" s="20"/>
      <c r="NB43" s="20"/>
      <c r="NC43" s="20"/>
      <c r="ND43" s="20"/>
      <c r="NE43" s="20"/>
      <c r="NF43" s="20"/>
      <c r="NG43" s="20"/>
      <c r="NH43" s="20"/>
      <c r="NI43" s="20"/>
      <c r="NJ43" s="20"/>
      <c r="NK43" s="20"/>
      <c r="NL43" s="20"/>
      <c r="NM43" s="20"/>
      <c r="NN43" s="20"/>
      <c r="NO43" s="20"/>
      <c r="NP43" s="20"/>
      <c r="NQ43" s="20"/>
      <c r="NR43" s="20"/>
      <c r="NS43" s="20"/>
      <c r="NT43" s="20"/>
      <c r="NU43" s="20"/>
      <c r="NV43" s="20"/>
      <c r="NW43" s="20"/>
      <c r="NX43" s="20"/>
      <c r="NY43" s="20"/>
      <c r="NZ43" s="20"/>
      <c r="OA43" s="20"/>
      <c r="OB43" s="20"/>
      <c r="OC43" s="20"/>
      <c r="OD43" s="20"/>
      <c r="OE43" s="20"/>
      <c r="OF43" s="20"/>
      <c r="OG43" s="20"/>
      <c r="OH43" s="20"/>
      <c r="OI43" s="20"/>
      <c r="OJ43" s="20"/>
      <c r="OK43" s="20"/>
      <c r="OL43" s="20"/>
      <c r="OM43" s="20"/>
      <c r="ON43" s="20"/>
      <c r="OO43" s="20"/>
      <c r="OP43" s="20"/>
      <c r="OQ43" s="20"/>
      <c r="OR43" s="20"/>
      <c r="OS43" s="20"/>
      <c r="OT43" s="20"/>
      <c r="OU43" s="20"/>
      <c r="OV43" s="20"/>
      <c r="OW43" s="20"/>
      <c r="OX43" s="20"/>
      <c r="OY43" s="20"/>
      <c r="OZ43" s="20"/>
      <c r="PA43" s="20"/>
      <c r="PB43" s="20"/>
      <c r="PC43" s="20"/>
      <c r="PD43" s="20"/>
      <c r="PE43" s="20"/>
      <c r="PF43" s="20"/>
      <c r="PG43" s="20"/>
      <c r="PH43" s="20"/>
      <c r="PI43" s="20"/>
      <c r="PJ43" s="20"/>
      <c r="PK43" s="20"/>
      <c r="PL43" s="20"/>
      <c r="PM43" s="20"/>
      <c r="PN43" s="20"/>
      <c r="PO43" s="20"/>
      <c r="PP43" s="20"/>
      <c r="PQ43" s="20"/>
      <c r="PR43" s="20"/>
      <c r="PS43" s="20"/>
      <c r="PT43" s="20"/>
      <c r="PU43" s="20"/>
      <c r="PV43" s="20"/>
      <c r="PW43" s="20"/>
      <c r="PX43" s="20"/>
      <c r="PY43" s="20"/>
      <c r="PZ43" s="20"/>
      <c r="QA43" s="20"/>
      <c r="QB43" s="20"/>
      <c r="QC43" s="20"/>
      <c r="QD43" s="20"/>
      <c r="QE43" s="20"/>
      <c r="QF43" s="20"/>
      <c r="QG43" s="20"/>
      <c r="QH43" s="20"/>
      <c r="QI43" s="20"/>
      <c r="QJ43" s="20"/>
      <c r="QK43" s="20"/>
      <c r="QL43" s="20"/>
      <c r="QM43" s="20"/>
      <c r="QN43" s="20"/>
      <c r="QO43" s="20"/>
      <c r="QP43" s="20"/>
      <c r="QQ43" s="20"/>
      <c r="QR43" s="20"/>
      <c r="QS43" s="20"/>
      <c r="QT43" s="20"/>
      <c r="QU43" s="20"/>
      <c r="QV43" s="20"/>
      <c r="QW43" s="20"/>
      <c r="QX43" s="20"/>
      <c r="QY43" s="20"/>
      <c r="QZ43" s="20"/>
      <c r="RA43" s="20"/>
      <c r="RB43" s="20"/>
      <c r="RC43" s="20"/>
      <c r="RD43" s="20"/>
      <c r="RE43" s="20"/>
      <c r="RF43" s="20"/>
      <c r="RG43" s="20"/>
      <c r="RH43" s="20"/>
      <c r="RI43" s="20"/>
      <c r="RJ43" s="20"/>
      <c r="RK43" s="20"/>
      <c r="RL43" s="20"/>
      <c r="RM43" s="20"/>
      <c r="RN43" s="20"/>
      <c r="RO43" s="20"/>
      <c r="RP43" s="20"/>
      <c r="RQ43" s="20"/>
      <c r="RR43" s="20"/>
      <c r="RS43" s="20"/>
      <c r="RT43" s="20"/>
      <c r="RU43" s="20"/>
      <c r="RV43" s="20"/>
      <c r="RW43" s="20"/>
      <c r="RX43" s="20"/>
      <c r="RY43" s="20"/>
      <c r="RZ43" s="20"/>
      <c r="SA43" s="20"/>
      <c r="SB43" s="20"/>
      <c r="SC43" s="20"/>
      <c r="SD43" s="20"/>
      <c r="SE43" s="20"/>
      <c r="SF43" s="20"/>
      <c r="SG43" s="20"/>
      <c r="SH43" s="20"/>
      <c r="SI43" s="20"/>
      <c r="SJ43" s="20"/>
      <c r="SK43" s="20"/>
      <c r="SL43" s="20"/>
      <c r="SM43" s="20"/>
      <c r="SN43" s="20"/>
      <c r="SO43" s="20"/>
      <c r="SP43" s="20"/>
      <c r="SQ43" s="20"/>
      <c r="SR43" s="20"/>
      <c r="SS43" s="20"/>
      <c r="ST43" s="20"/>
      <c r="SU43" s="20"/>
      <c r="SV43" s="20"/>
      <c r="SW43" s="20"/>
      <c r="SX43" s="20"/>
      <c r="SY43" s="20"/>
      <c r="SZ43" s="20"/>
      <c r="TA43" s="20"/>
      <c r="TB43" s="20"/>
      <c r="TC43" s="20"/>
      <c r="TD43" s="20"/>
      <c r="TE43" s="20"/>
      <c r="TF43" s="20"/>
      <c r="TG43" s="20"/>
      <c r="TH43" s="20"/>
      <c r="TI43" s="20"/>
      <c r="TJ43" s="20"/>
      <c r="TK43" s="20"/>
      <c r="TL43" s="20"/>
      <c r="TM43" s="20"/>
      <c r="TN43" s="20"/>
      <c r="TO43" s="20"/>
      <c r="TP43" s="20"/>
      <c r="TQ43" s="20"/>
      <c r="TR43" s="20"/>
      <c r="TS43" s="20"/>
      <c r="TT43" s="20"/>
      <c r="TU43" s="20"/>
      <c r="TV43" s="20"/>
      <c r="TW43" s="20"/>
      <c r="TX43" s="20"/>
      <c r="TY43" s="20"/>
      <c r="TZ43" s="20"/>
      <c r="UA43" s="20"/>
      <c r="UB43" s="20"/>
      <c r="UC43" s="20"/>
      <c r="UD43" s="20"/>
      <c r="UE43" s="20"/>
      <c r="UF43" s="20"/>
      <c r="UG43" s="20"/>
      <c r="UH43" s="20"/>
      <c r="UI43" s="20"/>
      <c r="UJ43" s="20"/>
      <c r="UK43" s="20"/>
      <c r="UL43" s="20"/>
      <c r="UM43" s="20"/>
      <c r="UN43" s="20"/>
      <c r="UO43" s="20"/>
      <c r="UP43" s="20"/>
      <c r="UQ43" s="20"/>
      <c r="UR43" s="20"/>
      <c r="US43" s="20"/>
      <c r="UT43" s="20"/>
      <c r="UU43" s="20"/>
      <c r="UV43" s="20"/>
      <c r="UW43" s="20"/>
      <c r="UX43" s="20"/>
      <c r="UY43" s="20"/>
      <c r="UZ43" s="20"/>
      <c r="VA43" s="20"/>
      <c r="VB43" s="20"/>
      <c r="VC43" s="20"/>
      <c r="VD43" s="20"/>
      <c r="VE43" s="20"/>
      <c r="VF43" s="20"/>
      <c r="VG43" s="20"/>
      <c r="VH43" s="20"/>
      <c r="VI43" s="20"/>
      <c r="VJ43" s="20"/>
      <c r="VK43" s="20"/>
      <c r="VL43" s="20"/>
      <c r="VM43" s="20"/>
      <c r="VN43" s="20"/>
      <c r="VO43" s="20"/>
      <c r="VP43" s="20"/>
      <c r="VQ43" s="20"/>
      <c r="VR43" s="20"/>
      <c r="VS43" s="20"/>
      <c r="VT43" s="20"/>
      <c r="VU43" s="20"/>
      <c r="VV43" s="20"/>
      <c r="VW43" s="20"/>
      <c r="VX43" s="20"/>
      <c r="VY43" s="20"/>
      <c r="VZ43" s="20"/>
      <c r="WA43" s="20"/>
      <c r="WB43" s="20"/>
      <c r="WC43" s="20"/>
      <c r="WD43" s="20"/>
      <c r="WE43" s="20"/>
      <c r="WF43" s="20"/>
      <c r="WG43" s="20"/>
      <c r="WH43" s="20"/>
      <c r="WI43" s="20"/>
      <c r="WJ43" s="20"/>
      <c r="WK43" s="20"/>
      <c r="WL43" s="20"/>
      <c r="WM43" s="20"/>
      <c r="WN43" s="20"/>
      <c r="WO43" s="20"/>
      <c r="WP43" s="20"/>
      <c r="WQ43" s="20"/>
      <c r="WR43" s="20"/>
      <c r="WS43" s="20"/>
      <c r="WT43" s="20"/>
      <c r="WU43" s="20"/>
      <c r="WV43" s="20"/>
      <c r="WW43" s="20"/>
      <c r="WX43" s="20"/>
      <c r="WY43" s="20"/>
      <c r="WZ43" s="20"/>
      <c r="XA43" s="20"/>
      <c r="XB43" s="20"/>
      <c r="XC43" s="20"/>
      <c r="XD43" s="20"/>
      <c r="XE43" s="20"/>
      <c r="XF43" s="20"/>
      <c r="XG43" s="20"/>
      <c r="XH43" s="20"/>
      <c r="XI43" s="20"/>
      <c r="XJ43" s="20"/>
      <c r="XK43" s="20"/>
      <c r="XL43" s="20"/>
      <c r="XM43" s="20"/>
      <c r="XN43" s="20"/>
      <c r="XO43" s="20"/>
      <c r="XP43" s="20"/>
      <c r="XQ43" s="20"/>
      <c r="XR43" s="20"/>
      <c r="XS43" s="20"/>
      <c r="XT43" s="20"/>
      <c r="XU43" s="20"/>
      <c r="XV43" s="20"/>
      <c r="XW43" s="20"/>
      <c r="XX43" s="20"/>
      <c r="XY43" s="20"/>
      <c r="XZ43" s="20"/>
      <c r="YA43" s="20"/>
      <c r="YB43" s="20"/>
      <c r="YC43" s="20"/>
      <c r="YD43" s="20"/>
      <c r="YE43" s="20"/>
      <c r="YF43" s="20"/>
      <c r="YG43" s="20"/>
      <c r="YH43" s="20"/>
      <c r="YI43" s="20"/>
      <c r="YJ43" s="20"/>
      <c r="YK43" s="20"/>
      <c r="YL43" s="20"/>
      <c r="YM43" s="20"/>
      <c r="YN43" s="20"/>
      <c r="YO43" s="20"/>
      <c r="YP43" s="20"/>
      <c r="YQ43" s="20"/>
      <c r="YR43" s="20"/>
      <c r="YS43" s="20"/>
      <c r="YT43" s="20"/>
      <c r="YU43" s="20"/>
      <c r="YV43" s="20"/>
      <c r="YW43" s="20"/>
      <c r="YX43" s="20"/>
      <c r="YY43" s="20"/>
      <c r="YZ43" s="20"/>
      <c r="ZA43" s="20"/>
      <c r="ZB43" s="20"/>
      <c r="ZC43" s="20"/>
      <c r="ZD43" s="20"/>
      <c r="ZE43" s="20"/>
      <c r="ZF43" s="20"/>
      <c r="ZG43" s="20"/>
      <c r="ZH43" s="20"/>
      <c r="ZI43" s="20"/>
      <c r="ZJ43" s="20"/>
      <c r="ZK43" s="20"/>
      <c r="ZL43" s="20"/>
      <c r="ZM43" s="20"/>
      <c r="ZN43" s="20"/>
      <c r="ZO43" s="20"/>
      <c r="ZP43" s="20"/>
      <c r="ZQ43" s="20"/>
      <c r="ZR43" s="20"/>
      <c r="ZS43" s="20"/>
      <c r="ZT43" s="20"/>
      <c r="ZU43" s="20"/>
      <c r="ZV43" s="20"/>
      <c r="ZW43" s="20"/>
      <c r="ZX43" s="20"/>
      <c r="ZY43" s="20"/>
      <c r="ZZ43" s="20"/>
      <c r="AAA43" s="20"/>
      <c r="AAB43" s="20"/>
      <c r="AAC43" s="20"/>
      <c r="AAD43" s="20"/>
      <c r="AAE43" s="20"/>
      <c r="AAF43" s="20"/>
      <c r="AAG43" s="20"/>
      <c r="AAH43" s="20"/>
      <c r="AAI43" s="20"/>
      <c r="AAJ43" s="20"/>
      <c r="AAK43" s="20"/>
      <c r="AAL43" s="20"/>
      <c r="AAM43" s="20"/>
      <c r="AAN43" s="20"/>
      <c r="AAO43" s="20"/>
      <c r="AAP43" s="20"/>
      <c r="AAQ43" s="20"/>
      <c r="AAR43" s="20"/>
      <c r="AAS43" s="20"/>
      <c r="AAT43" s="20"/>
      <c r="AAU43" s="20"/>
      <c r="AAV43" s="20"/>
      <c r="AAW43" s="20"/>
      <c r="AAX43" s="20"/>
      <c r="AAY43" s="20"/>
      <c r="AAZ43" s="20"/>
      <c r="ABA43" s="20"/>
      <c r="ABB43" s="20"/>
      <c r="ABC43" s="20"/>
      <c r="ABD43" s="20"/>
      <c r="ABE43" s="20"/>
      <c r="ABF43" s="20"/>
      <c r="ABG43" s="20"/>
      <c r="ABH43" s="20"/>
      <c r="ABI43" s="20"/>
      <c r="ABJ43" s="20"/>
      <c r="ABK43" s="20"/>
      <c r="ABL43" s="20"/>
      <c r="ABM43" s="20"/>
      <c r="ABN43" s="20"/>
      <c r="ABO43" s="20"/>
      <c r="ABP43" s="20"/>
      <c r="ABQ43" s="20"/>
      <c r="ABR43" s="20"/>
      <c r="ABS43" s="20"/>
      <c r="ABT43" s="20"/>
      <c r="ABU43" s="20"/>
      <c r="ABV43" s="20"/>
      <c r="ABW43" s="20"/>
      <c r="ABX43" s="20"/>
      <c r="ABY43" s="20"/>
      <c r="ABZ43" s="20"/>
      <c r="ACA43" s="20"/>
      <c r="ACB43" s="20"/>
      <c r="ACC43" s="20"/>
      <c r="ACD43" s="20"/>
      <c r="ACE43" s="20"/>
      <c r="ACF43" s="20"/>
      <c r="ACG43" s="20"/>
      <c r="ACH43" s="20"/>
      <c r="ACI43" s="20"/>
      <c r="ACJ43" s="20"/>
      <c r="ACK43" s="20"/>
      <c r="ACL43" s="20"/>
      <c r="ACM43" s="20"/>
      <c r="ACN43" s="20"/>
      <c r="ACO43" s="20"/>
      <c r="ACP43" s="20"/>
      <c r="ACQ43" s="20"/>
      <c r="ACR43" s="20"/>
      <c r="ACS43" s="20"/>
      <c r="ACT43" s="20"/>
      <c r="ACU43" s="20"/>
      <c r="ACV43" s="20"/>
      <c r="ACW43" s="20"/>
      <c r="ACX43" s="20"/>
      <c r="ACY43" s="20"/>
      <c r="ACZ43" s="20"/>
      <c r="ADA43" s="20"/>
      <c r="ADB43" s="20"/>
      <c r="ADC43" s="20"/>
      <c r="ADD43" s="20"/>
      <c r="ADE43" s="20"/>
      <c r="ADF43" s="20"/>
      <c r="ADG43" s="20"/>
      <c r="ADH43" s="20"/>
      <c r="ADI43" s="20"/>
      <c r="ADJ43" s="20"/>
      <c r="ADK43" s="20"/>
      <c r="ADL43" s="20"/>
      <c r="ADM43" s="20"/>
      <c r="ADN43" s="20"/>
      <c r="ADO43" s="20"/>
      <c r="ADP43" s="20"/>
      <c r="ADQ43" s="20"/>
      <c r="ADR43" s="20"/>
      <c r="ADS43" s="20"/>
      <c r="ADT43" s="20"/>
      <c r="ADU43" s="20"/>
      <c r="ADV43" s="20"/>
      <c r="ADW43" s="20"/>
      <c r="ADX43" s="20"/>
      <c r="ADY43" s="20"/>
      <c r="ADZ43" s="20"/>
      <c r="AEA43" s="20"/>
      <c r="AEB43" s="20"/>
      <c r="AEC43" s="20"/>
      <c r="AED43" s="20"/>
      <c r="AEE43" s="20"/>
      <c r="AEF43" s="20"/>
      <c r="AEG43" s="20"/>
      <c r="AEH43" s="20"/>
      <c r="AEI43" s="20"/>
      <c r="AEJ43" s="20"/>
      <c r="AEK43" s="20"/>
      <c r="AEL43" s="20"/>
      <c r="AEM43" s="20"/>
      <c r="AEN43" s="20"/>
      <c r="AEO43" s="20"/>
      <c r="AEP43" s="20"/>
      <c r="AEQ43" s="20"/>
      <c r="AER43" s="20"/>
      <c r="AES43" s="20"/>
      <c r="AET43" s="20"/>
      <c r="AEU43" s="20"/>
      <c r="AEV43" s="20"/>
      <c r="AEW43" s="20"/>
      <c r="AEX43" s="20"/>
      <c r="AEY43" s="20"/>
      <c r="AEZ43" s="20"/>
      <c r="AFA43" s="20"/>
      <c r="AFB43" s="20"/>
      <c r="AFC43" s="20"/>
      <c r="AFD43" s="20"/>
      <c r="AFE43" s="20"/>
      <c r="AFF43" s="20"/>
      <c r="AFG43" s="20"/>
      <c r="AFH43" s="20"/>
      <c r="AFI43" s="20"/>
      <c r="AFJ43" s="20"/>
      <c r="AFK43" s="20"/>
      <c r="AFL43" s="20"/>
      <c r="AFM43" s="20"/>
      <c r="AFN43" s="20"/>
      <c r="AFO43" s="20"/>
      <c r="AFP43" s="20"/>
      <c r="AFQ43" s="20"/>
      <c r="AFR43" s="20"/>
      <c r="AFS43" s="20"/>
      <c r="AFT43" s="20"/>
      <c r="AFU43" s="20"/>
      <c r="AFV43" s="20"/>
      <c r="AFW43" s="20"/>
      <c r="AFX43" s="20"/>
      <c r="AFY43" s="20"/>
      <c r="AFZ43" s="20"/>
      <c r="AGA43" s="20"/>
      <c r="AGB43" s="20"/>
      <c r="AGC43" s="20"/>
      <c r="AGD43" s="20"/>
      <c r="AGE43" s="20"/>
      <c r="AGF43" s="20"/>
      <c r="AGG43" s="20"/>
      <c r="AGH43" s="20"/>
      <c r="AGI43" s="20"/>
      <c r="AGJ43" s="20"/>
      <c r="AGK43" s="20"/>
      <c r="AGL43" s="20"/>
      <c r="AGM43" s="20"/>
      <c r="AGN43" s="20"/>
      <c r="AGO43" s="20"/>
      <c r="AGP43" s="20"/>
      <c r="AGQ43" s="20"/>
      <c r="AGR43" s="20"/>
      <c r="AGS43" s="20"/>
      <c r="AGT43" s="20"/>
      <c r="AGU43" s="20"/>
      <c r="AGV43" s="20"/>
      <c r="AGW43" s="20"/>
      <c r="AGX43" s="20"/>
      <c r="AGY43" s="20"/>
      <c r="AGZ43" s="20"/>
      <c r="AHA43" s="20"/>
      <c r="AHB43" s="20"/>
      <c r="AHC43" s="20"/>
      <c r="AHD43" s="20"/>
      <c r="AHE43" s="20"/>
      <c r="AHF43" s="20"/>
      <c r="AHG43" s="20"/>
      <c r="AHH43" s="20"/>
      <c r="AHI43" s="20"/>
      <c r="AHJ43" s="20"/>
      <c r="AHK43" s="20"/>
      <c r="AHL43" s="20"/>
      <c r="AHM43" s="20"/>
      <c r="AHN43" s="20"/>
      <c r="AHO43" s="20"/>
      <c r="AHP43" s="20"/>
      <c r="AHQ43" s="20"/>
      <c r="AHR43" s="20"/>
      <c r="AHS43" s="20"/>
      <c r="AHT43" s="20"/>
      <c r="AHU43" s="20"/>
      <c r="AHV43" s="20"/>
      <c r="AHW43" s="20"/>
      <c r="AHX43" s="20"/>
      <c r="AHY43" s="20"/>
      <c r="AHZ43" s="20"/>
      <c r="AIA43" s="20"/>
      <c r="AIB43" s="20"/>
      <c r="AIC43" s="20"/>
      <c r="AID43" s="20"/>
      <c r="AIE43" s="20"/>
      <c r="AIF43" s="20"/>
      <c r="AIG43" s="20"/>
      <c r="AIH43" s="20"/>
      <c r="AII43" s="20"/>
      <c r="AIJ43" s="20"/>
      <c r="AIK43" s="20"/>
      <c r="AIL43" s="20"/>
      <c r="AIM43" s="20"/>
      <c r="AIN43" s="20"/>
      <c r="AIO43" s="20"/>
      <c r="AIP43" s="20"/>
      <c r="AIQ43" s="20"/>
      <c r="AIR43" s="20"/>
      <c r="AIS43" s="20"/>
      <c r="AIT43" s="20"/>
      <c r="AIU43" s="20"/>
      <c r="AIV43" s="20"/>
      <c r="AIW43" s="20"/>
      <c r="AIX43" s="20"/>
      <c r="AIY43" s="20"/>
      <c r="AIZ43" s="20"/>
      <c r="AJA43" s="20"/>
      <c r="AJB43" s="20"/>
      <c r="AJC43" s="20"/>
      <c r="AJD43" s="20"/>
      <c r="AJE43" s="20"/>
      <c r="AJF43" s="20"/>
      <c r="AJG43" s="20"/>
      <c r="AJH43" s="20"/>
      <c r="AJI43" s="20"/>
      <c r="AJJ43" s="20"/>
      <c r="AJK43" s="20"/>
      <c r="AJL43" s="20"/>
      <c r="AJM43" s="20"/>
      <c r="AJN43" s="20"/>
      <c r="AJO43" s="20"/>
      <c r="AJP43" s="20"/>
      <c r="AJQ43" s="20"/>
      <c r="AJR43" s="20"/>
      <c r="AJS43" s="20"/>
      <c r="AJT43" s="20"/>
      <c r="AJU43" s="20"/>
      <c r="AJV43" s="20"/>
      <c r="AJW43" s="20"/>
      <c r="AJX43" s="20"/>
      <c r="AJY43" s="20"/>
      <c r="AJZ43" s="20"/>
      <c r="AKA43" s="20"/>
      <c r="AKB43" s="20"/>
      <c r="AKC43" s="20"/>
      <c r="AKD43" s="20"/>
      <c r="AKE43" s="20"/>
      <c r="AKF43" s="20"/>
      <c r="AKG43" s="20"/>
      <c r="AKH43" s="20"/>
      <c r="AKI43" s="20"/>
      <c r="AKJ43" s="20"/>
      <c r="AKK43" s="20"/>
      <c r="AKL43" s="20"/>
      <c r="AKM43" s="20"/>
      <c r="AKN43" s="20"/>
      <c r="AKO43" s="20"/>
      <c r="AKP43" s="20"/>
      <c r="AKQ43" s="20"/>
      <c r="AKR43" s="20"/>
      <c r="AKS43" s="20"/>
      <c r="AKT43" s="20"/>
      <c r="AKU43" s="20"/>
      <c r="AKV43" s="20"/>
      <c r="AKW43" s="20"/>
      <c r="AKX43" s="20"/>
      <c r="AKY43" s="20"/>
      <c r="AKZ43" s="20"/>
      <c r="ALA43" s="20"/>
      <c r="ALB43" s="20"/>
      <c r="ALC43" s="20"/>
      <c r="ALD43" s="20"/>
      <c r="ALE43" s="20"/>
      <c r="ALF43" s="20"/>
      <c r="ALG43" s="20"/>
      <c r="ALH43" s="20"/>
      <c r="ALI43" s="20"/>
      <c r="ALJ43" s="20"/>
      <c r="ALK43" s="20"/>
      <c r="ALL43" s="20"/>
      <c r="ALM43" s="20"/>
      <c r="ALN43" s="20"/>
      <c r="ALO43" s="20"/>
      <c r="ALP43" s="20"/>
      <c r="ALQ43" s="20"/>
      <c r="ALR43" s="20"/>
      <c r="ALS43" s="20"/>
      <c r="ALT43" s="20"/>
      <c r="ALU43" s="20"/>
      <c r="ALV43" s="20"/>
      <c r="ALW43" s="20"/>
      <c r="ALX43" s="20"/>
      <c r="ALY43" s="20"/>
      <c r="ALZ43" s="20"/>
      <c r="AMA43" s="20"/>
      <c r="AMB43" s="20"/>
      <c r="AMC43" s="20"/>
      <c r="AMD43" s="20"/>
      <c r="AME43" s="20"/>
      <c r="AMF43" s="20"/>
      <c r="AMG43" s="20"/>
      <c r="AMH43" s="20"/>
      <c r="AMI43" s="20"/>
      <c r="AMJ43" s="20"/>
    </row>
    <row r="44" customFormat="false" ht="13.8" hidden="false" customHeight="false" outlineLevel="0" collapsed="false">
      <c r="A44" s="1" t="s">
        <v>308</v>
      </c>
      <c r="B44" s="1" t="s">
        <v>309</v>
      </c>
      <c r="C44" s="1" t="n">
        <v>107</v>
      </c>
      <c r="D44" s="1" t="n">
        <v>105</v>
      </c>
      <c r="E44" s="1" t="n">
        <v>1107</v>
      </c>
      <c r="F44" s="1" t="s">
        <v>89</v>
      </c>
      <c r="G44" s="1" t="s">
        <v>256</v>
      </c>
      <c r="H44" s="1" t="s">
        <v>293</v>
      </c>
      <c r="I44" s="1" t="s">
        <v>92</v>
      </c>
      <c r="J44" s="20" t="n">
        <v>2018</v>
      </c>
      <c r="K44" s="20"/>
      <c r="L44" s="20"/>
      <c r="M44" s="20"/>
      <c r="N44" s="20"/>
      <c r="O44" s="21"/>
      <c r="P44" s="22"/>
      <c r="Q44" s="22"/>
      <c r="R44" s="22"/>
      <c r="S44" s="22"/>
      <c r="T44" s="22"/>
      <c r="U44" s="22"/>
      <c r="V44" s="22"/>
      <c r="W44" s="20" t="n">
        <v>43</v>
      </c>
      <c r="X44" s="21"/>
      <c r="Y44" s="20" t="n">
        <v>3</v>
      </c>
      <c r="Z44" s="20"/>
      <c r="AA44" s="24" t="str">
        <f aca="false">IF(AND(W44&gt;0,Z44&gt;0),(Z44/((W44+X44)*10)),"")</f>
        <v/>
      </c>
      <c r="AB44" s="20" t="n">
        <v>125</v>
      </c>
      <c r="AC44" s="20" t="n">
        <f aca="false">ROUND(AB44*1.6, 0)</f>
        <v>200</v>
      </c>
      <c r="AD44" s="20"/>
      <c r="AE44" s="20"/>
      <c r="AF44" s="20" t="n">
        <v>22.2</v>
      </c>
      <c r="AG44" s="20" t="n">
        <v>22</v>
      </c>
      <c r="AH44" s="20" t="n">
        <v>2.75</v>
      </c>
      <c r="AI44" s="20" t="n">
        <v>3.79</v>
      </c>
      <c r="AJ44" s="25" t="n">
        <v>0</v>
      </c>
      <c r="AK44" s="20" t="str">
        <f aca="false">CONCATENATE(VLOOKUP(AL44, '[1]Voxel Sizes'!$A$2:$B$18,2,FALSE()),"x",INT(AH44*15), "x", INT(AI44*15))</f>
        <v>214x41x56</v>
      </c>
      <c r="AL44" s="20" t="n">
        <f aca="false">ROUND(15*((AG44*10)/256),0)</f>
        <v>13</v>
      </c>
      <c r="AM44" s="20"/>
      <c r="AN44" s="1" t="str">
        <f aca="false">CONCATENATE(VLOOKUP(AL44,Constants!$A$2:$C$16,IF(AM44&lt;&gt;"", 3, 2), FALSE()),IF(AM44&lt;&gt;"",CONCATENATE(",",VLOOKUP(AM44,$B:$AN,38,FALSE())),""))</f>
        <v>4,5,4</v>
      </c>
      <c r="AO44" s="20"/>
      <c r="AP44" s="26"/>
      <c r="AQ44" s="26"/>
      <c r="AR44" s="20"/>
      <c r="AS44" s="20"/>
      <c r="AT44" s="20"/>
      <c r="AU44" s="20"/>
      <c r="AV44" s="20"/>
      <c r="AW44" s="1" t="s">
        <v>310</v>
      </c>
      <c r="AX44" s="20" t="n">
        <v>30</v>
      </c>
      <c r="AY44" s="27" t="str">
        <f aca="false">IF(L44&lt;&gt;"",MAX(16,(L44-J44)+8),"")</f>
        <v/>
      </c>
      <c r="AZ44" s="20" t="n">
        <v>1150</v>
      </c>
      <c r="BA44" s="20" t="n">
        <v>150</v>
      </c>
      <c r="BB44" s="20" t="n">
        <f aca="false">MIN(AB44/150, 1)*30</f>
        <v>25</v>
      </c>
      <c r="BC44" s="20" t="n">
        <f aca="false">MIN(N44/4000, 1)*20</f>
        <v>0</v>
      </c>
      <c r="BD44" s="20" t="n">
        <f aca="false">MIN(Z44/400,1)*20</f>
        <v>0</v>
      </c>
      <c r="BE44" s="24" t="n">
        <f aca="false">1-(MAX(J44-1900, 0)/750)</f>
        <v>0.842666666666667</v>
      </c>
      <c r="BF44" s="20" t="n">
        <f aca="false">((MAX($M44,1)*MIN($AJ44/300,1)))*IF(G44="Wagon",50,10)</f>
        <v>0</v>
      </c>
      <c r="BG44" s="20" t="n">
        <f aca="false">VLOOKUP($H44,Constants!$I:$K, 2, FALSE())</f>
        <v>1.2</v>
      </c>
      <c r="BH44" s="20" t="n">
        <f aca="false">VLOOKUP($H44,Constants!$I:$K, 3, FALSE())*IF(AND(G44="multiple_unit",AB44&lt;110),0.75,1)</f>
        <v>0.6</v>
      </c>
      <c r="BI44" s="20" t="n">
        <f aca="false">INT(POWER(((Constants!$G$2+$BB44+$BC44+$BD44+$BF44)*$BE44)*$BH44, 1.05))+$BA44</f>
        <v>167</v>
      </c>
      <c r="BJ44" s="20" t="n">
        <f aca="false">INT(POWER((((Constants!$G$1+$BB44+$BC44+$BD44+$BF44)*($BE44))*$BG44),IF($G44="wagon",1,1.2)))+$AZ44</f>
        <v>1190</v>
      </c>
      <c r="BK44" s="33" t="n">
        <f aca="false">BI44*IF($G44="wagon",62.5,781.25)</f>
        <v>10437.5</v>
      </c>
      <c r="BL44" s="33" t="n">
        <f aca="false">BJ44*IF($G44="wagon",2.73,81.25)</f>
        <v>3248.7</v>
      </c>
      <c r="BM44" s="20"/>
      <c r="BN44" s="20"/>
      <c r="BO44" s="20"/>
      <c r="BP44" s="20"/>
      <c r="BQ44" s="20"/>
      <c r="BR44" s="20"/>
      <c r="BS44" s="20"/>
      <c r="BT44" s="20" t="n">
        <v>2</v>
      </c>
      <c r="BU44" s="20" t="n">
        <v>278</v>
      </c>
      <c r="BV44" s="20" t="s">
        <v>288</v>
      </c>
      <c r="BW44" s="19" t="s">
        <v>170</v>
      </c>
      <c r="BX44" s="20" t="s">
        <v>104</v>
      </c>
      <c r="BY44" s="20" t="str">
        <f aca="false">VLOOKUP(J44,Eras!$A$2:$C$10, 2, TRUE())</f>
        <v>mod</v>
      </c>
      <c r="BZ44" s="19" t="s">
        <v>289</v>
      </c>
      <c r="CA44" s="20" t="str">
        <f aca="false">CONCATENATE(BY44,"_",BZ44)</f>
        <v>mod_Carriage</v>
      </c>
      <c r="CB44" s="20" t="str">
        <f aca="false">_xlfn.CONCAT(H44, "_",I44)</f>
        <v>carriage_RAIL</v>
      </c>
      <c r="CC44" s="32" t="str">
        <f aca="false" t="array" ref="CC44:CC44">_xlfn.CONCAT("{BLACK}Length: {GOLD}", TEXT(ROUNDUP(IF(AQ44&lt;&gt;"",SUM(VALUE(_xlfn.TEXTSPLIT(AQ44, ","))), SUM(VALUE(_xlfn.TEXTSPLIT(AN44, ",")))*IF(M44, M44, 1))/16, 1), "#,##0.0"), " tiles{}")</f>
        <v>{BLACK}Length: {GOLD}0.9 tiles{}</v>
      </c>
      <c r="CD44" s="20" t="str">
        <f aca="false">VLOOKUP($CB44, [1]Constants!$M$1:$N$1048576, 2, FALSE())</f>
        <v/>
      </c>
      <c r="CE44" s="20" t="str">
        <f aca="false">IF(M44&gt;1,_xlfn.CONCAT("{BLACK}Cars: {GOLD}", M44),"")</f>
        <v/>
      </c>
      <c r="CF44" s="20" t="s">
        <v>311</v>
      </c>
      <c r="CG44" s="20" t="str">
        <f aca="false">IF(BW44="buffet","{YELLOW}25% long distance bonus for consist{}",IF(BY44="BRAKE","{YELLOW}Speed bonus for slow wagons{}",IF(BU44&gt;190,CONCATENATE("{YELLOW}",INT((BU44-185)/1.85),"% bonus for long distance travel{}"),IF(AND(BU44&lt;180,BU44&lt;&gt;0),CONCATENATE("{YELLOW}",INT((185-BU44)/1.85),"% penalty for long distance travel{}"),""))))</f>
        <v>{YELLOW}25% long distance bonus for consist{}</v>
      </c>
      <c r="CH44" s="1" t="str">
        <f aca="false">_xlfn.CONCAT(CD44,IF(CD44 &lt;&gt; "", " ", ""),CE44,IF(OR(CE44&lt;&gt;"", CD44&lt;&gt;""), "{}",""), CC44, CG44,"{SILVER}", CF44)</f>
        <v>{BLACK}Length: {GOLD}0.9 tiles{}{YELLOW}25% long distance bonus for consist{}{SILVER}The Mk5 ‘Club Car’ is the dining facility for sleeper services, but the 30 seats within are not bookable for travel.</v>
      </c>
      <c r="CI44" s="20"/>
      <c r="CJ44" s="1"/>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c r="EC44" s="20"/>
      <c r="ED44" s="20"/>
      <c r="EE44" s="20"/>
      <c r="EF44" s="20"/>
      <c r="EG44" s="20"/>
      <c r="EH44" s="20"/>
      <c r="EI44" s="20"/>
      <c r="EJ44" s="20"/>
      <c r="EK44" s="20"/>
      <c r="EL44" s="20"/>
      <c r="EM44" s="20"/>
      <c r="EN44" s="20"/>
      <c r="EO44" s="20"/>
      <c r="EP44" s="20"/>
      <c r="EQ44" s="20"/>
      <c r="ER44" s="20"/>
      <c r="ES44" s="20"/>
      <c r="ET44" s="20"/>
      <c r="EU44" s="20"/>
      <c r="EV44" s="20"/>
      <c r="EW44" s="20"/>
      <c r="EX44" s="20"/>
      <c r="EY44" s="20"/>
      <c r="EZ44" s="20"/>
      <c r="FA44" s="20"/>
      <c r="FB44" s="20"/>
      <c r="FC44" s="20"/>
      <c r="FD44" s="20"/>
      <c r="FE44" s="20"/>
      <c r="FF44" s="20"/>
      <c r="FG44" s="20"/>
      <c r="FH44" s="20"/>
      <c r="FI44" s="20"/>
      <c r="FJ44" s="20"/>
      <c r="FK44" s="20"/>
      <c r="FL44" s="20"/>
      <c r="FM44" s="20"/>
      <c r="FN44" s="20"/>
      <c r="FO44" s="20"/>
      <c r="FP44" s="20"/>
      <c r="FQ44" s="20"/>
      <c r="FR44" s="20"/>
      <c r="FS44" s="20"/>
      <c r="FT44" s="20"/>
      <c r="FU44" s="20"/>
      <c r="FV44" s="20"/>
      <c r="FW44" s="20"/>
      <c r="FX44" s="20"/>
      <c r="FY44" s="20"/>
      <c r="FZ44" s="20"/>
      <c r="GA44" s="20"/>
      <c r="GB44" s="20"/>
      <c r="GC44" s="20"/>
      <c r="GD44" s="20"/>
      <c r="GE44" s="20"/>
      <c r="GF44" s="20"/>
      <c r="GG44" s="20"/>
      <c r="GH44" s="20"/>
      <c r="GI44" s="20"/>
      <c r="GJ44" s="20"/>
      <c r="GK44" s="20"/>
      <c r="GL44" s="20"/>
      <c r="GM44" s="20"/>
      <c r="GN44" s="20"/>
      <c r="GO44" s="20"/>
      <c r="GP44" s="20"/>
      <c r="GQ44" s="20"/>
      <c r="GR44" s="20"/>
      <c r="GS44" s="20"/>
      <c r="GT44" s="20"/>
      <c r="GU44" s="20"/>
      <c r="GV44" s="20"/>
      <c r="GW44" s="20"/>
      <c r="GX44" s="20"/>
      <c r="GY44" s="20"/>
      <c r="GZ44" s="20"/>
      <c r="HA44" s="20"/>
      <c r="HB44" s="20"/>
      <c r="HC44" s="20"/>
      <c r="HD44" s="20"/>
      <c r="HE44" s="20"/>
      <c r="HF44" s="20"/>
      <c r="HG44" s="20"/>
      <c r="HH44" s="20"/>
      <c r="HI44" s="20"/>
      <c r="HJ44" s="20"/>
      <c r="HK44" s="20"/>
      <c r="HL44" s="20"/>
      <c r="HM44" s="20"/>
      <c r="HN44" s="20"/>
      <c r="HO44" s="20"/>
      <c r="HP44" s="20"/>
      <c r="HQ44" s="20"/>
      <c r="HR44" s="20"/>
      <c r="HS44" s="20"/>
      <c r="HT44" s="20"/>
      <c r="HU44" s="20"/>
      <c r="HV44" s="20"/>
      <c r="HW44" s="20"/>
      <c r="HX44" s="20"/>
      <c r="HY44" s="20"/>
      <c r="HZ44" s="20"/>
      <c r="IA44" s="20"/>
      <c r="IB44" s="20"/>
      <c r="IC44" s="20"/>
      <c r="ID44" s="20"/>
      <c r="IE44" s="20"/>
      <c r="IF44" s="20"/>
      <c r="IG44" s="20"/>
      <c r="IH44" s="20"/>
      <c r="II44" s="20"/>
      <c r="IJ44" s="20"/>
      <c r="IK44" s="20"/>
      <c r="IL44" s="20"/>
      <c r="IM44" s="20"/>
      <c r="IN44" s="20"/>
      <c r="IO44" s="20"/>
      <c r="IP44" s="20"/>
      <c r="IQ44" s="20"/>
      <c r="IR44" s="20"/>
      <c r="IS44" s="20"/>
      <c r="IT44" s="20"/>
      <c r="IU44" s="20"/>
      <c r="IV44" s="20"/>
      <c r="IW44" s="20"/>
      <c r="IX44" s="20"/>
      <c r="IY44" s="20"/>
      <c r="IZ44" s="20"/>
      <c r="JA44" s="20"/>
      <c r="JB44" s="20"/>
      <c r="JC44" s="20"/>
      <c r="JD44" s="20"/>
      <c r="JE44" s="20"/>
      <c r="JF44" s="20"/>
      <c r="JG44" s="20"/>
      <c r="JH44" s="20"/>
      <c r="JI44" s="20"/>
      <c r="JJ44" s="20"/>
      <c r="JK44" s="20"/>
      <c r="JL44" s="20"/>
      <c r="JM44" s="20"/>
      <c r="JN44" s="20"/>
      <c r="JO44" s="20"/>
      <c r="JP44" s="20"/>
      <c r="JQ44" s="20"/>
      <c r="JR44" s="20"/>
      <c r="JS44" s="20"/>
      <c r="JT44" s="20"/>
      <c r="JU44" s="20"/>
      <c r="JV44" s="20"/>
      <c r="JW44" s="20"/>
      <c r="JX44" s="20"/>
      <c r="JY44" s="20"/>
      <c r="JZ44" s="20"/>
      <c r="KA44" s="20"/>
      <c r="KB44" s="20"/>
      <c r="KC44" s="20"/>
      <c r="KD44" s="20"/>
      <c r="KE44" s="20"/>
      <c r="KF44" s="20"/>
      <c r="KG44" s="20"/>
      <c r="KH44" s="20"/>
      <c r="KI44" s="20"/>
      <c r="KJ44" s="20"/>
      <c r="KK44" s="20"/>
      <c r="KL44" s="20"/>
      <c r="KM44" s="20"/>
      <c r="KN44" s="20"/>
      <c r="KO44" s="20"/>
      <c r="KP44" s="20"/>
      <c r="KQ44" s="20"/>
      <c r="KR44" s="20"/>
      <c r="KS44" s="20"/>
      <c r="KT44" s="20"/>
      <c r="KU44" s="20"/>
      <c r="KV44" s="20"/>
      <c r="KW44" s="20"/>
      <c r="KX44" s="20"/>
      <c r="KY44" s="20"/>
      <c r="KZ44" s="20"/>
      <c r="LA44" s="20"/>
      <c r="LB44" s="20"/>
      <c r="LC44" s="20"/>
      <c r="LD44" s="20"/>
      <c r="LE44" s="20"/>
      <c r="LF44" s="20"/>
      <c r="LG44" s="20"/>
      <c r="LH44" s="20"/>
      <c r="LI44" s="20"/>
      <c r="LJ44" s="20"/>
      <c r="LK44" s="20"/>
      <c r="LL44" s="20"/>
      <c r="LM44" s="20"/>
      <c r="LN44" s="20"/>
      <c r="LO44" s="20"/>
      <c r="LP44" s="20"/>
      <c r="LQ44" s="20"/>
      <c r="LR44" s="20"/>
      <c r="LS44" s="20"/>
      <c r="LT44" s="20"/>
      <c r="LU44" s="20"/>
      <c r="LV44" s="20"/>
      <c r="LW44" s="20"/>
      <c r="LX44" s="20"/>
      <c r="LY44" s="20"/>
      <c r="LZ44" s="20"/>
      <c r="MA44" s="20"/>
      <c r="MB44" s="20"/>
      <c r="MC44" s="20"/>
      <c r="MD44" s="20"/>
      <c r="ME44" s="20"/>
      <c r="MF44" s="20"/>
      <c r="MG44" s="20"/>
      <c r="MH44" s="20"/>
      <c r="MI44" s="20"/>
      <c r="MJ44" s="20"/>
      <c r="MK44" s="20"/>
      <c r="ML44" s="20"/>
      <c r="MM44" s="20"/>
      <c r="MN44" s="20"/>
      <c r="MO44" s="20"/>
      <c r="MP44" s="20"/>
      <c r="MQ44" s="20"/>
      <c r="MR44" s="20"/>
      <c r="MS44" s="20"/>
      <c r="MT44" s="20"/>
      <c r="MU44" s="20"/>
      <c r="MV44" s="20"/>
      <c r="MW44" s="20"/>
      <c r="MX44" s="20"/>
      <c r="MY44" s="20"/>
      <c r="MZ44" s="20"/>
      <c r="NA44" s="20"/>
      <c r="NB44" s="20"/>
      <c r="NC44" s="20"/>
      <c r="ND44" s="20"/>
      <c r="NE44" s="20"/>
      <c r="NF44" s="20"/>
      <c r="NG44" s="20"/>
      <c r="NH44" s="20"/>
      <c r="NI44" s="20"/>
      <c r="NJ44" s="20"/>
      <c r="NK44" s="20"/>
      <c r="NL44" s="20"/>
      <c r="NM44" s="20"/>
      <c r="NN44" s="20"/>
      <c r="NO44" s="20"/>
      <c r="NP44" s="20"/>
      <c r="NQ44" s="20"/>
      <c r="NR44" s="20"/>
      <c r="NS44" s="20"/>
      <c r="NT44" s="20"/>
      <c r="NU44" s="20"/>
      <c r="NV44" s="20"/>
      <c r="NW44" s="20"/>
      <c r="NX44" s="20"/>
      <c r="NY44" s="20"/>
      <c r="NZ44" s="20"/>
      <c r="OA44" s="20"/>
      <c r="OB44" s="20"/>
      <c r="OC44" s="20"/>
      <c r="OD44" s="20"/>
      <c r="OE44" s="20"/>
      <c r="OF44" s="20"/>
      <c r="OG44" s="20"/>
      <c r="OH44" s="20"/>
      <c r="OI44" s="20"/>
      <c r="OJ44" s="20"/>
      <c r="OK44" s="20"/>
      <c r="OL44" s="20"/>
      <c r="OM44" s="20"/>
      <c r="ON44" s="20"/>
      <c r="OO44" s="20"/>
      <c r="OP44" s="20"/>
      <c r="OQ44" s="20"/>
      <c r="OR44" s="20"/>
      <c r="OS44" s="20"/>
      <c r="OT44" s="20"/>
      <c r="OU44" s="20"/>
      <c r="OV44" s="20"/>
      <c r="OW44" s="20"/>
      <c r="OX44" s="20"/>
      <c r="OY44" s="20"/>
      <c r="OZ44" s="20"/>
      <c r="PA44" s="20"/>
      <c r="PB44" s="20"/>
      <c r="PC44" s="20"/>
      <c r="PD44" s="20"/>
      <c r="PE44" s="20"/>
      <c r="PF44" s="20"/>
      <c r="PG44" s="20"/>
      <c r="PH44" s="20"/>
      <c r="PI44" s="20"/>
      <c r="PJ44" s="20"/>
      <c r="PK44" s="20"/>
      <c r="PL44" s="20"/>
      <c r="PM44" s="20"/>
      <c r="PN44" s="20"/>
      <c r="PO44" s="20"/>
      <c r="PP44" s="20"/>
      <c r="PQ44" s="20"/>
      <c r="PR44" s="20"/>
      <c r="PS44" s="20"/>
      <c r="PT44" s="20"/>
      <c r="PU44" s="20"/>
      <c r="PV44" s="20"/>
      <c r="PW44" s="20"/>
      <c r="PX44" s="20"/>
      <c r="PY44" s="20"/>
      <c r="PZ44" s="20"/>
      <c r="QA44" s="20"/>
      <c r="QB44" s="20"/>
      <c r="QC44" s="20"/>
      <c r="QD44" s="20"/>
      <c r="QE44" s="20"/>
      <c r="QF44" s="20"/>
      <c r="QG44" s="20"/>
      <c r="QH44" s="20"/>
      <c r="QI44" s="20"/>
      <c r="QJ44" s="20"/>
      <c r="QK44" s="20"/>
      <c r="QL44" s="20"/>
      <c r="QM44" s="20"/>
      <c r="QN44" s="20"/>
      <c r="QO44" s="20"/>
      <c r="QP44" s="20"/>
      <c r="QQ44" s="20"/>
      <c r="QR44" s="20"/>
      <c r="QS44" s="20"/>
      <c r="QT44" s="20"/>
      <c r="QU44" s="20"/>
      <c r="QV44" s="20"/>
      <c r="QW44" s="20"/>
      <c r="QX44" s="20"/>
      <c r="QY44" s="20"/>
      <c r="QZ44" s="20"/>
      <c r="RA44" s="20"/>
      <c r="RB44" s="20"/>
      <c r="RC44" s="20"/>
      <c r="RD44" s="20"/>
      <c r="RE44" s="20"/>
      <c r="RF44" s="20"/>
      <c r="RG44" s="20"/>
      <c r="RH44" s="20"/>
      <c r="RI44" s="20"/>
      <c r="RJ44" s="20"/>
      <c r="RK44" s="20"/>
      <c r="RL44" s="20"/>
      <c r="RM44" s="20"/>
      <c r="RN44" s="20"/>
      <c r="RO44" s="20"/>
      <c r="RP44" s="20"/>
      <c r="RQ44" s="20"/>
      <c r="RR44" s="20"/>
      <c r="RS44" s="20"/>
      <c r="RT44" s="20"/>
      <c r="RU44" s="20"/>
      <c r="RV44" s="20"/>
      <c r="RW44" s="20"/>
      <c r="RX44" s="20"/>
      <c r="RY44" s="20"/>
      <c r="RZ44" s="20"/>
      <c r="SA44" s="20"/>
      <c r="SB44" s="20"/>
      <c r="SC44" s="20"/>
      <c r="SD44" s="20"/>
      <c r="SE44" s="20"/>
      <c r="SF44" s="20"/>
      <c r="SG44" s="20"/>
      <c r="SH44" s="20"/>
      <c r="SI44" s="20"/>
      <c r="SJ44" s="20"/>
      <c r="SK44" s="20"/>
      <c r="SL44" s="20"/>
      <c r="SM44" s="20"/>
      <c r="SN44" s="20"/>
      <c r="SO44" s="20"/>
      <c r="SP44" s="20"/>
      <c r="SQ44" s="20"/>
      <c r="SR44" s="20"/>
      <c r="SS44" s="20"/>
      <c r="ST44" s="20"/>
      <c r="SU44" s="20"/>
      <c r="SV44" s="20"/>
      <c r="SW44" s="20"/>
      <c r="SX44" s="20"/>
      <c r="SY44" s="20"/>
      <c r="SZ44" s="20"/>
      <c r="TA44" s="20"/>
      <c r="TB44" s="20"/>
      <c r="TC44" s="20"/>
      <c r="TD44" s="20"/>
      <c r="TE44" s="20"/>
      <c r="TF44" s="20"/>
      <c r="TG44" s="20"/>
      <c r="TH44" s="20"/>
      <c r="TI44" s="20"/>
      <c r="TJ44" s="20"/>
      <c r="TK44" s="20"/>
      <c r="TL44" s="20"/>
      <c r="TM44" s="20"/>
      <c r="TN44" s="20"/>
      <c r="TO44" s="20"/>
      <c r="TP44" s="20"/>
      <c r="TQ44" s="20"/>
      <c r="TR44" s="20"/>
      <c r="TS44" s="20"/>
      <c r="TT44" s="20"/>
      <c r="TU44" s="20"/>
      <c r="TV44" s="20"/>
      <c r="TW44" s="20"/>
      <c r="TX44" s="20"/>
      <c r="TY44" s="20"/>
      <c r="TZ44" s="20"/>
      <c r="UA44" s="20"/>
      <c r="UB44" s="20"/>
      <c r="UC44" s="20"/>
      <c r="UD44" s="20"/>
      <c r="UE44" s="20"/>
      <c r="UF44" s="20"/>
      <c r="UG44" s="20"/>
      <c r="UH44" s="20"/>
      <c r="UI44" s="20"/>
      <c r="UJ44" s="20"/>
      <c r="UK44" s="20"/>
      <c r="UL44" s="20"/>
      <c r="UM44" s="20"/>
      <c r="UN44" s="20"/>
      <c r="UO44" s="20"/>
      <c r="UP44" s="20"/>
      <c r="UQ44" s="20"/>
      <c r="UR44" s="20"/>
      <c r="US44" s="20"/>
      <c r="UT44" s="20"/>
      <c r="UU44" s="20"/>
      <c r="UV44" s="20"/>
      <c r="UW44" s="20"/>
      <c r="UX44" s="20"/>
      <c r="UY44" s="20"/>
      <c r="UZ44" s="20"/>
      <c r="VA44" s="20"/>
      <c r="VB44" s="20"/>
      <c r="VC44" s="20"/>
      <c r="VD44" s="20"/>
      <c r="VE44" s="20"/>
      <c r="VF44" s="20"/>
      <c r="VG44" s="20"/>
      <c r="VH44" s="20"/>
      <c r="VI44" s="20"/>
      <c r="VJ44" s="20"/>
      <c r="VK44" s="20"/>
      <c r="VL44" s="20"/>
      <c r="VM44" s="20"/>
      <c r="VN44" s="20"/>
      <c r="VO44" s="20"/>
      <c r="VP44" s="20"/>
      <c r="VQ44" s="20"/>
      <c r="VR44" s="20"/>
      <c r="VS44" s="20"/>
      <c r="VT44" s="20"/>
      <c r="VU44" s="20"/>
      <c r="VV44" s="20"/>
      <c r="VW44" s="20"/>
      <c r="VX44" s="20"/>
      <c r="VY44" s="20"/>
      <c r="VZ44" s="20"/>
      <c r="WA44" s="20"/>
      <c r="WB44" s="20"/>
      <c r="WC44" s="20"/>
      <c r="WD44" s="20"/>
      <c r="WE44" s="20"/>
      <c r="WF44" s="20"/>
      <c r="WG44" s="20"/>
      <c r="WH44" s="20"/>
      <c r="WI44" s="20"/>
      <c r="WJ44" s="20"/>
      <c r="WK44" s="20"/>
      <c r="WL44" s="20"/>
      <c r="WM44" s="20"/>
      <c r="WN44" s="20"/>
      <c r="WO44" s="20"/>
      <c r="WP44" s="20"/>
      <c r="WQ44" s="20"/>
      <c r="WR44" s="20"/>
      <c r="WS44" s="20"/>
      <c r="WT44" s="20"/>
      <c r="WU44" s="20"/>
      <c r="WV44" s="20"/>
      <c r="WW44" s="20"/>
      <c r="WX44" s="20"/>
      <c r="WY44" s="20"/>
      <c r="WZ44" s="20"/>
      <c r="XA44" s="20"/>
      <c r="XB44" s="20"/>
      <c r="XC44" s="20"/>
      <c r="XD44" s="20"/>
      <c r="XE44" s="20"/>
      <c r="XF44" s="20"/>
      <c r="XG44" s="20"/>
      <c r="XH44" s="20"/>
      <c r="XI44" s="20"/>
      <c r="XJ44" s="20"/>
      <c r="XK44" s="20"/>
      <c r="XL44" s="20"/>
      <c r="XM44" s="20"/>
      <c r="XN44" s="20"/>
      <c r="XO44" s="20"/>
      <c r="XP44" s="20"/>
      <c r="XQ44" s="20"/>
      <c r="XR44" s="20"/>
      <c r="XS44" s="20"/>
      <c r="XT44" s="20"/>
      <c r="XU44" s="20"/>
      <c r="XV44" s="20"/>
      <c r="XW44" s="20"/>
      <c r="XX44" s="20"/>
      <c r="XY44" s="20"/>
      <c r="XZ44" s="20"/>
      <c r="YA44" s="20"/>
      <c r="YB44" s="20"/>
      <c r="YC44" s="20"/>
      <c r="YD44" s="20"/>
      <c r="YE44" s="20"/>
      <c r="YF44" s="20"/>
      <c r="YG44" s="20"/>
      <c r="YH44" s="20"/>
      <c r="YI44" s="20"/>
      <c r="YJ44" s="20"/>
      <c r="YK44" s="20"/>
      <c r="YL44" s="20"/>
      <c r="YM44" s="20"/>
      <c r="YN44" s="20"/>
      <c r="YO44" s="20"/>
      <c r="YP44" s="20"/>
      <c r="YQ44" s="20"/>
      <c r="YR44" s="20"/>
      <c r="YS44" s="20"/>
      <c r="YT44" s="20"/>
      <c r="YU44" s="20"/>
      <c r="YV44" s="20"/>
      <c r="YW44" s="20"/>
      <c r="YX44" s="20"/>
      <c r="YY44" s="20"/>
      <c r="YZ44" s="20"/>
      <c r="ZA44" s="20"/>
      <c r="ZB44" s="20"/>
      <c r="ZC44" s="20"/>
      <c r="ZD44" s="20"/>
      <c r="ZE44" s="20"/>
      <c r="ZF44" s="20"/>
      <c r="ZG44" s="20"/>
      <c r="ZH44" s="20"/>
      <c r="ZI44" s="20"/>
      <c r="ZJ44" s="20"/>
      <c r="ZK44" s="20"/>
      <c r="ZL44" s="20"/>
      <c r="ZM44" s="20"/>
      <c r="ZN44" s="20"/>
      <c r="ZO44" s="20"/>
      <c r="ZP44" s="20"/>
      <c r="ZQ44" s="20"/>
      <c r="ZR44" s="20"/>
      <c r="ZS44" s="20"/>
      <c r="ZT44" s="20"/>
      <c r="ZU44" s="20"/>
      <c r="ZV44" s="20"/>
      <c r="ZW44" s="20"/>
      <c r="ZX44" s="20"/>
      <c r="ZY44" s="20"/>
      <c r="ZZ44" s="20"/>
      <c r="AAA44" s="20"/>
      <c r="AAB44" s="20"/>
      <c r="AAC44" s="20"/>
      <c r="AAD44" s="20"/>
      <c r="AAE44" s="20"/>
      <c r="AAF44" s="20"/>
      <c r="AAG44" s="20"/>
      <c r="AAH44" s="20"/>
      <c r="AAI44" s="20"/>
      <c r="AAJ44" s="20"/>
      <c r="AAK44" s="20"/>
      <c r="AAL44" s="20"/>
      <c r="AAM44" s="20"/>
      <c r="AAN44" s="20"/>
      <c r="AAO44" s="20"/>
      <c r="AAP44" s="20"/>
      <c r="AAQ44" s="20"/>
      <c r="AAR44" s="20"/>
      <c r="AAS44" s="20"/>
      <c r="AAT44" s="20"/>
      <c r="AAU44" s="20"/>
      <c r="AAV44" s="20"/>
      <c r="AAW44" s="20"/>
      <c r="AAX44" s="20"/>
      <c r="AAY44" s="20"/>
      <c r="AAZ44" s="20"/>
      <c r="ABA44" s="20"/>
      <c r="ABB44" s="20"/>
      <c r="ABC44" s="20"/>
      <c r="ABD44" s="20"/>
      <c r="ABE44" s="20"/>
      <c r="ABF44" s="20"/>
      <c r="ABG44" s="20"/>
      <c r="ABH44" s="20"/>
      <c r="ABI44" s="20"/>
      <c r="ABJ44" s="20"/>
      <c r="ABK44" s="20"/>
      <c r="ABL44" s="20"/>
      <c r="ABM44" s="20"/>
      <c r="ABN44" s="20"/>
      <c r="ABO44" s="20"/>
      <c r="ABP44" s="20"/>
      <c r="ABQ44" s="20"/>
      <c r="ABR44" s="20"/>
      <c r="ABS44" s="20"/>
      <c r="ABT44" s="20"/>
      <c r="ABU44" s="20"/>
      <c r="ABV44" s="20"/>
      <c r="ABW44" s="20"/>
      <c r="ABX44" s="20"/>
      <c r="ABY44" s="20"/>
      <c r="ABZ44" s="20"/>
      <c r="ACA44" s="20"/>
      <c r="ACB44" s="20"/>
      <c r="ACC44" s="20"/>
      <c r="ACD44" s="20"/>
      <c r="ACE44" s="20"/>
      <c r="ACF44" s="20"/>
      <c r="ACG44" s="20"/>
      <c r="ACH44" s="20"/>
      <c r="ACI44" s="20"/>
      <c r="ACJ44" s="20"/>
      <c r="ACK44" s="20"/>
      <c r="ACL44" s="20"/>
      <c r="ACM44" s="20"/>
      <c r="ACN44" s="20"/>
      <c r="ACO44" s="20"/>
      <c r="ACP44" s="20"/>
      <c r="ACQ44" s="20"/>
      <c r="ACR44" s="20"/>
      <c r="ACS44" s="20"/>
      <c r="ACT44" s="20"/>
      <c r="ACU44" s="20"/>
      <c r="ACV44" s="20"/>
      <c r="ACW44" s="20"/>
      <c r="ACX44" s="20"/>
      <c r="ACY44" s="20"/>
      <c r="ACZ44" s="20"/>
      <c r="ADA44" s="20"/>
      <c r="ADB44" s="20"/>
      <c r="ADC44" s="20"/>
      <c r="ADD44" s="20"/>
      <c r="ADE44" s="20"/>
      <c r="ADF44" s="20"/>
      <c r="ADG44" s="20"/>
      <c r="ADH44" s="20"/>
      <c r="ADI44" s="20"/>
      <c r="ADJ44" s="20"/>
      <c r="ADK44" s="20"/>
      <c r="ADL44" s="20"/>
      <c r="ADM44" s="20"/>
      <c r="ADN44" s="20"/>
      <c r="ADO44" s="20"/>
      <c r="ADP44" s="20"/>
      <c r="ADQ44" s="20"/>
      <c r="ADR44" s="20"/>
      <c r="ADS44" s="20"/>
      <c r="ADT44" s="20"/>
      <c r="ADU44" s="20"/>
      <c r="ADV44" s="20"/>
      <c r="ADW44" s="20"/>
      <c r="ADX44" s="20"/>
      <c r="ADY44" s="20"/>
      <c r="ADZ44" s="20"/>
      <c r="AEA44" s="20"/>
      <c r="AEB44" s="20"/>
      <c r="AEC44" s="20"/>
      <c r="AED44" s="20"/>
      <c r="AEE44" s="20"/>
      <c r="AEF44" s="20"/>
      <c r="AEG44" s="20"/>
      <c r="AEH44" s="20"/>
      <c r="AEI44" s="20"/>
      <c r="AEJ44" s="20"/>
      <c r="AEK44" s="20"/>
      <c r="AEL44" s="20"/>
      <c r="AEM44" s="20"/>
      <c r="AEN44" s="20"/>
      <c r="AEO44" s="20"/>
      <c r="AEP44" s="20"/>
      <c r="AEQ44" s="20"/>
      <c r="AER44" s="20"/>
      <c r="AES44" s="20"/>
      <c r="AET44" s="20"/>
      <c r="AEU44" s="20"/>
      <c r="AEV44" s="20"/>
      <c r="AEW44" s="20"/>
      <c r="AEX44" s="20"/>
      <c r="AEY44" s="20"/>
      <c r="AEZ44" s="20"/>
      <c r="AFA44" s="20"/>
      <c r="AFB44" s="20"/>
      <c r="AFC44" s="20"/>
      <c r="AFD44" s="20"/>
      <c r="AFE44" s="20"/>
      <c r="AFF44" s="20"/>
      <c r="AFG44" s="20"/>
      <c r="AFH44" s="20"/>
      <c r="AFI44" s="20"/>
      <c r="AFJ44" s="20"/>
      <c r="AFK44" s="20"/>
      <c r="AFL44" s="20"/>
      <c r="AFM44" s="20"/>
      <c r="AFN44" s="20"/>
      <c r="AFO44" s="20"/>
      <c r="AFP44" s="20"/>
      <c r="AFQ44" s="20"/>
      <c r="AFR44" s="20"/>
      <c r="AFS44" s="20"/>
      <c r="AFT44" s="20"/>
      <c r="AFU44" s="20"/>
      <c r="AFV44" s="20"/>
      <c r="AFW44" s="20"/>
      <c r="AFX44" s="20"/>
      <c r="AFY44" s="20"/>
      <c r="AFZ44" s="20"/>
      <c r="AGA44" s="20"/>
      <c r="AGB44" s="20"/>
      <c r="AGC44" s="20"/>
      <c r="AGD44" s="20"/>
      <c r="AGE44" s="20"/>
      <c r="AGF44" s="20"/>
      <c r="AGG44" s="20"/>
      <c r="AGH44" s="20"/>
      <c r="AGI44" s="20"/>
      <c r="AGJ44" s="20"/>
      <c r="AGK44" s="20"/>
      <c r="AGL44" s="20"/>
      <c r="AGM44" s="20"/>
      <c r="AGN44" s="20"/>
      <c r="AGO44" s="20"/>
      <c r="AGP44" s="20"/>
      <c r="AGQ44" s="20"/>
      <c r="AGR44" s="20"/>
      <c r="AGS44" s="20"/>
      <c r="AGT44" s="20"/>
      <c r="AGU44" s="20"/>
      <c r="AGV44" s="20"/>
      <c r="AGW44" s="20"/>
      <c r="AGX44" s="20"/>
      <c r="AGY44" s="20"/>
      <c r="AGZ44" s="20"/>
      <c r="AHA44" s="20"/>
      <c r="AHB44" s="20"/>
      <c r="AHC44" s="20"/>
      <c r="AHD44" s="20"/>
      <c r="AHE44" s="20"/>
      <c r="AHF44" s="20"/>
      <c r="AHG44" s="20"/>
      <c r="AHH44" s="20"/>
      <c r="AHI44" s="20"/>
      <c r="AHJ44" s="20"/>
      <c r="AHK44" s="20"/>
      <c r="AHL44" s="20"/>
      <c r="AHM44" s="20"/>
      <c r="AHN44" s="20"/>
      <c r="AHO44" s="20"/>
      <c r="AHP44" s="20"/>
      <c r="AHQ44" s="20"/>
      <c r="AHR44" s="20"/>
      <c r="AHS44" s="20"/>
      <c r="AHT44" s="20"/>
      <c r="AHU44" s="20"/>
      <c r="AHV44" s="20"/>
      <c r="AHW44" s="20"/>
      <c r="AHX44" s="20"/>
      <c r="AHY44" s="20"/>
      <c r="AHZ44" s="20"/>
      <c r="AIA44" s="20"/>
      <c r="AIB44" s="20"/>
      <c r="AIC44" s="20"/>
      <c r="AID44" s="20"/>
      <c r="AIE44" s="20"/>
      <c r="AIF44" s="20"/>
      <c r="AIG44" s="20"/>
      <c r="AIH44" s="20"/>
      <c r="AII44" s="20"/>
      <c r="AIJ44" s="20"/>
      <c r="AIK44" s="20"/>
      <c r="AIL44" s="20"/>
      <c r="AIM44" s="20"/>
      <c r="AIN44" s="20"/>
      <c r="AIO44" s="20"/>
      <c r="AIP44" s="20"/>
      <c r="AIQ44" s="20"/>
      <c r="AIR44" s="20"/>
      <c r="AIS44" s="20"/>
      <c r="AIT44" s="20"/>
      <c r="AIU44" s="20"/>
      <c r="AIV44" s="20"/>
      <c r="AIW44" s="20"/>
      <c r="AIX44" s="20"/>
      <c r="AIY44" s="20"/>
      <c r="AIZ44" s="20"/>
      <c r="AJA44" s="20"/>
      <c r="AJB44" s="20"/>
      <c r="AJC44" s="20"/>
      <c r="AJD44" s="20"/>
      <c r="AJE44" s="20"/>
      <c r="AJF44" s="20"/>
      <c r="AJG44" s="20"/>
      <c r="AJH44" s="20"/>
      <c r="AJI44" s="20"/>
      <c r="AJJ44" s="20"/>
      <c r="AJK44" s="20"/>
      <c r="AJL44" s="20"/>
      <c r="AJM44" s="20"/>
      <c r="AJN44" s="20"/>
      <c r="AJO44" s="20"/>
      <c r="AJP44" s="20"/>
      <c r="AJQ44" s="20"/>
      <c r="AJR44" s="20"/>
      <c r="AJS44" s="20"/>
      <c r="AJT44" s="20"/>
      <c r="AJU44" s="20"/>
      <c r="AJV44" s="20"/>
      <c r="AJW44" s="20"/>
      <c r="AJX44" s="20"/>
      <c r="AJY44" s="20"/>
      <c r="AJZ44" s="20"/>
      <c r="AKA44" s="20"/>
      <c r="AKB44" s="20"/>
      <c r="AKC44" s="20"/>
      <c r="AKD44" s="20"/>
      <c r="AKE44" s="20"/>
      <c r="AKF44" s="20"/>
      <c r="AKG44" s="20"/>
      <c r="AKH44" s="20"/>
      <c r="AKI44" s="20"/>
      <c r="AKJ44" s="20"/>
      <c r="AKK44" s="20"/>
      <c r="AKL44" s="20"/>
      <c r="AKM44" s="20"/>
      <c r="AKN44" s="20"/>
      <c r="AKO44" s="20"/>
      <c r="AKP44" s="20"/>
      <c r="AKQ44" s="20"/>
      <c r="AKR44" s="20"/>
      <c r="AKS44" s="20"/>
      <c r="AKT44" s="20"/>
      <c r="AKU44" s="20"/>
      <c r="AKV44" s="20"/>
      <c r="AKW44" s="20"/>
      <c r="AKX44" s="20"/>
      <c r="AKY44" s="20"/>
      <c r="AKZ44" s="20"/>
      <c r="ALA44" s="20"/>
      <c r="ALB44" s="20"/>
      <c r="ALC44" s="20"/>
      <c r="ALD44" s="20"/>
      <c r="ALE44" s="20"/>
      <c r="ALF44" s="20"/>
      <c r="ALG44" s="20"/>
      <c r="ALH44" s="20"/>
      <c r="ALI44" s="20"/>
      <c r="ALJ44" s="20"/>
      <c r="ALK44" s="20"/>
      <c r="ALL44" s="20"/>
      <c r="ALM44" s="20"/>
      <c r="ALN44" s="20"/>
      <c r="ALO44" s="20"/>
      <c r="ALP44" s="20"/>
      <c r="ALQ44" s="20"/>
      <c r="ALR44" s="20"/>
      <c r="ALS44" s="20"/>
      <c r="ALT44" s="20"/>
      <c r="ALU44" s="20"/>
      <c r="ALV44" s="20"/>
      <c r="ALW44" s="20"/>
      <c r="ALX44" s="20"/>
      <c r="ALY44" s="20"/>
      <c r="ALZ44" s="20"/>
      <c r="AMA44" s="20"/>
      <c r="AMB44" s="20"/>
      <c r="AMC44" s="20"/>
      <c r="AMD44" s="20"/>
      <c r="AME44" s="20"/>
      <c r="AMF44" s="20"/>
      <c r="AMG44" s="20"/>
      <c r="AMH44" s="20"/>
      <c r="AMI44" s="20"/>
      <c r="AMJ44" s="20"/>
    </row>
    <row r="45" s="1" customFormat="true" ht="13.5" hidden="false" customHeight="true" outlineLevel="0" collapsed="false">
      <c r="O45" s="38"/>
      <c r="P45" s="38"/>
      <c r="Q45" s="38"/>
      <c r="R45" s="38"/>
      <c r="S45" s="38"/>
      <c r="T45" s="39"/>
      <c r="U45" s="38"/>
      <c r="V45" s="38"/>
      <c r="X45" s="38"/>
      <c r="AA45" s="4"/>
      <c r="AJ45" s="38"/>
      <c r="AP45" s="38"/>
      <c r="AQ45" s="38"/>
      <c r="BE45" s="4"/>
      <c r="BK45" s="34"/>
      <c r="BL45" s="34"/>
      <c r="CK45" s="20"/>
    </row>
    <row r="46" s="1" customFormat="true" ht="13.8" hidden="false" customHeight="false" outlineLevel="0" collapsed="false">
      <c r="CK46" s="20"/>
    </row>
    <row r="47" s="1" customFormat="true" ht="13.8" hidden="false" customHeight="false" outlineLevel="0" collapsed="false">
      <c r="O47" s="38"/>
      <c r="P47" s="38"/>
      <c r="Q47" s="38"/>
      <c r="R47" s="38"/>
      <c r="S47" s="38"/>
      <c r="T47" s="39"/>
      <c r="U47" s="38"/>
      <c r="V47" s="38"/>
      <c r="X47" s="38"/>
      <c r="AA47" s="4"/>
      <c r="AJ47" s="38"/>
      <c r="AP47" s="38"/>
      <c r="AQ47" s="38"/>
      <c r="BE47" s="4"/>
      <c r="BK47" s="34"/>
      <c r="BL47" s="34"/>
      <c r="CK47" s="20"/>
    </row>
    <row r="48" s="1" customFormat="true" ht="13.8" hidden="false" customHeight="false" outlineLevel="0" collapsed="false">
      <c r="O48" s="38"/>
      <c r="P48" s="38"/>
      <c r="Q48" s="38"/>
      <c r="R48" s="38"/>
      <c r="S48" s="38"/>
      <c r="T48" s="39"/>
      <c r="U48" s="38"/>
      <c r="V48" s="38"/>
      <c r="X48" s="38"/>
      <c r="AA48" s="4"/>
      <c r="AJ48" s="38"/>
      <c r="AP48" s="38"/>
      <c r="AQ48" s="38"/>
      <c r="BE48" s="4"/>
      <c r="BK48" s="34"/>
      <c r="BL48" s="34"/>
      <c r="CK48" s="20"/>
    </row>
    <row r="49" s="1" customFormat="true" ht="13.8" hidden="false" customHeight="false" outlineLevel="0" collapsed="false">
      <c r="O49" s="38"/>
      <c r="P49" s="38"/>
      <c r="Q49" s="38"/>
      <c r="R49" s="38"/>
      <c r="S49" s="38"/>
      <c r="T49" s="38"/>
      <c r="U49" s="38"/>
      <c r="V49" s="38"/>
      <c r="X49" s="38"/>
      <c r="AA49" s="4"/>
      <c r="AJ49" s="38"/>
      <c r="AP49" s="38"/>
      <c r="AQ49" s="38"/>
      <c r="BE49" s="4"/>
      <c r="BK49" s="34"/>
      <c r="BL49" s="34"/>
      <c r="CK49" s="20"/>
    </row>
    <row r="50" s="1" customFormat="true" ht="13.8" hidden="false" customHeight="false" outlineLevel="0" collapsed="false">
      <c r="O50" s="38"/>
      <c r="P50" s="38"/>
      <c r="Q50" s="38"/>
      <c r="R50" s="38"/>
      <c r="S50" s="38"/>
      <c r="T50" s="39"/>
      <c r="U50" s="38"/>
      <c r="V50" s="38"/>
      <c r="X50" s="38"/>
      <c r="AA50" s="4"/>
      <c r="AJ50" s="38"/>
      <c r="AP50" s="38"/>
      <c r="AQ50" s="38"/>
      <c r="BE50" s="4"/>
      <c r="BK50" s="34"/>
      <c r="BL50" s="34"/>
      <c r="CK50" s="20"/>
    </row>
    <row r="51" s="1" customFormat="true" ht="13.8" hidden="false" customHeight="false" outlineLevel="0" collapsed="false">
      <c r="O51" s="38"/>
      <c r="P51" s="38"/>
      <c r="Q51" s="38"/>
      <c r="R51" s="38"/>
      <c r="S51" s="38"/>
      <c r="T51" s="39"/>
      <c r="U51" s="38"/>
      <c r="V51" s="38"/>
      <c r="X51" s="38"/>
      <c r="AA51" s="4"/>
      <c r="AJ51" s="38"/>
      <c r="AP51" s="38"/>
      <c r="AQ51" s="38"/>
      <c r="BE51" s="4"/>
      <c r="BK51" s="34"/>
      <c r="BL51" s="34"/>
      <c r="CK51" s="20"/>
    </row>
    <row r="52" s="1" customFormat="true" ht="13.8" hidden="false" customHeight="false" outlineLevel="0" collapsed="false">
      <c r="O52" s="38"/>
      <c r="P52" s="38"/>
      <c r="Q52" s="38"/>
      <c r="R52" s="38"/>
      <c r="S52" s="38"/>
      <c r="T52" s="39"/>
      <c r="U52" s="38"/>
      <c r="V52" s="38"/>
      <c r="X52" s="38"/>
      <c r="AA52" s="4"/>
      <c r="AJ52" s="38"/>
      <c r="AP52" s="38"/>
      <c r="AQ52" s="38"/>
      <c r="BE52" s="4"/>
      <c r="BK52" s="34"/>
      <c r="BL52" s="34"/>
      <c r="CK52" s="20"/>
    </row>
    <row r="53" s="1" customFormat="true" ht="13.8" hidden="false" customHeight="false" outlineLevel="0" collapsed="false">
      <c r="O53" s="38"/>
      <c r="P53" s="38"/>
      <c r="Q53" s="38"/>
      <c r="R53" s="38"/>
      <c r="S53" s="38"/>
      <c r="T53" s="39"/>
      <c r="U53" s="38"/>
      <c r="V53" s="38"/>
      <c r="X53" s="38"/>
      <c r="AA53" s="4"/>
      <c r="AJ53" s="38"/>
      <c r="AP53" s="38"/>
      <c r="AQ53" s="38"/>
      <c r="BE53" s="4"/>
      <c r="BK53" s="34"/>
      <c r="BL53" s="34"/>
      <c r="CK53" s="20"/>
    </row>
    <row r="54" s="1" customFormat="true" ht="13.8" hidden="false" customHeight="false" outlineLevel="0" collapsed="false">
      <c r="O54" s="38"/>
      <c r="P54" s="38"/>
      <c r="Q54" s="38"/>
      <c r="R54" s="38"/>
      <c r="S54" s="38"/>
      <c r="T54" s="39"/>
      <c r="U54" s="38"/>
      <c r="V54" s="38"/>
      <c r="X54" s="38"/>
      <c r="AA54" s="4"/>
      <c r="AJ54" s="38"/>
      <c r="AP54" s="38"/>
      <c r="AQ54" s="38"/>
      <c r="BE54" s="4"/>
      <c r="BK54" s="34"/>
      <c r="BL54" s="34"/>
      <c r="CK54" s="20"/>
    </row>
    <row r="55" s="1" customFormat="true" ht="13.8" hidden="false" customHeight="false" outlineLevel="0" collapsed="false">
      <c r="O55" s="38"/>
      <c r="P55" s="38"/>
      <c r="Q55" s="38"/>
      <c r="R55" s="38"/>
      <c r="S55" s="38"/>
      <c r="T55" s="39"/>
      <c r="U55" s="38"/>
      <c r="V55" s="38"/>
      <c r="X55" s="38"/>
      <c r="AA55" s="4"/>
      <c r="AJ55" s="38"/>
      <c r="AP55" s="38"/>
      <c r="AQ55" s="38"/>
      <c r="BE55" s="4"/>
      <c r="BK55" s="34"/>
      <c r="BL55" s="34"/>
      <c r="CK55" s="20"/>
    </row>
    <row r="56" s="1" customFormat="true" ht="13.8" hidden="false" customHeight="false" outlineLevel="0" collapsed="false">
      <c r="O56" s="38"/>
      <c r="P56" s="38"/>
      <c r="Q56" s="38"/>
      <c r="R56" s="38"/>
      <c r="S56" s="38"/>
      <c r="T56" s="39"/>
      <c r="U56" s="38"/>
      <c r="V56" s="38"/>
      <c r="X56" s="38"/>
      <c r="AA56" s="4"/>
      <c r="AJ56" s="38"/>
      <c r="AP56" s="38"/>
      <c r="AQ56" s="38"/>
      <c r="BE56" s="4"/>
      <c r="BK56" s="34"/>
      <c r="BL56" s="34"/>
      <c r="CK56" s="20"/>
    </row>
    <row r="57" s="1" customFormat="true" ht="13.8" hidden="false" customHeight="false" outlineLevel="0" collapsed="false">
      <c r="O57" s="38"/>
      <c r="P57" s="38"/>
      <c r="Q57" s="38"/>
      <c r="R57" s="38"/>
      <c r="S57" s="38"/>
      <c r="T57" s="39"/>
      <c r="U57" s="38"/>
      <c r="V57" s="38"/>
      <c r="X57" s="38"/>
      <c r="AA57" s="4"/>
      <c r="AJ57" s="38"/>
      <c r="AP57" s="38"/>
      <c r="AQ57" s="38"/>
      <c r="BE57" s="4"/>
      <c r="BK57" s="34"/>
      <c r="BL57" s="34"/>
      <c r="CK57" s="20"/>
    </row>
    <row r="58" s="1" customFormat="true" ht="13.8" hidden="false" customHeight="false" outlineLevel="0" collapsed="false">
      <c r="O58" s="38"/>
      <c r="P58" s="38"/>
      <c r="Q58" s="38"/>
      <c r="R58" s="38"/>
      <c r="S58" s="38"/>
      <c r="T58" s="38"/>
      <c r="U58" s="38"/>
      <c r="V58" s="38"/>
      <c r="X58" s="38"/>
      <c r="AA58" s="4"/>
      <c r="AJ58" s="38"/>
      <c r="AP58" s="38"/>
      <c r="AQ58" s="38"/>
      <c r="BE58" s="4"/>
      <c r="BK58" s="34"/>
      <c r="BL58" s="34"/>
      <c r="CK58" s="20"/>
    </row>
    <row r="59" s="1" customFormat="true" ht="13.8" hidden="false" customHeight="false" outlineLevel="0" collapsed="false">
      <c r="O59" s="38"/>
      <c r="P59" s="38"/>
      <c r="Q59" s="38"/>
      <c r="R59" s="38"/>
      <c r="S59" s="38"/>
      <c r="T59" s="39"/>
      <c r="U59" s="38"/>
      <c r="V59" s="38"/>
      <c r="X59" s="38"/>
      <c r="AA59" s="4"/>
      <c r="AJ59" s="38"/>
      <c r="AP59" s="38"/>
      <c r="AQ59" s="38"/>
      <c r="BE59" s="4"/>
      <c r="BK59" s="34"/>
      <c r="BL59" s="34"/>
      <c r="CK59" s="20"/>
    </row>
    <row r="60" s="1" customFormat="true" ht="13.8" hidden="false" customHeight="false" outlineLevel="0" collapsed="false">
      <c r="O60" s="38"/>
      <c r="P60" s="38"/>
      <c r="Q60" s="38"/>
      <c r="R60" s="38"/>
      <c r="S60" s="38"/>
      <c r="T60" s="38"/>
      <c r="U60" s="38"/>
      <c r="V60" s="38"/>
      <c r="X60" s="38"/>
      <c r="AA60" s="4"/>
      <c r="AJ60" s="38"/>
      <c r="AP60" s="38"/>
      <c r="AQ60" s="38"/>
      <c r="BE60" s="4"/>
      <c r="BK60" s="34"/>
      <c r="BL60" s="34"/>
      <c r="CK60" s="20"/>
    </row>
    <row r="61" s="1" customFormat="true" ht="13.8" hidden="false" customHeight="false" outlineLevel="0" collapsed="false">
      <c r="O61" s="38"/>
      <c r="P61" s="38"/>
      <c r="Q61" s="38"/>
      <c r="R61" s="38"/>
      <c r="S61" s="38"/>
      <c r="T61" s="38"/>
      <c r="U61" s="38"/>
      <c r="V61" s="38"/>
      <c r="X61" s="38"/>
      <c r="AA61" s="4"/>
      <c r="AJ61" s="38"/>
      <c r="AP61" s="38"/>
      <c r="AQ61" s="38"/>
      <c r="BE61" s="4"/>
      <c r="BK61" s="34"/>
      <c r="BL61" s="34"/>
      <c r="CK61" s="20"/>
    </row>
    <row r="62" s="1" customFormat="true" ht="13.8" hidden="false" customHeight="false" outlineLevel="0" collapsed="false">
      <c r="O62" s="38"/>
      <c r="P62" s="38"/>
      <c r="Q62" s="38"/>
      <c r="R62" s="38"/>
      <c r="S62" s="38"/>
      <c r="T62" s="38"/>
      <c r="U62" s="38"/>
      <c r="V62" s="38"/>
      <c r="X62" s="38"/>
      <c r="AA62" s="4"/>
      <c r="AJ62" s="38"/>
      <c r="AP62" s="38"/>
      <c r="AQ62" s="38"/>
      <c r="BE62" s="4"/>
      <c r="BK62" s="34"/>
      <c r="BL62" s="34"/>
      <c r="CK62" s="20"/>
    </row>
    <row r="63" s="1" customFormat="true" ht="13.8" hidden="false" customHeight="false" outlineLevel="0" collapsed="false">
      <c r="O63" s="38"/>
      <c r="P63" s="38"/>
      <c r="Q63" s="38"/>
      <c r="R63" s="38"/>
      <c r="S63" s="38"/>
      <c r="T63" s="38"/>
      <c r="U63" s="38"/>
      <c r="V63" s="38"/>
      <c r="X63" s="38"/>
      <c r="AA63" s="4"/>
      <c r="AJ63" s="38"/>
      <c r="AP63" s="38"/>
      <c r="AQ63" s="38"/>
      <c r="BE63" s="4"/>
      <c r="BK63" s="34"/>
      <c r="BL63" s="34"/>
      <c r="CK63" s="20"/>
    </row>
    <row r="64" s="1" customFormat="true" ht="13.8" hidden="false" customHeight="false" outlineLevel="0" collapsed="false">
      <c r="O64" s="38"/>
      <c r="P64" s="38"/>
      <c r="Q64" s="38"/>
      <c r="R64" s="38"/>
      <c r="S64" s="38"/>
      <c r="T64" s="38"/>
      <c r="U64" s="38"/>
      <c r="V64" s="38"/>
      <c r="X64" s="38"/>
      <c r="AA64" s="4"/>
      <c r="AJ64" s="38"/>
      <c r="AP64" s="38"/>
      <c r="AQ64" s="38"/>
      <c r="BE64" s="4"/>
      <c r="BK64" s="34"/>
      <c r="BL64" s="34"/>
      <c r="CK64" s="20"/>
    </row>
    <row r="65" s="1" customFormat="true" ht="13.8" hidden="false" customHeight="false" outlineLevel="0" collapsed="false">
      <c r="O65" s="38"/>
      <c r="P65" s="38"/>
      <c r="Q65" s="38"/>
      <c r="R65" s="38"/>
      <c r="S65" s="38"/>
      <c r="T65" s="38"/>
      <c r="U65" s="38"/>
      <c r="V65" s="38"/>
      <c r="X65" s="38"/>
      <c r="AA65" s="4"/>
      <c r="AJ65" s="38"/>
      <c r="AP65" s="38"/>
      <c r="AQ65" s="38"/>
      <c r="BE65" s="4"/>
      <c r="BK65" s="34"/>
      <c r="BL65" s="34"/>
      <c r="CK65" s="20"/>
    </row>
    <row r="66" s="1" customFormat="true" ht="13.8" hidden="false" customHeight="false" outlineLevel="0" collapsed="false">
      <c r="O66" s="38"/>
      <c r="P66" s="38"/>
      <c r="Q66" s="38"/>
      <c r="R66" s="38"/>
      <c r="S66" s="38"/>
      <c r="T66" s="38"/>
      <c r="U66" s="38"/>
      <c r="V66" s="38"/>
      <c r="X66" s="38"/>
      <c r="AA66" s="4"/>
      <c r="AJ66" s="38"/>
      <c r="AP66" s="38"/>
      <c r="AQ66" s="38"/>
      <c r="BE66" s="4"/>
      <c r="BK66" s="34"/>
      <c r="BL66" s="34"/>
      <c r="CK66" s="20"/>
    </row>
    <row r="67" s="1" customFormat="true" ht="13.8" hidden="false" customHeight="false" outlineLevel="0" collapsed="false">
      <c r="O67" s="38"/>
      <c r="P67" s="38"/>
      <c r="Q67" s="38"/>
      <c r="R67" s="38"/>
      <c r="S67" s="38"/>
      <c r="T67" s="38"/>
      <c r="U67" s="38"/>
      <c r="V67" s="38"/>
      <c r="X67" s="38"/>
      <c r="AA67" s="4"/>
      <c r="AJ67" s="38"/>
      <c r="AP67" s="38"/>
      <c r="AQ67" s="38"/>
      <c r="BE67" s="4"/>
      <c r="BK67" s="34"/>
      <c r="BL67" s="34"/>
      <c r="CK67" s="20"/>
    </row>
    <row r="68" s="1" customFormat="true" ht="13.8" hidden="false" customHeight="false" outlineLevel="0" collapsed="false">
      <c r="O68" s="38"/>
      <c r="P68" s="38"/>
      <c r="Q68" s="38"/>
      <c r="R68" s="38"/>
      <c r="S68" s="38"/>
      <c r="T68" s="38"/>
      <c r="U68" s="38"/>
      <c r="V68" s="38"/>
      <c r="X68" s="38"/>
      <c r="AA68" s="4"/>
      <c r="AJ68" s="38"/>
      <c r="AP68" s="38"/>
      <c r="AQ68" s="38"/>
      <c r="BE68" s="4"/>
      <c r="BK68" s="34"/>
      <c r="BL68" s="34"/>
      <c r="CK68" s="20"/>
    </row>
    <row r="69" s="1" customFormat="true" ht="12.75" hidden="false" customHeight="true" outlineLevel="0" collapsed="false">
      <c r="O69" s="38"/>
      <c r="P69" s="38"/>
      <c r="Q69" s="38"/>
      <c r="R69" s="38"/>
      <c r="S69" s="38"/>
      <c r="T69" s="38"/>
      <c r="U69" s="38"/>
      <c r="V69" s="38"/>
      <c r="X69" s="38"/>
      <c r="AA69" s="4"/>
      <c r="AJ69" s="38"/>
      <c r="AP69" s="38"/>
      <c r="AQ69" s="38"/>
      <c r="BE69" s="4"/>
      <c r="BK69" s="34"/>
      <c r="BL69" s="34"/>
      <c r="CK69" s="20"/>
    </row>
    <row r="70" s="1" customFormat="true" ht="13.8" hidden="false" customHeight="false" outlineLevel="0" collapsed="false">
      <c r="O70" s="38"/>
      <c r="P70" s="38"/>
      <c r="Q70" s="38"/>
      <c r="R70" s="38"/>
      <c r="S70" s="38"/>
      <c r="T70" s="38"/>
      <c r="U70" s="38"/>
      <c r="V70" s="38"/>
      <c r="X70" s="38"/>
      <c r="AA70" s="4"/>
      <c r="AJ70" s="38"/>
      <c r="AP70" s="38"/>
      <c r="AQ70" s="38"/>
      <c r="BE70" s="4"/>
      <c r="BK70" s="34"/>
      <c r="BL70" s="34"/>
      <c r="CK70" s="20"/>
    </row>
    <row r="71" s="1" customFormat="true" ht="13.8" hidden="false" customHeight="false" outlineLevel="0" collapsed="false">
      <c r="O71" s="38"/>
      <c r="P71" s="38"/>
      <c r="Q71" s="38"/>
      <c r="R71" s="38"/>
      <c r="S71" s="38"/>
      <c r="T71" s="38"/>
      <c r="U71" s="38"/>
      <c r="V71" s="38"/>
      <c r="X71" s="38"/>
      <c r="AA71" s="4"/>
      <c r="AJ71" s="38"/>
      <c r="AP71" s="38"/>
      <c r="AQ71" s="38"/>
      <c r="BE71" s="4"/>
      <c r="BK71" s="34"/>
      <c r="BL71" s="34"/>
      <c r="CK71" s="20"/>
    </row>
    <row r="72" s="1" customFormat="true" ht="13.8" hidden="false" customHeight="false" outlineLevel="0" collapsed="false">
      <c r="O72" s="38"/>
      <c r="P72" s="38"/>
      <c r="Q72" s="38"/>
      <c r="R72" s="38"/>
      <c r="S72" s="38"/>
      <c r="T72" s="38"/>
      <c r="U72" s="38"/>
      <c r="V72" s="38"/>
      <c r="X72" s="38"/>
      <c r="AA72" s="4"/>
      <c r="AJ72" s="38"/>
      <c r="AP72" s="38"/>
      <c r="AQ72" s="38"/>
      <c r="BE72" s="4"/>
      <c r="BK72" s="34"/>
      <c r="BL72" s="34"/>
      <c r="CK72" s="20"/>
    </row>
    <row r="73" s="1" customFormat="true" ht="13.8" hidden="false" customHeight="false" outlineLevel="0" collapsed="false">
      <c r="O73" s="38"/>
      <c r="P73" s="38"/>
      <c r="Q73" s="38"/>
      <c r="R73" s="38"/>
      <c r="S73" s="38"/>
      <c r="T73" s="38"/>
      <c r="U73" s="38"/>
      <c r="V73" s="38"/>
      <c r="X73" s="38"/>
      <c r="AA73" s="4"/>
      <c r="AJ73" s="38"/>
      <c r="AP73" s="38"/>
      <c r="AQ73" s="38"/>
      <c r="BE73" s="4"/>
      <c r="BK73" s="34"/>
      <c r="BL73" s="34"/>
      <c r="CK73" s="20"/>
    </row>
    <row r="74" s="1" customFormat="true" ht="13.8" hidden="false" customHeight="false" outlineLevel="0" collapsed="false">
      <c r="O74" s="38"/>
      <c r="P74" s="38"/>
      <c r="Q74" s="38"/>
      <c r="R74" s="38"/>
      <c r="S74" s="38"/>
      <c r="T74" s="38"/>
      <c r="U74" s="38"/>
      <c r="V74" s="38"/>
      <c r="X74" s="38"/>
      <c r="AA74" s="4"/>
      <c r="AJ74" s="38"/>
      <c r="AP74" s="38"/>
      <c r="AQ74" s="38"/>
      <c r="BE74" s="4"/>
      <c r="BK74" s="34"/>
      <c r="BL74" s="34"/>
      <c r="CK74" s="20"/>
    </row>
    <row r="75" s="1" customFormat="true" ht="13.8" hidden="false" customHeight="false" outlineLevel="0" collapsed="false">
      <c r="O75" s="38"/>
      <c r="P75" s="38"/>
      <c r="Q75" s="38"/>
      <c r="R75" s="38"/>
      <c r="S75" s="38"/>
      <c r="T75" s="38"/>
      <c r="U75" s="38"/>
      <c r="V75" s="38"/>
      <c r="X75" s="38"/>
      <c r="AA75" s="4"/>
      <c r="AJ75" s="38"/>
      <c r="AP75" s="38"/>
      <c r="AQ75" s="38"/>
      <c r="BE75" s="4"/>
      <c r="BK75" s="34"/>
      <c r="BL75" s="34"/>
      <c r="CK75" s="20"/>
    </row>
    <row r="76" s="1" customFormat="true" ht="13.8" hidden="false" customHeight="false" outlineLevel="0" collapsed="false">
      <c r="O76" s="38"/>
      <c r="P76" s="38"/>
      <c r="Q76" s="38"/>
      <c r="R76" s="38"/>
      <c r="S76" s="38"/>
      <c r="T76" s="38"/>
      <c r="U76" s="38"/>
      <c r="V76" s="38"/>
      <c r="X76" s="38"/>
      <c r="AA76" s="4"/>
      <c r="AJ76" s="38"/>
      <c r="AP76" s="38"/>
      <c r="AQ76" s="38"/>
      <c r="BE76" s="4"/>
      <c r="BK76" s="34"/>
      <c r="BL76" s="34"/>
      <c r="CK76" s="20"/>
    </row>
    <row r="77" s="1" customFormat="true" ht="13.8" hidden="false" customHeight="false" outlineLevel="0" collapsed="false">
      <c r="O77" s="38"/>
      <c r="P77" s="38"/>
      <c r="Q77" s="38"/>
      <c r="R77" s="38"/>
      <c r="S77" s="38"/>
      <c r="T77" s="38"/>
      <c r="U77" s="38"/>
      <c r="V77" s="38"/>
      <c r="X77" s="38"/>
      <c r="AA77" s="4"/>
      <c r="AJ77" s="38"/>
      <c r="AP77" s="38"/>
      <c r="AQ77" s="38"/>
      <c r="BE77" s="4"/>
      <c r="BK77" s="34"/>
      <c r="BL77" s="34"/>
      <c r="CK77" s="20"/>
    </row>
    <row r="78" s="1" customFormat="true" ht="13.8" hidden="false" customHeight="false" outlineLevel="0" collapsed="false">
      <c r="O78" s="38"/>
      <c r="P78" s="38"/>
      <c r="Q78" s="38"/>
      <c r="R78" s="38"/>
      <c r="S78" s="38"/>
      <c r="T78" s="39"/>
      <c r="U78" s="38"/>
      <c r="V78" s="38"/>
      <c r="X78" s="38"/>
      <c r="AA78" s="4"/>
      <c r="AJ78" s="38"/>
      <c r="AP78" s="38"/>
      <c r="AQ78" s="38"/>
      <c r="BE78" s="4"/>
      <c r="BK78" s="34"/>
      <c r="BL78" s="34"/>
      <c r="CK78" s="20"/>
    </row>
    <row r="79" s="1" customFormat="true" ht="13.8" hidden="false" customHeight="false" outlineLevel="0" collapsed="false">
      <c r="O79" s="38"/>
      <c r="P79" s="38"/>
      <c r="Q79" s="38"/>
      <c r="R79" s="38"/>
      <c r="S79" s="38"/>
      <c r="T79" s="39"/>
      <c r="U79" s="38"/>
      <c r="V79" s="38"/>
      <c r="X79" s="38"/>
      <c r="AA79" s="4"/>
      <c r="AJ79" s="38"/>
      <c r="AP79" s="38"/>
      <c r="AQ79" s="38"/>
      <c r="BE79" s="4"/>
      <c r="BK79" s="34"/>
      <c r="BL79" s="34"/>
      <c r="CK79" s="20"/>
    </row>
    <row r="80" s="1" customFormat="true" ht="13.8" hidden="false" customHeight="false" outlineLevel="0" collapsed="false">
      <c r="O80" s="38"/>
      <c r="P80" s="38"/>
      <c r="Q80" s="38"/>
      <c r="R80" s="38"/>
      <c r="S80" s="38"/>
      <c r="T80" s="39"/>
      <c r="U80" s="38"/>
      <c r="V80" s="38"/>
      <c r="X80" s="38"/>
      <c r="AA80" s="4"/>
      <c r="AJ80" s="38"/>
      <c r="AP80" s="38"/>
      <c r="AQ80" s="38"/>
      <c r="BE80" s="4"/>
      <c r="BK80" s="34"/>
      <c r="BL80" s="34"/>
      <c r="CK80" s="20"/>
    </row>
    <row r="81" s="1" customFormat="true" ht="13.8" hidden="false" customHeight="false" outlineLevel="0" collapsed="false">
      <c r="O81" s="38"/>
      <c r="P81" s="38"/>
      <c r="Q81" s="38"/>
      <c r="R81" s="38"/>
      <c r="S81" s="38"/>
      <c r="T81" s="39"/>
      <c r="U81" s="38"/>
      <c r="V81" s="38"/>
      <c r="X81" s="38"/>
      <c r="AA81" s="4"/>
      <c r="AJ81" s="38"/>
      <c r="AP81" s="38"/>
      <c r="AQ81" s="38"/>
      <c r="BE81" s="4"/>
      <c r="BK81" s="34"/>
      <c r="BL81" s="34"/>
      <c r="CK81" s="20"/>
    </row>
    <row r="82" s="1" customFormat="true" ht="13.8" hidden="false" customHeight="false" outlineLevel="0" collapsed="false">
      <c r="O82" s="38"/>
      <c r="P82" s="38"/>
      <c r="Q82" s="38"/>
      <c r="R82" s="38"/>
      <c r="S82" s="38"/>
      <c r="T82" s="39"/>
      <c r="U82" s="38"/>
      <c r="V82" s="38"/>
      <c r="X82" s="38"/>
      <c r="AA82" s="4"/>
      <c r="AJ82" s="38"/>
      <c r="AP82" s="38"/>
      <c r="AQ82" s="38"/>
      <c r="BE82" s="4"/>
      <c r="BK82" s="34"/>
      <c r="BL82" s="34"/>
      <c r="CK82" s="20"/>
    </row>
    <row r="83" s="1" customFormat="true" ht="13.8" hidden="false" customHeight="false" outlineLevel="0" collapsed="false">
      <c r="O83" s="38"/>
      <c r="P83" s="38"/>
      <c r="Q83" s="38"/>
      <c r="R83" s="38"/>
      <c r="S83" s="38"/>
      <c r="T83" s="39"/>
      <c r="U83" s="38"/>
      <c r="V83" s="38"/>
      <c r="X83" s="38"/>
      <c r="AA83" s="4"/>
      <c r="AJ83" s="38"/>
      <c r="AP83" s="38"/>
      <c r="AQ83" s="38"/>
      <c r="BE83" s="4"/>
      <c r="BK83" s="34"/>
      <c r="BL83" s="34"/>
      <c r="CK83" s="20"/>
    </row>
    <row r="84" s="1" customFormat="true" ht="13.8" hidden="false" customHeight="false" outlineLevel="0" collapsed="false">
      <c r="O84" s="38"/>
      <c r="P84" s="38"/>
      <c r="Q84" s="38"/>
      <c r="R84" s="38"/>
      <c r="S84" s="38"/>
      <c r="T84" s="39"/>
      <c r="U84" s="38"/>
      <c r="V84" s="38"/>
      <c r="X84" s="38"/>
      <c r="AA84" s="4"/>
      <c r="AJ84" s="38"/>
      <c r="AP84" s="38"/>
      <c r="AQ84" s="38"/>
      <c r="BE84" s="4"/>
      <c r="BK84" s="34"/>
      <c r="BL84" s="34"/>
      <c r="CK84" s="20"/>
    </row>
    <row r="85" s="1" customFormat="true" ht="13.8" hidden="false" customHeight="false" outlineLevel="0" collapsed="false">
      <c r="O85" s="38"/>
      <c r="P85" s="38"/>
      <c r="Q85" s="38"/>
      <c r="R85" s="38"/>
      <c r="S85" s="38"/>
      <c r="T85" s="39"/>
      <c r="U85" s="38"/>
      <c r="V85" s="38"/>
      <c r="X85" s="38"/>
      <c r="AA85" s="4"/>
      <c r="AJ85" s="38"/>
      <c r="AP85" s="38"/>
      <c r="AQ85" s="38"/>
      <c r="BE85" s="4"/>
      <c r="BK85" s="34"/>
      <c r="BL85" s="34"/>
      <c r="CK85" s="20"/>
    </row>
    <row r="86" s="1" customFormat="true" ht="13.8" hidden="false" customHeight="false" outlineLevel="0" collapsed="false">
      <c r="O86" s="38"/>
      <c r="P86" s="38"/>
      <c r="Q86" s="38"/>
      <c r="R86" s="38"/>
      <c r="S86" s="38"/>
      <c r="T86" s="39"/>
      <c r="U86" s="38"/>
      <c r="V86" s="38"/>
      <c r="X86" s="38"/>
      <c r="AA86" s="4"/>
      <c r="AJ86" s="38"/>
      <c r="AP86" s="38"/>
      <c r="AQ86" s="38"/>
      <c r="BE86" s="4"/>
      <c r="BK86" s="34"/>
      <c r="BL86" s="34"/>
      <c r="CK86" s="20"/>
    </row>
    <row r="87" s="1" customFormat="true" ht="13.8" hidden="false" customHeight="false" outlineLevel="0" collapsed="false">
      <c r="O87" s="38"/>
      <c r="P87" s="38"/>
      <c r="Q87" s="38"/>
      <c r="R87" s="38"/>
      <c r="S87" s="38"/>
      <c r="T87" s="39"/>
      <c r="U87" s="38"/>
      <c r="V87" s="38"/>
      <c r="X87" s="38"/>
      <c r="AA87" s="4"/>
      <c r="AJ87" s="38"/>
      <c r="AP87" s="38"/>
      <c r="AQ87" s="38"/>
      <c r="BE87" s="4"/>
      <c r="BK87" s="34"/>
      <c r="BL87" s="34"/>
      <c r="CK87" s="20"/>
    </row>
    <row r="88" s="1" customFormat="true" ht="13.8" hidden="false" customHeight="false" outlineLevel="0" collapsed="false">
      <c r="O88" s="38"/>
      <c r="P88" s="38"/>
      <c r="Q88" s="38"/>
      <c r="R88" s="38"/>
      <c r="S88" s="38"/>
      <c r="T88" s="39"/>
      <c r="U88" s="38"/>
      <c r="V88" s="38"/>
      <c r="X88" s="38"/>
      <c r="AA88" s="4"/>
      <c r="AJ88" s="38"/>
      <c r="AP88" s="38"/>
      <c r="AQ88" s="38"/>
      <c r="BE88" s="4"/>
      <c r="BK88" s="34"/>
      <c r="BL88" s="34"/>
      <c r="CK88" s="20"/>
    </row>
    <row r="89" s="1" customFormat="true" ht="13.8" hidden="false" customHeight="false" outlineLevel="0" collapsed="false">
      <c r="O89" s="38"/>
      <c r="P89" s="38"/>
      <c r="Q89" s="38"/>
      <c r="R89" s="38"/>
      <c r="S89" s="38"/>
      <c r="T89" s="39"/>
      <c r="U89" s="38"/>
      <c r="V89" s="38"/>
      <c r="X89" s="38"/>
      <c r="AA89" s="4"/>
      <c r="AJ89" s="38"/>
      <c r="AP89" s="38"/>
      <c r="AQ89" s="38"/>
      <c r="BE89" s="4"/>
      <c r="BK89" s="34"/>
      <c r="BL89" s="34"/>
      <c r="CK89" s="20"/>
    </row>
    <row r="90" s="1" customFormat="true" ht="13.8" hidden="false" customHeight="false" outlineLevel="0" collapsed="false">
      <c r="O90" s="38"/>
      <c r="P90" s="38"/>
      <c r="Q90" s="38"/>
      <c r="R90" s="38"/>
      <c r="S90" s="38"/>
      <c r="T90" s="39"/>
      <c r="U90" s="38"/>
      <c r="V90" s="38"/>
      <c r="X90" s="38"/>
      <c r="AA90" s="4"/>
      <c r="AJ90" s="38"/>
      <c r="AP90" s="38"/>
      <c r="AQ90" s="38"/>
      <c r="BE90" s="4"/>
      <c r="BK90" s="34"/>
      <c r="BL90" s="34"/>
      <c r="CK90" s="20"/>
    </row>
    <row r="91" s="1" customFormat="true" ht="13.8" hidden="false" customHeight="false" outlineLevel="0" collapsed="false">
      <c r="O91" s="38"/>
      <c r="P91" s="38"/>
      <c r="Q91" s="38"/>
      <c r="R91" s="38"/>
      <c r="S91" s="38"/>
      <c r="T91" s="39"/>
      <c r="U91" s="38"/>
      <c r="V91" s="38"/>
      <c r="X91" s="38"/>
      <c r="AA91" s="4"/>
      <c r="AJ91" s="38"/>
      <c r="AP91" s="38"/>
      <c r="AQ91" s="38"/>
      <c r="BE91" s="4"/>
      <c r="BK91" s="34"/>
      <c r="BL91" s="34"/>
      <c r="CK91" s="20"/>
    </row>
    <row r="92" s="1" customFormat="true" ht="13.8" hidden="false" customHeight="false" outlineLevel="0" collapsed="false">
      <c r="O92" s="38"/>
      <c r="P92" s="38"/>
      <c r="Q92" s="38"/>
      <c r="R92" s="38"/>
      <c r="S92" s="38"/>
      <c r="T92" s="39"/>
      <c r="U92" s="38"/>
      <c r="V92" s="38"/>
      <c r="X92" s="38"/>
      <c r="AA92" s="4"/>
      <c r="AJ92" s="38"/>
      <c r="AP92" s="38"/>
      <c r="AQ92" s="38"/>
      <c r="BE92" s="4"/>
      <c r="BK92" s="34"/>
      <c r="BL92" s="34"/>
      <c r="CK92" s="20"/>
    </row>
    <row r="93" s="1" customFormat="true" ht="13.8" hidden="false" customHeight="false" outlineLevel="0" collapsed="false">
      <c r="O93" s="38"/>
      <c r="P93" s="38"/>
      <c r="Q93" s="38"/>
      <c r="R93" s="38"/>
      <c r="S93" s="38"/>
      <c r="T93" s="38"/>
      <c r="U93" s="38"/>
      <c r="V93" s="38"/>
      <c r="X93" s="38"/>
      <c r="AA93" s="4"/>
      <c r="AJ93" s="38"/>
      <c r="AP93" s="38"/>
      <c r="AQ93" s="38"/>
      <c r="BE93" s="4"/>
      <c r="BK93" s="34"/>
      <c r="BL93" s="34"/>
      <c r="CK93" s="20"/>
    </row>
    <row r="94" s="1" customFormat="true" ht="13.8" hidden="false" customHeight="false" outlineLevel="0" collapsed="false">
      <c r="O94" s="38"/>
      <c r="P94" s="38"/>
      <c r="Q94" s="38"/>
      <c r="R94" s="38"/>
      <c r="S94" s="38"/>
      <c r="T94" s="38"/>
      <c r="U94" s="38"/>
      <c r="V94" s="38"/>
      <c r="X94" s="38"/>
      <c r="AA94" s="4"/>
      <c r="AJ94" s="38"/>
      <c r="AP94" s="38"/>
      <c r="AQ94" s="38"/>
      <c r="BE94" s="4"/>
      <c r="BK94" s="34"/>
      <c r="BL94" s="34"/>
      <c r="CK94" s="20"/>
    </row>
    <row r="95" s="1" customFormat="true" ht="13.8" hidden="false" customHeight="false" outlineLevel="0" collapsed="false">
      <c r="O95" s="38"/>
      <c r="P95" s="38"/>
      <c r="Q95" s="38"/>
      <c r="R95" s="38"/>
      <c r="S95" s="38"/>
      <c r="T95" s="38"/>
      <c r="U95" s="38"/>
      <c r="V95" s="38"/>
      <c r="X95" s="38"/>
      <c r="AA95" s="4"/>
      <c r="AJ95" s="38"/>
      <c r="AP95" s="38"/>
      <c r="AQ95" s="38"/>
      <c r="BE95" s="4"/>
      <c r="BK95" s="34"/>
      <c r="BL95" s="34"/>
      <c r="CK95" s="20"/>
    </row>
    <row r="96" s="1" customFormat="true" ht="13.8" hidden="false" customHeight="false" outlineLevel="0" collapsed="false">
      <c r="O96" s="38"/>
      <c r="P96" s="38"/>
      <c r="Q96" s="38"/>
      <c r="R96" s="38"/>
      <c r="S96" s="38"/>
      <c r="T96" s="38"/>
      <c r="U96" s="38"/>
      <c r="V96" s="38"/>
      <c r="X96" s="38"/>
      <c r="AA96" s="4"/>
      <c r="AJ96" s="38"/>
      <c r="AP96" s="38"/>
      <c r="AQ96" s="38"/>
      <c r="BE96" s="4"/>
      <c r="BK96" s="34"/>
      <c r="BL96" s="34"/>
      <c r="CK96" s="20"/>
    </row>
    <row r="97" s="1" customFormat="true" ht="13.8" hidden="false" customHeight="false" outlineLevel="0" collapsed="false">
      <c r="O97" s="38"/>
      <c r="P97" s="38"/>
      <c r="Q97" s="38"/>
      <c r="R97" s="38"/>
      <c r="S97" s="38"/>
      <c r="T97" s="38"/>
      <c r="U97" s="38"/>
      <c r="V97" s="38"/>
      <c r="X97" s="38"/>
      <c r="AA97" s="4"/>
      <c r="AJ97" s="38"/>
      <c r="AP97" s="38"/>
      <c r="AQ97" s="38"/>
      <c r="BE97" s="4"/>
      <c r="BK97" s="34"/>
      <c r="BL97" s="34"/>
      <c r="CK97" s="20"/>
    </row>
    <row r="98" s="1" customFormat="true" ht="13.8" hidden="false" customHeight="false" outlineLevel="0" collapsed="false">
      <c r="O98" s="38"/>
      <c r="P98" s="38"/>
      <c r="Q98" s="38"/>
      <c r="R98" s="38"/>
      <c r="S98" s="38"/>
      <c r="T98" s="38"/>
      <c r="U98" s="38"/>
      <c r="V98" s="38"/>
      <c r="X98" s="38"/>
      <c r="AA98" s="4"/>
      <c r="AJ98" s="38"/>
      <c r="AP98" s="38"/>
      <c r="AQ98" s="38"/>
      <c r="BE98" s="4"/>
      <c r="BK98" s="34"/>
      <c r="BL98" s="34"/>
      <c r="CC98" s="10"/>
      <c r="CK98" s="20"/>
    </row>
    <row r="99" s="1" customFormat="true" ht="13.8" hidden="false" customHeight="false" outlineLevel="0" collapsed="false">
      <c r="O99" s="38"/>
      <c r="P99" s="38"/>
      <c r="Q99" s="38"/>
      <c r="R99" s="38"/>
      <c r="S99" s="38"/>
      <c r="T99" s="38"/>
      <c r="U99" s="38"/>
      <c r="V99" s="38"/>
      <c r="X99" s="38"/>
      <c r="AA99" s="4"/>
      <c r="AJ99" s="38"/>
      <c r="AP99" s="38"/>
      <c r="AQ99" s="38"/>
      <c r="BE99" s="4"/>
      <c r="BK99" s="34"/>
      <c r="BL99" s="34"/>
      <c r="CC99" s="10"/>
      <c r="CK99" s="20"/>
    </row>
    <row r="100" s="1" customFormat="true" ht="13.8" hidden="false" customHeight="false" outlineLevel="0" collapsed="false">
      <c r="O100" s="38"/>
      <c r="P100" s="38"/>
      <c r="Q100" s="38"/>
      <c r="R100" s="38"/>
      <c r="S100" s="38"/>
      <c r="T100" s="38"/>
      <c r="U100" s="38"/>
      <c r="V100" s="38"/>
      <c r="X100" s="38"/>
      <c r="AA100" s="4"/>
      <c r="AJ100" s="38"/>
      <c r="AP100" s="38"/>
      <c r="AQ100" s="38"/>
      <c r="BE100" s="4"/>
      <c r="BK100" s="34"/>
      <c r="BL100" s="34"/>
      <c r="CC100" s="10"/>
      <c r="CK100" s="20"/>
    </row>
    <row r="101" s="1" customFormat="true" ht="13.8" hidden="false" customHeight="false" outlineLevel="0" collapsed="false">
      <c r="O101" s="38"/>
      <c r="P101" s="38"/>
      <c r="Q101" s="38"/>
      <c r="R101" s="38"/>
      <c r="S101" s="38"/>
      <c r="T101" s="38"/>
      <c r="U101" s="38"/>
      <c r="V101" s="38"/>
      <c r="X101" s="38"/>
      <c r="AA101" s="4"/>
      <c r="AJ101" s="38"/>
      <c r="AP101" s="38"/>
      <c r="AQ101" s="38"/>
      <c r="BE101" s="4"/>
      <c r="BK101" s="34"/>
      <c r="BL101" s="34"/>
      <c r="CC101" s="10"/>
      <c r="CK101" s="20"/>
    </row>
    <row r="102" s="1" customFormat="true" ht="13.8" hidden="false" customHeight="false" outlineLevel="0" collapsed="false">
      <c r="O102" s="38"/>
      <c r="P102" s="38"/>
      <c r="Q102" s="38"/>
      <c r="R102" s="38"/>
      <c r="S102" s="38"/>
      <c r="T102" s="38"/>
      <c r="U102" s="38"/>
      <c r="V102" s="38"/>
      <c r="X102" s="38"/>
      <c r="AA102" s="4"/>
      <c r="AJ102" s="38"/>
      <c r="AP102" s="38"/>
      <c r="AQ102" s="38"/>
      <c r="BE102" s="4"/>
      <c r="BK102" s="34"/>
      <c r="BL102" s="34"/>
      <c r="CC102" s="10"/>
      <c r="CK102" s="20"/>
    </row>
    <row r="103" s="1" customFormat="true" ht="13.8" hidden="false" customHeight="false" outlineLevel="0" collapsed="false">
      <c r="O103" s="38"/>
      <c r="P103" s="38"/>
      <c r="Q103" s="38"/>
      <c r="R103" s="38"/>
      <c r="S103" s="38"/>
      <c r="T103" s="38"/>
      <c r="U103" s="38"/>
      <c r="V103" s="38"/>
      <c r="X103" s="38"/>
      <c r="AA103" s="4"/>
      <c r="AJ103" s="38"/>
      <c r="AP103" s="38"/>
      <c r="AQ103" s="38"/>
      <c r="BE103" s="4"/>
      <c r="BK103" s="34"/>
      <c r="BL103" s="34"/>
      <c r="CC103" s="10"/>
      <c r="CK103" s="20"/>
    </row>
    <row r="104" s="1" customFormat="true" ht="13.8" hidden="false" customHeight="false" outlineLevel="0" collapsed="false">
      <c r="O104" s="38"/>
      <c r="P104" s="38"/>
      <c r="Q104" s="38"/>
      <c r="R104" s="38"/>
      <c r="S104" s="38"/>
      <c r="T104" s="38"/>
      <c r="U104" s="38"/>
      <c r="V104" s="38"/>
      <c r="X104" s="38"/>
      <c r="AA104" s="4"/>
      <c r="AJ104" s="38"/>
      <c r="AP104" s="38"/>
      <c r="AQ104" s="38"/>
      <c r="BE104" s="4"/>
      <c r="BK104" s="34"/>
      <c r="BL104" s="34"/>
      <c r="CC104" s="10"/>
      <c r="CK104" s="20"/>
    </row>
    <row r="105" s="1" customFormat="true" ht="13.8" hidden="false" customHeight="false" outlineLevel="0" collapsed="false">
      <c r="O105" s="38"/>
      <c r="P105" s="38"/>
      <c r="Q105" s="38"/>
      <c r="R105" s="38"/>
      <c r="S105" s="38"/>
      <c r="T105" s="38"/>
      <c r="U105" s="38"/>
      <c r="V105" s="38"/>
      <c r="X105" s="38"/>
      <c r="AA105" s="4"/>
      <c r="AJ105" s="38"/>
      <c r="AP105" s="38"/>
      <c r="AQ105" s="38"/>
      <c r="BE105" s="4"/>
      <c r="BK105" s="34"/>
      <c r="BL105" s="34"/>
      <c r="CC105" s="10"/>
      <c r="CK105" s="20"/>
    </row>
    <row r="106" s="1" customFormat="true" ht="13.8" hidden="false" customHeight="false" outlineLevel="0" collapsed="false">
      <c r="O106" s="38"/>
      <c r="P106" s="38"/>
      <c r="Q106" s="38"/>
      <c r="R106" s="38"/>
      <c r="S106" s="38"/>
      <c r="T106" s="38"/>
      <c r="U106" s="38"/>
      <c r="V106" s="38"/>
      <c r="X106" s="38"/>
      <c r="AA106" s="4"/>
      <c r="AJ106" s="38"/>
      <c r="AP106" s="38"/>
      <c r="AQ106" s="38"/>
      <c r="BE106" s="4"/>
      <c r="BK106" s="34"/>
      <c r="BL106" s="34"/>
      <c r="CC106" s="10"/>
      <c r="CK106" s="20"/>
    </row>
    <row r="107" s="1" customFormat="true" ht="13.8" hidden="false" customHeight="false" outlineLevel="0" collapsed="false">
      <c r="O107" s="38"/>
      <c r="P107" s="38"/>
      <c r="Q107" s="38"/>
      <c r="R107" s="38"/>
      <c r="S107" s="38"/>
      <c r="T107" s="38"/>
      <c r="U107" s="38"/>
      <c r="V107" s="38"/>
      <c r="X107" s="38"/>
      <c r="AA107" s="4"/>
      <c r="AJ107" s="38"/>
      <c r="AP107" s="38"/>
      <c r="AQ107" s="38"/>
      <c r="BE107" s="4"/>
      <c r="BK107" s="34"/>
      <c r="BL107" s="34"/>
      <c r="CC107" s="10"/>
      <c r="CK107" s="20"/>
    </row>
    <row r="108" s="1" customFormat="true" ht="13.8" hidden="false" customHeight="false" outlineLevel="0" collapsed="false">
      <c r="O108" s="38"/>
      <c r="P108" s="38"/>
      <c r="Q108" s="38"/>
      <c r="R108" s="38"/>
      <c r="S108" s="38"/>
      <c r="T108" s="38"/>
      <c r="U108" s="38"/>
      <c r="V108" s="38"/>
      <c r="X108" s="38"/>
      <c r="AA108" s="4"/>
      <c r="AJ108" s="38"/>
      <c r="AP108" s="38"/>
      <c r="AQ108" s="38"/>
      <c r="BE108" s="4"/>
      <c r="BK108" s="34"/>
      <c r="BL108" s="34"/>
      <c r="CC108" s="10"/>
      <c r="CK108" s="20"/>
    </row>
  </sheetData>
  <autoFilter ref="A1:CH32"/>
  <conditionalFormatting sqref="C30 C2:C4 C16">
    <cfRule type="duplicateValues" priority="2" aboveAverage="0" equalAverage="0" bottom="0" percent="0" rank="0" text="" dxfId="11"/>
  </conditionalFormatting>
  <dataValidations count="10">
    <dataValidation allowBlank="true" errorStyle="stop" operator="between" showDropDown="false" showErrorMessage="true" showInputMessage="true" sqref="CB65 CB109:CB1023" type="list">
      <formula1>'Gameplay Planning'!$1:$1</formula1>
      <formula2>0</formula2>
    </dataValidation>
    <dataValidation allowBlank="true" errorStyle="stop" operator="between" showDropDown="false" showErrorMessage="true" showInputMessage="true" sqref="BZ1 BZ20" type="list">
      <formula1>'Gameplay Planning'!$1:$1</formula1>
      <formula2>0</formula2>
    </dataValidation>
    <dataValidation allowBlank="true" errorStyle="stop" operator="between" showDropDown="false" showErrorMessage="true" showInputMessage="true" sqref="BZ21:BZ25 BZ28:BZ29" type="list">
      <formula1>'Gameplay Planning'!$1:$1</formula1>
      <formula2>0</formula2>
    </dataValidation>
    <dataValidation allowBlank="true" errorStyle="stop" operator="between" showDropDown="false" showErrorMessage="true" showInputMessage="true" sqref="BZ26:BZ27" type="list">
      <formula1>'Gameplay Planning'!$1:$1</formula1>
      <formula2>0</formula2>
    </dataValidation>
    <dataValidation allowBlank="true" errorStyle="stop" operator="between" showDropDown="false" showErrorMessage="true" showInputMessage="true" sqref="BZ34 BZ37:BZ38" type="list">
      <formula1>'Gameplay Planning'!$1:$1</formula1>
      <formula2>0</formula2>
    </dataValidation>
    <dataValidation allowBlank="true" errorStyle="stop" operator="between" showDropDown="false" showErrorMessage="true" showInputMessage="true" sqref="BZ31:BZ33 BZ35:BZ36" type="list">
      <formula1>'Gameplay Planning'!$1:$1</formula1>
      <formula2>0</formula2>
    </dataValidation>
    <dataValidation allowBlank="true" errorStyle="stop" operator="between" showDropDown="false" showErrorMessage="true" showInputMessage="true" sqref="BZ5:BZ10 BZ17:BZ19" type="list">
      <formula1>'Gameplay Planning'!$1:$1</formula1>
      <formula2>0</formula2>
    </dataValidation>
    <dataValidation allowBlank="true" errorStyle="stop" operator="between" showDropDown="false" showErrorMessage="true" showInputMessage="true" sqref="BZ39:BZ44" type="list">
      <formula1>'Gameplay Planning'!$1:$1</formula1>
      <formula2>0</formula2>
    </dataValidation>
    <dataValidation allowBlank="true" errorStyle="stop" operator="between" showDropDown="false" showErrorMessage="true" showInputMessage="true" sqref="BZ30" type="list">
      <formula1>'Gameplay Planning'!$1:$1</formula1>
      <formula2>0</formula2>
    </dataValidation>
    <dataValidation allowBlank="true" errorStyle="stop" operator="between" showDropDown="false" showErrorMessage="true" showInputMessage="true" sqref="BZ4 BZ11:BZ16"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K8" activeCellId="0" sqref="K8"/>
    </sheetView>
  </sheetViews>
  <sheetFormatPr defaultColWidth="8.60546875" defaultRowHeight="15" customHeight="true" zeroHeight="false" outlineLevelRow="0" outlineLevelCol="0"/>
  <cols>
    <col collapsed="false" customWidth="true" hidden="false" outlineLevel="0" max="2" min="2" style="19" width="28.99"/>
    <col collapsed="false" customWidth="true" hidden="false" outlineLevel="0" max="4" min="3" style="19" width="17.3"/>
    <col collapsed="false" customWidth="true" hidden="false" outlineLevel="0" max="5" min="5" style="19" width="6.57"/>
    <col collapsed="false" customWidth="true" hidden="false" outlineLevel="0" max="8" min="8" style="19" width="11.99"/>
    <col collapsed="false" customWidth="true" hidden="false" outlineLevel="0" max="10" min="9" style="19" width="16.14"/>
    <col collapsed="false" customWidth="true" hidden="false" outlineLevel="0" max="11" min="11" style="19" width="13.3"/>
    <col collapsed="false" customWidth="true" hidden="false" outlineLevel="0" max="13" min="13" style="19" width="14.01"/>
    <col collapsed="false" customWidth="true" hidden="false" outlineLevel="0" max="15" min="15" style="19" width="13.7"/>
    <col collapsed="false" customWidth="true" hidden="false" outlineLevel="0" max="16" min="16" style="19" width="3.15"/>
    <col collapsed="false" customWidth="true" hidden="false" outlineLevel="0" max="18" min="18" style="19" width="12.57"/>
    <col collapsed="false" customWidth="true" hidden="false" outlineLevel="0" max="19" min="19" style="19" width="12.43"/>
    <col collapsed="false" customWidth="true" hidden="false" outlineLevel="0" max="20" min="20" style="19" width="10.85"/>
    <col collapsed="false" customWidth="true" hidden="false" outlineLevel="0" max="21" min="21" style="19" width="4.43"/>
    <col collapsed="false" customWidth="true" hidden="false" outlineLevel="0" max="22" min="22" style="19" width="7"/>
  </cols>
  <sheetData>
    <row r="1" customFormat="false" ht="15" hidden="false" customHeight="false" outlineLevel="0" collapsed="false">
      <c r="C1" s="17" t="s">
        <v>312</v>
      </c>
      <c r="D1" s="17" t="s">
        <v>313</v>
      </c>
      <c r="E1" s="17" t="s">
        <v>93</v>
      </c>
      <c r="F1" s="17" t="s">
        <v>314</v>
      </c>
      <c r="G1" s="17" t="s">
        <v>315</v>
      </c>
      <c r="H1" s="17" t="s">
        <v>252</v>
      </c>
      <c r="I1" s="17" t="s">
        <v>234</v>
      </c>
      <c r="J1" s="17" t="s">
        <v>316</v>
      </c>
      <c r="K1" s="17" t="s">
        <v>317</v>
      </c>
      <c r="L1" s="17" t="s">
        <v>105</v>
      </c>
      <c r="M1" s="17" t="s">
        <v>318</v>
      </c>
      <c r="N1" s="17" t="s">
        <v>150</v>
      </c>
      <c r="O1" s="17" t="s">
        <v>163</v>
      </c>
      <c r="P1" s="17" t="s">
        <v>319</v>
      </c>
      <c r="Q1" s="17" t="s">
        <v>289</v>
      </c>
      <c r="R1" s="17" t="s">
        <v>320</v>
      </c>
      <c r="S1" s="17" t="s">
        <v>321</v>
      </c>
      <c r="T1" s="17" t="s">
        <v>322</v>
      </c>
      <c r="U1" s="17" t="s">
        <v>323</v>
      </c>
      <c r="V1" s="17" t="s">
        <v>259</v>
      </c>
      <c r="W1" s="17" t="s">
        <v>324</v>
      </c>
    </row>
    <row r="2" customFormat="false" ht="15" hidden="false" customHeight="false" outlineLevel="0" collapsed="false">
      <c r="A2" s="17" t="s">
        <v>325</v>
      </c>
      <c r="B2" s="17" t="s">
        <v>326</v>
      </c>
    </row>
    <row r="3" customFormat="false" ht="15" hidden="false" customHeight="false" outlineLevel="0" collapsed="false">
      <c r="A3" s="19" t="s">
        <v>327</v>
      </c>
      <c r="B3" s="19" t="str">
        <f aca="false">VLOOKUP(A3, Eras!$B$2:$C$10, 2, FALSE())</f>
        <v>Early (1800-1850)</v>
      </c>
      <c r="C3" s="20" t="n">
        <f aca="false">COUNTIF(Table!$CC:$CC,CONCATENATE($A3,"_",C$1))</f>
        <v>0</v>
      </c>
      <c r="D3" s="20" t="n">
        <f aca="false">COUNTIF(Table!$CC:$CC,CONCATENATE($A3,"_",D$1))</f>
        <v>0</v>
      </c>
      <c r="E3" s="20" t="n">
        <f aca="false">COUNTIF(Table!$CC:$CC,CONCATENATE($A3,"_",E$1))</f>
        <v>0</v>
      </c>
      <c r="F3" s="20" t="n">
        <f aca="false">COUNTIF(Table!$CC:$CC,CONCATENATE($A3,"_",F$1))</f>
        <v>0</v>
      </c>
      <c r="G3" s="20" t="n">
        <f aca="false">COUNTIF(Table!$CC:$CC,CONCATENATE($A3,"_",G$1))</f>
        <v>0</v>
      </c>
      <c r="H3" s="19" t="n">
        <f aca="false">COUNTIF(Table!$CC:$CC,CONCATENATE($A3,"_",H$1))</f>
        <v>0</v>
      </c>
      <c r="I3" s="19" t="n">
        <f aca="false">COUNTIF(Table!$CC:$CC,CONCATENATE($A3,"_",I$1))</f>
        <v>0</v>
      </c>
      <c r="J3" s="19" t="n">
        <f aca="false">COUNTIF(Table!$CC:$CC,CONCATENATE($A3,"_",J$1))</f>
        <v>0</v>
      </c>
      <c r="K3" s="19" t="n">
        <f aca="false">COUNTIF(Table!$CC:$CC,CONCATENATE($A3,"_",K$1))</f>
        <v>0</v>
      </c>
      <c r="L3" s="19" t="n">
        <f aca="false">COUNTIF(Table!$CC:$CC,CONCATENATE($A3,"_",L$1))</f>
        <v>0</v>
      </c>
      <c r="M3" s="19" t="n">
        <f aca="false">COUNTIF(Table!$CC:$CC,CONCATENATE($A3,"_",M$1))</f>
        <v>0</v>
      </c>
      <c r="N3" s="19" t="n">
        <f aca="false">COUNTIF(Table!$CC:$CC,CONCATENATE($A3,"_",N$1))</f>
        <v>0</v>
      </c>
      <c r="O3" s="19" t="n">
        <f aca="false">COUNTIF(Table!$CC:$CC,CONCATENATE($A3,"_",O$1))</f>
        <v>0</v>
      </c>
      <c r="P3" s="20" t="n">
        <f aca="false">COUNTIF(Table!$CC:$CC,CONCATENATE($A3,"_",P$1))</f>
        <v>0</v>
      </c>
      <c r="Q3" s="20" t="n">
        <f aca="false">COUNTIF(Table!$CC:$CC,CONCATENATE($A3,"_",Q$1))</f>
        <v>0</v>
      </c>
      <c r="R3" s="20" t="n">
        <f aca="false">COUNTIF(Table!$CC:$CC,CONCATENATE($A3,"_",R$1))</f>
        <v>0</v>
      </c>
      <c r="S3" s="20" t="n">
        <f aca="false">COUNTIF(Table!$CC:$CC,CONCATENATE($A3,"_",S$1))</f>
        <v>0</v>
      </c>
      <c r="T3" s="20" t="n">
        <f aca="false">COUNTIF(Table!$CC:$CC,CONCATENATE($A3,"_",T$1))</f>
        <v>0</v>
      </c>
      <c r="U3" s="20" t="n">
        <f aca="false">COUNTIF(Table!$CC:$CC,CONCATENATE($A3,"_",U$1))</f>
        <v>0</v>
      </c>
      <c r="V3" s="20" t="n">
        <f aca="false">COUNTIF(Table!$CC:$CC,CONCATENATE($A3,"_",V$1))</f>
        <v>0</v>
      </c>
      <c r="W3" s="20" t="n">
        <f aca="false">COUNTIF(Table!$CC:$CC,CONCATENATE($A3,"_",W$1))</f>
        <v>0</v>
      </c>
    </row>
    <row r="4" customFormat="false" ht="15" hidden="false" customHeight="false" outlineLevel="0" collapsed="false">
      <c r="A4" s="19" t="s">
        <v>328</v>
      </c>
      <c r="B4" s="19" t="str">
        <f aca="false">VLOOKUP(A4, Eras!$B$2:$C$10, 2, FALSE())</f>
        <v>Victorian (1850-1900)</v>
      </c>
      <c r="C4" s="20" t="n">
        <f aca="false">COUNTIF(Table!$CC:$CC,CONCATENATE($A4,"_",C$1))</f>
        <v>0</v>
      </c>
      <c r="D4" s="20" t="n">
        <f aca="false">COUNTIF(Table!$CC:$CC,CONCATENATE($A4,"_",D$1))</f>
        <v>0</v>
      </c>
      <c r="E4" s="20" t="n">
        <f aca="false">COUNTIF(Table!$CC:$CC,CONCATENATE($A4,"_",E$1))</f>
        <v>0</v>
      </c>
      <c r="F4" s="20" t="n">
        <f aca="false">COUNTIF(Table!$CC:$CC,CONCATENATE($A4,"_",F$1))</f>
        <v>0</v>
      </c>
      <c r="G4" s="20" t="n">
        <f aca="false">COUNTIF(Table!$CC:$CC,CONCATENATE($A4,"_",G$1))</f>
        <v>0</v>
      </c>
      <c r="H4" s="19" t="n">
        <f aca="false">COUNTIF(Table!$CC:$CC,CONCATENATE($A4,"_",H$1))</f>
        <v>0</v>
      </c>
      <c r="I4" s="19" t="n">
        <f aca="false">COUNTIF(Table!$CC:$CC,CONCATENATE($A4,"_",I$1))</f>
        <v>0</v>
      </c>
      <c r="J4" s="19" t="n">
        <f aca="false">COUNTIF(Table!$CC:$CC,CONCATENATE($A4,"_",J$1))</f>
        <v>0</v>
      </c>
      <c r="K4" s="19" t="n">
        <f aca="false">COUNTIF(Table!$CC:$CC,CONCATENATE($A4,"_",K$1))</f>
        <v>0</v>
      </c>
      <c r="L4" s="19" t="n">
        <f aca="false">COUNTIF(Table!$CC:$CC,CONCATENATE($A4,"_",L$1))</f>
        <v>0</v>
      </c>
      <c r="M4" s="19" t="n">
        <f aca="false">COUNTIF(Table!$CC:$CC,CONCATENATE($A4,"_",M$1))</f>
        <v>0</v>
      </c>
      <c r="N4" s="19" t="n">
        <f aca="false">COUNTIF(Table!$CC:$CC,CONCATENATE($A4,"_",N$1))</f>
        <v>0</v>
      </c>
      <c r="O4" s="19" t="n">
        <f aca="false">COUNTIF(Table!$CC:$CC,CONCATENATE($A4,"_",O$1))</f>
        <v>0</v>
      </c>
      <c r="P4" s="20" t="n">
        <f aca="false">COUNTIF(Table!$CC:$CC,CONCATENATE($A4,"_",P$1))</f>
        <v>0</v>
      </c>
      <c r="Q4" s="20" t="n">
        <f aca="false">COUNTIF(Table!$CC:$CC,CONCATENATE($A4,"_",Q$1))</f>
        <v>0</v>
      </c>
      <c r="R4" s="20" t="n">
        <f aca="false">COUNTIF(Table!$CC:$CC,CONCATENATE($A4,"_",R$1))</f>
        <v>0</v>
      </c>
      <c r="S4" s="20" t="n">
        <f aca="false">COUNTIF(Table!$CC:$CC,CONCATENATE($A4,"_",S$1))</f>
        <v>0</v>
      </c>
      <c r="T4" s="20" t="n">
        <f aca="false">COUNTIF(Table!$CC:$CC,CONCATENATE($A4,"_",T$1))</f>
        <v>0</v>
      </c>
      <c r="U4" s="20" t="n">
        <f aca="false">COUNTIF(Table!$CC:$CC,CONCATENATE($A4,"_",U$1))</f>
        <v>0</v>
      </c>
      <c r="V4" s="20" t="n">
        <f aca="false">COUNTIF(Table!$CC:$CC,CONCATENATE($A4,"_",V$1))</f>
        <v>0</v>
      </c>
      <c r="W4" s="20" t="n">
        <f aca="false">COUNTIF(Table!$CC:$CC,CONCATENATE($A4,"_",W$1))</f>
        <v>0</v>
      </c>
    </row>
    <row r="5" customFormat="false" ht="15" hidden="false" customHeight="false" outlineLevel="0" collapsed="false">
      <c r="A5" s="19" t="s">
        <v>329</v>
      </c>
      <c r="B5" s="19" t="str">
        <f aca="false">VLOOKUP(A5, Eras!$B$2:$C$10, 2, FALSE())</f>
        <v>Edwardian (1900-1920)</v>
      </c>
      <c r="C5" s="20" t="n">
        <f aca="false">COUNTIF(Table!$CC:$CC,CONCATENATE($A5,"_",C$1))</f>
        <v>0</v>
      </c>
      <c r="D5" s="20" t="n">
        <f aca="false">COUNTIF(Table!$CC:$CC,CONCATENATE($A5,"_",D$1))</f>
        <v>0</v>
      </c>
      <c r="E5" s="20" t="n">
        <f aca="false">COUNTIF(Table!$CC:$CC,CONCATENATE($A5,"_",E$1))</f>
        <v>0</v>
      </c>
      <c r="F5" s="20" t="n">
        <f aca="false">COUNTIF(Table!$CC:$CC,CONCATENATE($A5,"_",F$1))</f>
        <v>0</v>
      </c>
      <c r="G5" s="20" t="n">
        <f aca="false">COUNTIF(Table!$CC:$CC,CONCATENATE($A5,"_",G$1))</f>
        <v>0</v>
      </c>
      <c r="H5" s="19" t="n">
        <f aca="false">COUNTIF(Table!$CC:$CC,CONCATENATE($A5,"_",H$1))</f>
        <v>0</v>
      </c>
      <c r="I5" s="19" t="n">
        <f aca="false">COUNTIF(Table!$CC:$CC,CONCATENATE($A5,"_",I$1))</f>
        <v>0</v>
      </c>
      <c r="J5" s="20" t="n">
        <f aca="false">COUNTIF(Table!$CC:$CC,CONCATENATE($A5,"_",J$1))</f>
        <v>0</v>
      </c>
      <c r="K5" s="20" t="n">
        <f aca="false">COUNTIF(Table!$CC:$CC,CONCATENATE($A5,"_",K$1))</f>
        <v>0</v>
      </c>
      <c r="L5" s="19" t="n">
        <f aca="false">COUNTIF(Table!$CC:$CC,CONCATENATE($A5,"_",L$1))</f>
        <v>0</v>
      </c>
      <c r="M5" s="19" t="n">
        <f aca="false">COUNTIF(Table!$CC:$CC,CONCATENATE($A5,"_",M$1))</f>
        <v>0</v>
      </c>
      <c r="N5" s="20" t="n">
        <f aca="false">COUNTIF(Table!$CC:$CC,CONCATENATE($A5,"_",N$1))</f>
        <v>0</v>
      </c>
      <c r="O5" s="19" t="n">
        <f aca="false">COUNTIF(Table!$CC:$CC,CONCATENATE($A5,"_",O$1))</f>
        <v>0</v>
      </c>
      <c r="P5" s="20" t="n">
        <f aca="false">COUNTIF(Table!$CC:$CC,CONCATENATE($A5,"_",P$1))</f>
        <v>0</v>
      </c>
      <c r="Q5" s="20" t="n">
        <f aca="false">COUNTIF(Table!$CC:$CC,CONCATENATE($A5,"_",Q$1))</f>
        <v>0</v>
      </c>
      <c r="R5" s="20" t="n">
        <f aca="false">COUNTIF(Table!$CC:$CC,CONCATENATE($A5,"_",R$1))</f>
        <v>0</v>
      </c>
      <c r="S5" s="20" t="n">
        <f aca="false">COUNTIF(Table!$CC:$CC,CONCATENATE($A5,"_",S$1))</f>
        <v>0</v>
      </c>
      <c r="T5" s="20" t="n">
        <f aca="false">COUNTIF(Table!$CC:$CC,CONCATENATE($A5,"_",T$1))</f>
        <v>0</v>
      </c>
      <c r="U5" s="20" t="n">
        <f aca="false">COUNTIF(Table!$CC:$CC,CONCATENATE($A5,"_",U$1))</f>
        <v>0</v>
      </c>
      <c r="V5" s="20" t="n">
        <f aca="false">COUNTIF(Table!$CC:$CC,CONCATENATE($A5,"_",V$1))</f>
        <v>0</v>
      </c>
      <c r="W5" s="20" t="n">
        <f aca="false">COUNTIF(Table!$CC:$CC,CONCATENATE($A5,"_",W$1))</f>
        <v>0</v>
      </c>
    </row>
    <row r="6" customFormat="false" ht="15" hidden="false" customHeight="false" outlineLevel="0" collapsed="false">
      <c r="A6" s="19" t="s">
        <v>330</v>
      </c>
      <c r="B6" s="19" t="str">
        <f aca="false">VLOOKUP(A6, Eras!$B$2:$C$10, 2, FALSE())</f>
        <v>Big Four (1923-1948)</v>
      </c>
      <c r="C6" s="20" t="n">
        <f aca="false">COUNTIF(Table!$CC:$CC,CONCATENATE($A6,"_",C$1))</f>
        <v>0</v>
      </c>
      <c r="D6" s="20" t="n">
        <f aca="false">COUNTIF(Table!$CC:$CC,CONCATENATE($A6,"_",D$1))</f>
        <v>0</v>
      </c>
      <c r="E6" s="20" t="n">
        <f aca="false">COUNTIF(Table!$CC:$CC,CONCATENATE($A6,"_",E$1))</f>
        <v>0</v>
      </c>
      <c r="F6" s="20" t="n">
        <f aca="false">COUNTIF(Table!$CC:$CC,CONCATENATE($A6,"_",F$1))</f>
        <v>0</v>
      </c>
      <c r="G6" s="20" t="n">
        <f aca="false">COUNTIF(Table!$CC:$CC,CONCATENATE($A6,"_",G$1))</f>
        <v>0</v>
      </c>
      <c r="H6" s="19" t="n">
        <f aca="false">COUNTIF(Table!$CC:$CC,CONCATENATE($A6,"_",H$1))</f>
        <v>0</v>
      </c>
      <c r="I6" s="19" t="n">
        <f aca="false">COUNTIF(Table!$CC:$CC,CONCATENATE($A6,"_",I$1))</f>
        <v>0</v>
      </c>
      <c r="J6" s="20" t="n">
        <f aca="false">COUNTIF(Table!$CC:$CC,CONCATENATE($A6,"_",J$1))</f>
        <v>0</v>
      </c>
      <c r="K6" s="20" t="n">
        <f aca="false">COUNTIF(Table!$CC:$CC,CONCATENATE($A6,"_",K$1))</f>
        <v>0</v>
      </c>
      <c r="L6" s="20" t="n">
        <f aca="false">COUNTIF(Table!$CC:$CC,CONCATENATE($A6,"_",L$1))</f>
        <v>0</v>
      </c>
      <c r="M6" s="20" t="n">
        <f aca="false">COUNTIF(Table!$CC:$CC,CONCATENATE($A6,"_",M$1))</f>
        <v>0</v>
      </c>
      <c r="N6" s="20" t="n">
        <f aca="false">COUNTIF(Table!$CC:$CC,CONCATENATE($A6,"_",N$1))</f>
        <v>0</v>
      </c>
      <c r="O6" s="20" t="n">
        <f aca="false">COUNTIF(Table!$CC:$CC,CONCATENATE($A6,"_",O$1))</f>
        <v>0</v>
      </c>
      <c r="P6" s="20" t="n">
        <f aca="false">COUNTIF(Table!$CC:$CC,CONCATENATE($A6,"_",P$1))</f>
        <v>0</v>
      </c>
      <c r="Q6" s="20" t="n">
        <f aca="false">COUNTIF(Table!$CC:$CC,CONCATENATE($A6,"_",Q$1))</f>
        <v>0</v>
      </c>
      <c r="R6" s="20" t="n">
        <f aca="false">COUNTIF(Table!$CC:$CC,CONCATENATE($A6,"_",R$1))</f>
        <v>0</v>
      </c>
      <c r="S6" s="20" t="n">
        <f aca="false">COUNTIF(Table!$CC:$CC,CONCATENATE($A6,"_",S$1))</f>
        <v>0</v>
      </c>
      <c r="T6" s="20" t="n">
        <f aca="false">COUNTIF(Table!$CC:$CC,CONCATENATE($A6,"_",T$1))</f>
        <v>0</v>
      </c>
      <c r="U6" s="20" t="n">
        <f aca="false">COUNTIF(Table!$CC:$CC,CONCATENATE($A6,"_",U$1))</f>
        <v>0</v>
      </c>
      <c r="V6" s="20" t="n">
        <f aca="false">COUNTIF(Table!$CC:$CC,CONCATENATE($A6,"_",V$1))</f>
        <v>0</v>
      </c>
      <c r="W6" s="20" t="n">
        <f aca="false">COUNTIF(Table!$CC:$CC,CONCATENATE($A6,"_",W$1))</f>
        <v>0</v>
      </c>
    </row>
    <row r="7" customFormat="false" ht="15" hidden="false" customHeight="false" outlineLevel="0" collapsed="false">
      <c r="A7" s="19" t="s">
        <v>331</v>
      </c>
      <c r="B7" s="19" t="str">
        <f aca="false">VLOOKUP(A7, Eras!$B$2:$C$10, 2, FALSE())</f>
        <v>Early BR (1948-1955)</v>
      </c>
      <c r="C7" s="20" t="n">
        <f aca="false">COUNTIF(Table!$CC:$CC,CONCATENATE($A7,"_",C$1))</f>
        <v>0</v>
      </c>
      <c r="D7" s="20" t="n">
        <f aca="false">COUNTIF(Table!$CC:$CC,CONCATENATE($A7,"_",D$1))</f>
        <v>0</v>
      </c>
      <c r="E7" s="20" t="n">
        <f aca="false">COUNTIF(Table!$CC:$CC,CONCATENATE($A7,"_",E$1))</f>
        <v>0</v>
      </c>
      <c r="F7" s="20" t="n">
        <f aca="false">COUNTIF(Table!$CC:$CC,CONCATENATE($A7,"_",F$1))</f>
        <v>0</v>
      </c>
      <c r="G7" s="20" t="n">
        <f aca="false">COUNTIF(Table!$CC:$CC,CONCATENATE($A7,"_",G$1))</f>
        <v>0</v>
      </c>
      <c r="H7" s="19" t="n">
        <f aca="false">COUNTIF(Table!$CC:$CC,CONCATENATE($A7,"_",H$1))</f>
        <v>0</v>
      </c>
      <c r="I7" s="19" t="n">
        <f aca="false">COUNTIF(Table!$CC:$CC,CONCATENATE($A7,"_",I$1))</f>
        <v>0</v>
      </c>
      <c r="J7" s="20" t="n">
        <f aca="false">COUNTIF(Table!$CC:$CC,CONCATENATE($A7,"_",J$1))</f>
        <v>0</v>
      </c>
      <c r="K7" s="20" t="n">
        <f aca="false">COUNTIF(Table!$CC:$CC,CONCATENATE($A7,"_",K$1))</f>
        <v>0</v>
      </c>
      <c r="L7" s="20" t="n">
        <f aca="false">COUNTIF(Table!$CC:$CC,CONCATENATE($A7,"_",L$1))</f>
        <v>0</v>
      </c>
      <c r="M7" s="20" t="n">
        <f aca="false">COUNTIF(Table!$CC:$CC,CONCATENATE($A7,"_",M$1))</f>
        <v>0</v>
      </c>
      <c r="N7" s="20" t="n">
        <f aca="false">COUNTIF(Table!$CC:$CC,CONCATENATE($A7,"_",N$1))</f>
        <v>0</v>
      </c>
      <c r="O7" s="20" t="n">
        <f aca="false">COUNTIF(Table!$CC:$CC,CONCATENATE($A7,"_",O$1))</f>
        <v>0</v>
      </c>
      <c r="P7" s="20" t="n">
        <f aca="false">COUNTIF(Table!$CC:$CC,CONCATENATE($A7,"_",P$1))</f>
        <v>0</v>
      </c>
      <c r="Q7" s="20" t="n">
        <f aca="false">COUNTIF(Table!$CC:$CC,CONCATENATE($A7,"_",Q$1))</f>
        <v>0</v>
      </c>
      <c r="R7" s="20" t="n">
        <f aca="false">COUNTIF(Table!$CC:$CC,CONCATENATE($A7,"_",R$1))</f>
        <v>0</v>
      </c>
      <c r="S7" s="20" t="n">
        <f aca="false">COUNTIF(Table!$CC:$CC,CONCATENATE($A7,"_",S$1))</f>
        <v>0</v>
      </c>
      <c r="T7" s="20" t="n">
        <f aca="false">COUNTIF(Table!$CC:$CC,CONCATENATE($A7,"_",T$1))</f>
        <v>0</v>
      </c>
      <c r="U7" s="20" t="n">
        <f aca="false">COUNTIF(Table!$CC:$CC,CONCATENATE($A7,"_",U$1))</f>
        <v>0</v>
      </c>
      <c r="V7" s="20" t="n">
        <f aca="false">COUNTIF(Table!$CC:$CC,CONCATENATE($A7,"_",V$1))</f>
        <v>0</v>
      </c>
      <c r="W7" s="20" t="n">
        <f aca="false">COUNTIF(Table!$CC:$CC,CONCATENATE($A7,"_",W$1))</f>
        <v>0</v>
      </c>
    </row>
    <row r="8" customFormat="false" ht="15" hidden="false" customHeight="false" outlineLevel="0" collapsed="false">
      <c r="A8" s="19" t="s">
        <v>332</v>
      </c>
      <c r="B8" s="19" t="str">
        <f aca="false">VLOOKUP(A8, Eras!$B$2:$C$10, 2, FALSE())</f>
        <v>Dieselisation (1955-1970)</v>
      </c>
      <c r="C8" s="20" t="n">
        <f aca="false">COUNTIF(Table!$CC:$CC,CONCATENATE($A8,"_",C$1))</f>
        <v>0</v>
      </c>
      <c r="D8" s="20" t="n">
        <f aca="false">COUNTIF(Table!$CC:$CC,CONCATENATE($A8,"_",D$1))</f>
        <v>0</v>
      </c>
      <c r="E8" s="20" t="n">
        <f aca="false">COUNTIF(Table!$CC:$CC,CONCATENATE($A8,"_",E$1))</f>
        <v>0</v>
      </c>
      <c r="F8" s="20" t="n">
        <f aca="false">COUNTIF(Table!$CC:$CC,CONCATENATE($A8,"_",F$1))</f>
        <v>0</v>
      </c>
      <c r="G8" s="20" t="n">
        <f aca="false">COUNTIF(Table!$CC:$CC,CONCATENATE($A8,"_",G$1))</f>
        <v>0</v>
      </c>
      <c r="H8" s="20" t="n">
        <f aca="false">COUNTIF(Table!$CC:$CC,CONCATENATE($A8,"_",H$1))</f>
        <v>0</v>
      </c>
      <c r="I8" s="20" t="n">
        <f aca="false">COUNTIF(Table!$CC:$CC,CONCATENATE($A8,"_",I$1))</f>
        <v>0</v>
      </c>
      <c r="J8" s="20" t="n">
        <f aca="false">COUNTIF(Table!$CC:$CC,CONCATENATE($A8,"_",J$1))</f>
        <v>0</v>
      </c>
      <c r="K8" s="20" t="n">
        <f aca="false">COUNTIF(Table!$CC:$CC,CONCATENATE($A8,"_",K$1))</f>
        <v>0</v>
      </c>
      <c r="L8" s="20" t="n">
        <f aca="false">COUNTIF(Table!$CC:$CC,CONCATENATE($A8,"_",L$1))</f>
        <v>0</v>
      </c>
      <c r="M8" s="20" t="n">
        <f aca="false">COUNTIF(Table!$CC:$CC,CONCATENATE($A8,"_",M$1))</f>
        <v>0</v>
      </c>
      <c r="N8" s="20" t="n">
        <f aca="false">COUNTIF(Table!$CC:$CC,CONCATENATE($A8,"_",N$1))</f>
        <v>0</v>
      </c>
      <c r="O8" s="20" t="n">
        <f aca="false">COUNTIF(Table!$CC:$CC,CONCATENATE($A8,"_",O$1))</f>
        <v>0</v>
      </c>
      <c r="P8" s="20" t="n">
        <f aca="false">COUNTIF(Table!$CC:$CC,CONCATENATE($A8,"_",P$1))</f>
        <v>0</v>
      </c>
      <c r="Q8" s="20" t="n">
        <f aca="false">COUNTIF(Table!$CC:$CC,CONCATENATE($A8,"_",Q$1))</f>
        <v>0</v>
      </c>
      <c r="R8" s="20" t="n">
        <f aca="false">COUNTIF(Table!$CC:$CC,CONCATENATE($A8,"_",R$1))</f>
        <v>0</v>
      </c>
      <c r="S8" s="20" t="n">
        <f aca="false">COUNTIF(Table!$CC:$CC,CONCATENATE($A8,"_",S$1))</f>
        <v>0</v>
      </c>
      <c r="T8" s="20" t="n">
        <f aca="false">COUNTIF(Table!$CC:$CC,CONCATENATE($A8,"_",T$1))</f>
        <v>0</v>
      </c>
      <c r="U8" s="20" t="n">
        <f aca="false">COUNTIF(Table!$CC:$CC,CONCATENATE($A8,"_",U$1))</f>
        <v>0</v>
      </c>
      <c r="V8" s="20" t="n">
        <f aca="false">COUNTIF(Table!$CC:$CC,CONCATENATE($A8,"_",V$1))</f>
        <v>0</v>
      </c>
      <c r="W8" s="20" t="n">
        <f aca="false">COUNTIF(Table!$CC:$CC,CONCATENATE($A8,"_",W$1))</f>
        <v>0</v>
      </c>
    </row>
    <row r="9" customFormat="false" ht="15" hidden="false" customHeight="false" outlineLevel="0" collapsed="false">
      <c r="A9" s="19" t="s">
        <v>333</v>
      </c>
      <c r="B9" s="19" t="str">
        <f aca="false">VLOOKUP(A9, Eras!$B$2:$C$10, 2, FALSE())</f>
        <v>Late BR (1970-1995)</v>
      </c>
      <c r="C9" s="20" t="n">
        <f aca="false">COUNTIF(Table!$CC:$CC,CONCATENATE($A9,"_",C$1))</f>
        <v>0</v>
      </c>
      <c r="D9" s="20" t="n">
        <f aca="false">COUNTIF(Table!$CC:$CC,CONCATENATE($A9,"_",D$1))</f>
        <v>0</v>
      </c>
      <c r="E9" s="20" t="n">
        <f aca="false">COUNTIF(Table!$CC:$CC,CONCATENATE($A9,"_",E$1))</f>
        <v>0</v>
      </c>
      <c r="F9" s="20" t="n">
        <f aca="false">COUNTIF(Table!$CC:$CC,CONCATENATE($A9,"_",F$1))</f>
        <v>0</v>
      </c>
      <c r="G9" s="20" t="n">
        <f aca="false">COUNTIF(Table!$CC:$CC,CONCATENATE($A9,"_",G$1))</f>
        <v>0</v>
      </c>
      <c r="H9" s="20" t="n">
        <f aca="false">COUNTIF(Table!$CC:$CC,CONCATENATE($A9,"_",H$1))</f>
        <v>0</v>
      </c>
      <c r="I9" s="20" t="n">
        <f aca="false">COUNTIF(Table!$CC:$CC,CONCATENATE($A9,"_",I$1))</f>
        <v>0</v>
      </c>
      <c r="J9" s="20" t="n">
        <f aca="false">COUNTIF(Table!$CC:$CC,CONCATENATE($A9,"_",J$1))</f>
        <v>0</v>
      </c>
      <c r="K9" s="20" t="n">
        <f aca="false">COUNTIF(Table!$CC:$CC,CONCATENATE($A9,"_",K$1))</f>
        <v>0</v>
      </c>
      <c r="L9" s="20" t="n">
        <f aca="false">COUNTIF(Table!$CC:$CC,CONCATENATE($A9,"_",L$1))</f>
        <v>0</v>
      </c>
      <c r="M9" s="20" t="n">
        <f aca="false">COUNTIF(Table!$CC:$CC,CONCATENATE($A9,"_",M$1))</f>
        <v>0</v>
      </c>
      <c r="N9" s="20" t="n">
        <f aca="false">COUNTIF(Table!$CC:$CC,CONCATENATE($A9,"_",N$1))</f>
        <v>0</v>
      </c>
      <c r="O9" s="20" t="n">
        <f aca="false">COUNTIF(Table!$CC:$CC,CONCATENATE($A9,"_",O$1))</f>
        <v>0</v>
      </c>
      <c r="P9" s="20" t="n">
        <f aca="false">COUNTIF(Table!$CC:$CC,CONCATENATE($A9,"_",P$1))</f>
        <v>0</v>
      </c>
      <c r="Q9" s="20" t="n">
        <f aca="false">COUNTIF(Table!$CC:$CC,CONCATENATE($A9,"_",Q$1))</f>
        <v>0</v>
      </c>
      <c r="R9" s="20" t="n">
        <f aca="false">COUNTIF(Table!$CC:$CC,CONCATENATE($A9,"_",R$1))</f>
        <v>0</v>
      </c>
      <c r="S9" s="20" t="n">
        <f aca="false">COUNTIF(Table!$CC:$CC,CONCATENATE($A9,"_",S$1))</f>
        <v>0</v>
      </c>
      <c r="T9" s="20" t="n">
        <f aca="false">COUNTIF(Table!$CC:$CC,CONCATENATE($A9,"_",T$1))</f>
        <v>0</v>
      </c>
      <c r="U9" s="20" t="n">
        <f aca="false">COUNTIF(Table!$CC:$CC,CONCATENATE($A9,"_",U$1))</f>
        <v>0</v>
      </c>
      <c r="V9" s="20" t="n">
        <f aca="false">COUNTIF(Table!$CC:$CC,CONCATENATE($A9,"_",V$1))</f>
        <v>0</v>
      </c>
      <c r="W9" s="20" t="n">
        <f aca="false">COUNTIF(Table!$CC:$CC,CONCATENATE($A9,"_",W$1))</f>
        <v>0</v>
      </c>
    </row>
    <row r="10" customFormat="false" ht="15" hidden="false" customHeight="false" outlineLevel="0" collapsed="false">
      <c r="A10" s="19" t="s">
        <v>334</v>
      </c>
      <c r="B10" s="19" t="str">
        <f aca="false">VLOOKUP(A10, Eras!$B$2:$C$10, 2, FALSE())</f>
        <v>Privatisation (1995-2005)</v>
      </c>
      <c r="C10" s="20" t="n">
        <f aca="false">COUNTIF(Table!$CC:$CC,CONCATENATE($A10,"_",C$1))</f>
        <v>0</v>
      </c>
      <c r="D10" s="20" t="n">
        <f aca="false">COUNTIF(Table!$CC:$CC,CONCATENATE($A10,"_",D$1))</f>
        <v>0</v>
      </c>
      <c r="E10" s="20" t="n">
        <f aca="false">COUNTIF(Table!$CC:$CC,CONCATENATE($A10,"_",E$1))</f>
        <v>0</v>
      </c>
      <c r="F10" s="20" t="n">
        <f aca="false">COUNTIF(Table!$CC:$CC,CONCATENATE($A10,"_",F$1))</f>
        <v>0</v>
      </c>
      <c r="G10" s="20" t="n">
        <f aca="false">COUNTIF(Table!$CC:$CC,CONCATENATE($A10,"_",G$1))</f>
        <v>0</v>
      </c>
      <c r="H10" s="20" t="n">
        <f aca="false">COUNTIF(Table!$CC:$CC,CONCATENATE($A10,"_",H$1))</f>
        <v>0</v>
      </c>
      <c r="I10" s="20" t="n">
        <f aca="false">COUNTIF(Table!$CC:$CC,CONCATENATE($A10,"_",I$1))</f>
        <v>0</v>
      </c>
      <c r="J10" s="20" t="n">
        <f aca="false">COUNTIF(Table!$CC:$CC,CONCATENATE($A10,"_",J$1))</f>
        <v>0</v>
      </c>
      <c r="K10" s="20" t="n">
        <f aca="false">COUNTIF(Table!$CC:$CC,CONCATENATE($A10,"_",K$1))</f>
        <v>0</v>
      </c>
      <c r="L10" s="20" t="n">
        <f aca="false">COUNTIF(Table!$CC:$CC,CONCATENATE($A10,"_",L$1))</f>
        <v>0</v>
      </c>
      <c r="M10" s="20" t="n">
        <f aca="false">COUNTIF(Table!$CC:$CC,CONCATENATE($A10,"_",M$1))</f>
        <v>0</v>
      </c>
      <c r="N10" s="20" t="n">
        <f aca="false">COUNTIF(Table!$CC:$CC,CONCATENATE($A10,"_",N$1))</f>
        <v>0</v>
      </c>
      <c r="O10" s="20" t="n">
        <f aca="false">COUNTIF(Table!$CC:$CC,CONCATENATE($A10,"_",O$1))</f>
        <v>0</v>
      </c>
      <c r="P10" s="20" t="n">
        <f aca="false">COUNTIF(Table!$CC:$CC,CONCATENATE($A10,"_",P$1))</f>
        <v>0</v>
      </c>
      <c r="Q10" s="20" t="n">
        <f aca="false">COUNTIF(Table!$CC:$CC,CONCATENATE($A10,"_",Q$1))</f>
        <v>0</v>
      </c>
      <c r="R10" s="20" t="n">
        <f aca="false">COUNTIF(Table!$CC:$CC,CONCATENATE($A10,"_",R$1))</f>
        <v>0</v>
      </c>
      <c r="S10" s="20" t="n">
        <f aca="false">COUNTIF(Table!$CC:$CC,CONCATENATE($A10,"_",S$1))</f>
        <v>0</v>
      </c>
      <c r="T10" s="20" t="n">
        <f aca="false">COUNTIF(Table!$CC:$CC,CONCATENATE($A10,"_",T$1))</f>
        <v>0</v>
      </c>
      <c r="U10" s="20" t="n">
        <f aca="false">COUNTIF(Table!$CC:$CC,CONCATENATE($A10,"_",U$1))</f>
        <v>0</v>
      </c>
      <c r="V10" s="20" t="n">
        <f aca="false">COUNTIF(Table!$CC:$CC,CONCATENATE($A10,"_",V$1))</f>
        <v>0</v>
      </c>
      <c r="W10" s="20" t="n">
        <f aca="false">COUNTIF(Table!$CC:$CC,CONCATENATE($A10,"_",W$1))</f>
        <v>0</v>
      </c>
    </row>
    <row r="11" customFormat="false" ht="15" hidden="false" customHeight="false" outlineLevel="0" collapsed="false">
      <c r="A11" s="19" t="s">
        <v>335</v>
      </c>
      <c r="B11" s="19" t="str">
        <f aca="false">VLOOKUP(A11, Eras!$B$2:$C$10, 2, FALSE())</f>
        <v>Modern (2005-)</v>
      </c>
      <c r="C11" s="20" t="n">
        <f aca="false">COUNTIF(Table!$CC:$CC,CONCATENATE($A11,"_",C$1))</f>
        <v>0</v>
      </c>
      <c r="D11" s="20" t="n">
        <f aca="false">COUNTIF(Table!$CC:$CC,CONCATENATE($A11,"_",D$1))</f>
        <v>0</v>
      </c>
      <c r="E11" s="20" t="n">
        <f aca="false">COUNTIF(Table!$CC:$CC,CONCATENATE($A11,"_",E$1))</f>
        <v>0</v>
      </c>
      <c r="F11" s="20" t="n">
        <f aca="false">COUNTIF(Table!$CC:$CC,CONCATENATE($A11,"_",F$1))</f>
        <v>0</v>
      </c>
      <c r="G11" s="20" t="n">
        <f aca="false">COUNTIF(Table!$CC:$CC,CONCATENATE($A11,"_",G$1))</f>
        <v>0</v>
      </c>
      <c r="H11" s="20" t="n">
        <f aca="false">COUNTIF(Table!$CC:$CC,CONCATENATE($A11,"_",H$1))</f>
        <v>0</v>
      </c>
      <c r="I11" s="20" t="n">
        <f aca="false">COUNTIF(Table!$CC:$CC,CONCATENATE($A11,"_",I$1))</f>
        <v>0</v>
      </c>
      <c r="J11" s="20" t="n">
        <f aca="false">COUNTIF(Table!$CC:$CC,CONCATENATE($A11,"_",J$1))</f>
        <v>0</v>
      </c>
      <c r="K11" s="20" t="n">
        <f aca="false">COUNTIF(Table!$CC:$CC,CONCATENATE($A11,"_",K$1))</f>
        <v>0</v>
      </c>
      <c r="L11" s="20" t="n">
        <f aca="false">COUNTIF(Table!$CC:$CC,CONCATENATE($A11,"_",L$1))</f>
        <v>0</v>
      </c>
      <c r="M11" s="20" t="n">
        <f aca="false">COUNTIF(Table!$CC:$CC,CONCATENATE($A11,"_",M$1))</f>
        <v>0</v>
      </c>
      <c r="N11" s="20" t="n">
        <f aca="false">COUNTIF(Table!$CC:$CC,CONCATENATE($A11,"_",N$1))</f>
        <v>0</v>
      </c>
      <c r="O11" s="20" t="n">
        <f aca="false">COUNTIF(Table!$CC:$CC,CONCATENATE($A11,"_",O$1))</f>
        <v>0</v>
      </c>
      <c r="P11" s="20" t="n">
        <f aca="false">COUNTIF(Table!$CC:$CC,CONCATENATE($A11,"_",P$1))</f>
        <v>0</v>
      </c>
      <c r="Q11" s="20" t="n">
        <f aca="false">COUNTIF(Table!$CC:$CC,CONCATENATE($A11,"_",Q$1))</f>
        <v>0</v>
      </c>
      <c r="R11" s="20" t="n">
        <f aca="false">COUNTIF(Table!$CC:$CC,CONCATENATE($A11,"_",R$1))</f>
        <v>0</v>
      </c>
      <c r="S11" s="20" t="n">
        <f aca="false">COUNTIF(Table!$CC:$CC,CONCATENATE($A11,"_",S$1))</f>
        <v>0</v>
      </c>
      <c r="T11" s="20" t="n">
        <f aca="false">COUNTIF(Table!$CC:$CC,CONCATENATE($A11,"_",T$1))</f>
        <v>0</v>
      </c>
      <c r="U11" s="20" t="n">
        <f aca="false">COUNTIF(Table!$CC:$CC,CONCATENATE($A11,"_",U$1))</f>
        <v>0</v>
      </c>
      <c r="V11" s="20" t="n">
        <f aca="false">COUNTIF(Table!$CC:$CC,CONCATENATE($A11,"_",V$1))</f>
        <v>0</v>
      </c>
      <c r="W11" s="20" t="n">
        <f aca="false">COUNTIF(Table!$CC:$CC,CONCATENATE($A11,"_",W$1))</f>
        <v>0</v>
      </c>
    </row>
  </sheetData>
  <conditionalFormatting sqref="C3:D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12">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60546875" defaultRowHeight="15" customHeight="true" zeroHeight="false" outlineLevelRow="0" outlineLevelCol="0"/>
  <cols>
    <col collapsed="false" customWidth="true" hidden="false" outlineLevel="0" max="1" min="1" style="19" width="9.58"/>
    <col collapsed="false" customWidth="true" hidden="false" outlineLevel="0" max="2" min="2" style="19" width="5.43"/>
    <col collapsed="false" customWidth="true" hidden="false" outlineLevel="0" max="3" min="3" style="19" width="28.99"/>
  </cols>
  <sheetData>
    <row r="1" customFormat="false" ht="15" hidden="false" customHeight="false" outlineLevel="0" collapsed="false">
      <c r="A1" s="17" t="s">
        <v>336</v>
      </c>
      <c r="B1" s="17" t="s">
        <v>337</v>
      </c>
      <c r="C1" s="17" t="s">
        <v>338</v>
      </c>
    </row>
    <row r="2" customFormat="false" ht="15" hidden="false" customHeight="false" outlineLevel="0" collapsed="false">
      <c r="A2" s="19" t="n">
        <v>1700</v>
      </c>
      <c r="B2" s="19" t="s">
        <v>327</v>
      </c>
      <c r="C2" s="19" t="s">
        <v>339</v>
      </c>
    </row>
    <row r="3" customFormat="false" ht="15" hidden="false" customHeight="false" outlineLevel="0" collapsed="false">
      <c r="A3" s="19" t="n">
        <v>1850</v>
      </c>
      <c r="B3" s="19" t="s">
        <v>328</v>
      </c>
      <c r="C3" s="19" t="s">
        <v>340</v>
      </c>
    </row>
    <row r="4" customFormat="false" ht="15" hidden="false" customHeight="false" outlineLevel="0" collapsed="false">
      <c r="A4" s="19" t="n">
        <v>1900</v>
      </c>
      <c r="B4" s="19" t="s">
        <v>329</v>
      </c>
      <c r="C4" s="19" t="s">
        <v>341</v>
      </c>
    </row>
    <row r="5" customFormat="false" ht="15" hidden="false" customHeight="false" outlineLevel="0" collapsed="false">
      <c r="A5" s="19" t="n">
        <v>1923</v>
      </c>
      <c r="B5" s="19" t="s">
        <v>330</v>
      </c>
      <c r="C5" s="19" t="s">
        <v>342</v>
      </c>
    </row>
    <row r="6" customFormat="false" ht="15" hidden="false" customHeight="false" outlineLevel="0" collapsed="false">
      <c r="A6" s="19" t="n">
        <v>1948</v>
      </c>
      <c r="B6" s="19" t="s">
        <v>331</v>
      </c>
      <c r="C6" s="19" t="s">
        <v>343</v>
      </c>
    </row>
    <row r="7" customFormat="false" ht="15" hidden="false" customHeight="false" outlineLevel="0" collapsed="false">
      <c r="A7" s="19" t="n">
        <v>1955</v>
      </c>
      <c r="B7" s="19" t="s">
        <v>332</v>
      </c>
      <c r="C7" s="19" t="s">
        <v>344</v>
      </c>
    </row>
    <row r="8" customFormat="false" ht="15" hidden="false" customHeight="false" outlineLevel="0" collapsed="false">
      <c r="A8" s="19" t="n">
        <v>1970</v>
      </c>
      <c r="B8" s="19" t="s">
        <v>333</v>
      </c>
      <c r="C8" s="19" t="s">
        <v>345</v>
      </c>
    </row>
    <row r="9" customFormat="false" ht="15" hidden="false" customHeight="false" outlineLevel="0" collapsed="false">
      <c r="A9" s="19" t="n">
        <v>1995</v>
      </c>
      <c r="B9" s="19" t="s">
        <v>334</v>
      </c>
      <c r="C9" s="19" t="s">
        <v>346</v>
      </c>
    </row>
    <row r="10" customFormat="false" ht="15" hidden="false" customHeight="false" outlineLevel="0" collapsed="false">
      <c r="A10" s="19" t="n">
        <v>2005</v>
      </c>
      <c r="B10" s="19" t="s">
        <v>335</v>
      </c>
      <c r="C10" s="19" t="s">
        <v>347</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3"/>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11" activeCellId="0" sqref="B11"/>
    </sheetView>
  </sheetViews>
  <sheetFormatPr defaultColWidth="8.60546875" defaultRowHeight="15" customHeight="true" zeroHeight="false" outlineLevelRow="0" outlineLevelCol="0"/>
  <cols>
    <col collapsed="false" customWidth="true" hidden="false" outlineLevel="0" max="1" min="1" style="19" width="7"/>
    <col collapsed="false" customWidth="true" hidden="false" outlineLevel="0" max="2" min="2" style="19" width="13.3"/>
    <col collapsed="false" customWidth="true" hidden="false" outlineLevel="0" max="3" min="3" style="19" width="20.14"/>
    <col collapsed="false" customWidth="true" hidden="false" outlineLevel="0" max="6" min="6" style="19" width="27.43"/>
    <col collapsed="false" customWidth="true" hidden="false" outlineLevel="0" max="9" min="9" style="19" width="14.69"/>
    <col collapsed="false" customWidth="true" hidden="false" outlineLevel="0" max="10" min="10" style="19" width="18.13"/>
    <col collapsed="false" customWidth="true" hidden="false" outlineLevel="0" max="11" min="11" style="19" width="18.86"/>
    <col collapsed="false" customWidth="true" hidden="false" outlineLevel="0" max="13" min="13" style="19" width="19.72"/>
    <col collapsed="false" customWidth="true" hidden="false" outlineLevel="0" max="14" min="14" style="19" width="27.28"/>
    <col collapsed="false" customWidth="true" hidden="false" outlineLevel="0" max="15" min="15" style="19" width="6.7"/>
  </cols>
  <sheetData>
    <row r="1" customFormat="false" ht="15" hidden="false" customHeight="false" outlineLevel="0" collapsed="false">
      <c r="A1" s="17" t="s">
        <v>348</v>
      </c>
      <c r="B1" s="17" t="s">
        <v>349</v>
      </c>
      <c r="C1" s="17" t="s">
        <v>350</v>
      </c>
      <c r="F1" s="17" t="s">
        <v>351</v>
      </c>
      <c r="G1" s="19" t="n">
        <v>15</v>
      </c>
      <c r="I1" s="17" t="s">
        <v>352</v>
      </c>
      <c r="J1" s="17" t="s">
        <v>353</v>
      </c>
      <c r="K1" s="17" t="s">
        <v>354</v>
      </c>
      <c r="M1" s="17" t="s">
        <v>355</v>
      </c>
      <c r="N1" s="17" t="s">
        <v>356</v>
      </c>
      <c r="O1" s="17" t="s">
        <v>13</v>
      </c>
    </row>
    <row r="2" customFormat="false" ht="15" hidden="false" customHeight="false" outlineLevel="0" collapsed="false">
      <c r="A2" s="19" t="n">
        <v>0</v>
      </c>
      <c r="B2" s="19" t="s">
        <v>357</v>
      </c>
      <c r="F2" s="17" t="s">
        <v>358</v>
      </c>
      <c r="G2" s="19" t="n">
        <v>5</v>
      </c>
      <c r="I2" s="19" t="s">
        <v>91</v>
      </c>
      <c r="J2" s="19" t="n">
        <v>1</v>
      </c>
      <c r="K2" s="19" t="n">
        <v>2</v>
      </c>
      <c r="M2" s="19" t="s">
        <v>203</v>
      </c>
      <c r="N2" s="19" t="str">
        <f aca="false">IF(O2&lt;&gt;"", _xlfn.CONCAT("{BLACK}Powered by: {GOLD}",O2), "")</f>
        <v>{BLACK}Powered by: {GOLD}Diesel</v>
      </c>
      <c r="O2" s="19" t="s">
        <v>359</v>
      </c>
    </row>
    <row r="3" customFormat="false" ht="15" hidden="false" customHeight="false" outlineLevel="0" collapsed="false">
      <c r="A3" s="19" t="n">
        <v>3</v>
      </c>
      <c r="B3" s="19" t="s">
        <v>102</v>
      </c>
      <c r="C3" s="19" t="s">
        <v>102</v>
      </c>
      <c r="I3" s="19" t="s">
        <v>146</v>
      </c>
      <c r="J3" s="19" t="n">
        <v>0.85</v>
      </c>
      <c r="K3" s="19" t="n">
        <v>2.3</v>
      </c>
      <c r="M3" s="19" t="s">
        <v>360</v>
      </c>
      <c r="N3" s="19" t="str">
        <f aca="false">IF(O3&lt;&gt;"", _xlfn.CONCAT("{BLACK}Powered by: {GOLD}",O3), "")</f>
        <v>{BLACK}Powered by: {GOLD}Steam</v>
      </c>
      <c r="O3" s="19" t="s">
        <v>361</v>
      </c>
    </row>
    <row r="4" customFormat="false" ht="15" hidden="false" customHeight="false" outlineLevel="0" collapsed="false">
      <c r="A4" s="19" t="n">
        <v>4</v>
      </c>
      <c r="B4" s="19" t="s">
        <v>362</v>
      </c>
      <c r="C4" s="19" t="s">
        <v>362</v>
      </c>
      <c r="I4" s="19" t="s">
        <v>363</v>
      </c>
      <c r="J4" s="19" t="n">
        <v>1.15</v>
      </c>
      <c r="K4" s="19" t="n">
        <v>1.7</v>
      </c>
      <c r="M4" s="19" t="s">
        <v>364</v>
      </c>
      <c r="N4" s="19" t="str">
        <f aca="false">IF(O4&lt;&gt;"", _xlfn.CONCAT("{BLACK}Powered by: {GOLD}",O4), "")</f>
        <v>{BLACK}Powered by: {GOLD}25kV AC</v>
      </c>
      <c r="O4" s="19" t="s">
        <v>365</v>
      </c>
    </row>
    <row r="5" customFormat="false" ht="15" hidden="false" customHeight="false" outlineLevel="0" collapsed="false">
      <c r="A5" s="19" t="n">
        <v>5</v>
      </c>
      <c r="B5" s="19" t="s">
        <v>366</v>
      </c>
      <c r="C5" s="19" t="s">
        <v>366</v>
      </c>
      <c r="I5" s="19" t="s">
        <v>192</v>
      </c>
      <c r="J5" s="19" t="n">
        <v>0.9</v>
      </c>
      <c r="K5" s="19" t="n">
        <v>2.5</v>
      </c>
      <c r="M5" s="19" t="s">
        <v>367</v>
      </c>
      <c r="N5" s="19" t="str">
        <f aca="false">IF(O5&lt;&gt;"", _xlfn.CONCAT("{BLACK}Powered by: {GOLD}",O5), "")</f>
        <v>{BLACK}Powered by: {GOLD}750V DC</v>
      </c>
      <c r="O5" s="19" t="s">
        <v>368</v>
      </c>
    </row>
    <row r="6" customFormat="false" ht="15" hidden="false" customHeight="false" outlineLevel="0" collapsed="false">
      <c r="A6" s="19" t="n">
        <v>6</v>
      </c>
      <c r="B6" s="19" t="s">
        <v>369</v>
      </c>
      <c r="C6" s="19" t="s">
        <v>369</v>
      </c>
      <c r="I6" s="19" t="s">
        <v>370</v>
      </c>
      <c r="J6" s="19" t="n">
        <v>0.85</v>
      </c>
      <c r="K6" s="19" t="n">
        <v>2.4</v>
      </c>
      <c r="M6" s="19" t="s">
        <v>371</v>
      </c>
      <c r="N6" s="19" t="str">
        <f aca="false">IF(O6&lt;&gt;"", _xlfn.CONCAT("{BLACK}Powered by: {GOLD}",O6), "")</f>
        <v/>
      </c>
    </row>
    <row r="7" customFormat="false" ht="15" hidden="false" customHeight="false" outlineLevel="0" collapsed="false">
      <c r="A7" s="19" t="n">
        <v>7</v>
      </c>
      <c r="B7" s="19" t="s">
        <v>372</v>
      </c>
      <c r="C7" s="19" t="s">
        <v>372</v>
      </c>
      <c r="I7" s="19" t="s">
        <v>293</v>
      </c>
      <c r="J7" s="19" t="n">
        <v>1.2</v>
      </c>
      <c r="K7" s="19" t="n">
        <v>0.6</v>
      </c>
      <c r="M7" s="19" t="s">
        <v>373</v>
      </c>
      <c r="N7" s="19" t="str">
        <f aca="false">IF(O7&lt;&gt;"", _xlfn.CONCAT("{BLACK}Powered by: {GOLD}",O7), "")</f>
        <v/>
      </c>
    </row>
    <row r="8" customFormat="false" ht="15" hidden="false" customHeight="false" outlineLevel="0" collapsed="false">
      <c r="A8" s="19" t="n">
        <v>8</v>
      </c>
      <c r="B8" s="19" t="s">
        <v>374</v>
      </c>
      <c r="C8" s="19" t="s">
        <v>374</v>
      </c>
      <c r="I8" s="19" t="s">
        <v>287</v>
      </c>
      <c r="J8" s="19" t="n">
        <v>1.5</v>
      </c>
      <c r="K8" s="19" t="n">
        <v>0.7</v>
      </c>
      <c r="M8" s="19" t="s">
        <v>375</v>
      </c>
      <c r="N8" s="19" t="str">
        <f aca="false">IF(O8&lt;&gt;"", _xlfn.CONCAT("{BLACK}Powered by: {GOLD}",O8), "")</f>
        <v/>
      </c>
    </row>
    <row r="9" customFormat="false" ht="15" hidden="false" customHeight="false" outlineLevel="0" collapsed="false">
      <c r="A9" s="19" t="n">
        <v>9</v>
      </c>
      <c r="B9" s="19" t="s">
        <v>376</v>
      </c>
      <c r="C9" s="19" t="s">
        <v>376</v>
      </c>
      <c r="I9" s="19" t="s">
        <v>256</v>
      </c>
      <c r="J9" s="19" t="n">
        <v>1</v>
      </c>
      <c r="K9" s="19" t="n">
        <v>0.45</v>
      </c>
      <c r="M9" s="19" t="s">
        <v>377</v>
      </c>
      <c r="N9" s="19" t="str">
        <f aca="false">IF(O9&lt;&gt;"", _xlfn.CONCAT("{BLACK}Powered by: {GOLD}",O9), "")</f>
        <v/>
      </c>
    </row>
    <row r="10" customFormat="false" ht="15" hidden="false" customHeight="false" outlineLevel="0" collapsed="false">
      <c r="A10" s="19" t="n">
        <v>10</v>
      </c>
      <c r="B10" s="19" t="s">
        <v>378</v>
      </c>
      <c r="C10" s="19" t="s">
        <v>378</v>
      </c>
      <c r="I10" s="19" t="s">
        <v>379</v>
      </c>
      <c r="J10" s="19" t="n">
        <v>1</v>
      </c>
      <c r="K10" s="19" t="n">
        <v>0.4</v>
      </c>
      <c r="M10" s="19" t="s">
        <v>380</v>
      </c>
      <c r="N10" s="19" t="str">
        <f aca="false">IF(O10&lt;&gt;"", _xlfn.CONCAT("{BLACK}Powered by: {GOLD}",O10), "")</f>
        <v>{BLACK}Powered by: {GOLD}Steam</v>
      </c>
      <c r="O10" s="19" t="s">
        <v>361</v>
      </c>
    </row>
    <row r="11" customFormat="false" ht="15" hidden="false" customHeight="false" outlineLevel="0" collapsed="false">
      <c r="A11" s="19" t="n">
        <v>11</v>
      </c>
      <c r="B11" s="19" t="s">
        <v>381</v>
      </c>
      <c r="C11" s="19" t="s">
        <v>381</v>
      </c>
      <c r="I11" s="19" t="s">
        <v>382</v>
      </c>
      <c r="J11" s="19" t="n">
        <v>0.9</v>
      </c>
      <c r="K11" s="19" t="n">
        <v>1.6</v>
      </c>
      <c r="M11" s="19" t="s">
        <v>383</v>
      </c>
      <c r="N11" s="19" t="str">
        <f aca="false">IF(O11&lt;&gt;"", _xlfn.CONCAT("{BLACK}Powered by: {GOLD}",O11), "")</f>
        <v>{BLACK}Powered by: {GOLD}750V DC / Diesel</v>
      </c>
      <c r="O11" s="19" t="s">
        <v>384</v>
      </c>
    </row>
    <row r="12" customFormat="false" ht="15" hidden="false" customHeight="false" outlineLevel="0" collapsed="false">
      <c r="A12" s="19" t="n">
        <v>12</v>
      </c>
      <c r="B12" s="19" t="s">
        <v>385</v>
      </c>
      <c r="C12" s="19" t="s">
        <v>385</v>
      </c>
      <c r="I12" s="19" t="s">
        <v>38</v>
      </c>
      <c r="J12" s="19" t="n">
        <v>0</v>
      </c>
      <c r="K12" s="19" t="n">
        <v>0</v>
      </c>
      <c r="M12" s="19" t="s">
        <v>386</v>
      </c>
      <c r="N12" s="19" t="str">
        <f aca="false">IF(O12&lt;&gt;"", _xlfn.CONCAT("{BLACK}Powered by: {GOLD}",O12), "")</f>
        <v>{BLACK}Powered by: {GOLD}25kV AC / 750V DC</v>
      </c>
      <c r="O12" s="19" t="s">
        <v>387</v>
      </c>
    </row>
    <row r="13" customFormat="false" ht="15" hidden="false" customHeight="false" outlineLevel="0" collapsed="false">
      <c r="A13" s="19" t="n">
        <v>13</v>
      </c>
      <c r="B13" s="19" t="s">
        <v>388</v>
      </c>
      <c r="C13" s="19" t="s">
        <v>388</v>
      </c>
      <c r="I13" s="19" t="s">
        <v>389</v>
      </c>
      <c r="J13" s="19" t="n">
        <v>1.05</v>
      </c>
      <c r="K13" s="19" t="n">
        <v>1.9</v>
      </c>
      <c r="M13" s="19" t="s">
        <v>390</v>
      </c>
      <c r="N13" s="19" t="str">
        <f aca="false">IF(O13&lt;&gt;"", _xlfn.CONCAT("{BLACK}Powered by: {GOLD}",O13), "")</f>
        <v/>
      </c>
    </row>
    <row r="14" customFormat="false" ht="15" hidden="false" customHeight="false" outlineLevel="0" collapsed="false">
      <c r="A14" s="19" t="n">
        <v>14</v>
      </c>
      <c r="B14" s="19" t="s">
        <v>391</v>
      </c>
      <c r="C14" s="19" t="s">
        <v>391</v>
      </c>
      <c r="I14" s="19" t="s">
        <v>392</v>
      </c>
      <c r="J14" s="19" t="n">
        <v>0.98</v>
      </c>
      <c r="K14" s="19" t="n">
        <v>1.88</v>
      </c>
      <c r="M14" s="19" t="s">
        <v>393</v>
      </c>
      <c r="N14" s="19" t="str">
        <f aca="false">IF(O14&lt;&gt;"", _xlfn.CONCAT("{BLACK}Powered by: {GOLD}",O14), "")</f>
        <v/>
      </c>
    </row>
    <row r="15" customFormat="false" ht="15" hidden="false" customHeight="false" outlineLevel="0" collapsed="false">
      <c r="A15" s="19" t="n">
        <v>15</v>
      </c>
      <c r="B15" s="19" t="s">
        <v>394</v>
      </c>
      <c r="C15" s="19" t="s">
        <v>394</v>
      </c>
      <c r="I15" s="19" t="s">
        <v>395</v>
      </c>
      <c r="J15" s="19" t="n">
        <v>0.5</v>
      </c>
      <c r="K15" s="19" t="n">
        <v>0.5</v>
      </c>
      <c r="M15" s="19" t="s">
        <v>396</v>
      </c>
      <c r="N15" s="19" t="str">
        <f aca="false">IF(O15&lt;&gt;"", _xlfn.CONCAT("{BLACK}Powered by: {GOLD}",O15), "")</f>
        <v/>
      </c>
    </row>
    <row r="16" customFormat="false" ht="15" hidden="false" customHeight="false" outlineLevel="0" collapsed="false">
      <c r="A16" s="19" t="n">
        <v>16</v>
      </c>
      <c r="B16" s="19" t="s">
        <v>397</v>
      </c>
      <c r="C16" s="19" t="s">
        <v>397</v>
      </c>
      <c r="I16" s="19" t="s">
        <v>208</v>
      </c>
      <c r="J16" s="19" t="n">
        <v>0.85</v>
      </c>
      <c r="K16" s="19" t="n">
        <v>2.3</v>
      </c>
      <c r="M16" s="19" t="s">
        <v>398</v>
      </c>
      <c r="N16" s="19" t="str">
        <f aca="false">IF(O16&lt;&gt;"", _xlfn.CONCAT("{BLACK}Powered by: {GOLD}",O16), "")</f>
        <v>{BLACK}Powered by: {GOLD}Petrol</v>
      </c>
      <c r="O16" s="19" t="s">
        <v>399</v>
      </c>
    </row>
    <row r="17" customFormat="false" ht="15" hidden="false" customHeight="false" outlineLevel="0" collapsed="false">
      <c r="I17" s="19" t="s">
        <v>400</v>
      </c>
      <c r="J17" s="19" t="n">
        <v>1</v>
      </c>
      <c r="K17" s="19" t="n">
        <v>2</v>
      </c>
      <c r="M17" s="19" t="s">
        <v>401</v>
      </c>
      <c r="N17" s="19" t="str">
        <f aca="false">IF(O17&lt;&gt;"", _xlfn.CONCAT("{BLACK}Powered by: {GOLD}",O17), "")</f>
        <v>{BLACK}Powered by: {GOLD}25kV AC / Diesel</v>
      </c>
      <c r="O17" s="19" t="s">
        <v>402</v>
      </c>
    </row>
    <row r="18" customFormat="false" ht="15" hidden="false" customHeight="false" outlineLevel="0" collapsed="false">
      <c r="I18" s="19" t="s">
        <v>403</v>
      </c>
      <c r="J18" s="19" t="n">
        <v>0.8</v>
      </c>
      <c r="K18" s="19" t="n">
        <v>2.3</v>
      </c>
      <c r="M18" s="19" t="s">
        <v>404</v>
      </c>
      <c r="N18" s="19" t="str">
        <f aca="false">IF(O18&lt;&gt;"", _xlfn.CONCAT("{BLACK}Powered by: {GOLD}",O18), "")</f>
        <v>{BLACK}Powered by: {GOLD}LPG / Flywheel</v>
      </c>
      <c r="O18" s="19" t="s">
        <v>405</v>
      </c>
    </row>
    <row r="19" customFormat="false" ht="15" hidden="false" customHeight="false" outlineLevel="0" collapsed="false">
      <c r="M19" s="19" t="s">
        <v>406</v>
      </c>
      <c r="N19" s="19" t="str">
        <f aca="false">IF(O19&lt;&gt;"", _xlfn.CONCAT("{BLACK}Powered by: {GOLD}",O19), "")</f>
        <v/>
      </c>
    </row>
    <row r="20" customFormat="false" ht="15" hidden="false" customHeight="false" outlineLevel="0" collapsed="false">
      <c r="M20" s="19" t="s">
        <v>407</v>
      </c>
      <c r="N20" s="19" t="str">
        <f aca="false">IF(O20&lt;&gt;"", _xlfn.CONCAT("{BLACK}Powered by: {GOLD}",O20), "")</f>
        <v>{BLACK}Powered by: {GOLD}Steam</v>
      </c>
      <c r="O20" s="19" t="s">
        <v>361</v>
      </c>
    </row>
    <row r="21" customFormat="false" ht="15" hidden="false" customHeight="false" outlineLevel="0" collapsed="false">
      <c r="M21" s="19" t="s">
        <v>408</v>
      </c>
      <c r="N21" s="19" t="str">
        <f aca="false">IF(O21&lt;&gt;"", _xlfn.CONCAT("{BLACK}Powered by: {GOLD}",O21), "")</f>
        <v/>
      </c>
    </row>
    <row r="22" customFormat="false" ht="15" hidden="false" customHeight="false" outlineLevel="0" collapsed="false">
      <c r="M22" s="19" t="s">
        <v>409</v>
      </c>
      <c r="N22" s="19" t="str">
        <f aca="false">IF(O22&lt;&gt;"", _xlfn.CONCAT("{BLACK}Powered by: {GOLD}",O22), "")</f>
        <v>{BLACK}Powered by: {GOLD}Grass and hay</v>
      </c>
      <c r="O22" s="19" t="s">
        <v>410</v>
      </c>
    </row>
    <row r="23" customFormat="false" ht="15" hidden="false" customHeight="false" outlineLevel="0" collapsed="false">
      <c r="M23" s="19" t="s">
        <v>411</v>
      </c>
      <c r="N23" s="19" t="str">
        <f aca="false">IF(O23&lt;&gt;"", _xlfn.CONCAT("{BLACK}Powered by: {GOLD}",O23), "")</f>
        <v>{BLACK}Powered by: {GOLD}630V DC</v>
      </c>
      <c r="O23" s="19" t="s">
        <v>412</v>
      </c>
    </row>
    <row r="24" customFormat="false" ht="15" hidden="false" customHeight="false" outlineLevel="0" collapsed="false">
      <c r="M24" s="19" t="s">
        <v>413</v>
      </c>
      <c r="N24" s="19" t="str">
        <f aca="false">IF(O24&lt;&gt;"", _xlfn.CONCAT("{BLACK}Powered by: {GOLD}",O24), "")</f>
        <v/>
      </c>
    </row>
    <row r="25" customFormat="false" ht="15" hidden="false" customHeight="false" outlineLevel="0" collapsed="false">
      <c r="M25" s="19" t="s">
        <v>414</v>
      </c>
      <c r="N25" s="19" t="str">
        <f aca="false">IF(O25&lt;&gt;"", _xlfn.CONCAT("{BLACK}Powered by: {GOLD}",O25), "")</f>
        <v/>
      </c>
    </row>
    <row r="26" customFormat="false" ht="15" hidden="false" customHeight="false" outlineLevel="0" collapsed="false">
      <c r="M26" s="19" t="s">
        <v>415</v>
      </c>
      <c r="N26" s="19" t="str">
        <f aca="false">IF(O26&lt;&gt;"", _xlfn.CONCAT("{BLACK}Powered by: {GOLD}",O26), "")</f>
        <v>{BLACK}Powered by: {GOLD}Grass and hay</v>
      </c>
      <c r="O26" s="19" t="s">
        <v>410</v>
      </c>
    </row>
    <row r="27" customFormat="false" ht="15" hidden="false" customHeight="false" outlineLevel="0" collapsed="false">
      <c r="M27" s="19" t="s">
        <v>416</v>
      </c>
      <c r="N27" s="19" t="str">
        <f aca="false">IF(O27&lt;&gt;"", _xlfn.CONCAT("{BLACK}Powered by: {GOLD}",O27), "")</f>
        <v/>
      </c>
    </row>
    <row r="28" customFormat="false" ht="15" hidden="false" customHeight="false" outlineLevel="0" collapsed="false">
      <c r="M28" s="19" t="s">
        <v>417</v>
      </c>
      <c r="N28" s="19" t="str">
        <f aca="false">IF(O28&lt;&gt;"", _xlfn.CONCAT("{BLACK}Powered by: {GOLD}",O28), "")</f>
        <v>{BLACK}Powered by: {GOLD}Diesel</v>
      </c>
      <c r="O28" s="19" t="s">
        <v>359</v>
      </c>
    </row>
    <row r="29" customFormat="false" ht="15" hidden="false" customHeight="false" outlineLevel="0" collapsed="false">
      <c r="M29" s="19" t="s">
        <v>418</v>
      </c>
      <c r="N29" s="19" t="str">
        <f aca="false">IF(O29&lt;&gt;"", _xlfn.CONCAT("{BLACK}Powered by: {GOLD}",O29), "")</f>
        <v/>
      </c>
      <c r="O29" s="19" t="str">
        <f aca="false">IF(P29&lt;&gt;"", _xlfn.CONCAT("{BLACK}Powered by: {GOLD}",P29), "")</f>
        <v/>
      </c>
    </row>
    <row r="30" customFormat="false" ht="15" hidden="false" customHeight="false" outlineLevel="0" collapsed="false">
      <c r="M30" s="19" t="s">
        <v>419</v>
      </c>
      <c r="N30" s="19" t="str">
        <f aca="false">IF(O30&lt;&gt;"", _xlfn.CONCAT("{BLACK}Powered by: {GOLD}",O30), "")</f>
        <v>{BLACK}Powered by: {GOLD}Gas Turbine</v>
      </c>
      <c r="O30" s="19" t="s">
        <v>420</v>
      </c>
    </row>
    <row r="31" customFormat="false" ht="15" hidden="false" customHeight="false" outlineLevel="0" collapsed="false">
      <c r="M31" s="19" t="s">
        <v>421</v>
      </c>
      <c r="N31" s="19" t="str">
        <f aca="false">IF(O31&lt;&gt;"", _xlfn.CONCAT("{BLACK}Powered by: {GOLD}",O31), "")</f>
        <v>{BLACK}Powered by: {GOLD}Petrol</v>
      </c>
      <c r="O31" s="19" t="s">
        <v>399</v>
      </c>
    </row>
    <row r="32" customFormat="false" ht="15" hidden="false" customHeight="false" outlineLevel="0" collapsed="false">
      <c r="M32" s="19" t="s">
        <v>422</v>
      </c>
      <c r="N32" s="19" t="str">
        <f aca="false">IF(O32&lt;&gt;"", _xlfn.CONCAT("{BLACK}Powered by: {GOLD}",O32), "")</f>
        <v/>
      </c>
    </row>
    <row r="33" customFormat="false" ht="15" hidden="false" customHeight="false" outlineLevel="0" collapsed="false">
      <c r="M33" s="19" t="s">
        <v>423</v>
      </c>
      <c r="N33" s="19" t="str">
        <f aca="false">IF(O33&lt;&gt;"", _xlfn.CONCAT("{BLACK}Powered by: {GOLD}",O33), "")</f>
        <v>{BLACK}Powered by: {GOLD}750V DC / Battery</v>
      </c>
      <c r="O33" s="19" t="s">
        <v>424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7" activeCellId="0" sqref="A7"/>
    </sheetView>
  </sheetViews>
  <sheetFormatPr defaultColWidth="8.60546875" defaultRowHeight="15" customHeight="true" zeroHeight="false" outlineLevelRow="0" outlineLevelCol="0"/>
  <cols>
    <col collapsed="false" customWidth="true" hidden="false" outlineLevel="0" max="2" min="1" style="19" width="10.71"/>
    <col collapsed="false" customWidth="true" hidden="false" outlineLevel="0" max="4" min="3" style="19" width="21.43"/>
  </cols>
  <sheetData>
    <row r="1" customFormat="false" ht="15" hidden="false" customHeight="false" outlineLevel="0" collapsed="false">
      <c r="A1" s="17" t="s">
        <v>425</v>
      </c>
      <c r="B1" s="17" t="s">
        <v>426</v>
      </c>
      <c r="C1" s="17" t="s">
        <v>427</v>
      </c>
      <c r="D1" s="17" t="s">
        <v>428</v>
      </c>
    </row>
    <row r="2" customFormat="false" ht="15" hidden="false" customHeight="false" outlineLevel="0" collapsed="false">
      <c r="A2" s="19" t="n">
        <v>0</v>
      </c>
      <c r="B2" s="19" t="n">
        <f aca="false">IF(D2,D2,C2)</f>
        <v>0</v>
      </c>
      <c r="C2" s="19" t="n">
        <f aca="false">INT(A2*(256/15))</f>
        <v>0</v>
      </c>
      <c r="D2" s="17"/>
    </row>
    <row r="3" customFormat="false" ht="15" hidden="false" customHeight="false" outlineLevel="0" collapsed="false">
      <c r="A3" s="19" t="n">
        <v>1</v>
      </c>
      <c r="B3" s="19" t="n">
        <f aca="false">IF(D3,D3,C3)</f>
        <v>17</v>
      </c>
      <c r="C3" s="19" t="n">
        <f aca="false">INT(A3*(256/15))</f>
        <v>17</v>
      </c>
    </row>
    <row r="4" customFormat="false" ht="15" hidden="false" customHeight="false" outlineLevel="0" collapsed="false">
      <c r="A4" s="19" t="n">
        <v>2</v>
      </c>
      <c r="B4" s="19" t="n">
        <f aca="false">IF(D4,D4,C4)</f>
        <v>34</v>
      </c>
      <c r="C4" s="19" t="n">
        <f aca="false">INT(A4*(256/15))</f>
        <v>34</v>
      </c>
    </row>
    <row r="5" customFormat="false" ht="15" hidden="false" customHeight="false" outlineLevel="0" collapsed="false">
      <c r="A5" s="19" t="n">
        <v>3</v>
      </c>
      <c r="B5" s="19" t="n">
        <f aca="false">IF(D5,D5,C5)</f>
        <v>51</v>
      </c>
      <c r="C5" s="19" t="n">
        <f aca="false">INT(A5*(256/15))</f>
        <v>51</v>
      </c>
    </row>
    <row r="6" customFormat="false" ht="15" hidden="false" customHeight="false" outlineLevel="0" collapsed="false">
      <c r="A6" s="19" t="n">
        <v>4</v>
      </c>
      <c r="B6" s="19" t="n">
        <f aca="false">IF(D6,D6,C6)</f>
        <v>66</v>
      </c>
      <c r="C6" s="19" t="n">
        <f aca="false">INT(A6*(256/15))</f>
        <v>68</v>
      </c>
      <c r="D6" s="19" t="n">
        <v>66</v>
      </c>
    </row>
    <row r="7" customFormat="false" ht="15" hidden="false" customHeight="false" outlineLevel="0" collapsed="false">
      <c r="A7" s="19" t="n">
        <v>5</v>
      </c>
      <c r="B7" s="19" t="n">
        <f aca="false">IF(D7,D7,C7)</f>
        <v>82</v>
      </c>
      <c r="C7" s="19" t="n">
        <f aca="false">INT(A7*(256/15))</f>
        <v>85</v>
      </c>
      <c r="D7" s="19" t="n">
        <v>82</v>
      </c>
    </row>
    <row r="8" customFormat="false" ht="15" hidden="false" customHeight="false" outlineLevel="0" collapsed="false">
      <c r="A8" s="19" t="n">
        <v>6</v>
      </c>
      <c r="B8" s="19" t="n">
        <f aca="false">IF(D8,D8,C8)</f>
        <v>102</v>
      </c>
      <c r="C8" s="19" t="n">
        <f aca="false">INT(A8*(256/15))</f>
        <v>102</v>
      </c>
      <c r="D8" s="19" t="n">
        <v>102</v>
      </c>
    </row>
    <row r="9" customFormat="false" ht="15" hidden="false" customHeight="false" outlineLevel="0" collapsed="false">
      <c r="A9" s="19" t="n">
        <v>7</v>
      </c>
      <c r="B9" s="19" t="n">
        <f aca="false">IF(D9,D9,C9)</f>
        <v>120</v>
      </c>
      <c r="C9" s="19" t="n">
        <f aca="false">INT(A9*(256/15))</f>
        <v>119</v>
      </c>
      <c r="D9" s="19" t="n">
        <v>120</v>
      </c>
    </row>
    <row r="10" customFormat="false" ht="15" hidden="false" customHeight="false" outlineLevel="0" collapsed="false">
      <c r="A10" s="19" t="n">
        <v>8</v>
      </c>
      <c r="B10" s="19" t="n">
        <f aca="false">IF(D10,D10,C10)</f>
        <v>136</v>
      </c>
      <c r="C10" s="19" t="n">
        <f aca="false">INT(A10*(256/15))</f>
        <v>136</v>
      </c>
      <c r="D10" s="19" t="n">
        <v>136</v>
      </c>
    </row>
    <row r="11" customFormat="false" ht="15" hidden="false" customHeight="false" outlineLevel="0" collapsed="false">
      <c r="A11" s="19" t="n">
        <v>9</v>
      </c>
      <c r="B11" s="19" t="n">
        <f aca="false">IF(D11,D11,C11)</f>
        <v>152</v>
      </c>
      <c r="C11" s="19" t="n">
        <f aca="false">INT(A11*(256/15))</f>
        <v>153</v>
      </c>
      <c r="D11" s="19" t="n">
        <v>152</v>
      </c>
    </row>
    <row r="12" customFormat="false" ht="15" hidden="false" customHeight="false" outlineLevel="0" collapsed="false">
      <c r="A12" s="19" t="n">
        <v>10</v>
      </c>
      <c r="B12" s="19" t="n">
        <f aca="false">IF(D12,D12,C12)</f>
        <v>164</v>
      </c>
      <c r="C12" s="19" t="n">
        <f aca="false">INT(A12*(256/15))</f>
        <v>170</v>
      </c>
      <c r="D12" s="19" t="n">
        <v>164</v>
      </c>
    </row>
    <row r="13" customFormat="false" ht="15" hidden="false" customHeight="false" outlineLevel="0" collapsed="false">
      <c r="A13" s="19" t="n">
        <v>11</v>
      </c>
      <c r="B13" s="19" t="n">
        <f aca="false">IF(D13,D13,C13)</f>
        <v>186</v>
      </c>
      <c r="C13" s="19" t="n">
        <f aca="false">INT(A13*(256/15))</f>
        <v>187</v>
      </c>
      <c r="D13" s="19" t="n">
        <v>186</v>
      </c>
    </row>
    <row r="14" customFormat="false" ht="15" hidden="false" customHeight="false" outlineLevel="0" collapsed="false">
      <c r="A14" s="19" t="n">
        <v>12</v>
      </c>
      <c r="B14" s="19" t="n">
        <f aca="false">IF(D14,D14,C14)</f>
        <v>198</v>
      </c>
      <c r="C14" s="19" t="n">
        <f aca="false">INT(A14*(256/15))</f>
        <v>204</v>
      </c>
      <c r="D14" s="19" t="n">
        <v>198</v>
      </c>
    </row>
    <row r="15" customFormat="false" ht="15" hidden="false" customHeight="false" outlineLevel="0" collapsed="false">
      <c r="A15" s="19" t="n">
        <v>13</v>
      </c>
      <c r="B15" s="19" t="n">
        <v>214</v>
      </c>
      <c r="C15" s="19" t="n">
        <f aca="false">INT(A15*(256/15))</f>
        <v>221</v>
      </c>
    </row>
    <row r="16" customFormat="false" ht="15" hidden="false" customHeight="false" outlineLevel="0" collapsed="false">
      <c r="A16" s="19" t="n">
        <v>14</v>
      </c>
      <c r="B16" s="19" t="n">
        <f aca="false">IF(D16,D16,C16)</f>
        <v>238</v>
      </c>
      <c r="C16" s="19" t="n">
        <f aca="false">INT(A16*(256/15))</f>
        <v>238</v>
      </c>
    </row>
    <row r="17" customFormat="false" ht="15" hidden="false" customHeight="false" outlineLevel="0" collapsed="false">
      <c r="A17" s="19" t="n">
        <v>15</v>
      </c>
      <c r="B17" s="19" t="n">
        <f aca="false">IF(D17,D17,C17)</f>
        <v>256</v>
      </c>
      <c r="C17" s="19" t="n">
        <f aca="false">INT(A17*(256/15))</f>
        <v>256</v>
      </c>
    </row>
    <row r="18" customFormat="false" ht="15" hidden="false" customHeight="false" outlineLevel="0" collapsed="false">
      <c r="A18" s="19" t="n">
        <v>16</v>
      </c>
      <c r="B18" s="19" t="n">
        <f aca="false">IF(D18,D18,C18)</f>
        <v>273</v>
      </c>
      <c r="C18" s="19"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5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15" activeCellId="0" sqref="B15"/>
    </sheetView>
  </sheetViews>
  <sheetFormatPr defaultColWidth="8.60546875" defaultRowHeight="15" customHeight="true" zeroHeight="false" outlineLevelRow="0" outlineLevelCol="0"/>
  <cols>
    <col collapsed="false" customWidth="true" hidden="false" outlineLevel="0" max="1" min="1" style="19" width="11.43"/>
    <col collapsed="false" customWidth="true" hidden="false" outlineLevel="0" max="3" min="3" style="19" width="11.99"/>
    <col collapsed="false" customWidth="true" hidden="false" outlineLevel="0" max="9" min="8" style="19" width="10.58"/>
    <col collapsed="false" customWidth="true" hidden="false" outlineLevel="0" max="10" min="10" style="19" width="11.28"/>
  </cols>
  <sheetData>
    <row r="1" customFormat="false" ht="15" hidden="false" customHeight="false" outlineLevel="0" collapsed="false">
      <c r="B1" s="19" t="n">
        <v>1</v>
      </c>
      <c r="C1" s="19" t="n">
        <v>2</v>
      </c>
      <c r="D1" s="19" t="n">
        <v>3</v>
      </c>
      <c r="E1" s="19" t="n">
        <v>4</v>
      </c>
      <c r="F1" s="19" t="n">
        <v>5</v>
      </c>
      <c r="G1" s="19" t="n">
        <v>6</v>
      </c>
      <c r="H1" s="19" t="n">
        <v>7</v>
      </c>
      <c r="I1" s="19" t="n">
        <v>8</v>
      </c>
      <c r="J1" s="19" t="n">
        <v>9</v>
      </c>
      <c r="K1" s="19" t="n">
        <v>10</v>
      </c>
      <c r="L1" s="19" t="n">
        <v>11</v>
      </c>
      <c r="M1" s="19" t="n">
        <v>12</v>
      </c>
      <c r="N1" s="19" t="n">
        <v>13</v>
      </c>
      <c r="O1" s="19" t="n">
        <v>14</v>
      </c>
      <c r="P1" s="19" t="n">
        <v>15</v>
      </c>
      <c r="Q1" s="19" t="n">
        <v>16</v>
      </c>
      <c r="R1" s="19" t="n">
        <v>17</v>
      </c>
      <c r="S1" s="19" t="n">
        <v>18</v>
      </c>
      <c r="T1" s="19" t="n">
        <v>19</v>
      </c>
      <c r="U1" s="19" t="n">
        <v>20</v>
      </c>
    </row>
    <row r="2" customFormat="false" ht="15" hidden="false" customHeight="false" outlineLevel="0" collapsed="false">
      <c r="B2" s="19" t="s">
        <v>429</v>
      </c>
    </row>
    <row r="3" customFormat="false" ht="15" hidden="false" customHeight="false" outlineLevel="0" collapsed="false">
      <c r="A3" s="19" t="s">
        <v>430</v>
      </c>
      <c r="B3" s="19" t="s">
        <v>211</v>
      </c>
      <c r="C3" s="19" t="s">
        <v>431</v>
      </c>
      <c r="D3" s="19" t="s">
        <v>431</v>
      </c>
      <c r="E3" s="19" t="s">
        <v>431</v>
      </c>
      <c r="F3" s="19" t="s">
        <v>431</v>
      </c>
      <c r="G3" s="19" t="s">
        <v>432</v>
      </c>
      <c r="H3" s="19" t="s">
        <v>433</v>
      </c>
      <c r="I3" s="19" t="s">
        <v>433</v>
      </c>
      <c r="J3" s="19" t="s">
        <v>243</v>
      </c>
      <c r="K3" s="19" t="s">
        <v>431</v>
      </c>
      <c r="L3" s="19" t="s">
        <v>431</v>
      </c>
      <c r="M3" s="19" t="s">
        <v>431</v>
      </c>
      <c r="N3" s="19" t="s">
        <v>431</v>
      </c>
      <c r="O3" s="19" t="s">
        <v>434</v>
      </c>
    </row>
    <row r="4" customFormat="false" ht="15" hidden="false" customHeight="false" outlineLevel="0" collapsed="false">
      <c r="A4" s="19" t="s">
        <v>435</v>
      </c>
      <c r="B4" s="19" t="n">
        <v>1</v>
      </c>
      <c r="C4" s="19" t="n">
        <v>1</v>
      </c>
      <c r="D4" s="19" t="n">
        <v>0</v>
      </c>
      <c r="E4" s="19" t="n">
        <v>0</v>
      </c>
      <c r="F4" s="19" t="n">
        <v>0</v>
      </c>
      <c r="G4" s="19" t="n">
        <v>1</v>
      </c>
      <c r="H4" s="19" t="n">
        <v>1</v>
      </c>
      <c r="I4" s="19" t="n">
        <v>0</v>
      </c>
      <c r="J4" s="19" t="n">
        <v>1</v>
      </c>
      <c r="K4" s="19" t="n">
        <v>0</v>
      </c>
      <c r="L4" s="19" t="n">
        <v>0</v>
      </c>
      <c r="M4" s="19" t="n">
        <v>0</v>
      </c>
      <c r="N4" s="19" t="n">
        <v>0</v>
      </c>
      <c r="O4" s="19" t="n">
        <v>1</v>
      </c>
    </row>
    <row r="6" customFormat="false" ht="14.25" hidden="false" customHeight="true" outlineLevel="0" collapsed="false">
      <c r="B6" s="19" t="s">
        <v>436</v>
      </c>
    </row>
    <row r="7" customFormat="false" ht="15" hidden="false" customHeight="false" outlineLevel="0" collapsed="false">
      <c r="A7" s="19" t="s">
        <v>430</v>
      </c>
      <c r="B7" s="19" t="s">
        <v>437</v>
      </c>
      <c r="C7" s="19" t="s">
        <v>438</v>
      </c>
      <c r="D7" s="19" t="s">
        <v>439</v>
      </c>
      <c r="E7" s="19" t="s">
        <v>439</v>
      </c>
      <c r="F7" s="19" t="s">
        <v>439</v>
      </c>
      <c r="G7" s="19" t="s">
        <v>439</v>
      </c>
      <c r="H7" s="19" t="s">
        <v>440</v>
      </c>
      <c r="I7" s="19" t="s">
        <v>439</v>
      </c>
      <c r="J7" s="19" t="s">
        <v>439</v>
      </c>
      <c r="K7" s="19" t="s">
        <v>439</v>
      </c>
      <c r="L7" s="19" t="s">
        <v>439</v>
      </c>
      <c r="M7" s="19" t="s">
        <v>439</v>
      </c>
      <c r="N7" s="19" t="s">
        <v>439</v>
      </c>
      <c r="O7" s="19" t="s">
        <v>440</v>
      </c>
      <c r="P7" s="19" t="s">
        <v>439</v>
      </c>
      <c r="Q7" s="19" t="s">
        <v>439</v>
      </c>
      <c r="R7" s="19" t="s">
        <v>439</v>
      </c>
      <c r="S7" s="19" t="s">
        <v>439</v>
      </c>
      <c r="T7" s="19" t="s">
        <v>441</v>
      </c>
      <c r="U7" s="19" t="s">
        <v>442</v>
      </c>
    </row>
    <row r="8" customFormat="false" ht="15" hidden="false" customHeight="false" outlineLevel="0" collapsed="false">
      <c r="A8" s="19" t="s">
        <v>435</v>
      </c>
      <c r="B8" s="19" t="n">
        <v>1</v>
      </c>
      <c r="C8" s="19" t="n">
        <v>1</v>
      </c>
      <c r="D8" s="19" t="n">
        <v>1</v>
      </c>
      <c r="E8" s="19" t="n">
        <v>0</v>
      </c>
      <c r="F8" s="19" t="n">
        <v>0</v>
      </c>
      <c r="G8" s="19" t="n">
        <v>0</v>
      </c>
      <c r="H8" s="19" t="n">
        <v>1</v>
      </c>
      <c r="I8" s="19" t="n">
        <v>0</v>
      </c>
      <c r="J8" s="19" t="n">
        <v>0</v>
      </c>
      <c r="K8" s="19" t="n">
        <v>0</v>
      </c>
      <c r="L8" s="19" t="n">
        <v>0</v>
      </c>
      <c r="M8" s="19" t="n">
        <v>0</v>
      </c>
      <c r="N8" s="19" t="n">
        <v>0</v>
      </c>
      <c r="O8" s="19" t="n">
        <v>0</v>
      </c>
      <c r="P8" s="19" t="n">
        <v>0</v>
      </c>
      <c r="Q8" s="19" t="n">
        <v>0</v>
      </c>
      <c r="R8" s="19" t="n">
        <v>0</v>
      </c>
      <c r="S8" s="19" t="n">
        <v>0</v>
      </c>
      <c r="T8" s="19" t="n">
        <v>1</v>
      </c>
      <c r="U8" s="19" t="n">
        <v>1</v>
      </c>
    </row>
    <row r="9" customFormat="false" ht="15" hidden="false" customHeight="false" outlineLevel="0" collapsed="false">
      <c r="A9" s="19" t="s">
        <v>348</v>
      </c>
      <c r="B9" s="19" t="n">
        <v>22.15</v>
      </c>
      <c r="C9" s="19" t="n">
        <v>21.84</v>
      </c>
      <c r="D9" s="19" t="n">
        <v>18.7</v>
      </c>
      <c r="E9" s="19" t="n">
        <v>18.7</v>
      </c>
      <c r="F9" s="19" t="n">
        <v>18.7</v>
      </c>
      <c r="G9" s="19" t="n">
        <v>18.7</v>
      </c>
      <c r="H9" s="19" t="n">
        <v>18.7</v>
      </c>
      <c r="I9" s="19" t="n">
        <v>18.7</v>
      </c>
      <c r="J9" s="19" t="n">
        <v>18.7</v>
      </c>
      <c r="K9" s="19" t="n">
        <v>18.7</v>
      </c>
      <c r="L9" s="19" t="n">
        <v>18.7</v>
      </c>
      <c r="M9" s="19" t="n">
        <v>18.7</v>
      </c>
      <c r="N9" s="19" t="n">
        <v>18.7</v>
      </c>
      <c r="O9" s="19" t="n">
        <v>18.7</v>
      </c>
      <c r="P9" s="19" t="n">
        <v>18.7</v>
      </c>
      <c r="Q9" s="19" t="n">
        <v>18.7</v>
      </c>
      <c r="R9" s="19" t="n">
        <v>18.7</v>
      </c>
      <c r="S9" s="19" t="n">
        <v>18.7</v>
      </c>
      <c r="T9" s="19" t="n">
        <v>21.84</v>
      </c>
      <c r="U9" s="19" t="n">
        <v>22.15</v>
      </c>
    </row>
    <row r="10" customFormat="false" ht="15" hidden="false" customHeight="false" outlineLevel="0" collapsed="false">
      <c r="A10" s="19" t="s">
        <v>443</v>
      </c>
      <c r="B10" s="19" t="n">
        <f aca="false">ROUND(15*((B9*10)/256),0)</f>
        <v>13</v>
      </c>
      <c r="C10" s="19" t="n">
        <f aca="false">ROUND(15*((C9*10)/256),0)</f>
        <v>13</v>
      </c>
      <c r="D10" s="19" t="n">
        <f aca="false">ROUND(15*((D9*10)/256),0)</f>
        <v>11</v>
      </c>
      <c r="E10" s="19" t="n">
        <f aca="false">ROUND(15*((E9*10)/256),0)</f>
        <v>11</v>
      </c>
      <c r="F10" s="19" t="n">
        <f aca="false">ROUND(15*((F9*10)/256),0)</f>
        <v>11</v>
      </c>
      <c r="G10" s="19" t="n">
        <f aca="false">ROUND(15*((G9*10)/256),0)</f>
        <v>11</v>
      </c>
      <c r="H10" s="19" t="n">
        <f aca="false">ROUND(15*((H9*10)/256),0)</f>
        <v>11</v>
      </c>
      <c r="I10" s="19" t="n">
        <f aca="false">ROUND(15*((I9*10)/256),0)</f>
        <v>11</v>
      </c>
      <c r="J10" s="19" t="n">
        <f aca="false">ROUND(15*((J9*10)/256),0)</f>
        <v>11</v>
      </c>
      <c r="K10" s="19" t="n">
        <f aca="false">ROUND(15*((K9*10)/256),0)</f>
        <v>11</v>
      </c>
      <c r="L10" s="19" t="n">
        <f aca="false">ROUND(15*((L9*10)/256),0)</f>
        <v>11</v>
      </c>
      <c r="M10" s="19" t="n">
        <f aca="false">ROUND(15*((M9*10)/256),0)</f>
        <v>11</v>
      </c>
      <c r="N10" s="19" t="n">
        <f aca="false">ROUND(15*((N9*10)/256),0)</f>
        <v>11</v>
      </c>
      <c r="O10" s="19" t="n">
        <f aca="false">ROUND(15*((O9*10)/256),0)</f>
        <v>11</v>
      </c>
      <c r="P10" s="19" t="n">
        <f aca="false">ROUND(15*((P9*10)/256),0)</f>
        <v>11</v>
      </c>
      <c r="Q10" s="19" t="n">
        <f aca="false">ROUND(15*((Q9*10)/256),0)</f>
        <v>11</v>
      </c>
      <c r="R10" s="19" t="n">
        <f aca="false">ROUND(15*((R9*10)/256),0)</f>
        <v>11</v>
      </c>
      <c r="S10" s="19" t="n">
        <f aca="false">ROUND(15*((S9*10)/256),0)</f>
        <v>11</v>
      </c>
      <c r="T10" s="19" t="n">
        <f aca="false">ROUND(15*((T9*10)/256),0)</f>
        <v>13</v>
      </c>
      <c r="U10" s="19" t="n">
        <f aca="false">ROUND(15*((U9*10)/256),0)</f>
        <v>13</v>
      </c>
    </row>
    <row r="11" customFormat="false" ht="15" hidden="false" customHeight="false" outlineLevel="0" collapsed="false">
      <c r="A11" s="19" t="s">
        <v>444</v>
      </c>
      <c r="B11" s="19" t="str">
        <f aca="false">VLOOKUP(B10,Constants!$A$1:$B$16,2,FALSE())</f>
        <v>4,5,4</v>
      </c>
      <c r="C11" s="19" t="str">
        <f aca="false">VLOOKUP(C10,Constants!$A$1:$B$16,2,FALSE())</f>
        <v>4,5,4</v>
      </c>
      <c r="D11" s="19" t="str">
        <f aca="false">VLOOKUP(D10,Constants!$A$1:$B$16,2,FALSE())</f>
        <v>4,3,4</v>
      </c>
      <c r="E11" s="19" t="str">
        <f aca="false">VLOOKUP(E10,Constants!$A$1:$B$16,2,FALSE())</f>
        <v>4,3,4</v>
      </c>
      <c r="F11" s="19" t="str">
        <f aca="false">VLOOKUP(F10,Constants!$A$1:$B$16,2,FALSE())</f>
        <v>4,3,4</v>
      </c>
      <c r="G11" s="19" t="str">
        <f aca="false">VLOOKUP(G10,Constants!$A$1:$B$16,2,FALSE())</f>
        <v>4,3,4</v>
      </c>
      <c r="H11" s="19" t="str">
        <f aca="false">VLOOKUP(H10,Constants!$A$1:$B$16,2,FALSE())</f>
        <v>4,3,4</v>
      </c>
      <c r="I11" s="19" t="str">
        <f aca="false">VLOOKUP(I10,Constants!$A$1:$B$16,2,FALSE())</f>
        <v>4,3,4</v>
      </c>
      <c r="J11" s="19" t="str">
        <f aca="false">VLOOKUP(J10,Constants!$A$1:$B$16,2,FALSE())</f>
        <v>4,3,4</v>
      </c>
      <c r="K11" s="19" t="str">
        <f aca="false">VLOOKUP(K10,Constants!$A$1:$B$16,2,FALSE())</f>
        <v>4,3,4</v>
      </c>
      <c r="L11" s="19" t="str">
        <f aca="false">VLOOKUP(L10,Constants!$A$1:$B$16,2,FALSE())</f>
        <v>4,3,4</v>
      </c>
      <c r="M11" s="19" t="str">
        <f aca="false">VLOOKUP(M10,Constants!$A$1:$B$16,2,FALSE())</f>
        <v>4,3,4</v>
      </c>
      <c r="N11" s="19" t="str">
        <f aca="false">VLOOKUP(N10,Constants!$A$1:$B$16,2,FALSE())</f>
        <v>4,3,4</v>
      </c>
      <c r="O11" s="19" t="str">
        <f aca="false">VLOOKUP(O10,Constants!$A$1:$B$16,2,FALSE())</f>
        <v>4,3,4</v>
      </c>
      <c r="P11" s="19" t="str">
        <f aca="false">VLOOKUP(P10,Constants!$A$1:$B$16,2,FALSE())</f>
        <v>4,3,4</v>
      </c>
      <c r="Q11" s="19" t="str">
        <f aca="false">VLOOKUP(Q10,Constants!$A$1:$B$16,2,FALSE())</f>
        <v>4,3,4</v>
      </c>
      <c r="R11" s="19" t="str">
        <f aca="false">VLOOKUP(R10,Constants!$A$1:$B$16,2,FALSE())</f>
        <v>4,3,4</v>
      </c>
      <c r="S11" s="19" t="str">
        <f aca="false">VLOOKUP(S10,Constants!$A$1:$B$16,2,FALSE())</f>
        <v>4,3,4</v>
      </c>
      <c r="T11" s="19" t="str">
        <f aca="false">VLOOKUP(T10,Constants!$A$1:$B$16,2,FALSE())</f>
        <v>4,5,4</v>
      </c>
      <c r="U11" s="19" t="str">
        <f aca="false">VLOOKUP(U10,Constants!$A$1:$B$16,2,FALSE())</f>
        <v>4,5,4</v>
      </c>
    </row>
    <row r="13" customFormat="false" ht="15" hidden="false" customHeight="false" outlineLevel="0" collapsed="false">
      <c r="B13" s="19"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5" hidden="false" customHeight="false" outlineLevel="0" collapsed="false">
      <c r="B14" s="19" t="str">
        <f aca="false">_xlfn.TEXTJOIN(",",TRUE(),  B8:U8)</f>
        <v>1,1,1,0,0,0,1,0,0,0,0,0,0,0,0,0,0,0,1,1</v>
      </c>
    </row>
    <row r="15" customFormat="false" ht="15" hidden="false" customHeight="false" outlineLevel="0" collapsed="false">
      <c r="B15" s="19" t="str">
        <f aca="false">_xlfn.TEXTJOIN(",",TRUE(),  B11:U11)</f>
        <v>4,5,4,4,5,4,4,3,4,4,3,4,4,3,4,4,3,4,4,3,4,4,3,4,4,3,4,4,3,4,4,3,4,4,3,4,4,3,4,4,3,4,4,3,4,4,3,4,4,3,4,4,3,4,4,5,4,4,5,4</v>
      </c>
    </row>
    <row r="16" customFormat="false" ht="15" hidden="false" customHeight="false" outlineLevel="0" collapsed="false">
      <c r="B16" s="19" t="str">
        <f aca="false">_xlfn.TEXTJOIN(",",TRUE(),  B10:U10)</f>
        <v>13,13,11,11,11,11,11,11,11,11,11,11,11,11,11,11,11,11,13,13</v>
      </c>
    </row>
    <row r="18" customFormat="false" ht="15" hidden="false" customHeight="false" outlineLevel="0" collapsed="false">
      <c r="B18" s="19" t="s">
        <v>445</v>
      </c>
    </row>
    <row r="19" customFormat="false" ht="15" hidden="false" customHeight="false" outlineLevel="0" collapsed="false">
      <c r="A19" s="19" t="s">
        <v>430</v>
      </c>
      <c r="B19" s="19" t="s">
        <v>437</v>
      </c>
      <c r="C19" s="19" t="s">
        <v>438</v>
      </c>
      <c r="D19" s="19" t="s">
        <v>439</v>
      </c>
      <c r="E19" s="19" t="s">
        <v>440</v>
      </c>
      <c r="F19" s="19" t="s">
        <v>439</v>
      </c>
      <c r="G19" s="19" t="s">
        <v>440</v>
      </c>
      <c r="H19" s="19" t="s">
        <v>441</v>
      </c>
      <c r="I19" s="19" t="s">
        <v>442</v>
      </c>
    </row>
    <row r="20" customFormat="false" ht="15" hidden="false" customHeight="false" outlineLevel="0" collapsed="false">
      <c r="A20" s="19" t="s">
        <v>435</v>
      </c>
      <c r="B20" s="19" t="n">
        <v>0</v>
      </c>
      <c r="C20" s="19" t="n">
        <v>0</v>
      </c>
      <c r="D20" s="19" t="n">
        <v>0</v>
      </c>
      <c r="E20" s="19" t="n">
        <v>0</v>
      </c>
      <c r="F20" s="19" t="n">
        <v>0</v>
      </c>
      <c r="G20" s="19" t="n">
        <v>0</v>
      </c>
      <c r="H20" s="19" t="n">
        <v>0</v>
      </c>
      <c r="I20" s="19" t="n">
        <v>0</v>
      </c>
    </row>
    <row r="21" customFormat="false" ht="15" hidden="false" customHeight="false" outlineLevel="0" collapsed="false">
      <c r="A21" s="19" t="s">
        <v>348</v>
      </c>
      <c r="B21" s="19" t="n">
        <v>22.15</v>
      </c>
      <c r="C21" s="19" t="n">
        <v>21.84</v>
      </c>
      <c r="D21" s="19" t="n">
        <v>18.7</v>
      </c>
      <c r="E21" s="19" t="n">
        <v>18.7</v>
      </c>
      <c r="F21" s="19" t="n">
        <v>18.7</v>
      </c>
      <c r="G21" s="19" t="n">
        <v>18.7</v>
      </c>
      <c r="H21" s="19" t="n">
        <v>21.84</v>
      </c>
      <c r="I21" s="19" t="n">
        <v>22.15</v>
      </c>
    </row>
    <row r="22" customFormat="false" ht="15" hidden="false" customHeight="false" outlineLevel="0" collapsed="false">
      <c r="A22" s="19" t="s">
        <v>443</v>
      </c>
      <c r="B22" s="19" t="n">
        <f aca="false">ROUND(15*((B21*10)/256),0)</f>
        <v>13</v>
      </c>
      <c r="C22" s="19" t="n">
        <f aca="false">ROUND(15*((C21*10)/256),0)</f>
        <v>13</v>
      </c>
      <c r="D22" s="19" t="n">
        <f aca="false">ROUND(15*((D21*10)/256),0)</f>
        <v>11</v>
      </c>
      <c r="E22" s="19" t="n">
        <f aca="false">ROUND(15*((E21*10)/256),0)</f>
        <v>11</v>
      </c>
      <c r="F22" s="19" t="n">
        <f aca="false">ROUND(15*((F21*10)/256),0)</f>
        <v>11</v>
      </c>
      <c r="G22" s="19" t="n">
        <f aca="false">ROUND(15*((G21*10)/256),0)</f>
        <v>11</v>
      </c>
      <c r="H22" s="19" t="n">
        <f aca="false">ROUND(15*((H21*10)/256),0)</f>
        <v>13</v>
      </c>
      <c r="I22" s="19" t="n">
        <f aca="false">ROUND(15*((I21*10)/256),0)</f>
        <v>13</v>
      </c>
    </row>
    <row r="23" customFormat="false" ht="15" hidden="false" customHeight="false" outlineLevel="0" collapsed="false">
      <c r="A23" s="19" t="s">
        <v>444</v>
      </c>
      <c r="B23" s="19" t="str">
        <f aca="false">VLOOKUP(B22,Constants!$A$1:$B$16,2,FALSE())</f>
        <v>4,5,4</v>
      </c>
      <c r="C23" s="19" t="str">
        <f aca="false">VLOOKUP(C22,Constants!$A$1:$B$16,2,FALSE())</f>
        <v>4,5,4</v>
      </c>
      <c r="D23" s="19" t="str">
        <f aca="false">VLOOKUP(D22,Constants!$A$1:$B$16,2,FALSE())</f>
        <v>4,3,4</v>
      </c>
      <c r="E23" s="19" t="str">
        <f aca="false">VLOOKUP(E22,Constants!$A$1:$B$16,2,FALSE())</f>
        <v>4,3,4</v>
      </c>
      <c r="F23" s="19" t="str">
        <f aca="false">VLOOKUP(F22,Constants!$A$1:$B$16,2,FALSE())</f>
        <v>4,3,4</v>
      </c>
      <c r="G23" s="19" t="str">
        <f aca="false">VLOOKUP(G22,Constants!$A$1:$B$16,2,FALSE())</f>
        <v>4,3,4</v>
      </c>
      <c r="H23" s="19" t="str">
        <f aca="false">VLOOKUP(H22,Constants!$A$1:$B$16,2,FALSE())</f>
        <v>4,5,4</v>
      </c>
      <c r="I23" s="19" t="str">
        <f aca="false">VLOOKUP(I22,Constants!$A$1:$B$16,2,FALSE())</f>
        <v>4,5,4</v>
      </c>
    </row>
    <row r="25" customFormat="false" ht="15" hidden="false" customHeight="false" outlineLevel="0" collapsed="false">
      <c r="B25" s="19" t="str">
        <f aca="false">_xlfn.TEXTJOIN(",",TRUE(),  B19:P19)</f>
        <v>eurostar,eurostar_motor,eurostar_mid,eurostar_tbk,eurostar_mid,eurostar_tbk,eurostar_motor_rev,eurostar_rear</v>
      </c>
    </row>
    <row r="26" customFormat="false" ht="15" hidden="false" customHeight="false" outlineLevel="0" collapsed="false">
      <c r="B26" s="19" t="str">
        <f aca="false">_xlfn.TEXTJOIN(",",TRUE(),  B20:P20)</f>
        <v>0,0,0,0,0,0,0,0</v>
      </c>
    </row>
    <row r="27" customFormat="false" ht="15" hidden="false" customHeight="false" outlineLevel="0" collapsed="false">
      <c r="B27" s="19" t="str">
        <f aca="false">_xlfn.TEXTJOIN(",",TRUE(),  B23:P23)</f>
        <v>4,5,4,4,5,4,4,3,4,4,3,4,4,3,4,4,3,4,4,5,4,4,5,4</v>
      </c>
    </row>
    <row r="28" customFormat="false" ht="15" hidden="false" customHeight="false" outlineLevel="0" collapsed="false">
      <c r="B28" s="19" t="str">
        <f aca="false">_xlfn.TEXTJOIN(",",TRUE(),  B22:U22)</f>
        <v>13,13,11,11,11,11,13,13</v>
      </c>
    </row>
    <row r="30" customFormat="false" ht="15" hidden="false" customHeight="false" outlineLevel="0" collapsed="false">
      <c r="B30" s="19" t="s">
        <v>446</v>
      </c>
    </row>
    <row r="31" customFormat="false" ht="15" hidden="false" customHeight="false" outlineLevel="0" collapsed="false">
      <c r="A31" s="19" t="s">
        <v>430</v>
      </c>
      <c r="B31" s="19" t="s">
        <v>437</v>
      </c>
      <c r="C31" s="19" t="s">
        <v>438</v>
      </c>
      <c r="D31" s="19" t="s">
        <v>439</v>
      </c>
      <c r="E31" s="19" t="s">
        <v>441</v>
      </c>
      <c r="F31" s="19" t="s">
        <v>442</v>
      </c>
    </row>
    <row r="32" customFormat="false" ht="15" hidden="false" customHeight="false" outlineLevel="0" collapsed="false">
      <c r="A32" s="19" t="s">
        <v>435</v>
      </c>
      <c r="B32" s="19" t="n">
        <v>0</v>
      </c>
      <c r="C32" s="19" t="n">
        <v>0</v>
      </c>
      <c r="D32" s="19" t="n">
        <v>0</v>
      </c>
      <c r="E32" s="19" t="n">
        <v>0</v>
      </c>
      <c r="F32" s="19" t="n">
        <v>0</v>
      </c>
    </row>
    <row r="33" customFormat="false" ht="15" hidden="false" customHeight="false" outlineLevel="0" collapsed="false">
      <c r="A33" s="19" t="s">
        <v>348</v>
      </c>
      <c r="B33" s="19" t="n">
        <v>22.15</v>
      </c>
      <c r="C33" s="19" t="n">
        <v>21.84</v>
      </c>
      <c r="D33" s="19" t="n">
        <v>18.7</v>
      </c>
      <c r="E33" s="19" t="n">
        <v>21.84</v>
      </c>
      <c r="F33" s="19" t="n">
        <v>22.15</v>
      </c>
    </row>
    <row r="34" customFormat="false" ht="15" hidden="false" customHeight="false" outlineLevel="0" collapsed="false">
      <c r="A34" s="19" t="s">
        <v>443</v>
      </c>
      <c r="B34" s="19" t="n">
        <f aca="false">ROUND(15*((B33*10)/256),0)</f>
        <v>13</v>
      </c>
      <c r="C34" s="19" t="n">
        <f aca="false">ROUND(15*((C33*10)/256),0)</f>
        <v>13</v>
      </c>
      <c r="D34" s="19" t="n">
        <f aca="false">ROUND(15*((D33*10)/256),0)</f>
        <v>11</v>
      </c>
      <c r="E34" s="19" t="n">
        <f aca="false">ROUND(15*((E33*10)/256),0)</f>
        <v>13</v>
      </c>
      <c r="F34" s="19" t="n">
        <f aca="false">ROUND(15*((F33*10)/256),0)</f>
        <v>13</v>
      </c>
    </row>
    <row r="35" customFormat="false" ht="15" hidden="false" customHeight="false" outlineLevel="0" collapsed="false">
      <c r="A35" s="19" t="s">
        <v>444</v>
      </c>
      <c r="B35" s="19" t="str">
        <f aca="false">VLOOKUP(B34,Constants!$A$1:$B$16,2,FALSE())</f>
        <v>4,5,4</v>
      </c>
      <c r="C35" s="19" t="str">
        <f aca="false">VLOOKUP(C34,Constants!$A$1:$B$16,2,FALSE())</f>
        <v>4,5,4</v>
      </c>
      <c r="D35" s="19" t="str">
        <f aca="false">VLOOKUP(D34,Constants!$A$1:$B$16,2,FALSE())</f>
        <v>4,3,4</v>
      </c>
      <c r="E35" s="19" t="str">
        <f aca="false">VLOOKUP(E34,Constants!$A$1:$B$16,2,FALSE())</f>
        <v>4,5,4</v>
      </c>
      <c r="F35" s="19" t="str">
        <f aca="false">VLOOKUP(F34,Constants!$A$1:$B$16,2,FALSE())</f>
        <v>4,5,4</v>
      </c>
    </row>
    <row r="37" customFormat="false" ht="15" hidden="false" customHeight="false" outlineLevel="0" collapsed="false">
      <c r="B37" s="19" t="str">
        <f aca="false">_xlfn.TEXTJOIN(",",TRUE(),  B31:P31)</f>
        <v>eurostar,eurostar_motor,eurostar_mid,eurostar_motor_rev,eurostar_rear</v>
      </c>
    </row>
    <row r="38" customFormat="false" ht="15" hidden="false" customHeight="false" outlineLevel="0" collapsed="false">
      <c r="B38" s="19" t="str">
        <f aca="false">_xlfn.TEXTJOIN(",",TRUE(),  B32:P32)</f>
        <v>0,0,0,0,0</v>
      </c>
    </row>
    <row r="39" customFormat="false" ht="15" hidden="false" customHeight="false" outlineLevel="0" collapsed="false">
      <c r="B39" s="19" t="str">
        <f aca="false">_xlfn.TEXTJOIN(",",TRUE(),  B35:P35)</f>
        <v>4,5,4,4,5,4,4,3,4,4,5,4,4,5,4</v>
      </c>
    </row>
    <row r="40" customFormat="false" ht="15" hidden="false" customHeight="false" outlineLevel="0" collapsed="false">
      <c r="B40" s="19" t="str">
        <f aca="false">_xlfn.TEXTJOIN(",",TRUE(),  B34:U34)</f>
        <v>13,13,11,13,13</v>
      </c>
    </row>
    <row r="42" customFormat="false" ht="15" hidden="false" customHeight="false" outlineLevel="0" collapsed="false">
      <c r="B42" s="19" t="s">
        <v>447</v>
      </c>
    </row>
    <row r="43" customFormat="false" ht="15" hidden="false" customHeight="false" outlineLevel="0" collapsed="false">
      <c r="A43" s="19" t="s">
        <v>430</v>
      </c>
      <c r="B43" s="19" t="s">
        <v>448</v>
      </c>
      <c r="C43" s="19" t="s">
        <v>449</v>
      </c>
      <c r="D43" s="19" t="s">
        <v>450</v>
      </c>
      <c r="E43" s="19" t="s">
        <v>451</v>
      </c>
      <c r="F43" s="19" t="s">
        <v>452</v>
      </c>
    </row>
    <row r="44" customFormat="false" ht="15" hidden="false" customHeight="false" outlineLevel="0" collapsed="false">
      <c r="A44" s="19" t="s">
        <v>435</v>
      </c>
      <c r="B44" s="19" t="n">
        <v>1</v>
      </c>
      <c r="C44" s="19" t="n">
        <v>1</v>
      </c>
      <c r="D44" s="19" t="n">
        <v>1</v>
      </c>
      <c r="E44" s="19" t="n">
        <v>1</v>
      </c>
      <c r="F44" s="19" t="n">
        <v>1</v>
      </c>
    </row>
    <row r="45" customFormat="false" ht="15" hidden="false" customHeight="false" outlineLevel="0" collapsed="false">
      <c r="A45" s="19" t="s">
        <v>348</v>
      </c>
      <c r="B45" s="19" t="n">
        <v>20.2</v>
      </c>
      <c r="C45" s="19" t="n">
        <v>15.7</v>
      </c>
      <c r="D45" s="19" t="n">
        <v>10</v>
      </c>
      <c r="E45" s="19" t="n">
        <v>15.7</v>
      </c>
      <c r="F45" s="19" t="n">
        <v>20.2</v>
      </c>
    </row>
    <row r="46" customFormat="false" ht="15" hidden="false" customHeight="false" outlineLevel="0" collapsed="false">
      <c r="A46" s="19" t="s">
        <v>443</v>
      </c>
      <c r="B46" s="19" t="n">
        <f aca="false">ROUND(15*((B45*10)/256),0)</f>
        <v>12</v>
      </c>
      <c r="C46" s="19" t="n">
        <f aca="false">ROUND(15*((C45*10)/256),0)</f>
        <v>9</v>
      </c>
      <c r="D46" s="19" t="n">
        <f aca="false">ROUND(15*((D45*10)/256),0)</f>
        <v>6</v>
      </c>
      <c r="E46" s="19" t="n">
        <f aca="false">ROUND(15*((E45*10)/256),0)</f>
        <v>9</v>
      </c>
      <c r="F46" s="19" t="n">
        <f aca="false">ROUND(15*((F45*10)/256),0)</f>
        <v>12</v>
      </c>
    </row>
    <row r="47" customFormat="false" ht="15" hidden="false" customHeight="false" outlineLevel="0" collapsed="false">
      <c r="A47" s="19" t="s">
        <v>444</v>
      </c>
      <c r="B47" s="19" t="str">
        <f aca="false">VLOOKUP(B46,Constants!$A$1:$B$16,2,FALSE())</f>
        <v>4,4,4</v>
      </c>
      <c r="C47" s="19" t="str">
        <f aca="false">VLOOKUP(C46,Constants!$A$1:$B$16,2,FALSE())</f>
        <v>2,5,2</v>
      </c>
      <c r="D47" s="19" t="str">
        <f aca="false">VLOOKUP(D46,Constants!$A$1:$B$16,2,FALSE())</f>
        <v>2,2,2</v>
      </c>
      <c r="E47" s="19" t="str">
        <f aca="false">VLOOKUP(E46,Constants!$A$1:$B$16,2,FALSE())</f>
        <v>2,5,2</v>
      </c>
      <c r="F47" s="19" t="str">
        <f aca="false">VLOOKUP(F46,Constants!$A$1:$B$16,2,FALSE())</f>
        <v>4,4,4</v>
      </c>
    </row>
    <row r="49" customFormat="false" ht="15" hidden="false" customHeight="false" outlineLevel="0" collapsed="false">
      <c r="B49" s="19" t="str">
        <f aca="false">_xlfn.TEXTJOIN(",",TRUE(),  B43:P43)</f>
        <v>stadler_class_755,stadler_class_755_mid,stadler_class_755_motor,stadler_class_755_mid_rev,stadler_class_755_rear</v>
      </c>
    </row>
    <row r="50" customFormat="false" ht="15" hidden="false" customHeight="false" outlineLevel="0" collapsed="false">
      <c r="B50" s="19" t="str">
        <f aca="false">_xlfn.TEXTJOIN(",",TRUE(),  B44:P44)</f>
        <v>1,1,1,1,1</v>
      </c>
    </row>
    <row r="51" customFormat="false" ht="15" hidden="false" customHeight="false" outlineLevel="0" collapsed="false">
      <c r="B51" s="19" t="str">
        <f aca="false">_xlfn.TEXTJOIN(",",TRUE(),  B47:P47)</f>
        <v>4,4,4,2,5,2,2,2,2,2,5,2,4,4,4</v>
      </c>
    </row>
    <row r="52" customFormat="false" ht="15" hidden="false" customHeight="false" outlineLevel="0" collapsed="false">
      <c r="B52" s="19" t="str">
        <f aca="false">_xlfn.TEXTJOIN(",",TRUE(),  B46:U46)</f>
        <v>12,9,6,9,12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6" activeCellId="0" sqref="A16"/>
    </sheetView>
  </sheetViews>
  <sheetFormatPr defaultColWidth="10.19921875" defaultRowHeight="12.8" customHeight="true" zeroHeight="false" outlineLevelRow="0" outlineLevelCol="0"/>
  <cols>
    <col collapsed="false" customWidth="true" hidden="false" outlineLevel="0" max="1" min="1" style="19" width="14.37"/>
  </cols>
  <sheetData>
    <row r="1" customFormat="false" ht="13.8" hidden="false" customHeight="false" outlineLevel="0" collapsed="false">
      <c r="A1" s="19" t="s">
        <v>453</v>
      </c>
      <c r="B1" s="19" t="s">
        <v>454</v>
      </c>
      <c r="C1" s="19" t="s">
        <v>455</v>
      </c>
      <c r="D1" s="19" t="s">
        <v>12</v>
      </c>
      <c r="E1" s="19" t="s">
        <v>456</v>
      </c>
    </row>
    <row r="2" customFormat="false" ht="13.8" hidden="false" customHeight="false" outlineLevel="0" collapsed="false">
      <c r="A2" s="19" t="s">
        <v>457</v>
      </c>
      <c r="B2" s="19" t="n">
        <f aca="false">(33.7+24+26.75+24.15+24.3+31.9)</f>
        <v>164.8</v>
      </c>
      <c r="C2" s="19" t="n">
        <f aca="false">52+72+28+43+47+25</f>
        <v>267</v>
      </c>
      <c r="D2" s="19" t="n">
        <v>6</v>
      </c>
      <c r="E2" s="19" t="n">
        <f aca="false">C2/D2</f>
        <v>44.5</v>
      </c>
    </row>
    <row r="3" customFormat="false" ht="13.8" hidden="false" customHeight="false" outlineLevel="0" collapsed="false">
      <c r="A3" s="19" t="s">
        <v>458</v>
      </c>
      <c r="B3" s="19" t="n">
        <f aca="false">B2+24</f>
        <v>188.8</v>
      </c>
      <c r="C3" s="19" t="n">
        <f aca="false">C2+72+72-42</f>
        <v>369</v>
      </c>
      <c r="D3" s="19" t="n">
        <v>7</v>
      </c>
      <c r="E3" s="19" t="n">
        <f aca="false">C3/D3</f>
        <v>52.7142857142857</v>
      </c>
    </row>
    <row r="4" customFormat="false" ht="13.8" hidden="false" customHeight="false" outlineLevel="0" collapsed="false">
      <c r="A4" s="19" t="s">
        <v>459</v>
      </c>
      <c r="B4" s="19" t="n">
        <f aca="false">(33.7+31.9)</f>
        <v>65.6</v>
      </c>
      <c r="C4" s="19" t="n">
        <f aca="false">52+25</f>
        <v>77</v>
      </c>
      <c r="D4" s="19" t="n">
        <v>2</v>
      </c>
      <c r="E4" s="19" t="n">
        <f aca="false">C4/D4</f>
        <v>38.5</v>
      </c>
    </row>
    <row r="5" customFormat="false" ht="13.8" hidden="false" customHeight="false" outlineLevel="0" collapsed="false">
      <c r="A5" s="19" t="s">
        <v>460</v>
      </c>
      <c r="B5" s="19" t="n">
        <f aca="false">(31.9 * 2) + (24.3 * 8)</f>
        <v>258.2</v>
      </c>
      <c r="C5" s="19" t="n">
        <f aca="false">60+72+72+72+72+18+47+47+36</f>
        <v>496</v>
      </c>
      <c r="D5" s="19" t="n">
        <v>10</v>
      </c>
      <c r="E5" s="19" t="n">
        <f aca="false">C5/D5</f>
        <v>49.6</v>
      </c>
    </row>
    <row r="6" customFormat="false" ht="13.8" hidden="false" customHeight="false" outlineLevel="0" collapsed="false">
      <c r="A6" s="19" t="s">
        <v>461</v>
      </c>
      <c r="B6" s="19" t="n">
        <f aca="false">(31.9 * 2) + (24.3 * 6)</f>
        <v>209.6</v>
      </c>
      <c r="C6" s="19" t="n">
        <f aca="false">60+72+72+18+47+36</f>
        <v>305</v>
      </c>
      <c r="D6" s="19" t="n">
        <v>6</v>
      </c>
      <c r="E6" s="19" t="n">
        <f aca="false">C6/D6</f>
        <v>50.8333333333333</v>
      </c>
    </row>
    <row r="7" customFormat="false" ht="13.8" hidden="false" customHeight="false" outlineLevel="0" collapsed="false">
      <c r="A7" s="19" t="s">
        <v>462</v>
      </c>
      <c r="B7" s="19" t="str">
        <f aca="false">_xlfn.TEXTJOIN(",",1,A13:A22)</f>
        <v>apt_half_6,apt_half_6_rev,apt_powercar,apt_half_2,apt_half_2_rev,apt_q_dvt,apt_s_dm,apt_s_10,apt_s_6</v>
      </c>
    </row>
    <row r="8" customFormat="false" ht="13.8" hidden="false" customHeight="false" outlineLevel="0" collapsed="false">
      <c r="B8" s="19"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19" t="s">
        <v>463</v>
      </c>
      <c r="B10" s="20"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19" t="s">
        <v>464</v>
      </c>
      <c r="B12" s="20" t="s">
        <v>465</v>
      </c>
    </row>
    <row r="13" customFormat="false" ht="13.8" hidden="false" customHeight="false" outlineLevel="0" collapsed="false">
      <c r="A13" s="19" t="s">
        <v>207</v>
      </c>
      <c r="B13" s="35" t="s">
        <v>145</v>
      </c>
    </row>
    <row r="14" customFormat="false" ht="13.8" hidden="false" customHeight="false" outlineLevel="0" collapsed="false">
      <c r="A14" s="19" t="s">
        <v>215</v>
      </c>
      <c r="B14" s="35" t="s">
        <v>153</v>
      </c>
    </row>
    <row r="15" customFormat="false" ht="13.8" hidden="false" customHeight="false" outlineLevel="0" collapsed="false">
      <c r="A15" s="19" t="s">
        <v>229</v>
      </c>
      <c r="B15" s="35" t="s">
        <v>159</v>
      </c>
    </row>
    <row r="16" customFormat="false" ht="13.8" hidden="false" customHeight="false" outlineLevel="0" collapsed="false">
      <c r="A16" s="19" t="s">
        <v>221</v>
      </c>
      <c r="B16" s="35" t="s">
        <v>166</v>
      </c>
    </row>
    <row r="17" customFormat="false" ht="13.8" hidden="false" customHeight="false" outlineLevel="0" collapsed="false">
      <c r="A17" s="19" t="s">
        <v>225</v>
      </c>
      <c r="B17" s="35" t="s">
        <v>173</v>
      </c>
    </row>
    <row r="18" customFormat="false" ht="13.8" hidden="false" customHeight="false" outlineLevel="0" collapsed="false">
      <c r="A18" s="19" t="s">
        <v>237</v>
      </c>
    </row>
    <row r="19" customFormat="false" ht="13.8" hidden="false" customHeight="false" outlineLevel="0" collapsed="false">
      <c r="A19" s="19" t="s">
        <v>232</v>
      </c>
    </row>
    <row r="20" customFormat="false" ht="13.8" hidden="false" customHeight="false" outlineLevel="0" collapsed="false">
      <c r="A20" s="19" t="s">
        <v>240</v>
      </c>
    </row>
    <row r="21" customFormat="false" ht="13.8" hidden="false" customHeight="false" outlineLevel="0" collapsed="false">
      <c r="A21" s="19" t="s">
        <v>247</v>
      </c>
    </row>
    <row r="22" customFormat="false" ht="13.8" hidden="false" customHeight="false" outlineLevel="0" collapsed="false">
      <c r="A22" s="20"/>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5078125" defaultRowHeight="12.8" customHeight="true" zeroHeight="false" outlineLevelRow="0" outlineLevelCol="0"/>
  <cols>
    <col collapsed="false" customWidth="true" hidden="false" outlineLevel="0" max="2" min="2" style="19" width="47.71"/>
  </cols>
  <sheetData>
    <row r="1" customFormat="false" ht="13.8" hidden="false" customHeight="false" outlineLevel="0" collapsed="false">
      <c r="A1" s="40" t="s">
        <v>466</v>
      </c>
      <c r="B1" s="40" t="s">
        <v>467</v>
      </c>
      <c r="C1" s="40" t="s">
        <v>468</v>
      </c>
      <c r="D1" s="40" t="n">
        <v>0</v>
      </c>
      <c r="E1" s="19" t="s">
        <v>469</v>
      </c>
    </row>
    <row r="2" customFormat="false" ht="13.8" hidden="false" customHeight="false" outlineLevel="0" collapsed="false">
      <c r="A2" s="40" t="s">
        <v>470</v>
      </c>
      <c r="B2" s="40" t="s">
        <v>471</v>
      </c>
      <c r="C2" s="40" t="s">
        <v>468</v>
      </c>
      <c r="D2" s="40" t="n">
        <v>1</v>
      </c>
      <c r="E2" s="19" t="s">
        <v>469</v>
      </c>
    </row>
    <row r="3" customFormat="false" ht="13.8" hidden="false" customHeight="false" outlineLevel="0" collapsed="false">
      <c r="A3" s="40" t="s">
        <v>472</v>
      </c>
      <c r="B3" s="40" t="s">
        <v>473</v>
      </c>
      <c r="C3" s="40" t="s">
        <v>468</v>
      </c>
      <c r="D3" s="40" t="n">
        <v>2</v>
      </c>
      <c r="E3" s="19" t="s">
        <v>469</v>
      </c>
    </row>
    <row r="4" customFormat="false" ht="13.8" hidden="false" customHeight="false" outlineLevel="0" collapsed="false">
      <c r="A4" s="40" t="s">
        <v>474</v>
      </c>
      <c r="B4" s="40" t="s">
        <v>475</v>
      </c>
      <c r="C4" s="40" t="s">
        <v>468</v>
      </c>
      <c r="D4" s="40" t="n">
        <v>3</v>
      </c>
      <c r="E4" s="19" t="s">
        <v>469</v>
      </c>
    </row>
    <row r="5" customFormat="false" ht="13.8" hidden="false" customHeight="false" outlineLevel="0" collapsed="false">
      <c r="A5" s="40" t="s">
        <v>476</v>
      </c>
      <c r="B5" s="40" t="s">
        <v>477</v>
      </c>
      <c r="C5" s="40" t="s">
        <v>468</v>
      </c>
      <c r="D5" s="40" t="n">
        <v>4</v>
      </c>
      <c r="E5" s="19" t="s">
        <v>469</v>
      </c>
    </row>
    <row r="6" customFormat="false" ht="13.8" hidden="false" customHeight="false" outlineLevel="0" collapsed="false">
      <c r="A6" s="40" t="s">
        <v>478</v>
      </c>
      <c r="B6" s="40" t="s">
        <v>479</v>
      </c>
      <c r="C6" s="40" t="s">
        <v>468</v>
      </c>
      <c r="D6" s="40" t="n">
        <v>5</v>
      </c>
      <c r="E6" s="19" t="s">
        <v>469</v>
      </c>
    </row>
    <row r="7" customFormat="false" ht="13.8" hidden="false" customHeight="false" outlineLevel="0" collapsed="false">
      <c r="A7" s="40" t="s">
        <v>480</v>
      </c>
      <c r="B7" s="40" t="s">
        <v>481</v>
      </c>
      <c r="C7" s="40" t="s">
        <v>468</v>
      </c>
      <c r="D7" s="40" t="n">
        <v>6</v>
      </c>
      <c r="E7" s="19" t="s">
        <v>469</v>
      </c>
    </row>
    <row r="8" customFormat="false" ht="13.8" hidden="false" customHeight="false" outlineLevel="0" collapsed="false">
      <c r="A8" s="40" t="s">
        <v>482</v>
      </c>
      <c r="B8" s="40" t="s">
        <v>483</v>
      </c>
      <c r="C8" s="40" t="s">
        <v>468</v>
      </c>
      <c r="D8" s="40" t="n">
        <v>7</v>
      </c>
      <c r="E8" s="19" t="s">
        <v>469</v>
      </c>
    </row>
    <row r="9" customFormat="false" ht="13.8" hidden="false" customHeight="false" outlineLevel="0" collapsed="false">
      <c r="A9" s="40" t="s">
        <v>484</v>
      </c>
      <c r="B9" s="40" t="s">
        <v>485</v>
      </c>
      <c r="C9" s="40" t="s">
        <v>468</v>
      </c>
      <c r="D9" s="40" t="n">
        <v>8</v>
      </c>
      <c r="E9" s="19" t="s">
        <v>469</v>
      </c>
    </row>
    <row r="10" customFormat="false" ht="13.8" hidden="false" customHeight="false" outlineLevel="0" collapsed="false">
      <c r="A10" s="40" t="s">
        <v>486</v>
      </c>
      <c r="B10" s="40" t="s">
        <v>487</v>
      </c>
      <c r="C10" s="40" t="s">
        <v>468</v>
      </c>
      <c r="D10" s="40" t="n">
        <v>9</v>
      </c>
      <c r="E10" s="19" t="s">
        <v>469</v>
      </c>
    </row>
    <row r="11" customFormat="false" ht="13.8" hidden="false" customHeight="false" outlineLevel="0" collapsed="false">
      <c r="A11" s="40" t="s">
        <v>488</v>
      </c>
      <c r="B11" s="40" t="s">
        <v>489</v>
      </c>
      <c r="C11" s="40" t="s">
        <v>468</v>
      </c>
      <c r="D11" s="40" t="n">
        <v>10</v>
      </c>
      <c r="E11" s="19" t="s">
        <v>469</v>
      </c>
    </row>
    <row r="12" customFormat="false" ht="13.8" hidden="false" customHeight="false" outlineLevel="0" collapsed="false">
      <c r="A12" s="40" t="s">
        <v>490</v>
      </c>
      <c r="B12" s="40" t="s">
        <v>491</v>
      </c>
      <c r="C12" s="40" t="s">
        <v>468</v>
      </c>
      <c r="D12" s="40" t="n">
        <v>11</v>
      </c>
      <c r="E12" s="19" t="s">
        <v>469</v>
      </c>
    </row>
    <row r="13" customFormat="false" ht="13.8" hidden="false" customHeight="false" outlineLevel="0" collapsed="false">
      <c r="A13" s="40" t="s">
        <v>492</v>
      </c>
      <c r="B13" s="40" t="s">
        <v>493</v>
      </c>
      <c r="C13" s="40" t="s">
        <v>468</v>
      </c>
      <c r="D13" s="40" t="n">
        <v>12</v>
      </c>
      <c r="E13" s="19" t="s">
        <v>469</v>
      </c>
    </row>
    <row r="14" customFormat="false" ht="13.8" hidden="false" customHeight="false" outlineLevel="0" collapsed="false">
      <c r="A14" s="40" t="s">
        <v>494</v>
      </c>
      <c r="B14" s="40" t="s">
        <v>495</v>
      </c>
      <c r="C14" s="40" t="s">
        <v>468</v>
      </c>
      <c r="D14" s="40" t="n">
        <v>13</v>
      </c>
      <c r="E14" s="19" t="s">
        <v>469</v>
      </c>
    </row>
    <row r="15" customFormat="false" ht="13.8" hidden="false" customHeight="false" outlineLevel="0" collapsed="false">
      <c r="A15" s="40" t="s">
        <v>496</v>
      </c>
      <c r="B15" s="40" t="s">
        <v>497</v>
      </c>
      <c r="C15" s="40" t="s">
        <v>468</v>
      </c>
      <c r="D15" s="40" t="n">
        <v>14</v>
      </c>
      <c r="E15" s="19" t="s">
        <v>469</v>
      </c>
    </row>
    <row r="16" customFormat="false" ht="13.8" hidden="false" customHeight="false" outlineLevel="0" collapsed="false">
      <c r="A16" s="40" t="s">
        <v>498</v>
      </c>
      <c r="B16" s="40" t="s">
        <v>499</v>
      </c>
      <c r="C16" s="40" t="s">
        <v>468</v>
      </c>
      <c r="D16" s="40" t="n">
        <v>15</v>
      </c>
      <c r="E16" s="19" t="s">
        <v>469</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2656</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2026-02-21T23:03:39Z</dcterms:modified>
  <cp:revision>182</cp:revision>
  <dc:subject/>
  <dc:title/>
</cp:coreProperties>
</file>

<file path=docProps/custom.xml><?xml version="1.0" encoding="utf-8"?>
<Properties xmlns="http://schemas.openxmlformats.org/officeDocument/2006/custom-properties" xmlns:vt="http://schemas.openxmlformats.org/officeDocument/2006/docPropsVTypes"/>
</file>