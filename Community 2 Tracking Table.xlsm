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</sheets>
  <externalReferences>
    <externalReference r:id="rId11"/>
  </externalReferences>
  <definedNames>
    <definedName function="false" hidden="true" localSheetId="0" name="_xlnm._FilterDatabase" vbProcedure="false">Table!$A$1:$CG$16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<sst xmlns="http://schemas.openxmlformats.org/spreadsheetml/2006/main" count="477" uniqueCount="307">
  <si>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</si>
  <si>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</si>
  <si>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</si>
  <si>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</si>
  <si>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</si>
  <si>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</si>
  <si>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</si>
  <si>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</si>
  <si>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</si>
  <si>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</si>
  <si>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</si>
  <si>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</si>
  <si>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</si>
  <si>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</si>
  <si>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</si>
  <si>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</si>
  <si>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</si>
  <si>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</si>
  <si>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</si>
  <si>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</si>
  <si>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</si>
  <si>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</si>
  <si>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</si>
  <si>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</si>
  <si>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</si>
  <si>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</si>
  <si>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</si>
  <si>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</si>
  <si>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</si>
  <si>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</si>
  <si>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</si>
  <si>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</si>
  <si>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</si>
  <si>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</si>
  <si>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</si>
  <si>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</si>
  <si>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</si>
  <si>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</si>
  <si>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</si>
  <si>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</si>
  <si>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</si>
  <si>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</si>
  <si>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</si>
  <si>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</si>
  <si>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</si>
  <si>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</si>
  <si>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</si>
  <si>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</si>
  <si>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</si>
  <si>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</si>
  <si>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</si>
  <si>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</si>
  <si>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</si>
  <si>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</si>
  <si>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</si>
  <si>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</si>
  <si>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</si>
  <si>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</si>
  <si>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</si>
  <si>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</si>
  <si>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</si>
  <si>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</si>
  <si>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</si>
  <si>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</si>
  <si>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</si>
  <si>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</si>
  <si>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</si>
  <si>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</si>
  <si>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</si>
  <si>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</si>
  <si>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</si>
  <si>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</si>
  <si>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</si>
  <si>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</si>
  <si>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</si>
  <si>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</si>
  <si>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</si>
  <si>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</si>
  <si>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</si>
  <si>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</si>
  <si>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</si>
  <si>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</si>
  <si>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</si>
  <si>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</si>
  <si>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</si>
  <si>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</si>
  <si>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Leyland/Hunslet Class 153 “Super Sprinter”</t>
  </si>
  <si>
    <t xml:space="preserve">class_153</t>
  </si>
  <si>
    <t xml:space="preserve">FEAT_TRAINS</t>
  </si>
  <si>
    <t xml:space="preserve">multiple_unit</t>
  </si>
  <si>
    <t xml:space="preserve">diesel</t>
  </si>
  <si>
    <t xml:space="preserve">RAIL</t>
  </si>
  <si>
    <t xml:space="preserve">234x44x53</t>
  </si>
  <si>
    <t xml:space="preserve">PASS</t>
  </si>
  <si>
    <t xml:space="preserve">lbr</t>
  </si>
  <si>
    <t xml:space="preserve">DMU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</si>
  <si>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</si>
  <si>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</si>
  <si>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</si>
  <si>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</si>
  <si>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</si>
  <si>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</si>
  <si>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</si>
  <si>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</si>
  <si>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</si>
  <si>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</si>
  <si>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</si>
  <si>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</si>
  <si>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</si>
  <si>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</si>
  <si>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</si>
  <si>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</si>
  <si>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</si>
  <si>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</si>
  <si>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</si>
  <si>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</si>
  <si>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</si>
  <si>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0,0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</si>
  <si>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</si>
  <si>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</si>
  <si>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</si>
  <si>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</si>
  <si>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</si>
  <si>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</si>
  <si>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electric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</si>
  <si>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</si>
  <si>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</si>
  <si>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</si>
  <si>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</si>
  <si>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</si>
  <si>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</si>
  <si>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</si>
  <si>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</si>
  <si>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locomotive</t>
  </si>
  <si>
    <t xml:space="preserve">MAIL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</si>
  <si>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</si>
  <si>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</si>
  <si>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</si>
  <si>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</si>
  <si>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</si>
  <si>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</si>
  <si>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</si>
  <si>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</si>
  <si>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</si>
  <si>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</si>
  <si>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</si>
  <si>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</si>
  <si>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</si>
  <si>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</si>
  <si>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0,0,0,0,0,0</t>
  </si>
  <si>
    <t xml:space="preserve">param_max_mu_length &lt; 2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</si>
  <si>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</si>
  <si>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</si>
  <si>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</si>
  <si>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</si>
  <si>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</si>
  <si>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</si>
  <si>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Freight (Electric)</t>
  </si>
  <si>
    <t xml:space="preserve">DMU (Cheap)</t>
  </si>
  <si>
    <t xml:space="preserve">DMU (Express)</t>
  </si>
  <si>
    <t xml:space="preserve">EMU</t>
  </si>
  <si>
    <t xml:space="preserve">LU</t>
  </si>
  <si>
    <t xml:space="preserve">Carriage</t>
  </si>
  <si>
    <t xml:space="preserve">Mail Carriage</t>
  </si>
  <si>
    <t xml:space="preserve">Open Wagon</t>
  </si>
  <si>
    <t xml:space="preserve">Flat Wagon</t>
  </si>
  <si>
    <t xml:space="preserve">Van</t>
  </si>
  <si>
    <t xml:space="preserve">Tanker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</si>
  <si>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</si>
  <si>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</si>
  <si>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</si>
  <si>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</si>
  <si>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</si>
  <si>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</si>
  <si>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</si>
  <si>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</si>
  <si>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</si>
  <si>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</si>
  <si>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</si>
  <si>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</si>
  <si>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</si>
  <si>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</si>
  <si>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</si>
  <si>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</si>
  <si>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</si>
  <si>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</si>
  <si>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</si>
  <si>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</si>
  <si>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</si>
  <si>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</si>
  <si>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</si>
  <si>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</si>
  <si>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</si>
  <si>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</si>
  <si>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</si>
  <si>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</si>
  <si>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</si>
  <si>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</si>
  <si>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</si>
  <si>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</si>
  <si>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na</t>
  </si>
  <si>
    <t xml:space="preserve">Cost Base</t>
  </si>
  <si>
    <t xml:space="preserve">Diesel</t>
  </si>
  <si>
    <t xml:space="preserve">1,1,1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</si>
  <si>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</si>
  <si>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</si>
  <si>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</si>
  <si>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</si>
  <si>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</si>
  <si>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</si>
  <si>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</si>
  <si>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dual_power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</si>
  <si>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</si>
  <si>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</si>
  <si>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</si>
  <si>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</si>
  <si>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</si>
  <si>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</si>
  <si>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</t>
  </si>
  <si>
    <t xml:space="preserve">carriage_RAIL</t>
  </si>
  <si>
    <t xml:space="preserve">2,4,2</t>
  </si>
  <si>
    <t xml:space="preserve">luxury_carriage</t>
  </si>
  <si>
    <t xml:space="preserve">luxury_carriage_RAIL</t>
  </si>
  <si>
    <t xml:space="preserve">2,5,2</t>
  </si>
  <si>
    <t xml:space="preserve">wagon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</si>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</sst>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2">
          <cell r="G2">
            <v>5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I9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J13" activeCellId="0" sqref="AJ13"/>
    </sheetView>
  </sheetViews>
  <sheetFormatPr defaultColWidth="8.597656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true" hidden="false" outlineLevel="0" max="12" min="12" style="0" width="24.62"/>
    <col collapsed="false" customWidth="true" hidden="false" outlineLevel="0" max="14" min="14" style="1" width="10.85"/>
    <col collapsed="false" customWidth="true" hidden="false" outlineLevel="0" max="15" min="15" style="2" width="10.85"/>
    <col collapsed="false" customWidth="true" hidden="false" outlineLevel="0" max="16" min="16" style="3" width="5.14"/>
    <col collapsed="false" customWidth="true" hidden="false" outlineLevel="0" max="17" min="17" style="3" width="7.28"/>
    <col collapsed="false" customWidth="true" hidden="false" outlineLevel="0" max="18" min="18" style="3" width="5.57"/>
    <col collapsed="false" customWidth="true" hidden="false" outlineLevel="0" max="19" min="19" style="3" width="10"/>
    <col collapsed="false" customWidth="true" hidden="false" outlineLevel="0" max="20" min="20" style="3" width="7.72"/>
    <col collapsed="false" customWidth="true" hidden="false" outlineLevel="0" max="21" min="21" style="3" width="11"/>
    <col collapsed="false" customWidth="true" hidden="false" outlineLevel="0" max="22" min="22" style="3" width="7.72"/>
    <col collapsed="false" customWidth="true" hidden="false" outlineLevel="0" max="23" min="23" style="1" width="10"/>
    <col collapsed="false" customWidth="true" hidden="false" outlineLevel="0" max="24" min="24" style="2" width="16.57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55.72"/>
    <col collapsed="false" customWidth="true" hidden="false" outlineLevel="0" max="87" min="86" style="10" width="9.14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8</v>
      </c>
      <c r="E2" s="1" t="n">
        <v>10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1991</v>
      </c>
      <c r="M2" s="1" t="n">
        <v>1</v>
      </c>
      <c r="N2" s="1" t="n">
        <v>213</v>
      </c>
      <c r="W2" s="1" t="n">
        <v>41.2</v>
      </c>
      <c r="Y2" s="1" t="n">
        <v>5</v>
      </c>
      <c r="Z2" s="1" t="n">
        <v>55</v>
      </c>
      <c r="AA2" s="4" t="n">
        <v>0.153631284916201</v>
      </c>
      <c r="AB2" s="1" t="n">
        <v>75</v>
      </c>
      <c r="AC2" s="1" t="n">
        <v>120</v>
      </c>
      <c r="AF2" s="1" t="n">
        <v>23.2</v>
      </c>
      <c r="AG2" s="1" t="n">
        <v>23.2</v>
      </c>
      <c r="AH2" s="1" t="n">
        <v>2.7</v>
      </c>
      <c r="AI2" s="1" t="n">
        <v>3.7</v>
      </c>
      <c r="AJ2" s="5" t="n">
        <v>72</v>
      </c>
      <c r="AK2" s="1" t="s">
        <v>92</v>
      </c>
      <c r="AL2" s="1" t="n">
        <f aca="false">ROUND(15*((AG2*10)/256),0)</f>
        <v>14</v>
      </c>
      <c r="AN2" s="1" t="str">
        <f aca="false">CONCATENATE(VLOOKUP(AL2,Constants!$A$2:$C$16,IF(AM2&lt;&gt;"", 3, 2), FALSE()),IF(AM2&lt;&gt;"",CONCATENATE(",",VLOOKUP(AM2,$B:$AN,38,FALSE())),""))</f>
        <v>4,6,4</v>
      </c>
      <c r="AR2" s="1" t="s">
        <v>87</v>
      </c>
      <c r="AT2" s="1" t="n">
        <v>1</v>
      </c>
      <c r="AX2" s="1" t="n">
        <v>33</v>
      </c>
      <c r="AZ2" s="1" t="n">
        <v>-10</v>
      </c>
      <c r="BA2" s="1" t="n">
        <v>-15</v>
      </c>
      <c r="BB2" s="1" t="n">
        <v>15</v>
      </c>
      <c r="BC2" s="1" t="n">
        <v>2.85</v>
      </c>
      <c r="BD2" s="1" t="n">
        <v>5.5</v>
      </c>
      <c r="BE2" s="4" t="n">
        <v>0.882666666666667</v>
      </c>
      <c r="BF2" s="1" t="n">
        <v>4.6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" t="n">
        <v>37</v>
      </c>
      <c r="BJ2" s="1" t="n">
        <v>68</v>
      </c>
      <c r="BK2" s="18" t="n">
        <f aca="false">BI2*IF($G2="wagon",62.5,781.25)</f>
        <v>28906.25</v>
      </c>
      <c r="BL2" s="18" t="n">
        <f aca="false">BJ2*IF($G2="wagon",2.73,81.25)</f>
        <v>5525</v>
      </c>
      <c r="BT2" s="1" t="n">
        <v>4</v>
      </c>
      <c r="BU2" s="1" t="n">
        <v>185</v>
      </c>
      <c r="BW2" s="1" t="s">
        <v>93</v>
      </c>
      <c r="BX2" s="1" t="s">
        <v>94</v>
      </c>
      <c r="BY2" s="19" t="s">
        <v>95</v>
      </c>
      <c r="BZ2" s="1" t="s">
        <v>96</v>
      </c>
      <c r="CA2" s="1" t="s">
        <v>97</v>
      </c>
      <c r="CB2" s="20" t="str">
        <f aca="false" t="array" ref="CB2:CB4">_xlfn.CONCAT("{BLACK}Length: {GOLD}", TEXT(ROUNDUP(IF(AQ2&lt;&gt;"",SUM(VALUE(_xlfn.TEXTSPLIT(AQ2, ","))), SUM(VALUE(_xlfn.TEXTSPLIT(AN2, ",")))*IF(M2, M2, 1))/16, 1), "#,##0.0"), " tiles{}")</f>
        <v>{BLACK}Length: {GOLD}0.9 tiles{}</v>
      </c>
      <c r="CC2" s="1" t="str">
        <f aca="false">VLOOKUP($CA2, Constants!$M:$N, 2, FALSE())</f>
        <v>{BLACK}Powered by: {GOLD}Diesel</v>
      </c>
      <c r="CD2" s="1" t="s">
        <v>98</v>
      </c>
      <c r="CE2" s="1" t="s">
        <v>99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{GOLD}2{}{BLACK}Length: {GOLD}0.9 tiles{}{SILVER}The Class 153 was a conversion of earlier Class 155 units, 35 of which were split in two with small cabs added at the inner ends.</v>
      </c>
      <c r="CH2" s="1"/>
      <c r="CI2" s="1"/>
    </row>
    <row r="3" s="29" customFormat="true" ht="13.8" hidden="false" customHeight="false" outlineLevel="0" collapsed="false">
      <c r="A3" s="21" t="s">
        <v>100</v>
      </c>
      <c r="B3" s="21" t="s">
        <v>101</v>
      </c>
      <c r="C3" s="21" t="n">
        <v>370</v>
      </c>
      <c r="D3" s="21"/>
      <c r="E3" s="21" t="n">
        <v>372</v>
      </c>
      <c r="F3" s="21" t="s">
        <v>88</v>
      </c>
      <c r="G3" s="21" t="s">
        <v>89</v>
      </c>
      <c r="H3" s="21" t="s">
        <v>102</v>
      </c>
      <c r="I3" s="21" t="s">
        <v>91</v>
      </c>
      <c r="J3" s="21" t="n">
        <v>1979</v>
      </c>
      <c r="K3" s="21" t="n">
        <v>1986</v>
      </c>
      <c r="L3" s="21" t="n">
        <v>1988</v>
      </c>
      <c r="M3" s="21" t="n">
        <v>6</v>
      </c>
      <c r="N3" s="21" t="n">
        <v>10</v>
      </c>
      <c r="O3" s="22"/>
      <c r="P3" s="23"/>
      <c r="Q3" s="23"/>
      <c r="R3" s="23"/>
      <c r="S3" s="23"/>
      <c r="T3" s="23"/>
      <c r="U3" s="23"/>
      <c r="V3" s="23"/>
      <c r="W3" s="21" t="n">
        <v>164.8</v>
      </c>
      <c r="X3" s="22"/>
      <c r="Y3" s="21" t="n">
        <v>4</v>
      </c>
      <c r="Z3" s="21" t="n">
        <v>5</v>
      </c>
      <c r="AA3" s="24" t="n">
        <f aca="false">IF(AND(W3&gt;0,Z3&gt;0),(Z3/((W3+X3)*10)),"")</f>
        <v>0.00303398058252427</v>
      </c>
      <c r="AB3" s="21" t="n">
        <v>155</v>
      </c>
      <c r="AC3" s="21" t="n">
        <f aca="false">ROUND(AB3*1.6, 0)</f>
        <v>248</v>
      </c>
      <c r="AD3" s="21"/>
      <c r="AE3" s="21"/>
      <c r="AF3" s="21" t="n">
        <v>20.9</v>
      </c>
      <c r="AG3" s="21" t="n">
        <v>20.9</v>
      </c>
      <c r="AH3" s="21" t="n">
        <v>2.7</v>
      </c>
      <c r="AI3" s="21" t="n">
        <v>3.5</v>
      </c>
      <c r="AJ3" s="25" t="n">
        <v>44</v>
      </c>
      <c r="AK3" s="21" t="str">
        <f aca="false">CONCATENATE(VLOOKUP(AL3, '[1]Voxel Sizes'!$A$2:$B$18,2,FALSE()),"x",INT(AH3*15), "x", INT(AI3*15))</f>
        <v>198x40x52</v>
      </c>
      <c r="AL3" s="21" t="n">
        <f aca="false">ROUND(15*((AG3*10)/256),0)</f>
        <v>12</v>
      </c>
      <c r="AM3" s="21"/>
      <c r="AN3" s="1" t="str">
        <f aca="false">CONCATENATE(VLOOKUP(AL3,Constants!$A$2:$C$16,IF(AM3&lt;&gt;"", 3, 2), FALSE()),IF(AM3&lt;&gt;"",CONCATENATE(",",VLOOKUP(AM3,$B:$AN,38,FALSE())),""))</f>
        <v>4,4,4</v>
      </c>
      <c r="AO3" s="21"/>
      <c r="AP3" s="26"/>
      <c r="AQ3" s="26"/>
      <c r="AR3" s="21" t="s">
        <v>103</v>
      </c>
      <c r="AS3" s="21"/>
      <c r="AT3" s="21" t="s">
        <v>104</v>
      </c>
      <c r="AU3" s="21" t="s">
        <v>105</v>
      </c>
      <c r="AV3" s="21"/>
      <c r="AW3" s="21"/>
      <c r="AX3" s="21" t="n">
        <v>12</v>
      </c>
      <c r="AY3" s="27" t="n">
        <f aca="false">IF(L3&lt;&gt;"",MAX(16,(L3-J3)+8),"")</f>
        <v>17</v>
      </c>
      <c r="AZ3" s="21"/>
      <c r="BA3" s="21" t="n">
        <v>-20</v>
      </c>
      <c r="BB3" s="21" t="n">
        <f aca="false">MIN(AB3/150, 1)*30</f>
        <v>30</v>
      </c>
      <c r="BC3" s="21" t="n">
        <f aca="false">MIN(N3/4000, 1)*20</f>
        <v>0.05</v>
      </c>
      <c r="BD3" s="21" t="n">
        <f aca="false">MIN(Z3/400,1)*20</f>
        <v>0.25</v>
      </c>
      <c r="BE3" s="24" t="n">
        <f aca="false">1-(MAX(J3-1900, 0)/750)</f>
        <v>0.894666666666667</v>
      </c>
      <c r="BF3" s="21" t="n">
        <f aca="false">((MAX($M3,1)*MIN($AJ3/300,1)))*IF(G3="Wagon",50,10)</f>
        <v>8.8</v>
      </c>
      <c r="BG3" s="21" t="n">
        <f aca="false">VLOOKUP($H3,Constants!$I:$K, 2, FALSE())</f>
        <v>0.85</v>
      </c>
      <c r="BH3" s="21" t="n">
        <f aca="false">VLOOKUP($H3,Constants!$I:$K, 3, FALSE())*IF(AND(G3="multiple_unit",AB3&lt;110),0.75,1)</f>
        <v>2.3</v>
      </c>
      <c r="BI3" s="21" t="n">
        <f aca="false">INT(POWER((([1]Constants!$G$2+$BB3+$BC3+$BD3+$BF3)*$BE3)*$BH3, 1.05))+$BA3</f>
        <v>93</v>
      </c>
      <c r="BJ3" s="21" t="n">
        <f aca="false">INT(POWER(((([1]Constants!$G$1+$BB3+$BC3+$BD3+$BF3)*($BE3))*$BG3),IF($G3="wagon",1,1.2)))+$AZ3</f>
        <v>86</v>
      </c>
      <c r="BK3" s="28" t="n">
        <f aca="false">BI3*IF($G3="wagon",62.5,781.25)</f>
        <v>72656.25</v>
      </c>
      <c r="BL3" s="28" t="n">
        <f aca="false">BJ3*IF($G3="wagon",2.73,81.25)</f>
        <v>6987.5</v>
      </c>
      <c r="BP3" s="21" t="n">
        <v>1</v>
      </c>
      <c r="BQ3" s="21" t="str">
        <f aca="false">_xlfn.ORG.LIBREOFFICE.REGEX(_xlfn.ORG.LIBREOFFICE.REGEX(APTMUVehicles, _xlfn.CONCAT(B3, ",?"), ""), ",$", "")</f>
        <v>apt_half_6_rev,apt_powercar,apt_powercar2,apt_half_2,apt_half_2_rev,apt_q_dvt,apt_s_dm</v>
      </c>
      <c r="BR3" s="21"/>
      <c r="BS3" s="21" t="s">
        <v>106</v>
      </c>
      <c r="BT3" s="21" t="n">
        <v>8</v>
      </c>
      <c r="BU3" s="21" t="n">
        <v>222</v>
      </c>
      <c r="BW3" s="21" t="s">
        <v>93</v>
      </c>
      <c r="BX3" s="21" t="str">
        <f aca="false">VLOOKUP(J3,[1]Eras!$A$2:$C$10, 2, TRUE())</f>
        <v>lbr</v>
      </c>
      <c r="BY3" s="21" t="s">
        <v>107</v>
      </c>
      <c r="BZ3" s="21" t="str">
        <f aca="false">CONCATENATE(BX3,"_",BY3)</f>
        <v>lbr_EMU (Express)</v>
      </c>
      <c r="CA3" s="21" t="str">
        <f aca="false">_xlfn.CONCAT(H3, "_",I3)</f>
        <v>none_RAIL</v>
      </c>
      <c r="CB3" s="30" t="str">
        <v>{BLACK}Length: {GOLD}0.9 tiles{}</v>
      </c>
      <c r="CC3" s="21" t="str">
        <f aca="false">VLOOKUP($CA3, Constants!$M:$N, 2, FALSE())</f>
        <v/>
      </c>
      <c r="CD3" s="21" t="str">
        <f aca="false">IF(M3&gt;1,_xlfn.CONCAT("{BLACK}Cars: {GOLD}", M3),"")</f>
        <v>{BLACK}Cars: {GOLD}6</v>
      </c>
      <c r="CE3" s="21" t="s">
        <v>108</v>
      </c>
      <c r="CF3" s="2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>{YELLOW}20% Bonus for long distance travel{}</v>
      </c>
      <c r="CG3" s="21" t="str">
        <f aca="false">_xlfn.CONCAT(CC3,IF(CC3 &lt;&gt; "", " ", ""),CD3,IF(OR(CD3&lt;&gt;"", CC3&lt;&gt;""), "{}",""), CB3, CF3,"{SILVER}", CE3)</f>
        <v>{BLACK}Cars: {GOLD}6{}{BLACK}Length: {GOLD}0.9 tiles{}{YELLOW}20% Bonus for long distance travel{}{SILVER}A 6-car half-rake of APT-P vehicles</v>
      </c>
      <c r="CH3" s="21"/>
      <c r="CI3" s="21"/>
    </row>
    <row r="4" customFormat="false" ht="13.8" hidden="false" customHeight="false" outlineLevel="0" collapsed="false">
      <c r="A4" s="1" t="s">
        <v>109</v>
      </c>
      <c r="B4" s="1" t="s">
        <v>110</v>
      </c>
      <c r="C4" s="1" t="n">
        <v>371</v>
      </c>
      <c r="D4" s="1" t="n">
        <v>370</v>
      </c>
      <c r="E4" s="1" t="n">
        <v>373</v>
      </c>
      <c r="F4" s="1" t="s">
        <v>88</v>
      </c>
      <c r="G4" s="1" t="s">
        <v>89</v>
      </c>
      <c r="H4" s="1" t="s">
        <v>102</v>
      </c>
      <c r="I4" s="1" t="s">
        <v>91</v>
      </c>
      <c r="J4" s="1" t="n">
        <v>1979</v>
      </c>
      <c r="K4" s="1" t="n">
        <v>1986</v>
      </c>
      <c r="L4" s="1" t="n">
        <v>1988</v>
      </c>
      <c r="M4" s="1" t="n">
        <v>6</v>
      </c>
      <c r="N4" s="1" t="n">
        <v>10</v>
      </c>
      <c r="W4" s="1" t="n">
        <v>164.8</v>
      </c>
      <c r="Y4" s="1" t="n">
        <v>4</v>
      </c>
      <c r="Z4" s="1" t="n">
        <v>5</v>
      </c>
      <c r="AA4" s="4" t="n">
        <f aca="false">IF(AND(W4&gt;0,Z4&gt;0),(Z4/((W4+X4)*10)),"")</f>
        <v>0.00303398058252427</v>
      </c>
      <c r="AB4" s="1" t="n">
        <v>155</v>
      </c>
      <c r="AC4" s="1" t="n">
        <f aca="false">ROUND(AB4*1.6, 0)</f>
        <v>248</v>
      </c>
      <c r="AF4" s="1" t="n">
        <v>20.9</v>
      </c>
      <c r="AG4" s="1" t="n">
        <v>20.9</v>
      </c>
      <c r="AH4" s="1" t="n">
        <v>2.7</v>
      </c>
      <c r="AI4" s="1" t="n">
        <v>3.5</v>
      </c>
      <c r="AJ4" s="5" t="n">
        <v>44</v>
      </c>
      <c r="AK4" s="1" t="str">
        <f aca="false">CONCATENATE(VLOOKUP(AL4, '[1]Voxel Sizes'!$A$2:$B$18,2,FALSE()),"x",INT(AH4*15), "x", INT(AI4*15))</f>
        <v>198x40x52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111</v>
      </c>
      <c r="AT4" s="1" t="s">
        <v>112</v>
      </c>
      <c r="AU4" s="1" t="s">
        <v>113</v>
      </c>
      <c r="AX4" s="1" t="n">
        <v>12</v>
      </c>
      <c r="AY4" s="6" t="n">
        <f aca="false">IF(L4&lt;&gt;"",MAX(16,(L4-J4)+8),"")</f>
        <v>17</v>
      </c>
      <c r="AZ4" s="1" t="n">
        <v>-20</v>
      </c>
      <c r="BA4" s="1" t="n">
        <v>-20</v>
      </c>
      <c r="BB4" s="1" t="n">
        <f aca="false">MIN(AB4/150, 1)*30</f>
        <v>30</v>
      </c>
      <c r="BC4" s="1" t="n">
        <f aca="false">MIN(N4/4000, 1)*20</f>
        <v>0.05</v>
      </c>
      <c r="BD4" s="1" t="n">
        <f aca="false">MIN(Z4/400,1)*20</f>
        <v>0.25</v>
      </c>
      <c r="BE4" s="4" t="n">
        <f aca="false">1-(MAX(J4-1900, 0)/750)</f>
        <v>0.894666666666667</v>
      </c>
      <c r="BF4" s="1" t="n">
        <f aca="false">((MAX($M4,1)*MIN($AJ4/300,1)))*IF(G4="Wagon",50,10)</f>
        <v>8.8</v>
      </c>
      <c r="BG4" s="1" t="n">
        <f aca="false">VLOOKUP($H4,Constants!$I:$K, 2, FALSE())</f>
        <v>0.85</v>
      </c>
      <c r="BH4" s="1" t="n">
        <f aca="false">VLOOKUP($H4,Constants!$I:$K, 3, FALSE())*IF(AND(G4="multiple_unit",AB4&lt;110),0.75,1)</f>
        <v>2.3</v>
      </c>
      <c r="BI4" s="1" t="n">
        <f aca="false">INT(POWER((([1]Constants!$G$2+$BB4+$BC4+$BD4+$BF4)*$BE4)*$BH4, 1.05))+$BA4</f>
        <v>93</v>
      </c>
      <c r="BJ4" s="1" t="n">
        <f aca="false">INT(POWER(((([1]Constants!$G$1+$BB4+$BC4+$BD4+$BF4)*($BE4))*$BG4),IF($G4="wagon",1,1.2)))+$AZ4</f>
        <v>66</v>
      </c>
      <c r="BK4" s="18" t="n">
        <f aca="false">BI4*IF($G4="wagon",62.5,781.25)</f>
        <v>72656.25</v>
      </c>
      <c r="BL4" s="18" t="n">
        <f aca="false">BJ4*IF($G4="wagon",2.73,81.25)</f>
        <v>5362.5</v>
      </c>
      <c r="BO4" s="1" t="n">
        <v>1</v>
      </c>
      <c r="BP4" s="1" t="n">
        <v>1</v>
      </c>
      <c r="BQ4" s="1" t="str">
        <f aca="false">_xlfn.ORG.LIBREOFFICE.REGEX(_xlfn.ORG.LIBREOFFICE.REGEX(APTMUVehicles, _xlfn.CONCAT(B4, ",?"), ""), ",$", "")</f>
        <v>apt_half_6,apt_powercar,apt_powercar2,apt_half_2,apt_half_2_rev,apt_q_dvt,apt_s_dm</v>
      </c>
      <c r="BS4" s="1" t="s">
        <v>106</v>
      </c>
      <c r="BT4" s="1" t="n">
        <v>8</v>
      </c>
      <c r="BU4" s="1" t="n">
        <v>222</v>
      </c>
      <c r="BW4" s="1" t="s">
        <v>93</v>
      </c>
      <c r="BX4" s="1" t="str">
        <f aca="false">VLOOKUP(J4,[1]Eras!$A$2:$C$10, 2, TRUE())</f>
        <v>lbr</v>
      </c>
      <c r="BY4" s="19" t="s">
        <v>107</v>
      </c>
      <c r="BZ4" s="1" t="str">
        <f aca="false">CONCATENATE(BX4,"_",BY4)</f>
        <v>lbr_EMU (Express)</v>
      </c>
      <c r="CA4" s="1" t="str">
        <f aca="false">_xlfn.CONCAT(H4, "_",I4)</f>
        <v>none_RAIL</v>
      </c>
      <c r="CB4" s="20" t="str">
        <v>{BLACK}Length: {GOLD}0.9 tiles{}</v>
      </c>
      <c r="CC4" s="1" t="str">
        <f aca="false">VLOOKUP($CA4, Constants!$M:$N, 2, FALSE())</f>
        <v/>
      </c>
      <c r="CD4" s="1" t="str">
        <f aca="false">IF(M4&gt;1,_xlfn.CONCAT("{BLACK}Cars: {GOLD}", M4),"")</f>
        <v>{BLACK}Cars: {GOLD}6</v>
      </c>
      <c r="CE4" s="1" t="s">
        <v>108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>{YELLOW}20% Bonus for long distance travel{}</v>
      </c>
      <c r="CG4" s="1" t="str">
        <f aca="false">_xlfn.CONCAT(CC4,IF(CC4 &lt;&gt; "", " ", ""),CD4,IF(OR(CD4&lt;&gt;"", CC4&lt;&gt;""), "{}",""), CB4, CF4,"{SILVER}", CE4)</f>
        <v>{BLACK}Cars: {GOLD}6{}{BLACK}Length: {GOLD}0.9 tiles{}{YELLOW}20% Bonus for long distance travel{}{SILVER}A 6-car half-rake of APT-P vehicles</v>
      </c>
      <c r="CH4" s="1"/>
      <c r="CI4" s="1"/>
    </row>
    <row r="5" customFormat="false" ht="13.8" hidden="false" customHeight="false" outlineLevel="0" collapsed="false">
      <c r="A5" s="1" t="s">
        <v>114</v>
      </c>
      <c r="B5" s="1" t="s">
        <v>115</v>
      </c>
      <c r="C5" s="1" t="n">
        <v>372</v>
      </c>
      <c r="D5" s="1" t="n">
        <v>370</v>
      </c>
      <c r="E5" s="1" t="n">
        <v>374</v>
      </c>
      <c r="F5" s="1" t="s">
        <v>88</v>
      </c>
      <c r="G5" s="1" t="s">
        <v>89</v>
      </c>
      <c r="H5" s="1" t="s">
        <v>102</v>
      </c>
      <c r="I5" s="1" t="s">
        <v>91</v>
      </c>
      <c r="J5" s="1" t="n">
        <v>1979</v>
      </c>
      <c r="K5" s="1" t="n">
        <v>1986</v>
      </c>
      <c r="L5" s="1" t="n">
        <v>1988</v>
      </c>
      <c r="M5" s="1" t="n">
        <v>2</v>
      </c>
      <c r="N5" s="1" t="n">
        <v>10</v>
      </c>
      <c r="W5" s="1" t="n">
        <v>65.6</v>
      </c>
      <c r="Y5" s="1" t="n">
        <v>4</v>
      </c>
      <c r="Z5" s="1" t="n">
        <v>5</v>
      </c>
      <c r="AA5" s="4" t="n">
        <f aca="false">IF(AND(W5&gt;0,Z5&gt;0),(Z5/((W5+X5)*10)),"")</f>
        <v>0.0076219512195122</v>
      </c>
      <c r="AB5" s="1" t="n">
        <v>155</v>
      </c>
      <c r="AC5" s="1" t="n">
        <f aca="false">ROUND(AB5*1.6, 0)</f>
        <v>248</v>
      </c>
      <c r="AF5" s="1" t="n">
        <v>20.9</v>
      </c>
      <c r="AG5" s="1" t="n">
        <v>20.9</v>
      </c>
      <c r="AH5" s="1" t="n">
        <v>2.7</v>
      </c>
      <c r="AI5" s="1" t="n">
        <v>3.5</v>
      </c>
      <c r="AJ5" s="5" t="n">
        <v>39</v>
      </c>
      <c r="AK5" s="1" t="str">
        <f aca="false">CONCATENATE(VLOOKUP(AL5, '[1]Voxel Sizes'!$A$2:$B$18,2,FALSE()),"x",INT(AH5*15), "x", INT(AI5*15))</f>
        <v>198x40x52</v>
      </c>
      <c r="AL5" s="1" t="n">
        <f aca="false">ROUND(15*((AG5*10)/256),0)</f>
        <v>12</v>
      </c>
      <c r="AN5" s="1" t="str">
        <f aca="false">CONCATENATE(VLOOKUP(AL5,Constants!$A$2:$C$16,IF(AM5&lt;&gt;"", 3, 2), FALSE()),IF(AM5&lt;&gt;"",CONCATENATE(",",VLOOKUP(AM5,$B:$AN,38,FALSE())),""))</f>
        <v>4,4,4</v>
      </c>
      <c r="AR5" s="1" t="s">
        <v>116</v>
      </c>
      <c r="AT5" s="1" t="s">
        <v>117</v>
      </c>
      <c r="AU5" s="1" t="s">
        <v>105</v>
      </c>
      <c r="AX5" s="1" t="n">
        <v>12</v>
      </c>
      <c r="AY5" s="6" t="n">
        <f aca="false">IF(L5&lt;&gt;"",MAX(16,(L5-J5)+8),"")</f>
        <v>17</v>
      </c>
      <c r="AZ5" s="1" t="n">
        <v>-45</v>
      </c>
      <c r="BA5" s="1" t="n">
        <v>-65</v>
      </c>
      <c r="BB5" s="1" t="n">
        <f aca="false">MIN(AB5/150, 1)*30</f>
        <v>30</v>
      </c>
      <c r="BC5" s="1" t="n">
        <f aca="false">MIN(N5/4000, 1)*20</f>
        <v>0.05</v>
      </c>
      <c r="BD5" s="1" t="n">
        <f aca="false">MIN(Z5/400,1)*20</f>
        <v>0.25</v>
      </c>
      <c r="BE5" s="4" t="n">
        <f aca="false">1-(MAX(J5-1900, 0)/750)</f>
        <v>0.894666666666667</v>
      </c>
      <c r="BF5" s="1" t="n">
        <f aca="false">((MAX($M5,1)*MIN($AJ5/300,1)))*IF(G5="Wagon",50,10)</f>
        <v>2.6</v>
      </c>
      <c r="BG5" s="1" t="n">
        <f aca="false">VLOOKUP($H5,Constants!$I:$K, 2, FALSE())</f>
        <v>0.85</v>
      </c>
      <c r="BH5" s="1" t="n">
        <f aca="false">VLOOKUP($H5,Constants!$I:$K, 3, FALSE())*IF(AND(G5="multiple_unit",AB5&lt;110),0.75,1)</f>
        <v>2.3</v>
      </c>
      <c r="BI5" s="1" t="n">
        <f aca="false">INT(POWER((([1]Constants!$G$2+$BB5+$BC5+$BD5+$BF5)*$BE5)*$BH5, 1.05))+$BA5</f>
        <v>31</v>
      </c>
      <c r="BJ5" s="1" t="n">
        <f aca="false">INT(POWER(((([1]Constants!$G$1+$BB5+$BC5+$BD5+$BF5)*($BE5))*$BG5),IF($G5="wagon",1,1.2)))+$AZ5</f>
        <v>29</v>
      </c>
      <c r="BK5" s="18" t="n">
        <f aca="false">BI5*IF($G5="wagon",62.5,781.25)</f>
        <v>24218.75</v>
      </c>
      <c r="BL5" s="18" t="n">
        <f aca="false">BJ5*IF($G5="wagon",2.73,81.25)</f>
        <v>2356.25</v>
      </c>
      <c r="BP5" s="1" t="n">
        <v>1</v>
      </c>
      <c r="BQ5" s="1" t="str">
        <f aca="false">_xlfn.ORG.LIBREOFFICE.REGEX(_xlfn.ORG.LIBREOFFICE.REGEX(APTMUVehicles, _xlfn.CONCAT(B5, ",?"), ""), ",$", "")</f>
        <v>apt_half_6,apt_half_6_rev,apt_powercar,apt_powercar2,apt_half_2_rev,apt_q_dvt,apt_s_dm</v>
      </c>
      <c r="BT5" s="1" t="n">
        <v>8</v>
      </c>
      <c r="BU5" s="1" t="n">
        <v>185</v>
      </c>
      <c r="BW5" s="1" t="s">
        <v>93</v>
      </c>
      <c r="BX5" s="1" t="str">
        <f aca="false">VLOOKUP(J5,[1]Eras!$A$2:$C$10, 2, TRUE())</f>
        <v>lbr</v>
      </c>
      <c r="BY5" s="19" t="s">
        <v>107</v>
      </c>
      <c r="BZ5" s="1" t="str">
        <f aca="false">CONCATENATE(BX5,"_",BY5)</f>
        <v>lbr_EMU (Express)</v>
      </c>
      <c r="CA5" s="1" t="str">
        <f aca="false">_xlfn.CONCAT(H5, "_",I5)</f>
        <v>none_RAIL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/>
      </c>
      <c r="CD5" s="1" t="str">
        <f aca="false">IF(M5&gt;1,_xlfn.CONCAT("{BLACK}Cars: {GOLD}", M5),"")</f>
        <v>{BLACK}Cars: {GOLD}2</v>
      </c>
      <c r="CE5" s="1" t="s">
        <v>118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{BLACK}Cars: {GOLD}2{}{BLACK}Length: {GOLD}1.5 tiles{}{SILVER}A minimal 2-car half-rake of APT-P Vehicles. Lack of dining facilities makes this much less attractive for passengers.</v>
      </c>
      <c r="CH5" s="1"/>
      <c r="CI5" s="1"/>
    </row>
    <row r="6" customFormat="false" ht="13.8" hidden="false" customHeight="false" outlineLevel="0" collapsed="false">
      <c r="A6" s="1" t="s">
        <v>119</v>
      </c>
      <c r="B6" s="1" t="s">
        <v>120</v>
      </c>
      <c r="C6" s="1" t="n">
        <v>373</v>
      </c>
      <c r="D6" s="1" t="n">
        <v>370</v>
      </c>
      <c r="E6" s="1" t="n">
        <v>375</v>
      </c>
      <c r="F6" s="1" t="s">
        <v>88</v>
      </c>
      <c r="G6" s="1" t="s">
        <v>89</v>
      </c>
      <c r="H6" s="1" t="s">
        <v>102</v>
      </c>
      <c r="I6" s="1" t="s">
        <v>91</v>
      </c>
      <c r="J6" s="1" t="n">
        <v>1979</v>
      </c>
      <c r="K6" s="1" t="n">
        <v>1986</v>
      </c>
      <c r="L6" s="1" t="n">
        <v>1988</v>
      </c>
      <c r="M6" s="1" t="n">
        <v>2</v>
      </c>
      <c r="N6" s="1" t="n">
        <v>10</v>
      </c>
      <c r="W6" s="1" t="n">
        <v>65.6</v>
      </c>
      <c r="Y6" s="1" t="n">
        <v>4</v>
      </c>
      <c r="Z6" s="1" t="n">
        <v>5</v>
      </c>
      <c r="AA6" s="4" t="n">
        <f aca="false">IF(AND(W6&gt;0,Z6&gt;0),(Z6/((W6+X6)*10)),"")</f>
        <v>0.0076219512195122</v>
      </c>
      <c r="AB6" s="1" t="n">
        <v>155</v>
      </c>
      <c r="AC6" s="1" t="n">
        <f aca="false">ROUND(AB6*1.6, 0)</f>
        <v>248</v>
      </c>
      <c r="AF6" s="1" t="n">
        <v>20.9</v>
      </c>
      <c r="AG6" s="1" t="n">
        <v>20.9</v>
      </c>
      <c r="AH6" s="1" t="n">
        <v>2.7</v>
      </c>
      <c r="AI6" s="1" t="n">
        <v>3.5</v>
      </c>
      <c r="AJ6" s="5" t="n">
        <v>39</v>
      </c>
      <c r="AK6" s="1" t="str">
        <f aca="false">CONCATENATE(VLOOKUP(AL6, '[1]Voxel Sizes'!$A$2:$B$18,2,FALSE()),"x",INT(AH6*15), "x", INT(AI6*15))</f>
        <v>198x40x52</v>
      </c>
      <c r="AL6" s="1" t="n">
        <f aca="false">ROUND(15*((AG6*10)/256),0)</f>
        <v>12</v>
      </c>
      <c r="AN6" s="1" t="str">
        <f aca="false">CONCATENATE(VLOOKUP(AL6,Constants!$A$2:$C$16,IF(AM6&lt;&gt;"", 3, 2), FALSE()),IF(AM6&lt;&gt;"",CONCATENATE(",",VLOOKUP(AM6,$B:$AN,38,FALSE())),""))</f>
        <v>4,4,4</v>
      </c>
      <c r="AR6" s="1" t="s">
        <v>121</v>
      </c>
      <c r="AT6" s="1" t="s">
        <v>117</v>
      </c>
      <c r="AU6" s="1" t="s">
        <v>113</v>
      </c>
      <c r="AX6" s="1" t="n">
        <v>12</v>
      </c>
      <c r="AY6" s="6" t="n">
        <f aca="false">IF(L6&lt;&gt;"",MAX(16,(L6-J6)+8),"")</f>
        <v>17</v>
      </c>
      <c r="AZ6" s="1" t="n">
        <v>-60</v>
      </c>
      <c r="BA6" s="1" t="n">
        <v>-65</v>
      </c>
      <c r="BB6" s="1" t="n">
        <f aca="false">MIN(AB6/150, 1)*30</f>
        <v>30</v>
      </c>
      <c r="BC6" s="1" t="n">
        <f aca="false">MIN(N6/4000, 1)*20</f>
        <v>0.05</v>
      </c>
      <c r="BD6" s="1" t="n">
        <f aca="false">MIN(Z6/400,1)*20</f>
        <v>0.25</v>
      </c>
      <c r="BE6" s="4" t="n">
        <f aca="false">1-(MAX(J6-1900, 0)/750)</f>
        <v>0.894666666666667</v>
      </c>
      <c r="BF6" s="1" t="n">
        <f aca="false">((MAX($M6,1)*MIN($AJ6/300,1)))*IF(G6="Wagon",50,10)</f>
        <v>2.6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2.3</v>
      </c>
      <c r="BI6" s="1" t="n">
        <f aca="false">INT(POWER((([1]Constants!$G$2+$BB6+$BC6+$BD6+$BF6)*$BE6)*$BH6, 1.05))+$BA6</f>
        <v>31</v>
      </c>
      <c r="BJ6" s="1" t="n">
        <f aca="false">INT(POWER(((([1]Constants!$G$1+$BB6+$BC6+$BD6+$BF6)*($BE6))*$BG6),IF($G6="wagon",1,1.2)))+$AZ6</f>
        <v>14</v>
      </c>
      <c r="BK6" s="18" t="n">
        <f aca="false">BI6*IF($G6="wagon",62.5,781.25)</f>
        <v>24218.75</v>
      </c>
      <c r="BL6" s="18" t="n">
        <f aca="false">BJ6*IF($G6="wagon",2.73,81.25)</f>
        <v>1137.5</v>
      </c>
      <c r="BO6" s="1" t="n">
        <v>1</v>
      </c>
      <c r="BP6" s="1" t="n">
        <v>1</v>
      </c>
      <c r="BQ6" s="1" t="str">
        <f aca="false">_xlfn.ORG.LIBREOFFICE.REGEX(_xlfn.ORG.LIBREOFFICE.REGEX(APTMUVehicles, _xlfn.CONCAT(B6, ",?"), ""), ",$", "")</f>
        <v>apt_half_6,apt_half_6_rev,apt_powercar,apt_powercar2,apt_half_2,apt_q_dvt,apt_s_dm</v>
      </c>
      <c r="BT6" s="1" t="n">
        <v>8</v>
      </c>
      <c r="BU6" s="1" t="n">
        <v>185</v>
      </c>
      <c r="BW6" s="1" t="s">
        <v>93</v>
      </c>
      <c r="BX6" s="1" t="str">
        <f aca="false">VLOOKUP(J6,[1]Eras!$A$2:$C$10, 2, TRUE())</f>
        <v>lbr</v>
      </c>
      <c r="BY6" s="19" t="s">
        <v>107</v>
      </c>
      <c r="BZ6" s="1" t="str">
        <f aca="false">CONCATENATE(BX6,"_",BY6)</f>
        <v>lbr_EMU (Express)</v>
      </c>
      <c r="CA6" s="1" t="str">
        <f aca="false">_xlfn.CONCAT(H6, "_",I6)</f>
        <v>none_RAIL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{GOLD}1.5 tiles{}</v>
      </c>
      <c r="CC6" s="1" t="str">
        <f aca="false">VLOOKUP($CA6, Constants!$M:$N, 2, FALSE())</f>
        <v/>
      </c>
      <c r="CD6" s="1" t="str">
        <f aca="false">IF(M6&gt;1,_xlfn.CONCAT("{BLACK}Cars: {GOLD}", M6),"")</f>
        <v>{BLACK}Cars: {GOLD}2</v>
      </c>
      <c r="CE6" s="1" t="s">
        <v>118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{BLACK}Cars: {GOLD}2{}{BLACK}Length: {GOLD}1.5 tiles{}{SILVER}A minimal 2-car half-rake of APT-P Vehicles. Lack of dining facilities makes this much less attractive for passengers.</v>
      </c>
      <c r="CH6" s="1"/>
      <c r="CI6" s="1"/>
    </row>
    <row r="7" customFormat="false" ht="13.8" hidden="false" customHeight="false" outlineLevel="0" collapsed="false">
      <c r="A7" s="1" t="s">
        <v>122</v>
      </c>
      <c r="B7" s="1" t="s">
        <v>123</v>
      </c>
      <c r="C7" s="1" t="n">
        <v>374</v>
      </c>
      <c r="D7" s="1" t="n">
        <v>370</v>
      </c>
      <c r="E7" s="1" t="n">
        <v>376</v>
      </c>
      <c r="F7" s="1" t="s">
        <v>88</v>
      </c>
      <c r="G7" s="1" t="s">
        <v>89</v>
      </c>
      <c r="H7" s="1" t="s">
        <v>124</v>
      </c>
      <c r="I7" s="1" t="s">
        <v>125</v>
      </c>
      <c r="J7" s="1" t="n">
        <v>1979</v>
      </c>
      <c r="K7" s="1" t="n">
        <v>1986</v>
      </c>
      <c r="L7" s="1" t="n">
        <v>1988</v>
      </c>
      <c r="M7" s="1" t="n">
        <v>1</v>
      </c>
      <c r="N7" s="1" t="n">
        <v>4000</v>
      </c>
      <c r="W7" s="1" t="n">
        <v>67.5</v>
      </c>
      <c r="Y7" s="1" t="n">
        <v>4</v>
      </c>
      <c r="Z7" s="1" t="n">
        <v>210</v>
      </c>
      <c r="AA7" s="4" t="n">
        <f aca="false">IF(AND(W7&gt;0,Z7&gt;0),(Z7/((W7+X7)*10)),"")</f>
        <v>0.311111111111111</v>
      </c>
      <c r="AB7" s="1" t="n">
        <v>155</v>
      </c>
      <c r="AC7" s="1" t="n">
        <f aca="false">ROUND(AB7*1.6, 0)</f>
        <v>248</v>
      </c>
      <c r="AF7" s="1" t="n">
        <v>20.9</v>
      </c>
      <c r="AG7" s="1" t="n">
        <v>20.9</v>
      </c>
      <c r="AH7" s="1" t="n">
        <v>2.7</v>
      </c>
      <c r="AI7" s="1" t="n">
        <v>3.5</v>
      </c>
      <c r="AJ7" s="5" t="n">
        <v>0</v>
      </c>
      <c r="AK7" s="1" t="str">
        <f aca="false">CONCATENATE(VLOOKUP(AL7, '[1]Voxel Sizes'!$A$2:$B$18,2,FALSE()),"x",INT(AH7*15), "x", INT(AI7*15))</f>
        <v>198x40x52</v>
      </c>
      <c r="AL7" s="1" t="n">
        <f aca="false">ROUND(15*((AG7*10)/256),0)</f>
        <v>12</v>
      </c>
      <c r="AN7" s="1" t="str">
        <f aca="false">CONCATENATE(VLOOKUP(AL7,Constants!$A$2:$C$16,IF(AM7&lt;&gt;"", 3, 2), FALSE()),IF(AM7&lt;&gt;"",CONCATENATE(",",VLOOKUP(AM7,$B:$AN,38,FALSE())),""))</f>
        <v>4,4,4</v>
      </c>
      <c r="AR7" s="1" t="s">
        <v>126</v>
      </c>
      <c r="AT7" s="1" t="n">
        <v>1</v>
      </c>
      <c r="AU7" s="1" t="s">
        <v>126</v>
      </c>
      <c r="AX7" s="1" t="n">
        <v>12</v>
      </c>
      <c r="AY7" s="6" t="n">
        <f aca="false">IF(L7&lt;&gt;"",MAX(16,(L7-J7)+8),"")</f>
        <v>17</v>
      </c>
      <c r="AZ7" s="1" t="n">
        <v>25</v>
      </c>
      <c r="BA7" s="1" t="n">
        <v>-90</v>
      </c>
      <c r="BB7" s="1" t="n">
        <f aca="false">MIN(AB7/150, 1)*30</f>
        <v>30</v>
      </c>
      <c r="BC7" s="1" t="n">
        <f aca="false">MIN(N7/4000, 1)*20</f>
        <v>20</v>
      </c>
      <c r="BD7" s="1" t="n">
        <f aca="false">MIN(Z7/400,1)*20</f>
        <v>10.5</v>
      </c>
      <c r="BE7" s="4" t="n">
        <f aca="false">1-(MAX(J7-1900, 0)/750)</f>
        <v>0.894666666666667</v>
      </c>
      <c r="BF7" s="1" t="n">
        <f aca="false">((MAX($M7,1)*MIN($AJ7/300,1)))*IF(G7="Wagon",50,10)</f>
        <v>0</v>
      </c>
      <c r="BG7" s="1" t="n">
        <f aca="false">VLOOKUP($H7,Constants!$I:$K, 2, FALSE())</f>
        <v>0.85</v>
      </c>
      <c r="BH7" s="1" t="n">
        <f aca="false">VLOOKUP($H7,Constants!$I:$K, 3, FALSE())*IF(AND(G7="multiple_unit",AB7&lt;110),0.75,1)</f>
        <v>2.3</v>
      </c>
      <c r="BI7" s="1" t="n">
        <f aca="false">INT(POWER((([1]Constants!$G$2+$BB7+$BC7+$BD7+$BF7)*$BE7)*$BH7, 1.05))+$BA7</f>
        <v>82</v>
      </c>
      <c r="BJ7" s="1" t="n">
        <f aca="false">INT(POWER(((([1]Constants!$G$1+$BB7+$BC7+$BD7+$BF7)*($BE7))*$BG7),IF($G7="wagon",1,1.2)))+$AZ7</f>
        <v>154</v>
      </c>
      <c r="BK7" s="18" t="n">
        <f aca="false">BI7*IF($G7="wagon",62.5,781.25)</f>
        <v>64062.5</v>
      </c>
      <c r="BL7" s="18" t="n">
        <f aca="false">BJ7*IF($G7="wagon",2.73,81.25)</f>
        <v>12512.5</v>
      </c>
      <c r="BO7" s="1" t="n">
        <v>1</v>
      </c>
      <c r="BP7" s="1" t="n">
        <v>1</v>
      </c>
      <c r="BQ7" s="1" t="str">
        <f aca="false">_xlfn.ORG.LIBREOFFICE.REGEX(_xlfn.ORG.LIBREOFFICE.REGEX(APTMUVehicles, _xlfn.CONCAT(B7, ",?"), ""), ",$", "")</f>
        <v>apt_half_6,apt_half_6_rev,apt_powercar2,apt_half_2,apt_half_2_rev,apt_q_dvt,apt_s_dm</v>
      </c>
      <c r="BT7" s="1" t="n">
        <v>8</v>
      </c>
      <c r="BU7" s="1" t="n">
        <v>185</v>
      </c>
      <c r="BW7" s="1" t="s">
        <v>93</v>
      </c>
      <c r="BX7" s="1" t="str">
        <f aca="false">VLOOKUP(J7,[1]Eras!$A$2:$C$10, 2, TRUE())</f>
        <v>lbr</v>
      </c>
      <c r="BY7" s="19" t="s">
        <v>107</v>
      </c>
      <c r="BZ7" s="1" t="str">
        <f aca="false">CONCATENATE(BX7,"_",BY7)</f>
        <v>lbr_EMU (Express)</v>
      </c>
      <c r="CA7" s="1" t="str">
        <f aca="false">_xlfn.CONCAT(H7, "_",I7)</f>
        <v>electric_ELRL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{GOLD}25kV AC</v>
      </c>
      <c r="CD7" s="1" t="str">
        <f aca="false">IF(M7&gt;1,_xlfn.CONCAT("{BLACK}Cars: {GOLD}", M7),"")</f>
        <v/>
      </c>
      <c r="CE7" s="1" t="s">
        <v>127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{GOLD}25kV AC {}{BLACK}Length: {GOLD}0.8 tiles{}{SILVER}An APT-P centre power car</v>
      </c>
      <c r="CH7" s="1"/>
      <c r="CI7" s="1"/>
    </row>
    <row r="8" s="1" customFormat="true" ht="13.8" hidden="false" customHeight="false" outlineLevel="0" collapsed="false">
      <c r="A8" s="1" t="s">
        <v>128</v>
      </c>
      <c r="B8" s="1" t="s">
        <v>129</v>
      </c>
      <c r="C8" s="1" t="n">
        <v>375</v>
      </c>
      <c r="D8" s="1" t="n">
        <v>370</v>
      </c>
      <c r="E8" s="1" t="n">
        <v>377</v>
      </c>
      <c r="F8" s="1" t="s">
        <v>88</v>
      </c>
      <c r="G8" s="1" t="s">
        <v>89</v>
      </c>
      <c r="H8" s="1" t="s">
        <v>124</v>
      </c>
      <c r="I8" s="1" t="s">
        <v>125</v>
      </c>
      <c r="J8" s="1" t="n">
        <v>1979</v>
      </c>
      <c r="K8" s="1" t="n">
        <v>1986</v>
      </c>
      <c r="L8" s="1" t="n">
        <v>1988</v>
      </c>
      <c r="M8" s="1" t="n">
        <v>1</v>
      </c>
      <c r="N8" s="1" t="n">
        <v>4000</v>
      </c>
      <c r="O8" s="2"/>
      <c r="P8" s="3"/>
      <c r="Q8" s="3"/>
      <c r="R8" s="3"/>
      <c r="S8" s="3"/>
      <c r="T8" s="3"/>
      <c r="U8" s="3"/>
      <c r="V8" s="3"/>
      <c r="W8" s="1" t="n">
        <v>67.5</v>
      </c>
      <c r="X8" s="2"/>
      <c r="Y8" s="1" t="n">
        <v>4</v>
      </c>
      <c r="Z8" s="1" t="n">
        <v>210</v>
      </c>
      <c r="AA8" s="4" t="n">
        <f aca="false">IF(AND(W8&gt;0,Z8&gt;0),(Z8/((W8+X8)*10)),"")</f>
        <v>0.311111111111111</v>
      </c>
      <c r="AB8" s="1" t="n">
        <v>155</v>
      </c>
      <c r="AC8" s="1" t="n">
        <f aca="false">ROUND(AB8*1.6, 0)</f>
        <v>248</v>
      </c>
      <c r="AF8" s="1" t="n">
        <v>20.9</v>
      </c>
      <c r="AG8" s="1" t="n">
        <v>20.9</v>
      </c>
      <c r="AH8" s="1" t="n">
        <v>2.7</v>
      </c>
      <c r="AI8" s="1" t="n">
        <v>3.5</v>
      </c>
      <c r="AJ8" s="5" t="n">
        <v>0</v>
      </c>
      <c r="AK8" s="1" t="str">
        <f aca="false">CONCATENATE(VLOOKUP(AL8, '[1]Voxel Sizes'!$A$2:$B$18,2,FALSE()),"x",INT(AH8*15), "x", INT(AI8*15))</f>
        <v>198x40x52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P8" s="7"/>
      <c r="AQ8" s="7"/>
      <c r="AR8" s="1" t="s">
        <v>130</v>
      </c>
      <c r="AT8" s="1" t="n">
        <v>1</v>
      </c>
      <c r="AU8" s="1" t="s">
        <v>130</v>
      </c>
      <c r="AX8" s="1" t="n">
        <v>12</v>
      </c>
      <c r="AY8" s="6" t="n">
        <f aca="false">IF(L8&lt;&gt;"",MAX(16,(L8-J8)+8),"")</f>
        <v>17</v>
      </c>
      <c r="AZ8" s="1" t="n">
        <v>25</v>
      </c>
      <c r="BA8" s="1" t="n">
        <v>-90</v>
      </c>
      <c r="BB8" s="1" t="n">
        <f aca="false">MIN(AB8/150, 1)*30</f>
        <v>30</v>
      </c>
      <c r="BC8" s="1" t="n">
        <f aca="false">MIN(N8/4000, 1)*20</f>
        <v>20</v>
      </c>
      <c r="BD8" s="1" t="n">
        <f aca="false">MIN(Z8/400,1)*20</f>
        <v>10.5</v>
      </c>
      <c r="BE8" s="4" t="n">
        <f aca="false">1-(MAX(J8-1900, 0)/750)</f>
        <v>0.894666666666667</v>
      </c>
      <c r="BF8" s="1" t="n">
        <f aca="false">((MAX($M8,1)*MIN($AJ8/300,1)))*IF(G8="Wagon",50,10)</f>
        <v>0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" t="n">
        <f aca="false">INT(POWER((([1]Constants!$G$2+$BB8+$BC8+$BD8+$BF8)*$BE8)*$BH8, 1.05))+$BA8</f>
        <v>82</v>
      </c>
      <c r="BJ8" s="1" t="n">
        <f aca="false">INT(POWER(((([1]Constants!$G$1+$BB8+$BC8+$BD8+$BF8)*($BE8))*$BG8),IF($G8="wagon",1,1.2)))+$AZ8</f>
        <v>154</v>
      </c>
      <c r="BK8" s="18" t="n">
        <f aca="false">BI8*IF($G8="wagon",62.5,781.25)</f>
        <v>64062.5</v>
      </c>
      <c r="BL8" s="18" t="n">
        <f aca="false">BJ8*IF($G8="wagon",2.73,81.25)</f>
        <v>12512.5</v>
      </c>
      <c r="BO8" s="1" t="n">
        <v>1</v>
      </c>
      <c r="BP8" s="1" t="n">
        <v>1</v>
      </c>
      <c r="BQ8" s="1" t="str">
        <f aca="false">_xlfn.ORG.LIBREOFFICE.REGEX(_xlfn.ORG.LIBREOFFICE.REGEX(APTMUVehicles, _xlfn.CONCAT(B8, ",?"), ""), ",$", "")</f>
        <v>apt_half_6,apt_half_6_rev,apt_powercar,apt_half_2,apt_half_2_rev,apt_q_dvt,apt_s_dm</v>
      </c>
      <c r="BT8" s="1" t="n">
        <v>8</v>
      </c>
      <c r="BU8" s="1" t="n">
        <v>185</v>
      </c>
      <c r="BW8" s="1" t="s">
        <v>93</v>
      </c>
      <c r="BX8" s="1" t="str">
        <f aca="false">VLOOKUP(J8,[1]Eras!$A$2:$C$10, 2, TRUE())</f>
        <v>lbr</v>
      </c>
      <c r="BY8" s="19" t="s">
        <v>107</v>
      </c>
      <c r="BZ8" s="1" t="str">
        <f aca="false">CONCATENATE(BX8,"_",BY8)</f>
        <v>lbr_EMU (Express)</v>
      </c>
      <c r="CA8" s="1" t="str">
        <f aca="false">_xlfn.CONCAT(H8, "_",I8)</f>
        <v>electric_ELRL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{GOLD}25kV AC</v>
      </c>
      <c r="CD8" s="1" t="str">
        <f aca="false">IF(M8&gt;1,_xlfn.CONCAT("{BLACK}Cars: {GOLD}", M8),"")</f>
        <v/>
      </c>
      <c r="CE8" s="1" t="s">
        <v>127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{GOLD}25kV AC {}{BLACK}Length: {GOLD}0.8 tiles{}{SILVER}An APT-P centre power car</v>
      </c>
    </row>
    <row r="9" customFormat="false" ht="13.8" hidden="false" customHeight="false" outlineLevel="0" collapsed="false">
      <c r="A9" s="31" t="s">
        <v>131</v>
      </c>
      <c r="B9" s="31" t="s">
        <v>132</v>
      </c>
      <c r="C9" s="31" t="n">
        <v>380</v>
      </c>
      <c r="D9" s="31"/>
      <c r="E9" s="31" t="n">
        <v>382</v>
      </c>
      <c r="F9" s="31" t="s">
        <v>88</v>
      </c>
      <c r="G9" s="31" t="s">
        <v>133</v>
      </c>
      <c r="H9" s="31" t="s">
        <v>124</v>
      </c>
      <c r="I9" s="31" t="s">
        <v>125</v>
      </c>
      <c r="J9" s="31" t="n">
        <v>1986</v>
      </c>
      <c r="K9" s="31" t="n">
        <v>1991</v>
      </c>
      <c r="L9" s="31" t="n">
        <v>1994</v>
      </c>
      <c r="M9" s="31" t="n">
        <v>1</v>
      </c>
      <c r="N9" s="31" t="n">
        <v>4000</v>
      </c>
      <c r="O9" s="32"/>
      <c r="P9" s="33"/>
      <c r="Q9" s="33"/>
      <c r="R9" s="33"/>
      <c r="S9" s="33"/>
      <c r="T9" s="33"/>
      <c r="U9" s="33"/>
      <c r="V9" s="33"/>
      <c r="W9" s="0" t="n">
        <v>76.8</v>
      </c>
      <c r="X9" s="32"/>
      <c r="Y9" s="1" t="n">
        <v>4</v>
      </c>
      <c r="Z9" s="0" t="n">
        <v>210</v>
      </c>
      <c r="AA9" s="34" t="n">
        <f aca="false">IF(AND(W9&gt;0,Z9&gt;0),(Z9/((W9+X9)*10)),"")</f>
        <v>0.2734375</v>
      </c>
      <c r="AB9" s="0" t="n">
        <v>155</v>
      </c>
      <c r="AC9" s="0" t="n">
        <f aca="false">ROUND(AB9*1.6, 0)</f>
        <v>248</v>
      </c>
      <c r="AD9" s="0"/>
      <c r="AE9" s="0"/>
      <c r="AF9" s="0" t="n">
        <v>22</v>
      </c>
      <c r="AG9" s="0" t="n">
        <v>22</v>
      </c>
      <c r="AH9" s="0" t="n">
        <v>2.7</v>
      </c>
      <c r="AI9" s="0" t="n">
        <v>3.5</v>
      </c>
      <c r="AJ9" s="35" t="n">
        <v>36</v>
      </c>
      <c r="AK9" s="0" t="str">
        <f aca="false">CONCATENATE(VLOOKUP(AL9, '[1]Voxel Sizes'!$A$2:$B$18,2,FALSE()),"x",INT(AH9*15), "x", INT(AI9*15))</f>
        <v>214x40x52</v>
      </c>
      <c r="AL9" s="0" t="n">
        <f aca="false">ROUND(15*((AG9*10)/256),0)</f>
        <v>13</v>
      </c>
      <c r="AM9" s="0"/>
      <c r="AN9" s="1" t="str">
        <f aca="false">CONCATENATE(VLOOKUP(AL9,Constants!$A$2:$C$16,IF(AM9&lt;&gt;"", 3, 2), FALSE()),IF(AM9&lt;&gt;"",CONCATENATE(",",VLOOKUP(AM9,$B:$AN,38,FALSE())),""))</f>
        <v>4,5,4</v>
      </c>
      <c r="AO9" s="0"/>
      <c r="AP9" s="36"/>
      <c r="AQ9" s="36"/>
      <c r="AR9" s="0"/>
      <c r="AS9" s="0"/>
      <c r="AT9" s="0"/>
      <c r="AU9" s="0"/>
      <c r="AV9" s="0"/>
      <c r="AW9" s="0"/>
      <c r="AX9" s="0" t="n">
        <v>20</v>
      </c>
      <c r="AY9" s="37" t="n">
        <f aca="false">IF(L9&lt;&gt;"",MAX(16,(L9-J9)+8),"")</f>
        <v>16</v>
      </c>
      <c r="AZ9" s="0" t="n">
        <v>-35</v>
      </c>
      <c r="BA9" s="0" t="n">
        <v>-60</v>
      </c>
      <c r="BB9" s="0" t="n">
        <f aca="false">MIN(AB9/150, 1)*30</f>
        <v>30</v>
      </c>
      <c r="BC9" s="0" t="n">
        <f aca="false">MIN(N9/4000, 1)*20</f>
        <v>20</v>
      </c>
      <c r="BD9" s="0" t="n">
        <f aca="false">MIN(Z9/400,1)*20</f>
        <v>10.5</v>
      </c>
      <c r="BE9" s="34" t="n">
        <f aca="false">1-(MAX(J9-1900, 0)/750)</f>
        <v>0.885333333333333</v>
      </c>
      <c r="BF9" s="0" t="n">
        <f aca="false">((MAX($M9,1)*MIN($AJ9/300,1)))*IF(G9="Wagon",50,10)</f>
        <v>1.2</v>
      </c>
      <c r="BG9" s="1" t="n">
        <f aca="false">VLOOKUP($H9,Constants!$I:$K, 2, FALSE())</f>
        <v>0.85</v>
      </c>
      <c r="BH9" s="1" t="n">
        <f aca="false">VLOOKUP($H9,Constants!$I:$K, 3, FALSE())*IF(AND(G9="multiple_unit",AB9&lt;110),0.75,1)</f>
        <v>2.3</v>
      </c>
      <c r="BI9" s="1" t="n">
        <f aca="false">INT(POWER((([1]Constants!$G$2+$BB9+$BC9+$BD9+$BF9)*$BE9)*$BH9, 1.05))+$BA9</f>
        <v>113</v>
      </c>
      <c r="BJ9" s="1" t="n">
        <f aca="false">INT(POWER(((([1]Constants!$G$1+$BB9+$BC9+$BD9+$BF9)*($BE9))*$BG9),IF($G9="wagon",1,1.2)))+$AZ9</f>
        <v>94</v>
      </c>
      <c r="BK9" s="18" t="n">
        <f aca="false">BI9*IF($G9="wagon",62.5,781.25)</f>
        <v>88281.25</v>
      </c>
      <c r="BL9" s="18" t="n">
        <f aca="false">BJ9*IF($G9="wagon",2.73,81.25)</f>
        <v>7637.5</v>
      </c>
      <c r="BM9" s="0" t="n">
        <v>1</v>
      </c>
      <c r="BN9" s="0" t="n">
        <v>1</v>
      </c>
      <c r="BP9" s="0" t="n">
        <v>1</v>
      </c>
      <c r="BQ9" s="1" t="str">
        <f aca="false">_xlfn.ORG.LIBREOFFICE.REGEX(_xlfn.ORG.LIBREOFFICE.REGEX(APTMUVehicles, _xlfn.CONCAT(B9, ",?"), ""), ",$", "")</f>
        <v>apt_half_6,apt_half_6_rev,apt_powercar,apt_powercar2,apt_half_2,apt_half_2_rev,apt_q_dvt</v>
      </c>
      <c r="BR9" s="0"/>
      <c r="BS9" s="0"/>
      <c r="BT9" s="0" t="n">
        <v>7</v>
      </c>
      <c r="BU9" s="1" t="n">
        <v>185</v>
      </c>
      <c r="BW9" s="0" t="s">
        <v>134</v>
      </c>
      <c r="BX9" s="0" t="str">
        <f aca="false">VLOOKUP(J9,[1]Eras!$A$2:$C$10, 2, TRUE())</f>
        <v>lbr</v>
      </c>
      <c r="BY9" s="31" t="s">
        <v>135</v>
      </c>
      <c r="BZ9" s="0" t="str">
        <f aca="false">CONCATENATE(BX9,"_",BY9)</f>
        <v>lbr_Express (Electric)</v>
      </c>
      <c r="CA9" s="0" t="str">
        <f aca="false">_xlfn.CONCAT(H9, "_",I9)</f>
        <v>electric_ELRL</v>
      </c>
      <c r="CB9" s="38" t="str">
        <f aca="false" t="array" ref="CB9:CB9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{GOLD}25kV AC</v>
      </c>
      <c r="CD9" s="0" t="str">
        <f aca="false">IF(M9&gt;1,_xlfn.CONCAT("{BLACK}Cars: {GOLD}", M9),"")</f>
        <v/>
      </c>
      <c r="CE9" s="0" t="s">
        <v>136</v>
      </c>
      <c r="CF9" s="0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0" t="str">
        <f aca="false">_xlfn.CONCAT(CC9,IF(CC9 &lt;&gt; "", " ", ""),CD9,IF(OR(CD9&lt;&gt;"", CC9&lt;&gt;""), "{}",""), CB9, CF9,"{SILVER}", CE9)</f>
        <v>{BLACK}Powered by: {GOLD}25kV AC {}{BLACK}Length: {GOLD}0.9 tiles{}{SILVER}The APT-S was a rework of the APT concept towards more conventional rolling stock, with a driving motor car, articulated trailers and a DVT.</v>
      </c>
      <c r="CH9" s="0"/>
      <c r="CI9" s="0"/>
    </row>
    <row r="10" customFormat="false" ht="13.8" hidden="false" customHeight="false" outlineLevel="0" collapsed="false">
      <c r="A10" s="31" t="s">
        <v>137</v>
      </c>
      <c r="B10" s="31" t="s">
        <v>138</v>
      </c>
      <c r="C10" s="31" t="n">
        <v>382</v>
      </c>
      <c r="D10" s="31" t="n">
        <v>380</v>
      </c>
      <c r="E10" s="31" t="n">
        <v>384</v>
      </c>
      <c r="F10" s="31" t="s">
        <v>88</v>
      </c>
      <c r="G10" s="31" t="s">
        <v>133</v>
      </c>
      <c r="H10" s="31" t="s">
        <v>102</v>
      </c>
      <c r="I10" s="31" t="s">
        <v>91</v>
      </c>
      <c r="J10" s="31" t="n">
        <v>1986</v>
      </c>
      <c r="K10" s="31" t="n">
        <v>1991</v>
      </c>
      <c r="L10" s="31" t="n">
        <v>1994</v>
      </c>
      <c r="M10" s="31" t="n">
        <v>1</v>
      </c>
      <c r="N10" s="31" t="n">
        <v>100</v>
      </c>
      <c r="O10" s="32"/>
      <c r="P10" s="33"/>
      <c r="Q10" s="33"/>
      <c r="R10" s="33"/>
      <c r="S10" s="33"/>
      <c r="T10" s="33"/>
      <c r="U10" s="33"/>
      <c r="V10" s="33"/>
      <c r="W10" s="0" t="n">
        <v>38.4</v>
      </c>
      <c r="X10" s="32"/>
      <c r="Y10" s="1" t="n">
        <v>4</v>
      </c>
      <c r="Z10" s="0" t="n">
        <v>5</v>
      </c>
      <c r="AA10" s="34" t="n">
        <f aca="false">IF(AND(W10&gt;0,Z10&gt;0),(Z10/((W10+X10)*10)),"")</f>
        <v>0.0130208333333333</v>
      </c>
      <c r="AB10" s="0" t="n">
        <v>155</v>
      </c>
      <c r="AC10" s="0" t="n">
        <f aca="false">ROUND(AB10*1.6, 0)</f>
        <v>248</v>
      </c>
      <c r="AD10" s="0"/>
      <c r="AE10" s="0"/>
      <c r="AF10" s="0" t="n">
        <v>22</v>
      </c>
      <c r="AG10" s="0" t="n">
        <v>22</v>
      </c>
      <c r="AH10" s="0" t="n">
        <v>2.7</v>
      </c>
      <c r="AI10" s="0" t="n">
        <v>3.5</v>
      </c>
      <c r="AJ10" s="35" t="n">
        <v>0</v>
      </c>
      <c r="AK10" s="0" t="str">
        <f aca="false">CONCATENATE(VLOOKUP(AL10, '[1]Voxel Sizes'!$A$2:$B$18,2,FALSE()),"x",INT(AH10*15), "x", INT(AI10*15))</f>
        <v>214x40x52</v>
      </c>
      <c r="AL10" s="0" t="n">
        <f aca="false">ROUND(15*((AG10*10)/256),0)</f>
        <v>13</v>
      </c>
      <c r="AM10" s="0"/>
      <c r="AN10" s="1" t="str">
        <f aca="false">CONCATENATE(VLOOKUP(AL10,Constants!$A$2:$C$16,IF(AM10&lt;&gt;"", 3, 2), FALSE()),IF(AM10&lt;&gt;"",CONCATENATE(",",VLOOKUP(AM10,$B:$AN,38,FALSE())),""))</f>
        <v>4,5,4</v>
      </c>
      <c r="AO10" s="0"/>
      <c r="AP10" s="36"/>
      <c r="AQ10" s="36"/>
      <c r="AR10" s="0"/>
      <c r="AS10" s="0"/>
      <c r="AT10" s="0"/>
      <c r="AU10" s="0"/>
      <c r="AV10" s="0"/>
      <c r="AW10" s="0"/>
      <c r="AX10" s="0" t="n">
        <v>20</v>
      </c>
      <c r="AY10" s="37" t="n">
        <f aca="false">IF(L10&lt;&gt;"",MAX(16,(L10-J10)+8),"")</f>
        <v>16</v>
      </c>
      <c r="AZ10" s="0" t="n">
        <v>-35</v>
      </c>
      <c r="BA10" s="0" t="n">
        <v>-60</v>
      </c>
      <c r="BB10" s="0" t="n">
        <f aca="false">MIN(AB10/150, 1)*30</f>
        <v>30</v>
      </c>
      <c r="BC10" s="0" t="n">
        <f aca="false">MIN(N10/4000, 1)*20</f>
        <v>0.5</v>
      </c>
      <c r="BD10" s="0" t="n">
        <f aca="false">MIN(Z10/400,1)*20</f>
        <v>0.25</v>
      </c>
      <c r="BE10" s="34" t="n">
        <f aca="false">1-(MAX(J10-1900, 0)/750)</f>
        <v>0.885333333333333</v>
      </c>
      <c r="BF10" s="0" t="n">
        <f aca="false">((MAX($M10,1)*MIN($AJ10/300,1)))*IF(G10="Wagon",50,10)</f>
        <v>0</v>
      </c>
      <c r="BG10" s="1" t="n">
        <f aca="false">VLOOKUP($H10,Constants!$I:$K, 2, FALSE())</f>
        <v>0.85</v>
      </c>
      <c r="BH10" s="1" t="n">
        <f aca="false">VLOOKUP($H10,Constants!$I:$K, 3, FALSE())*IF(AND(G10="multiple_unit",AB10&lt;110),0.75,1)</f>
        <v>2.3</v>
      </c>
      <c r="BI10" s="1" t="n">
        <f aca="false">INT(POWER((([1]Constants!$G$2+$BB10+$BC10+$BD10+$BF10)*$BE10)*$BH10, 1.05))+$BA10</f>
        <v>30</v>
      </c>
      <c r="BJ10" s="1" t="n">
        <f aca="false">INT(POWER(((([1]Constants!$G$1+$BB10+$BC10+$BD10+$BF10)*($BE10))*$BG10),IF($G10="wagon",1,1.2)))+$AZ10</f>
        <v>34</v>
      </c>
      <c r="BK10" s="18" t="n">
        <f aca="false">BI10*IF($G10="wagon",62.5,781.25)</f>
        <v>23437.5</v>
      </c>
      <c r="BL10" s="18" t="n">
        <f aca="false">BJ10*IF($G10="wagon",2.73,81.25)</f>
        <v>2762.5</v>
      </c>
      <c r="BM10" s="0" t="n">
        <v>1</v>
      </c>
      <c r="BN10" s="0" t="n">
        <v>1</v>
      </c>
      <c r="BP10" s="0" t="n">
        <v>1</v>
      </c>
      <c r="BQ10" s="1" t="str">
        <f aca="false">_xlfn.ORG.LIBREOFFICE.REGEX(_xlfn.ORG.LIBREOFFICE.REGEX(APTMUVehicles, _xlfn.CONCAT(B10, ",?"), ""), ",$", "")</f>
        <v>apt_half_6,apt_half_6_rev,apt_powercar,apt_powercar2,apt_half_2,apt_half_2_rev,apt_s_dm</v>
      </c>
      <c r="BR10" s="0"/>
      <c r="BS10" s="0"/>
      <c r="BT10" s="0" t="n">
        <v>7</v>
      </c>
      <c r="BW10" s="0"/>
      <c r="BX10" s="0" t="str">
        <f aca="false">VLOOKUP(J10,[1]Eras!$A$2:$C$10, 2, TRUE())</f>
        <v>lbr</v>
      </c>
      <c r="BY10" s="31" t="s">
        <v>135</v>
      </c>
      <c r="BZ10" s="0" t="str">
        <f aca="false">CONCATENATE(BX10,"_",BY10)</f>
        <v>lbr_Express (Electric)</v>
      </c>
      <c r="CA10" s="0" t="str">
        <f aca="false">_xlfn.CONCAT(H10, "_",I10)</f>
        <v>none_RAIL</v>
      </c>
      <c r="CB10" s="38" t="str">
        <f aca="false" t="array" ref="CB10:CB10">_xlfn.CONCAT("{BLACK}Length: {GOLD}", TEXT(ROUNDUP(IF(AQ10&lt;&gt;"",SUM(VALUE(_xlfn.TEXTSPLIT(AQ10, ","))), SUM(VALUE(_xlfn.TEXTSPLIT(AN10, ",")))*IF(M10, M10, 1))/16, 1), "#,##0.0"), " tiles{}")</f>
        <v>{BLACK}Length: {GOLD}0.9 tiles{}</v>
      </c>
      <c r="CC10" s="1" t="str">
        <f aca="false">VLOOKUP($CA10, Constants!$M:$N, 2, FALSE())</f>
        <v/>
      </c>
      <c r="CD10" s="0" t="str">
        <f aca="false">IF(M10&gt;1,_xlfn.CONCAT("{BLACK}Cars: {GOLD}", M10),"")</f>
        <v/>
      </c>
      <c r="CE10" s="0" t="s">
        <v>139</v>
      </c>
      <c r="CF10" s="0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/>
      </c>
      <c r="CG10" s="0" t="str">
        <f aca="false">_xlfn.CONCAT(CC10,IF(CC10 &lt;&gt; "", " ", ""),CD10,IF(OR(CD10&lt;&gt;"", CC10&lt;&gt;""), "{}",""), CB10, CF10,"{SILVER}", CE10)</f>
        <v>{BLACK}Length: {GOLD}0.9 tiles{}{SILVER}The APT-Q was proposed to rationalise existing APT-P stock into usable 6-car tains, with a single non-driving power car and a new-build DVT.</v>
      </c>
      <c r="CH10" s="0"/>
      <c r="CI10" s="0"/>
    </row>
    <row r="11" customFormat="false" ht="13.8" hidden="false" customHeight="false" outlineLevel="0" collapsed="false">
      <c r="A11" s="1" t="s">
        <v>140</v>
      </c>
      <c r="B11" s="1" t="s">
        <v>141</v>
      </c>
      <c r="C11" s="1" t="n">
        <v>384</v>
      </c>
      <c r="D11" s="1" t="n">
        <v>380</v>
      </c>
      <c r="E11" s="1" t="n">
        <v>386</v>
      </c>
      <c r="F11" s="1" t="s">
        <v>88</v>
      </c>
      <c r="G11" s="1" t="s">
        <v>89</v>
      </c>
      <c r="H11" s="1" t="s">
        <v>102</v>
      </c>
      <c r="I11" s="1" t="s">
        <v>91</v>
      </c>
      <c r="J11" s="0" t="n">
        <v>1986</v>
      </c>
      <c r="K11" s="0" t="n">
        <v>1991</v>
      </c>
      <c r="L11" s="0" t="n">
        <v>1994</v>
      </c>
      <c r="M11" s="1" t="n">
        <v>10</v>
      </c>
      <c r="N11" s="1" t="n">
        <v>10</v>
      </c>
      <c r="W11" s="21" t="n">
        <v>258.2</v>
      </c>
      <c r="Y11" s="1" t="n">
        <v>4</v>
      </c>
      <c r="Z11" s="1" t="n">
        <v>5</v>
      </c>
      <c r="AA11" s="4" t="n">
        <f aca="false">IF(AND(W11&gt;0,Z11&gt;0),(Z11/((W11+X11)*10)),"")</f>
        <v>0.00193648334624322</v>
      </c>
      <c r="AB11" s="1" t="n">
        <v>155</v>
      </c>
      <c r="AC11" s="1" t="n">
        <f aca="false">ROUND(AB11*1.6, 0)</f>
        <v>248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49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142</v>
      </c>
      <c r="AT11" s="1" t="s">
        <v>143</v>
      </c>
      <c r="AU11" s="1" t="s">
        <v>144</v>
      </c>
      <c r="AX11" s="1" t="n">
        <v>20</v>
      </c>
      <c r="AY11" s="6" t="n">
        <f aca="false">IF(L11&lt;&gt;"",MAX(16,(L11-J11)+8),"")</f>
        <v>16</v>
      </c>
      <c r="AZ11" s="1" t="n">
        <v>-45</v>
      </c>
      <c r="BA11" s="1" t="n">
        <v>-65</v>
      </c>
      <c r="BB11" s="1" t="n">
        <f aca="false">MIN(AB11/150, 1)*30</f>
        <v>30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0.885333333333333</v>
      </c>
      <c r="BF11" s="1" t="n">
        <f aca="false">((MAX($M11,1)*MIN($AJ11/300,1)))*IF(G11="Wagon",50,10)</f>
        <v>16.3333333333333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67</v>
      </c>
      <c r="BJ11" s="1" t="n">
        <f aca="false">INT(POWER(((([1]Constants!$G$1+$BB11+$BC11+$BD11+$BF11)*($BE11))*$BG11),IF($G11="wagon",1,1.2)))+$AZ11</f>
        <v>54</v>
      </c>
      <c r="BK11" s="18" t="n">
        <f aca="false">BI11*IF($G11="wagon",62.5,781.25)</f>
        <v>52343.75</v>
      </c>
      <c r="BL11" s="18" t="n">
        <f aca="false">BJ11*IF($G11="wagon",2.73,81.25)</f>
        <v>4387.5</v>
      </c>
      <c r="BO11" s="0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apt_half_6,apt_half_6_rev,apt_powercar,apt_powercar2,apt_half_2,apt_half_2_rev,apt_q_dvt,apt_s_dm</v>
      </c>
      <c r="BS11" s="21" t="s">
        <v>106</v>
      </c>
      <c r="BT11" s="1" t="n">
        <v>7</v>
      </c>
      <c r="BU11" s="1" t="n">
        <v>222</v>
      </c>
      <c r="BW11" s="1" t="s">
        <v>93</v>
      </c>
      <c r="BX11" s="1" t="str">
        <f aca="false">VLOOKUP(J11,[1]Eras!$A$2:$C$10, 2, TRUE())</f>
        <v>lbr</v>
      </c>
      <c r="BY11" s="19" t="s">
        <v>107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f aca="false" t="array" ref="CB11:CB11">_xlfn.CONCAT("{BLACK}Length: {GOLD}", TEXT(ROUNDUP(IF(AQ11&lt;&gt;"",SUM(VALUE(_xlfn.TEXTSPLIT(AQ11, ","))), SUM(VALUE(_xlfn.TEXTSPLIT(AN11, ",")))*IF(M11, M11, 1))/16, 1), "#,##0.0"), " tiles{}")</f>
        <v>{BLACK}Length: {GOLD}7.5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{GOLD}10</v>
      </c>
      <c r="CE11" s="1" t="s">
        <v>145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{GOLD}10{}{BLACK}Length: {GOLD}7.5 tiles{}{YELLOW}20% Bonus for long distance travel{}{SILVER}An articulated trailer rake of APT-S Vehicles, intended to run with a Driving Motor and a DVT</v>
      </c>
      <c r="CH11" s="1"/>
      <c r="CI11" s="1"/>
    </row>
    <row r="12" customFormat="false" ht="13.8" hidden="false" customHeight="false" outlineLevel="0" collapsed="false">
      <c r="A12" s="1" t="s">
        <v>146</v>
      </c>
      <c r="B12" s="1" t="s">
        <v>147</v>
      </c>
      <c r="C12" s="1" t="n">
        <v>386</v>
      </c>
      <c r="D12" s="1" t="n">
        <v>380</v>
      </c>
      <c r="E12" s="1" t="n">
        <v>388</v>
      </c>
      <c r="F12" s="1" t="s">
        <v>88</v>
      </c>
      <c r="G12" s="1" t="s">
        <v>89</v>
      </c>
      <c r="H12" s="1" t="s">
        <v>102</v>
      </c>
      <c r="I12" s="1" t="s">
        <v>91</v>
      </c>
      <c r="J12" s="0" t="n">
        <v>1986</v>
      </c>
      <c r="K12" s="0" t="n">
        <v>1991</v>
      </c>
      <c r="L12" s="0" t="n">
        <v>1994</v>
      </c>
      <c r="M12" s="1" t="n">
        <v>6</v>
      </c>
      <c r="N12" s="1" t="n">
        <v>10</v>
      </c>
      <c r="W12" s="1" t="n">
        <v>209.6</v>
      </c>
      <c r="Y12" s="1" t="n">
        <v>4</v>
      </c>
      <c r="Z12" s="1" t="n">
        <v>5</v>
      </c>
      <c r="AA12" s="4" t="n">
        <f aca="false">IF(AND(W12&gt;0,Z12&gt;0),(Z12/((W12+X12)*10)),"")</f>
        <v>0.00238549618320611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50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148</v>
      </c>
      <c r="AT12" s="1" t="s">
        <v>149</v>
      </c>
      <c r="AU12" s="1" t="s">
        <v>144</v>
      </c>
      <c r="AX12" s="1" t="n">
        <v>20</v>
      </c>
      <c r="AY12" s="6" t="n">
        <f aca="false">IF(L12&lt;&gt;"",MAX(16,(L12-J12)+8),"")</f>
        <v>16</v>
      </c>
      <c r="AZ12" s="1" t="n">
        <v>-45</v>
      </c>
      <c r="BA12" s="1" t="n">
        <v>-65</v>
      </c>
      <c r="BB12" s="1" t="n">
        <f aca="false">MIN(AB12/150, 1)*30</f>
        <v>30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0.885333333333333</v>
      </c>
      <c r="BF12" s="1" t="n">
        <f aca="false">((MAX($M12,1)*MIN($AJ12/300,1)))*IF(G12="Wagon",50,10)</f>
        <v>10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50</v>
      </c>
      <c r="BJ12" s="1" t="n">
        <f aca="false">INT(POWER(((([1]Constants!$G$1+$BB12+$BC12+$BD12+$BF12)*($BE12))*$BG12),IF($G12="wagon",1,1.2)))+$AZ12</f>
        <v>42</v>
      </c>
      <c r="BK12" s="18" t="n">
        <f aca="false">BI12*IF($G12="wagon",62.5,781.25)</f>
        <v>39062.5</v>
      </c>
      <c r="BL12" s="18" t="n">
        <f aca="false">BJ12*IF($G12="wagon",2.73,81.25)</f>
        <v>3412.5</v>
      </c>
      <c r="BO12" s="0" t="n">
        <v>1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apt_half_6,apt_half_6_rev,apt_powercar,apt_powercar2,apt_half_2,apt_half_2_rev,apt_q_dvt,apt_s_dm</v>
      </c>
      <c r="BS12" s="21" t="s">
        <v>150</v>
      </c>
      <c r="BT12" s="1" t="n">
        <v>7</v>
      </c>
      <c r="BU12" s="1" t="n">
        <v>222</v>
      </c>
      <c r="BW12" s="1" t="s">
        <v>93</v>
      </c>
      <c r="BX12" s="1" t="str">
        <f aca="false">VLOOKUP(J12,[1]Eras!$A$2:$C$10, 2, TRUE())</f>
        <v>lbr</v>
      </c>
      <c r="BY12" s="19" t="s">
        <v>107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{GOLD}4.5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{GOLD}6</v>
      </c>
      <c r="CE12" s="1" t="s">
        <v>145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>{YELLOW}20% Bonus for long distance travel{}</v>
      </c>
      <c r="CG12" s="1" t="str">
        <f aca="false">_xlfn.CONCAT(CC12,IF(CC12 &lt;&gt; "", " ", ""),CD12,IF(OR(CD12&lt;&gt;"", CC12&lt;&gt;""), "{}",""), CB12, CF12,"{SILVER}", CE12)</f>
        <v>{BLACK}Cars: {GOLD}6{}{BLACK}Length: {GOLD}4.5 tiles{}{YELLOW}20% Bonus for long distance travel{}{SILVER}An articulated trailer rake of APT-S Vehicles, intended to run with a Driving Motor and a DVT</v>
      </c>
      <c r="CH12" s="1"/>
      <c r="CI12" s="1"/>
    </row>
    <row r="13" s="1" customFormat="true" ht="13.8" hidden="false" customHeight="false" outlineLevel="0" collapsed="false">
      <c r="O13" s="39"/>
      <c r="P13" s="39"/>
      <c r="Q13" s="39"/>
      <c r="R13" s="39"/>
      <c r="S13" s="39"/>
      <c r="T13" s="39"/>
      <c r="U13" s="39"/>
      <c r="V13" s="39"/>
      <c r="X13" s="39"/>
      <c r="AA13" s="4"/>
      <c r="AJ13" s="39"/>
      <c r="AP13" s="39"/>
      <c r="AQ13" s="39"/>
      <c r="BE13" s="4"/>
      <c r="BK13" s="18"/>
      <c r="BL13" s="18"/>
    </row>
    <row r="14" s="1" customFormat="true" ht="13.8" hidden="false" customHeight="false" outlineLevel="0" collapsed="false">
      <c r="O14" s="39"/>
      <c r="P14" s="39"/>
      <c r="Q14" s="39"/>
      <c r="R14" s="39"/>
      <c r="S14" s="39"/>
      <c r="T14" s="39"/>
      <c r="U14" s="39"/>
      <c r="V14" s="39"/>
      <c r="X14" s="39"/>
      <c r="AA14" s="4"/>
      <c r="AJ14" s="39"/>
      <c r="AP14" s="39"/>
      <c r="AQ14" s="39"/>
      <c r="BE14" s="4"/>
      <c r="BK14" s="18"/>
      <c r="BL14" s="18"/>
    </row>
    <row r="15" s="1" customFormat="true" ht="13.8" hidden="false" customHeight="false" outlineLevel="0" collapsed="false">
      <c r="O15" s="39"/>
      <c r="P15" s="39"/>
      <c r="Q15" s="39"/>
      <c r="R15" s="39"/>
      <c r="S15" s="39"/>
      <c r="T15" s="39"/>
      <c r="U15" s="39"/>
      <c r="V15" s="39"/>
      <c r="X15" s="39"/>
      <c r="AA15" s="4"/>
      <c r="AJ15" s="39"/>
      <c r="AP15" s="39"/>
      <c r="AQ15" s="39"/>
      <c r="BE15" s="4"/>
      <c r="BK15" s="18"/>
      <c r="BL15" s="18"/>
    </row>
    <row r="16" s="1" customFormat="true" ht="13.8" hidden="false" customHeight="false" outlineLevel="0" collapsed="false">
      <c r="O16" s="39"/>
      <c r="P16" s="39"/>
      <c r="Q16" s="39"/>
      <c r="R16" s="39"/>
      <c r="S16" s="39"/>
      <c r="T16" s="39"/>
      <c r="U16" s="39"/>
      <c r="V16" s="39"/>
      <c r="X16" s="39"/>
      <c r="AA16" s="4"/>
      <c r="AJ16" s="39"/>
      <c r="AP16" s="39"/>
      <c r="AQ16" s="39"/>
      <c r="BE16" s="4"/>
      <c r="BK16" s="18"/>
      <c r="BL16" s="18"/>
    </row>
    <row r="17" s="1" customFormat="true" ht="13.8" hidden="false" customHeight="false" outlineLevel="0" collapsed="false">
      <c r="O17" s="39"/>
      <c r="P17" s="39"/>
      <c r="Q17" s="39"/>
      <c r="R17" s="39"/>
      <c r="S17" s="39"/>
      <c r="T17" s="39"/>
      <c r="U17" s="39"/>
      <c r="V17" s="39"/>
      <c r="X17" s="39"/>
      <c r="AA17" s="4"/>
      <c r="AJ17" s="39"/>
      <c r="AP17" s="39"/>
      <c r="AQ17" s="39"/>
      <c r="BE17" s="4"/>
      <c r="BK17" s="18"/>
      <c r="BL17" s="18"/>
    </row>
    <row r="18" s="1" customFormat="true" ht="13.8" hidden="false" customHeight="false" outlineLevel="0" collapsed="false">
      <c r="O18" s="39"/>
      <c r="P18" s="39"/>
      <c r="Q18" s="39"/>
      <c r="R18" s="39"/>
      <c r="S18" s="39"/>
      <c r="T18" s="39"/>
      <c r="U18" s="39"/>
      <c r="V18" s="39"/>
      <c r="X18" s="39"/>
      <c r="AA18" s="4"/>
      <c r="AJ18" s="39"/>
      <c r="AP18" s="39"/>
      <c r="AQ18" s="39"/>
      <c r="BE18" s="4"/>
      <c r="BK18" s="18"/>
      <c r="BL18" s="18"/>
    </row>
    <row r="19" s="1" customFormat="true" ht="13.8" hidden="false" customHeight="false" outlineLevel="0" collapsed="false">
      <c r="O19" s="39"/>
      <c r="P19" s="39"/>
      <c r="Q19" s="39"/>
      <c r="R19" s="39"/>
      <c r="S19" s="39"/>
      <c r="T19" s="39"/>
      <c r="U19" s="39"/>
      <c r="V19" s="39"/>
      <c r="X19" s="39"/>
      <c r="AA19" s="4"/>
      <c r="AJ19" s="39"/>
      <c r="AP19" s="39"/>
      <c r="AQ19" s="39"/>
      <c r="BE19" s="4"/>
      <c r="BK19" s="18"/>
      <c r="BL19" s="18"/>
    </row>
    <row r="20" s="1" customFormat="true" ht="13.8" hidden="false" customHeight="false" outlineLevel="0" collapsed="false">
      <c r="O20" s="39"/>
      <c r="P20" s="39"/>
      <c r="Q20" s="39"/>
      <c r="R20" s="39"/>
      <c r="S20" s="39"/>
      <c r="T20" s="39"/>
      <c r="U20" s="39"/>
      <c r="V20" s="39"/>
      <c r="X20" s="39"/>
      <c r="AA20" s="4"/>
      <c r="AJ20" s="39"/>
      <c r="AP20" s="39"/>
      <c r="AQ20" s="39"/>
      <c r="BE20" s="4"/>
      <c r="BK20" s="18"/>
      <c r="BL20" s="18"/>
    </row>
    <row r="21" s="1" customFormat="true" ht="13.8" hidden="false" customHeight="false" outlineLevel="0" collapsed="false">
      <c r="O21" s="39"/>
      <c r="P21" s="39"/>
      <c r="Q21" s="39"/>
      <c r="R21" s="39"/>
      <c r="S21" s="39"/>
      <c r="T21" s="39"/>
      <c r="U21" s="39"/>
      <c r="V21" s="39"/>
      <c r="X21" s="39"/>
      <c r="AA21" s="4"/>
      <c r="AJ21" s="39"/>
      <c r="AP21" s="39"/>
      <c r="AQ21" s="39"/>
      <c r="BE21" s="4"/>
      <c r="BK21" s="18"/>
      <c r="BL21" s="18"/>
    </row>
    <row r="22" s="1" customFormat="true" ht="13.8" hidden="false" customHeight="false" outlineLevel="0" collapsed="false">
      <c r="O22" s="39"/>
      <c r="P22" s="39"/>
      <c r="Q22" s="39"/>
      <c r="R22" s="39"/>
      <c r="S22" s="39"/>
      <c r="T22" s="40"/>
      <c r="U22" s="39"/>
      <c r="V22" s="39"/>
      <c r="X22" s="39"/>
      <c r="AA22" s="4"/>
      <c r="AJ22" s="39"/>
      <c r="AP22" s="39"/>
      <c r="AQ22" s="39"/>
      <c r="BE22" s="4"/>
      <c r="BK22" s="18"/>
      <c r="BL22" s="18"/>
    </row>
    <row r="23" s="1" customFormat="true" ht="13.8" hidden="false" customHeight="false" outlineLevel="0" collapsed="false">
      <c r="O23" s="39"/>
      <c r="P23" s="39"/>
      <c r="Q23" s="39"/>
      <c r="R23" s="39"/>
      <c r="S23" s="39"/>
      <c r="T23" s="40"/>
      <c r="U23" s="39"/>
      <c r="V23" s="39"/>
      <c r="X23" s="39"/>
      <c r="AA23" s="4"/>
      <c r="AJ23" s="39"/>
      <c r="AP23" s="39"/>
      <c r="AQ23" s="39"/>
      <c r="BE23" s="4"/>
      <c r="BK23" s="18"/>
      <c r="BL23" s="18"/>
    </row>
    <row r="24" s="1" customFormat="true" ht="13.5" hidden="false" customHeight="true" outlineLevel="0" collapsed="false">
      <c r="O24" s="39"/>
      <c r="P24" s="39"/>
      <c r="Q24" s="39"/>
      <c r="R24" s="39"/>
      <c r="S24" s="39"/>
      <c r="T24" s="40"/>
      <c r="U24" s="39"/>
      <c r="V24" s="39"/>
      <c r="X24" s="39"/>
      <c r="AA24" s="4"/>
      <c r="AJ24" s="39"/>
      <c r="AP24" s="39"/>
      <c r="AQ24" s="39"/>
      <c r="BE24" s="4"/>
      <c r="BK24" s="18"/>
      <c r="BL24" s="18"/>
    </row>
    <row r="25" s="1" customFormat="true" ht="13.5" hidden="false" customHeight="true" outlineLevel="0" collapsed="false">
      <c r="O25" s="39"/>
      <c r="P25" s="39"/>
      <c r="Q25" s="39"/>
      <c r="R25" s="39"/>
      <c r="S25" s="39"/>
      <c r="T25" s="40"/>
      <c r="U25" s="39"/>
      <c r="V25" s="39"/>
      <c r="X25" s="39"/>
      <c r="AA25" s="4"/>
      <c r="AJ25" s="39"/>
      <c r="AP25" s="39"/>
      <c r="AQ25" s="39"/>
      <c r="BE25" s="4"/>
      <c r="BK25" s="18"/>
      <c r="BL25" s="18"/>
    </row>
    <row r="26" s="1" customFormat="true" ht="13.8" hidden="false" customHeight="false" outlineLevel="0" collapsed="false">
      <c r="O26" s="39"/>
      <c r="P26" s="39"/>
      <c r="Q26" s="39"/>
      <c r="R26" s="39"/>
      <c r="S26" s="39"/>
      <c r="T26" s="40"/>
      <c r="U26" s="39"/>
      <c r="V26" s="39"/>
      <c r="X26" s="39"/>
      <c r="AA26" s="4"/>
      <c r="AJ26" s="39"/>
      <c r="AP26" s="39"/>
      <c r="AQ26" s="39"/>
      <c r="BE26" s="4"/>
      <c r="BK26" s="18"/>
      <c r="BL26" s="18"/>
    </row>
    <row r="27" s="1" customFormat="true" ht="13.8" hidden="false" customHeight="false" outlineLevel="0" collapsed="false">
      <c r="O27" s="39"/>
      <c r="P27" s="39"/>
      <c r="Q27" s="39"/>
      <c r="R27" s="39"/>
      <c r="S27" s="39"/>
      <c r="T27" s="40"/>
      <c r="U27" s="39"/>
      <c r="V27" s="39"/>
      <c r="X27" s="39"/>
      <c r="AA27" s="4"/>
      <c r="AJ27" s="39"/>
      <c r="AP27" s="39"/>
      <c r="AQ27" s="39"/>
      <c r="BE27" s="4"/>
      <c r="BK27" s="18"/>
      <c r="BL27" s="18"/>
    </row>
    <row r="28" s="1" customFormat="true" ht="13.5" hidden="false" customHeight="true" outlineLevel="0" collapsed="false">
      <c r="O28" s="39"/>
      <c r="P28" s="39"/>
      <c r="Q28" s="39"/>
      <c r="R28" s="39"/>
      <c r="S28" s="39"/>
      <c r="T28" s="40"/>
      <c r="U28" s="39"/>
      <c r="V28" s="39"/>
      <c r="X28" s="39"/>
      <c r="AA28" s="4"/>
      <c r="AJ28" s="39"/>
      <c r="AP28" s="39"/>
      <c r="AQ28" s="39"/>
      <c r="BE28" s="4"/>
      <c r="BK28" s="18"/>
      <c r="BL28" s="18"/>
    </row>
    <row r="29" s="1" customFormat="true" ht="13.8" hidden="false" customHeight="false" outlineLevel="0" collapsed="false">
      <c r="O29" s="39"/>
      <c r="P29" s="39"/>
      <c r="Q29" s="39"/>
      <c r="R29" s="39"/>
      <c r="S29" s="39"/>
      <c r="T29" s="40"/>
      <c r="U29" s="39"/>
      <c r="V29" s="39"/>
      <c r="X29" s="39"/>
      <c r="AA29" s="4"/>
      <c r="AJ29" s="39"/>
      <c r="AP29" s="39"/>
      <c r="AQ29" s="39"/>
      <c r="BE29" s="4"/>
      <c r="BK29" s="18"/>
      <c r="BL29" s="18"/>
    </row>
    <row r="30" s="1" customFormat="true" ht="13.8" hidden="false" customHeight="false" outlineLevel="0" collapsed="false">
      <c r="O30" s="39"/>
      <c r="P30" s="39"/>
      <c r="Q30" s="39"/>
      <c r="R30" s="39"/>
      <c r="S30" s="39"/>
      <c r="T30" s="40"/>
      <c r="U30" s="39"/>
      <c r="V30" s="39"/>
      <c r="X30" s="39"/>
      <c r="AA30" s="4"/>
      <c r="AJ30" s="39"/>
      <c r="AP30" s="39"/>
      <c r="AQ30" s="39"/>
      <c r="BE30" s="4"/>
      <c r="BK30" s="18"/>
      <c r="BL30" s="18"/>
    </row>
    <row r="31" s="1" customFormat="true" ht="13.8" hidden="false" customHeight="false" outlineLevel="0" collapsed="false">
      <c r="O31" s="39"/>
      <c r="P31" s="39"/>
      <c r="Q31" s="39"/>
      <c r="R31" s="39"/>
      <c r="S31" s="39"/>
      <c r="T31" s="40"/>
      <c r="U31" s="39"/>
      <c r="V31" s="39"/>
      <c r="X31" s="39"/>
      <c r="AA31" s="4"/>
      <c r="AJ31" s="39"/>
      <c r="AP31" s="39"/>
      <c r="AQ31" s="39"/>
      <c r="BE31" s="4"/>
      <c r="BK31" s="18"/>
      <c r="BL31" s="18"/>
    </row>
    <row r="32" s="1" customFormat="true" ht="13.8" hidden="false" customHeight="false" outlineLevel="0" collapsed="false">
      <c r="O32" s="39"/>
      <c r="P32" s="39"/>
      <c r="Q32" s="39"/>
      <c r="R32" s="39"/>
      <c r="S32" s="39"/>
      <c r="T32" s="39"/>
      <c r="U32" s="39"/>
      <c r="V32" s="39"/>
      <c r="X32" s="39"/>
      <c r="AA32" s="4"/>
      <c r="AJ32" s="39"/>
      <c r="AP32" s="39"/>
      <c r="AQ32" s="39"/>
      <c r="BE32" s="4"/>
      <c r="BK32" s="18"/>
      <c r="BL32" s="18"/>
    </row>
    <row r="33" s="1" customFormat="true" ht="13.8" hidden="false" customHeight="false" outlineLevel="0" collapsed="false">
      <c r="O33" s="39"/>
      <c r="P33" s="39"/>
      <c r="Q33" s="39"/>
      <c r="R33" s="39"/>
      <c r="S33" s="39"/>
      <c r="T33" s="40"/>
      <c r="U33" s="39"/>
      <c r="V33" s="39"/>
      <c r="X33" s="39"/>
      <c r="AA33" s="4"/>
      <c r="AJ33" s="39"/>
      <c r="AP33" s="39"/>
      <c r="AQ33" s="39"/>
      <c r="BE33" s="4"/>
      <c r="BK33" s="18"/>
      <c r="BL33" s="18"/>
    </row>
    <row r="34" s="1" customFormat="true" ht="13.8" hidden="false" customHeight="false" outlineLevel="0" collapsed="false">
      <c r="O34" s="39"/>
      <c r="P34" s="39"/>
      <c r="Q34" s="39"/>
      <c r="R34" s="39"/>
      <c r="S34" s="39"/>
      <c r="T34" s="40"/>
      <c r="U34" s="39"/>
      <c r="V34" s="39"/>
      <c r="X34" s="39"/>
      <c r="AA34" s="4"/>
      <c r="AJ34" s="39"/>
      <c r="AP34" s="39"/>
      <c r="AQ34" s="39"/>
      <c r="BE34" s="4"/>
      <c r="BK34" s="18"/>
      <c r="BL34" s="18"/>
    </row>
    <row r="35" s="1" customFormat="true" ht="13.8" hidden="false" customHeight="false" outlineLevel="0" collapsed="false">
      <c r="O35" s="39"/>
      <c r="P35" s="39"/>
      <c r="Q35" s="39"/>
      <c r="R35" s="39"/>
      <c r="S35" s="39"/>
      <c r="T35" s="40"/>
      <c r="U35" s="39"/>
      <c r="V35" s="39"/>
      <c r="X35" s="39"/>
      <c r="AA35" s="4"/>
      <c r="AJ35" s="39"/>
      <c r="AP35" s="39"/>
      <c r="AQ35" s="39"/>
      <c r="BE35" s="4"/>
      <c r="BK35" s="18"/>
      <c r="BL35" s="18"/>
    </row>
    <row r="36" s="1" customFormat="true" ht="13.8" hidden="false" customHeight="false" outlineLevel="0" collapsed="false">
      <c r="O36" s="39"/>
      <c r="P36" s="39"/>
      <c r="Q36" s="39"/>
      <c r="R36" s="39"/>
      <c r="S36" s="39"/>
      <c r="T36" s="40"/>
      <c r="U36" s="39"/>
      <c r="V36" s="39"/>
      <c r="X36" s="39"/>
      <c r="AA36" s="4"/>
      <c r="AJ36" s="39"/>
      <c r="AP36" s="39"/>
      <c r="AQ36" s="39"/>
      <c r="BE36" s="4"/>
      <c r="BK36" s="18"/>
      <c r="BL36" s="18"/>
    </row>
    <row r="37" s="1" customFormat="true" ht="13.8" hidden="false" customHeight="false" outlineLevel="0" collapsed="false">
      <c r="O37" s="39"/>
      <c r="P37" s="39"/>
      <c r="Q37" s="39"/>
      <c r="R37" s="39"/>
      <c r="S37" s="39"/>
      <c r="T37" s="40"/>
      <c r="U37" s="39"/>
      <c r="V37" s="39"/>
      <c r="X37" s="39"/>
      <c r="AA37" s="4"/>
      <c r="AJ37" s="39"/>
      <c r="AP37" s="39"/>
      <c r="AQ37" s="39"/>
      <c r="BE37" s="4"/>
      <c r="BK37" s="18"/>
      <c r="BL37" s="18"/>
    </row>
    <row r="38" s="1" customFormat="true" ht="13.8" hidden="false" customHeight="false" outlineLevel="0" collapsed="false">
      <c r="O38" s="39"/>
      <c r="P38" s="39"/>
      <c r="Q38" s="39"/>
      <c r="R38" s="39"/>
      <c r="S38" s="39"/>
      <c r="T38" s="40"/>
      <c r="U38" s="39"/>
      <c r="V38" s="39"/>
      <c r="X38" s="39"/>
      <c r="AA38" s="4"/>
      <c r="AJ38" s="39"/>
      <c r="AP38" s="39"/>
      <c r="AQ38" s="39"/>
      <c r="BE38" s="4"/>
      <c r="BK38" s="18"/>
      <c r="BL38" s="18"/>
    </row>
    <row r="39" s="1" customFormat="true" ht="13.8" hidden="false" customHeight="false" outlineLevel="0" collapsed="false">
      <c r="O39" s="39"/>
      <c r="P39" s="39"/>
      <c r="Q39" s="39"/>
      <c r="R39" s="39"/>
      <c r="S39" s="39"/>
      <c r="T39" s="40"/>
      <c r="U39" s="39"/>
      <c r="V39" s="39"/>
      <c r="X39" s="39"/>
      <c r="AA39" s="4"/>
      <c r="AJ39" s="39"/>
      <c r="AP39" s="39"/>
      <c r="AQ39" s="39"/>
      <c r="BE39" s="4"/>
      <c r="BK39" s="18"/>
      <c r="BL39" s="18"/>
    </row>
    <row r="40" s="1" customFormat="true" ht="13.8" hidden="false" customHeight="false" outlineLevel="0" collapsed="false">
      <c r="O40" s="39"/>
      <c r="P40" s="39"/>
      <c r="Q40" s="39"/>
      <c r="R40" s="39"/>
      <c r="S40" s="39"/>
      <c r="T40" s="40"/>
      <c r="U40" s="39"/>
      <c r="V40" s="39"/>
      <c r="X40" s="39"/>
      <c r="AA40" s="4"/>
      <c r="AJ40" s="39"/>
      <c r="AP40" s="39"/>
      <c r="AQ40" s="39"/>
      <c r="BE40" s="4"/>
      <c r="BK40" s="18"/>
      <c r="BL40" s="18"/>
    </row>
    <row r="41" s="1" customFormat="true" ht="13.8" hidden="false" customHeight="false" outlineLevel="0" collapsed="false">
      <c r="O41" s="39"/>
      <c r="P41" s="39"/>
      <c r="Q41" s="39"/>
      <c r="R41" s="39"/>
      <c r="S41" s="39"/>
      <c r="T41" s="39"/>
      <c r="U41" s="39"/>
      <c r="V41" s="39"/>
      <c r="X41" s="39"/>
      <c r="AA41" s="4"/>
      <c r="AJ41" s="39"/>
      <c r="AP41" s="39"/>
      <c r="AQ41" s="39"/>
      <c r="BE41" s="4"/>
      <c r="BK41" s="18"/>
      <c r="BL41" s="18"/>
    </row>
    <row r="42" s="1" customFormat="true" ht="13.8" hidden="false" customHeight="false" outlineLevel="0" collapsed="false">
      <c r="O42" s="39"/>
      <c r="P42" s="39"/>
      <c r="Q42" s="39"/>
      <c r="R42" s="39"/>
      <c r="S42" s="39"/>
      <c r="T42" s="40"/>
      <c r="U42" s="39"/>
      <c r="V42" s="39"/>
      <c r="X42" s="39"/>
      <c r="AA42" s="4"/>
      <c r="AJ42" s="39"/>
      <c r="AP42" s="39"/>
      <c r="AQ42" s="39"/>
      <c r="BE42" s="4"/>
      <c r="BK42" s="18"/>
      <c r="BL42" s="18"/>
    </row>
    <row r="43" s="1" customFormat="true" ht="13.8" hidden="false" customHeight="false" outlineLevel="0" collapsed="false">
      <c r="O43" s="39"/>
      <c r="P43" s="39"/>
      <c r="Q43" s="39"/>
      <c r="R43" s="39"/>
      <c r="S43" s="39"/>
      <c r="T43" s="39"/>
      <c r="U43" s="39"/>
      <c r="V43" s="39"/>
      <c r="X43" s="39"/>
      <c r="AA43" s="4"/>
      <c r="AJ43" s="39"/>
      <c r="AP43" s="39"/>
      <c r="AQ43" s="39"/>
      <c r="BE43" s="4"/>
      <c r="BK43" s="18"/>
      <c r="BL43" s="18"/>
    </row>
    <row r="44" s="1" customFormat="true" ht="13.8" hidden="false" customHeight="false" outlineLevel="0" collapsed="false">
      <c r="O44" s="39"/>
      <c r="P44" s="39"/>
      <c r="Q44" s="39"/>
      <c r="R44" s="39"/>
      <c r="S44" s="39"/>
      <c r="T44" s="39"/>
      <c r="U44" s="39"/>
      <c r="V44" s="39"/>
      <c r="X44" s="39"/>
      <c r="AA44" s="4"/>
      <c r="AJ44" s="39"/>
      <c r="AP44" s="39"/>
      <c r="AQ44" s="39"/>
      <c r="BE44" s="4"/>
      <c r="BK44" s="18"/>
      <c r="BL44" s="18"/>
    </row>
    <row r="45" s="1" customFormat="true" ht="13.8" hidden="false" customHeight="false" outlineLevel="0" collapsed="false">
      <c r="O45" s="39"/>
      <c r="P45" s="39"/>
      <c r="Q45" s="39"/>
      <c r="R45" s="39"/>
      <c r="S45" s="39"/>
      <c r="T45" s="39"/>
      <c r="U45" s="39"/>
      <c r="V45" s="39"/>
      <c r="X45" s="39"/>
      <c r="AA45" s="4"/>
      <c r="AJ45" s="39"/>
      <c r="AP45" s="39"/>
      <c r="AQ45" s="39"/>
      <c r="BE45" s="4"/>
      <c r="BK45" s="18"/>
      <c r="BL45" s="18"/>
    </row>
    <row r="46" s="1" customFormat="true" ht="13.8" hidden="false" customHeight="false" outlineLevel="0" collapsed="false">
      <c r="O46" s="39"/>
      <c r="P46" s="39"/>
      <c r="Q46" s="39"/>
      <c r="R46" s="39"/>
      <c r="S46" s="39"/>
      <c r="T46" s="39"/>
      <c r="U46" s="39"/>
      <c r="V46" s="39"/>
      <c r="X46" s="39"/>
      <c r="AA46" s="4"/>
      <c r="AJ46" s="39"/>
      <c r="AP46" s="39"/>
      <c r="AQ46" s="39"/>
      <c r="BE46" s="4"/>
      <c r="BK46" s="18"/>
      <c r="BL46" s="18"/>
    </row>
    <row r="47" s="1" customFormat="true" ht="13.8" hidden="false" customHeight="false" outlineLevel="0" collapsed="false">
      <c r="O47" s="39"/>
      <c r="P47" s="39"/>
      <c r="Q47" s="39"/>
      <c r="R47" s="39"/>
      <c r="S47" s="39"/>
      <c r="T47" s="39"/>
      <c r="U47" s="39"/>
      <c r="V47" s="39"/>
      <c r="X47" s="39"/>
      <c r="AA47" s="4"/>
      <c r="AJ47" s="39"/>
      <c r="AP47" s="39"/>
      <c r="AQ47" s="39"/>
      <c r="BE47" s="4"/>
      <c r="BK47" s="18"/>
      <c r="BL47" s="18"/>
    </row>
    <row r="48" s="1" customFormat="true" ht="13.8" hidden="false" customHeight="false" outlineLevel="0" collapsed="false">
      <c r="O48" s="39"/>
      <c r="P48" s="39"/>
      <c r="Q48" s="39"/>
      <c r="R48" s="39"/>
      <c r="S48" s="39"/>
      <c r="T48" s="39"/>
      <c r="U48" s="39"/>
      <c r="V48" s="39"/>
      <c r="X48" s="39"/>
      <c r="AA48" s="4"/>
      <c r="AJ48" s="39"/>
      <c r="AP48" s="39"/>
      <c r="AQ48" s="39"/>
      <c r="BE48" s="4"/>
      <c r="BK48" s="18"/>
      <c r="BL48" s="18"/>
    </row>
    <row r="49" s="1" customFormat="true" ht="13.8" hidden="false" customHeight="false" outlineLevel="0" collapsed="false">
      <c r="O49" s="39"/>
      <c r="P49" s="39"/>
      <c r="Q49" s="39"/>
      <c r="R49" s="39"/>
      <c r="S49" s="39"/>
      <c r="T49" s="39"/>
      <c r="U49" s="39"/>
      <c r="V49" s="39"/>
      <c r="X49" s="39"/>
      <c r="AA49" s="4"/>
      <c r="AJ49" s="39"/>
      <c r="AP49" s="39"/>
      <c r="AQ49" s="39"/>
      <c r="BE49" s="4"/>
      <c r="BK49" s="18"/>
      <c r="BL49" s="18"/>
    </row>
    <row r="50" s="1" customFormat="true" ht="13.8" hidden="false" customHeight="false" outlineLevel="0" collapsed="false">
      <c r="O50" s="39"/>
      <c r="P50" s="39"/>
      <c r="Q50" s="39"/>
      <c r="R50" s="39"/>
      <c r="S50" s="39"/>
      <c r="T50" s="39"/>
      <c r="U50" s="39"/>
      <c r="V50" s="39"/>
      <c r="X50" s="39"/>
      <c r="AA50" s="4"/>
      <c r="AJ50" s="39"/>
      <c r="AP50" s="39"/>
      <c r="AQ50" s="39"/>
      <c r="BE50" s="4"/>
      <c r="BK50" s="18"/>
      <c r="BL50" s="18"/>
    </row>
    <row r="51" s="1" customFormat="true" ht="13.8" hidden="false" customHeight="false" outlineLevel="0" collapsed="false">
      <c r="O51" s="39"/>
      <c r="P51" s="39"/>
      <c r="Q51" s="39"/>
      <c r="R51" s="39"/>
      <c r="S51" s="39"/>
      <c r="T51" s="39"/>
      <c r="U51" s="39"/>
      <c r="V51" s="39"/>
      <c r="X51" s="39"/>
      <c r="AA51" s="4"/>
      <c r="AJ51" s="39"/>
      <c r="AP51" s="39"/>
      <c r="AQ51" s="39"/>
      <c r="BE51" s="4"/>
      <c r="BK51" s="18"/>
      <c r="BL51" s="18"/>
    </row>
    <row r="52" s="1" customFormat="true" ht="12.75" hidden="false" customHeight="true" outlineLevel="0" collapsed="false">
      <c r="O52" s="39"/>
      <c r="P52" s="39"/>
      <c r="Q52" s="39"/>
      <c r="R52" s="39"/>
      <c r="S52" s="39"/>
      <c r="T52" s="39"/>
      <c r="U52" s="39"/>
      <c r="V52" s="39"/>
      <c r="X52" s="39"/>
      <c r="AA52" s="4"/>
      <c r="AJ52" s="39"/>
      <c r="AP52" s="39"/>
      <c r="AQ52" s="39"/>
      <c r="BE52" s="4"/>
      <c r="BK52" s="18"/>
      <c r="BL52" s="18"/>
    </row>
    <row r="53" s="1" customFormat="true" ht="13.8" hidden="false" customHeight="false" outlineLevel="0" collapsed="false">
      <c r="O53" s="39"/>
      <c r="P53" s="39"/>
      <c r="Q53" s="39"/>
      <c r="R53" s="39"/>
      <c r="S53" s="39"/>
      <c r="T53" s="39"/>
      <c r="U53" s="39"/>
      <c r="V53" s="39"/>
      <c r="X53" s="39"/>
      <c r="AA53" s="4"/>
      <c r="AJ53" s="39"/>
      <c r="AP53" s="39"/>
      <c r="AQ53" s="39"/>
      <c r="BE53" s="4"/>
      <c r="BK53" s="18"/>
      <c r="BL53" s="18"/>
    </row>
    <row r="54" s="1" customFormat="true" ht="13.8" hidden="false" customHeight="false" outlineLevel="0" collapsed="false">
      <c r="O54" s="39"/>
      <c r="P54" s="39"/>
      <c r="Q54" s="39"/>
      <c r="R54" s="39"/>
      <c r="S54" s="39"/>
      <c r="T54" s="39"/>
      <c r="U54" s="39"/>
      <c r="V54" s="39"/>
      <c r="X54" s="39"/>
      <c r="AA54" s="4"/>
      <c r="AJ54" s="39"/>
      <c r="AP54" s="39"/>
      <c r="AQ54" s="39"/>
      <c r="BE54" s="4"/>
      <c r="BK54" s="18"/>
      <c r="BL54" s="18"/>
    </row>
    <row r="55" s="1" customFormat="true" ht="13.8" hidden="false" customHeight="false" outlineLevel="0" collapsed="false">
      <c r="O55" s="39"/>
      <c r="P55" s="39"/>
      <c r="Q55" s="39"/>
      <c r="R55" s="39"/>
      <c r="S55" s="39"/>
      <c r="T55" s="39"/>
      <c r="U55" s="39"/>
      <c r="V55" s="39"/>
      <c r="X55" s="39"/>
      <c r="AA55" s="4"/>
      <c r="AJ55" s="39"/>
      <c r="AP55" s="39"/>
      <c r="AQ55" s="39"/>
      <c r="BE55" s="4"/>
      <c r="BK55" s="18"/>
      <c r="BL55" s="18"/>
    </row>
    <row r="56" s="1" customFormat="true" ht="13.8" hidden="false" customHeight="false" outlineLevel="0" collapsed="false">
      <c r="O56" s="39"/>
      <c r="P56" s="39"/>
      <c r="Q56" s="39"/>
      <c r="R56" s="39"/>
      <c r="S56" s="39"/>
      <c r="T56" s="39"/>
      <c r="U56" s="39"/>
      <c r="V56" s="39"/>
      <c r="X56" s="39"/>
      <c r="AA56" s="4"/>
      <c r="AJ56" s="39"/>
      <c r="AP56" s="39"/>
      <c r="AQ56" s="39"/>
      <c r="BE56" s="4"/>
      <c r="BK56" s="18"/>
      <c r="BL56" s="18"/>
    </row>
    <row r="57" s="1" customFormat="true" ht="13.8" hidden="false" customHeight="false" outlineLevel="0" collapsed="false">
      <c r="O57" s="39"/>
      <c r="P57" s="39"/>
      <c r="Q57" s="39"/>
      <c r="R57" s="39"/>
      <c r="S57" s="39"/>
      <c r="T57" s="39"/>
      <c r="U57" s="39"/>
      <c r="V57" s="39"/>
      <c r="X57" s="39"/>
      <c r="AA57" s="4"/>
      <c r="AJ57" s="39"/>
      <c r="AP57" s="39"/>
      <c r="AQ57" s="39"/>
      <c r="BE57" s="4"/>
      <c r="BK57" s="18"/>
      <c r="BL57" s="18"/>
    </row>
    <row r="58" s="1" customFormat="true" ht="13.8" hidden="false" customHeight="false" outlineLevel="0" collapsed="false">
      <c r="O58" s="39"/>
      <c r="P58" s="39"/>
      <c r="Q58" s="39"/>
      <c r="R58" s="39"/>
      <c r="S58" s="39"/>
      <c r="T58" s="39"/>
      <c r="U58" s="39"/>
      <c r="V58" s="39"/>
      <c r="X58" s="39"/>
      <c r="AA58" s="4"/>
      <c r="AJ58" s="39"/>
      <c r="AP58" s="39"/>
      <c r="AQ58" s="39"/>
      <c r="BE58" s="4"/>
      <c r="BK58" s="18"/>
      <c r="BL58" s="18"/>
    </row>
    <row r="59" s="1" customFormat="true" ht="13.8" hidden="false" customHeight="false" outlineLevel="0" collapsed="false">
      <c r="O59" s="39"/>
      <c r="P59" s="39"/>
      <c r="Q59" s="39"/>
      <c r="R59" s="39"/>
      <c r="S59" s="39"/>
      <c r="T59" s="39"/>
      <c r="U59" s="39"/>
      <c r="V59" s="39"/>
      <c r="X59" s="39"/>
      <c r="AA59" s="4"/>
      <c r="AJ59" s="39"/>
      <c r="AP59" s="39"/>
      <c r="AQ59" s="39"/>
      <c r="BE59" s="4"/>
      <c r="BK59" s="18"/>
      <c r="BL59" s="18"/>
    </row>
    <row r="60" s="1" customFormat="true" ht="13.8" hidden="false" customHeight="false" outlineLevel="0" collapsed="false">
      <c r="O60" s="39"/>
      <c r="P60" s="39"/>
      <c r="Q60" s="39"/>
      <c r="R60" s="39"/>
      <c r="S60" s="39"/>
      <c r="T60" s="39"/>
      <c r="U60" s="39"/>
      <c r="V60" s="39"/>
      <c r="X60" s="39"/>
      <c r="AA60" s="4"/>
      <c r="AJ60" s="39"/>
      <c r="AP60" s="39"/>
      <c r="AQ60" s="39"/>
      <c r="BE60" s="4"/>
      <c r="BK60" s="18"/>
      <c r="BL60" s="18"/>
    </row>
    <row r="61" s="1" customFormat="true" ht="13.8" hidden="false" customHeight="false" outlineLevel="0" collapsed="false">
      <c r="O61" s="39"/>
      <c r="P61" s="39"/>
      <c r="Q61" s="39"/>
      <c r="R61" s="39"/>
      <c r="S61" s="39"/>
      <c r="T61" s="40"/>
      <c r="U61" s="39"/>
      <c r="V61" s="39"/>
      <c r="X61" s="39"/>
      <c r="AA61" s="4"/>
      <c r="AJ61" s="39"/>
      <c r="AP61" s="39"/>
      <c r="AQ61" s="39"/>
      <c r="BE61" s="4"/>
      <c r="BK61" s="18"/>
      <c r="BL61" s="18"/>
    </row>
    <row r="62" s="1" customFormat="true" ht="13.8" hidden="false" customHeight="false" outlineLevel="0" collapsed="false">
      <c r="O62" s="39"/>
      <c r="P62" s="39"/>
      <c r="Q62" s="39"/>
      <c r="R62" s="39"/>
      <c r="S62" s="39"/>
      <c r="T62" s="40"/>
      <c r="U62" s="39"/>
      <c r="V62" s="39"/>
      <c r="X62" s="39"/>
      <c r="AA62" s="4"/>
      <c r="AJ62" s="39"/>
      <c r="AP62" s="39"/>
      <c r="AQ62" s="39"/>
      <c r="BE62" s="4"/>
      <c r="BK62" s="18"/>
      <c r="BL62" s="18"/>
    </row>
    <row r="63" s="1" customFormat="true" ht="13.8" hidden="false" customHeight="false" outlineLevel="0" collapsed="false">
      <c r="O63" s="39"/>
      <c r="P63" s="39"/>
      <c r="Q63" s="39"/>
      <c r="R63" s="39"/>
      <c r="S63" s="39"/>
      <c r="T63" s="40"/>
      <c r="U63" s="39"/>
      <c r="V63" s="39"/>
      <c r="X63" s="39"/>
      <c r="AA63" s="4"/>
      <c r="AJ63" s="39"/>
      <c r="AP63" s="39"/>
      <c r="AQ63" s="39"/>
      <c r="BE63" s="4"/>
      <c r="BK63" s="18"/>
      <c r="BL63" s="18"/>
    </row>
    <row r="64" s="1" customFormat="true" ht="13.8" hidden="false" customHeight="false" outlineLevel="0" collapsed="false">
      <c r="O64" s="39"/>
      <c r="P64" s="39"/>
      <c r="Q64" s="39"/>
      <c r="R64" s="39"/>
      <c r="S64" s="39"/>
      <c r="T64" s="40"/>
      <c r="U64" s="39"/>
      <c r="V64" s="39"/>
      <c r="X64" s="39"/>
      <c r="AA64" s="4"/>
      <c r="AJ64" s="39"/>
      <c r="AP64" s="39"/>
      <c r="AQ64" s="39"/>
      <c r="BE64" s="4"/>
      <c r="BK64" s="18"/>
      <c r="BL64" s="18"/>
    </row>
    <row r="65" s="1" customFormat="true" ht="13.8" hidden="false" customHeight="false" outlineLevel="0" collapsed="false">
      <c r="O65" s="39"/>
      <c r="P65" s="39"/>
      <c r="Q65" s="39"/>
      <c r="R65" s="39"/>
      <c r="S65" s="39"/>
      <c r="T65" s="40"/>
      <c r="U65" s="39"/>
      <c r="V65" s="39"/>
      <c r="X65" s="39"/>
      <c r="AA65" s="4"/>
      <c r="AJ65" s="39"/>
      <c r="AP65" s="39"/>
      <c r="AQ65" s="39"/>
      <c r="BE65" s="4"/>
      <c r="BK65" s="18"/>
      <c r="BL65" s="18"/>
    </row>
    <row r="66" s="1" customFormat="true" ht="13.8" hidden="false" customHeight="false" outlineLevel="0" collapsed="false">
      <c r="O66" s="39"/>
      <c r="P66" s="39"/>
      <c r="Q66" s="39"/>
      <c r="R66" s="39"/>
      <c r="S66" s="39"/>
      <c r="T66" s="40"/>
      <c r="U66" s="39"/>
      <c r="V66" s="39"/>
      <c r="X66" s="39"/>
      <c r="AA66" s="4"/>
      <c r="AJ66" s="39"/>
      <c r="AP66" s="39"/>
      <c r="AQ66" s="39"/>
      <c r="BE66" s="4"/>
      <c r="BK66" s="18"/>
      <c r="BL66" s="18"/>
    </row>
    <row r="67" s="1" customFormat="true" ht="13.8" hidden="false" customHeight="false" outlineLevel="0" collapsed="false">
      <c r="O67" s="39"/>
      <c r="P67" s="39"/>
      <c r="Q67" s="39"/>
      <c r="R67" s="39"/>
      <c r="S67" s="39"/>
      <c r="T67" s="40"/>
      <c r="U67" s="39"/>
      <c r="V67" s="39"/>
      <c r="X67" s="39"/>
      <c r="AA67" s="4"/>
      <c r="AJ67" s="39"/>
      <c r="AP67" s="39"/>
      <c r="AQ67" s="39"/>
      <c r="BE67" s="4"/>
      <c r="BK67" s="18"/>
      <c r="BL67" s="18"/>
    </row>
    <row r="68" s="1" customFormat="true" ht="13.8" hidden="false" customHeight="false" outlineLevel="0" collapsed="false">
      <c r="O68" s="39"/>
      <c r="P68" s="39"/>
      <c r="Q68" s="39"/>
      <c r="R68" s="39"/>
      <c r="S68" s="39"/>
      <c r="T68" s="40"/>
      <c r="U68" s="39"/>
      <c r="V68" s="39"/>
      <c r="X68" s="39"/>
      <c r="AA68" s="4"/>
      <c r="AJ68" s="39"/>
      <c r="AP68" s="39"/>
      <c r="AQ68" s="39"/>
      <c r="BE68" s="4"/>
      <c r="BK68" s="18"/>
      <c r="BL68" s="18"/>
    </row>
    <row r="69" s="1" customFormat="true" ht="13.8" hidden="false" customHeight="false" outlineLevel="0" collapsed="false">
      <c r="O69" s="39"/>
      <c r="P69" s="39"/>
      <c r="Q69" s="39"/>
      <c r="R69" s="39"/>
      <c r="S69" s="39"/>
      <c r="T69" s="40"/>
      <c r="U69" s="39"/>
      <c r="V69" s="39"/>
      <c r="X69" s="39"/>
      <c r="AA69" s="4"/>
      <c r="AJ69" s="39"/>
      <c r="AP69" s="39"/>
      <c r="AQ69" s="39"/>
      <c r="BE69" s="4"/>
      <c r="BK69" s="18"/>
      <c r="BL69" s="18"/>
    </row>
    <row r="70" s="1" customFormat="true" ht="13.8" hidden="false" customHeight="false" outlineLevel="0" collapsed="false">
      <c r="O70" s="39"/>
      <c r="P70" s="39"/>
      <c r="Q70" s="39"/>
      <c r="R70" s="39"/>
      <c r="S70" s="39"/>
      <c r="T70" s="40"/>
      <c r="U70" s="39"/>
      <c r="V70" s="39"/>
      <c r="X70" s="39"/>
      <c r="AA70" s="4"/>
      <c r="AJ70" s="39"/>
      <c r="AP70" s="39"/>
      <c r="AQ70" s="39"/>
      <c r="BE70" s="4"/>
      <c r="BK70" s="18"/>
      <c r="BL70" s="18"/>
    </row>
    <row r="71" s="1" customFormat="true" ht="13.8" hidden="false" customHeight="false" outlineLevel="0" collapsed="false">
      <c r="O71" s="39"/>
      <c r="P71" s="39"/>
      <c r="Q71" s="39"/>
      <c r="R71" s="39"/>
      <c r="S71" s="39"/>
      <c r="T71" s="40"/>
      <c r="U71" s="39"/>
      <c r="V71" s="39"/>
      <c r="X71" s="39"/>
      <c r="AA71" s="4"/>
      <c r="AJ71" s="39"/>
      <c r="AP71" s="39"/>
      <c r="AQ71" s="39"/>
      <c r="BE71" s="4"/>
      <c r="BK71" s="18"/>
      <c r="BL71" s="18"/>
    </row>
    <row r="72" s="1" customFormat="true" ht="13.8" hidden="false" customHeight="false" outlineLevel="0" collapsed="false">
      <c r="O72" s="39"/>
      <c r="P72" s="39"/>
      <c r="Q72" s="39"/>
      <c r="R72" s="39"/>
      <c r="S72" s="39"/>
      <c r="T72" s="40"/>
      <c r="U72" s="39"/>
      <c r="V72" s="39"/>
      <c r="X72" s="39"/>
      <c r="AA72" s="4"/>
      <c r="AJ72" s="39"/>
      <c r="AP72" s="39"/>
      <c r="AQ72" s="39"/>
      <c r="BE72" s="4"/>
      <c r="BK72" s="18"/>
      <c r="BL72" s="18"/>
    </row>
    <row r="73" s="1" customFormat="true" ht="13.8" hidden="false" customHeight="false" outlineLevel="0" collapsed="false">
      <c r="O73" s="39"/>
      <c r="P73" s="39"/>
      <c r="Q73" s="39"/>
      <c r="R73" s="39"/>
      <c r="S73" s="39"/>
      <c r="T73" s="40"/>
      <c r="U73" s="39"/>
      <c r="V73" s="39"/>
      <c r="X73" s="39"/>
      <c r="AA73" s="4"/>
      <c r="AJ73" s="39"/>
      <c r="AP73" s="39"/>
      <c r="AQ73" s="39"/>
      <c r="BE73" s="4"/>
      <c r="BK73" s="18"/>
      <c r="BL73" s="18"/>
    </row>
    <row r="74" s="1" customFormat="true" ht="13.8" hidden="false" customHeight="false" outlineLevel="0" collapsed="false">
      <c r="O74" s="39"/>
      <c r="P74" s="39"/>
      <c r="Q74" s="39"/>
      <c r="R74" s="39"/>
      <c r="S74" s="39"/>
      <c r="T74" s="40"/>
      <c r="U74" s="39"/>
      <c r="V74" s="39"/>
      <c r="X74" s="39"/>
      <c r="AA74" s="4"/>
      <c r="AJ74" s="39"/>
      <c r="AP74" s="39"/>
      <c r="AQ74" s="39"/>
      <c r="BE74" s="4"/>
      <c r="BK74" s="18"/>
      <c r="BL74" s="18"/>
    </row>
    <row r="75" s="1" customFormat="true" ht="13.8" hidden="false" customHeight="false" outlineLevel="0" collapsed="false">
      <c r="O75" s="39"/>
      <c r="P75" s="39"/>
      <c r="Q75" s="39"/>
      <c r="R75" s="39"/>
      <c r="S75" s="39"/>
      <c r="T75" s="40"/>
      <c r="U75" s="39"/>
      <c r="V75" s="39"/>
      <c r="X75" s="39"/>
      <c r="AA75" s="4"/>
      <c r="AJ75" s="39"/>
      <c r="AP75" s="39"/>
      <c r="AQ75" s="39"/>
      <c r="BE75" s="4"/>
      <c r="BK75" s="18"/>
      <c r="BL75" s="18"/>
    </row>
    <row r="76" s="1" customFormat="true" ht="13.8" hidden="false" customHeight="false" outlineLevel="0" collapsed="false">
      <c r="O76" s="39"/>
      <c r="P76" s="39"/>
      <c r="Q76" s="39"/>
      <c r="R76" s="39"/>
      <c r="S76" s="39"/>
      <c r="T76" s="39"/>
      <c r="U76" s="39"/>
      <c r="V76" s="39"/>
      <c r="X76" s="39"/>
      <c r="AA76" s="4"/>
      <c r="AJ76" s="39"/>
      <c r="AP76" s="39"/>
      <c r="AQ76" s="39"/>
      <c r="BE76" s="4"/>
      <c r="BK76" s="18"/>
      <c r="BL76" s="18"/>
    </row>
    <row r="77" s="1" customFormat="true" ht="13.8" hidden="false" customHeight="false" outlineLevel="0" collapsed="false">
      <c r="O77" s="39"/>
      <c r="P77" s="39"/>
      <c r="Q77" s="39"/>
      <c r="R77" s="39"/>
      <c r="S77" s="39"/>
      <c r="T77" s="39"/>
      <c r="U77" s="39"/>
      <c r="V77" s="39"/>
      <c r="X77" s="39"/>
      <c r="AA77" s="4"/>
      <c r="AJ77" s="39"/>
      <c r="AP77" s="39"/>
      <c r="AQ77" s="39"/>
      <c r="BE77" s="4"/>
      <c r="BK77" s="18"/>
      <c r="BL77" s="18"/>
    </row>
    <row r="78" s="1" customFormat="true" ht="13.8" hidden="false" customHeight="false" outlineLevel="0" collapsed="false">
      <c r="O78" s="39"/>
      <c r="P78" s="39"/>
      <c r="Q78" s="39"/>
      <c r="R78" s="39"/>
      <c r="S78" s="39"/>
      <c r="T78" s="39"/>
      <c r="U78" s="39"/>
      <c r="V78" s="39"/>
      <c r="X78" s="39"/>
      <c r="AA78" s="4"/>
      <c r="AJ78" s="39"/>
      <c r="AP78" s="39"/>
      <c r="AQ78" s="39"/>
      <c r="BE78" s="4"/>
      <c r="BK78" s="18"/>
      <c r="BL78" s="18"/>
    </row>
    <row r="79" s="1" customFormat="true" ht="13.8" hidden="false" customHeight="false" outlineLevel="0" collapsed="false">
      <c r="O79" s="39"/>
      <c r="P79" s="39"/>
      <c r="Q79" s="39"/>
      <c r="R79" s="39"/>
      <c r="S79" s="39"/>
      <c r="T79" s="39"/>
      <c r="U79" s="39"/>
      <c r="V79" s="39"/>
      <c r="X79" s="39"/>
      <c r="AA79" s="4"/>
      <c r="AJ79" s="39"/>
      <c r="AP79" s="39"/>
      <c r="AQ79" s="39"/>
      <c r="BE79" s="4"/>
      <c r="BK79" s="18"/>
      <c r="BL79" s="18"/>
    </row>
    <row r="80" customFormat="false" ht="13.8" hidden="false" customHeight="false" outlineLevel="0" collapsed="false">
      <c r="J80" s="1"/>
      <c r="K80" s="1"/>
      <c r="L80" s="1"/>
      <c r="M80" s="1"/>
      <c r="O80" s="39"/>
      <c r="P80" s="39"/>
      <c r="Q80" s="39"/>
      <c r="R80" s="39"/>
      <c r="S80" s="39"/>
      <c r="T80" s="39"/>
      <c r="U80" s="39"/>
      <c r="V80" s="39"/>
      <c r="X80" s="39"/>
      <c r="AJ80" s="39"/>
      <c r="AK80" s="1"/>
      <c r="AL80" s="1"/>
      <c r="AN80" s="1"/>
      <c r="AP80" s="39"/>
      <c r="AQ80" s="39"/>
      <c r="AY80" s="1"/>
      <c r="BB80" s="1"/>
      <c r="BC80" s="1"/>
      <c r="BD80" s="1"/>
      <c r="BE80" s="4"/>
      <c r="BF80" s="1"/>
      <c r="BG80" s="1"/>
      <c r="BH80" s="1"/>
      <c r="BI80" s="1"/>
      <c r="BJ80" s="1"/>
      <c r="BK80" s="18"/>
      <c r="BL80" s="18"/>
      <c r="BM80" s="1"/>
      <c r="BN80" s="1"/>
      <c r="BO80" s="1"/>
      <c r="BP80" s="1"/>
      <c r="BV80" s="1"/>
      <c r="BZ80" s="1"/>
      <c r="CB80" s="1"/>
      <c r="CC80" s="1"/>
      <c r="CD80" s="1"/>
      <c r="CE80" s="1"/>
      <c r="CF80" s="1"/>
      <c r="CH80" s="1"/>
      <c r="CI80" s="1"/>
    </row>
    <row r="81" customFormat="false" ht="13.8" hidden="false" customHeight="false" outlineLevel="0" collapsed="false">
      <c r="J81" s="1"/>
      <c r="K81" s="1"/>
      <c r="L81" s="1"/>
      <c r="M81" s="1"/>
      <c r="O81" s="39"/>
      <c r="P81" s="39"/>
      <c r="Q81" s="39"/>
      <c r="R81" s="39"/>
      <c r="S81" s="39"/>
      <c r="T81" s="39"/>
      <c r="U81" s="39"/>
      <c r="V81" s="39"/>
      <c r="X81" s="39"/>
      <c r="AJ81" s="39"/>
      <c r="AK81" s="1"/>
      <c r="AL81" s="1"/>
      <c r="AN81" s="1"/>
      <c r="AP81" s="39"/>
      <c r="AQ81" s="39"/>
      <c r="AY81" s="1"/>
      <c r="BB81" s="1"/>
      <c r="BC81" s="1"/>
      <c r="BD81" s="1"/>
      <c r="BE81" s="4"/>
      <c r="BF81" s="1"/>
      <c r="BG81" s="1"/>
      <c r="BH81" s="1"/>
      <c r="BI81" s="1"/>
      <c r="BJ81" s="1"/>
      <c r="BK81" s="18"/>
      <c r="BL81" s="18"/>
      <c r="BM81" s="1"/>
      <c r="BN81" s="1"/>
      <c r="BO81" s="1"/>
      <c r="BP81" s="1"/>
      <c r="BV81" s="1"/>
      <c r="BZ81" s="1"/>
      <c r="CC81" s="1"/>
      <c r="CD81" s="1"/>
      <c r="CE81" s="1"/>
      <c r="CF81" s="1"/>
      <c r="CH81" s="1"/>
      <c r="CI81" s="1"/>
    </row>
    <row r="82" customFormat="false" ht="13.8" hidden="false" customHeight="false" outlineLevel="0" collapsed="false">
      <c r="J82" s="1"/>
      <c r="K82" s="1"/>
      <c r="L82" s="1"/>
      <c r="M82" s="1"/>
      <c r="O82" s="39"/>
      <c r="P82" s="39"/>
      <c r="Q82" s="39"/>
      <c r="R82" s="39"/>
      <c r="S82" s="39"/>
      <c r="T82" s="39"/>
      <c r="U82" s="39"/>
      <c r="V82" s="39"/>
      <c r="X82" s="39"/>
      <c r="AJ82" s="39"/>
      <c r="AK82" s="1"/>
      <c r="AL82" s="1"/>
      <c r="AN82" s="1"/>
      <c r="AP82" s="39"/>
      <c r="AQ82" s="39"/>
      <c r="AY82" s="1"/>
      <c r="BB82" s="1"/>
      <c r="BC82" s="1"/>
      <c r="BD82" s="1"/>
      <c r="BE82" s="4"/>
      <c r="BF82" s="1"/>
      <c r="BG82" s="1"/>
      <c r="BH82" s="1"/>
      <c r="BI82" s="1"/>
      <c r="BJ82" s="1"/>
      <c r="BK82" s="18"/>
      <c r="BL82" s="18"/>
      <c r="BM82" s="1"/>
      <c r="BN82" s="1"/>
      <c r="BO82" s="1"/>
      <c r="BP82" s="1"/>
      <c r="BV82" s="1"/>
      <c r="BZ82" s="1"/>
      <c r="CC82" s="1"/>
      <c r="CD82" s="1"/>
      <c r="CE82" s="1"/>
      <c r="CF82" s="1"/>
      <c r="CH82" s="1"/>
      <c r="CI82" s="1"/>
    </row>
    <row r="83" customFormat="false" ht="13.8" hidden="false" customHeight="false" outlineLevel="0" collapsed="false">
      <c r="J83" s="1"/>
      <c r="K83" s="1"/>
      <c r="L83" s="1"/>
      <c r="M83" s="1"/>
      <c r="O83" s="39"/>
      <c r="P83" s="39"/>
      <c r="Q83" s="39"/>
      <c r="R83" s="39"/>
      <c r="S83" s="39"/>
      <c r="T83" s="39"/>
      <c r="U83" s="39"/>
      <c r="V83" s="39"/>
      <c r="X83" s="39"/>
      <c r="AJ83" s="39"/>
      <c r="AK83" s="1"/>
      <c r="AL83" s="1"/>
      <c r="AN83" s="1"/>
      <c r="AP83" s="39"/>
      <c r="AQ83" s="39"/>
      <c r="AY83" s="1"/>
      <c r="BB83" s="1"/>
      <c r="BC83" s="1"/>
      <c r="BD83" s="1"/>
      <c r="BE83" s="4"/>
      <c r="BF83" s="1"/>
      <c r="BG83" s="1"/>
      <c r="BH83" s="1"/>
      <c r="BI83" s="1"/>
      <c r="BJ83" s="1"/>
      <c r="BK83" s="18"/>
      <c r="BL83" s="18"/>
      <c r="BM83" s="1"/>
      <c r="BN83" s="1"/>
      <c r="BO83" s="1"/>
      <c r="BP83" s="1"/>
      <c r="BV83" s="1"/>
      <c r="BZ83" s="1"/>
      <c r="CC83" s="1"/>
      <c r="CD83" s="1"/>
      <c r="CE83" s="1"/>
      <c r="CF83" s="1"/>
      <c r="CH83" s="1"/>
      <c r="CI83" s="1"/>
    </row>
    <row r="84" customFormat="false" ht="13.8" hidden="false" customHeight="false" outlineLevel="0" collapsed="false">
      <c r="J84" s="1"/>
      <c r="K84" s="1"/>
      <c r="L84" s="1"/>
      <c r="M84" s="1"/>
      <c r="O84" s="39"/>
      <c r="P84" s="39"/>
      <c r="Q84" s="39"/>
      <c r="R84" s="39"/>
      <c r="S84" s="39"/>
      <c r="T84" s="39"/>
      <c r="U84" s="39"/>
      <c r="V84" s="39"/>
      <c r="X84" s="39"/>
      <c r="AJ84" s="39"/>
      <c r="AK84" s="1"/>
      <c r="AL84" s="1"/>
      <c r="AN84" s="1"/>
      <c r="AP84" s="39"/>
      <c r="AQ84" s="39"/>
      <c r="AY84" s="1"/>
      <c r="BB84" s="1"/>
      <c r="BC84" s="1"/>
      <c r="BD84" s="1"/>
      <c r="BE84" s="4"/>
      <c r="BF84" s="1"/>
      <c r="BG84" s="1"/>
      <c r="BH84" s="1"/>
      <c r="BI84" s="1"/>
      <c r="BJ84" s="1"/>
      <c r="BK84" s="18"/>
      <c r="BL84" s="18"/>
      <c r="BM84" s="1"/>
      <c r="BN84" s="1"/>
      <c r="BO84" s="1"/>
      <c r="BP84" s="1"/>
      <c r="BV84" s="1"/>
      <c r="BZ84" s="1"/>
      <c r="CC84" s="1"/>
      <c r="CD84" s="1"/>
      <c r="CE84" s="1"/>
      <c r="CF84" s="1"/>
      <c r="CH84" s="1"/>
      <c r="CI84" s="1"/>
    </row>
    <row r="85" customFormat="false" ht="13.8" hidden="false" customHeight="false" outlineLevel="0" collapsed="false">
      <c r="J85" s="1"/>
      <c r="K85" s="1"/>
      <c r="L85" s="1"/>
      <c r="M85" s="1"/>
      <c r="O85" s="39"/>
      <c r="P85" s="39"/>
      <c r="Q85" s="39"/>
      <c r="R85" s="39"/>
      <c r="S85" s="39"/>
      <c r="T85" s="39"/>
      <c r="U85" s="39"/>
      <c r="V85" s="39"/>
      <c r="X85" s="39"/>
      <c r="AJ85" s="39"/>
      <c r="AK85" s="1"/>
      <c r="AL85" s="1"/>
      <c r="AN85" s="1"/>
      <c r="AP85" s="39"/>
      <c r="AQ85" s="39"/>
      <c r="AY85" s="1"/>
      <c r="BB85" s="1"/>
      <c r="BC85" s="1"/>
      <c r="BD85" s="1"/>
      <c r="BE85" s="4"/>
      <c r="BF85" s="1"/>
      <c r="BG85" s="1"/>
      <c r="BH85" s="1"/>
      <c r="BI85" s="1"/>
      <c r="BJ85" s="1"/>
      <c r="BK85" s="18"/>
      <c r="BL85" s="18"/>
      <c r="BM85" s="1"/>
      <c r="BN85" s="1"/>
      <c r="BO85" s="1"/>
      <c r="BP85" s="1"/>
      <c r="BV85" s="1"/>
      <c r="BZ85" s="1"/>
      <c r="CC85" s="1"/>
      <c r="CD85" s="1"/>
      <c r="CE85" s="1"/>
      <c r="CF85" s="1"/>
      <c r="CH85" s="1"/>
      <c r="CI85" s="1"/>
    </row>
    <row r="86" customFormat="false" ht="13.8" hidden="false" customHeight="false" outlineLevel="0" collapsed="false">
      <c r="J86" s="1"/>
      <c r="K86" s="1"/>
      <c r="L86" s="1"/>
      <c r="M86" s="1"/>
      <c r="O86" s="39"/>
      <c r="P86" s="39"/>
      <c r="Q86" s="39"/>
      <c r="R86" s="39"/>
      <c r="S86" s="39"/>
      <c r="T86" s="39"/>
      <c r="U86" s="39"/>
      <c r="V86" s="39"/>
      <c r="X86" s="39"/>
      <c r="AJ86" s="39"/>
      <c r="AK86" s="1"/>
      <c r="AL86" s="1"/>
      <c r="AN86" s="1"/>
      <c r="AP86" s="39"/>
      <c r="AQ86" s="39"/>
      <c r="AY86" s="1"/>
      <c r="BB86" s="1"/>
      <c r="BC86" s="1"/>
      <c r="BD86" s="1"/>
      <c r="BE86" s="4"/>
      <c r="BF86" s="1"/>
      <c r="BG86" s="1"/>
      <c r="BH86" s="1"/>
      <c r="BI86" s="1"/>
      <c r="BJ86" s="1"/>
      <c r="BK86" s="18"/>
      <c r="BL86" s="18"/>
      <c r="BM86" s="1"/>
      <c r="BN86" s="1"/>
      <c r="BO86" s="1"/>
      <c r="BP86" s="1"/>
      <c r="BV86" s="1"/>
      <c r="BZ86" s="1"/>
      <c r="CC86" s="1"/>
      <c r="CD86" s="1"/>
      <c r="CE86" s="1"/>
      <c r="CF86" s="1"/>
      <c r="CH86" s="1"/>
      <c r="CI86" s="1"/>
    </row>
    <row r="87" customFormat="false" ht="13.8" hidden="false" customHeight="false" outlineLevel="0" collapsed="false">
      <c r="J87" s="1"/>
      <c r="K87" s="1"/>
      <c r="L87" s="1"/>
      <c r="M87" s="1"/>
      <c r="O87" s="39"/>
      <c r="P87" s="39"/>
      <c r="Q87" s="39"/>
      <c r="R87" s="39"/>
      <c r="S87" s="39"/>
      <c r="T87" s="39"/>
      <c r="U87" s="39"/>
      <c r="V87" s="39"/>
      <c r="X87" s="39"/>
      <c r="AJ87" s="39"/>
      <c r="AK87" s="1"/>
      <c r="AL87" s="1"/>
      <c r="AN87" s="1"/>
      <c r="AP87" s="39"/>
      <c r="AQ87" s="39"/>
      <c r="AY87" s="1"/>
      <c r="BB87" s="1"/>
      <c r="BC87" s="1"/>
      <c r="BD87" s="1"/>
      <c r="BE87" s="4"/>
      <c r="BF87" s="1"/>
      <c r="BG87" s="1"/>
      <c r="BH87" s="1"/>
      <c r="BI87" s="1"/>
      <c r="BJ87" s="1"/>
      <c r="BK87" s="18"/>
      <c r="BL87" s="18"/>
      <c r="BM87" s="1"/>
      <c r="BN87" s="1"/>
      <c r="BO87" s="1"/>
      <c r="BP87" s="1"/>
      <c r="BV87" s="1"/>
      <c r="BZ87" s="1"/>
      <c r="CC87" s="1"/>
      <c r="CD87" s="1"/>
      <c r="CE87" s="1"/>
      <c r="CF87" s="1"/>
      <c r="CH87" s="1"/>
      <c r="CI87" s="1"/>
    </row>
    <row r="88" customFormat="false" ht="13.8" hidden="false" customHeight="false" outlineLevel="0" collapsed="false">
      <c r="J88" s="1"/>
      <c r="K88" s="1"/>
      <c r="L88" s="1"/>
      <c r="M88" s="1"/>
      <c r="O88" s="39"/>
      <c r="P88" s="39"/>
      <c r="Q88" s="39"/>
      <c r="R88" s="39"/>
      <c r="S88" s="39"/>
      <c r="T88" s="39"/>
      <c r="U88" s="39"/>
      <c r="V88" s="39"/>
      <c r="X88" s="39"/>
      <c r="AJ88" s="39"/>
      <c r="AK88" s="1"/>
      <c r="AL88" s="1"/>
      <c r="AN88" s="1"/>
      <c r="AP88" s="39"/>
      <c r="AQ88" s="39"/>
      <c r="AY88" s="1"/>
      <c r="BB88" s="1"/>
      <c r="BC88" s="1"/>
      <c r="BD88" s="1"/>
      <c r="BE88" s="4"/>
      <c r="BF88" s="1"/>
      <c r="BG88" s="1"/>
      <c r="BH88" s="1"/>
      <c r="BI88" s="1"/>
      <c r="BJ88" s="1"/>
      <c r="BK88" s="18"/>
      <c r="BL88" s="18"/>
      <c r="BM88" s="1"/>
      <c r="BN88" s="1"/>
      <c r="BO88" s="1"/>
      <c r="BP88" s="1"/>
      <c r="BV88" s="1"/>
      <c r="BZ88" s="1"/>
      <c r="CC88" s="1"/>
      <c r="CD88" s="1"/>
      <c r="CE88" s="1"/>
      <c r="CF88" s="1"/>
      <c r="CH88" s="1"/>
      <c r="CI88" s="1"/>
    </row>
    <row r="89" customFormat="false" ht="13.8" hidden="false" customHeight="false" outlineLevel="0" collapsed="false">
      <c r="J89" s="1"/>
      <c r="K89" s="1"/>
      <c r="L89" s="1"/>
      <c r="M89" s="1"/>
      <c r="O89" s="39"/>
      <c r="P89" s="39"/>
      <c r="Q89" s="39"/>
      <c r="R89" s="39"/>
      <c r="S89" s="39"/>
      <c r="T89" s="39"/>
      <c r="U89" s="39"/>
      <c r="V89" s="39"/>
      <c r="X89" s="39"/>
      <c r="AJ89" s="39"/>
      <c r="AK89" s="1"/>
      <c r="AL89" s="1"/>
      <c r="AN89" s="1"/>
      <c r="AP89" s="39"/>
      <c r="AQ89" s="39"/>
      <c r="AY89" s="1"/>
      <c r="BB89" s="1"/>
      <c r="BC89" s="1"/>
      <c r="BD89" s="1"/>
      <c r="BE89" s="4"/>
      <c r="BF89" s="1"/>
      <c r="BG89" s="1"/>
      <c r="BH89" s="1"/>
      <c r="BI89" s="1"/>
      <c r="BJ89" s="1"/>
      <c r="BK89" s="18"/>
      <c r="BL89" s="18"/>
      <c r="BM89" s="1"/>
      <c r="BN89" s="1"/>
      <c r="BO89" s="1"/>
      <c r="BP89" s="1"/>
      <c r="BV89" s="1"/>
      <c r="BZ89" s="1"/>
      <c r="CC89" s="1"/>
      <c r="CD89" s="1"/>
      <c r="CE89" s="1"/>
      <c r="CF89" s="1"/>
      <c r="CH89" s="1"/>
      <c r="CI89" s="1"/>
    </row>
    <row r="90" customFormat="false" ht="13.8" hidden="false" customHeight="false" outlineLevel="0" collapsed="false">
      <c r="J90" s="1"/>
      <c r="K90" s="1"/>
      <c r="L90" s="1"/>
      <c r="M90" s="1"/>
      <c r="O90" s="39"/>
      <c r="P90" s="39"/>
      <c r="Q90" s="39"/>
      <c r="R90" s="39"/>
      <c r="S90" s="39"/>
      <c r="T90" s="39"/>
      <c r="U90" s="39"/>
      <c r="V90" s="39"/>
      <c r="X90" s="39"/>
      <c r="AJ90" s="39"/>
      <c r="AK90" s="1"/>
      <c r="AL90" s="1"/>
      <c r="AN90" s="1"/>
      <c r="AP90" s="39"/>
      <c r="AQ90" s="39"/>
      <c r="AY90" s="1"/>
      <c r="BB90" s="1"/>
      <c r="BC90" s="1"/>
      <c r="BD90" s="1"/>
      <c r="BE90" s="4"/>
      <c r="BF90" s="1"/>
      <c r="BG90" s="1"/>
      <c r="BH90" s="1"/>
      <c r="BI90" s="1"/>
      <c r="BJ90" s="1"/>
      <c r="BK90" s="18"/>
      <c r="BL90" s="18"/>
      <c r="BM90" s="1"/>
      <c r="BN90" s="1"/>
      <c r="BO90" s="1"/>
      <c r="BP90" s="1"/>
      <c r="BV90" s="1"/>
      <c r="BZ90" s="1"/>
      <c r="CC90" s="1"/>
      <c r="CD90" s="1"/>
      <c r="CE90" s="1"/>
      <c r="CF90" s="1"/>
      <c r="CH90" s="1"/>
      <c r="CI90" s="1"/>
    </row>
    <row r="91" customFormat="false" ht="13.8" hidden="false" customHeight="false" outlineLevel="0" collapsed="false">
      <c r="J91" s="1"/>
      <c r="K91" s="1"/>
      <c r="L91" s="1"/>
      <c r="M91" s="1"/>
      <c r="O91" s="39"/>
      <c r="P91" s="39"/>
      <c r="Q91" s="39"/>
      <c r="R91" s="39"/>
      <c r="S91" s="39"/>
      <c r="T91" s="39"/>
      <c r="U91" s="39"/>
      <c r="V91" s="39"/>
      <c r="X91" s="39"/>
      <c r="AJ91" s="39"/>
      <c r="AK91" s="1"/>
      <c r="AL91" s="1"/>
      <c r="AN91" s="1"/>
      <c r="AP91" s="39"/>
      <c r="AQ91" s="39"/>
      <c r="AY91" s="1"/>
      <c r="BB91" s="1"/>
      <c r="BC91" s="1"/>
      <c r="BD91" s="1"/>
      <c r="BE91" s="4"/>
      <c r="BF91" s="1"/>
      <c r="BG91" s="1"/>
      <c r="BH91" s="1"/>
      <c r="BI91" s="1"/>
      <c r="BJ91" s="1"/>
      <c r="BK91" s="18"/>
      <c r="BL91" s="18"/>
      <c r="BM91" s="1"/>
      <c r="BN91" s="1"/>
      <c r="BO91" s="1"/>
      <c r="BP91" s="1"/>
      <c r="BV91" s="1"/>
      <c r="BZ91" s="1"/>
      <c r="CC91" s="1"/>
      <c r="CD91" s="1"/>
      <c r="CE91" s="1"/>
      <c r="CF91" s="1"/>
      <c r="CH91" s="1"/>
      <c r="CI91" s="1"/>
    </row>
  </sheetData>
  <autoFilter ref="A1:CG16"/>
  <dataValidations count="4">
    <dataValidation allowBlank="true" errorStyle="stop" operator="between" showDropDown="false" showErrorMessage="true" showInputMessage="true" sqref="CA15:CA22 CA48 CA92:CA1006" type="list">
      <formula1>'Gameplay Planning'!$1:$1</formula1>
      <formula2>0</formula2>
    </dataValidation>
    <dataValidation allowBlank="true" errorStyle="stop" operator="between" showDropDown="false" showErrorMessage="true" showInputMessage="true" sqref="BY1:BY2" type="list">
      <formula1>'Gameplay Planning'!$1:$1</formula1>
      <formula2>0</formula2>
    </dataValidation>
    <dataValidation allowBlank="true" errorStyle="stop" operator="between" showDropDown="false" showErrorMessage="true" showInputMessage="true" sqref="BY3:BY8 BY11:BY12" type="list">
      <formula1>'Gameplay Planning'!$1:$1</formula1>
      <formula2>0</formula2>
    </dataValidation>
    <dataValidation allowBlank="true" errorStyle="stop" operator="between" showDropDown="false" showErrorMessage="true" showInputMessage="true" sqref="BY9:BY10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I1" colorId="64" zoomScale="100" zoomScaleNormal="100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1" width="29"/>
    <col collapsed="false" customWidth="true" hidden="false" outlineLevel="0" max="4" min="3" style="1" width="17.3"/>
    <col collapsed="false" customWidth="true" hidden="false" outlineLevel="0" max="5" min="5" style="1" width="6.57"/>
    <col collapsed="false" customWidth="true" hidden="false" outlineLevel="0" max="8" min="8" style="1" width="12"/>
    <col collapsed="false" customWidth="true" hidden="false" outlineLevel="0" max="10" min="9" style="1" width="16.14"/>
    <col collapsed="false" customWidth="true" hidden="false" outlineLevel="0" max="11" min="11" style="1" width="13.3"/>
    <col collapsed="false" customWidth="true" hidden="false" outlineLevel="0" max="13" min="13" style="1" width="14"/>
    <col collapsed="false" customWidth="true" hidden="false" outlineLevel="0" max="15" min="15" style="1" width="13.71"/>
    <col collapsed="false" customWidth="true" hidden="false" outlineLevel="0" max="16" min="16" style="1" width="3.15"/>
    <col collapsed="false" customWidth="true" hidden="false" outlineLevel="0" max="18" min="18" style="1" width="12.57"/>
    <col collapsed="false" customWidth="true" hidden="false" outlineLevel="0" max="19" min="19" style="1" width="12.43"/>
    <col collapsed="false" customWidth="true" hidden="false" outlineLevel="0" max="20" min="20" style="1" width="10.85"/>
    <col collapsed="false" customWidth="true" hidden="false" outlineLevel="0" max="21" min="21" style="1" width="4.43"/>
    <col collapsed="false" customWidth="true" hidden="false" outlineLevel="0" max="22" min="22" style="1" width="7"/>
  </cols>
  <sheetData>
    <row r="1" customFormat="false" ht="15" hidden="false" customHeight="false" outlineLevel="0" collapsed="false">
      <c r="C1" s="11" t="s">
        <v>151</v>
      </c>
      <c r="D1" s="11" t="s">
        <v>152</v>
      </c>
      <c r="E1" s="11" t="s">
        <v>153</v>
      </c>
      <c r="F1" s="11" t="s">
        <v>154</v>
      </c>
      <c r="G1" s="11" t="s">
        <v>155</v>
      </c>
      <c r="H1" s="11" t="s">
        <v>156</v>
      </c>
      <c r="I1" s="11" t="s">
        <v>135</v>
      </c>
      <c r="J1" s="11" t="s">
        <v>157</v>
      </c>
      <c r="K1" s="11" t="s">
        <v>158</v>
      </c>
      <c r="L1" s="11" t="s">
        <v>95</v>
      </c>
      <c r="M1" s="11" t="s">
        <v>159</v>
      </c>
      <c r="N1" s="11" t="s">
        <v>160</v>
      </c>
      <c r="O1" s="11" t="s">
        <v>107</v>
      </c>
      <c r="P1" s="11" t="s">
        <v>161</v>
      </c>
      <c r="Q1" s="11" t="s">
        <v>162</v>
      </c>
      <c r="R1" s="11" t="s">
        <v>163</v>
      </c>
      <c r="S1" s="11" t="s">
        <v>164</v>
      </c>
      <c r="T1" s="11" t="s">
        <v>165</v>
      </c>
      <c r="U1" s="11" t="s">
        <v>166</v>
      </c>
      <c r="V1" s="11" t="s">
        <v>167</v>
      </c>
      <c r="W1" s="11" t="s">
        <v>168</v>
      </c>
    </row>
    <row r="2" customFormat="false" ht="15" hidden="false" customHeight="false" outlineLevel="0" collapsed="false">
      <c r="A2" s="11" t="s">
        <v>169</v>
      </c>
      <c r="B2" s="11" t="s">
        <v>170</v>
      </c>
    </row>
    <row r="3" customFormat="false" ht="15" hidden="false" customHeight="false" outlineLevel="0" collapsed="false">
      <c r="A3" s="1" t="s">
        <v>171</v>
      </c>
      <c r="B3" s="1" t="str">
        <f aca="false">VLOOKUP(A3, Eras!$B$2:$C$10, 2, FALSE())</f>
        <v>Early (1800-1850)</v>
      </c>
      <c r="C3" s="1" t="n">
        <f aca="false">COUNTIF(Table!$CB:$CB,CONCATENATE($A3,"_",C$1))</f>
        <v>0</v>
      </c>
      <c r="D3" s="1" t="n">
        <f aca="false">COUNTIF(Table!$CB:$CB,CONCATENATE($A3,"_",D$1))</f>
        <v>0</v>
      </c>
      <c r="E3" s="1" t="n">
        <f aca="false">COUNTIF(Table!$CB:$CB,CONCATENATE($A3,"_",E$1))</f>
        <v>0</v>
      </c>
      <c r="F3" s="1" t="n">
        <f aca="false">COUNTIF(Table!$CB:$CB,CONCATENATE($A3,"_",F$1))</f>
        <v>0</v>
      </c>
      <c r="G3" s="1" t="n">
        <f aca="false">COUNTIF(Table!$CB:$CB,CONCATENATE($A3,"_",G$1))</f>
        <v>0</v>
      </c>
      <c r="H3" s="1" t="n">
        <f aca="false">COUNTIF(Table!$CB:$CB,CONCATENATE($A3,"_",H$1))</f>
        <v>0</v>
      </c>
      <c r="I3" s="1" t="n">
        <f aca="false">COUNTIF(Table!$CB:$CB,CONCATENATE($A3,"_",I$1))</f>
        <v>0</v>
      </c>
      <c r="J3" s="1" t="n">
        <f aca="false">COUNTIF(Table!$CB:$CB,CONCATENATE($A3,"_",J$1))</f>
        <v>0</v>
      </c>
      <c r="K3" s="1" t="n">
        <f aca="false">COUNTIF(Table!$CB:$CB,CONCATENATE($A3,"_",K$1))</f>
        <v>0</v>
      </c>
      <c r="L3" s="1" t="n">
        <f aca="false">COUNTIF(Table!$CB:$CB,CONCATENATE($A3,"_",L$1))</f>
        <v>0</v>
      </c>
      <c r="M3" s="1" t="n">
        <f aca="false">COUNTIF(Table!$CB:$CB,CONCATENATE($A3,"_",M$1))</f>
        <v>0</v>
      </c>
      <c r="N3" s="1" t="n">
        <f aca="false">COUNTIF(Table!$CB:$CB,CONCATENATE($A3,"_",N$1))</f>
        <v>0</v>
      </c>
      <c r="O3" s="1" t="n">
        <f aca="false">COUNTIF(Table!$CB:$CB,CONCATENATE($A3,"_",O$1))</f>
        <v>0</v>
      </c>
      <c r="P3" s="1" t="n">
        <f aca="false">COUNTIF(Table!$CB:$CB,CONCATENATE($A3,"_",P$1))</f>
        <v>0</v>
      </c>
      <c r="Q3" s="1" t="n">
        <f aca="false">COUNTIF(Table!$CB:$CB,CONCATENATE($A3,"_",Q$1))</f>
        <v>0</v>
      </c>
      <c r="R3" s="1" t="n">
        <f aca="false">COUNTIF(Table!$CB:$CB,CONCATENATE($A3,"_",R$1))</f>
        <v>0</v>
      </c>
      <c r="S3" s="1" t="n">
        <f aca="false">COUNTIF(Table!$CB:$CB,CONCATENATE($A3,"_",S$1))</f>
        <v>0</v>
      </c>
      <c r="T3" s="1" t="n">
        <f aca="false">COUNTIF(Table!$CB:$CB,CONCATENATE($A3,"_",T$1))</f>
        <v>0</v>
      </c>
      <c r="U3" s="1" t="n">
        <f aca="false">COUNTIF(Table!$CB:$CB,CONCATENATE($A3,"_",U$1))</f>
        <v>0</v>
      </c>
      <c r="V3" s="1" t="n">
        <f aca="false">COUNTIF(Table!$CB:$CB,CONCATENATE($A3,"_",V$1))</f>
        <v>0</v>
      </c>
      <c r="W3" s="1" t="n">
        <f aca="false">COUNTIF(Table!$CB:$CB,CONCATENATE($A3,"_",W$1))</f>
        <v>0</v>
      </c>
    </row>
    <row r="4" customFormat="false" ht="15" hidden="false" customHeight="false" outlineLevel="0" collapsed="false">
      <c r="A4" s="1" t="s">
        <v>172</v>
      </c>
      <c r="B4" s="1" t="str">
        <f aca="false">VLOOKUP(A4, Eras!$B$2:$C$10, 2, FALSE())</f>
        <v>Victorian (1850-1900)</v>
      </c>
      <c r="C4" s="1" t="n">
        <f aca="false">COUNTIF(Table!$CB:$CB,CONCATENATE($A4,"_",C$1))</f>
        <v>0</v>
      </c>
      <c r="D4" s="1" t="n">
        <f aca="false">COUNTIF(Table!$CB:$CB,CONCATENATE($A4,"_",D$1))</f>
        <v>0</v>
      </c>
      <c r="E4" s="1" t="n">
        <f aca="false">COUNTIF(Table!$CB:$CB,CONCATENATE($A4,"_",E$1))</f>
        <v>0</v>
      </c>
      <c r="F4" s="1" t="n">
        <f aca="false">COUNTIF(Table!$CB:$CB,CONCATENATE($A4,"_",F$1))</f>
        <v>0</v>
      </c>
      <c r="G4" s="1" t="n">
        <f aca="false">COUNTIF(Table!$CB:$CB,CONCATENATE($A4,"_",G$1))</f>
        <v>0</v>
      </c>
      <c r="H4" s="1" t="n">
        <f aca="false">COUNTIF(Table!$CB:$CB,CONCATENATE($A4,"_",H$1))</f>
        <v>0</v>
      </c>
      <c r="I4" s="1" t="n">
        <f aca="false">COUNTIF(Table!$CB:$CB,CONCATENATE($A4,"_",I$1))</f>
        <v>0</v>
      </c>
      <c r="J4" s="1" t="n">
        <f aca="false">COUNTIF(Table!$CB:$CB,CONCATENATE($A4,"_",J$1))</f>
        <v>0</v>
      </c>
      <c r="K4" s="1" t="n">
        <f aca="false">COUNTIF(Table!$CB:$CB,CONCATENATE($A4,"_",K$1))</f>
        <v>0</v>
      </c>
      <c r="L4" s="1" t="n">
        <f aca="false">COUNTIF(Table!$CB:$CB,CONCATENATE($A4,"_",L$1))</f>
        <v>0</v>
      </c>
      <c r="M4" s="1" t="n">
        <f aca="false">COUNTIF(Table!$CB:$CB,CONCATENATE($A4,"_",M$1))</f>
        <v>0</v>
      </c>
      <c r="N4" s="1" t="n">
        <f aca="false">COUNTIF(Table!$CB:$CB,CONCATENATE($A4,"_",N$1))</f>
        <v>0</v>
      </c>
      <c r="O4" s="1" t="n">
        <f aca="false">COUNTIF(Table!$CB:$CB,CONCATENATE($A4,"_",O$1))</f>
        <v>0</v>
      </c>
      <c r="P4" s="1" t="n">
        <f aca="false">COUNTIF(Table!$CB:$CB,CONCATENATE($A4,"_",P$1))</f>
        <v>0</v>
      </c>
      <c r="Q4" s="1" t="n">
        <f aca="false">COUNTIF(Table!$CB:$CB,CONCATENATE($A4,"_",Q$1))</f>
        <v>0</v>
      </c>
      <c r="R4" s="1" t="n">
        <f aca="false">COUNTIF(Table!$CB:$CB,CONCATENATE($A4,"_",R$1))</f>
        <v>0</v>
      </c>
      <c r="S4" s="1" t="n">
        <f aca="false">COUNTIF(Table!$CB:$CB,CONCATENATE($A4,"_",S$1))</f>
        <v>0</v>
      </c>
      <c r="T4" s="1" t="n">
        <f aca="false">COUNTIF(Table!$CB:$CB,CONCATENATE($A4,"_",T$1))</f>
        <v>0</v>
      </c>
      <c r="U4" s="1" t="n">
        <f aca="false">COUNTIF(Table!$CB:$CB,CONCATENATE($A4,"_",U$1))</f>
        <v>0</v>
      </c>
      <c r="V4" s="1" t="n">
        <f aca="false">COUNTIF(Table!$CB:$CB,CONCATENATE($A4,"_",V$1))</f>
        <v>0</v>
      </c>
      <c r="W4" s="1" t="n">
        <f aca="false">COUNTIF(Table!$CB:$CB,CONCATENATE($A4,"_",W$1))</f>
        <v>0</v>
      </c>
    </row>
    <row r="5" customFormat="false" ht="15" hidden="false" customHeight="false" outlineLevel="0" collapsed="false">
      <c r="A5" s="1" t="s">
        <v>173</v>
      </c>
      <c r="B5" s="1" t="str">
        <f aca="false">VLOOKUP(A5, Eras!$B$2:$C$10, 2, FALSE())</f>
        <v>Edwardian (1900-1920)</v>
      </c>
      <c r="C5" s="1" t="n">
        <f aca="false">COUNTIF(Table!$CB:$CB,CONCATENATE($A5,"_",C$1))</f>
        <v>0</v>
      </c>
      <c r="D5" s="1" t="n">
        <f aca="false">COUNTIF(Table!$CB:$CB,CONCATENATE($A5,"_",D$1))</f>
        <v>0</v>
      </c>
      <c r="E5" s="1" t="n">
        <f aca="false">COUNTIF(Table!$CB:$CB,CONCATENATE($A5,"_",E$1))</f>
        <v>0</v>
      </c>
      <c r="F5" s="1" t="n">
        <f aca="false">COUNTIF(Table!$CB:$CB,CONCATENATE($A5,"_",F$1))</f>
        <v>0</v>
      </c>
      <c r="G5" s="1" t="n">
        <f aca="false">COUNTIF(Table!$CB:$CB,CONCATENATE($A5,"_",G$1))</f>
        <v>0</v>
      </c>
      <c r="H5" s="1" t="n">
        <f aca="false">COUNTIF(Table!$CB:$CB,CONCATENATE($A5,"_",H$1))</f>
        <v>0</v>
      </c>
      <c r="I5" s="1" t="n">
        <f aca="false">COUNTIF(Table!$CB:$CB,CONCATENATE($A5,"_",I$1))</f>
        <v>0</v>
      </c>
      <c r="J5" s="1" t="n">
        <f aca="false">COUNTIF(Table!$CB:$CB,CONCATENATE($A5,"_",J$1))</f>
        <v>0</v>
      </c>
      <c r="K5" s="1" t="n">
        <f aca="false">COUNTIF(Table!$CB:$CB,CONCATENATE($A5,"_",K$1))</f>
        <v>0</v>
      </c>
      <c r="L5" s="1" t="n">
        <f aca="false">COUNTIF(Table!$CB:$CB,CONCATENATE($A5,"_",L$1))</f>
        <v>0</v>
      </c>
      <c r="M5" s="1" t="n">
        <f aca="false">COUNTIF(Table!$CB:$CB,CONCATENATE($A5,"_",M$1))</f>
        <v>0</v>
      </c>
      <c r="N5" s="1" t="n">
        <f aca="false">COUNTIF(Table!$CB:$CB,CONCATENATE($A5,"_",N$1))</f>
        <v>0</v>
      </c>
      <c r="O5" s="1" t="n">
        <f aca="false">COUNTIF(Table!$CB:$CB,CONCATENATE($A5,"_",O$1))</f>
        <v>0</v>
      </c>
      <c r="P5" s="1" t="n">
        <f aca="false">COUNTIF(Table!$CB:$CB,CONCATENATE($A5,"_",P$1))</f>
        <v>0</v>
      </c>
      <c r="Q5" s="1" t="n">
        <f aca="false">COUNTIF(Table!$CB:$CB,CONCATENATE($A5,"_",Q$1))</f>
        <v>0</v>
      </c>
      <c r="R5" s="1" t="n">
        <f aca="false">COUNTIF(Table!$CB:$CB,CONCATENATE($A5,"_",R$1))</f>
        <v>0</v>
      </c>
      <c r="S5" s="1" t="n">
        <f aca="false">COUNTIF(Table!$CB:$CB,CONCATENATE($A5,"_",S$1))</f>
        <v>0</v>
      </c>
      <c r="T5" s="1" t="n">
        <f aca="false">COUNTIF(Table!$CB:$CB,CONCATENATE($A5,"_",T$1))</f>
        <v>0</v>
      </c>
      <c r="U5" s="1" t="n">
        <f aca="false">COUNTIF(Table!$CB:$CB,CONCATENATE($A5,"_",U$1))</f>
        <v>0</v>
      </c>
      <c r="V5" s="1" t="n">
        <f aca="false">COUNTIF(Table!$CB:$CB,CONCATENATE($A5,"_",V$1))</f>
        <v>0</v>
      </c>
      <c r="W5" s="1" t="n">
        <f aca="false">COUNTIF(Table!$CB:$CB,CONCATENATE($A5,"_",W$1))</f>
        <v>0</v>
      </c>
    </row>
    <row r="6" customFormat="false" ht="15" hidden="false" customHeight="false" outlineLevel="0" collapsed="false">
      <c r="A6" s="1" t="s">
        <v>174</v>
      </c>
      <c r="B6" s="1" t="str">
        <f aca="false">VLOOKUP(A6, Eras!$B$2:$C$10, 2, FALSE())</f>
        <v>Big Four (1923-1948)</v>
      </c>
      <c r="C6" s="1" t="n">
        <f aca="false">COUNTIF(Table!$CB:$CB,CONCATENATE($A6,"_",C$1))</f>
        <v>0</v>
      </c>
      <c r="D6" s="1" t="n">
        <f aca="false">COUNTIF(Table!$CB:$CB,CONCATENATE($A6,"_",D$1))</f>
        <v>0</v>
      </c>
      <c r="E6" s="1" t="n">
        <f aca="false">COUNTIF(Table!$CB:$CB,CONCATENATE($A6,"_",E$1))</f>
        <v>0</v>
      </c>
      <c r="F6" s="1" t="n">
        <f aca="false">COUNTIF(Table!$CB:$CB,CONCATENATE($A6,"_",F$1))</f>
        <v>0</v>
      </c>
      <c r="G6" s="1" t="n">
        <f aca="false">COUNTIF(Table!$CB:$CB,CONCATENATE($A6,"_",G$1))</f>
        <v>0</v>
      </c>
      <c r="H6" s="1" t="n">
        <f aca="false">COUNTIF(Table!$CB:$CB,CONCATENATE($A6,"_",H$1))</f>
        <v>0</v>
      </c>
      <c r="I6" s="1" t="n">
        <f aca="false">COUNTIF(Table!$CB:$CB,CONCATENATE($A6,"_",I$1))</f>
        <v>0</v>
      </c>
      <c r="J6" s="1" t="n">
        <f aca="false">COUNTIF(Table!$CB:$CB,CONCATENATE($A6,"_",J$1))</f>
        <v>0</v>
      </c>
      <c r="K6" s="1" t="n">
        <f aca="false">COUNTIF(Table!$CB:$CB,CONCATENATE($A6,"_",K$1))</f>
        <v>0</v>
      </c>
      <c r="L6" s="1" t="n">
        <f aca="false">COUNTIF(Table!$CB:$CB,CONCATENATE($A6,"_",L$1))</f>
        <v>0</v>
      </c>
      <c r="M6" s="1" t="n">
        <f aca="false">COUNTIF(Table!$CB:$CB,CONCATENATE($A6,"_",M$1))</f>
        <v>0</v>
      </c>
      <c r="N6" s="1" t="n">
        <f aca="false">COUNTIF(Table!$CB:$CB,CONCATENATE($A6,"_",N$1))</f>
        <v>0</v>
      </c>
      <c r="O6" s="1" t="n">
        <f aca="false">COUNTIF(Table!$CB:$CB,CONCATENATE($A6,"_",O$1))</f>
        <v>0</v>
      </c>
      <c r="P6" s="1" t="n">
        <f aca="false">COUNTIF(Table!$CB:$CB,CONCATENATE($A6,"_",P$1))</f>
        <v>0</v>
      </c>
      <c r="Q6" s="1" t="n">
        <f aca="false">COUNTIF(Table!$CB:$CB,CONCATENATE($A6,"_",Q$1))</f>
        <v>0</v>
      </c>
      <c r="R6" s="1" t="n">
        <f aca="false">COUNTIF(Table!$CB:$CB,CONCATENATE($A6,"_",R$1))</f>
        <v>0</v>
      </c>
      <c r="S6" s="1" t="n">
        <f aca="false">COUNTIF(Table!$CB:$CB,CONCATENATE($A6,"_",S$1))</f>
        <v>0</v>
      </c>
      <c r="T6" s="1" t="n">
        <f aca="false">COUNTIF(Table!$CB:$CB,CONCATENATE($A6,"_",T$1))</f>
        <v>0</v>
      </c>
      <c r="U6" s="1" t="n">
        <f aca="false">COUNTIF(Table!$CB:$CB,CONCATENATE($A6,"_",U$1))</f>
        <v>0</v>
      </c>
      <c r="V6" s="1" t="n">
        <f aca="false">COUNTIF(Table!$CB:$CB,CONCATENATE($A6,"_",V$1))</f>
        <v>0</v>
      </c>
      <c r="W6" s="1" t="n">
        <f aca="false">COUNTIF(Table!$CB:$CB,CONCATENATE($A6,"_",W$1))</f>
        <v>0</v>
      </c>
    </row>
    <row r="7" customFormat="false" ht="15" hidden="false" customHeight="false" outlineLevel="0" collapsed="false">
      <c r="A7" s="1" t="s">
        <v>175</v>
      </c>
      <c r="B7" s="1" t="str">
        <f aca="false">VLOOKUP(A7, Eras!$B$2:$C$10, 2, FALSE())</f>
        <v>Early BR (1948-1955)</v>
      </c>
      <c r="C7" s="1" t="n">
        <f aca="false">COUNTIF(Table!$CB:$CB,CONCATENATE($A7,"_",C$1))</f>
        <v>0</v>
      </c>
      <c r="D7" s="1" t="n">
        <f aca="false">COUNTIF(Table!$CB:$CB,CONCATENATE($A7,"_",D$1))</f>
        <v>0</v>
      </c>
      <c r="E7" s="1" t="n">
        <f aca="false">COUNTIF(Table!$CB:$CB,CONCATENATE($A7,"_",E$1))</f>
        <v>0</v>
      </c>
      <c r="F7" s="1" t="n">
        <f aca="false">COUNTIF(Table!$CB:$CB,CONCATENATE($A7,"_",F$1))</f>
        <v>0</v>
      </c>
      <c r="G7" s="1" t="n">
        <f aca="false">COUNTIF(Table!$CB:$CB,CONCATENATE($A7,"_",G$1))</f>
        <v>0</v>
      </c>
      <c r="H7" s="1" t="n">
        <f aca="false">COUNTIF(Table!$CB:$CB,CONCATENATE($A7,"_",H$1))</f>
        <v>0</v>
      </c>
      <c r="I7" s="1" t="n">
        <f aca="false">COUNTIF(Table!$CB:$CB,CONCATENATE($A7,"_",I$1))</f>
        <v>0</v>
      </c>
      <c r="J7" s="1" t="n">
        <f aca="false">COUNTIF(Table!$CB:$CB,CONCATENATE($A7,"_",J$1))</f>
        <v>0</v>
      </c>
      <c r="K7" s="1" t="n">
        <f aca="false">COUNTIF(Table!$CB:$CB,CONCATENATE($A7,"_",K$1))</f>
        <v>0</v>
      </c>
      <c r="L7" s="1" t="n">
        <f aca="false">COUNTIF(Table!$CB:$CB,CONCATENATE($A7,"_",L$1))</f>
        <v>0</v>
      </c>
      <c r="M7" s="1" t="n">
        <f aca="false">COUNTIF(Table!$CB:$CB,CONCATENATE($A7,"_",M$1))</f>
        <v>0</v>
      </c>
      <c r="N7" s="1" t="n">
        <f aca="false">COUNTIF(Table!$CB:$CB,CONCATENATE($A7,"_",N$1))</f>
        <v>0</v>
      </c>
      <c r="O7" s="1" t="n">
        <f aca="false">COUNTIF(Table!$CB:$CB,CONCATENATE($A7,"_",O$1))</f>
        <v>0</v>
      </c>
      <c r="P7" s="1" t="n">
        <f aca="false">COUNTIF(Table!$CB:$CB,CONCATENATE($A7,"_",P$1))</f>
        <v>0</v>
      </c>
      <c r="Q7" s="1" t="n">
        <f aca="false">COUNTIF(Table!$CB:$CB,CONCATENATE($A7,"_",Q$1))</f>
        <v>0</v>
      </c>
      <c r="R7" s="1" t="n">
        <f aca="false">COUNTIF(Table!$CB:$CB,CONCATENATE($A7,"_",R$1))</f>
        <v>0</v>
      </c>
      <c r="S7" s="1" t="n">
        <f aca="false">COUNTIF(Table!$CB:$CB,CONCATENATE($A7,"_",S$1))</f>
        <v>0</v>
      </c>
      <c r="T7" s="1" t="n">
        <f aca="false">COUNTIF(Table!$CB:$CB,CONCATENATE($A7,"_",T$1))</f>
        <v>0</v>
      </c>
      <c r="U7" s="1" t="n">
        <f aca="false">COUNTIF(Table!$CB:$CB,CONCATENATE($A7,"_",U$1))</f>
        <v>0</v>
      </c>
      <c r="V7" s="1" t="n">
        <f aca="false">COUNTIF(Table!$CB:$CB,CONCATENATE($A7,"_",V$1))</f>
        <v>0</v>
      </c>
      <c r="W7" s="1" t="n">
        <f aca="false">COUNTIF(Table!$CB:$CB,CONCATENATE($A7,"_",W$1))</f>
        <v>0</v>
      </c>
    </row>
    <row r="8" customFormat="false" ht="15" hidden="false" customHeight="false" outlineLevel="0" collapsed="false">
      <c r="A8" s="1" t="s">
        <v>176</v>
      </c>
      <c r="B8" s="1" t="str">
        <f aca="false">VLOOKUP(A8, Eras!$B$2:$C$10, 2, FALSE())</f>
        <v>Dieselisation (1955-1970)</v>
      </c>
      <c r="C8" s="1" t="n">
        <f aca="false">COUNTIF(Table!$CB:$CB,CONCATENATE($A8,"_",C$1))</f>
        <v>0</v>
      </c>
      <c r="D8" s="1" t="n">
        <f aca="false">COUNTIF(Table!$CB:$CB,CONCATENATE($A8,"_",D$1))</f>
        <v>0</v>
      </c>
      <c r="E8" s="1" t="n">
        <f aca="false">COUNTIF(Table!$CB:$CB,CONCATENATE($A8,"_",E$1))</f>
        <v>0</v>
      </c>
      <c r="F8" s="1" t="n">
        <f aca="false">COUNTIF(Table!$CB:$CB,CONCATENATE($A8,"_",F$1))</f>
        <v>0</v>
      </c>
      <c r="G8" s="1" t="n">
        <f aca="false">COUNTIF(Table!$CB:$CB,CONCATENATE($A8,"_",G$1))</f>
        <v>0</v>
      </c>
      <c r="H8" s="1" t="n">
        <f aca="false">COUNTIF(Table!$CB:$CB,CONCATENATE($A8,"_",H$1))</f>
        <v>0</v>
      </c>
      <c r="I8" s="1" t="n">
        <f aca="false">COUNTIF(Table!$CB:$CB,CONCATENATE($A8,"_",I$1))</f>
        <v>0</v>
      </c>
      <c r="J8" s="1" t="n">
        <f aca="false">COUNTIF(Table!$CB:$CB,CONCATENATE($A8,"_",J$1))</f>
        <v>0</v>
      </c>
      <c r="K8" s="1" t="n">
        <f aca="false">COUNTIF(Table!$CB:$CB,CONCATENATE($A8,"_",K$1))</f>
        <v>0</v>
      </c>
      <c r="L8" s="1" t="n">
        <f aca="false">COUNTIF(Table!$CB:$CB,CONCATENATE($A8,"_",L$1))</f>
        <v>0</v>
      </c>
      <c r="M8" s="1" t="n">
        <f aca="false">COUNTIF(Table!$CB:$CB,CONCATENATE($A8,"_",M$1))</f>
        <v>0</v>
      </c>
      <c r="N8" s="1" t="n">
        <f aca="false">COUNTIF(Table!$CB:$CB,CONCATENATE($A8,"_",N$1))</f>
        <v>0</v>
      </c>
      <c r="O8" s="1" t="n">
        <f aca="false">COUNTIF(Table!$CB:$CB,CONCATENATE($A8,"_",O$1))</f>
        <v>0</v>
      </c>
      <c r="P8" s="1" t="n">
        <f aca="false">COUNTIF(Table!$CB:$CB,CONCATENATE($A8,"_",P$1))</f>
        <v>0</v>
      </c>
      <c r="Q8" s="1" t="n">
        <f aca="false">COUNTIF(Table!$CB:$CB,CONCATENATE($A8,"_",Q$1))</f>
        <v>0</v>
      </c>
      <c r="R8" s="1" t="n">
        <f aca="false">COUNTIF(Table!$CB:$CB,CONCATENATE($A8,"_",R$1))</f>
        <v>0</v>
      </c>
      <c r="S8" s="1" t="n">
        <f aca="false">COUNTIF(Table!$CB:$CB,CONCATENATE($A8,"_",S$1))</f>
        <v>0</v>
      </c>
      <c r="T8" s="1" t="n">
        <f aca="false">COUNTIF(Table!$CB:$CB,CONCATENATE($A8,"_",T$1))</f>
        <v>0</v>
      </c>
      <c r="U8" s="1" t="n">
        <f aca="false">COUNTIF(Table!$CB:$CB,CONCATENATE($A8,"_",U$1))</f>
        <v>0</v>
      </c>
      <c r="V8" s="1" t="n">
        <f aca="false">COUNTIF(Table!$CB:$CB,CONCATENATE($A8,"_",V$1))</f>
        <v>0</v>
      </c>
      <c r="W8" s="1" t="n">
        <f aca="false">COUNTIF(Table!$CB:$CB,CONCATENATE($A8,"_",W$1))</f>
        <v>0</v>
      </c>
    </row>
    <row r="9" customFormat="false" ht="15" hidden="false" customHeight="false" outlineLevel="0" collapsed="false">
      <c r="A9" s="1" t="s">
        <v>94</v>
      </c>
      <c r="B9" s="1" t="str">
        <f aca="false">VLOOKUP(A9, Eras!$B$2:$C$10, 2, FALSE())</f>
        <v>Late BR (1970-1995)</v>
      </c>
      <c r="C9" s="1" t="n">
        <f aca="false">COUNTIF(Table!$CB:$CB,CONCATENATE($A9,"_",C$1))</f>
        <v>0</v>
      </c>
      <c r="D9" s="1" t="n">
        <f aca="false">COUNTIF(Table!$CB:$CB,CONCATENATE($A9,"_",D$1))</f>
        <v>0</v>
      </c>
      <c r="E9" s="1" t="n">
        <f aca="false">COUNTIF(Table!$CB:$CB,CONCATENATE($A9,"_",E$1))</f>
        <v>0</v>
      </c>
      <c r="F9" s="1" t="n">
        <f aca="false">COUNTIF(Table!$CB:$CB,CONCATENATE($A9,"_",F$1))</f>
        <v>0</v>
      </c>
      <c r="G9" s="1" t="n">
        <f aca="false">COUNTIF(Table!$CB:$CB,CONCATENATE($A9,"_",G$1))</f>
        <v>0</v>
      </c>
      <c r="H9" s="1" t="n">
        <f aca="false">COUNTIF(Table!$CB:$CB,CONCATENATE($A9,"_",H$1))</f>
        <v>0</v>
      </c>
      <c r="I9" s="1" t="n">
        <f aca="false">COUNTIF(Table!$CB:$CB,CONCATENATE($A9,"_",I$1))</f>
        <v>0</v>
      </c>
      <c r="J9" s="1" t="n">
        <f aca="false">COUNTIF(Table!$CB:$CB,CONCATENATE($A9,"_",J$1))</f>
        <v>0</v>
      </c>
      <c r="K9" s="1" t="n">
        <f aca="false">COUNTIF(Table!$CB:$CB,CONCATENATE($A9,"_",K$1))</f>
        <v>0</v>
      </c>
      <c r="L9" s="1" t="n">
        <f aca="false">COUNTIF(Table!$CB:$CB,CONCATENATE($A9,"_",L$1))</f>
        <v>0</v>
      </c>
      <c r="M9" s="1" t="n">
        <f aca="false">COUNTIF(Table!$CB:$CB,CONCATENATE($A9,"_",M$1))</f>
        <v>0</v>
      </c>
      <c r="N9" s="1" t="n">
        <f aca="false">COUNTIF(Table!$CB:$CB,CONCATENATE($A9,"_",N$1))</f>
        <v>0</v>
      </c>
      <c r="O9" s="1" t="n">
        <f aca="false">COUNTIF(Table!$CB:$CB,CONCATENATE($A9,"_",O$1))</f>
        <v>0</v>
      </c>
      <c r="P9" s="1" t="n">
        <f aca="false">COUNTIF(Table!$CB:$CB,CONCATENATE($A9,"_",P$1))</f>
        <v>0</v>
      </c>
      <c r="Q9" s="1" t="n">
        <f aca="false">COUNTIF(Table!$CB:$CB,CONCATENATE($A9,"_",Q$1))</f>
        <v>0</v>
      </c>
      <c r="R9" s="1" t="n">
        <f aca="false">COUNTIF(Table!$CB:$CB,CONCATENATE($A9,"_",R$1))</f>
        <v>0</v>
      </c>
      <c r="S9" s="1" t="n">
        <f aca="false">COUNTIF(Table!$CB:$CB,CONCATENATE($A9,"_",S$1))</f>
        <v>0</v>
      </c>
      <c r="T9" s="1" t="n">
        <f aca="false">COUNTIF(Table!$CB:$CB,CONCATENATE($A9,"_",T$1))</f>
        <v>0</v>
      </c>
      <c r="U9" s="1" t="n">
        <f aca="false">COUNTIF(Table!$CB:$CB,CONCATENATE($A9,"_",U$1))</f>
        <v>0</v>
      </c>
      <c r="V9" s="1" t="n">
        <f aca="false">COUNTIF(Table!$CB:$CB,CONCATENATE($A9,"_",V$1))</f>
        <v>0</v>
      </c>
      <c r="W9" s="1" t="n">
        <f aca="false">COUNTIF(Table!$CB:$CB,CONCATENATE($A9,"_",W$1))</f>
        <v>0</v>
      </c>
    </row>
    <row r="10" customFormat="false" ht="15" hidden="false" customHeight="false" outlineLevel="0" collapsed="false">
      <c r="A10" s="1" t="s">
        <v>177</v>
      </c>
      <c r="B10" s="1" t="str">
        <f aca="false">VLOOKUP(A10, Eras!$B$2:$C$10, 2, FALSE())</f>
        <v>Privatisation (1995-2005)</v>
      </c>
      <c r="C10" s="1" t="n">
        <f aca="false">COUNTIF(Table!$CB:$CB,CONCATENATE($A10,"_",C$1))</f>
        <v>0</v>
      </c>
      <c r="D10" s="1" t="n">
        <f aca="false">COUNTIF(Table!$CB:$CB,CONCATENATE($A10,"_",D$1))</f>
        <v>0</v>
      </c>
      <c r="E10" s="1" t="n">
        <f aca="false">COUNTIF(Table!$CB:$CB,CONCATENATE($A10,"_",E$1))</f>
        <v>0</v>
      </c>
      <c r="F10" s="1" t="n">
        <f aca="false">COUNTIF(Table!$CB:$CB,CONCATENATE($A10,"_",F$1))</f>
        <v>0</v>
      </c>
      <c r="G10" s="1" t="n">
        <f aca="false">COUNTIF(Table!$CB:$CB,CONCATENATE($A10,"_",G$1))</f>
        <v>0</v>
      </c>
      <c r="H10" s="1" t="n">
        <f aca="false">COUNTIF(Table!$CB:$CB,CONCATENATE($A10,"_",H$1))</f>
        <v>0</v>
      </c>
      <c r="I10" s="1" t="n">
        <f aca="false">COUNTIF(Table!$CB:$CB,CONCATENATE($A10,"_",I$1))</f>
        <v>0</v>
      </c>
      <c r="J10" s="1" t="n">
        <f aca="false">COUNTIF(Table!$CB:$CB,CONCATENATE($A10,"_",J$1))</f>
        <v>0</v>
      </c>
      <c r="K10" s="1" t="n">
        <f aca="false">COUNTIF(Table!$CB:$CB,CONCATENATE($A10,"_",K$1))</f>
        <v>0</v>
      </c>
      <c r="L10" s="1" t="n">
        <f aca="false">COUNTIF(Table!$CB:$CB,CONCATENATE($A10,"_",L$1))</f>
        <v>0</v>
      </c>
      <c r="M10" s="1" t="n">
        <f aca="false">COUNTIF(Table!$CB:$CB,CONCATENATE($A10,"_",M$1))</f>
        <v>0</v>
      </c>
      <c r="N10" s="1" t="n">
        <f aca="false">COUNTIF(Table!$CB:$CB,CONCATENATE($A10,"_",N$1))</f>
        <v>0</v>
      </c>
      <c r="O10" s="1" t="n">
        <f aca="false">COUNTIF(Table!$CB:$CB,CONCATENATE($A10,"_",O$1))</f>
        <v>0</v>
      </c>
      <c r="P10" s="1" t="n">
        <f aca="false">COUNTIF(Table!$CB:$CB,CONCATENATE($A10,"_",P$1))</f>
        <v>0</v>
      </c>
      <c r="Q10" s="1" t="n">
        <f aca="false">COUNTIF(Table!$CB:$CB,CONCATENATE($A10,"_",Q$1))</f>
        <v>0</v>
      </c>
      <c r="R10" s="1" t="n">
        <f aca="false">COUNTIF(Table!$CB:$CB,CONCATENATE($A10,"_",R$1))</f>
        <v>0</v>
      </c>
      <c r="S10" s="1" t="n">
        <f aca="false">COUNTIF(Table!$CB:$CB,CONCATENATE($A10,"_",S$1))</f>
        <v>0</v>
      </c>
      <c r="T10" s="1" t="n">
        <f aca="false">COUNTIF(Table!$CB:$CB,CONCATENATE($A10,"_",T$1))</f>
        <v>0</v>
      </c>
      <c r="U10" s="1" t="n">
        <f aca="false">COUNTIF(Table!$CB:$CB,CONCATENATE($A10,"_",U$1))</f>
        <v>0</v>
      </c>
      <c r="V10" s="1" t="n">
        <f aca="false">COUNTIF(Table!$CB:$CB,CONCATENATE($A10,"_",V$1))</f>
        <v>0</v>
      </c>
      <c r="W10" s="1" t="n">
        <f aca="false">COUNTIF(Table!$CB:$CB,CONCATENATE($A10,"_",W$1))</f>
        <v>0</v>
      </c>
    </row>
    <row r="11" customFormat="false" ht="15" hidden="false" customHeight="false" outlineLevel="0" collapsed="false">
      <c r="A11" s="1" t="s">
        <v>178</v>
      </c>
      <c r="B11" s="1" t="str">
        <f aca="false">VLOOKUP(A11, Eras!$B$2:$C$10, 2, FALSE())</f>
        <v>Modern (2005-)</v>
      </c>
      <c r="C11" s="1" t="n">
        <f aca="false">COUNTIF(Table!$CB:$CB,CONCATENATE($A11,"_",C$1))</f>
        <v>0</v>
      </c>
      <c r="D11" s="1" t="n">
        <f aca="false">COUNTIF(Table!$CB:$CB,CONCATENATE($A11,"_",D$1))</f>
        <v>0</v>
      </c>
      <c r="E11" s="1" t="n">
        <f aca="false">COUNTIF(Table!$CB:$CB,CONCATENATE($A11,"_",E$1))</f>
        <v>0</v>
      </c>
      <c r="F11" s="1" t="n">
        <f aca="false">COUNTIF(Table!$CB:$CB,CONCATENATE($A11,"_",F$1))</f>
        <v>0</v>
      </c>
      <c r="G11" s="1" t="n">
        <f aca="false">COUNTIF(Table!$CB:$CB,CONCATENATE($A11,"_",G$1))</f>
        <v>0</v>
      </c>
      <c r="H11" s="1" t="n">
        <f aca="false">COUNTIF(Table!$CB:$CB,CONCATENATE($A11,"_",H$1))</f>
        <v>0</v>
      </c>
      <c r="I11" s="1" t="n">
        <f aca="false">COUNTIF(Table!$CB:$CB,CONCATENATE($A11,"_",I$1))</f>
        <v>0</v>
      </c>
      <c r="J11" s="1" t="n">
        <f aca="false">COUNTIF(Table!$CB:$CB,CONCATENATE($A11,"_",J$1))</f>
        <v>0</v>
      </c>
      <c r="K11" s="1" t="n">
        <f aca="false">COUNTIF(Table!$CB:$CB,CONCATENATE($A11,"_",K$1))</f>
        <v>0</v>
      </c>
      <c r="L11" s="1" t="n">
        <f aca="false">COUNTIF(Table!$CB:$CB,CONCATENATE($A11,"_",L$1))</f>
        <v>0</v>
      </c>
      <c r="M11" s="1" t="n">
        <f aca="false">COUNTIF(Table!$CB:$CB,CONCATENATE($A11,"_",M$1))</f>
        <v>0</v>
      </c>
      <c r="N11" s="1" t="n">
        <f aca="false">COUNTIF(Table!$CB:$CB,CONCATENATE($A11,"_",N$1))</f>
        <v>0</v>
      </c>
      <c r="O11" s="1" t="n">
        <f aca="false">COUNTIF(Table!$CB:$CB,CONCATENATE($A11,"_",O$1))</f>
        <v>0</v>
      </c>
      <c r="P11" s="1" t="n">
        <f aca="false">COUNTIF(Table!$CB:$CB,CONCATENATE($A11,"_",P$1))</f>
        <v>0</v>
      </c>
      <c r="Q11" s="1" t="n">
        <f aca="false">COUNTIF(Table!$CB:$CB,CONCATENATE($A11,"_",Q$1))</f>
        <v>0</v>
      </c>
      <c r="R11" s="1" t="n">
        <f aca="false">COUNTIF(Table!$CB:$CB,CONCATENATE($A11,"_",R$1))</f>
        <v>0</v>
      </c>
      <c r="S11" s="1" t="n">
        <f aca="false">COUNTIF(Table!$CB:$CB,CONCATENATE($A11,"_",S$1))</f>
        <v>0</v>
      </c>
      <c r="T11" s="1" t="n">
        <f aca="false">COUNTIF(Table!$CB:$CB,CONCATENATE($A11,"_",T$1))</f>
        <v>0</v>
      </c>
      <c r="U11" s="1" t="n">
        <f aca="false">COUNTIF(Table!$CB:$CB,CONCATENATE($A11,"_",U$1))</f>
        <v>0</v>
      </c>
      <c r="V11" s="1" t="n">
        <f aca="false">COUNTIF(Table!$CB:$CB,CONCATENATE($A11,"_",V$1))</f>
        <v>0</v>
      </c>
      <c r="W11" s="1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9.57"/>
    <col collapsed="false" customWidth="true" hidden="false" outlineLevel="0" max="2" min="2" style="1" width="5.43"/>
    <col collapsed="false" customWidth="true" hidden="false" outlineLevel="0" max="3" min="3" style="1" width="29"/>
  </cols>
  <sheetData>
    <row r="1" customFormat="false" ht="15" hidden="false" customHeight="false" outlineLevel="0" collapsed="false">
      <c r="A1" s="11" t="s">
        <v>179</v>
      </c>
      <c r="B1" s="11" t="s">
        <v>180</v>
      </c>
      <c r="C1" s="11" t="s">
        <v>181</v>
      </c>
    </row>
    <row r="2" customFormat="false" ht="15" hidden="false" customHeight="false" outlineLevel="0" collapsed="false">
      <c r="A2" s="1" t="n">
        <v>1700</v>
      </c>
      <c r="B2" s="1" t="s">
        <v>171</v>
      </c>
      <c r="C2" s="1" t="s">
        <v>182</v>
      </c>
    </row>
    <row r="3" customFormat="false" ht="15" hidden="false" customHeight="false" outlineLevel="0" collapsed="false">
      <c r="A3" s="1" t="n">
        <v>1850</v>
      </c>
      <c r="B3" s="1" t="s">
        <v>172</v>
      </c>
      <c r="C3" s="1" t="s">
        <v>183</v>
      </c>
    </row>
    <row r="4" customFormat="false" ht="15" hidden="false" customHeight="false" outlineLevel="0" collapsed="false">
      <c r="A4" s="1" t="n">
        <v>1900</v>
      </c>
      <c r="B4" s="1" t="s">
        <v>173</v>
      </c>
      <c r="C4" s="1" t="s">
        <v>184</v>
      </c>
    </row>
    <row r="5" customFormat="false" ht="15" hidden="false" customHeight="false" outlineLevel="0" collapsed="false">
      <c r="A5" s="1" t="n">
        <v>1923</v>
      </c>
      <c r="B5" s="1" t="s">
        <v>174</v>
      </c>
      <c r="C5" s="1" t="s">
        <v>185</v>
      </c>
    </row>
    <row r="6" customFormat="false" ht="15" hidden="false" customHeight="false" outlineLevel="0" collapsed="false">
      <c r="A6" s="1" t="n">
        <v>1948</v>
      </c>
      <c r="B6" s="1" t="s">
        <v>175</v>
      </c>
      <c r="C6" s="1" t="s">
        <v>186</v>
      </c>
    </row>
    <row r="7" customFormat="false" ht="15" hidden="false" customHeight="false" outlineLevel="0" collapsed="false">
      <c r="A7" s="1" t="n">
        <v>1955</v>
      </c>
      <c r="B7" s="1" t="s">
        <v>176</v>
      </c>
      <c r="C7" s="1" t="s">
        <v>187</v>
      </c>
    </row>
    <row r="8" customFormat="false" ht="15" hidden="false" customHeight="false" outlineLevel="0" collapsed="false">
      <c r="A8" s="1" t="n">
        <v>1970</v>
      </c>
      <c r="B8" s="1" t="s">
        <v>94</v>
      </c>
      <c r="C8" s="1" t="s">
        <v>188</v>
      </c>
    </row>
    <row r="9" customFormat="false" ht="15" hidden="false" customHeight="false" outlineLevel="0" collapsed="false">
      <c r="A9" s="1" t="n">
        <v>1995</v>
      </c>
      <c r="B9" s="1" t="s">
        <v>177</v>
      </c>
      <c r="C9" s="1" t="s">
        <v>189</v>
      </c>
    </row>
    <row r="10" customFormat="false" ht="15" hidden="false" customHeight="false" outlineLevel="0" collapsed="false">
      <c r="A10" s="1" t="n">
        <v>2005</v>
      </c>
      <c r="B10" s="1" t="s">
        <v>178</v>
      </c>
      <c r="C10" s="1" t="s">
        <v>190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32" activeCellId="0" sqref="O32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7"/>
    <col collapsed="false" customWidth="true" hidden="false" outlineLevel="0" max="2" min="2" style="1" width="13.3"/>
    <col collapsed="false" customWidth="true" hidden="false" outlineLevel="0" max="3" min="3" style="1" width="20.14"/>
    <col collapsed="false" customWidth="true" hidden="false" outlineLevel="0" max="6" min="6" style="1" width="27.43"/>
    <col collapsed="false" customWidth="true" hidden="false" outlineLevel="0" max="9" min="9" style="1" width="14.7"/>
    <col collapsed="false" customWidth="true" hidden="false" outlineLevel="0" max="10" min="10" style="1" width="18.14"/>
    <col collapsed="false" customWidth="true" hidden="false" outlineLevel="0" max="11" min="11" style="1" width="18.86"/>
    <col collapsed="false" customWidth="true" hidden="false" outlineLevel="0" max="13" min="13" style="1" width="19.72"/>
    <col collapsed="false" customWidth="true" hidden="false" outlineLevel="0" max="14" min="14" style="1" width="27.28"/>
    <col collapsed="false" customWidth="true" hidden="false" outlineLevel="0" max="15" min="15" style="1" width="6.7"/>
  </cols>
  <sheetData>
    <row r="1" customFormat="false" ht="15" hidden="false" customHeight="false" outlineLevel="0" collapsed="false">
      <c r="A1" s="11" t="s">
        <v>191</v>
      </c>
      <c r="B1" s="11" t="s">
        <v>192</v>
      </c>
      <c r="C1" s="11" t="s">
        <v>193</v>
      </c>
      <c r="F1" s="11" t="s">
        <v>194</v>
      </c>
      <c r="G1" s="1" t="n">
        <v>15</v>
      </c>
      <c r="I1" s="11" t="s">
        <v>195</v>
      </c>
      <c r="J1" s="11" t="s">
        <v>196</v>
      </c>
      <c r="K1" s="11" t="s">
        <v>197</v>
      </c>
      <c r="M1" s="11" t="s">
        <v>198</v>
      </c>
      <c r="N1" s="11" t="s">
        <v>199</v>
      </c>
      <c r="O1" s="11" t="s">
        <v>13</v>
      </c>
    </row>
    <row r="2" customFormat="false" ht="15" hidden="false" customHeight="false" outlineLevel="0" collapsed="false">
      <c r="A2" s="1" t="n">
        <v>0</v>
      </c>
      <c r="B2" s="1" t="s">
        <v>200</v>
      </c>
      <c r="F2" s="11" t="s">
        <v>201</v>
      </c>
      <c r="G2" s="1" t="n">
        <v>5</v>
      </c>
      <c r="I2" s="1" t="s">
        <v>90</v>
      </c>
      <c r="J2" s="1" t="n">
        <v>1</v>
      </c>
      <c r="K2" s="1" t="n">
        <v>2</v>
      </c>
      <c r="M2" s="1" t="s">
        <v>97</v>
      </c>
      <c r="N2" s="1" t="str">
        <f aca="false">IF(O2&lt;&gt;"", _xlfn.CONCAT("{BLACK}Powered by: {GOLD}",O2), "")</f>
        <v>{BLACK}Powered by: {GOLD}Diesel</v>
      </c>
      <c r="O2" s="1" t="s">
        <v>202</v>
      </c>
    </row>
    <row r="3" customFormat="false" ht="15" hidden="false" customHeight="false" outlineLevel="0" collapsed="false">
      <c r="A3" s="1" t="n">
        <v>3</v>
      </c>
      <c r="B3" s="1" t="s">
        <v>203</v>
      </c>
      <c r="C3" s="1" t="s">
        <v>203</v>
      </c>
      <c r="I3" s="1" t="s">
        <v>124</v>
      </c>
      <c r="J3" s="1" t="n">
        <v>0.85</v>
      </c>
      <c r="K3" s="1" t="n">
        <v>2.3</v>
      </c>
      <c r="M3" s="1" t="s">
        <v>204</v>
      </c>
      <c r="N3" s="1" t="str">
        <f aca="false">IF(O3&lt;&gt;"", _xlfn.CONCAT("{BLACK}Powered by: {GOLD}",O3), "")</f>
        <v>{BLACK}Powered by: {GOLD}Steam</v>
      </c>
      <c r="O3" s="1" t="s">
        <v>205</v>
      </c>
    </row>
    <row r="4" customFormat="false" ht="15" hidden="false" customHeight="false" outlineLevel="0" collapsed="false">
      <c r="A4" s="1" t="n">
        <v>4</v>
      </c>
      <c r="B4" s="1" t="s">
        <v>206</v>
      </c>
      <c r="C4" s="1" t="s">
        <v>206</v>
      </c>
      <c r="I4" s="1" t="s">
        <v>207</v>
      </c>
      <c r="J4" s="1" t="n">
        <v>1.15</v>
      </c>
      <c r="K4" s="1" t="n">
        <v>1.7</v>
      </c>
      <c r="M4" s="1" t="s">
        <v>208</v>
      </c>
      <c r="N4" s="1" t="str">
        <f aca="false">IF(O4&lt;&gt;"", _xlfn.CONCAT("{BLACK}Powered by: {GOLD}",O4), "")</f>
        <v>{BLACK}Powered by: {GOLD}25kV AC</v>
      </c>
      <c r="O4" s="1" t="s">
        <v>209</v>
      </c>
    </row>
    <row r="5" customFormat="false" ht="15" hidden="false" customHeight="false" outlineLevel="0" collapsed="false">
      <c r="A5" s="1" t="n">
        <v>5</v>
      </c>
      <c r="B5" s="1" t="s">
        <v>210</v>
      </c>
      <c r="C5" s="1" t="s">
        <v>210</v>
      </c>
      <c r="I5" s="1" t="s">
        <v>211</v>
      </c>
      <c r="J5" s="1" t="n">
        <v>0.9</v>
      </c>
      <c r="K5" s="1" t="n">
        <v>2.5</v>
      </c>
      <c r="M5" s="1" t="s">
        <v>212</v>
      </c>
      <c r="N5" s="1" t="str">
        <f aca="false">IF(O5&lt;&gt;"", _xlfn.CONCAT("{BLACK}Powered by: {GOLD}",O5), "")</f>
        <v>{BLACK}Powered by: {GOLD}750V DC</v>
      </c>
      <c r="O5" s="1" t="s">
        <v>213</v>
      </c>
    </row>
    <row r="6" customFormat="false" ht="15" hidden="false" customHeight="false" outlineLevel="0" collapsed="false">
      <c r="A6" s="1" t="n">
        <v>6</v>
      </c>
      <c r="B6" s="1" t="s">
        <v>214</v>
      </c>
      <c r="C6" s="1" t="s">
        <v>214</v>
      </c>
      <c r="I6" s="1" t="s">
        <v>215</v>
      </c>
      <c r="J6" s="1" t="n">
        <v>0.85</v>
      </c>
      <c r="K6" s="1" t="n">
        <v>2.4</v>
      </c>
      <c r="M6" s="1" t="s">
        <v>216</v>
      </c>
      <c r="N6" s="1" t="str">
        <f aca="false">IF(O6&lt;&gt;"", _xlfn.CONCAT("{BLACK}Powered by: {GOLD}",O6), "")</f>
        <v/>
      </c>
    </row>
    <row r="7" customFormat="false" ht="15" hidden="false" customHeight="false" outlineLevel="0" collapsed="false">
      <c r="A7" s="1" t="n">
        <v>7</v>
      </c>
      <c r="B7" s="1" t="s">
        <v>217</v>
      </c>
      <c r="C7" s="1" t="s">
        <v>217</v>
      </c>
      <c r="I7" s="1" t="s">
        <v>218</v>
      </c>
      <c r="J7" s="1" t="n">
        <v>1.2</v>
      </c>
      <c r="K7" s="1" t="n">
        <v>0.6</v>
      </c>
      <c r="M7" s="1" t="s">
        <v>219</v>
      </c>
      <c r="N7" s="1" t="str">
        <f aca="false">IF(O7&lt;&gt;"", _xlfn.CONCAT("{BLACK}Powered by: {GOLD}",O7), "")</f>
        <v/>
      </c>
    </row>
    <row r="8" customFormat="false" ht="15" hidden="false" customHeight="false" outlineLevel="0" collapsed="false">
      <c r="A8" s="1" t="n">
        <v>8</v>
      </c>
      <c r="B8" s="1" t="s">
        <v>220</v>
      </c>
      <c r="C8" s="1" t="s">
        <v>220</v>
      </c>
      <c r="I8" s="1" t="s">
        <v>221</v>
      </c>
      <c r="J8" s="1" t="n">
        <v>1.5</v>
      </c>
      <c r="K8" s="1" t="n">
        <v>0.7</v>
      </c>
      <c r="M8" s="1" t="s">
        <v>222</v>
      </c>
      <c r="N8" s="1" t="str">
        <f aca="false">IF(O8&lt;&gt;"", _xlfn.CONCAT("{BLACK}Powered by: {GOLD}",O8), "")</f>
        <v/>
      </c>
    </row>
    <row r="9" customFormat="false" ht="15" hidden="false" customHeight="false" outlineLevel="0" collapsed="false">
      <c r="A9" s="1" t="n">
        <v>9</v>
      </c>
      <c r="B9" s="1" t="s">
        <v>223</v>
      </c>
      <c r="C9" s="1" t="s">
        <v>223</v>
      </c>
      <c r="I9" s="1" t="s">
        <v>224</v>
      </c>
      <c r="J9" s="1" t="n">
        <v>1</v>
      </c>
      <c r="K9" s="1" t="n">
        <v>0.45</v>
      </c>
      <c r="M9" s="1" t="s">
        <v>225</v>
      </c>
      <c r="N9" s="1" t="str">
        <f aca="false">IF(O9&lt;&gt;"", _xlfn.CONCAT("{BLACK}Powered by: {GOLD}",O9), "")</f>
        <v/>
      </c>
    </row>
    <row r="10" customFormat="false" ht="15" hidden="false" customHeight="false" outlineLevel="0" collapsed="false">
      <c r="A10" s="1" t="n">
        <v>10</v>
      </c>
      <c r="B10" s="1" t="s">
        <v>226</v>
      </c>
      <c r="C10" s="1" t="s">
        <v>226</v>
      </c>
      <c r="I10" s="1" t="s">
        <v>227</v>
      </c>
      <c r="J10" s="1" t="n">
        <v>1</v>
      </c>
      <c r="K10" s="1" t="n">
        <v>0.4</v>
      </c>
      <c r="M10" s="1" t="s">
        <v>228</v>
      </c>
      <c r="N10" s="1" t="str">
        <f aca="false">IF(O10&lt;&gt;"", _xlfn.CONCAT("{BLACK}Powered by: {GOLD}",O10), "")</f>
        <v>{BLACK}Powered by: {GOLD}Steam</v>
      </c>
      <c r="O10" s="1" t="s">
        <v>205</v>
      </c>
    </row>
    <row r="11" customFormat="false" ht="15" hidden="false" customHeight="false" outlineLevel="0" collapsed="false">
      <c r="A11" s="1" t="n">
        <v>11</v>
      </c>
      <c r="B11" s="1" t="s">
        <v>229</v>
      </c>
      <c r="C11" s="1" t="s">
        <v>229</v>
      </c>
      <c r="I11" s="1" t="s">
        <v>230</v>
      </c>
      <c r="J11" s="1" t="n">
        <v>0.9</v>
      </c>
      <c r="K11" s="1" t="n">
        <v>1.6</v>
      </c>
      <c r="M11" s="1" t="s">
        <v>231</v>
      </c>
      <c r="N11" s="1" t="str">
        <f aca="false">IF(O11&lt;&gt;"", _xlfn.CONCAT("{BLACK}Powered by: {GOLD}",O11), "")</f>
        <v>{BLACK}Powered by: {GOLD}750V DC / Diesel</v>
      </c>
      <c r="O11" s="1" t="s">
        <v>232</v>
      </c>
    </row>
    <row r="12" customFormat="false" ht="15" hidden="false" customHeight="false" outlineLevel="0" collapsed="false">
      <c r="A12" s="1" t="n">
        <v>12</v>
      </c>
      <c r="B12" s="1" t="s">
        <v>233</v>
      </c>
      <c r="C12" s="1" t="s">
        <v>233</v>
      </c>
      <c r="I12" s="1" t="s">
        <v>38</v>
      </c>
      <c r="J12" s="1" t="n">
        <v>0</v>
      </c>
      <c r="K12" s="1" t="n">
        <v>0</v>
      </c>
      <c r="M12" s="1" t="s">
        <v>234</v>
      </c>
      <c r="N12" s="1" t="str">
        <f aca="false">IF(O12&lt;&gt;"", _xlfn.CONCAT("{BLACK}Powered by: {GOLD}",O12), "")</f>
        <v>{BLACK}Powered by: {GOLD}25kV AC / 750V DC</v>
      </c>
      <c r="O12" s="1" t="s">
        <v>235</v>
      </c>
    </row>
    <row r="13" customFormat="false" ht="15" hidden="false" customHeight="false" outlineLevel="0" collapsed="false">
      <c r="A13" s="1" t="n">
        <v>13</v>
      </c>
      <c r="B13" s="1" t="s">
        <v>236</v>
      </c>
      <c r="C13" s="1" t="s">
        <v>236</v>
      </c>
      <c r="I13" s="1" t="s">
        <v>237</v>
      </c>
      <c r="J13" s="1" t="n">
        <v>1.05</v>
      </c>
      <c r="K13" s="1" t="n">
        <v>1.9</v>
      </c>
      <c r="M13" s="1" t="s">
        <v>238</v>
      </c>
      <c r="N13" s="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" t="n">
        <v>14</v>
      </c>
      <c r="B14" s="1" t="s">
        <v>239</v>
      </c>
      <c r="C14" s="1" t="s">
        <v>239</v>
      </c>
      <c r="I14" s="1" t="s">
        <v>240</v>
      </c>
      <c r="J14" s="1" t="n">
        <v>0.98</v>
      </c>
      <c r="K14" s="1" t="n">
        <v>1.88</v>
      </c>
      <c r="M14" s="1" t="s">
        <v>241</v>
      </c>
      <c r="N14" s="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" t="n">
        <v>15</v>
      </c>
      <c r="B15" s="1" t="s">
        <v>242</v>
      </c>
      <c r="C15" s="1" t="s">
        <v>242</v>
      </c>
      <c r="I15" s="1" t="s">
        <v>243</v>
      </c>
      <c r="J15" s="1" t="n">
        <v>0.5</v>
      </c>
      <c r="K15" s="1" t="n">
        <v>0.5</v>
      </c>
      <c r="M15" s="1" t="s">
        <v>244</v>
      </c>
      <c r="N15" s="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" t="n">
        <v>16</v>
      </c>
      <c r="B16" s="1" t="s">
        <v>245</v>
      </c>
      <c r="C16" s="1" t="s">
        <v>245</v>
      </c>
      <c r="I16" s="1" t="s">
        <v>102</v>
      </c>
      <c r="J16" s="1" t="n">
        <v>0.85</v>
      </c>
      <c r="K16" s="1" t="n">
        <v>2.3</v>
      </c>
      <c r="M16" s="1" t="s">
        <v>246</v>
      </c>
      <c r="N16" s="1" t="str">
        <f aca="false">IF(O16&lt;&gt;"", _xlfn.CONCAT("{BLACK}Powered by: {GOLD}",O16), "")</f>
        <v>{BLACK}Powered by: {GOLD}Petrol</v>
      </c>
      <c r="O16" s="1" t="s">
        <v>247</v>
      </c>
    </row>
    <row r="17" customFormat="false" ht="15" hidden="false" customHeight="false" outlineLevel="0" collapsed="false">
      <c r="I17" s="1" t="s">
        <v>248</v>
      </c>
      <c r="J17" s="1" t="n">
        <v>1</v>
      </c>
      <c r="K17" s="1" t="n">
        <v>2</v>
      </c>
      <c r="M17" s="1" t="s">
        <v>249</v>
      </c>
      <c r="N17" s="1" t="str">
        <f aca="false">IF(O17&lt;&gt;"", _xlfn.CONCAT("{BLACK}Powered by: {GOLD}",O17), "")</f>
        <v>{BLACK}Powered by: {GOLD}25kV AC / Diesel</v>
      </c>
      <c r="O17" s="1" t="s">
        <v>250</v>
      </c>
    </row>
    <row r="18" customFormat="false" ht="15" hidden="false" customHeight="false" outlineLevel="0" collapsed="false">
      <c r="M18" s="1" t="s">
        <v>251</v>
      </c>
      <c r="N18" s="1" t="str">
        <f aca="false">IF(O18&lt;&gt;"", _xlfn.CONCAT("{BLACK}Powered by: {GOLD}",O18), "")</f>
        <v>{BLACK}Powered by: {GOLD}LPG / Flywheel</v>
      </c>
      <c r="O18" s="1" t="s">
        <v>252</v>
      </c>
    </row>
    <row r="19" customFormat="false" ht="15" hidden="false" customHeight="false" outlineLevel="0" collapsed="false">
      <c r="M19" s="1" t="s">
        <v>253</v>
      </c>
      <c r="N19" s="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" t="s">
        <v>254</v>
      </c>
      <c r="N20" s="1" t="str">
        <f aca="false">IF(O20&lt;&gt;"", _xlfn.CONCAT("{BLACK}Powered by: {GOLD}",O20), "")</f>
        <v>{BLACK}Powered by: {GOLD}Steam</v>
      </c>
      <c r="O20" s="1" t="s">
        <v>205</v>
      </c>
    </row>
    <row r="21" customFormat="false" ht="15" hidden="false" customHeight="false" outlineLevel="0" collapsed="false">
      <c r="M21" s="1" t="s">
        <v>255</v>
      </c>
      <c r="N21" s="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" t="s">
        <v>256</v>
      </c>
      <c r="N22" s="1" t="str">
        <f aca="false">IF(O22&lt;&gt;"", _xlfn.CONCAT("{BLACK}Powered by: {GOLD}",O22), "")</f>
        <v>{BLACK}Powered by: {GOLD}Grass and hay</v>
      </c>
      <c r="O22" s="1" t="s">
        <v>257</v>
      </c>
    </row>
    <row r="23" customFormat="false" ht="15" hidden="false" customHeight="false" outlineLevel="0" collapsed="false">
      <c r="M23" s="1" t="s">
        <v>258</v>
      </c>
      <c r="N23" s="1" t="str">
        <f aca="false">IF(O23&lt;&gt;"", _xlfn.CONCAT("{BLACK}Powered by: {GOLD}",O23), "")</f>
        <v>{BLACK}Powered by: {GOLD}630V DC</v>
      </c>
      <c r="O23" s="1" t="s">
        <v>259</v>
      </c>
    </row>
    <row r="24" customFormat="false" ht="15" hidden="false" customHeight="false" outlineLevel="0" collapsed="false">
      <c r="M24" s="1" t="s">
        <v>260</v>
      </c>
      <c r="N24" s="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" t="s">
        <v>261</v>
      </c>
      <c r="N25" s="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" t="s">
        <v>262</v>
      </c>
      <c r="N26" s="1" t="str">
        <f aca="false">IF(O26&lt;&gt;"", _xlfn.CONCAT("{BLACK}Powered by: {GOLD}",O26), "")</f>
        <v>{BLACK}Powered by: {GOLD}Grass and hay</v>
      </c>
      <c r="O26" s="1" t="s">
        <v>257</v>
      </c>
    </row>
    <row r="27" customFormat="false" ht="15" hidden="false" customHeight="false" outlineLevel="0" collapsed="false">
      <c r="M27" s="1" t="s">
        <v>263</v>
      </c>
      <c r="N27" s="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" t="s">
        <v>264</v>
      </c>
      <c r="N28" s="1" t="str">
        <f aca="false">IF(O28&lt;&gt;"", _xlfn.CONCAT("{BLACK}Powered by: {GOLD}",O28), "")</f>
        <v>{BLACK}Powered by: {GOLD}Diesel</v>
      </c>
      <c r="O28" s="1" t="s">
        <v>202</v>
      </c>
    </row>
    <row r="29" customFormat="false" ht="15" hidden="false" customHeight="false" outlineLevel="0" collapsed="false">
      <c r="M29" s="1" t="s">
        <v>265</v>
      </c>
      <c r="N29" s="1" t="str">
        <f aca="false">IF(O29&lt;&gt;"", _xlfn.CONCAT("{BLACK}Powered by: {GOLD}",O29), "")</f>
        <v/>
      </c>
      <c r="O29" s="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" t="s">
        <v>266</v>
      </c>
      <c r="N30" s="1" t="str">
        <f aca="false">IF(O30&lt;&gt;"", _xlfn.CONCAT("{BLACK}Powered by: {GOLD}",O30), "")</f>
        <v>{BLACK}Powered by: {GOLD}Gas Turbine</v>
      </c>
      <c r="O30" s="1" t="s">
        <v>267</v>
      </c>
    </row>
    <row r="31" customFormat="false" ht="15" hidden="false" customHeight="false" outlineLevel="0" collapsed="false">
      <c r="M31" s="1" t="s">
        <v>268</v>
      </c>
      <c r="N31" s="1" t="str">
        <f aca="false">IF(O31&lt;&gt;"", _xlfn.CONCAT("{BLACK}Powered by: {GOLD}",O31), "")</f>
        <v>{BLACK}Powered by: {GOLD}Petrol</v>
      </c>
      <c r="O31" s="1" t="s">
        <v>247</v>
      </c>
    </row>
    <row r="32" customFormat="false" ht="15" hidden="false" customHeight="false" outlineLevel="0" collapsed="false">
      <c r="M32" s="1" t="s">
        <v>269</v>
      </c>
      <c r="N32" s="1" t="str">
        <f aca="false">IF(O32&lt;&gt;"", _xlfn.CONCAT("{BLACK}Powered by: {GOLD}",O32), "")</f>
        <v/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1" width="10.71"/>
    <col collapsed="false" customWidth="true" hidden="false" outlineLevel="0" max="4" min="3" style="1" width="21.43"/>
  </cols>
  <sheetData>
    <row r="1" customFormat="false" ht="15" hidden="false" customHeight="false" outlineLevel="0" collapsed="false">
      <c r="A1" s="11" t="s">
        <v>270</v>
      </c>
      <c r="B1" s="11" t="s">
        <v>271</v>
      </c>
      <c r="C1" s="11" t="s">
        <v>272</v>
      </c>
      <c r="D1" s="11" t="s">
        <v>273</v>
      </c>
    </row>
    <row r="2" customFormat="false" ht="15" hidden="false" customHeight="false" outlineLevel="0" collapsed="false">
      <c r="A2" s="1" t="n">
        <v>0</v>
      </c>
      <c r="B2" s="1" t="n">
        <f aca="false">IF(D2,D2,C2)</f>
        <v>0</v>
      </c>
      <c r="C2" s="1" t="n">
        <f aca="false">INT(A2*(256/15))</f>
        <v>0</v>
      </c>
      <c r="D2" s="11"/>
    </row>
    <row r="3" customFormat="false" ht="15" hidden="false" customHeight="false" outlineLevel="0" collapsed="false">
      <c r="A3" s="1" t="n">
        <v>1</v>
      </c>
      <c r="B3" s="1" t="n">
        <f aca="false">IF(D3,D3,C3)</f>
        <v>17</v>
      </c>
      <c r="C3" s="1" t="n">
        <f aca="false">INT(A3*(256/15))</f>
        <v>17</v>
      </c>
    </row>
    <row r="4" customFormat="false" ht="15" hidden="false" customHeight="false" outlineLevel="0" collapsed="false">
      <c r="A4" s="1" t="n">
        <v>2</v>
      </c>
      <c r="B4" s="1" t="n">
        <f aca="false">IF(D4,D4,C4)</f>
        <v>34</v>
      </c>
      <c r="C4" s="1" t="n">
        <f aca="false">INT(A4*(256/15))</f>
        <v>34</v>
      </c>
    </row>
    <row r="5" customFormat="false" ht="15" hidden="false" customHeight="false" outlineLevel="0" collapsed="false">
      <c r="A5" s="1" t="n">
        <v>3</v>
      </c>
      <c r="B5" s="1" t="n">
        <f aca="false">IF(D5,D5,C5)</f>
        <v>51</v>
      </c>
      <c r="C5" s="1" t="n">
        <f aca="false">INT(A5*(256/15))</f>
        <v>51</v>
      </c>
    </row>
    <row r="6" customFormat="false" ht="15" hidden="false" customHeight="false" outlineLevel="0" collapsed="false">
      <c r="A6" s="1" t="n">
        <v>4</v>
      </c>
      <c r="B6" s="1" t="n">
        <f aca="false">IF(D6,D6,C6)</f>
        <v>66</v>
      </c>
      <c r="C6" s="1" t="n">
        <f aca="false">INT(A6*(256/15))</f>
        <v>68</v>
      </c>
      <c r="D6" s="1" t="n">
        <v>66</v>
      </c>
    </row>
    <row r="7" customFormat="false" ht="15" hidden="false" customHeight="false" outlineLevel="0" collapsed="false">
      <c r="A7" s="1" t="n">
        <v>5</v>
      </c>
      <c r="B7" s="1" t="n">
        <f aca="false">IF(D7,D7,C7)</f>
        <v>82</v>
      </c>
      <c r="C7" s="1" t="n">
        <f aca="false">INT(A7*(256/15))</f>
        <v>85</v>
      </c>
      <c r="D7" s="1" t="n">
        <v>82</v>
      </c>
    </row>
    <row r="8" customFormat="false" ht="15" hidden="false" customHeight="false" outlineLevel="0" collapsed="false">
      <c r="A8" s="1" t="n">
        <v>6</v>
      </c>
      <c r="B8" s="1" t="n">
        <f aca="false">IF(D8,D8,C8)</f>
        <v>102</v>
      </c>
      <c r="C8" s="1" t="n">
        <f aca="false">INT(A8*(256/15))</f>
        <v>102</v>
      </c>
      <c r="D8" s="1" t="n">
        <v>102</v>
      </c>
    </row>
    <row r="9" customFormat="false" ht="15" hidden="false" customHeight="false" outlineLevel="0" collapsed="false">
      <c r="A9" s="1" t="n">
        <v>7</v>
      </c>
      <c r="B9" s="1" t="n">
        <f aca="false">IF(D9,D9,C9)</f>
        <v>120</v>
      </c>
      <c r="C9" s="1" t="n">
        <f aca="false">INT(A9*(256/15))</f>
        <v>119</v>
      </c>
      <c r="D9" s="1" t="n">
        <v>120</v>
      </c>
    </row>
    <row r="10" customFormat="false" ht="15" hidden="false" customHeight="false" outlineLevel="0" collapsed="false">
      <c r="A10" s="1" t="n">
        <v>8</v>
      </c>
      <c r="B10" s="1" t="n">
        <f aca="false">IF(D10,D10,C10)</f>
        <v>136</v>
      </c>
      <c r="C10" s="1" t="n">
        <f aca="false">INT(A10*(256/15))</f>
        <v>136</v>
      </c>
      <c r="D10" s="1" t="n">
        <v>136</v>
      </c>
    </row>
    <row r="11" customFormat="false" ht="15" hidden="false" customHeight="false" outlineLevel="0" collapsed="false">
      <c r="A11" s="1" t="n">
        <v>9</v>
      </c>
      <c r="B11" s="1" t="n">
        <f aca="false">IF(D11,D11,C11)</f>
        <v>152</v>
      </c>
      <c r="C11" s="1" t="n">
        <f aca="false">INT(A11*(256/15))</f>
        <v>153</v>
      </c>
      <c r="D11" s="1" t="n">
        <v>152</v>
      </c>
    </row>
    <row r="12" customFormat="false" ht="15" hidden="false" customHeight="false" outlineLevel="0" collapsed="false">
      <c r="A12" s="1" t="n">
        <v>10</v>
      </c>
      <c r="B12" s="1" t="n">
        <f aca="false">IF(D12,D12,C12)</f>
        <v>164</v>
      </c>
      <c r="C12" s="1" t="n">
        <f aca="false">INT(A12*(256/15))</f>
        <v>170</v>
      </c>
      <c r="D12" s="1" t="n">
        <v>164</v>
      </c>
    </row>
    <row r="13" customFormat="false" ht="15" hidden="false" customHeight="false" outlineLevel="0" collapsed="false">
      <c r="A13" s="1" t="n">
        <v>11</v>
      </c>
      <c r="B13" s="1" t="n">
        <f aca="false">IF(D13,D13,C13)</f>
        <v>186</v>
      </c>
      <c r="C13" s="1" t="n">
        <f aca="false">INT(A13*(256/15))</f>
        <v>187</v>
      </c>
      <c r="D13" s="1" t="n">
        <v>186</v>
      </c>
    </row>
    <row r="14" customFormat="false" ht="15" hidden="false" customHeight="false" outlineLevel="0" collapsed="false">
      <c r="A14" s="1" t="n">
        <v>12</v>
      </c>
      <c r="B14" s="1" t="n">
        <f aca="false">IF(D14,D14,C14)</f>
        <v>198</v>
      </c>
      <c r="C14" s="1" t="n">
        <f aca="false">INT(A14*(256/15))</f>
        <v>204</v>
      </c>
      <c r="D14" s="1" t="n">
        <v>198</v>
      </c>
    </row>
    <row r="15" customFormat="false" ht="15" hidden="false" customHeight="false" outlineLevel="0" collapsed="false">
      <c r="A15" s="1" t="n">
        <v>13</v>
      </c>
      <c r="B15" s="1" t="n">
        <v>214</v>
      </c>
      <c r="C15" s="1" t="n">
        <f aca="false">INT(A15*(256/15))</f>
        <v>221</v>
      </c>
    </row>
    <row r="16" customFormat="false" ht="15" hidden="false" customHeight="false" outlineLevel="0" collapsed="false">
      <c r="A16" s="1" t="n">
        <v>14</v>
      </c>
      <c r="B16" s="1" t="n">
        <f aca="false">IF(D16,D16,C16)</f>
        <v>238</v>
      </c>
      <c r="C16" s="1" t="n">
        <f aca="false">INT(A16*(256/15))</f>
        <v>238</v>
      </c>
    </row>
    <row r="17" customFormat="false" ht="15" hidden="false" customHeight="false" outlineLevel="0" collapsed="false">
      <c r="A17" s="1" t="n">
        <v>15</v>
      </c>
      <c r="B17" s="1" t="n">
        <f aca="false">IF(D17,D17,C17)</f>
        <v>256</v>
      </c>
      <c r="C17" s="1" t="n">
        <f aca="false">INT(A17*(256/15))</f>
        <v>256</v>
      </c>
    </row>
    <row r="18" customFormat="false" ht="15" hidden="false" customHeight="false" outlineLevel="0" collapsed="false">
      <c r="A18" s="1" t="n">
        <v>16</v>
      </c>
      <c r="B18" s="1" t="n">
        <f aca="false">IF(D18,D18,C18)</f>
        <v>273</v>
      </c>
      <c r="C18" s="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11.43"/>
    <col collapsed="false" customWidth="true" hidden="false" outlineLevel="0" max="3" min="3" style="1" width="12"/>
    <col collapsed="false" customWidth="true" hidden="false" outlineLevel="0" max="9" min="8" style="1" width="10.57"/>
    <col collapsed="false" customWidth="true" hidden="false" outlineLevel="0" max="10" min="10" style="1" width="11.28"/>
  </cols>
  <sheetData>
    <row r="1" customFormat="false" ht="15" hidden="false" customHeight="false" outlineLevel="0" collapsed="false">
      <c r="B1" s="1" t="n">
        <v>1</v>
      </c>
      <c r="C1" s="1" t="n">
        <v>2</v>
      </c>
      <c r="D1" s="1" t="n">
        <v>3</v>
      </c>
      <c r="E1" s="1" t="n">
        <v>4</v>
      </c>
      <c r="F1" s="1" t="n">
        <v>5</v>
      </c>
      <c r="G1" s="1" t="n">
        <v>6</v>
      </c>
      <c r="H1" s="1" t="n">
        <v>7</v>
      </c>
      <c r="I1" s="1" t="n">
        <v>8</v>
      </c>
      <c r="J1" s="1" t="n">
        <v>9</v>
      </c>
      <c r="K1" s="1" t="n">
        <v>10</v>
      </c>
      <c r="L1" s="1" t="n">
        <v>11</v>
      </c>
      <c r="M1" s="1" t="n">
        <v>12</v>
      </c>
      <c r="N1" s="1" t="n">
        <v>13</v>
      </c>
      <c r="O1" s="1" t="n">
        <v>14</v>
      </c>
      <c r="P1" s="1" t="n">
        <v>15</v>
      </c>
      <c r="Q1" s="1" t="n">
        <v>16</v>
      </c>
      <c r="R1" s="1" t="n">
        <v>17</v>
      </c>
      <c r="S1" s="1" t="n">
        <v>18</v>
      </c>
      <c r="T1" s="1" t="n">
        <v>19</v>
      </c>
      <c r="U1" s="1" t="n">
        <v>20</v>
      </c>
    </row>
    <row r="2" customFormat="false" ht="15" hidden="false" customHeight="false" outlineLevel="0" collapsed="false">
      <c r="B2" s="1" t="s">
        <v>274</v>
      </c>
    </row>
    <row r="3" customFormat="false" ht="15" hidden="false" customHeight="false" outlineLevel="0" collapsed="false">
      <c r="A3" s="1" t="s">
        <v>275</v>
      </c>
      <c r="B3" s="1" t="s">
        <v>105</v>
      </c>
      <c r="C3" s="1" t="s">
        <v>276</v>
      </c>
      <c r="D3" s="1" t="s">
        <v>276</v>
      </c>
      <c r="E3" s="1" t="s">
        <v>276</v>
      </c>
      <c r="F3" s="1" t="s">
        <v>276</v>
      </c>
      <c r="G3" s="1" t="s">
        <v>277</v>
      </c>
      <c r="H3" s="1" t="s">
        <v>126</v>
      </c>
      <c r="I3" s="1" t="s">
        <v>126</v>
      </c>
      <c r="J3" s="1" t="s">
        <v>144</v>
      </c>
      <c r="K3" s="1" t="s">
        <v>276</v>
      </c>
      <c r="L3" s="1" t="s">
        <v>276</v>
      </c>
      <c r="M3" s="1" t="s">
        <v>276</v>
      </c>
      <c r="N3" s="1" t="s">
        <v>276</v>
      </c>
      <c r="O3" s="1" t="s">
        <v>278</v>
      </c>
    </row>
    <row r="4" customFormat="false" ht="15" hidden="false" customHeight="false" outlineLevel="0" collapsed="false">
      <c r="A4" s="1" t="s">
        <v>279</v>
      </c>
      <c r="B4" s="1" t="n">
        <v>1</v>
      </c>
      <c r="C4" s="1" t="n">
        <v>1</v>
      </c>
      <c r="D4" s="1" t="n">
        <v>0</v>
      </c>
      <c r="E4" s="1" t="n">
        <v>0</v>
      </c>
      <c r="F4" s="1" t="n">
        <v>0</v>
      </c>
      <c r="G4" s="1" t="n">
        <v>1</v>
      </c>
      <c r="H4" s="1" t="n">
        <v>1</v>
      </c>
      <c r="I4" s="1" t="n">
        <v>0</v>
      </c>
      <c r="J4" s="1" t="n">
        <v>1</v>
      </c>
      <c r="K4" s="1" t="n">
        <v>0</v>
      </c>
      <c r="L4" s="1" t="n">
        <v>0</v>
      </c>
      <c r="M4" s="1" t="n">
        <v>0</v>
      </c>
      <c r="N4" s="1" t="n">
        <v>0</v>
      </c>
      <c r="O4" s="1" t="n">
        <v>1</v>
      </c>
    </row>
    <row r="6" customFormat="false" ht="14.25" hidden="false" customHeight="true" outlineLevel="0" collapsed="false">
      <c r="B6" s="1" t="s">
        <v>280</v>
      </c>
    </row>
    <row r="7" customFormat="false" ht="15" hidden="false" customHeight="false" outlineLevel="0" collapsed="false">
      <c r="A7" s="1" t="s">
        <v>275</v>
      </c>
      <c r="B7" s="1" t="s">
        <v>281</v>
      </c>
      <c r="C7" s="1" t="s">
        <v>282</v>
      </c>
      <c r="D7" s="1" t="s">
        <v>283</v>
      </c>
      <c r="E7" s="1" t="s">
        <v>283</v>
      </c>
      <c r="F7" s="1" t="s">
        <v>283</v>
      </c>
      <c r="G7" s="1" t="s">
        <v>283</v>
      </c>
      <c r="H7" s="1" t="s">
        <v>284</v>
      </c>
      <c r="I7" s="1" t="s">
        <v>283</v>
      </c>
      <c r="J7" s="1" t="s">
        <v>283</v>
      </c>
      <c r="K7" s="1" t="s">
        <v>283</v>
      </c>
      <c r="L7" s="1" t="s">
        <v>283</v>
      </c>
      <c r="M7" s="1" t="s">
        <v>283</v>
      </c>
      <c r="N7" s="1" t="s">
        <v>283</v>
      </c>
      <c r="O7" s="1" t="s">
        <v>284</v>
      </c>
      <c r="P7" s="1" t="s">
        <v>283</v>
      </c>
      <c r="Q7" s="1" t="s">
        <v>283</v>
      </c>
      <c r="R7" s="1" t="s">
        <v>283</v>
      </c>
      <c r="S7" s="1" t="s">
        <v>283</v>
      </c>
      <c r="T7" s="1" t="s">
        <v>285</v>
      </c>
      <c r="U7" s="1" t="s">
        <v>286</v>
      </c>
    </row>
    <row r="8" customFormat="false" ht="15" hidden="false" customHeight="false" outlineLevel="0" collapsed="false">
      <c r="A8" s="1" t="s">
        <v>279</v>
      </c>
      <c r="B8" s="1" t="n">
        <v>1</v>
      </c>
      <c r="C8" s="1" t="n">
        <v>1</v>
      </c>
      <c r="D8" s="1" t="n">
        <v>1</v>
      </c>
      <c r="E8" s="1" t="n">
        <v>0</v>
      </c>
      <c r="F8" s="1" t="n">
        <v>0</v>
      </c>
      <c r="G8" s="1" t="n">
        <v>0</v>
      </c>
      <c r="H8" s="1" t="n">
        <v>1</v>
      </c>
      <c r="I8" s="1" t="n">
        <v>0</v>
      </c>
      <c r="J8" s="1" t="n">
        <v>0</v>
      </c>
      <c r="K8" s="1" t="n">
        <v>0</v>
      </c>
      <c r="L8" s="1" t="n">
        <v>0</v>
      </c>
      <c r="M8" s="1" t="n">
        <v>0</v>
      </c>
      <c r="N8" s="1" t="n">
        <v>0</v>
      </c>
      <c r="O8" s="1" t="n">
        <v>0</v>
      </c>
      <c r="P8" s="1" t="n">
        <v>0</v>
      </c>
      <c r="Q8" s="1" t="n">
        <v>0</v>
      </c>
      <c r="R8" s="1" t="n">
        <v>0</v>
      </c>
      <c r="S8" s="1" t="n">
        <v>0</v>
      </c>
      <c r="T8" s="1" t="n">
        <v>1</v>
      </c>
      <c r="U8" s="1" t="n">
        <v>1</v>
      </c>
    </row>
    <row r="9" customFormat="false" ht="15" hidden="false" customHeight="false" outlineLevel="0" collapsed="false">
      <c r="A9" s="1" t="s">
        <v>191</v>
      </c>
      <c r="B9" s="1" t="n">
        <v>22.15</v>
      </c>
      <c r="C9" s="1" t="n">
        <v>21.84</v>
      </c>
      <c r="D9" s="1" t="n">
        <v>18.7</v>
      </c>
      <c r="E9" s="1" t="n">
        <v>18.7</v>
      </c>
      <c r="F9" s="1" t="n">
        <v>18.7</v>
      </c>
      <c r="G9" s="1" t="n">
        <v>18.7</v>
      </c>
      <c r="H9" s="1" t="n">
        <v>18.7</v>
      </c>
      <c r="I9" s="1" t="n">
        <v>18.7</v>
      </c>
      <c r="J9" s="1" t="n">
        <v>18.7</v>
      </c>
      <c r="K9" s="1" t="n">
        <v>18.7</v>
      </c>
      <c r="L9" s="1" t="n">
        <v>18.7</v>
      </c>
      <c r="M9" s="1" t="n">
        <v>18.7</v>
      </c>
      <c r="N9" s="1" t="n">
        <v>18.7</v>
      </c>
      <c r="O9" s="1" t="n">
        <v>18.7</v>
      </c>
      <c r="P9" s="1" t="n">
        <v>18.7</v>
      </c>
      <c r="Q9" s="1" t="n">
        <v>18.7</v>
      </c>
      <c r="R9" s="1" t="n">
        <v>18.7</v>
      </c>
      <c r="S9" s="1" t="n">
        <v>18.7</v>
      </c>
      <c r="T9" s="1" t="n">
        <v>21.84</v>
      </c>
      <c r="U9" s="1" t="n">
        <v>22.15</v>
      </c>
    </row>
    <row r="10" customFormat="false" ht="15" hidden="false" customHeight="false" outlineLevel="0" collapsed="false">
      <c r="A10" s="1" t="s">
        <v>287</v>
      </c>
      <c r="B10" s="1" t="n">
        <f aca="false">ROUND(15*((B9*10)/256),0)</f>
        <v>13</v>
      </c>
      <c r="C10" s="1" t="n">
        <f aca="false">ROUND(15*((C9*10)/256),0)</f>
        <v>13</v>
      </c>
      <c r="D10" s="1" t="n">
        <f aca="false">ROUND(15*((D9*10)/256),0)</f>
        <v>11</v>
      </c>
      <c r="E10" s="1" t="n">
        <f aca="false">ROUND(15*((E9*10)/256),0)</f>
        <v>11</v>
      </c>
      <c r="F10" s="1" t="n">
        <f aca="false">ROUND(15*((F9*10)/256),0)</f>
        <v>11</v>
      </c>
      <c r="G10" s="1" t="n">
        <f aca="false">ROUND(15*((G9*10)/256),0)</f>
        <v>11</v>
      </c>
      <c r="H10" s="1" t="n">
        <f aca="false">ROUND(15*((H9*10)/256),0)</f>
        <v>11</v>
      </c>
      <c r="I10" s="1" t="n">
        <f aca="false">ROUND(15*((I9*10)/256),0)</f>
        <v>11</v>
      </c>
      <c r="J10" s="1" t="n">
        <f aca="false">ROUND(15*((J9*10)/256),0)</f>
        <v>11</v>
      </c>
      <c r="K10" s="1" t="n">
        <f aca="false">ROUND(15*((K9*10)/256),0)</f>
        <v>11</v>
      </c>
      <c r="L10" s="1" t="n">
        <f aca="false">ROUND(15*((L9*10)/256),0)</f>
        <v>11</v>
      </c>
      <c r="M10" s="1" t="n">
        <f aca="false">ROUND(15*((M9*10)/256),0)</f>
        <v>11</v>
      </c>
      <c r="N10" s="1" t="n">
        <f aca="false">ROUND(15*((N9*10)/256),0)</f>
        <v>11</v>
      </c>
      <c r="O10" s="1" t="n">
        <f aca="false">ROUND(15*((O9*10)/256),0)</f>
        <v>11</v>
      </c>
      <c r="P10" s="1" t="n">
        <f aca="false">ROUND(15*((P9*10)/256),0)</f>
        <v>11</v>
      </c>
      <c r="Q10" s="1" t="n">
        <f aca="false">ROUND(15*((Q9*10)/256),0)</f>
        <v>11</v>
      </c>
      <c r="R10" s="1" t="n">
        <f aca="false">ROUND(15*((R9*10)/256),0)</f>
        <v>11</v>
      </c>
      <c r="S10" s="1" t="n">
        <f aca="false">ROUND(15*((S9*10)/256),0)</f>
        <v>11</v>
      </c>
      <c r="T10" s="1" t="n">
        <f aca="false">ROUND(15*((T9*10)/256),0)</f>
        <v>13</v>
      </c>
      <c r="U10" s="1" t="n">
        <f aca="false">ROUND(15*((U9*10)/256),0)</f>
        <v>13</v>
      </c>
    </row>
    <row r="11" customFormat="false" ht="15" hidden="false" customHeight="false" outlineLevel="0" collapsed="false">
      <c r="A11" s="1" t="s">
        <v>288</v>
      </c>
      <c r="B11" s="1" t="str">
        <f aca="false">VLOOKUP(B10,Constants!$A$1:$B$16,2,FALSE())</f>
        <v>4,5,4</v>
      </c>
      <c r="C11" s="1" t="str">
        <f aca="false">VLOOKUP(C10,Constants!$A$1:$B$16,2,FALSE())</f>
        <v>4,5,4</v>
      </c>
      <c r="D11" s="1" t="str">
        <f aca="false">VLOOKUP(D10,Constants!$A$1:$B$16,2,FALSE())</f>
        <v>4,3,4</v>
      </c>
      <c r="E11" s="1" t="str">
        <f aca="false">VLOOKUP(E10,Constants!$A$1:$B$16,2,FALSE())</f>
        <v>4,3,4</v>
      </c>
      <c r="F11" s="1" t="str">
        <f aca="false">VLOOKUP(F10,Constants!$A$1:$B$16,2,FALSE())</f>
        <v>4,3,4</v>
      </c>
      <c r="G11" s="1" t="str">
        <f aca="false">VLOOKUP(G10,Constants!$A$1:$B$16,2,FALSE())</f>
        <v>4,3,4</v>
      </c>
      <c r="H11" s="1" t="str">
        <f aca="false">VLOOKUP(H10,Constants!$A$1:$B$16,2,FALSE())</f>
        <v>4,3,4</v>
      </c>
      <c r="I11" s="1" t="str">
        <f aca="false">VLOOKUP(I10,Constants!$A$1:$B$16,2,FALSE())</f>
        <v>4,3,4</v>
      </c>
      <c r="J11" s="1" t="str">
        <f aca="false">VLOOKUP(J10,Constants!$A$1:$B$16,2,FALSE())</f>
        <v>4,3,4</v>
      </c>
      <c r="K11" s="1" t="str">
        <f aca="false">VLOOKUP(K10,Constants!$A$1:$B$16,2,FALSE())</f>
        <v>4,3,4</v>
      </c>
      <c r="L11" s="1" t="str">
        <f aca="false">VLOOKUP(L10,Constants!$A$1:$B$16,2,FALSE())</f>
        <v>4,3,4</v>
      </c>
      <c r="M11" s="1" t="str">
        <f aca="false">VLOOKUP(M10,Constants!$A$1:$B$16,2,FALSE())</f>
        <v>4,3,4</v>
      </c>
      <c r="N11" s="1" t="str">
        <f aca="false">VLOOKUP(N10,Constants!$A$1:$B$16,2,FALSE())</f>
        <v>4,3,4</v>
      </c>
      <c r="O11" s="1" t="str">
        <f aca="false">VLOOKUP(O10,Constants!$A$1:$B$16,2,FALSE())</f>
        <v>4,3,4</v>
      </c>
      <c r="P11" s="1" t="str">
        <f aca="false">VLOOKUP(P10,Constants!$A$1:$B$16,2,FALSE())</f>
        <v>4,3,4</v>
      </c>
      <c r="Q11" s="1" t="str">
        <f aca="false">VLOOKUP(Q10,Constants!$A$1:$B$16,2,FALSE())</f>
        <v>4,3,4</v>
      </c>
      <c r="R11" s="1" t="str">
        <f aca="false">VLOOKUP(R10,Constants!$A$1:$B$16,2,FALSE())</f>
        <v>4,3,4</v>
      </c>
      <c r="S11" s="1" t="str">
        <f aca="false">VLOOKUP(S10,Constants!$A$1:$B$16,2,FALSE())</f>
        <v>4,3,4</v>
      </c>
      <c r="T11" s="1" t="str">
        <f aca="false">VLOOKUP(T10,Constants!$A$1:$B$16,2,FALSE())</f>
        <v>4,5,4</v>
      </c>
      <c r="U11" s="1" t="str">
        <f aca="false">VLOOKUP(U10,Constants!$A$1:$B$16,2,FALSE())</f>
        <v>4,5,4</v>
      </c>
    </row>
    <row r="13" customFormat="false" ht="15" hidden="false" customHeight="false" outlineLevel="0" collapsed="false">
      <c r="B13" s="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" t="s">
        <v>289</v>
      </c>
    </row>
    <row r="19" customFormat="false" ht="15" hidden="false" customHeight="false" outlineLevel="0" collapsed="false">
      <c r="A19" s="1" t="s">
        <v>275</v>
      </c>
      <c r="B19" s="1" t="s">
        <v>281</v>
      </c>
      <c r="C19" s="1" t="s">
        <v>282</v>
      </c>
      <c r="D19" s="1" t="s">
        <v>283</v>
      </c>
      <c r="E19" s="1" t="s">
        <v>284</v>
      </c>
      <c r="F19" s="1" t="s">
        <v>283</v>
      </c>
      <c r="G19" s="1" t="s">
        <v>284</v>
      </c>
      <c r="H19" s="1" t="s">
        <v>285</v>
      </c>
      <c r="I19" s="1" t="s">
        <v>286</v>
      </c>
    </row>
    <row r="20" customFormat="false" ht="15" hidden="false" customHeight="false" outlineLevel="0" collapsed="false">
      <c r="A20" s="1" t="s">
        <v>279</v>
      </c>
      <c r="B20" s="1" t="n">
        <v>0</v>
      </c>
      <c r="C20" s="1" t="n">
        <v>0</v>
      </c>
      <c r="D20" s="1" t="n">
        <v>0</v>
      </c>
      <c r="E20" s="1" t="n">
        <v>0</v>
      </c>
      <c r="F20" s="1" t="n">
        <v>0</v>
      </c>
      <c r="G20" s="1" t="n">
        <v>0</v>
      </c>
      <c r="H20" s="1" t="n">
        <v>0</v>
      </c>
      <c r="I20" s="1" t="n">
        <v>0</v>
      </c>
    </row>
    <row r="21" customFormat="false" ht="15" hidden="false" customHeight="false" outlineLevel="0" collapsed="false">
      <c r="A21" s="1" t="s">
        <v>191</v>
      </c>
      <c r="B21" s="1" t="n">
        <v>22.15</v>
      </c>
      <c r="C21" s="1" t="n">
        <v>21.84</v>
      </c>
      <c r="D21" s="1" t="n">
        <v>18.7</v>
      </c>
      <c r="E21" s="1" t="n">
        <v>18.7</v>
      </c>
      <c r="F21" s="1" t="n">
        <v>18.7</v>
      </c>
      <c r="G21" s="1" t="n">
        <v>18.7</v>
      </c>
      <c r="H21" s="1" t="n">
        <v>21.84</v>
      </c>
      <c r="I21" s="1" t="n">
        <v>22.15</v>
      </c>
    </row>
    <row r="22" customFormat="false" ht="15" hidden="false" customHeight="false" outlineLevel="0" collapsed="false">
      <c r="A22" s="1" t="s">
        <v>287</v>
      </c>
      <c r="B22" s="1" t="n">
        <f aca="false">ROUND(15*((B21*10)/256),0)</f>
        <v>13</v>
      </c>
      <c r="C22" s="1" t="n">
        <f aca="false">ROUND(15*((C21*10)/256),0)</f>
        <v>13</v>
      </c>
      <c r="D22" s="1" t="n">
        <f aca="false">ROUND(15*((D21*10)/256),0)</f>
        <v>11</v>
      </c>
      <c r="E22" s="1" t="n">
        <f aca="false">ROUND(15*((E21*10)/256),0)</f>
        <v>11</v>
      </c>
      <c r="F22" s="1" t="n">
        <f aca="false">ROUND(15*((F21*10)/256),0)</f>
        <v>11</v>
      </c>
      <c r="G22" s="1" t="n">
        <f aca="false">ROUND(15*((G21*10)/256),0)</f>
        <v>11</v>
      </c>
      <c r="H22" s="1" t="n">
        <f aca="false">ROUND(15*((H21*10)/256),0)</f>
        <v>13</v>
      </c>
      <c r="I22" s="1" t="n">
        <f aca="false">ROUND(15*((I21*10)/256),0)</f>
        <v>13</v>
      </c>
    </row>
    <row r="23" customFormat="false" ht="15" hidden="false" customHeight="false" outlineLevel="0" collapsed="false">
      <c r="A23" s="1" t="s">
        <v>288</v>
      </c>
      <c r="B23" s="1" t="str">
        <f aca="false">VLOOKUP(B22,Constants!$A$1:$B$16,2,FALSE())</f>
        <v>4,5,4</v>
      </c>
      <c r="C23" s="1" t="str">
        <f aca="false">VLOOKUP(C22,Constants!$A$1:$B$16,2,FALSE())</f>
        <v>4,5,4</v>
      </c>
      <c r="D23" s="1" t="str">
        <f aca="false">VLOOKUP(D22,Constants!$A$1:$B$16,2,FALSE())</f>
        <v>4,3,4</v>
      </c>
      <c r="E23" s="1" t="str">
        <f aca="false">VLOOKUP(E22,Constants!$A$1:$B$16,2,FALSE())</f>
        <v>4,3,4</v>
      </c>
      <c r="F23" s="1" t="str">
        <f aca="false">VLOOKUP(F22,Constants!$A$1:$B$16,2,FALSE())</f>
        <v>4,3,4</v>
      </c>
      <c r="G23" s="1" t="str">
        <f aca="false">VLOOKUP(G22,Constants!$A$1:$B$16,2,FALSE())</f>
        <v>4,3,4</v>
      </c>
      <c r="H23" s="1" t="str">
        <f aca="false">VLOOKUP(H22,Constants!$A$1:$B$16,2,FALSE())</f>
        <v>4,5,4</v>
      </c>
      <c r="I23" s="1" t="str">
        <f aca="false">VLOOKUP(I22,Constants!$A$1:$B$16,2,FALSE())</f>
        <v>4,5,4</v>
      </c>
    </row>
    <row r="25" customFormat="false" ht="15" hidden="false" customHeight="false" outlineLevel="0" collapsed="false">
      <c r="B25" s="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" t="str">
        <f aca="false">_xlfn.TEXTJOIN(",",TRUE(),  B20:P20)</f>
        <v>0,0,0,0,0,0,0,0</v>
      </c>
    </row>
    <row r="27" customFormat="false" ht="15" hidden="false" customHeight="false" outlineLevel="0" collapsed="false">
      <c r="B27" s="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" t="str">
        <f aca="false">_xlfn.TEXTJOIN(",",TRUE(),  B22:U22)</f>
        <v>13,13,11,11,11,11,13,13</v>
      </c>
    </row>
    <row r="30" customFormat="false" ht="15" hidden="false" customHeight="false" outlineLevel="0" collapsed="false">
      <c r="B30" s="1" t="s">
        <v>290</v>
      </c>
    </row>
    <row r="31" customFormat="false" ht="15" hidden="false" customHeight="false" outlineLevel="0" collapsed="false">
      <c r="A31" s="1" t="s">
        <v>275</v>
      </c>
      <c r="B31" s="1" t="s">
        <v>281</v>
      </c>
      <c r="C31" s="1" t="s">
        <v>282</v>
      </c>
      <c r="D31" s="1" t="s">
        <v>283</v>
      </c>
      <c r="E31" s="1" t="s">
        <v>285</v>
      </c>
      <c r="F31" s="1" t="s">
        <v>286</v>
      </c>
    </row>
    <row r="32" customFormat="false" ht="15" hidden="false" customHeight="false" outlineLevel="0" collapsed="false">
      <c r="A32" s="1" t="s">
        <v>279</v>
      </c>
      <c r="B32" s="1" t="n">
        <v>0</v>
      </c>
      <c r="C32" s="1" t="n">
        <v>0</v>
      </c>
      <c r="D32" s="1" t="n">
        <v>0</v>
      </c>
      <c r="E32" s="1" t="n">
        <v>0</v>
      </c>
      <c r="F32" s="1" t="n">
        <v>0</v>
      </c>
    </row>
    <row r="33" customFormat="false" ht="15" hidden="false" customHeight="false" outlineLevel="0" collapsed="false">
      <c r="A33" s="1" t="s">
        <v>191</v>
      </c>
      <c r="B33" s="1" t="n">
        <v>22.15</v>
      </c>
      <c r="C33" s="1" t="n">
        <v>21.84</v>
      </c>
      <c r="D33" s="1" t="n">
        <v>18.7</v>
      </c>
      <c r="E33" s="1" t="n">
        <v>21.84</v>
      </c>
      <c r="F33" s="1" t="n">
        <v>22.15</v>
      </c>
    </row>
    <row r="34" customFormat="false" ht="15" hidden="false" customHeight="false" outlineLevel="0" collapsed="false">
      <c r="A34" s="1" t="s">
        <v>287</v>
      </c>
      <c r="B34" s="1" t="n">
        <f aca="false">ROUND(15*((B33*10)/256),0)</f>
        <v>13</v>
      </c>
      <c r="C34" s="1" t="n">
        <f aca="false">ROUND(15*((C33*10)/256),0)</f>
        <v>13</v>
      </c>
      <c r="D34" s="1" t="n">
        <f aca="false">ROUND(15*((D33*10)/256),0)</f>
        <v>11</v>
      </c>
      <c r="E34" s="1" t="n">
        <f aca="false">ROUND(15*((E33*10)/256),0)</f>
        <v>13</v>
      </c>
      <c r="F34" s="1" t="n">
        <f aca="false">ROUND(15*((F33*10)/256),0)</f>
        <v>13</v>
      </c>
    </row>
    <row r="35" customFormat="false" ht="15" hidden="false" customHeight="false" outlineLevel="0" collapsed="false">
      <c r="A35" s="1" t="s">
        <v>288</v>
      </c>
      <c r="B35" s="1" t="str">
        <f aca="false">VLOOKUP(B34,Constants!$A$1:$B$16,2,FALSE())</f>
        <v>4,5,4</v>
      </c>
      <c r="C35" s="1" t="str">
        <f aca="false">VLOOKUP(C34,Constants!$A$1:$B$16,2,FALSE())</f>
        <v>4,5,4</v>
      </c>
      <c r="D35" s="1" t="str">
        <f aca="false">VLOOKUP(D34,Constants!$A$1:$B$16,2,FALSE())</f>
        <v>4,3,4</v>
      </c>
      <c r="E35" s="1" t="str">
        <f aca="false">VLOOKUP(E34,Constants!$A$1:$B$16,2,FALSE())</f>
        <v>4,5,4</v>
      </c>
      <c r="F35" s="1" t="str">
        <f aca="false">VLOOKUP(F34,Constants!$A$1:$B$16,2,FALSE())</f>
        <v>4,5,4</v>
      </c>
    </row>
    <row r="37" customFormat="false" ht="15" hidden="false" customHeight="false" outlineLevel="0" collapsed="false">
      <c r="B37" s="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" t="str">
        <f aca="false">_xlfn.TEXTJOIN(",",TRUE(),  B32:P32)</f>
        <v>0,0,0,0,0</v>
      </c>
    </row>
    <row r="39" customFormat="false" ht="15" hidden="false" customHeight="false" outlineLevel="0" collapsed="false">
      <c r="B39" s="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" t="str">
        <f aca="false">_xlfn.TEXTJOIN(",",TRUE(),  B34:U34)</f>
        <v>13,13,11,13,13</v>
      </c>
    </row>
    <row r="42" customFormat="false" ht="15" hidden="false" customHeight="false" outlineLevel="0" collapsed="false">
      <c r="B42" s="1" t="s">
        <v>291</v>
      </c>
    </row>
    <row r="43" customFormat="false" ht="15" hidden="false" customHeight="false" outlineLevel="0" collapsed="false">
      <c r="A43" s="1" t="s">
        <v>275</v>
      </c>
      <c r="B43" s="1" t="s">
        <v>292</v>
      </c>
      <c r="C43" s="1" t="s">
        <v>293</v>
      </c>
      <c r="D43" s="1" t="s">
        <v>294</v>
      </c>
      <c r="E43" s="1" t="s">
        <v>295</v>
      </c>
      <c r="F43" s="1" t="s">
        <v>296</v>
      </c>
    </row>
    <row r="44" customFormat="false" ht="15" hidden="false" customHeight="false" outlineLevel="0" collapsed="false">
      <c r="A44" s="1" t="s">
        <v>279</v>
      </c>
      <c r="B44" s="1" t="n">
        <v>1</v>
      </c>
      <c r="C44" s="1" t="n">
        <v>1</v>
      </c>
      <c r="D44" s="1" t="n">
        <v>1</v>
      </c>
      <c r="E44" s="1" t="n">
        <v>1</v>
      </c>
      <c r="F44" s="1" t="n">
        <v>1</v>
      </c>
    </row>
    <row r="45" customFormat="false" ht="15" hidden="false" customHeight="false" outlineLevel="0" collapsed="false">
      <c r="A45" s="1" t="s">
        <v>191</v>
      </c>
      <c r="B45" s="1" t="n">
        <v>20.2</v>
      </c>
      <c r="C45" s="1" t="n">
        <v>15.7</v>
      </c>
      <c r="D45" s="1" t="n">
        <v>10</v>
      </c>
      <c r="E45" s="1" t="n">
        <v>15.7</v>
      </c>
      <c r="F45" s="1" t="n">
        <v>20.2</v>
      </c>
    </row>
    <row r="46" customFormat="false" ht="15" hidden="false" customHeight="false" outlineLevel="0" collapsed="false">
      <c r="A46" s="1" t="s">
        <v>287</v>
      </c>
      <c r="B46" s="1" t="n">
        <f aca="false">ROUND(15*((B45*10)/256),0)</f>
        <v>12</v>
      </c>
      <c r="C46" s="1" t="n">
        <f aca="false">ROUND(15*((C45*10)/256),0)</f>
        <v>9</v>
      </c>
      <c r="D46" s="1" t="n">
        <f aca="false">ROUND(15*((D45*10)/256),0)</f>
        <v>6</v>
      </c>
      <c r="E46" s="1" t="n">
        <f aca="false">ROUND(15*((E45*10)/256),0)</f>
        <v>9</v>
      </c>
      <c r="F46" s="1" t="n">
        <f aca="false">ROUND(15*((F45*10)/256),0)</f>
        <v>12</v>
      </c>
    </row>
    <row r="47" customFormat="false" ht="15" hidden="false" customHeight="false" outlineLevel="0" collapsed="false">
      <c r="A47" s="1" t="s">
        <v>288</v>
      </c>
      <c r="B47" s="1" t="str">
        <f aca="false">VLOOKUP(B46,Constants!$A$1:$B$16,2,FALSE())</f>
        <v>4,4,4</v>
      </c>
      <c r="C47" s="1" t="str">
        <f aca="false">VLOOKUP(C46,Constants!$A$1:$B$16,2,FALSE())</f>
        <v>2,5,2</v>
      </c>
      <c r="D47" s="1" t="str">
        <f aca="false">VLOOKUP(D46,Constants!$A$1:$B$16,2,FALSE())</f>
        <v>2,2,2</v>
      </c>
      <c r="E47" s="1" t="str">
        <f aca="false">VLOOKUP(E46,Constants!$A$1:$B$16,2,FALSE())</f>
        <v>2,5,2</v>
      </c>
      <c r="F47" s="1" t="str">
        <f aca="false">VLOOKUP(F46,Constants!$A$1:$B$16,2,FALSE())</f>
        <v>4,4,4</v>
      </c>
    </row>
    <row r="49" customFormat="false" ht="15" hidden="false" customHeight="false" outlineLevel="0" collapsed="false">
      <c r="B49" s="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" t="str">
        <f aca="false">_xlfn.TEXTJOIN(",",TRUE(),  B44:P44)</f>
        <v>1,1,1,1,1</v>
      </c>
    </row>
    <row r="51" customFormat="false" ht="15" hidden="false" customHeight="false" outlineLevel="0" collapsed="false">
      <c r="B51" s="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4" activeCellId="0" sqref="F4"/>
    </sheetView>
  </sheetViews>
  <sheetFormatPr defaultColWidth="10.171875" defaultRowHeight="12.8" customHeight="true" zeroHeight="false" outlineLevelRow="0" outlineLevelCol="0"/>
  <cols>
    <col collapsed="false" customWidth="true" hidden="false" outlineLevel="0" max="1" min="1" style="1" width="14.37"/>
  </cols>
  <sheetData>
    <row r="1" customFormat="false" ht="13.8" hidden="false" customHeight="false" outlineLevel="0" collapsed="false">
      <c r="A1" s="1" t="s">
        <v>297</v>
      </c>
      <c r="B1" s="1" t="s">
        <v>298</v>
      </c>
      <c r="C1" s="0" t="s">
        <v>299</v>
      </c>
      <c r="D1" s="0" t="s">
        <v>12</v>
      </c>
      <c r="E1" s="0" t="s">
        <v>300</v>
      </c>
    </row>
    <row r="2" customFormat="false" ht="13.8" hidden="false" customHeight="false" outlineLevel="0" collapsed="false">
      <c r="A2" s="1" t="s">
        <v>301</v>
      </c>
      <c r="B2" s="1" t="n">
        <f aca="false">(33.7+24+26.75+24.15+24.3+31.9)</f>
        <v>164.8</v>
      </c>
      <c r="C2" s="0" t="n">
        <f aca="false">52+72+28+43+47+25</f>
        <v>267</v>
      </c>
      <c r="D2" s="0" t="n">
        <v>6</v>
      </c>
      <c r="E2" s="0" t="n">
        <f aca="false">C2/D2</f>
        <v>44.5</v>
      </c>
    </row>
    <row r="3" customFormat="false" ht="13.8" hidden="false" customHeight="false" outlineLevel="0" collapsed="false">
      <c r="A3" s="1" t="s">
        <v>302</v>
      </c>
      <c r="B3" s="0" t="n">
        <f aca="false">B2+24</f>
        <v>188.8</v>
      </c>
      <c r="C3" s="0" t="n">
        <f aca="false">C2+72+72-42</f>
        <v>369</v>
      </c>
      <c r="D3" s="0" t="n">
        <v>7</v>
      </c>
      <c r="E3" s="0" t="n">
        <f aca="false">C3/D3</f>
        <v>52.7142857142857</v>
      </c>
    </row>
    <row r="4" customFormat="false" ht="13.8" hidden="false" customHeight="false" outlineLevel="0" collapsed="false">
      <c r="A4" s="1" t="s">
        <v>303</v>
      </c>
      <c r="B4" s="1" t="n">
        <f aca="false">(33.7+31.9)</f>
        <v>65.6</v>
      </c>
      <c r="C4" s="0" t="n">
        <f aca="false">52+25</f>
        <v>77</v>
      </c>
      <c r="D4" s="0" t="n">
        <v>2</v>
      </c>
      <c r="E4" s="0" t="n">
        <f aca="false">C4/D4</f>
        <v>38.5</v>
      </c>
    </row>
    <row r="5" customFormat="false" ht="13.8" hidden="false" customHeight="false" outlineLevel="0" collapsed="false">
      <c r="A5" s="1" t="s">
        <v>304</v>
      </c>
      <c r="B5" s="0" t="n">
        <f aca="false">(31.9 * 2) + (24.3 * 8)</f>
        <v>258.2</v>
      </c>
      <c r="C5" s="0" t="n">
        <f aca="false">60+72+72+72+72+18+47+47+36</f>
        <v>496</v>
      </c>
      <c r="D5" s="0" t="n">
        <v>10</v>
      </c>
      <c r="E5" s="0" t="n">
        <f aca="false">C5/D5</f>
        <v>49.6</v>
      </c>
    </row>
    <row r="6" customFormat="false" ht="13.8" hidden="false" customHeight="false" outlineLevel="0" collapsed="false">
      <c r="A6" s="1" t="s">
        <v>305</v>
      </c>
      <c r="B6" s="0" t="n">
        <f aca="false">(31.9 * 2) + (24.3 * 6)</f>
        <v>209.6</v>
      </c>
      <c r="C6" s="0" t="n">
        <f aca="false">60+72+72+18+47+36</f>
        <v>305</v>
      </c>
      <c r="D6" s="0" t="n">
        <v>6</v>
      </c>
      <c r="E6" s="0" t="n">
        <f aca="false">C6/D6</f>
        <v>50.8333333333333</v>
      </c>
    </row>
    <row r="7" customFormat="false" ht="13.8" hidden="false" customHeight="false" outlineLevel="0" collapsed="false">
      <c r="A7" s="1" t="s">
        <v>306</v>
      </c>
      <c r="B7" s="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" t="s">
        <v>101</v>
      </c>
    </row>
    <row r="14" customFormat="false" ht="13.8" hidden="false" customHeight="false" outlineLevel="0" collapsed="false">
      <c r="A14" s="1" t="s">
        <v>110</v>
      </c>
    </row>
    <row r="15" customFormat="false" ht="13.8" hidden="false" customHeight="false" outlineLevel="0" collapsed="false">
      <c r="A15" s="1" t="s">
        <v>123</v>
      </c>
    </row>
    <row r="16" customFormat="false" ht="13.8" hidden="false" customHeight="false" outlineLevel="0" collapsed="false">
      <c r="A16" s="1" t="s">
        <v>129</v>
      </c>
    </row>
    <row r="17" customFormat="false" ht="13.8" hidden="false" customHeight="false" outlineLevel="0" collapsed="false">
      <c r="A17" s="1" t="s">
        <v>115</v>
      </c>
    </row>
    <row r="18" customFormat="false" ht="13.8" hidden="false" customHeight="false" outlineLevel="0" collapsed="false">
      <c r="A18" s="1" t="s">
        <v>120</v>
      </c>
    </row>
    <row r="19" customFormat="false" ht="12.8" hidden="false" customHeight="false" outlineLevel="0" collapsed="false">
      <c r="A19" s="1" t="s">
        <v>138</v>
      </c>
    </row>
    <row r="20" customFormat="false" ht="12.8" hidden="false" customHeight="false" outlineLevel="0" collapsed="false">
      <c r="A20" s="1" t="s">
        <v>132</v>
      </c>
    </row>
    <row r="21" customFormat="false" ht="12.8" hidden="false" customHeight="false" outlineLevel="0" collapsed="false">
      <c r="A21" s="1" t="s">
        <v>141</v>
      </c>
    </row>
    <row r="22" customFormat="false" ht="12.8" hidden="false" customHeight="false" outlineLevel="0" collapsed="false">
      <c r="A22" s="1" t="s">
        <v>147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319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2025-12-15T02:32:43Z</dcterms:modified>
  <cp:revision>47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