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drawings/drawing1.xml" ContentType="application/vnd.openxmlformats-officedocument.drawing+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sharedStrings.xml" ContentType="application/vnd.openxmlformats-officedocument.spreadsheetml.sharedStrings+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externalReferences>
    <externalReference r:id="rId12"/>
  </externalReferences>
  <definedNames>
    <definedName function="false" hidden="true" localSheetId="0" name="_xlnm._FilterDatabase" vbProcedure="false">Table!$A$1:$CH$122</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4"/>
  </pivotCaches>
  <extLst>
    <ext xmlns:loext="http://schemas.libreoffice.org/" uri="{7626C862-2A13-11E5-B345-FEFF819CDC9F}">
      <loext:extCalcPr stringRefSyntax="ExcelA1"/>
    </ext>
  </extLst>
</workbook>
</file>

<file path=xl/sharedStrings.xml><?xml version="1.0" encoding="utf-8"?>
<sst xmlns="http://schemas.openxmlformats.org/spreadsheetml/2006/main" count="2549" uniqueCount="864">
  <si>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</si>
  <si>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</si>
  <si>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</si>
  <si>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</si>
  <si>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</si>
  <si>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</si>
  <si>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</si>
  <si>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</si>
  <si>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</si>
  <si>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</si>
  <si>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</si>
  <si>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</si>
  <si>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</si>
  <si>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</si>
  <si>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</si>
  <si>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</si>
  <si>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</si>
  <si>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</si>
  <si>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</si>
  <si>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</si>
  <si>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</si>
  <si>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</si>
  <si>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</si>
  <si>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</si>
  <si>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</si>
  <si>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</si>
  <si>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</si>
  <si>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</si>
  <si>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</si>
  <si>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</si>
  <si>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</si>
  <si>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</si>
  <si>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</si>
  <si>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</si>
  <si>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</si>
  <si>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</si>
  <si>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</si>
  <si>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</si>
  <si>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</si>
  <si>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</si>
  <si>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</si>
  <si>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</si>
  <si>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</si>
  <si>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</si>
  <si>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</si>
  <si>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</si>
  <si>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</si>
  <si>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</si>
  <si>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</si>
  <si>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</si>
  <si>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</si>
  <si>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</si>
  <si>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</si>
  <si>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</si>
  <si>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</si>
  <si>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</si>
  <si>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</si>
  <si>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</si>
  <si>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</si>
  <si>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</si>
  <si>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</si>
  <si>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</si>
  <si>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</si>
  <si>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</si>
  <si>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</si>
  <si>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</si>
  <si>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</si>
  <si>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</si>
  <si>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</si>
  <si>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</si>
  <si>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</si>
  <si>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</si>
  <si>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</si>
  <si>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</si>
  <si>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</si>
  <si>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</si>
  <si>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</si>
  <si>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</si>
  <si>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</si>
  <si>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</si>
  <si>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</si>
  <si>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</si>
  <si>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</si>
  <si>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</si>
  <si>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</si>
  <si>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</si>
  <si>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</si>
  <si>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</si>
  <si>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</si>
  <si>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</si>
  <si>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</si>
  <si>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</si>
  <si>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</si>
  <si>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</si>
  <si>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</si>
  <si>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</si>
  <si>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</si>
  <si>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</si>
  <si>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</si>
  <si>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</si>
  <si>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</si>
  <si>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</si>
  <si>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</si>
  <si>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</si>
  <si>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</si>
  <si>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</si>
  <si>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</si>
  <si>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</si>
  <si>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</si>
  <si>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</si>
  <si>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</si>
  <si>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</si>
  <si>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</si>
  <si>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</si>
  <si>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</si>
  <si>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</si>
  <si>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</si>
  <si>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</si>
  <si>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</si>
  <si>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</si>
  <si>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</si>
  <si>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</si>
  <si>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</si>
  <si>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</si>
  <si>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</si>
  <si>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</si>
  <si>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</si>
  <si>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</si>
  <si>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</si>
  <si>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</si>
  <si>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</si>
  <si>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</si>
  <si>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</si>
  <si>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</si>
  <si>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</si>
  <si>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</si>
  <si>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</si>
  <si>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</si>
  <si>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</si>
  <si>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</si>
  <si>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</si>
  <si>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</si>
  <si>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</si>
  <si>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</si>
  <si>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</si>
  <si>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</si>
  <si>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</si>
  <si>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</si>
  <si>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</si>
  <si>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</si>
  <si>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</si>
  <si>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</si>
  <si>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</si>
  <si>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</si>
  <si>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</si>
  <si>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</si>
  <si>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</si>
  <si>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</si>
  <si>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</si>
  <si>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</si>
  <si>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</si>
  <si>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</si>
  <si>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</si>
  <si>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</si>
  <si>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</si>
  <si>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</si>
  <si>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DMU</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</si>
  <si>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</si>
  <si>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</si>
  <si>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</si>
  <si>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</si>
  <si>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</si>
  <si>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</si>
  <si>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</si>
  <si>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</si>
  <si>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</si>
  <si>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1,1,1</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</si>
  <si>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</si>
  <si>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</si>
  <si>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</si>
  <si>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</si>
  <si>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</si>
  <si>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</si>
  <si>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</si>
  <si>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</si>
  <si>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</si>
  <si>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</si>
  <si>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</si>
  <si>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</si>
  <si>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</si>
  <si>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</si>
  <si>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</si>
  <si>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</si>
  <si>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</si>
  <si>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</si>
  <si>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</si>
  <si>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</si>
  <si>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</si>
  <si>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</si>
  <si>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</si>
  <si>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</si>
  <si>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</si>
  <si>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</si>
  <si>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</si>
  <si>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</si>
  <si>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</si>
  <si>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</si>
  <si>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</si>
  <si>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</si>
  <si>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</si>
  <si>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</si>
  <si>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</si>
  <si>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</si>
  <si>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</si>
  <si>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</si>
  <si>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</si>
  <si>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</si>
  <si>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</si>
  <si>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</si>
  <si>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</si>
  <si>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</si>
  <si>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</si>
  <si>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</si>
  <si>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</si>
  <si>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</si>
  <si>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</si>
  <si>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</si>
  <si>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</si>
  <si>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</si>
  <si>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</si>
  <si>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</si>
  <si>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</si>
  <si>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</si>
  <si>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</si>
  <si>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</si>
  <si>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</si>
  <si>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</si>
  <si>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</si>
  <si>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</si>
  <si>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</si>
  <si>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</si>
  <si>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</si>
  <si>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</si>
  <si>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</si>
  <si>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lbr</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</si>
  <si>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</si>
  <si>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</si>
  <si>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</si>
  <si>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</si>
  <si>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</si>
  <si>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</si>
  <si>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</si>
  <si>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</si>
  <si>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</si>
  <si>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</si>
  <si>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</si>
  <si>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</si>
  <si>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</si>
  <si>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</si>
  <si>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</si>
  <si>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</si>
  <si>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</si>
  <si>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</si>
  <si>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 LEV1</t>
  </si>
  <si>
    <t xml:space="preserve">lev1</t>
  </si>
  <si>
    <t xml:space="preserve">1,</t>
  </si>
  <si>
    <t xml:space="preserve">DMU (Cheap)</t>
  </si>
  <si>
    <t xml:space="preserve">One of a number of prototype vehicles built for the project that eventually delivered the Pacer family, Leyland’s attempt to reuse as many bus components as possible is on full display in the LEV1.</t>
  </si>
  <si>
    <t xml:space="preserve">Leyland Class 141 "Pacer"</t>
  </si>
  <si>
    <t xml:space="preserve">class_141</t>
  </si>
  <si>
    <t xml:space="preserve">pacer,pacer_rear</t>
  </si>
  <si>
    <t xml:space="preserve">pacer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</si>
  <si>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</si>
  <si>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</si>
  <si>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</si>
  <si>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</si>
  <si>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</si>
  <si>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</si>
  <si>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</si>
  <si>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</si>
  <si>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</si>
  <si>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A class of 2 prototype DMUs built to compete for the contract that became the Class 150 fleet purchase. These units suffered with gearbox issues and the BREL type won the contest instead.</t>
  </si>
  <si>
    <t xml:space="preserve">Leyland/Hunslet Class 153 "Super Sprinter" </t>
  </si>
  <si>
    <t xml:space="preserve">class_153</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</si>
  <si>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</si>
  <si>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</si>
  <si>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</si>
  <si>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</si>
  <si>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</si>
  <si>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concept_trains</t>
  </si>
  <si>
    <t xml:space="preserve">What if the class 153s were converted for parcels service rather than passenger use? This preceds the later use of the 153 as supplementary bike carriages or ‘active travel’ vehicles.</t>
  </si>
  <si>
    <t xml:space="preserve">Metro-Cammell Class 156 "Super Sprinter"</t>
  </si>
  <si>
    <t xml:space="preserve">super_sprinter</t>
  </si>
  <si>
    <t xml:space="preserve">super_sprinter,super_sprinter_rear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</si>
  <si>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</si>
  <si>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</si>
  <si>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</si>
  <si>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</si>
  <si>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</si>
  <si>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</si>
  <si>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</si>
  <si>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</si>
  <si>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0,1,0</t>
  </si>
  <si>
    <t xml:space="preserve">BREL Class 158/156 "Sprinter"</t>
  </si>
  <si>
    <t xml:space="preserve">sprinter_hybrid</t>
  </si>
  <si>
    <t xml:space="preserve">express_sprinter,super_sprinter_rear</t>
  </si>
  <si>
    <t xml:space="preserve">When both Class 158 and Class 156 vehicles are unavailable, it’s possible to run hybrid units of the type, and these have been documented in passenger service on many occasions.</t>
  </si>
  <si>
    <t xml:space="preserve">Bombardier Class 170 "Turbostar"</t>
  </si>
  <si>
    <t xml:space="preserve">class_170</t>
  </si>
  <si>
    <t xml:space="preserve">turbostar,turbostar_rear</t>
  </si>
  <si>
    <t xml:space="preserve">turbostar</t>
  </si>
  <si>
    <t xml:space="preserve">The Turbostar is a further development of the BR "Networker" units. It is used for regional and long distance services.</t>
  </si>
  <si>
    <t xml:space="preserve">class_170_3car</t>
  </si>
  <si>
    <t xml:space="preserve">turbostar,turbostar_mid,turbostar_rear</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</si>
  <si>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</si>
  <si>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</si>
  <si>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</si>
  <si>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</si>
  <si>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</si>
  <si>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</si>
  <si>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</si>
  <si>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</si>
  <si>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</si>
  <si>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</si>
  <si>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</si>
  <si>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</si>
  <si>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</si>
  <si>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</si>
  <si>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</si>
  <si>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</si>
  <si>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</si>
  <si>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</si>
  <si>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</si>
  <si>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</si>
  <si>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</si>
  <si>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</si>
  <si>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</si>
  <si>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</si>
  <si>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</si>
  <si>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</si>
  <si>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</si>
  <si>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</si>
  <si>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</si>
  <si>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</si>
  <si>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</si>
  <si>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</si>
  <si>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</si>
  <si>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</si>
  <si>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</si>
  <si>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</si>
  <si>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</si>
  <si>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</si>
  <si>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</si>
  <si>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</si>
  <si>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</si>
  <si>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</si>
  <si>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</si>
  <si>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</si>
  <si>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</si>
  <si>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</si>
  <si>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</si>
  <si>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</si>
  <si>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</si>
  <si>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</si>
  <si>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</si>
  <si>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</si>
  <si>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</si>
  <si>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</si>
  <si>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</si>
  <si>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</si>
  <si>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</si>
  <si>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</si>
  <si>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</si>
  <si>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</si>
  <si>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</si>
  <si>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</si>
  <si>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</si>
  <si>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</si>
  <si>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</si>
  <si>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</si>
  <si>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</si>
  <si>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</si>
  <si>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</si>
  <si>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</si>
  <si>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</si>
  <si>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</si>
  <si>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</si>
  <si>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</si>
  <si>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</si>
  <si>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DUAL_POWER</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</si>
  <si>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</si>
  <si>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</si>
  <si>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</si>
  <si>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</si>
  <si>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</si>
  <si>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</si>
  <si>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</si>
  <si>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</si>
  <si>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</si>
  <si>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</si>
  <si>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</si>
  <si>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</si>
  <si>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</si>
  <si>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</si>
  <si>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</si>
  <si>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</si>
  <si>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</si>
  <si>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</si>
  <si>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</si>
  <si>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</si>
  <si>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</si>
  <si>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</si>
  <si>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</si>
  <si>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</si>
  <si>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</si>
  <si>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</si>
  <si>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</si>
  <si>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</si>
  <si>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</si>
  <si>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</si>
  <si>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</si>
  <si>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</si>
  <si>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</si>
  <si>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</si>
  <si>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</si>
  <si>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</si>
  <si>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</si>
  <si>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</si>
  <si>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</si>
  <si>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</si>
  <si>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</si>
  <si>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</si>
  <si>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</si>
  <si>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</si>
  <si>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</si>
  <si>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</si>
  <si>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</si>
  <si>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</si>
  <si>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</si>
  <si>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</si>
  <si>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</si>
  <si>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</si>
  <si>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</si>
  <si>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</si>
  <si>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</si>
  <si>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</si>
  <si>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</si>
  <si>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</si>
  <si>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</si>
  <si>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</si>
  <si>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</si>
  <si>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</si>
  <si>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</si>
  <si>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</si>
  <si>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</si>
  <si>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</si>
  <si>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</si>
  <si>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</si>
  <si>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</si>
  <si>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</si>
  <si>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</si>
  <si>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</si>
  <si>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</si>
  <si>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</si>
  <si>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</si>
  <si>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</si>
  <si>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</si>
  <si>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</si>
  <si>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</si>
  <si>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</si>
  <si>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</si>
  <si>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</si>
  <si>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</si>
  <si>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</si>
  <si>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</si>
  <si>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</si>
  <si>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</si>
  <si>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</si>
  <si>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</si>
  <si>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</si>
  <si>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</si>
  <si>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</si>
  <si>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</si>
  <si>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</si>
  <si>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</si>
  <si>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</si>
  <si>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</si>
  <si>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</si>
  <si>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</si>
  <si>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</si>
  <si>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</si>
  <si>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</si>
  <si>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</si>
  <si>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</si>
  <si>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</si>
  <si>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</si>
  <si>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</si>
  <si>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</si>
  <si>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</si>
  <si>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</si>
  <si>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Hitachi Class 801/1 "Azuma"</t>
  </si>
  <si>
    <t xml:space="preserve">class_801_5</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</si>
  <si>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</si>
  <si>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</si>
  <si>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</si>
  <si>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Hitachi Class 802/0 "IET"</t>
  </si>
  <si>
    <t xml:space="preserve">class_802_5</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</si>
  <si>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</si>
  <si>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</si>
  <si>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</si>
  <si>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</si>
  <si>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</si>
  <si>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</si>
  <si>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</si>
  <si>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</si>
  <si>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</si>
  <si>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</si>
  <si>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</si>
  <si>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</si>
  <si>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</si>
  <si>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</si>
  <si>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</si>
  <si>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</si>
  <si>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</si>
  <si>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</si>
  <si>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</si>
  <si>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</si>
  <si>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</si>
  <si>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</si>
  <si>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</si>
  <si>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</si>
  <si>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</si>
  <si>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</si>
  <si>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</si>
  <si>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</si>
  <si>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</si>
  <si>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</si>
  <si>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</si>
  <si>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</si>
  <si>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</si>
  <si>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</si>
  <si>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</si>
  <si>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</si>
  <si>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</si>
  <si>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</si>
  <si>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</si>
  <si>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</si>
  <si>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</si>
  <si>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</si>
  <si>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</si>
  <si>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</si>
  <si>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</si>
  <si>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</si>
  <si>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</si>
  <si>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</si>
  <si>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</si>
  <si>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</si>
  <si>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</si>
  <si>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</si>
  <si>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</si>
  <si>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</si>
  <si>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</si>
  <si>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</si>
  <si>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</si>
  <si>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</si>
  <si>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</si>
  <si>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</si>
  <si>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</si>
  <si>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</si>
  <si>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</si>
  <si>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</si>
  <si>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</si>
  <si>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</si>
  <si>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</si>
  <si>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</si>
  <si>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</si>
  <si>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Van</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</si>
  <si>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</si>
  <si>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</si>
  <si>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</si>
  <si>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</si>
  <si>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</si>
  <si>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</si>
  <si>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</si>
  <si>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</si>
  <si>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</si>
  <si>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</si>
  <si>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</si>
  <si>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Bolster</t>
  </si>
  <si>
    <t xml:space="preserve">WOOD</t>
  </si>
  <si>
    <t xml:space="preserve">Flat Wagon</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</si>
  <si>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</si>
  <si>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</si>
  <si>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</si>
  <si>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</si>
  <si>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</si>
  <si>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</si>
  <si>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</si>
  <si>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</si>
  <si>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</si>
  <si>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</si>
  <si>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</si>
  <si>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</si>
  <si>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carriage</t>
  </si>
  <si>
    <t xml:space="preserve">replace_last,mail_coach_ciwl_rear</t>
  </si>
  <si>
    <t xml:space="preserve">These two-axle baggage cars were a fixture of the night ferry service, running with the sleeping cars on the 11 hour schedule from London to Paris.</t>
  </si>
  <si>
    <t xml:space="preserve">BR Mk1 BG (Prototype)</t>
  </si>
  <si>
    <t xml:space="preserve">mail_coach_mk1_bg</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</si>
  <si>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</si>
  <si>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</si>
  <si>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</si>
  <si>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</si>
  <si>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</si>
  <si>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</si>
  <si>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</si>
  <si>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</si>
  <si>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</si>
  <si>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</si>
  <si>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</si>
  <si>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</si>
  <si>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</si>
  <si>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</si>
  <si>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</si>
  <si>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</si>
  <si>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</si>
  <si>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</si>
  <si>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</si>
  <si>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</si>
  <si>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</si>
  <si>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</si>
  <si>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</si>
  <si>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</si>
  <si>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</si>
  <si>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</si>
  <si>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</si>
  <si>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</si>
  <si>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</si>
  <si>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</si>
  <si>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</si>
  <si>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</si>
  <si>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</si>
  <si>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</si>
  <si>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</si>
  <si>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</si>
  <si>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</si>
  <si>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</si>
  <si>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</si>
  <si>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</si>
  <si>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</si>
  <si>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</si>
  <si>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</si>
  <si>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</si>
  <si>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</si>
  <si>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</si>
  <si>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</si>
  <si>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</si>
  <si>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</si>
  <si>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</si>
  <si>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</si>
  <si>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</si>
  <si>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</si>
  <si>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</si>
  <si>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</si>
  <si>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</si>
  <si>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</si>
  <si>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</si>
  <si>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</si>
  <si>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</si>
  <si>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LU</t>
  </si>
  <si>
    <t xml:space="preserve">Open Wagon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</si>
  <si>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</si>
  <si>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</si>
  <si>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</si>
  <si>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</si>
  <si>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</si>
  <si>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</si>
  <si>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</si>
  <si>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</si>
  <si>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</si>
  <si>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</si>
  <si>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</si>
  <si>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</si>
  <si>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</si>
  <si>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</si>
  <si>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</si>
  <si>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</si>
  <si>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</si>
  <si>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</si>
  <si>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</si>
  <si>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</si>
  <si>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</si>
  <si>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</si>
  <si>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</si>
  <si>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</si>
  <si>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</si>
  <si>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</si>
  <si>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</si>
  <si>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</si>
  <si>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</si>
  <si>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</si>
  <si>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</si>
  <si>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</si>
  <si>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</si>
  <si>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</si>
  <si>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</si>
  <si>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</si>
  <si>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</si>
  <si>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</si>
  <si>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</si>
  <si>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</si>
  <si>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</si>
  <si>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</si>
  <si>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</si>
  <si>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</si>
  <si>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</si>
  <si>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</si>
  <si>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</si>
  <si>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</si>
  <si>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</si>
  <si>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</si>
  <si>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</si>
  <si>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</si>
  <si>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</si>
  <si>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</si>
  <si>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</si>
  <si>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</si>
  <si>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</si>
  <si>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</si>
  <si>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</si>
  <si>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</si>
  <si>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</si>
  <si>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</si>
  <si>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</si>
  <si>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</si>
  <si>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</si>
  <si>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</si>
  <si>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</si>
  <si>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</si>
  <si>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</si>
  <si>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</si>
  <si>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</si>
  <si>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</si>
  <si>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</si>
  <si>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</si>
  <si>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</si>
  <si>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</si>
  <si>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</si>
  <si>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</si>
  <si>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</si>
  <si>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</si>
  <si>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</si>
  <si>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</si>
  <si>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</si>
  <si>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</si>
  <si>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</si>
  <si>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</si>
  <si>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</si>
  <si>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</si>
  <si>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</si>
  <si>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</si>
  <si>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</si>
  <si>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</si>
  <si>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</si>
  <si>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</si>
  <si>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</si>
  <si>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</si>
  <si>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</si>
  <si>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</si>
  <si>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</si>
  <si>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</si>
  <si>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</si>
  <si>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</si>
  <si>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</si>
  <si>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</si>
  <si>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</si>
  <si>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</si>
  <si>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</si>
  <si>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</si>
  <si>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</si>
  <si>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</si>
  <si>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</si>
  <si>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</si>
  <si>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</si>
  <si>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</si>
  <si>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</si>
  <si>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</si>
  <si>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</si>
  <si>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</si>
  <si>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</si>
  <si>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</si>
  <si>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</si>
  <si>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</si>
  <si>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</si>
  <si>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</si>
  <si>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</si>
  <si>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</si>
  <si>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</si>
  <si>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</si>
  <si>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</si>
  <si>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</si>
  <si>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</si>
  <si>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</si>
  <si>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</si>
  <si>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</si>
  <si>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</si>
  <si>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</si>
  <si>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</si>
  <si>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</si>
  <si>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</si>
  <si>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</si>
  <si>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</si>
  <si>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</si>
  <si>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</si>
  <si>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</si>
  <si>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</si>
  <si>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</si>
  <si>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</si>
  <si>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</si>
  <si>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</si>
  <si>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</si>
  <si>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</si>
  <si>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</si>
  <si>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</si>
  <si>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</si>
  <si>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</si>
  <si>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Sprinters</t>
  </si>
  <si>
    <t xml:space="preserve">IETs</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</si>
  <si>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</si>
  <si>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</si>
  <si>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</si>
  <si>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</si>
  <si>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</si>
  <si>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</si>
  <si>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</si>
  <si>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</si>
  <si>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</si>
  <si>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</si>
  <si>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</si>
  <si>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</si>
  <si>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</si>
  <si>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</si>
  <si>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</si>
  <si>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</si>
  <si>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</si>
  <si>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</si>
  <si>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</si>
  <si>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</si>
  <si>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</si>
  <si>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</si>
  <si>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</si>
  <si>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</si>
  <si>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</si>
  <si>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</si>
  <si>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</si>
  <si>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</si>
  <si>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</si>
  <si>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</si>
  <si>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</si>
  <si>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</si>
  <si>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</si>
  <si>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</si>
  <si>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</si>
  <si>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What if the Class 442 had a dual-voltage conversion to allow through-running expresses and an end to 3rd rail power supply?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</si>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</sst>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vertAlign val="superscript"/>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22">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sharedStrings" Target="sharedStrings.xml"/><Relationship Id="rId14"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steam_NGRL</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Running cost factor</v>
          </cell>
        </row>
        <row r="18">
          <cell r="M18" t="str">
            <v>lpgflywheel_RAIL</v>
          </cell>
        </row>
        <row r="19">
          <cell r="I19">
            <v>1</v>
          </cell>
        </row>
        <row r="19">
          <cell r="M19" t="str">
            <v>wagon_PLATEWAY</v>
          </cell>
        </row>
        <row r="20">
          <cell r="I20">
            <v>0.85</v>
          </cell>
        </row>
        <row r="20">
          <cell r="M20" t="str">
            <v>steam_PLATEWAY</v>
          </cell>
        </row>
        <row r="21">
          <cell r="I21">
            <v>1.15</v>
          </cell>
        </row>
        <row r="21">
          <cell r="M21" t="str">
            <v>carriage_PLATEWAY</v>
          </cell>
        </row>
        <row r="22">
          <cell r="I22">
            <v>0.9</v>
          </cell>
        </row>
        <row r="22">
          <cell r="M22" t="str">
            <v>horses_PLATEWAY</v>
          </cell>
        </row>
        <row r="23">
          <cell r="I23">
            <v>0.85</v>
          </cell>
        </row>
        <row r="23">
          <cell r="M23" t="str">
            <v>tube_FOURTH_RAIL</v>
          </cell>
        </row>
        <row r="24">
          <cell r="I24">
            <v>1.2</v>
          </cell>
        </row>
        <row r="24">
          <cell r="M24" t="str">
            <v>brake_PLATEWAY</v>
          </cell>
        </row>
        <row r="25">
          <cell r="I25">
            <v>1.5</v>
          </cell>
        </row>
        <row r="25">
          <cell r="M25" t="str">
            <v>carriage_FOURTH_RAIL</v>
          </cell>
        </row>
        <row r="26">
          <cell r="I26">
            <v>1</v>
          </cell>
        </row>
        <row r="26">
          <cell r="M26" t="str">
            <v>none_RAIL</v>
          </cell>
        </row>
        <row r="27">
          <cell r="I27">
            <v>1</v>
          </cell>
        </row>
        <row r="27">
          <cell r="M27" t="str">
            <v>gas_turbine_RAIL</v>
          </cell>
        </row>
        <row r="28">
          <cell r="I28">
            <v>0.9</v>
          </cell>
        </row>
        <row r="28">
          <cell r="M28" t="str">
            <v>dual_power_BATTERY</v>
          </cell>
        </row>
        <row r="29">
          <cell r="I29">
            <v>0</v>
          </cell>
        </row>
        <row r="29">
          <cell r="M29" t="str">
            <v>power_desc</v>
          </cell>
        </row>
        <row r="30">
          <cell r="I30">
            <v>1.05</v>
          </cell>
        </row>
        <row r="30">
          <cell r="M30" t="str">
            <v>{BLACK}Powered by: {GOLD}Diesel</v>
          </cell>
        </row>
        <row r="31">
          <cell r="I31">
            <v>0.98</v>
          </cell>
        </row>
        <row r="31">
          <cell r="M31" t="str">
            <v>{BLACK}Powered by: {GOLD}Steam</v>
          </cell>
        </row>
        <row r="32">
          <cell r="I32">
            <v>0.5</v>
          </cell>
        </row>
        <row r="32">
          <cell r="M32" t="str">
            <v>{BLACK}Powered by: {GOLD}25kV AC</v>
          </cell>
        </row>
        <row r="33">
          <cell r="I33">
            <v>0.85</v>
          </cell>
        </row>
        <row r="33">
          <cell r="M33" t="str">
            <v>{BLACK}Powered by: {GOLD}750V DC</v>
          </cell>
        </row>
        <row r="34">
          <cell r="I34">
            <v>1</v>
          </cell>
        </row>
        <row r="35">
          <cell r="I35" t="str">
            <v>Purchase cost factor</v>
          </cell>
        </row>
        <row r="36">
          <cell r="I36">
            <v>2</v>
          </cell>
        </row>
        <row r="37">
          <cell r="I37">
            <v>2.3</v>
          </cell>
        </row>
        <row r="38">
          <cell r="I38">
            <v>1.7</v>
          </cell>
        </row>
        <row r="39">
          <cell r="I39">
            <v>2.5</v>
          </cell>
        </row>
        <row r="39">
          <cell r="M39" t="str">
            <v>{BLACK}Powered by: {GOLD}750V DC / Diesel</v>
          </cell>
        </row>
        <row r="40">
          <cell r="I40">
            <v>2.4</v>
          </cell>
        </row>
        <row r="40">
          <cell r="M40" t="str">
            <v>{BLACK}Powered by: {GOLD}25kV AC / 750V DC</v>
          </cell>
        </row>
        <row r="41">
          <cell r="I41">
            <v>0.6</v>
          </cell>
        </row>
        <row r="42">
          <cell r="I42">
            <v>0.7</v>
          </cell>
        </row>
        <row r="43">
          <cell r="I43">
            <v>0.45</v>
          </cell>
        </row>
        <row r="44">
          <cell r="I44">
            <v>0.4</v>
          </cell>
        </row>
        <row r="44">
          <cell r="M44" t="str">
            <v>{BLACK}Powered by: {GOLD}Petrol</v>
          </cell>
        </row>
        <row r="45">
          <cell r="I45">
            <v>1.6</v>
          </cell>
        </row>
        <row r="45">
          <cell r="M45" t="str">
            <v>{BLACK}Powered by: {GOLD}25kV AC / Diesel</v>
          </cell>
        </row>
        <row r="46">
          <cell r="I46">
            <v>0</v>
          </cell>
        </row>
        <row r="46">
          <cell r="M46" t="str">
            <v>{BLACK}Powered by: {GOLD}LPG / Flywheel</v>
          </cell>
        </row>
        <row r="47">
          <cell r="I47">
            <v>1.9</v>
          </cell>
        </row>
        <row r="48">
          <cell r="I48">
            <v>1.88</v>
          </cell>
        </row>
        <row r="48">
          <cell r="M48" t="str">
            <v>{BLACK}Powered by: {GOLD}Steam</v>
          </cell>
        </row>
        <row r="49">
          <cell r="I49">
            <v>0.5</v>
          </cell>
        </row>
        <row r="50">
          <cell r="I50">
            <v>2.3</v>
          </cell>
        </row>
        <row r="50">
          <cell r="M50" t="str">
            <v>{BLACK}Powered by: {GOLD}Grass and hay</v>
          </cell>
        </row>
        <row r="51">
          <cell r="I51">
            <v>2</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121" createdVersion="3">
  <cacheSource type="worksheet">
    <worksheetSource ref="A1:CI122" sheet="Table"/>
  </cacheSource>
  <cacheFields count="87">
    <cacheField name="name" numFmtId="0">
      <sharedItems count="113">
        <s v="“Grainflow” Covered Hopper"/>
        <s v="“Polybulk” Covered Hopper"/>
        <s v="“Presflo” Powder Hopper"/>
        <s v="Alstom Class 458/5 &quot;5JUP&quot;"/>
        <s v="Bombardier Class 170 &quot;Turbostar&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VIX Ferry Van"/>
        <s v="BR XMA Cartic-4"/>
        <s v="BREL &quot;APT-S&quot; Trailer Rake (10 cars)"/>
        <s v="BREL &quot;APT-S&quot; Trailer Rake (6 cars)"/>
        <s v="BREL APT-S Driving Motor"/>
        <s v="BREL APT-S/Q Driving Van Trailer"/>
        <s v="BREL Class 150 &quot;Sprinter&quot;"/>
        <s v="BREL Class 158 &quot;Express Sprinter&quot;"/>
        <s v="BREL Class 158/156 &quot;Sprinter&quot;"/>
        <s v="BREL Class 210 (3 car)"/>
        <s v="BREL Class 210 (4 car)"/>
        <s v="BREL Class 365 &quot;Networker Express&quot;"/>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42 &quot;Wessex Electric&quot;"/>
        <s v="BREL Class 442/8 &quot;Wessex Electric&quot;"/>
        <s v="BREL Class 465 &quot;Networker&quot;"/>
        <s v="BREL Class 466 “Networker”"/>
        <s v="BREL Class 88"/>
        <s v="BREL E-HST"/>
        <s v="CAF Mk5 Sleeper (Berths)"/>
        <s v="CAF Mk5 Sleeper (Club Car)"/>
        <s v="CAF Mk5 Sleeper (Seated)"/>
        <s v="Cargowaggon IGA Flat Wagon"/>
        <s v="Cargowaggon IWB Van"/>
        <s v="Cargowaggon IZA Twin Van"/>
        <s v="CIWL Fourgon Baggage Car"/>
        <s v="CIWL Type F Sleeping Car"/>
        <s v="EE Class 37/6 &quot;Tractor&quot;"/>
        <s v="EPS “Nightstar” Generator Car"/>
        <s v="EPS “Nightstar” Generator Car (Alternate Livery)"/>
        <s v="EPS “Nightstar” Sleeper (7 Car)"/>
        <s v="EPS “Nightstar” Sleeper (8 Car)"/>
        <s v="GEC-Alsthom Class 373 &quot;Eurostar&quot;"/>
        <s v="GEC-Alsthom Class 373 &quot;Eurostar&quot; (e300 Livery)"/>
        <s v="GEC-Alsthom Class 373 &quot;Eurostar&quot; NoL"/>
        <s v="Hitachi Class 800/0 &quot;Azuma&quot;"/>
        <s v="Hitachi Class 800/1 &quot;Azuma&quot;"/>
        <s v="Hitachi Class 801/1 &quot;Azuma&quot;"/>
        <s v="Hitachi Class 801/2 &quot;Azuma&quot;"/>
        <s v="Hitachi Class 802/0 &quot;IET&quot;"/>
        <s v="Hitachi Class 802/1 &quot;IET&quot;"/>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 Class 141 &quot;Pacer&quot;"/>
        <s v="Leyland LEV1"/>
        <s v="Leyland/Hunslet Class 153 &quot;Mail Sprinter&quot; "/>
        <s v="Leyland/Hunslet Class 153 &quot;Super Sprinter&quot; "/>
        <s v="LMS Brake Van"/>
        <s v="LMS Grain Hopper"/>
        <s v="LNWR Sleeping Car"/>
        <s v="MC Class 251 &quot;Blue Pullman&quot; "/>
        <s v="Metro-Cammell Class 151"/>
        <s v="Metro-Cammell Class 156 &quot;Super Sprinter&quot;"/>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121">
        <s v="apt_half_2"/>
        <s v="apt_half_2_rev"/>
        <s v="apt_half_6"/>
        <s v="apt_half_6_rev"/>
        <s v="apt_powercar"/>
        <s v="apt_q_dvt"/>
        <s v="apt_s_10"/>
        <s v="apt_s_6"/>
        <s v="apt_s_dm"/>
        <s v="blue_pullman_midland"/>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gowaggon_iga"/>
        <s v="cargowaggon_iwb"/>
        <s v="cargowaggon_iza"/>
        <s v="cartic4"/>
        <s v="class_141"/>
        <s v="class_150"/>
        <s v="class_151"/>
        <s v="class_153"/>
        <s v="class_153_mail"/>
        <s v="class_170"/>
        <s v="class_170_3car"/>
        <s v="class_201_4car"/>
        <s v="class_201_6car"/>
        <s v="class_205_2car"/>
        <s v="class_205_3car"/>
        <s v="class_210_3car"/>
        <s v="class_210_4car"/>
        <s v="class_302_4car"/>
        <s v="class_302_parcels"/>
        <s v="class_309_2_4car_buf"/>
        <s v="class_309_2car"/>
        <s v="class_309_3_4car"/>
        <s v="class_365"/>
        <s v="class_374_12car"/>
        <s v="class_374_16car"/>
        <s v="class_458_5"/>
        <s v="class_465"/>
        <s v="class_466"/>
        <s v="class_717_city"/>
        <s v="class_745"/>
        <s v="class_800_9"/>
        <s v="class_800_azuma"/>
        <s v="class_801_5"/>
        <s v="class_801_9"/>
        <s v="class_802_5"/>
        <s v="class_802_9"/>
        <s v="class_810_aurora"/>
        <s v="eps_class_37_6"/>
        <s v="eurostar"/>
        <s v="eurostar_3cap"/>
        <s v="eurostar_nol"/>
        <s v="eurostar_nol_new"/>
        <s v="express_sprinter_2car"/>
        <s v="express_sprinter_3car"/>
        <s v="grainflow"/>
        <s v="jpa_tanker"/>
        <s v="lbscr_cp_emu_2"/>
        <s v="lbscr_cp_emu_3"/>
        <s v="lbscr_cp_emu_4"/>
        <s v="lbscr_cp_emu_5"/>
        <s v="lbscr_cp_emu_6"/>
        <s v="lbscr_cw_emu"/>
        <s v="lbscr_emu_mlv"/>
        <s v="lev1"/>
        <s v="lms_grain_hopper"/>
        <s v="mail_coach_ciwl"/>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ciwl_sleepe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 v="sprinter_hybrid"/>
        <s v="super_sprinter"/>
        <s v="vix_van"/>
        <s v="wessex_electric"/>
        <s v="wessex_electric_dc"/>
      </sharedItems>
    </cacheField>
    <cacheField name="numeric_id" numFmtId="0">
      <sharedItems containsSemiMixedTypes="0" containsString="0" containsNumber="1" containsInteger="1" minValue="10" maxValue="11375" count="121">
        <n v="10"/>
        <n v="11"/>
        <n v="12"/>
        <n v="13"/>
        <n v="14"/>
        <n v="15"/>
        <n v="16"/>
        <n v="17"/>
        <n v="18"/>
        <n v="19"/>
        <n v="20"/>
        <n v="21"/>
        <n v="22"/>
        <n v="23"/>
        <n v="25"/>
        <n v="26"/>
        <n v="27"/>
        <n v="32"/>
        <n v="33"/>
        <n v="35"/>
        <n v="36"/>
        <n v="37"/>
        <n v="40"/>
        <n v="41"/>
        <n v="85"/>
        <n v="86"/>
        <n v="96"/>
        <n v="97"/>
        <n v="98"/>
        <n v="99"/>
        <n v="101"/>
        <n v="102"/>
        <n v="103"/>
        <n v="105"/>
        <n v="106"/>
        <n v="107"/>
        <n v="108"/>
        <n v="109"/>
        <n v="110"/>
        <n v="120"/>
        <n v="121"/>
        <n v="122"/>
        <n v="123"/>
        <n v="149"/>
        <n v="150"/>
        <n v="151"/>
        <n v="152"/>
        <n v="153"/>
        <n v="154"/>
        <n v="156"/>
        <n v="157"/>
        <n v="158"/>
        <n v="159"/>
        <n v="160"/>
        <n v="161"/>
        <n v="201"/>
        <n v="202"/>
        <n v="205"/>
        <n v="206"/>
        <n v="210"/>
        <n v="211"/>
        <n v="251"/>
        <n v="252"/>
        <n v="302"/>
        <n v="303"/>
        <n v="309"/>
        <n v="310"/>
        <n v="311"/>
        <n v="312"/>
        <n v="370"/>
        <n v="371"/>
        <n v="372"/>
        <n v="373"/>
        <n v="374"/>
        <n v="380"/>
        <n v="382"/>
        <n v="384"/>
        <n v="386"/>
        <n v="388"/>
        <n v="390"/>
        <n v="396"/>
        <n v="400"/>
        <n v="401"/>
        <n v="402"/>
        <n v="403"/>
        <n v="408"/>
        <n v="409"/>
        <n v="410"/>
        <n v="411"/>
        <n v="419"/>
        <n v="420"/>
        <n v="422"/>
        <n v="424"/>
        <n v="440"/>
        <n v="441"/>
        <n v="442"/>
        <n v="443"/>
        <n v="464"/>
        <n v="465"/>
        <n v="471"/>
        <n v="473"/>
        <n v="484"/>
        <n v="487"/>
        <n v="488"/>
        <n v="489"/>
        <n v="490"/>
        <n v="509"/>
        <n v="510"/>
        <n v="511"/>
        <n v="512"/>
        <n v="513"/>
        <n v="514"/>
        <n v="579"/>
        <n v="580"/>
        <n v="581"/>
        <n v="582"/>
        <n v="583"/>
        <n v="1111"/>
        <n v="1112"/>
        <n v="11374"/>
        <n v="11375"/>
      </sharedItems>
    </cacheField>
    <cacheField name="variant_group" numFmtId="0">
      <sharedItems containsString="0" containsBlank="1" containsNumber="1" containsInteger="1" minValue="10" maxValue="11374" count="27">
        <n v="10"/>
        <n v="14"/>
        <n v="98"/>
        <n v="105"/>
        <n v="108"/>
        <n v="121"/>
        <n v="153"/>
        <n v="157"/>
        <n v="160"/>
        <n v="201"/>
        <n v="205"/>
        <n v="210"/>
        <n v="252"/>
        <n v="302"/>
        <n v="310"/>
        <n v="372"/>
        <n v="382"/>
        <n v="386"/>
        <n v="400"/>
        <n v="409"/>
        <n v="420"/>
        <n v="440"/>
        <n v="464"/>
        <n v="509"/>
        <n v="580"/>
        <n v="11374"/>
        <m/>
      </sharedItems>
    </cacheField>
    <cacheField name="sort_order" numFmtId="0">
      <sharedItems containsSemiMixedTypes="0" containsString="0" containsNumber="1" containsInteger="1" minValue="10" maxValue="1186" count="107">
        <n v="10"/>
        <n v="11"/>
        <n v="12"/>
        <n v="14"/>
        <n v="19"/>
        <n v="20"/>
        <n v="22"/>
        <n v="24"/>
        <n v="26"/>
        <n v="27"/>
        <n v="28"/>
        <n v="29"/>
        <n v="30"/>
        <n v="32"/>
        <n v="40"/>
        <n v="41"/>
        <n v="42"/>
        <n v="43"/>
        <n v="44"/>
        <n v="45"/>
        <n v="144"/>
        <n v="145"/>
        <n v="147"/>
        <n v="148"/>
        <n v="155"/>
        <n v="156"/>
        <n v="157"/>
        <n v="158"/>
        <n v="159"/>
        <n v="160"/>
        <n v="161"/>
        <n v="162"/>
        <n v="372"/>
        <n v="373"/>
        <n v="374"/>
        <n v="375"/>
        <n v="376"/>
        <n v="382"/>
        <n v="384"/>
        <n v="386"/>
        <n v="388"/>
        <n v="390"/>
        <n v="392"/>
        <n v="394"/>
        <n v="396"/>
        <n v="398"/>
        <n v="400"/>
        <n v="405"/>
        <n v="406"/>
        <n v="410"/>
        <n v="411"/>
        <n v="412"/>
        <n v="413"/>
        <n v="420"/>
        <n v="421"/>
        <n v="470"/>
        <n v="472"/>
        <n v="473"/>
        <n v="474"/>
        <n v="475"/>
        <n v="476"/>
        <n v="480"/>
        <n v="481"/>
        <n v="482"/>
        <n v="483"/>
        <n v="490"/>
        <n v="491"/>
        <n v="500"/>
        <n v="510"/>
        <n v="511"/>
        <n v="512"/>
        <n v="513"/>
        <n v="514"/>
        <n v="515"/>
        <n v="516"/>
        <n v="518"/>
        <n v="519"/>
        <n v="520"/>
        <n v="1020"/>
        <n v="1021"/>
        <n v="1025"/>
        <n v="1026"/>
        <n v="1027"/>
        <n v="1029"/>
        <n v="1031"/>
        <n v="1033"/>
        <n v="1035"/>
        <n v="1036"/>
        <n v="1037"/>
        <n v="1090"/>
        <n v="1091"/>
        <n v="1092"/>
        <n v="1093"/>
        <n v="1101"/>
        <n v="1102"/>
        <n v="1103"/>
        <n v="1104"/>
        <n v="1105"/>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43">
        <n v="1905"/>
        <n v="1907"/>
        <n v="1911"/>
        <n v="1924"/>
        <n v="1925"/>
        <n v="1936"/>
        <n v="1938"/>
        <n v="1955"/>
        <n v="1956"/>
        <n v="1957"/>
        <n v="1958"/>
        <n v="1959"/>
        <n v="1960"/>
        <n v="1962"/>
        <n v="1964"/>
        <n v="1966"/>
        <n v="1968"/>
        <n v="1973"/>
        <n v="1975"/>
        <n v="1977"/>
        <n v="1979"/>
        <n v="1982"/>
        <n v="1984"/>
        <n v="1985"/>
        <n v="1986"/>
        <n v="1987"/>
        <n v="1988"/>
        <n v="1989"/>
        <n v="1991"/>
        <n v="1992"/>
        <n v="1993"/>
        <n v="1994"/>
        <n v="1997"/>
        <n v="1998"/>
        <n v="1999"/>
        <n v="2003"/>
        <n v="2007"/>
        <n v="2012"/>
        <n v="2014"/>
        <n v="2017"/>
        <n v="2018"/>
        <n v="2020"/>
        <n v="2022"/>
      </sharedItems>
    </cacheField>
    <cacheField name="end_year" numFmtId="0">
      <sharedItems containsString="0" containsBlank="1" containsNumber="1" containsInteger="1" minValue="1950" maxValue="2026" count="33">
        <n v="1950"/>
        <n v="1955"/>
        <n v="1960"/>
        <n v="1962"/>
        <n v="1965"/>
        <n v="1966"/>
        <n v="1969"/>
        <n v="1974"/>
        <n v="1975"/>
        <n v="1980"/>
        <n v="1981"/>
        <n v="1982"/>
        <n v="1983"/>
        <n v="1985"/>
        <n v="1986"/>
        <n v="1987"/>
        <n v="1988"/>
        <n v="1989"/>
        <n v="1990"/>
        <n v="1991"/>
        <n v="1992"/>
        <n v="1994"/>
        <n v="1996"/>
        <n v="1998"/>
        <n v="1999"/>
        <n v="2002"/>
        <n v="2005"/>
        <n v="2010"/>
        <n v="2012"/>
        <n v="2015"/>
        <n v="2025"/>
        <n v="2026"/>
        <m/>
      </sharedItems>
    </cacheField>
    <cacheField name="service" numFmtId="0">
      <sharedItems containsString="0" containsBlank="1" containsNumber="1" containsInteger="1" minValue="1955" maxValue="2031" count="26">
        <n v="1955"/>
        <n v="1960"/>
        <n v="1961"/>
        <n v="1966"/>
        <n v="1973"/>
        <n v="1980"/>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45">
        <n v="10"/>
        <n v="45"/>
        <n v="84"/>
        <n v="100"/>
        <n v="150"/>
        <n v="205"/>
        <n v="248"/>
        <n v="285"/>
        <n v="360"/>
        <n v="500"/>
        <n v="570"/>
        <n v="572"/>
        <n v="600"/>
        <n v="635"/>
        <n v="700"/>
        <n v="710"/>
        <n v="768"/>
        <n v="855"/>
        <n v="1000"/>
        <n v="1050"/>
        <n v="1128"/>
        <n v="1266"/>
        <n v="1500"/>
        <n v="1600"/>
        <n v="1608"/>
        <n v="1610"/>
        <n v="1684"/>
        <n v="1750"/>
        <n v="2100"/>
        <n v="2250"/>
        <n v="2750"/>
        <n v="3000"/>
        <n v="3200"/>
        <n v="3620"/>
        <n v="3750"/>
        <n v="4000"/>
        <n v="4800"/>
        <n v="5250"/>
        <n v="5400"/>
        <n v="6750"/>
        <n v="7000"/>
        <n v="15750"/>
        <n v="16400"/>
        <n v="21000"/>
        <m/>
      </sharedItems>
    </cacheField>
    <cacheField name="secondary_power" numFmtId="0">
      <sharedItems containsString="0" containsBlank="1" containsNumber="1" containsInteger="1" minValue="1610" maxValue="4700" count="9">
        <n v="1610"/>
        <n v="2250"/>
        <n v="2700"/>
        <n v="2820"/>
        <n v="3750"/>
        <n v="3950"/>
        <n v="4600"/>
        <n v="47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92">
        <n v="6.4"/>
        <n v="7"/>
        <n v="9.7"/>
        <n v="10.1"/>
        <n v="12.4"/>
        <n v="12.9"/>
        <n v="13.4"/>
        <n v="14.8"/>
        <n v="17"/>
        <n v="19.9"/>
        <n v="20"/>
        <n v="21"/>
        <n v="22.7"/>
        <n v="24.3"/>
        <n v="25"/>
        <n v="26"/>
        <n v="27.3"/>
        <n v="33"/>
        <n v="34"/>
        <n v="35"/>
        <n v="37.5"/>
        <n v="38"/>
        <n v="38.4"/>
        <n v="39"/>
        <n v="40"/>
        <n v="40.5"/>
        <n v="41.2"/>
        <n v="43"/>
        <n v="46.1"/>
        <n v="46.2"/>
        <n v="52.5"/>
        <n v="57.5"/>
        <n v="61"/>
        <n v="62"/>
        <n v="65.6"/>
        <n v="67.5"/>
        <n v="68.5"/>
        <n v="71.5"/>
        <n v="71.6"/>
        <n v="72"/>
        <n v="74"/>
        <n v="74.6"/>
        <n v="76.8"/>
        <n v="77"/>
        <n v="78"/>
        <n v="80"/>
        <n v="87"/>
        <n v="97"/>
        <n v="99"/>
        <n v="99.5"/>
        <n v="101"/>
        <n v="102"/>
        <n v="105"/>
        <n v="109"/>
        <n v="115.5"/>
        <n v="118"/>
        <n v="120"/>
        <n v="124"/>
        <n v="127"/>
        <n v="135"/>
        <n v="136"/>
        <n v="144"/>
        <n v="152"/>
        <n v="157"/>
        <n v="160"/>
        <n v="164.8"/>
        <n v="170"/>
        <n v="171"/>
        <n v="177"/>
        <n v="180"/>
        <n v="186.5"/>
        <n v="200"/>
        <n v="202.8"/>
        <n v="204"/>
        <n v="208.8"/>
        <n v="209.6"/>
        <n v="223.8"/>
        <n v="233"/>
        <n v="235"/>
        <n v="238"/>
        <n v="243"/>
        <n v="258.2"/>
        <n v="298.4"/>
        <n v="304"/>
        <n v="340"/>
        <n v="363.4"/>
        <n v="373"/>
        <n v="419.8"/>
        <n v="420"/>
        <n v="43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8">
        <n v="5"/>
        <n v="15"/>
        <n v="40"/>
        <n v="48"/>
        <n v="55"/>
        <n v="60"/>
        <n v="70"/>
        <n v="83"/>
        <n v="85"/>
        <n v="92"/>
        <n v="95"/>
        <n v="106"/>
        <n v="110"/>
        <n v="120"/>
        <n v="130"/>
        <n v="145"/>
        <n v="155"/>
        <n v="165"/>
        <n v="180"/>
        <n v="186"/>
        <n v="190"/>
        <n v="192"/>
        <n v="195"/>
        <n v="205"/>
        <n v="210"/>
        <n v="216"/>
        <n v="220"/>
        <n v="225"/>
        <n v="240"/>
        <n v="247"/>
        <n v="267"/>
        <n v="270"/>
        <n v="360"/>
        <n v="378"/>
        <n v="400"/>
        <n v="480"/>
        <n v="486"/>
        <m/>
      </sharedItems>
    </cacheField>
    <cacheField name="te_coeff" numFmtId="0">
      <sharedItems containsMixedTypes="1" containsNumber="1" minValue="0.00193648334624322" maxValue="0.352941176470588" count="75">
        <n v="0.00193648334624322"/>
        <n v="0.00238549618320611"/>
        <n v="0.00303398058252427"/>
        <n v="0.0076219512195122"/>
        <n v="0.0125"/>
        <n v="0.0130208333333333"/>
        <n v="0.0142857142857143"/>
        <n v="0.0271186440677966"/>
        <n v="0.0292553191489362"/>
        <n v="0.03"/>
        <n v="0.0315789473684211"/>
        <n v="0.0330827067669173"/>
        <n v="0.0357142857142857"/>
        <n v="0.0377952755905512"/>
        <n v="0.0445205479452055"/>
        <n v="0.0455882352941176"/>
        <n v="0.0464285714285714"/>
        <n v="0.0470588235294118"/>
        <n v="0.0472222222222222"/>
        <n v="0.0482412060301508"/>
        <n v="0.0509868421052632"/>
        <n v="0.0623376623376623"/>
        <n v="0.0638888888888889"/>
        <n v="0.0700729927007299"/>
        <n v="0.0774193548387097"/>
        <n v="0.0779661016949153"/>
        <n v="0.0802469135802469"/>
        <n v="0.0828025477707006"/>
        <n v="0.0829787234042553"/>
        <n v="0.0836909871244635"/>
        <n v="0.0898305084745763"/>
        <n v="0.0909961685823755"/>
        <n v="0.0936883629191322"/>
        <n v="0.1"/>
        <n v="0.103896103896104"/>
        <n v="0.104838709677419"/>
        <n v="0.107070707070707"/>
        <n v="0.110294117647059"/>
        <n v="0.115277777777778"/>
        <n v="0.115817694369973"/>
        <n v="0.119883040935673"/>
        <n v="0.12"/>
        <n v="0.120588235294118"/>
        <n v="0.120643431635389"/>
        <n v="0.121323529411765"/>
        <n v="0.126675603217158"/>
        <n v="0.128"/>
        <n v="0.13029490616622"/>
        <n v="0.1325"/>
        <n v="0.133333333333333"/>
        <n v="0.147826086956522"/>
        <n v="0.149484536082474"/>
        <n v="0.153631284916201"/>
        <n v="0.155844155844156"/>
        <n v="0.16"/>
        <n v="0.160857908847185"/>
        <n v="0.173770491803279"/>
        <n v="0.196078431372549"/>
        <n v="0.202970297029703"/>
        <n v="0.205384615384615"/>
        <n v="0.205627705627706"/>
        <n v="0.211764705882353"/>
        <n v="0.214285714285714"/>
        <n v="0.234567901234568"/>
        <n v="0.235238095238095"/>
        <n v="0.238461538461538"/>
        <n v="0.243243243243243"/>
        <n v="0.251748251748252"/>
        <n v="0.2734375"/>
        <n v="0.280701754385965"/>
        <n v="0.288065843621399"/>
        <n v="0.311111111111111"/>
        <n v="0.311764705882353"/>
        <n v="0.352941176470588"/>
        <s v=""/>
      </sharedItems>
    </cacheField>
    <cacheField name="speed" numFmtId="0">
      <sharedItems containsSemiMixedTypes="0" containsString="0" containsNumber="1" containsInteger="1" minValue="12" maxValue="200" count="17">
        <n v="12"/>
        <n v="18"/>
        <n v="45"/>
        <n v="50"/>
        <n v="60"/>
        <n v="75"/>
        <n v="80"/>
        <n v="85"/>
        <n v="90"/>
        <n v="100"/>
        <n v="108"/>
        <n v="110"/>
        <n v="125"/>
        <n v="140"/>
        <n v="155"/>
        <n v="186"/>
        <n v="200"/>
      </sharedItems>
    </cacheField>
    <cacheField name="kmhish_speed" numFmtId="0">
      <sharedItems containsSemiMixedTypes="0" containsString="0" containsNumber="1" containsInteger="1" minValue="19" maxValue="320" count="17">
        <n v="19"/>
        <n v="29"/>
        <n v="72"/>
        <n v="80"/>
        <n v="96"/>
        <n v="120"/>
        <n v="128"/>
        <n v="136"/>
        <n v="144"/>
        <n v="160"/>
        <n v="173"/>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6" count="50">
        <n v="5.5"/>
        <n v="6"/>
        <n v="6.1"/>
        <n v="6.2"/>
        <n v="7.6"/>
        <n v="8"/>
        <n v="8.8"/>
        <n v="9"/>
        <n v="10"/>
        <n v="12.1"/>
        <n v="12.8"/>
        <n v="13.5"/>
        <n v="13.8"/>
        <n v="13.9"/>
        <n v="14"/>
        <n v="15.45"/>
        <n v="16.2"/>
        <n v="16.36"/>
        <n v="16.4"/>
        <n v="17.37"/>
        <n v="17.79"/>
        <n v="18"/>
        <n v="18.3"/>
        <n v="18.4"/>
        <n v="18.75"/>
        <n v="19.13"/>
        <n v="19.2"/>
        <n v="19.5"/>
        <n v="19.64"/>
        <n v="19.7"/>
        <n v="19.8"/>
        <n v="19.9"/>
        <n v="20"/>
        <n v="20.2"/>
        <n v="20.26"/>
        <n v="20.3"/>
        <n v="20.89"/>
        <n v="20.9"/>
        <n v="21.7"/>
        <n v="22"/>
        <n v="22.15"/>
        <n v="22.2"/>
        <n v="23"/>
        <n v="23.2"/>
        <n v="23.62"/>
        <n v="23.8"/>
        <n v="24"/>
        <n v="25.7"/>
        <n v="26"/>
        <m/>
      </sharedItems>
    </cacheField>
    <cacheField name="scale_len" numFmtId="0">
      <sharedItems containsSemiMixedTypes="0" containsString="0" containsNumber="1" minValue="6" maxValue="25.7" count="32">
        <n v="6"/>
        <n v="8"/>
        <n v="9"/>
        <n v="10"/>
        <n v="12"/>
        <n v="12.8"/>
        <n v="13.5"/>
        <n v="13.9"/>
        <n v="14"/>
        <n v="15"/>
        <n v="15.45"/>
        <n v="16.36"/>
        <n v="17"/>
        <n v="17.5"/>
        <n v="17.79"/>
        <n v="18"/>
        <n v="18.3"/>
        <n v="18.75"/>
        <n v="19.13"/>
        <n v="20"/>
        <n v="20.2"/>
        <n v="20.89"/>
        <n v="20.9"/>
        <n v="21"/>
        <n v="21.7"/>
        <n v="22"/>
        <n v="22.15"/>
        <n v="23"/>
        <n v="23.2"/>
        <n v="23.8"/>
        <n v="24"/>
        <n v="25.7"/>
      </sharedItems>
    </cacheField>
    <cacheField name="width" numFmtId="0">
      <sharedItems containsString="0" containsBlank="1" containsNumber="1" minValue="2.4" maxValue="2.92" count="16">
        <n v="2.4"/>
        <n v="2.5"/>
        <n v="2.6"/>
        <n v="2.65"/>
        <n v="2.69"/>
        <n v="2.7"/>
        <n v="2.71"/>
        <n v="2.73"/>
        <n v="2.74"/>
        <n v="2.75"/>
        <n v="2.8"/>
        <n v="2.81"/>
        <n v="2.82"/>
        <n v="2.9"/>
        <n v="2.92"/>
        <m/>
      </sharedItems>
    </cacheField>
    <cacheField name="height" numFmtId="0">
      <sharedItems containsString="0" containsBlank="1" containsNumber="1" minValue="3.16" maxValue="4.3" count="16">
        <n v="3.16"/>
        <n v="3.32"/>
        <n v="3.35"/>
        <n v="3.5"/>
        <n v="3.7"/>
        <n v="3.77"/>
        <n v="3.79"/>
        <n v="3.8"/>
        <n v="3.81"/>
        <n v="3.84"/>
        <n v="3.89"/>
        <n v="3.9"/>
        <n v="3.91"/>
        <n v="3.97"/>
        <n v="4.3"/>
        <m/>
      </sharedItems>
    </cacheField>
    <cacheField name="capacity" numFmtId="0">
      <sharedItems containsSemiMixedTypes="0" containsString="0" containsNumber="1" containsInteger="1" minValue="0" maxValue="84" count="45">
        <n v="0"/>
        <n v="10"/>
        <n v="12"/>
        <n v="13"/>
        <n v="18"/>
        <n v="20"/>
        <n v="22"/>
        <n v="24"/>
        <n v="25"/>
        <n v="30"/>
        <n v="33"/>
        <n v="34"/>
        <n v="35"/>
        <n v="36"/>
        <n v="37"/>
        <n v="38"/>
        <n v="39"/>
        <n v="40"/>
        <n v="41"/>
        <n v="42"/>
        <n v="44"/>
        <n v="45"/>
        <n v="46"/>
        <n v="47"/>
        <n v="48"/>
        <n v="49"/>
        <n v="50"/>
        <n v="51"/>
        <n v="53"/>
        <n v="54"/>
        <n v="56"/>
        <n v="57"/>
        <n v="58"/>
        <n v="60"/>
        <n v="63"/>
        <n v="64"/>
        <n v="65"/>
        <n v="66"/>
        <n v="67"/>
        <n v="69"/>
        <n v="72"/>
        <n v="77"/>
        <n v="80"/>
        <n v="81"/>
        <n v="84"/>
      </sharedItems>
    </cacheField>
    <cacheField name="voxel_size" numFmtId="0">
      <sharedItems count="46">
        <s v="102x37x50"/>
        <s v="102x40x57"/>
        <s v="120x42x56"/>
        <s v="136x0x0"/>
        <s v="136x0x57"/>
        <s v="136x37x50"/>
        <s v="136x39x47"/>
        <s v="136x40x57"/>
        <s v="136x42x56"/>
        <s v="152x37x58"/>
        <s v="152x42x56"/>
        <s v="164x0x0"/>
        <s v="164x0x58"/>
        <s v="164x40x57"/>
        <s v="186x0x58"/>
        <s v="186x37x56"/>
        <s v="186x40x57"/>
        <s v="186x40x58"/>
        <s v="186x42x56"/>
        <s v="198x0x0"/>
        <s v="198x0x56"/>
        <s v="198x37x56"/>
        <s v="198x40x52"/>
        <s v="198x40x56"/>
        <s v="198x42x55"/>
        <s v="198x42x56"/>
        <s v="198x42x57"/>
        <s v="198x42x59"/>
        <s v="198x43x56"/>
        <s v="214x0x0"/>
        <s v="214x0x57"/>
        <s v="214x40x0"/>
        <s v="214x40x52"/>
        <s v="214x41x56"/>
        <s v="214x41x57"/>
        <s v="214x42x0"/>
        <s v="214x42x55"/>
        <s v="214x42x56"/>
        <s v="238x0x0"/>
        <s v="238x40x0"/>
        <s v="238x40x55"/>
        <s v="256x43x64"/>
        <s v="66x36x49"/>
        <s v="82x36x49"/>
        <s v="82x37x50"/>
        <s v="82x39x58"/>
      </sharedItems>
    </cacheField>
    <cacheField name="ttd_len" numFmtId="0">
      <sharedItems containsSemiMixedTypes="0" containsString="0" containsNumber="1" containsInteger="1" minValue="4" maxValue="15" count="12">
        <n v="4"/>
        <n v="5"/>
        <n v="6"/>
        <n v="7"/>
        <n v="8"/>
        <n v="9"/>
        <n v="10"/>
        <n v="11"/>
        <n v="12"/>
        <n v="13"/>
        <n v="14"/>
        <n v="15"/>
      </sharedItems>
    </cacheField>
    <cacheField name="tender" numFmtId="0">
      <sharedItems containsString="0" containsBlank="1" count="1">
        <m/>
      </sharedItems>
    </cacheField>
    <cacheField name="articulated_lengths" numFmtId="0">
      <sharedItems count="12">
        <s v="1,2,1"/>
        <s v="2,1,2"/>
        <s v="2,2,2"/>
        <s v="2,3,2"/>
        <s v="2,4,2"/>
        <s v="2,5,2"/>
        <s v="4,2,4"/>
        <s v="4,3,4"/>
        <s v="4,4,4"/>
        <s v="4,5,4"/>
        <s v="4,6,4"/>
        <s v="4,7,4"/>
      </sharedItems>
    </cacheField>
    <cacheField name="effect_unit" numFmtId="0">
      <sharedItems containsBlank="1" containsMixedTypes="1" containsNumber="1" containsInteger="1" minValue="0" maxValue="24" count="18">
        <n v="0"/>
        <n v="1"/>
        <n v="2"/>
        <n v="3"/>
        <n v="4"/>
        <n v="6"/>
        <n v="7"/>
        <n v="8"/>
        <n v="12"/>
        <n v="24"/>
        <s v="0,11"/>
        <s v="0,17"/>
        <s v="0,18"/>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74"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mid,brel_networker_mid,brel_networker_rear"/>
        <s v="brel_networker,brel_networker_rear"/>
        <s v="cargowaggon_iza_front,cargowaggon_iza_rear"/>
        <s v="cartic_4_front,cartic_4_mid,cartic_4_mid,cartic_4_rear"/>
        <s v="class_151,class_151_mid,class_151_rear"/>
        <s v="class_153"/>
        <s v="class_153_mail"/>
        <s v="class_365,class_365_mid,class_365_pan,class_365_rear"/>
        <s v="class_458,alstom_juniper_mid,alstom_juniper_mid,alstom_juniper_mid,class_458_rear"/>
        <s v="class_717_city,class_717_city_mid,class_717_city_mid,class_717_city_mid,class_717_city_power,class_717_city_rear"/>
        <s v="class_800_azuma,class_800_azuma_mid,class_800_azuma_mid,class_800_azuma_mid,class_800_azuma_mid,class_800_azuma_mid,class_800_azuma_mid,class_800_azuma_mid,class_800_azuma_rear"/>
        <s v="class_800_azuma,class_800_azuma_mid,class_800_azuma_mid,class_800_azuma_mid,class_800_azuma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
        <s v="eurostar,eurostar_motor,eurostar_mid_rev,eurostar_mid_rev,eurostar_mid_rev,eurostar_tbk_rev,eurostar_mid_rev,eurostar_mid_div_rev,eurostar_mid_div,eurostar_mid,eurostar_tbk,eurostar_mid,eurostar_mid,eurostar_mid,eurostar_motor_rev,eurostar_rear"/>
        <s v="express_sprinter,express_sprinter_mid,express_sprinter_rear"/>
        <s v="express_sprinter,express_sprinter_rear"/>
        <s v="express_sprinter,super_sprinter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lev1"/>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cer,pacer_rear"/>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printer,sprinter_rear"/>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super_sprinter,super_sprinter_rear"/>
        <s v="turbostar,turbostar_mid,turbostar_rear"/>
        <s v="turbostar,turbostar_rear"/>
        <s v="wessex_electric,wessex_electric_mid,wessex_electric_mid_guard,wessex_electric_mid,wessex_electric_rear"/>
        <s v="wessex_electric,wessex_electric_mid,wessex_electric_mid_pan,wessex_electric_mid,wessex_electric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10">
        <s v="brel_ehst"/>
        <s v="class_365_pan"/>
        <s v="class_717_city_power"/>
        <s v="class_800_azuma_rear"/>
        <s v="class_810_aurora_rear"/>
        <s v="eurostar"/>
        <s v="eurostar_3cap_rear"/>
        <s v="eurostar_nol_rear"/>
        <s v="wessex_electric_mid_pan"/>
        <m/>
      </sharedItems>
    </cacheField>
    <cacheField name="new_sprites" numFmtId="0">
      <sharedItems containsBlank="1" containsMixedTypes="1" containsNumber="1" containsInteger="1" minValue="1" maxValue="1" count="37">
        <n v="1"/>
        <s v="0,0"/>
        <s v="0,0,0,0"/>
        <s v="0,0,0,0,0"/>
        <s v="0,0,0,0,0,0"/>
        <s v="0,0,0,0,0,0,0"/>
        <s v="0,0,0,0,0,0,0,0"/>
        <s v="0,0,0,0,0,0,0,0,0"/>
        <s v="0,0,0,0,0,0,0,0,0,0,0,0"/>
        <s v="0,0,0,0,0,0,0,0,0,0,0,0,0,0,0,0"/>
        <s v="0,0,1"/>
        <s v="0,0,1,0,0"/>
        <s v="0,1,0"/>
        <s v="0,1,0,0"/>
        <s v="1,"/>
        <s v="1,0"/>
        <s v="1,0,0"/>
        <s v="1,0,0,0,0,0,0,0,0,0,0,0,0,0,0,0,0,0,0,1"/>
        <s v="1,0,0,0,0,0,0,0,0,0,0,0,0,0,0,1"/>
        <s v="1,0,0,0,0,0,0,0,0,1"/>
        <s v="1,0,0,0,0,1"/>
        <s v="1,0,1"/>
        <s v="1,1"/>
        <s v="1,1,0,0,0,0,0,1"/>
        <s v="1,1,0,0,0,1"/>
        <s v="1,1,0,0,1"/>
        <s v="1,1,0,0,1,1"/>
        <s v="1,1,0,1"/>
        <s v="1,1,0,1,1,0,1"/>
        <s v="1,1,1"/>
        <s v="1,1,1,0"/>
        <s v="1,1,1,0,0,0,1,0,0,1,1,1,0,1,0,0,0,0,1,1"/>
        <s v="1,1,1,0,1"/>
        <s v="1,1,1,1"/>
        <s v="1,1,1,1,0,0,0,0,0,0,1,1"/>
        <s v="1,1,1,1,0,0,0,1,0,1,1,0,0,0,1,1"/>
        <m/>
      </sharedItems>
    </cacheField>
    <cacheField name="reuse_sprites" numFmtId="0">
      <sharedItems containsBlank="1" count="37">
        <s v="apt"/>
        <s v="apt_tbf_rev"/>
        <s v="apt_tbf2_rev"/>
        <s v="blue_pullman"/>
        <s v="br_4cep"/>
        <s v="br_am2"/>
        <s v="br_am2_9"/>
        <s v="br_am9_1"/>
        <s v="br_am9_2"/>
        <s v="br_class_201"/>
        <s v="br_class_205"/>
        <s v="brel_class_210_dmbs"/>
        <s v="brel_class_210_dtso"/>
        <s v="brel_networker"/>
        <s v="cargowaggon_iza_front"/>
        <s v="cartic_4_front"/>
        <s v="class_151"/>
        <s v="class_458"/>
        <s v="class_800_azuma"/>
        <s v="eurostar"/>
        <s v="eurostar_e320_front"/>
        <s v="express_sprinter"/>
        <s v="lbscr_emu_dt"/>
        <s v="lbscr_emu_mlv"/>
        <s v="meridian"/>
        <s v="metrocar_front"/>
        <s v="mr_emu_dm"/>
        <s v="mr_emu_dt_rev"/>
        <s v="pacer"/>
        <s v="passenger_coach_nightstar_1e"/>
        <s v="sprinter"/>
        <s v="stadler_class_755"/>
        <s v="turbostar"/>
        <s v="wessex_electric"/>
        <s v="windhoff_mpv_front"/>
        <s v="windhoff_mpv_single"/>
        <m/>
      </sharedItems>
    </cacheField>
    <cacheField name="animated" numFmtId="0">
      <sharedItems containsString="0" containsBlank="1" count="1">
        <m/>
      </sharedItems>
    </cacheField>
    <cacheField name="wagon_formation_modifier" numFmtId="0">
      <sharedItems containsBlank="1" count="9">
        <s v="random_vehicle,passenger_coach_ciwl_sleeper_rev"/>
        <s v="random_vehicle,passenger_coach_mk1_sleeper_rev"/>
        <s v="random_vehicle,passenger_coach_mk3_sleeper_rev"/>
        <s v="random_vehicle,passenger_coach_mk5_sleeper_club_rev"/>
        <s v="random_vehicle,passenger_coach_mk5_sleeper_rev"/>
        <s v="random_vehicle,passenger_coach_mk5_sleeper_seated_rev"/>
        <s v="random_vehicle,vix_van_alt"/>
        <s v="replace_last,mail_coach_ciwl_rear"/>
        <m/>
      </sharedItems>
    </cacheField>
    <cacheField name="vehicle_life" numFmtId="0">
      <sharedItems containsSemiMixedTypes="0" containsString="0" containsNumber="1" containsInteger="1" minValue="12" maxValue="60" count="16">
        <n v="12"/>
        <n v="18"/>
        <n v="20"/>
        <n v="22"/>
        <n v="25"/>
        <n v="27"/>
        <n v="28"/>
        <n v="29"/>
        <n v="30"/>
        <n v="32"/>
        <n v="33"/>
        <n v="35"/>
        <n v="40"/>
        <n v="45"/>
        <n v="50"/>
        <n v="60"/>
      </sharedItems>
    </cacheField>
    <cacheField name="lifespan" numFmtId="0">
      <sharedItems containsBlank="1" containsMixedTypes="1" containsNumber="1" containsInteger="1" minValue="16" maxValue="120" count="30">
        <n v="16"/>
        <n v="17"/>
        <n v="21"/>
        <n v="29"/>
        <n v="32"/>
        <n v="34"/>
        <n v="35"/>
        <n v="36"/>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5">
        <n v="2.4"/>
        <n v="3.6"/>
        <n v="9"/>
        <n v="10"/>
        <n v="12"/>
        <n v="15"/>
        <n v="16"/>
        <n v="17"/>
        <n v="18"/>
        <n v="20"/>
        <n v="21.6"/>
        <n v="22"/>
        <n v="25"/>
        <n v="28"/>
        <n v="30"/>
      </sharedItems>
    </cacheField>
    <cacheField name="power_cost_factor" numFmtId="0">
      <sharedItems containsSemiMixedTypes="0" containsString="0" containsNumber="1" minValue="0" maxValue="20" count="38">
        <n v="0"/>
        <n v="0.05"/>
        <n v="0.225"/>
        <n v="0.42"/>
        <n v="0.5"/>
        <n v="0.75"/>
        <n v="1.025"/>
        <n v="1.24"/>
        <n v="1.425"/>
        <n v="1.8"/>
        <n v="2.5"/>
        <n v="2.85"/>
        <n v="2.86"/>
        <n v="3"/>
        <n v="3.175"/>
        <n v="3.5"/>
        <n v="3.55"/>
        <n v="3.84"/>
        <n v="4.275"/>
        <n v="5"/>
        <n v="5.25"/>
        <n v="5.64"/>
        <n v="6.33"/>
        <n v="7.5"/>
        <n v="8"/>
        <n v="8.04"/>
        <n v="8.05"/>
        <n v="8.42"/>
        <n v="8.75"/>
        <n v="10.5"/>
        <n v="11.25"/>
        <n v="13.75"/>
        <n v="15"/>
        <n v="16"/>
        <n v="16.5"/>
        <n v="18.1"/>
        <n v="18.75"/>
        <n v="20"/>
      </sharedItems>
    </cacheField>
    <cacheField name="te_cost_factor" numFmtId="0">
      <sharedItems containsSemiMixedTypes="0" containsString="0" containsNumber="1" minValue="0" maxValue="20" count="36">
        <n v="0"/>
        <n v="0.25"/>
        <n v="0.75"/>
        <n v="2"/>
        <n v="2.4"/>
        <n v="2.75"/>
        <n v="3"/>
        <n v="3.5"/>
        <n v="4.15"/>
        <n v="4.25"/>
        <n v="4.6"/>
        <n v="4.75"/>
        <n v="5.3"/>
        <n v="5.5"/>
        <n v="6"/>
        <n v="6.5"/>
        <n v="7.25"/>
        <n v="7.75"/>
        <n v="8.25"/>
        <n v="9"/>
        <n v="9.3"/>
        <n v="9.5"/>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44">
        <n v="0.837333333333333"/>
        <n v="0.84"/>
        <n v="0.842666666666667"/>
        <n v="0.844"/>
        <n v="0.848"/>
        <n v="0.850666666666667"/>
        <n v="0.857333333333333"/>
        <n v="0.862666666666667"/>
        <n v="0.868"/>
        <n v="0.869333333333333"/>
        <n v="0.870666666666667"/>
        <n v="0.874666666666667"/>
        <n v="0.876"/>
        <n v="0.877333333333333"/>
        <n v="0.878666666666667"/>
        <n v="0.881333333333333"/>
        <n v="0.882666666666667"/>
        <n v="0.884"/>
        <n v="0.885333333333333"/>
        <n v="0.886666666666667"/>
        <n v="0.888"/>
        <n v="0.889333333333333"/>
        <n v="0.890666666666667"/>
        <n v="0.894666666666667"/>
        <n v="0.897333333333333"/>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72">
        <n v="0"/>
        <n v="1.2"/>
        <n v="1.26666666666667"/>
        <n v="1.33333333333333"/>
        <n v="1.4"/>
        <n v="1.5"/>
        <n v="1.66666666666667"/>
        <n v="2"/>
        <n v="2.16666666666667"/>
        <n v="2.26666666666667"/>
        <n v="2.4"/>
        <n v="2.6"/>
        <n v="2.66666666666667"/>
        <n v="3"/>
        <n v="3.06666666666667"/>
        <n v="3.13333333333333"/>
        <n v="3.2"/>
        <n v="3.33333333333333"/>
        <n v="3.4"/>
        <n v="3.6"/>
        <n v="3.66666666666667"/>
        <n v="4"/>
        <n v="4.2"/>
        <n v="4.6"/>
        <n v="4.8"/>
        <n v="4.93333333333333"/>
        <n v="5"/>
        <n v="5.1"/>
        <n v="5.33333333333333"/>
        <n v="5.46666666666667"/>
        <n v="5.5"/>
        <n v="5.6"/>
        <n v="5.66666666666667"/>
        <n v="5.7"/>
        <n v="5.83333333333333"/>
        <n v="6"/>
        <n v="6.3"/>
        <n v="6.4"/>
        <n v="6.66666666666667"/>
        <n v="6.7"/>
        <n v="6.8"/>
        <n v="6.9"/>
        <n v="7.06666666666667"/>
        <n v="7.2"/>
        <n v="7.46666666666667"/>
        <n v="7.6"/>
        <n v="7.7"/>
        <n v="8"/>
        <n v="8.4"/>
        <n v="8.5"/>
        <n v="8.53333333333333"/>
        <n v="8.8"/>
        <n v="9"/>
        <n v="9.33333333333333"/>
        <n v="9.6"/>
        <n v="9.66666666666667"/>
        <n v="10"/>
        <n v="10.1333333333333"/>
        <n v="10.8"/>
        <n v="10.8333333333333"/>
        <n v="11"/>
        <n v="11.9"/>
        <n v="12"/>
        <n v="13.3333333333333"/>
        <n v="15.3"/>
        <n v="16.3333333333333"/>
        <n v="18.6666666666667"/>
        <n v="19.8"/>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82">
        <n v="4"/>
        <n v="8"/>
        <n v="9"/>
        <n v="10"/>
        <n v="12"/>
        <n v="13"/>
        <n v="14"/>
        <n v="16"/>
        <n v="20"/>
        <n v="21"/>
        <n v="24"/>
        <n v="25"/>
        <n v="26"/>
        <n v="27"/>
        <n v="28"/>
        <n v="30"/>
        <n v="31"/>
        <n v="34"/>
        <n v="36"/>
        <n v="37"/>
        <n v="38"/>
        <n v="39"/>
        <n v="41"/>
        <n v="42"/>
        <n v="44"/>
        <n v="45"/>
        <n v="46"/>
        <n v="48"/>
        <n v="49"/>
        <n v="50"/>
        <n v="51"/>
        <n v="54"/>
        <n v="58"/>
        <n v="61"/>
        <n v="62"/>
        <n v="63"/>
        <n v="64"/>
        <n v="65"/>
        <n v="66"/>
        <n v="67"/>
        <n v="68"/>
        <n v="69"/>
        <n v="72"/>
        <n v="73"/>
        <n v="75"/>
        <n v="76"/>
        <n v="78"/>
        <n v="79"/>
        <n v="82"/>
        <n v="88"/>
        <n v="91"/>
        <n v="93"/>
        <n v="94"/>
        <n v="98"/>
        <n v="101"/>
        <n v="104"/>
        <n v="105"/>
        <n v="111"/>
        <n v="116"/>
        <n v="120"/>
        <n v="121"/>
        <n v="126"/>
        <n v="128"/>
        <n v="129"/>
        <n v="130"/>
        <n v="134"/>
        <n v="141"/>
        <n v="143"/>
        <n v="153"/>
        <n v="157"/>
        <n v="158"/>
        <n v="167"/>
        <n v="168"/>
        <n v="170"/>
        <n v="171"/>
        <n v="176"/>
        <n v="195"/>
        <n v="208"/>
        <n v="213"/>
        <n v="231"/>
        <n v="244"/>
        <n v="251"/>
      </sharedItems>
    </cacheField>
    <cacheField name="running_cost" numFmtId="0">
      <sharedItems containsSemiMixedTypes="0" containsString="0" containsNumber="1" containsInteger="1" minValue="14" maxValue="1284" count="81">
        <n v="14"/>
        <n v="20"/>
        <n v="27"/>
        <n v="28"/>
        <n v="29"/>
        <n v="30"/>
        <n v="31"/>
        <n v="32"/>
        <n v="33"/>
        <n v="35"/>
        <n v="37"/>
        <n v="38"/>
        <n v="43"/>
        <n v="46"/>
        <n v="47"/>
        <n v="48"/>
        <n v="49"/>
        <n v="51"/>
        <n v="53"/>
        <n v="54"/>
        <n v="55"/>
        <n v="58"/>
        <n v="61"/>
        <n v="64"/>
        <n v="65"/>
        <n v="66"/>
        <n v="67"/>
        <n v="68"/>
        <n v="69"/>
        <n v="70"/>
        <n v="71"/>
        <n v="73"/>
        <n v="74"/>
        <n v="75"/>
        <n v="76"/>
        <n v="77"/>
        <n v="79"/>
        <n v="80"/>
        <n v="82"/>
        <n v="84"/>
        <n v="86"/>
        <n v="87"/>
        <n v="88"/>
        <n v="92"/>
        <n v="96"/>
        <n v="101"/>
        <n v="102"/>
        <n v="103"/>
        <n v="104"/>
        <n v="105"/>
        <n v="107"/>
        <n v="109"/>
        <n v="113"/>
        <n v="114"/>
        <n v="118"/>
        <n v="121"/>
        <n v="122"/>
        <n v="126"/>
        <n v="128"/>
        <n v="138"/>
        <n v="147"/>
        <n v="149"/>
        <n v="150"/>
        <n v="154"/>
        <n v="165"/>
        <n v="168"/>
        <n v="172"/>
        <n v="175"/>
        <n v="183"/>
        <n v="225"/>
        <n v="305"/>
        <n v="318"/>
        <n v="1041"/>
        <n v="1042"/>
        <n v="1051"/>
        <n v="1053"/>
        <n v="1190"/>
        <n v="1192"/>
        <n v="1195"/>
        <n v="1197"/>
        <n v="1284"/>
      </sharedItems>
    </cacheField>
    <cacheField name="cost_gbp" numFmtId="0">
      <sharedItems containsSemiMixedTypes="0" containsString="0" containsNumber="1" minValue="500" maxValue="196093.75" count="87">
        <n v="500"/>
        <n v="562.5"/>
        <n v="625"/>
        <n v="750"/>
        <n v="812.5"/>
        <n v="875"/>
        <n v="3000"/>
        <n v="3125"/>
        <n v="3625"/>
        <n v="4187.5"/>
        <n v="6250"/>
        <n v="7812.5"/>
        <n v="7875"/>
        <n v="8000"/>
        <n v="8062.5"/>
        <n v="8125"/>
        <n v="9375"/>
        <n v="10437.5"/>
        <n v="10500"/>
        <n v="10625"/>
        <n v="10687.5"/>
        <n v="12500"/>
        <n v="13312.5"/>
        <n v="15625"/>
        <n v="16406.25"/>
        <n v="18750"/>
        <n v="19531.25"/>
        <n v="20312.5"/>
        <n v="21093.75"/>
        <n v="21875"/>
        <n v="23437.5"/>
        <n v="24218.75"/>
        <n v="26562.5"/>
        <n v="28125"/>
        <n v="28906.25"/>
        <n v="29687.5"/>
        <n v="30468.75"/>
        <n v="32031.25"/>
        <n v="32812.5"/>
        <n v="34375"/>
        <n v="35156.25"/>
        <n v="35937.5"/>
        <n v="37500"/>
        <n v="38281.25"/>
        <n v="39062.5"/>
        <n v="39843.75"/>
        <n v="42187.5"/>
        <n v="47656.25"/>
        <n v="48437.5"/>
        <n v="49218.75"/>
        <n v="50000"/>
        <n v="50781.25"/>
        <n v="51562.5"/>
        <n v="52343.75"/>
        <n v="53125"/>
        <n v="53906.25"/>
        <n v="56250"/>
        <n v="57031.25"/>
        <n v="58593.75"/>
        <n v="59375"/>
        <n v="60937.5"/>
        <n v="61718.75"/>
        <n v="64062.5"/>
        <n v="68750"/>
        <n v="71093.75"/>
        <n v="72656.25"/>
        <n v="73437.5"/>
        <n v="76562.5"/>
        <n v="78906.25"/>
        <n v="81250"/>
        <n v="82031.25"/>
        <n v="86718.75"/>
        <n v="90625"/>
        <n v="93750"/>
        <n v="94531.25"/>
        <n v="104687.5"/>
        <n v="110156.25"/>
        <n v="111718.75"/>
        <n v="119531.25"/>
        <n v="122656.25"/>
        <n v="123437.5"/>
        <n v="137500"/>
        <n v="152343.75"/>
        <n v="162500"/>
        <n v="180468.75"/>
        <n v="190625"/>
        <n v="196093.75"/>
      </sharedItems>
    </cacheField>
    <cacheField name="run_cost_gbp" numFmtId="0">
      <sharedItems containsSemiMixedTypes="0" containsString="0" containsNumber="1" minValue="76.44" maxValue="25837.5" count="86">
        <n v="76.44"/>
        <n v="79.17"/>
        <n v="81.9"/>
        <n v="84.63"/>
        <n v="87.36"/>
        <n v="90.09"/>
        <n v="95.55"/>
        <n v="101.01"/>
        <n v="103.74"/>
        <n v="286.65"/>
        <n v="311.22"/>
        <n v="343.98"/>
        <n v="1137.5"/>
        <n v="1625"/>
        <n v="2193.75"/>
        <n v="2275"/>
        <n v="2356.25"/>
        <n v="2600"/>
        <n v="2681.25"/>
        <n v="2841.93"/>
        <n v="2844.66"/>
        <n v="2869.23"/>
        <n v="2874.69"/>
        <n v="3087.5"/>
        <n v="3248.7"/>
        <n v="3254.16"/>
        <n v="3262.35"/>
        <n v="3267.81"/>
        <n v="3493.75"/>
        <n v="3505.32"/>
        <n v="3737.5"/>
        <n v="3818.75"/>
        <n v="3900"/>
        <n v="3981.25"/>
        <n v="4143.75"/>
        <n v="4306.25"/>
        <n v="4387.5"/>
        <n v="4468.75"/>
        <n v="4712.5"/>
        <n v="4956.25"/>
        <n v="5200"/>
        <n v="5281.25"/>
        <n v="5362.5"/>
        <n v="5443.75"/>
        <n v="5525"/>
        <n v="5606.25"/>
        <n v="5687.5"/>
        <n v="5768.75"/>
        <n v="5931.25"/>
        <n v="6012.5"/>
        <n v="6093.75"/>
        <n v="6175"/>
        <n v="6256.25"/>
        <n v="6418.75"/>
        <n v="6500"/>
        <n v="6662.5"/>
        <n v="6825"/>
        <n v="6987.5"/>
        <n v="7068.75"/>
        <n v="7150"/>
        <n v="7475"/>
        <n v="7800"/>
        <n v="8206.25"/>
        <n v="8287.5"/>
        <n v="8368.75"/>
        <n v="8450"/>
        <n v="8693.75"/>
        <n v="8856.25"/>
        <n v="9181.25"/>
        <n v="9587.5"/>
        <n v="9831.25"/>
        <n v="9912.5"/>
        <n v="10400"/>
        <n v="11212.5"/>
        <n v="11943.75"/>
        <n v="12106.25"/>
        <n v="12187.5"/>
        <n v="12512.5"/>
        <n v="13406.25"/>
        <n v="13650"/>
        <n v="13975"/>
        <n v="14218.75"/>
        <n v="1486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55">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41,class_150,class_151,class_153_mail,super_sprinter,express_sprinter_2car,express_sprinter_3car,sprinter_hybrid,class_170,class_170_3car"/>
        <s v="class_141,class_150,class_151,class_153,class_153_mail,express_sprinter_2car,express_sprinter_3car,sprinter_hybrid,class_170,class_170_3car"/>
        <s v="class_141,class_150,class_151,class_153,class_153_mail,super_sprinter,express_sprinter_2car,express_sprinter_3car,class_170,class_170_3car"/>
        <s v="class_141,class_150,class_151,class_153,class_153_mail,super_sprinter,express_sprinter_2car,express_sprinter_3car,sprinter_hybrid,class_170"/>
        <s v="class_141,class_150,class_151,class_153,class_153_mail,super_sprinter,express_sprinter_2car,express_sprinter_3car,sprinter_hybrid,class_170_3car"/>
        <s v="class_141,class_150,class_151,class_153,class_153_mail,super_sprinter,express_sprinter_2car,sprinter_hybrid,class_170,class_170_3car"/>
        <s v="class_141,class_150,class_151,class_153,class_153_mail,super_sprinter,express_sprinter_3car,sprinter_hybrid,class_170,class_170_3car"/>
        <s v="class_141,class_150,class_151,class_153,super_sprinter,express_sprinter_2car,express_sprinter_3car,sprinter_hybrid,class_170,class_170_3car"/>
        <s v="class_141,class_150,class_153,class_153_mail,super_sprinter,express_sprinter_2car,express_sprinter_3car,sprinter_hybrid,class_170,class_170_3car"/>
        <s v="class_141,class_151,class_153,class_153_mail,super_sprinter,express_sprinter_2car,express_sprinter_3car,sprinter_hybrid,class_170,class_170_3car"/>
        <s v="class_150,class_151,class_153,class_153_mail,super_sprinter,express_sprinter_2car,express_sprinter_3car,sprinter_hybrid,class_170,class_170_3car"/>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3_4car"/>
        <s v="class_302_4car,class_309_2car,class_309_2_4car_buf,class_309_3_4car"/>
        <s v="class_302_parcels,class_309_2car,class_309_2_4car_buf,class_309_3_4car"/>
        <s v="class_465"/>
        <s v="class_466"/>
        <s v="class_800_9,class_801_5,class_801_9,class_802_5,class_802_9"/>
        <s v="class_800_azuma,class_800_9,class_801_5,class_801_9,class_802_5"/>
        <s v="class_800_azuma,class_800_9,class_801_5,class_801_9,class_802_9"/>
        <s v="class_800_azuma,class_800_9,class_801_5,class_802_5,class_802_9"/>
        <s v="class_800_azuma,class_800_9,class_801_9,class_802_5,class_802_9"/>
        <s v="class_800_azuma,class_801_5,class_801_9,class_802_5,class_802_9"/>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10">
        <s v="Bolster"/>
        <s v="Brakevan"/>
        <s v="Container"/>
        <s v="Covered"/>
        <s v="Motorail"/>
        <s v="Parcel"/>
        <s v="Passengers"/>
        <s v="Powder"/>
        <s v="Van"/>
        <m/>
      </sharedItems>
    </cacheField>
    <cacheField name="pax_special" numFmtId="0">
      <sharedItems containsBlank="1" count="4">
        <s v="buffet"/>
        <s v="generator_car"/>
        <s v="nightstar"/>
        <m/>
      </sharedItems>
    </cacheField>
    <cacheField name="default_cargo" numFmtId="0">
      <sharedItems containsBlank="1" count="9">
        <s v="BDMT"/>
        <s v="BRAKE"/>
        <s v="GOOD"/>
        <s v="GRAI"/>
        <s v="MAIL"/>
        <s v="PASS"/>
        <s v="SALT"/>
        <s v="WOOD"/>
        <m/>
      </sharedItems>
    </cacheField>
    <cacheField name="era_id" numFmtId="0">
      <sharedItems count="6">
        <s v="big4"/>
        <s v="dsl"/>
        <s v="edw"/>
        <s v="lbr"/>
        <s v="mod"/>
        <s v="prv"/>
      </sharedItems>
    </cacheField>
    <cacheField name="category" numFmtId="0">
      <sharedItems count="16">
        <s v="Carriage"/>
        <s v="Cheap"/>
        <s v="DMU"/>
        <s v="DMU (Cheap)"/>
        <s v="DMU (Express)"/>
        <s v="EMU"/>
        <s v="EMU (Express)"/>
        <s v="Express"/>
        <s v="Express (Electric)"/>
        <s v="Extra"/>
        <s v="Flat Wagon"/>
        <s v="Freight"/>
        <s v="Mail Carriage"/>
        <s v="MT (Electric)"/>
        <s v="Tanker"/>
        <s v="Van"/>
      </sharedItems>
    </cacheField>
    <cacheField name="era_cat" numFmtId="0">
      <sharedItems count="38">
        <s v="big4_Carriage"/>
        <s v="big4_Cheap"/>
        <s v="big4_EMU"/>
        <s v="big4_Extra"/>
        <s v="big4_Tanker"/>
        <s v="dsl_Carriage"/>
        <s v="dsl_DMU"/>
        <s v="dsl_DMU (Express)"/>
        <s v="dsl_EMU"/>
        <s v="dsl_EMU (Express)"/>
        <s v="dsl_Mail Carriage"/>
        <s v="dsl_Tanker"/>
        <s v="dsl_Van"/>
        <s v="edw_Carriage"/>
        <s v="edw_EMU"/>
        <s v="edw_Tanker"/>
        <s v="lbr_Carriage"/>
        <s v="lbr_DMU"/>
        <s v="lbr_DMU (Cheap)"/>
        <s v="lbr_DMU (Express)"/>
        <s v="lbr_EMU"/>
        <s v="lbr_EMU (Express)"/>
        <s v="lbr_Express"/>
        <s v="lbr_Express (Electric)"/>
        <s v="lbr_Flat Wagon"/>
        <s v="lbr_Freight"/>
        <s v="lbr_Mail Carriage"/>
        <s v="lbr_Tanker"/>
        <s v="lbr_Van"/>
        <s v="mod_Carriage"/>
        <s v="mod_EMU"/>
        <s v="mod_EMU (Express)"/>
        <s v="mod_MT (Electric)"/>
        <s v="mod_Tanker"/>
        <s v="prv_Carriage"/>
        <s v="prv_DMU"/>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5">
        <s v="{BLACK}Length: {GOLD}0.3 tiles{}"/>
        <s v="{BLACK}Length: {GOLD}0.4 tiles{}"/>
        <s v="{BLACK}Length: {GOLD}0.5 tiles{}"/>
        <s v="{BLACK}Length: {GOLD}0.6 tiles{}"/>
        <s v="{BLACK}Length: {GOLD}0.7 tiles{}"/>
        <s v="{BLACK}Length: {GOLD}0.8 tiles{}"/>
        <s v="{BLACK}Length: {GOLD}0.9 tiles{}"/>
        <s v="{BLACK}Length: {GOLD}1.0 tiles{}"/>
        <s v="{BLACK}Length: {GOLD}1.2 tiles{}"/>
        <s v="{BLACK}Length: {GOLD}1.3 tiles{}"/>
        <s v="{BLACK}Length: {GOLD}1.5 tiles{}"/>
        <s v="{BLACK}Length: {GOLD}1.7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97"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mongst the last passenger vehicles built at the former BREL Holgate Road works, the Class 365s began to be delivered at the very end of British Rail operations."/>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R’s two-axle Ferry Vans were built for interoperation with european service via cross-channel ferry services, allowing British companies to send goods directly to continental customers."/>
        <s v="Built as permanently-coupled pairs of two-axle wagons, supposedly to capture an EU subsidy, these smaller cargowaggon sets continue to see service within the UK."/>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ne of a number of prototype vehicles built for the project that eventually delivered the Pacer family, Leyland’s attempt to reuse as many bus components as possible is on full display in the LEV1."/>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asic chassis of the Cargowaggon van adapted naturally to a sturdy, high-capacity flat wagon, used for steel, wood and other cargo, then later adapted for departmental work carrying welded rail and as match wagons."/>
        <s v="The Blue Pullman is an express diesel multiple unit, designed to tempt motorists from their cars with a luxurious inter-city service. This is the 6-car “Midland Region” layout."/>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BREL Networker was built by three different companies (ABB, Metro-Cammell and BREL) with minor detail differences between each manufacturer's output."/>
        <s v="The Class 141 is a multiple unit built from Leyland National bus parts. While cheap and light, it is criticised for its poor ride quality."/>
        <s v="The Class 153 was a conversion of earlier Class 155 units, 35 of which were split in two with small cabs added at the inner ends."/>
        <s v="The Class 156 is a member of the Sprinter family designed for longer journeys, with single doors at each end rather than the metro-style doors of the Class 150s."/>
        <s v="The Class 158 has many improvements over earlier generation Sprinters, including air conditioning and a more comfortable ride."/>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442 holds the speed record for a third rail EMU at 108mph. Unlike most of its generation of Mk3-based multiple units, it uses the full-length carriage bodyshell."/>
        <s v="The Class 466 was a shorter Class 465, used for small branch line service and to strengthen peak services up to 10 cars as needed."/>
        <s v="The Class 717 ‘Desiro City’ units are variants of the Class 700 Thameslink units, with front emergency exit doors to allow them to work the Northern City Line. They replaced earlier PEP units on King’s Cross suburban services."/>
        <s v="The Class 800 &quot;Azuma&quot; (on LNER) or &quot;IET&quot; (on GWR) is a high speed bi-mode unit based on the Hitachi AT300 series. It is designed to replace HST and Class 91 hauled services on Intercity routes."/>
        <s v="The Class 801 &quot;Azuma&quot; is LNER’s primary Electric Multiple Unit, procured to replace the Class 91s. It has a single diesel engine for use within depots and during emergencies, but is normally restricted to electrified areas."/>
        <s v="The Class 802 &quot;IET&quot; is a high speed bi-mode unit based on the Hitachi AT300 series. Compared to the Class 800, they have uprated engines and larger fuel tanks, to allow them to operate more easily in non-electrified areas such as Cornwall."/>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Franco-Belgian Compagnie Internationale des Wagons-Lits ran a private sleeper service from London, via the Southern Railway and a cross-channel ferry, to connect to the Orient Express in Paris. A fleet of 25 all-steel sleeping cars was built for the servic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prominent CARGOWAGGON-lettered vans began arriving in international traffic during the late 1970s and 1980s. These large goods wagons were reliable and high-capacity. The whole hood lifts and slides to permit forklift access to the wagon."/>
        <s v="The Sprinter replaced first-generation DMUs. Like other second-generation units it was based on the Mark 3 bodyshell. The name refers to its faster acceleration compared to the units it replaced."/>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Turbostar is a further development of the BR &quot;Networker&quot; units. It is used for regional and long distance services."/>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ese two-axle baggage cars were a fixture of the night ferry service, running with the sleeping cars on the 11 hour schedule from London to Paris."/>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 v="What if the Class 442 had a dual-voltage conversion to allow through-running expresses and an end to 3rd rail power supply?"/>
        <s v="When both Class 158 and Class 156 vehicles are unavailable, it’s possible to run hybrid units of the type, and these have been documented in passenger service on many occasions."/>
      </sharedItems>
    </cacheField>
    <cacheField name="brake_text" numFmtId="0">
      <sharedItems containsBlank="1" count="10">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m/>
      </sharedItems>
    </cacheField>
    <cacheField name="additional_text" numFmtId="0">
      <sharedItems count="118" longText="1">
        <s v="{BLACK}Cars: {GOLD}10{}{BLACK}Length: {GOLD}0.8 tiles{}{YELLOW}20% bonus for long distance travel{}{SILVER}An articulated trailer rake of APT-S Vehicles, intended to run with a Driving Motor and a DVT but also usable in other weird combinations."/>
        <s v="{BLACK}Cars: {GOLD}2{}{BLACK}Length: {GOLD}1.0 tiles{}{SILVER}Built as permanently-coupled pairs of two-axle wagons, supposedly to capture an EU subsidy, these smaller cargowaggon sets continue to see service within the UK."/>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BR’s two-axle Ferry Vans were built for interoperation with european service via cross-channel ferry services, allowing British companies to send goods directly to continental customer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SILVER}These two-axle baggage cars were a fixture of the night ferry service, running with the sleeping cars on the 11 hour schedule from London to Paris."/>
        <s v="{BLACK}Length: {GOLD}0.5 tiles{}{YELLOW}50% bonus for long distance travel{}{SILVER}The Mk1 Sleeper was built in relatively large numbers. The type was not especially popular with passengers, but the service was still an improvement on sleeping in ordinary compartment stock of the time."/>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
        <s v="{BLACK}Length: {GOLD}0.9 tiles{}{SILVER}The basic chassis of the Cargowaggon van adapted naturally to a sturdy, high-capacity flat wagon, used for steel, wood and other cargo, then later adapted for departmental work carrying welded rail and as match wagons."/>
        <s v="{BLACK}Length: {GOLD}0.9 tiles{}{SILVER}The prominent CARGOWAGGON-lettered vans began arriving in international traffic during the late 1970s and 1980s. These large goods wagons were reliable and high-capacity. The whole hood lifts and slides to permit forklift access to the wagon."/>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5{}{BLACK}Length: {GOLD}4.4 tiles{}{YELLOW}20% bonus for long distance travel{}{SILVER}The Class 801 &quot;Azuma&quot; is LNER’s primary Electric Multiple Unit, procured to replace the Class 91s. It has a single diesel engine for use within depots and during emergencies, but is normally restricted to electrified areas."/>
        <s v="{BLACK}Powered by: {GOLD}25kV AC {BLACK}Cars: {GOLD}6{}{BLACK}Length: {GOLD}3.8 tiles{}{SILVER}The LB&amp;SCR (Later SR) “CP” EMUs were a nightmare of different build dates and vehicle sizes, designed for use on the “Elevated Electric” line into London."/>
        <s v="{BLACK}Powered by: {GOLD}25kV AC {BLACK}Cars: {GOLD}9{}{BLACK}Length: {GOLD}7.9 tiles{}{YELLOW}20% bonus for long distance travel{}{SILVER}The Class 801 &quot;Azuma&quot; is LNER’s primary Electric Multiple Unit, procured to replace the Class 91s. It has a single diesel engine for use within depots and during emergencies, but is normally restricted to electrified areas."/>
        <s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Powered by: {GOLD}25kV AC / 750V DC {BLACK}Cars: {GOLD}4{}{BLACK}Length: {GOLD}3.0 tiles{}{SILVER}Amongst the last passenger vehicles built at the former BREL Holgate Road works, the Class 365s began to be delivered at the very end of British Rail operations."/>
        <s v="{BLACK}Powered by: {GOLD}25kV AC / 750V DC {BLACK}Cars: {GOLD}5{}{BLACK}Length: {GOLD}4.1 tiles{}{YELLOW}10% bonus for long distance travel{}{SILVER}What if the Class 442 had a dual-voltage conversion to allow through-running expresses and an end to 3rd rail power supply?"/>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25kV AC / Diesel {BLACK}Cars: {GOLD}5{}{BLACK}Length: {GOLD}4.4 tiles{}{YELLOW}20% bonus for long distance travel{}{SILVER}The Class 800 &quot;Azuma&quot; (on LNER) or &quot;IET&quot; (on GWR) is a high speed bi-mode unit based on the Hitachi AT300 series. It is designed to replace HST and Class 91 hauled services on Intercity routes."/>
        <s v="{BLACK}Powered by: {GOLD}25kV AC / Diesel {BLACK}Cars: {GOLD}5{}{BLACK}Length: {GOLD}4.4 tiles{}{YELLOW}20% bonus for long distance travel{}{SILVER}The Class 802 &quot;IET&quot; is a high speed bi-mode unit based on the Hitachi AT300 series. Compared to the Class 800, they have uprated engines and larger fuel tanks, to allow them to operate more easily in non-electrified areas such as Cornwall."/>
        <s v="{BLACK}Powered by: {GOLD}25kV AC / Diesel {BLACK}Cars: {GOLD}9{}{BLACK}Length: {GOLD}7.9 tiles{}{YELLOW}20% bonus for long distance travel{}{SILVER}The Class 800 &quot;Azuma&quot; (on LNER) or &quot;IET&quot; (on GWR) is a high speed bi-mode unit based on the Hitachi AT300 series. It is designed to replace HST and Class 91 hauled services on Intercity routes."/>
        <s v="{BLACK}Powered by: {GOLD}25kV AC / Diesel {BLACK}Cars: {GOLD}9{}{BLACK}Length: {GOLD}7.9 tiles{}{YELLOW}20% bonus for long distance travel{}{SILVER}The Class 802 &quot;IET&quot; is a high speed bi-mode unit based on the Hitachi AT300 series. Compared to the Class 800, they have uprated engines and larger fuel tanks, to allow them to operate more easily in non-electrified areas such as Cornwall."/>
        <s v="{BLACK}Powered by: {GOLD}750V DC {}{BLACK}Length: {GOLD}0.8 tiles{}{SILVER}A late conversion of the 2HAP driving motor to a cab and luggage car for Gatwick Express services"/>
        <s v="{BLACK}Powered by: {GOLD}750V DC {BLACK}Cars: {GOLD}2{}{BLACK}Length: {GOLD}1.5 tiles{}{SILVER}The Class 466 was a shorter Class 465, used for small branch line service and to strengthen peak services up to 10 cars as needed."/>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4{}{BLACK}Length: {GOLD}3.0 tiles{}{YELLOW}10% bonus for long distance travel{}{SILVER}The BREL Networker was built by three different companies (ABB, Metro-Cammell and BREL) with minor detail differences between each manufacturer's output."/>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2 tiles{}{YELLOW}20% penalty for long distance travel{}{SILVER}The Class 141 is a multiple unit built from Leyland National bus parts. While cheap and light, it is criticised for its poor ride quality."/>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Turbostar is a further development of the BR &quot;Networker&quot; units. It is used for regional and long distance services."/>
        <s v="{BLACK}Powered by: {GOLD}Diesel {BLACK}Cars: {GOLD}2{}{BLACK}Length: {GOLD}1.5 tiles{}{SILVER}The Windhoff MPV units were mainly used for Departmental service, notably in the iconic Rail Head Treatment trains, but trials were made in freight service."/>
        <s v="{BLACK}Powered by: {GOLD}Diesel {BLACK}Cars: {GOLD}2{}{BLACK}Length: {GOLD}1.7 tiles{}{SILVER}The Class 156 is a member of the Sprinter family designed for longer journeys, with single doors at each end rather than the metro-style doors of the Class 150s."/>
        <s v="{BLACK}Powered by: {GOLD}Diesel {BLACK}Cars: {GOLD}2{}{BLACK}Length: {GOLD}1.7 tiles{}{SILVER}When both Class 158 and Class 156 vehicles are unavailable, it’s possible to run hybrid units of the type, and these have been documented in passenger service on many occasions."/>
        <s v="{BLACK}Powered by: {GOLD}Diesel {BLACK}Cars: {GOLD}2{}{BLACK}Length: {GOLD}1.7 tiles{}{YELLOW}10% bonus for long distance travel{}{SILVER}The Class 158 has many improvements over earlier generation Sprinters, including air conditioning and a more comfortable ride."/>
        <s v="{BLACK}Powered by: {GOLD}Diesel {BLACK}Cars: {GOLD}2{}diesel_RAILThe Sprinter replaced first-generation DMUs. Like other second-generation units it was based on the Mark 3 bodyshell. The name refers to its faster acceleration compared to the units it replaced.{SILVER}{BLACK}Cars: {GOLD}2"/>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Turbostar is a further development of the BR &quot;Networker&quot; units. It is used for regional and long distance services."/>
        <s v="{BLACK}Powered by: {GOLD}Diesel {BLACK}Cars: {GOLD}3{}{BLACK}Length: {GOLD}2.3 tiles{}{SILVER}The Windhoff MPV units were mainly used for Departmental service, notably in the iconic Rail Head Treatment trains, but trials were made in freight service."/>
        <s v="{BLACK}Powered by: {GOLD}Diesel {BLACK}Cars: {GOLD}3{}{BLACK}Length: {GOLD}2.5 tiles{}{YELLOW}10% bonus for long distance travel{}{SILVER}The Class 158 has many improvements over earlier generation Sprinters, including air conditioning and a more comfortable rid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121">
  <r>
    <x v="95"/>
    <x v="96"/>
    <x v="0"/>
    <x v="26"/>
    <x v="0"/>
    <x v="0"/>
    <x v="3"/>
    <x v="5"/>
    <x v="2"/>
    <x v="1"/>
    <x v="32"/>
    <x v="0"/>
    <x v="0"/>
    <x v="8"/>
    <x v="8"/>
    <x v="0"/>
    <x v="0"/>
    <x v="0"/>
    <x v="0"/>
    <x v="0"/>
    <x v="0"/>
    <x v="0"/>
    <x v="20"/>
    <x v="0"/>
    <x v="2"/>
    <x v="3"/>
    <x v="46"/>
    <x v="4"/>
    <x v="4"/>
    <x v="0"/>
    <x v="0"/>
    <x v="49"/>
    <x v="12"/>
    <x v="15"/>
    <x v="15"/>
    <x v="19"/>
    <x v="11"/>
    <x v="6"/>
    <x v="0"/>
    <x v="6"/>
    <x v="17"/>
    <x v="6"/>
    <x v="6"/>
    <x v="55"/>
    <x v="9"/>
    <x v="0"/>
    <x v="26"/>
    <x v="0"/>
    <x v="8"/>
    <x v="4"/>
    <x v="20"/>
    <x v="6"/>
    <x v="8"/>
    <x v="4"/>
    <x v="9"/>
    <x v="4"/>
    <x v="42"/>
    <x v="4"/>
    <x v="0"/>
    <x v="5"/>
    <x v="9"/>
    <x v="12"/>
    <x v="24"/>
    <x v="28"/>
    <x v="2"/>
    <x v="1"/>
    <x v="1"/>
    <x v="1"/>
    <x v="53"/>
    <x v="0"/>
    <x v="6"/>
    <x v="5"/>
    <x v="1"/>
    <x v="9"/>
    <x v="3"/>
    <x v="5"/>
    <x v="2"/>
    <x v="5"/>
    <x v="14"/>
    <x v="8"/>
    <x v="4"/>
    <x v="1"/>
    <x v="0"/>
    <x v="93"/>
    <x v="0"/>
    <x v="41"/>
    <x v="1"/>
  </r>
  <r>
    <x v="96"/>
    <x v="97"/>
    <x v="1"/>
    <x v="0"/>
    <x v="1"/>
    <x v="0"/>
    <x v="3"/>
    <x v="5"/>
    <x v="2"/>
    <x v="1"/>
    <x v="32"/>
    <x v="0"/>
    <x v="1"/>
    <x v="8"/>
    <x v="8"/>
    <x v="0"/>
    <x v="0"/>
    <x v="0"/>
    <x v="0"/>
    <x v="0"/>
    <x v="0"/>
    <x v="0"/>
    <x v="36"/>
    <x v="0"/>
    <x v="2"/>
    <x v="3"/>
    <x v="23"/>
    <x v="4"/>
    <x v="4"/>
    <x v="0"/>
    <x v="0"/>
    <x v="49"/>
    <x v="12"/>
    <x v="15"/>
    <x v="15"/>
    <x v="23"/>
    <x v="11"/>
    <x v="6"/>
    <x v="0"/>
    <x v="6"/>
    <x v="17"/>
    <x v="6"/>
    <x v="6"/>
    <x v="56"/>
    <x v="9"/>
    <x v="15"/>
    <x v="27"/>
    <x v="0"/>
    <x v="8"/>
    <x v="4"/>
    <x v="20"/>
    <x v="6"/>
    <x v="8"/>
    <x v="4"/>
    <x v="9"/>
    <x v="4"/>
    <x v="42"/>
    <x v="15"/>
    <x v="0"/>
    <x v="5"/>
    <x v="11"/>
    <x v="13"/>
    <x v="26"/>
    <x v="30"/>
    <x v="2"/>
    <x v="1"/>
    <x v="1"/>
    <x v="1"/>
    <x v="52"/>
    <x v="0"/>
    <x v="6"/>
    <x v="5"/>
    <x v="1"/>
    <x v="9"/>
    <x v="3"/>
    <x v="5"/>
    <x v="2"/>
    <x v="5"/>
    <x v="14"/>
    <x v="8"/>
    <x v="9"/>
    <x v="1"/>
    <x v="4"/>
    <x v="93"/>
    <x v="0"/>
    <x v="51"/>
    <x v="1"/>
  </r>
  <r>
    <x v="97"/>
    <x v="98"/>
    <x v="2"/>
    <x v="0"/>
    <x v="2"/>
    <x v="0"/>
    <x v="3"/>
    <x v="5"/>
    <x v="2"/>
    <x v="1"/>
    <x v="32"/>
    <x v="0"/>
    <x v="2"/>
    <x v="8"/>
    <x v="8"/>
    <x v="0"/>
    <x v="0"/>
    <x v="0"/>
    <x v="0"/>
    <x v="0"/>
    <x v="0"/>
    <x v="0"/>
    <x v="49"/>
    <x v="0"/>
    <x v="2"/>
    <x v="3"/>
    <x v="19"/>
    <x v="4"/>
    <x v="4"/>
    <x v="0"/>
    <x v="0"/>
    <x v="49"/>
    <x v="12"/>
    <x v="15"/>
    <x v="15"/>
    <x v="24"/>
    <x v="11"/>
    <x v="6"/>
    <x v="0"/>
    <x v="6"/>
    <x v="17"/>
    <x v="6"/>
    <x v="6"/>
    <x v="57"/>
    <x v="9"/>
    <x v="10"/>
    <x v="27"/>
    <x v="0"/>
    <x v="8"/>
    <x v="4"/>
    <x v="20"/>
    <x v="6"/>
    <x v="8"/>
    <x v="4"/>
    <x v="9"/>
    <x v="4"/>
    <x v="42"/>
    <x v="24"/>
    <x v="0"/>
    <x v="5"/>
    <x v="14"/>
    <x v="16"/>
    <x v="29"/>
    <x v="33"/>
    <x v="2"/>
    <x v="1"/>
    <x v="1"/>
    <x v="1"/>
    <x v="51"/>
    <x v="0"/>
    <x v="6"/>
    <x v="5"/>
    <x v="1"/>
    <x v="9"/>
    <x v="3"/>
    <x v="5"/>
    <x v="2"/>
    <x v="5"/>
    <x v="14"/>
    <x v="8"/>
    <x v="12"/>
    <x v="1"/>
    <x v="6"/>
    <x v="93"/>
    <x v="0"/>
    <x v="54"/>
    <x v="1"/>
  </r>
  <r>
    <x v="77"/>
    <x v="73"/>
    <x v="4"/>
    <x v="26"/>
    <x v="3"/>
    <x v="0"/>
    <x v="3"/>
    <x v="5"/>
    <x v="2"/>
    <x v="2"/>
    <x v="32"/>
    <x v="0"/>
    <x v="1"/>
    <x v="12"/>
    <x v="8"/>
    <x v="0"/>
    <x v="0"/>
    <x v="0"/>
    <x v="0"/>
    <x v="0"/>
    <x v="0"/>
    <x v="0"/>
    <x v="43"/>
    <x v="0"/>
    <x v="2"/>
    <x v="3"/>
    <x v="21"/>
    <x v="4"/>
    <x v="4"/>
    <x v="0"/>
    <x v="0"/>
    <x v="49"/>
    <x v="13"/>
    <x v="15"/>
    <x v="15"/>
    <x v="24"/>
    <x v="11"/>
    <x v="6"/>
    <x v="0"/>
    <x v="6"/>
    <x v="17"/>
    <x v="6"/>
    <x v="6"/>
    <x v="43"/>
    <x v="9"/>
    <x v="22"/>
    <x v="22"/>
    <x v="0"/>
    <x v="8"/>
    <x v="4"/>
    <x v="16"/>
    <x v="6"/>
    <x v="8"/>
    <x v="4"/>
    <x v="13"/>
    <x v="4"/>
    <x v="41"/>
    <x v="16"/>
    <x v="0"/>
    <x v="5"/>
    <x v="13"/>
    <x v="15"/>
    <x v="28"/>
    <x v="32"/>
    <x v="2"/>
    <x v="1"/>
    <x v="1"/>
    <x v="1"/>
    <x v="46"/>
    <x v="0"/>
    <x v="6"/>
    <x v="5"/>
    <x v="1"/>
    <x v="9"/>
    <x v="3"/>
    <x v="5"/>
    <x v="2"/>
    <x v="5"/>
    <x v="14"/>
    <x v="8"/>
    <x v="9"/>
    <x v="1"/>
    <x v="4"/>
    <x v="69"/>
    <x v="0"/>
    <x v="50"/>
    <x v="1"/>
  </r>
  <r>
    <x v="78"/>
    <x v="74"/>
    <x v="5"/>
    <x v="1"/>
    <x v="3"/>
    <x v="0"/>
    <x v="3"/>
    <x v="5"/>
    <x v="2"/>
    <x v="2"/>
    <x v="32"/>
    <x v="0"/>
    <x v="2"/>
    <x v="12"/>
    <x v="8"/>
    <x v="0"/>
    <x v="0"/>
    <x v="0"/>
    <x v="0"/>
    <x v="0"/>
    <x v="0"/>
    <x v="0"/>
    <x v="51"/>
    <x v="0"/>
    <x v="2"/>
    <x v="3"/>
    <x v="17"/>
    <x v="4"/>
    <x v="4"/>
    <x v="0"/>
    <x v="0"/>
    <x v="49"/>
    <x v="13"/>
    <x v="15"/>
    <x v="15"/>
    <x v="24"/>
    <x v="11"/>
    <x v="6"/>
    <x v="0"/>
    <x v="6"/>
    <x v="17"/>
    <x v="6"/>
    <x v="6"/>
    <x v="44"/>
    <x v="9"/>
    <x v="16"/>
    <x v="22"/>
    <x v="0"/>
    <x v="8"/>
    <x v="4"/>
    <x v="16"/>
    <x v="6"/>
    <x v="8"/>
    <x v="4"/>
    <x v="13"/>
    <x v="4"/>
    <x v="41"/>
    <x v="24"/>
    <x v="0"/>
    <x v="5"/>
    <x v="16"/>
    <x v="17"/>
    <x v="31"/>
    <x v="34"/>
    <x v="2"/>
    <x v="1"/>
    <x v="1"/>
    <x v="1"/>
    <x v="45"/>
    <x v="0"/>
    <x v="6"/>
    <x v="5"/>
    <x v="1"/>
    <x v="9"/>
    <x v="3"/>
    <x v="5"/>
    <x v="2"/>
    <x v="5"/>
    <x v="14"/>
    <x v="8"/>
    <x v="12"/>
    <x v="1"/>
    <x v="6"/>
    <x v="69"/>
    <x v="0"/>
    <x v="53"/>
    <x v="1"/>
  </r>
  <r>
    <x v="79"/>
    <x v="75"/>
    <x v="6"/>
    <x v="1"/>
    <x v="3"/>
    <x v="0"/>
    <x v="3"/>
    <x v="5"/>
    <x v="2"/>
    <x v="2"/>
    <x v="32"/>
    <x v="0"/>
    <x v="3"/>
    <x v="12"/>
    <x v="8"/>
    <x v="0"/>
    <x v="0"/>
    <x v="0"/>
    <x v="0"/>
    <x v="0"/>
    <x v="0"/>
    <x v="0"/>
    <x v="58"/>
    <x v="0"/>
    <x v="2"/>
    <x v="3"/>
    <x v="13"/>
    <x v="4"/>
    <x v="4"/>
    <x v="0"/>
    <x v="0"/>
    <x v="49"/>
    <x v="13"/>
    <x v="15"/>
    <x v="15"/>
    <x v="24"/>
    <x v="11"/>
    <x v="6"/>
    <x v="0"/>
    <x v="6"/>
    <x v="17"/>
    <x v="6"/>
    <x v="6"/>
    <x v="45"/>
    <x v="9"/>
    <x v="2"/>
    <x v="22"/>
    <x v="0"/>
    <x v="8"/>
    <x v="4"/>
    <x v="16"/>
    <x v="6"/>
    <x v="8"/>
    <x v="4"/>
    <x v="13"/>
    <x v="4"/>
    <x v="41"/>
    <x v="37"/>
    <x v="0"/>
    <x v="5"/>
    <x v="17"/>
    <x v="20"/>
    <x v="32"/>
    <x v="37"/>
    <x v="2"/>
    <x v="1"/>
    <x v="1"/>
    <x v="1"/>
    <x v="44"/>
    <x v="0"/>
    <x v="6"/>
    <x v="5"/>
    <x v="1"/>
    <x v="9"/>
    <x v="3"/>
    <x v="5"/>
    <x v="2"/>
    <x v="5"/>
    <x v="14"/>
    <x v="8"/>
    <x v="19"/>
    <x v="1"/>
    <x v="7"/>
    <x v="69"/>
    <x v="0"/>
    <x v="56"/>
    <x v="1"/>
  </r>
  <r>
    <x v="80"/>
    <x v="76"/>
    <x v="7"/>
    <x v="1"/>
    <x v="3"/>
    <x v="0"/>
    <x v="3"/>
    <x v="5"/>
    <x v="2"/>
    <x v="2"/>
    <x v="32"/>
    <x v="0"/>
    <x v="4"/>
    <x v="12"/>
    <x v="8"/>
    <x v="0"/>
    <x v="0"/>
    <x v="0"/>
    <x v="0"/>
    <x v="0"/>
    <x v="0"/>
    <x v="0"/>
    <x v="62"/>
    <x v="0"/>
    <x v="2"/>
    <x v="3"/>
    <x v="10"/>
    <x v="4"/>
    <x v="4"/>
    <x v="0"/>
    <x v="0"/>
    <x v="49"/>
    <x v="13"/>
    <x v="15"/>
    <x v="15"/>
    <x v="24"/>
    <x v="11"/>
    <x v="6"/>
    <x v="0"/>
    <x v="6"/>
    <x v="17"/>
    <x v="6"/>
    <x v="6"/>
    <x v="46"/>
    <x v="9"/>
    <x v="3"/>
    <x v="22"/>
    <x v="0"/>
    <x v="8"/>
    <x v="4"/>
    <x v="16"/>
    <x v="6"/>
    <x v="8"/>
    <x v="4"/>
    <x v="13"/>
    <x v="4"/>
    <x v="41"/>
    <x v="47"/>
    <x v="0"/>
    <x v="5"/>
    <x v="19"/>
    <x v="21"/>
    <x v="34"/>
    <x v="38"/>
    <x v="2"/>
    <x v="1"/>
    <x v="1"/>
    <x v="1"/>
    <x v="43"/>
    <x v="0"/>
    <x v="6"/>
    <x v="5"/>
    <x v="1"/>
    <x v="9"/>
    <x v="3"/>
    <x v="5"/>
    <x v="2"/>
    <x v="5"/>
    <x v="14"/>
    <x v="8"/>
    <x v="22"/>
    <x v="1"/>
    <x v="8"/>
    <x v="69"/>
    <x v="0"/>
    <x v="61"/>
    <x v="1"/>
  </r>
  <r>
    <x v="81"/>
    <x v="77"/>
    <x v="8"/>
    <x v="1"/>
    <x v="3"/>
    <x v="0"/>
    <x v="3"/>
    <x v="5"/>
    <x v="2"/>
    <x v="2"/>
    <x v="32"/>
    <x v="0"/>
    <x v="5"/>
    <x v="12"/>
    <x v="8"/>
    <x v="0"/>
    <x v="0"/>
    <x v="0"/>
    <x v="0"/>
    <x v="0"/>
    <x v="0"/>
    <x v="0"/>
    <x v="68"/>
    <x v="0"/>
    <x v="2"/>
    <x v="3"/>
    <x v="7"/>
    <x v="4"/>
    <x v="4"/>
    <x v="0"/>
    <x v="0"/>
    <x v="49"/>
    <x v="13"/>
    <x v="15"/>
    <x v="15"/>
    <x v="24"/>
    <x v="11"/>
    <x v="6"/>
    <x v="0"/>
    <x v="6"/>
    <x v="17"/>
    <x v="6"/>
    <x v="6"/>
    <x v="47"/>
    <x v="9"/>
    <x v="4"/>
    <x v="22"/>
    <x v="0"/>
    <x v="8"/>
    <x v="4"/>
    <x v="16"/>
    <x v="6"/>
    <x v="8"/>
    <x v="4"/>
    <x v="13"/>
    <x v="4"/>
    <x v="41"/>
    <x v="54"/>
    <x v="0"/>
    <x v="5"/>
    <x v="22"/>
    <x v="22"/>
    <x v="37"/>
    <x v="39"/>
    <x v="2"/>
    <x v="1"/>
    <x v="1"/>
    <x v="1"/>
    <x v="42"/>
    <x v="0"/>
    <x v="6"/>
    <x v="5"/>
    <x v="1"/>
    <x v="9"/>
    <x v="3"/>
    <x v="5"/>
    <x v="2"/>
    <x v="5"/>
    <x v="14"/>
    <x v="8"/>
    <x v="24"/>
    <x v="1"/>
    <x v="9"/>
    <x v="69"/>
    <x v="0"/>
    <x v="63"/>
    <x v="1"/>
  </r>
  <r>
    <x v="82"/>
    <x v="78"/>
    <x v="9"/>
    <x v="26"/>
    <x v="4"/>
    <x v="0"/>
    <x v="3"/>
    <x v="5"/>
    <x v="2"/>
    <x v="4"/>
    <x v="32"/>
    <x v="0"/>
    <x v="4"/>
    <x v="18"/>
    <x v="8"/>
    <x v="0"/>
    <x v="0"/>
    <x v="0"/>
    <x v="0"/>
    <x v="0"/>
    <x v="0"/>
    <x v="0"/>
    <x v="64"/>
    <x v="0"/>
    <x v="2"/>
    <x v="3"/>
    <x v="9"/>
    <x v="4"/>
    <x v="4"/>
    <x v="0"/>
    <x v="0"/>
    <x v="49"/>
    <x v="5"/>
    <x v="15"/>
    <x v="15"/>
    <x v="33"/>
    <x v="3"/>
    <x v="4"/>
    <x v="0"/>
    <x v="4"/>
    <x v="17"/>
    <x v="1"/>
    <x v="0"/>
    <x v="48"/>
    <x v="9"/>
    <x v="11"/>
    <x v="22"/>
    <x v="0"/>
    <x v="8"/>
    <x v="4"/>
    <x v="8"/>
    <x v="6"/>
    <x v="8"/>
    <x v="4"/>
    <x v="19"/>
    <x v="4"/>
    <x v="39"/>
    <x v="56"/>
    <x v="0"/>
    <x v="5"/>
    <x v="25"/>
    <x v="23"/>
    <x v="40"/>
    <x v="40"/>
    <x v="2"/>
    <x v="1"/>
    <x v="1"/>
    <x v="1"/>
    <x v="54"/>
    <x v="0"/>
    <x v="6"/>
    <x v="5"/>
    <x v="1"/>
    <x v="9"/>
    <x v="3"/>
    <x v="5"/>
    <x v="0"/>
    <x v="5"/>
    <x v="2"/>
    <x v="8"/>
    <x v="21"/>
    <x v="1"/>
    <x v="8"/>
    <x v="68"/>
    <x v="0"/>
    <x v="60"/>
    <x v="1"/>
  </r>
  <r>
    <x v="83"/>
    <x v="79"/>
    <x v="3"/>
    <x v="26"/>
    <x v="5"/>
    <x v="0"/>
    <x v="1"/>
    <x v="5"/>
    <x v="2"/>
    <x v="4"/>
    <x v="32"/>
    <x v="0"/>
    <x v="13"/>
    <x v="18"/>
    <x v="8"/>
    <x v="0"/>
    <x v="0"/>
    <x v="0"/>
    <x v="0"/>
    <x v="0"/>
    <x v="0"/>
    <x v="0"/>
    <x v="33"/>
    <x v="0"/>
    <x v="2"/>
    <x v="3"/>
    <x v="24"/>
    <x v="4"/>
    <x v="4"/>
    <x v="0"/>
    <x v="0"/>
    <x v="49"/>
    <x v="5"/>
    <x v="15"/>
    <x v="15"/>
    <x v="33"/>
    <x v="3"/>
    <x v="4"/>
    <x v="0"/>
    <x v="4"/>
    <x v="17"/>
    <x v="6"/>
    <x v="6"/>
    <x v="73"/>
    <x v="9"/>
    <x v="36"/>
    <x v="23"/>
    <x v="0"/>
    <x v="8"/>
    <x v="4"/>
    <x v="8"/>
    <x v="6"/>
    <x v="8"/>
    <x v="4"/>
    <x v="19"/>
    <x v="4"/>
    <x v="39"/>
    <x v="7"/>
    <x v="0"/>
    <x v="8"/>
    <x v="26"/>
    <x v="16"/>
    <x v="41"/>
    <x v="33"/>
    <x v="2"/>
    <x v="1"/>
    <x v="1"/>
    <x v="1"/>
    <x v="54"/>
    <x v="0"/>
    <x v="6"/>
    <x v="5"/>
    <x v="1"/>
    <x v="9"/>
    <x v="3"/>
    <x v="4"/>
    <x v="0"/>
    <x v="5"/>
    <x v="2"/>
    <x v="8"/>
    <x v="2"/>
    <x v="1"/>
    <x v="0"/>
    <x v="75"/>
    <x v="0"/>
    <x v="40"/>
    <x v="1"/>
  </r>
  <r>
    <x v="100"/>
    <x v="113"/>
    <x v="22"/>
    <x v="26"/>
    <x v="14"/>
    <x v="0"/>
    <x v="1"/>
    <x v="2"/>
    <x v="3"/>
    <x v="5"/>
    <x v="2"/>
    <x v="7"/>
    <x v="13"/>
    <x v="1"/>
    <x v="8"/>
    <x v="0"/>
    <x v="0"/>
    <x v="0"/>
    <x v="0"/>
    <x v="0"/>
    <x v="0"/>
    <x v="0"/>
    <x v="1"/>
    <x v="0"/>
    <x v="2"/>
    <x v="1"/>
    <x v="62"/>
    <x v="0"/>
    <x v="0"/>
    <x v="0"/>
    <x v="0"/>
    <x v="0"/>
    <x v="0"/>
    <x v="0"/>
    <x v="1"/>
    <x v="0"/>
    <x v="42"/>
    <x v="0"/>
    <x v="0"/>
    <x v="0"/>
    <x v="17"/>
    <x v="6"/>
    <x v="6"/>
    <x v="73"/>
    <x v="9"/>
    <x v="36"/>
    <x v="36"/>
    <x v="0"/>
    <x v="8"/>
    <x v="15"/>
    <x v="21"/>
    <x v="5"/>
    <x v="11"/>
    <x v="0"/>
    <x v="2"/>
    <x v="2"/>
    <x v="38"/>
    <x v="0"/>
    <x v="2"/>
    <x v="7"/>
    <x v="0"/>
    <x v="1"/>
    <x v="7"/>
    <x v="13"/>
    <x v="2"/>
    <x v="1"/>
    <x v="1"/>
    <x v="1"/>
    <x v="54"/>
    <x v="0"/>
    <x v="6"/>
    <x v="4"/>
    <x v="6"/>
    <x v="9"/>
    <x v="3"/>
    <x v="8"/>
    <x v="0"/>
    <x v="1"/>
    <x v="1"/>
    <x v="2"/>
    <x v="0"/>
    <x v="7"/>
    <x v="0"/>
    <x v="0"/>
    <x v="0"/>
    <x v="83"/>
    <x v="1"/>
  </r>
  <r>
    <x v="101"/>
    <x v="114"/>
    <x v="23"/>
    <x v="26"/>
    <x v="15"/>
    <x v="0"/>
    <x v="1"/>
    <x v="2"/>
    <x v="3"/>
    <x v="6"/>
    <x v="5"/>
    <x v="11"/>
    <x v="13"/>
    <x v="2"/>
    <x v="8"/>
    <x v="0"/>
    <x v="0"/>
    <x v="0"/>
    <x v="0"/>
    <x v="0"/>
    <x v="0"/>
    <x v="0"/>
    <x v="8"/>
    <x v="0"/>
    <x v="2"/>
    <x v="5"/>
    <x v="73"/>
    <x v="1"/>
    <x v="1"/>
    <x v="0"/>
    <x v="0"/>
    <x v="3"/>
    <x v="1"/>
    <x v="0"/>
    <x v="1"/>
    <x v="0"/>
    <x v="43"/>
    <x v="1"/>
    <x v="0"/>
    <x v="1"/>
    <x v="17"/>
    <x v="6"/>
    <x v="6"/>
    <x v="73"/>
    <x v="9"/>
    <x v="36"/>
    <x v="36"/>
    <x v="0"/>
    <x v="8"/>
    <x v="15"/>
    <x v="23"/>
    <x v="5"/>
    <x v="11"/>
    <x v="1"/>
    <x v="3"/>
    <x v="6"/>
    <x v="37"/>
    <x v="0"/>
    <x v="2"/>
    <x v="7"/>
    <x v="4"/>
    <x v="2"/>
    <x v="16"/>
    <x v="14"/>
    <x v="2"/>
    <x v="1"/>
    <x v="1"/>
    <x v="1"/>
    <x v="54"/>
    <x v="0"/>
    <x v="6"/>
    <x v="4"/>
    <x v="6"/>
    <x v="9"/>
    <x v="3"/>
    <x v="8"/>
    <x v="0"/>
    <x v="1"/>
    <x v="1"/>
    <x v="2"/>
    <x v="1"/>
    <x v="7"/>
    <x v="0"/>
    <x v="9"/>
    <x v="0"/>
    <x v="84"/>
    <x v="1"/>
  </r>
  <r>
    <x v="6"/>
    <x v="38"/>
    <x v="55"/>
    <x v="26"/>
    <x v="5"/>
    <x v="0"/>
    <x v="3"/>
    <x v="2"/>
    <x v="3"/>
    <x v="8"/>
    <x v="17"/>
    <x v="17"/>
    <x v="3"/>
    <x v="18"/>
    <x v="8"/>
    <x v="0"/>
    <x v="0"/>
    <x v="0"/>
    <x v="0"/>
    <x v="0"/>
    <x v="0"/>
    <x v="0"/>
    <x v="69"/>
    <x v="0"/>
    <x v="2"/>
    <x v="8"/>
    <x v="18"/>
    <x v="5"/>
    <x v="5"/>
    <x v="0"/>
    <x v="0"/>
    <x v="19"/>
    <x v="15"/>
    <x v="1"/>
    <x v="5"/>
    <x v="14"/>
    <x v="15"/>
    <x v="7"/>
    <x v="0"/>
    <x v="7"/>
    <x v="10"/>
    <x v="6"/>
    <x v="6"/>
    <x v="14"/>
    <x v="9"/>
    <x v="27"/>
    <x v="9"/>
    <x v="0"/>
    <x v="8"/>
    <x v="13"/>
    <x v="20"/>
    <x v="6"/>
    <x v="10"/>
    <x v="5"/>
    <x v="19"/>
    <x v="9"/>
    <x v="35"/>
    <x v="25"/>
    <x v="2"/>
    <x v="4"/>
    <x v="23"/>
    <x v="33"/>
    <x v="38"/>
    <x v="50"/>
    <x v="2"/>
    <x v="1"/>
    <x v="1"/>
    <x v="1"/>
    <x v="24"/>
    <x v="0"/>
    <x v="6"/>
    <x v="1"/>
    <x v="6"/>
    <x v="9"/>
    <x v="3"/>
    <x v="5"/>
    <x v="1"/>
    <x v="2"/>
    <x v="6"/>
    <x v="2"/>
    <x v="20"/>
    <x v="7"/>
    <x v="7"/>
    <x v="22"/>
    <x v="0"/>
    <x v="107"/>
    <x v="1"/>
  </r>
  <r>
    <x v="7"/>
    <x v="39"/>
    <x v="56"/>
    <x v="9"/>
    <x v="6"/>
    <x v="0"/>
    <x v="3"/>
    <x v="2"/>
    <x v="3"/>
    <x v="8"/>
    <x v="17"/>
    <x v="17"/>
    <x v="5"/>
    <x v="18"/>
    <x v="8"/>
    <x v="0"/>
    <x v="0"/>
    <x v="0"/>
    <x v="0"/>
    <x v="0"/>
    <x v="0"/>
    <x v="0"/>
    <x v="79"/>
    <x v="0"/>
    <x v="2"/>
    <x v="8"/>
    <x v="12"/>
    <x v="5"/>
    <x v="5"/>
    <x v="0"/>
    <x v="0"/>
    <x v="19"/>
    <x v="15"/>
    <x v="1"/>
    <x v="5"/>
    <x v="19"/>
    <x v="15"/>
    <x v="7"/>
    <x v="0"/>
    <x v="7"/>
    <x v="11"/>
    <x v="6"/>
    <x v="6"/>
    <x v="13"/>
    <x v="9"/>
    <x v="4"/>
    <x v="9"/>
    <x v="0"/>
    <x v="8"/>
    <x v="13"/>
    <x v="20"/>
    <x v="6"/>
    <x v="10"/>
    <x v="5"/>
    <x v="19"/>
    <x v="9"/>
    <x v="35"/>
    <x v="48"/>
    <x v="2"/>
    <x v="4"/>
    <x v="27"/>
    <x v="39"/>
    <x v="42"/>
    <x v="56"/>
    <x v="2"/>
    <x v="1"/>
    <x v="1"/>
    <x v="1"/>
    <x v="23"/>
    <x v="0"/>
    <x v="6"/>
    <x v="1"/>
    <x v="6"/>
    <x v="9"/>
    <x v="3"/>
    <x v="5"/>
    <x v="1"/>
    <x v="2"/>
    <x v="6"/>
    <x v="2"/>
    <x v="26"/>
    <x v="7"/>
    <x v="9"/>
    <x v="22"/>
    <x v="0"/>
    <x v="113"/>
    <x v="1"/>
  </r>
  <r>
    <x v="9"/>
    <x v="41"/>
    <x v="57"/>
    <x v="26"/>
    <x v="7"/>
    <x v="0"/>
    <x v="3"/>
    <x v="2"/>
    <x v="3"/>
    <x v="9"/>
    <x v="17"/>
    <x v="17"/>
    <x v="2"/>
    <x v="12"/>
    <x v="8"/>
    <x v="0"/>
    <x v="0"/>
    <x v="0"/>
    <x v="0"/>
    <x v="0"/>
    <x v="0"/>
    <x v="0"/>
    <x v="31"/>
    <x v="0"/>
    <x v="2"/>
    <x v="8"/>
    <x v="50"/>
    <x v="5"/>
    <x v="5"/>
    <x v="0"/>
    <x v="0"/>
    <x v="27"/>
    <x v="19"/>
    <x v="5"/>
    <x v="5"/>
    <x v="27"/>
    <x v="23"/>
    <x v="8"/>
    <x v="0"/>
    <x v="8"/>
    <x v="17"/>
    <x v="6"/>
    <x v="6"/>
    <x v="15"/>
    <x v="9"/>
    <x v="29"/>
    <x v="10"/>
    <x v="0"/>
    <x v="8"/>
    <x v="13"/>
    <x v="19"/>
    <x v="6"/>
    <x v="10"/>
    <x v="5"/>
    <x v="13"/>
    <x v="9"/>
    <x v="34"/>
    <x v="27"/>
    <x v="2"/>
    <x v="4"/>
    <x v="21"/>
    <x v="30"/>
    <x v="36"/>
    <x v="47"/>
    <x v="2"/>
    <x v="1"/>
    <x v="1"/>
    <x v="1"/>
    <x v="25"/>
    <x v="0"/>
    <x v="6"/>
    <x v="1"/>
    <x v="6"/>
    <x v="9"/>
    <x v="3"/>
    <x v="5"/>
    <x v="1"/>
    <x v="2"/>
    <x v="6"/>
    <x v="2"/>
    <x v="17"/>
    <x v="7"/>
    <x v="6"/>
    <x v="23"/>
    <x v="0"/>
    <x v="102"/>
    <x v="1"/>
  </r>
  <r>
    <x v="8"/>
    <x v="40"/>
    <x v="58"/>
    <x v="10"/>
    <x v="8"/>
    <x v="0"/>
    <x v="3"/>
    <x v="2"/>
    <x v="3"/>
    <x v="9"/>
    <x v="17"/>
    <x v="17"/>
    <x v="1"/>
    <x v="12"/>
    <x v="8"/>
    <x v="0"/>
    <x v="0"/>
    <x v="0"/>
    <x v="0"/>
    <x v="0"/>
    <x v="0"/>
    <x v="0"/>
    <x v="31"/>
    <x v="0"/>
    <x v="2"/>
    <x v="8"/>
    <x v="50"/>
    <x v="5"/>
    <x v="5"/>
    <x v="0"/>
    <x v="0"/>
    <x v="27"/>
    <x v="19"/>
    <x v="5"/>
    <x v="5"/>
    <x v="27"/>
    <x v="23"/>
    <x v="8"/>
    <x v="0"/>
    <x v="8"/>
    <x v="17"/>
    <x v="6"/>
    <x v="6"/>
    <x v="16"/>
    <x v="9"/>
    <x v="1"/>
    <x v="10"/>
    <x v="0"/>
    <x v="8"/>
    <x v="13"/>
    <x v="19"/>
    <x v="6"/>
    <x v="10"/>
    <x v="5"/>
    <x v="13"/>
    <x v="9"/>
    <x v="34"/>
    <x v="18"/>
    <x v="2"/>
    <x v="4"/>
    <x v="18"/>
    <x v="26"/>
    <x v="33"/>
    <x v="43"/>
    <x v="2"/>
    <x v="1"/>
    <x v="1"/>
    <x v="1"/>
    <x v="26"/>
    <x v="0"/>
    <x v="6"/>
    <x v="1"/>
    <x v="6"/>
    <x v="9"/>
    <x v="3"/>
    <x v="5"/>
    <x v="1"/>
    <x v="2"/>
    <x v="6"/>
    <x v="2"/>
    <x v="10"/>
    <x v="7"/>
    <x v="4"/>
    <x v="23"/>
    <x v="0"/>
    <x v="94"/>
    <x v="1"/>
  </r>
  <r>
    <x v="37"/>
    <x v="43"/>
    <x v="59"/>
    <x v="26"/>
    <x v="10"/>
    <x v="0"/>
    <x v="3"/>
    <x v="2"/>
    <x v="3"/>
    <x v="21"/>
    <x v="25"/>
    <x v="19"/>
    <x v="3"/>
    <x v="18"/>
    <x v="8"/>
    <x v="0"/>
    <x v="0"/>
    <x v="0"/>
    <x v="0"/>
    <x v="0"/>
    <x v="0"/>
    <x v="0"/>
    <x v="61"/>
    <x v="0"/>
    <x v="2"/>
    <x v="9"/>
    <x v="22"/>
    <x v="8"/>
    <x v="8"/>
    <x v="0"/>
    <x v="0"/>
    <x v="30"/>
    <x v="19"/>
    <x v="1"/>
    <x v="5"/>
    <x v="35"/>
    <x v="21"/>
    <x v="8"/>
    <x v="0"/>
    <x v="8"/>
    <x v="1"/>
    <x v="6"/>
    <x v="6"/>
    <x v="19"/>
    <x v="9"/>
    <x v="33"/>
    <x v="11"/>
    <x v="0"/>
    <x v="8"/>
    <x v="13"/>
    <x v="4"/>
    <x v="8"/>
    <x v="22"/>
    <x v="8"/>
    <x v="19"/>
    <x v="10"/>
    <x v="22"/>
    <x v="50"/>
    <x v="2"/>
    <x v="4"/>
    <x v="39"/>
    <x v="50"/>
    <x v="53"/>
    <x v="66"/>
    <x v="2"/>
    <x v="1"/>
    <x v="1"/>
    <x v="1"/>
    <x v="27"/>
    <x v="0"/>
    <x v="6"/>
    <x v="1"/>
    <x v="6"/>
    <x v="9"/>
    <x v="3"/>
    <x v="5"/>
    <x v="3"/>
    <x v="2"/>
    <x v="17"/>
    <x v="2"/>
    <x v="21"/>
    <x v="7"/>
    <x v="7"/>
    <x v="49"/>
    <x v="0"/>
    <x v="108"/>
    <x v="1"/>
  </r>
  <r>
    <x v="36"/>
    <x v="42"/>
    <x v="60"/>
    <x v="11"/>
    <x v="11"/>
    <x v="0"/>
    <x v="3"/>
    <x v="2"/>
    <x v="3"/>
    <x v="21"/>
    <x v="25"/>
    <x v="19"/>
    <x v="2"/>
    <x v="18"/>
    <x v="8"/>
    <x v="0"/>
    <x v="0"/>
    <x v="0"/>
    <x v="0"/>
    <x v="0"/>
    <x v="0"/>
    <x v="0"/>
    <x v="55"/>
    <x v="0"/>
    <x v="2"/>
    <x v="9"/>
    <x v="25"/>
    <x v="8"/>
    <x v="8"/>
    <x v="0"/>
    <x v="0"/>
    <x v="30"/>
    <x v="19"/>
    <x v="1"/>
    <x v="5"/>
    <x v="38"/>
    <x v="21"/>
    <x v="8"/>
    <x v="0"/>
    <x v="8"/>
    <x v="7"/>
    <x v="6"/>
    <x v="6"/>
    <x v="20"/>
    <x v="9"/>
    <x v="21"/>
    <x v="12"/>
    <x v="0"/>
    <x v="8"/>
    <x v="13"/>
    <x v="4"/>
    <x v="8"/>
    <x v="22"/>
    <x v="8"/>
    <x v="19"/>
    <x v="10"/>
    <x v="22"/>
    <x v="39"/>
    <x v="2"/>
    <x v="4"/>
    <x v="36"/>
    <x v="47"/>
    <x v="50"/>
    <x v="64"/>
    <x v="2"/>
    <x v="1"/>
    <x v="1"/>
    <x v="1"/>
    <x v="28"/>
    <x v="0"/>
    <x v="6"/>
    <x v="1"/>
    <x v="6"/>
    <x v="9"/>
    <x v="3"/>
    <x v="5"/>
    <x v="3"/>
    <x v="2"/>
    <x v="17"/>
    <x v="2"/>
    <x v="17"/>
    <x v="7"/>
    <x v="6"/>
    <x v="50"/>
    <x v="0"/>
    <x v="103"/>
    <x v="1"/>
  </r>
  <r>
    <x v="91"/>
    <x v="9"/>
    <x v="62"/>
    <x v="26"/>
    <x v="9"/>
    <x v="0"/>
    <x v="3"/>
    <x v="2"/>
    <x v="3"/>
    <x v="12"/>
    <x v="32"/>
    <x v="4"/>
    <x v="5"/>
    <x v="18"/>
    <x v="8"/>
    <x v="0"/>
    <x v="0"/>
    <x v="0"/>
    <x v="0"/>
    <x v="0"/>
    <x v="0"/>
    <x v="0"/>
    <x v="83"/>
    <x v="0"/>
    <x v="0"/>
    <x v="16"/>
    <x v="20"/>
    <x v="8"/>
    <x v="8"/>
    <x v="0"/>
    <x v="0"/>
    <x v="34"/>
    <x v="19"/>
    <x v="13"/>
    <x v="5"/>
    <x v="13"/>
    <x v="28"/>
    <x v="8"/>
    <x v="0"/>
    <x v="8"/>
    <x v="12"/>
    <x v="6"/>
    <x v="6"/>
    <x v="6"/>
    <x v="9"/>
    <x v="23"/>
    <x v="3"/>
    <x v="0"/>
    <x v="8"/>
    <x v="3"/>
    <x v="2"/>
    <x v="6"/>
    <x v="10"/>
    <x v="8"/>
    <x v="19"/>
    <x v="17"/>
    <x v="31"/>
    <x v="43"/>
    <x v="2"/>
    <x v="4"/>
    <x v="33"/>
    <x v="45"/>
    <x v="47"/>
    <x v="62"/>
    <x v="2"/>
    <x v="1"/>
    <x v="1"/>
    <x v="1"/>
    <x v="54"/>
    <x v="0"/>
    <x v="4"/>
    <x v="1"/>
    <x v="3"/>
    <x v="9"/>
    <x v="3"/>
    <x v="5"/>
    <x v="1"/>
    <x v="4"/>
    <x v="7"/>
    <x v="2"/>
    <x v="28"/>
    <x v="7"/>
    <x v="9"/>
    <x v="41"/>
    <x v="2"/>
    <x v="114"/>
    <x v="1"/>
  </r>
  <r>
    <x v="91"/>
    <x v="10"/>
    <x v="61"/>
    <x v="12"/>
    <x v="9"/>
    <x v="0"/>
    <x v="3"/>
    <x v="2"/>
    <x v="3"/>
    <x v="12"/>
    <x v="32"/>
    <x v="4"/>
    <x v="7"/>
    <x v="18"/>
    <x v="8"/>
    <x v="0"/>
    <x v="0"/>
    <x v="0"/>
    <x v="0"/>
    <x v="0"/>
    <x v="0"/>
    <x v="0"/>
    <x v="84"/>
    <x v="0"/>
    <x v="0"/>
    <x v="16"/>
    <x v="15"/>
    <x v="8"/>
    <x v="8"/>
    <x v="0"/>
    <x v="0"/>
    <x v="34"/>
    <x v="19"/>
    <x v="13"/>
    <x v="5"/>
    <x v="15"/>
    <x v="28"/>
    <x v="8"/>
    <x v="0"/>
    <x v="8"/>
    <x v="13"/>
    <x v="6"/>
    <x v="6"/>
    <x v="6"/>
    <x v="9"/>
    <x v="6"/>
    <x v="3"/>
    <x v="0"/>
    <x v="8"/>
    <x v="3"/>
    <x v="2"/>
    <x v="6"/>
    <x v="10"/>
    <x v="8"/>
    <x v="19"/>
    <x v="17"/>
    <x v="31"/>
    <x v="57"/>
    <x v="2"/>
    <x v="4"/>
    <x v="33"/>
    <x v="45"/>
    <x v="47"/>
    <x v="62"/>
    <x v="2"/>
    <x v="1"/>
    <x v="1"/>
    <x v="1"/>
    <x v="54"/>
    <x v="0"/>
    <x v="4"/>
    <x v="1"/>
    <x v="3"/>
    <x v="9"/>
    <x v="3"/>
    <x v="5"/>
    <x v="1"/>
    <x v="4"/>
    <x v="7"/>
    <x v="2"/>
    <x v="30"/>
    <x v="7"/>
    <x v="11"/>
    <x v="42"/>
    <x v="2"/>
    <x v="116"/>
    <x v="1"/>
  </r>
  <r>
    <x v="10"/>
    <x v="44"/>
    <x v="63"/>
    <x v="26"/>
    <x v="12"/>
    <x v="0"/>
    <x v="3"/>
    <x v="5"/>
    <x v="2"/>
    <x v="11"/>
    <x v="11"/>
    <x v="12"/>
    <x v="3"/>
    <x v="16"/>
    <x v="8"/>
    <x v="0"/>
    <x v="0"/>
    <x v="0"/>
    <x v="0"/>
    <x v="0"/>
    <x v="0"/>
    <x v="0"/>
    <x v="63"/>
    <x v="0"/>
    <x v="2"/>
    <x v="14"/>
    <x v="27"/>
    <x v="5"/>
    <x v="5"/>
    <x v="0"/>
    <x v="0"/>
    <x v="35"/>
    <x v="19"/>
    <x v="12"/>
    <x v="13"/>
    <x v="31"/>
    <x v="27"/>
    <x v="8"/>
    <x v="0"/>
    <x v="8"/>
    <x v="5"/>
    <x v="6"/>
    <x v="6"/>
    <x v="9"/>
    <x v="9"/>
    <x v="33"/>
    <x v="5"/>
    <x v="0"/>
    <x v="8"/>
    <x v="9"/>
    <x v="10"/>
    <x v="6"/>
    <x v="9"/>
    <x v="5"/>
    <x v="17"/>
    <x v="15"/>
    <x v="32"/>
    <x v="45"/>
    <x v="0"/>
    <x v="5"/>
    <x v="31"/>
    <x v="26"/>
    <x v="46"/>
    <x v="43"/>
    <x v="2"/>
    <x v="1"/>
    <x v="1"/>
    <x v="1"/>
    <x v="33"/>
    <x v="0"/>
    <x v="6"/>
    <x v="5"/>
    <x v="1"/>
    <x v="9"/>
    <x v="3"/>
    <x v="5"/>
    <x v="1"/>
    <x v="5"/>
    <x v="8"/>
    <x v="8"/>
    <x v="21"/>
    <x v="1"/>
    <x v="7"/>
    <x v="13"/>
    <x v="0"/>
    <x v="57"/>
    <x v="1"/>
  </r>
  <r>
    <x v="11"/>
    <x v="45"/>
    <x v="64"/>
    <x v="13"/>
    <x v="13"/>
    <x v="0"/>
    <x v="3"/>
    <x v="5"/>
    <x v="2"/>
    <x v="11"/>
    <x v="11"/>
    <x v="12"/>
    <x v="2"/>
    <x v="16"/>
    <x v="8"/>
    <x v="0"/>
    <x v="0"/>
    <x v="0"/>
    <x v="0"/>
    <x v="0"/>
    <x v="0"/>
    <x v="0"/>
    <x v="57"/>
    <x v="0"/>
    <x v="2"/>
    <x v="14"/>
    <x v="35"/>
    <x v="5"/>
    <x v="5"/>
    <x v="0"/>
    <x v="0"/>
    <x v="35"/>
    <x v="19"/>
    <x v="12"/>
    <x v="13"/>
    <x v="31"/>
    <x v="27"/>
    <x v="8"/>
    <x v="0"/>
    <x v="8"/>
    <x v="3"/>
    <x v="6"/>
    <x v="6"/>
    <x v="8"/>
    <x v="9"/>
    <x v="29"/>
    <x v="6"/>
    <x v="0"/>
    <x v="8"/>
    <x v="9"/>
    <x v="10"/>
    <x v="4"/>
    <x v="9"/>
    <x v="5"/>
    <x v="17"/>
    <x v="15"/>
    <x v="32"/>
    <x v="33"/>
    <x v="0"/>
    <x v="5"/>
    <x v="29"/>
    <x v="21"/>
    <x v="44"/>
    <x v="38"/>
    <x v="2"/>
    <x v="1"/>
    <x v="1"/>
    <x v="1"/>
    <x v="32"/>
    <x v="0"/>
    <x v="6"/>
    <x v="5"/>
    <x v="1"/>
    <x v="9"/>
    <x v="3"/>
    <x v="4"/>
    <x v="1"/>
    <x v="5"/>
    <x v="8"/>
    <x v="8"/>
    <x v="17"/>
    <x v="1"/>
    <x v="6"/>
    <x v="8"/>
    <x v="0"/>
    <x v="55"/>
    <x v="1"/>
  </r>
  <r>
    <x v="12"/>
    <x v="47"/>
    <x v="65"/>
    <x v="14"/>
    <x v="16"/>
    <x v="0"/>
    <x v="3"/>
    <x v="5"/>
    <x v="2"/>
    <x v="13"/>
    <x v="18"/>
    <x v="15"/>
    <x v="1"/>
    <x v="20"/>
    <x v="8"/>
    <x v="0"/>
    <x v="0"/>
    <x v="0"/>
    <x v="0"/>
    <x v="0"/>
    <x v="0"/>
    <x v="0"/>
    <x v="50"/>
    <x v="0"/>
    <x v="2"/>
    <x v="23"/>
    <x v="58"/>
    <x v="9"/>
    <x v="9"/>
    <x v="0"/>
    <x v="0"/>
    <x v="35"/>
    <x v="19"/>
    <x v="12"/>
    <x v="13"/>
    <x v="29"/>
    <x v="27"/>
    <x v="8"/>
    <x v="0"/>
    <x v="8"/>
    <x v="5"/>
    <x v="6"/>
    <x v="6"/>
    <x v="10"/>
    <x v="9"/>
    <x v="22"/>
    <x v="7"/>
    <x v="0"/>
    <x v="8"/>
    <x v="11"/>
    <x v="14"/>
    <x v="4"/>
    <x v="4"/>
    <x v="9"/>
    <x v="21"/>
    <x v="24"/>
    <x v="30"/>
    <x v="19"/>
    <x v="0"/>
    <x v="5"/>
    <x v="19"/>
    <x v="32"/>
    <x v="34"/>
    <x v="49"/>
    <x v="2"/>
    <x v="1"/>
    <x v="1"/>
    <x v="1"/>
    <x v="29"/>
    <x v="0"/>
    <x v="6"/>
    <x v="5"/>
    <x v="1"/>
    <x v="6"/>
    <x v="3"/>
    <x v="5"/>
    <x v="1"/>
    <x v="6"/>
    <x v="9"/>
    <x v="8"/>
    <x v="10"/>
    <x v="1"/>
    <x v="4"/>
    <x v="34"/>
    <x v="0"/>
    <x v="52"/>
    <x v="1"/>
  </r>
  <r>
    <x v="13"/>
    <x v="46"/>
    <x v="66"/>
    <x v="26"/>
    <x v="17"/>
    <x v="0"/>
    <x v="3"/>
    <x v="5"/>
    <x v="2"/>
    <x v="13"/>
    <x v="18"/>
    <x v="15"/>
    <x v="3"/>
    <x v="20"/>
    <x v="8"/>
    <x v="0"/>
    <x v="0"/>
    <x v="0"/>
    <x v="0"/>
    <x v="0"/>
    <x v="0"/>
    <x v="0"/>
    <x v="67"/>
    <x v="0"/>
    <x v="2"/>
    <x v="23"/>
    <x v="40"/>
    <x v="9"/>
    <x v="9"/>
    <x v="0"/>
    <x v="0"/>
    <x v="35"/>
    <x v="19"/>
    <x v="12"/>
    <x v="13"/>
    <x v="18"/>
    <x v="27"/>
    <x v="8"/>
    <x v="0"/>
    <x v="8"/>
    <x v="5"/>
    <x v="6"/>
    <x v="6"/>
    <x v="11"/>
    <x v="9"/>
    <x v="30"/>
    <x v="8"/>
    <x v="0"/>
    <x v="8"/>
    <x v="11"/>
    <x v="14"/>
    <x v="11"/>
    <x v="10"/>
    <x v="9"/>
    <x v="21"/>
    <x v="24"/>
    <x v="30"/>
    <x v="29"/>
    <x v="0"/>
    <x v="5"/>
    <x v="44"/>
    <x v="54"/>
    <x v="58"/>
    <x v="69"/>
    <x v="2"/>
    <x v="1"/>
    <x v="1"/>
    <x v="1"/>
    <x v="31"/>
    <x v="0"/>
    <x v="6"/>
    <x v="5"/>
    <x v="1"/>
    <x v="6"/>
    <x v="0"/>
    <x v="5"/>
    <x v="1"/>
    <x v="6"/>
    <x v="9"/>
    <x v="8"/>
    <x v="21"/>
    <x v="1"/>
    <x v="7"/>
    <x v="35"/>
    <x v="5"/>
    <x v="59"/>
    <x v="1"/>
  </r>
  <r>
    <x v="14"/>
    <x v="48"/>
    <x v="67"/>
    <x v="14"/>
    <x v="18"/>
    <x v="0"/>
    <x v="3"/>
    <x v="5"/>
    <x v="2"/>
    <x v="13"/>
    <x v="18"/>
    <x v="15"/>
    <x v="3"/>
    <x v="20"/>
    <x v="8"/>
    <x v="0"/>
    <x v="0"/>
    <x v="0"/>
    <x v="0"/>
    <x v="0"/>
    <x v="0"/>
    <x v="0"/>
    <x v="66"/>
    <x v="0"/>
    <x v="2"/>
    <x v="23"/>
    <x v="42"/>
    <x v="9"/>
    <x v="9"/>
    <x v="0"/>
    <x v="0"/>
    <x v="35"/>
    <x v="19"/>
    <x v="12"/>
    <x v="13"/>
    <x v="28"/>
    <x v="27"/>
    <x v="8"/>
    <x v="0"/>
    <x v="8"/>
    <x v="5"/>
    <x v="6"/>
    <x v="6"/>
    <x v="12"/>
    <x v="9"/>
    <x v="13"/>
    <x v="8"/>
    <x v="0"/>
    <x v="8"/>
    <x v="11"/>
    <x v="14"/>
    <x v="6"/>
    <x v="7"/>
    <x v="9"/>
    <x v="21"/>
    <x v="24"/>
    <x v="30"/>
    <x v="42"/>
    <x v="0"/>
    <x v="5"/>
    <x v="36"/>
    <x v="40"/>
    <x v="50"/>
    <x v="57"/>
    <x v="2"/>
    <x v="1"/>
    <x v="1"/>
    <x v="1"/>
    <x v="30"/>
    <x v="0"/>
    <x v="6"/>
    <x v="5"/>
    <x v="1"/>
    <x v="6"/>
    <x v="3"/>
    <x v="5"/>
    <x v="1"/>
    <x v="6"/>
    <x v="9"/>
    <x v="8"/>
    <x v="21"/>
    <x v="1"/>
    <x v="7"/>
    <x v="36"/>
    <x v="0"/>
    <x v="58"/>
    <x v="1"/>
  </r>
  <r>
    <x v="107"/>
    <x v="90"/>
    <x v="68"/>
    <x v="26"/>
    <x v="19"/>
    <x v="0"/>
    <x v="3"/>
    <x v="5"/>
    <x v="2"/>
    <x v="18"/>
    <x v="27"/>
    <x v="20"/>
    <x v="1"/>
    <x v="6"/>
    <x v="8"/>
    <x v="0"/>
    <x v="0"/>
    <x v="0"/>
    <x v="0"/>
    <x v="0"/>
    <x v="0"/>
    <x v="0"/>
    <x v="24"/>
    <x v="0"/>
    <x v="2"/>
    <x v="2"/>
    <x v="33"/>
    <x v="3"/>
    <x v="3"/>
    <x v="0"/>
    <x v="0"/>
    <x v="13"/>
    <x v="7"/>
    <x v="3"/>
    <x v="0"/>
    <x v="29"/>
    <x v="6"/>
    <x v="4"/>
    <x v="0"/>
    <x v="4"/>
    <x v="2"/>
    <x v="6"/>
    <x v="6"/>
    <x v="54"/>
    <x v="9"/>
    <x v="22"/>
    <x v="25"/>
    <x v="0"/>
    <x v="8"/>
    <x v="13"/>
    <x v="27"/>
    <x v="20"/>
    <x v="12"/>
    <x v="3"/>
    <x v="7"/>
    <x v="3"/>
    <x v="25"/>
    <x v="19"/>
    <x v="0"/>
    <x v="5"/>
    <x v="15"/>
    <x v="13"/>
    <x v="30"/>
    <x v="30"/>
    <x v="2"/>
    <x v="1"/>
    <x v="1"/>
    <x v="1"/>
    <x v="54"/>
    <x v="0"/>
    <x v="6"/>
    <x v="8"/>
    <x v="0"/>
    <x v="6"/>
    <x v="3"/>
    <x v="5"/>
    <x v="3"/>
    <x v="5"/>
    <x v="20"/>
    <x v="8"/>
    <x v="7"/>
    <x v="1"/>
    <x v="4"/>
    <x v="92"/>
    <x v="3"/>
    <x v="49"/>
    <x v="1"/>
  </r>
  <r>
    <x v="15"/>
    <x v="11"/>
    <x v="88"/>
    <x v="26"/>
    <x v="52"/>
    <x v="0"/>
    <x v="3"/>
    <x v="5"/>
    <x v="4"/>
    <x v="8"/>
    <x v="17"/>
    <x v="17"/>
    <x v="3"/>
    <x v="9"/>
    <x v="8"/>
    <x v="0"/>
    <x v="0"/>
    <x v="0"/>
    <x v="0"/>
    <x v="0"/>
    <x v="0"/>
    <x v="0"/>
    <x v="29"/>
    <x v="0"/>
    <x v="2"/>
    <x v="10"/>
    <x v="60"/>
    <x v="8"/>
    <x v="8"/>
    <x v="0"/>
    <x v="0"/>
    <x v="28"/>
    <x v="19"/>
    <x v="5"/>
    <x v="5"/>
    <x v="30"/>
    <x v="23"/>
    <x v="8"/>
    <x v="0"/>
    <x v="8"/>
    <x v="17"/>
    <x v="6"/>
    <x v="6"/>
    <x v="7"/>
    <x v="9"/>
    <x v="33"/>
    <x v="4"/>
    <x v="0"/>
    <x v="8"/>
    <x v="13"/>
    <x v="20"/>
    <x v="6"/>
    <x v="22"/>
    <x v="8"/>
    <x v="10"/>
    <x v="11"/>
    <x v="35"/>
    <x v="44"/>
    <x v="0"/>
    <x v="5"/>
    <x v="43"/>
    <x v="26"/>
    <x v="57"/>
    <x v="43"/>
    <x v="2"/>
    <x v="1"/>
    <x v="1"/>
    <x v="1"/>
    <x v="11"/>
    <x v="0"/>
    <x v="6"/>
    <x v="1"/>
    <x v="6"/>
    <x v="9"/>
    <x v="3"/>
    <x v="5"/>
    <x v="1"/>
    <x v="5"/>
    <x v="8"/>
    <x v="9"/>
    <x v="21"/>
    <x v="4"/>
    <x v="7"/>
    <x v="39"/>
    <x v="0"/>
    <x v="77"/>
    <x v="1"/>
  </r>
  <r>
    <x v="16"/>
    <x v="12"/>
    <x v="89"/>
    <x v="26"/>
    <x v="54"/>
    <x v="0"/>
    <x v="1"/>
    <x v="4"/>
    <x v="0"/>
    <x v="11"/>
    <x v="17"/>
    <x v="17"/>
    <x v="0"/>
    <x v="9"/>
    <x v="8"/>
    <x v="0"/>
    <x v="0"/>
    <x v="0"/>
    <x v="0"/>
    <x v="0"/>
    <x v="0"/>
    <x v="0"/>
    <x v="29"/>
    <x v="0"/>
    <x v="2"/>
    <x v="10"/>
    <x v="60"/>
    <x v="8"/>
    <x v="8"/>
    <x v="0"/>
    <x v="0"/>
    <x v="28"/>
    <x v="19"/>
    <x v="5"/>
    <x v="5"/>
    <x v="15"/>
    <x v="23"/>
    <x v="8"/>
    <x v="0"/>
    <x v="8"/>
    <x v="17"/>
    <x v="6"/>
    <x v="6"/>
    <x v="17"/>
    <x v="9"/>
    <x v="0"/>
    <x v="36"/>
    <x v="0"/>
    <x v="8"/>
    <x v="13"/>
    <x v="17"/>
    <x v="20"/>
    <x v="5"/>
    <x v="8"/>
    <x v="10"/>
    <x v="11"/>
    <x v="32"/>
    <x v="2"/>
    <x v="1"/>
    <x v="10"/>
    <x v="24"/>
    <x v="28"/>
    <x v="39"/>
    <x v="45"/>
    <x v="2"/>
    <x v="1"/>
    <x v="1"/>
    <x v="1"/>
    <x v="10"/>
    <x v="0"/>
    <x v="6"/>
    <x v="1"/>
    <x v="6"/>
    <x v="9"/>
    <x v="3"/>
    <x v="4"/>
    <x v="1"/>
    <x v="5"/>
    <x v="8"/>
    <x v="5"/>
    <x v="5"/>
    <x v="5"/>
    <x v="0"/>
    <x v="53"/>
    <x v="0"/>
    <x v="81"/>
    <x v="1"/>
  </r>
  <r>
    <x v="17"/>
    <x v="15"/>
    <x v="104"/>
    <x v="26"/>
    <x v="66"/>
    <x v="0"/>
    <x v="1"/>
    <x v="5"/>
    <x v="4"/>
    <x v="11"/>
    <x v="17"/>
    <x v="18"/>
    <x v="0"/>
    <x v="9"/>
    <x v="8"/>
    <x v="0"/>
    <x v="0"/>
    <x v="0"/>
    <x v="0"/>
    <x v="0"/>
    <x v="0"/>
    <x v="0"/>
    <x v="25"/>
    <x v="0"/>
    <x v="2"/>
    <x v="10"/>
    <x v="63"/>
    <x v="8"/>
    <x v="8"/>
    <x v="0"/>
    <x v="0"/>
    <x v="28"/>
    <x v="19"/>
    <x v="5"/>
    <x v="5"/>
    <x v="15"/>
    <x v="23"/>
    <x v="8"/>
    <x v="0"/>
    <x v="8"/>
    <x v="17"/>
    <x v="6"/>
    <x v="6"/>
    <x v="18"/>
    <x v="9"/>
    <x v="0"/>
    <x v="36"/>
    <x v="0"/>
    <x v="8"/>
    <x v="13"/>
    <x v="18"/>
    <x v="20"/>
    <x v="5"/>
    <x v="8"/>
    <x v="10"/>
    <x v="11"/>
    <x v="32"/>
    <x v="2"/>
    <x v="0"/>
    <x v="8"/>
    <x v="19"/>
    <x v="24"/>
    <x v="34"/>
    <x v="41"/>
    <x v="0"/>
    <x v="0"/>
    <x v="1"/>
    <x v="1"/>
    <x v="9"/>
    <x v="0"/>
    <x v="6"/>
    <x v="1"/>
    <x v="6"/>
    <x v="9"/>
    <x v="3"/>
    <x v="4"/>
    <x v="1"/>
    <x v="5"/>
    <x v="8"/>
    <x v="9"/>
    <x v="5"/>
    <x v="4"/>
    <x v="0"/>
    <x v="7"/>
    <x v="0"/>
    <x v="75"/>
    <x v="1"/>
  </r>
  <r>
    <x v="85"/>
    <x v="80"/>
    <x v="43"/>
    <x v="26"/>
    <x v="20"/>
    <x v="0"/>
    <x v="3"/>
    <x v="2"/>
    <x v="3"/>
    <x v="20"/>
    <x v="12"/>
    <x v="8"/>
    <x v="0"/>
    <x v="4"/>
    <x v="8"/>
    <x v="0"/>
    <x v="0"/>
    <x v="0"/>
    <x v="0"/>
    <x v="0"/>
    <x v="0"/>
    <x v="0"/>
    <x v="13"/>
    <x v="0"/>
    <x v="2"/>
    <x v="6"/>
    <x v="70"/>
    <x v="5"/>
    <x v="5"/>
    <x v="0"/>
    <x v="0"/>
    <x v="15"/>
    <x v="10"/>
    <x v="1"/>
    <x v="11"/>
    <x v="19"/>
    <x v="9"/>
    <x v="5"/>
    <x v="0"/>
    <x v="5"/>
    <x v="17"/>
    <x v="6"/>
    <x v="6"/>
    <x v="49"/>
    <x v="9"/>
    <x v="14"/>
    <x v="36"/>
    <x v="0"/>
    <x v="8"/>
    <x v="1"/>
    <x v="0"/>
    <x v="2"/>
    <x v="8"/>
    <x v="5"/>
    <x v="5"/>
    <x v="7"/>
    <x v="23"/>
    <x v="4"/>
    <x v="2"/>
    <x v="4"/>
    <x v="7"/>
    <x v="3"/>
    <x v="21"/>
    <x v="15"/>
    <x v="2"/>
    <x v="1"/>
    <x v="1"/>
    <x v="1"/>
    <x v="54"/>
    <x v="0"/>
    <x v="6"/>
    <x v="1"/>
    <x v="0"/>
    <x v="9"/>
    <x v="3"/>
    <x v="5"/>
    <x v="3"/>
    <x v="3"/>
    <x v="18"/>
    <x v="2"/>
    <x v="3"/>
    <x v="7"/>
    <x v="0"/>
    <x v="30"/>
    <x v="3"/>
    <x v="85"/>
    <x v="1"/>
  </r>
  <r>
    <x v="84"/>
    <x v="31"/>
    <x v="44"/>
    <x v="26"/>
    <x v="21"/>
    <x v="0"/>
    <x v="3"/>
    <x v="2"/>
    <x v="3"/>
    <x v="22"/>
    <x v="16"/>
    <x v="18"/>
    <x v="1"/>
    <x v="5"/>
    <x v="8"/>
    <x v="0"/>
    <x v="0"/>
    <x v="0"/>
    <x v="0"/>
    <x v="0"/>
    <x v="0"/>
    <x v="0"/>
    <x v="30"/>
    <x v="0"/>
    <x v="2"/>
    <x v="6"/>
    <x v="49"/>
    <x v="5"/>
    <x v="5"/>
    <x v="0"/>
    <x v="0"/>
    <x v="15"/>
    <x v="10"/>
    <x v="1"/>
    <x v="11"/>
    <x v="22"/>
    <x v="9"/>
    <x v="5"/>
    <x v="0"/>
    <x v="5"/>
    <x v="17"/>
    <x v="6"/>
    <x v="6"/>
    <x v="58"/>
    <x v="9"/>
    <x v="22"/>
    <x v="28"/>
    <x v="0"/>
    <x v="8"/>
    <x v="1"/>
    <x v="3"/>
    <x v="2"/>
    <x v="9"/>
    <x v="5"/>
    <x v="6"/>
    <x v="7"/>
    <x v="20"/>
    <x v="14"/>
    <x v="2"/>
    <x v="4"/>
    <x v="10"/>
    <x v="7"/>
    <x v="25"/>
    <x v="17"/>
    <x v="2"/>
    <x v="1"/>
    <x v="1"/>
    <x v="1"/>
    <x v="22"/>
    <x v="0"/>
    <x v="6"/>
    <x v="1"/>
    <x v="0"/>
    <x v="9"/>
    <x v="3"/>
    <x v="5"/>
    <x v="3"/>
    <x v="3"/>
    <x v="18"/>
    <x v="2"/>
    <x v="8"/>
    <x v="7"/>
    <x v="4"/>
    <x v="45"/>
    <x v="3"/>
    <x v="93"/>
    <x v="1"/>
  </r>
  <r>
    <x v="33"/>
    <x v="32"/>
    <x v="46"/>
    <x v="26"/>
    <x v="22"/>
    <x v="0"/>
    <x v="3"/>
    <x v="2"/>
    <x v="3"/>
    <x v="22"/>
    <x v="15"/>
    <x v="25"/>
    <x v="1"/>
    <x v="11"/>
    <x v="8"/>
    <x v="0"/>
    <x v="0"/>
    <x v="0"/>
    <x v="0"/>
    <x v="0"/>
    <x v="0"/>
    <x v="0"/>
    <x v="38"/>
    <x v="0"/>
    <x v="2"/>
    <x v="12"/>
    <x v="52"/>
    <x v="5"/>
    <x v="5"/>
    <x v="0"/>
    <x v="0"/>
    <x v="32"/>
    <x v="19"/>
    <x v="11"/>
    <x v="4"/>
    <x v="34"/>
    <x v="24"/>
    <x v="8"/>
    <x v="0"/>
    <x v="8"/>
    <x v="17"/>
    <x v="6"/>
    <x v="6"/>
    <x v="61"/>
    <x v="9"/>
    <x v="22"/>
    <x v="30"/>
    <x v="0"/>
    <x v="8"/>
    <x v="6"/>
    <x v="28"/>
    <x v="6"/>
    <x v="10"/>
    <x v="5"/>
    <x v="12"/>
    <x v="13"/>
    <x v="20"/>
    <x v="22"/>
    <x v="2"/>
    <x v="4"/>
    <x v="19"/>
    <x v="27"/>
    <x v="34"/>
    <x v="44"/>
    <x v="2"/>
    <x v="1"/>
    <x v="1"/>
    <x v="1"/>
    <x v="21"/>
    <x v="0"/>
    <x v="6"/>
    <x v="0"/>
    <x v="1"/>
    <x v="9"/>
    <x v="3"/>
    <x v="5"/>
    <x v="3"/>
    <x v="2"/>
    <x v="17"/>
    <x v="2"/>
    <x v="10"/>
    <x v="7"/>
    <x v="4"/>
    <x v="81"/>
    <x v="9"/>
    <x v="100"/>
    <x v="1"/>
  </r>
  <r>
    <x v="92"/>
    <x v="33"/>
    <x v="45"/>
    <x v="26"/>
    <x v="23"/>
    <x v="0"/>
    <x v="3"/>
    <x v="2"/>
    <x v="3"/>
    <x v="23"/>
    <x v="29"/>
    <x v="22"/>
    <x v="2"/>
    <x v="17"/>
    <x v="8"/>
    <x v="0"/>
    <x v="0"/>
    <x v="0"/>
    <x v="0"/>
    <x v="0"/>
    <x v="0"/>
    <x v="0"/>
    <x v="47"/>
    <x v="0"/>
    <x v="2"/>
    <x v="15"/>
    <x v="51"/>
    <x v="5"/>
    <x v="5"/>
    <x v="0"/>
    <x v="0"/>
    <x v="31"/>
    <x v="19"/>
    <x v="10"/>
    <x v="9"/>
    <x v="41"/>
    <x v="26"/>
    <x v="8"/>
    <x v="0"/>
    <x v="8"/>
    <x v="4"/>
    <x v="6"/>
    <x v="6"/>
    <x v="25"/>
    <x v="9"/>
    <x v="29"/>
    <x v="16"/>
    <x v="0"/>
    <x v="8"/>
    <x v="5"/>
    <x v="15"/>
    <x v="4"/>
    <x v="8"/>
    <x v="5"/>
    <x v="18"/>
    <x v="16"/>
    <x v="19"/>
    <x v="46"/>
    <x v="2"/>
    <x v="4"/>
    <x v="20"/>
    <x v="35"/>
    <x v="35"/>
    <x v="52"/>
    <x v="2"/>
    <x v="1"/>
    <x v="1"/>
    <x v="1"/>
    <x v="20"/>
    <x v="0"/>
    <x v="6"/>
    <x v="3"/>
    <x v="1"/>
    <x v="9"/>
    <x v="3"/>
    <x v="5"/>
    <x v="3"/>
    <x v="2"/>
    <x v="17"/>
    <x v="2"/>
    <x v="17"/>
    <x v="7"/>
    <x v="6"/>
    <x v="3"/>
    <x v="0"/>
    <x v="101"/>
    <x v="1"/>
  </r>
  <r>
    <x v="87"/>
    <x v="34"/>
    <x v="47"/>
    <x v="26"/>
    <x v="24"/>
    <x v="0"/>
    <x v="3"/>
    <x v="2"/>
    <x v="3"/>
    <x v="28"/>
    <x v="32"/>
    <x v="25"/>
    <x v="0"/>
    <x v="7"/>
    <x v="8"/>
    <x v="0"/>
    <x v="0"/>
    <x v="0"/>
    <x v="0"/>
    <x v="0"/>
    <x v="0"/>
    <x v="0"/>
    <x v="26"/>
    <x v="0"/>
    <x v="2"/>
    <x v="4"/>
    <x v="52"/>
    <x v="5"/>
    <x v="5"/>
    <x v="0"/>
    <x v="0"/>
    <x v="43"/>
    <x v="28"/>
    <x v="5"/>
    <x v="4"/>
    <x v="40"/>
    <x v="40"/>
    <x v="10"/>
    <x v="0"/>
    <x v="10"/>
    <x v="17"/>
    <x v="6"/>
    <x v="6"/>
    <x v="26"/>
    <x v="9"/>
    <x v="0"/>
    <x v="36"/>
    <x v="0"/>
    <x v="8"/>
    <x v="10"/>
    <x v="29"/>
    <x v="6"/>
    <x v="10"/>
    <x v="5"/>
    <x v="8"/>
    <x v="5"/>
    <x v="14"/>
    <x v="10"/>
    <x v="2"/>
    <x v="4"/>
    <x v="12"/>
    <x v="19"/>
    <x v="27"/>
    <x v="36"/>
    <x v="2"/>
    <x v="1"/>
    <x v="1"/>
    <x v="1"/>
    <x v="12"/>
    <x v="0"/>
    <x v="6"/>
    <x v="3"/>
    <x v="1"/>
    <x v="9"/>
    <x v="3"/>
    <x v="5"/>
    <x v="3"/>
    <x v="2"/>
    <x v="17"/>
    <x v="2"/>
    <x v="6"/>
    <x v="7"/>
    <x v="0"/>
    <x v="46"/>
    <x v="0"/>
    <x v="90"/>
    <x v="1"/>
  </r>
  <r>
    <x v="86"/>
    <x v="35"/>
    <x v="48"/>
    <x v="6"/>
    <x v="25"/>
    <x v="0"/>
    <x v="3"/>
    <x v="2"/>
    <x v="3"/>
    <x v="28"/>
    <x v="32"/>
    <x v="25"/>
    <x v="0"/>
    <x v="7"/>
    <x v="8"/>
    <x v="0"/>
    <x v="0"/>
    <x v="0"/>
    <x v="0"/>
    <x v="0"/>
    <x v="0"/>
    <x v="0"/>
    <x v="26"/>
    <x v="0"/>
    <x v="2"/>
    <x v="4"/>
    <x v="52"/>
    <x v="5"/>
    <x v="5"/>
    <x v="0"/>
    <x v="0"/>
    <x v="43"/>
    <x v="28"/>
    <x v="5"/>
    <x v="4"/>
    <x v="33"/>
    <x v="40"/>
    <x v="10"/>
    <x v="0"/>
    <x v="10"/>
    <x v="17"/>
    <x v="6"/>
    <x v="6"/>
    <x v="27"/>
    <x v="9"/>
    <x v="0"/>
    <x v="36"/>
    <x v="0"/>
    <x v="8"/>
    <x v="10"/>
    <x v="29"/>
    <x v="6"/>
    <x v="10"/>
    <x v="5"/>
    <x v="8"/>
    <x v="5"/>
    <x v="14"/>
    <x v="7"/>
    <x v="2"/>
    <x v="4"/>
    <x v="12"/>
    <x v="18"/>
    <x v="27"/>
    <x v="35"/>
    <x v="2"/>
    <x v="1"/>
    <x v="1"/>
    <x v="1"/>
    <x v="19"/>
    <x v="0"/>
    <x v="0"/>
    <x v="3"/>
    <x v="1"/>
    <x v="9"/>
    <x v="3"/>
    <x v="4"/>
    <x v="3"/>
    <x v="2"/>
    <x v="17"/>
    <x v="2"/>
    <x v="6"/>
    <x v="7"/>
    <x v="0"/>
    <x v="94"/>
    <x v="0"/>
    <x v="92"/>
    <x v="1"/>
  </r>
  <r>
    <x v="93"/>
    <x v="117"/>
    <x v="49"/>
    <x v="26"/>
    <x v="26"/>
    <x v="0"/>
    <x v="3"/>
    <x v="2"/>
    <x v="3"/>
    <x v="26"/>
    <x v="32"/>
    <x v="25"/>
    <x v="1"/>
    <x v="10"/>
    <x v="8"/>
    <x v="0"/>
    <x v="0"/>
    <x v="0"/>
    <x v="0"/>
    <x v="0"/>
    <x v="0"/>
    <x v="0"/>
    <x v="38"/>
    <x v="0"/>
    <x v="2"/>
    <x v="12"/>
    <x v="52"/>
    <x v="5"/>
    <x v="5"/>
    <x v="0"/>
    <x v="0"/>
    <x v="42"/>
    <x v="27"/>
    <x v="10"/>
    <x v="4"/>
    <x v="39"/>
    <x v="36"/>
    <x v="9"/>
    <x v="0"/>
    <x v="9"/>
    <x v="17"/>
    <x v="6"/>
    <x v="6"/>
    <x v="63"/>
    <x v="9"/>
    <x v="22"/>
    <x v="36"/>
    <x v="0"/>
    <x v="8"/>
    <x v="10"/>
    <x v="28"/>
    <x v="6"/>
    <x v="10"/>
    <x v="5"/>
    <x v="11"/>
    <x v="13"/>
    <x v="16"/>
    <x v="23"/>
    <x v="2"/>
    <x v="4"/>
    <x v="19"/>
    <x v="27"/>
    <x v="34"/>
    <x v="44"/>
    <x v="2"/>
    <x v="1"/>
    <x v="1"/>
    <x v="1"/>
    <x v="13"/>
    <x v="0"/>
    <x v="6"/>
    <x v="3"/>
    <x v="1"/>
    <x v="9"/>
    <x v="3"/>
    <x v="5"/>
    <x v="3"/>
    <x v="2"/>
    <x v="17"/>
    <x v="2"/>
    <x v="11"/>
    <x v="7"/>
    <x v="4"/>
    <x v="47"/>
    <x v="0"/>
    <x v="97"/>
    <x v="1"/>
  </r>
  <r>
    <x v="34"/>
    <x v="69"/>
    <x v="50"/>
    <x v="26"/>
    <x v="27"/>
    <x v="0"/>
    <x v="3"/>
    <x v="2"/>
    <x v="3"/>
    <x v="27"/>
    <x v="20"/>
    <x v="25"/>
    <x v="1"/>
    <x v="14"/>
    <x v="8"/>
    <x v="0"/>
    <x v="0"/>
    <x v="0"/>
    <x v="0"/>
    <x v="0"/>
    <x v="0"/>
    <x v="0"/>
    <x v="43"/>
    <x v="0"/>
    <x v="2"/>
    <x v="13"/>
    <x v="53"/>
    <x v="8"/>
    <x v="8"/>
    <x v="0"/>
    <x v="0"/>
    <x v="43"/>
    <x v="27"/>
    <x v="5"/>
    <x v="15"/>
    <x v="39"/>
    <x v="31"/>
    <x v="9"/>
    <x v="0"/>
    <x v="9"/>
    <x v="17"/>
    <x v="6"/>
    <x v="6"/>
    <x v="41"/>
    <x v="9"/>
    <x v="22"/>
    <x v="21"/>
    <x v="0"/>
    <x v="8"/>
    <x v="10"/>
    <x v="28"/>
    <x v="6"/>
    <x v="10"/>
    <x v="8"/>
    <x v="15"/>
    <x v="14"/>
    <x v="15"/>
    <x v="23"/>
    <x v="2"/>
    <x v="4"/>
    <x v="24"/>
    <x v="35"/>
    <x v="39"/>
    <x v="52"/>
    <x v="2"/>
    <x v="1"/>
    <x v="1"/>
    <x v="1"/>
    <x v="18"/>
    <x v="0"/>
    <x v="6"/>
    <x v="6"/>
    <x v="2"/>
    <x v="9"/>
    <x v="3"/>
    <x v="5"/>
    <x v="3"/>
    <x v="4"/>
    <x v="19"/>
    <x v="2"/>
    <x v="11"/>
    <x v="7"/>
    <x v="4"/>
    <x v="48"/>
    <x v="1"/>
    <x v="99"/>
    <x v="1"/>
  </r>
  <r>
    <x v="34"/>
    <x v="70"/>
    <x v="51"/>
    <x v="7"/>
    <x v="28"/>
    <x v="0"/>
    <x v="3"/>
    <x v="2"/>
    <x v="3"/>
    <x v="27"/>
    <x v="20"/>
    <x v="25"/>
    <x v="2"/>
    <x v="19"/>
    <x v="8"/>
    <x v="0"/>
    <x v="0"/>
    <x v="0"/>
    <x v="0"/>
    <x v="0"/>
    <x v="0"/>
    <x v="0"/>
    <x v="54"/>
    <x v="0"/>
    <x v="2"/>
    <x v="13"/>
    <x v="34"/>
    <x v="8"/>
    <x v="8"/>
    <x v="0"/>
    <x v="0"/>
    <x v="43"/>
    <x v="27"/>
    <x v="5"/>
    <x v="15"/>
    <x v="39"/>
    <x v="31"/>
    <x v="9"/>
    <x v="0"/>
    <x v="9"/>
    <x v="17"/>
    <x v="6"/>
    <x v="6"/>
    <x v="40"/>
    <x v="9"/>
    <x v="12"/>
    <x v="21"/>
    <x v="0"/>
    <x v="8"/>
    <x v="10"/>
    <x v="28"/>
    <x v="6"/>
    <x v="10"/>
    <x v="8"/>
    <x v="20"/>
    <x v="14"/>
    <x v="15"/>
    <x v="41"/>
    <x v="2"/>
    <x v="4"/>
    <x v="30"/>
    <x v="40"/>
    <x v="45"/>
    <x v="57"/>
    <x v="2"/>
    <x v="1"/>
    <x v="1"/>
    <x v="1"/>
    <x v="17"/>
    <x v="0"/>
    <x v="6"/>
    <x v="6"/>
    <x v="2"/>
    <x v="9"/>
    <x v="3"/>
    <x v="5"/>
    <x v="3"/>
    <x v="4"/>
    <x v="19"/>
    <x v="2"/>
    <x v="19"/>
    <x v="7"/>
    <x v="6"/>
    <x v="48"/>
    <x v="1"/>
    <x v="106"/>
    <x v="1"/>
  </r>
  <r>
    <x v="35"/>
    <x v="116"/>
    <x v="52"/>
    <x v="7"/>
    <x v="29"/>
    <x v="0"/>
    <x v="3"/>
    <x v="2"/>
    <x v="3"/>
    <x v="27"/>
    <x v="20"/>
    <x v="25"/>
    <x v="1"/>
    <x v="13"/>
    <x v="8"/>
    <x v="0"/>
    <x v="0"/>
    <x v="0"/>
    <x v="0"/>
    <x v="0"/>
    <x v="0"/>
    <x v="0"/>
    <x v="41"/>
    <x v="0"/>
    <x v="2"/>
    <x v="13"/>
    <x v="55"/>
    <x v="5"/>
    <x v="5"/>
    <x v="0"/>
    <x v="0"/>
    <x v="43"/>
    <x v="27"/>
    <x v="5"/>
    <x v="15"/>
    <x v="39"/>
    <x v="31"/>
    <x v="9"/>
    <x v="0"/>
    <x v="9"/>
    <x v="17"/>
    <x v="6"/>
    <x v="6"/>
    <x v="42"/>
    <x v="9"/>
    <x v="1"/>
    <x v="21"/>
    <x v="0"/>
    <x v="8"/>
    <x v="10"/>
    <x v="28"/>
    <x v="6"/>
    <x v="10"/>
    <x v="5"/>
    <x v="14"/>
    <x v="14"/>
    <x v="15"/>
    <x v="23"/>
    <x v="2"/>
    <x v="4"/>
    <x v="20"/>
    <x v="29"/>
    <x v="35"/>
    <x v="46"/>
    <x v="2"/>
    <x v="1"/>
    <x v="1"/>
    <x v="1"/>
    <x v="14"/>
    <x v="0"/>
    <x v="6"/>
    <x v="8"/>
    <x v="1"/>
    <x v="9"/>
    <x v="3"/>
    <x v="5"/>
    <x v="3"/>
    <x v="2"/>
    <x v="17"/>
    <x v="2"/>
    <x v="11"/>
    <x v="7"/>
    <x v="4"/>
    <x v="96"/>
    <x v="0"/>
    <x v="98"/>
    <x v="1"/>
  </r>
  <r>
    <x v="4"/>
    <x v="36"/>
    <x v="53"/>
    <x v="26"/>
    <x v="30"/>
    <x v="0"/>
    <x v="3"/>
    <x v="2"/>
    <x v="3"/>
    <x v="33"/>
    <x v="26"/>
    <x v="25"/>
    <x v="1"/>
    <x v="21"/>
    <x v="8"/>
    <x v="0"/>
    <x v="0"/>
    <x v="0"/>
    <x v="0"/>
    <x v="0"/>
    <x v="0"/>
    <x v="0"/>
    <x v="59"/>
    <x v="0"/>
    <x v="2"/>
    <x v="18"/>
    <x v="49"/>
    <x v="9"/>
    <x v="9"/>
    <x v="0"/>
    <x v="0"/>
    <x v="44"/>
    <x v="23"/>
    <x v="4"/>
    <x v="5"/>
    <x v="34"/>
    <x v="23"/>
    <x v="8"/>
    <x v="0"/>
    <x v="8"/>
    <x v="17"/>
    <x v="6"/>
    <x v="6"/>
    <x v="65"/>
    <x v="9"/>
    <x v="22"/>
    <x v="32"/>
    <x v="0"/>
    <x v="8"/>
    <x v="7"/>
    <x v="28"/>
    <x v="4"/>
    <x v="8"/>
    <x v="9"/>
    <x v="22"/>
    <x v="19"/>
    <x v="9"/>
    <x v="22"/>
    <x v="2"/>
    <x v="4"/>
    <x v="26"/>
    <x v="41"/>
    <x v="41"/>
    <x v="58"/>
    <x v="2"/>
    <x v="1"/>
    <x v="1"/>
    <x v="1"/>
    <x v="16"/>
    <x v="0"/>
    <x v="6"/>
    <x v="2"/>
    <x v="1"/>
    <x v="9"/>
    <x v="3"/>
    <x v="5"/>
    <x v="5"/>
    <x v="2"/>
    <x v="35"/>
    <x v="2"/>
    <x v="10"/>
    <x v="7"/>
    <x v="4"/>
    <x v="85"/>
    <x v="0"/>
    <x v="95"/>
    <x v="1"/>
  </r>
  <r>
    <x v="4"/>
    <x v="37"/>
    <x v="54"/>
    <x v="8"/>
    <x v="31"/>
    <x v="0"/>
    <x v="3"/>
    <x v="2"/>
    <x v="3"/>
    <x v="33"/>
    <x v="26"/>
    <x v="25"/>
    <x v="2"/>
    <x v="21"/>
    <x v="8"/>
    <x v="0"/>
    <x v="0"/>
    <x v="0"/>
    <x v="0"/>
    <x v="0"/>
    <x v="0"/>
    <x v="0"/>
    <x v="59"/>
    <x v="0"/>
    <x v="2"/>
    <x v="18"/>
    <x v="49"/>
    <x v="9"/>
    <x v="9"/>
    <x v="0"/>
    <x v="0"/>
    <x v="44"/>
    <x v="23"/>
    <x v="4"/>
    <x v="5"/>
    <x v="34"/>
    <x v="23"/>
    <x v="8"/>
    <x v="0"/>
    <x v="8"/>
    <x v="17"/>
    <x v="6"/>
    <x v="6"/>
    <x v="64"/>
    <x v="9"/>
    <x v="12"/>
    <x v="32"/>
    <x v="0"/>
    <x v="8"/>
    <x v="7"/>
    <x v="28"/>
    <x v="4"/>
    <x v="8"/>
    <x v="9"/>
    <x v="22"/>
    <x v="19"/>
    <x v="9"/>
    <x v="36"/>
    <x v="2"/>
    <x v="4"/>
    <x v="28"/>
    <x v="43"/>
    <x v="43"/>
    <x v="60"/>
    <x v="2"/>
    <x v="1"/>
    <x v="1"/>
    <x v="1"/>
    <x v="15"/>
    <x v="0"/>
    <x v="6"/>
    <x v="2"/>
    <x v="1"/>
    <x v="9"/>
    <x v="3"/>
    <x v="5"/>
    <x v="5"/>
    <x v="2"/>
    <x v="35"/>
    <x v="2"/>
    <x v="17"/>
    <x v="7"/>
    <x v="6"/>
    <x v="85"/>
    <x v="0"/>
    <x v="104"/>
    <x v="1"/>
  </r>
  <r>
    <x v="41"/>
    <x v="2"/>
    <x v="69"/>
    <x v="15"/>
    <x v="32"/>
    <x v="0"/>
    <x v="3"/>
    <x v="8"/>
    <x v="3"/>
    <x v="20"/>
    <x v="14"/>
    <x v="9"/>
    <x v="5"/>
    <x v="0"/>
    <x v="8"/>
    <x v="0"/>
    <x v="0"/>
    <x v="0"/>
    <x v="0"/>
    <x v="0"/>
    <x v="0"/>
    <x v="0"/>
    <x v="65"/>
    <x v="0"/>
    <x v="1"/>
    <x v="0"/>
    <x v="2"/>
    <x v="14"/>
    <x v="14"/>
    <x v="0"/>
    <x v="0"/>
    <x v="37"/>
    <x v="22"/>
    <x v="5"/>
    <x v="3"/>
    <x v="20"/>
    <x v="22"/>
    <x v="8"/>
    <x v="0"/>
    <x v="8"/>
    <x v="17"/>
    <x v="6"/>
    <x v="6"/>
    <x v="4"/>
    <x v="9"/>
    <x v="24"/>
    <x v="0"/>
    <x v="0"/>
    <x v="8"/>
    <x v="0"/>
    <x v="1"/>
    <x v="20"/>
    <x v="9"/>
    <x v="14"/>
    <x v="1"/>
    <x v="1"/>
    <x v="23"/>
    <x v="51"/>
    <x v="0"/>
    <x v="8"/>
    <x v="51"/>
    <x v="40"/>
    <x v="65"/>
    <x v="57"/>
    <x v="2"/>
    <x v="1"/>
    <x v="1"/>
    <x v="0"/>
    <x v="0"/>
    <x v="0"/>
    <x v="4"/>
    <x v="7"/>
    <x v="3"/>
    <x v="9"/>
    <x v="3"/>
    <x v="5"/>
    <x v="3"/>
    <x v="6"/>
    <x v="21"/>
    <x v="12"/>
    <x v="6"/>
    <x v="0"/>
    <x v="9"/>
    <x v="2"/>
    <x v="2"/>
    <x v="7"/>
    <x v="1"/>
  </r>
  <r>
    <x v="42"/>
    <x v="3"/>
    <x v="70"/>
    <x v="15"/>
    <x v="33"/>
    <x v="0"/>
    <x v="0"/>
    <x v="8"/>
    <x v="3"/>
    <x v="20"/>
    <x v="14"/>
    <x v="9"/>
    <x v="5"/>
    <x v="0"/>
    <x v="8"/>
    <x v="0"/>
    <x v="0"/>
    <x v="0"/>
    <x v="0"/>
    <x v="0"/>
    <x v="0"/>
    <x v="0"/>
    <x v="65"/>
    <x v="0"/>
    <x v="1"/>
    <x v="0"/>
    <x v="2"/>
    <x v="14"/>
    <x v="14"/>
    <x v="0"/>
    <x v="0"/>
    <x v="37"/>
    <x v="22"/>
    <x v="5"/>
    <x v="3"/>
    <x v="20"/>
    <x v="22"/>
    <x v="8"/>
    <x v="0"/>
    <x v="8"/>
    <x v="17"/>
    <x v="6"/>
    <x v="6"/>
    <x v="2"/>
    <x v="9"/>
    <x v="20"/>
    <x v="2"/>
    <x v="0"/>
    <x v="8"/>
    <x v="0"/>
    <x v="1"/>
    <x v="3"/>
    <x v="9"/>
    <x v="14"/>
    <x v="1"/>
    <x v="1"/>
    <x v="23"/>
    <x v="51"/>
    <x v="0"/>
    <x v="8"/>
    <x v="51"/>
    <x v="25"/>
    <x v="65"/>
    <x v="42"/>
    <x v="2"/>
    <x v="1"/>
    <x v="0"/>
    <x v="0"/>
    <x v="8"/>
    <x v="0"/>
    <x v="4"/>
    <x v="7"/>
    <x v="3"/>
    <x v="9"/>
    <x v="3"/>
    <x v="5"/>
    <x v="3"/>
    <x v="6"/>
    <x v="21"/>
    <x v="12"/>
    <x v="6"/>
    <x v="0"/>
    <x v="9"/>
    <x v="1"/>
    <x v="2"/>
    <x v="6"/>
    <x v="1"/>
  </r>
  <r>
    <x v="39"/>
    <x v="0"/>
    <x v="71"/>
    <x v="26"/>
    <x v="34"/>
    <x v="0"/>
    <x v="3"/>
    <x v="8"/>
    <x v="3"/>
    <x v="20"/>
    <x v="14"/>
    <x v="9"/>
    <x v="1"/>
    <x v="0"/>
    <x v="8"/>
    <x v="0"/>
    <x v="0"/>
    <x v="0"/>
    <x v="0"/>
    <x v="0"/>
    <x v="0"/>
    <x v="0"/>
    <x v="34"/>
    <x v="0"/>
    <x v="1"/>
    <x v="0"/>
    <x v="3"/>
    <x v="14"/>
    <x v="14"/>
    <x v="0"/>
    <x v="0"/>
    <x v="37"/>
    <x v="22"/>
    <x v="5"/>
    <x v="3"/>
    <x v="16"/>
    <x v="22"/>
    <x v="8"/>
    <x v="0"/>
    <x v="8"/>
    <x v="17"/>
    <x v="6"/>
    <x v="6"/>
    <x v="5"/>
    <x v="9"/>
    <x v="1"/>
    <x v="0"/>
    <x v="0"/>
    <x v="8"/>
    <x v="0"/>
    <x v="1"/>
    <x v="1"/>
    <x v="1"/>
    <x v="14"/>
    <x v="1"/>
    <x v="1"/>
    <x v="23"/>
    <x v="11"/>
    <x v="0"/>
    <x v="8"/>
    <x v="16"/>
    <x v="4"/>
    <x v="31"/>
    <x v="16"/>
    <x v="2"/>
    <x v="1"/>
    <x v="1"/>
    <x v="0"/>
    <x v="2"/>
    <x v="0"/>
    <x v="6"/>
    <x v="7"/>
    <x v="1"/>
    <x v="9"/>
    <x v="3"/>
    <x v="5"/>
    <x v="3"/>
    <x v="6"/>
    <x v="21"/>
    <x v="12"/>
    <x v="10"/>
    <x v="0"/>
    <x v="4"/>
    <x v="10"/>
    <x v="0"/>
    <x v="2"/>
    <x v="1"/>
  </r>
  <r>
    <x v="40"/>
    <x v="1"/>
    <x v="72"/>
    <x v="15"/>
    <x v="35"/>
    <x v="0"/>
    <x v="0"/>
    <x v="8"/>
    <x v="3"/>
    <x v="20"/>
    <x v="14"/>
    <x v="9"/>
    <x v="1"/>
    <x v="0"/>
    <x v="8"/>
    <x v="0"/>
    <x v="0"/>
    <x v="0"/>
    <x v="0"/>
    <x v="0"/>
    <x v="0"/>
    <x v="0"/>
    <x v="34"/>
    <x v="0"/>
    <x v="1"/>
    <x v="0"/>
    <x v="3"/>
    <x v="14"/>
    <x v="14"/>
    <x v="0"/>
    <x v="0"/>
    <x v="37"/>
    <x v="22"/>
    <x v="5"/>
    <x v="3"/>
    <x v="16"/>
    <x v="22"/>
    <x v="8"/>
    <x v="0"/>
    <x v="8"/>
    <x v="17"/>
    <x v="6"/>
    <x v="6"/>
    <x v="3"/>
    <x v="9"/>
    <x v="1"/>
    <x v="2"/>
    <x v="0"/>
    <x v="8"/>
    <x v="0"/>
    <x v="1"/>
    <x v="0"/>
    <x v="1"/>
    <x v="14"/>
    <x v="1"/>
    <x v="1"/>
    <x v="23"/>
    <x v="11"/>
    <x v="0"/>
    <x v="8"/>
    <x v="16"/>
    <x v="0"/>
    <x v="31"/>
    <x v="12"/>
    <x v="2"/>
    <x v="1"/>
    <x v="0"/>
    <x v="0"/>
    <x v="7"/>
    <x v="0"/>
    <x v="6"/>
    <x v="7"/>
    <x v="1"/>
    <x v="9"/>
    <x v="3"/>
    <x v="5"/>
    <x v="3"/>
    <x v="6"/>
    <x v="21"/>
    <x v="12"/>
    <x v="10"/>
    <x v="0"/>
    <x v="4"/>
    <x v="11"/>
    <x v="0"/>
    <x v="3"/>
    <x v="1"/>
  </r>
  <r>
    <x v="43"/>
    <x v="4"/>
    <x v="73"/>
    <x v="15"/>
    <x v="36"/>
    <x v="0"/>
    <x v="1"/>
    <x v="5"/>
    <x v="2"/>
    <x v="20"/>
    <x v="14"/>
    <x v="9"/>
    <x v="13"/>
    <x v="35"/>
    <x v="8"/>
    <x v="0"/>
    <x v="0"/>
    <x v="0"/>
    <x v="0"/>
    <x v="0"/>
    <x v="0"/>
    <x v="0"/>
    <x v="35"/>
    <x v="0"/>
    <x v="1"/>
    <x v="24"/>
    <x v="71"/>
    <x v="14"/>
    <x v="14"/>
    <x v="0"/>
    <x v="0"/>
    <x v="37"/>
    <x v="22"/>
    <x v="5"/>
    <x v="3"/>
    <x v="0"/>
    <x v="22"/>
    <x v="8"/>
    <x v="0"/>
    <x v="8"/>
    <x v="17"/>
    <x v="6"/>
    <x v="6"/>
    <x v="73"/>
    <x v="9"/>
    <x v="36"/>
    <x v="36"/>
    <x v="0"/>
    <x v="8"/>
    <x v="0"/>
    <x v="1"/>
    <x v="11"/>
    <x v="0"/>
    <x v="14"/>
    <x v="37"/>
    <x v="25"/>
    <x v="23"/>
    <x v="0"/>
    <x v="0"/>
    <x v="8"/>
    <x v="48"/>
    <x v="63"/>
    <x v="62"/>
    <x v="77"/>
    <x v="1"/>
    <x v="1"/>
    <x v="0"/>
    <x v="0"/>
    <x v="1"/>
    <x v="0"/>
    <x v="6"/>
    <x v="7"/>
    <x v="6"/>
    <x v="9"/>
    <x v="3"/>
    <x v="8"/>
    <x v="3"/>
    <x v="6"/>
    <x v="21"/>
    <x v="8"/>
    <x v="5"/>
    <x v="1"/>
    <x v="0"/>
    <x v="16"/>
    <x v="0"/>
    <x v="43"/>
    <x v="1"/>
  </r>
  <r>
    <x v="31"/>
    <x v="8"/>
    <x v="74"/>
    <x v="16"/>
    <x v="37"/>
    <x v="0"/>
    <x v="1"/>
    <x v="5"/>
    <x v="2"/>
    <x v="24"/>
    <x v="19"/>
    <x v="13"/>
    <x v="13"/>
    <x v="35"/>
    <x v="8"/>
    <x v="0"/>
    <x v="0"/>
    <x v="0"/>
    <x v="0"/>
    <x v="0"/>
    <x v="0"/>
    <x v="0"/>
    <x v="42"/>
    <x v="0"/>
    <x v="1"/>
    <x v="24"/>
    <x v="68"/>
    <x v="13"/>
    <x v="13"/>
    <x v="0"/>
    <x v="0"/>
    <x v="39"/>
    <x v="25"/>
    <x v="5"/>
    <x v="3"/>
    <x v="0"/>
    <x v="32"/>
    <x v="9"/>
    <x v="0"/>
    <x v="9"/>
    <x v="17"/>
    <x v="6"/>
    <x v="6"/>
    <x v="73"/>
    <x v="9"/>
    <x v="36"/>
    <x v="36"/>
    <x v="0"/>
    <x v="8"/>
    <x v="2"/>
    <x v="0"/>
    <x v="2"/>
    <x v="2"/>
    <x v="13"/>
    <x v="37"/>
    <x v="25"/>
    <x v="18"/>
    <x v="0"/>
    <x v="0"/>
    <x v="8"/>
    <x v="55"/>
    <x v="42"/>
    <x v="69"/>
    <x v="59"/>
    <x v="0"/>
    <x v="0"/>
    <x v="1"/>
    <x v="0"/>
    <x v="3"/>
    <x v="0"/>
    <x v="0"/>
    <x v="6"/>
    <x v="6"/>
    <x v="9"/>
    <x v="3"/>
    <x v="8"/>
    <x v="3"/>
    <x v="8"/>
    <x v="23"/>
    <x v="8"/>
    <x v="5"/>
    <x v="1"/>
    <x v="0"/>
    <x v="38"/>
    <x v="0"/>
    <x v="44"/>
    <x v="1"/>
  </r>
  <r>
    <x v="32"/>
    <x v="5"/>
    <x v="75"/>
    <x v="26"/>
    <x v="38"/>
    <x v="0"/>
    <x v="1"/>
    <x v="8"/>
    <x v="3"/>
    <x v="24"/>
    <x v="19"/>
    <x v="13"/>
    <x v="13"/>
    <x v="3"/>
    <x v="8"/>
    <x v="0"/>
    <x v="0"/>
    <x v="0"/>
    <x v="0"/>
    <x v="0"/>
    <x v="0"/>
    <x v="0"/>
    <x v="22"/>
    <x v="0"/>
    <x v="1"/>
    <x v="0"/>
    <x v="5"/>
    <x v="13"/>
    <x v="13"/>
    <x v="0"/>
    <x v="0"/>
    <x v="39"/>
    <x v="25"/>
    <x v="5"/>
    <x v="3"/>
    <x v="13"/>
    <x v="32"/>
    <x v="9"/>
    <x v="0"/>
    <x v="9"/>
    <x v="17"/>
    <x v="6"/>
    <x v="6"/>
    <x v="73"/>
    <x v="9"/>
    <x v="36"/>
    <x v="36"/>
    <x v="0"/>
    <x v="8"/>
    <x v="2"/>
    <x v="0"/>
    <x v="2"/>
    <x v="2"/>
    <x v="13"/>
    <x v="4"/>
    <x v="1"/>
    <x v="18"/>
    <x v="1"/>
    <x v="0"/>
    <x v="8"/>
    <x v="14"/>
    <x v="8"/>
    <x v="29"/>
    <x v="18"/>
    <x v="0"/>
    <x v="0"/>
    <x v="1"/>
    <x v="0"/>
    <x v="6"/>
    <x v="0"/>
    <x v="0"/>
    <x v="6"/>
    <x v="1"/>
    <x v="9"/>
    <x v="3"/>
    <x v="4"/>
    <x v="3"/>
    <x v="8"/>
    <x v="23"/>
    <x v="12"/>
    <x v="5"/>
    <x v="0"/>
    <x v="0"/>
    <x v="37"/>
    <x v="0"/>
    <x v="29"/>
    <x v="1"/>
  </r>
  <r>
    <x v="29"/>
    <x v="6"/>
    <x v="76"/>
    <x v="17"/>
    <x v="39"/>
    <x v="0"/>
    <x v="0"/>
    <x v="8"/>
    <x v="3"/>
    <x v="24"/>
    <x v="19"/>
    <x v="13"/>
    <x v="9"/>
    <x v="0"/>
    <x v="8"/>
    <x v="0"/>
    <x v="0"/>
    <x v="0"/>
    <x v="0"/>
    <x v="0"/>
    <x v="0"/>
    <x v="0"/>
    <x v="81"/>
    <x v="0"/>
    <x v="1"/>
    <x v="0"/>
    <x v="0"/>
    <x v="13"/>
    <x v="13"/>
    <x v="0"/>
    <x v="0"/>
    <x v="37"/>
    <x v="22"/>
    <x v="5"/>
    <x v="3"/>
    <x v="25"/>
    <x v="22"/>
    <x v="8"/>
    <x v="0"/>
    <x v="8"/>
    <x v="17"/>
    <x v="6"/>
    <x v="6"/>
    <x v="0"/>
    <x v="9"/>
    <x v="19"/>
    <x v="1"/>
    <x v="0"/>
    <x v="8"/>
    <x v="2"/>
    <x v="0"/>
    <x v="1"/>
    <x v="1"/>
    <x v="13"/>
    <x v="1"/>
    <x v="1"/>
    <x v="18"/>
    <x v="65"/>
    <x v="0"/>
    <x v="8"/>
    <x v="34"/>
    <x v="17"/>
    <x v="48"/>
    <x v="34"/>
    <x v="2"/>
    <x v="1"/>
    <x v="0"/>
    <x v="0"/>
    <x v="5"/>
    <x v="0"/>
    <x v="5"/>
    <x v="6"/>
    <x v="3"/>
    <x v="9"/>
    <x v="3"/>
    <x v="5"/>
    <x v="3"/>
    <x v="6"/>
    <x v="21"/>
    <x v="12"/>
    <x v="5"/>
    <x v="0"/>
    <x v="1"/>
    <x v="17"/>
    <x v="2"/>
    <x v="0"/>
    <x v="1"/>
  </r>
  <r>
    <x v="30"/>
    <x v="7"/>
    <x v="77"/>
    <x v="26"/>
    <x v="40"/>
    <x v="0"/>
    <x v="0"/>
    <x v="8"/>
    <x v="3"/>
    <x v="24"/>
    <x v="19"/>
    <x v="13"/>
    <x v="5"/>
    <x v="0"/>
    <x v="8"/>
    <x v="0"/>
    <x v="0"/>
    <x v="0"/>
    <x v="0"/>
    <x v="0"/>
    <x v="0"/>
    <x v="0"/>
    <x v="75"/>
    <x v="0"/>
    <x v="1"/>
    <x v="0"/>
    <x v="1"/>
    <x v="13"/>
    <x v="13"/>
    <x v="0"/>
    <x v="0"/>
    <x v="37"/>
    <x v="22"/>
    <x v="5"/>
    <x v="3"/>
    <x v="26"/>
    <x v="22"/>
    <x v="8"/>
    <x v="0"/>
    <x v="8"/>
    <x v="17"/>
    <x v="6"/>
    <x v="6"/>
    <x v="1"/>
    <x v="9"/>
    <x v="4"/>
    <x v="1"/>
    <x v="0"/>
    <x v="8"/>
    <x v="2"/>
    <x v="0"/>
    <x v="1"/>
    <x v="1"/>
    <x v="13"/>
    <x v="1"/>
    <x v="1"/>
    <x v="18"/>
    <x v="56"/>
    <x v="0"/>
    <x v="8"/>
    <x v="25"/>
    <x v="11"/>
    <x v="40"/>
    <x v="23"/>
    <x v="2"/>
    <x v="1"/>
    <x v="0"/>
    <x v="0"/>
    <x v="4"/>
    <x v="0"/>
    <x v="3"/>
    <x v="6"/>
    <x v="3"/>
    <x v="9"/>
    <x v="3"/>
    <x v="5"/>
    <x v="3"/>
    <x v="6"/>
    <x v="21"/>
    <x v="12"/>
    <x v="5"/>
    <x v="0"/>
    <x v="9"/>
    <x v="17"/>
    <x v="2"/>
    <x v="5"/>
    <x v="1"/>
  </r>
  <r>
    <x v="45"/>
    <x v="13"/>
    <x v="90"/>
    <x v="26"/>
    <x v="42"/>
    <x v="0"/>
    <x v="1"/>
    <x v="2"/>
    <x v="3"/>
    <x v="24"/>
    <x v="31"/>
    <x v="24"/>
    <x v="13"/>
    <x v="29"/>
    <x v="8"/>
    <x v="0"/>
    <x v="0"/>
    <x v="0"/>
    <x v="0"/>
    <x v="0"/>
    <x v="0"/>
    <x v="0"/>
    <x v="37"/>
    <x v="0"/>
    <x v="4"/>
    <x v="18"/>
    <x v="67"/>
    <x v="12"/>
    <x v="12"/>
    <x v="0"/>
    <x v="0"/>
    <x v="20"/>
    <x v="14"/>
    <x v="15"/>
    <x v="15"/>
    <x v="0"/>
    <x v="11"/>
    <x v="6"/>
    <x v="0"/>
    <x v="6"/>
    <x v="17"/>
    <x v="6"/>
    <x v="6"/>
    <x v="73"/>
    <x v="9"/>
    <x v="36"/>
    <x v="36"/>
    <x v="0"/>
    <x v="8"/>
    <x v="11"/>
    <x v="17"/>
    <x v="20"/>
    <x v="22"/>
    <x v="12"/>
    <x v="30"/>
    <x v="19"/>
    <x v="18"/>
    <x v="0"/>
    <x v="2"/>
    <x v="7"/>
    <x v="57"/>
    <x v="54"/>
    <x v="71"/>
    <x v="69"/>
    <x v="0"/>
    <x v="0"/>
    <x v="1"/>
    <x v="1"/>
    <x v="54"/>
    <x v="0"/>
    <x v="6"/>
    <x v="1"/>
    <x v="6"/>
    <x v="9"/>
    <x v="3"/>
    <x v="8"/>
    <x v="3"/>
    <x v="7"/>
    <x v="22"/>
    <x v="2"/>
    <x v="5"/>
    <x v="7"/>
    <x v="0"/>
    <x v="91"/>
    <x v="0"/>
    <x v="89"/>
    <x v="1"/>
  </r>
  <r>
    <x v="21"/>
    <x v="18"/>
    <x v="91"/>
    <x v="26"/>
    <x v="43"/>
    <x v="0"/>
    <x v="1"/>
    <x v="8"/>
    <x v="3"/>
    <x v="24"/>
    <x v="19"/>
    <x v="25"/>
    <x v="13"/>
    <x v="3"/>
    <x v="8"/>
    <x v="0"/>
    <x v="0"/>
    <x v="0"/>
    <x v="0"/>
    <x v="0"/>
    <x v="0"/>
    <x v="0"/>
    <x v="19"/>
    <x v="0"/>
    <x v="1"/>
    <x v="0"/>
    <x v="6"/>
    <x v="12"/>
    <x v="12"/>
    <x v="0"/>
    <x v="0"/>
    <x v="42"/>
    <x v="27"/>
    <x v="15"/>
    <x v="15"/>
    <x v="21"/>
    <x v="29"/>
    <x v="9"/>
    <x v="0"/>
    <x v="9"/>
    <x v="17"/>
    <x v="6"/>
    <x v="6"/>
    <x v="73"/>
    <x v="9"/>
    <x v="36"/>
    <x v="36"/>
    <x v="0"/>
    <x v="8"/>
    <x v="5"/>
    <x v="28"/>
    <x v="4"/>
    <x v="2"/>
    <x v="12"/>
    <x v="4"/>
    <x v="1"/>
    <x v="18"/>
    <x v="5"/>
    <x v="0"/>
    <x v="8"/>
    <x v="8"/>
    <x v="15"/>
    <x v="23"/>
    <x v="32"/>
    <x v="0"/>
    <x v="0"/>
    <x v="1"/>
    <x v="1"/>
    <x v="54"/>
    <x v="0"/>
    <x v="0"/>
    <x v="6"/>
    <x v="2"/>
    <x v="6"/>
    <x v="3"/>
    <x v="5"/>
    <x v="3"/>
    <x v="7"/>
    <x v="22"/>
    <x v="12"/>
    <x v="5"/>
    <x v="8"/>
    <x v="0"/>
    <x v="4"/>
    <x v="1"/>
    <x v="30"/>
    <x v="1"/>
  </r>
  <r>
    <x v="46"/>
    <x v="14"/>
    <x v="92"/>
    <x v="20"/>
    <x v="44"/>
    <x v="0"/>
    <x v="1"/>
    <x v="8"/>
    <x v="3"/>
    <x v="24"/>
    <x v="19"/>
    <x v="25"/>
    <x v="13"/>
    <x v="3"/>
    <x v="8"/>
    <x v="0"/>
    <x v="0"/>
    <x v="0"/>
    <x v="0"/>
    <x v="0"/>
    <x v="0"/>
    <x v="0"/>
    <x v="24"/>
    <x v="0"/>
    <x v="4"/>
    <x v="0"/>
    <x v="4"/>
    <x v="12"/>
    <x v="12"/>
    <x v="0"/>
    <x v="0"/>
    <x v="20"/>
    <x v="14"/>
    <x v="15"/>
    <x v="15"/>
    <x v="13"/>
    <x v="11"/>
    <x v="6"/>
    <x v="0"/>
    <x v="6"/>
    <x v="17"/>
    <x v="6"/>
    <x v="6"/>
    <x v="73"/>
    <x v="9"/>
    <x v="36"/>
    <x v="36"/>
    <x v="0"/>
    <x v="8"/>
    <x v="5"/>
    <x v="28"/>
    <x v="4"/>
    <x v="3"/>
    <x v="12"/>
    <x v="4"/>
    <x v="1"/>
    <x v="18"/>
    <x v="1"/>
    <x v="0"/>
    <x v="8"/>
    <x v="11"/>
    <x v="14"/>
    <x v="26"/>
    <x v="31"/>
    <x v="0"/>
    <x v="0"/>
    <x v="1"/>
    <x v="1"/>
    <x v="54"/>
    <x v="0"/>
    <x v="0"/>
    <x v="6"/>
    <x v="6"/>
    <x v="5"/>
    <x v="3"/>
    <x v="4"/>
    <x v="3"/>
    <x v="7"/>
    <x v="22"/>
    <x v="12"/>
    <x v="5"/>
    <x v="8"/>
    <x v="0"/>
    <x v="5"/>
    <x v="0"/>
    <x v="28"/>
    <x v="1"/>
  </r>
  <r>
    <x v="52"/>
    <x v="25"/>
    <x v="80"/>
    <x v="26"/>
    <x v="45"/>
    <x v="0"/>
    <x v="1"/>
    <x v="3"/>
    <x v="2"/>
    <x v="24"/>
    <x v="31"/>
    <x v="24"/>
    <x v="13"/>
    <x v="30"/>
    <x v="8"/>
    <x v="0"/>
    <x v="0"/>
    <x v="0"/>
    <x v="0"/>
    <x v="0"/>
    <x v="0"/>
    <x v="0"/>
    <x v="40"/>
    <x v="0"/>
    <x v="4"/>
    <x v="18"/>
    <x v="66"/>
    <x v="12"/>
    <x v="12"/>
    <x v="0"/>
    <x v="0"/>
    <x v="20"/>
    <x v="14"/>
    <x v="15"/>
    <x v="15"/>
    <x v="0"/>
    <x v="11"/>
    <x v="6"/>
    <x v="0"/>
    <x v="6"/>
    <x v="17"/>
    <x v="6"/>
    <x v="6"/>
    <x v="73"/>
    <x v="0"/>
    <x v="36"/>
    <x v="36"/>
    <x v="0"/>
    <x v="8"/>
    <x v="11"/>
    <x v="17"/>
    <x v="20"/>
    <x v="22"/>
    <x v="12"/>
    <x v="31"/>
    <x v="19"/>
    <x v="18"/>
    <x v="0"/>
    <x v="0"/>
    <x v="9"/>
    <x v="66"/>
    <x v="46"/>
    <x v="76"/>
    <x v="63"/>
    <x v="0"/>
    <x v="0"/>
    <x v="1"/>
    <x v="1"/>
    <x v="54"/>
    <x v="0"/>
    <x v="0"/>
    <x v="1"/>
    <x v="6"/>
    <x v="9"/>
    <x v="3"/>
    <x v="8"/>
    <x v="3"/>
    <x v="8"/>
    <x v="23"/>
    <x v="4"/>
    <x v="5"/>
    <x v="1"/>
    <x v="0"/>
    <x v="12"/>
    <x v="0"/>
    <x v="42"/>
    <x v="1"/>
  </r>
  <r>
    <x v="51"/>
    <x v="24"/>
    <x v="78"/>
    <x v="26"/>
    <x v="41"/>
    <x v="0"/>
    <x v="1"/>
    <x v="5"/>
    <x v="2"/>
    <x v="23"/>
    <x v="24"/>
    <x v="25"/>
    <x v="13"/>
    <x v="38"/>
    <x v="8"/>
    <x v="0"/>
    <x v="0"/>
    <x v="0"/>
    <x v="0"/>
    <x v="0"/>
    <x v="0"/>
    <x v="0"/>
    <x v="53"/>
    <x v="0"/>
    <x v="4"/>
    <x v="30"/>
    <x v="59"/>
    <x v="5"/>
    <x v="6"/>
    <x v="0"/>
    <x v="0"/>
    <x v="25"/>
    <x v="18"/>
    <x v="15"/>
    <x v="12"/>
    <x v="0"/>
    <x v="14"/>
    <x v="7"/>
    <x v="0"/>
    <x v="7"/>
    <x v="17"/>
    <x v="6"/>
    <x v="6"/>
    <x v="73"/>
    <x v="9"/>
    <x v="36"/>
    <x v="36"/>
    <x v="0"/>
    <x v="8"/>
    <x v="8"/>
    <x v="29"/>
    <x v="10"/>
    <x v="12"/>
    <x v="6"/>
    <x v="34"/>
    <x v="31"/>
    <x v="21"/>
    <x v="0"/>
    <x v="0"/>
    <x v="8"/>
    <x v="60"/>
    <x v="52"/>
    <x v="74"/>
    <x v="68"/>
    <x v="2"/>
    <x v="1"/>
    <x v="1"/>
    <x v="1"/>
    <x v="54"/>
    <x v="0"/>
    <x v="0"/>
    <x v="3"/>
    <x v="6"/>
    <x v="9"/>
    <x v="3"/>
    <x v="8"/>
    <x v="3"/>
    <x v="11"/>
    <x v="25"/>
    <x v="8"/>
    <x v="5"/>
    <x v="1"/>
    <x v="0"/>
    <x v="61"/>
    <x v="0"/>
    <x v="45"/>
    <x v="1"/>
  </r>
  <r>
    <x v="44"/>
    <x v="23"/>
    <x v="79"/>
    <x v="26"/>
    <x v="46"/>
    <x v="0"/>
    <x v="1"/>
    <x v="2"/>
    <x v="3"/>
    <x v="23"/>
    <x v="21"/>
    <x v="25"/>
    <x v="13"/>
    <x v="28"/>
    <x v="8"/>
    <x v="0"/>
    <x v="0"/>
    <x v="0"/>
    <x v="0"/>
    <x v="0"/>
    <x v="0"/>
    <x v="0"/>
    <x v="56"/>
    <x v="0"/>
    <x v="4"/>
    <x v="21"/>
    <x v="54"/>
    <x v="5"/>
    <x v="5"/>
    <x v="0"/>
    <x v="0"/>
    <x v="21"/>
    <x v="12"/>
    <x v="15"/>
    <x v="12"/>
    <x v="0"/>
    <x v="12"/>
    <x v="6"/>
    <x v="0"/>
    <x v="6"/>
    <x v="17"/>
    <x v="6"/>
    <x v="6"/>
    <x v="73"/>
    <x v="9"/>
    <x v="36"/>
    <x v="36"/>
    <x v="0"/>
    <x v="8"/>
    <x v="8"/>
    <x v="28"/>
    <x v="10"/>
    <x v="12"/>
    <x v="5"/>
    <x v="29"/>
    <x v="22"/>
    <x v="19"/>
    <x v="0"/>
    <x v="2"/>
    <x v="7"/>
    <x v="46"/>
    <x v="51"/>
    <x v="60"/>
    <x v="67"/>
    <x v="2"/>
    <x v="1"/>
    <x v="1"/>
    <x v="1"/>
    <x v="54"/>
    <x v="0"/>
    <x v="0"/>
    <x v="5"/>
    <x v="6"/>
    <x v="9"/>
    <x v="3"/>
    <x v="8"/>
    <x v="3"/>
    <x v="11"/>
    <x v="25"/>
    <x v="2"/>
    <x v="5"/>
    <x v="7"/>
    <x v="0"/>
    <x v="52"/>
    <x v="0"/>
    <x v="87"/>
    <x v="1"/>
  </r>
  <r>
    <x v="47"/>
    <x v="120"/>
    <x v="97"/>
    <x v="26"/>
    <x v="47"/>
    <x v="0"/>
    <x v="3"/>
    <x v="5"/>
    <x v="4"/>
    <x v="26"/>
    <x v="32"/>
    <x v="25"/>
    <x v="4"/>
    <x v="25"/>
    <x v="8"/>
    <x v="0"/>
    <x v="0"/>
    <x v="0"/>
    <x v="0"/>
    <x v="0"/>
    <x v="0"/>
    <x v="0"/>
    <x v="72"/>
    <x v="0"/>
    <x v="2"/>
    <x v="20"/>
    <x v="32"/>
    <x v="10"/>
    <x v="10"/>
    <x v="0"/>
    <x v="0"/>
    <x v="42"/>
    <x v="27"/>
    <x v="8"/>
    <x v="8"/>
    <x v="37"/>
    <x v="34"/>
    <x v="9"/>
    <x v="0"/>
    <x v="9"/>
    <x v="17"/>
    <x v="6"/>
    <x v="6"/>
    <x v="66"/>
    <x v="9"/>
    <x v="32"/>
    <x v="33"/>
    <x v="0"/>
    <x v="8"/>
    <x v="11"/>
    <x v="28"/>
    <x v="6"/>
    <x v="8"/>
    <x v="10"/>
    <x v="26"/>
    <x v="21"/>
    <x v="16"/>
    <x v="60"/>
    <x v="0"/>
    <x v="5"/>
    <x v="47"/>
    <x v="44"/>
    <x v="61"/>
    <x v="61"/>
    <x v="2"/>
    <x v="1"/>
    <x v="1"/>
    <x v="1"/>
    <x v="54"/>
    <x v="0"/>
    <x v="6"/>
    <x v="4"/>
    <x v="2"/>
    <x v="9"/>
    <x v="3"/>
    <x v="5"/>
    <x v="3"/>
    <x v="6"/>
    <x v="21"/>
    <x v="9"/>
    <x v="25"/>
    <x v="4"/>
    <x v="8"/>
    <x v="54"/>
    <x v="1"/>
    <x v="80"/>
    <x v="1"/>
  </r>
  <r>
    <x v="48"/>
    <x v="119"/>
    <x v="98"/>
    <x v="22"/>
    <x v="48"/>
    <x v="0"/>
    <x v="3"/>
    <x v="3"/>
    <x v="1"/>
    <x v="26"/>
    <x v="32"/>
    <x v="25"/>
    <x v="4"/>
    <x v="29"/>
    <x v="0"/>
    <x v="0"/>
    <x v="0"/>
    <x v="0"/>
    <x v="0"/>
    <x v="0"/>
    <x v="0"/>
    <x v="0"/>
    <x v="74"/>
    <x v="0"/>
    <x v="2"/>
    <x v="20"/>
    <x v="31"/>
    <x v="10"/>
    <x v="10"/>
    <x v="0"/>
    <x v="0"/>
    <x v="42"/>
    <x v="27"/>
    <x v="8"/>
    <x v="8"/>
    <x v="37"/>
    <x v="34"/>
    <x v="9"/>
    <x v="0"/>
    <x v="9"/>
    <x v="17"/>
    <x v="6"/>
    <x v="6"/>
    <x v="67"/>
    <x v="8"/>
    <x v="11"/>
    <x v="36"/>
    <x v="0"/>
    <x v="8"/>
    <x v="11"/>
    <x v="28"/>
    <x v="6"/>
    <x v="8"/>
    <x v="10"/>
    <x v="30"/>
    <x v="21"/>
    <x v="16"/>
    <x v="60"/>
    <x v="0"/>
    <x v="6"/>
    <x v="50"/>
    <x v="46"/>
    <x v="64"/>
    <x v="63"/>
    <x v="2"/>
    <x v="1"/>
    <x v="1"/>
    <x v="1"/>
    <x v="54"/>
    <x v="0"/>
    <x v="0"/>
    <x v="4"/>
    <x v="2"/>
    <x v="9"/>
    <x v="3"/>
    <x v="5"/>
    <x v="3"/>
    <x v="6"/>
    <x v="21"/>
    <x v="3"/>
    <x v="25"/>
    <x v="2"/>
    <x v="8"/>
    <x v="95"/>
    <x v="1"/>
    <x v="68"/>
    <x v="1"/>
  </r>
  <r>
    <x v="66"/>
    <x v="66"/>
    <x v="81"/>
    <x v="26"/>
    <x v="49"/>
    <x v="0"/>
    <x v="3"/>
    <x v="3"/>
    <x v="1"/>
    <x v="29"/>
    <x v="32"/>
    <x v="25"/>
    <x v="12"/>
    <x v="42"/>
    <x v="6"/>
    <x v="0"/>
    <x v="0"/>
    <x v="0"/>
    <x v="0"/>
    <x v="0"/>
    <x v="0"/>
    <x v="0"/>
    <x v="91"/>
    <x v="0"/>
    <x v="1"/>
    <x v="26"/>
    <x v="8"/>
    <x v="15"/>
    <x v="15"/>
    <x v="0"/>
    <x v="0"/>
    <x v="40"/>
    <x v="26"/>
    <x v="11"/>
    <x v="15"/>
    <x v="12"/>
    <x v="35"/>
    <x v="9"/>
    <x v="0"/>
    <x v="9"/>
    <x v="17"/>
    <x v="2"/>
    <x v="2"/>
    <x v="34"/>
    <x v="6"/>
    <x v="31"/>
    <x v="36"/>
    <x v="0"/>
    <x v="8"/>
    <x v="4"/>
    <x v="28"/>
    <x v="20"/>
    <x v="22"/>
    <x v="14"/>
    <x v="37"/>
    <x v="27"/>
    <x v="13"/>
    <x v="69"/>
    <x v="0"/>
    <x v="9"/>
    <x v="80"/>
    <x v="67"/>
    <x v="85"/>
    <x v="81"/>
    <x v="2"/>
    <x v="1"/>
    <x v="1"/>
    <x v="1"/>
    <x v="54"/>
    <x v="0"/>
    <x v="4"/>
    <x v="10"/>
    <x v="4"/>
    <x v="9"/>
    <x v="3"/>
    <x v="5"/>
    <x v="3"/>
    <x v="6"/>
    <x v="21"/>
    <x v="3"/>
    <x v="16"/>
    <x v="2"/>
    <x v="5"/>
    <x v="15"/>
    <x v="4"/>
    <x v="66"/>
    <x v="1"/>
  </r>
  <r>
    <x v="68"/>
    <x v="67"/>
    <x v="82"/>
    <x v="18"/>
    <x v="50"/>
    <x v="0"/>
    <x v="3"/>
    <x v="3"/>
    <x v="1"/>
    <x v="29"/>
    <x v="32"/>
    <x v="25"/>
    <x v="11"/>
    <x v="42"/>
    <x v="6"/>
    <x v="0"/>
    <x v="0"/>
    <x v="0"/>
    <x v="0"/>
    <x v="0"/>
    <x v="0"/>
    <x v="0"/>
    <x v="90"/>
    <x v="0"/>
    <x v="1"/>
    <x v="26"/>
    <x v="11"/>
    <x v="15"/>
    <x v="15"/>
    <x v="0"/>
    <x v="0"/>
    <x v="40"/>
    <x v="26"/>
    <x v="11"/>
    <x v="15"/>
    <x v="12"/>
    <x v="35"/>
    <x v="9"/>
    <x v="0"/>
    <x v="9"/>
    <x v="17"/>
    <x v="3"/>
    <x v="3"/>
    <x v="37"/>
    <x v="7"/>
    <x v="18"/>
    <x v="36"/>
    <x v="0"/>
    <x v="8"/>
    <x v="4"/>
    <x v="28"/>
    <x v="20"/>
    <x v="22"/>
    <x v="14"/>
    <x v="37"/>
    <x v="27"/>
    <x v="13"/>
    <x v="66"/>
    <x v="0"/>
    <x v="9"/>
    <x v="79"/>
    <x v="64"/>
    <x v="84"/>
    <x v="78"/>
    <x v="2"/>
    <x v="1"/>
    <x v="1"/>
    <x v="1"/>
    <x v="54"/>
    <x v="0"/>
    <x v="4"/>
    <x v="10"/>
    <x v="4"/>
    <x v="9"/>
    <x v="3"/>
    <x v="5"/>
    <x v="3"/>
    <x v="6"/>
    <x v="21"/>
    <x v="3"/>
    <x v="14"/>
    <x v="2"/>
    <x v="3"/>
    <x v="64"/>
    <x v="4"/>
    <x v="65"/>
    <x v="1"/>
  </r>
  <r>
    <x v="67"/>
    <x v="65"/>
    <x v="83"/>
    <x v="18"/>
    <x v="51"/>
    <x v="0"/>
    <x v="3"/>
    <x v="3"/>
    <x v="1"/>
    <x v="29"/>
    <x v="32"/>
    <x v="25"/>
    <x v="12"/>
    <x v="42"/>
    <x v="6"/>
    <x v="0"/>
    <x v="0"/>
    <x v="0"/>
    <x v="0"/>
    <x v="0"/>
    <x v="0"/>
    <x v="0"/>
    <x v="91"/>
    <x v="0"/>
    <x v="1"/>
    <x v="26"/>
    <x v="8"/>
    <x v="15"/>
    <x v="15"/>
    <x v="0"/>
    <x v="0"/>
    <x v="40"/>
    <x v="26"/>
    <x v="11"/>
    <x v="15"/>
    <x v="12"/>
    <x v="35"/>
    <x v="9"/>
    <x v="0"/>
    <x v="9"/>
    <x v="17"/>
    <x v="2"/>
    <x v="2"/>
    <x v="38"/>
    <x v="5"/>
    <x v="17"/>
    <x v="36"/>
    <x v="0"/>
    <x v="8"/>
    <x v="4"/>
    <x v="28"/>
    <x v="20"/>
    <x v="22"/>
    <x v="14"/>
    <x v="37"/>
    <x v="27"/>
    <x v="13"/>
    <x v="69"/>
    <x v="0"/>
    <x v="9"/>
    <x v="80"/>
    <x v="67"/>
    <x v="85"/>
    <x v="81"/>
    <x v="2"/>
    <x v="1"/>
    <x v="1"/>
    <x v="1"/>
    <x v="54"/>
    <x v="0"/>
    <x v="4"/>
    <x v="10"/>
    <x v="4"/>
    <x v="9"/>
    <x v="3"/>
    <x v="5"/>
    <x v="3"/>
    <x v="6"/>
    <x v="21"/>
    <x v="3"/>
    <x v="16"/>
    <x v="2"/>
    <x v="5"/>
    <x v="15"/>
    <x v="4"/>
    <x v="66"/>
    <x v="1"/>
  </r>
  <r>
    <x v="67"/>
    <x v="68"/>
    <x v="84"/>
    <x v="18"/>
    <x v="52"/>
    <x v="0"/>
    <x v="3"/>
    <x v="3"/>
    <x v="1"/>
    <x v="29"/>
    <x v="32"/>
    <x v="25"/>
    <x v="11"/>
    <x v="42"/>
    <x v="6"/>
    <x v="0"/>
    <x v="0"/>
    <x v="0"/>
    <x v="0"/>
    <x v="0"/>
    <x v="0"/>
    <x v="0"/>
    <x v="90"/>
    <x v="0"/>
    <x v="1"/>
    <x v="26"/>
    <x v="11"/>
    <x v="15"/>
    <x v="15"/>
    <x v="0"/>
    <x v="0"/>
    <x v="40"/>
    <x v="26"/>
    <x v="11"/>
    <x v="15"/>
    <x v="12"/>
    <x v="35"/>
    <x v="9"/>
    <x v="0"/>
    <x v="9"/>
    <x v="17"/>
    <x v="3"/>
    <x v="3"/>
    <x v="39"/>
    <x v="5"/>
    <x v="9"/>
    <x v="19"/>
    <x v="0"/>
    <x v="8"/>
    <x v="4"/>
    <x v="28"/>
    <x v="20"/>
    <x v="22"/>
    <x v="14"/>
    <x v="37"/>
    <x v="27"/>
    <x v="13"/>
    <x v="66"/>
    <x v="0"/>
    <x v="9"/>
    <x v="79"/>
    <x v="64"/>
    <x v="84"/>
    <x v="78"/>
    <x v="2"/>
    <x v="1"/>
    <x v="1"/>
    <x v="1"/>
    <x v="54"/>
    <x v="0"/>
    <x v="4"/>
    <x v="10"/>
    <x v="4"/>
    <x v="9"/>
    <x v="3"/>
    <x v="5"/>
    <x v="3"/>
    <x v="6"/>
    <x v="21"/>
    <x v="3"/>
    <x v="14"/>
    <x v="2"/>
    <x v="3"/>
    <x v="64"/>
    <x v="4"/>
    <x v="65"/>
    <x v="1"/>
  </r>
  <r>
    <x v="38"/>
    <x v="49"/>
    <x v="85"/>
    <x v="26"/>
    <x v="53"/>
    <x v="0"/>
    <x v="3"/>
    <x v="3"/>
    <x v="1"/>
    <x v="31"/>
    <x v="32"/>
    <x v="21"/>
    <x v="3"/>
    <x v="26"/>
    <x v="8"/>
    <x v="0"/>
    <x v="0"/>
    <x v="0"/>
    <x v="0"/>
    <x v="0"/>
    <x v="0"/>
    <x v="0"/>
    <x v="60"/>
    <x v="0"/>
    <x v="2"/>
    <x v="17"/>
    <x v="44"/>
    <x v="9"/>
    <x v="9"/>
    <x v="0"/>
    <x v="0"/>
    <x v="36"/>
    <x v="21"/>
    <x v="15"/>
    <x v="5"/>
    <x v="37"/>
    <x v="20"/>
    <x v="8"/>
    <x v="0"/>
    <x v="8"/>
    <x v="6"/>
    <x v="6"/>
    <x v="6"/>
    <x v="28"/>
    <x v="1"/>
    <x v="33"/>
    <x v="36"/>
    <x v="0"/>
    <x v="8"/>
    <x v="9"/>
    <x v="7"/>
    <x v="20"/>
    <x v="22"/>
    <x v="9"/>
    <x v="27"/>
    <x v="18"/>
    <x v="11"/>
    <x v="51"/>
    <x v="0"/>
    <x v="6"/>
    <x v="53"/>
    <x v="44"/>
    <x v="67"/>
    <x v="61"/>
    <x v="2"/>
    <x v="1"/>
    <x v="1"/>
    <x v="1"/>
    <x v="54"/>
    <x v="0"/>
    <x v="6"/>
    <x v="3"/>
    <x v="1"/>
    <x v="9"/>
    <x v="3"/>
    <x v="5"/>
    <x v="3"/>
    <x v="5"/>
    <x v="20"/>
    <x v="3"/>
    <x v="21"/>
    <x v="2"/>
    <x v="7"/>
    <x v="14"/>
    <x v="0"/>
    <x v="67"/>
    <x v="1"/>
  </r>
  <r>
    <x v="49"/>
    <x v="53"/>
    <x v="86"/>
    <x v="26"/>
    <x v="53"/>
    <x v="0"/>
    <x v="3"/>
    <x v="5"/>
    <x v="4"/>
    <x v="29"/>
    <x v="21"/>
    <x v="25"/>
    <x v="3"/>
    <x v="24"/>
    <x v="8"/>
    <x v="0"/>
    <x v="0"/>
    <x v="0"/>
    <x v="0"/>
    <x v="0"/>
    <x v="0"/>
    <x v="0"/>
    <x v="60"/>
    <x v="0"/>
    <x v="2"/>
    <x v="17"/>
    <x v="44"/>
    <x v="5"/>
    <x v="5"/>
    <x v="0"/>
    <x v="0"/>
    <x v="36"/>
    <x v="21"/>
    <x v="15"/>
    <x v="5"/>
    <x v="43"/>
    <x v="20"/>
    <x v="8"/>
    <x v="0"/>
    <x v="8"/>
    <x v="0"/>
    <x v="6"/>
    <x v="6"/>
    <x v="21"/>
    <x v="9"/>
    <x v="27"/>
    <x v="13"/>
    <x v="0"/>
    <x v="8"/>
    <x v="9"/>
    <x v="28"/>
    <x v="6"/>
    <x v="9"/>
    <x v="5"/>
    <x v="25"/>
    <x v="18"/>
    <x v="13"/>
    <x v="58"/>
    <x v="0"/>
    <x v="5"/>
    <x v="40"/>
    <x v="37"/>
    <x v="54"/>
    <x v="54"/>
    <x v="2"/>
    <x v="1"/>
    <x v="1"/>
    <x v="1"/>
    <x v="35"/>
    <x v="0"/>
    <x v="6"/>
    <x v="9"/>
    <x v="2"/>
    <x v="9"/>
    <x v="3"/>
    <x v="5"/>
    <x v="3"/>
    <x v="5"/>
    <x v="20"/>
    <x v="9"/>
    <x v="21"/>
    <x v="4"/>
    <x v="7"/>
    <x v="44"/>
    <x v="1"/>
    <x v="78"/>
    <x v="1"/>
  </r>
  <r>
    <x v="50"/>
    <x v="54"/>
    <x v="87"/>
    <x v="19"/>
    <x v="54"/>
    <x v="0"/>
    <x v="3"/>
    <x v="5"/>
    <x v="4"/>
    <x v="30"/>
    <x v="30"/>
    <x v="23"/>
    <x v="1"/>
    <x v="22"/>
    <x v="8"/>
    <x v="0"/>
    <x v="0"/>
    <x v="0"/>
    <x v="0"/>
    <x v="0"/>
    <x v="0"/>
    <x v="0"/>
    <x v="39"/>
    <x v="0"/>
    <x v="2"/>
    <x v="7"/>
    <x v="38"/>
    <x v="5"/>
    <x v="5"/>
    <x v="0"/>
    <x v="0"/>
    <x v="36"/>
    <x v="21"/>
    <x v="15"/>
    <x v="5"/>
    <x v="44"/>
    <x v="20"/>
    <x v="8"/>
    <x v="0"/>
    <x v="8"/>
    <x v="0"/>
    <x v="6"/>
    <x v="6"/>
    <x v="22"/>
    <x v="9"/>
    <x v="1"/>
    <x v="13"/>
    <x v="0"/>
    <x v="8"/>
    <x v="9"/>
    <x v="11"/>
    <x v="6"/>
    <x v="9"/>
    <x v="5"/>
    <x v="23"/>
    <x v="8"/>
    <x v="12"/>
    <x v="31"/>
    <x v="0"/>
    <x v="5"/>
    <x v="27"/>
    <x v="22"/>
    <x v="42"/>
    <x v="39"/>
    <x v="2"/>
    <x v="1"/>
    <x v="1"/>
    <x v="1"/>
    <x v="34"/>
    <x v="0"/>
    <x v="6"/>
    <x v="5"/>
    <x v="1"/>
    <x v="9"/>
    <x v="3"/>
    <x v="5"/>
    <x v="3"/>
    <x v="6"/>
    <x v="21"/>
    <x v="9"/>
    <x v="10"/>
    <x v="4"/>
    <x v="4"/>
    <x v="55"/>
    <x v="0"/>
    <x v="76"/>
    <x v="1"/>
  </r>
  <r>
    <x v="61"/>
    <x v="64"/>
    <x v="99"/>
    <x v="26"/>
    <x v="55"/>
    <x v="0"/>
    <x v="1"/>
    <x v="2"/>
    <x v="3"/>
    <x v="31"/>
    <x v="4"/>
    <x v="25"/>
    <x v="13"/>
    <x v="27"/>
    <x v="8"/>
    <x v="0"/>
    <x v="0"/>
    <x v="0"/>
    <x v="0"/>
    <x v="0"/>
    <x v="0"/>
    <x v="0"/>
    <x v="52"/>
    <x v="0"/>
    <x v="4"/>
    <x v="29"/>
    <x v="64"/>
    <x v="8"/>
    <x v="8"/>
    <x v="0"/>
    <x v="0"/>
    <x v="24"/>
    <x v="17"/>
    <x v="6"/>
    <x v="10"/>
    <x v="0"/>
    <x v="17"/>
    <x v="7"/>
    <x v="0"/>
    <x v="7"/>
    <x v="17"/>
    <x v="6"/>
    <x v="6"/>
    <x v="73"/>
    <x v="9"/>
    <x v="36"/>
    <x v="36"/>
    <x v="0"/>
    <x v="8"/>
    <x v="12"/>
    <x v="28"/>
    <x v="20"/>
    <x v="7"/>
    <x v="8"/>
    <x v="28"/>
    <x v="30"/>
    <x v="11"/>
    <x v="0"/>
    <x v="2"/>
    <x v="7"/>
    <x v="37"/>
    <x v="46"/>
    <x v="51"/>
    <x v="63"/>
    <x v="2"/>
    <x v="1"/>
    <x v="1"/>
    <x v="1"/>
    <x v="54"/>
    <x v="0"/>
    <x v="6"/>
    <x v="0"/>
    <x v="6"/>
    <x v="9"/>
    <x v="3"/>
    <x v="8"/>
    <x v="3"/>
    <x v="11"/>
    <x v="25"/>
    <x v="2"/>
    <x v="4"/>
    <x v="7"/>
    <x v="0"/>
    <x v="31"/>
    <x v="0"/>
    <x v="86"/>
    <x v="1"/>
  </r>
  <r>
    <x v="112"/>
    <x v="91"/>
    <x v="112"/>
    <x v="24"/>
    <x v="60"/>
    <x v="0"/>
    <x v="2"/>
    <x v="2"/>
    <x v="3"/>
    <x v="34"/>
    <x v="32"/>
    <x v="25"/>
    <x v="0"/>
    <x v="15"/>
    <x v="8"/>
    <x v="0"/>
    <x v="0"/>
    <x v="0"/>
    <x v="0"/>
    <x v="0"/>
    <x v="0"/>
    <x v="0"/>
    <x v="18"/>
    <x v="0"/>
    <x v="1"/>
    <x v="11"/>
    <x v="72"/>
    <x v="5"/>
    <x v="5"/>
    <x v="0"/>
    <x v="0"/>
    <x v="33"/>
    <x v="19"/>
    <x v="12"/>
    <x v="13"/>
    <x v="17"/>
    <x v="27"/>
    <x v="8"/>
    <x v="0"/>
    <x v="8"/>
    <x v="0"/>
    <x v="6"/>
    <x v="6"/>
    <x v="72"/>
    <x v="9"/>
    <x v="22"/>
    <x v="35"/>
    <x v="0"/>
    <x v="8"/>
    <x v="11"/>
    <x v="28"/>
    <x v="20"/>
    <x v="22"/>
    <x v="5"/>
    <x v="16"/>
    <x v="12"/>
    <x v="8"/>
    <x v="3"/>
    <x v="2"/>
    <x v="7"/>
    <x v="35"/>
    <x v="29"/>
    <x v="49"/>
    <x v="46"/>
    <x v="2"/>
    <x v="1"/>
    <x v="1"/>
    <x v="1"/>
    <x v="54"/>
    <x v="0"/>
    <x v="6"/>
    <x v="5"/>
    <x v="1"/>
    <x v="2"/>
    <x v="3"/>
    <x v="2"/>
    <x v="5"/>
    <x v="11"/>
    <x v="37"/>
    <x v="2"/>
    <x v="5"/>
    <x v="7"/>
    <x v="0"/>
    <x v="86"/>
    <x v="0"/>
    <x v="88"/>
    <x v="1"/>
  </r>
  <r>
    <x v="108"/>
    <x v="92"/>
    <x v="113"/>
    <x v="26"/>
    <x v="56"/>
    <x v="0"/>
    <x v="2"/>
    <x v="2"/>
    <x v="3"/>
    <x v="34"/>
    <x v="32"/>
    <x v="25"/>
    <x v="1"/>
    <x v="15"/>
    <x v="8"/>
    <x v="0"/>
    <x v="0"/>
    <x v="0"/>
    <x v="0"/>
    <x v="0"/>
    <x v="0"/>
    <x v="0"/>
    <x v="32"/>
    <x v="0"/>
    <x v="1"/>
    <x v="11"/>
    <x v="56"/>
    <x v="5"/>
    <x v="5"/>
    <x v="0"/>
    <x v="0"/>
    <x v="33"/>
    <x v="19"/>
    <x v="12"/>
    <x v="13"/>
    <x v="17"/>
    <x v="27"/>
    <x v="8"/>
    <x v="0"/>
    <x v="8"/>
    <x v="0"/>
    <x v="6"/>
    <x v="6"/>
    <x v="71"/>
    <x v="9"/>
    <x v="22"/>
    <x v="34"/>
    <x v="0"/>
    <x v="8"/>
    <x v="11"/>
    <x v="28"/>
    <x v="20"/>
    <x v="22"/>
    <x v="5"/>
    <x v="16"/>
    <x v="12"/>
    <x v="8"/>
    <x v="12"/>
    <x v="2"/>
    <x v="7"/>
    <x v="38"/>
    <x v="31"/>
    <x v="52"/>
    <x v="48"/>
    <x v="2"/>
    <x v="1"/>
    <x v="1"/>
    <x v="1"/>
    <x v="54"/>
    <x v="0"/>
    <x v="6"/>
    <x v="5"/>
    <x v="1"/>
    <x v="2"/>
    <x v="3"/>
    <x v="2"/>
    <x v="5"/>
    <x v="11"/>
    <x v="37"/>
    <x v="2"/>
    <x v="10"/>
    <x v="7"/>
    <x v="4"/>
    <x v="86"/>
    <x v="0"/>
    <x v="96"/>
    <x v="1"/>
  </r>
  <r>
    <x v="109"/>
    <x v="93"/>
    <x v="114"/>
    <x v="24"/>
    <x v="57"/>
    <x v="0"/>
    <x v="2"/>
    <x v="2"/>
    <x v="3"/>
    <x v="34"/>
    <x v="32"/>
    <x v="25"/>
    <x v="2"/>
    <x v="15"/>
    <x v="8"/>
    <x v="0"/>
    <x v="0"/>
    <x v="0"/>
    <x v="0"/>
    <x v="0"/>
    <x v="0"/>
    <x v="0"/>
    <x v="45"/>
    <x v="0"/>
    <x v="1"/>
    <x v="11"/>
    <x v="48"/>
    <x v="5"/>
    <x v="5"/>
    <x v="0"/>
    <x v="0"/>
    <x v="33"/>
    <x v="19"/>
    <x v="12"/>
    <x v="13"/>
    <x v="17"/>
    <x v="27"/>
    <x v="8"/>
    <x v="0"/>
    <x v="8"/>
    <x v="0"/>
    <x v="6"/>
    <x v="6"/>
    <x v="70"/>
    <x v="9"/>
    <x v="12"/>
    <x v="34"/>
    <x v="0"/>
    <x v="8"/>
    <x v="11"/>
    <x v="28"/>
    <x v="20"/>
    <x v="22"/>
    <x v="5"/>
    <x v="16"/>
    <x v="12"/>
    <x v="8"/>
    <x v="21"/>
    <x v="2"/>
    <x v="7"/>
    <x v="41"/>
    <x v="34"/>
    <x v="55"/>
    <x v="51"/>
    <x v="2"/>
    <x v="1"/>
    <x v="1"/>
    <x v="1"/>
    <x v="54"/>
    <x v="0"/>
    <x v="6"/>
    <x v="5"/>
    <x v="1"/>
    <x v="2"/>
    <x v="3"/>
    <x v="2"/>
    <x v="5"/>
    <x v="11"/>
    <x v="37"/>
    <x v="2"/>
    <x v="17"/>
    <x v="7"/>
    <x v="6"/>
    <x v="86"/>
    <x v="0"/>
    <x v="105"/>
    <x v="1"/>
  </r>
  <r>
    <x v="110"/>
    <x v="94"/>
    <x v="115"/>
    <x v="24"/>
    <x v="58"/>
    <x v="0"/>
    <x v="2"/>
    <x v="2"/>
    <x v="3"/>
    <x v="34"/>
    <x v="32"/>
    <x v="25"/>
    <x v="3"/>
    <x v="15"/>
    <x v="8"/>
    <x v="0"/>
    <x v="0"/>
    <x v="0"/>
    <x v="0"/>
    <x v="0"/>
    <x v="0"/>
    <x v="0"/>
    <x v="48"/>
    <x v="0"/>
    <x v="1"/>
    <x v="11"/>
    <x v="36"/>
    <x v="5"/>
    <x v="5"/>
    <x v="0"/>
    <x v="0"/>
    <x v="33"/>
    <x v="19"/>
    <x v="12"/>
    <x v="13"/>
    <x v="17"/>
    <x v="27"/>
    <x v="8"/>
    <x v="0"/>
    <x v="8"/>
    <x v="0"/>
    <x v="6"/>
    <x v="6"/>
    <x v="69"/>
    <x v="9"/>
    <x v="2"/>
    <x v="34"/>
    <x v="0"/>
    <x v="8"/>
    <x v="11"/>
    <x v="28"/>
    <x v="20"/>
    <x v="22"/>
    <x v="5"/>
    <x v="16"/>
    <x v="12"/>
    <x v="8"/>
    <x v="28"/>
    <x v="2"/>
    <x v="7"/>
    <x v="42"/>
    <x v="36"/>
    <x v="56"/>
    <x v="53"/>
    <x v="2"/>
    <x v="1"/>
    <x v="1"/>
    <x v="1"/>
    <x v="54"/>
    <x v="0"/>
    <x v="6"/>
    <x v="5"/>
    <x v="1"/>
    <x v="2"/>
    <x v="3"/>
    <x v="2"/>
    <x v="5"/>
    <x v="11"/>
    <x v="37"/>
    <x v="2"/>
    <x v="21"/>
    <x v="7"/>
    <x v="7"/>
    <x v="86"/>
    <x v="0"/>
    <x v="109"/>
    <x v="1"/>
  </r>
  <r>
    <x v="111"/>
    <x v="95"/>
    <x v="116"/>
    <x v="24"/>
    <x v="59"/>
    <x v="0"/>
    <x v="2"/>
    <x v="2"/>
    <x v="3"/>
    <x v="34"/>
    <x v="32"/>
    <x v="25"/>
    <x v="4"/>
    <x v="15"/>
    <x v="8"/>
    <x v="0"/>
    <x v="0"/>
    <x v="0"/>
    <x v="0"/>
    <x v="0"/>
    <x v="0"/>
    <x v="0"/>
    <x v="55"/>
    <x v="0"/>
    <x v="1"/>
    <x v="11"/>
    <x v="30"/>
    <x v="5"/>
    <x v="5"/>
    <x v="0"/>
    <x v="0"/>
    <x v="33"/>
    <x v="19"/>
    <x v="12"/>
    <x v="13"/>
    <x v="17"/>
    <x v="27"/>
    <x v="8"/>
    <x v="0"/>
    <x v="8"/>
    <x v="0"/>
    <x v="6"/>
    <x v="6"/>
    <x v="68"/>
    <x v="9"/>
    <x v="3"/>
    <x v="34"/>
    <x v="0"/>
    <x v="8"/>
    <x v="11"/>
    <x v="28"/>
    <x v="20"/>
    <x v="22"/>
    <x v="5"/>
    <x v="16"/>
    <x v="12"/>
    <x v="8"/>
    <x v="38"/>
    <x v="2"/>
    <x v="7"/>
    <x v="44"/>
    <x v="38"/>
    <x v="58"/>
    <x v="55"/>
    <x v="2"/>
    <x v="1"/>
    <x v="1"/>
    <x v="1"/>
    <x v="54"/>
    <x v="0"/>
    <x v="6"/>
    <x v="5"/>
    <x v="1"/>
    <x v="2"/>
    <x v="3"/>
    <x v="2"/>
    <x v="5"/>
    <x v="11"/>
    <x v="37"/>
    <x v="2"/>
    <x v="24"/>
    <x v="7"/>
    <x v="8"/>
    <x v="86"/>
    <x v="0"/>
    <x v="111"/>
    <x v="1"/>
  </r>
  <r>
    <x v="5"/>
    <x v="86"/>
    <x v="93"/>
    <x v="26"/>
    <x v="61"/>
    <x v="0"/>
    <x v="3"/>
    <x v="2"/>
    <x v="3"/>
    <x v="35"/>
    <x v="32"/>
    <x v="25"/>
    <x v="3"/>
    <x v="31"/>
    <x v="8"/>
    <x v="0"/>
    <x v="0"/>
    <x v="0"/>
    <x v="0"/>
    <x v="0"/>
    <x v="0"/>
    <x v="0"/>
    <x v="70"/>
    <x v="0"/>
    <x v="2"/>
    <x v="25"/>
    <x v="39"/>
    <x v="12"/>
    <x v="12"/>
    <x v="0"/>
    <x v="0"/>
    <x v="45"/>
    <x v="29"/>
    <x v="7"/>
    <x v="15"/>
    <x v="27"/>
    <x v="39"/>
    <x v="10"/>
    <x v="0"/>
    <x v="10"/>
    <x v="17"/>
    <x v="6"/>
    <x v="6"/>
    <x v="53"/>
    <x v="9"/>
    <x v="27"/>
    <x v="24"/>
    <x v="0"/>
    <x v="8"/>
    <x v="7"/>
    <x v="28"/>
    <x v="4"/>
    <x v="6"/>
    <x v="12"/>
    <x v="32"/>
    <x v="26"/>
    <x v="7"/>
    <x v="40"/>
    <x v="2"/>
    <x v="7"/>
    <x v="54"/>
    <x v="58"/>
    <x v="68"/>
    <x v="72"/>
    <x v="2"/>
    <x v="1"/>
    <x v="1"/>
    <x v="1"/>
    <x v="50"/>
    <x v="0"/>
    <x v="6"/>
    <x v="9"/>
    <x v="2"/>
    <x v="9"/>
    <x v="3"/>
    <x v="5"/>
    <x v="5"/>
    <x v="4"/>
    <x v="36"/>
    <x v="2"/>
    <x v="23"/>
    <x v="7"/>
    <x v="7"/>
    <x v="51"/>
    <x v="1"/>
    <x v="110"/>
    <x v="1"/>
  </r>
  <r>
    <x v="5"/>
    <x v="87"/>
    <x v="94"/>
    <x v="21"/>
    <x v="62"/>
    <x v="0"/>
    <x v="3"/>
    <x v="2"/>
    <x v="3"/>
    <x v="35"/>
    <x v="32"/>
    <x v="25"/>
    <x v="4"/>
    <x v="34"/>
    <x v="8"/>
    <x v="0"/>
    <x v="0"/>
    <x v="0"/>
    <x v="0"/>
    <x v="0"/>
    <x v="0"/>
    <x v="0"/>
    <x v="76"/>
    <x v="0"/>
    <x v="2"/>
    <x v="31"/>
    <x v="43"/>
    <x v="12"/>
    <x v="12"/>
    <x v="0"/>
    <x v="0"/>
    <x v="45"/>
    <x v="29"/>
    <x v="7"/>
    <x v="15"/>
    <x v="27"/>
    <x v="39"/>
    <x v="10"/>
    <x v="0"/>
    <x v="10"/>
    <x v="17"/>
    <x v="6"/>
    <x v="6"/>
    <x v="52"/>
    <x v="9"/>
    <x v="3"/>
    <x v="24"/>
    <x v="0"/>
    <x v="8"/>
    <x v="7"/>
    <x v="28"/>
    <x v="4"/>
    <x v="6"/>
    <x v="12"/>
    <x v="36"/>
    <x v="32"/>
    <x v="7"/>
    <x v="49"/>
    <x v="2"/>
    <x v="7"/>
    <x v="59"/>
    <x v="60"/>
    <x v="73"/>
    <x v="74"/>
    <x v="2"/>
    <x v="1"/>
    <x v="1"/>
    <x v="1"/>
    <x v="49"/>
    <x v="0"/>
    <x v="2"/>
    <x v="9"/>
    <x v="2"/>
    <x v="9"/>
    <x v="3"/>
    <x v="5"/>
    <x v="5"/>
    <x v="4"/>
    <x v="36"/>
    <x v="2"/>
    <x v="27"/>
    <x v="7"/>
    <x v="8"/>
    <x v="51"/>
    <x v="1"/>
    <x v="112"/>
    <x v="1"/>
  </r>
  <r>
    <x v="5"/>
    <x v="88"/>
    <x v="95"/>
    <x v="21"/>
    <x v="63"/>
    <x v="0"/>
    <x v="3"/>
    <x v="2"/>
    <x v="3"/>
    <x v="35"/>
    <x v="32"/>
    <x v="25"/>
    <x v="6"/>
    <x v="37"/>
    <x v="8"/>
    <x v="0"/>
    <x v="0"/>
    <x v="0"/>
    <x v="0"/>
    <x v="0"/>
    <x v="0"/>
    <x v="0"/>
    <x v="82"/>
    <x v="0"/>
    <x v="2"/>
    <x v="33"/>
    <x v="45"/>
    <x v="12"/>
    <x v="12"/>
    <x v="0"/>
    <x v="0"/>
    <x v="45"/>
    <x v="29"/>
    <x v="7"/>
    <x v="15"/>
    <x v="27"/>
    <x v="39"/>
    <x v="10"/>
    <x v="0"/>
    <x v="10"/>
    <x v="17"/>
    <x v="6"/>
    <x v="6"/>
    <x v="51"/>
    <x v="9"/>
    <x v="5"/>
    <x v="24"/>
    <x v="0"/>
    <x v="8"/>
    <x v="7"/>
    <x v="28"/>
    <x v="4"/>
    <x v="6"/>
    <x v="12"/>
    <x v="37"/>
    <x v="34"/>
    <x v="7"/>
    <x v="61"/>
    <x v="2"/>
    <x v="7"/>
    <x v="67"/>
    <x v="66"/>
    <x v="77"/>
    <x v="80"/>
    <x v="2"/>
    <x v="1"/>
    <x v="1"/>
    <x v="1"/>
    <x v="48"/>
    <x v="0"/>
    <x v="1"/>
    <x v="9"/>
    <x v="2"/>
    <x v="9"/>
    <x v="3"/>
    <x v="5"/>
    <x v="5"/>
    <x v="4"/>
    <x v="36"/>
    <x v="2"/>
    <x v="31"/>
    <x v="7"/>
    <x v="10"/>
    <x v="51"/>
    <x v="1"/>
    <x v="115"/>
    <x v="1"/>
  </r>
  <r>
    <x v="5"/>
    <x v="89"/>
    <x v="96"/>
    <x v="21"/>
    <x v="64"/>
    <x v="0"/>
    <x v="3"/>
    <x v="2"/>
    <x v="3"/>
    <x v="35"/>
    <x v="32"/>
    <x v="25"/>
    <x v="8"/>
    <x v="39"/>
    <x v="8"/>
    <x v="0"/>
    <x v="0"/>
    <x v="0"/>
    <x v="0"/>
    <x v="0"/>
    <x v="0"/>
    <x v="0"/>
    <x v="86"/>
    <x v="0"/>
    <x v="2"/>
    <x v="36"/>
    <x v="47"/>
    <x v="12"/>
    <x v="12"/>
    <x v="0"/>
    <x v="0"/>
    <x v="45"/>
    <x v="29"/>
    <x v="7"/>
    <x v="15"/>
    <x v="27"/>
    <x v="39"/>
    <x v="10"/>
    <x v="0"/>
    <x v="10"/>
    <x v="17"/>
    <x v="6"/>
    <x v="6"/>
    <x v="50"/>
    <x v="9"/>
    <x v="7"/>
    <x v="24"/>
    <x v="0"/>
    <x v="8"/>
    <x v="7"/>
    <x v="28"/>
    <x v="4"/>
    <x v="6"/>
    <x v="12"/>
    <x v="37"/>
    <x v="35"/>
    <x v="7"/>
    <x v="64"/>
    <x v="2"/>
    <x v="7"/>
    <x v="68"/>
    <x v="68"/>
    <x v="78"/>
    <x v="82"/>
    <x v="2"/>
    <x v="1"/>
    <x v="1"/>
    <x v="1"/>
    <x v="47"/>
    <x v="0"/>
    <x v="1"/>
    <x v="9"/>
    <x v="2"/>
    <x v="9"/>
    <x v="3"/>
    <x v="5"/>
    <x v="5"/>
    <x v="4"/>
    <x v="36"/>
    <x v="2"/>
    <x v="33"/>
    <x v="7"/>
    <x v="12"/>
    <x v="51"/>
    <x v="1"/>
    <x v="117"/>
    <x v="1"/>
  </r>
  <r>
    <x v="18"/>
    <x v="16"/>
    <x v="100"/>
    <x v="26"/>
    <x v="65"/>
    <x v="0"/>
    <x v="1"/>
    <x v="4"/>
    <x v="3"/>
    <x v="38"/>
    <x v="32"/>
    <x v="25"/>
    <x v="13"/>
    <x v="23"/>
    <x v="8"/>
    <x v="0"/>
    <x v="0"/>
    <x v="0"/>
    <x v="0"/>
    <x v="0"/>
    <x v="0"/>
    <x v="0"/>
    <x v="44"/>
    <x v="0"/>
    <x v="4"/>
    <x v="19"/>
    <x v="65"/>
    <x v="8"/>
    <x v="8"/>
    <x v="0"/>
    <x v="0"/>
    <x v="17"/>
    <x v="11"/>
    <x v="15"/>
    <x v="15"/>
    <x v="0"/>
    <x v="11"/>
    <x v="6"/>
    <x v="0"/>
    <x v="6"/>
    <x v="17"/>
    <x v="6"/>
    <x v="6"/>
    <x v="73"/>
    <x v="9"/>
    <x v="36"/>
    <x v="36"/>
    <x v="0"/>
    <x v="8"/>
    <x v="10"/>
    <x v="28"/>
    <x v="20"/>
    <x v="7"/>
    <x v="8"/>
    <x v="24"/>
    <x v="20"/>
    <x v="4"/>
    <x v="0"/>
    <x v="1"/>
    <x v="10"/>
    <x v="45"/>
    <x v="36"/>
    <x v="59"/>
    <x v="53"/>
    <x v="2"/>
    <x v="1"/>
    <x v="1"/>
    <x v="1"/>
    <x v="54"/>
    <x v="0"/>
    <x v="6"/>
    <x v="9"/>
    <x v="6"/>
    <x v="9"/>
    <x v="3"/>
    <x v="8"/>
    <x v="4"/>
    <x v="13"/>
    <x v="32"/>
    <x v="7"/>
    <x v="4"/>
    <x v="6"/>
    <x v="0"/>
    <x v="87"/>
    <x v="0"/>
    <x v="82"/>
    <x v="1"/>
  </r>
  <r>
    <x v="3"/>
    <x v="52"/>
    <x v="101"/>
    <x v="26"/>
    <x v="67"/>
    <x v="0"/>
    <x v="3"/>
    <x v="5"/>
    <x v="4"/>
    <x v="37"/>
    <x v="32"/>
    <x v="25"/>
    <x v="4"/>
    <x v="33"/>
    <x v="8"/>
    <x v="0"/>
    <x v="0"/>
    <x v="0"/>
    <x v="0"/>
    <x v="0"/>
    <x v="0"/>
    <x v="0"/>
    <x v="71"/>
    <x v="0"/>
    <x v="2"/>
    <x v="28"/>
    <x v="41"/>
    <x v="9"/>
    <x v="9"/>
    <x v="0"/>
    <x v="0"/>
    <x v="49"/>
    <x v="23"/>
    <x v="15"/>
    <x v="15"/>
    <x v="29"/>
    <x v="19"/>
    <x v="8"/>
    <x v="0"/>
    <x v="8"/>
    <x v="17"/>
    <x v="6"/>
    <x v="6"/>
    <x v="29"/>
    <x v="9"/>
    <x v="25"/>
    <x v="17"/>
    <x v="0"/>
    <x v="8"/>
    <x v="5"/>
    <x v="28"/>
    <x v="4"/>
    <x v="7"/>
    <x v="9"/>
    <x v="35"/>
    <x v="29"/>
    <x v="5"/>
    <x v="52"/>
    <x v="0"/>
    <x v="5"/>
    <x v="49"/>
    <x v="47"/>
    <x v="63"/>
    <x v="64"/>
    <x v="2"/>
    <x v="1"/>
    <x v="1"/>
    <x v="1"/>
    <x v="54"/>
    <x v="0"/>
    <x v="6"/>
    <x v="3"/>
    <x v="2"/>
    <x v="9"/>
    <x v="3"/>
    <x v="5"/>
    <x v="4"/>
    <x v="6"/>
    <x v="31"/>
    <x v="9"/>
    <x v="24"/>
    <x v="4"/>
    <x v="8"/>
    <x v="84"/>
    <x v="1"/>
    <x v="79"/>
    <x v="1"/>
  </r>
  <r>
    <x v="102"/>
    <x v="51"/>
    <x v="119"/>
    <x v="26"/>
    <x v="68"/>
    <x v="0"/>
    <x v="3"/>
    <x v="5"/>
    <x v="2"/>
    <x v="38"/>
    <x v="32"/>
    <x v="25"/>
    <x v="11"/>
    <x v="43"/>
    <x v="8"/>
    <x v="0"/>
    <x v="0"/>
    <x v="0"/>
    <x v="0"/>
    <x v="0"/>
    <x v="0"/>
    <x v="0"/>
    <x v="67"/>
    <x v="0"/>
    <x v="2"/>
    <x v="35"/>
    <x v="69"/>
    <x v="16"/>
    <x v="16"/>
    <x v="0"/>
    <x v="0"/>
    <x v="47"/>
    <x v="31"/>
    <x v="14"/>
    <x v="14"/>
    <x v="30"/>
    <x v="41"/>
    <x v="11"/>
    <x v="0"/>
    <x v="11"/>
    <x v="16"/>
    <x v="4"/>
    <x v="4"/>
    <x v="35"/>
    <x v="9"/>
    <x v="35"/>
    <x v="20"/>
    <x v="0"/>
    <x v="8"/>
    <x v="11"/>
    <x v="28"/>
    <x v="11"/>
    <x v="10"/>
    <x v="14"/>
    <x v="37"/>
    <x v="35"/>
    <x v="4"/>
    <x v="71"/>
    <x v="0"/>
    <x v="8"/>
    <x v="81"/>
    <x v="69"/>
    <x v="86"/>
    <x v="83"/>
    <x v="2"/>
    <x v="1"/>
    <x v="1"/>
    <x v="1"/>
    <x v="54"/>
    <x v="0"/>
    <x v="6"/>
    <x v="5"/>
    <x v="1"/>
    <x v="6"/>
    <x v="0"/>
    <x v="5"/>
    <x v="4"/>
    <x v="6"/>
    <x v="31"/>
    <x v="8"/>
    <x v="15"/>
    <x v="1"/>
    <x v="3"/>
    <x v="25"/>
    <x v="5"/>
    <x v="48"/>
    <x v="1"/>
  </r>
  <r>
    <x v="102"/>
    <x v="50"/>
    <x v="120"/>
    <x v="25"/>
    <x v="68"/>
    <x v="0"/>
    <x v="3"/>
    <x v="5"/>
    <x v="2"/>
    <x v="38"/>
    <x v="32"/>
    <x v="25"/>
    <x v="10"/>
    <x v="41"/>
    <x v="8"/>
    <x v="0"/>
    <x v="0"/>
    <x v="0"/>
    <x v="0"/>
    <x v="0"/>
    <x v="0"/>
    <x v="0"/>
    <x v="66"/>
    <x v="0"/>
    <x v="2"/>
    <x v="32"/>
    <x v="61"/>
    <x v="16"/>
    <x v="16"/>
    <x v="0"/>
    <x v="0"/>
    <x v="47"/>
    <x v="31"/>
    <x v="14"/>
    <x v="14"/>
    <x v="28"/>
    <x v="41"/>
    <x v="11"/>
    <x v="0"/>
    <x v="11"/>
    <x v="15"/>
    <x v="5"/>
    <x v="5"/>
    <x v="36"/>
    <x v="9"/>
    <x v="8"/>
    <x v="20"/>
    <x v="0"/>
    <x v="8"/>
    <x v="11"/>
    <x v="28"/>
    <x v="6"/>
    <x v="7"/>
    <x v="14"/>
    <x v="37"/>
    <x v="33"/>
    <x v="4"/>
    <x v="68"/>
    <x v="0"/>
    <x v="8"/>
    <x v="77"/>
    <x v="65"/>
    <x v="83"/>
    <x v="79"/>
    <x v="2"/>
    <x v="1"/>
    <x v="1"/>
    <x v="1"/>
    <x v="54"/>
    <x v="0"/>
    <x v="6"/>
    <x v="5"/>
    <x v="1"/>
    <x v="6"/>
    <x v="3"/>
    <x v="5"/>
    <x v="4"/>
    <x v="6"/>
    <x v="31"/>
    <x v="8"/>
    <x v="13"/>
    <x v="1"/>
    <x v="2"/>
    <x v="6"/>
    <x v="0"/>
    <x v="46"/>
    <x v="1"/>
  </r>
  <r>
    <x v="69"/>
    <x v="58"/>
    <x v="106"/>
    <x v="26"/>
    <x v="69"/>
    <x v="0"/>
    <x v="3"/>
    <x v="4"/>
    <x v="2"/>
    <x v="39"/>
    <x v="32"/>
    <x v="25"/>
    <x v="4"/>
    <x v="32"/>
    <x v="1"/>
    <x v="0"/>
    <x v="0"/>
    <x v="0"/>
    <x v="0"/>
    <x v="0"/>
    <x v="0"/>
    <x v="0"/>
    <x v="80"/>
    <x v="0"/>
    <x v="2"/>
    <x v="22"/>
    <x v="26"/>
    <x v="13"/>
    <x v="13"/>
    <x v="0"/>
    <x v="0"/>
    <x v="48"/>
    <x v="30"/>
    <x v="15"/>
    <x v="15"/>
    <x v="37"/>
    <x v="38"/>
    <x v="10"/>
    <x v="0"/>
    <x v="10"/>
    <x v="8"/>
    <x v="6"/>
    <x v="6"/>
    <x v="32"/>
    <x v="3"/>
    <x v="25"/>
    <x v="36"/>
    <x v="0"/>
    <x v="8"/>
    <x v="8"/>
    <x v="28"/>
    <x v="4"/>
    <x v="7"/>
    <x v="13"/>
    <x v="33"/>
    <x v="23"/>
    <x v="3"/>
    <x v="60"/>
    <x v="1"/>
    <x v="10"/>
    <x v="70"/>
    <x v="56"/>
    <x v="80"/>
    <x v="71"/>
    <x v="2"/>
    <x v="1"/>
    <x v="1"/>
    <x v="1"/>
    <x v="36"/>
    <x v="0"/>
    <x v="6"/>
    <x v="9"/>
    <x v="3"/>
    <x v="9"/>
    <x v="3"/>
    <x v="5"/>
    <x v="4"/>
    <x v="6"/>
    <x v="31"/>
    <x v="6"/>
    <x v="27"/>
    <x v="3"/>
    <x v="8"/>
    <x v="57"/>
    <x v="2"/>
    <x v="71"/>
    <x v="1"/>
  </r>
  <r>
    <x v="70"/>
    <x v="57"/>
    <x v="107"/>
    <x v="23"/>
    <x v="70"/>
    <x v="0"/>
    <x v="3"/>
    <x v="4"/>
    <x v="2"/>
    <x v="39"/>
    <x v="32"/>
    <x v="25"/>
    <x v="8"/>
    <x v="38"/>
    <x v="4"/>
    <x v="0"/>
    <x v="0"/>
    <x v="0"/>
    <x v="0"/>
    <x v="0"/>
    <x v="0"/>
    <x v="0"/>
    <x v="89"/>
    <x v="0"/>
    <x v="2"/>
    <x v="22"/>
    <x v="14"/>
    <x v="13"/>
    <x v="13"/>
    <x v="0"/>
    <x v="0"/>
    <x v="48"/>
    <x v="30"/>
    <x v="15"/>
    <x v="15"/>
    <x v="37"/>
    <x v="38"/>
    <x v="10"/>
    <x v="0"/>
    <x v="10"/>
    <x v="9"/>
    <x v="6"/>
    <x v="6"/>
    <x v="31"/>
    <x v="3"/>
    <x v="7"/>
    <x v="18"/>
    <x v="0"/>
    <x v="8"/>
    <x v="8"/>
    <x v="28"/>
    <x v="4"/>
    <x v="7"/>
    <x v="13"/>
    <x v="37"/>
    <x v="23"/>
    <x v="3"/>
    <x v="67"/>
    <x v="1"/>
    <x v="10"/>
    <x v="76"/>
    <x v="61"/>
    <x v="82"/>
    <x v="75"/>
    <x v="2"/>
    <x v="1"/>
    <x v="1"/>
    <x v="1"/>
    <x v="41"/>
    <x v="0"/>
    <x v="6"/>
    <x v="9"/>
    <x v="3"/>
    <x v="9"/>
    <x v="3"/>
    <x v="5"/>
    <x v="4"/>
    <x v="6"/>
    <x v="31"/>
    <x v="6"/>
    <x v="33"/>
    <x v="3"/>
    <x v="12"/>
    <x v="57"/>
    <x v="2"/>
    <x v="73"/>
    <x v="1"/>
  </r>
  <r>
    <x v="71"/>
    <x v="59"/>
    <x v="108"/>
    <x v="23"/>
    <x v="71"/>
    <x v="0"/>
    <x v="3"/>
    <x v="5"/>
    <x v="2"/>
    <x v="39"/>
    <x v="32"/>
    <x v="25"/>
    <x v="4"/>
    <x v="32"/>
    <x v="8"/>
    <x v="0"/>
    <x v="0"/>
    <x v="0"/>
    <x v="0"/>
    <x v="0"/>
    <x v="0"/>
    <x v="0"/>
    <x v="77"/>
    <x v="0"/>
    <x v="2"/>
    <x v="22"/>
    <x v="29"/>
    <x v="13"/>
    <x v="13"/>
    <x v="0"/>
    <x v="0"/>
    <x v="48"/>
    <x v="30"/>
    <x v="15"/>
    <x v="15"/>
    <x v="37"/>
    <x v="38"/>
    <x v="10"/>
    <x v="0"/>
    <x v="10"/>
    <x v="8"/>
    <x v="6"/>
    <x v="6"/>
    <x v="32"/>
    <x v="3"/>
    <x v="3"/>
    <x v="18"/>
    <x v="0"/>
    <x v="8"/>
    <x v="8"/>
    <x v="28"/>
    <x v="4"/>
    <x v="7"/>
    <x v="13"/>
    <x v="33"/>
    <x v="23"/>
    <x v="3"/>
    <x v="60"/>
    <x v="0"/>
    <x v="8"/>
    <x v="67"/>
    <x v="52"/>
    <x v="77"/>
    <x v="68"/>
    <x v="2"/>
    <x v="1"/>
    <x v="1"/>
    <x v="1"/>
    <x v="40"/>
    <x v="0"/>
    <x v="6"/>
    <x v="9"/>
    <x v="3"/>
    <x v="9"/>
    <x v="3"/>
    <x v="5"/>
    <x v="4"/>
    <x v="6"/>
    <x v="31"/>
    <x v="8"/>
    <x v="27"/>
    <x v="1"/>
    <x v="8"/>
    <x v="58"/>
    <x v="2"/>
    <x v="62"/>
    <x v="1"/>
  </r>
  <r>
    <x v="72"/>
    <x v="60"/>
    <x v="109"/>
    <x v="23"/>
    <x v="72"/>
    <x v="0"/>
    <x v="3"/>
    <x v="5"/>
    <x v="2"/>
    <x v="39"/>
    <x v="32"/>
    <x v="25"/>
    <x v="8"/>
    <x v="38"/>
    <x v="8"/>
    <x v="0"/>
    <x v="0"/>
    <x v="0"/>
    <x v="0"/>
    <x v="0"/>
    <x v="0"/>
    <x v="0"/>
    <x v="88"/>
    <x v="0"/>
    <x v="2"/>
    <x v="22"/>
    <x v="16"/>
    <x v="13"/>
    <x v="13"/>
    <x v="0"/>
    <x v="0"/>
    <x v="48"/>
    <x v="30"/>
    <x v="15"/>
    <x v="15"/>
    <x v="37"/>
    <x v="38"/>
    <x v="10"/>
    <x v="0"/>
    <x v="10"/>
    <x v="9"/>
    <x v="6"/>
    <x v="6"/>
    <x v="31"/>
    <x v="3"/>
    <x v="7"/>
    <x v="18"/>
    <x v="0"/>
    <x v="8"/>
    <x v="8"/>
    <x v="28"/>
    <x v="4"/>
    <x v="7"/>
    <x v="13"/>
    <x v="37"/>
    <x v="23"/>
    <x v="3"/>
    <x v="67"/>
    <x v="0"/>
    <x v="8"/>
    <x v="75"/>
    <x v="59"/>
    <x v="81"/>
    <x v="73"/>
    <x v="2"/>
    <x v="1"/>
    <x v="1"/>
    <x v="1"/>
    <x v="39"/>
    <x v="0"/>
    <x v="6"/>
    <x v="9"/>
    <x v="3"/>
    <x v="9"/>
    <x v="3"/>
    <x v="5"/>
    <x v="4"/>
    <x v="6"/>
    <x v="31"/>
    <x v="8"/>
    <x v="33"/>
    <x v="1"/>
    <x v="12"/>
    <x v="58"/>
    <x v="2"/>
    <x v="64"/>
    <x v="1"/>
  </r>
  <r>
    <x v="73"/>
    <x v="61"/>
    <x v="110"/>
    <x v="23"/>
    <x v="73"/>
    <x v="0"/>
    <x v="3"/>
    <x v="4"/>
    <x v="2"/>
    <x v="39"/>
    <x v="32"/>
    <x v="25"/>
    <x v="4"/>
    <x v="32"/>
    <x v="3"/>
    <x v="0"/>
    <x v="0"/>
    <x v="0"/>
    <x v="0"/>
    <x v="0"/>
    <x v="0"/>
    <x v="0"/>
    <x v="80"/>
    <x v="0"/>
    <x v="2"/>
    <x v="22"/>
    <x v="26"/>
    <x v="13"/>
    <x v="13"/>
    <x v="0"/>
    <x v="0"/>
    <x v="48"/>
    <x v="30"/>
    <x v="15"/>
    <x v="15"/>
    <x v="37"/>
    <x v="38"/>
    <x v="10"/>
    <x v="0"/>
    <x v="10"/>
    <x v="8"/>
    <x v="6"/>
    <x v="6"/>
    <x v="32"/>
    <x v="3"/>
    <x v="3"/>
    <x v="18"/>
    <x v="0"/>
    <x v="8"/>
    <x v="8"/>
    <x v="28"/>
    <x v="4"/>
    <x v="7"/>
    <x v="13"/>
    <x v="33"/>
    <x v="23"/>
    <x v="3"/>
    <x v="60"/>
    <x v="1"/>
    <x v="10"/>
    <x v="70"/>
    <x v="56"/>
    <x v="80"/>
    <x v="71"/>
    <x v="2"/>
    <x v="1"/>
    <x v="1"/>
    <x v="1"/>
    <x v="38"/>
    <x v="0"/>
    <x v="6"/>
    <x v="9"/>
    <x v="3"/>
    <x v="9"/>
    <x v="3"/>
    <x v="5"/>
    <x v="4"/>
    <x v="6"/>
    <x v="31"/>
    <x v="6"/>
    <x v="27"/>
    <x v="3"/>
    <x v="8"/>
    <x v="59"/>
    <x v="2"/>
    <x v="72"/>
    <x v="1"/>
  </r>
  <r>
    <x v="74"/>
    <x v="62"/>
    <x v="111"/>
    <x v="23"/>
    <x v="74"/>
    <x v="0"/>
    <x v="3"/>
    <x v="4"/>
    <x v="2"/>
    <x v="39"/>
    <x v="32"/>
    <x v="25"/>
    <x v="8"/>
    <x v="38"/>
    <x v="7"/>
    <x v="0"/>
    <x v="0"/>
    <x v="0"/>
    <x v="0"/>
    <x v="0"/>
    <x v="0"/>
    <x v="0"/>
    <x v="89"/>
    <x v="0"/>
    <x v="2"/>
    <x v="22"/>
    <x v="14"/>
    <x v="13"/>
    <x v="13"/>
    <x v="0"/>
    <x v="0"/>
    <x v="48"/>
    <x v="30"/>
    <x v="15"/>
    <x v="15"/>
    <x v="37"/>
    <x v="38"/>
    <x v="10"/>
    <x v="0"/>
    <x v="10"/>
    <x v="9"/>
    <x v="6"/>
    <x v="6"/>
    <x v="31"/>
    <x v="3"/>
    <x v="7"/>
    <x v="18"/>
    <x v="0"/>
    <x v="8"/>
    <x v="8"/>
    <x v="28"/>
    <x v="4"/>
    <x v="7"/>
    <x v="13"/>
    <x v="37"/>
    <x v="23"/>
    <x v="3"/>
    <x v="67"/>
    <x v="1"/>
    <x v="10"/>
    <x v="76"/>
    <x v="61"/>
    <x v="82"/>
    <x v="75"/>
    <x v="2"/>
    <x v="1"/>
    <x v="1"/>
    <x v="1"/>
    <x v="37"/>
    <x v="0"/>
    <x v="6"/>
    <x v="9"/>
    <x v="3"/>
    <x v="9"/>
    <x v="3"/>
    <x v="5"/>
    <x v="4"/>
    <x v="6"/>
    <x v="31"/>
    <x v="6"/>
    <x v="33"/>
    <x v="3"/>
    <x v="12"/>
    <x v="59"/>
    <x v="2"/>
    <x v="74"/>
    <x v="1"/>
  </r>
  <r>
    <x v="103"/>
    <x v="55"/>
    <x v="102"/>
    <x v="26"/>
    <x v="75"/>
    <x v="0"/>
    <x v="3"/>
    <x v="3"/>
    <x v="1"/>
    <x v="40"/>
    <x v="32"/>
    <x v="25"/>
    <x v="5"/>
    <x v="36"/>
    <x v="2"/>
    <x v="0"/>
    <x v="0"/>
    <x v="0"/>
    <x v="0"/>
    <x v="0"/>
    <x v="0"/>
    <x v="0"/>
    <x v="73"/>
    <x v="0"/>
    <x v="3"/>
    <x v="27"/>
    <x v="37"/>
    <x v="7"/>
    <x v="7"/>
    <x v="0"/>
    <x v="0"/>
    <x v="33"/>
    <x v="20"/>
    <x v="15"/>
    <x v="15"/>
    <x v="33"/>
    <x v="19"/>
    <x v="8"/>
    <x v="0"/>
    <x v="8"/>
    <x v="17"/>
    <x v="6"/>
    <x v="6"/>
    <x v="30"/>
    <x v="2"/>
    <x v="26"/>
    <x v="36"/>
    <x v="0"/>
    <x v="8"/>
    <x v="8"/>
    <x v="28"/>
    <x v="4"/>
    <x v="7"/>
    <x v="7"/>
    <x v="37"/>
    <x v="28"/>
    <x v="2"/>
    <x v="62"/>
    <x v="0"/>
    <x v="6"/>
    <x v="52"/>
    <x v="48"/>
    <x v="66"/>
    <x v="65"/>
    <x v="2"/>
    <x v="1"/>
    <x v="1"/>
    <x v="1"/>
    <x v="54"/>
    <x v="0"/>
    <x v="2"/>
    <x v="2"/>
    <x v="6"/>
    <x v="9"/>
    <x v="3"/>
    <x v="5"/>
    <x v="4"/>
    <x v="5"/>
    <x v="30"/>
    <x v="3"/>
    <x v="28"/>
    <x v="2"/>
    <x v="9"/>
    <x v="56"/>
    <x v="0"/>
    <x v="69"/>
    <x v="1"/>
  </r>
  <r>
    <x v="106"/>
    <x v="56"/>
    <x v="103"/>
    <x v="26"/>
    <x v="76"/>
    <x v="0"/>
    <x v="3"/>
    <x v="5"/>
    <x v="2"/>
    <x v="41"/>
    <x v="32"/>
    <x v="25"/>
    <x v="10"/>
    <x v="40"/>
    <x v="2"/>
    <x v="0"/>
    <x v="0"/>
    <x v="0"/>
    <x v="0"/>
    <x v="0"/>
    <x v="0"/>
    <x v="0"/>
    <x v="73"/>
    <x v="0"/>
    <x v="2"/>
    <x v="34"/>
    <x v="57"/>
    <x v="9"/>
    <x v="9"/>
    <x v="0"/>
    <x v="0"/>
    <x v="29"/>
    <x v="19"/>
    <x v="15"/>
    <x v="15"/>
    <x v="33"/>
    <x v="19"/>
    <x v="8"/>
    <x v="0"/>
    <x v="8"/>
    <x v="14"/>
    <x v="6"/>
    <x v="6"/>
    <x v="62"/>
    <x v="9"/>
    <x v="34"/>
    <x v="31"/>
    <x v="0"/>
    <x v="8"/>
    <x v="8"/>
    <x v="28"/>
    <x v="4"/>
    <x v="7"/>
    <x v="9"/>
    <x v="37"/>
    <x v="35"/>
    <x v="1"/>
    <x v="70"/>
    <x v="0"/>
    <x v="5"/>
    <x v="65"/>
    <x v="62"/>
    <x v="75"/>
    <x v="76"/>
    <x v="2"/>
    <x v="1"/>
    <x v="1"/>
    <x v="1"/>
    <x v="54"/>
    <x v="0"/>
    <x v="4"/>
    <x v="1"/>
    <x v="6"/>
    <x v="9"/>
    <x v="3"/>
    <x v="5"/>
    <x v="4"/>
    <x v="5"/>
    <x v="30"/>
    <x v="8"/>
    <x v="34"/>
    <x v="1"/>
    <x v="2"/>
    <x v="32"/>
    <x v="0"/>
    <x v="47"/>
    <x v="1"/>
  </r>
  <r>
    <x v="75"/>
    <x v="63"/>
    <x v="105"/>
    <x v="26"/>
    <x v="77"/>
    <x v="0"/>
    <x v="3"/>
    <x v="4"/>
    <x v="2"/>
    <x v="42"/>
    <x v="32"/>
    <x v="25"/>
    <x v="4"/>
    <x v="36"/>
    <x v="5"/>
    <x v="0"/>
    <x v="0"/>
    <x v="0"/>
    <x v="0"/>
    <x v="0"/>
    <x v="0"/>
    <x v="0"/>
    <x v="78"/>
    <x v="0"/>
    <x v="2"/>
    <x v="22"/>
    <x v="28"/>
    <x v="12"/>
    <x v="12"/>
    <x v="0"/>
    <x v="0"/>
    <x v="46"/>
    <x v="25"/>
    <x v="15"/>
    <x v="15"/>
    <x v="33"/>
    <x v="29"/>
    <x v="9"/>
    <x v="0"/>
    <x v="9"/>
    <x v="8"/>
    <x v="6"/>
    <x v="6"/>
    <x v="33"/>
    <x v="4"/>
    <x v="25"/>
    <x v="36"/>
    <x v="0"/>
    <x v="8"/>
    <x v="8"/>
    <x v="28"/>
    <x v="4"/>
    <x v="7"/>
    <x v="12"/>
    <x v="37"/>
    <x v="23"/>
    <x v="0"/>
    <x v="56"/>
    <x v="1"/>
    <x v="10"/>
    <x v="69"/>
    <x v="55"/>
    <x v="79"/>
    <x v="70"/>
    <x v="2"/>
    <x v="1"/>
    <x v="1"/>
    <x v="1"/>
    <x v="54"/>
    <x v="0"/>
    <x v="2"/>
    <x v="9"/>
    <x v="3"/>
    <x v="9"/>
    <x v="3"/>
    <x v="5"/>
    <x v="4"/>
    <x v="6"/>
    <x v="31"/>
    <x v="6"/>
    <x v="25"/>
    <x v="3"/>
    <x v="8"/>
    <x v="60"/>
    <x v="2"/>
    <x v="70"/>
    <x v="1"/>
  </r>
  <r>
    <x v="99"/>
    <x v="115"/>
    <x v="10"/>
    <x v="26"/>
    <x v="78"/>
    <x v="0"/>
    <x v="4"/>
    <x v="9"/>
    <x v="3"/>
    <x v="1"/>
    <x v="0"/>
    <x v="2"/>
    <x v="13"/>
    <x v="44"/>
    <x v="8"/>
    <x v="0"/>
    <x v="0"/>
    <x v="0"/>
    <x v="0"/>
    <x v="0"/>
    <x v="0"/>
    <x v="0"/>
    <x v="0"/>
    <x v="0"/>
    <x v="0"/>
    <x v="37"/>
    <x v="74"/>
    <x v="3"/>
    <x v="3"/>
    <x v="0"/>
    <x v="0"/>
    <x v="1"/>
    <x v="1"/>
    <x v="1"/>
    <x v="2"/>
    <x v="3"/>
    <x v="44"/>
    <x v="1"/>
    <x v="0"/>
    <x v="1"/>
    <x v="17"/>
    <x v="6"/>
    <x v="6"/>
    <x v="73"/>
    <x v="9"/>
    <x v="36"/>
    <x v="36"/>
    <x v="0"/>
    <x v="8"/>
    <x v="8"/>
    <x v="24"/>
    <x v="7"/>
    <x v="13"/>
    <x v="3"/>
    <x v="0"/>
    <x v="0"/>
    <x v="42"/>
    <x v="8"/>
    <x v="2"/>
    <x v="1"/>
    <x v="1"/>
    <x v="6"/>
    <x v="0"/>
    <x v="3"/>
    <x v="2"/>
    <x v="1"/>
    <x v="1"/>
    <x v="1"/>
    <x v="54"/>
    <x v="0"/>
    <x v="6"/>
    <x v="0"/>
    <x v="1"/>
    <x v="7"/>
    <x v="3"/>
    <x v="6"/>
    <x v="2"/>
    <x v="14"/>
    <x v="15"/>
    <x v="13"/>
    <x v="1"/>
    <x v="0"/>
    <x v="0"/>
    <x v="83"/>
    <x v="0"/>
    <x v="15"/>
    <x v="1"/>
  </r>
  <r>
    <x v="2"/>
    <x v="112"/>
    <x v="14"/>
    <x v="26"/>
    <x v="80"/>
    <x v="0"/>
    <x v="4"/>
    <x v="9"/>
    <x v="3"/>
    <x v="7"/>
    <x v="9"/>
    <x v="8"/>
    <x v="13"/>
    <x v="44"/>
    <x v="8"/>
    <x v="0"/>
    <x v="0"/>
    <x v="0"/>
    <x v="0"/>
    <x v="0"/>
    <x v="0"/>
    <x v="0"/>
    <x v="6"/>
    <x v="0"/>
    <x v="2"/>
    <x v="37"/>
    <x v="74"/>
    <x v="3"/>
    <x v="3"/>
    <x v="0"/>
    <x v="0"/>
    <x v="1"/>
    <x v="1"/>
    <x v="1"/>
    <x v="2"/>
    <x v="5"/>
    <x v="44"/>
    <x v="1"/>
    <x v="0"/>
    <x v="1"/>
    <x v="17"/>
    <x v="6"/>
    <x v="6"/>
    <x v="73"/>
    <x v="9"/>
    <x v="36"/>
    <x v="36"/>
    <x v="0"/>
    <x v="8"/>
    <x v="8"/>
    <x v="9"/>
    <x v="7"/>
    <x v="22"/>
    <x v="3"/>
    <x v="0"/>
    <x v="0"/>
    <x v="36"/>
    <x v="17"/>
    <x v="2"/>
    <x v="1"/>
    <x v="1"/>
    <x v="6"/>
    <x v="0"/>
    <x v="3"/>
    <x v="2"/>
    <x v="1"/>
    <x v="1"/>
    <x v="1"/>
    <x v="54"/>
    <x v="0"/>
    <x v="6"/>
    <x v="0"/>
    <x v="1"/>
    <x v="7"/>
    <x v="3"/>
    <x v="0"/>
    <x v="1"/>
    <x v="14"/>
    <x v="11"/>
    <x v="13"/>
    <x v="1"/>
    <x v="0"/>
    <x v="0"/>
    <x v="79"/>
    <x v="0"/>
    <x v="14"/>
    <x v="0"/>
  </r>
  <r>
    <x v="98"/>
    <x v="110"/>
    <x v="15"/>
    <x v="26"/>
    <x v="81"/>
    <x v="0"/>
    <x v="4"/>
    <x v="9"/>
    <x v="3"/>
    <x v="16"/>
    <x v="28"/>
    <x v="21"/>
    <x v="13"/>
    <x v="44"/>
    <x v="8"/>
    <x v="0"/>
    <x v="0"/>
    <x v="0"/>
    <x v="0"/>
    <x v="0"/>
    <x v="0"/>
    <x v="0"/>
    <x v="4"/>
    <x v="0"/>
    <x v="1"/>
    <x v="37"/>
    <x v="74"/>
    <x v="3"/>
    <x v="3"/>
    <x v="0"/>
    <x v="0"/>
    <x v="5"/>
    <x v="1"/>
    <x v="2"/>
    <x v="11"/>
    <x v="10"/>
    <x v="45"/>
    <x v="1"/>
    <x v="0"/>
    <x v="1"/>
    <x v="17"/>
    <x v="6"/>
    <x v="6"/>
    <x v="73"/>
    <x v="9"/>
    <x v="36"/>
    <x v="36"/>
    <x v="0"/>
    <x v="8"/>
    <x v="8"/>
    <x v="24"/>
    <x v="7"/>
    <x v="22"/>
    <x v="3"/>
    <x v="0"/>
    <x v="0"/>
    <x v="27"/>
    <x v="30"/>
    <x v="2"/>
    <x v="1"/>
    <x v="2"/>
    <x v="7"/>
    <x v="1"/>
    <x v="4"/>
    <x v="2"/>
    <x v="1"/>
    <x v="1"/>
    <x v="1"/>
    <x v="54"/>
    <x v="0"/>
    <x v="6"/>
    <x v="0"/>
    <x v="1"/>
    <x v="7"/>
    <x v="3"/>
    <x v="0"/>
    <x v="1"/>
    <x v="14"/>
    <x v="11"/>
    <x v="13"/>
    <x v="1"/>
    <x v="0"/>
    <x v="0"/>
    <x v="78"/>
    <x v="0"/>
    <x v="13"/>
    <x v="0"/>
  </r>
  <r>
    <x v="76"/>
    <x v="72"/>
    <x v="16"/>
    <x v="26"/>
    <x v="82"/>
    <x v="0"/>
    <x v="4"/>
    <x v="9"/>
    <x v="3"/>
    <x v="36"/>
    <x v="32"/>
    <x v="25"/>
    <x v="13"/>
    <x v="44"/>
    <x v="8"/>
    <x v="0"/>
    <x v="0"/>
    <x v="0"/>
    <x v="0"/>
    <x v="0"/>
    <x v="0"/>
    <x v="0"/>
    <x v="9"/>
    <x v="0"/>
    <x v="2"/>
    <x v="37"/>
    <x v="74"/>
    <x v="5"/>
    <x v="5"/>
    <x v="0"/>
    <x v="0"/>
    <x v="16"/>
    <x v="12"/>
    <x v="5"/>
    <x v="7"/>
    <x v="42"/>
    <x v="13"/>
    <x v="6"/>
    <x v="0"/>
    <x v="6"/>
    <x v="17"/>
    <x v="6"/>
    <x v="6"/>
    <x v="73"/>
    <x v="9"/>
    <x v="36"/>
    <x v="36"/>
    <x v="0"/>
    <x v="8"/>
    <x v="8"/>
    <x v="28"/>
    <x v="20"/>
    <x v="22"/>
    <x v="5"/>
    <x v="0"/>
    <x v="0"/>
    <x v="6"/>
    <x v="63"/>
    <x v="2"/>
    <x v="1"/>
    <x v="6"/>
    <x v="10"/>
    <x v="5"/>
    <x v="7"/>
    <x v="2"/>
    <x v="1"/>
    <x v="1"/>
    <x v="1"/>
    <x v="54"/>
    <x v="0"/>
    <x v="6"/>
    <x v="0"/>
    <x v="1"/>
    <x v="3"/>
    <x v="3"/>
    <x v="0"/>
    <x v="4"/>
    <x v="14"/>
    <x v="33"/>
    <x v="13"/>
    <x v="4"/>
    <x v="0"/>
    <x v="0"/>
    <x v="20"/>
    <x v="0"/>
    <x v="23"/>
    <x v="1"/>
  </r>
  <r>
    <x v="94"/>
    <x v="20"/>
    <x v="26"/>
    <x v="26"/>
    <x v="89"/>
    <x v="0"/>
    <x v="4"/>
    <x v="0"/>
    <x v="3"/>
    <x v="3"/>
    <x v="1"/>
    <x v="2"/>
    <x v="13"/>
    <x v="44"/>
    <x v="8"/>
    <x v="0"/>
    <x v="0"/>
    <x v="0"/>
    <x v="0"/>
    <x v="0"/>
    <x v="0"/>
    <x v="0"/>
    <x v="10"/>
    <x v="0"/>
    <x v="1"/>
    <x v="37"/>
    <x v="74"/>
    <x v="4"/>
    <x v="4"/>
    <x v="0"/>
    <x v="0"/>
    <x v="2"/>
    <x v="1"/>
    <x v="1"/>
    <x v="2"/>
    <x v="0"/>
    <x v="44"/>
    <x v="1"/>
    <x v="0"/>
    <x v="1"/>
    <x v="17"/>
    <x v="6"/>
    <x v="6"/>
    <x v="73"/>
    <x v="9"/>
    <x v="36"/>
    <x v="36"/>
    <x v="0"/>
    <x v="8"/>
    <x v="14"/>
    <x v="13"/>
    <x v="9"/>
    <x v="14"/>
    <x v="4"/>
    <x v="0"/>
    <x v="0"/>
    <x v="40"/>
    <x v="0"/>
    <x v="2"/>
    <x v="0"/>
    <x v="5"/>
    <x v="11"/>
    <x v="4"/>
    <x v="8"/>
    <x v="2"/>
    <x v="1"/>
    <x v="1"/>
    <x v="1"/>
    <x v="54"/>
    <x v="0"/>
    <x v="6"/>
    <x v="0"/>
    <x v="6"/>
    <x v="1"/>
    <x v="3"/>
    <x v="1"/>
    <x v="0"/>
    <x v="9"/>
    <x v="3"/>
    <x v="0"/>
    <x v="1"/>
    <x v="0"/>
    <x v="0"/>
    <x v="90"/>
    <x v="0"/>
    <x v="17"/>
    <x v="1"/>
  </r>
  <r>
    <x v="88"/>
    <x v="19"/>
    <x v="27"/>
    <x v="26"/>
    <x v="90"/>
    <x v="0"/>
    <x v="4"/>
    <x v="0"/>
    <x v="3"/>
    <x v="6"/>
    <x v="6"/>
    <x v="9"/>
    <x v="13"/>
    <x v="44"/>
    <x v="8"/>
    <x v="0"/>
    <x v="0"/>
    <x v="0"/>
    <x v="0"/>
    <x v="0"/>
    <x v="0"/>
    <x v="0"/>
    <x v="10"/>
    <x v="0"/>
    <x v="1"/>
    <x v="37"/>
    <x v="74"/>
    <x v="4"/>
    <x v="4"/>
    <x v="0"/>
    <x v="0"/>
    <x v="8"/>
    <x v="3"/>
    <x v="1"/>
    <x v="2"/>
    <x v="0"/>
    <x v="0"/>
    <x v="2"/>
    <x v="0"/>
    <x v="2"/>
    <x v="17"/>
    <x v="6"/>
    <x v="6"/>
    <x v="73"/>
    <x v="9"/>
    <x v="36"/>
    <x v="36"/>
    <x v="0"/>
    <x v="8"/>
    <x v="14"/>
    <x v="22"/>
    <x v="9"/>
    <x v="14"/>
    <x v="4"/>
    <x v="0"/>
    <x v="0"/>
    <x v="37"/>
    <x v="0"/>
    <x v="2"/>
    <x v="0"/>
    <x v="5"/>
    <x v="10"/>
    <x v="4"/>
    <x v="7"/>
    <x v="2"/>
    <x v="1"/>
    <x v="1"/>
    <x v="1"/>
    <x v="54"/>
    <x v="0"/>
    <x v="6"/>
    <x v="0"/>
    <x v="6"/>
    <x v="1"/>
    <x v="3"/>
    <x v="1"/>
    <x v="0"/>
    <x v="9"/>
    <x v="3"/>
    <x v="0"/>
    <x v="1"/>
    <x v="0"/>
    <x v="0"/>
    <x v="76"/>
    <x v="0"/>
    <x v="12"/>
    <x v="1"/>
  </r>
  <r>
    <x v="89"/>
    <x v="81"/>
    <x v="11"/>
    <x v="26"/>
    <x v="79"/>
    <x v="0"/>
    <x v="4"/>
    <x v="9"/>
    <x v="3"/>
    <x v="5"/>
    <x v="3"/>
    <x v="3"/>
    <x v="13"/>
    <x v="44"/>
    <x v="8"/>
    <x v="0"/>
    <x v="0"/>
    <x v="0"/>
    <x v="0"/>
    <x v="0"/>
    <x v="0"/>
    <x v="0"/>
    <x v="3"/>
    <x v="0"/>
    <x v="1"/>
    <x v="37"/>
    <x v="74"/>
    <x v="2"/>
    <x v="2"/>
    <x v="0"/>
    <x v="0"/>
    <x v="7"/>
    <x v="2"/>
    <x v="1"/>
    <x v="2"/>
    <x v="5"/>
    <x v="44"/>
    <x v="1"/>
    <x v="0"/>
    <x v="1"/>
    <x v="17"/>
    <x v="6"/>
    <x v="6"/>
    <x v="73"/>
    <x v="9"/>
    <x v="36"/>
    <x v="36"/>
    <x v="0"/>
    <x v="8"/>
    <x v="8"/>
    <x v="8"/>
    <x v="7"/>
    <x v="22"/>
    <x v="2"/>
    <x v="0"/>
    <x v="0"/>
    <x v="38"/>
    <x v="17"/>
    <x v="2"/>
    <x v="1"/>
    <x v="1"/>
    <x v="6"/>
    <x v="0"/>
    <x v="3"/>
    <x v="2"/>
    <x v="1"/>
    <x v="1"/>
    <x v="1"/>
    <x v="54"/>
    <x v="0"/>
    <x v="6"/>
    <x v="0"/>
    <x v="1"/>
    <x v="3"/>
    <x v="3"/>
    <x v="3"/>
    <x v="0"/>
    <x v="14"/>
    <x v="4"/>
    <x v="13"/>
    <x v="1"/>
    <x v="0"/>
    <x v="0"/>
    <x v="70"/>
    <x v="0"/>
    <x v="11"/>
    <x v="1"/>
  </r>
  <r>
    <x v="104"/>
    <x v="21"/>
    <x v="28"/>
    <x v="26"/>
    <x v="91"/>
    <x v="0"/>
    <x v="4"/>
    <x v="0"/>
    <x v="3"/>
    <x v="5"/>
    <x v="18"/>
    <x v="14"/>
    <x v="13"/>
    <x v="44"/>
    <x v="8"/>
    <x v="0"/>
    <x v="0"/>
    <x v="0"/>
    <x v="0"/>
    <x v="0"/>
    <x v="0"/>
    <x v="0"/>
    <x v="15"/>
    <x v="0"/>
    <x v="1"/>
    <x v="37"/>
    <x v="74"/>
    <x v="5"/>
    <x v="5"/>
    <x v="0"/>
    <x v="0"/>
    <x v="10"/>
    <x v="5"/>
    <x v="1"/>
    <x v="2"/>
    <x v="0"/>
    <x v="5"/>
    <x v="4"/>
    <x v="0"/>
    <x v="4"/>
    <x v="17"/>
    <x v="6"/>
    <x v="6"/>
    <x v="73"/>
    <x v="9"/>
    <x v="36"/>
    <x v="36"/>
    <x v="0"/>
    <x v="8"/>
    <x v="14"/>
    <x v="26"/>
    <x v="20"/>
    <x v="22"/>
    <x v="5"/>
    <x v="0"/>
    <x v="0"/>
    <x v="38"/>
    <x v="0"/>
    <x v="2"/>
    <x v="0"/>
    <x v="1"/>
    <x v="3"/>
    <x v="0"/>
    <x v="0"/>
    <x v="2"/>
    <x v="1"/>
    <x v="1"/>
    <x v="1"/>
    <x v="54"/>
    <x v="0"/>
    <x v="6"/>
    <x v="0"/>
    <x v="6"/>
    <x v="1"/>
    <x v="3"/>
    <x v="1"/>
    <x v="0"/>
    <x v="9"/>
    <x v="3"/>
    <x v="0"/>
    <x v="2"/>
    <x v="0"/>
    <x v="0"/>
    <x v="65"/>
    <x v="0"/>
    <x v="19"/>
    <x v="1"/>
  </r>
  <r>
    <x v="105"/>
    <x v="22"/>
    <x v="29"/>
    <x v="2"/>
    <x v="92"/>
    <x v="0"/>
    <x v="4"/>
    <x v="0"/>
    <x v="3"/>
    <x v="5"/>
    <x v="18"/>
    <x v="14"/>
    <x v="13"/>
    <x v="44"/>
    <x v="8"/>
    <x v="0"/>
    <x v="0"/>
    <x v="0"/>
    <x v="0"/>
    <x v="0"/>
    <x v="0"/>
    <x v="0"/>
    <x v="15"/>
    <x v="0"/>
    <x v="1"/>
    <x v="37"/>
    <x v="74"/>
    <x v="5"/>
    <x v="5"/>
    <x v="0"/>
    <x v="0"/>
    <x v="10"/>
    <x v="5"/>
    <x v="1"/>
    <x v="2"/>
    <x v="0"/>
    <x v="5"/>
    <x v="4"/>
    <x v="0"/>
    <x v="4"/>
    <x v="17"/>
    <x v="6"/>
    <x v="6"/>
    <x v="73"/>
    <x v="9"/>
    <x v="36"/>
    <x v="36"/>
    <x v="0"/>
    <x v="8"/>
    <x v="14"/>
    <x v="26"/>
    <x v="20"/>
    <x v="22"/>
    <x v="5"/>
    <x v="0"/>
    <x v="0"/>
    <x v="38"/>
    <x v="0"/>
    <x v="2"/>
    <x v="0"/>
    <x v="1"/>
    <x v="3"/>
    <x v="0"/>
    <x v="0"/>
    <x v="2"/>
    <x v="1"/>
    <x v="1"/>
    <x v="1"/>
    <x v="54"/>
    <x v="0"/>
    <x v="6"/>
    <x v="0"/>
    <x v="6"/>
    <x v="9"/>
    <x v="3"/>
    <x v="1"/>
    <x v="0"/>
    <x v="9"/>
    <x v="3"/>
    <x v="0"/>
    <x v="2"/>
    <x v="0"/>
    <x v="0"/>
    <x v="66"/>
    <x v="0"/>
    <x v="20"/>
    <x v="1"/>
  </r>
  <r>
    <x v="20"/>
    <x v="17"/>
    <x v="12"/>
    <x v="26"/>
    <x v="82"/>
    <x v="0"/>
    <x v="4"/>
    <x v="9"/>
    <x v="3"/>
    <x v="7"/>
    <x v="7"/>
    <x v="6"/>
    <x v="13"/>
    <x v="44"/>
    <x v="8"/>
    <x v="0"/>
    <x v="0"/>
    <x v="0"/>
    <x v="0"/>
    <x v="0"/>
    <x v="0"/>
    <x v="0"/>
    <x v="2"/>
    <x v="0"/>
    <x v="1"/>
    <x v="37"/>
    <x v="74"/>
    <x v="4"/>
    <x v="4"/>
    <x v="0"/>
    <x v="0"/>
    <x v="4"/>
    <x v="1"/>
    <x v="1"/>
    <x v="2"/>
    <x v="6"/>
    <x v="44"/>
    <x v="1"/>
    <x v="0"/>
    <x v="1"/>
    <x v="17"/>
    <x v="6"/>
    <x v="6"/>
    <x v="73"/>
    <x v="9"/>
    <x v="36"/>
    <x v="36"/>
    <x v="0"/>
    <x v="8"/>
    <x v="8"/>
    <x v="6"/>
    <x v="7"/>
    <x v="22"/>
    <x v="4"/>
    <x v="0"/>
    <x v="0"/>
    <x v="36"/>
    <x v="20"/>
    <x v="2"/>
    <x v="1"/>
    <x v="2"/>
    <x v="8"/>
    <x v="1"/>
    <x v="5"/>
    <x v="2"/>
    <x v="1"/>
    <x v="1"/>
    <x v="1"/>
    <x v="54"/>
    <x v="0"/>
    <x v="6"/>
    <x v="0"/>
    <x v="1"/>
    <x v="3"/>
    <x v="3"/>
    <x v="3"/>
    <x v="1"/>
    <x v="14"/>
    <x v="11"/>
    <x v="13"/>
    <x v="1"/>
    <x v="0"/>
    <x v="0"/>
    <x v="89"/>
    <x v="0"/>
    <x v="16"/>
    <x v="1"/>
  </r>
  <r>
    <x v="0"/>
    <x v="71"/>
    <x v="13"/>
    <x v="26"/>
    <x v="83"/>
    <x v="0"/>
    <x v="4"/>
    <x v="9"/>
    <x v="3"/>
    <x v="15"/>
    <x v="22"/>
    <x v="16"/>
    <x v="13"/>
    <x v="44"/>
    <x v="8"/>
    <x v="0"/>
    <x v="0"/>
    <x v="0"/>
    <x v="0"/>
    <x v="0"/>
    <x v="0"/>
    <x v="0"/>
    <x v="5"/>
    <x v="0"/>
    <x v="2"/>
    <x v="37"/>
    <x v="74"/>
    <x v="4"/>
    <x v="4"/>
    <x v="0"/>
    <x v="0"/>
    <x v="6"/>
    <x v="3"/>
    <x v="5"/>
    <x v="7"/>
    <x v="13"/>
    <x v="1"/>
    <x v="2"/>
    <x v="0"/>
    <x v="2"/>
    <x v="17"/>
    <x v="6"/>
    <x v="6"/>
    <x v="73"/>
    <x v="9"/>
    <x v="36"/>
    <x v="36"/>
    <x v="0"/>
    <x v="8"/>
    <x v="8"/>
    <x v="12"/>
    <x v="20"/>
    <x v="22"/>
    <x v="4"/>
    <x v="0"/>
    <x v="0"/>
    <x v="28"/>
    <x v="35"/>
    <x v="2"/>
    <x v="1"/>
    <x v="3"/>
    <x v="5"/>
    <x v="2"/>
    <x v="2"/>
    <x v="2"/>
    <x v="1"/>
    <x v="1"/>
    <x v="1"/>
    <x v="54"/>
    <x v="0"/>
    <x v="6"/>
    <x v="0"/>
    <x v="1"/>
    <x v="3"/>
    <x v="3"/>
    <x v="3"/>
    <x v="1"/>
    <x v="14"/>
    <x v="11"/>
    <x v="13"/>
    <x v="1"/>
    <x v="0"/>
    <x v="0"/>
    <x v="43"/>
    <x v="0"/>
    <x v="10"/>
    <x v="1"/>
  </r>
  <r>
    <x v="1"/>
    <x v="111"/>
    <x v="17"/>
    <x v="26"/>
    <x v="84"/>
    <x v="0"/>
    <x v="4"/>
    <x v="9"/>
    <x v="3"/>
    <x v="17"/>
    <x v="32"/>
    <x v="25"/>
    <x v="13"/>
    <x v="44"/>
    <x v="8"/>
    <x v="0"/>
    <x v="0"/>
    <x v="0"/>
    <x v="0"/>
    <x v="0"/>
    <x v="0"/>
    <x v="0"/>
    <x v="12"/>
    <x v="0"/>
    <x v="2"/>
    <x v="37"/>
    <x v="74"/>
    <x v="5"/>
    <x v="5"/>
    <x v="0"/>
    <x v="0"/>
    <x v="22"/>
    <x v="16"/>
    <x v="5"/>
    <x v="7"/>
    <x v="30"/>
    <x v="16"/>
    <x v="7"/>
    <x v="0"/>
    <x v="7"/>
    <x v="17"/>
    <x v="6"/>
    <x v="6"/>
    <x v="73"/>
    <x v="9"/>
    <x v="36"/>
    <x v="36"/>
    <x v="0"/>
    <x v="8"/>
    <x v="8"/>
    <x v="28"/>
    <x v="20"/>
    <x v="22"/>
    <x v="5"/>
    <x v="0"/>
    <x v="0"/>
    <x v="26"/>
    <x v="53"/>
    <x v="2"/>
    <x v="1"/>
    <x v="5"/>
    <x v="9"/>
    <x v="4"/>
    <x v="6"/>
    <x v="2"/>
    <x v="1"/>
    <x v="1"/>
    <x v="1"/>
    <x v="54"/>
    <x v="0"/>
    <x v="6"/>
    <x v="0"/>
    <x v="1"/>
    <x v="3"/>
    <x v="3"/>
    <x v="3"/>
    <x v="3"/>
    <x v="14"/>
    <x v="27"/>
    <x v="13"/>
    <x v="4"/>
    <x v="0"/>
    <x v="0"/>
    <x v="28"/>
    <x v="0"/>
    <x v="26"/>
    <x v="0"/>
  </r>
  <r>
    <x v="27"/>
    <x v="118"/>
    <x v="18"/>
    <x v="26"/>
    <x v="85"/>
    <x v="0"/>
    <x v="4"/>
    <x v="9"/>
    <x v="3"/>
    <x v="13"/>
    <x v="21"/>
    <x v="15"/>
    <x v="13"/>
    <x v="44"/>
    <x v="8"/>
    <x v="0"/>
    <x v="0"/>
    <x v="0"/>
    <x v="0"/>
    <x v="0"/>
    <x v="0"/>
    <x v="0"/>
    <x v="7"/>
    <x v="0"/>
    <x v="1"/>
    <x v="37"/>
    <x v="74"/>
    <x v="4"/>
    <x v="4"/>
    <x v="0"/>
    <x v="0"/>
    <x v="14"/>
    <x v="8"/>
    <x v="5"/>
    <x v="7"/>
    <x v="11"/>
    <x v="7"/>
    <x v="4"/>
    <x v="0"/>
    <x v="4"/>
    <x v="17"/>
    <x v="6"/>
    <x v="6"/>
    <x v="73"/>
    <x v="9"/>
    <x v="36"/>
    <x v="36"/>
    <x v="0"/>
    <x v="6"/>
    <x v="8"/>
    <x v="14"/>
    <x v="20"/>
    <x v="22"/>
    <x v="4"/>
    <x v="0"/>
    <x v="0"/>
    <x v="30"/>
    <x v="32"/>
    <x v="2"/>
    <x v="1"/>
    <x v="3"/>
    <x v="4"/>
    <x v="2"/>
    <x v="1"/>
    <x v="2"/>
    <x v="1"/>
    <x v="1"/>
    <x v="1"/>
    <x v="54"/>
    <x v="0"/>
    <x v="6"/>
    <x v="0"/>
    <x v="1"/>
    <x v="8"/>
    <x v="3"/>
    <x v="2"/>
    <x v="1"/>
    <x v="15"/>
    <x v="12"/>
    <x v="13"/>
    <x v="2"/>
    <x v="0"/>
    <x v="0"/>
    <x v="18"/>
    <x v="0"/>
    <x v="18"/>
    <x v="1"/>
  </r>
  <r>
    <x v="57"/>
    <x v="28"/>
    <x v="19"/>
    <x v="26"/>
    <x v="86"/>
    <x v="0"/>
    <x v="4"/>
    <x v="9"/>
    <x v="3"/>
    <x v="19"/>
    <x v="32"/>
    <x v="25"/>
    <x v="13"/>
    <x v="44"/>
    <x v="8"/>
    <x v="0"/>
    <x v="0"/>
    <x v="0"/>
    <x v="0"/>
    <x v="0"/>
    <x v="0"/>
    <x v="0"/>
    <x v="15"/>
    <x v="0"/>
    <x v="1"/>
    <x v="37"/>
    <x v="74"/>
    <x v="4"/>
    <x v="4"/>
    <x v="0"/>
    <x v="0"/>
    <x v="38"/>
    <x v="24"/>
    <x v="15"/>
    <x v="7"/>
    <x v="32"/>
    <x v="30"/>
    <x v="9"/>
    <x v="0"/>
    <x v="9"/>
    <x v="17"/>
    <x v="6"/>
    <x v="6"/>
    <x v="73"/>
    <x v="9"/>
    <x v="36"/>
    <x v="36"/>
    <x v="0"/>
    <x v="8"/>
    <x v="8"/>
    <x v="28"/>
    <x v="20"/>
    <x v="22"/>
    <x v="4"/>
    <x v="0"/>
    <x v="0"/>
    <x v="24"/>
    <x v="55"/>
    <x v="2"/>
    <x v="1"/>
    <x v="4"/>
    <x v="7"/>
    <x v="3"/>
    <x v="4"/>
    <x v="2"/>
    <x v="1"/>
    <x v="1"/>
    <x v="1"/>
    <x v="54"/>
    <x v="0"/>
    <x v="6"/>
    <x v="0"/>
    <x v="1"/>
    <x v="8"/>
    <x v="3"/>
    <x v="2"/>
    <x v="3"/>
    <x v="15"/>
    <x v="28"/>
    <x v="13"/>
    <x v="6"/>
    <x v="0"/>
    <x v="0"/>
    <x v="80"/>
    <x v="0"/>
    <x v="35"/>
    <x v="1"/>
  </r>
  <r>
    <x v="58"/>
    <x v="29"/>
    <x v="20"/>
    <x v="26"/>
    <x v="88"/>
    <x v="0"/>
    <x v="0"/>
    <x v="9"/>
    <x v="3"/>
    <x v="25"/>
    <x v="32"/>
    <x v="25"/>
    <x v="1"/>
    <x v="44"/>
    <x v="8"/>
    <x v="0"/>
    <x v="0"/>
    <x v="0"/>
    <x v="0"/>
    <x v="0"/>
    <x v="0"/>
    <x v="0"/>
    <x v="16"/>
    <x v="0"/>
    <x v="1"/>
    <x v="37"/>
    <x v="74"/>
    <x v="4"/>
    <x v="4"/>
    <x v="0"/>
    <x v="0"/>
    <x v="11"/>
    <x v="6"/>
    <x v="15"/>
    <x v="7"/>
    <x v="11"/>
    <x v="4"/>
    <x v="4"/>
    <x v="0"/>
    <x v="4"/>
    <x v="17"/>
    <x v="6"/>
    <x v="6"/>
    <x v="23"/>
    <x v="9"/>
    <x v="22"/>
    <x v="14"/>
    <x v="0"/>
    <x v="8"/>
    <x v="8"/>
    <x v="28"/>
    <x v="20"/>
    <x v="22"/>
    <x v="4"/>
    <x v="0"/>
    <x v="0"/>
    <x v="17"/>
    <x v="9"/>
    <x v="2"/>
    <x v="1"/>
    <x v="1"/>
    <x v="16"/>
    <x v="10"/>
    <x v="33"/>
    <x v="2"/>
    <x v="1"/>
    <x v="1"/>
    <x v="1"/>
    <x v="54"/>
    <x v="0"/>
    <x v="6"/>
    <x v="0"/>
    <x v="1"/>
    <x v="8"/>
    <x v="3"/>
    <x v="2"/>
    <x v="3"/>
    <x v="15"/>
    <x v="28"/>
    <x v="13"/>
    <x v="7"/>
    <x v="0"/>
    <x v="4"/>
    <x v="19"/>
    <x v="0"/>
    <x v="1"/>
    <x v="1"/>
  </r>
  <r>
    <x v="56"/>
    <x v="27"/>
    <x v="21"/>
    <x v="26"/>
    <x v="87"/>
    <x v="0"/>
    <x v="4"/>
    <x v="9"/>
    <x v="3"/>
    <x v="19"/>
    <x v="32"/>
    <x v="25"/>
    <x v="13"/>
    <x v="44"/>
    <x v="8"/>
    <x v="0"/>
    <x v="0"/>
    <x v="0"/>
    <x v="0"/>
    <x v="0"/>
    <x v="0"/>
    <x v="0"/>
    <x v="14"/>
    <x v="0"/>
    <x v="1"/>
    <x v="37"/>
    <x v="74"/>
    <x v="4"/>
    <x v="4"/>
    <x v="0"/>
    <x v="0"/>
    <x v="38"/>
    <x v="24"/>
    <x v="15"/>
    <x v="7"/>
    <x v="36"/>
    <x v="30"/>
    <x v="9"/>
    <x v="0"/>
    <x v="9"/>
    <x v="17"/>
    <x v="6"/>
    <x v="6"/>
    <x v="73"/>
    <x v="9"/>
    <x v="36"/>
    <x v="36"/>
    <x v="0"/>
    <x v="8"/>
    <x v="8"/>
    <x v="28"/>
    <x v="20"/>
    <x v="22"/>
    <x v="4"/>
    <x v="0"/>
    <x v="0"/>
    <x v="24"/>
    <x v="59"/>
    <x v="2"/>
    <x v="1"/>
    <x v="4"/>
    <x v="8"/>
    <x v="3"/>
    <x v="5"/>
    <x v="2"/>
    <x v="1"/>
    <x v="1"/>
    <x v="1"/>
    <x v="54"/>
    <x v="0"/>
    <x v="6"/>
    <x v="0"/>
    <x v="1"/>
    <x v="0"/>
    <x v="3"/>
    <x v="7"/>
    <x v="3"/>
    <x v="10"/>
    <x v="24"/>
    <x v="13"/>
    <x v="6"/>
    <x v="0"/>
    <x v="0"/>
    <x v="40"/>
    <x v="0"/>
    <x v="34"/>
    <x v="1"/>
  </r>
  <r>
    <x v="90"/>
    <x v="102"/>
    <x v="30"/>
    <x v="26"/>
    <x v="93"/>
    <x v="0"/>
    <x v="4"/>
    <x v="7"/>
    <x v="3"/>
    <x v="0"/>
    <x v="2"/>
    <x v="1"/>
    <x v="13"/>
    <x v="44"/>
    <x v="8"/>
    <x v="0"/>
    <x v="0"/>
    <x v="0"/>
    <x v="0"/>
    <x v="0"/>
    <x v="0"/>
    <x v="0"/>
    <x v="23"/>
    <x v="0"/>
    <x v="1"/>
    <x v="37"/>
    <x v="74"/>
    <x v="8"/>
    <x v="8"/>
    <x v="0"/>
    <x v="0"/>
    <x v="30"/>
    <x v="19"/>
    <x v="12"/>
    <x v="6"/>
    <x v="4"/>
    <x v="25"/>
    <x v="8"/>
    <x v="0"/>
    <x v="8"/>
    <x v="17"/>
    <x v="6"/>
    <x v="6"/>
    <x v="73"/>
    <x v="9"/>
    <x v="36"/>
    <x v="36"/>
    <x v="0"/>
    <x v="8"/>
    <x v="8"/>
    <x v="25"/>
    <x v="17"/>
    <x v="20"/>
    <x v="8"/>
    <x v="0"/>
    <x v="0"/>
    <x v="43"/>
    <x v="13"/>
    <x v="4"/>
    <x v="3"/>
    <x v="64"/>
    <x v="75"/>
    <x v="15"/>
    <x v="22"/>
    <x v="2"/>
    <x v="1"/>
    <x v="1"/>
    <x v="1"/>
    <x v="54"/>
    <x v="0"/>
    <x v="6"/>
    <x v="1"/>
    <x v="5"/>
    <x v="6"/>
    <x v="3"/>
    <x v="5"/>
    <x v="2"/>
    <x v="0"/>
    <x v="13"/>
    <x v="11"/>
    <x v="5"/>
    <x v="0"/>
    <x v="0"/>
    <x v="24"/>
    <x v="7"/>
    <x v="32"/>
    <x v="1"/>
  </r>
  <r>
    <x v="60"/>
    <x v="101"/>
    <x v="117"/>
    <x v="26"/>
    <x v="94"/>
    <x v="0"/>
    <x v="4"/>
    <x v="7"/>
    <x v="3"/>
    <x v="5"/>
    <x v="7"/>
    <x v="5"/>
    <x v="13"/>
    <x v="44"/>
    <x v="8"/>
    <x v="0"/>
    <x v="0"/>
    <x v="0"/>
    <x v="0"/>
    <x v="0"/>
    <x v="0"/>
    <x v="0"/>
    <x v="21"/>
    <x v="0"/>
    <x v="1"/>
    <x v="37"/>
    <x v="74"/>
    <x v="8"/>
    <x v="8"/>
    <x v="0"/>
    <x v="0"/>
    <x v="26"/>
    <x v="19"/>
    <x v="12"/>
    <x v="6"/>
    <x v="4"/>
    <x v="25"/>
    <x v="8"/>
    <x v="0"/>
    <x v="8"/>
    <x v="17"/>
    <x v="6"/>
    <x v="6"/>
    <x v="73"/>
    <x v="9"/>
    <x v="36"/>
    <x v="36"/>
    <x v="0"/>
    <x v="0"/>
    <x v="8"/>
    <x v="16"/>
    <x v="17"/>
    <x v="20"/>
    <x v="8"/>
    <x v="0"/>
    <x v="0"/>
    <x v="38"/>
    <x v="13"/>
    <x v="4"/>
    <x v="3"/>
    <x v="63"/>
    <x v="74"/>
    <x v="14"/>
    <x v="21"/>
    <x v="2"/>
    <x v="1"/>
    <x v="1"/>
    <x v="1"/>
    <x v="54"/>
    <x v="0"/>
    <x v="6"/>
    <x v="1"/>
    <x v="5"/>
    <x v="6"/>
    <x v="3"/>
    <x v="5"/>
    <x v="0"/>
    <x v="0"/>
    <x v="0"/>
    <x v="11"/>
    <x v="5"/>
    <x v="0"/>
    <x v="0"/>
    <x v="67"/>
    <x v="7"/>
    <x v="33"/>
    <x v="1"/>
  </r>
  <r>
    <x v="59"/>
    <x v="82"/>
    <x v="118"/>
    <x v="26"/>
    <x v="95"/>
    <x v="0"/>
    <x v="4"/>
    <x v="1"/>
    <x v="3"/>
    <x v="5"/>
    <x v="7"/>
    <x v="5"/>
    <x v="13"/>
    <x v="44"/>
    <x v="8"/>
    <x v="0"/>
    <x v="0"/>
    <x v="0"/>
    <x v="0"/>
    <x v="0"/>
    <x v="0"/>
    <x v="0"/>
    <x v="11"/>
    <x v="0"/>
    <x v="1"/>
    <x v="37"/>
    <x v="74"/>
    <x v="8"/>
    <x v="8"/>
    <x v="0"/>
    <x v="0"/>
    <x v="9"/>
    <x v="4"/>
    <x v="12"/>
    <x v="6"/>
    <x v="4"/>
    <x v="2"/>
    <x v="3"/>
    <x v="0"/>
    <x v="3"/>
    <x v="17"/>
    <x v="6"/>
    <x v="6"/>
    <x v="73"/>
    <x v="9"/>
    <x v="36"/>
    <x v="36"/>
    <x v="0"/>
    <x v="7"/>
    <x v="8"/>
    <x v="16"/>
    <x v="17"/>
    <x v="20"/>
    <x v="8"/>
    <x v="0"/>
    <x v="0"/>
    <x v="38"/>
    <x v="13"/>
    <x v="3"/>
    <x v="2"/>
    <x v="61"/>
    <x v="72"/>
    <x v="12"/>
    <x v="19"/>
    <x v="2"/>
    <x v="1"/>
    <x v="1"/>
    <x v="1"/>
    <x v="54"/>
    <x v="0"/>
    <x v="6"/>
    <x v="1"/>
    <x v="1"/>
    <x v="5"/>
    <x v="3"/>
    <x v="4"/>
    <x v="0"/>
    <x v="0"/>
    <x v="0"/>
    <x v="1"/>
    <x v="2"/>
    <x v="0"/>
    <x v="0"/>
    <x v="88"/>
    <x v="0"/>
    <x v="21"/>
    <x v="1"/>
  </r>
  <r>
    <x v="23"/>
    <x v="83"/>
    <x v="36"/>
    <x v="26"/>
    <x v="101"/>
    <x v="0"/>
    <x v="4"/>
    <x v="1"/>
    <x v="3"/>
    <x v="9"/>
    <x v="10"/>
    <x v="16"/>
    <x v="13"/>
    <x v="44"/>
    <x v="8"/>
    <x v="0"/>
    <x v="0"/>
    <x v="0"/>
    <x v="0"/>
    <x v="0"/>
    <x v="0"/>
    <x v="0"/>
    <x v="17"/>
    <x v="0"/>
    <x v="1"/>
    <x v="37"/>
    <x v="74"/>
    <x v="9"/>
    <x v="9"/>
    <x v="0"/>
    <x v="0"/>
    <x v="23"/>
    <x v="15"/>
    <x v="12"/>
    <x v="6"/>
    <x v="36"/>
    <x v="18"/>
    <x v="7"/>
    <x v="0"/>
    <x v="7"/>
    <x v="17"/>
    <x v="6"/>
    <x v="6"/>
    <x v="73"/>
    <x v="9"/>
    <x v="36"/>
    <x v="36"/>
    <x v="0"/>
    <x v="8"/>
    <x v="8"/>
    <x v="17"/>
    <x v="12"/>
    <x v="15"/>
    <x v="9"/>
    <x v="0"/>
    <x v="0"/>
    <x v="34"/>
    <x v="59"/>
    <x v="3"/>
    <x v="2"/>
    <x v="27"/>
    <x v="49"/>
    <x v="6"/>
    <x v="9"/>
    <x v="2"/>
    <x v="1"/>
    <x v="1"/>
    <x v="1"/>
    <x v="54"/>
    <x v="0"/>
    <x v="6"/>
    <x v="0"/>
    <x v="1"/>
    <x v="5"/>
    <x v="3"/>
    <x v="4"/>
    <x v="1"/>
    <x v="12"/>
    <x v="10"/>
    <x v="1"/>
    <x v="4"/>
    <x v="0"/>
    <x v="0"/>
    <x v="82"/>
    <x v="0"/>
    <x v="27"/>
    <x v="1"/>
  </r>
  <r>
    <x v="22"/>
    <x v="84"/>
    <x v="37"/>
    <x v="4"/>
    <x v="102"/>
    <x v="0"/>
    <x v="4"/>
    <x v="1"/>
    <x v="3"/>
    <x v="18"/>
    <x v="23"/>
    <x v="16"/>
    <x v="13"/>
    <x v="44"/>
    <x v="8"/>
    <x v="0"/>
    <x v="0"/>
    <x v="0"/>
    <x v="0"/>
    <x v="0"/>
    <x v="0"/>
    <x v="0"/>
    <x v="17"/>
    <x v="0"/>
    <x v="1"/>
    <x v="37"/>
    <x v="74"/>
    <x v="11"/>
    <x v="11"/>
    <x v="0"/>
    <x v="0"/>
    <x v="23"/>
    <x v="15"/>
    <x v="12"/>
    <x v="6"/>
    <x v="36"/>
    <x v="18"/>
    <x v="7"/>
    <x v="0"/>
    <x v="7"/>
    <x v="17"/>
    <x v="6"/>
    <x v="6"/>
    <x v="73"/>
    <x v="9"/>
    <x v="36"/>
    <x v="36"/>
    <x v="0"/>
    <x v="8"/>
    <x v="8"/>
    <x v="6"/>
    <x v="14"/>
    <x v="16"/>
    <x v="11"/>
    <x v="0"/>
    <x v="0"/>
    <x v="25"/>
    <x v="59"/>
    <x v="3"/>
    <x v="2"/>
    <x v="32"/>
    <x v="57"/>
    <x v="8"/>
    <x v="11"/>
    <x v="2"/>
    <x v="1"/>
    <x v="1"/>
    <x v="1"/>
    <x v="54"/>
    <x v="0"/>
    <x v="6"/>
    <x v="0"/>
    <x v="1"/>
    <x v="5"/>
    <x v="3"/>
    <x v="4"/>
    <x v="3"/>
    <x v="12"/>
    <x v="26"/>
    <x v="1"/>
    <x v="4"/>
    <x v="0"/>
    <x v="0"/>
    <x v="26"/>
    <x v="0"/>
    <x v="25"/>
    <x v="1"/>
  </r>
  <r>
    <x v="25"/>
    <x v="85"/>
    <x v="38"/>
    <x v="4"/>
    <x v="103"/>
    <x v="0"/>
    <x v="4"/>
    <x v="1"/>
    <x v="3"/>
    <x v="27"/>
    <x v="25"/>
    <x v="16"/>
    <x v="13"/>
    <x v="44"/>
    <x v="8"/>
    <x v="0"/>
    <x v="0"/>
    <x v="0"/>
    <x v="0"/>
    <x v="0"/>
    <x v="0"/>
    <x v="0"/>
    <x v="17"/>
    <x v="0"/>
    <x v="2"/>
    <x v="37"/>
    <x v="74"/>
    <x v="9"/>
    <x v="9"/>
    <x v="0"/>
    <x v="0"/>
    <x v="23"/>
    <x v="15"/>
    <x v="12"/>
    <x v="6"/>
    <x v="40"/>
    <x v="18"/>
    <x v="7"/>
    <x v="0"/>
    <x v="7"/>
    <x v="17"/>
    <x v="6"/>
    <x v="6"/>
    <x v="73"/>
    <x v="9"/>
    <x v="36"/>
    <x v="36"/>
    <x v="0"/>
    <x v="8"/>
    <x v="8"/>
    <x v="2"/>
    <x v="13"/>
    <x v="17"/>
    <x v="9"/>
    <x v="0"/>
    <x v="0"/>
    <x v="15"/>
    <x v="62"/>
    <x v="3"/>
    <x v="2"/>
    <x v="39"/>
    <x v="53"/>
    <x v="9"/>
    <x v="10"/>
    <x v="2"/>
    <x v="1"/>
    <x v="1"/>
    <x v="1"/>
    <x v="54"/>
    <x v="0"/>
    <x v="6"/>
    <x v="0"/>
    <x v="1"/>
    <x v="5"/>
    <x v="3"/>
    <x v="4"/>
    <x v="3"/>
    <x v="12"/>
    <x v="26"/>
    <x v="1"/>
    <x v="4"/>
    <x v="0"/>
    <x v="0"/>
    <x v="21"/>
    <x v="0"/>
    <x v="24"/>
    <x v="1"/>
  </r>
  <r>
    <x v="19"/>
    <x v="26"/>
    <x v="24"/>
    <x v="26"/>
    <x v="105"/>
    <x v="0"/>
    <x v="4"/>
    <x v="9"/>
    <x v="3"/>
    <x v="10"/>
    <x v="8"/>
    <x v="10"/>
    <x v="13"/>
    <x v="44"/>
    <x v="8"/>
    <x v="0"/>
    <x v="0"/>
    <x v="0"/>
    <x v="0"/>
    <x v="0"/>
    <x v="0"/>
    <x v="0"/>
    <x v="11"/>
    <x v="0"/>
    <x v="1"/>
    <x v="37"/>
    <x v="74"/>
    <x v="6"/>
    <x v="6"/>
    <x v="0"/>
    <x v="0"/>
    <x v="30"/>
    <x v="19"/>
    <x v="12"/>
    <x v="6"/>
    <x v="2"/>
    <x v="25"/>
    <x v="8"/>
    <x v="0"/>
    <x v="8"/>
    <x v="17"/>
    <x v="6"/>
    <x v="6"/>
    <x v="73"/>
    <x v="9"/>
    <x v="36"/>
    <x v="36"/>
    <x v="0"/>
    <x v="8"/>
    <x v="8"/>
    <x v="9"/>
    <x v="20"/>
    <x v="22"/>
    <x v="6"/>
    <x v="0"/>
    <x v="0"/>
    <x v="33"/>
    <x v="7"/>
    <x v="2"/>
    <x v="1"/>
    <x v="3"/>
    <x v="5"/>
    <x v="2"/>
    <x v="2"/>
    <x v="2"/>
    <x v="1"/>
    <x v="1"/>
    <x v="1"/>
    <x v="54"/>
    <x v="0"/>
    <x v="6"/>
    <x v="1"/>
    <x v="5"/>
    <x v="4"/>
    <x v="3"/>
    <x v="5"/>
    <x v="1"/>
    <x v="0"/>
    <x v="5"/>
    <x v="13"/>
    <x v="5"/>
    <x v="0"/>
    <x v="0"/>
    <x v="33"/>
    <x v="6"/>
    <x v="31"/>
    <x v="1"/>
  </r>
  <r>
    <x v="28"/>
    <x v="30"/>
    <x v="25"/>
    <x v="26"/>
    <x v="106"/>
    <x v="0"/>
    <x v="0"/>
    <x v="9"/>
    <x v="3"/>
    <x v="14"/>
    <x v="13"/>
    <x v="10"/>
    <x v="3"/>
    <x v="44"/>
    <x v="8"/>
    <x v="0"/>
    <x v="0"/>
    <x v="0"/>
    <x v="0"/>
    <x v="0"/>
    <x v="0"/>
    <x v="0"/>
    <x v="46"/>
    <x v="0"/>
    <x v="1"/>
    <x v="37"/>
    <x v="74"/>
    <x v="5"/>
    <x v="5"/>
    <x v="0"/>
    <x v="0"/>
    <x v="18"/>
    <x v="9"/>
    <x v="12"/>
    <x v="6"/>
    <x v="4"/>
    <x v="10"/>
    <x v="5"/>
    <x v="0"/>
    <x v="5"/>
    <x v="17"/>
    <x v="0"/>
    <x v="1"/>
    <x v="24"/>
    <x v="9"/>
    <x v="27"/>
    <x v="15"/>
    <x v="0"/>
    <x v="8"/>
    <x v="8"/>
    <x v="5"/>
    <x v="20"/>
    <x v="22"/>
    <x v="5"/>
    <x v="0"/>
    <x v="0"/>
    <x v="29"/>
    <x v="10"/>
    <x v="2"/>
    <x v="1"/>
    <x v="3"/>
    <x v="21"/>
    <x v="11"/>
    <x v="38"/>
    <x v="2"/>
    <x v="1"/>
    <x v="1"/>
    <x v="1"/>
    <x v="54"/>
    <x v="0"/>
    <x v="6"/>
    <x v="1"/>
    <x v="5"/>
    <x v="4"/>
    <x v="3"/>
    <x v="5"/>
    <x v="1"/>
    <x v="0"/>
    <x v="5"/>
    <x v="13"/>
    <x v="18"/>
    <x v="0"/>
    <x v="7"/>
    <x v="27"/>
    <x v="6"/>
    <x v="4"/>
    <x v="1"/>
  </r>
  <r>
    <x v="24"/>
    <x v="103"/>
    <x v="31"/>
    <x v="26"/>
    <x v="96"/>
    <x v="0"/>
    <x v="4"/>
    <x v="1"/>
    <x v="3"/>
    <x v="7"/>
    <x v="10"/>
    <x v="8"/>
    <x v="13"/>
    <x v="44"/>
    <x v="8"/>
    <x v="0"/>
    <x v="0"/>
    <x v="0"/>
    <x v="0"/>
    <x v="0"/>
    <x v="0"/>
    <x v="0"/>
    <x v="17"/>
    <x v="0"/>
    <x v="1"/>
    <x v="37"/>
    <x v="74"/>
    <x v="9"/>
    <x v="9"/>
    <x v="0"/>
    <x v="0"/>
    <x v="12"/>
    <x v="8"/>
    <x v="12"/>
    <x v="6"/>
    <x v="6"/>
    <x v="8"/>
    <x v="4"/>
    <x v="0"/>
    <x v="4"/>
    <x v="17"/>
    <x v="6"/>
    <x v="6"/>
    <x v="73"/>
    <x v="9"/>
    <x v="36"/>
    <x v="36"/>
    <x v="0"/>
    <x v="1"/>
    <x v="8"/>
    <x v="9"/>
    <x v="17"/>
    <x v="20"/>
    <x v="9"/>
    <x v="0"/>
    <x v="0"/>
    <x v="36"/>
    <x v="20"/>
    <x v="3"/>
    <x v="2"/>
    <x v="62"/>
    <x v="73"/>
    <x v="13"/>
    <x v="20"/>
    <x v="2"/>
    <x v="1"/>
    <x v="1"/>
    <x v="1"/>
    <x v="54"/>
    <x v="0"/>
    <x v="6"/>
    <x v="1"/>
    <x v="5"/>
    <x v="6"/>
    <x v="3"/>
    <x v="5"/>
    <x v="1"/>
    <x v="0"/>
    <x v="5"/>
    <x v="1"/>
    <x v="2"/>
    <x v="0"/>
    <x v="0"/>
    <x v="71"/>
    <x v="7"/>
    <x v="22"/>
    <x v="1"/>
  </r>
  <r>
    <x v="26"/>
    <x v="104"/>
    <x v="32"/>
    <x v="26"/>
    <x v="97"/>
    <x v="0"/>
    <x v="4"/>
    <x v="1"/>
    <x v="3"/>
    <x v="18"/>
    <x v="32"/>
    <x v="25"/>
    <x v="13"/>
    <x v="44"/>
    <x v="8"/>
    <x v="0"/>
    <x v="0"/>
    <x v="0"/>
    <x v="0"/>
    <x v="0"/>
    <x v="0"/>
    <x v="0"/>
    <x v="18"/>
    <x v="0"/>
    <x v="0"/>
    <x v="37"/>
    <x v="74"/>
    <x v="12"/>
    <x v="12"/>
    <x v="0"/>
    <x v="0"/>
    <x v="42"/>
    <x v="27"/>
    <x v="12"/>
    <x v="6"/>
    <x v="7"/>
    <x v="37"/>
    <x v="9"/>
    <x v="0"/>
    <x v="9"/>
    <x v="17"/>
    <x v="6"/>
    <x v="6"/>
    <x v="73"/>
    <x v="9"/>
    <x v="36"/>
    <x v="36"/>
    <x v="0"/>
    <x v="2"/>
    <x v="8"/>
    <x v="28"/>
    <x v="18"/>
    <x v="21"/>
    <x v="12"/>
    <x v="0"/>
    <x v="0"/>
    <x v="25"/>
    <x v="21"/>
    <x v="3"/>
    <x v="2"/>
    <x v="74"/>
    <x v="79"/>
    <x v="20"/>
    <x v="27"/>
    <x v="2"/>
    <x v="1"/>
    <x v="1"/>
    <x v="1"/>
    <x v="54"/>
    <x v="0"/>
    <x v="6"/>
    <x v="1"/>
    <x v="5"/>
    <x v="6"/>
    <x v="3"/>
    <x v="5"/>
    <x v="3"/>
    <x v="0"/>
    <x v="16"/>
    <x v="1"/>
    <x v="6"/>
    <x v="0"/>
    <x v="0"/>
    <x v="72"/>
    <x v="7"/>
    <x v="38"/>
    <x v="1"/>
  </r>
  <r>
    <x v="64"/>
    <x v="99"/>
    <x v="39"/>
    <x v="5"/>
    <x v="98"/>
    <x v="0"/>
    <x v="0"/>
    <x v="7"/>
    <x v="3"/>
    <x v="32"/>
    <x v="32"/>
    <x v="25"/>
    <x v="6"/>
    <x v="44"/>
    <x v="8"/>
    <x v="0"/>
    <x v="0"/>
    <x v="0"/>
    <x v="0"/>
    <x v="0"/>
    <x v="0"/>
    <x v="0"/>
    <x v="85"/>
    <x v="0"/>
    <x v="0"/>
    <x v="37"/>
    <x v="74"/>
    <x v="12"/>
    <x v="12"/>
    <x v="0"/>
    <x v="0"/>
    <x v="42"/>
    <x v="27"/>
    <x v="12"/>
    <x v="6"/>
    <x v="8"/>
    <x v="37"/>
    <x v="9"/>
    <x v="0"/>
    <x v="9"/>
    <x v="17"/>
    <x v="6"/>
    <x v="6"/>
    <x v="59"/>
    <x v="9"/>
    <x v="28"/>
    <x v="29"/>
    <x v="0"/>
    <x v="8"/>
    <x v="8"/>
    <x v="28"/>
    <x v="15"/>
    <x v="18"/>
    <x v="12"/>
    <x v="0"/>
    <x v="0"/>
    <x v="10"/>
    <x v="34"/>
    <x v="4"/>
    <x v="3"/>
    <x v="56"/>
    <x v="70"/>
    <x v="70"/>
    <x v="84"/>
    <x v="2"/>
    <x v="1"/>
    <x v="1"/>
    <x v="1"/>
    <x v="54"/>
    <x v="0"/>
    <x v="6"/>
    <x v="1"/>
    <x v="1"/>
    <x v="6"/>
    <x v="2"/>
    <x v="5"/>
    <x v="5"/>
    <x v="0"/>
    <x v="34"/>
    <x v="11"/>
    <x v="29"/>
    <x v="0"/>
    <x v="10"/>
    <x v="63"/>
    <x v="8"/>
    <x v="8"/>
    <x v="1"/>
  </r>
  <r>
    <x v="65"/>
    <x v="100"/>
    <x v="40"/>
    <x v="26"/>
    <x v="99"/>
    <x v="0"/>
    <x v="0"/>
    <x v="7"/>
    <x v="3"/>
    <x v="32"/>
    <x v="32"/>
    <x v="25"/>
    <x v="7"/>
    <x v="44"/>
    <x v="8"/>
    <x v="0"/>
    <x v="0"/>
    <x v="0"/>
    <x v="0"/>
    <x v="0"/>
    <x v="0"/>
    <x v="0"/>
    <x v="87"/>
    <x v="0"/>
    <x v="0"/>
    <x v="37"/>
    <x v="74"/>
    <x v="12"/>
    <x v="12"/>
    <x v="0"/>
    <x v="0"/>
    <x v="42"/>
    <x v="27"/>
    <x v="12"/>
    <x v="6"/>
    <x v="8"/>
    <x v="37"/>
    <x v="9"/>
    <x v="0"/>
    <x v="9"/>
    <x v="17"/>
    <x v="6"/>
    <x v="6"/>
    <x v="60"/>
    <x v="9"/>
    <x v="6"/>
    <x v="29"/>
    <x v="0"/>
    <x v="8"/>
    <x v="8"/>
    <x v="28"/>
    <x v="16"/>
    <x v="19"/>
    <x v="12"/>
    <x v="0"/>
    <x v="0"/>
    <x v="10"/>
    <x v="38"/>
    <x v="4"/>
    <x v="3"/>
    <x v="58"/>
    <x v="71"/>
    <x v="72"/>
    <x v="85"/>
    <x v="2"/>
    <x v="1"/>
    <x v="1"/>
    <x v="1"/>
    <x v="54"/>
    <x v="0"/>
    <x v="6"/>
    <x v="1"/>
    <x v="1"/>
    <x v="6"/>
    <x v="2"/>
    <x v="5"/>
    <x v="5"/>
    <x v="0"/>
    <x v="34"/>
    <x v="11"/>
    <x v="32"/>
    <x v="0"/>
    <x v="11"/>
    <x v="62"/>
    <x v="8"/>
    <x v="9"/>
    <x v="1"/>
  </r>
  <r>
    <x v="62"/>
    <x v="108"/>
    <x v="41"/>
    <x v="5"/>
    <x v="100"/>
    <x v="0"/>
    <x v="4"/>
    <x v="6"/>
    <x v="3"/>
    <x v="32"/>
    <x v="32"/>
    <x v="25"/>
    <x v="13"/>
    <x v="44"/>
    <x v="8"/>
    <x v="0"/>
    <x v="0"/>
    <x v="0"/>
    <x v="0"/>
    <x v="0"/>
    <x v="0"/>
    <x v="0"/>
    <x v="28"/>
    <x v="0"/>
    <x v="0"/>
    <x v="37"/>
    <x v="74"/>
    <x v="12"/>
    <x v="12"/>
    <x v="0"/>
    <x v="0"/>
    <x v="42"/>
    <x v="27"/>
    <x v="12"/>
    <x v="6"/>
    <x v="0"/>
    <x v="37"/>
    <x v="9"/>
    <x v="0"/>
    <x v="9"/>
    <x v="17"/>
    <x v="6"/>
    <x v="6"/>
    <x v="73"/>
    <x v="9"/>
    <x v="36"/>
    <x v="36"/>
    <x v="0"/>
    <x v="8"/>
    <x v="8"/>
    <x v="28"/>
    <x v="19"/>
    <x v="21"/>
    <x v="12"/>
    <x v="0"/>
    <x v="0"/>
    <x v="10"/>
    <x v="0"/>
    <x v="2"/>
    <x v="7"/>
    <x v="78"/>
    <x v="80"/>
    <x v="22"/>
    <x v="29"/>
    <x v="2"/>
    <x v="1"/>
    <x v="1"/>
    <x v="1"/>
    <x v="54"/>
    <x v="0"/>
    <x v="6"/>
    <x v="1"/>
    <x v="1"/>
    <x v="6"/>
    <x v="1"/>
    <x v="5"/>
    <x v="5"/>
    <x v="0"/>
    <x v="34"/>
    <x v="10"/>
    <x v="6"/>
    <x v="7"/>
    <x v="0"/>
    <x v="77"/>
    <x v="0"/>
    <x v="91"/>
    <x v="1"/>
  </r>
  <r>
    <x v="63"/>
    <x v="109"/>
    <x v="42"/>
    <x v="5"/>
    <x v="101"/>
    <x v="0"/>
    <x v="4"/>
    <x v="6"/>
    <x v="3"/>
    <x v="32"/>
    <x v="32"/>
    <x v="25"/>
    <x v="13"/>
    <x v="44"/>
    <x v="8"/>
    <x v="0"/>
    <x v="0"/>
    <x v="0"/>
    <x v="0"/>
    <x v="0"/>
    <x v="0"/>
    <x v="0"/>
    <x v="28"/>
    <x v="0"/>
    <x v="0"/>
    <x v="37"/>
    <x v="74"/>
    <x v="12"/>
    <x v="12"/>
    <x v="0"/>
    <x v="0"/>
    <x v="42"/>
    <x v="27"/>
    <x v="12"/>
    <x v="6"/>
    <x v="0"/>
    <x v="37"/>
    <x v="9"/>
    <x v="0"/>
    <x v="9"/>
    <x v="17"/>
    <x v="6"/>
    <x v="6"/>
    <x v="73"/>
    <x v="9"/>
    <x v="36"/>
    <x v="36"/>
    <x v="0"/>
    <x v="8"/>
    <x v="8"/>
    <x v="28"/>
    <x v="19"/>
    <x v="21"/>
    <x v="12"/>
    <x v="0"/>
    <x v="0"/>
    <x v="10"/>
    <x v="0"/>
    <x v="2"/>
    <x v="7"/>
    <x v="78"/>
    <x v="80"/>
    <x v="22"/>
    <x v="29"/>
    <x v="2"/>
    <x v="1"/>
    <x v="1"/>
    <x v="1"/>
    <x v="54"/>
    <x v="0"/>
    <x v="6"/>
    <x v="1"/>
    <x v="1"/>
    <x v="6"/>
    <x v="1"/>
    <x v="5"/>
    <x v="5"/>
    <x v="0"/>
    <x v="34"/>
    <x v="10"/>
    <x v="6"/>
    <x v="7"/>
    <x v="0"/>
    <x v="77"/>
    <x v="0"/>
    <x v="91"/>
    <x v="1"/>
  </r>
  <r>
    <x v="53"/>
    <x v="105"/>
    <x v="33"/>
    <x v="26"/>
    <x v="102"/>
    <x v="0"/>
    <x v="4"/>
    <x v="1"/>
    <x v="3"/>
    <x v="40"/>
    <x v="32"/>
    <x v="25"/>
    <x v="13"/>
    <x v="44"/>
    <x v="8"/>
    <x v="0"/>
    <x v="0"/>
    <x v="0"/>
    <x v="0"/>
    <x v="0"/>
    <x v="0"/>
    <x v="0"/>
    <x v="27"/>
    <x v="0"/>
    <x v="0"/>
    <x v="37"/>
    <x v="74"/>
    <x v="12"/>
    <x v="12"/>
    <x v="0"/>
    <x v="0"/>
    <x v="41"/>
    <x v="25"/>
    <x v="9"/>
    <x v="6"/>
    <x v="1"/>
    <x v="33"/>
    <x v="9"/>
    <x v="0"/>
    <x v="9"/>
    <x v="17"/>
    <x v="6"/>
    <x v="6"/>
    <x v="73"/>
    <x v="9"/>
    <x v="36"/>
    <x v="36"/>
    <x v="0"/>
    <x v="4"/>
    <x v="8"/>
    <x v="28"/>
    <x v="18"/>
    <x v="21"/>
    <x v="12"/>
    <x v="0"/>
    <x v="0"/>
    <x v="2"/>
    <x v="6"/>
    <x v="3"/>
    <x v="2"/>
    <x v="72"/>
    <x v="77"/>
    <x v="18"/>
    <x v="25"/>
    <x v="2"/>
    <x v="1"/>
    <x v="1"/>
    <x v="1"/>
    <x v="54"/>
    <x v="0"/>
    <x v="6"/>
    <x v="1"/>
    <x v="5"/>
    <x v="6"/>
    <x v="3"/>
    <x v="5"/>
    <x v="4"/>
    <x v="0"/>
    <x v="29"/>
    <x v="1"/>
    <x v="6"/>
    <x v="0"/>
    <x v="0"/>
    <x v="74"/>
    <x v="7"/>
    <x v="39"/>
    <x v="1"/>
  </r>
  <r>
    <x v="55"/>
    <x v="107"/>
    <x v="34"/>
    <x v="3"/>
    <x v="103"/>
    <x v="0"/>
    <x v="4"/>
    <x v="1"/>
    <x v="3"/>
    <x v="40"/>
    <x v="32"/>
    <x v="25"/>
    <x v="13"/>
    <x v="44"/>
    <x v="8"/>
    <x v="0"/>
    <x v="0"/>
    <x v="0"/>
    <x v="0"/>
    <x v="0"/>
    <x v="0"/>
    <x v="0"/>
    <x v="27"/>
    <x v="0"/>
    <x v="0"/>
    <x v="37"/>
    <x v="74"/>
    <x v="12"/>
    <x v="12"/>
    <x v="0"/>
    <x v="0"/>
    <x v="41"/>
    <x v="25"/>
    <x v="9"/>
    <x v="6"/>
    <x v="9"/>
    <x v="33"/>
    <x v="9"/>
    <x v="0"/>
    <x v="9"/>
    <x v="17"/>
    <x v="6"/>
    <x v="6"/>
    <x v="73"/>
    <x v="9"/>
    <x v="36"/>
    <x v="36"/>
    <x v="0"/>
    <x v="5"/>
    <x v="8"/>
    <x v="28"/>
    <x v="18"/>
    <x v="21"/>
    <x v="12"/>
    <x v="0"/>
    <x v="0"/>
    <x v="2"/>
    <x v="26"/>
    <x v="3"/>
    <x v="2"/>
    <x v="73"/>
    <x v="78"/>
    <x v="19"/>
    <x v="26"/>
    <x v="2"/>
    <x v="1"/>
    <x v="1"/>
    <x v="1"/>
    <x v="54"/>
    <x v="0"/>
    <x v="6"/>
    <x v="1"/>
    <x v="3"/>
    <x v="6"/>
    <x v="3"/>
    <x v="5"/>
    <x v="4"/>
    <x v="0"/>
    <x v="29"/>
    <x v="1"/>
    <x v="6"/>
    <x v="0"/>
    <x v="0"/>
    <x v="29"/>
    <x v="2"/>
    <x v="36"/>
    <x v="1"/>
  </r>
  <r>
    <x v="54"/>
    <x v="106"/>
    <x v="35"/>
    <x v="3"/>
    <x v="104"/>
    <x v="0"/>
    <x v="4"/>
    <x v="1"/>
    <x v="3"/>
    <x v="40"/>
    <x v="32"/>
    <x v="25"/>
    <x v="13"/>
    <x v="44"/>
    <x v="8"/>
    <x v="0"/>
    <x v="0"/>
    <x v="0"/>
    <x v="0"/>
    <x v="0"/>
    <x v="0"/>
    <x v="0"/>
    <x v="27"/>
    <x v="0"/>
    <x v="0"/>
    <x v="37"/>
    <x v="74"/>
    <x v="12"/>
    <x v="12"/>
    <x v="0"/>
    <x v="0"/>
    <x v="41"/>
    <x v="25"/>
    <x v="9"/>
    <x v="6"/>
    <x v="0"/>
    <x v="33"/>
    <x v="9"/>
    <x v="0"/>
    <x v="9"/>
    <x v="17"/>
    <x v="6"/>
    <x v="6"/>
    <x v="73"/>
    <x v="9"/>
    <x v="36"/>
    <x v="36"/>
    <x v="0"/>
    <x v="3"/>
    <x v="8"/>
    <x v="28"/>
    <x v="18"/>
    <x v="21"/>
    <x v="12"/>
    <x v="0"/>
    <x v="0"/>
    <x v="2"/>
    <x v="0"/>
    <x v="3"/>
    <x v="2"/>
    <x v="71"/>
    <x v="76"/>
    <x v="17"/>
    <x v="24"/>
    <x v="2"/>
    <x v="1"/>
    <x v="1"/>
    <x v="1"/>
    <x v="54"/>
    <x v="0"/>
    <x v="6"/>
    <x v="1"/>
    <x v="5"/>
    <x v="6"/>
    <x v="0"/>
    <x v="5"/>
    <x v="4"/>
    <x v="0"/>
    <x v="29"/>
    <x v="1"/>
    <x v="6"/>
    <x v="0"/>
    <x v="0"/>
    <x v="73"/>
    <x v="5"/>
    <x v="37"/>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123" firstHeaderRow="1" firstDataRow="1" firstDataCol="6"/>
  <pivotFields count="87">
    <pivotField axis="axisRow" compact="0" outline="0" showAll="0" defaultSubtotal="0">
      <items count="113">
        <item x="0"/>
        <item x="1"/>
        <item x="2"/>
        <item x="3"/>
        <item x="6"/>
        <item x="7"/>
        <item x="8"/>
        <item x="9"/>
        <item x="10"/>
        <item x="11"/>
        <item x="12"/>
        <item x="13"/>
        <item x="14"/>
        <item x="15"/>
        <item x="16"/>
        <item x="17"/>
        <item x="18"/>
        <item x="20"/>
        <item x="21"/>
        <item x="22"/>
        <item x="23"/>
        <item x="24"/>
        <item x="25"/>
        <item x="26"/>
        <item x="29"/>
        <item x="30"/>
        <item x="31"/>
        <item x="32"/>
        <item x="36"/>
        <item x="37"/>
        <item x="39"/>
        <item x="40"/>
        <item x="41"/>
        <item x="42"/>
        <item x="43"/>
        <item x="44"/>
        <item x="45"/>
        <item x="46"/>
        <item x="50"/>
        <item x="51"/>
        <item x="52"/>
        <item x="53"/>
        <item x="54"/>
        <item x="55"/>
        <item x="61"/>
        <item x="62"/>
        <item x="63"/>
        <item x="64"/>
        <item x="65"/>
        <item x="66"/>
        <item x="68"/>
        <item x="75"/>
        <item x="76"/>
        <item x="77"/>
        <item x="78"/>
        <item x="79"/>
        <item x="80"/>
        <item x="81"/>
        <item x="82"/>
        <item x="83"/>
        <item x="87"/>
        <item x="88"/>
        <item x="89"/>
        <item x="90"/>
        <item x="91"/>
        <item x="92"/>
        <item x="94"/>
        <item x="95"/>
        <item x="96"/>
        <item x="97"/>
        <item x="98"/>
        <item x="99"/>
        <item x="100"/>
        <item x="101"/>
        <item x="102"/>
        <item x="104"/>
        <item x="105"/>
        <item x="107"/>
        <item x="108"/>
        <item x="109"/>
        <item x="110"/>
        <item x="111"/>
        <item x="112"/>
        <item x="5"/>
        <item x="86"/>
        <item x="103"/>
        <item x="106"/>
        <item x="19"/>
        <item x="28"/>
        <item x="59"/>
        <item x="60"/>
        <item x="27"/>
        <item x="56"/>
        <item x="57"/>
        <item x="58"/>
        <item x="47"/>
        <item x="48"/>
        <item x="49"/>
        <item x="67"/>
        <item x="38"/>
        <item x="4"/>
        <item x="33"/>
        <item x="34"/>
        <item x="35"/>
        <item x="84"/>
        <item x="85"/>
        <item x="93"/>
        <item x="69"/>
        <item x="70"/>
        <item x="71"/>
        <item x="72"/>
        <item x="73"/>
        <item x="74"/>
      </items>
    </pivotField>
    <pivotField axis="axisRow" compact="0" outline="0" showAll="0" defaultSubtotal="0">
      <items count="121">
        <item x="0"/>
        <item x="1"/>
        <item x="2"/>
        <item x="3"/>
        <item x="4"/>
        <item x="5"/>
        <item x="6"/>
        <item x="7"/>
        <item x="8"/>
        <item x="10"/>
        <item x="11"/>
        <item x="12"/>
        <item x="13"/>
        <item x="14"/>
        <item x="15"/>
        <item x="16"/>
        <item x="17"/>
        <item x="18"/>
        <item x="19"/>
        <item x="20"/>
        <item x="21"/>
        <item x="22"/>
        <item x="23"/>
        <item x="24"/>
        <item x="25"/>
        <item x="33"/>
        <item x="34"/>
        <item x="38"/>
        <item x="39"/>
        <item x="40"/>
        <item x="41"/>
        <item x="42"/>
        <item x="43"/>
        <item x="44"/>
        <item x="45"/>
        <item x="46"/>
        <item x="47"/>
        <item x="48"/>
        <item x="50"/>
        <item x="51"/>
        <item x="52"/>
        <item x="54"/>
        <item x="63"/>
        <item x="64"/>
        <item x="66"/>
        <item x="67"/>
        <item x="71"/>
        <item x="72"/>
        <item x="73"/>
        <item x="74"/>
        <item x="75"/>
        <item x="76"/>
        <item x="77"/>
        <item x="78"/>
        <item x="79"/>
        <item x="81"/>
        <item x="83"/>
        <item x="84"/>
        <item x="85"/>
        <item x="90"/>
        <item x="91"/>
        <item x="92"/>
        <item x="93"/>
        <item x="94"/>
        <item x="95"/>
        <item x="96"/>
        <item x="97"/>
        <item x="98"/>
        <item x="99"/>
        <item x="100"/>
        <item x="102"/>
        <item x="103"/>
        <item x="104"/>
        <item x="105"/>
        <item x="106"/>
        <item x="107"/>
        <item x="108"/>
        <item x="109"/>
        <item x="110"/>
        <item x="111"/>
        <item x="112"/>
        <item x="113"/>
        <item x="114"/>
        <item x="115"/>
        <item x="35"/>
        <item x="55"/>
        <item x="56"/>
        <item x="86"/>
        <item x="87"/>
        <item x="88"/>
        <item x="89"/>
        <item x="26"/>
        <item x="30"/>
        <item x="82"/>
        <item x="101"/>
        <item x="27"/>
        <item x="28"/>
        <item x="29"/>
        <item x="118"/>
        <item x="9"/>
        <item x="53"/>
        <item x="65"/>
        <item x="68"/>
        <item x="119"/>
        <item x="120"/>
        <item x="49"/>
        <item x="31"/>
        <item x="32"/>
        <item x="36"/>
        <item x="37"/>
        <item x="69"/>
        <item x="70"/>
        <item x="80"/>
        <item x="116"/>
        <item x="117"/>
        <item x="57"/>
        <item x="58"/>
        <item x="59"/>
        <item x="60"/>
        <item x="61"/>
        <item x="62"/>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43">
        <item x="0"/>
        <item x="1"/>
        <item x="2"/>
        <item x="3"/>
        <item x="4"/>
        <item x="5"/>
        <item x="6"/>
        <item x="7"/>
        <item x="8"/>
        <item x="9"/>
        <item x="11"/>
        <item x="12"/>
        <item x="13"/>
        <item x="15"/>
        <item x="16"/>
        <item x="17"/>
        <item x="18"/>
        <item x="20"/>
        <item x="21"/>
        <item x="23"/>
        <item x="24"/>
        <item x="27"/>
        <item x="28"/>
        <item x="29"/>
        <item x="30"/>
        <item x="31"/>
        <item x="32"/>
        <item x="34"/>
        <item x="36"/>
        <item x="37"/>
        <item x="38"/>
        <item x="40"/>
        <item x="42"/>
        <item x="35"/>
        <item x="41"/>
        <item x="10"/>
        <item x="14"/>
        <item x="19"/>
        <item x="25"/>
        <item x="26"/>
        <item x="22"/>
        <item x="33"/>
        <item x="39"/>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97">
        <item x="0"/>
        <item x="1"/>
        <item x="2"/>
        <item x="3"/>
        <item x="4"/>
        <item x="5"/>
        <item x="6"/>
        <item x="7"/>
        <item x="8"/>
        <item x="9"/>
        <item x="10"/>
        <item x="11"/>
        <item x="12"/>
        <item x="13"/>
        <item x="15"/>
        <item x="16"/>
        <item x="17"/>
        <item x="20"/>
        <item x="21"/>
        <item x="22"/>
        <item x="23"/>
        <item x="24"/>
        <item x="25"/>
        <item x="26"/>
        <item x="28"/>
        <item x="29"/>
        <item x="31"/>
        <item x="34"/>
        <item x="35"/>
        <item x="36"/>
        <item x="37"/>
        <item x="38"/>
        <item x="39"/>
        <item x="42"/>
        <item x="43"/>
        <item x="46"/>
        <item x="49"/>
        <item x="50"/>
        <item x="52"/>
        <item x="53"/>
        <item x="60"/>
        <item x="61"/>
        <item x="62"/>
        <item x="63"/>
        <item x="64"/>
        <item x="65"/>
        <item x="66"/>
        <item x="68"/>
        <item x="69"/>
        <item x="70"/>
        <item x="71"/>
        <item x="72"/>
        <item x="73"/>
        <item x="74"/>
        <item x="75"/>
        <item x="76"/>
        <item x="77"/>
        <item x="78"/>
        <item x="79"/>
        <item x="82"/>
        <item x="83"/>
        <item x="84"/>
        <item x="86"/>
        <item x="87"/>
        <item x="89"/>
        <item x="90"/>
        <item x="91"/>
        <item x="92"/>
        <item x="93"/>
        <item x="32"/>
        <item x="51"/>
        <item x="56"/>
        <item x="94"/>
        <item x="27"/>
        <item x="33"/>
        <item x="67"/>
        <item x="18"/>
        <item x="19"/>
        <item x="40"/>
        <item x="80"/>
        <item x="41"/>
        <item x="44"/>
        <item x="54"/>
        <item x="55"/>
        <item x="88"/>
        <item x="95"/>
        <item x="14"/>
        <item x="30"/>
        <item x="45"/>
        <item x="47"/>
        <item x="48"/>
        <item x="81"/>
        <item x="85"/>
        <item x="96"/>
        <item x="57"/>
        <item x="58"/>
        <item x="59"/>
      </items>
    </pivotField>
    <pivotField compact="0" showAll="0"/>
    <pivotField compact="0" showAll="0"/>
    <pivotField compact="0" showAll="0"/>
  </pivotFields>
  <rowFields count="6">
    <field x="0"/>
    <field x="1"/>
    <field x="7"/>
    <field x="9"/>
    <field x="12"/>
    <field x="83"/>
  </rowFields>
  <rowItems count="122">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8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r="1">
      <x v="99"/>
      <x v="2"/>
      <x v="11"/>
      <x v="5"/>
      <x v="80"/>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x v="89"/>
      <x v="93"/>
      <x v="1"/>
      <x v="5"/>
      <x v="84"/>
    </i>
    <i>
      <x v="90"/>
      <x v="94"/>
      <x v="7"/>
      <x v="5"/>
      <x v="75"/>
    </i>
    <i>
      <x v="91"/>
      <x v="98"/>
      <x v="9"/>
      <x v="12"/>
      <x v="76"/>
    </i>
    <i>
      <x v="92"/>
      <x v="95"/>
      <x v="9"/>
      <x v="37"/>
      <x v="78"/>
    </i>
    <i>
      <x v="93"/>
      <x v="96"/>
      <x v="9"/>
      <x v="37"/>
      <x v="79"/>
    </i>
    <i>
      <x v="94"/>
      <x v="97"/>
      <x v="9"/>
      <x v="38"/>
      <x v="1"/>
      <x v="77"/>
    </i>
    <i>
      <x v="95"/>
      <x v="104"/>
      <x v="5"/>
      <x v="39"/>
      <x v="4"/>
      <x v="82"/>
    </i>
    <i>
      <x v="96"/>
      <x v="103"/>
      <x v="3"/>
      <x v="39"/>
      <x v="4"/>
      <x v="85"/>
    </i>
    <i>
      <x v="97"/>
      <x v="100"/>
      <x v="5"/>
      <x v="23"/>
      <x v="3"/>
      <x v="81"/>
    </i>
    <i>
      <x v="98"/>
      <x v="101"/>
      <x v="3"/>
      <x v="23"/>
      <x v="11"/>
      <x v="14"/>
    </i>
    <i r="1">
      <x v="102"/>
      <x v="3"/>
      <x v="23"/>
      <x v="10"/>
      <x v="44"/>
    </i>
    <i>
      <x v="99"/>
      <x v="105"/>
      <x v="3"/>
      <x v="25"/>
      <x v="3"/>
      <x v="86"/>
    </i>
    <i>
      <x v="100"/>
      <x v="108"/>
      <x v="2"/>
      <x v="41"/>
      <x v="1"/>
      <x v="92"/>
    </i>
    <i r="1">
      <x v="109"/>
      <x v="2"/>
      <x v="41"/>
      <x v="2"/>
      <x v="92"/>
    </i>
    <i>
      <x v="101"/>
      <x v="107"/>
      <x v="2"/>
      <x v="40"/>
      <x v="1"/>
      <x v="91"/>
    </i>
    <i>
      <x v="102"/>
      <x v="110"/>
      <x v="2"/>
      <x v="21"/>
      <x v="1"/>
      <x v="90"/>
    </i>
    <i r="1">
      <x v="111"/>
      <x v="2"/>
      <x v="21"/>
      <x v="2"/>
      <x v="90"/>
    </i>
    <i>
      <x v="103"/>
      <x v="113"/>
      <x v="2"/>
      <x v="21"/>
      <x v="1"/>
      <x v="93"/>
    </i>
    <i>
      <x v="104"/>
      <x v="106"/>
      <x v="2"/>
      <x v="40"/>
      <x v="1"/>
      <x v="88"/>
    </i>
    <i>
      <x v="105"/>
      <x v="112"/>
      <x v="2"/>
      <x v="17"/>
      <x/>
      <x v="87"/>
    </i>
    <i>
      <x v="106"/>
      <x v="114"/>
      <x v="2"/>
      <x v="39"/>
      <x v="1"/>
      <x v="89"/>
    </i>
    <i>
      <x v="107"/>
      <x v="116"/>
      <x v="4"/>
      <x v="42"/>
      <x v="4"/>
      <x v="94"/>
    </i>
    <i>
      <x v="108"/>
      <x v="115"/>
      <x v="4"/>
      <x v="42"/>
      <x v="13"/>
      <x v="94"/>
    </i>
    <i>
      <x v="109"/>
      <x v="117"/>
      <x v="5"/>
      <x v="42"/>
      <x v="4"/>
      <x v="95"/>
    </i>
    <i>
      <x v="110"/>
      <x v="118"/>
      <x v="5"/>
      <x v="42"/>
      <x v="13"/>
      <x v="95"/>
    </i>
    <i>
      <x v="111"/>
      <x v="119"/>
      <x v="4"/>
      <x v="42"/>
      <x v="4"/>
      <x v="96"/>
    </i>
    <i>
      <x v="112"/>
      <x v="120"/>
      <x v="4"/>
      <x v="42"/>
      <x v="13"/>
      <x v="96"/>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48576"/>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AC62" activePane="bottomRight" state="frozen"/>
      <selection pane="topLeft" activeCell="A1" activeCellId="0" sqref="A1"/>
      <selection pane="topRight" activeCell="AC1" activeCellId="0" sqref="AC1"/>
      <selection pane="bottomLeft" activeCell="A62" activeCellId="0" sqref="A62"/>
      <selection pane="bottomRight" activeCell="AQ114" activeCellId="0" sqref="AQ114"/>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201</v>
      </c>
      <c r="E14" s="1" t="n">
        <v>20</v>
      </c>
      <c r="F14" s="1" t="s">
        <v>89</v>
      </c>
      <c r="G14" s="1" t="s">
        <v>90</v>
      </c>
      <c r="H14" s="1" t="s">
        <v>152</v>
      </c>
      <c r="I14" s="1" t="s">
        <v>153</v>
      </c>
      <c r="J14" s="1" t="n">
        <v>1956</v>
      </c>
      <c r="K14" s="1" t="n">
        <v>1989</v>
      </c>
      <c r="L14" s="1" t="n">
        <v>2004</v>
      </c>
      <c r="M14" s="1" t="n">
        <v>4</v>
      </c>
      <c r="N14" s="1" t="n">
        <v>1000</v>
      </c>
      <c r="W14" s="1" t="n">
        <v>180</v>
      </c>
      <c r="Y14" s="1" t="n">
        <v>5</v>
      </c>
      <c r="Z14" s="1" t="n">
        <v>85</v>
      </c>
      <c r="AA14" s="4" t="n">
        <f aca="false">IF(AND(W14&gt;0,Z14&gt;0),(Z14/((W14+X14)*10)),"")</f>
        <v>0.0472222222222222</v>
      </c>
      <c r="AB14" s="1" t="n">
        <v>75</v>
      </c>
      <c r="AC14" s="1" t="n">
        <f aca="false">ROUND(AB14*1.6, 0)</f>
        <v>120</v>
      </c>
      <c r="AF14" s="1" t="n">
        <v>17.37</v>
      </c>
      <c r="AG14" s="1" t="n">
        <v>18</v>
      </c>
      <c r="AH14" s="1" t="n">
        <v>2.5</v>
      </c>
      <c r="AI14" s="1" t="n">
        <v>3.77</v>
      </c>
      <c r="AJ14" s="5" t="n">
        <v>37</v>
      </c>
      <c r="AK14" s="19" t="str">
        <f aca="false">CONCATENATE(VLOOKUP(AL14, 'Voxel Sizes'!$A$2:$B$18,2,FALSE()),"x",INT(AH14*15), "x", INT(AI14*15))</f>
        <v>186x37x56</v>
      </c>
      <c r="AL14" s="1" t="n">
        <f aca="false">ROUND(15*((AG14*10)/256),0)</f>
        <v>11</v>
      </c>
      <c r="AN14" s="1" t="str">
        <f aca="false">CONCATENATE(VLOOKUP(AL14,Constants!$A$2:$C$16,IF(AM14&lt;&gt;"", 3, 2), FALSE()),IF(AM14&lt;&gt;"",CONCATENATE(",",VLOOKUP(AM14,$B:$AN,38,FALSE())),""))</f>
        <v>4,3,4</v>
      </c>
      <c r="AO14" s="1" t="s">
        <v>161</v>
      </c>
      <c r="AR14" s="1" t="s">
        <v>162</v>
      </c>
      <c r="AT14" s="1" t="s">
        <v>163</v>
      </c>
      <c r="AU14" s="1" t="s">
        <v>164</v>
      </c>
      <c r="AX14" s="1" t="n">
        <v>45</v>
      </c>
      <c r="AY14" s="6" t="n">
        <f aca="false">IF(L14&lt;&gt;"",MAX(16,(L14-J14)+8),"")</f>
        <v>56</v>
      </c>
      <c r="AZ14" s="1" t="n">
        <v>-10</v>
      </c>
      <c r="BA14" s="1" t="n">
        <v>-15</v>
      </c>
      <c r="BB14" s="1" t="n">
        <f aca="false">MIN(AB14/150, 1)*30</f>
        <v>15</v>
      </c>
      <c r="BC14" s="1" t="n">
        <f aca="false">MIN(N14/4000, 1)*20</f>
        <v>5</v>
      </c>
      <c r="BD14" s="1" t="n">
        <f aca="false">MIN(Z14/400,1)*20</f>
        <v>4.25</v>
      </c>
      <c r="BE14" s="4" t="n">
        <f aca="false">1-(MAX(J14-1900, 0)/750)</f>
        <v>0.925333333333333</v>
      </c>
      <c r="BF14" s="1" t="n">
        <f aca="false">((MAX($M14,1)*MIN($AJ14/300,1)))*IF(G14="Wagon",50,10)</f>
        <v>4.93333333333333</v>
      </c>
      <c r="BG14" s="1" t="n">
        <f aca="false">VLOOKUP($H14,Constants!$I:$K, 2, FALSE())</f>
        <v>1</v>
      </c>
      <c r="BH14" s="1" t="n">
        <f aca="false">VLOOKUP($H14,Constants!$I:$K, 3, FALSE())*IF(AND(G14="multiple_unit",AB14&lt;110),0.75,1)</f>
        <v>1.5</v>
      </c>
      <c r="BI14" s="1" t="n">
        <f aca="false">INT(POWER(((Constants!$G$2+$BB14+$BC14+$BD14+$BF14)*$BE14)*$BH14, 1.05))+$BA14</f>
        <v>42</v>
      </c>
      <c r="BJ14" s="1" t="n">
        <f aca="false">INT(POWER((((Constants!$G$1+$BB14+$BC14+$BD14+$BF14)*($BE14))*$BG14),IF($G14="wagon",1,1.2)))+$AZ14</f>
        <v>75</v>
      </c>
      <c r="BK14" s="20" t="n">
        <f aca="false">BI14*IF($G14="wagon",62.5,781.25)</f>
        <v>32812.5</v>
      </c>
      <c r="BL14" s="20" t="n">
        <f aca="false">BJ14*IF($G14="wagon",2.73,81.25)</f>
        <v>6093.75</v>
      </c>
      <c r="BQ14" s="1" t="s">
        <v>165</v>
      </c>
      <c r="BT14" s="1" t="n">
        <v>2</v>
      </c>
      <c r="BX14" s="1" t="s">
        <v>95</v>
      </c>
      <c r="BY14" s="1" t="str">
        <f aca="false">VLOOKUP(J14,Eras!$A$2:$C$10, 2, TRUE())</f>
        <v>dsl</v>
      </c>
      <c r="BZ14" s="18" t="s">
        <v>166</v>
      </c>
      <c r="CA14" s="1" t="str">
        <f aca="false">CONCATENATE(BY14,"_",BZ14)</f>
        <v>dsl_DMU</v>
      </c>
      <c r="CB14" s="1" t="str">
        <f aca="false">_xlfn.CONCAT(H14, "_",I14)</f>
        <v>diesel_RAIL</v>
      </c>
      <c r="CC14" s="21" t="str">
        <f aca="false" t="array" ref="CC14:CC14">_xlfn.CONCAT("{BLACK}Length: {GOLD}", TEXT(ROUNDUP(IF(AQ14&lt;&gt;"",SUM(VALUE(_xlfn.TEXTSPLIT(AQ14, ","))), SUM(VALUE(_xlfn.TEXTSPLIT(AN14, ",")))*IF(M14, M14, 1))/16, 1), "#,##0.0"), " tiles{}")</f>
        <v>{BLACK}Length: {GOLD}2.8 tiles{}</v>
      </c>
      <c r="CD14" s="1" t="str">
        <f aca="false">VLOOKUP($CB14, Constants!$M:$N, 2, FALSE())</f>
        <v>{BLACK}Powered by: {GOLD}Diesel</v>
      </c>
      <c r="CE14" s="1" t="str">
        <f aca="false">IF(M14&gt;1,_xlfn.CONCAT("{BLACK}Cars: {GOLD}", M14),"")</f>
        <v>{BLACK}Cars: {GOLD}4</v>
      </c>
      <c r="CF14" s="1" t="s">
        <v>167</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4" s="1"/>
      <c r="CJ14" s="1"/>
    </row>
    <row r="15" customFormat="false" ht="13.8" hidden="false" customHeight="false" outlineLevel="0" collapsed="false">
      <c r="A15" s="1" t="s">
        <v>168</v>
      </c>
      <c r="B15" s="1" t="s">
        <v>169</v>
      </c>
      <c r="C15" s="1" t="n">
        <v>202</v>
      </c>
      <c r="D15" s="1" t="n">
        <v>201</v>
      </c>
      <c r="E15" s="1" t="n">
        <v>22</v>
      </c>
      <c r="F15" s="1" t="s">
        <v>89</v>
      </c>
      <c r="G15" s="1" t="s">
        <v>90</v>
      </c>
      <c r="H15" s="1" t="s">
        <v>152</v>
      </c>
      <c r="I15" s="1" t="s">
        <v>153</v>
      </c>
      <c r="J15" s="1" t="n">
        <v>1956</v>
      </c>
      <c r="K15" s="1" t="n">
        <v>1989</v>
      </c>
      <c r="L15" s="1" t="n">
        <v>2004</v>
      </c>
      <c r="M15" s="1" t="n">
        <v>6</v>
      </c>
      <c r="N15" s="1" t="n">
        <v>1000</v>
      </c>
      <c r="W15" s="1" t="n">
        <v>238</v>
      </c>
      <c r="Y15" s="1" t="n">
        <v>5</v>
      </c>
      <c r="Z15" s="1" t="n">
        <v>85</v>
      </c>
      <c r="AA15" s="4" t="n">
        <f aca="false">IF(AND(W15&gt;0,Z15&gt;0),(Z15/((W15+X15)*10)),"")</f>
        <v>0.0357142857142857</v>
      </c>
      <c r="AB15" s="1" t="n">
        <v>75</v>
      </c>
      <c r="AC15" s="1" t="n">
        <f aca="false">ROUND(AB15*1.6, 0)</f>
        <v>120</v>
      </c>
      <c r="AF15" s="1" t="n">
        <v>17.37</v>
      </c>
      <c r="AG15" s="1" t="n">
        <v>18</v>
      </c>
      <c r="AH15" s="1" t="n">
        <v>2.5</v>
      </c>
      <c r="AI15" s="1" t="n">
        <v>3.77</v>
      </c>
      <c r="AJ15" s="5" t="n">
        <v>42</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170</v>
      </c>
      <c r="AR15" s="1" t="s">
        <v>171</v>
      </c>
      <c r="AT15" s="1" t="s">
        <v>135</v>
      </c>
      <c r="AU15" s="1" t="s">
        <v>164</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8.4</v>
      </c>
      <c r="BG15" s="1" t="n">
        <f aca="false">VLOOKUP($H15,Constants!$I:$K, 2, FALSE())</f>
        <v>1</v>
      </c>
      <c r="BH15" s="1" t="n">
        <f aca="false">VLOOKUP($H15,Constants!$I:$K, 3, FALSE())*IF(AND(G15="multiple_unit",AB15&lt;110),0.75,1)</f>
        <v>1.5</v>
      </c>
      <c r="BI15" s="1" t="n">
        <f aca="false">INT(POWER(((Constants!$G$2+$BB15+$BC15+$BD15+$BF15)*$BE15)*$BH15, 1.05))+$BA15</f>
        <v>48</v>
      </c>
      <c r="BJ15" s="1" t="n">
        <f aca="false">INT(POWER((((Constants!$G$1+$BB15+$BC15+$BD15+$BF15)*($BE15))*$BG15),IF($G15="wagon",1,1.2)))+$AZ15</f>
        <v>84</v>
      </c>
      <c r="BK15" s="20" t="n">
        <f aca="false">BI15*IF($G15="wagon",62.5,781.25)</f>
        <v>37500</v>
      </c>
      <c r="BL15" s="20" t="n">
        <f aca="false">BJ15*IF($G15="wagon",2.73,81.25)</f>
        <v>6825</v>
      </c>
      <c r="BQ15" s="18" t="s">
        <v>172</v>
      </c>
      <c r="BT15" s="1" t="n">
        <v>2</v>
      </c>
      <c r="BX15" s="1" t="s">
        <v>95</v>
      </c>
      <c r="BY15" s="1" t="str">
        <f aca="false">VLOOKUP(J15,Eras!$A$2:$C$10, 2, TRUE())</f>
        <v>dsl</v>
      </c>
      <c r="BZ15" s="18" t="s">
        <v>166</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{GOLD}4.2 tiles{}</v>
      </c>
      <c r="CD15" s="1" t="str">
        <f aca="false">VLOOKUP($CB15, Constants!$M:$N, 2, FALSE())</f>
        <v>{BLACK}Powered by: {GOLD}Diesel</v>
      </c>
      <c r="CE15" s="1" t="str">
        <f aca="false">IF(M15&gt;1,_xlfn.CONCAT("{BLACK}Cars: {GOLD}", M15),"")</f>
        <v>{BLACK}Cars: {GOLD}6</v>
      </c>
      <c r="CF15" s="1" t="s">
        <v>167</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173</v>
      </c>
      <c r="B16" s="1" t="s">
        <v>174</v>
      </c>
      <c r="C16" s="1" t="n">
        <v>205</v>
      </c>
      <c r="E16" s="1" t="n">
        <v>24</v>
      </c>
      <c r="F16" s="1" t="s">
        <v>89</v>
      </c>
      <c r="G16" s="1" t="s">
        <v>90</v>
      </c>
      <c r="H16" s="1" t="s">
        <v>152</v>
      </c>
      <c r="I16" s="1" t="s">
        <v>153</v>
      </c>
      <c r="J16" s="1" t="n">
        <v>1957</v>
      </c>
      <c r="K16" s="1" t="n">
        <v>1989</v>
      </c>
      <c r="L16" s="1" t="n">
        <v>2004</v>
      </c>
      <c r="M16" s="1" t="n">
        <v>3</v>
      </c>
      <c r="N16" s="1" t="n">
        <v>600</v>
      </c>
      <c r="W16" s="1" t="n">
        <f aca="false">32.5+25</f>
        <v>57.5</v>
      </c>
      <c r="Y16" s="1" t="n">
        <v>5</v>
      </c>
      <c r="Z16" s="1" t="n">
        <v>85</v>
      </c>
      <c r="AA16" s="4" t="n">
        <f aca="false">IF(AND(W16&gt;0,Z16&gt;0),(Z16/((W16+X16)*10)),"")</f>
        <v>0.147826086956522</v>
      </c>
      <c r="AB16" s="1" t="n">
        <v>75</v>
      </c>
      <c r="AC16" s="1" t="n">
        <f aca="false">ROUND(AB16*1.6, 0)</f>
        <v>120</v>
      </c>
      <c r="AF16" s="1" t="n">
        <v>19.5</v>
      </c>
      <c r="AG16" s="1" t="n">
        <v>20</v>
      </c>
      <c r="AH16" s="1" t="n">
        <v>2.7</v>
      </c>
      <c r="AI16" s="1" t="n">
        <v>3.77</v>
      </c>
      <c r="AJ16" s="5" t="n">
        <v>51</v>
      </c>
      <c r="AK16" s="19" t="str">
        <f aca="false">CONCATENATE(VLOOKUP(AL16, 'Voxel Sizes'!$A$2:$B$18,2,FALSE()),"x",INT(AH16*15), "x", INT(AI16*15))</f>
        <v>198x40x56</v>
      </c>
      <c r="AL16" s="1" t="n">
        <f aca="false">ROUND(15*((AG16*10)/256),0)</f>
        <v>12</v>
      </c>
      <c r="AN16" s="1" t="str">
        <f aca="false">CONCATENATE(VLOOKUP(AL16,Constants!$A$2:$C$16,IF(AM16&lt;&gt;"", 3, 2), FALSE()),IF(AM16&lt;&gt;"",CONCATENATE(",",VLOOKUP(AM16,$B:$AN,38,FALSE())),""))</f>
        <v>4,4,4</v>
      </c>
      <c r="AR16" s="1" t="s">
        <v>175</v>
      </c>
      <c r="AT16" s="1" t="s">
        <v>176</v>
      </c>
      <c r="AU16" s="1" t="s">
        <v>177</v>
      </c>
      <c r="AX16" s="1" t="n">
        <v>45</v>
      </c>
      <c r="AY16" s="6" t="n">
        <f aca="false">IF(L16&lt;&gt;"",MAX(16,(L16-J16)+8),"")</f>
        <v>55</v>
      </c>
      <c r="AZ16" s="1" t="n">
        <v>-10</v>
      </c>
      <c r="BA16" s="1" t="n">
        <v>-15</v>
      </c>
      <c r="BB16" s="1" t="n">
        <f aca="false">MIN(AB16/150, 1)*30</f>
        <v>15</v>
      </c>
      <c r="BC16" s="1" t="n">
        <f aca="false">MIN(N16/4000, 1)*20</f>
        <v>3</v>
      </c>
      <c r="BD16" s="1" t="n">
        <f aca="false">MIN(Z16/400,1)*20</f>
        <v>4.25</v>
      </c>
      <c r="BE16" s="4" t="n">
        <f aca="false">1-(MAX(J16-1900, 0)/750)</f>
        <v>0.924</v>
      </c>
      <c r="BF16" s="1" t="n">
        <f aca="false">((MAX($M16,1)*MIN($AJ16/300,1)))*IF(G16="Wagon",50,10)</f>
        <v>5.1</v>
      </c>
      <c r="BG16" s="1" t="n">
        <f aca="false">VLOOKUP($H16,Constants!$I:$K, 2, FALSE())</f>
        <v>1</v>
      </c>
      <c r="BH16" s="1" t="n">
        <f aca="false">VLOOKUP($H16,Constants!$I:$K, 3, FALSE())*IF(AND(G16="multiple_unit",AB16&lt;110),0.75,1)</f>
        <v>1.5</v>
      </c>
      <c r="BI16" s="1" t="n">
        <f aca="false">INT(POWER(((Constants!$G$2+$BB16+$BC16+$BD16+$BF16)*$BE16)*$BH16, 1.05))+$BA16</f>
        <v>39</v>
      </c>
      <c r="BJ16" s="1" t="n">
        <f aca="false">INT(POWER((((Constants!$G$1+$BB16+$BC16+$BD16+$BF16)*($BE16))*$BG16),IF($G16="wagon",1,1.2)))+$AZ16</f>
        <v>71</v>
      </c>
      <c r="BK16" s="20" t="n">
        <f aca="false">BI16*IF($G16="wagon",62.5,781.25)</f>
        <v>30468.75</v>
      </c>
      <c r="BL16" s="20" t="n">
        <f aca="false">BJ16*IF($G16="wagon",2.73,81.25)</f>
        <v>5768.75</v>
      </c>
      <c r="BQ16" s="1" t="s">
        <v>178</v>
      </c>
      <c r="BT16" s="1" t="n">
        <v>2</v>
      </c>
      <c r="BX16" s="1" t="s">
        <v>95</v>
      </c>
      <c r="BY16" s="1" t="str">
        <f aca="false">VLOOKUP(J16,Eras!$A$2:$C$10, 2, TRUE())</f>
        <v>dsl</v>
      </c>
      <c r="BZ16" s="18" t="s">
        <v>166</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{GOLD}2.3 tiles{}</v>
      </c>
      <c r="CD16" s="1" t="str">
        <f aca="false">VLOOKUP($CB16, Constants!$M:$N, 2, FALSE())</f>
        <v>{BLACK}Powered by: {GOLD}Diesel</v>
      </c>
      <c r="CE16" s="1" t="str">
        <f aca="false">IF(M16&gt;1,_xlfn.CONCAT("{BLACK}Cars: {GOLD}", M16),"")</f>
        <v>{BLACK}Cars: {GOLD}3</v>
      </c>
      <c r="CF16" s="1" t="s">
        <v>179</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{GOLD}3{}{BLACK}Length: {GOLD}2.3 tiles{}{SILVER}Class 205 units were a relatively numerous class of high-density non-corridor multiple units that worked services across Hampshire. In many ways they were the classic ‘Thumper’ unit.</v>
      </c>
      <c r="CI16" s="1"/>
      <c r="CJ16" s="1"/>
    </row>
    <row r="17" s="18" customFormat="true" ht="13.8" hidden="false" customHeight="false" outlineLevel="0" collapsed="false">
      <c r="A17" s="1" t="s">
        <v>180</v>
      </c>
      <c r="B17" s="1" t="s">
        <v>181</v>
      </c>
      <c r="C17" s="1" t="n">
        <v>206</v>
      </c>
      <c r="D17" s="1" t="n">
        <v>205</v>
      </c>
      <c r="E17" s="1" t="n">
        <v>26</v>
      </c>
      <c r="F17" s="1" t="s">
        <v>89</v>
      </c>
      <c r="G17" s="1" t="s">
        <v>90</v>
      </c>
      <c r="H17" s="1" t="s">
        <v>152</v>
      </c>
      <c r="I17" s="1" t="s">
        <v>153</v>
      </c>
      <c r="J17" s="1" t="n">
        <v>1957</v>
      </c>
      <c r="K17" s="1" t="n">
        <v>1989</v>
      </c>
      <c r="L17" s="1" t="n">
        <v>2004</v>
      </c>
      <c r="M17" s="1" t="n">
        <v>2</v>
      </c>
      <c r="N17" s="1" t="n">
        <v>600</v>
      </c>
      <c r="O17" s="2"/>
      <c r="P17" s="3"/>
      <c r="Q17" s="3"/>
      <c r="R17" s="3"/>
      <c r="S17" s="3"/>
      <c r="T17" s="3"/>
      <c r="U17" s="3"/>
      <c r="V17" s="3"/>
      <c r="W17" s="1" t="n">
        <f aca="false">32.5+25</f>
        <v>57.5</v>
      </c>
      <c r="X17" s="2"/>
      <c r="Y17" s="1" t="n">
        <v>5</v>
      </c>
      <c r="Z17" s="1" t="n">
        <v>85</v>
      </c>
      <c r="AA17" s="4" t="n">
        <f aca="false">IF(AND(W17&gt;0,Z17&gt;0),(Z17/((W17+X17)*10)),"")</f>
        <v>0.147826086956522</v>
      </c>
      <c r="AB17" s="1" t="n">
        <v>75</v>
      </c>
      <c r="AC17" s="1" t="n">
        <f aca="false">ROUND(AB17*1.6, 0)</f>
        <v>120</v>
      </c>
      <c r="AD17" s="1"/>
      <c r="AE17" s="1"/>
      <c r="AF17" s="1" t="n">
        <v>19.5</v>
      </c>
      <c r="AG17" s="1" t="n">
        <v>20</v>
      </c>
      <c r="AH17" s="1" t="n">
        <v>2.7</v>
      </c>
      <c r="AI17" s="1" t="n">
        <v>3.77</v>
      </c>
      <c r="AJ17" s="5" t="n">
        <v>51</v>
      </c>
      <c r="AK17" s="19" t="str">
        <f aca="false">CONCATENATE(VLOOKUP(AL17, 'Voxel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182</v>
      </c>
      <c r="AS17" s="1"/>
      <c r="AT17" s="1" t="s">
        <v>183</v>
      </c>
      <c r="AU17" s="1" t="s">
        <v>177</v>
      </c>
      <c r="AV17" s="1"/>
      <c r="AW17" s="1"/>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3.4</v>
      </c>
      <c r="BG17" s="1" t="n">
        <f aca="false">VLOOKUP($H17,Constants!$I:$K, 2, FALSE())</f>
        <v>1</v>
      </c>
      <c r="BH17" s="1" t="n">
        <f aca="false">VLOOKUP($H17,Constants!$I:$K, 3, FALSE())*IF(AND(G17="multiple_unit",AB17&lt;110),0.75,1)</f>
        <v>1.5</v>
      </c>
      <c r="BI17" s="1" t="n">
        <f aca="false">INT(POWER(((Constants!$G$2+$BB17+$BC17+$BD17+$BF17)*$BE17)*$BH17, 1.05))+$BA17</f>
        <v>36</v>
      </c>
      <c r="BJ17" s="1" t="n">
        <f aca="false">INT(POWER((((Constants!$G$1+$BB17+$BC17+$BD17+$BF17)*($BE17))*$BG17),IF($G17="wagon",1,1.2)))+$AZ17</f>
        <v>67</v>
      </c>
      <c r="BK17" s="20" t="n">
        <f aca="false">BI17*IF($G17="wagon",62.5,781.25)</f>
        <v>28125</v>
      </c>
      <c r="BL17" s="20" t="n">
        <f aca="false">BJ17*IF($G17="wagon",2.73,81.25)</f>
        <v>5443.75</v>
      </c>
      <c r="BM17" s="1"/>
      <c r="BN17" s="1"/>
      <c r="BO17" s="1"/>
      <c r="BP17" s="1"/>
      <c r="BQ17" s="1" t="s">
        <v>184</v>
      </c>
      <c r="BR17" s="1"/>
      <c r="BS17" s="1"/>
      <c r="BT17" s="1" t="n">
        <v>2</v>
      </c>
      <c r="BU17" s="1"/>
      <c r="BV17" s="1"/>
      <c r="BW17" s="1"/>
      <c r="BX17" s="1" t="s">
        <v>95</v>
      </c>
      <c r="BY17" s="1" t="str">
        <f aca="false">VLOOKUP(J17,Eras!$A$2:$C$10, 2, TRUE())</f>
        <v>dsl</v>
      </c>
      <c r="BZ17" s="18" t="s">
        <v>166</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{GOLD}1.5 tiles{}</v>
      </c>
      <c r="CD17" s="1" t="str">
        <f aca="false">VLOOKUP($CB17, Constants!$M:$N, 2, FALSE())</f>
        <v>{BLACK}Powered by: {GOLD}Diesel</v>
      </c>
      <c r="CE17" s="1" t="str">
        <f aca="false">IF(M17&gt;1,_xlfn.CONCAT("{BLACK}Cars: {GOLD}", M17),"")</f>
        <v>{BLACK}Cars: {GOLD}2</v>
      </c>
      <c r="CF17" s="1" t="s">
        <v>179</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{GOLD}2{}{BLACK}Length: {GOLD}1.5 tiles{}{SILVER}Class 205 units were a relatively numerous class of high-density non-corridor multiple units that worked services across Hampshire. In many ways they were the classic ‘Thumper’ unit.</v>
      </c>
      <c r="CI17" s="1"/>
      <c r="CJ17" s="1"/>
      <c r="CK17" s="1"/>
    </row>
    <row r="18" customFormat="false" ht="13.8" hidden="false" customHeight="false" outlineLevel="0" collapsed="false">
      <c r="A18" s="1" t="s">
        <v>185</v>
      </c>
      <c r="B18" s="1" t="s">
        <v>186</v>
      </c>
      <c r="C18" s="1" t="n">
        <v>210</v>
      </c>
      <c r="E18" s="1" t="n">
        <v>28</v>
      </c>
      <c r="F18" s="1" t="s">
        <v>89</v>
      </c>
      <c r="G18" s="1" t="s">
        <v>90</v>
      </c>
      <c r="H18" s="1" t="s">
        <v>152</v>
      </c>
      <c r="I18" s="1" t="s">
        <v>153</v>
      </c>
      <c r="J18" s="1" t="n">
        <v>1982</v>
      </c>
      <c r="K18" s="1" t="n">
        <v>2002</v>
      </c>
      <c r="L18" s="1" t="n">
        <v>2006</v>
      </c>
      <c r="M18" s="1" t="n">
        <v>4</v>
      </c>
      <c r="N18" s="1" t="n">
        <v>1000</v>
      </c>
      <c r="W18" s="1" t="n">
        <v>144</v>
      </c>
      <c r="Y18" s="1" t="n">
        <v>5</v>
      </c>
      <c r="Z18" s="1" t="n">
        <v>92</v>
      </c>
      <c r="AA18" s="4" t="n">
        <f aca="false">IF(AND(W18&gt;0,Z18&gt;0),(Z18/((W18+X18)*10)),"")</f>
        <v>0.0638888888888889</v>
      </c>
      <c r="AB18" s="1" t="n">
        <v>90</v>
      </c>
      <c r="AC18" s="1" t="n">
        <f aca="false">ROUND(AB18*1.6, 0)</f>
        <v>144</v>
      </c>
      <c r="AF18" s="1" t="n">
        <v>19.8</v>
      </c>
      <c r="AG18" s="1" t="n">
        <v>20</v>
      </c>
      <c r="AH18" s="1" t="n">
        <v>2.5</v>
      </c>
      <c r="AI18" s="1" t="n">
        <v>3.77</v>
      </c>
      <c r="AJ18" s="5" t="n">
        <v>64</v>
      </c>
      <c r="AK18" s="19" t="str">
        <f aca="false">CONCATENATE(VLOOKUP(AL18, 'Voxel Sizes'!$A$2:$B$18,2,FALSE()),"x",INT(AH18*15), "x", INT(AI18*15))</f>
        <v>198x37x56</v>
      </c>
      <c r="AL18" s="1" t="n">
        <f aca="false">ROUND(15*((AG18*10)/256),0)</f>
        <v>12</v>
      </c>
      <c r="AN18" s="1" t="str">
        <f aca="false">CONCATENATE(VLOOKUP(AL18,Constants!$A$2:$C$16,IF(AM18&lt;&gt;"", 3, 2), FALSE()),IF(AM18&lt;&gt;"",CONCATENATE(",",VLOOKUP(AM18,$B:$AN,38,FALSE())),""))</f>
        <v>4,4,4</v>
      </c>
      <c r="AO18" s="1" t="n">
        <v>1</v>
      </c>
      <c r="AR18" s="1" t="s">
        <v>187</v>
      </c>
      <c r="AT18" s="1" t="s">
        <v>188</v>
      </c>
      <c r="AU18" s="1" t="s">
        <v>189</v>
      </c>
      <c r="AX18" s="1" t="n">
        <v>45</v>
      </c>
      <c r="AY18" s="6" t="n">
        <f aca="false">IF(L18&lt;&gt;"",MAX(16,(L18-J18)+8),"")</f>
        <v>32</v>
      </c>
      <c r="AZ18" s="1" t="n">
        <v>10</v>
      </c>
      <c r="BB18" s="1" t="n">
        <f aca="false">MIN(AB18/150, 1)*30</f>
        <v>18</v>
      </c>
      <c r="BC18" s="1" t="n">
        <f aca="false">MIN(N18/4000, 1)*20</f>
        <v>5</v>
      </c>
      <c r="BD18" s="1" t="n">
        <f aca="false">MIN(Z18/400,1)*20</f>
        <v>4.6</v>
      </c>
      <c r="BE18" s="4" t="n">
        <f aca="false">1-(MAX(J18-1900, 0)/750)</f>
        <v>0.890666666666667</v>
      </c>
      <c r="BF18" s="1" t="n">
        <f aca="false">((MAX($M18,1)*MIN($AJ18/300,1)))*IF(G18="Wagon",50,10)</f>
        <v>8.53333333333333</v>
      </c>
      <c r="BG18" s="1" t="n">
        <f aca="false">VLOOKUP($H18,Constants!$I:$K, 2, FALSE())</f>
        <v>1</v>
      </c>
      <c r="BH18" s="1" t="n">
        <f aca="false">VLOOKUP($H18,Constants!$I:$K, 3, FALSE())*IF(AND(G18="multiple_unit",AB18&lt;110),0.75,1)</f>
        <v>1.5</v>
      </c>
      <c r="BI18" s="1" t="n">
        <f aca="false">INT(POWER(((Constants!$G$2+$BB18+$BC18+$BD18+$BF18)*$BE18)*$BH18, 1.05))+$BA18</f>
        <v>67</v>
      </c>
      <c r="BJ18" s="1" t="n">
        <f aca="false">INT(POWER((((Constants!$G$1+$BB18+$BC18+$BD18+$BF18)*($BE18))*$BG18),IF($G18="wagon",1,1.2)))+$AZ18</f>
        <v>107</v>
      </c>
      <c r="BK18" s="20" t="n">
        <f aca="false">BI18*IF($G18="wagon",62.5,781.25)</f>
        <v>52343.75</v>
      </c>
      <c r="BL18" s="20" t="n">
        <f aca="false">BJ18*IF($G18="wagon",2.73,81.25)</f>
        <v>8693.75</v>
      </c>
      <c r="BQ18" s="1" t="s">
        <v>190</v>
      </c>
      <c r="BT18" s="1" t="n">
        <v>2</v>
      </c>
      <c r="BX18" s="1" t="s">
        <v>95</v>
      </c>
      <c r="BY18" s="1" t="str">
        <f aca="false">VLOOKUP(J18,Eras!$A$2:$C$10, 2, TRUE())</f>
        <v>lbr</v>
      </c>
      <c r="BZ18" s="18" t="s">
        <v>166</v>
      </c>
      <c r="CA18" s="1" t="str">
        <f aca="false">CONCATENATE(BY18,"_",BZ18)</f>
        <v>lbr_DMU</v>
      </c>
      <c r="CB18" s="1" t="str">
        <f aca="false">_xlfn.CONCAT(H18, "_",I18)</f>
        <v>diesel_RAIL</v>
      </c>
      <c r="CC18" s="21" t="str">
        <f aca="false" t="array" ref="CC18:CC18">_xlfn.CONCAT("{BLACK}Length: {GOLD}", TEXT(ROUNDUP(IF(AQ18&lt;&gt;"",SUM(VALUE(_xlfn.TEXTSPLIT(AQ18, ","))), SUM(VALUE(_xlfn.TEXTSPLIT(AN18, ",")))*IF(M18, M18, 1))/16, 1), "#,##0.0"), " tiles{}")</f>
        <v>{BLACK}Length: {GOLD}3.0 tiles{}</v>
      </c>
      <c r="CD18" s="1" t="str">
        <f aca="false">VLOOKUP($CB18, Constants!$M:$N, 2, FALSE())</f>
        <v>{BLACK}Powered by: {GOLD}Diesel</v>
      </c>
      <c r="CE18" s="1" t="str">
        <f aca="false">IF(M18&gt;1,_xlfn.CONCAT("{BLACK}Cars: {GOLD}", M18),"")</f>
        <v>{BLACK}Cars: {GOLD}4</v>
      </c>
      <c r="CF18" s="1" t="s">
        <v>191</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8" s="1"/>
      <c r="CJ18" s="1"/>
    </row>
    <row r="19" customFormat="false" ht="13.8" hidden="false" customHeight="false" outlineLevel="0" collapsed="false">
      <c r="A19" s="1" t="s">
        <v>192</v>
      </c>
      <c r="B19" s="1" t="s">
        <v>190</v>
      </c>
      <c r="C19" s="1" t="n">
        <v>211</v>
      </c>
      <c r="D19" s="1" t="n">
        <v>210</v>
      </c>
      <c r="E19" s="1" t="n">
        <v>29</v>
      </c>
      <c r="F19" s="1" t="s">
        <v>89</v>
      </c>
      <c r="G19" s="1" t="s">
        <v>90</v>
      </c>
      <c r="H19" s="1" t="s">
        <v>152</v>
      </c>
      <c r="I19" s="1" t="s">
        <v>153</v>
      </c>
      <c r="J19" s="1" t="n">
        <v>1982</v>
      </c>
      <c r="K19" s="1" t="n">
        <v>2002</v>
      </c>
      <c r="L19" s="1" t="n">
        <v>2006</v>
      </c>
      <c r="M19" s="1" t="n">
        <v>3</v>
      </c>
      <c r="N19" s="1" t="n">
        <v>1000</v>
      </c>
      <c r="W19" s="1" t="n">
        <v>118</v>
      </c>
      <c r="Y19" s="1" t="n">
        <v>5</v>
      </c>
      <c r="Z19" s="1" t="n">
        <v>92</v>
      </c>
      <c r="AA19" s="4" t="n">
        <f aca="false">IF(AND(W19&gt;0,Z19&gt;0),(Z19/((W19+X19)*10)),"")</f>
        <v>0.0779661016949153</v>
      </c>
      <c r="AB19" s="1" t="n">
        <v>90</v>
      </c>
      <c r="AC19" s="1" t="n">
        <f aca="false">ROUND(AB19*1.6, 0)</f>
        <v>144</v>
      </c>
      <c r="AF19" s="1" t="n">
        <v>19.8</v>
      </c>
      <c r="AG19" s="1" t="n">
        <v>20</v>
      </c>
      <c r="AH19" s="1" t="n">
        <v>2.5</v>
      </c>
      <c r="AI19" s="1" t="n">
        <v>3.77</v>
      </c>
      <c r="AJ19" s="5" t="n">
        <v>67</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8</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6.7</v>
      </c>
      <c r="BG19" s="1" t="n">
        <f aca="false">VLOOKUP($H19,Constants!$I:$K, 2, FALSE())</f>
        <v>1</v>
      </c>
      <c r="BH19" s="1" t="n">
        <f aca="false">VLOOKUP($H19,Constants!$I:$K, 3, FALSE())*IF(AND(G19="multiple_unit",AB19&lt;110),0.75,1)</f>
        <v>1.5</v>
      </c>
      <c r="BI19" s="1" t="n">
        <f aca="false">INT(POWER(((Constants!$G$2+$BB19+$BC19+$BD19+$BF19)*$BE19)*$BH19, 1.05))+$BA19</f>
        <v>64</v>
      </c>
      <c r="BJ19" s="1" t="n">
        <f aca="false">INT(POWER((((Constants!$G$1+$BB19+$BC19+$BD19+$BF19)*($BE19))*$BG19),IF($G19="wagon",1,1.2)))+$AZ19</f>
        <v>103</v>
      </c>
      <c r="BK19" s="20" t="n">
        <f aca="false">BI19*IF($G19="wagon",62.5,781.25)</f>
        <v>50000</v>
      </c>
      <c r="BL19" s="20" t="n">
        <f aca="false">BJ19*IF($G19="wagon",2.73,81.25)</f>
        <v>8368.75</v>
      </c>
      <c r="BQ19" s="1" t="s">
        <v>186</v>
      </c>
      <c r="BT19" s="1" t="n">
        <v>2</v>
      </c>
      <c r="BX19" s="1" t="s">
        <v>95</v>
      </c>
      <c r="BY19" s="1" t="str">
        <f aca="false">VLOOKUP(J19,Eras!$A$2:$C$10, 2, TRUE())</f>
        <v>lbr</v>
      </c>
      <c r="BZ19" s="18" t="s">
        <v>166</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{GOLD}2.3 tiles{}</v>
      </c>
      <c r="CD19" s="1" t="str">
        <f aca="false">VLOOKUP($CB19, Constants!$M:$N, 2, FALSE())</f>
        <v>{BLACK}Powered by: {GOLD}Diesel</v>
      </c>
      <c r="CE19" s="1" t="str">
        <f aca="false">IF(M19&gt;1,_xlfn.CONCAT("{BLACK}Cars: {GOLD}", M19),"")</f>
        <v>{BLACK}Cars: {GOLD}3</v>
      </c>
      <c r="CF19" s="1" t="s">
        <v>196</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9" s="1"/>
      <c r="CJ19" s="1"/>
    </row>
    <row r="20" customFormat="false" ht="13.8" hidden="false" customHeight="false" outlineLevel="0" collapsed="false">
      <c r="A20" s="18" t="s">
        <v>197</v>
      </c>
      <c r="B20" s="18" t="s">
        <v>198</v>
      </c>
      <c r="C20" s="1" t="n">
        <v>252</v>
      </c>
      <c r="D20" s="18"/>
      <c r="E20" s="18" t="n">
        <v>27</v>
      </c>
      <c r="F20" s="18" t="s">
        <v>89</v>
      </c>
      <c r="G20" s="18" t="s">
        <v>90</v>
      </c>
      <c r="H20" s="18" t="s">
        <v>152</v>
      </c>
      <c r="I20" s="18" t="s">
        <v>153</v>
      </c>
      <c r="J20" s="18" t="n">
        <v>1960</v>
      </c>
      <c r="K20" s="18"/>
      <c r="L20" s="18" t="n">
        <v>1973</v>
      </c>
      <c r="M20" s="18" t="n">
        <v>6</v>
      </c>
      <c r="N20" s="18" t="n">
        <v>1000</v>
      </c>
      <c r="W20" s="19" t="n">
        <v>304</v>
      </c>
      <c r="Y20" s="18" t="n">
        <v>3</v>
      </c>
      <c r="Z20" s="18" t="n">
        <v>155</v>
      </c>
      <c r="AA20" s="4" t="n">
        <f aca="false">IF(AND(W20&gt;0,Z20&gt;0),(Z20/((W20+X20)*10)),"")</f>
        <v>0.0509868421052632</v>
      </c>
      <c r="AB20" s="18" t="n">
        <v>90</v>
      </c>
      <c r="AC20" s="18" t="n">
        <f aca="false">ROUND(AB20*1.6, 0)</f>
        <v>144</v>
      </c>
      <c r="AD20" s="18"/>
      <c r="AE20" s="18"/>
      <c r="AF20" s="18" t="n">
        <v>20.26</v>
      </c>
      <c r="AG20" s="18" t="n">
        <v>20</v>
      </c>
      <c r="AH20" s="18" t="n">
        <v>2.9</v>
      </c>
      <c r="AI20" s="18" t="n">
        <v>3.77</v>
      </c>
      <c r="AJ20" s="5" t="n">
        <v>36</v>
      </c>
      <c r="AK20" s="19" t="str">
        <f aca="false">CONCATENATE(VLOOKUP(AL20, 'Voxel Sizes'!$A$2:$B$18,2,FALSE()),"x",INT(AH20*15), "x", INT(AI20*15))</f>
        <v>198x43x56</v>
      </c>
      <c r="AL20" s="18" t="n">
        <f aca="false">ROUND(15*((AG20*10)/256),0)</f>
        <v>12</v>
      </c>
      <c r="AM20" s="18"/>
      <c r="AN20" s="1" t="str">
        <f aca="false">CONCATENATE(VLOOKUP(AL20,Constants!$A$2:$C$16,IF(AM20&lt;&gt;"", 3, 2), FALSE()),IF(AM20&lt;&gt;"",CONCATENATE(",",VLOOKUP(AM20,$B:$AN,38,FALSE())),""))</f>
        <v>4,4,4</v>
      </c>
      <c r="AO20" s="18" t="s">
        <v>199</v>
      </c>
      <c r="AR20" s="18" t="s">
        <v>200</v>
      </c>
      <c r="AS20" s="18"/>
      <c r="AT20" s="18" t="s">
        <v>201</v>
      </c>
      <c r="AU20" s="18" t="s">
        <v>202</v>
      </c>
      <c r="AV20" s="18"/>
      <c r="AW20" s="18"/>
      <c r="AX20" s="18" t="n">
        <v>22</v>
      </c>
      <c r="AY20" s="6" t="n">
        <f aca="false">IF(L20&lt;&gt;"",MAX(16,(L20-J20)+8),"")</f>
        <v>21</v>
      </c>
      <c r="AZ20" s="18" t="n">
        <v>-10</v>
      </c>
      <c r="BA20" s="18" t="n">
        <v>-15</v>
      </c>
      <c r="BB20" s="18" t="n">
        <f aca="false">MIN(AB20/150, 1)*30</f>
        <v>18</v>
      </c>
      <c r="BC20" s="18" t="n">
        <f aca="false">MIN(N20/4000, 1)*20</f>
        <v>5</v>
      </c>
      <c r="BD20" s="18" t="n">
        <f aca="false">MIN(Z20/400,1)*20</f>
        <v>7.75</v>
      </c>
      <c r="BE20" s="4" t="n">
        <f aca="false">1-(MAX(J20-1900, 0)/750)</f>
        <v>0.92</v>
      </c>
      <c r="BF20" s="18" t="n">
        <f aca="false">((MAX($M20,1)*MIN($AJ20/300,1)))*IF(G20="Wagon",50,10)</f>
        <v>7.2</v>
      </c>
      <c r="BG20" s="1" t="n">
        <f aca="false">VLOOKUP($H20,Constants!$I:$K, 2, FALSE())</f>
        <v>1</v>
      </c>
      <c r="BH20" s="1" t="n">
        <f aca="false">VLOOKUP($H20,Constants!$I:$K, 3, FALSE())*IF(AND(G20="multiple_unit",AB20&lt;110),0.75,1)</f>
        <v>1.5</v>
      </c>
      <c r="BI20" s="18" t="n">
        <v>61</v>
      </c>
      <c r="BJ20" s="18" t="n">
        <v>101</v>
      </c>
      <c r="BK20" s="20" t="n">
        <f aca="false">BI20*IF($G20="wagon",62.5,781.25)</f>
        <v>47656.25</v>
      </c>
      <c r="BL20" s="20" t="n">
        <f aca="false">BJ20*IF($G20="wagon",2.73,81.25)</f>
        <v>8206.25</v>
      </c>
      <c r="BM20" s="18"/>
      <c r="BN20" s="18"/>
      <c r="BO20" s="18"/>
      <c r="BP20" s="18"/>
      <c r="BQ20" s="18"/>
      <c r="BR20" s="18"/>
      <c r="BS20" s="18" t="s">
        <v>203</v>
      </c>
      <c r="BT20" s="18" t="n">
        <v>2</v>
      </c>
      <c r="BU20" s="18" t="n">
        <v>222</v>
      </c>
      <c r="BV20" s="18"/>
      <c r="BW20" s="18"/>
      <c r="BX20" s="18" t="s">
        <v>95</v>
      </c>
      <c r="BY20" s="18" t="s">
        <v>204</v>
      </c>
      <c r="BZ20" s="18" t="s">
        <v>205</v>
      </c>
      <c r="CA20" s="1" t="str">
        <f aca="false">CONCATENATE(BY20,"_",BZ20)</f>
        <v>dsl_DMU (Express)</v>
      </c>
      <c r="CB20" s="1" t="str">
        <f aca="false">_xlfn.CONCAT(H20, "_",I20)</f>
        <v>diesel_RAIL</v>
      </c>
      <c r="CC20" s="21" t="str">
        <f aca="false" t="array" ref="CC20:CC20">_xlfn.CONCAT("{BLACK}Length: {GOLD}", TEXT(ROUNDUP(IF(AQ20&lt;&gt;"",SUM(VALUE(_xlfn.TEXTSPLIT(AQ20, ","))), SUM(VALUE(_xlfn.TEXTSPLIT(AN20, ",")))*IF(M20, M20, 1))/16, 1), "#,##0.0"), " tiles{}")</f>
        <v>{BLACK}Length: {GOLD}4.5 tiles{}</v>
      </c>
      <c r="CD20" s="1" t="str">
        <f aca="false">VLOOKUP($CB20, Constants!$M:$N, 2, FALSE())</f>
        <v>{BLACK}Powered by: {GOLD}Diesel</v>
      </c>
      <c r="CE20" s="1" t="str">
        <f aca="false">IF(M20&gt;1,_xlfn.CONCAT("{BLACK}Cars: {GOLD}", M20),"")</f>
        <v>{BLACK}Cars: {GOLD}6</v>
      </c>
      <c r="CF20" s="1" t="s">
        <v>206</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{YELLOW}20% bonus for long distance travel{}</v>
      </c>
      <c r="CH20" s="1" t="str">
        <f aca="false">_xlfn.CONCAT(CD20,IF(CD20 &lt;&gt; "", " ", ""),CE20,IF(OR(CE20&lt;&gt;"", CD20&lt;&gt;""), "{}",""), CC20, CG20,"{SILVER}", CF20)</f>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v>
      </c>
      <c r="CI20" s="1"/>
      <c r="CJ20" s="1"/>
      <c r="XFD20" s="19"/>
    </row>
    <row r="21" customFormat="false" ht="13.8" hidden="false" customHeight="false" outlineLevel="0" collapsed="false">
      <c r="A21" s="18" t="s">
        <v>197</v>
      </c>
      <c r="B21" s="18" t="s">
        <v>207</v>
      </c>
      <c r="C21" s="1" t="n">
        <v>251</v>
      </c>
      <c r="D21" s="18" t="n">
        <v>252</v>
      </c>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38</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208</v>
      </c>
      <c r="AR21" s="18" t="s">
        <v>200</v>
      </c>
      <c r="AS21" s="18"/>
      <c r="AT21" s="18" t="s">
        <v>209</v>
      </c>
      <c r="AU21" s="18" t="s">
        <v>202</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10.1333333333333</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203</v>
      </c>
      <c r="BT21" s="18" t="n">
        <v>2</v>
      </c>
      <c r="BU21" s="18" t="n">
        <v>222</v>
      </c>
      <c r="BV21" s="18"/>
      <c r="BW21" s="18"/>
      <c r="BX21" s="18" t="s">
        <v>95</v>
      </c>
      <c r="BY21" s="18" t="s">
        <v>204</v>
      </c>
      <c r="BZ21" s="18" t="s">
        <v>205</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210</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211</v>
      </c>
      <c r="B22" s="18" t="s">
        <v>212</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9"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213</v>
      </c>
      <c r="AS22" s="1"/>
      <c r="AT22" s="1" t="s">
        <v>188</v>
      </c>
      <c r="AU22" s="1" t="s">
        <v>214</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0" t="n">
        <f aca="false">BI22*IF($G22="wagon",62.5,781.25)</f>
        <v>42187.5</v>
      </c>
      <c r="BL22" s="20"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204</v>
      </c>
      <c r="BZ22" s="18" t="s">
        <v>97</v>
      </c>
      <c r="CA22" s="1" t="str">
        <f aca="false">CONCATENATE(BY22,"_",BZ22)</f>
        <v>dsl_EMU</v>
      </c>
      <c r="CB22" s="1" t="str">
        <f aca="false">_xlfn.CONCAT(H22, "_",I22)</f>
        <v>electric_ELRL</v>
      </c>
      <c r="CC22" s="21"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215</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216</v>
      </c>
      <c r="B23" s="18" t="s">
        <v>217</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218</v>
      </c>
      <c r="AS23" s="1"/>
      <c r="AT23" s="1" t="s">
        <v>176</v>
      </c>
      <c r="AU23" s="1" t="s">
        <v>219</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0" t="n">
        <f aca="false">BI23*IF($G23="wagon",62.5,781.25)</f>
        <v>39062.5</v>
      </c>
      <c r="BL23" s="20"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204</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220</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221</v>
      </c>
      <c r="B24" s="18" t="s">
        <v>222</v>
      </c>
      <c r="C24" s="1" t="n">
        <v>309</v>
      </c>
      <c r="D24" s="1" t="n">
        <v>310</v>
      </c>
      <c r="E24" s="1" t="n">
        <v>42</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9"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223</v>
      </c>
      <c r="AT24" s="1" t="s">
        <v>113</v>
      </c>
      <c r="AU24" s="1" t="s">
        <v>224</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0" t="n">
        <f aca="false">BI24*IF($G24="wagon",62.5,781.25)</f>
        <v>28906.25</v>
      </c>
      <c r="BL24" s="20"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225</v>
      </c>
      <c r="BW24" s="18"/>
      <c r="BX24" s="1" t="s">
        <v>95</v>
      </c>
      <c r="BY24" s="1" t="s">
        <v>204</v>
      </c>
      <c r="BZ24" s="18" t="s">
        <v>226</v>
      </c>
      <c r="CA24" s="1" t="str">
        <f aca="false">CONCATENATE(BY24,"_",BZ24)</f>
        <v>dsl_EMU (Express)</v>
      </c>
      <c r="CB24" s="1" t="str">
        <f aca="false">_xlfn.CONCAT(H24, "_",I24)</f>
        <v>electric_ELRL</v>
      </c>
      <c r="CC24" s="21"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227</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228</v>
      </c>
      <c r="B25" s="18" t="s">
        <v>229</v>
      </c>
      <c r="C25" s="1" t="n">
        <v>310</v>
      </c>
      <c r="E25" s="1" t="n">
        <v>43</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230</v>
      </c>
      <c r="AT25" s="1" t="s">
        <v>231</v>
      </c>
      <c r="AU25" s="1" t="s">
        <v>232</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0" t="n">
        <f aca="false">BI25*IF($G25="wagon",62.5,781.25)</f>
        <v>58593.75</v>
      </c>
      <c r="BL25" s="20"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225</v>
      </c>
      <c r="BW25" s="18" t="s">
        <v>233</v>
      </c>
      <c r="BX25" s="1" t="s">
        <v>95</v>
      </c>
      <c r="BY25" s="1" t="s">
        <v>204</v>
      </c>
      <c r="BZ25" s="18" t="s">
        <v>226</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234</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235</v>
      </c>
      <c r="B26" s="18" t="s">
        <v>236</v>
      </c>
      <c r="C26" s="1" t="n">
        <v>311</v>
      </c>
      <c r="D26" s="1" t="n">
        <v>310</v>
      </c>
      <c r="E26" s="1" t="n">
        <v>44</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237</v>
      </c>
      <c r="AT26" s="1" t="s">
        <v>238</v>
      </c>
      <c r="AU26" s="1" t="s">
        <v>232</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0" t="n">
        <f aca="false">BI26*IF($G26="wagon",62.5,781.25)</f>
        <v>50000</v>
      </c>
      <c r="BL26" s="20"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225</v>
      </c>
      <c r="BW26" s="18"/>
      <c r="BX26" s="1" t="s">
        <v>95</v>
      </c>
      <c r="BY26" s="1" t="s">
        <v>204</v>
      </c>
      <c r="BZ26" s="18" t="s">
        <v>226</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239</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240</v>
      </c>
      <c r="B27" s="18" t="s">
        <v>241</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19"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242</v>
      </c>
      <c r="AT27" s="1" t="s">
        <v>113</v>
      </c>
      <c r="AU27" s="1" t="s">
        <v>243</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0" t="n">
        <f aca="false">BI27*IF($G27="wagon",62.5,781.25)</f>
        <v>23437.5</v>
      </c>
      <c r="BL27" s="20" t="n">
        <f aca="false">BJ27*IF($G27="wagon",2.73,81.25)</f>
        <v>3737.5</v>
      </c>
      <c r="BT27" s="1" t="n">
        <v>9</v>
      </c>
      <c r="BU27" s="1" t="n">
        <v>148</v>
      </c>
      <c r="BV27" s="1" t="s">
        <v>225</v>
      </c>
      <c r="BW27" s="18"/>
      <c r="BX27" s="1" t="s">
        <v>95</v>
      </c>
      <c r="BY27" s="1" t="s">
        <v>244</v>
      </c>
      <c r="BZ27" s="18" t="s">
        <v>97</v>
      </c>
      <c r="CA27" s="1" t="str">
        <f aca="false">CONCATENATE(BY27,"_",BZ27)</f>
        <v>lbr_EMU</v>
      </c>
      <c r="CB27" s="1" t="str">
        <f aca="false">_xlfn.CONCAT(H27, "_",I27)</f>
        <v>electric_ELRL</v>
      </c>
      <c r="CC27" s="21"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245</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246</v>
      </c>
      <c r="B28" s="1" t="s">
        <v>247</v>
      </c>
      <c r="C28" s="1" t="n">
        <v>411</v>
      </c>
      <c r="D28" s="1"/>
      <c r="E28" s="1" t="n">
        <v>413</v>
      </c>
      <c r="F28" s="1" t="s">
        <v>89</v>
      </c>
      <c r="G28" s="1" t="s">
        <v>90</v>
      </c>
      <c r="H28" s="1" t="s">
        <v>91</v>
      </c>
      <c r="I28" s="1" t="s">
        <v>248</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19"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249</v>
      </c>
      <c r="AS28" s="1"/>
      <c r="AT28" s="1" t="s">
        <v>188</v>
      </c>
      <c r="AU28" s="1" t="s">
        <v>250</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0" t="n">
        <f aca="false">BI28*IF($G28="wagon",62.5,781.25)</f>
        <v>57031.25</v>
      </c>
      <c r="BL28" s="20" t="n">
        <f aca="false">BJ28*IF($G28="wagon",2.73,81.25)</f>
        <v>5443.75</v>
      </c>
      <c r="BM28" s="1"/>
      <c r="BN28" s="1"/>
      <c r="BO28" s="1"/>
      <c r="BP28" s="1"/>
      <c r="BQ28" s="1" t="s">
        <v>251</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1"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252</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253</v>
      </c>
      <c r="B29" s="1" t="s">
        <v>254</v>
      </c>
      <c r="C29" s="1" t="n">
        <v>419</v>
      </c>
      <c r="E29" s="1" t="n">
        <v>421</v>
      </c>
      <c r="F29" s="1" t="s">
        <v>89</v>
      </c>
      <c r="G29" s="1" t="s">
        <v>147</v>
      </c>
      <c r="H29" s="1" t="s">
        <v>255</v>
      </c>
      <c r="I29" s="1" t="s">
        <v>256</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19"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254</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0" t="n">
        <f aca="false">BI29*IF($G29="wagon",62.5,781.25)</f>
        <v>34375</v>
      </c>
      <c r="BL29" s="20" t="n">
        <f aca="false">BJ29*IF($G29="wagon",2.73,81.25)</f>
        <v>5606.25</v>
      </c>
      <c r="BQ29" s="1" t="s">
        <v>257</v>
      </c>
      <c r="BT29" s="1" t="n">
        <v>2</v>
      </c>
      <c r="BX29" s="1" t="s">
        <v>148</v>
      </c>
      <c r="BY29" s="1" t="str">
        <f aca="false">VLOOKUP(J29,Eras!$A$2:$C$10, 2, TRUE())</f>
        <v>dsl</v>
      </c>
      <c r="BZ29" s="18" t="s">
        <v>97</v>
      </c>
      <c r="CA29" s="1" t="str">
        <f aca="false">CONCATENATE(BY29,"_",BZ29)</f>
        <v>dsl_EMU</v>
      </c>
      <c r="CB29" s="1" t="str">
        <f aca="false">_xlfn.CONCAT(H29, "_",I29)</f>
        <v>dual_power_BATTERY</v>
      </c>
      <c r="CC29" s="21"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258</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259</v>
      </c>
      <c r="B30" s="1" t="s">
        <v>260</v>
      </c>
      <c r="C30" s="1" t="n">
        <v>489</v>
      </c>
      <c r="E30" s="1" t="n">
        <v>491</v>
      </c>
      <c r="F30" s="1" t="s">
        <v>89</v>
      </c>
      <c r="G30" s="1" t="s">
        <v>147</v>
      </c>
      <c r="H30" s="1" t="s">
        <v>91</v>
      </c>
      <c r="I30" s="1" t="s">
        <v>248</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260</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0" t="n">
        <f aca="false">BI30*IF($G30="wagon",62.5,781.25)</f>
        <v>28906.25</v>
      </c>
      <c r="BL30" s="20" t="n">
        <f aca="false">BJ30*IF($G30="wagon",2.73,81.25)</f>
        <v>5281.25</v>
      </c>
      <c r="BM30" s="1" t="n">
        <v>1</v>
      </c>
      <c r="BN30" s="1" t="n">
        <v>1</v>
      </c>
      <c r="BQ30" s="1" t="s">
        <v>261</v>
      </c>
      <c r="BT30" s="1" t="n">
        <v>2</v>
      </c>
      <c r="BX30" s="1" t="s">
        <v>148</v>
      </c>
      <c r="BY30" s="1" t="str">
        <f aca="false">VLOOKUP(J30,Eras!$A$2:$C$10, 2, TRUE())</f>
        <v>dsl</v>
      </c>
      <c r="BZ30" s="18" t="s">
        <v>97</v>
      </c>
      <c r="CA30" s="1" t="str">
        <f aca="false">CONCATENATE(BY30,"_",BZ30)</f>
        <v>dsl_EMU</v>
      </c>
      <c r="CB30" s="1" t="str">
        <f aca="false">_xlfn.CONCAT(H30, "_",I30)</f>
        <v>electric_THIRD_RAIL</v>
      </c>
      <c r="CC30" s="21"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262</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s="19" customFormat="true" ht="13.8" hidden="false" customHeight="false" outlineLevel="0" collapsed="false">
      <c r="A31" s="19" t="s">
        <v>263</v>
      </c>
      <c r="B31" s="19" t="s">
        <v>264</v>
      </c>
      <c r="C31" s="19" t="n">
        <v>149</v>
      </c>
      <c r="E31" s="19" t="n">
        <v>144</v>
      </c>
      <c r="F31" s="19" t="s">
        <v>89</v>
      </c>
      <c r="G31" s="19" t="s">
        <v>90</v>
      </c>
      <c r="H31" s="19" t="s">
        <v>152</v>
      </c>
      <c r="I31" s="19" t="s">
        <v>153</v>
      </c>
      <c r="J31" s="19" t="n">
        <v>1979</v>
      </c>
      <c r="K31" s="19" t="n">
        <v>1983</v>
      </c>
      <c r="L31" s="19" t="n">
        <v>1987</v>
      </c>
      <c r="M31" s="19" t="n">
        <v>1</v>
      </c>
      <c r="N31" s="19" t="n">
        <v>150</v>
      </c>
      <c r="O31" s="25"/>
      <c r="P31" s="26"/>
      <c r="Q31" s="26"/>
      <c r="R31" s="26"/>
      <c r="S31" s="26"/>
      <c r="T31" s="26"/>
      <c r="U31" s="26"/>
      <c r="V31" s="26"/>
      <c r="W31" s="19" t="n">
        <f aca="false">24.3</f>
        <v>24.3</v>
      </c>
      <c r="X31" s="25"/>
      <c r="Y31" s="19" t="n">
        <v>5</v>
      </c>
      <c r="Z31" s="19" t="n">
        <v>70</v>
      </c>
      <c r="AA31" s="27" t="n">
        <f aca="false">IF(AND(W31&gt;0,Z31&gt;0),(Z31/((W31+X31)*10)),"")</f>
        <v>0.288065843621399</v>
      </c>
      <c r="AB31" s="19" t="n">
        <v>75</v>
      </c>
      <c r="AC31" s="19" t="n">
        <f aca="false">ROUND(AB31*1.6, 0)</f>
        <v>120</v>
      </c>
      <c r="AF31" s="19" t="n">
        <v>15.45</v>
      </c>
      <c r="AG31" s="19" t="n">
        <v>15.45</v>
      </c>
      <c r="AH31" s="19" t="n">
        <v>2.5</v>
      </c>
      <c r="AI31" s="19" t="n">
        <v>3.9</v>
      </c>
      <c r="AJ31" s="28" t="n">
        <v>42</v>
      </c>
      <c r="AK31" s="19" t="str">
        <f aca="false">CONCATENATE(VLOOKUP(AL31, '[1]Voxel Sizes'!$A$2:$B$18,2,FALSE()),"x",INT(AH31*15), "x", INT(AI31*15))</f>
        <v>152x37x58</v>
      </c>
      <c r="AL31" s="19" t="n">
        <f aca="false">ROUND(15*((AG31*10)/256),0)</f>
        <v>9</v>
      </c>
      <c r="AN31" s="19" t="str">
        <f aca="false">CONCATENATE(VLOOKUP(AL31,[1]Constants!$A$2:$C$16,IF(AM31&lt;&gt;"", 3, 2), FALSE()),IF(AM31&lt;&gt;"",CONCATENATE(",",VLOOKUP(AM31,$B:$AN,39,FALSE())),""))</f>
        <v>2,5,2</v>
      </c>
      <c r="AP31" s="29"/>
      <c r="AQ31" s="29"/>
      <c r="AR31" s="19" t="s">
        <v>264</v>
      </c>
      <c r="AT31" s="19" t="s">
        <v>265</v>
      </c>
      <c r="AX31" s="19" t="n">
        <v>18</v>
      </c>
      <c r="AY31" s="30" t="n">
        <f aca="false">IF(L31&lt;&gt;"",MAX(16,(L31-J31)+8),"")</f>
        <v>16</v>
      </c>
      <c r="AZ31" s="19" t="n">
        <v>-35</v>
      </c>
      <c r="BA31" s="19" t="n">
        <v>-25</v>
      </c>
      <c r="BB31" s="19" t="n">
        <f aca="false">MIN(AB31/150, 1)*30</f>
        <v>15</v>
      </c>
      <c r="BC31" s="19" t="n">
        <f aca="false">MIN(N31/4000, 1)*20</f>
        <v>0.75</v>
      </c>
      <c r="BD31" s="19" t="n">
        <f aca="false">MIN(Z31/400,1)*20</f>
        <v>3.5</v>
      </c>
      <c r="BE31" s="27" t="n">
        <f aca="false">1-(MAX(J31-1900, 0)/750)</f>
        <v>0.894666666666667</v>
      </c>
      <c r="BF31" s="19" t="n">
        <f aca="false">((MAX($M31,1)*MIN($AJ31/300,1)))*IF(G31="Wagon",50,10)</f>
        <v>1.4</v>
      </c>
      <c r="BG31" s="1" t="n">
        <f aca="false">VLOOKUP($H31,Constants!$I:$K, 2, FALSE())</f>
        <v>1</v>
      </c>
      <c r="BH31" s="1" t="n">
        <f aca="false">VLOOKUP($H31,Constants!$I:$K, 3, FALSE())*IF(AND(G31="multiple_unit",AB31&lt;110),0.75,1)</f>
        <v>1.5</v>
      </c>
      <c r="BI31" s="1" t="n">
        <f aca="false">INT(POWER(((Constants!$G$2+$BB31+$BC31+$BD31+$BF31)*$BE31)*$BH31, 1.05))+$BA31</f>
        <v>16</v>
      </c>
      <c r="BJ31" s="1" t="n">
        <f aca="false">INT(POWER((((Constants!$G$1+$BB31+$BC31+$BD31+$BF31)*($BE31))*$BG31),IF($G31="wagon",1,1.2)))+$AZ31</f>
        <v>28</v>
      </c>
      <c r="BK31" s="20" t="n">
        <f aca="false">BI31*IF($G31="wagon",62.5,781.25)</f>
        <v>12500</v>
      </c>
      <c r="BL31" s="31" t="n">
        <f aca="false">BJ31*IF($G31="wagon",2.73,81.25)</f>
        <v>2275</v>
      </c>
      <c r="BT31" s="19" t="n">
        <v>2</v>
      </c>
      <c r="BU31" s="19" t="n">
        <v>148</v>
      </c>
      <c r="BX31" s="19" t="s">
        <v>95</v>
      </c>
      <c r="BY31" s="19" t="str">
        <f aca="false">VLOOKUP(J31,[1]Eras!$A$2:$C$10, 2, TRUE())</f>
        <v>lbr</v>
      </c>
      <c r="BZ31" s="32" t="s">
        <v>266</v>
      </c>
      <c r="CA31" s="1" t="str">
        <f aca="false">CONCATENATE(BY31,"_",BZ31)</f>
        <v>lbr_DMU (Cheap)</v>
      </c>
      <c r="CB31" s="1" t="str">
        <f aca="false">_xlfn.CONCAT(H31, "_",I31)</f>
        <v>diesel_RAIL</v>
      </c>
      <c r="CC31" s="21" t="str">
        <f aca="false">_xlfn.CONCAT("{BLACK}Length: {GOLD}", TEXT(ROUNDUP(IF(AQ31&lt;&gt;"",SUM(VALUE(_xlfn.TEXTSPLIT(AQ31, ","))), SUM(VALUE(_xlfn.TEXTSPLIT(AN31, ",")))*IF(M31, M31, 1))/16, 1), "#,##0.0"), " tiles{}")</f>
        <v>{BLACK}Length: {GOLD}0.6 tiles{}</v>
      </c>
      <c r="CD31" s="1" t="str">
        <f aca="false">VLOOKUP($CB31, Constants!$M:$N, 2, FALSE())</f>
        <v>{BLACK}Powered by: {GOLD}Diesel</v>
      </c>
      <c r="CE31" s="1" t="str">
        <f aca="false">IF(M31&gt;1,_xlfn.CONCAT("{BLACK}Cars: {GOLD}", M31),"")</f>
        <v/>
      </c>
      <c r="CF31" s="19" t="s">
        <v>267</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{YELLOW}20% penalty for long distance travel{}</v>
      </c>
      <c r="CH31" s="1" t="str">
        <f aca="false">_xlfn.CONCAT(CD31,IF(CD31 &lt;&gt; "", " ", ""),CE31,IF(OR(CE31&lt;&gt;"", CD31&lt;&gt;""), "{}",""), CC31, CG31,"{SILVER}", CF31)</f>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v>
      </c>
    </row>
    <row r="32" s="19" customFormat="true" ht="13.8" hidden="false" customHeight="false" outlineLevel="0" collapsed="false">
      <c r="A32" s="19" t="s">
        <v>268</v>
      </c>
      <c r="B32" s="19" t="s">
        <v>269</v>
      </c>
      <c r="C32" s="19" t="n">
        <v>150</v>
      </c>
      <c r="E32" s="19" t="n">
        <v>145</v>
      </c>
      <c r="F32" s="19" t="s">
        <v>89</v>
      </c>
      <c r="G32" s="19" t="s">
        <v>90</v>
      </c>
      <c r="H32" s="19" t="s">
        <v>152</v>
      </c>
      <c r="I32" s="19" t="s">
        <v>153</v>
      </c>
      <c r="J32" s="19" t="n">
        <v>1984</v>
      </c>
      <c r="K32" s="19" t="n">
        <v>1988</v>
      </c>
      <c r="L32" s="19" t="n">
        <v>2005</v>
      </c>
      <c r="M32" s="19" t="n">
        <v>2</v>
      </c>
      <c r="N32" s="19" t="n">
        <v>205</v>
      </c>
      <c r="O32" s="25"/>
      <c r="P32" s="26"/>
      <c r="Q32" s="26"/>
      <c r="R32" s="26"/>
      <c r="S32" s="26"/>
      <c r="T32" s="26"/>
      <c r="U32" s="26"/>
      <c r="V32" s="26"/>
      <c r="W32" s="19" t="n">
        <f aca="false">26+26.5</f>
        <v>52.5</v>
      </c>
      <c r="X32" s="25"/>
      <c r="Y32" s="19" t="n">
        <v>5</v>
      </c>
      <c r="Z32" s="19" t="n">
        <v>70</v>
      </c>
      <c r="AA32" s="27" t="n">
        <f aca="false">IF(AND(W32&gt;0,Z32&gt;0),(Z32/((W32+X32)*10)),"")</f>
        <v>0.133333333333333</v>
      </c>
      <c r="AB32" s="19" t="n">
        <v>75</v>
      </c>
      <c r="AC32" s="19" t="n">
        <f aca="false">ROUND(AB32*1.6, 0)</f>
        <v>120</v>
      </c>
      <c r="AF32" s="19" t="n">
        <v>15.45</v>
      </c>
      <c r="AG32" s="19" t="n">
        <v>15.45</v>
      </c>
      <c r="AH32" s="19" t="n">
        <v>2.5</v>
      </c>
      <c r="AI32" s="19" t="n">
        <v>3.9</v>
      </c>
      <c r="AJ32" s="28" t="n">
        <v>46</v>
      </c>
      <c r="AK32" s="19" t="str">
        <f aca="false">CONCATENATE(VLOOKUP(AL32, '[1]Voxel Sizes'!$A$2:$B$18,2,FALSE()),"x",INT(AH32*15), "x", INT(AI32*15))</f>
        <v>152x37x58</v>
      </c>
      <c r="AL32" s="19" t="n">
        <f aca="false">ROUND(15*((AG32*10)/256),0)</f>
        <v>9</v>
      </c>
      <c r="AN32" s="19" t="str">
        <f aca="false">CONCATENATE(VLOOKUP(AL32,[1]Constants!$A$2:$C$16,IF(AM32&lt;&gt;"", 3, 2), FALSE()),IF(AM32&lt;&gt;"",CONCATENATE(",",VLOOKUP(AM32,$B:$AN,39,FALSE())),""))</f>
        <v>2,5,2</v>
      </c>
      <c r="AP32" s="29"/>
      <c r="AQ32" s="29"/>
      <c r="AR32" s="19" t="s">
        <v>270</v>
      </c>
      <c r="AT32" s="19" t="s">
        <v>113</v>
      </c>
      <c r="AU32" s="19" t="s">
        <v>271</v>
      </c>
      <c r="AX32" s="19" t="n">
        <v>18</v>
      </c>
      <c r="AY32" s="30" t="n">
        <f aca="false">IF(L32&lt;&gt;"",MAX(16,(L32-J32)+8),"")</f>
        <v>29</v>
      </c>
      <c r="AZ32" s="19" t="n">
        <v>-35</v>
      </c>
      <c r="BA32" s="19" t="n">
        <v>-20</v>
      </c>
      <c r="BB32" s="19" t="n">
        <f aca="false">MIN(AB32/150, 1)*30</f>
        <v>15</v>
      </c>
      <c r="BC32" s="19" t="n">
        <f aca="false">MIN(N32/4000, 1)*20</f>
        <v>1.025</v>
      </c>
      <c r="BD32" s="19" t="n">
        <f aca="false">MIN(Z32/400,1)*20</f>
        <v>3.5</v>
      </c>
      <c r="BE32" s="27" t="n">
        <f aca="false">1-(MAX(J32-1900, 0)/750)</f>
        <v>0.888</v>
      </c>
      <c r="BF32" s="19" t="n">
        <f aca="false">((MAX($M32,1)*MIN($AJ32/300,1)))*IF(G32="Wagon",50,10)</f>
        <v>3.06666666666667</v>
      </c>
      <c r="BG32" s="1" t="n">
        <f aca="false">VLOOKUP($H32,Constants!$I:$K, 2, FALSE())</f>
        <v>1</v>
      </c>
      <c r="BH32" s="1" t="n">
        <f aca="false">VLOOKUP($H32,Constants!$I:$K, 3, FALSE())*IF(AND(G32="multiple_unit",AB32&lt;110),0.75,1)</f>
        <v>1.5</v>
      </c>
      <c r="BI32" s="1" t="n">
        <f aca="false">INT(POWER(((Constants!$G$2+$BB32+$BC32+$BD32+$BF32)*$BE32)*$BH32, 1.05))+$BA32</f>
        <v>24</v>
      </c>
      <c r="BJ32" s="1" t="n">
        <f aca="false">INT(POWER((((Constants!$G$1+$BB32+$BC32+$BD32+$BF32)*($BE32))*$BG32),IF($G32="wagon",1,1.2)))+$AZ32</f>
        <v>32</v>
      </c>
      <c r="BK32" s="20" t="n">
        <f aca="false">BI32*IF($G32="wagon",62.5,781.25)</f>
        <v>18750</v>
      </c>
      <c r="BL32" s="31" t="n">
        <f aca="false">BJ32*IF($G32="wagon",2.73,81.25)</f>
        <v>2600</v>
      </c>
      <c r="BQ32" s="19" t="str">
        <f aca="false">_xlfn.ORG.LIBREOFFICE.REGEX(_xlfn.ORG.LIBREOFFICE.REGEX(SPRINTERMUVEHICLES, _xlfn.CONCAT(B32, ",?"), ""), ",$", "")</f>
        <v>class_150,class_151,class_153,class_153_mail,super_sprinter,express_sprinter_2car,express_sprinter_3car,sprinter_hybrid,class_170,class_170_3car</v>
      </c>
      <c r="BT32" s="19" t="n">
        <v>2</v>
      </c>
      <c r="BU32" s="19" t="n">
        <v>148</v>
      </c>
      <c r="BX32" s="19" t="s">
        <v>95</v>
      </c>
      <c r="BY32" s="19" t="str">
        <f aca="false">VLOOKUP(J32,[1]Eras!$A$2:$C$10, 2, TRUE())</f>
        <v>lbr</v>
      </c>
      <c r="BZ32" s="32" t="s">
        <v>266</v>
      </c>
      <c r="CA32" s="1" t="str">
        <f aca="false">CONCATENATE(BY32,"_",BZ32)</f>
        <v>lbr_DMU (Cheap)</v>
      </c>
      <c r="CB32" s="1" t="str">
        <f aca="false">_xlfn.CONCAT(H32, "_",I32)</f>
        <v>diesel_RAIL</v>
      </c>
      <c r="CC32" s="21" t="str">
        <f aca="false">_xlfn.CONCAT("{BLACK}Length: {GOLD}", TEXT(ROUNDUP(IF(AQ32&lt;&gt;"",SUM(VALUE(_xlfn.TEXTSPLIT(AQ32, ","))), SUM(VALUE(_xlfn.TEXTSPLIT(AN32, ",")))*IF(M32, M32, 1))/16, 1), "#,##0.0"), " tiles{}")</f>
        <v>{BLACK}Length: {GOLD}1.2 tiles{}</v>
      </c>
      <c r="CD32" s="1" t="str">
        <f aca="false">VLOOKUP($CB32, Constants!$M:$N, 2, FALSE())</f>
        <v>{BLACK}Powered by: {GOLD}Diesel</v>
      </c>
      <c r="CE32" s="1" t="str">
        <f aca="false">IF(M32&gt;1,_xlfn.CONCAT("{BLACK}Cars: {GOLD}", M32),"")</f>
        <v>{BLACK}Cars: {GOLD}2</v>
      </c>
      <c r="CF32" s="19" t="s">
        <v>272</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{YELLOW}20% penalty for long distance travel{}</v>
      </c>
      <c r="CH32" s="1" t="str">
        <f aca="false">_xlfn.CONCAT(CD32,IF(CD32 &lt;&gt; "", " ", ""),CE32,IF(OR(CE32&lt;&gt;"", CD32&lt;&gt;""), "{}",""), CC32, CG32,"{SILVER}", CF32)</f>
        <v>{BLACK}Powered by: {GOLD}Diesel {BLACK}Cars: {GOLD}2{}{BLACK}Length: {GOLD}1.2 tiles{}{YELLOW}20% penalty for long distance travel{}{SILVER}The Class 141 is a multiple unit built from Leyland National bus parts. While cheap and light, it is criticised for its poor ride quality.</v>
      </c>
    </row>
    <row r="33" s="19" customFormat="true" ht="13.8" hidden="false" customHeight="false" outlineLevel="0" collapsed="false">
      <c r="A33" s="19" t="s">
        <v>273</v>
      </c>
      <c r="B33" s="19" t="s">
        <v>274</v>
      </c>
      <c r="C33" s="19" t="n">
        <v>152</v>
      </c>
      <c r="E33" s="19" t="n">
        <v>147</v>
      </c>
      <c r="F33" s="19" t="s">
        <v>89</v>
      </c>
      <c r="G33" s="19" t="s">
        <v>90</v>
      </c>
      <c r="H33" s="19" t="s">
        <v>152</v>
      </c>
      <c r="I33" s="19" t="s">
        <v>153</v>
      </c>
      <c r="J33" s="19" t="n">
        <v>1984</v>
      </c>
      <c r="K33" s="19" t="n">
        <v>1987</v>
      </c>
      <c r="M33" s="19" t="n">
        <v>2</v>
      </c>
      <c r="N33" s="19" t="n">
        <f aca="false">286*2</f>
        <v>572</v>
      </c>
      <c r="O33" s="25"/>
      <c r="P33" s="26"/>
      <c r="Q33" s="26"/>
      <c r="R33" s="26"/>
      <c r="S33" s="26"/>
      <c r="T33" s="26"/>
      <c r="U33" s="26"/>
      <c r="V33" s="26"/>
      <c r="W33" s="19" t="n">
        <f aca="false">35.8*2</f>
        <v>71.6</v>
      </c>
      <c r="X33" s="25"/>
      <c r="Y33" s="19" t="n">
        <v>5</v>
      </c>
      <c r="Z33" s="19" t="n">
        <v>110</v>
      </c>
      <c r="AA33" s="27" t="n">
        <f aca="false">IF(AND(W33&gt;0,Z33&gt;0),(Z33/((W33+X33)*10)),"")</f>
        <v>0.153631284916201</v>
      </c>
      <c r="AB33" s="19" t="n">
        <v>75</v>
      </c>
      <c r="AC33" s="19" t="n">
        <f aca="false">ROUND(AB33*1.6, 0)</f>
        <v>120</v>
      </c>
      <c r="AF33" s="19" t="n">
        <v>20</v>
      </c>
      <c r="AG33" s="19" t="n">
        <v>20</v>
      </c>
      <c r="AH33" s="19" t="n">
        <v>2.81</v>
      </c>
      <c r="AI33" s="19" t="n">
        <v>3.7</v>
      </c>
      <c r="AJ33" s="28" t="n">
        <v>63</v>
      </c>
      <c r="AK33" s="19" t="str">
        <f aca="false">CONCATENATE(VLOOKUP(AL33, '[1]Voxel Sizes'!$A$2:$B$18,2,FALSE()),"x",INT(AH33*15), "x", INT(AI33*15))</f>
        <v>198x42x55</v>
      </c>
      <c r="AL33" s="19" t="n">
        <f aca="false">ROUND(15*((AG33*10)/256),0)</f>
        <v>12</v>
      </c>
      <c r="AN33" s="19" t="str">
        <f aca="false">CONCATENATE(VLOOKUP(AL33,[1]Constants!$A$2:$C$16,IF(AM33&lt;&gt;"", 3, 2), FALSE()),IF(AM33&lt;&gt;"",CONCATENATE(",",VLOOKUP(AM33,$B:$AN,39,FALSE())),""))</f>
        <v>4,4,4</v>
      </c>
      <c r="AP33" s="29"/>
      <c r="AQ33" s="29"/>
      <c r="AR33" s="19" t="s">
        <v>275</v>
      </c>
      <c r="AT33" s="19" t="s">
        <v>113</v>
      </c>
      <c r="AU33" s="19" t="s">
        <v>276</v>
      </c>
      <c r="AX33" s="19" t="n">
        <v>28</v>
      </c>
      <c r="AY33" s="30" t="str">
        <f aca="false">IF(L33&lt;&gt;"",MAX(16,(L33-J33)+8),"")</f>
        <v/>
      </c>
      <c r="AZ33" s="19" t="n">
        <v>-10</v>
      </c>
      <c r="BA33" s="19" t="n">
        <v>-15</v>
      </c>
      <c r="BB33" s="19" t="n">
        <f aca="false">MIN(AB33/150, 1)*30</f>
        <v>15</v>
      </c>
      <c r="BC33" s="19" t="n">
        <f aca="false">MIN(N33/4000, 1)*20</f>
        <v>2.86</v>
      </c>
      <c r="BD33" s="19" t="n">
        <f aca="false">MIN(Z33/400,1)*20</f>
        <v>5.5</v>
      </c>
      <c r="BE33" s="27" t="n">
        <f aca="false">1-(MAX(J33-1900, 0)/750)</f>
        <v>0.888</v>
      </c>
      <c r="BF33" s="19" t="n">
        <f aca="false">((MAX($M33,1)*MIN($AJ33/300,1)))*IF(G33="Wagon",50,10)</f>
        <v>4.2</v>
      </c>
      <c r="BG33" s="1" t="n">
        <f aca="false">VLOOKUP($H33,Constants!$I:$K, 2, FALSE())</f>
        <v>1</v>
      </c>
      <c r="BH33" s="1" t="n">
        <f aca="false">VLOOKUP($H33,Constants!$I:$K, 3, FALSE())*IF(AND(G33="multiple_unit",AB33&lt;110),0.75,1)</f>
        <v>1.5</v>
      </c>
      <c r="BI33" s="19" t="n">
        <f aca="false">INT(POWER((([1]Constants!$G$2+$BB33+$BC33+$BD33+$BF33)*$BE33)*$BH33, 1.05))+$BA33</f>
        <v>37</v>
      </c>
      <c r="BJ33" s="19" t="n">
        <f aca="false">INT(POWER(((([1]Constants!$G$1+$BB33+$BC33+$BD33+$BF33)*($BE33))*$BG33),IF($G33="wagon",1,1.2)))+$AZ33</f>
        <v>68</v>
      </c>
      <c r="BK33" s="31" t="n">
        <f aca="false">BI33*IF($G33="wagon",62.5,781.25)</f>
        <v>28906.25</v>
      </c>
      <c r="BL33" s="31" t="n">
        <f aca="false">BJ33*IF($G33="wagon",2.73,81.25)</f>
        <v>5525</v>
      </c>
      <c r="BQ33" s="19" t="str">
        <f aca="false">_xlfn.ORG.LIBREOFFICE.REGEX(_xlfn.ORG.LIBREOFFICE.REGEX(SPRINTERMUVEHICLES, _xlfn.CONCAT(B33, ",?"), ""), ",$", "")</f>
        <v>class_141,class_151,class_153,class_153_mail,super_sprinter,express_sprinter_2car,express_sprinter_3car,sprinter_hybrid,class_170,class_170_3car</v>
      </c>
      <c r="BT33" s="19" t="n">
        <v>1</v>
      </c>
      <c r="BU33" s="19" t="n">
        <v>185</v>
      </c>
      <c r="BX33" s="19" t="s">
        <v>95</v>
      </c>
      <c r="BY33" s="19" t="str">
        <f aca="false">VLOOKUP(J33,[1]Eras!$A$2:$C$10, 2, TRUE())</f>
        <v>lbr</v>
      </c>
      <c r="BZ33" s="32" t="s">
        <v>166</v>
      </c>
      <c r="CA33" s="19" t="str">
        <f aca="false">CONCATENATE(BY33,"_",BZ33)</f>
        <v>lbr_DMU</v>
      </c>
      <c r="CB33" s="19" t="str">
        <f aca="false">_xlfn.CONCAT(H33, "_",I33)</f>
        <v>diesel_RAIL</v>
      </c>
      <c r="CC33" s="21" t="str">
        <f aca="false">_xlfn.CONCAT("{BLACK}Length: {GOLD}", TEXT(ROUNDUP(IF(AQ33&lt;&gt;"",SUM(VALUE(_xlfn.TEXTSPLIT(AQ33, ","))), SUM(VALUE(_xlfn.TEXTSPLIT(AN33, ",")))*IF(M33, M33, 1))/16, 1), "#,##0.0"), " tiles{}")</f>
        <v>{BLACK}Length: {GOLD}1.5 tiles{}</v>
      </c>
      <c r="CD33" s="1" t="str">
        <f aca="false">VLOOKUP($CB33, Constants!$M:$N, 2, FALSE())</f>
        <v>{BLACK}Powered by: {GOLD}Diesel</v>
      </c>
      <c r="CE33" s="19" t="str">
        <f aca="false">IF(M33&gt;1,_xlfn.CONCAT("{BLACK}Cars: {GOLD}", M33),"")</f>
        <v>{BLACK}Cars: {GOLD}2</v>
      </c>
      <c r="CF33" s="19" t="s">
        <v>277</v>
      </c>
      <c r="CH33" s="1" t="str">
        <f aca="false">_xlfn.CONCAT(CD33,IF(CD33 &lt;&gt; "", " ", ""),CE33,IF(OR(CE33&lt;&gt;"", CD33&lt;&gt;""), "{}",""), CB33, CF33,"{SILVER}", CE33)</f>
        <v>{BLACK}Powered by: {GOLD}Diesel {BLACK}Cars: {GOLD}2{}diesel_RAILThe Sprinter replaced first-generation DMUs. Like other second-generation units it was based on the Mark 3 bodyshell. The name refers to its faster acceleration compared to the units it replaced.{SILVER}{BLACK}Cars: {GOLD}2</v>
      </c>
    </row>
    <row r="34" customFormat="false" ht="13.8" hidden="false" customHeight="false" outlineLevel="0" collapsed="false">
      <c r="A34" s="1" t="s">
        <v>278</v>
      </c>
      <c r="B34" s="1" t="s">
        <v>279</v>
      </c>
      <c r="C34" s="1" t="n">
        <v>151</v>
      </c>
      <c r="E34" s="1" t="n">
        <v>148</v>
      </c>
      <c r="F34" s="1" t="s">
        <v>89</v>
      </c>
      <c r="G34" s="1" t="s">
        <v>90</v>
      </c>
      <c r="H34" s="1" t="s">
        <v>152</v>
      </c>
      <c r="I34" s="1" t="s">
        <v>153</v>
      </c>
      <c r="J34" s="1" t="n">
        <v>1985</v>
      </c>
      <c r="K34" s="1" t="n">
        <v>2015</v>
      </c>
      <c r="L34" s="1" t="n">
        <v>2025</v>
      </c>
      <c r="M34" s="1" t="n">
        <v>3</v>
      </c>
      <c r="N34" s="1" t="n">
        <v>855</v>
      </c>
      <c r="W34" s="1" t="n">
        <v>97</v>
      </c>
      <c r="Y34" s="1" t="n">
        <v>5</v>
      </c>
      <c r="Z34" s="1" t="n">
        <v>145</v>
      </c>
      <c r="AA34" s="4" t="n">
        <f aca="false">IF(AND(W34&gt;0,Z34&gt;0),(Z34/((W34+X34)*10)),"")</f>
        <v>0.149484536082474</v>
      </c>
      <c r="AB34" s="1" t="n">
        <v>75</v>
      </c>
      <c r="AC34" s="1" t="n">
        <f aca="false">ROUND(AB34*1.6, 0)</f>
        <v>120</v>
      </c>
      <c r="AF34" s="1" t="n">
        <v>19.9</v>
      </c>
      <c r="AG34" s="1" t="n">
        <v>20</v>
      </c>
      <c r="AH34" s="1" t="n">
        <v>2.8</v>
      </c>
      <c r="AI34" s="1" t="n">
        <v>3.84</v>
      </c>
      <c r="AJ34" s="5" t="n">
        <v>77</v>
      </c>
      <c r="AK34" s="19" t="str">
        <f aca="false">CONCATENATE(VLOOKUP(AL34, 'Voxel Sizes'!$A$2:$B$18,2,FALSE()),"x",INT(AH34*15), "x", INT(AI34*15))</f>
        <v>198x42x57</v>
      </c>
      <c r="AL34" s="1" t="n">
        <f aca="false">ROUND(15*((AG34*10)/256),0)</f>
        <v>12</v>
      </c>
      <c r="AN34" s="1" t="str">
        <f aca="false">CONCATENATE(VLOOKUP(AL34,Constants!$A$2:$C$16,IF(AM34&lt;&gt;"", 3, 2), FALSE()),IF(AM34&lt;&gt;"",CONCATENATE(",",VLOOKUP(AM34,$B:$AN,38,FALSE())),""))</f>
        <v>4,4,4</v>
      </c>
      <c r="AO34" s="1" t="n">
        <v>4</v>
      </c>
      <c r="AR34" s="1" t="s">
        <v>280</v>
      </c>
      <c r="AT34" s="1" t="s">
        <v>176</v>
      </c>
      <c r="AU34" s="1" t="s">
        <v>279</v>
      </c>
      <c r="AX34" s="1" t="n">
        <v>27</v>
      </c>
      <c r="AY34" s="6" t="n">
        <f aca="false">IF(L34&lt;&gt;"",MAX(16,(L34-J34)+8),"")</f>
        <v>48</v>
      </c>
      <c r="AZ34" s="1" t="n">
        <v>-15</v>
      </c>
      <c r="BA34" s="1" t="n">
        <v>-25</v>
      </c>
      <c r="BB34" s="1" t="n">
        <f aca="false">MIN(AB34/150, 1)*30</f>
        <v>15</v>
      </c>
      <c r="BC34" s="1" t="n">
        <f aca="false">MIN(N34/4000, 1)*20</f>
        <v>4.275</v>
      </c>
      <c r="BD34" s="1" t="n">
        <f aca="false">MIN(Z34/400,1)*20</f>
        <v>7.25</v>
      </c>
      <c r="BE34" s="4" t="n">
        <f aca="false">1-(MAX(J34-1900, 0)/750)</f>
        <v>0.886666666666667</v>
      </c>
      <c r="BF34" s="1" t="n">
        <f aca="false">((MAX($M34,1)*MIN($AJ34/300,1)))*IF(G34="Wagon",50,10)</f>
        <v>7.7</v>
      </c>
      <c r="BG34" s="1" t="n">
        <f aca="false">VLOOKUP($H34,Constants!$I:$K, 2, FALSE())</f>
        <v>1</v>
      </c>
      <c r="BH34" s="1" t="n">
        <f aca="false">VLOOKUP($H34,Constants!$I:$K, 3, FALSE())*IF(AND(G34="multiple_unit",AB34&lt;110),0.75,1)</f>
        <v>1.5</v>
      </c>
      <c r="BI34" s="1" t="n">
        <v>38</v>
      </c>
      <c r="BJ34" s="1" t="n">
        <v>77</v>
      </c>
      <c r="BK34" s="20" t="n">
        <f aca="false">BI34*IF($G34="wagon",62.5,781.25)</f>
        <v>29687.5</v>
      </c>
      <c r="BL34" s="20" t="n">
        <f aca="false">BJ34*IF($G34="wagon",2.73,81.25)</f>
        <v>6256.25</v>
      </c>
      <c r="BQ34" s="19" t="str">
        <f aca="false">_xlfn.ORG.LIBREOFFICE.REGEX(_xlfn.ORG.LIBREOFFICE.REGEX(SPRINTERMUVEHICLES, _xlfn.CONCAT(B34, ",?"), ""), ",$", "")</f>
        <v>class_141,class_150,class_153,class_153_mail,super_sprinter,express_sprinter_2car,express_sprinter_3car,sprinter_hybrid,class_170,class_170_3car</v>
      </c>
      <c r="BT34" s="1" t="n">
        <v>4</v>
      </c>
      <c r="BU34" s="1" t="n">
        <v>185</v>
      </c>
      <c r="BX34" s="1" t="s">
        <v>95</v>
      </c>
      <c r="BY34" s="1" t="s">
        <v>244</v>
      </c>
      <c r="BZ34" s="18" t="s">
        <v>166</v>
      </c>
      <c r="CA34" s="1" t="str">
        <f aca="false">CONCATENATE(BY34,"_",BZ34)</f>
        <v>lbr_DMU</v>
      </c>
      <c r="CB34" s="1" t="str">
        <f aca="false">_xlfn.CONCAT(H34, "_",I34)</f>
        <v>diesel_RAIL</v>
      </c>
      <c r="CC34" s="21" t="str">
        <f aca="false" t="array" ref="CC34:CC34">_xlfn.CONCAT("{BLACK}Length: {GOLD}", TEXT(ROUNDUP(IF(AQ34&lt;&gt;"",SUM(VALUE(_xlfn.TEXTSPLIT(AQ34, ","))), SUM(VALUE(_xlfn.TEXTSPLIT(AN34, ",")))*IF(M34, M34, 1))/16, 1), "#,##0.0"), " tiles{}")</f>
        <v>{BLACK}Length: {GOLD}2.3 tiles{}</v>
      </c>
      <c r="CD34" s="1" t="str">
        <f aca="false">VLOOKUP($CB34, Constants!$M:$N, 2, FALSE())</f>
        <v>{BLACK}Powered by: {GOLD}Diesel</v>
      </c>
      <c r="CE34" s="1" t="str">
        <f aca="false">IF(M34&gt;1,_xlfn.CONCAT("{BLACK}Cars: {GOLD}", M34),"")</f>
        <v>{BLACK}Cars: {GOLD}3</v>
      </c>
      <c r="CF34" s="1" t="s">
        <v>281</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{BLACK}Powered by: {GOLD}Diesel {BLACK}Cars: {GOLD}3{}{BLACK}Length: {GOLD}2.3 tiles{}{SILVER}A class of 2 prototype DMUs built to compete for the contract that became the Class 150 fleet purchase. These units suffered with gearbox issues and the BREL type won the contest instead.</v>
      </c>
      <c r="CI34" s="1"/>
      <c r="CJ34" s="1"/>
    </row>
    <row r="35" customFormat="false" ht="13.8" hidden="false" customHeight="false" outlineLevel="0" collapsed="false">
      <c r="A35" s="1" t="s">
        <v>282</v>
      </c>
      <c r="B35" s="1" t="s">
        <v>283</v>
      </c>
      <c r="C35" s="1" t="n">
        <v>153</v>
      </c>
      <c r="E35" s="1" t="n">
        <v>155</v>
      </c>
      <c r="F35" s="1" t="s">
        <v>89</v>
      </c>
      <c r="G35" s="1" t="s">
        <v>90</v>
      </c>
      <c r="H35" s="1" t="s">
        <v>152</v>
      </c>
      <c r="I35" s="1" t="s">
        <v>153</v>
      </c>
      <c r="J35" s="1" t="n">
        <v>1991</v>
      </c>
      <c r="M35" s="1" t="n">
        <v>1</v>
      </c>
      <c r="N35" s="1" t="n">
        <v>285</v>
      </c>
      <c r="W35" s="1" t="n">
        <v>41.2</v>
      </c>
      <c r="Y35" s="1" t="n">
        <v>5</v>
      </c>
      <c r="Z35" s="1" t="n">
        <v>55</v>
      </c>
      <c r="AA35" s="4" t="n">
        <v>0.153631284916201</v>
      </c>
      <c r="AB35" s="1" t="n">
        <v>75</v>
      </c>
      <c r="AC35" s="1" t="n">
        <v>120</v>
      </c>
      <c r="AF35" s="1" t="n">
        <v>23.2</v>
      </c>
      <c r="AG35" s="1" t="n">
        <v>23.2</v>
      </c>
      <c r="AH35" s="1" t="n">
        <v>2.7</v>
      </c>
      <c r="AI35" s="1" t="n">
        <v>3.7</v>
      </c>
      <c r="AJ35" s="5" t="n">
        <v>72</v>
      </c>
      <c r="AK35" s="19" t="str">
        <f aca="false">CONCATENATE(VLOOKUP(AL35, 'Voxel Sizes'!$A$2:$B$18,2,FALSE()),"x",INT(AH35*15), "x", INT(AI35*15))</f>
        <v>238x40x55</v>
      </c>
      <c r="AL35" s="1" t="n">
        <f aca="false">ROUND(15*((AG35*10)/256),0)</f>
        <v>14</v>
      </c>
      <c r="AN35" s="1" t="str">
        <f aca="false">CONCATENATE(VLOOKUP(AL35,Constants!$A$2:$C$16,IF(AM35&lt;&gt;"", 3, 2), FALSE()),IF(AM35&lt;&gt;"",CONCATENATE(",",VLOOKUP(AM35,$B:$AN,38,FALSE())),""))</f>
        <v>4,6,4</v>
      </c>
      <c r="AR35" s="1" t="s">
        <v>283</v>
      </c>
      <c r="AT35" s="1" t="n">
        <v>1</v>
      </c>
      <c r="AX35" s="1" t="n">
        <v>33</v>
      </c>
      <c r="AZ35" s="1" t="n">
        <v>-10</v>
      </c>
      <c r="BA35" s="1" t="n">
        <v>-15</v>
      </c>
      <c r="BB35" s="1" t="n">
        <f aca="false">MIN(AB35/150, 1)*30</f>
        <v>15</v>
      </c>
      <c r="BC35" s="1" t="n">
        <f aca="false">MIN(N35/4000, 1)*20</f>
        <v>1.425</v>
      </c>
      <c r="BD35" s="1" t="n">
        <f aca="false">MIN(Z35/400,1)*20</f>
        <v>2.75</v>
      </c>
      <c r="BE35" s="4" t="n">
        <f aca="false">1-(MAX(J35-1900, 0)/750)</f>
        <v>0.878666666666667</v>
      </c>
      <c r="BF35" s="1" t="n">
        <f aca="false">((MAX($M35,1)*MIN($AJ35/300,1)))*IF(G35="Wagon",50,10)</f>
        <v>2.4</v>
      </c>
      <c r="BG35" s="1" t="n">
        <f aca="false">VLOOKUP($H35,Constants!$I:$K, 2, FALSE())</f>
        <v>1</v>
      </c>
      <c r="BH35" s="1" t="n">
        <f aca="false">VLOOKUP($H35,Constants!$I:$K, 3, FALSE())*IF(AND(G35="multiple_unit",AB35&lt;110),0.75,1)</f>
        <v>1.5</v>
      </c>
      <c r="BI35" s="1" t="n">
        <f aca="false">INT(POWER(((Constants!$G$2+$BB35+$BC35+$BD35+$BF35)*$BE35)*$BH35, 1.05))+$BA35</f>
        <v>26</v>
      </c>
      <c r="BJ35" s="1" t="n">
        <f aca="false">INT(POWER((((Constants!$G$1+$BB35+$BC35+$BD35+$BF35)*($BE35))*$BG35),IF($G35="wagon",1,1.2)))+$AZ35</f>
        <v>54</v>
      </c>
      <c r="BK35" s="20" t="n">
        <f aca="false">BI35*IF($G35="wagon",62.5,781.25)</f>
        <v>20312.5</v>
      </c>
      <c r="BL35" s="20" t="n">
        <f aca="false">BJ35*IF($G35="wagon",2.73,81.25)</f>
        <v>4387.5</v>
      </c>
      <c r="BQ35" s="19" t="str">
        <f aca="false">_xlfn.ORG.LIBREOFFICE.REGEX(_xlfn.ORG.LIBREOFFICE.REGEX(SPRINTERMUVEHICLES, _xlfn.CONCAT(B35, ",?"), ""), ",$", "")</f>
        <v>class_141,class_150,class_151,class_153_mail,super_sprinter,express_sprinter_2car,express_sprinter_3car,sprinter_hybrid,class_170,class_170_3car</v>
      </c>
      <c r="BT35" s="1" t="n">
        <v>4</v>
      </c>
      <c r="BU35" s="1" t="n">
        <v>185</v>
      </c>
      <c r="BX35" s="1" t="s">
        <v>95</v>
      </c>
      <c r="BY35" s="1" t="str">
        <f aca="false">VLOOKUP(J35,Eras!$A$2:$C$10, 2, TRUE())</f>
        <v>lbr</v>
      </c>
      <c r="BZ35" s="18" t="s">
        <v>166</v>
      </c>
      <c r="CA35" s="1" t="s">
        <v>284</v>
      </c>
      <c r="CB35" s="1" t="s">
        <v>285</v>
      </c>
      <c r="CC35" s="21" t="str">
        <f aca="false">_xlfn.CONCAT("{BLACK}Length: {GOLD}", TEXT(ROUNDUP(IF(AQ35&lt;&gt;"",SUM(VALUE(_xlfn.TEXTSPLIT(AQ35, ","))), SUM(VALUE(_xlfn.TEXTSPLIT(AN35, ",")))*IF(M35, M35, 1))/16, 1), "#,##0.0"), " tiles{}")</f>
        <v>{BLACK}Length: {GOLD}0.9 tiles{}</v>
      </c>
      <c r="CD35" s="1" t="str">
        <f aca="false">VLOOKUP($CB35, Constants!$M:$N, 2, FALSE())</f>
        <v>{BLACK}Powered by: {GOLD}Diesel</v>
      </c>
      <c r="CE35" s="1" t="str">
        <f aca="false">IF(M35&gt;1,_xlfn.CONCAT("{BLACK}Cars: {GOLD}", M35),"")</f>
        <v/>
      </c>
      <c r="CF35" s="1" t="s">
        <v>286</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{BLACK}Powered by: {GOLD}Diesel {}{BLACK}Length: {GOLD}0.9 tiles{}{SILVER}The Class 153 was a conversion of earlier Class 155 units, 35 of which were split in two with small cabs added at the inner ends.</v>
      </c>
      <c r="CI35" s="1"/>
      <c r="CJ35" s="1"/>
    </row>
    <row r="36" customFormat="false" ht="13.8" hidden="false" customHeight="false" outlineLevel="0" collapsed="false">
      <c r="A36" s="1" t="s">
        <v>287</v>
      </c>
      <c r="B36" s="1" t="s">
        <v>288</v>
      </c>
      <c r="C36" s="1" t="n">
        <v>154</v>
      </c>
      <c r="D36" s="1" t="n">
        <v>153</v>
      </c>
      <c r="E36" s="1" t="n">
        <v>156</v>
      </c>
      <c r="F36" s="1" t="s">
        <v>89</v>
      </c>
      <c r="G36" s="1" t="s">
        <v>90</v>
      </c>
      <c r="H36" s="1" t="s">
        <v>152</v>
      </c>
      <c r="I36" s="1" t="s">
        <v>153</v>
      </c>
      <c r="J36" s="1" t="n">
        <v>1991</v>
      </c>
      <c r="M36" s="1" t="n">
        <v>1</v>
      </c>
      <c r="N36" s="1" t="n">
        <v>285</v>
      </c>
      <c r="W36" s="1" t="n">
        <v>41.2</v>
      </c>
      <c r="Y36" s="1" t="n">
        <v>5</v>
      </c>
      <c r="Z36" s="1" t="n">
        <v>55</v>
      </c>
      <c r="AA36" s="4" t="n">
        <v>0.153631284916201</v>
      </c>
      <c r="AB36" s="1" t="n">
        <v>75</v>
      </c>
      <c r="AC36" s="1" t="n">
        <v>120</v>
      </c>
      <c r="AF36" s="1" t="n">
        <v>23.2</v>
      </c>
      <c r="AG36" s="1" t="n">
        <v>23.2</v>
      </c>
      <c r="AH36" s="1" t="n">
        <v>2.7</v>
      </c>
      <c r="AI36" s="1" t="n">
        <v>3.7</v>
      </c>
      <c r="AJ36" s="5" t="n">
        <v>60</v>
      </c>
      <c r="AK36" s="19" t="str">
        <f aca="false">CONCATENATE(VLOOKUP(AL36, 'Voxel Sizes'!$A$2:$B$18,2,FALSE()),"x",INT(AH36*15), "x", INT(AI36*15))</f>
        <v>238x40x55</v>
      </c>
      <c r="AL36" s="1" t="n">
        <f aca="false">ROUND(15*((AG36*10)/256),0)</f>
        <v>14</v>
      </c>
      <c r="AN36" s="1" t="str">
        <f aca="false">CONCATENATE(VLOOKUP(AL36,Constants!$A$2:$C$16,IF(AM36&lt;&gt;"", 3, 2), FALSE()),IF(AM36&lt;&gt;"",CONCATENATE(",",VLOOKUP(AM36,$B:$AN,38,FALSE())),""))</f>
        <v>4,6,4</v>
      </c>
      <c r="AR36" s="1" t="s">
        <v>288</v>
      </c>
      <c r="AT36" s="1" t="n">
        <v>1</v>
      </c>
      <c r="AX36" s="1" t="n">
        <v>33</v>
      </c>
      <c r="AZ36" s="1" t="n">
        <v>-10</v>
      </c>
      <c r="BA36" s="1" t="n">
        <v>-15</v>
      </c>
      <c r="BB36" s="1" t="n">
        <f aca="false">MIN(AB36/150, 1)*30</f>
        <v>15</v>
      </c>
      <c r="BC36" s="1" t="n">
        <f aca="false">MIN(N36/4000, 1)*20</f>
        <v>1.425</v>
      </c>
      <c r="BD36" s="1" t="n">
        <f aca="false">MIN(Z36/400,1)*20</f>
        <v>2.75</v>
      </c>
      <c r="BE36" s="4" t="n">
        <f aca="false">1-(MAX(J36-1900, 0)/750)</f>
        <v>0.878666666666667</v>
      </c>
      <c r="BF36" s="1" t="n">
        <f aca="false">((MAX($M36,1)*MIN($AJ36/300,1)))*IF(G36="Wagon",50,10)</f>
        <v>2</v>
      </c>
      <c r="BG36" s="1" t="n">
        <f aca="false">VLOOKUP($H36,Constants!$I:$K, 2, FALSE())</f>
        <v>1</v>
      </c>
      <c r="BH36" s="1" t="n">
        <f aca="false">VLOOKUP($H36,Constants!$I:$K, 3, FALSE())*IF(AND(G36="multiple_unit",AB36&lt;110),0.75,1)</f>
        <v>1.5</v>
      </c>
      <c r="BI36" s="1" t="n">
        <f aca="false">INT(POWER(((Constants!$G$2+$BB36+$BC36+$BD36+$BF36)*$BE36)*$BH36, 1.05))+$BA36</f>
        <v>26</v>
      </c>
      <c r="BJ36" s="1" t="n">
        <f aca="false">INT(POWER((((Constants!$G$1+$BB36+$BC36+$BD36+$BF36)*($BE36))*$BG36),IF($G36="wagon",1,1.2)))+$AZ36</f>
        <v>53</v>
      </c>
      <c r="BK36" s="20" t="n">
        <f aca="false">BI36*IF($G36="wagon",62.5,781.25)</f>
        <v>20312.5</v>
      </c>
      <c r="BL36" s="20" t="n">
        <f aca="false">BJ36*IF($G36="wagon",2.73,81.25)</f>
        <v>4306.25</v>
      </c>
      <c r="BQ36" s="19" t="str">
        <f aca="false">_xlfn.ORG.LIBREOFFICE.REGEX(_xlfn.ORG.LIBREOFFICE.REGEX(SPRINTERMUVEHICLES, _xlfn.CONCAT(B36, ",?"), ""), ",$", "")</f>
        <v>class_141,class_150,class_151,class_153,super_sprinter,express_sprinter_2car,express_sprinter_3car,sprinter_hybrid,class_170,class_170_3car</v>
      </c>
      <c r="BS36" s="1" t="s">
        <v>289</v>
      </c>
      <c r="BT36" s="1" t="n">
        <v>4</v>
      </c>
      <c r="BU36" s="1" t="n">
        <v>185</v>
      </c>
      <c r="BX36" s="1" t="s">
        <v>148</v>
      </c>
      <c r="BY36" s="1" t="str">
        <f aca="false">VLOOKUP(J36,Eras!$A$2:$C$10, 2, TRUE())</f>
        <v>lbr</v>
      </c>
      <c r="BZ36" s="18" t="s">
        <v>166</v>
      </c>
      <c r="CA36" s="1" t="s">
        <v>284</v>
      </c>
      <c r="CB36" s="1" t="s">
        <v>285</v>
      </c>
      <c r="CC36" s="21" t="str">
        <f aca="false">_xlfn.CONCAT("{BLACK}Length: {GOLD}", TEXT(ROUNDUP(IF(AQ36&lt;&gt;"",SUM(VALUE(_xlfn.TEXTSPLIT(AQ36, ","))), SUM(VALUE(_xlfn.TEXTSPLIT(AN36, ",")))*IF(M36, M36, 1))/16, 1), "#,##0.0"), " tiles{}")</f>
        <v>{BLACK}Length: {GOLD}0.9 tiles{}</v>
      </c>
      <c r="CD36" s="1" t="str">
        <f aca="false">VLOOKUP($CB36, Constants!$M:$N, 2, FALSE())</f>
        <v>{BLACK}Powered by: {GOLD}Diesel</v>
      </c>
      <c r="CE36" s="1" t="str">
        <f aca="false">IF(M36&gt;1,_xlfn.CONCAT("{BLACK}Cars: {GOLD}", M36),"")</f>
        <v/>
      </c>
      <c r="CF36" s="1" t="s">
        <v>290</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{BLACK}Powered by: {GOLD}Diesel {}{BLACK}Length: {GOLD}0.9 tiles{}{SILVER}What if the class 153s were converted for parcels service rather than passenger use? This preceds the later use of the 153 as supplementary bike carriages or ‘active travel’ vehicles.</v>
      </c>
      <c r="CI36" s="1"/>
      <c r="CJ36" s="1"/>
    </row>
    <row r="37" s="19" customFormat="true" ht="13.8" hidden="false" customHeight="false" outlineLevel="0" collapsed="false">
      <c r="A37" s="19" t="s">
        <v>291</v>
      </c>
      <c r="B37" s="19" t="s">
        <v>292</v>
      </c>
      <c r="C37" s="19" t="n">
        <v>156</v>
      </c>
      <c r="E37" s="19" t="n">
        <v>157</v>
      </c>
      <c r="F37" s="19" t="s">
        <v>89</v>
      </c>
      <c r="G37" s="19" t="s">
        <v>90</v>
      </c>
      <c r="H37" s="19" t="s">
        <v>152</v>
      </c>
      <c r="I37" s="19" t="s">
        <v>153</v>
      </c>
      <c r="J37" s="19" t="n">
        <v>1988</v>
      </c>
      <c r="M37" s="19" t="n">
        <v>2</v>
      </c>
      <c r="N37" s="19" t="n">
        <f aca="false">285*2</f>
        <v>570</v>
      </c>
      <c r="O37" s="25"/>
      <c r="P37" s="26"/>
      <c r="Q37" s="26"/>
      <c r="R37" s="26"/>
      <c r="S37" s="26"/>
      <c r="T37" s="26"/>
      <c r="U37" s="26"/>
      <c r="V37" s="26"/>
      <c r="W37" s="19" t="n">
        <f aca="false">35.5+36.1</f>
        <v>71.6</v>
      </c>
      <c r="X37" s="25"/>
      <c r="Y37" s="19" t="n">
        <v>5</v>
      </c>
      <c r="Z37" s="19" t="n">
        <v>110</v>
      </c>
      <c r="AA37" s="27" t="n">
        <f aca="false">IF(AND(W37&gt;0,Z37&gt;0),(Z37/((W37+X37)*10)),"")</f>
        <v>0.153631284916201</v>
      </c>
      <c r="AB37" s="19" t="n">
        <v>75</v>
      </c>
      <c r="AC37" s="19" t="n">
        <f aca="false">ROUND(AB37*1.6, 0)</f>
        <v>120</v>
      </c>
      <c r="AF37" s="19" t="n">
        <v>23</v>
      </c>
      <c r="AG37" s="19" t="n">
        <v>23</v>
      </c>
      <c r="AH37" s="19" t="n">
        <v>2.8</v>
      </c>
      <c r="AI37" s="19" t="n">
        <v>3.7</v>
      </c>
      <c r="AJ37" s="28" t="n">
        <v>69</v>
      </c>
      <c r="AK37" s="19" t="str">
        <f aca="false">CONCATENATE(VLOOKUP(AL37, '[1]Voxel Sizes'!$A$2:$B$18,2,FALSE()),"x",INT(AH37*15), "x", INT(AI37*15))</f>
        <v>214x42x55</v>
      </c>
      <c r="AL37" s="19" t="n">
        <f aca="false">ROUND(15*((AG37*10)/256),0)</f>
        <v>13</v>
      </c>
      <c r="AN37" s="19" t="str">
        <f aca="false">CONCATENATE(VLOOKUP(AL37,[1]Constants!$A$2:$C$16,IF(AM37&lt;&gt;"", 3, 2), FALSE()),IF(AM37&lt;&gt;"",CONCATENATE(",",VLOOKUP(AM37,$B:$AN,39,FALSE())),""))</f>
        <v>4,5,4</v>
      </c>
      <c r="AP37" s="29"/>
      <c r="AQ37" s="29"/>
      <c r="AR37" s="19" t="s">
        <v>293</v>
      </c>
      <c r="AT37" s="19" t="s">
        <v>113</v>
      </c>
      <c r="AX37" s="19" t="n">
        <v>33</v>
      </c>
      <c r="AY37" s="30" t="str">
        <f aca="false">IF(L37&lt;&gt;"",MAX(16,(L37-J37)+8),"")</f>
        <v/>
      </c>
      <c r="AZ37" s="19" t="n">
        <v>-10</v>
      </c>
      <c r="BA37" s="19" t="n">
        <v>-15</v>
      </c>
      <c r="BB37" s="19" t="n">
        <f aca="false">MIN(AB37/150, 1)*30</f>
        <v>15</v>
      </c>
      <c r="BC37" s="19" t="n">
        <f aca="false">MIN(N37/4000, 1)*20</f>
        <v>2.85</v>
      </c>
      <c r="BD37" s="19" t="n">
        <f aca="false">MIN(Z37/400,1)*20</f>
        <v>5.5</v>
      </c>
      <c r="BE37" s="27" t="n">
        <f aca="false">1-(MAX(J37-1900, 0)/750)</f>
        <v>0.882666666666667</v>
      </c>
      <c r="BF37" s="19" t="n">
        <f aca="false">((MAX($M37,1)*MIN($AJ37/300,1)))*IF(G37="Wagon",50,10)</f>
        <v>4.6</v>
      </c>
      <c r="BG37" s="1" t="n">
        <f aca="false">VLOOKUP($H37,Constants!$I:$K, 2, FALSE())</f>
        <v>1</v>
      </c>
      <c r="BH37" s="1" t="n">
        <f aca="false">VLOOKUP($H37,Constants!$I:$K, 3, FALSE())*IF(AND(G37="multiple_unit",AB37&lt;110),0.75,1)</f>
        <v>1.5</v>
      </c>
      <c r="BI37" s="1" t="n">
        <f aca="false">INT(POWER(((Constants!$G$2+$BB37+$BC37+$BD37+$BF37)*$BE37)*$BH37, 1.05))+$BA37</f>
        <v>37</v>
      </c>
      <c r="BJ37" s="1" t="n">
        <f aca="false">INT(POWER((((Constants!$G$1+$BB37+$BC37+$BD37+$BF37)*($BE37))*$BG37),IF($G37="wagon",1,1.2)))+$AZ37</f>
        <v>68</v>
      </c>
      <c r="BK37" s="31" t="n">
        <f aca="false">BI37*IF($G37="wagon",62.5,781.25)</f>
        <v>28906.25</v>
      </c>
      <c r="BL37" s="31" t="n">
        <f aca="false">BJ37*IF($G37="wagon",2.73,81.25)</f>
        <v>5525</v>
      </c>
      <c r="BQ37" s="19" t="str">
        <f aca="false">_xlfn.ORG.LIBREOFFICE.REGEX(_xlfn.ORG.LIBREOFFICE.REGEX(SPRINTERMUVEHICLES, _xlfn.CONCAT(B37, ",?"), ""), ",$", "")</f>
        <v>class_141,class_150,class_151,class_153,class_153_mail,express_sprinter_2car,express_sprinter_3car,sprinter_hybrid,class_170,class_170_3car</v>
      </c>
      <c r="BT37" s="19" t="n">
        <v>4</v>
      </c>
      <c r="BU37" s="19" t="n">
        <v>185</v>
      </c>
      <c r="BX37" s="19" t="s">
        <v>95</v>
      </c>
      <c r="BY37" s="19" t="str">
        <f aca="false">VLOOKUP(J37,[1]Eras!$A$2:$C$10, 2, TRUE())</f>
        <v>lbr</v>
      </c>
      <c r="BZ37" s="32" t="s">
        <v>166</v>
      </c>
      <c r="CA37" s="19" t="str">
        <f aca="false">CONCATENATE(BY37,"_",BZ37)</f>
        <v>lbr_DMU</v>
      </c>
      <c r="CB37" s="19" t="str">
        <f aca="false">_xlfn.CONCAT(H37, "_",I37)</f>
        <v>diesel_RAIL</v>
      </c>
      <c r="CC37" s="33" t="str">
        <f aca="false" t="array" ref="CC37:CC37">_xlfn.CONCAT("{BLACK}Length: {GOLD}", TEXT(ROUNDUP(IF(AQ37&lt;&gt;"",SUM(VALUE(_xlfn.TEXTSPLIT(AQ37, ","))), SUM(VALUE(_xlfn.TEXTSPLIT(AN37, ",")))*IF(M37, M37, 1))/16, 1), "#,##0.0"), " tiles{}")</f>
        <v>{BLACK}Length: {GOLD}1.7 tiles{}</v>
      </c>
      <c r="CD37" s="1" t="str">
        <f aca="false">VLOOKUP($CB37, Constants!$M:$N, 2, FALSE())</f>
        <v>{BLACK}Powered by: {GOLD}Diesel</v>
      </c>
      <c r="CE37" s="19" t="str">
        <f aca="false">IF(M37&gt;1,_xlfn.CONCAT("{BLACK}Cars: {GOLD}", M37),"")</f>
        <v>{BLACK}Cars: {GOLD}2</v>
      </c>
      <c r="CF37" s="19" t="s">
        <v>294</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{GOLD}Diesel {BLACK}Cars: {GOLD}2{}{BLACK}Length: {GOLD}1.7 tiles{}{SILVER}The Class 156 is a member of the Sprinter family designed for longer journeys, with single doors at each end rather than the metro-style doors of the Class 150s.</v>
      </c>
    </row>
    <row r="38" s="19" customFormat="true" ht="13.8" hidden="false" customHeight="false" outlineLevel="0" collapsed="false">
      <c r="A38" s="19" t="s">
        <v>295</v>
      </c>
      <c r="B38" s="19" t="s">
        <v>296</v>
      </c>
      <c r="C38" s="19" t="n">
        <v>157</v>
      </c>
      <c r="E38" s="19" t="n">
        <v>158</v>
      </c>
      <c r="F38" s="19" t="s">
        <v>89</v>
      </c>
      <c r="G38" s="19" t="s">
        <v>90</v>
      </c>
      <c r="H38" s="19" t="s">
        <v>152</v>
      </c>
      <c r="I38" s="19" t="s">
        <v>153</v>
      </c>
      <c r="J38" s="19" t="n">
        <v>1989</v>
      </c>
      <c r="K38" s="19" t="n">
        <v>1992</v>
      </c>
      <c r="M38" s="19" t="n">
        <v>2</v>
      </c>
      <c r="N38" s="19" t="n">
        <f aca="false">350*2</f>
        <v>700</v>
      </c>
      <c r="O38" s="25"/>
      <c r="P38" s="26"/>
      <c r="Q38" s="26"/>
      <c r="R38" s="26"/>
      <c r="S38" s="26"/>
      <c r="T38" s="26"/>
      <c r="U38" s="26"/>
      <c r="V38" s="26"/>
      <c r="W38" s="19" t="n">
        <f aca="false">38.5 * 2</f>
        <v>77</v>
      </c>
      <c r="X38" s="25"/>
      <c r="Y38" s="19" t="n">
        <v>5</v>
      </c>
      <c r="Z38" s="19" t="n">
        <v>120</v>
      </c>
      <c r="AA38" s="27" t="n">
        <f aca="false">IF(AND(W38&gt;0,Z38&gt;0),(Z38/((W38+X38)*10)),"")</f>
        <v>0.155844155844156</v>
      </c>
      <c r="AB38" s="19" t="n">
        <v>90</v>
      </c>
      <c r="AC38" s="19" t="n">
        <f aca="false">ROUND(AB38*1.6, 0)</f>
        <v>144</v>
      </c>
      <c r="AF38" s="19" t="n">
        <v>23.2</v>
      </c>
      <c r="AG38" s="19" t="n">
        <v>23</v>
      </c>
      <c r="AH38" s="19" t="n">
        <v>2.7</v>
      </c>
      <c r="AJ38" s="28" t="n">
        <v>69</v>
      </c>
      <c r="AK38" s="19" t="str">
        <f aca="false">CONCATENATE(VLOOKUP(AL38, '[1]Voxel Sizes'!$A$2:$B$18,2,FALSE()),"x",INT(AH38*15), "x", INT(AI38*15))</f>
        <v>214x40x0</v>
      </c>
      <c r="AL38" s="19" t="n">
        <f aca="false">ROUND(15*((AG38*10)/256),0)</f>
        <v>13</v>
      </c>
      <c r="AN38" s="19" t="str">
        <f aca="false">CONCATENATE(VLOOKUP(AL38,[1]Constants!$A$2:$C$16,IF(AM38&lt;&gt;"", 3, 2), FALSE()),IF(AM38&lt;&gt;"",CONCATENATE(",",VLOOKUP(AM38,$B:$AN,39,FALSE())),""))</f>
        <v>4,5,4</v>
      </c>
      <c r="AP38" s="29"/>
      <c r="AQ38" s="29"/>
      <c r="AR38" s="19" t="s">
        <v>297</v>
      </c>
      <c r="AT38" s="19" t="s">
        <v>113</v>
      </c>
      <c r="AU38" s="19" t="s">
        <v>298</v>
      </c>
      <c r="AX38" s="19" t="n">
        <v>33</v>
      </c>
      <c r="AY38" s="30" t="str">
        <f aca="false">IF(L38&lt;&gt;"",MAX(16,(L38-J38)+8),"")</f>
        <v/>
      </c>
      <c r="AZ38" s="19" t="n">
        <v>-10</v>
      </c>
      <c r="BA38" s="19" t="n">
        <v>-15</v>
      </c>
      <c r="BB38" s="19" t="n">
        <f aca="false">MIN(AB38/150, 1)*30</f>
        <v>18</v>
      </c>
      <c r="BC38" s="19" t="n">
        <f aca="false">MIN(N38/4000, 1)*20</f>
        <v>3.5</v>
      </c>
      <c r="BD38" s="19" t="n">
        <f aca="false">MIN(Z38/400,1)*20</f>
        <v>6</v>
      </c>
      <c r="BE38" s="27" t="n">
        <f aca="false">1-(MAX(J38-1900, 0)/750)</f>
        <v>0.881333333333333</v>
      </c>
      <c r="BF38" s="19" t="n">
        <f aca="false">((MAX($M38,1)*MIN($AJ38/300,1)))*IF(G38="Wagon",50,10)</f>
        <v>4.6</v>
      </c>
      <c r="BG38" s="1" t="n">
        <f aca="false">VLOOKUP($H38,Constants!$I:$K, 2, FALSE())</f>
        <v>1</v>
      </c>
      <c r="BH38" s="1" t="n">
        <f aca="false">VLOOKUP($H38,Constants!$I:$K, 3, FALSE())*IF(AND(G38="multiple_unit",AB38&lt;110),0.75,1)</f>
        <v>1.5</v>
      </c>
      <c r="BI38" s="1" t="n">
        <f aca="false">INT(POWER(((Constants!$G$2+$BB38+$BC38+$BD38+$BF38)*$BE38)*$BH38, 1.05))+$BA38</f>
        <v>44</v>
      </c>
      <c r="BJ38" s="1" t="n">
        <f aca="false">INT(POWER((((Constants!$G$1+$BB38+$BC38+$BD38+$BF38)*($BE38))*$BG38),IF($G38="wagon",1,1.2)))+$AZ38</f>
        <v>77</v>
      </c>
      <c r="BK38" s="31" t="n">
        <f aca="false">BI38*IF($G38="wagon",62.5,781.25)</f>
        <v>34375</v>
      </c>
      <c r="BL38" s="31" t="n">
        <f aca="false">BJ38*IF($G38="wagon",2.73,81.25)</f>
        <v>6256.25</v>
      </c>
      <c r="BQ38" s="19" t="str">
        <f aca="false">_xlfn.ORG.LIBREOFFICE.REGEX(_xlfn.ORG.LIBREOFFICE.REGEX(SPRINTERMUVEHICLES, _xlfn.CONCAT(B38, ",?"), ""), ",$", "")</f>
        <v>class_141,class_150,class_151,class_153,class_153_mail,super_sprinter,express_sprinter_3car,sprinter_hybrid,class_170,class_170_3car</v>
      </c>
      <c r="BT38" s="19" t="n">
        <v>7</v>
      </c>
      <c r="BU38" s="19" t="n">
        <v>205</v>
      </c>
      <c r="BX38" s="19" t="s">
        <v>95</v>
      </c>
      <c r="BY38" s="19" t="str">
        <f aca="false">VLOOKUP(J38,[1]Eras!$A$2:$C$10, 2, TRUE())</f>
        <v>lbr</v>
      </c>
      <c r="BZ38" s="32" t="s">
        <v>205</v>
      </c>
      <c r="CA38" s="19" t="str">
        <f aca="false">CONCATENATE(BY38,"_",BZ38)</f>
        <v>lbr_DMU (Express)</v>
      </c>
      <c r="CB38" s="19" t="str">
        <f aca="false">_xlfn.CONCAT(H38, "_",I38)</f>
        <v>diesel_RAIL</v>
      </c>
      <c r="CC38" s="33" t="str">
        <f aca="false" t="array" ref="CC38:CC38">_xlfn.CONCAT("{BLACK}Length: {GOLD}", TEXT(ROUNDUP(IF(AQ38&lt;&gt;"",SUM(VALUE(_xlfn.TEXTSPLIT(AQ38, ","))), SUM(VALUE(_xlfn.TEXTSPLIT(AN38, ",")))*IF(M38, M38, 1))/16, 1), "#,##0.0"), " tiles{}")</f>
        <v>{BLACK}Length: {GOLD}1.7 tiles{}</v>
      </c>
      <c r="CD38" s="1" t="str">
        <f aca="false">VLOOKUP($CB38, Constants!$M:$N, 2, FALSE())</f>
        <v>{BLACK}Powered by: {GOLD}Diesel</v>
      </c>
      <c r="CE38" s="19" t="str">
        <f aca="false">IF(M38&gt;1,_xlfn.CONCAT("{BLACK}Cars: {GOLD}", M38),"")</f>
        <v>{BLACK}Cars: {GOLD}2</v>
      </c>
      <c r="CF38" s="19" t="s">
        <v>299</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{YELLOW}10% bonus for long distance travel{}</v>
      </c>
      <c r="CH38" s="1" t="str">
        <f aca="false">_xlfn.CONCAT(CD38,IF(CD38 &lt;&gt; "", " ", ""),CE38,IF(OR(CE38&lt;&gt;"", CD38&lt;&gt;""), "{}",""), CC38, CG38,"{SILVER}", CF38)</f>
        <v>{BLACK}Powered by: {GOLD}Diesel {BLACK}Cars: {GOLD}2{}{BLACK}Length: {GOLD}1.7 tiles{}{YELLOW}10% bonus for long distance travel{}{SILVER}The Class 158 has many improvements over earlier generation Sprinters, including air conditioning and a more comfortable ride.</v>
      </c>
    </row>
    <row r="39" s="19" customFormat="true" ht="13.8" hidden="false" customHeight="false" outlineLevel="0" collapsed="false">
      <c r="A39" s="19" t="s">
        <v>295</v>
      </c>
      <c r="B39" s="19" t="s">
        <v>300</v>
      </c>
      <c r="C39" s="19" t="n">
        <v>158</v>
      </c>
      <c r="D39" s="19" t="n">
        <v>157</v>
      </c>
      <c r="E39" s="19" t="n">
        <v>159</v>
      </c>
      <c r="F39" s="19" t="s">
        <v>89</v>
      </c>
      <c r="G39" s="19" t="s">
        <v>90</v>
      </c>
      <c r="H39" s="19" t="s">
        <v>152</v>
      </c>
      <c r="I39" s="19" t="s">
        <v>153</v>
      </c>
      <c r="J39" s="19" t="n">
        <v>1989</v>
      </c>
      <c r="K39" s="19" t="n">
        <v>1992</v>
      </c>
      <c r="M39" s="19" t="n">
        <v>3</v>
      </c>
      <c r="N39" s="19" t="n">
        <f aca="false">350*3</f>
        <v>1050</v>
      </c>
      <c r="O39" s="25"/>
      <c r="P39" s="26"/>
      <c r="Q39" s="26"/>
      <c r="R39" s="26"/>
      <c r="S39" s="26"/>
      <c r="T39" s="26"/>
      <c r="U39" s="26"/>
      <c r="V39" s="26"/>
      <c r="W39" s="19" t="n">
        <f aca="false">38.5 * 3</f>
        <v>115.5</v>
      </c>
      <c r="X39" s="25"/>
      <c r="Y39" s="19" t="n">
        <v>5</v>
      </c>
      <c r="Z39" s="19" t="n">
        <v>120</v>
      </c>
      <c r="AA39" s="27" t="n">
        <f aca="false">IF(AND(W39&gt;0,Z39&gt;0),(Z39/((W39+X39)*10)),"")</f>
        <v>0.103896103896104</v>
      </c>
      <c r="AB39" s="19" t="n">
        <v>90</v>
      </c>
      <c r="AC39" s="19" t="n">
        <f aca="false">ROUND(AB39*1.6, 0)</f>
        <v>144</v>
      </c>
      <c r="AF39" s="19" t="n">
        <v>23.2</v>
      </c>
      <c r="AG39" s="19" t="n">
        <v>23</v>
      </c>
      <c r="AH39" s="19" t="n">
        <v>2.7</v>
      </c>
      <c r="AJ39" s="28" t="n">
        <v>69</v>
      </c>
      <c r="AK39" s="19" t="str">
        <f aca="false">CONCATENATE(VLOOKUP(AL39, '[1]Voxel Sizes'!$A$2:$B$18,2,FALSE()),"x",INT(AH39*15), "x", INT(AI39*15))</f>
        <v>214x40x0</v>
      </c>
      <c r="AL39" s="19" t="n">
        <f aca="false">ROUND(15*((AG39*10)/256),0)</f>
        <v>13</v>
      </c>
      <c r="AN39" s="19" t="str">
        <f aca="false">CONCATENATE(VLOOKUP(AL39,[1]Constants!$A$2:$C$16,IF(AM39&lt;&gt;"", 3, 2), FALSE()),IF(AM39&lt;&gt;"",CONCATENATE(",",VLOOKUP(AM39,$B:$AN,39,FALSE())),""))</f>
        <v>4,5,4</v>
      </c>
      <c r="AP39" s="29"/>
      <c r="AQ39" s="29"/>
      <c r="AR39" s="19" t="s">
        <v>301</v>
      </c>
      <c r="AT39" s="19" t="s">
        <v>302</v>
      </c>
      <c r="AU39" s="19" t="s">
        <v>298</v>
      </c>
      <c r="AX39" s="19" t="n">
        <v>33</v>
      </c>
      <c r="AY39" s="30" t="str">
        <f aca="false">IF(L39&lt;&gt;"",MAX(16,(L39-J39)+8),"")</f>
        <v/>
      </c>
      <c r="AZ39" s="19" t="n">
        <v>-10</v>
      </c>
      <c r="BA39" s="19" t="n">
        <v>-15</v>
      </c>
      <c r="BB39" s="19" t="n">
        <f aca="false">MIN(AB39/150, 1)*30</f>
        <v>18</v>
      </c>
      <c r="BC39" s="19" t="n">
        <f aca="false">MIN(N39/4000, 1)*20</f>
        <v>5.25</v>
      </c>
      <c r="BD39" s="19" t="n">
        <f aca="false">MIN(Z39/400,1)*20</f>
        <v>6</v>
      </c>
      <c r="BE39" s="27" t="n">
        <f aca="false">1-(MAX(J39-1900, 0)/750)</f>
        <v>0.881333333333333</v>
      </c>
      <c r="BF39" s="19" t="n">
        <f aca="false">((MAX($M39,1)*MIN($AJ39/300,1)))*IF(G39="Wagon",50,10)</f>
        <v>6.9</v>
      </c>
      <c r="BG39" s="1" t="n">
        <f aca="false">VLOOKUP($H39,Constants!$I:$K, 2, FALSE())</f>
        <v>1</v>
      </c>
      <c r="BH39" s="1" t="n">
        <f aca="false">VLOOKUP($H39,Constants!$I:$K, 3, FALSE())*IF(AND(G39="multiple_unit",AB39&lt;110),0.75,1)</f>
        <v>1.5</v>
      </c>
      <c r="BI39" s="1" t="n">
        <f aca="false">INT(POWER(((Constants!$G$2+$BB39+$BC39+$BD39+$BF39)*$BE39)*$BH39, 1.05))+$BA39</f>
        <v>51</v>
      </c>
      <c r="BJ39" s="1" t="n">
        <f aca="false">INT(POWER((((Constants!$G$1+$BB39+$BC39+$BD39+$BF39)*($BE39))*$BG39),IF($G39="wagon",1,1.2)))+$AZ39</f>
        <v>86</v>
      </c>
      <c r="BK39" s="31" t="n">
        <f aca="false">BI39*IF($G39="wagon",62.5,781.25)</f>
        <v>39843.75</v>
      </c>
      <c r="BL39" s="31" t="n">
        <f aca="false">BJ39*IF($G39="wagon",2.73,81.25)</f>
        <v>6987.5</v>
      </c>
      <c r="BQ39" s="19" t="str">
        <f aca="false">_xlfn.ORG.LIBREOFFICE.REGEX(_xlfn.ORG.LIBREOFFICE.REGEX(SPRINTERMUVEHICLES, _xlfn.CONCAT(B39, ",?"), ""), ",$", "")</f>
        <v>class_141,class_150,class_151,class_153,class_153_mail,super_sprinter,express_sprinter_2car,sprinter_hybrid,class_170,class_170_3car</v>
      </c>
      <c r="BT39" s="19" t="n">
        <v>7</v>
      </c>
      <c r="BU39" s="19" t="n">
        <v>205</v>
      </c>
      <c r="BX39" s="19" t="s">
        <v>95</v>
      </c>
      <c r="BY39" s="19" t="str">
        <f aca="false">VLOOKUP(J39,[1]Eras!$A$2:$C$10, 2, TRUE())</f>
        <v>lbr</v>
      </c>
      <c r="BZ39" s="32" t="s">
        <v>205</v>
      </c>
      <c r="CA39" s="19" t="str">
        <f aca="false">CONCATENATE(BY39,"_",BZ39)</f>
        <v>lbr_DMU (Express)</v>
      </c>
      <c r="CB39" s="19" t="str">
        <f aca="false">_xlfn.CONCAT(H39, "_",I39)</f>
        <v>diesel_RAIL</v>
      </c>
      <c r="CC39" s="33" t="str">
        <f aca="false" t="array" ref="CC39:CC39">_xlfn.CONCAT("{BLACK}Length: {GOLD}", TEXT(ROUNDUP(IF(AQ39&lt;&gt;"",SUM(VALUE(_xlfn.TEXTSPLIT(AQ39, ","))), SUM(VALUE(_xlfn.TEXTSPLIT(AN39, ",")))*IF(M39, M39, 1))/16, 1), "#,##0.0"), " tiles{}")</f>
        <v>{BLACK}Length: {GOLD}2.5 tiles{}</v>
      </c>
      <c r="CD39" s="1" t="str">
        <f aca="false">VLOOKUP($CB39, Constants!$M:$N, 2, FALSE())</f>
        <v>{BLACK}Powered by: {GOLD}Diesel</v>
      </c>
      <c r="CE39" s="19" t="str">
        <f aca="false">IF(M39&gt;1,_xlfn.CONCAT("{BLACK}Cars: {GOLD}", M39),"")</f>
        <v>{BLACK}Cars: {GOLD}3</v>
      </c>
      <c r="CF39" s="19" t="s">
        <v>299</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{YELLOW}10% bonus for long distance travel{}</v>
      </c>
      <c r="CH39" s="1" t="str">
        <f aca="false">_xlfn.CONCAT(CD39,IF(CD39 &lt;&gt; "", " ", ""),CE39,IF(OR(CE39&lt;&gt;"", CD39&lt;&gt;""), "{}",""), CC39, CG39,"{SILVER}", CF39)</f>
        <v>{BLACK}Powered by: {GOLD}Diesel {BLACK}Cars: {GOLD}3{}{BLACK}Length: {GOLD}2.5 tiles{}{YELLOW}10% bonus for long distance travel{}{SILVER}The Class 158 has many improvements over earlier generation Sprinters, including air conditioning and a more comfortable ride.</v>
      </c>
    </row>
    <row r="40" s="19" customFormat="true" ht="13.8" hidden="false" customHeight="false" outlineLevel="0" collapsed="false">
      <c r="A40" s="19" t="s">
        <v>303</v>
      </c>
      <c r="B40" s="19" t="s">
        <v>304</v>
      </c>
      <c r="C40" s="19" t="n">
        <v>159</v>
      </c>
      <c r="D40" s="19" t="n">
        <v>157</v>
      </c>
      <c r="E40" s="19" t="n">
        <v>160</v>
      </c>
      <c r="F40" s="19" t="s">
        <v>89</v>
      </c>
      <c r="G40" s="19" t="s">
        <v>90</v>
      </c>
      <c r="H40" s="19" t="s">
        <v>152</v>
      </c>
      <c r="I40" s="19" t="s">
        <v>153</v>
      </c>
      <c r="J40" s="19" t="n">
        <v>1989</v>
      </c>
      <c r="K40" s="19" t="n">
        <v>1992</v>
      </c>
      <c r="M40" s="19" t="n">
        <v>2</v>
      </c>
      <c r="N40" s="19" t="n">
        <f aca="false">350+285</f>
        <v>635</v>
      </c>
      <c r="O40" s="25"/>
      <c r="P40" s="26"/>
      <c r="Q40" s="26"/>
      <c r="R40" s="26"/>
      <c r="S40" s="26"/>
      <c r="T40" s="26"/>
      <c r="U40" s="26"/>
      <c r="V40" s="26"/>
      <c r="W40" s="19" t="n">
        <f aca="false">38.5+36.1</f>
        <v>74.6</v>
      </c>
      <c r="X40" s="25"/>
      <c r="Y40" s="19" t="n">
        <v>5</v>
      </c>
      <c r="Z40" s="19" t="n">
        <v>120</v>
      </c>
      <c r="AA40" s="27" t="n">
        <f aca="false">IF(AND(W40&gt;0,Z40&gt;0),(Z40/((W40+X40)*10)),"")</f>
        <v>0.160857908847185</v>
      </c>
      <c r="AB40" s="19" t="n">
        <v>75</v>
      </c>
      <c r="AC40" s="19" t="n">
        <f aca="false">ROUND(AB40*1.6, 0)</f>
        <v>120</v>
      </c>
      <c r="AF40" s="19" t="n">
        <v>23.2</v>
      </c>
      <c r="AG40" s="19" t="n">
        <v>23</v>
      </c>
      <c r="AH40" s="19" t="n">
        <v>2.7</v>
      </c>
      <c r="AJ40" s="28" t="n">
        <v>69</v>
      </c>
      <c r="AK40" s="19" t="str">
        <f aca="false">CONCATENATE(VLOOKUP(AL40, '[1]Voxel Sizes'!$A$2:$B$18,2,FALSE()),"x",INT(AH40*15), "x", INT(AI40*15))</f>
        <v>214x40x0</v>
      </c>
      <c r="AL40" s="19" t="n">
        <f aca="false">ROUND(15*((AG40*10)/256),0)</f>
        <v>13</v>
      </c>
      <c r="AN40" s="19" t="str">
        <f aca="false">CONCATENATE(VLOOKUP(AL40,[1]Constants!$A$2:$C$16,IF(AM40&lt;&gt;"", 3, 2), FALSE()),IF(AM40&lt;&gt;"",CONCATENATE(",",VLOOKUP(AM40,$B:$AN,39,FALSE())),""))</f>
        <v>4,5,4</v>
      </c>
      <c r="AP40" s="29"/>
      <c r="AQ40" s="29"/>
      <c r="AR40" s="19" t="s">
        <v>305</v>
      </c>
      <c r="AT40" s="19" t="s">
        <v>183</v>
      </c>
      <c r="AU40" s="19" t="s">
        <v>298</v>
      </c>
      <c r="AX40" s="19" t="n">
        <v>33</v>
      </c>
      <c r="AY40" s="30" t="str">
        <f aca="false">IF(L40&lt;&gt;"",MAX(16,(L40-J40)+8),"")</f>
        <v/>
      </c>
      <c r="AZ40" s="19" t="n">
        <v>-10</v>
      </c>
      <c r="BA40" s="19" t="n">
        <v>-15</v>
      </c>
      <c r="BB40" s="19" t="n">
        <f aca="false">MIN(AB40/150, 1)*30</f>
        <v>15</v>
      </c>
      <c r="BC40" s="19" t="n">
        <f aca="false">MIN(N40/4000, 1)*20</f>
        <v>3.175</v>
      </c>
      <c r="BD40" s="19" t="n">
        <f aca="false">MIN(Z40/400,1)*20</f>
        <v>6</v>
      </c>
      <c r="BE40" s="27" t="n">
        <f aca="false">1-(MAX(J40-1900, 0)/750)</f>
        <v>0.881333333333333</v>
      </c>
      <c r="BF40" s="19" t="n">
        <f aca="false">((MAX($M40,1)*MIN($AJ40/300,1)))*IF(G40="Wagon",50,10)</f>
        <v>4.6</v>
      </c>
      <c r="BG40" s="1" t="n">
        <f aca="false">VLOOKUP($H40,Constants!$I:$K, 2, FALSE())</f>
        <v>1</v>
      </c>
      <c r="BH40" s="1" t="n">
        <f aca="false">VLOOKUP($H40,Constants!$I:$K, 3, FALSE())*IF(AND(G40="multiple_unit",AB40&lt;110),0.75,1)</f>
        <v>1.5</v>
      </c>
      <c r="BI40" s="1" t="n">
        <f aca="false">INT(POWER(((Constants!$G$2+$BB40+$BC40+$BD40+$BF40)*$BE40)*$BH40, 1.05))+$BA40</f>
        <v>38</v>
      </c>
      <c r="BJ40" s="1" t="n">
        <f aca="false">INT(POWER((((Constants!$G$1+$BB40+$BC40+$BD40+$BF40)*($BE40))*$BG40),IF($G40="wagon",1,1.2)))+$AZ40</f>
        <v>70</v>
      </c>
      <c r="BK40" s="31" t="n">
        <f aca="false">BI40*IF($G40="wagon",62.5,781.25)</f>
        <v>29687.5</v>
      </c>
      <c r="BL40" s="31" t="n">
        <f aca="false">BJ40*IF($G40="wagon",2.73,81.25)</f>
        <v>5687.5</v>
      </c>
      <c r="BQ40" s="19" t="str">
        <f aca="false">_xlfn.ORG.LIBREOFFICE.REGEX(_xlfn.ORG.LIBREOFFICE.REGEX(SPRINTERMUVEHICLES, _xlfn.CONCAT(B40, ",?"), ""), ",$", "")</f>
        <v>class_141,class_150,class_151,class_153,class_153_mail,super_sprinter,express_sprinter_2car,express_sprinter_3car,class_170,class_170_3car</v>
      </c>
      <c r="BT40" s="19" t="n">
        <v>9</v>
      </c>
      <c r="BU40" s="19" t="n">
        <v>185</v>
      </c>
      <c r="BX40" s="19" t="s">
        <v>95</v>
      </c>
      <c r="BY40" s="19" t="str">
        <f aca="false">VLOOKUP(J40,[1]Eras!$A$2:$C$10, 2, TRUE())</f>
        <v>lbr</v>
      </c>
      <c r="BZ40" s="32" t="s">
        <v>166</v>
      </c>
      <c r="CA40" s="19" t="str">
        <f aca="false">CONCATENATE(BY40,"_",BZ40)</f>
        <v>lbr_DMU</v>
      </c>
      <c r="CB40" s="19" t="str">
        <f aca="false">_xlfn.CONCAT(H40, "_",I40)</f>
        <v>diesel_RAIL</v>
      </c>
      <c r="CC40" s="33" t="str">
        <f aca="false" t="array" ref="CC40:CC40">_xlfn.CONCAT("{BLACK}Length: {GOLD}", TEXT(ROUNDUP(IF(AQ40&lt;&gt;"",SUM(VALUE(_xlfn.TEXTSPLIT(AQ40, ","))), SUM(VALUE(_xlfn.TEXTSPLIT(AN40, ",")))*IF(M40, M40, 1))/16, 1), "#,##0.0"), " tiles{}")</f>
        <v>{BLACK}Length: {GOLD}1.7 tiles{}</v>
      </c>
      <c r="CD40" s="1" t="str">
        <f aca="false">VLOOKUP($CB40, Constants!$M:$N, 2, FALSE())</f>
        <v>{BLACK}Powered by: {GOLD}Diesel</v>
      </c>
      <c r="CE40" s="19" t="str">
        <f aca="false">IF(M40&gt;1,_xlfn.CONCAT("{BLACK}Cars: {GOLD}", M40),"")</f>
        <v>{BLACK}Cars: {GOLD}2</v>
      </c>
      <c r="CF40" s="19" t="s">
        <v>306</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
      </c>
      <c r="CH40" s="1" t="str">
        <f aca="false">_xlfn.CONCAT(CD40,IF(CD40 &lt;&gt; "", " ", ""),CE40,IF(OR(CE40&lt;&gt;"", CD40&lt;&gt;""), "{}",""), CC40, CG40,"{SILVER}", CF40)</f>
        <v>{BLACK}Powered by: {GOLD}Diesel {BLACK}Cars: {GOLD}2{}{BLACK}Length: {GOLD}1.7 tiles{}{SILVER}When both Class 158 and Class 156 vehicles are unavailable, it’s possible to run hybrid units of the type, and these have been documented in passenger service on many occasions.</v>
      </c>
    </row>
    <row r="41" s="19" customFormat="true" ht="13.8" hidden="false" customHeight="false" outlineLevel="0" collapsed="false">
      <c r="A41" s="19" t="s">
        <v>307</v>
      </c>
      <c r="B41" s="19" t="s">
        <v>308</v>
      </c>
      <c r="C41" s="19" t="n">
        <v>160</v>
      </c>
      <c r="E41" s="19" t="n">
        <v>161</v>
      </c>
      <c r="F41" s="19" t="s">
        <v>89</v>
      </c>
      <c r="G41" s="19" t="s">
        <v>90</v>
      </c>
      <c r="H41" s="19" t="s">
        <v>152</v>
      </c>
      <c r="I41" s="19" t="s">
        <v>153</v>
      </c>
      <c r="J41" s="19" t="n">
        <v>1998</v>
      </c>
      <c r="K41" s="19" t="n">
        <v>2005</v>
      </c>
      <c r="M41" s="19" t="n">
        <v>2</v>
      </c>
      <c r="N41" s="19" t="n">
        <v>1266</v>
      </c>
      <c r="O41" s="25"/>
      <c r="P41" s="26"/>
      <c r="Q41" s="26"/>
      <c r="R41" s="26"/>
      <c r="S41" s="26"/>
      <c r="T41" s="26"/>
      <c r="U41" s="26"/>
      <c r="V41" s="26"/>
      <c r="W41" s="19" t="n">
        <v>135</v>
      </c>
      <c r="X41" s="25"/>
      <c r="Y41" s="19" t="n">
        <v>5</v>
      </c>
      <c r="Z41" s="19" t="n">
        <v>180</v>
      </c>
      <c r="AA41" s="27" t="n">
        <f aca="false">IF(AND(W41&gt;0,Z41&gt;0),(Z41/((W41+X41)*10)),"")</f>
        <v>0.133333333333333</v>
      </c>
      <c r="AB41" s="19" t="n">
        <v>100</v>
      </c>
      <c r="AC41" s="19" t="n">
        <f aca="false">ROUND(AB41*1.6, 0)</f>
        <v>160</v>
      </c>
      <c r="AF41" s="19" t="n">
        <v>23.62</v>
      </c>
      <c r="AG41" s="19" t="n">
        <v>21</v>
      </c>
      <c r="AH41" s="19" t="n">
        <v>2.69</v>
      </c>
      <c r="AI41" s="19" t="n">
        <v>3.77</v>
      </c>
      <c r="AJ41" s="28" t="n">
        <v>63</v>
      </c>
      <c r="AK41" s="19" t="str">
        <f aca="false">CONCATENATE(VLOOKUP(AL41, '[1]Voxel Sizes'!$A$2:$B$18,2,FALSE()),"x",INT(AH41*15), "x", INT(AI41*15))</f>
        <v>198x40x56</v>
      </c>
      <c r="AL41" s="19" t="n">
        <f aca="false">ROUND(15*((AG41*10)/256),0)</f>
        <v>12</v>
      </c>
      <c r="AN41" s="19" t="str">
        <f aca="false">CONCATENATE(VLOOKUP(AL41,[1]Constants!$A$2:$C$16,IF(AM41&lt;&gt;"", 3, 2), FALSE()),IF(AM41&lt;&gt;"",CONCATENATE(",",VLOOKUP(AM41,$B:$AN,39,FALSE())),""))</f>
        <v>4,4,4</v>
      </c>
      <c r="AP41" s="29"/>
      <c r="AQ41" s="29"/>
      <c r="AR41" s="19" t="s">
        <v>309</v>
      </c>
      <c r="AT41" s="19" t="s">
        <v>113</v>
      </c>
      <c r="AU41" s="19" t="s">
        <v>310</v>
      </c>
      <c r="AX41" s="19" t="n">
        <v>29</v>
      </c>
      <c r="AY41" s="30" t="str">
        <f aca="false">IF(L41&lt;&gt;"",MAX(16,(L41-J41)+8),"")</f>
        <v/>
      </c>
      <c r="AZ41" s="19" t="n">
        <v>-15</v>
      </c>
      <c r="BA41" s="19" t="n">
        <v>-25</v>
      </c>
      <c r="BB41" s="19" t="n">
        <f aca="false">MIN(AB41/150, 1)*30</f>
        <v>20</v>
      </c>
      <c r="BC41" s="19" t="n">
        <f aca="false">MIN(N41/4000, 1)*20</f>
        <v>6.33</v>
      </c>
      <c r="BD41" s="19" t="n">
        <f aca="false">MIN(Z41/400,1)*20</f>
        <v>9</v>
      </c>
      <c r="BE41" s="27" t="n">
        <f aca="false">1-(MAX(J41-1900, 0)/750)</f>
        <v>0.869333333333333</v>
      </c>
      <c r="BF41" s="19" t="n">
        <f aca="false">((MAX($M41,1)*MIN($AJ41/300,1)))*IF(G41="Wagon",50,10)</f>
        <v>4.2</v>
      </c>
      <c r="BG41" s="1" t="n">
        <f aca="false">VLOOKUP($H41,Constants!$I:$K, 2, FALSE())</f>
        <v>1</v>
      </c>
      <c r="BH41" s="1" t="n">
        <f aca="false">VLOOKUP($H41,Constants!$I:$K, 3, FALSE())*IF(AND(G41="multiple_unit",AB41&lt;110),0.75,1)</f>
        <v>1.5</v>
      </c>
      <c r="BI41" s="19" t="n">
        <f aca="false">INT(POWER((([1]Constants!$G$2+$BB41+$BC41+$BD41+$BF41)*$BE41)*$BH41, 1.05))+$BA41</f>
        <v>46</v>
      </c>
      <c r="BJ41" s="19" t="n">
        <f aca="false">INT(POWER(((([1]Constants!$G$1+$BB41+$BC41+$BD41+$BF41)*($BE41))*$BG41),IF($G41="wagon",1,1.2)))+$AZ41</f>
        <v>87</v>
      </c>
      <c r="BK41" s="31" t="n">
        <f aca="false">BI41*IF($G41="wagon",62.5,781.25)</f>
        <v>35937.5</v>
      </c>
      <c r="BL41" s="31" t="n">
        <f aca="false">BJ41*IF($G41="wagon",2.73,81.25)</f>
        <v>7068.75</v>
      </c>
      <c r="BQ41" s="19" t="str">
        <f aca="false">_xlfn.ORG.LIBREOFFICE.REGEX(_xlfn.ORG.LIBREOFFICE.REGEX(SPRINTERMUVEHICLES, _xlfn.CONCAT(B41, ",?"), ""), ",$", "")</f>
        <v>class_141,class_150,class_151,class_153,class_153_mail,super_sprinter,express_sprinter_2car,express_sprinter_3car,sprinter_hybrid,class_170_3car</v>
      </c>
      <c r="BT41" s="19" t="n">
        <v>3</v>
      </c>
      <c r="BU41" s="19" t="n">
        <v>185</v>
      </c>
      <c r="BX41" s="19" t="s">
        <v>95</v>
      </c>
      <c r="BY41" s="19" t="str">
        <f aca="false">VLOOKUP(J41,[1]Eras!$A$2:$C$10, 2, TRUE())</f>
        <v>prv</v>
      </c>
      <c r="BZ41" s="32" t="s">
        <v>166</v>
      </c>
      <c r="CA41" s="19" t="str">
        <f aca="false">CONCATENATE(BY41,"_",BZ41)</f>
        <v>prv_DMU</v>
      </c>
      <c r="CB41" s="19" t="str">
        <f aca="false">_xlfn.CONCAT(H41, "_",I41)</f>
        <v>diesel_RAIL</v>
      </c>
      <c r="CC41" s="33" t="str">
        <f aca="false" t="array" ref="CC41:CC41">_xlfn.CONCAT("{BLACK}Length: {GOLD}", TEXT(ROUNDUP(IF(AQ41&lt;&gt;"",SUM(VALUE(_xlfn.TEXTSPLIT(AQ41, ","))), SUM(VALUE(_xlfn.TEXTSPLIT(AN41, ",")))*IF(M41, M41, 1))/16, 1), "#,##0.0"), " tiles{}")</f>
        <v>{BLACK}Length: {GOLD}1.5 tiles{}</v>
      </c>
      <c r="CD41" s="1" t="str">
        <f aca="false">VLOOKUP($CB41, Constants!$M:$N, 2, FALSE())</f>
        <v>{BLACK}Powered by: {GOLD}Diesel</v>
      </c>
      <c r="CE41" s="19" t="str">
        <f aca="false">IF(M41&gt;1,_xlfn.CONCAT("{BLACK}Cars: {GOLD}", M41),"")</f>
        <v>{BLACK}Cars: {GOLD}2</v>
      </c>
      <c r="CF41" s="19" t="s">
        <v>311</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
      </c>
      <c r="CH41" s="1" t="str">
        <f aca="false">_xlfn.CONCAT(CD41,IF(CD41 &lt;&gt; "", " ", ""),CE41,IF(OR(CE41&lt;&gt;"", CD41&lt;&gt;""), "{}",""), CC41, CG41,"{SILVER}", CF41)</f>
        <v>{BLACK}Powered by: {GOLD}Diesel {BLACK}Cars: {GOLD}2{}{BLACK}Length: {GOLD}1.5 tiles{}{SILVER}The Turbostar is a further development of the BR "Networker" units. It is used for regional and long distance services.</v>
      </c>
    </row>
    <row r="42" s="19" customFormat="true" ht="13.8" hidden="false" customHeight="false" outlineLevel="0" collapsed="false">
      <c r="A42" s="19" t="s">
        <v>307</v>
      </c>
      <c r="B42" s="19" t="s">
        <v>312</v>
      </c>
      <c r="C42" s="19" t="n">
        <v>161</v>
      </c>
      <c r="D42" s="19" t="n">
        <v>160</v>
      </c>
      <c r="E42" s="19" t="n">
        <v>162</v>
      </c>
      <c r="F42" s="19" t="s">
        <v>89</v>
      </c>
      <c r="G42" s="19" t="s">
        <v>90</v>
      </c>
      <c r="H42" s="19" t="s">
        <v>152</v>
      </c>
      <c r="I42" s="19" t="s">
        <v>153</v>
      </c>
      <c r="J42" s="19" t="n">
        <v>1998</v>
      </c>
      <c r="K42" s="19" t="n">
        <v>2005</v>
      </c>
      <c r="M42" s="19" t="n">
        <v>3</v>
      </c>
      <c r="N42" s="19" t="n">
        <v>1266</v>
      </c>
      <c r="O42" s="25"/>
      <c r="P42" s="26"/>
      <c r="Q42" s="26"/>
      <c r="R42" s="26"/>
      <c r="S42" s="26"/>
      <c r="T42" s="26"/>
      <c r="U42" s="26"/>
      <c r="V42" s="26"/>
      <c r="W42" s="19" t="n">
        <v>135</v>
      </c>
      <c r="X42" s="25"/>
      <c r="Y42" s="19" t="n">
        <v>5</v>
      </c>
      <c r="Z42" s="19" t="n">
        <v>180</v>
      </c>
      <c r="AA42" s="27" t="n">
        <f aca="false">IF(AND(W42&gt;0,Z42&gt;0),(Z42/((W42+X42)*10)),"")</f>
        <v>0.133333333333333</v>
      </c>
      <c r="AB42" s="19" t="n">
        <v>100</v>
      </c>
      <c r="AC42" s="19" t="n">
        <f aca="false">ROUND(AB42*1.6, 0)</f>
        <v>160</v>
      </c>
      <c r="AF42" s="19" t="n">
        <v>23.62</v>
      </c>
      <c r="AG42" s="19" t="n">
        <v>21</v>
      </c>
      <c r="AH42" s="19" t="n">
        <v>2.69</v>
      </c>
      <c r="AI42" s="19" t="n">
        <v>3.77</v>
      </c>
      <c r="AJ42" s="28" t="n">
        <v>63</v>
      </c>
      <c r="AK42" s="19" t="str">
        <f aca="false">CONCATENATE(VLOOKUP(AL42, '[1]Voxel Sizes'!$A$2:$B$18,2,FALSE()),"x",INT(AH42*15), "x", INT(AI42*15))</f>
        <v>198x40x56</v>
      </c>
      <c r="AL42" s="19" t="n">
        <f aca="false">ROUND(15*((AG42*10)/256),0)</f>
        <v>12</v>
      </c>
      <c r="AN42" s="19" t="str">
        <f aca="false">CONCATENATE(VLOOKUP(AL42,[1]Constants!$A$2:$C$16,IF(AM42&lt;&gt;"", 3, 2), FALSE()),IF(AM42&lt;&gt;"",CONCATENATE(",",VLOOKUP(AM42,$B:$AN,39,FALSE())),""))</f>
        <v>4,4,4</v>
      </c>
      <c r="AP42" s="29"/>
      <c r="AQ42" s="29"/>
      <c r="AR42" s="19" t="s">
        <v>313</v>
      </c>
      <c r="AT42" s="19" t="s">
        <v>302</v>
      </c>
      <c r="AU42" s="19" t="s">
        <v>310</v>
      </c>
      <c r="AX42" s="19" t="n">
        <v>29</v>
      </c>
      <c r="AY42" s="30" t="str">
        <f aca="false">IF(L42&lt;&gt;"",MAX(16,(L42-J42)+8),"")</f>
        <v/>
      </c>
      <c r="AZ42" s="19" t="n">
        <v>-15</v>
      </c>
      <c r="BA42" s="19" t="n">
        <v>-25</v>
      </c>
      <c r="BB42" s="19" t="n">
        <f aca="false">MIN(AB42/150, 1)*30</f>
        <v>20</v>
      </c>
      <c r="BC42" s="19" t="n">
        <f aca="false">MIN(N42/4000, 1)*20</f>
        <v>6.33</v>
      </c>
      <c r="BD42" s="19" t="n">
        <f aca="false">MIN(Z42/400,1)*20</f>
        <v>9</v>
      </c>
      <c r="BE42" s="27" t="n">
        <f aca="false">1-(MAX(J42-1900, 0)/750)</f>
        <v>0.869333333333333</v>
      </c>
      <c r="BF42" s="19" t="n">
        <f aca="false">((MAX($M42,1)*MIN($AJ42/300,1)))*IF(G42="Wagon",50,10)</f>
        <v>6.3</v>
      </c>
      <c r="BG42" s="1" t="n">
        <f aca="false">VLOOKUP($H42,Constants!$I:$K, 2, FALSE())</f>
        <v>1</v>
      </c>
      <c r="BH42" s="1" t="n">
        <f aca="false">VLOOKUP($H42,Constants!$I:$K, 3, FALSE())*IF(AND(G42="multiple_unit",AB42&lt;110),0.75,1)</f>
        <v>1.5</v>
      </c>
      <c r="BI42" s="19" t="n">
        <f aca="false">INT(POWER((([1]Constants!$G$2+$BB42+$BC42+$BD42+$BF42)*$BE42)*$BH42, 1.05))+$BA42</f>
        <v>49</v>
      </c>
      <c r="BJ42" s="19" t="n">
        <f aca="false">INT(POWER(((([1]Constants!$G$1+$BB42+$BC42+$BD42+$BF42)*($BE42))*$BG42),IF($G42="wagon",1,1.2)))+$AZ42</f>
        <v>92</v>
      </c>
      <c r="BK42" s="31" t="n">
        <f aca="false">BI42*IF($G42="wagon",62.5,781.25)</f>
        <v>38281.25</v>
      </c>
      <c r="BL42" s="31" t="n">
        <f aca="false">BJ42*IF($G42="wagon",2.73,81.25)</f>
        <v>7475</v>
      </c>
      <c r="BQ42" s="19" t="str">
        <f aca="false">_xlfn.ORG.LIBREOFFICE.REGEX(_xlfn.ORG.LIBREOFFICE.REGEX(SPRINTERMUVEHICLES, _xlfn.CONCAT(B42, ",?"), ""), ",$", "")</f>
        <v>class_141,class_150,class_151,class_153,class_153_mail,super_sprinter,express_sprinter_2car,express_sprinter_3car,sprinter_hybrid,class_170</v>
      </c>
      <c r="BT42" s="19" t="n">
        <v>3</v>
      </c>
      <c r="BU42" s="19" t="n">
        <v>185</v>
      </c>
      <c r="BX42" s="19" t="s">
        <v>95</v>
      </c>
      <c r="BY42" s="19" t="str">
        <f aca="false">VLOOKUP(J42,[1]Eras!$A$2:$C$10, 2, TRUE())</f>
        <v>prv</v>
      </c>
      <c r="BZ42" s="32" t="s">
        <v>166</v>
      </c>
      <c r="CA42" s="19" t="str">
        <f aca="false">CONCATENATE(BY42,"_",BZ42)</f>
        <v>prv_DMU</v>
      </c>
      <c r="CB42" s="19" t="str">
        <f aca="false">_xlfn.CONCAT(H42, "_",I42)</f>
        <v>diesel_RAIL</v>
      </c>
      <c r="CC42" s="33" t="str">
        <f aca="false" t="array" ref="CC42:CC42">_xlfn.CONCAT("{BLACK}Length: {GOLD}", TEXT(ROUNDUP(IF(AQ42&lt;&gt;"",SUM(VALUE(_xlfn.TEXTSPLIT(AQ42, ","))), SUM(VALUE(_xlfn.TEXTSPLIT(AN42, ",")))*IF(M42, M42, 1))/16, 1), "#,##0.0"), " tiles{}")</f>
        <v>{BLACK}Length: {GOLD}2.3 tiles{}</v>
      </c>
      <c r="CD42" s="1" t="str">
        <f aca="false">VLOOKUP($CB42, Constants!$M:$N, 2, FALSE())</f>
        <v>{BLACK}Powered by: {GOLD}Diesel</v>
      </c>
      <c r="CE42" s="19" t="str">
        <f aca="false">IF(M42&gt;1,_xlfn.CONCAT("{BLACK}Cars: {GOLD}", M42),"")</f>
        <v>{BLACK}Cars: {GOLD}3</v>
      </c>
      <c r="CF42" s="19" t="s">
        <v>311</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{BLACK}Cars: {GOLD}3{}{BLACK}Length: {GOLD}2.3 tiles{}{SILVER}The Turbostar is a further development of the BR "Networker" units. It is used for regional and long distance services.</v>
      </c>
    </row>
    <row r="43" customFormat="false" ht="13.8" hidden="false" customHeight="false" outlineLevel="0" collapsed="false">
      <c r="A43" s="18" t="s">
        <v>314</v>
      </c>
      <c r="B43" s="18" t="s">
        <v>315</v>
      </c>
      <c r="C43" s="18" t="n">
        <v>370</v>
      </c>
      <c r="D43" s="1" t="n">
        <v>372</v>
      </c>
      <c r="E43" s="18" t="n">
        <v>372</v>
      </c>
      <c r="F43" s="18" t="s">
        <v>89</v>
      </c>
      <c r="G43" s="18" t="s">
        <v>90</v>
      </c>
      <c r="H43" s="18" t="s">
        <v>316</v>
      </c>
      <c r="I43" s="18" t="s">
        <v>153</v>
      </c>
      <c r="J43" s="18" t="n">
        <v>1979</v>
      </c>
      <c r="K43" s="18" t="n">
        <v>1986</v>
      </c>
      <c r="L43" s="18" t="n">
        <v>1988</v>
      </c>
      <c r="M43" s="18" t="n">
        <v>6</v>
      </c>
      <c r="N43" s="18" t="n">
        <v>10</v>
      </c>
      <c r="W43" s="18" t="n">
        <v>164.8</v>
      </c>
      <c r="Y43" s="18" t="n">
        <v>4</v>
      </c>
      <c r="Z43" s="18" t="n">
        <v>5</v>
      </c>
      <c r="AA43" s="4" t="n">
        <f aca="false">IF(AND(W43&gt;0,Z43&gt;0),(Z43/((W43+X43)*10)),"")</f>
        <v>0.00303398058252427</v>
      </c>
      <c r="AB43" s="18" t="n">
        <v>155</v>
      </c>
      <c r="AC43" s="18" t="n">
        <f aca="false">ROUND(AB43*1.6, 0)</f>
        <v>248</v>
      </c>
      <c r="AD43" s="18"/>
      <c r="AE43" s="18"/>
      <c r="AF43" s="18" t="n">
        <v>20.9</v>
      </c>
      <c r="AG43" s="18" t="n">
        <v>20.9</v>
      </c>
      <c r="AH43" s="18" t="n">
        <v>2.7</v>
      </c>
      <c r="AI43" s="18" t="n">
        <v>3.5</v>
      </c>
      <c r="AJ43" s="5" t="n">
        <v>44</v>
      </c>
      <c r="AK43" s="19" t="str">
        <f aca="false">CONCATENATE(VLOOKUP(AL43, 'Voxel Sizes'!$A$2:$B$18,2,FALSE()),"x",INT(AH43*15), "x", INT(AI43*15))</f>
        <v>198x40x52</v>
      </c>
      <c r="AL43" s="18" t="n">
        <f aca="false">ROUND(15*((AG43*10)/256),0)</f>
        <v>12</v>
      </c>
      <c r="AM43" s="18"/>
      <c r="AN43" s="1" t="str">
        <f aca="false">CONCATENATE(VLOOKUP(AL43,Constants!$A$2:$C$16,IF(AM43&lt;&gt;"", 3, 2), FALSE()),IF(AM43&lt;&gt;"",CONCATENATE(",",VLOOKUP(AM43,$B:$AN,38,FALSE())),""))</f>
        <v>4,4,4</v>
      </c>
      <c r="AO43" s="18"/>
      <c r="AR43" s="18" t="s">
        <v>317</v>
      </c>
      <c r="AS43" s="18"/>
      <c r="AT43" s="18" t="s">
        <v>318</v>
      </c>
      <c r="AU43" s="18" t="s">
        <v>319</v>
      </c>
      <c r="AV43" s="18"/>
      <c r="AW43" s="18"/>
      <c r="AX43" s="18" t="n">
        <v>12</v>
      </c>
      <c r="AY43" s="6" t="n">
        <f aca="false">IF(L43&lt;&gt;"",MAX(16,(L43-J43)+8),"")</f>
        <v>17</v>
      </c>
      <c r="AZ43" s="18"/>
      <c r="BA43" s="18" t="n">
        <v>-20</v>
      </c>
      <c r="BB43" s="1" t="n">
        <f aca="false">MIN(AB43/150, 1)*30</f>
        <v>30</v>
      </c>
      <c r="BC43" s="1" t="n">
        <f aca="false">MIN(N43/4000, 1)*20</f>
        <v>0.05</v>
      </c>
      <c r="BD43" s="1" t="n">
        <f aca="false">MIN(Z43/400,1)*20</f>
        <v>0.25</v>
      </c>
      <c r="BE43" s="4" t="n">
        <f aca="false">1-(MAX(J43-1900, 0)/750)</f>
        <v>0.894666666666667</v>
      </c>
      <c r="BF43" s="1" t="n">
        <f aca="false">((MAX($M43,1)*MIN($AJ43/300,1)))*IF(G43="Wagon",50,10)</f>
        <v>8.8</v>
      </c>
      <c r="BG43" s="1" t="n">
        <f aca="false">VLOOKUP($H43,Constants!$I:$K, 2, FALSE())</f>
        <v>0.85</v>
      </c>
      <c r="BH43" s="1" t="n">
        <f aca="false">VLOOKUP($H43,Constants!$I:$K, 3, FALSE())*IF(AND(G43="multiple_unit",AB43&lt;110),0.75,1)</f>
        <v>2.3</v>
      </c>
      <c r="BI43" s="1" t="n">
        <f aca="false">INT(POWER(((Constants!$G$2+$BB43+$BC43+$BD43+$BF43)*$BE43)*$BH43, 1.05))+$BA43</f>
        <v>93</v>
      </c>
      <c r="BJ43" s="1" t="n">
        <f aca="false">INT(POWER((((Constants!$G$1+$BB43+$BC43+$BD43+$BF43)*($BE43))*$BG43),IF($G43="wagon",1,1.2)))+$AZ43</f>
        <v>86</v>
      </c>
      <c r="BK43" s="20" t="n">
        <f aca="false">BI43*IF($G43="wagon",62.5,781.25)</f>
        <v>72656.25</v>
      </c>
      <c r="BL43" s="20" t="n">
        <f aca="false">BJ43*IF($G43="wagon",2.73,81.25)</f>
        <v>6987.5</v>
      </c>
      <c r="BP43" s="18" t="n">
        <v>1</v>
      </c>
      <c r="BQ43" s="18" t="str">
        <f aca="false">_xlfn.ORG.LIBREOFFICE.REGEX(_xlfn.ORG.LIBREOFFICE.REGEX(APTMUVehicles, _xlfn.CONCAT(B43, ",?"), ""), ",$", "")</f>
        <v>apt_half_6_rev,apt_powercar,apt_half_2,apt_half_2_rev,apt_q_dvt,apt_s_dm,apt_s_10,apt_s_6</v>
      </c>
      <c r="BR43" s="18"/>
      <c r="BS43" s="18" t="s">
        <v>203</v>
      </c>
      <c r="BT43" s="18" t="n">
        <v>8</v>
      </c>
      <c r="BU43" s="18" t="n">
        <v>222</v>
      </c>
      <c r="BX43" s="18" t="s">
        <v>95</v>
      </c>
      <c r="BY43" s="1" t="str">
        <f aca="false">VLOOKUP(J43,Eras!$A$2:$C$10, 2, TRUE())</f>
        <v>lbr</v>
      </c>
      <c r="BZ43" s="18" t="s">
        <v>226</v>
      </c>
      <c r="CA43" s="18" t="str">
        <f aca="false">CONCATENATE(BY43,"_",BZ43)</f>
        <v>lbr_EMU (Express)</v>
      </c>
      <c r="CB43" s="18" t="str">
        <f aca="false">_xlfn.CONCAT(H43, "_",I43)</f>
        <v>none_RAIL</v>
      </c>
      <c r="CC43" s="21" t="s">
        <v>320</v>
      </c>
      <c r="CD43" s="1" t="str">
        <f aca="false">VLOOKUP($CB43, Constants!$M:$N, 2, FALSE())</f>
        <v/>
      </c>
      <c r="CE43" s="1" t="str">
        <f aca="false">IF(M43&gt;1,_xlfn.CONCAT("{BLACK}Cars: {GOLD}", M43),"")</f>
        <v>{BLACK}Cars: {GOLD}6</v>
      </c>
      <c r="CF43" s="18" t="s">
        <v>321</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{YELLOW}20% bonus for long distance travel{}</v>
      </c>
      <c r="CH43" s="18" t="str">
        <f aca="false">_xlfn.CONCAT(CD43,IF(CD43 &lt;&gt; "", " ", ""),CE43,IF(OR(CE43&lt;&gt;"", CD43&lt;&gt;""), "{}",""), CC43, CG43,"{SILVER}", CF43)</f>
        <v>{BLACK}Cars: {GOLD}6{}{BLACK}Length: {GOLD}0.9 tiles{}{YELLOW}20% bonus for long distance travel{}{SILVER}A 6-car unpowered half-rake of APT-P vehicles. Pair with the Non-Driving power car and a reversed set for a complete unit.</v>
      </c>
      <c r="CI43" s="18"/>
      <c r="CJ43" s="18"/>
    </row>
    <row r="44" customFormat="false" ht="13.8" hidden="false" customHeight="false" outlineLevel="0" collapsed="false">
      <c r="A44" s="1" t="s">
        <v>322</v>
      </c>
      <c r="B44" s="1" t="s">
        <v>323</v>
      </c>
      <c r="C44" s="1" t="n">
        <v>371</v>
      </c>
      <c r="D44" s="1" t="n">
        <v>372</v>
      </c>
      <c r="E44" s="1" t="n">
        <v>373</v>
      </c>
      <c r="F44" s="1" t="s">
        <v>89</v>
      </c>
      <c r="G44" s="1" t="s">
        <v>324</v>
      </c>
      <c r="H44" s="1" t="s">
        <v>316</v>
      </c>
      <c r="I44" s="1" t="s">
        <v>153</v>
      </c>
      <c r="J44" s="1" t="n">
        <v>1979</v>
      </c>
      <c r="K44" s="1" t="n">
        <v>1986</v>
      </c>
      <c r="L44" s="1" t="n">
        <v>1988</v>
      </c>
      <c r="M44" s="1" t="n">
        <v>6</v>
      </c>
      <c r="N44" s="1" t="n">
        <v>10</v>
      </c>
      <c r="W44" s="1" t="n">
        <v>164.8</v>
      </c>
      <c r="Y44" s="1" t="n">
        <v>4</v>
      </c>
      <c r="Z44" s="1" t="n">
        <v>5</v>
      </c>
      <c r="AA44" s="4" t="n">
        <f aca="false">IF(AND(W44&gt;0,Z44&gt;0),(Z44/((W44+X44)*10)),"")</f>
        <v>0.00303398058252427</v>
      </c>
      <c r="AB44" s="1" t="n">
        <v>155</v>
      </c>
      <c r="AC44" s="1" t="n">
        <f aca="false">ROUND(AB44*1.6, 0)</f>
        <v>248</v>
      </c>
      <c r="AF44" s="1" t="n">
        <v>20.9</v>
      </c>
      <c r="AG44" s="1" t="n">
        <v>20.9</v>
      </c>
      <c r="AH44" s="1" t="n">
        <v>2.7</v>
      </c>
      <c r="AI44" s="1" t="n">
        <v>3.5</v>
      </c>
      <c r="AJ44" s="5" t="n">
        <v>44</v>
      </c>
      <c r="AK44" s="19" t="str">
        <f aca="false">CONCATENATE(VLOOKUP(AL44, 'Voxel Sizes'!$A$2:$B$18,2,FALSE()),"x",INT(AH44*15), "x", INT(AI44*15))</f>
        <v>198x40x52</v>
      </c>
      <c r="AL44" s="1" t="n">
        <f aca="false">ROUND(15*((AG44*10)/256),0)</f>
        <v>12</v>
      </c>
      <c r="AN44" s="1" t="str">
        <f aca="false">CONCATENATE(VLOOKUP(AL44,Constants!$A$2:$C$16,IF(AM44&lt;&gt;"", 3, 2), FALSE()),IF(AM44&lt;&gt;"",CONCATENATE(",",VLOOKUP(AM44,$B:$AN,38,FALSE())),""))</f>
        <v>4,4,4</v>
      </c>
      <c r="AR44" s="1" t="s">
        <v>325</v>
      </c>
      <c r="AT44" s="1" t="s">
        <v>326</v>
      </c>
      <c r="AU44" s="1" t="s">
        <v>327</v>
      </c>
      <c r="AX44" s="1" t="n">
        <v>12</v>
      </c>
      <c r="AY44" s="6" t="n">
        <f aca="false">IF(L44&lt;&gt;"",MAX(16,(L44-J44)+8),"")</f>
        <v>17</v>
      </c>
      <c r="AZ44" s="1" t="n">
        <v>-20</v>
      </c>
      <c r="BA44" s="1" t="n">
        <v>-20</v>
      </c>
      <c r="BB44" s="1" t="n">
        <f aca="false">MIN(AB44/150, 1)*30</f>
        <v>30</v>
      </c>
      <c r="BC44" s="1" t="n">
        <f aca="false">MIN(N44/4000, 1)*20</f>
        <v>0.05</v>
      </c>
      <c r="BD44" s="1" t="n">
        <f aca="false">MIN(Z44/400,1)*20</f>
        <v>0.25</v>
      </c>
      <c r="BE44" s="4" t="n">
        <f aca="false">1-(MAX(J44-1900, 0)/750)</f>
        <v>0.894666666666667</v>
      </c>
      <c r="BF44" s="1" t="n">
        <f aca="false">((MAX($M44,1)*MIN($AJ44/300,1)))*IF(G44="Wagon",50,10)</f>
        <v>8.8</v>
      </c>
      <c r="BG44" s="1" t="n">
        <f aca="false">VLOOKUP($H44,Constants!$I:$K, 2, FALSE())</f>
        <v>0.85</v>
      </c>
      <c r="BH44" s="1" t="n">
        <f aca="false">VLOOKUP($H44,Constants!$I:$K, 3, FALSE())*IF(AND(G44="multiple_unit",AB44&lt;110),0.75,1)</f>
        <v>2.3</v>
      </c>
      <c r="BI44" s="1" t="n">
        <f aca="false">INT(POWER(((Constants!$G$2+$BB44+$BC44+$BD44+$BF44)*$BE44)*$BH44, 1.05))+$BA44</f>
        <v>93</v>
      </c>
      <c r="BJ44" s="1" t="n">
        <f aca="false">INT(POWER((((Constants!$G$1+$BB44+$BC44+$BD44+$BF44)*($BE44))*$BG44),IF($G44="wagon",1,1.2)))+$AZ44</f>
        <v>66</v>
      </c>
      <c r="BK44" s="20" t="n">
        <f aca="false">BI44*IF($G44="wagon",62.5,781.25)</f>
        <v>72656.25</v>
      </c>
      <c r="BL44" s="20" t="n">
        <f aca="false">BJ44*IF($G44="wagon",2.73,81.25)</f>
        <v>5362.5</v>
      </c>
      <c r="BO44" s="1" t="n">
        <v>1</v>
      </c>
      <c r="BP44" s="1" t="n">
        <v>1</v>
      </c>
      <c r="BQ44" s="1" t="str">
        <f aca="false">_xlfn.ORG.LIBREOFFICE.REGEX(_xlfn.ORG.LIBREOFFICE.REGEX(APTMUVehicles, _xlfn.CONCAT(B44, ",?"), ""), ",$", "")</f>
        <v>apt_half_6,apt_powercar,apt_half_2,apt_half_2_rev,apt_q_dvt,apt_s_dm,apt_s_10,apt_s_6</v>
      </c>
      <c r="BS44" s="1" t="s">
        <v>203</v>
      </c>
      <c r="BT44" s="1" t="n">
        <v>8</v>
      </c>
      <c r="BU44" s="1" t="n">
        <v>222</v>
      </c>
      <c r="BX44" s="1" t="s">
        <v>95</v>
      </c>
      <c r="BY44" s="1" t="str">
        <f aca="false">VLOOKUP(J44,Eras!$A$2:$C$10, 2, TRUE())</f>
        <v>lbr</v>
      </c>
      <c r="BZ44" s="18" t="s">
        <v>226</v>
      </c>
      <c r="CA44" s="1" t="str">
        <f aca="false">CONCATENATE(BY44,"_",BZ44)</f>
        <v>lbr_EMU (Express)</v>
      </c>
      <c r="CB44" s="1" t="str">
        <f aca="false">_xlfn.CONCAT(H44, "_",I44)</f>
        <v>none_RAIL</v>
      </c>
      <c r="CC44" s="21" t="s">
        <v>320</v>
      </c>
      <c r="CD44" s="1" t="str">
        <f aca="false">VLOOKUP($CB44, Constants!$M:$N, 2, FALSE())</f>
        <v/>
      </c>
      <c r="CE44" s="1" t="str">
        <f aca="false">IF(M44&gt;1,_xlfn.CONCAT("{BLACK}Cars: {GOLD}", M44),"")</f>
        <v>{BLACK}Cars: {GOLD}6</v>
      </c>
      <c r="CF44" s="1" t="s">
        <v>328</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{YELLOW}20% bonus for long distance travel{}</v>
      </c>
      <c r="CH44" s="1" t="str">
        <f aca="false">_xlfn.CONCAT(CD44,IF(CD44 &lt;&gt; "", " ", ""),CE44,IF(OR(CE44&lt;&gt;"", CD44&lt;&gt;""), "{}",""), CC44, CG44,"{SILVER}", CF44)</f>
        <v>{BLACK}Cars: {GOLD}6{}{BLACK}Length: {GOLD}0.9 tiles{}{YELLOW}20% bonus for long distance travel{}{SILVER}A 6-car half-rake of APT-P vehicles. This is the rear half of a formation.</v>
      </c>
      <c r="CI44" s="1"/>
      <c r="CJ44" s="1"/>
    </row>
    <row r="45" customFormat="false" ht="13.8" hidden="false" customHeight="false" outlineLevel="0" collapsed="false">
      <c r="A45" s="1" t="s">
        <v>329</v>
      </c>
      <c r="B45" s="1" t="s">
        <v>330</v>
      </c>
      <c r="C45" s="1" t="n">
        <v>372</v>
      </c>
      <c r="E45" s="1" t="n">
        <v>374</v>
      </c>
      <c r="F45" s="1" t="s">
        <v>89</v>
      </c>
      <c r="G45" s="1" t="s">
        <v>90</v>
      </c>
      <c r="H45" s="1" t="s">
        <v>316</v>
      </c>
      <c r="I45" s="1" t="s">
        <v>153</v>
      </c>
      <c r="J45" s="1" t="n">
        <v>1979</v>
      </c>
      <c r="K45" s="1" t="n">
        <v>1986</v>
      </c>
      <c r="L45" s="1" t="n">
        <v>1988</v>
      </c>
      <c r="M45" s="1" t="n">
        <v>2</v>
      </c>
      <c r="N45" s="1" t="n">
        <v>10</v>
      </c>
      <c r="W45" s="1" t="n">
        <v>65.6</v>
      </c>
      <c r="Y45" s="1" t="n">
        <v>4</v>
      </c>
      <c r="Z45" s="1" t="n">
        <v>5</v>
      </c>
      <c r="AA45" s="4" t="n">
        <f aca="false">IF(AND(W45&gt;0,Z45&gt;0),(Z45/((W45+X45)*10)),"")</f>
        <v>0.0076219512195122</v>
      </c>
      <c r="AB45" s="1" t="n">
        <v>155</v>
      </c>
      <c r="AC45" s="1" t="n">
        <f aca="false">ROUND(AB45*1.6, 0)</f>
        <v>248</v>
      </c>
      <c r="AF45" s="1" t="n">
        <v>20.9</v>
      </c>
      <c r="AG45" s="1" t="n">
        <v>20.9</v>
      </c>
      <c r="AH45" s="1" t="n">
        <v>2.7</v>
      </c>
      <c r="AI45" s="1" t="n">
        <v>3.5</v>
      </c>
      <c r="AJ45" s="5" t="n">
        <v>39</v>
      </c>
      <c r="AK45" s="19" t="str">
        <f aca="false">CONCATENATE(VLOOKUP(AL45, 'Voxel Sizes'!$A$2:$B$18,2,FALSE()),"x",INT(AH45*15), "x", INT(AI45*15))</f>
        <v>198x40x52</v>
      </c>
      <c r="AL45" s="1" t="n">
        <f aca="false">ROUND(15*((AG45*10)/256),0)</f>
        <v>12</v>
      </c>
      <c r="AN45" s="1" t="str">
        <f aca="false">CONCATENATE(VLOOKUP(AL45,Constants!$A$2:$C$16,IF(AM45&lt;&gt;"", 3, 2), FALSE()),IF(AM45&lt;&gt;"",CONCATENATE(",",VLOOKUP(AM45,$B:$AN,38,FALSE())),""))</f>
        <v>4,4,4</v>
      </c>
      <c r="AR45" s="1" t="s">
        <v>331</v>
      </c>
      <c r="AT45" s="1" t="s">
        <v>183</v>
      </c>
      <c r="AU45" s="1" t="s">
        <v>319</v>
      </c>
      <c r="AX45" s="1" t="n">
        <v>12</v>
      </c>
      <c r="AY45" s="6" t="n">
        <f aca="false">IF(L45&lt;&gt;"",MAX(16,(L45-J45)+8),"")</f>
        <v>17</v>
      </c>
      <c r="AZ45" s="1" t="n">
        <v>-45</v>
      </c>
      <c r="BA45" s="1" t="n">
        <v>-65</v>
      </c>
      <c r="BB45" s="1" t="n">
        <f aca="false">MIN(AB45/150, 1)*30</f>
        <v>30</v>
      </c>
      <c r="BC45" s="1" t="n">
        <f aca="false">MIN(N45/4000, 1)*20</f>
        <v>0.05</v>
      </c>
      <c r="BD45" s="1" t="n">
        <f aca="false">MIN(Z45/400,1)*20</f>
        <v>0.25</v>
      </c>
      <c r="BE45" s="4" t="n">
        <f aca="false">1-(MAX(J45-1900, 0)/750)</f>
        <v>0.894666666666667</v>
      </c>
      <c r="BF45" s="1" t="n">
        <f aca="false">((MAX($M45,1)*MIN($AJ45/300,1)))*IF(G45="Wagon",50,10)</f>
        <v>2.6</v>
      </c>
      <c r="BG45" s="1" t="n">
        <f aca="false">VLOOKUP($H45,Constants!$I:$K, 2, FALSE())</f>
        <v>0.85</v>
      </c>
      <c r="BH45" s="1" t="n">
        <f aca="false">VLOOKUP($H45,Constants!$I:$K, 3, FALSE())*IF(AND(G45="multiple_unit",AB45&lt;110),0.75,1)</f>
        <v>2.3</v>
      </c>
      <c r="BI45" s="1" t="n">
        <f aca="false">INT(POWER(((Constants!$G$2+$BB45+$BC45+$BD45+$BF45)*$BE45)*$BH45, 1.05))+$BA45</f>
        <v>31</v>
      </c>
      <c r="BJ45" s="1" t="n">
        <f aca="false">INT(POWER((((Constants!$G$1+$BB45+$BC45+$BD45+$BF45)*($BE45))*$BG45),IF($G45="wagon",1,1.2)))+$AZ45</f>
        <v>29</v>
      </c>
      <c r="BK45" s="20" t="n">
        <f aca="false">BI45*IF($G45="wagon",62.5,781.25)</f>
        <v>24218.75</v>
      </c>
      <c r="BL45" s="20" t="n">
        <f aca="false">BJ45*IF($G45="wagon",2.73,81.25)</f>
        <v>2356.25</v>
      </c>
      <c r="BP45" s="1" t="n">
        <v>1</v>
      </c>
      <c r="BQ45" s="1" t="str">
        <f aca="false">_xlfn.ORG.LIBREOFFICE.REGEX(_xlfn.ORG.LIBREOFFICE.REGEX(APTMUVehicles, _xlfn.CONCAT(B45, ",?"), ""), ",$", "")</f>
        <v>apt_half_6,apt_half_6_rev,apt_powercar,apt_half_2_rev,apt_q_dvt,apt_s_dm,apt_s_10,apt_s_6</v>
      </c>
      <c r="BT45" s="1" t="n">
        <v>8</v>
      </c>
      <c r="BU45" s="1" t="n">
        <v>185</v>
      </c>
      <c r="BX45" s="1" t="s">
        <v>95</v>
      </c>
      <c r="BY45" s="1" t="str">
        <f aca="false">VLOOKUP(J45,Eras!$A$2:$C$10, 2, TRUE())</f>
        <v>lbr</v>
      </c>
      <c r="BZ45" s="18" t="s">
        <v>226</v>
      </c>
      <c r="CA45" s="1" t="str">
        <f aca="false">CONCATENATE(BY45,"_",BZ45)</f>
        <v>lbr_EMU (Express)</v>
      </c>
      <c r="CB45" s="1" t="str">
        <f aca="false">_xlfn.CONCAT(H45, "_",I45)</f>
        <v>none_RAIL</v>
      </c>
      <c r="CC45" s="21" t="str">
        <f aca="false">_xlfn.CONCAT("{BLACK}Length: {GOLD}", TEXT(ROUNDUP(IF(AQ45&lt;&gt;"",SUM(VALUE(_xlfn.TEXTSPLIT(AQ45, ","))), SUM(VALUE(_xlfn.TEXTSPLIT(AN45, ",")))*IF(M45, M45, 1))/16, 1), "#,##0.0"), " tiles{}")</f>
        <v>{BLACK}Length: {GOLD}1.5 tiles{}</v>
      </c>
      <c r="CD45" s="1" t="str">
        <f aca="false">VLOOKUP($CB45, Constants!$M:$N, 2, FALSE())</f>
        <v/>
      </c>
      <c r="CE45" s="1" t="str">
        <f aca="false">IF(M45&gt;1,_xlfn.CONCAT("{BLACK}Cars: {GOLD}", M45),"")</f>
        <v>{BLACK}Cars: {GOLD}2</v>
      </c>
      <c r="CF45" s="1" t="s">
        <v>332</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{BLACK}Cars: {GOLD}2{}{BLACK}Length: {GOLD}1.5 tiles{}{SILVER}A minimal 2-car half-rake of APT-P Vehicles. Lack of dining facilities makes this much less attractive for passengers. Pair with the Non-Driving power car and a reversed set for a complete unit.</v>
      </c>
      <c r="CI45" s="1"/>
      <c r="CJ45" s="1"/>
    </row>
    <row r="46" customFormat="false" ht="13.8" hidden="false" customHeight="false" outlineLevel="0" collapsed="false">
      <c r="A46" s="1" t="s">
        <v>333</v>
      </c>
      <c r="B46" s="1" t="s">
        <v>334</v>
      </c>
      <c r="C46" s="1" t="n">
        <v>373</v>
      </c>
      <c r="D46" s="1" t="n">
        <v>372</v>
      </c>
      <c r="E46" s="1" t="n">
        <v>375</v>
      </c>
      <c r="F46" s="1" t="s">
        <v>89</v>
      </c>
      <c r="G46" s="1" t="s">
        <v>324</v>
      </c>
      <c r="H46" s="1" t="s">
        <v>316</v>
      </c>
      <c r="I46" s="1" t="s">
        <v>153</v>
      </c>
      <c r="J46" s="1" t="n">
        <v>1979</v>
      </c>
      <c r="K46" s="1" t="n">
        <v>1986</v>
      </c>
      <c r="L46" s="1" t="n">
        <v>1988</v>
      </c>
      <c r="M46" s="1" t="n">
        <v>2</v>
      </c>
      <c r="N46" s="1" t="n">
        <v>10</v>
      </c>
      <c r="W46" s="1" t="n">
        <v>65.6</v>
      </c>
      <c r="Y46" s="1" t="n">
        <v>4</v>
      </c>
      <c r="Z46" s="1" t="n">
        <v>5</v>
      </c>
      <c r="AA46" s="4" t="n">
        <f aca="false">IF(AND(W46&gt;0,Z46&gt;0),(Z46/((W46+X46)*10)),"")</f>
        <v>0.0076219512195122</v>
      </c>
      <c r="AB46" s="1" t="n">
        <v>155</v>
      </c>
      <c r="AC46" s="1" t="n">
        <f aca="false">ROUND(AB46*1.6, 0)</f>
        <v>248</v>
      </c>
      <c r="AF46" s="1" t="n">
        <v>20.9</v>
      </c>
      <c r="AG46" s="1" t="n">
        <v>20.9</v>
      </c>
      <c r="AH46" s="1" t="n">
        <v>2.7</v>
      </c>
      <c r="AI46" s="1" t="n">
        <v>3.5</v>
      </c>
      <c r="AJ46" s="5" t="n">
        <v>39</v>
      </c>
      <c r="AK46" s="19" t="str">
        <f aca="false">CONCATENATE(VLOOKUP(AL46, 'Voxel Sizes'!$A$2:$B$18,2,FALSE()),"x",INT(AH46*15), "x", INT(AI46*15))</f>
        <v>198x40x52</v>
      </c>
      <c r="AL46" s="1" t="n">
        <f aca="false">ROUND(15*((AG46*10)/256),0)</f>
        <v>12</v>
      </c>
      <c r="AN46" s="1" t="str">
        <f aca="false">CONCATENATE(VLOOKUP(AL46,Constants!$A$2:$C$16,IF(AM46&lt;&gt;"", 3, 2), FALSE()),IF(AM46&lt;&gt;"",CONCATENATE(",",VLOOKUP(AM46,$B:$AN,38,FALSE())),""))</f>
        <v>4,4,4</v>
      </c>
      <c r="AR46" s="1" t="s">
        <v>335</v>
      </c>
      <c r="AT46" s="1" t="s">
        <v>183</v>
      </c>
      <c r="AU46" s="1" t="s">
        <v>327</v>
      </c>
      <c r="AX46" s="1" t="n">
        <v>12</v>
      </c>
      <c r="AY46" s="6" t="n">
        <f aca="false">IF(L46&lt;&gt;"",MAX(16,(L46-J46)+8),"")</f>
        <v>17</v>
      </c>
      <c r="AZ46" s="1" t="n">
        <v>-60</v>
      </c>
      <c r="BA46" s="1" t="n">
        <v>-65</v>
      </c>
      <c r="BB46" s="1" t="n">
        <f aca="false">MIN(AB46/150, 1)*30</f>
        <v>30</v>
      </c>
      <c r="BC46" s="1" t="n">
        <f aca="false">MIN(N46/4000, 1)*20</f>
        <v>0.05</v>
      </c>
      <c r="BD46" s="1" t="n">
        <f aca="false">MIN(Z46/400,1)*20</f>
        <v>0.25</v>
      </c>
      <c r="BE46" s="4" t="n">
        <f aca="false">1-(MAX(J46-1900, 0)/750)</f>
        <v>0.894666666666667</v>
      </c>
      <c r="BF46" s="1" t="n">
        <f aca="false">((MAX($M46,1)*MIN($AJ46/300,1)))*IF(G46="Wagon",50,10)</f>
        <v>2.6</v>
      </c>
      <c r="BG46" s="1" t="n">
        <f aca="false">VLOOKUP($H46,Constants!$I:$K, 2, FALSE())</f>
        <v>0.85</v>
      </c>
      <c r="BH46" s="1" t="n">
        <f aca="false">VLOOKUP($H46,Constants!$I:$K, 3, FALSE())*IF(AND(G46="multiple_unit",AB46&lt;110),0.75,1)</f>
        <v>2.3</v>
      </c>
      <c r="BI46" s="1" t="n">
        <f aca="false">INT(POWER(((Constants!$G$2+$BB46+$BC46+$BD46+$BF46)*$BE46)*$BH46, 1.05))+$BA46</f>
        <v>31</v>
      </c>
      <c r="BJ46" s="1" t="n">
        <f aca="false">INT(POWER((((Constants!$G$1+$BB46+$BC46+$BD46+$BF46)*($BE46))*$BG46),IF($G46="wagon",1,1.2)))+$AZ46</f>
        <v>14</v>
      </c>
      <c r="BK46" s="20" t="n">
        <f aca="false">BI46*IF($G46="wagon",62.5,781.25)</f>
        <v>24218.75</v>
      </c>
      <c r="BL46" s="20" t="n">
        <f aca="false">BJ46*IF($G46="wagon",2.73,81.25)</f>
        <v>1137.5</v>
      </c>
      <c r="BO46" s="1" t="n">
        <v>1</v>
      </c>
      <c r="BP46" s="1" t="n">
        <v>1</v>
      </c>
      <c r="BQ46" s="1" t="str">
        <f aca="false">_xlfn.ORG.LIBREOFFICE.REGEX(_xlfn.ORG.LIBREOFFICE.REGEX(APTMUVehicles, _xlfn.CONCAT(B46, ",?"), ""), ",$", "")</f>
        <v>apt_half_6,apt_half_6_rev,apt_powercar,apt_half_2,apt_q_dvt,apt_s_dm,apt_s_10,apt_s_6</v>
      </c>
      <c r="BT46" s="1" t="n">
        <v>8</v>
      </c>
      <c r="BU46" s="1" t="n">
        <v>185</v>
      </c>
      <c r="BX46" s="1" t="s">
        <v>95</v>
      </c>
      <c r="BY46" s="1" t="str">
        <f aca="false">VLOOKUP(J46,Eras!$A$2:$C$10, 2, TRUE())</f>
        <v>lbr</v>
      </c>
      <c r="BZ46" s="18" t="s">
        <v>226</v>
      </c>
      <c r="CA46" s="1" t="str">
        <f aca="false">CONCATENATE(BY46,"_",BZ46)</f>
        <v>lbr_EMU (Express)</v>
      </c>
      <c r="CB46" s="1" t="str">
        <f aca="false">_xlfn.CONCAT(H46, "_",I46)</f>
        <v>none_RAIL</v>
      </c>
      <c r="CC46" s="21" t="str">
        <f aca="false">_xlfn.CONCAT("{BLACK}Length: {GOLD}", TEXT(ROUNDUP(IF(AQ46&lt;&gt;"",SUM(VALUE(_xlfn.TEXTSPLIT(AQ46, ","))), SUM(VALUE(_xlfn.TEXTSPLIT(AN46, ",")))*IF(M46, M46, 1))/16, 1), "#,##0.0"), " tiles{}")</f>
        <v>{BLACK}Length: {GOLD}1.5 tiles{}</v>
      </c>
      <c r="CD46" s="1" t="str">
        <f aca="false">VLOOKUP($CB46, Constants!$M:$N, 2, FALSE())</f>
        <v/>
      </c>
      <c r="CE46" s="1" t="str">
        <f aca="false">IF(M46&gt;1,_xlfn.CONCAT("{BLACK}Cars: {GOLD}", M46),"")</f>
        <v>{BLACK}Cars: {GOLD}2</v>
      </c>
      <c r="CF46" s="1" t="s">
        <v>336</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{BLACK}Cars: {GOLD}2{}{BLACK}Length: {GOLD}1.5 tiles{}{SILVER}A minimal 2-car half-rake of APT-P Vehicles. Lack of dining facilities makes this much less attractive for passengers. This is the rear half of a formation.</v>
      </c>
      <c r="CI46" s="1"/>
      <c r="CJ46" s="1"/>
    </row>
    <row r="47" customFormat="false" ht="13.8" hidden="false" customHeight="false" outlineLevel="0" collapsed="false">
      <c r="A47" s="1" t="s">
        <v>337</v>
      </c>
      <c r="B47" s="1" t="s">
        <v>338</v>
      </c>
      <c r="C47" s="1" t="n">
        <v>374</v>
      </c>
      <c r="D47" s="1" t="n">
        <v>372</v>
      </c>
      <c r="E47" s="1" t="n">
        <v>376</v>
      </c>
      <c r="F47" s="1" t="s">
        <v>89</v>
      </c>
      <c r="G47" s="18" t="s">
        <v>147</v>
      </c>
      <c r="H47" s="1" t="s">
        <v>91</v>
      </c>
      <c r="I47" s="1" t="s">
        <v>92</v>
      </c>
      <c r="J47" s="1" t="n">
        <v>1979</v>
      </c>
      <c r="K47" s="1" t="n">
        <v>1986</v>
      </c>
      <c r="L47" s="1" t="n">
        <v>1988</v>
      </c>
      <c r="N47" s="1" t="n">
        <v>4000</v>
      </c>
      <c r="W47" s="1" t="n">
        <v>67.5</v>
      </c>
      <c r="Y47" s="1" t="n">
        <v>4</v>
      </c>
      <c r="Z47" s="1" t="n">
        <v>210</v>
      </c>
      <c r="AA47" s="4" t="n">
        <f aca="false">IF(AND(W47&gt;0,Z47&gt;0),(Z47/((W47+X47)*10)),"")</f>
        <v>0.311111111111111</v>
      </c>
      <c r="AB47" s="1" t="n">
        <v>155</v>
      </c>
      <c r="AC47" s="1" t="n">
        <f aca="false">ROUND(AB47*1.6, 0)</f>
        <v>248</v>
      </c>
      <c r="AF47" s="1" t="n">
        <v>20.9</v>
      </c>
      <c r="AG47" s="1" t="n">
        <v>20.9</v>
      </c>
      <c r="AH47" s="1" t="n">
        <v>2.7</v>
      </c>
      <c r="AI47" s="1" t="n">
        <v>3.5</v>
      </c>
      <c r="AJ47" s="5" t="n">
        <v>0</v>
      </c>
      <c r="AK47" s="19" t="str">
        <f aca="false">CONCATENATE(VLOOKUP(AL47, 'Voxel Sizes'!$A$2:$B$18,2,FALSE()),"x",INT(AH47*15), "x", INT(AI47*15))</f>
        <v>198x40x52</v>
      </c>
      <c r="AL47" s="1" t="n">
        <f aca="false">ROUND(15*((AG47*10)/256),0)</f>
        <v>12</v>
      </c>
      <c r="AN47" s="1" t="str">
        <f aca="false">CONCATENATE(VLOOKUP(AL47,Constants!$A$2:$C$16,IF(AM47&lt;&gt;"", 3, 2), FALSE()),IF(AM47&lt;&gt;"",CONCATENATE(",",VLOOKUP(AM47,$B:$AN,38,FALSE())),""))</f>
        <v>4,4,4</v>
      </c>
      <c r="AX47" s="1" t="n">
        <v>12</v>
      </c>
      <c r="AY47" s="6" t="n">
        <f aca="false">IF(L47&lt;&gt;"",MAX(16,(L47-J47)+8),"")</f>
        <v>17</v>
      </c>
      <c r="AZ47" s="1" t="n">
        <v>25</v>
      </c>
      <c r="BA47" s="1" t="n">
        <v>-90</v>
      </c>
      <c r="BB47" s="1" t="n">
        <f aca="false">MIN(AB47/150, 1)*30</f>
        <v>30</v>
      </c>
      <c r="BC47" s="1" t="n">
        <f aca="false">MIN(N47/4000, 1)*20</f>
        <v>20</v>
      </c>
      <c r="BD47" s="1" t="n">
        <f aca="false">MIN(Z47/400,1)*20</f>
        <v>10.5</v>
      </c>
      <c r="BE47" s="4" t="n">
        <f aca="false">1-(MAX(J47-1900, 0)/750)</f>
        <v>0.894666666666667</v>
      </c>
      <c r="BF47" s="1" t="n">
        <f aca="false">((MAX($M47,1)*MIN($AJ47/300,1)))*IF(G47="Wagon",50,10)</f>
        <v>0</v>
      </c>
      <c r="BG47" s="1" t="n">
        <f aca="false">VLOOKUP($H47,Constants!$I:$K, 2, FALSE())</f>
        <v>0.85</v>
      </c>
      <c r="BH47" s="1" t="n">
        <f aca="false">VLOOKUP($H47,Constants!$I:$K, 3, FALSE())*IF(AND(G47="multiple_unit",AB47&lt;110),0.75,1)</f>
        <v>2.3</v>
      </c>
      <c r="BI47" s="1" t="n">
        <f aca="false">INT(POWER(((Constants!$G$2+$BB47+$BC47+$BD47+$BF47)*$BE47)*$BH47, 1.05))+$BA47</f>
        <v>82</v>
      </c>
      <c r="BJ47" s="1" t="n">
        <f aca="false">INT(POWER((((Constants!$G$1+$BB47+$BC47+$BD47+$BF47)*($BE47))*$BG47),IF($G47="wagon",1,1.2)))+$AZ47</f>
        <v>154</v>
      </c>
      <c r="BK47" s="20" t="n">
        <f aca="false">BI47*IF($G47="wagon",62.5,781.25)</f>
        <v>64062.5</v>
      </c>
      <c r="BL47" s="20" t="n">
        <f aca="false">BJ47*IF($G47="wagon",2.73,81.25)</f>
        <v>12512.5</v>
      </c>
      <c r="BM47" s="1" t="n">
        <v>2</v>
      </c>
      <c r="BO47" s="1" t="n">
        <v>1</v>
      </c>
      <c r="BP47" s="1" t="n">
        <v>1</v>
      </c>
      <c r="BQ47" s="1" t="str">
        <f aca="false">_xlfn.ORG.LIBREOFFICE.REGEX(_xlfn.ORG.LIBREOFFICE.REGEX(APTMUVehicles, _xlfn.CONCAT(B47, ",?"), ""), ",$", "")</f>
        <v>apt_half_6,apt_half_6_rev,apt_half_2,apt_half_2_rev,apt_q_dvt,apt_s_dm,apt_s_10,apt_s_6</v>
      </c>
      <c r="BT47" s="1" t="n">
        <v>8</v>
      </c>
      <c r="BY47" s="1" t="str">
        <f aca="false">VLOOKUP(J47,Eras!$A$2:$C$10, 2, TRUE())</f>
        <v>lbr</v>
      </c>
      <c r="BZ47" s="18" t="s">
        <v>226</v>
      </c>
      <c r="CA47" s="1" t="str">
        <f aca="false">CONCATENATE(BY47,"_",BZ47)</f>
        <v>lbr_EMU (Express)</v>
      </c>
      <c r="CB47" s="1" t="str">
        <f aca="false">_xlfn.CONCAT(H47, "_",I47)</f>
        <v>electric_ELRL</v>
      </c>
      <c r="CC47" s="21" t="str">
        <f aca="false">_xlfn.CONCAT("{BLACK}Length: {GOLD}", TEXT(ROUNDUP(IF(AQ47&lt;&gt;"",SUM(VALUE(_xlfn.TEXTSPLIT(AQ47, ","))), SUM(VALUE(_xlfn.TEXTSPLIT(AN47, ",")))*IF(M47, M47, 1))/16, 1), "#,##0.0"), " tiles{}")</f>
        <v>{BLACK}Length: {GOLD}0.8 tiles{}</v>
      </c>
      <c r="CD47" s="1" t="str">
        <f aca="false">VLOOKUP($CB47, Constants!$M:$N, 2, FALSE())</f>
        <v>{BLACK}Powered by: {GOLD}25kV AC</v>
      </c>
      <c r="CE47" s="1" t="str">
        <f aca="false">IF(M47&gt;1,_xlfn.CONCAT("{BLACK}Cars: {GOLD}", M47),"")</f>
        <v/>
      </c>
      <c r="CF47" s="1" t="s">
        <v>339</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{GOLD}25kV AC {}{BLACK}Length: {GOLD}0.8 tiles{}{SILVER}An APT-P centre power car</v>
      </c>
      <c r="CI47" s="1"/>
      <c r="CJ47" s="1"/>
    </row>
    <row r="48" customFormat="false" ht="13.8" hidden="false" customHeight="false" outlineLevel="0" collapsed="false">
      <c r="A48" s="18" t="s">
        <v>340</v>
      </c>
      <c r="B48" s="18" t="s">
        <v>341</v>
      </c>
      <c r="C48" s="18" t="n">
        <v>380</v>
      </c>
      <c r="D48" s="18" t="n">
        <v>382</v>
      </c>
      <c r="E48" s="18" t="n">
        <v>382</v>
      </c>
      <c r="F48" s="18" t="s">
        <v>89</v>
      </c>
      <c r="G48" s="18" t="s">
        <v>147</v>
      </c>
      <c r="H48" s="18" t="s">
        <v>91</v>
      </c>
      <c r="I48" s="18" t="s">
        <v>92</v>
      </c>
      <c r="J48" s="18" t="n">
        <v>1986</v>
      </c>
      <c r="K48" s="18" t="n">
        <v>1991</v>
      </c>
      <c r="L48" s="18" t="n">
        <v>1994</v>
      </c>
      <c r="M48" s="18"/>
      <c r="N48" s="18" t="n">
        <v>4000</v>
      </c>
      <c r="W48" s="1" t="n">
        <v>76.8</v>
      </c>
      <c r="Y48" s="1" t="n">
        <v>4</v>
      </c>
      <c r="Z48" s="1" t="n">
        <v>210</v>
      </c>
      <c r="AA48" s="4" t="n">
        <f aca="false">IF(AND(W48&gt;0,Z48&gt;0),(Z48/((W48+X48)*10)),"")</f>
        <v>0.2734375</v>
      </c>
      <c r="AB48" s="1" t="n">
        <v>140</v>
      </c>
      <c r="AC48" s="1" t="n">
        <f aca="false">ROUND(AB48*1.6, 0)</f>
        <v>224</v>
      </c>
      <c r="AF48" s="1" t="n">
        <v>22</v>
      </c>
      <c r="AG48" s="1" t="n">
        <v>22</v>
      </c>
      <c r="AH48" s="1" t="n">
        <v>2.7</v>
      </c>
      <c r="AI48" s="1" t="n">
        <v>3.5</v>
      </c>
      <c r="AJ48" s="5" t="n">
        <v>0</v>
      </c>
      <c r="AK48" s="19" t="str">
        <f aca="false">CONCATENATE(VLOOKUP(AL48, 'Voxel Sizes'!$A$2:$B$18,2,FALSE()),"x",INT(AH48*15), "x", INT(AI48*15))</f>
        <v>214x40x52</v>
      </c>
      <c r="AL48" s="1" t="n">
        <f aca="false">ROUND(15*((AG48*10)/256),0)</f>
        <v>13</v>
      </c>
      <c r="AN48" s="1" t="str">
        <f aca="false">CONCATENATE(VLOOKUP(AL48,Constants!$A$2:$C$16,IF(AM48&lt;&gt;"", 3, 2), FALSE()),IF(AM48&lt;&gt;"",CONCATENATE(",",VLOOKUP(AM48,$B:$AN,38,FALSE())),""))</f>
        <v>4,5,4</v>
      </c>
      <c r="AX48" s="1" t="n">
        <v>20</v>
      </c>
      <c r="AY48" s="6" t="n">
        <f aca="false">IF(L48&lt;&gt;"",MAX(16,(L48-J48)+8),"")</f>
        <v>16</v>
      </c>
      <c r="AZ48" s="1" t="n">
        <v>-35</v>
      </c>
      <c r="BA48" s="1" t="n">
        <v>-60</v>
      </c>
      <c r="BB48" s="1" t="n">
        <f aca="false">MIN(AB48/150, 1)*30</f>
        <v>28</v>
      </c>
      <c r="BC48" s="1" t="n">
        <f aca="false">MIN(N48/4000, 1)*20</f>
        <v>20</v>
      </c>
      <c r="BD48" s="1" t="n">
        <f aca="false">MIN(Z48/400,1)*20</f>
        <v>10.5</v>
      </c>
      <c r="BE48" s="4" t="n">
        <f aca="false">1-(MAX(J48-1900, 0)/750)</f>
        <v>0.885333333333333</v>
      </c>
      <c r="BF48" s="1" t="n">
        <f aca="false">((MAX($M48,1)*MIN($AJ48/300,1)))*IF(G48="Wagon",50,10)</f>
        <v>0</v>
      </c>
      <c r="BG48" s="1" t="n">
        <f aca="false">VLOOKUP($H48,Constants!$I:$K, 2, FALSE())</f>
        <v>0.85</v>
      </c>
      <c r="BH48" s="1" t="n">
        <f aca="false">VLOOKUP($H48,Constants!$I:$K, 3, FALSE())*IF(AND(G48="multiple_unit",AB48&lt;110),0.75,1)</f>
        <v>2.3</v>
      </c>
      <c r="BI48" s="1" t="n">
        <f aca="false">INT(POWER(((Constants!$G$2+$BB48+$BC48+$BD48+$BF48)*$BE48)*$BH48, 1.05))+$BA48</f>
        <v>104</v>
      </c>
      <c r="BJ48" s="1" t="n">
        <f aca="false">INT(POWER((((Constants!$G$1+$BB48+$BC48+$BD48+$BF48)*($BE48))*$BG48),IF($G48="wagon",1,1.2)))+$AZ48</f>
        <v>88</v>
      </c>
      <c r="BK48" s="20" t="n">
        <f aca="false">BI48*IF($G48="wagon",62.5,781.25)</f>
        <v>81250</v>
      </c>
      <c r="BL48" s="20" t="n">
        <f aca="false">BJ48*IF($G48="wagon",2.73,81.25)</f>
        <v>7150</v>
      </c>
      <c r="BM48" s="1" t="n">
        <v>1</v>
      </c>
      <c r="BN48" s="1" t="n">
        <v>1</v>
      </c>
      <c r="BP48" s="1" t="n">
        <v>1</v>
      </c>
      <c r="BQ48" s="1" t="str">
        <f aca="false">_xlfn.ORG.LIBREOFFICE.REGEX(_xlfn.ORG.LIBREOFFICE.REGEX(APTMUVehicles, _xlfn.CONCAT(B48, ",?"), ""), ",$", "")</f>
        <v>apt_half_6,apt_half_6_rev,apt_powercar,apt_half_2,apt_half_2_rev,apt_q_dvt,apt_s_10,apt_s_6</v>
      </c>
      <c r="BS48" s="1" t="s">
        <v>289</v>
      </c>
      <c r="BT48" s="1" t="n">
        <v>7</v>
      </c>
      <c r="BY48" s="1" t="str">
        <f aca="false">VLOOKUP(J48,Eras!$A$2:$C$10, 2, TRUE())</f>
        <v>lbr</v>
      </c>
      <c r="BZ48" s="18" t="s">
        <v>342</v>
      </c>
      <c r="CA48" s="1" t="str">
        <f aca="false">CONCATENATE(BY48,"_",BZ48)</f>
        <v>lbr_Express (Electric)</v>
      </c>
      <c r="CB48" s="1" t="str">
        <f aca="false">_xlfn.CONCAT(H48, "_",I48)</f>
        <v>electric_ELRL</v>
      </c>
      <c r="CC48" s="21" t="s">
        <v>343</v>
      </c>
      <c r="CD48" s="1" t="str">
        <f aca="false">VLOOKUP($CB48, Constants!$M:$N, 2, FALSE())</f>
        <v>{BLACK}Powered by: {GOLD}25kV AC</v>
      </c>
      <c r="CE48" s="1" t="str">
        <f aca="false">IF(M48&gt;1,_xlfn.CONCAT("{BLACK}Cars: {GOLD}", M48),"")</f>
        <v/>
      </c>
      <c r="CF48" s="1" t="s">
        <v>344</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
      </c>
      <c r="CH48" s="1" t="str">
        <f aca="false">_xlfn.CONCAT(CD48,IF(CD48 &lt;&gt; "", " ", ""),CE48,IF(OR(CE48&lt;&gt;"", CD48&lt;&gt;""), "{}",""), CC48, CG48,"{SILVER}", CF48)</f>
        <v>{BLACK}Powered by: {GOLD}25kV AC {}{BLACK}Length: {GOLD}0.8 tiles{}{SILVER}The APT-S was a rework of the APT concept towards more conventional rolling stock, with a driving motor car, articulated trailers and a DVT.</v>
      </c>
      <c r="CI48" s="1"/>
      <c r="CJ48" s="1"/>
    </row>
    <row r="49" customFormat="false" ht="13.8" hidden="false" customHeight="false" outlineLevel="0" collapsed="false">
      <c r="A49" s="18" t="s">
        <v>345</v>
      </c>
      <c r="B49" s="18" t="s">
        <v>346</v>
      </c>
      <c r="C49" s="18" t="n">
        <v>382</v>
      </c>
      <c r="E49" s="18" t="n">
        <v>384</v>
      </c>
      <c r="F49" s="18" t="s">
        <v>89</v>
      </c>
      <c r="G49" s="18" t="s">
        <v>147</v>
      </c>
      <c r="H49" s="18" t="s">
        <v>316</v>
      </c>
      <c r="I49" s="18" t="s">
        <v>153</v>
      </c>
      <c r="J49" s="18" t="n">
        <v>1986</v>
      </c>
      <c r="K49" s="18" t="n">
        <v>1991</v>
      </c>
      <c r="L49" s="18" t="n">
        <v>1994</v>
      </c>
      <c r="M49" s="18"/>
      <c r="N49" s="18" t="n">
        <v>100</v>
      </c>
      <c r="W49" s="1" t="n">
        <v>38.4</v>
      </c>
      <c r="Y49" s="1" t="n">
        <v>4</v>
      </c>
      <c r="Z49" s="1" t="n">
        <v>5</v>
      </c>
      <c r="AA49" s="4" t="n">
        <f aca="false">IF(AND(W49&gt;0,Z49&gt;0),(Z49/((W49+X49)*10)),"")</f>
        <v>0.0130208333333333</v>
      </c>
      <c r="AB49" s="1" t="n">
        <v>140</v>
      </c>
      <c r="AC49" s="1" t="n">
        <f aca="false">ROUND(AB49*1.6, 0)</f>
        <v>224</v>
      </c>
      <c r="AF49" s="1" t="n">
        <v>22</v>
      </c>
      <c r="AG49" s="1" t="n">
        <v>22</v>
      </c>
      <c r="AH49" s="1" t="n">
        <v>2.7</v>
      </c>
      <c r="AI49" s="1" t="n">
        <v>3.5</v>
      </c>
      <c r="AJ49" s="5" t="n">
        <v>36</v>
      </c>
      <c r="AK49" s="19" t="str">
        <f aca="false">CONCATENATE(VLOOKUP(AL49, 'Voxel Sizes'!$A$2:$B$18,2,FALSE()),"x",INT(AH49*15), "x", INT(AI49*15))</f>
        <v>214x40x52</v>
      </c>
      <c r="AL49" s="1" t="n">
        <f aca="false">ROUND(15*((AG49*10)/256),0)</f>
        <v>13</v>
      </c>
      <c r="AN49" s="1" t="str">
        <f aca="false">CONCATENATE(VLOOKUP(AL49,Constants!$A$2:$C$16,IF(AM49&lt;&gt;"", 3, 2), FALSE()),IF(AM49&lt;&gt;"",CONCATENATE(",",VLOOKUP(AM49,$B:$AN,38,FALSE())),""))</f>
        <v>4,5,4</v>
      </c>
      <c r="AX49" s="1" t="n">
        <v>20</v>
      </c>
      <c r="AY49" s="6" t="n">
        <f aca="false">IF(L49&lt;&gt;"",MAX(16,(L49-J49)+8),"")</f>
        <v>16</v>
      </c>
      <c r="AZ49" s="1" t="n">
        <v>-35</v>
      </c>
      <c r="BA49" s="1" t="n">
        <v>-60</v>
      </c>
      <c r="BB49" s="1" t="n">
        <f aca="false">MIN(AB49/150, 1)*30</f>
        <v>28</v>
      </c>
      <c r="BC49" s="1" t="n">
        <f aca="false">MIN(N49/4000, 1)*20</f>
        <v>0.5</v>
      </c>
      <c r="BD49" s="1" t="n">
        <f aca="false">MIN(Z49/400,1)*20</f>
        <v>0.25</v>
      </c>
      <c r="BE49" s="4" t="n">
        <f aca="false">1-(MAX(J49-1900, 0)/750)</f>
        <v>0.885333333333333</v>
      </c>
      <c r="BF49" s="1" t="n">
        <f aca="false">((MAX($M49,1)*MIN($AJ49/300,1)))*IF(G49="Wagon",50,10)</f>
        <v>1.2</v>
      </c>
      <c r="BG49" s="1" t="n">
        <f aca="false">VLOOKUP($H49,Constants!$I:$K, 2, FALSE())</f>
        <v>0.85</v>
      </c>
      <c r="BH49" s="1" t="n">
        <f aca="false">VLOOKUP($H49,Constants!$I:$K, 3, FALSE())*IF(AND(G49="multiple_unit",AB49&lt;110),0.75,1)</f>
        <v>2.3</v>
      </c>
      <c r="BI49" s="1" t="n">
        <f aca="false">INT(POWER(((Constants!$G$2+$BB49+$BC49+$BD49+$BF49)*$BE49)*$BH49, 1.05))+$BA49</f>
        <v>28</v>
      </c>
      <c r="BJ49" s="1" t="n">
        <f aca="false">INT(POWER((((Constants!$G$1+$BB49+$BC49+$BD49+$BF49)*($BE49))*$BG49),IF($G49="wagon",1,1.2)))+$AZ49</f>
        <v>33</v>
      </c>
      <c r="BK49" s="20" t="n">
        <f aca="false">BI49*IF($G49="wagon",62.5,781.25)</f>
        <v>21875</v>
      </c>
      <c r="BL49" s="20" t="n">
        <f aca="false">BJ49*IF($G49="wagon",2.73,81.25)</f>
        <v>2681.25</v>
      </c>
      <c r="BM49" s="1" t="n">
        <v>1</v>
      </c>
      <c r="BN49" s="1" t="n">
        <v>1</v>
      </c>
      <c r="BP49" s="1" t="n">
        <v>1</v>
      </c>
      <c r="BQ49" s="1" t="str">
        <f aca="false">_xlfn.ORG.LIBREOFFICE.REGEX(_xlfn.ORG.LIBREOFFICE.REGEX(APTMUVehicles, _xlfn.CONCAT(B49, ",?"), ""), ",$", "")</f>
        <v>apt_half_6,apt_half_6_rev,apt_powercar,apt_half_2,apt_half_2_rev,apt_s_dm,apt_s_10,apt_s_6</v>
      </c>
      <c r="BS49" s="1" t="s">
        <v>289</v>
      </c>
      <c r="BT49" s="1" t="n">
        <v>7</v>
      </c>
      <c r="BU49" s="1" t="n">
        <v>185</v>
      </c>
      <c r="BX49" s="1" t="s">
        <v>148</v>
      </c>
      <c r="BY49" s="1" t="str">
        <f aca="false">VLOOKUP(J49,Eras!$A$2:$C$10, 2, TRUE())</f>
        <v>lbr</v>
      </c>
      <c r="BZ49" s="18" t="s">
        <v>342</v>
      </c>
      <c r="CA49" s="1" t="str">
        <f aca="false">CONCATENATE(BY49,"_",BZ49)</f>
        <v>lbr_Express (Electric)</v>
      </c>
      <c r="CB49" s="1" t="str">
        <f aca="false">_xlfn.CONCAT(H49, "_",I49)</f>
        <v>none_RAIL</v>
      </c>
      <c r="CC49" s="21" t="s">
        <v>343</v>
      </c>
      <c r="CD49" s="1" t="str">
        <f aca="false">VLOOKUP($CB49, Constants!$M:$N, 2, FALSE())</f>
        <v/>
      </c>
      <c r="CE49" s="1" t="str">
        <f aca="false">IF(M49&gt;1,_xlfn.CONCAT("{BLACK}Cars: {GOLD}", M49),"")</f>
        <v/>
      </c>
      <c r="CF49" s="1" t="s">
        <v>347</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
      </c>
      <c r="CH49" s="1" t="str">
        <f aca="false">_xlfn.CONCAT(CD49,IF(CD49 &lt;&gt; "", " ", ""),CE49,IF(OR(CE49&lt;&gt;"", CD49&lt;&gt;""), "{}",""), CC49, CG49,"{SILVER}", CF49)</f>
        <v>{BLACK}Length: {GOLD}0.8 tiles{}{SILVER}The APT-Q was proposed to rationalise existing APT-P stock into usable 6-car tains, with a single non-driving power car and a new-build DVT.</v>
      </c>
      <c r="CI49" s="1"/>
      <c r="CJ49" s="1"/>
    </row>
    <row r="50" customFormat="false" ht="13.8" hidden="false" customHeight="false" outlineLevel="0" collapsed="false">
      <c r="A50" s="1" t="s">
        <v>348</v>
      </c>
      <c r="B50" s="1" t="s">
        <v>349</v>
      </c>
      <c r="C50" s="1" t="n">
        <v>384</v>
      </c>
      <c r="D50" s="1" t="n">
        <v>386</v>
      </c>
      <c r="E50" s="1" t="n">
        <v>386</v>
      </c>
      <c r="F50" s="1" t="s">
        <v>89</v>
      </c>
      <c r="G50" s="1" t="s">
        <v>324</v>
      </c>
      <c r="H50" s="1" t="s">
        <v>316</v>
      </c>
      <c r="I50" s="1" t="s">
        <v>153</v>
      </c>
      <c r="J50" s="1" t="n">
        <v>1986</v>
      </c>
      <c r="K50" s="1" t="n">
        <v>1991</v>
      </c>
      <c r="L50" s="1" t="n">
        <v>1994</v>
      </c>
      <c r="M50" s="1" t="n">
        <v>10</v>
      </c>
      <c r="N50" s="1" t="n">
        <v>10</v>
      </c>
      <c r="W50" s="18" t="n">
        <v>258.2</v>
      </c>
      <c r="Y50" s="1" t="n">
        <v>4</v>
      </c>
      <c r="Z50" s="1" t="n">
        <v>5</v>
      </c>
      <c r="AA50" s="4" t="n">
        <f aca="false">IF(AND(W50&gt;0,Z50&gt;0),(Z50/((W50+X50)*10)),"")</f>
        <v>0.00193648334624322</v>
      </c>
      <c r="AB50" s="1" t="n">
        <v>140</v>
      </c>
      <c r="AC50" s="1" t="n">
        <f aca="false">ROUND(AB50*1.6, 0)</f>
        <v>224</v>
      </c>
      <c r="AF50" s="1" t="n">
        <v>20.9</v>
      </c>
      <c r="AG50" s="1" t="n">
        <v>20.9</v>
      </c>
      <c r="AH50" s="1" t="n">
        <v>2.7</v>
      </c>
      <c r="AI50" s="1" t="n">
        <v>3.5</v>
      </c>
      <c r="AJ50" s="5" t="n">
        <v>49</v>
      </c>
      <c r="AK50" s="19" t="str">
        <f aca="false">CONCATENATE(VLOOKUP(AL50, 'Voxel Sizes'!$A$2:$B$18,2,FALSE()),"x",INT(AH50*15), "x", INT(AI50*15))</f>
        <v>198x40x52</v>
      </c>
      <c r="AL50" s="1" t="n">
        <f aca="false">ROUND(15*((AG50*10)/256),0)</f>
        <v>12</v>
      </c>
      <c r="AN50" s="1" t="str">
        <f aca="false">CONCATENATE(VLOOKUP(AL50,Constants!$A$2:$C$16,IF(AM50&lt;&gt;"", 3, 2), FALSE()),IF(AM50&lt;&gt;"",CONCATENATE(",",VLOOKUP(AM50,$B:$AN,38,FALSE())),""))</f>
        <v>4,4,4</v>
      </c>
      <c r="AR50" s="1" t="s">
        <v>350</v>
      </c>
      <c r="AT50" s="1" t="s">
        <v>351</v>
      </c>
      <c r="AU50" s="1" t="s">
        <v>352</v>
      </c>
      <c r="AX50" s="1" t="n">
        <v>20</v>
      </c>
      <c r="AY50" s="6" t="n">
        <f aca="false">IF(L50&lt;&gt;"",MAX(16,(L50-J50)+8),"")</f>
        <v>16</v>
      </c>
      <c r="AZ50" s="1" t="n">
        <v>-45</v>
      </c>
      <c r="BA50" s="1" t="n">
        <v>-65</v>
      </c>
      <c r="BB50" s="1" t="n">
        <f aca="false">MIN(AB50/150, 1)*30</f>
        <v>28</v>
      </c>
      <c r="BC50" s="1" t="n">
        <f aca="false">MIN(N50/4000, 1)*20</f>
        <v>0.05</v>
      </c>
      <c r="BD50" s="1" t="n">
        <f aca="false">MIN(Z50/400,1)*20</f>
        <v>0.25</v>
      </c>
      <c r="BE50" s="4" t="n">
        <f aca="false">1-(MAX(J50-1900, 0)/750)</f>
        <v>0.885333333333333</v>
      </c>
      <c r="BF50" s="1" t="n">
        <f aca="false">((MAX($M50,1)*MIN($AJ50/300,1)))*IF(G50="Wagon",50,10)</f>
        <v>16.3333333333333</v>
      </c>
      <c r="BG50" s="1" t="n">
        <f aca="false">VLOOKUP($H50,Constants!$I:$K, 2, FALSE())</f>
        <v>0.85</v>
      </c>
      <c r="BH50" s="1" t="n">
        <f aca="false">VLOOKUP($H50,Constants!$I:$K, 3, FALSE())*IF(AND(G50="multiple_unit",AB50&lt;110),0.75,1)</f>
        <v>2.3</v>
      </c>
      <c r="BI50" s="1" t="n">
        <f aca="false">INT(POWER(((Constants!$G$2+$BB50+$BC50+$BD50+$BF50)*$BE50)*$BH50, 1.05))+$BA50</f>
        <v>62</v>
      </c>
      <c r="BJ50" s="1" t="n">
        <f aca="false">INT(POWER((((Constants!$G$1+$BB50+$BC50+$BD50+$BF50)*($BE50))*$BG50),IF($G50="wagon",1,1.2)))+$AZ50</f>
        <v>51</v>
      </c>
      <c r="BK50" s="20" t="n">
        <f aca="false">BI50*IF($G50="wagon",62.5,781.25)</f>
        <v>48437.5</v>
      </c>
      <c r="BL50" s="20" t="n">
        <f aca="false">BJ50*IF($G50="wagon",2.73,81.25)</f>
        <v>4143.75</v>
      </c>
      <c r="BO50" s="1" t="n">
        <v>1</v>
      </c>
      <c r="BP50" s="1" t="n">
        <v>1</v>
      </c>
      <c r="BQ50" s="1" t="str">
        <f aca="false">_xlfn.ORG.LIBREOFFICE.REGEX(_xlfn.ORG.LIBREOFFICE.REGEX(APTMUVehicles, _xlfn.CONCAT(B50, ",?"), ""), ",$", "")</f>
        <v>apt_half_6,apt_half_6_rev,apt_powercar,apt_half_2,apt_half_2_rev,apt_q_dvt,apt_s_dm,apt_s_6</v>
      </c>
      <c r="BS50" s="18" t="s">
        <v>353</v>
      </c>
      <c r="BT50" s="1" t="n">
        <v>7</v>
      </c>
      <c r="BU50" s="1" t="n">
        <v>222</v>
      </c>
      <c r="BX50" s="1" t="s">
        <v>95</v>
      </c>
      <c r="BY50" s="1" t="str">
        <f aca="false">VLOOKUP(J50,Eras!$A$2:$C$10, 2, TRUE())</f>
        <v>lbr</v>
      </c>
      <c r="BZ50" s="18" t="s">
        <v>226</v>
      </c>
      <c r="CA50" s="1" t="str">
        <f aca="false">CONCATENATE(BY50,"_",BZ50)</f>
        <v>lbr_EMU (Express)</v>
      </c>
      <c r="CB50" s="1" t="str">
        <f aca="false">_xlfn.CONCAT(H50, "_",I50)</f>
        <v>none_RAIL</v>
      </c>
      <c r="CC50" s="21" t="s">
        <v>343</v>
      </c>
      <c r="CD50" s="1" t="str">
        <f aca="false">VLOOKUP($CB50, Constants!$M:$N, 2, FALSE())</f>
        <v/>
      </c>
      <c r="CE50" s="1" t="str">
        <f aca="false">IF(M50&gt;1,_xlfn.CONCAT("{BLACK}Cars: {GOLD}", M50),"")</f>
        <v>{BLACK}Cars: {GOLD}10</v>
      </c>
      <c r="CF50" s="1" t="s">
        <v>354</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{YELLOW}20% bonus for long distance travel{}</v>
      </c>
      <c r="CH50" s="1" t="str">
        <f aca="false">_xlfn.CONCAT(CD50,IF(CD50 &lt;&gt; "", " ", ""),CE50,IF(OR(CE50&lt;&gt;"", CD50&lt;&gt;""), "{}",""), CC50, CG50,"{SILVER}", CF50)</f>
        <v>{BLACK}Cars: {GOLD}10{}{BLACK}Length: {GOLD}0.8 tiles{}{YELLOW}20% bonus for long distance travel{}{SILVER}An articulated trailer rake of APT-S Vehicles, intended to run with a Driving Motor and a DVT but also usable in other weird combinations.</v>
      </c>
      <c r="CI50" s="1"/>
      <c r="CJ50" s="1"/>
    </row>
    <row r="51" customFormat="false" ht="13.8" hidden="false" customHeight="false" outlineLevel="0" collapsed="false">
      <c r="A51" s="1" t="s">
        <v>355</v>
      </c>
      <c r="B51" s="1" t="s">
        <v>356</v>
      </c>
      <c r="C51" s="1" t="n">
        <v>386</v>
      </c>
      <c r="E51" s="1" t="n">
        <v>388</v>
      </c>
      <c r="F51" s="1" t="s">
        <v>89</v>
      </c>
      <c r="G51" s="1" t="s">
        <v>324</v>
      </c>
      <c r="H51" s="1" t="s">
        <v>316</v>
      </c>
      <c r="I51" s="1" t="s">
        <v>153</v>
      </c>
      <c r="J51" s="1" t="n">
        <v>1986</v>
      </c>
      <c r="K51" s="1" t="n">
        <v>1991</v>
      </c>
      <c r="L51" s="1" t="n">
        <v>1994</v>
      </c>
      <c r="M51" s="1" t="n">
        <v>6</v>
      </c>
      <c r="N51" s="1" t="n">
        <v>10</v>
      </c>
      <c r="W51" s="1" t="n">
        <v>209.6</v>
      </c>
      <c r="Y51" s="1" t="n">
        <v>4</v>
      </c>
      <c r="Z51" s="1" t="n">
        <v>5</v>
      </c>
      <c r="AA51" s="4" t="n">
        <f aca="false">IF(AND(W51&gt;0,Z51&gt;0),(Z51/((W51+X51)*10)),"")</f>
        <v>0.00238549618320611</v>
      </c>
      <c r="AB51" s="1" t="n">
        <v>140</v>
      </c>
      <c r="AC51" s="1" t="n">
        <f aca="false">ROUND(AB51*1.6, 0)</f>
        <v>224</v>
      </c>
      <c r="AF51" s="1" t="n">
        <v>20.9</v>
      </c>
      <c r="AG51" s="1" t="n">
        <v>20.9</v>
      </c>
      <c r="AH51" s="1" t="n">
        <v>2.7</v>
      </c>
      <c r="AI51" s="1" t="n">
        <v>3.5</v>
      </c>
      <c r="AJ51" s="5" t="n">
        <v>50</v>
      </c>
      <c r="AK51" s="19" t="str">
        <f aca="false">CONCATENATE(VLOOKUP(AL51, 'Voxel Sizes'!$A$2:$B$18,2,FALSE()),"x",INT(AH51*15), "x", INT(AI51*15))</f>
        <v>198x40x52</v>
      </c>
      <c r="AL51" s="1" t="n">
        <f aca="false">ROUND(15*((AG51*10)/256),0)</f>
        <v>12</v>
      </c>
      <c r="AN51" s="1" t="str">
        <f aca="false">CONCATENATE(VLOOKUP(AL51,Constants!$A$2:$C$16,IF(AM51&lt;&gt;"", 3, 2), FALSE()),IF(AM51&lt;&gt;"",CONCATENATE(",",VLOOKUP(AM51,$B:$AN,38,FALSE())),""))</f>
        <v>4,4,4</v>
      </c>
      <c r="AR51" s="1" t="s">
        <v>357</v>
      </c>
      <c r="AT51" s="1" t="s">
        <v>135</v>
      </c>
      <c r="AU51" s="1" t="s">
        <v>352</v>
      </c>
      <c r="AX51" s="1" t="n">
        <v>20</v>
      </c>
      <c r="AY51" s="6" t="n">
        <f aca="false">IF(L51&lt;&gt;"",MAX(16,(L51-J51)+8),"")</f>
        <v>16</v>
      </c>
      <c r="AZ51" s="1" t="n">
        <v>-45</v>
      </c>
      <c r="BA51" s="1" t="n">
        <v>-65</v>
      </c>
      <c r="BB51" s="1" t="n">
        <f aca="false">MIN(AB51/150, 1)*30</f>
        <v>28</v>
      </c>
      <c r="BC51" s="1" t="n">
        <f aca="false">MIN(N51/4000, 1)*20</f>
        <v>0.05</v>
      </c>
      <c r="BD51" s="1" t="n">
        <f aca="false">MIN(Z51/400,1)*20</f>
        <v>0.25</v>
      </c>
      <c r="BE51" s="4" t="n">
        <f aca="false">1-(MAX(J51-1900, 0)/750)</f>
        <v>0.885333333333333</v>
      </c>
      <c r="BF51" s="1" t="n">
        <f aca="false">((MAX($M51,1)*MIN($AJ51/300,1)))*IF(G51="Wagon",50,10)</f>
        <v>10</v>
      </c>
      <c r="BG51" s="1" t="n">
        <f aca="false">VLOOKUP($H51,Constants!$I:$K, 2, FALSE())</f>
        <v>0.85</v>
      </c>
      <c r="BH51" s="1" t="n">
        <f aca="false">VLOOKUP($H51,Constants!$I:$K, 3, FALSE())*IF(AND(G51="multiple_unit",AB51&lt;110),0.75,1)</f>
        <v>2.3</v>
      </c>
      <c r="BI51" s="1" t="n">
        <f aca="false">INT(POWER(((Constants!$G$2+$BB51+$BC51+$BD51+$BF51)*$BE51)*$BH51, 1.05))+$BA51</f>
        <v>45</v>
      </c>
      <c r="BJ51" s="1" t="n">
        <f aca="false">INT(POWER((((Constants!$G$1+$BB51+$BC51+$BD51+$BF51)*($BE51))*$BG51),IF($G51="wagon",1,1.2)))+$AZ51</f>
        <v>38</v>
      </c>
      <c r="BK51" s="20" t="n">
        <f aca="false">BI51*IF($G51="wagon",62.5,781.25)</f>
        <v>35156.25</v>
      </c>
      <c r="BL51" s="20" t="n">
        <f aca="false">BJ51*IF($G51="wagon",2.73,81.25)</f>
        <v>3087.5</v>
      </c>
      <c r="BO51" s="1" t="n">
        <v>1</v>
      </c>
      <c r="BP51" s="1" t="n">
        <v>1</v>
      </c>
      <c r="BQ51" s="1" t="str">
        <f aca="false">_xlfn.ORG.LIBREOFFICE.REGEX(_xlfn.ORG.LIBREOFFICE.REGEX(APTMUVehicles, _xlfn.CONCAT(B51, ",?"), ""), ",$", "")</f>
        <v>apt_half_6,apt_half_6_rev,apt_powercar,apt_half_2,apt_half_2_rev,apt_q_dvt,apt_s_dm,apt_s_10</v>
      </c>
      <c r="BS51" s="18" t="s">
        <v>358</v>
      </c>
      <c r="BT51" s="1" t="n">
        <v>7</v>
      </c>
      <c r="BU51" s="1" t="n">
        <v>222</v>
      </c>
      <c r="BX51" s="1" t="s">
        <v>95</v>
      </c>
      <c r="BY51" s="1" t="str">
        <f aca="false">VLOOKUP(J51,Eras!$A$2:$C$10, 2, TRUE())</f>
        <v>lbr</v>
      </c>
      <c r="BZ51" s="18" t="s">
        <v>226</v>
      </c>
      <c r="CA51" s="1" t="str">
        <f aca="false">CONCATENATE(BY51,"_",BZ51)</f>
        <v>lbr_EMU (Express)</v>
      </c>
      <c r="CB51" s="1" t="str">
        <f aca="false">_xlfn.CONCAT(H51, "_",I51)</f>
        <v>none_RAIL</v>
      </c>
      <c r="CC51" s="21" t="s">
        <v>343</v>
      </c>
      <c r="CD51" s="1" t="str">
        <f aca="false">VLOOKUP($CB51, Constants!$M:$N, 2, FALSE())</f>
        <v/>
      </c>
      <c r="CE51" s="1" t="str">
        <f aca="false">IF(M51&gt;1,_xlfn.CONCAT("{BLACK}Cars: {GOLD}", M51),"")</f>
        <v>{BLACK}Cars: {GOLD}6</v>
      </c>
      <c r="CF51" s="1" t="s">
        <v>354</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{YELLOW}20% bonus for long distance travel{}</v>
      </c>
      <c r="CH51" s="1" t="str">
        <f aca="false">_xlfn.CONCAT(CD51,IF(CD51 &lt;&gt; "", " ", ""),CE51,IF(OR(CE51&lt;&gt;"", CD51&lt;&gt;""), "{}",""), CC51, CG51,"{SILVER}", CF51)</f>
        <v>{BLACK}Cars: {GOLD}6{}{BLACK}Length: {GOLD}0.8 tiles{}{YELLOW}20% bonus for long distance travel{}{SILVER}An articulated trailer rake of APT-S Vehicles, intended to run with a Driving Motor and a DVT but also usable in other weird combinations.</v>
      </c>
      <c r="CI51" s="1"/>
      <c r="CJ51" s="1"/>
    </row>
    <row r="52" customFormat="false" ht="13.8" hidden="false" customHeight="false" outlineLevel="0" collapsed="false">
      <c r="A52" s="1" t="s">
        <v>359</v>
      </c>
      <c r="B52" s="1" t="s">
        <v>360</v>
      </c>
      <c r="C52" s="1" t="n">
        <v>420</v>
      </c>
      <c r="E52" s="1" t="n">
        <v>392</v>
      </c>
      <c r="F52" s="1" t="s">
        <v>89</v>
      </c>
      <c r="G52" s="1" t="s">
        <v>147</v>
      </c>
      <c r="H52" s="1" t="s">
        <v>152</v>
      </c>
      <c r="I52" s="1" t="s">
        <v>153</v>
      </c>
      <c r="J52" s="1" t="n">
        <v>1986</v>
      </c>
      <c r="K52" s="1" t="n">
        <v>2026</v>
      </c>
      <c r="L52" s="1" t="n">
        <v>2031</v>
      </c>
      <c r="N52" s="1" t="n">
        <v>2250</v>
      </c>
      <c r="W52" s="1" t="n">
        <v>71.5</v>
      </c>
      <c r="Z52" s="1" t="n">
        <v>180</v>
      </c>
      <c r="AA52" s="4" t="n">
        <f aca="false">IF(AND(W52&gt;0,Z52&gt;0),(Z52/((W52+X52)*10)),"")</f>
        <v>0.251748251748252</v>
      </c>
      <c r="AB52" s="1" t="n">
        <v>125</v>
      </c>
      <c r="AC52" s="1" t="n">
        <f aca="false">ROUND(AB52*1.6, 0)</f>
        <v>200</v>
      </c>
      <c r="AF52" s="1" t="n">
        <v>17.79</v>
      </c>
      <c r="AG52" s="1" t="n">
        <v>17.79</v>
      </c>
      <c r="AJ52" s="5" t="n">
        <v>0</v>
      </c>
      <c r="AK52" s="19" t="str">
        <f aca="false">CONCATENATE(VLOOKUP(AL52, 'Voxel Sizes'!$A$2:$B$18,2,FALSE()),"x",INT(AH52*15), "x", INT(AI52*15))</f>
        <v>164x0x0</v>
      </c>
      <c r="AL52" s="1" t="n">
        <f aca="false">ROUND(15*((AG52*10)/256),0)</f>
        <v>10</v>
      </c>
      <c r="AN52" s="1" t="str">
        <f aca="false">CONCATENATE(VLOOKUP(AL52,Constants!$A$2:$C$16,IF(AM52&lt;&gt;"", 3, 2), FALSE()),IF(AM52&lt;&gt;"",CONCATENATE(",",VLOOKUP(AM52,$B:$AN,38,FALSE())),""))</f>
        <v>4,2,4</v>
      </c>
      <c r="AX52" s="1" t="n">
        <v>35</v>
      </c>
      <c r="AY52" s="6" t="n">
        <f aca="false">IF(L52&lt;&gt;"",MAX(16,(L52-J52)+8),"")</f>
        <v>53</v>
      </c>
      <c r="BB52" s="1" t="n">
        <f aca="false">MIN(AB52/150, 1)*30</f>
        <v>25</v>
      </c>
      <c r="BC52" s="1" t="n">
        <f aca="false">MIN(N52/4000, 1)*20</f>
        <v>11.25</v>
      </c>
      <c r="BD52" s="1" t="n">
        <f aca="false">MIN(Z52/400,1)*20</f>
        <v>9</v>
      </c>
      <c r="BE52" s="4" t="n">
        <f aca="false">1-(MAX(J52-1900, 0)/750)</f>
        <v>0.885333333333333</v>
      </c>
      <c r="BF52" s="1" t="n">
        <f aca="false">((MAX($M52,1)*MIN($AJ52/300,1)))*IF(G52="Wagon",50,10)</f>
        <v>0</v>
      </c>
      <c r="BG52" s="1" t="n">
        <f aca="false">VLOOKUP($H52,Constants!$I:$K, 2, FALSE())</f>
        <v>1</v>
      </c>
      <c r="BH52" s="1" t="n">
        <f aca="false">VLOOKUP($H52,Constants!$I:$K, 3, FALSE())*IF(AND(G52="multiple_unit",AB52&lt;110),0.75,1)</f>
        <v>2</v>
      </c>
      <c r="BI52" s="1" t="n">
        <f aca="false">INT(POWER(((Constants!$G$2+$BB52+$BC52+$BD52+$BF52)*$BE52)*$BH52, 1.05))+$BA52</f>
        <v>111</v>
      </c>
      <c r="BJ52" s="1" t="n">
        <f aca="false">INT(POWER((((Constants!$G$1+$BB52+$BC52+$BD52+$BF52)*($BE52))*$BG52),IF($G52="wagon",1,1.2)))+$AZ52</f>
        <v>118</v>
      </c>
      <c r="BK52" s="20" t="n">
        <f aca="false">BI52*IF($G52="wagon",62.5,781.25)</f>
        <v>86718.75</v>
      </c>
      <c r="BL52" s="20" t="n">
        <f aca="false">BJ52*IF($G52="wagon",2.73,81.25)</f>
        <v>9587.5</v>
      </c>
      <c r="BM52" s="1" t="n">
        <v>1</v>
      </c>
      <c r="BN52" s="1" t="n">
        <v>1</v>
      </c>
      <c r="BT52" s="1" t="n">
        <v>2</v>
      </c>
      <c r="BY52" s="1" t="str">
        <f aca="false">VLOOKUP(J52,Eras!$A$2:$C$10, 2, TRUE())</f>
        <v>lbr</v>
      </c>
      <c r="BZ52" s="18" t="s">
        <v>361</v>
      </c>
      <c r="CA52" s="1" t="str">
        <f aca="false">CONCATENATE(BY52,"_",BZ52)</f>
        <v>lbr_Express</v>
      </c>
      <c r="CB52" s="1" t="str">
        <f aca="false">_xlfn.CONCAT(H52, "_",I52)</f>
        <v>diesel_RAIL</v>
      </c>
      <c r="CC52" s="21" t="s">
        <v>343</v>
      </c>
      <c r="CD52" s="1" t="str">
        <f aca="false">VLOOKUP($CB52, Constants!$M:$N, 2, FALSE())</f>
        <v>{BLACK}Powered by: {GOLD}Diesel</v>
      </c>
      <c r="CE52" s="1" t="str">
        <f aca="false">IF(M52&gt;1,_xlfn.CONCAT("{BLACK}Cars: {GOLD}", M52),"")</f>
        <v/>
      </c>
      <c r="CF52" s="1" t="s">
        <v>362</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tiles{}{SILVER}To facilitate the testing and introduction of the Class 91 fleet prior to the availability of Mark 4 Driving Van Trailers, 8 HST Power Cars were converted to act as control vehicles for electric locomotives.</v>
      </c>
      <c r="CI52" s="1"/>
      <c r="CJ52" s="1"/>
    </row>
    <row r="53" customFormat="false" ht="13.8" hidden="false" customHeight="false" outlineLevel="0" collapsed="false">
      <c r="A53" s="1" t="s">
        <v>363</v>
      </c>
      <c r="B53" s="1" t="s">
        <v>364</v>
      </c>
      <c r="C53" s="1" t="n">
        <v>422</v>
      </c>
      <c r="E53" s="1" t="n">
        <v>394</v>
      </c>
      <c r="F53" s="1" t="s">
        <v>89</v>
      </c>
      <c r="G53" s="1" t="s">
        <v>147</v>
      </c>
      <c r="H53" s="1" t="s">
        <v>316</v>
      </c>
      <c r="I53" s="1" t="s">
        <v>153</v>
      </c>
      <c r="J53" s="1" t="n">
        <v>1986</v>
      </c>
      <c r="K53" s="1" t="n">
        <v>1991</v>
      </c>
      <c r="N53" s="1" t="n">
        <v>100</v>
      </c>
      <c r="W53" s="1" t="n">
        <v>35</v>
      </c>
      <c r="Y53" s="1" t="n">
        <v>4</v>
      </c>
      <c r="Z53" s="1" t="n">
        <v>5</v>
      </c>
      <c r="AA53" s="4" t="n">
        <f aca="false">IF(AND(W53&gt;0,Z53&gt;0),(Z53/((W53+X53)*10)),"")</f>
        <v>0.0142857142857143</v>
      </c>
      <c r="AB53" s="1" t="n">
        <v>125</v>
      </c>
      <c r="AC53" s="1" t="n">
        <f aca="false">ROUND(AB53*1.6, 0)</f>
        <v>200</v>
      </c>
      <c r="AF53" s="1" t="n">
        <v>23</v>
      </c>
      <c r="AG53" s="1" t="n">
        <v>23</v>
      </c>
      <c r="AJ53" s="5" t="n">
        <v>45</v>
      </c>
      <c r="AK53" s="19" t="str">
        <f aca="false">CONCATENATE(VLOOKUP(AL53, 'Voxel Sizes'!$A$2:$B$18,2,FALSE()),"x",INT(AH53*15), "x", INT(AI53*15))</f>
        <v>214x0x0</v>
      </c>
      <c r="AL53" s="1" t="n">
        <f aca="false">ROUND(15*((AG53*10)/256),0)</f>
        <v>13</v>
      </c>
      <c r="AN53" s="1" t="str">
        <f aca="false">CONCATENATE(VLOOKUP(AL53,Constants!$A$2:$C$16,IF(AM53&lt;&gt;"", 3, 2), FALSE()),IF(AM53&lt;&gt;"",CONCATENATE(",",VLOOKUP(AM53,$B:$AN,38,FALSE())),""))</f>
        <v>4,5,4</v>
      </c>
      <c r="AX53" s="1" t="n">
        <v>27</v>
      </c>
      <c r="AY53" s="6" t="str">
        <f aca="false">IF(L53&lt;&gt;"",MAX(16,(L53-J53)+8),"")</f>
        <v/>
      </c>
      <c r="AZ53" s="1" t="n">
        <v>-15</v>
      </c>
      <c r="BA53" s="1" t="n">
        <v>-60</v>
      </c>
      <c r="BB53" s="1" t="n">
        <f aca="false">MIN(AB53/150, 1)*30</f>
        <v>25</v>
      </c>
      <c r="BC53" s="1" t="n">
        <f aca="false">MIN(N53/4000, 1)*20</f>
        <v>0.5</v>
      </c>
      <c r="BD53" s="1" t="n">
        <f aca="false">MIN(Z53/400,1)*20</f>
        <v>0.25</v>
      </c>
      <c r="BE53" s="4" t="n">
        <f aca="false">1-(MAX(J53-1900, 0)/750)</f>
        <v>0.885333333333333</v>
      </c>
      <c r="BF53" s="1" t="n">
        <f aca="false">((MAX($M53,1)*MIN($AJ53/300,1)))*IF(G53="Wagon",50,10)</f>
        <v>1.5</v>
      </c>
      <c r="BG53" s="1" t="n">
        <f aca="false">VLOOKUP($H53,Constants!$I:$K, 2, FALSE())</f>
        <v>0.85</v>
      </c>
      <c r="BH53" s="1" t="n">
        <f aca="false">VLOOKUP($H53,Constants!$I:$K, 3, FALSE())*IF(AND(G53="multiple_unit",AB53&lt;110),0.75,1)</f>
        <v>2.3</v>
      </c>
      <c r="BI53" s="1" t="n">
        <v>20</v>
      </c>
      <c r="BJ53" s="1" t="n">
        <f aca="false">INT(POWER((((Constants!$G$1+$BB53+$BC53+$BD53+$BF53)*($BE53))*$BG53),IF($G53="wagon",1,1.2)))+$AZ53</f>
        <v>48</v>
      </c>
      <c r="BK53" s="20" t="n">
        <f aca="false">BI53*IF($G53="wagon",62.5,781.25)</f>
        <v>15625</v>
      </c>
      <c r="BL53" s="20" t="n">
        <f aca="false">BJ53*IF($G53="wagon",2.73,81.25)</f>
        <v>3900</v>
      </c>
      <c r="BM53" s="1" t="n">
        <v>1</v>
      </c>
      <c r="BN53" s="1" t="n">
        <v>1</v>
      </c>
      <c r="BS53" s="1" t="s">
        <v>289</v>
      </c>
      <c r="BT53" s="1" t="n">
        <v>7</v>
      </c>
      <c r="BU53" s="1" t="n">
        <v>205</v>
      </c>
      <c r="BV53" s="1" t="s">
        <v>225</v>
      </c>
      <c r="BX53" s="1" t="s">
        <v>95</v>
      </c>
      <c r="BY53" s="1" t="str">
        <f aca="false">VLOOKUP(J53,Eras!$A$2:$C$10, 2, TRUE())</f>
        <v>lbr</v>
      </c>
      <c r="BZ53" s="18" t="s">
        <v>361</v>
      </c>
      <c r="CA53" s="1" t="str">
        <f aca="false">CONCATENATE(BY53,"_",BZ53)</f>
        <v>lbr_Express</v>
      </c>
      <c r="CB53" s="1" t="str">
        <f aca="false">_xlfn.CONCAT(H53, "_",I53)</f>
        <v>none_RAIL</v>
      </c>
      <c r="CC53" s="21" t="s">
        <v>343</v>
      </c>
      <c r="CD53" s="1"/>
      <c r="CE53" s="1" t="str">
        <f aca="false">IF(M53&gt;1,_xlfn.CONCAT("{BLACK}Cars: {GOLD}", M53),"")</f>
        <v/>
      </c>
      <c r="CF53" s="1" t="s">
        <v>365</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{YELLOW}10% bonus for long distance travel{}</v>
      </c>
      <c r="CH53" s="1" t="str">
        <f aca="false">_xlfn.CONCAT(CD53,IF(CD53 &lt;&gt; "", " ", ""),CE53,IF(OR(CE53&lt;&gt;"", CD53&lt;&gt;""), "{}",""), CC53, CG53,"{SILVER}", CF53)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53" s="1"/>
      <c r="CJ53" s="1"/>
    </row>
    <row r="54" customFormat="false" ht="13.8" hidden="false" customHeight="false" outlineLevel="0" collapsed="false">
      <c r="A54" s="1" t="s">
        <v>366</v>
      </c>
      <c r="B54" s="1" t="s">
        <v>367</v>
      </c>
      <c r="C54" s="1" t="n">
        <v>424</v>
      </c>
      <c r="D54" s="1" t="n">
        <v>420</v>
      </c>
      <c r="E54" s="1" t="n">
        <v>396</v>
      </c>
      <c r="F54" s="1" t="s">
        <v>89</v>
      </c>
      <c r="G54" s="1" t="s">
        <v>147</v>
      </c>
      <c r="H54" s="1" t="s">
        <v>316</v>
      </c>
      <c r="I54" s="1" t="s">
        <v>153</v>
      </c>
      <c r="J54" s="1" t="n">
        <v>1986</v>
      </c>
      <c r="K54" s="1" t="n">
        <v>1991</v>
      </c>
      <c r="N54" s="1" t="n">
        <v>100</v>
      </c>
      <c r="W54" s="1" t="n">
        <v>40</v>
      </c>
      <c r="Z54" s="1" t="n">
        <v>5</v>
      </c>
      <c r="AA54" s="4" t="n">
        <f aca="false">IF(AND(W54&gt;0,Z54&gt;0),(Z54/((W54+X54)*10)),"")</f>
        <v>0.0125</v>
      </c>
      <c r="AB54" s="1" t="n">
        <v>125</v>
      </c>
      <c r="AC54" s="1" t="n">
        <f aca="false">ROUND(AB54*1.6, 0)</f>
        <v>200</v>
      </c>
      <c r="AF54" s="1" t="n">
        <v>17.79</v>
      </c>
      <c r="AG54" s="1" t="n">
        <v>17.79</v>
      </c>
      <c r="AJ54" s="5" t="n">
        <v>36</v>
      </c>
      <c r="AK54" s="19" t="str">
        <f aca="false">CONCATENATE(VLOOKUP(AL54, 'Voxel Sizes'!$A$2:$B$18,2,FALSE()),"x",INT(AH54*15), "x", INT(AI54*15))</f>
        <v>164x0x0</v>
      </c>
      <c r="AL54" s="1" t="n">
        <f aca="false">ROUND(15*((AG54*10)/256),0)</f>
        <v>10</v>
      </c>
      <c r="AN54" s="1" t="str">
        <f aca="false">CONCATENATE(VLOOKUP(AL54,Constants!$A$2:$C$16,IF(AM54&lt;&gt;"", 3, 2), FALSE()),IF(AM54&lt;&gt;"",CONCATENATE(",",VLOOKUP(AM54,$B:$AN,38,FALSE())),""))</f>
        <v>4,2,4</v>
      </c>
      <c r="AX54" s="1" t="n">
        <v>27</v>
      </c>
      <c r="AY54" s="6" t="str">
        <f aca="false">IF(L54&lt;&gt;"",MAX(16,(L54-J54)+8),"")</f>
        <v/>
      </c>
      <c r="AZ54" s="1" t="n">
        <v>-15</v>
      </c>
      <c r="BA54" s="1" t="n">
        <v>-55</v>
      </c>
      <c r="BB54" s="1" t="n">
        <f aca="false">MIN(AB54/150, 1)*30</f>
        <v>25</v>
      </c>
      <c r="BC54" s="1" t="n">
        <f aca="false">MIN(N54/4000, 1)*20</f>
        <v>0.5</v>
      </c>
      <c r="BD54" s="1" t="n">
        <f aca="false">MIN(Z54/400,1)*20</f>
        <v>0.25</v>
      </c>
      <c r="BE54" s="4" t="n">
        <f aca="false">1-(MAX(J54-1900, 0)/750)</f>
        <v>0.885333333333333</v>
      </c>
      <c r="BF54" s="1" t="n">
        <f aca="false">((MAX($M54,1)*MIN($AJ54/300,1)))*IF(G54="Wagon",50,10)</f>
        <v>1.2</v>
      </c>
      <c r="BG54" s="1" t="n">
        <f aca="false">VLOOKUP($H54,Constants!$I:$K, 2, FALSE())</f>
        <v>0.85</v>
      </c>
      <c r="BH54" s="1" t="n">
        <f aca="false">VLOOKUP($H54,Constants!$I:$K, 3, FALSE())*IF(AND(G54="multiple_unit",AB54&lt;110),0.75,1)</f>
        <v>2.3</v>
      </c>
      <c r="BI54" s="1" t="n">
        <v>25</v>
      </c>
      <c r="BJ54" s="1" t="n">
        <f aca="false">INT(POWER((((Constants!$G$1+$BB54+$BC54+$BD54+$BF54)*($BE54))*$BG54),IF($G54="wagon",1,1.2)))+$AZ54</f>
        <v>47</v>
      </c>
      <c r="BK54" s="20" t="n">
        <f aca="false">BI54*IF($G54="wagon",62.5,781.25)</f>
        <v>19531.25</v>
      </c>
      <c r="BL54" s="20" t="n">
        <f aca="false">BJ54*IF($G54="wagon",2.73,81.25)</f>
        <v>3818.75</v>
      </c>
      <c r="BM54" s="1" t="n">
        <v>1</v>
      </c>
      <c r="BN54" s="1" t="n">
        <v>1</v>
      </c>
      <c r="BS54" s="1" t="s">
        <v>289</v>
      </c>
      <c r="BT54" s="1" t="n">
        <v>7</v>
      </c>
      <c r="BV54" s="1" t="s">
        <v>368</v>
      </c>
      <c r="BX54" s="1" t="s">
        <v>148</v>
      </c>
      <c r="BY54" s="1" t="str">
        <f aca="false">VLOOKUP(J54,Eras!$A$2:$C$10, 2, TRUE())</f>
        <v>lbr</v>
      </c>
      <c r="BZ54" s="18" t="s">
        <v>361</v>
      </c>
      <c r="CA54" s="1" t="str">
        <f aca="false">CONCATENATE(BY54,"_",BZ54)</f>
        <v>lbr_Express</v>
      </c>
      <c r="CB54" s="1" t="str">
        <f aca="false">_xlfn.CONCAT(H54, "_",I54)</f>
        <v>none_RAIL</v>
      </c>
      <c r="CC54" s="21" t="s">
        <v>343</v>
      </c>
      <c r="CD54" s="1"/>
      <c r="CE54" s="1" t="str">
        <f aca="false">IF(M54&gt;1,_xlfn.CONCAT("{BLACK}Cars: {GOLD}", M54),"")</f>
        <v/>
      </c>
      <c r="CF54" s="1" t="s">
        <v>369</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{BLACK}Length: {GOLD}0.8 tiles{}{SILVER}A depowered Class 43, proposed as a conversion from surplus power cars and now suitable for carrying baggage.</v>
      </c>
      <c r="CI54" s="1"/>
      <c r="CJ54" s="1"/>
    </row>
    <row r="55" customFormat="false" ht="13.8" hidden="false" customHeight="false" outlineLevel="0" collapsed="false">
      <c r="A55" s="1" t="s">
        <v>370</v>
      </c>
      <c r="B55" s="1" t="s">
        <v>371</v>
      </c>
      <c r="C55" s="1" t="n">
        <v>396</v>
      </c>
      <c r="E55" s="1" t="n">
        <v>398</v>
      </c>
      <c r="F55" s="1" t="s">
        <v>89</v>
      </c>
      <c r="G55" s="1" t="s">
        <v>147</v>
      </c>
      <c r="H55" s="1" t="s">
        <v>372</v>
      </c>
      <c r="I55" s="1" t="s">
        <v>92</v>
      </c>
      <c r="J55" s="1" t="n">
        <v>1986</v>
      </c>
      <c r="K55" s="1" t="n">
        <v>2026</v>
      </c>
      <c r="L55" s="1" t="n">
        <v>2031</v>
      </c>
      <c r="N55" s="1" t="n">
        <v>2750</v>
      </c>
      <c r="W55" s="1" t="n">
        <v>74</v>
      </c>
      <c r="Z55" s="1" t="n">
        <v>180</v>
      </c>
      <c r="AA55" s="4" t="n">
        <f aca="false">IF(AND(W55&gt;0,Z55&gt;0),(Z55/((W55+X55)*10)),"")</f>
        <v>0.243243243243243</v>
      </c>
      <c r="AB55" s="1" t="n">
        <v>125</v>
      </c>
      <c r="AC55" s="1" t="n">
        <f aca="false">ROUND(AB55*1.6, 0)</f>
        <v>200</v>
      </c>
      <c r="AF55" s="1" t="n">
        <v>17.79</v>
      </c>
      <c r="AG55" s="1" t="n">
        <v>17.79</v>
      </c>
      <c r="AJ55" s="5" t="n">
        <v>0</v>
      </c>
      <c r="AK55" s="19" t="str">
        <f aca="false">CONCATENATE(VLOOKUP(AL55, 'Voxel Sizes'!$A$2:$B$18,2,FALSE()),"x",INT(AH55*15), "x", INT(AI55*15))</f>
        <v>164x0x0</v>
      </c>
      <c r="AL55" s="1" t="n">
        <f aca="false">ROUND(15*((AG55*10)/256),0)</f>
        <v>10</v>
      </c>
      <c r="AN55" s="1" t="str">
        <f aca="false">CONCATENATE(VLOOKUP(AL55,Constants!$A$2:$C$16,IF(AM55&lt;&gt;"", 3, 2), FALSE()),IF(AM55&lt;&gt;"",CONCATENATE(",",VLOOKUP(AM55,$B:$AN,38,FALSE())),""))</f>
        <v>4,2,4</v>
      </c>
      <c r="AS55" s="1" t="s">
        <v>371</v>
      </c>
      <c r="AX55" s="1" t="n">
        <v>35</v>
      </c>
      <c r="AY55" s="6" t="n">
        <f aca="false">IF(L55&lt;&gt;"",MAX(16,(L55-J55)+8),"")</f>
        <v>53</v>
      </c>
      <c r="BB55" s="1" t="n">
        <f aca="false">MIN(AB55/150, 1)*30</f>
        <v>25</v>
      </c>
      <c r="BC55" s="1" t="n">
        <f aca="false">MIN(N55/4000, 1)*20</f>
        <v>13.75</v>
      </c>
      <c r="BD55" s="1" t="n">
        <f aca="false">MIN(Z55/400,1)*20</f>
        <v>9</v>
      </c>
      <c r="BE55" s="4" t="n">
        <f aca="false">1-(MAX(J55-1900, 0)/750)</f>
        <v>0.885333333333333</v>
      </c>
      <c r="BF55" s="1" t="n">
        <f aca="false">((MAX($M55,1)*MIN($AJ55/300,1)))*IF(G55="Wagon",50,10)</f>
        <v>0</v>
      </c>
      <c r="BG55" s="1" t="n">
        <f aca="false">VLOOKUP($H55,Constants!$I:$K, 2, FALSE())</f>
        <v>0.85</v>
      </c>
      <c r="BH55" s="1" t="n">
        <f aca="false">VLOOKUP($H55,Constants!$I:$K, 3, FALSE())*IF(AND(G55="multiple_unit",AB55&lt;110),0.75,1)</f>
        <v>2.4</v>
      </c>
      <c r="BI55" s="1" t="n">
        <f aca="false">INT(POWER(((Constants!$G$2+$BB55+$BC55+$BD55+$BF55)*$BE55)*$BH55, 1.05))+$BA55</f>
        <v>141</v>
      </c>
      <c r="BJ55" s="1" t="n">
        <f aca="false">INT(POWER((((Constants!$G$1+$BB55+$BC55+$BD55+$BF55)*($BE55))*$BG55),IF($G55="wagon",1,1.2)))+$AZ55</f>
        <v>102</v>
      </c>
      <c r="BK55" s="20" t="n">
        <f aca="false">BI55*IF($G55="wagon",62.5,781.25)</f>
        <v>110156.25</v>
      </c>
      <c r="BL55" s="20" t="n">
        <f aca="false">BJ55*IF($G55="wagon",2.73,81.25)</f>
        <v>8287.5</v>
      </c>
      <c r="BM55" s="1" t="n">
        <v>1</v>
      </c>
      <c r="BN55" s="1" t="n">
        <v>1</v>
      </c>
      <c r="BS55" s="1" t="s">
        <v>289</v>
      </c>
      <c r="BT55" s="1" t="n">
        <v>2</v>
      </c>
      <c r="BY55" s="1" t="str">
        <f aca="false">VLOOKUP(J55,Eras!$A$2:$C$10, 2, TRUE())</f>
        <v>lbr</v>
      </c>
      <c r="BZ55" s="18" t="s">
        <v>342</v>
      </c>
      <c r="CA55" s="1" t="str">
        <f aca="false">CONCATENATE(BY55,"_",BZ55)</f>
        <v>lbr_Express (Electric)</v>
      </c>
      <c r="CB55" s="1" t="str">
        <f aca="false">_xlfn.CONCAT(H55, "_",I55)</f>
        <v>dual_electric_ELRL</v>
      </c>
      <c r="CC55" s="21" t="s">
        <v>343</v>
      </c>
      <c r="CD55" s="1" t="str">
        <f aca="false">VLOOKUP($CB55, Constants!$M:$N, 2, FALSE())</f>
        <v>{BLACK}Powered by: {GOLD}25kV AC</v>
      </c>
      <c r="CE55" s="1" t="str">
        <f aca="false">IF(M55&gt;1,_xlfn.CONCAT("{BLACK}Cars: {GOLD}", M55),"")</f>
        <v/>
      </c>
      <c r="CF55" s="1" t="s">
        <v>373</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{GOLD}25kV AC {}{BLACK}Length: {GOLD}0.8 tiles{}{SILVER}A proposed electric version of the Class 43 ‘HST’ Power Car was oft-discussed after the failure of the APT program.</v>
      </c>
      <c r="CI55" s="1"/>
      <c r="CJ55" s="1"/>
    </row>
    <row r="56" customFormat="false" ht="13.8" hidden="false" customHeight="false" outlineLevel="0" collapsed="false">
      <c r="A56" s="18" t="s">
        <v>374</v>
      </c>
      <c r="B56" s="18" t="s">
        <v>375</v>
      </c>
      <c r="C56" s="1" t="n">
        <v>388</v>
      </c>
      <c r="D56" s="18"/>
      <c r="E56" s="18" t="n">
        <v>390</v>
      </c>
      <c r="F56" s="18" t="s">
        <v>89</v>
      </c>
      <c r="G56" s="18" t="s">
        <v>147</v>
      </c>
      <c r="H56" s="18" t="s">
        <v>91</v>
      </c>
      <c r="I56" s="18" t="s">
        <v>92</v>
      </c>
      <c r="J56" s="18" t="n">
        <v>1985</v>
      </c>
      <c r="K56" s="18" t="n">
        <v>1999</v>
      </c>
      <c r="L56" s="18"/>
      <c r="M56" s="18"/>
      <c r="N56" s="18" t="n">
        <v>5400</v>
      </c>
      <c r="W56" s="18" t="n">
        <v>109</v>
      </c>
      <c r="Y56" s="18"/>
      <c r="Z56" s="18" t="n">
        <v>267</v>
      </c>
      <c r="AA56" s="4" t="n">
        <v>0.205384615384615</v>
      </c>
      <c r="AB56" s="18" t="n">
        <v>75</v>
      </c>
      <c r="AC56" s="18" t="n">
        <v>128</v>
      </c>
      <c r="AD56" s="18"/>
      <c r="AE56" s="18"/>
      <c r="AF56" s="18" t="n">
        <v>19.13</v>
      </c>
      <c r="AG56" s="18" t="n">
        <v>19.13</v>
      </c>
      <c r="AH56" s="18"/>
      <c r="AI56" s="18" t="n">
        <v>3.91</v>
      </c>
      <c r="AJ56" s="5" t="n">
        <v>0</v>
      </c>
      <c r="AK56" s="19" t="str">
        <f aca="false">CONCATENATE(VLOOKUP(AL56, 'Voxel Sizes'!$A$2:$B$18,2,FALSE()),"x",INT(AH56*15), "x", INT(AI56*15))</f>
        <v>186x0x58</v>
      </c>
      <c r="AL56" s="18" t="n">
        <v>11</v>
      </c>
      <c r="AM56" s="18"/>
      <c r="AN56" s="1" t="str">
        <f aca="false">CONCATENATE(VLOOKUP(AL56,Constants!$A$2:$C$16,IF(AM56&lt;&gt;"", 3, 2), FALSE()),IF(AM56&lt;&gt;"",CONCATENATE(",",VLOOKUP(AM56,$B:$AN,38,FALSE())),""))</f>
        <v>4,3,4</v>
      </c>
      <c r="AO56" s="18"/>
      <c r="AR56" s="18"/>
      <c r="AS56" s="18"/>
      <c r="AT56" s="18"/>
      <c r="AU56" s="18"/>
      <c r="AV56" s="18"/>
      <c r="AW56" s="18"/>
      <c r="AX56" s="18" t="n">
        <v>30</v>
      </c>
      <c r="AZ56" s="18" t="n">
        <v>15</v>
      </c>
      <c r="BA56" s="18" t="n">
        <v>-10</v>
      </c>
      <c r="BB56" s="18" t="n">
        <v>16</v>
      </c>
      <c r="BC56" s="18" t="n">
        <v>16.5</v>
      </c>
      <c r="BD56" s="18" t="n">
        <v>13.35</v>
      </c>
      <c r="BE56" s="4" t="n">
        <v>0.889333333333333</v>
      </c>
      <c r="BF56" s="18" t="n">
        <v>0</v>
      </c>
      <c r="BG56" s="1" t="n">
        <f aca="false">VLOOKUP($H56,Constants!$I:$K, 2, FALSE())</f>
        <v>0.85</v>
      </c>
      <c r="BH56" s="1" t="n">
        <f aca="false">VLOOKUP($H56,Constants!$I:$K, 3, FALSE())*IF(AND(G56="multiple_unit",AB56&lt;110),0.75,1)</f>
        <v>2.3</v>
      </c>
      <c r="BI56" s="1" t="n">
        <f aca="false">INT(POWER(((Constants!$G$2+$BB56+$BC56+$BD56+$BF56)*$BE56)*$BH56, 1.05))+$BA56</f>
        <v>121</v>
      </c>
      <c r="BJ56" s="1" t="n">
        <f aca="false">INT(POWER((((Constants!$G$1+$BB56+$BC56+$BD56+$BF56)*($BE56))*$BG56),IF($G56="wagon",1,1.2)))+$AZ56</f>
        <v>113</v>
      </c>
      <c r="BK56" s="20" t="n">
        <f aca="false">BI56*IF($G56="wagon",62.5,781.25)</f>
        <v>94531.25</v>
      </c>
      <c r="BL56" s="20" t="n">
        <f aca="false">BJ56*IF($G56="wagon",2.73,81.25)</f>
        <v>9181.25</v>
      </c>
      <c r="BM56" s="18"/>
      <c r="BN56" s="18"/>
      <c r="BO56" s="18"/>
      <c r="BP56" s="18"/>
      <c r="BQ56" s="18"/>
      <c r="BR56" s="18"/>
      <c r="BS56" s="1" t="s">
        <v>289</v>
      </c>
      <c r="BT56" s="1" t="n">
        <v>4</v>
      </c>
      <c r="BY56" s="1" t="str">
        <f aca="false">VLOOKUP(J56,Eras!$A$2:$C$10, 2, TRUE())</f>
        <v>lbr</v>
      </c>
      <c r="BZ56" s="18" t="s">
        <v>376</v>
      </c>
      <c r="CA56" s="1" t="s">
        <v>377</v>
      </c>
      <c r="CB56" s="1" t="str">
        <f aca="false">_xlfn.CONCAT(H56, "_",I56)</f>
        <v>electric_ELRL</v>
      </c>
      <c r="CC56" s="34" t="s">
        <v>343</v>
      </c>
      <c r="CD56" s="1" t="str">
        <f aca="false">VLOOKUP($CB56, Constants!$M:$N, 2, FALSE())</f>
        <v>{BLACK}Powered by: {GOLD}25kV AC</v>
      </c>
      <c r="CE56" s="1" t="str">
        <f aca="false">IF(M56&gt;1,_xlfn.CONCAT("{BLACK}Cars: {GOLD}", M56),"")</f>
        <v/>
      </c>
      <c r="CF56" s="1" t="s">
        <v>378</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{GOLD}25kV AC {}{BLACK}Length: {GOLD}0.8 tiles{}{SILVER}The Class 88 was a proposed re-use of the Class 58 design, dropping the diesel engine for a 25kv Overhead power supply.</v>
      </c>
      <c r="CI56" s="1"/>
      <c r="CJ56" s="1"/>
    </row>
    <row r="57" customFormat="false" ht="13.8" hidden="false" customHeight="false" outlineLevel="0" collapsed="false">
      <c r="A57" s="18" t="s">
        <v>379</v>
      </c>
      <c r="B57" s="18" t="s">
        <v>380</v>
      </c>
      <c r="C57" s="1" t="n">
        <v>390</v>
      </c>
      <c r="D57" s="18"/>
      <c r="E57" s="18" t="n">
        <v>400</v>
      </c>
      <c r="F57" s="18" t="s">
        <v>89</v>
      </c>
      <c r="G57" s="18" t="s">
        <v>147</v>
      </c>
      <c r="H57" s="18" t="s">
        <v>152</v>
      </c>
      <c r="I57" s="18" t="s">
        <v>153</v>
      </c>
      <c r="J57" s="18" t="n">
        <v>1985</v>
      </c>
      <c r="K57" s="18" t="n">
        <v>1994</v>
      </c>
      <c r="L57" s="18"/>
      <c r="M57" s="18"/>
      <c r="N57" s="18" t="n">
        <v>2100</v>
      </c>
      <c r="W57" s="18" t="n">
        <v>120</v>
      </c>
      <c r="Y57" s="18"/>
      <c r="Z57" s="18" t="n">
        <v>192</v>
      </c>
      <c r="AA57" s="4" t="n">
        <f aca="false">IF(AND(W57&gt;0,Z57&gt;0),(Z57/((W57+X57)*10)),"")</f>
        <v>0.16</v>
      </c>
      <c r="AB57" s="18" t="n">
        <v>75</v>
      </c>
      <c r="AC57" s="18" t="n">
        <f aca="false">ROUND(AB57*1.6, 0)</f>
        <v>120</v>
      </c>
      <c r="AD57" s="18"/>
      <c r="AE57" s="18"/>
      <c r="AF57" s="18" t="n">
        <v>18</v>
      </c>
      <c r="AG57" s="18" t="n">
        <v>17</v>
      </c>
      <c r="AH57" s="18"/>
      <c r="AI57" s="18" t="n">
        <v>3.91</v>
      </c>
      <c r="AJ57" s="5" t="n">
        <v>0</v>
      </c>
      <c r="AK57" s="19" t="str">
        <f aca="false">CONCATENATE(VLOOKUP(AL57, 'Voxel Sizes'!$A$2:$B$18,2,FALSE()),"x",INT(AH57*15), "x", INT(AI57*15))</f>
        <v>164x0x58</v>
      </c>
      <c r="AL57" s="18" t="n">
        <f aca="false">ROUND(15*((AG57*10)/256),0)</f>
        <v>10</v>
      </c>
      <c r="AM57" s="18"/>
      <c r="AN57" s="1" t="str">
        <f aca="false">CONCATENATE(VLOOKUP(AL57,Constants!$A$2:$C$16,IF(AM57&lt;&gt;"", 3, 2), FALSE()),IF(AM57&lt;&gt;"",CONCATENATE(",",VLOOKUP(AM57,$B:$AN,38,FALSE())),""))</f>
        <v>4,2,4</v>
      </c>
      <c r="AO57" s="18"/>
      <c r="AR57" s="18"/>
      <c r="AS57" s="18"/>
      <c r="AT57" s="18"/>
      <c r="AU57" s="18"/>
      <c r="AV57" s="18"/>
      <c r="AW57" s="18"/>
      <c r="AX57" s="18" t="n">
        <v>30</v>
      </c>
      <c r="AY57" s="6" t="str">
        <f aca="false">IF(L57&lt;&gt;"",MAX(16,(L57-J57)+8),"")</f>
        <v/>
      </c>
      <c r="AZ57" s="18" t="n">
        <v>15</v>
      </c>
      <c r="BA57" s="18" t="n">
        <v>-10</v>
      </c>
      <c r="BB57" s="18" t="n">
        <f aca="false">MIN(AB57/150, 1)*30</f>
        <v>15</v>
      </c>
      <c r="BC57" s="18" t="n">
        <f aca="false">MIN(N57/4000, 1)*20</f>
        <v>10.5</v>
      </c>
      <c r="BD57" s="18" t="n">
        <f aca="false">MIN(Z57/400,1)*20</f>
        <v>9.6</v>
      </c>
      <c r="BE57" s="4" t="n">
        <f aca="false">1-(MAX(J57-1900, 0)/750)</f>
        <v>0.886666666666667</v>
      </c>
      <c r="BF57" s="18" t="n">
        <f aca="false">((MAX($M57,1)*MIN($AJ57/300,1)))*IF(G57="Wagon",50,10)</f>
        <v>0</v>
      </c>
      <c r="BG57" s="1" t="n">
        <f aca="false">VLOOKUP($H57,Constants!$I:$K, 2, FALSE())</f>
        <v>1</v>
      </c>
      <c r="BH57" s="1" t="n">
        <f aca="false">VLOOKUP($H57,Constants!$I:$K, 3, FALSE())*IF(AND(G57="multiple_unit",AB57&lt;110),0.75,1)</f>
        <v>2</v>
      </c>
      <c r="BI57" s="1" t="n">
        <f aca="false">INT(POWER(((Constants!$G$2+$BB57+$BC57+$BD57+$BF57)*$BE57)*$BH57, 1.05))+$BA57</f>
        <v>78</v>
      </c>
      <c r="BJ57" s="1" t="n">
        <f aca="false">INT(POWER((((Constants!$G$1+$BB57+$BC57+$BD57+$BF57)*($BE57))*$BG57),IF($G57="wagon",1,1.2)))+$AZ57</f>
        <v>109</v>
      </c>
      <c r="BK57" s="20" t="n">
        <f aca="false">BI57*IF($G57="wagon",62.5,781.25)</f>
        <v>60937.5</v>
      </c>
      <c r="BL57" s="20" t="n">
        <f aca="false">BJ57*IF($G57="wagon",2.73,81.25)</f>
        <v>8856.25</v>
      </c>
      <c r="BM57" s="18"/>
      <c r="BN57" s="18"/>
      <c r="BO57" s="18"/>
      <c r="BP57" s="18"/>
      <c r="BQ57" s="18"/>
      <c r="BR57" s="18"/>
      <c r="BS57" s="1" t="s">
        <v>289</v>
      </c>
      <c r="BT57" s="1" t="n">
        <v>6</v>
      </c>
      <c r="BY57" s="1" t="s">
        <v>244</v>
      </c>
      <c r="BZ57" s="18" t="s">
        <v>376</v>
      </c>
      <c r="CA57" s="1" t="str">
        <f aca="false">CONCATENATE(BY57,"_",BZ57)</f>
        <v>lbr_Freight</v>
      </c>
      <c r="CB57" s="1" t="str">
        <f aca="false">_xlfn.CONCAT(H57, "_",I57)</f>
        <v>diesel_RAIL</v>
      </c>
      <c r="CC57" s="34" t="s">
        <v>343</v>
      </c>
      <c r="CD57" s="1" t="str">
        <f aca="false">VLOOKUP($CB57, Constants!$M:$N, 2, FALSE())</f>
        <v>{BLACK}Powered by: {GOLD}Diesel</v>
      </c>
      <c r="CE57" s="1" t="str">
        <f aca="false">IF(M57&gt;1,_xlfn.CONCAT("{BLACK}Cars: {GOLD}", M57),"")</f>
        <v/>
      </c>
      <c r="CF57" s="1" t="s">
        <v>381</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
      </c>
      <c r="CH57" s="1" t="str">
        <f aca="false">_xlfn.CONCAT(CD57,IF(CD57 &lt;&gt; "", " ", ""),CE57,IF(OR(CE57&lt;&gt;"", CD57&lt;&gt;""), "{}",""), CC57, CG57,"{SILVER}", CF57)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57" s="1"/>
      <c r="CJ57" s="1"/>
    </row>
    <row r="58" s="19" customFormat="true" ht="13.8" hidden="false" customHeight="false" outlineLevel="0" collapsed="false">
      <c r="A58" s="19" t="s">
        <v>382</v>
      </c>
      <c r="B58" s="19" t="s">
        <v>383</v>
      </c>
      <c r="C58" s="19" t="n">
        <v>464</v>
      </c>
      <c r="E58" s="19" t="n">
        <v>405</v>
      </c>
      <c r="F58" s="19" t="s">
        <v>89</v>
      </c>
      <c r="G58" s="19" t="s">
        <v>90</v>
      </c>
      <c r="H58" s="19" t="s">
        <v>91</v>
      </c>
      <c r="I58" s="19" t="s">
        <v>248</v>
      </c>
      <c r="J58" s="19" t="n">
        <v>1988</v>
      </c>
      <c r="M58" s="19" t="n">
        <v>5</v>
      </c>
      <c r="N58" s="19" t="n">
        <v>1610</v>
      </c>
      <c r="O58" s="25"/>
      <c r="P58" s="26"/>
      <c r="Q58" s="26"/>
      <c r="R58" s="26"/>
      <c r="S58" s="26"/>
      <c r="T58" s="26"/>
      <c r="U58" s="26"/>
      <c r="V58" s="26"/>
      <c r="W58" s="19" t="n">
        <v>202.8</v>
      </c>
      <c r="X58" s="25"/>
      <c r="Y58" s="19" t="n">
        <v>5</v>
      </c>
      <c r="Z58" s="19" t="n">
        <v>190</v>
      </c>
      <c r="AA58" s="27" t="n">
        <f aca="false">IF(AND(W58&gt;0,Z58&gt;0),(Z58/((W58+X58)*10)),"")</f>
        <v>0.0936883629191322</v>
      </c>
      <c r="AB58" s="19" t="n">
        <v>108</v>
      </c>
      <c r="AC58" s="19" t="n">
        <f aca="false">ROUND(AB58*1.6, 0)</f>
        <v>173</v>
      </c>
      <c r="AF58" s="19" t="n">
        <v>23</v>
      </c>
      <c r="AG58" s="19" t="n">
        <v>23</v>
      </c>
      <c r="AH58" s="19" t="n">
        <v>2.74</v>
      </c>
      <c r="AI58" s="19" t="n">
        <v>3.81</v>
      </c>
      <c r="AJ58" s="28" t="n">
        <v>66</v>
      </c>
      <c r="AK58" s="19" t="str">
        <f aca="false">CONCATENATE(VLOOKUP(AL58, '[1]Voxel Sizes'!$A$2:$B$18,2,FALSE()),"x",INT(AH58*15), "x", INT(AI58*15))</f>
        <v>214x41x57</v>
      </c>
      <c r="AL58" s="19" t="n">
        <f aca="false">ROUND(15*((AG58*10)/256),0)</f>
        <v>13</v>
      </c>
      <c r="AN58" s="19" t="str">
        <f aca="false">CONCATENATE(VLOOKUP(AL58,[1]Constants!$A$2:$C$16,IF(AM58&lt;&gt;"", 3, 2), FALSE()),IF(AM58&lt;&gt;"",CONCATENATE(",",VLOOKUP(AM58,$B:$AN,39,FALSE())),""))</f>
        <v>4,5,4</v>
      </c>
      <c r="AP58" s="29"/>
      <c r="AQ58" s="29"/>
      <c r="AR58" s="19" t="s">
        <v>384</v>
      </c>
      <c r="AT58" s="19" t="s">
        <v>385</v>
      </c>
      <c r="AU58" s="19" t="s">
        <v>386</v>
      </c>
      <c r="AX58" s="19" t="n">
        <v>35</v>
      </c>
      <c r="AY58" s="30" t="str">
        <f aca="false">IF(L58&lt;&gt;"",MAX(16,(L58-J58)+8),"")</f>
        <v/>
      </c>
      <c r="AZ58" s="19" t="n">
        <v>-10</v>
      </c>
      <c r="BA58" s="19" t="n">
        <v>-25</v>
      </c>
      <c r="BB58" s="19" t="n">
        <f aca="false">MIN(AB58/150, 1)*30</f>
        <v>21.6</v>
      </c>
      <c r="BC58" s="19" t="n">
        <f aca="false">MIN(N58/4000, 1)*20</f>
        <v>8.05</v>
      </c>
      <c r="BD58" s="19" t="n">
        <f aca="false">MIN(Z58/400,1)*20</f>
        <v>9.5</v>
      </c>
      <c r="BE58" s="27" t="n">
        <f aca="false">1-(MAX(J58-1900, 0)/750)</f>
        <v>0.882666666666667</v>
      </c>
      <c r="BF58" s="19" t="n">
        <f aca="false">((MAX($M58,1)*MIN($AJ58/300,1)))*IF(G58="Wagon",50,10)</f>
        <v>11</v>
      </c>
      <c r="BG58" s="19" t="n">
        <f aca="false">VLOOKUP($H58,[1]Constants!$I$1:$K$1048576, 2, FALSE())</f>
        <v>0.85</v>
      </c>
      <c r="BH58" s="19" t="n">
        <f aca="false">VLOOKUP($H58,[1]Constants!$I$1:$K$1048576, 3, FALSE())*IF(AND(G58="multiple_unit",AB58&lt;110),0.75,1)</f>
        <v>1.725</v>
      </c>
      <c r="BI58" s="19" t="n">
        <f aca="false">INT(POWER((([1]Constants!$G$2+$BB58+$BC58+$BD58+$BF58)*$BE58)*$BH58, 1.05))+$BA58</f>
        <v>79</v>
      </c>
      <c r="BJ58" s="19" t="n">
        <f aca="false">INT(POWER(((([1]Constants!$G$1+$BB58+$BC58+$BD58+$BF58)*($BE58))*$BG58),IF($G58="wagon",1,1.2)))+$AZ58</f>
        <v>96</v>
      </c>
      <c r="BK58" s="31" t="n">
        <f aca="false">BI58*IF($G58="wagon",62.5,781.25)</f>
        <v>61718.75</v>
      </c>
      <c r="BL58" s="31" t="n">
        <f aca="false">BJ58*IF($G58="wagon",2.73,81.25)</f>
        <v>7800</v>
      </c>
      <c r="BT58" s="19" t="n">
        <v>5</v>
      </c>
      <c r="BU58" s="19" t="n">
        <v>205</v>
      </c>
      <c r="BX58" s="19" t="s">
        <v>95</v>
      </c>
      <c r="BY58" s="19" t="str">
        <f aca="false">VLOOKUP(J58,[1]Eras!$A$2:$C$10, 2, TRUE())</f>
        <v>lbr</v>
      </c>
      <c r="BZ58" s="32" t="s">
        <v>226</v>
      </c>
      <c r="CA58" s="19" t="str">
        <f aca="false">CONCATENATE(BY58,"_",BZ58)</f>
        <v>lbr_EMU (Express)</v>
      </c>
      <c r="CB58" s="19" t="str">
        <f aca="false">_xlfn.CONCAT(H58, "_",I58)</f>
        <v>electric_THIRD_RAIL</v>
      </c>
      <c r="CC58" s="33" t="str">
        <f aca="false" t="array" ref="CC58:CC58">_xlfn.CONCAT("{BLACK}Length: {GOLD}", TEXT(ROUNDUP(IF(AQ58&lt;&gt;"",SUM(VALUE(_xlfn.TEXTSPLIT(AQ58, ","))), SUM(VALUE(_xlfn.TEXTSPLIT(AN58, ",")))*IF(M58, M58, 1))/16, 1), "#,##0.0"), " tiles{}")</f>
        <v>{BLACK}Length: {GOLD}4.1 tiles{}</v>
      </c>
      <c r="CD58" s="1" t="str">
        <f aca="false">VLOOKUP($CB58, Constants!$M:$N, 2, FALSE())</f>
        <v>{BLACK}Powered by: {GOLD}750V DC</v>
      </c>
      <c r="CE58" s="19" t="str">
        <f aca="false">IF(M58&gt;1,_xlfn.CONCAT("{BLACK}Cars: {GOLD}", M58),"")</f>
        <v>{BLACK}Cars: {GOLD}5</v>
      </c>
      <c r="CF58" s="19" t="s">
        <v>387</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59" s="19" customFormat="true" ht="13.8" hidden="false" customHeight="false" outlineLevel="0" collapsed="false">
      <c r="A59" s="19" t="s">
        <v>388</v>
      </c>
      <c r="B59" s="19" t="s">
        <v>386</v>
      </c>
      <c r="C59" s="19" t="n">
        <v>465</v>
      </c>
      <c r="D59" s="19" t="n">
        <v>464</v>
      </c>
      <c r="E59" s="19" t="n">
        <v>406</v>
      </c>
      <c r="F59" s="19" t="s">
        <v>89</v>
      </c>
      <c r="G59" s="19" t="s">
        <v>90</v>
      </c>
      <c r="H59" s="19" t="s">
        <v>372</v>
      </c>
      <c r="I59" s="18" t="s">
        <v>389</v>
      </c>
      <c r="J59" s="19" t="n">
        <v>1988</v>
      </c>
      <c r="M59" s="19" t="n">
        <v>5</v>
      </c>
      <c r="N59" s="19" t="n">
        <v>2250</v>
      </c>
      <c r="O59" s="25" t="n">
        <v>1610</v>
      </c>
      <c r="P59" s="26"/>
      <c r="Q59" s="26"/>
      <c r="R59" s="26"/>
      <c r="S59" s="26"/>
      <c r="T59" s="26"/>
      <c r="U59" s="26"/>
      <c r="V59" s="26"/>
      <c r="W59" s="19" t="n">
        <v>208.8</v>
      </c>
      <c r="X59" s="25"/>
      <c r="Y59" s="19" t="n">
        <v>5</v>
      </c>
      <c r="Z59" s="19" t="n">
        <v>190</v>
      </c>
      <c r="AA59" s="27" t="n">
        <f aca="false">IF(AND(W59&gt;0,Z59&gt;0),(Z59/((W59+X59)*10)),"")</f>
        <v>0.0909961685823755</v>
      </c>
      <c r="AB59" s="19" t="n">
        <v>108</v>
      </c>
      <c r="AC59" s="19" t="n">
        <f aca="false">ROUND(AB59*1.6, 0)</f>
        <v>173</v>
      </c>
      <c r="AF59" s="19" t="n">
        <v>23</v>
      </c>
      <c r="AG59" s="19" t="n">
        <v>23</v>
      </c>
      <c r="AH59" s="19" t="n">
        <v>2.74</v>
      </c>
      <c r="AI59" s="19" t="n">
        <v>3.81</v>
      </c>
      <c r="AJ59" s="28" t="n">
        <v>66</v>
      </c>
      <c r="AK59" s="19" t="str">
        <f aca="false">CONCATENATE(VLOOKUP(AL59, '[1]Voxel Sizes'!$A$2:$B$18,2,FALSE()),"x",INT(AH59*15), "x", INT(AI59*15))</f>
        <v>214x41x57</v>
      </c>
      <c r="AL59" s="19" t="n">
        <f aca="false">ROUND(15*((AG59*10)/256),0)</f>
        <v>13</v>
      </c>
      <c r="AN59" s="19" t="str">
        <f aca="false">CONCATENATE(VLOOKUP(AL59,[1]Constants!$A$2:$C$16,IF(AM59&lt;&gt;"", 3, 2), FALSE()),IF(AM59&lt;&gt;"",CONCATENATE(",",VLOOKUP(AM59,$B:$AN,39,FALSE())),""))</f>
        <v>4,5,4</v>
      </c>
      <c r="AP59" s="29"/>
      <c r="AQ59" s="29"/>
      <c r="AR59" s="19" t="s">
        <v>390</v>
      </c>
      <c r="AS59" s="19" t="s">
        <v>391</v>
      </c>
      <c r="AT59" s="19" t="s">
        <v>142</v>
      </c>
      <c r="AX59" s="19" t="n">
        <v>35</v>
      </c>
      <c r="AY59" s="30" t="str">
        <f aca="false">IF(L59&lt;&gt;"",MAX(16,(L59-J59)+8),"")</f>
        <v/>
      </c>
      <c r="AZ59" s="19" t="n">
        <v>-10</v>
      </c>
      <c r="BA59" s="19" t="n">
        <v>-25</v>
      </c>
      <c r="BB59" s="19" t="n">
        <f aca="false">MIN(AB59/150, 1)*30</f>
        <v>21.6</v>
      </c>
      <c r="BC59" s="19" t="n">
        <f aca="false">MIN(N59/4000, 1)*20</f>
        <v>11.25</v>
      </c>
      <c r="BD59" s="19" t="n">
        <f aca="false">MIN(Z59/400,1)*20</f>
        <v>9.5</v>
      </c>
      <c r="BE59" s="27" t="n">
        <f aca="false">1-(MAX(J59-1900, 0)/750)</f>
        <v>0.882666666666667</v>
      </c>
      <c r="BF59" s="19" t="n">
        <f aca="false">((MAX($M59,1)*MIN($AJ59/300,1)))*IF(G59="Wagon",50,10)</f>
        <v>11</v>
      </c>
      <c r="BG59" s="19" t="n">
        <f aca="false">VLOOKUP($H59,[1]Constants!$I$1:$K$1048576, 2, FALSE())</f>
        <v>0.85</v>
      </c>
      <c r="BH59" s="19" t="n">
        <f aca="false">VLOOKUP($H59,[1]Constants!$I$1:$K$1048576, 3, FALSE())*IF(AND(G59="multiple_unit",AB59&lt;110),0.75,1)</f>
        <v>1.8</v>
      </c>
      <c r="BI59" s="19" t="n">
        <f aca="false">INT(POWER((([1]Constants!$G$2+$BB59+$BC59+$BD59+$BF59)*$BE59)*$BH59, 1.05))+$BA59</f>
        <v>91</v>
      </c>
      <c r="BJ59" s="19" t="n">
        <f aca="false">INT(POWER(((([1]Constants!$G$1+$BB59+$BC59+$BD59+$BF59)*($BE59))*$BG59),IF($G59="wagon",1,1.2)))+$AZ59</f>
        <v>102</v>
      </c>
      <c r="BK59" s="31" t="n">
        <f aca="false">BI59*IF($G59="wagon",62.5,781.25)</f>
        <v>71093.75</v>
      </c>
      <c r="BL59" s="31" t="n">
        <f aca="false">BJ59*IF($G59="wagon",2.73,81.25)</f>
        <v>8287.5</v>
      </c>
      <c r="BS59" s="19" t="s">
        <v>289</v>
      </c>
      <c r="BT59" s="19" t="n">
        <v>5</v>
      </c>
      <c r="BU59" s="19" t="n">
        <v>205</v>
      </c>
      <c r="BX59" s="19" t="s">
        <v>95</v>
      </c>
      <c r="BY59" s="19" t="str">
        <f aca="false">VLOOKUP(J59,[1]Eras!$A$2:$C$10, 2, TRUE())</f>
        <v>lbr</v>
      </c>
      <c r="BZ59" s="32" t="s">
        <v>226</v>
      </c>
      <c r="CA59" s="19" t="str">
        <f aca="false">CONCATENATE(BY59,"_",BZ59)</f>
        <v>lbr_EMU (Express)</v>
      </c>
      <c r="CB59" s="19" t="str">
        <f aca="false">_xlfn.CONCAT(H59, "_",I59)</f>
        <v>dual_electric_DUAL_POWER</v>
      </c>
      <c r="CC59" s="33" t="str">
        <f aca="false" t="array" ref="CC59:CC59">_xlfn.CONCAT("{BLACK}Length: {GOLD}", TEXT(ROUNDUP(IF(AQ59&lt;&gt;"",SUM(VALUE(_xlfn.TEXTSPLIT(AQ59, ","))), SUM(VALUE(_xlfn.TEXTSPLIT(AN59, ",")))*IF(M59, M59, 1))/16, 1), "#,##0.0"), " tiles{}")</f>
        <v>{BLACK}Length: {GOLD}4.1 tiles{}</v>
      </c>
      <c r="CD59" s="1" t="str">
        <f aca="false">VLOOKUP($CB59, Constants!$M:$N, 2, FALSE())</f>
        <v>{BLACK}Powered by: {GOLD}25kV AC / 750V DC</v>
      </c>
      <c r="CE59" s="19" t="str">
        <f aca="false">IF(M59&gt;1,_xlfn.CONCAT("{BLACK}Cars: {GOLD}", M59),"")</f>
        <v>{BLACK}Cars: {GOLD}5</v>
      </c>
      <c r="CF59" s="19" t="s">
        <v>392</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{GOLD}25kV AC / 750V DC {BLACK}Cars: {GOLD}5{}{BLACK}Length: {GOLD}4.1 tiles{}{YELLOW}10% bonus for long distance travel{}{SILVER}What if the Class 442 had a dual-voltage conversion to allow through-running expresses and an end to 3rd rail power supply?</v>
      </c>
    </row>
    <row r="60" s="18" customFormat="true" ht="13.8" hidden="false" customHeight="false" outlineLevel="0" collapsed="false">
      <c r="A60" s="18" t="s">
        <v>393</v>
      </c>
      <c r="B60" s="18" t="s">
        <v>394</v>
      </c>
      <c r="C60" s="1" t="n">
        <v>400</v>
      </c>
      <c r="E60" s="18" t="n">
        <v>410</v>
      </c>
      <c r="F60" s="18" t="s">
        <v>89</v>
      </c>
      <c r="G60" s="18" t="s">
        <v>90</v>
      </c>
      <c r="H60" s="18" t="s">
        <v>372</v>
      </c>
      <c r="I60" s="18" t="s">
        <v>389</v>
      </c>
      <c r="J60" s="18" t="n">
        <v>1992</v>
      </c>
      <c r="M60" s="18" t="n">
        <v>20</v>
      </c>
      <c r="N60" s="18" t="n">
        <v>16400</v>
      </c>
      <c r="O60" s="2" t="n">
        <v>4600</v>
      </c>
      <c r="P60" s="3"/>
      <c r="Q60" s="3"/>
      <c r="R60" s="3"/>
      <c r="S60" s="3"/>
      <c r="T60" s="3"/>
      <c r="U60" s="3"/>
      <c r="V60" s="3"/>
      <c r="W60" s="18" t="n">
        <v>752</v>
      </c>
      <c r="X60" s="2"/>
      <c r="Y60" s="18" t="n">
        <v>4</v>
      </c>
      <c r="Z60" s="18" t="n">
        <v>220</v>
      </c>
      <c r="AA60" s="4" t="n">
        <f aca="false">IF(AND(W60&gt;0,Z60&gt;0),(Z60/((W60+X60)*10)),"")</f>
        <v>0.0292553191489362</v>
      </c>
      <c r="AB60" s="18" t="n">
        <v>186</v>
      </c>
      <c r="AC60" s="18" t="n">
        <f aca="false">ROUND(AB60*1.6, 0)</f>
        <v>298</v>
      </c>
      <c r="AF60" s="18" t="n">
        <v>22.15</v>
      </c>
      <c r="AG60" s="18" t="n">
        <v>22.15</v>
      </c>
      <c r="AH60" s="18" t="n">
        <v>2.81</v>
      </c>
      <c r="AJ60" s="5" t="n">
        <v>35</v>
      </c>
      <c r="AK60" s="19" t="str">
        <f aca="false">CONCATENATE(VLOOKUP(AL60, 'Voxel Sizes'!$A$2:$B$18,2,FALSE()),"x",INT(AH60*15), "x", INT(AI60*15))</f>
        <v>214x42x0</v>
      </c>
      <c r="AL60" s="18" t="n">
        <f aca="false">ROUND(15*((AG60*10)/256),0)</f>
        <v>13</v>
      </c>
      <c r="AN60" s="1" t="str">
        <f aca="false">CONCATENATE(VLOOKUP(AL60,Constants!$A$2:$C$16,IF(AM60&lt;&gt;"", 3, 2), FALSE()),IF(AM60&lt;&gt;"",CONCATENATE(",",VLOOKUP(AM60,$B:$AN,38,FALSE())),""))</f>
        <v>4,5,4</v>
      </c>
      <c r="AP60" s="35" t="s">
        <v>395</v>
      </c>
      <c r="AQ60" s="35" t="s">
        <v>396</v>
      </c>
      <c r="AR60" s="18" t="s">
        <v>397</v>
      </c>
      <c r="AS60" s="18" t="s">
        <v>398</v>
      </c>
      <c r="AT60" s="18" t="s">
        <v>399</v>
      </c>
      <c r="AX60" s="18" t="n">
        <v>25</v>
      </c>
      <c r="AY60" s="6" t="str">
        <f aca="false">IF(L60&lt;&gt;"",MAX(16,(L60-J60)+8),"")</f>
        <v/>
      </c>
      <c r="BB60" s="18" t="n">
        <f aca="false">MIN(AB60/150, 1)*30</f>
        <v>30</v>
      </c>
      <c r="BC60" s="18" t="n">
        <f aca="false">MIN(N60/4000, 1)*20</f>
        <v>20</v>
      </c>
      <c r="BD60" s="18" t="n">
        <f aca="false">MIN(Z60/400,1)*20</f>
        <v>11</v>
      </c>
      <c r="BE60" s="4" t="n">
        <f aca="false">1-(MAX(J60-1900, 0)/750)</f>
        <v>0.877333333333333</v>
      </c>
      <c r="BF60" s="18" t="n">
        <f aca="false">((MAX($M60,1)*MIN($AJ60/300,1)))*IF(G60="Wagon",50,10)</f>
        <v>23.3333333333333</v>
      </c>
      <c r="BG60" s="1" t="n">
        <f aca="false">VLOOKUP($H60,Constants!$I:$K, 2, FALSE())</f>
        <v>0.85</v>
      </c>
      <c r="BH60" s="1" t="n">
        <f aca="false">VLOOKUP($H60,Constants!$I:$K, 3, FALSE())*IF(AND(G60="multiple_unit",AB60&lt;110),0.75,1)</f>
        <v>2.4</v>
      </c>
      <c r="BI60" s="1" t="n">
        <f aca="false">INT(POWER(((Constants!$G$2+$BB60+$BC60+$BD60+$BF60)*$BE60)*$BH60, 1.05))+$BA60</f>
        <v>244</v>
      </c>
      <c r="BJ60" s="1" t="n">
        <f aca="false">INT(POWER((((Constants!$G$1+$BB60+$BC60+$BD60+$BF60)*($BE60))*$BG60),IF($G60="wagon",1,1.2)))+$AZ60</f>
        <v>175</v>
      </c>
      <c r="BK60" s="20" t="n">
        <f aca="false">BI60*IF($G60="wagon",62.5,781.25)</f>
        <v>190625</v>
      </c>
      <c r="BL60" s="20" t="n">
        <f aca="false">BJ60*IF($G60="wagon",2.73,81.25)</f>
        <v>14218.75</v>
      </c>
      <c r="BS60" s="18" t="s">
        <v>203</v>
      </c>
      <c r="BT60" s="18" t="n">
        <v>11</v>
      </c>
      <c r="BU60" s="18" t="n">
        <v>232</v>
      </c>
      <c r="BX60" s="18" t="s">
        <v>95</v>
      </c>
      <c r="BY60" s="18" t="s">
        <v>244</v>
      </c>
      <c r="BZ60" s="18" t="s">
        <v>226</v>
      </c>
      <c r="CA60" s="18" t="str">
        <f aca="false">CONCATENATE(BY60,"_",BZ60)</f>
        <v>lbr_EMU (Express)</v>
      </c>
      <c r="CB60" s="18" t="str">
        <f aca="false">_xlfn.CONCAT(H60, "_",I60)</f>
        <v>dual_electric_DUAL_POWER</v>
      </c>
      <c r="CC60" s="21" t="str">
        <f aca="false">_xlfn.CONCAT("{BLACK}Length: {GOLD}", TEXT(ROUNDUP(IF(AQ60&lt;&gt;"",SUM(VALUE(_xlfn.TEXTSPLIT(AQ60, ","))), SUM(VALUE(_xlfn.TEXTSPLIT(AN60, ",")))*IF(M60, M60, 1))/16, 1), "#,##0.0"), " tiles{}")</f>
        <v>{BLACK}Length: {GOLD}14.5 tiles{}</v>
      </c>
      <c r="CD60" s="1" t="str">
        <f aca="false">VLOOKUP($CB60, Constants!$M:$N, 2, FALSE())</f>
        <v>{BLACK}Powered by: {GOLD}25kV AC / 750V DC</v>
      </c>
      <c r="CE60" s="1" t="str">
        <f aca="false">IF(M60&gt;1,_xlfn.CONCAT("{BLACK}Cars: {GOLD}", M60),"")</f>
        <v>{BLACK}Cars: {GOLD}20</v>
      </c>
      <c r="CF60" s="18" t="s">
        <v>400</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{YELLOW}25% bonus for long distance travel{}</v>
      </c>
      <c r="CH60" s="1" t="str">
        <f aca="false">_xlfn.CONCAT(CD60,IF(CD60 &lt;&gt; "", " ", ""),CE60,IF(OR(CE60&lt;&gt;"", CD60&lt;&gt;""), "{}",""), CC60, CG60,"{SILVER}", CF60)</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1" s="18" customFormat="true" ht="13.8" hidden="false" customHeight="false" outlineLevel="0" collapsed="false">
      <c r="A61" s="18" t="s">
        <v>401</v>
      </c>
      <c r="B61" s="18" t="s">
        <v>402</v>
      </c>
      <c r="C61" s="1" t="n">
        <v>401</v>
      </c>
      <c r="D61" s="18" t="n">
        <v>400</v>
      </c>
      <c r="E61" s="18" t="n">
        <v>411</v>
      </c>
      <c r="F61" s="18" t="s">
        <v>89</v>
      </c>
      <c r="G61" s="18" t="s">
        <v>90</v>
      </c>
      <c r="H61" s="18" t="s">
        <v>372</v>
      </c>
      <c r="I61" s="18" t="s">
        <v>389</v>
      </c>
      <c r="J61" s="18" t="n">
        <v>1992</v>
      </c>
      <c r="M61" s="18" t="n">
        <v>16</v>
      </c>
      <c r="N61" s="18" t="n">
        <v>16400</v>
      </c>
      <c r="O61" s="2" t="n">
        <v>4600</v>
      </c>
      <c r="P61" s="3"/>
      <c r="Q61" s="3"/>
      <c r="R61" s="3"/>
      <c r="S61" s="3"/>
      <c r="T61" s="3"/>
      <c r="U61" s="3"/>
      <c r="V61" s="3"/>
      <c r="W61" s="18" t="n">
        <v>665</v>
      </c>
      <c r="X61" s="2"/>
      <c r="Y61" s="18" t="n">
        <v>4</v>
      </c>
      <c r="Z61" s="18" t="n">
        <v>220</v>
      </c>
      <c r="AA61" s="4" t="n">
        <f aca="false">IF(AND(W61&gt;0,Z61&gt;0),(Z61/((W61+X61)*10)),"")</f>
        <v>0.0330827067669173</v>
      </c>
      <c r="AB61" s="18" t="n">
        <v>186</v>
      </c>
      <c r="AC61" s="18" t="n">
        <f aca="false">ROUND(AB61*1.6, 0)</f>
        <v>298</v>
      </c>
      <c r="AF61" s="18" t="n">
        <v>22.15</v>
      </c>
      <c r="AG61" s="18" t="n">
        <v>22.15</v>
      </c>
      <c r="AH61" s="18" t="n">
        <v>2.81</v>
      </c>
      <c r="AJ61" s="5" t="n">
        <v>35</v>
      </c>
      <c r="AK61" s="19" t="str">
        <f aca="false">CONCATENATE(VLOOKUP(AL61, 'Voxel Sizes'!$A$2:$B$18,2,FALSE()),"x",INT(AH61*15), "x", INT(AI61*15))</f>
        <v>214x42x0</v>
      </c>
      <c r="AL61" s="18" t="n">
        <f aca="false">ROUND(15*((AG61*10)/256),0)</f>
        <v>13</v>
      </c>
      <c r="AN61" s="1" t="str">
        <f aca="false">CONCATENATE(VLOOKUP(AL61,Constants!$A$2:$C$16,IF(AM61&lt;&gt;"", 3, 2), FALSE()),IF(AM61&lt;&gt;"",CONCATENATE(",",VLOOKUP(AM61,$B:$AN,38,FALSE())),""))</f>
        <v>4,5,4</v>
      </c>
      <c r="AP61" s="35" t="s">
        <v>403</v>
      </c>
      <c r="AQ61" s="35" t="s">
        <v>404</v>
      </c>
      <c r="AR61" s="18" t="s">
        <v>405</v>
      </c>
      <c r="AS61" s="18" t="s">
        <v>406</v>
      </c>
      <c r="AT61" s="18" t="s">
        <v>407</v>
      </c>
      <c r="AX61" s="18" t="n">
        <v>25</v>
      </c>
      <c r="AY61" s="6" t="str">
        <f aca="false">IF(L61&lt;&gt;"",MAX(16,(L61-J61)+8),"")</f>
        <v/>
      </c>
      <c r="BB61" s="18" t="n">
        <f aca="false">MIN(AB61/150, 1)*30</f>
        <v>30</v>
      </c>
      <c r="BC61" s="18" t="n">
        <f aca="false">MIN(N61/4000, 1)*20</f>
        <v>20</v>
      </c>
      <c r="BD61" s="18" t="n">
        <f aca="false">MIN(Z61/400,1)*20</f>
        <v>11</v>
      </c>
      <c r="BE61" s="4" t="n">
        <f aca="false">1-(MAX(J61-1900, 0)/750)</f>
        <v>0.877333333333333</v>
      </c>
      <c r="BF61" s="18" t="n">
        <f aca="false">((MAX($M61,1)*MIN($AJ61/300,1)))*IF(G61="Wagon",50,10)</f>
        <v>18.6666666666667</v>
      </c>
      <c r="BG61" s="1" t="n">
        <f aca="false">VLOOKUP($H61,Constants!$I:$K, 2, FALSE())</f>
        <v>0.85</v>
      </c>
      <c r="BH61" s="1" t="n">
        <f aca="false">VLOOKUP($H61,Constants!$I:$K, 3, FALSE())*IF(AND(G61="multiple_unit",AB61&lt;110),0.75,1)</f>
        <v>2.4</v>
      </c>
      <c r="BI61" s="1" t="n">
        <f aca="false">INT(POWER(((Constants!$G$2+$BB61+$BC61+$BD61+$BF61)*$BE61)*$BH61, 1.05))+$BA61</f>
        <v>231</v>
      </c>
      <c r="BJ61" s="1" t="n">
        <f aca="false">INT(POWER((((Constants!$G$1+$BB61+$BC61+$BD61+$BF61)*($BE61))*$BG61),IF($G61="wagon",1,1.2)))+$AZ61</f>
        <v>165</v>
      </c>
      <c r="BK61" s="20" t="n">
        <f aca="false">BI61*IF($G61="wagon",62.5,781.25)</f>
        <v>180468.75</v>
      </c>
      <c r="BL61" s="20" t="n">
        <f aca="false">BJ61*IF($G61="wagon",2.73,81.25)</f>
        <v>13406.25</v>
      </c>
      <c r="BS61" s="18" t="s">
        <v>203</v>
      </c>
      <c r="BT61" s="18" t="n">
        <v>11</v>
      </c>
      <c r="BU61" s="18" t="n">
        <v>232</v>
      </c>
      <c r="BX61" s="18" t="s">
        <v>95</v>
      </c>
      <c r="BY61" s="18" t="s">
        <v>244</v>
      </c>
      <c r="BZ61" s="18" t="s">
        <v>226</v>
      </c>
      <c r="CA61" s="18" t="str">
        <f aca="false">CONCATENATE(BY61,"_",BZ61)</f>
        <v>lbr_EMU (Express)</v>
      </c>
      <c r="CB61" s="18" t="str">
        <f aca="false">_xlfn.CONCAT(H61, "_",I61)</f>
        <v>dual_electric_DUAL_POWER</v>
      </c>
      <c r="CC61" s="21" t="str">
        <f aca="false">_xlfn.CONCAT("{BLACK}Length: {GOLD}", TEXT(ROUNDUP(IF(AQ61&lt;&gt;"",SUM(VALUE(_xlfn.TEXTSPLIT(AQ61, ","))), SUM(VALUE(_xlfn.TEXTSPLIT(AN61, ",")))*IF(M61, M61, 1))/16, 1), "#,##0.0"), " tiles{}")</f>
        <v>{BLACK}Length: {GOLD}11.8 tiles{}</v>
      </c>
      <c r="CD61" s="1" t="str">
        <f aca="false">VLOOKUP($CB61, Constants!$M:$N, 2, FALSE())</f>
        <v>{BLACK}Powered by: {GOLD}25kV AC / 750V DC</v>
      </c>
      <c r="CE61" s="1" t="str">
        <f aca="false">IF(M61&gt;1,_xlfn.CONCAT("{BLACK}Cars: {GOLD}", M61),"")</f>
        <v>{BLACK}Cars: {GOLD}16</v>
      </c>
      <c r="CF61" s="18" t="s">
        <v>408</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{YELLOW}25% bonus for long distance travel{}</v>
      </c>
      <c r="CH61" s="1" t="str">
        <f aca="false">_xlfn.CONCAT(CD61,IF(CD61 &lt;&gt; "", " ", ""),CE61,IF(OR(CE61&lt;&gt;"", CD61&lt;&gt;""), "{}",""), CC61, CG61,"{SILVER}", CF61)</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2" s="18" customFormat="true" ht="13.8" hidden="false" customHeight="false" outlineLevel="0" collapsed="false">
      <c r="A62" s="18" t="s">
        <v>409</v>
      </c>
      <c r="B62" s="18" t="s">
        <v>410</v>
      </c>
      <c r="C62" s="1" t="n">
        <v>402</v>
      </c>
      <c r="D62" s="18" t="n">
        <v>400</v>
      </c>
      <c r="E62" s="18" t="n">
        <v>412</v>
      </c>
      <c r="F62" s="18" t="s">
        <v>89</v>
      </c>
      <c r="G62" s="18" t="s">
        <v>90</v>
      </c>
      <c r="H62" s="18" t="s">
        <v>372</v>
      </c>
      <c r="I62" s="18" t="s">
        <v>389</v>
      </c>
      <c r="J62" s="18" t="n">
        <v>1992</v>
      </c>
      <c r="M62" s="18" t="n">
        <v>20</v>
      </c>
      <c r="N62" s="18" t="n">
        <v>16400</v>
      </c>
      <c r="O62" s="2" t="n">
        <v>4600</v>
      </c>
      <c r="P62" s="3"/>
      <c r="Q62" s="3"/>
      <c r="R62" s="3"/>
      <c r="S62" s="3"/>
      <c r="T62" s="3"/>
      <c r="U62" s="3"/>
      <c r="V62" s="3"/>
      <c r="W62" s="18" t="n">
        <v>752</v>
      </c>
      <c r="X62" s="2"/>
      <c r="Y62" s="18" t="n">
        <v>4</v>
      </c>
      <c r="Z62" s="18" t="n">
        <v>220</v>
      </c>
      <c r="AA62" s="4" t="n">
        <f aca="false">IF(AND(W62&gt;0,Z62&gt;0),(Z62/((W62+X62)*10)),"")</f>
        <v>0.0292553191489362</v>
      </c>
      <c r="AB62" s="18" t="n">
        <v>186</v>
      </c>
      <c r="AC62" s="18" t="n">
        <f aca="false">ROUND(AB62*1.6, 0)</f>
        <v>298</v>
      </c>
      <c r="AF62" s="18" t="n">
        <v>22.15</v>
      </c>
      <c r="AG62" s="18" t="n">
        <v>22.15</v>
      </c>
      <c r="AH62" s="18" t="n">
        <v>2.81</v>
      </c>
      <c r="AJ62" s="5" t="n">
        <v>35</v>
      </c>
      <c r="AK62" s="19" t="str">
        <f aca="false">CONCATENATE(VLOOKUP(AL62, 'Voxel Sizes'!$A$2:$B$18,2,FALSE()),"x",INT(AH62*15), "x", INT(AI62*15))</f>
        <v>214x42x0</v>
      </c>
      <c r="AL62" s="18" t="n">
        <f aca="false">ROUND(15*((AG62*10)/256),0)</f>
        <v>13</v>
      </c>
      <c r="AN62" s="1" t="str">
        <f aca="false">CONCATENATE(VLOOKUP(AL62,Constants!$A$2:$C$16,IF(AM62&lt;&gt;"", 3, 2), FALSE()),IF(AM62&lt;&gt;"",CONCATENATE(",",VLOOKUP(AM62,$B:$AN,38,FALSE())),""))</f>
        <v>4,5,4</v>
      </c>
      <c r="AP62" s="35" t="s">
        <v>395</v>
      </c>
      <c r="AQ62" s="35" t="s">
        <v>396</v>
      </c>
      <c r="AR62" s="18" t="s">
        <v>411</v>
      </c>
      <c r="AS62" s="18" t="s">
        <v>410</v>
      </c>
      <c r="AT62" s="18" t="s">
        <v>412</v>
      </c>
      <c r="AU62" s="19"/>
      <c r="AX62" s="18" t="n">
        <v>25</v>
      </c>
      <c r="AY62" s="6" t="str">
        <f aca="false">IF(L62&lt;&gt;"",MAX(16,(L62-J62)+8),"")</f>
        <v/>
      </c>
      <c r="BB62" s="18" t="n">
        <f aca="false">MIN(AB62/150, 1)*30</f>
        <v>30</v>
      </c>
      <c r="BC62" s="18" t="n">
        <f aca="false">MIN(N62/4000, 1)*20</f>
        <v>20</v>
      </c>
      <c r="BD62" s="18" t="n">
        <f aca="false">MIN(Z62/400,1)*20</f>
        <v>11</v>
      </c>
      <c r="BE62" s="4" t="n">
        <f aca="false">1-(MAX(J62-1900, 0)/750)</f>
        <v>0.877333333333333</v>
      </c>
      <c r="BF62" s="18" t="n">
        <f aca="false">((MAX($M62,1)*MIN($AJ62/300,1)))*IF(G62="Wagon",50,10)</f>
        <v>23.3333333333333</v>
      </c>
      <c r="BG62" s="1" t="n">
        <f aca="false">VLOOKUP($H62,Constants!$I:$K, 2, FALSE())</f>
        <v>0.85</v>
      </c>
      <c r="BH62" s="1" t="n">
        <f aca="false">VLOOKUP($H62,Constants!$I:$K, 3, FALSE())*IF(AND(G62="multiple_unit",AB62&lt;110),0.75,1)</f>
        <v>2.4</v>
      </c>
      <c r="BI62" s="1" t="n">
        <f aca="false">INT(POWER(((Constants!$G$2+$BB62+$BC62+$BD62+$BF62)*$BE62)*$BH62, 1.05))+$BA62</f>
        <v>244</v>
      </c>
      <c r="BJ62" s="1" t="n">
        <f aca="false">INT(POWER((((Constants!$G$1+$BB62+$BC62+$BD62+$BF62)*($BE62))*$BG62),IF($G62="wagon",1,1.2)))+$AZ62</f>
        <v>175</v>
      </c>
      <c r="BK62" s="20" t="n">
        <f aca="false">BI62*IF($G62="wagon",62.5,781.25)</f>
        <v>190625</v>
      </c>
      <c r="BL62" s="20" t="n">
        <f aca="false">BJ62*IF($G62="wagon",2.73,81.25)</f>
        <v>14218.75</v>
      </c>
      <c r="BS62" s="18" t="s">
        <v>203</v>
      </c>
      <c r="BT62" s="18" t="n">
        <v>11</v>
      </c>
      <c r="BU62" s="18" t="n">
        <v>232</v>
      </c>
      <c r="BX62" s="18" t="s">
        <v>95</v>
      </c>
      <c r="BY62" s="18" t="s">
        <v>244</v>
      </c>
      <c r="BZ62" s="18" t="s">
        <v>226</v>
      </c>
      <c r="CA62" s="18" t="str">
        <f aca="false">CONCATENATE(BY62,"_",BZ62)</f>
        <v>lbr_EMU (Express)</v>
      </c>
      <c r="CB62" s="18" t="str">
        <f aca="false">_xlfn.CONCAT(H62, "_",I62)</f>
        <v>dual_electric_DUAL_POWER</v>
      </c>
      <c r="CC62" s="21" t="str">
        <f aca="false">_xlfn.CONCAT("{BLACK}Length: {GOLD}", TEXT(ROUNDUP(IF(AQ62&lt;&gt;"",SUM(VALUE(_xlfn.TEXTSPLIT(AQ62, ","))), SUM(VALUE(_xlfn.TEXTSPLIT(AN62, ",")))*IF(M62, M62, 1))/16, 1), "#,##0.0"), " tiles{}")</f>
        <v>{BLACK}Length: {GOLD}14.5 tiles{}</v>
      </c>
      <c r="CD62" s="1" t="str">
        <f aca="false">VLOOKUP($CB62, Constants!$M:$N, 2, FALSE())</f>
        <v>{BLACK}Powered by: {GOLD}25kV AC / 750V DC</v>
      </c>
      <c r="CE62" s="1" t="str">
        <f aca="false">IF(M62&gt;1,_xlfn.CONCAT("{BLACK}Cars: {GOLD}", M62),"")</f>
        <v>{BLACK}Cars: {GOLD}20</v>
      </c>
      <c r="CF62" s="18" t="s">
        <v>400</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{YELLOW}25% bonus for long distance travel{}</v>
      </c>
      <c r="CH62" s="1" t="str">
        <f aca="false">_xlfn.CONCAT(CD62,IF(CD62 &lt;&gt; "", " ", ""),CE62,IF(OR(CE62&lt;&gt;"", CD62&lt;&gt;""), "{}",""), CC62, CG62,"{SILVER}", CF62)</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3" s="18" customFormat="true" ht="13.8" hidden="false" customHeight="false" outlineLevel="0" collapsed="false">
      <c r="A63" s="18" t="s">
        <v>409</v>
      </c>
      <c r="B63" s="18" t="s">
        <v>413</v>
      </c>
      <c r="C63" s="1" t="n">
        <v>403</v>
      </c>
      <c r="D63" s="18" t="n">
        <v>400</v>
      </c>
      <c r="E63" s="18" t="n">
        <v>413</v>
      </c>
      <c r="F63" s="18" t="s">
        <v>89</v>
      </c>
      <c r="G63" s="18" t="s">
        <v>90</v>
      </c>
      <c r="H63" s="18" t="s">
        <v>372</v>
      </c>
      <c r="I63" s="18" t="s">
        <v>389</v>
      </c>
      <c r="J63" s="18" t="n">
        <v>1992</v>
      </c>
      <c r="M63" s="18" t="n">
        <v>16</v>
      </c>
      <c r="N63" s="18" t="n">
        <v>16400</v>
      </c>
      <c r="O63" s="2" t="n">
        <v>4600</v>
      </c>
      <c r="P63" s="3"/>
      <c r="Q63" s="3"/>
      <c r="R63" s="3"/>
      <c r="S63" s="3"/>
      <c r="T63" s="3"/>
      <c r="U63" s="3"/>
      <c r="V63" s="3"/>
      <c r="W63" s="18" t="n">
        <v>665</v>
      </c>
      <c r="X63" s="2"/>
      <c r="Y63" s="18" t="n">
        <v>4</v>
      </c>
      <c r="Z63" s="18" t="n">
        <v>220</v>
      </c>
      <c r="AA63" s="4" t="n">
        <f aca="false">IF(AND(W63&gt;0,Z63&gt;0),(Z63/((W63+X63)*10)),"")</f>
        <v>0.0330827067669173</v>
      </c>
      <c r="AB63" s="18" t="n">
        <v>186</v>
      </c>
      <c r="AC63" s="18" t="n">
        <f aca="false">ROUND(AB63*1.6, 0)</f>
        <v>298</v>
      </c>
      <c r="AF63" s="18" t="n">
        <v>22.15</v>
      </c>
      <c r="AG63" s="18" t="n">
        <v>22.15</v>
      </c>
      <c r="AH63" s="18" t="n">
        <v>2.81</v>
      </c>
      <c r="AJ63" s="5" t="n">
        <v>35</v>
      </c>
      <c r="AK63" s="19" t="str">
        <f aca="false">CONCATENATE(VLOOKUP(AL63, 'Voxel Sizes'!$A$2:$B$18,2,FALSE()),"x",INT(AH63*15), "x", INT(AI63*15))</f>
        <v>214x42x0</v>
      </c>
      <c r="AL63" s="18" t="n">
        <f aca="false">ROUND(15*((AG63*10)/256),0)</f>
        <v>13</v>
      </c>
      <c r="AN63" s="1" t="str">
        <f aca="false">CONCATENATE(VLOOKUP(AL63,Constants!$A$2:$C$16,IF(AM63&lt;&gt;"", 3, 2), FALSE()),IF(AM63&lt;&gt;"",CONCATENATE(",",VLOOKUP(AM63,$B:$AN,38,FALSE())),""))</f>
        <v>4,5,4</v>
      </c>
      <c r="AP63" s="35" t="s">
        <v>403</v>
      </c>
      <c r="AQ63" s="35" t="s">
        <v>404</v>
      </c>
      <c r="AR63" s="18" t="s">
        <v>414</v>
      </c>
      <c r="AS63" s="18" t="s">
        <v>410</v>
      </c>
      <c r="AT63" s="18" t="s">
        <v>415</v>
      </c>
      <c r="AU63" s="19" t="s">
        <v>410</v>
      </c>
      <c r="AX63" s="18" t="n">
        <v>25</v>
      </c>
      <c r="AY63" s="6" t="str">
        <f aca="false">IF(L63&lt;&gt;"",MAX(16,(L63-J63)+8),"")</f>
        <v/>
      </c>
      <c r="BB63" s="18" t="n">
        <f aca="false">MIN(AB63/150, 1)*30</f>
        <v>30</v>
      </c>
      <c r="BC63" s="18" t="n">
        <f aca="false">MIN(N63/4000, 1)*20</f>
        <v>20</v>
      </c>
      <c r="BD63" s="18" t="n">
        <f aca="false">MIN(Z63/400,1)*20</f>
        <v>11</v>
      </c>
      <c r="BE63" s="4" t="n">
        <f aca="false">1-(MAX(J63-1900, 0)/750)</f>
        <v>0.877333333333333</v>
      </c>
      <c r="BF63" s="18" t="n">
        <f aca="false">((MAX($M63,1)*MIN($AJ63/300,1)))*IF(G63="Wagon",50,10)</f>
        <v>18.6666666666667</v>
      </c>
      <c r="BG63" s="1" t="n">
        <f aca="false">VLOOKUP($H63,Constants!$I:$K, 2, FALSE())</f>
        <v>0.85</v>
      </c>
      <c r="BH63" s="1" t="n">
        <f aca="false">VLOOKUP($H63,Constants!$I:$K, 3, FALSE())*IF(AND(G63="multiple_unit",AB63&lt;110),0.75,1)</f>
        <v>2.4</v>
      </c>
      <c r="BI63" s="1" t="n">
        <f aca="false">INT(POWER(((Constants!$G$2+$BB63+$BC63+$BD63+$BF63)*$BE63)*$BH63, 1.05))+$BA63</f>
        <v>231</v>
      </c>
      <c r="BJ63" s="1" t="n">
        <f aca="false">INT(POWER((((Constants!$G$1+$BB63+$BC63+$BD63+$BF63)*($BE63))*$BG63),IF($G63="wagon",1,1.2)))+$AZ63</f>
        <v>165</v>
      </c>
      <c r="BK63" s="20" t="n">
        <f aca="false">BI63*IF($G63="wagon",62.5,781.25)</f>
        <v>180468.75</v>
      </c>
      <c r="BL63" s="20" t="n">
        <f aca="false">BJ63*IF($G63="wagon",2.73,81.25)</f>
        <v>13406.25</v>
      </c>
      <c r="BS63" s="18" t="s">
        <v>203</v>
      </c>
      <c r="BT63" s="18" t="n">
        <v>11</v>
      </c>
      <c r="BU63" s="18" t="n">
        <v>232</v>
      </c>
      <c r="BX63" s="18" t="s">
        <v>95</v>
      </c>
      <c r="BY63" s="18" t="s">
        <v>244</v>
      </c>
      <c r="BZ63" s="18" t="s">
        <v>226</v>
      </c>
      <c r="CA63" s="18" t="str">
        <f aca="false">CONCATENATE(BY63,"_",BZ63)</f>
        <v>lbr_EMU (Express)</v>
      </c>
      <c r="CB63" s="18" t="str">
        <f aca="false">_xlfn.CONCAT(H63, "_",I63)</f>
        <v>dual_electric_DUAL_POWER</v>
      </c>
      <c r="CC63" s="21" t="str">
        <f aca="false">_xlfn.CONCAT("{BLACK}Length: {GOLD}", TEXT(ROUNDUP(IF(AQ63&lt;&gt;"",SUM(VALUE(_xlfn.TEXTSPLIT(AQ63, ","))), SUM(VALUE(_xlfn.TEXTSPLIT(AN63, ",")))*IF(M63, M63, 1))/16, 1), "#,##0.0"), " tiles{}")</f>
        <v>{BLACK}Length: {GOLD}11.8 tiles{}</v>
      </c>
      <c r="CD63" s="1" t="str">
        <f aca="false">VLOOKUP($CB63, Constants!$M:$N, 2, FALSE())</f>
        <v>{BLACK}Powered by: {GOLD}25kV AC / 750V DC</v>
      </c>
      <c r="CE63" s="1" t="str">
        <f aca="false">IF(M63&gt;1,_xlfn.CONCAT("{BLACK}Cars: {GOLD}", M63),"")</f>
        <v>{BLACK}Cars: {GOLD}16</v>
      </c>
      <c r="CF63" s="18" t="s">
        <v>408</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bonus for long distance travel{}</v>
      </c>
      <c r="CH63" s="1" t="str">
        <f aca="false">_xlfn.CONCAT(CD63,IF(CD63 &lt;&gt; "", " ", ""),CE63,IF(OR(CE63&lt;&gt;"", CD63&lt;&gt;""), "{}",""), CC63, CG63,"{SILVER}", CF63)</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4" s="19" customFormat="true" ht="13.8" hidden="false" customHeight="false" outlineLevel="0" collapsed="false">
      <c r="A64" s="19" t="s">
        <v>416</v>
      </c>
      <c r="B64" s="19" t="s">
        <v>417</v>
      </c>
      <c r="C64" s="19" t="n">
        <v>408</v>
      </c>
      <c r="E64" s="19" t="n">
        <v>420</v>
      </c>
      <c r="F64" s="19" t="s">
        <v>89</v>
      </c>
      <c r="G64" s="19" t="s">
        <v>90</v>
      </c>
      <c r="H64" s="19" t="s">
        <v>372</v>
      </c>
      <c r="I64" s="18" t="s">
        <v>389</v>
      </c>
      <c r="J64" s="19" t="n">
        <v>1994</v>
      </c>
      <c r="L64" s="19" t="n">
        <v>2022</v>
      </c>
      <c r="M64" s="19" t="n">
        <v>4</v>
      </c>
      <c r="N64" s="19" t="n">
        <v>1684</v>
      </c>
      <c r="O64" s="25"/>
      <c r="P64" s="26"/>
      <c r="Q64" s="26"/>
      <c r="R64" s="26"/>
      <c r="S64" s="26"/>
      <c r="T64" s="26"/>
      <c r="U64" s="26"/>
      <c r="V64" s="26"/>
      <c r="W64" s="19" t="n">
        <v>136</v>
      </c>
      <c r="X64" s="25"/>
      <c r="Y64" s="19" t="n">
        <v>5</v>
      </c>
      <c r="Z64" s="19" t="n">
        <v>165</v>
      </c>
      <c r="AA64" s="27" t="n">
        <f aca="false">IF(AND(W64&gt;0,Z64&gt;0),(Z64/((W64+X64)*10)),"")</f>
        <v>0.121323529411765</v>
      </c>
      <c r="AB64" s="19" t="n">
        <v>100</v>
      </c>
      <c r="AC64" s="19" t="n">
        <f aca="false">ROUND(AB64*1.6, 0)</f>
        <v>160</v>
      </c>
      <c r="AF64" s="19" t="n">
        <v>20.89</v>
      </c>
      <c r="AG64" s="19" t="n">
        <v>20.89</v>
      </c>
      <c r="AI64" s="19" t="n">
        <v>3.77</v>
      </c>
      <c r="AJ64" s="28" t="n">
        <v>66</v>
      </c>
      <c r="AK64" s="19" t="str">
        <f aca="false">CONCATENATE(VLOOKUP(AL64, 'Voxel Sizes'!$A$2:$B$18,2,FALSE()),"x",INT(AH64*15), "x", INT(AI64*15))</f>
        <v>198x0x56</v>
      </c>
      <c r="AL64" s="19" t="n">
        <f aca="false">ROUND(15*((AG64*10)/256),0)</f>
        <v>12</v>
      </c>
      <c r="AN64" s="19" t="str">
        <f aca="false">CONCATENATE(VLOOKUP(AL64,[1]Constants!$A$2:$C$16,IF(AM64&lt;&gt;"", 3, 2), FALSE()),IF(AM64&lt;&gt;"",CONCATENATE(",",VLOOKUP(AM64,$B:$AN,39,FALSE())),""))</f>
        <v>4,4,4</v>
      </c>
      <c r="AO64" s="19" t="n">
        <v>7</v>
      </c>
      <c r="AP64" s="29"/>
      <c r="AQ64" s="29"/>
      <c r="AR64" s="19" t="s">
        <v>418</v>
      </c>
      <c r="AS64" s="19" t="s">
        <v>419</v>
      </c>
      <c r="AT64" s="19" t="s">
        <v>188</v>
      </c>
      <c r="AU64" s="1"/>
      <c r="AX64" s="19" t="n">
        <v>32</v>
      </c>
      <c r="AY64" s="30" t="n">
        <f aca="false">IF(L64&lt;&gt;"",MAX(16,(L64-J64)+8),"")</f>
        <v>36</v>
      </c>
      <c r="BB64" s="19" t="n">
        <f aca="false">MIN(AB64/150, 1)*30</f>
        <v>20</v>
      </c>
      <c r="BC64" s="19" t="n">
        <f aca="false">MIN(N64/4000, 1)*20</f>
        <v>8.42</v>
      </c>
      <c r="BD64" s="19" t="n">
        <f aca="false">MIN(Z64/400,1)*20</f>
        <v>8.25</v>
      </c>
      <c r="BE64" s="27" t="n">
        <f aca="false">1-(MAX(J64-1900, 0)/750)</f>
        <v>0.874666666666667</v>
      </c>
      <c r="BF64" s="19" t="n">
        <f aca="false">((MAX($M64,1)*MIN($AJ64/300,1)))*IF(G64="Wagon",50,10)</f>
        <v>8.8</v>
      </c>
      <c r="BG64" s="1" t="n">
        <f aca="false">VLOOKUP($H64,Constants!$I:$K, 2, FALSE())</f>
        <v>0.85</v>
      </c>
      <c r="BH64" s="1" t="n">
        <f aca="false">VLOOKUP($H64,Constants!$I:$K, 3, FALSE())*IF(AND(G64="multiple_unit",AB64&lt;110),0.75,1)</f>
        <v>1.8</v>
      </c>
      <c r="BI64" s="19" t="n">
        <f aca="false">INT(POWER((([1]Constants!$G$2+$BB64+$BC64+$BD64+$BF64)*$BE64)*$BH64, 1.05))+$BA64</f>
        <v>98</v>
      </c>
      <c r="BJ64" s="19" t="n">
        <f aca="false">INT(POWER(((([1]Constants!$G$1+$BB64+$BC64+$BD64+$BF64)*($BE64))*$BG64),IF($G64="wagon",1,1.2)))+$AZ64</f>
        <v>96</v>
      </c>
      <c r="BK64" s="31" t="n">
        <f aca="false">BI64*IF($G64="wagon",62.5,781.25)</f>
        <v>76562.5</v>
      </c>
      <c r="BL64" s="31" t="n">
        <f aca="false">BJ64*IF($G64="wagon",2.73,81.25)</f>
        <v>7800</v>
      </c>
      <c r="BT64" s="19" t="n">
        <v>4</v>
      </c>
      <c r="BU64" s="19" t="n">
        <v>185</v>
      </c>
      <c r="BX64" s="19" t="s">
        <v>95</v>
      </c>
      <c r="BY64" s="19" t="str">
        <f aca="false">VLOOKUP(J64,[1]Eras!$A$2:$C$10, 2, TRUE())</f>
        <v>lbr</v>
      </c>
      <c r="BZ64" s="18" t="s">
        <v>97</v>
      </c>
      <c r="CA64" s="19" t="str">
        <f aca="false">CONCATENATE(BY64,"_",BZ64)</f>
        <v>lbr_EMU</v>
      </c>
      <c r="CB64" s="19" t="str">
        <f aca="false">_xlfn.CONCAT(H64, "_",I64)</f>
        <v>dual_electric_DUAL_POWER</v>
      </c>
      <c r="CC64" s="33" t="str">
        <f aca="false" t="array" ref="CC64:CC64">_xlfn.CONCAT("{BLACK}Length: {GOLD}", TEXT(ROUNDUP(IF(AQ64&lt;&gt;"",SUM(VALUE(_xlfn.TEXTSPLIT(AQ64, ","))), SUM(VALUE(_xlfn.TEXTSPLIT(AN64, ",")))*IF(M64, M64, 1))/16, 1), "#,##0.0"), " tiles{}")</f>
        <v>{BLACK}Length: {GOLD}3.0 tiles{}</v>
      </c>
      <c r="CD64" s="1" t="str">
        <f aca="false">VLOOKUP($CB64, Constants!$M:$N, 2, FALSE())</f>
        <v>{BLACK}Powered by: {GOLD}25kV AC / 750V DC</v>
      </c>
      <c r="CE64" s="19" t="str">
        <f aca="false">IF(M64&gt;1,_xlfn.CONCAT("{BLACK}Cars: {GOLD}", M64),"")</f>
        <v>{BLACK}Cars: {GOLD}4</v>
      </c>
      <c r="CF64" s="19" t="s">
        <v>420</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 750V DC {BLACK}Cars: {GOLD}4{}{BLACK}Length: {GOLD}3.0 tiles{}{SILVER}Amongst the last passenger vehicles built at the former BREL Holgate Road works, the Class 365s began to be delivered at the very end of British Rail operations.</v>
      </c>
    </row>
    <row r="65" s="19" customFormat="true" ht="13.8" hidden="false" customHeight="false" outlineLevel="0" collapsed="false">
      <c r="A65" s="19" t="s">
        <v>421</v>
      </c>
      <c r="B65" s="19" t="s">
        <v>422</v>
      </c>
      <c r="C65" s="19" t="n">
        <v>409</v>
      </c>
      <c r="E65" s="19" t="n">
        <v>420</v>
      </c>
      <c r="F65" s="19" t="s">
        <v>89</v>
      </c>
      <c r="G65" s="19" t="s">
        <v>90</v>
      </c>
      <c r="H65" s="19" t="s">
        <v>91</v>
      </c>
      <c r="I65" s="19" t="s">
        <v>248</v>
      </c>
      <c r="J65" s="19" t="n">
        <v>1992</v>
      </c>
      <c r="K65" s="19" t="n">
        <v>1994</v>
      </c>
      <c r="M65" s="19" t="n">
        <v>4</v>
      </c>
      <c r="N65" s="19" t="n">
        <v>1608</v>
      </c>
      <c r="O65" s="25"/>
      <c r="P65" s="26"/>
      <c r="Q65" s="26"/>
      <c r="R65" s="26"/>
      <c r="S65" s="26"/>
      <c r="T65" s="26"/>
      <c r="U65" s="26"/>
      <c r="V65" s="26"/>
      <c r="W65" s="19" t="n">
        <v>136</v>
      </c>
      <c r="X65" s="25"/>
      <c r="Y65" s="19" t="n">
        <v>5</v>
      </c>
      <c r="Z65" s="19" t="n">
        <v>165</v>
      </c>
      <c r="AA65" s="27" t="n">
        <f aca="false">IF(AND(W65&gt;0,Z65&gt;0),(Z65/((W65+X65)*10)),"")</f>
        <v>0.121323529411765</v>
      </c>
      <c r="AB65" s="19" t="n">
        <v>75</v>
      </c>
      <c r="AC65" s="19" t="n">
        <f aca="false">ROUND(AB65*1.6, 0)</f>
        <v>120</v>
      </c>
      <c r="AF65" s="19" t="n">
        <v>20.89</v>
      </c>
      <c r="AG65" s="19" t="n">
        <v>20.89</v>
      </c>
      <c r="AI65" s="19" t="n">
        <v>3.77</v>
      </c>
      <c r="AJ65" s="28" t="n">
        <v>81</v>
      </c>
      <c r="AK65" s="19" t="str">
        <f aca="false">CONCATENATE(VLOOKUP(AL65, 'Voxel Sizes'!$A$2:$B$18,2,FALSE()),"x",INT(AH65*15), "x", INT(AI65*15))</f>
        <v>198x0x56</v>
      </c>
      <c r="AL65" s="19" t="n">
        <f aca="false">ROUND(15*((AG65*10)/256),0)</f>
        <v>12</v>
      </c>
      <c r="AN65" s="19" t="str">
        <f aca="false">CONCATENATE(VLOOKUP(AL65,[1]Constants!$A$2:$C$16,IF(AM65&lt;&gt;"", 3, 2), FALSE()),IF(AM65&lt;&gt;"",CONCATENATE(",",VLOOKUP(AM65,$B:$AN,39,FALSE())),""))</f>
        <v>4,4,4</v>
      </c>
      <c r="AO65" s="19" t="n">
        <v>0</v>
      </c>
      <c r="AP65" s="29"/>
      <c r="AQ65" s="29"/>
      <c r="AR65" s="19" t="s">
        <v>423</v>
      </c>
      <c r="AT65" s="19" t="s">
        <v>163</v>
      </c>
      <c r="AU65" s="1" t="s">
        <v>424</v>
      </c>
      <c r="AX65" s="19" t="n">
        <v>32</v>
      </c>
      <c r="AY65" s="30" t="str">
        <f aca="false">IF(L65&lt;&gt;"",MAX(16,(L65-J65)+8),"")</f>
        <v/>
      </c>
      <c r="AZ65" s="19" t="n">
        <v>-10</v>
      </c>
      <c r="BA65" s="19" t="n">
        <v>-20</v>
      </c>
      <c r="BB65" s="19" t="n">
        <f aca="false">MIN(AB65/150, 1)*30</f>
        <v>15</v>
      </c>
      <c r="BC65" s="19" t="n">
        <f aca="false">MIN(N65/4000, 1)*20</f>
        <v>8.04</v>
      </c>
      <c r="BD65" s="19" t="n">
        <f aca="false">MIN(Z65/400,1)*20</f>
        <v>8.25</v>
      </c>
      <c r="BE65" s="27" t="n">
        <f aca="false">1-(MAX(J65-1900, 0)/750)</f>
        <v>0.877333333333333</v>
      </c>
      <c r="BF65" s="19" t="n">
        <f aca="false">((MAX($M65,1)*MIN($AJ65/300,1)))*IF(G65="Wagon",50,10)</f>
        <v>10.8</v>
      </c>
      <c r="BG65" s="19" t="n">
        <f aca="false">VLOOKUP($H65,[1]Constants!$I$1:$K$1048576, 2, FALSE())</f>
        <v>0.85</v>
      </c>
      <c r="BH65" s="1" t="n">
        <f aca="false">VLOOKUP($H65,Constants!$I:$K, 3, FALSE())*IF(AND(G65="multiple_unit",AB65&lt;110),0.75,1)</f>
        <v>1.725</v>
      </c>
      <c r="BI65" s="19" t="n">
        <f aca="false">INT(POWER((([1]Constants!$G$2+$BB65+$BC65+$BD65+$BF65)*$BE65)*$BH65, 1.05))+$BA65</f>
        <v>68</v>
      </c>
      <c r="BJ65" s="19" t="n">
        <f aca="false">INT(POWER(((([1]Constants!$G$1+$BB65+$BC65+$BD65+$BF65)*($BE65))*$BG65),IF($G65="wagon",1,1.2)))+$AZ65</f>
        <v>80</v>
      </c>
      <c r="BK65" s="31" t="n">
        <f aca="false">BI65*IF($G65="wagon",62.5,781.25)</f>
        <v>53125</v>
      </c>
      <c r="BL65" s="31" t="n">
        <f aca="false">BJ65*IF($G65="wagon",2.73,81.25)</f>
        <v>6500</v>
      </c>
      <c r="BQ65" s="19" t="s">
        <v>425</v>
      </c>
      <c r="BT65" s="19" t="n">
        <v>10</v>
      </c>
      <c r="BU65" s="19" t="n">
        <v>205</v>
      </c>
      <c r="BX65" s="19" t="s">
        <v>95</v>
      </c>
      <c r="BY65" s="19" t="str">
        <f aca="false">VLOOKUP(J65,[1]Eras!$A$2:$C$10, 2, TRUE())</f>
        <v>lbr</v>
      </c>
      <c r="BZ65" s="32" t="s">
        <v>97</v>
      </c>
      <c r="CA65" s="19" t="str">
        <f aca="false">CONCATENATE(BY65,"_",BZ65)</f>
        <v>lbr_EMU</v>
      </c>
      <c r="CB65" s="19" t="str">
        <f aca="false">_xlfn.CONCAT(H65, "_",I65)</f>
        <v>electric_THIRD_RAIL</v>
      </c>
      <c r="CC65" s="33" t="str">
        <f aca="false" t="array" ref="CC65:CC65">_xlfn.CONCAT("{BLACK}Length: {GOLD}", TEXT(ROUNDUP(IF(AQ65&lt;&gt;"",SUM(VALUE(_xlfn.TEXTSPLIT(AQ65, ","))), SUM(VALUE(_xlfn.TEXTSPLIT(AN65, ",")))*IF(M65, M65, 1))/16, 1), "#,##0.0"), " tiles{}")</f>
        <v>{BLACK}Length: {GOLD}3.0 tiles{}</v>
      </c>
      <c r="CD65" s="19" t="str">
        <f aca="false">VLOOKUP($CB65, [1]Constants!$M$1:$N$1048576, 2, FALSE())</f>
        <v>{BLACK}Powered by: {GOLD}750V DC</v>
      </c>
      <c r="CE65" s="19" t="str">
        <f aca="false">IF(M65&gt;1,_xlfn.CONCAT("{BLACK}Cars: {GOLD}", M65),"")</f>
        <v>{BLACK}Cars: {GOLD}4</v>
      </c>
      <c r="CF65" s="19" t="s">
        <v>426</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{YELLOW}10% bonus for long distance travel{}</v>
      </c>
      <c r="CH65" s="1" t="str">
        <f aca="false">_xlfn.CONCAT(CD65,IF(CD65 &lt;&gt; "", " ", ""),CE65,IF(OR(CE65&lt;&gt;"", CD65&lt;&gt;""), "{}",""), CC65, CG65,"{SILVER}", CF65)</f>
        <v>{BLACK}Powered by: {GOLD}750V DC {BLACK}Cars: {GOLD}4{}{BLACK}Length: {GOLD}3.0 tiles{}{YELLOW}10% bonus for long distance travel{}{SILVER}The BREL Networker was built by three different companies (ABB, Metro-Cammell and BREL) with minor detail differences between each manufacturer's output.</v>
      </c>
    </row>
    <row r="66" customFormat="false" ht="13.8" hidden="false" customHeight="false" outlineLevel="0" collapsed="false">
      <c r="A66" s="18" t="s">
        <v>427</v>
      </c>
      <c r="B66" s="18" t="s">
        <v>425</v>
      </c>
      <c r="C66" s="1" t="n">
        <v>410</v>
      </c>
      <c r="D66" s="1" t="n">
        <v>409</v>
      </c>
      <c r="E66" s="1" t="n">
        <v>421</v>
      </c>
      <c r="F66" s="1" t="s">
        <v>89</v>
      </c>
      <c r="G66" s="1" t="s">
        <v>90</v>
      </c>
      <c r="H66" s="1" t="s">
        <v>91</v>
      </c>
      <c r="I66" s="1" t="s">
        <v>248</v>
      </c>
      <c r="J66" s="1" t="n">
        <v>1993</v>
      </c>
      <c r="K66" s="1" t="n">
        <v>2025</v>
      </c>
      <c r="L66" s="1" t="n">
        <v>2028</v>
      </c>
      <c r="M66" s="1" t="n">
        <v>2</v>
      </c>
      <c r="N66" s="1" t="n">
        <v>1500</v>
      </c>
      <c r="W66" s="1" t="n">
        <v>72</v>
      </c>
      <c r="Y66" s="1" t="n">
        <v>5</v>
      </c>
      <c r="Z66" s="1" t="n">
        <v>83</v>
      </c>
      <c r="AA66" s="4" t="n">
        <f aca="false">IF(AND(W66&gt;0,Z66&gt;0),(Z66/((W66+X66)*10)),"")</f>
        <v>0.115277777777778</v>
      </c>
      <c r="AB66" s="1" t="n">
        <v>75</v>
      </c>
      <c r="AC66" s="1" t="n">
        <f aca="false">ROUND(AB66*1.6, 0)</f>
        <v>120</v>
      </c>
      <c r="AF66" s="1" t="n">
        <v>20.89</v>
      </c>
      <c r="AG66" s="1" t="n">
        <v>20.89</v>
      </c>
      <c r="AI66" s="1" t="n">
        <v>3.77</v>
      </c>
      <c r="AJ66" s="5" t="n">
        <v>84</v>
      </c>
      <c r="AK66" s="19" t="str">
        <f aca="false">CONCATENATE(VLOOKUP(AL66, 'Voxel Sizes'!$A$2:$B$18,2,FALSE()),"x",INT(AH66*15), "x", INT(AI66*15))</f>
        <v>198x0x56</v>
      </c>
      <c r="AL66" s="1" t="n">
        <f aca="false">ROUND(15*((AG66*10)/256),0)</f>
        <v>12</v>
      </c>
      <c r="AN66" s="1" t="str">
        <f aca="false">CONCATENATE(VLOOKUP(AL66,Constants!$A$2:$C$16,IF(AM66&lt;&gt;"", 3, 2), FALSE()),IF(AM66&lt;&gt;"",CONCATENATE(",",VLOOKUP(AM66,$B:$AN,38,FALSE())),""))</f>
        <v>4,4,4</v>
      </c>
      <c r="AO66" s="1" t="n">
        <v>0</v>
      </c>
      <c r="AR66" s="1" t="s">
        <v>428</v>
      </c>
      <c r="AT66" s="1" t="s">
        <v>183</v>
      </c>
      <c r="AU66" s="1" t="s">
        <v>424</v>
      </c>
      <c r="AX66" s="1" t="n">
        <v>32</v>
      </c>
      <c r="AY66" s="6" t="n">
        <f aca="false">IF(L66&lt;&gt;"",MAX(16,(L66-J66)+8),"")</f>
        <v>43</v>
      </c>
      <c r="AZ66" s="1" t="n">
        <v>-10</v>
      </c>
      <c r="BA66" s="1" t="n">
        <v>-20</v>
      </c>
      <c r="BB66" s="1" t="n">
        <f aca="false">MIN(AB66/150, 1)*30</f>
        <v>15</v>
      </c>
      <c r="BC66" s="1" t="n">
        <f aca="false">MIN(N66/4000, 1)*20</f>
        <v>7.5</v>
      </c>
      <c r="BD66" s="1" t="n">
        <f aca="false">MIN(Z66/400,1)*20</f>
        <v>4.15</v>
      </c>
      <c r="BE66" s="4" t="n">
        <f aca="false">1-(MAX(J66-1900, 0)/750)</f>
        <v>0.876</v>
      </c>
      <c r="BF66" s="1" t="n">
        <f aca="false">((MAX($M66,1)*MIN($AJ66/300,1)))*IF(G66="Wagon",50,10)</f>
        <v>5.6</v>
      </c>
      <c r="BG66" s="1" t="n">
        <f aca="false">VLOOKUP($H66,Constants!$I:$K, 2, FALSE())</f>
        <v>0.85</v>
      </c>
      <c r="BH66" s="1" t="n">
        <f aca="false">VLOOKUP($H66,Constants!$I:$K, 3, FALSE())*IF(AND(G66="multiple_unit",AB66&lt;110),0.75,1)</f>
        <v>1.725</v>
      </c>
      <c r="BI66" s="1" t="n">
        <f aca="false">INT(POWER(((Constants!$G$2+$BB66+$BC66+$BD66+$BF66)*$BE66)*$BH66, 1.05))+$BA66</f>
        <v>48</v>
      </c>
      <c r="BJ66" s="1" t="n">
        <f aca="false">INT(POWER((((Constants!$G$1+$BB66+$BC66+$BD66+$BF66)*($BE66))*$BG66),IF($G66="wagon",1,1.2)))+$AZ66</f>
        <v>61</v>
      </c>
      <c r="BK66" s="20" t="n">
        <f aca="false">BI66*IF($G66="wagon",62.5,781.25)</f>
        <v>37500</v>
      </c>
      <c r="BL66" s="20" t="n">
        <f aca="false">BJ66*IF($G66="wagon",2.73,81.25)</f>
        <v>4956.25</v>
      </c>
      <c r="BQ66" s="1" t="s">
        <v>422</v>
      </c>
      <c r="BT66" s="1" t="n">
        <v>6</v>
      </c>
      <c r="BU66" s="1" t="n">
        <v>185</v>
      </c>
      <c r="BX66" s="1" t="s">
        <v>95</v>
      </c>
      <c r="BY66" s="1" t="s">
        <v>244</v>
      </c>
      <c r="BZ66" s="18" t="s">
        <v>226</v>
      </c>
      <c r="CA66" s="1" t="str">
        <f aca="false">CONCATENATE(BY66,"_",BZ66)</f>
        <v>lbr_EMU (Express)</v>
      </c>
      <c r="CB66" s="1" t="str">
        <f aca="false">_xlfn.CONCAT(H66, "_",I66)</f>
        <v>electric_THIRD_RAIL</v>
      </c>
      <c r="CC66" s="21" t="str">
        <f aca="false">_xlfn.CONCAT("{BLACK}Length: {GOLD}", TEXT(ROUNDUP(IF(AQ66&lt;&gt;"",SUM(VALUE(_xlfn.TEXTSPLIT(AQ66, ","))), SUM(VALUE(_xlfn.TEXTSPLIT(AN66, ",")))*IF(M66, M66, 1))/16, 1), "#,##0.0"), " tiles{}")</f>
        <v>{BLACK}Length: {GOLD}1.5 tiles{}</v>
      </c>
      <c r="CD66" s="1" t="str">
        <f aca="false">VLOOKUP($CB66, Constants!$M:$N, 2, FALSE())</f>
        <v>{BLACK}Powered by: {GOLD}750V DC</v>
      </c>
      <c r="CE66" s="1" t="str">
        <f aca="false">IF(M66&gt;1,_xlfn.CONCAT("{BLACK}Cars: {GOLD}", M66),"")</f>
        <v>{BLACK}Cars: {GOLD}2</v>
      </c>
      <c r="CF66" s="19" t="s">
        <v>429</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{GOLD}750V DC {BLACK}Cars: {GOLD}2{}{BLACK}Length: {GOLD}1.5 tiles{}{SILVER}The Class 466 was a shorter Class 465, used for small branch line service and to strengthen peak services up to 10 cars as needed.</v>
      </c>
      <c r="CI66" s="1"/>
      <c r="CJ66" s="1"/>
      <c r="CL66" s="18"/>
      <c r="CM66" s="18"/>
      <c r="CN66" s="18"/>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8"/>
      <c r="DT66" s="18"/>
      <c r="DU66" s="18"/>
      <c r="DV66" s="18"/>
      <c r="DW66" s="18"/>
      <c r="DX66" s="18"/>
      <c r="DY66" s="18"/>
      <c r="DZ66" s="18"/>
      <c r="EA66" s="18"/>
      <c r="EB66" s="18"/>
      <c r="EC66" s="18"/>
      <c r="ED66" s="18"/>
      <c r="EE66" s="18"/>
      <c r="EF66" s="18"/>
      <c r="EG66" s="18"/>
      <c r="EH66" s="18"/>
      <c r="EI66" s="18"/>
      <c r="EJ66" s="18"/>
      <c r="EK66" s="18"/>
      <c r="EL66" s="18"/>
      <c r="EM66" s="18"/>
      <c r="EN66" s="18"/>
      <c r="EO66" s="18"/>
      <c r="EP66" s="18"/>
      <c r="EQ66" s="18"/>
      <c r="ER66" s="18"/>
      <c r="ES66" s="18"/>
      <c r="ET66" s="18"/>
      <c r="EU66" s="18"/>
      <c r="EV66" s="18"/>
      <c r="EW66" s="18"/>
      <c r="EX66" s="18"/>
      <c r="EY66" s="18"/>
      <c r="EZ66" s="18"/>
      <c r="FA66" s="18"/>
      <c r="FB66" s="18"/>
      <c r="FC66" s="18"/>
      <c r="FD66" s="18"/>
      <c r="FE66" s="18"/>
      <c r="FF66" s="18"/>
      <c r="FG66" s="18"/>
      <c r="FH66" s="18"/>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8"/>
      <c r="GN66" s="18"/>
      <c r="GO66" s="18"/>
      <c r="GP66" s="18"/>
      <c r="GQ66" s="18"/>
      <c r="GR66" s="18"/>
      <c r="GS66" s="18"/>
      <c r="GT66" s="18"/>
      <c r="GU66" s="18"/>
      <c r="GV66" s="18"/>
      <c r="GW66" s="18"/>
      <c r="GX66" s="18"/>
      <c r="GY66" s="18"/>
      <c r="GZ66" s="18"/>
      <c r="HA66" s="18"/>
      <c r="HB66" s="18"/>
      <c r="HC66" s="18"/>
      <c r="HD66" s="18"/>
      <c r="HE66" s="18"/>
      <c r="HF66" s="18"/>
      <c r="HG66" s="18"/>
      <c r="HH66" s="18"/>
      <c r="HI66" s="18"/>
      <c r="HJ66" s="18"/>
      <c r="HK66" s="18"/>
      <c r="HL66" s="18"/>
      <c r="HM66" s="18"/>
      <c r="HN66" s="18"/>
      <c r="HO66" s="18"/>
      <c r="HP66" s="18"/>
      <c r="HQ66" s="18"/>
      <c r="HR66" s="18"/>
      <c r="HS66" s="18"/>
      <c r="HT66" s="18"/>
      <c r="HU66" s="18"/>
      <c r="HV66" s="18"/>
      <c r="HW66" s="18"/>
      <c r="HX66" s="18"/>
      <c r="HY66" s="18"/>
      <c r="HZ66" s="18"/>
      <c r="IA66" s="18"/>
      <c r="IB66" s="18"/>
      <c r="IC66" s="18"/>
      <c r="ID66" s="18"/>
      <c r="IE66" s="18"/>
      <c r="IF66" s="18"/>
      <c r="IG66" s="18"/>
      <c r="IH66" s="18"/>
      <c r="II66" s="18"/>
      <c r="IJ66" s="18"/>
      <c r="IK66" s="18"/>
      <c r="IL66" s="18"/>
      <c r="IM66" s="18"/>
      <c r="IN66" s="18"/>
      <c r="IO66" s="18"/>
      <c r="IP66" s="18"/>
      <c r="IQ66" s="18"/>
      <c r="IR66" s="18"/>
      <c r="IS66" s="18"/>
      <c r="IT66" s="18"/>
      <c r="IU66" s="18"/>
      <c r="IV66" s="18"/>
      <c r="IW66" s="18"/>
      <c r="IX66" s="18"/>
      <c r="IY66" s="18"/>
      <c r="IZ66" s="18"/>
      <c r="JA66" s="18"/>
      <c r="JB66" s="18"/>
      <c r="JC66" s="18"/>
      <c r="JD66" s="18"/>
      <c r="JE66" s="18"/>
      <c r="JF66" s="18"/>
      <c r="JG66" s="18"/>
      <c r="JH66" s="18"/>
      <c r="JI66" s="18"/>
      <c r="JJ66" s="18"/>
      <c r="JK66" s="18"/>
      <c r="JL66" s="18"/>
      <c r="JM66" s="18"/>
      <c r="JN66" s="18"/>
      <c r="JO66" s="18"/>
      <c r="JP66" s="18"/>
      <c r="JQ66" s="18"/>
      <c r="JR66" s="18"/>
      <c r="JS66" s="18"/>
      <c r="JT66" s="18"/>
      <c r="JU66" s="18"/>
      <c r="JV66" s="18"/>
      <c r="JW66" s="18"/>
      <c r="JX66" s="18"/>
      <c r="JY66" s="18"/>
      <c r="JZ66" s="18"/>
      <c r="KA66" s="18"/>
      <c r="KB66" s="18"/>
      <c r="KC66" s="18"/>
      <c r="KD66" s="18"/>
      <c r="KE66" s="18"/>
      <c r="KF66" s="18"/>
      <c r="KG66" s="18"/>
      <c r="KH66" s="18"/>
      <c r="KI66" s="18"/>
      <c r="KJ66" s="18"/>
      <c r="KK66" s="18"/>
      <c r="KL66" s="18"/>
      <c r="KM66" s="18"/>
      <c r="KN66" s="18"/>
      <c r="KO66" s="18"/>
      <c r="KP66" s="18"/>
      <c r="KQ66" s="18"/>
      <c r="KR66" s="18"/>
      <c r="KS66" s="18"/>
      <c r="KT66" s="18"/>
      <c r="KU66" s="18"/>
      <c r="KV66" s="18"/>
      <c r="KW66" s="18"/>
      <c r="KX66" s="18"/>
      <c r="KY66" s="18"/>
      <c r="KZ66" s="18"/>
      <c r="LA66" s="18"/>
      <c r="LB66" s="18"/>
      <c r="LC66" s="18"/>
      <c r="LD66" s="18"/>
      <c r="LE66" s="18"/>
      <c r="LF66" s="18"/>
      <c r="LG66" s="18"/>
      <c r="LH66" s="18"/>
      <c r="LI66" s="18"/>
      <c r="LJ66" s="18"/>
      <c r="LK66" s="18"/>
      <c r="LL66" s="18"/>
      <c r="LM66" s="18"/>
      <c r="LN66" s="18"/>
      <c r="LO66" s="18"/>
      <c r="LP66" s="18"/>
      <c r="LQ66" s="18"/>
      <c r="LR66" s="18"/>
      <c r="LS66" s="18"/>
      <c r="LT66" s="18"/>
      <c r="LU66" s="18"/>
      <c r="LV66" s="18"/>
      <c r="LW66" s="18"/>
      <c r="LX66" s="18"/>
      <c r="LY66" s="18"/>
      <c r="LZ66" s="18"/>
      <c r="MA66" s="18"/>
      <c r="MB66" s="18"/>
      <c r="MC66" s="18"/>
      <c r="MD66" s="18"/>
      <c r="ME66" s="18"/>
      <c r="MF66" s="18"/>
      <c r="MG66" s="18"/>
      <c r="MH66" s="18"/>
      <c r="MI66" s="18"/>
      <c r="MJ66" s="18"/>
      <c r="MK66" s="18"/>
      <c r="ML66" s="18"/>
      <c r="MM66" s="18"/>
      <c r="MN66" s="18"/>
      <c r="MO66" s="18"/>
      <c r="MP66" s="18"/>
      <c r="MQ66" s="18"/>
      <c r="MR66" s="18"/>
      <c r="MS66" s="18"/>
      <c r="MT66" s="18"/>
      <c r="MU66" s="18"/>
      <c r="MV66" s="18"/>
      <c r="MW66" s="18"/>
      <c r="MX66" s="18"/>
      <c r="MY66" s="18"/>
      <c r="MZ66" s="18"/>
      <c r="NA66" s="18"/>
      <c r="NB66" s="18"/>
      <c r="NC66" s="18"/>
      <c r="ND66" s="18"/>
      <c r="NE66" s="18"/>
      <c r="NF66" s="18"/>
      <c r="NG66" s="18"/>
      <c r="NH66" s="18"/>
      <c r="NI66" s="18"/>
      <c r="NJ66" s="18"/>
      <c r="NK66" s="18"/>
      <c r="NL66" s="18"/>
      <c r="NM66" s="18"/>
      <c r="NN66" s="18"/>
      <c r="NO66" s="18"/>
      <c r="NP66" s="18"/>
      <c r="NQ66" s="18"/>
      <c r="NR66" s="18"/>
      <c r="NS66" s="18"/>
      <c r="NT66" s="18"/>
      <c r="NU66" s="18"/>
      <c r="NV66" s="18"/>
      <c r="NW66" s="18"/>
      <c r="NX66" s="18"/>
      <c r="NY66" s="18"/>
      <c r="NZ66" s="18"/>
      <c r="OA66" s="18"/>
      <c r="OB66" s="18"/>
      <c r="OC66" s="18"/>
      <c r="OD66" s="18"/>
      <c r="OE66" s="18"/>
      <c r="OF66" s="18"/>
      <c r="OG66" s="18"/>
      <c r="OH66" s="18"/>
      <c r="OI66" s="18"/>
      <c r="OJ66" s="18"/>
      <c r="OK66" s="18"/>
      <c r="OL66" s="18"/>
      <c r="OM66" s="18"/>
      <c r="ON66" s="18"/>
      <c r="OO66" s="18"/>
      <c r="OP66" s="18"/>
      <c r="OQ66" s="18"/>
      <c r="OR66" s="18"/>
      <c r="OS66" s="18"/>
      <c r="OT66" s="18"/>
      <c r="OU66" s="18"/>
      <c r="OV66" s="18"/>
      <c r="OW66" s="18"/>
      <c r="OX66" s="18"/>
      <c r="OY66" s="18"/>
      <c r="OZ66" s="18"/>
      <c r="PA66" s="18"/>
      <c r="PB66" s="18"/>
      <c r="PC66" s="18"/>
      <c r="PD66" s="18"/>
      <c r="PE66" s="18"/>
      <c r="PF66" s="18"/>
      <c r="PG66" s="18"/>
      <c r="PH66" s="18"/>
      <c r="PI66" s="18"/>
      <c r="PJ66" s="18"/>
      <c r="PK66" s="18"/>
      <c r="PL66" s="18"/>
      <c r="PM66" s="18"/>
      <c r="PN66" s="18"/>
      <c r="PO66" s="18"/>
      <c r="PP66" s="18"/>
      <c r="PQ66" s="18"/>
      <c r="PR66" s="18"/>
      <c r="PS66" s="18"/>
      <c r="PT66" s="18"/>
      <c r="PU66" s="18"/>
      <c r="PV66" s="18"/>
      <c r="PW66" s="18"/>
      <c r="PX66" s="18"/>
      <c r="PY66" s="18"/>
      <c r="PZ66" s="18"/>
      <c r="QA66" s="18"/>
      <c r="QB66" s="18"/>
      <c r="QC66" s="18"/>
      <c r="QD66" s="18"/>
      <c r="QE66" s="18"/>
      <c r="QF66" s="18"/>
      <c r="QG66" s="18"/>
      <c r="QH66" s="18"/>
      <c r="QI66" s="18"/>
      <c r="QJ66" s="18"/>
      <c r="QK66" s="18"/>
      <c r="QL66" s="18"/>
      <c r="QM66" s="18"/>
      <c r="QN66" s="18"/>
      <c r="QO66" s="18"/>
      <c r="QP66" s="18"/>
      <c r="QQ66" s="18"/>
      <c r="QR66" s="18"/>
      <c r="QS66" s="18"/>
      <c r="QT66" s="18"/>
      <c r="QU66" s="18"/>
      <c r="QV66" s="18"/>
      <c r="QW66" s="18"/>
      <c r="QX66" s="18"/>
      <c r="QY66" s="18"/>
      <c r="QZ66" s="18"/>
      <c r="RA66" s="18"/>
      <c r="RB66" s="18"/>
      <c r="RC66" s="18"/>
      <c r="RD66" s="18"/>
      <c r="RE66" s="18"/>
      <c r="RF66" s="18"/>
      <c r="RG66" s="18"/>
      <c r="RH66" s="18"/>
      <c r="RI66" s="18"/>
      <c r="RJ66" s="18"/>
      <c r="RK66" s="18"/>
      <c r="RL66" s="18"/>
      <c r="RM66" s="18"/>
      <c r="RN66" s="18"/>
      <c r="RO66" s="18"/>
      <c r="RP66" s="18"/>
      <c r="RQ66" s="18"/>
      <c r="RR66" s="18"/>
      <c r="RS66" s="18"/>
      <c r="RT66" s="18"/>
      <c r="RU66" s="18"/>
      <c r="RV66" s="18"/>
      <c r="RW66" s="18"/>
      <c r="RX66" s="18"/>
      <c r="RY66" s="18"/>
      <c r="RZ66" s="18"/>
      <c r="SA66" s="18"/>
      <c r="SB66" s="18"/>
      <c r="SC66" s="18"/>
      <c r="SD66" s="18"/>
      <c r="SE66" s="18"/>
      <c r="SF66" s="18"/>
      <c r="SG66" s="18"/>
      <c r="SH66" s="18"/>
      <c r="SI66" s="18"/>
      <c r="SJ66" s="18"/>
      <c r="SK66" s="18"/>
      <c r="SL66" s="18"/>
      <c r="SM66" s="18"/>
      <c r="SN66" s="18"/>
      <c r="SO66" s="18"/>
      <c r="SP66" s="18"/>
      <c r="SQ66" s="18"/>
      <c r="SR66" s="18"/>
      <c r="SS66" s="18"/>
      <c r="ST66" s="18"/>
      <c r="SU66" s="18"/>
      <c r="SV66" s="18"/>
      <c r="SW66" s="18"/>
      <c r="SX66" s="18"/>
      <c r="SY66" s="18"/>
      <c r="SZ66" s="18"/>
      <c r="TA66" s="18"/>
      <c r="TB66" s="18"/>
      <c r="TC66" s="18"/>
      <c r="TD66" s="18"/>
      <c r="TE66" s="18"/>
      <c r="TF66" s="18"/>
      <c r="TG66" s="18"/>
      <c r="TH66" s="18"/>
      <c r="TI66" s="18"/>
      <c r="TJ66" s="18"/>
      <c r="TK66" s="18"/>
      <c r="TL66" s="18"/>
      <c r="TM66" s="18"/>
      <c r="TN66" s="18"/>
      <c r="TO66" s="18"/>
      <c r="TP66" s="18"/>
      <c r="TQ66" s="18"/>
      <c r="TR66" s="18"/>
      <c r="TS66" s="18"/>
      <c r="TT66" s="18"/>
      <c r="TU66" s="18"/>
      <c r="TV66" s="18"/>
      <c r="TW66" s="18"/>
      <c r="TX66" s="18"/>
      <c r="TY66" s="18"/>
      <c r="TZ66" s="18"/>
      <c r="UA66" s="18"/>
      <c r="UB66" s="18"/>
      <c r="UC66" s="18"/>
      <c r="UD66" s="18"/>
      <c r="UE66" s="18"/>
      <c r="UF66" s="18"/>
      <c r="UG66" s="18"/>
      <c r="UH66" s="18"/>
      <c r="UI66" s="18"/>
      <c r="UJ66" s="18"/>
      <c r="UK66" s="18"/>
      <c r="UL66" s="18"/>
      <c r="UM66" s="18"/>
      <c r="UN66" s="18"/>
      <c r="UO66" s="18"/>
      <c r="UP66" s="18"/>
      <c r="UQ66" s="18"/>
      <c r="UR66" s="18"/>
      <c r="US66" s="18"/>
      <c r="UT66" s="18"/>
      <c r="UU66" s="18"/>
      <c r="UV66" s="18"/>
      <c r="UW66" s="18"/>
      <c r="UX66" s="18"/>
      <c r="UY66" s="18"/>
      <c r="UZ66" s="18"/>
      <c r="VA66" s="18"/>
      <c r="VB66" s="18"/>
      <c r="VC66" s="18"/>
      <c r="VD66" s="18"/>
      <c r="VE66" s="18"/>
      <c r="VF66" s="18"/>
      <c r="VG66" s="18"/>
      <c r="VH66" s="18"/>
      <c r="VI66" s="18"/>
      <c r="VJ66" s="18"/>
      <c r="VK66" s="18"/>
      <c r="VL66" s="18"/>
      <c r="VM66" s="18"/>
      <c r="VN66" s="18"/>
      <c r="VO66" s="18"/>
      <c r="VP66" s="18"/>
      <c r="VQ66" s="18"/>
      <c r="VR66" s="18"/>
      <c r="VS66" s="18"/>
      <c r="VT66" s="18"/>
      <c r="VU66" s="18"/>
      <c r="VV66" s="18"/>
      <c r="VW66" s="18"/>
      <c r="VX66" s="18"/>
      <c r="VY66" s="18"/>
      <c r="VZ66" s="18"/>
      <c r="WA66" s="18"/>
      <c r="WB66" s="18"/>
      <c r="WC66" s="18"/>
      <c r="WD66" s="18"/>
      <c r="WE66" s="18"/>
      <c r="WF66" s="18"/>
      <c r="WG66" s="18"/>
      <c r="WH66" s="18"/>
      <c r="WI66" s="18"/>
      <c r="WJ66" s="18"/>
      <c r="WK66" s="18"/>
      <c r="WL66" s="18"/>
      <c r="WM66" s="18"/>
      <c r="WN66" s="18"/>
      <c r="WO66" s="18"/>
      <c r="WP66" s="18"/>
      <c r="WQ66" s="18"/>
      <c r="WR66" s="18"/>
      <c r="WS66" s="18"/>
      <c r="WT66" s="18"/>
      <c r="WU66" s="18"/>
      <c r="WV66" s="18"/>
      <c r="WW66" s="18"/>
      <c r="WX66" s="18"/>
      <c r="WY66" s="18"/>
      <c r="WZ66" s="18"/>
      <c r="XA66" s="18"/>
      <c r="XB66" s="18"/>
      <c r="XC66" s="18"/>
      <c r="XD66" s="18"/>
      <c r="XE66" s="18"/>
      <c r="XF66" s="18"/>
      <c r="XG66" s="18"/>
      <c r="XH66" s="18"/>
      <c r="XI66" s="18"/>
      <c r="XJ66" s="18"/>
      <c r="XK66" s="18"/>
      <c r="XL66" s="18"/>
      <c r="XM66" s="18"/>
      <c r="XN66" s="18"/>
      <c r="XO66" s="18"/>
      <c r="XP66" s="18"/>
      <c r="XQ66" s="18"/>
      <c r="XR66" s="18"/>
      <c r="XS66" s="18"/>
      <c r="XT66" s="18"/>
      <c r="XU66" s="18"/>
      <c r="XV66" s="18"/>
      <c r="XW66" s="18"/>
      <c r="XX66" s="18"/>
      <c r="XY66" s="18"/>
      <c r="XZ66" s="18"/>
      <c r="YA66" s="18"/>
      <c r="YB66" s="18"/>
      <c r="YC66" s="18"/>
      <c r="YD66" s="18"/>
      <c r="YE66" s="18"/>
      <c r="YF66" s="18"/>
      <c r="YG66" s="18"/>
      <c r="YH66" s="18"/>
      <c r="YI66" s="18"/>
      <c r="YJ66" s="18"/>
      <c r="YK66" s="18"/>
      <c r="YL66" s="18"/>
      <c r="YM66" s="18"/>
      <c r="YN66" s="18"/>
      <c r="YO66" s="18"/>
      <c r="YP66" s="18"/>
      <c r="YQ66" s="18"/>
      <c r="YR66" s="18"/>
      <c r="YS66" s="18"/>
      <c r="YT66" s="18"/>
      <c r="YU66" s="18"/>
      <c r="YV66" s="18"/>
      <c r="YW66" s="18"/>
      <c r="YX66" s="18"/>
      <c r="YY66" s="18"/>
      <c r="YZ66" s="18"/>
      <c r="ZA66" s="18"/>
      <c r="ZB66" s="18"/>
      <c r="ZC66" s="18"/>
      <c r="ZD66" s="18"/>
      <c r="ZE66" s="18"/>
      <c r="ZF66" s="18"/>
      <c r="ZG66" s="18"/>
      <c r="ZH66" s="18"/>
      <c r="ZI66" s="18"/>
      <c r="ZJ66" s="18"/>
      <c r="ZK66" s="18"/>
      <c r="ZL66" s="18"/>
      <c r="ZM66" s="18"/>
      <c r="ZN66" s="18"/>
      <c r="ZO66" s="18"/>
      <c r="ZP66" s="18"/>
      <c r="ZQ66" s="18"/>
      <c r="ZR66" s="18"/>
      <c r="ZS66" s="18"/>
      <c r="ZT66" s="18"/>
      <c r="ZU66" s="18"/>
      <c r="ZV66" s="18"/>
      <c r="ZW66" s="18"/>
      <c r="ZX66" s="18"/>
      <c r="ZY66" s="18"/>
      <c r="ZZ66" s="18"/>
      <c r="AAA66" s="18"/>
      <c r="AAB66" s="18"/>
      <c r="AAC66" s="18"/>
      <c r="AAD66" s="18"/>
      <c r="AAE66" s="18"/>
      <c r="AAF66" s="18"/>
      <c r="AAG66" s="18"/>
      <c r="AAH66" s="18"/>
      <c r="AAI66" s="18"/>
      <c r="AAJ66" s="18"/>
      <c r="AAK66" s="18"/>
      <c r="AAL66" s="18"/>
      <c r="AAM66" s="18"/>
      <c r="AAN66" s="18"/>
      <c r="AAO66" s="18"/>
      <c r="AAP66" s="18"/>
      <c r="AAQ66" s="18"/>
      <c r="AAR66" s="18"/>
      <c r="AAS66" s="18"/>
      <c r="AAT66" s="18"/>
      <c r="AAU66" s="18"/>
      <c r="AAV66" s="18"/>
      <c r="AAW66" s="18"/>
      <c r="AAX66" s="18"/>
      <c r="AAY66" s="18"/>
      <c r="AAZ66" s="18"/>
      <c r="ABA66" s="18"/>
      <c r="ABB66" s="18"/>
      <c r="ABC66" s="18"/>
      <c r="ABD66" s="18"/>
      <c r="ABE66" s="18"/>
      <c r="ABF66" s="18"/>
      <c r="ABG66" s="18"/>
      <c r="ABH66" s="18"/>
      <c r="ABI66" s="18"/>
      <c r="ABJ66" s="18"/>
      <c r="ABK66" s="18"/>
      <c r="ABL66" s="18"/>
      <c r="ABM66" s="18"/>
      <c r="ABN66" s="18"/>
      <c r="ABO66" s="18"/>
      <c r="ABP66" s="18"/>
      <c r="ABQ66" s="18"/>
      <c r="ABR66" s="18"/>
      <c r="ABS66" s="18"/>
      <c r="ABT66" s="18"/>
      <c r="ABU66" s="18"/>
      <c r="ABV66" s="18"/>
      <c r="ABW66" s="18"/>
      <c r="ABX66" s="18"/>
      <c r="ABY66" s="18"/>
      <c r="ABZ66" s="18"/>
      <c r="ACA66" s="18"/>
      <c r="ACB66" s="18"/>
      <c r="ACC66" s="18"/>
      <c r="ACD66" s="18"/>
      <c r="ACE66" s="18"/>
      <c r="ACF66" s="18"/>
      <c r="ACG66" s="18"/>
      <c r="ACH66" s="18"/>
      <c r="ACI66" s="18"/>
      <c r="ACJ66" s="18"/>
      <c r="ACK66" s="18"/>
      <c r="ACL66" s="18"/>
      <c r="ACM66" s="18"/>
      <c r="ACN66" s="18"/>
      <c r="ACO66" s="18"/>
      <c r="ACP66" s="18"/>
      <c r="ACQ66" s="18"/>
      <c r="ACR66" s="18"/>
      <c r="ACS66" s="18"/>
      <c r="ACT66" s="18"/>
      <c r="ACU66" s="18"/>
      <c r="ACV66" s="18"/>
      <c r="ACW66" s="18"/>
      <c r="ACX66" s="18"/>
      <c r="ACY66" s="18"/>
      <c r="ACZ66" s="18"/>
      <c r="ADA66" s="18"/>
      <c r="ADB66" s="18"/>
      <c r="ADC66" s="18"/>
      <c r="ADD66" s="18"/>
      <c r="ADE66" s="18"/>
      <c r="ADF66" s="18"/>
      <c r="ADG66" s="18"/>
      <c r="ADH66" s="18"/>
      <c r="ADI66" s="18"/>
      <c r="ADJ66" s="18"/>
      <c r="ADK66" s="18"/>
      <c r="ADL66" s="18"/>
      <c r="ADM66" s="18"/>
      <c r="ADN66" s="18"/>
      <c r="ADO66" s="18"/>
      <c r="ADP66" s="18"/>
      <c r="ADQ66" s="18"/>
      <c r="ADR66" s="18"/>
      <c r="ADS66" s="18"/>
      <c r="ADT66" s="18"/>
      <c r="ADU66" s="18"/>
      <c r="ADV66" s="18"/>
      <c r="ADW66" s="18"/>
      <c r="ADX66" s="18"/>
      <c r="ADY66" s="18"/>
      <c r="ADZ66" s="18"/>
      <c r="AEA66" s="18"/>
      <c r="AEB66" s="18"/>
      <c r="AEC66" s="18"/>
      <c r="AED66" s="18"/>
      <c r="AEE66" s="18"/>
      <c r="AEF66" s="18"/>
      <c r="AEG66" s="18"/>
      <c r="AEH66" s="18"/>
      <c r="AEI66" s="18"/>
      <c r="AEJ66" s="18"/>
      <c r="AEK66" s="18"/>
      <c r="AEL66" s="18"/>
      <c r="AEM66" s="18"/>
      <c r="AEN66" s="18"/>
      <c r="AEO66" s="18"/>
      <c r="AEP66" s="18"/>
      <c r="AEQ66" s="18"/>
      <c r="AER66" s="18"/>
      <c r="AES66" s="18"/>
      <c r="AET66" s="18"/>
      <c r="AEU66" s="18"/>
      <c r="AEV66" s="18"/>
      <c r="AEW66" s="18"/>
      <c r="AEX66" s="18"/>
      <c r="AEY66" s="18"/>
      <c r="AEZ66" s="18"/>
      <c r="AFA66" s="18"/>
      <c r="AFB66" s="18"/>
      <c r="AFC66" s="18"/>
      <c r="AFD66" s="18"/>
      <c r="AFE66" s="18"/>
      <c r="AFF66" s="18"/>
      <c r="AFG66" s="18"/>
      <c r="AFH66" s="18"/>
      <c r="AFI66" s="18"/>
      <c r="AFJ66" s="18"/>
      <c r="AFK66" s="18"/>
      <c r="AFL66" s="18"/>
      <c r="AFM66" s="18"/>
      <c r="AFN66" s="18"/>
      <c r="AFO66" s="18"/>
      <c r="AFP66" s="18"/>
      <c r="AFQ66" s="18"/>
      <c r="AFR66" s="18"/>
      <c r="AFS66" s="18"/>
      <c r="AFT66" s="18"/>
      <c r="AFU66" s="18"/>
      <c r="AFV66" s="18"/>
      <c r="AFW66" s="18"/>
      <c r="AFX66" s="18"/>
      <c r="AFY66" s="18"/>
      <c r="AFZ66" s="18"/>
      <c r="AGA66" s="18"/>
      <c r="AGB66" s="18"/>
      <c r="AGC66" s="18"/>
      <c r="AGD66" s="18"/>
      <c r="AGE66" s="18"/>
      <c r="AGF66" s="18"/>
      <c r="AGG66" s="18"/>
      <c r="AGH66" s="18"/>
      <c r="AGI66" s="18"/>
      <c r="AGJ66" s="18"/>
      <c r="AGK66" s="18"/>
      <c r="AGL66" s="18"/>
      <c r="AGM66" s="18"/>
      <c r="AGN66" s="18"/>
      <c r="AGO66" s="18"/>
      <c r="AGP66" s="18"/>
      <c r="AGQ66" s="18"/>
      <c r="AGR66" s="18"/>
      <c r="AGS66" s="18"/>
      <c r="AGT66" s="18"/>
      <c r="AGU66" s="18"/>
      <c r="AGV66" s="18"/>
      <c r="AGW66" s="18"/>
      <c r="AGX66" s="18"/>
      <c r="AGY66" s="18"/>
      <c r="AGZ66" s="18"/>
      <c r="AHA66" s="18"/>
      <c r="AHB66" s="18"/>
      <c r="AHC66" s="18"/>
      <c r="AHD66" s="18"/>
      <c r="AHE66" s="18"/>
      <c r="AHF66" s="18"/>
      <c r="AHG66" s="18"/>
      <c r="AHH66" s="18"/>
      <c r="AHI66" s="18"/>
      <c r="AHJ66" s="18"/>
      <c r="AHK66" s="18"/>
      <c r="AHL66" s="18"/>
      <c r="AHM66" s="18"/>
      <c r="AHN66" s="18"/>
      <c r="AHO66" s="18"/>
      <c r="AHP66" s="18"/>
      <c r="AHQ66" s="18"/>
      <c r="AHR66" s="18"/>
      <c r="AHS66" s="18"/>
      <c r="AHT66" s="18"/>
      <c r="AHU66" s="18"/>
      <c r="AHV66" s="18"/>
      <c r="AHW66" s="18"/>
      <c r="AHX66" s="18"/>
      <c r="AHY66" s="18"/>
      <c r="AHZ66" s="18"/>
      <c r="AIA66" s="18"/>
      <c r="AIB66" s="18"/>
      <c r="AIC66" s="18"/>
      <c r="AID66" s="18"/>
      <c r="AIE66" s="18"/>
      <c r="AIF66" s="18"/>
      <c r="AIG66" s="18"/>
      <c r="AIH66" s="18"/>
      <c r="AII66" s="18"/>
      <c r="AIJ66" s="18"/>
      <c r="AIK66" s="18"/>
      <c r="AIL66" s="18"/>
      <c r="AIM66" s="18"/>
      <c r="AIN66" s="18"/>
      <c r="AIO66" s="18"/>
      <c r="AIP66" s="18"/>
      <c r="AIQ66" s="18"/>
      <c r="AIR66" s="18"/>
      <c r="AIS66" s="18"/>
      <c r="AIT66" s="18"/>
      <c r="AIU66" s="18"/>
      <c r="AIV66" s="18"/>
      <c r="AIW66" s="18"/>
      <c r="AIX66" s="18"/>
      <c r="AIY66" s="18"/>
      <c r="AIZ66" s="18"/>
      <c r="AJA66" s="18"/>
      <c r="AJB66" s="18"/>
      <c r="AJC66" s="18"/>
      <c r="AJD66" s="18"/>
      <c r="AJE66" s="18"/>
      <c r="AJF66" s="18"/>
      <c r="AJG66" s="18"/>
      <c r="AJH66" s="18"/>
      <c r="AJI66" s="18"/>
      <c r="AJJ66" s="18"/>
      <c r="AJK66" s="18"/>
      <c r="AJL66" s="18"/>
      <c r="AJM66" s="18"/>
      <c r="AJN66" s="18"/>
      <c r="AJO66" s="18"/>
      <c r="AJP66" s="18"/>
      <c r="AJQ66" s="18"/>
      <c r="AJR66" s="18"/>
      <c r="AJS66" s="18"/>
      <c r="AJT66" s="18"/>
      <c r="AJU66" s="18"/>
      <c r="AJV66" s="18"/>
      <c r="AJW66" s="18"/>
      <c r="AJX66" s="18"/>
      <c r="AJY66" s="18"/>
      <c r="AJZ66" s="18"/>
      <c r="AKA66" s="18"/>
      <c r="AKB66" s="18"/>
      <c r="AKC66" s="18"/>
      <c r="AKD66" s="18"/>
      <c r="AKE66" s="18"/>
      <c r="AKF66" s="18"/>
      <c r="AKG66" s="18"/>
      <c r="AKH66" s="18"/>
      <c r="AKI66" s="18"/>
      <c r="AKJ66" s="18"/>
      <c r="AKK66" s="18"/>
      <c r="AKL66" s="18"/>
      <c r="AKM66" s="18"/>
      <c r="AKN66" s="18"/>
      <c r="AKO66" s="18"/>
      <c r="AKP66" s="18"/>
      <c r="AKQ66" s="18"/>
      <c r="AKR66" s="18"/>
      <c r="AKS66" s="18"/>
      <c r="AKT66" s="18"/>
      <c r="AKU66" s="18"/>
      <c r="AKV66" s="18"/>
      <c r="AKW66" s="18"/>
      <c r="AKX66" s="18"/>
      <c r="AKY66" s="18"/>
      <c r="AKZ66" s="18"/>
      <c r="ALA66" s="18"/>
      <c r="ALB66" s="18"/>
      <c r="ALC66" s="18"/>
      <c r="ALD66" s="18"/>
      <c r="ALE66" s="18"/>
      <c r="ALF66" s="18"/>
      <c r="ALG66" s="18"/>
      <c r="ALH66" s="18"/>
      <c r="ALI66" s="18"/>
      <c r="ALJ66" s="18"/>
      <c r="ALK66" s="18"/>
      <c r="ALL66" s="18"/>
      <c r="ALM66" s="18"/>
      <c r="ALN66" s="18"/>
      <c r="ALO66" s="18"/>
      <c r="ALP66" s="18"/>
      <c r="ALQ66" s="18"/>
      <c r="ALR66" s="18"/>
      <c r="ALS66" s="18"/>
      <c r="ALT66" s="18"/>
      <c r="ALU66" s="18"/>
      <c r="ALV66" s="18"/>
      <c r="ALW66" s="18"/>
      <c r="ALX66" s="18"/>
      <c r="ALY66" s="18"/>
      <c r="ALZ66" s="18"/>
      <c r="AMA66" s="18"/>
      <c r="AMB66" s="18"/>
      <c r="AMC66" s="18"/>
      <c r="AMD66" s="18"/>
      <c r="AME66" s="18"/>
      <c r="AMF66" s="18"/>
      <c r="AMG66" s="18"/>
      <c r="AMH66" s="18"/>
      <c r="AMI66" s="18"/>
      <c r="AMJ66" s="18"/>
    </row>
    <row r="67" s="18" customFormat="true" ht="13.8" hidden="false" customHeight="false" outlineLevel="0" collapsed="false">
      <c r="A67" s="18" t="s">
        <v>430</v>
      </c>
      <c r="B67" s="18" t="s">
        <v>431</v>
      </c>
      <c r="C67" s="1" t="n">
        <v>471</v>
      </c>
      <c r="E67" s="18" t="n">
        <v>470</v>
      </c>
      <c r="F67" s="18" t="s">
        <v>89</v>
      </c>
      <c r="G67" s="18" t="s">
        <v>147</v>
      </c>
      <c r="H67" s="18" t="s">
        <v>152</v>
      </c>
      <c r="I67" s="18" t="s">
        <v>153</v>
      </c>
      <c r="J67" s="18" t="n">
        <v>1994</v>
      </c>
      <c r="K67" s="18" t="n">
        <v>1965</v>
      </c>
      <c r="N67" s="18" t="n">
        <v>1750</v>
      </c>
      <c r="O67" s="2"/>
      <c r="P67" s="3"/>
      <c r="Q67" s="3"/>
      <c r="R67" s="3"/>
      <c r="S67" s="3"/>
      <c r="T67" s="3"/>
      <c r="U67" s="3"/>
      <c r="V67" s="3"/>
      <c r="W67" s="18" t="n">
        <v>105</v>
      </c>
      <c r="X67" s="2"/>
      <c r="Z67" s="18" t="n">
        <v>247</v>
      </c>
      <c r="AA67" s="4" t="n">
        <f aca="false">IF(AND(W67&gt;0,Z67&gt;0),(Z67/((W67+X67)*10)),"")</f>
        <v>0.235238095238095</v>
      </c>
      <c r="AB67" s="18" t="n">
        <v>90</v>
      </c>
      <c r="AC67" s="18" t="n">
        <f aca="false">ROUND(AB67*1.6, 0)</f>
        <v>144</v>
      </c>
      <c r="AF67" s="18" t="n">
        <v>18.75</v>
      </c>
      <c r="AG67" s="18" t="n">
        <v>18.75</v>
      </c>
      <c r="AH67" s="18" t="n">
        <v>2.71</v>
      </c>
      <c r="AI67" s="18" t="n">
        <v>3.89</v>
      </c>
      <c r="AJ67" s="5" t="n">
        <v>0</v>
      </c>
      <c r="AK67" s="19" t="str">
        <f aca="false">CONCATENATE(VLOOKUP(AL67, 'Voxel Sizes'!$A$2:$B$18,2,FALSE()),"x",INT(AH67*15), "x", INT(AI67*15))</f>
        <v>186x40x58</v>
      </c>
      <c r="AL67" s="18" t="n">
        <f aca="false">ROUND(15*((AG67*10)/256),0)</f>
        <v>11</v>
      </c>
      <c r="AN67" s="1" t="str">
        <f aca="false">CONCATENATE(VLOOKUP(AL67,Constants!$A$2:$C$16,IF(AM67&lt;&gt;"", 3, 2), FALSE()),IF(AM67&lt;&gt;"",CONCATENATE(",",VLOOKUP(AM67,$B:$AN,38,FALSE())),""))</f>
        <v>4,3,4</v>
      </c>
      <c r="AP67" s="35"/>
      <c r="AQ67" s="35"/>
      <c r="AX67" s="18" t="n">
        <v>40</v>
      </c>
      <c r="AY67" s="6" t="str">
        <f aca="false">IF(L67&lt;&gt;"",MAX(16,(L67-J67)+8),"")</f>
        <v/>
      </c>
      <c r="BA67" s="18" t="n">
        <v>-30</v>
      </c>
      <c r="BB67" s="18" t="n">
        <f aca="false">MIN(AB67/150, 1)*30</f>
        <v>18</v>
      </c>
      <c r="BC67" s="18" t="n">
        <f aca="false">MIN(N67/4000, 1)*20</f>
        <v>8.75</v>
      </c>
      <c r="BD67" s="18" t="n">
        <f aca="false">MIN(Z67/400,1)*20</f>
        <v>12.35</v>
      </c>
      <c r="BE67" s="4" t="n">
        <f aca="false">1-(MAX(J67-1900, 0)/750)</f>
        <v>0.874666666666667</v>
      </c>
      <c r="BF67" s="18" t="n">
        <f aca="false">((MAX($M67,1)*MIN($AJ67/300,1)))*IF(G67="Wagon",50,10)</f>
        <v>0</v>
      </c>
      <c r="BG67" s="1" t="n">
        <f aca="false">VLOOKUP($H67,Constants!$I:$K, 2, FALSE())</f>
        <v>1</v>
      </c>
      <c r="BH67" s="1" t="n">
        <f aca="false">VLOOKUP($H67,Constants!$I:$K, 3, FALSE())*IF(AND(G67="multiple_unit",AB67&lt;110),0.75,1)</f>
        <v>2</v>
      </c>
      <c r="BI67" s="1" t="n">
        <f aca="false">INT(POWER(((Constants!$G$2+$BB67+$BC67+$BD67+$BF67)*$BE67)*$BH67, 1.05))+$BA67</f>
        <v>65</v>
      </c>
      <c r="BJ67" s="1" t="n">
        <f aca="false">INT(POWER((((Constants!$G$1+$BB67+$BC67+$BD67+$BF67)*($BE67))*$BG67),IF($G67="wagon",1,1.2)))+$AZ67</f>
        <v>102</v>
      </c>
      <c r="BK67" s="20" t="n">
        <f aca="false">BI67*IF($G67="wagon",62.5,781.25)</f>
        <v>50781.25</v>
      </c>
      <c r="BL67" s="20" t="n">
        <f aca="false">BJ67*IF($G67="wagon",2.73,81.25)</f>
        <v>8287.5</v>
      </c>
      <c r="BT67" s="18" t="n">
        <v>1</v>
      </c>
      <c r="BY67" s="18" t="s">
        <v>244</v>
      </c>
      <c r="BZ67" s="18" t="s">
        <v>376</v>
      </c>
      <c r="CA67" s="18" t="str">
        <f aca="false">CONCATENATE(BY67,"_",BZ67)</f>
        <v>lbr_Freight</v>
      </c>
      <c r="CB67" s="18" t="str">
        <f aca="false">_xlfn.CONCAT(H67, "_",I67)</f>
        <v>diesel_RAIL</v>
      </c>
      <c r="CC67" s="21" t="str">
        <f aca="false">_xlfn.CONCAT("{BLACK}Length: {GOLD}", TEXT(ROUNDUP(IF(AQ67&lt;&gt;"",SUM(VALUE(_xlfn.TEXTSPLIT(AQ67, ","))), SUM(VALUE(_xlfn.TEXTSPLIT(AN67, ",")))*IF(M67, M67, 1))/16, 1), "#,##0.0"), " tiles{}")</f>
        <v>{BLACK}Length: {GOLD}0.7 tiles{}</v>
      </c>
      <c r="CD67" s="1" t="str">
        <f aca="false">VLOOKUP($CB67, Constants!$M:$N, 2, FALSE())</f>
        <v>{BLACK}Powered by: {GOLD}Diesel</v>
      </c>
      <c r="CE67" s="1" t="str">
        <f aca="false">IF(M67&gt;1,_xlfn.CONCAT("{BLACK}Cars: {GOLD}", M67),"")</f>
        <v/>
      </c>
      <c r="CF67" s="18" t="s">
        <v>432</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
      </c>
      <c r="CH67" s="1" t="str">
        <f aca="false">_xlfn.CONCAT(CD67,IF(CD67 &lt;&gt; "", " ", ""),CE67,IF(OR(CE67&lt;&gt;"", CD67&lt;&gt;""), "{}",""), CC67, CG67,"{SILVER}", CF67)</f>
        <v>{BLACK}Powered by: {GOLD}Diesel {}{BLACK}Length: {GOLD}0.7 tiles{}{SILVER}Originally to power the “Nightstar” european sleeper services away from electrified lines, this sub-class of 12 locomotives mostly saw use as rescue and freight locomotives with other operators.</v>
      </c>
    </row>
    <row r="68" customFormat="false" ht="13.8" hidden="false" customHeight="false" outlineLevel="0" collapsed="false">
      <c r="A68" s="18" t="s">
        <v>433</v>
      </c>
      <c r="B68" s="18" t="s">
        <v>434</v>
      </c>
      <c r="C68" s="1" t="n">
        <v>579</v>
      </c>
      <c r="D68" s="1" t="n">
        <v>580</v>
      </c>
      <c r="E68" s="1" t="n">
        <v>476</v>
      </c>
      <c r="F68" s="1" t="s">
        <v>89</v>
      </c>
      <c r="G68" s="1" t="s">
        <v>435</v>
      </c>
      <c r="H68" s="1" t="s">
        <v>152</v>
      </c>
      <c r="I68" s="1" t="s">
        <v>153</v>
      </c>
      <c r="J68" s="1" t="n">
        <v>1999</v>
      </c>
      <c r="M68" s="1" t="n">
        <v>1</v>
      </c>
      <c r="N68" s="1" t="n">
        <v>710</v>
      </c>
      <c r="W68" s="1" t="n">
        <v>34</v>
      </c>
      <c r="Y68" s="1" t="n">
        <v>4</v>
      </c>
      <c r="Z68" s="1" t="n">
        <v>106</v>
      </c>
      <c r="AA68" s="4" t="n">
        <f aca="false">IF(AND(W68&gt;0,Z68&gt;0),(Z68/((W68+X68)*10)),"")</f>
        <v>0.311764705882353</v>
      </c>
      <c r="AB68" s="1" t="n">
        <v>75</v>
      </c>
      <c r="AC68" s="1" t="n">
        <f aca="false">ROUND(AB68*1.6, 0)</f>
        <v>120</v>
      </c>
      <c r="AF68" s="1" t="n">
        <v>20.2</v>
      </c>
      <c r="AG68" s="1" t="n">
        <v>20</v>
      </c>
      <c r="AH68" s="1" t="n">
        <v>2.82</v>
      </c>
      <c r="AI68" s="1" t="n">
        <v>3.97</v>
      </c>
      <c r="AJ68" s="5" t="n">
        <v>40</v>
      </c>
      <c r="AK68" s="19" t="str">
        <f aca="false">CONCATENATE(VLOOKUP(AL68, 'Voxel Sizes'!$A$2:$B$18,2,FALSE()),"x",INT(AH68*15), "x", INT(AI68*15))</f>
        <v>198x42x59</v>
      </c>
      <c r="AL68" s="1" t="n">
        <f aca="false">ROUND(15*((AG68*10)/256),0)</f>
        <v>12</v>
      </c>
      <c r="AN68" s="1" t="str">
        <f aca="false">CONCATENATE(VLOOKUP(AL68,Constants!$A$2:$C$16,IF(AM68&lt;&gt;"", 3, 2), FALSE()),IF(AM68&lt;&gt;"",CONCATENATE(",",VLOOKUP(AM68,$B:$AN,38,FALSE())),""))</f>
        <v>4,4,4</v>
      </c>
      <c r="AO68" s="1" t="n">
        <v>0</v>
      </c>
      <c r="AR68" s="1" t="s">
        <v>436</v>
      </c>
      <c r="AT68" s="1" t="s">
        <v>113</v>
      </c>
      <c r="AU68" s="1" t="s">
        <v>436</v>
      </c>
      <c r="AX68" s="1" t="n">
        <v>35</v>
      </c>
      <c r="AY68" s="6" t="str">
        <f aca="false">IF(L68&lt;&gt;"",MAX(16,(L68-J68)+8),"")</f>
        <v/>
      </c>
      <c r="BB68" s="1" t="n">
        <f aca="false">MIN(AB68/150, 1)*30</f>
        <v>15</v>
      </c>
      <c r="BC68" s="1" t="n">
        <f aca="false">MIN(N68/4000, 1)*20</f>
        <v>3.55</v>
      </c>
      <c r="BD68" s="1" t="n">
        <f aca="false">MIN(Z68/400,1)*20</f>
        <v>5.3</v>
      </c>
      <c r="BE68" s="4" t="n">
        <f aca="false">1-(MAX(J68-1900, 0)/750)</f>
        <v>0.868</v>
      </c>
      <c r="BF68" s="1" t="n">
        <f aca="false">((MAX($M68,1)*MIN($AJ68/300,1)))*IF(G68="Wagon",50,10)</f>
        <v>1.33333333333333</v>
      </c>
      <c r="BG68" s="1" t="n">
        <f aca="false">VLOOKUP($H68,Constants!$I:$K, 2, FALSE())</f>
        <v>1</v>
      </c>
      <c r="BH68" s="1" t="n">
        <f aca="false">VLOOKUP($H68,Constants!$I:$K, 3, FALSE())*IF(AND(G68="multiple_unit",AB68&lt;110),0.75,1)</f>
        <v>2</v>
      </c>
      <c r="BI68" s="1" t="n">
        <f aca="false">INT(POWER(((Constants!$G$2+$BB68+$BC68+$BD68+$BF68)*$BE68)*$BH68, 1.05))+$BA68</f>
        <v>63</v>
      </c>
      <c r="BJ68" s="1" t="n">
        <f aca="false">INT(POWER((((Constants!$G$1+$BB68+$BC68+$BD68+$BF68)*($BE68))*$BG68),IF($G68="wagon",1,1.2)))+$AZ68</f>
        <v>70</v>
      </c>
      <c r="BK68" s="20" t="n">
        <f aca="false">BI68*IF($G68="wagon",62.5,781.25)</f>
        <v>49218.75</v>
      </c>
      <c r="BL68" s="20" t="n">
        <f aca="false">BJ68*IF($G68="wagon",2.73,81.25)</f>
        <v>5687.5</v>
      </c>
      <c r="BT68" s="1" t="n">
        <v>6</v>
      </c>
      <c r="BU68" s="1" t="n">
        <v>185</v>
      </c>
      <c r="BV68" s="1" t="s">
        <v>437</v>
      </c>
      <c r="BX68" s="1" t="s">
        <v>438</v>
      </c>
      <c r="BY68" s="1" t="s">
        <v>439</v>
      </c>
      <c r="BZ68" s="18" t="s">
        <v>376</v>
      </c>
      <c r="CA68" s="1" t="str">
        <f aca="false">CONCATENATE(BY68,"_",BZ68)</f>
        <v>prv_Freight</v>
      </c>
      <c r="CB68" s="1" t="str">
        <f aca="false">_xlfn.CONCAT(H68, "_",I68)</f>
        <v>diesel_RAIL</v>
      </c>
      <c r="CC68" s="21" t="str">
        <f aca="false">_xlfn.CONCAT("{BLACK}Length: {GOLD}", TEXT(ROUNDUP(IF(AQ68&lt;&gt;"",SUM(VALUE(_xlfn.TEXTSPLIT(AQ68, ","))), SUM(VALUE(_xlfn.TEXTSPLIT(AN68, ",")))*IF(M68, M68, 1))/16, 1), "#,##0.0"), " tiles{}")</f>
        <v>{BLACK}Length: {GOLD}0.8 tiles{}</v>
      </c>
      <c r="CD68" s="1" t="str">
        <f aca="false">VLOOKUP($CB68, Constants!$M:$N, 2, FALSE())</f>
        <v>{BLACK}Powered by: {GOLD}Diesel</v>
      </c>
      <c r="CE68" s="1" t="str">
        <f aca="false">IF(M68&gt;1,_xlfn.CONCAT("{BLACK}Cars: {GOLD}", M68),"")</f>
        <v/>
      </c>
      <c r="CF68" s="1" t="s">
        <v>440</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{BLACK}Powered by: {GOLD}Diesel {}{BLACK}Length: {GOLD}0.8 tiles{}{SILVER}The Windhoff MPV units were mainly used for Departmental service, notably in the iconic Rail Head Treatment trains, but trials were made in freight service.</v>
      </c>
      <c r="CI68" s="1"/>
      <c r="CJ68" s="1"/>
    </row>
    <row r="69" customFormat="false" ht="13.8" hidden="false" customHeight="false" outlineLevel="0" collapsed="false">
      <c r="A69" s="18" t="s">
        <v>441</v>
      </c>
      <c r="B69" s="18" t="s">
        <v>442</v>
      </c>
      <c r="C69" s="1" t="n">
        <v>580</v>
      </c>
      <c r="E69" s="1" t="n">
        <v>472</v>
      </c>
      <c r="F69" s="1" t="s">
        <v>89</v>
      </c>
      <c r="G69" s="1" t="s">
        <v>435</v>
      </c>
      <c r="H69" s="1" t="s">
        <v>152</v>
      </c>
      <c r="I69" s="1" t="s">
        <v>153</v>
      </c>
      <c r="J69" s="1" t="n">
        <v>1999</v>
      </c>
      <c r="M69" s="1" t="n">
        <v>2</v>
      </c>
      <c r="N69" s="1" t="n">
        <v>710</v>
      </c>
      <c r="W69" s="1" t="n">
        <v>61</v>
      </c>
      <c r="Y69" s="1" t="n">
        <v>4</v>
      </c>
      <c r="Z69" s="1" t="n">
        <v>106</v>
      </c>
      <c r="AA69" s="4" t="n">
        <f aca="false">IF(AND(W69&gt;0,Z69&gt;0),(Z69/((W69+X69)*10)),"")</f>
        <v>0.173770491803279</v>
      </c>
      <c r="AB69" s="1" t="n">
        <v>75</v>
      </c>
      <c r="AC69" s="1" t="n">
        <f aca="false">ROUND(AB69*1.6, 0)</f>
        <v>120</v>
      </c>
      <c r="AF69" s="1" t="n">
        <v>20.2</v>
      </c>
      <c r="AG69" s="1" t="n">
        <v>20</v>
      </c>
      <c r="AH69" s="1" t="n">
        <v>2.82</v>
      </c>
      <c r="AI69" s="1" t="n">
        <v>3.97</v>
      </c>
      <c r="AJ69" s="5" t="n">
        <v>40</v>
      </c>
      <c r="AK69" s="19" t="str">
        <f aca="false">CONCATENATE(VLOOKUP(AL69, 'Voxel Sizes'!$A$2:$B$18,2,FALSE()),"x",INT(AH69*15), "x", INT(AI69*15))</f>
        <v>198x42x59</v>
      </c>
      <c r="AL69" s="1" t="n">
        <f aca="false">ROUND(15*((AG69*10)/256),0)</f>
        <v>12</v>
      </c>
      <c r="AN69" s="1" t="str">
        <f aca="false">CONCATENATE(VLOOKUP(AL69,Constants!$A$2:$C$16,IF(AM69&lt;&gt;"", 3, 2), FALSE()),IF(AM69&lt;&gt;"",CONCATENATE(",",VLOOKUP(AM69,$B:$AN,38,FALSE())),""))</f>
        <v>4,4,4</v>
      </c>
      <c r="AO69" s="1" t="n">
        <v>0</v>
      </c>
      <c r="AR69" s="1" t="s">
        <v>443</v>
      </c>
      <c r="AT69" s="1" t="s">
        <v>113</v>
      </c>
      <c r="AU69" s="1" t="s">
        <v>444</v>
      </c>
      <c r="AX69" s="1" t="n">
        <v>35</v>
      </c>
      <c r="AY69" s="6" t="str">
        <f aca="false">IF(L69&lt;&gt;"",MAX(16,(L69-J69)+8),"")</f>
        <v/>
      </c>
      <c r="BB69" s="1" t="n">
        <f aca="false">MIN(AB69/150, 1)*30</f>
        <v>15</v>
      </c>
      <c r="BC69" s="1" t="n">
        <f aca="false">MIN(N69/4000, 1)*20</f>
        <v>3.55</v>
      </c>
      <c r="BD69" s="1" t="n">
        <f aca="false">MIN(Z69/400,1)*20</f>
        <v>5.3</v>
      </c>
      <c r="BE69" s="4" t="n">
        <f aca="false">1-(MAX(J69-1900, 0)/750)</f>
        <v>0.868</v>
      </c>
      <c r="BF69" s="1" t="n">
        <f aca="false">((MAX($M69,1)*MIN($AJ69/300,1)))*IF(G69="Wagon",50,10)</f>
        <v>2.66666666666667</v>
      </c>
      <c r="BG69" s="1" t="n">
        <f aca="false">VLOOKUP($H69,Constants!$I:$K, 2, FALSE())</f>
        <v>1</v>
      </c>
      <c r="BH69" s="1" t="n">
        <f aca="false">VLOOKUP($H69,Constants!$I:$K, 3, FALSE())*IF(AND(G69="multiple_unit",AB69&lt;110),0.75,1)</f>
        <v>2</v>
      </c>
      <c r="BI69" s="1" t="n">
        <f aca="false">INT(POWER(((Constants!$G$2+$BB69+$BC69+$BD69+$BF69)*$BE69)*$BH69, 1.05))+$BA69</f>
        <v>66</v>
      </c>
      <c r="BJ69" s="1" t="n">
        <f aca="false">INT(POWER((((Constants!$G$1+$BB69+$BC69+$BD69+$BF69)*($BE69))*$BG69),IF($G69="wagon",1,1.2)))+$AZ69</f>
        <v>73</v>
      </c>
      <c r="BK69" s="20" t="n">
        <f aca="false">BI69*IF($G69="wagon",62.5,781.25)</f>
        <v>51562.5</v>
      </c>
      <c r="BL69" s="20" t="n">
        <f aca="false">BJ69*IF($G69="wagon",2.73,81.25)</f>
        <v>5931.25</v>
      </c>
      <c r="BT69" s="1" t="n">
        <v>6</v>
      </c>
      <c r="BU69" s="1" t="n">
        <v>185</v>
      </c>
      <c r="BV69" s="1" t="s">
        <v>437</v>
      </c>
      <c r="BX69" s="1" t="s">
        <v>438</v>
      </c>
      <c r="BY69" s="1" t="s">
        <v>439</v>
      </c>
      <c r="BZ69" s="18" t="s">
        <v>376</v>
      </c>
      <c r="CA69" s="1" t="str">
        <f aca="false">CONCATENATE(BY69,"_",BZ69)</f>
        <v>prv_Freight</v>
      </c>
      <c r="CB69" s="1" t="str">
        <f aca="false">_xlfn.CONCAT(H69, "_",I69)</f>
        <v>diesel_RAIL</v>
      </c>
      <c r="CC69" s="21" t="str">
        <f aca="false">_xlfn.CONCAT("{BLACK}Length: {GOLD}", TEXT(ROUNDUP(IF(AQ69&lt;&gt;"",SUM(VALUE(_xlfn.TEXTSPLIT(AQ69, ","))), SUM(VALUE(_xlfn.TEXTSPLIT(AN69, ",")))*IF(M69, M69, 1))/16, 1), "#,##0.0"), " tiles{}")</f>
        <v>{BLACK}Length: {GOLD}1.5 tiles{}</v>
      </c>
      <c r="CD69" s="1" t="str">
        <f aca="false">VLOOKUP($CB69, Constants!$M:$N, 2, FALSE())</f>
        <v>{BLACK}Powered by: {GOLD}Diesel</v>
      </c>
      <c r="CE69" s="1" t="str">
        <f aca="false">IF(M69&gt;1,_xlfn.CONCAT("{BLACK}Cars: {GOLD}", M69),"")</f>
        <v>{BLACK}Cars: {GOLD}2</v>
      </c>
      <c r="CF69" s="1" t="s">
        <v>440</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{BLACK}Powered by: {GOLD}Diesel {BLACK}Cars: {GOLD}2{}{BLACK}Length: {GOLD}1.5 tiles{}{SILVER}The Windhoff MPV units were mainly used for Departmental service, notably in the iconic Rail Head Treatment trains, but trials were made in freight service.</v>
      </c>
      <c r="CI69" s="1"/>
      <c r="CJ69" s="1"/>
    </row>
    <row r="70" customFormat="false" ht="13.8" hidden="false" customHeight="false" outlineLevel="0" collapsed="false">
      <c r="A70" s="18" t="s">
        <v>445</v>
      </c>
      <c r="B70" s="18" t="s">
        <v>446</v>
      </c>
      <c r="C70" s="1" t="n">
        <v>581</v>
      </c>
      <c r="D70" s="1" t="n">
        <v>580</v>
      </c>
      <c r="E70" s="1" t="n">
        <v>473</v>
      </c>
      <c r="F70" s="1" t="s">
        <v>89</v>
      </c>
      <c r="G70" s="1" t="s">
        <v>435</v>
      </c>
      <c r="H70" s="1" t="s">
        <v>152</v>
      </c>
      <c r="I70" s="1" t="s">
        <v>153</v>
      </c>
      <c r="J70" s="1" t="n">
        <v>1999</v>
      </c>
      <c r="M70" s="1" t="n">
        <v>3</v>
      </c>
      <c r="N70" s="1" t="n">
        <v>710</v>
      </c>
      <c r="W70" s="1" t="n">
        <f aca="false">W69+19</f>
        <v>80</v>
      </c>
      <c r="Y70" s="1" t="n">
        <v>4</v>
      </c>
      <c r="Z70" s="1" t="n">
        <v>106</v>
      </c>
      <c r="AA70" s="4" t="n">
        <f aca="false">IF(AND(W70&gt;0,Z70&gt;0),(Z70/((W70+X70)*10)),"")</f>
        <v>0.1325</v>
      </c>
      <c r="AB70" s="1" t="n">
        <v>75</v>
      </c>
      <c r="AC70" s="1" t="n">
        <f aca="false">ROUND(AB70*1.6, 0)</f>
        <v>120</v>
      </c>
      <c r="AF70" s="1" t="n">
        <v>20.2</v>
      </c>
      <c r="AG70" s="1" t="n">
        <v>20</v>
      </c>
      <c r="AH70" s="1" t="n">
        <v>2.82</v>
      </c>
      <c r="AI70" s="1" t="n">
        <v>3.97</v>
      </c>
      <c r="AJ70" s="5" t="n">
        <v>40</v>
      </c>
      <c r="AK70" s="19" t="str">
        <f aca="false">CONCATENATE(VLOOKUP(AL70, 'Voxel Sizes'!$A$2:$B$18,2,FALSE()),"x",INT(AH70*15), "x", INT(AI70*15))</f>
        <v>198x42x59</v>
      </c>
      <c r="AL70" s="1" t="n">
        <f aca="false">ROUND(15*((AG70*10)/256),0)</f>
        <v>12</v>
      </c>
      <c r="AN70" s="1" t="str">
        <f aca="false">CONCATENATE(VLOOKUP(AL70,Constants!$A$2:$C$16,IF(AM70&lt;&gt;"", 3, 2), FALSE()),IF(AM70&lt;&gt;"",CONCATENATE(",",VLOOKUP(AM70,$B:$AN,38,FALSE())),""))</f>
        <v>4,4,4</v>
      </c>
      <c r="AO70" s="1" t="n">
        <v>0</v>
      </c>
      <c r="AR70" s="1" t="s">
        <v>447</v>
      </c>
      <c r="AT70" s="1" t="s">
        <v>302</v>
      </c>
      <c r="AU70" s="1" t="s">
        <v>444</v>
      </c>
      <c r="AX70" s="1" t="n">
        <v>35</v>
      </c>
      <c r="AY70" s="6" t="str">
        <f aca="false">IF(L70&lt;&gt;"",MAX(16,(L70-J70)+8),"")</f>
        <v/>
      </c>
      <c r="BB70" s="1" t="n">
        <f aca="false">MIN(AB70/150, 1)*30</f>
        <v>15</v>
      </c>
      <c r="BC70" s="1" t="n">
        <f aca="false">MIN(N70/4000, 1)*20</f>
        <v>3.55</v>
      </c>
      <c r="BD70" s="1" t="n">
        <f aca="false">MIN(Z70/400,1)*20</f>
        <v>5.3</v>
      </c>
      <c r="BE70" s="4" t="n">
        <f aca="false">1-(MAX(J70-1900, 0)/750)</f>
        <v>0.868</v>
      </c>
      <c r="BF70" s="1" t="n">
        <f aca="false">((MAX($M70,1)*MIN($AJ70/300,1)))*IF(G70="Wagon",50,10)</f>
        <v>4</v>
      </c>
      <c r="BG70" s="1" t="n">
        <f aca="false">VLOOKUP($H70,Constants!$I:$K, 2, FALSE())</f>
        <v>1</v>
      </c>
      <c r="BH70" s="1" t="n">
        <f aca="false">VLOOKUP($H70,Constants!$I:$K, 3, FALSE())*IF(AND(G70="multiple_unit",AB70&lt;110),0.75,1)</f>
        <v>2</v>
      </c>
      <c r="BI70" s="1" t="n">
        <f aca="false">INT(POWER(((Constants!$G$2+$BB70+$BC70+$BD70+$BF70)*$BE70)*$BH70, 1.05))+$BA70</f>
        <v>69</v>
      </c>
      <c r="BJ70" s="1" t="n">
        <f aca="false">INT(POWER((((Constants!$G$1+$BB70+$BC70+$BD70+$BF70)*($BE70))*$BG70),IF($G70="wagon",1,1.2)))+$AZ70</f>
        <v>76</v>
      </c>
      <c r="BK70" s="20" t="n">
        <f aca="false">BI70*IF($G70="wagon",62.5,781.25)</f>
        <v>53906.25</v>
      </c>
      <c r="BL70" s="20" t="n">
        <f aca="false">BJ70*IF($G70="wagon",2.73,81.25)</f>
        <v>6175</v>
      </c>
      <c r="BT70" s="1" t="n">
        <v>6</v>
      </c>
      <c r="BU70" s="1" t="n">
        <v>185</v>
      </c>
      <c r="BV70" s="1" t="s">
        <v>437</v>
      </c>
      <c r="BX70" s="1" t="s">
        <v>438</v>
      </c>
      <c r="BY70" s="1" t="s">
        <v>439</v>
      </c>
      <c r="BZ70" s="18" t="s">
        <v>376</v>
      </c>
      <c r="CA70" s="1" t="str">
        <f aca="false">CONCATENATE(BY70,"_",BZ70)</f>
        <v>prv_Freight</v>
      </c>
      <c r="CB70" s="1" t="str">
        <f aca="false">_xlfn.CONCAT(H70, "_",I70)</f>
        <v>diesel_RAIL</v>
      </c>
      <c r="CC70" s="21" t="str">
        <f aca="false">_xlfn.CONCAT("{BLACK}Length: {GOLD}", TEXT(ROUNDUP(IF(AQ70&lt;&gt;"",SUM(VALUE(_xlfn.TEXTSPLIT(AQ70, ","))), SUM(VALUE(_xlfn.TEXTSPLIT(AN70, ",")))*IF(M70, M70, 1))/16, 1), "#,##0.0"), " tiles{}")</f>
        <v>{BLACK}Length: {GOLD}2.3 tiles{}</v>
      </c>
      <c r="CD70" s="1" t="str">
        <f aca="false">VLOOKUP($CB70, Constants!$M:$N, 2, FALSE())</f>
        <v>{BLACK}Powered by: {GOLD}Diesel</v>
      </c>
      <c r="CE70" s="1" t="str">
        <f aca="false">IF(M70&gt;1,_xlfn.CONCAT("{BLACK}Cars: {GOLD}", M70),"")</f>
        <v>{BLACK}Cars: {GOLD}3</v>
      </c>
      <c r="CF70" s="1" t="s">
        <v>440</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{BLACK}Powered by: {GOLD}Diesel {BLACK}Cars: {GOLD}3{}{BLACK}Length: {GOLD}2.3 tiles{}{SILVER}The Windhoff MPV units were mainly used for Departmental service, notably in the iconic Rail Head Treatment trains, but trials were made in freight service.</v>
      </c>
      <c r="CI70" s="1"/>
      <c r="CJ70" s="1"/>
    </row>
    <row r="71" customFormat="false" ht="13.8" hidden="false" customHeight="false" outlineLevel="0" collapsed="false">
      <c r="A71" s="18" t="s">
        <v>448</v>
      </c>
      <c r="B71" s="18" t="s">
        <v>449</v>
      </c>
      <c r="C71" s="1" t="n">
        <v>582</v>
      </c>
      <c r="D71" s="1" t="n">
        <v>580</v>
      </c>
      <c r="E71" s="1" t="n">
        <v>474</v>
      </c>
      <c r="F71" s="1" t="s">
        <v>89</v>
      </c>
      <c r="G71" s="1" t="s">
        <v>435</v>
      </c>
      <c r="H71" s="1" t="s">
        <v>152</v>
      </c>
      <c r="I71" s="1" t="s">
        <v>153</v>
      </c>
      <c r="J71" s="1" t="n">
        <v>1999</v>
      </c>
      <c r="M71" s="1" t="n">
        <v>4</v>
      </c>
      <c r="N71" s="1" t="n">
        <v>710</v>
      </c>
      <c r="W71" s="1" t="n">
        <f aca="false">W70+19</f>
        <v>99</v>
      </c>
      <c r="Y71" s="1" t="n">
        <v>4</v>
      </c>
      <c r="Z71" s="1" t="n">
        <v>106</v>
      </c>
      <c r="AA71" s="4" t="n">
        <f aca="false">IF(AND(W71&gt;0,Z71&gt;0),(Z71/((W71+X71)*10)),"")</f>
        <v>0.107070707070707</v>
      </c>
      <c r="AB71" s="1" t="n">
        <v>75</v>
      </c>
      <c r="AC71" s="1" t="n">
        <f aca="false">ROUND(AB71*1.6, 0)</f>
        <v>120</v>
      </c>
      <c r="AF71" s="1" t="n">
        <v>20.2</v>
      </c>
      <c r="AG71" s="1" t="n">
        <v>20</v>
      </c>
      <c r="AH71" s="1" t="n">
        <v>2.82</v>
      </c>
      <c r="AI71" s="1" t="n">
        <v>3.97</v>
      </c>
      <c r="AJ71" s="5" t="n">
        <v>40</v>
      </c>
      <c r="AK71" s="19" t="str">
        <f aca="false">CONCATENATE(VLOOKUP(AL71, 'Voxel Sizes'!$A$2:$B$18,2,FALSE()),"x",INT(AH71*15), "x", INT(AI71*15))</f>
        <v>198x42x59</v>
      </c>
      <c r="AL71" s="1" t="n">
        <f aca="false">ROUND(15*((AG71*10)/256),0)</f>
        <v>12</v>
      </c>
      <c r="AN71" s="1" t="str">
        <f aca="false">CONCATENATE(VLOOKUP(AL71,Constants!$A$2:$C$16,IF(AM71&lt;&gt;"", 3, 2), FALSE()),IF(AM71&lt;&gt;"",CONCATENATE(",",VLOOKUP(AM71,$B:$AN,38,FALSE())),""))</f>
        <v>4,4,4</v>
      </c>
      <c r="AO71" s="1" t="n">
        <v>0</v>
      </c>
      <c r="AR71" s="1" t="s">
        <v>450</v>
      </c>
      <c r="AT71" s="1" t="s">
        <v>125</v>
      </c>
      <c r="AU71" s="1" t="s">
        <v>444</v>
      </c>
      <c r="AX71" s="1" t="n">
        <v>35</v>
      </c>
      <c r="AY71" s="6" t="str">
        <f aca="false">IF(L71&lt;&gt;"",MAX(16,(L71-J71)+8),"")</f>
        <v/>
      </c>
      <c r="BB71" s="1" t="n">
        <f aca="false">MIN(AB71/150, 1)*30</f>
        <v>15</v>
      </c>
      <c r="BC71" s="1" t="n">
        <f aca="false">MIN(N71/4000, 1)*20</f>
        <v>3.55</v>
      </c>
      <c r="BD71" s="1" t="n">
        <f aca="false">MIN(Z71/400,1)*20</f>
        <v>5.3</v>
      </c>
      <c r="BE71" s="4" t="n">
        <f aca="false">1-(MAX(J71-1900, 0)/750)</f>
        <v>0.868</v>
      </c>
      <c r="BF71" s="1" t="n">
        <f aca="false">((MAX($M71,1)*MIN($AJ71/300,1)))*IF(G71="Wagon",50,10)</f>
        <v>5.33333333333333</v>
      </c>
      <c r="BG71" s="1" t="n">
        <f aca="false">VLOOKUP($H71,Constants!$I:$K, 2, FALSE())</f>
        <v>1</v>
      </c>
      <c r="BH71" s="1" t="n">
        <f aca="false">VLOOKUP($H71,Constants!$I:$K, 3, FALSE())*IF(AND(G71="multiple_unit",AB71&lt;110),0.75,1)</f>
        <v>2</v>
      </c>
      <c r="BI71" s="1" t="n">
        <f aca="false">INT(POWER(((Constants!$G$2+$BB71+$BC71+$BD71+$BF71)*$BE71)*$BH71, 1.05))+$BA71</f>
        <v>72</v>
      </c>
      <c r="BJ71" s="1" t="n">
        <f aca="false">INT(POWER((((Constants!$G$1+$BB71+$BC71+$BD71+$BF71)*($BE71))*$BG71),IF($G71="wagon",1,1.2)))+$AZ71</f>
        <v>79</v>
      </c>
      <c r="BK71" s="20" t="n">
        <f aca="false">BI71*IF($G71="wagon",62.5,781.25)</f>
        <v>56250</v>
      </c>
      <c r="BL71" s="20" t="n">
        <f aca="false">BJ71*IF($G71="wagon",2.73,81.25)</f>
        <v>6418.75</v>
      </c>
      <c r="BT71" s="1" t="n">
        <v>6</v>
      </c>
      <c r="BU71" s="1" t="n">
        <v>185</v>
      </c>
      <c r="BV71" s="1" t="s">
        <v>437</v>
      </c>
      <c r="BX71" s="1" t="s">
        <v>438</v>
      </c>
      <c r="BY71" s="1" t="s">
        <v>439</v>
      </c>
      <c r="BZ71" s="18" t="s">
        <v>376</v>
      </c>
      <c r="CA71" s="1" t="str">
        <f aca="false">CONCATENATE(BY71,"_",BZ71)</f>
        <v>prv_Freight</v>
      </c>
      <c r="CB71" s="1" t="str">
        <f aca="false">_xlfn.CONCAT(H71, "_",I71)</f>
        <v>diesel_RAIL</v>
      </c>
      <c r="CC71" s="21" t="str">
        <f aca="false">_xlfn.CONCAT("{BLACK}Length: {GOLD}", TEXT(ROUNDUP(IF(AQ71&lt;&gt;"",SUM(VALUE(_xlfn.TEXTSPLIT(AQ71, ","))), SUM(VALUE(_xlfn.TEXTSPLIT(AN71, ",")))*IF(M71, M71, 1))/16, 1), "#,##0.0"), " tiles{}")</f>
        <v>{BLACK}Length: {GOLD}3.0 tiles{}</v>
      </c>
      <c r="CD71" s="1" t="str">
        <f aca="false">VLOOKUP($CB71, Constants!$M:$N, 2, FALSE())</f>
        <v>{BLACK}Powered by: {GOLD}Diesel</v>
      </c>
      <c r="CE71" s="1" t="str">
        <f aca="false">IF(M71&gt;1,_xlfn.CONCAT("{BLACK}Cars: {GOLD}", M71),"")</f>
        <v>{BLACK}Cars: {GOLD}4</v>
      </c>
      <c r="CF71" s="1" t="s">
        <v>440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{BLACK}Powered by: {GOLD}Diesel {BLACK}Cars: {GOLD}4{}{BLACK}Length: {GOLD}3.0 tiles{}{SILVER}The Windhoff MPV units were mainly used for Departmental service, notably in the iconic Rail Head Treatment trains, but trials were made in freight service.</v>
      </c>
      <c r="CI71" s="1"/>
      <c r="CJ71" s="1"/>
    </row>
    <row r="72" customFormat="false" ht="13.8" hidden="false" customHeight="false" outlineLevel="0" collapsed="false">
      <c r="A72" s="18" t="s">
        <v>451</v>
      </c>
      <c r="B72" s="18" t="s">
        <v>452</v>
      </c>
      <c r="C72" s="1" t="n">
        <v>583</v>
      </c>
      <c r="D72" s="1" t="n">
        <v>580</v>
      </c>
      <c r="E72" s="1" t="n">
        <v>475</v>
      </c>
      <c r="F72" s="1" t="s">
        <v>89</v>
      </c>
      <c r="G72" s="1" t="s">
        <v>435</v>
      </c>
      <c r="H72" s="1" t="s">
        <v>152</v>
      </c>
      <c r="I72" s="1" t="s">
        <v>153</v>
      </c>
      <c r="J72" s="1" t="n">
        <v>1999</v>
      </c>
      <c r="M72" s="1" t="n">
        <v>5</v>
      </c>
      <c r="N72" s="1" t="n">
        <v>710</v>
      </c>
      <c r="W72" s="1" t="n">
        <f aca="false">W71+19</f>
        <v>118</v>
      </c>
      <c r="Y72" s="1" t="n">
        <v>4</v>
      </c>
      <c r="Z72" s="1" t="n">
        <v>106</v>
      </c>
      <c r="AA72" s="4" t="n">
        <f aca="false">IF(AND(W72&gt;0,Z72&gt;0),(Z72/((W72+X72)*10)),"")</f>
        <v>0.0898305084745763</v>
      </c>
      <c r="AB72" s="1" t="n">
        <v>75</v>
      </c>
      <c r="AC72" s="1" t="n">
        <f aca="false">ROUND(AB72*1.6, 0)</f>
        <v>120</v>
      </c>
      <c r="AF72" s="1" t="n">
        <v>20.2</v>
      </c>
      <c r="AG72" s="1" t="n">
        <v>20</v>
      </c>
      <c r="AH72" s="1" t="n">
        <v>2.82</v>
      </c>
      <c r="AI72" s="1" t="n">
        <v>3.97</v>
      </c>
      <c r="AJ72" s="5" t="n">
        <v>40</v>
      </c>
      <c r="AK72" s="19" t="str">
        <f aca="false">CONCATENATE(VLOOKUP(AL72, 'Voxel Sizes'!$A$2:$B$18,2,FALSE()),"x",INT(AH72*15), "x", INT(AI72*15))</f>
        <v>198x42x59</v>
      </c>
      <c r="AL72" s="1" t="n">
        <f aca="false">ROUND(15*((AG72*10)/256),0)</f>
        <v>12</v>
      </c>
      <c r="AN72" s="1" t="str">
        <f aca="false">CONCATENATE(VLOOKUP(AL72,Constants!$A$2:$C$16,IF(AM72&lt;&gt;"", 3, 2), FALSE()),IF(AM72&lt;&gt;"",CONCATENATE(",",VLOOKUP(AM72,$B:$AN,38,FALSE())),""))</f>
        <v>4,4,4</v>
      </c>
      <c r="AO72" s="1" t="n">
        <v>0</v>
      </c>
      <c r="AR72" s="1" t="s">
        <v>453</v>
      </c>
      <c r="AT72" s="1" t="s">
        <v>130</v>
      </c>
      <c r="AU72" s="1" t="s">
        <v>444</v>
      </c>
      <c r="AX72" s="1" t="n">
        <v>35</v>
      </c>
      <c r="AY72" s="6" t="str">
        <f aca="false">IF(L72&lt;&gt;"",MAX(16,(L72-J72)+8),"")</f>
        <v/>
      </c>
      <c r="BB72" s="1" t="n">
        <f aca="false">MIN(AB72/150, 1)*30</f>
        <v>15</v>
      </c>
      <c r="BC72" s="1" t="n">
        <f aca="false">MIN(N72/4000, 1)*20</f>
        <v>3.55</v>
      </c>
      <c r="BD72" s="1" t="n">
        <f aca="false">MIN(Z72/400,1)*20</f>
        <v>5.3</v>
      </c>
      <c r="BE72" s="4" t="n">
        <f aca="false">1-(MAX(J72-1900, 0)/750)</f>
        <v>0.868</v>
      </c>
      <c r="BF72" s="1" t="n">
        <f aca="false">((MAX($M72,1)*MIN($AJ72/300,1)))*IF(G72="Wagon",50,10)</f>
        <v>6.66666666666667</v>
      </c>
      <c r="BG72" s="1" t="n">
        <f aca="false">VLOOKUP($H72,Constants!$I:$K, 2, FALSE())</f>
        <v>1</v>
      </c>
      <c r="BH72" s="1" t="n">
        <f aca="false">VLOOKUP($H72,Constants!$I:$K, 3, FALSE())*IF(AND(G72="multiple_unit",AB72&lt;110),0.75,1)</f>
        <v>2</v>
      </c>
      <c r="BI72" s="1" t="n">
        <f aca="false">INT(POWER(((Constants!$G$2+$BB72+$BC72+$BD72+$BF72)*$BE72)*$BH72, 1.05))+$BA72</f>
        <v>75</v>
      </c>
      <c r="BJ72" s="1" t="n">
        <f aca="false">INT(POWER((((Constants!$G$1+$BB72+$BC72+$BD72+$BF72)*($BE72))*$BG72),IF($G72="wagon",1,1.2)))+$AZ72</f>
        <v>82</v>
      </c>
      <c r="BK72" s="20" t="n">
        <f aca="false">BI72*IF($G72="wagon",62.5,781.25)</f>
        <v>58593.75</v>
      </c>
      <c r="BL72" s="20" t="n">
        <f aca="false">BJ72*IF($G72="wagon",2.73,81.25)</f>
        <v>6662.5</v>
      </c>
      <c r="BT72" s="1" t="n">
        <v>6</v>
      </c>
      <c r="BU72" s="1" t="n">
        <v>185</v>
      </c>
      <c r="BV72" s="1" t="s">
        <v>437</v>
      </c>
      <c r="BX72" s="1" t="s">
        <v>438</v>
      </c>
      <c r="BY72" s="1" t="s">
        <v>439</v>
      </c>
      <c r="BZ72" s="18" t="s">
        <v>376</v>
      </c>
      <c r="CA72" s="1" t="str">
        <f aca="false">CONCATENATE(BY72,"_",BZ72)</f>
        <v>prv_Freight</v>
      </c>
      <c r="CB72" s="1" t="str">
        <f aca="false">_xlfn.CONCAT(H72, "_",I72)</f>
        <v>diesel_RAIL</v>
      </c>
      <c r="CC72" s="21" t="str">
        <f aca="false">_xlfn.CONCAT("{BLACK}Length: {GOLD}", TEXT(ROUNDUP(IF(AQ72&lt;&gt;"",SUM(VALUE(_xlfn.TEXTSPLIT(AQ72, ","))), SUM(VALUE(_xlfn.TEXTSPLIT(AN72, ",")))*IF(M72, M72, 1))/16, 1), "#,##0.0"), " tiles{}")</f>
        <v>{BLACK}Length: {GOLD}3.8 tiles{}</v>
      </c>
      <c r="CD72" s="1" t="str">
        <f aca="false">VLOOKUP($CB72, Constants!$M:$N, 2, FALSE())</f>
        <v>{BLACK}Powered by: {GOLD}Diesel</v>
      </c>
      <c r="CE72" s="1" t="str">
        <f aca="false">IF(M72&gt;1,_xlfn.CONCAT("{BLACK}Cars: {GOLD}", M72),"")</f>
        <v>{BLACK}Cars: {GOLD}5</v>
      </c>
      <c r="CF72" s="1" t="s">
        <v>440</v>
      </c>
      <c r="CG72" s="1" t="str">
        <f aca="false">IF(BW72="buffet","{YELLOW}25%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{BLACK}Powered by: {GOLD}Diesel {BLACK}Cars: {GOLD}5{}{BLACK}Length: {GOLD}3.8 tiles{}{SILVER}The Windhoff MPV units were mainly used for Departmental service, notably in the iconic Rail Head Treatment trains, but trials were made in freight service.</v>
      </c>
      <c r="CI72" s="1"/>
      <c r="CJ72" s="1"/>
    </row>
    <row r="73" s="19" customFormat="true" ht="13.8" hidden="false" customHeight="false" outlineLevel="0" collapsed="false">
      <c r="A73" s="19" t="s">
        <v>454</v>
      </c>
      <c r="B73" s="19" t="s">
        <v>455</v>
      </c>
      <c r="C73" s="19" t="n">
        <v>440</v>
      </c>
      <c r="E73" s="19" t="n">
        <v>480</v>
      </c>
      <c r="F73" s="19" t="s">
        <v>89</v>
      </c>
      <c r="G73" s="19" t="s">
        <v>90</v>
      </c>
      <c r="H73" s="19" t="s">
        <v>152</v>
      </c>
      <c r="I73" s="19" t="s">
        <v>153</v>
      </c>
      <c r="J73" s="19" t="n">
        <v>2003</v>
      </c>
      <c r="M73" s="19" t="n">
        <v>4</v>
      </c>
      <c r="N73" s="19" t="n">
        <f aca="false">750*M73</f>
        <v>3000</v>
      </c>
      <c r="O73" s="25"/>
      <c r="P73" s="26"/>
      <c r="Q73" s="26"/>
      <c r="R73" s="26"/>
      <c r="S73" s="26"/>
      <c r="T73" s="26"/>
      <c r="U73" s="26"/>
      <c r="V73" s="26"/>
      <c r="W73" s="19" t="n">
        <v>186.5</v>
      </c>
      <c r="X73" s="25"/>
      <c r="Y73" s="19" t="n">
        <v>5</v>
      </c>
      <c r="Z73" s="19" t="n">
        <f aca="false">54*M73</f>
        <v>216</v>
      </c>
      <c r="AA73" s="27" t="n">
        <f aca="false">IF(AND(W73&gt;0,Z73&gt;0),(Z73/((W73+X73)*10)),"")</f>
        <v>0.115817694369973</v>
      </c>
      <c r="AB73" s="19" t="n">
        <v>125</v>
      </c>
      <c r="AC73" s="19" t="n">
        <f aca="false">ROUND(AB73*1.6, 0)</f>
        <v>200</v>
      </c>
      <c r="AF73" s="19" t="n">
        <v>23.8</v>
      </c>
      <c r="AG73" s="19" t="n">
        <v>23.8</v>
      </c>
      <c r="AH73" s="19" t="n">
        <v>2.73</v>
      </c>
      <c r="AJ73" s="28" t="n">
        <v>51</v>
      </c>
      <c r="AK73" s="19" t="str">
        <f aca="false">CONCATENATE(VLOOKUP(AL73, 'Voxel Sizes'!$A$2:$B$18,2,FALSE()),"x",INT(AH73*15), "x", INT(AI73*15))</f>
        <v>238x40x0</v>
      </c>
      <c r="AL73" s="19" t="n">
        <f aca="false">ROUND(15*((AG73*10)/256),0)</f>
        <v>14</v>
      </c>
      <c r="AN73" s="1" t="str">
        <f aca="false">CONCATENATE(VLOOKUP(AL73,Constants!$A$2:$C$16,IF(AM73&lt;&gt;"", 3, 2), FALSE()),IF(AM73&lt;&gt;"",CONCATENATE(",",VLOOKUP(AM73,$B:$AN,38,FALSE())),""))</f>
        <v>4,6,4</v>
      </c>
      <c r="AP73" s="29"/>
      <c r="AQ73" s="29"/>
      <c r="AR73" s="19" t="s">
        <v>456</v>
      </c>
      <c r="AT73" s="19" t="s">
        <v>163</v>
      </c>
      <c r="AU73" s="19" t="s">
        <v>457</v>
      </c>
      <c r="AX73" s="19" t="n">
        <v>29</v>
      </c>
      <c r="AY73" s="30" t="str">
        <f aca="false">IF(L73&lt;&gt;"",MAX(16,(L73-J73)+8),"")</f>
        <v/>
      </c>
      <c r="AZ73" s="19" t="n">
        <v>-15</v>
      </c>
      <c r="BA73" s="19" t="n">
        <v>-35</v>
      </c>
      <c r="BB73" s="19" t="n">
        <f aca="false">MIN(AB73/150, 1)*30</f>
        <v>25</v>
      </c>
      <c r="BC73" s="19" t="n">
        <f aca="false">MIN(N73/4000, 1)*20</f>
        <v>15</v>
      </c>
      <c r="BD73" s="19" t="n">
        <f aca="false">MIN(Z73/400,1)*20</f>
        <v>10.8</v>
      </c>
      <c r="BE73" s="27" t="n">
        <f aca="false">1-(MAX(J73-1900, 0)/750)</f>
        <v>0.862666666666667</v>
      </c>
      <c r="BF73" s="19" t="n">
        <f aca="false">((MAX($M73,1)*MIN($AJ73/300,1)))*IF(G73="Wagon",50,10)</f>
        <v>6.8</v>
      </c>
      <c r="BG73" s="1" t="n">
        <f aca="false">VLOOKUP($H73,Constants!$I:$K, 2, FALSE())</f>
        <v>1</v>
      </c>
      <c r="BH73" s="1" t="n">
        <f aca="false">VLOOKUP($H73,Constants!$I:$K, 3, FALSE())*IF(AND(G73="multiple_unit",AB73&lt;110),0.75,1)</f>
        <v>2</v>
      </c>
      <c r="BI73" s="1" t="n">
        <f aca="false">INT(POWER(((Constants!$G$2+$BB73+$BC73+$BD73+$BF73)*$BE73)*$BH73, 1.05))+$BA73</f>
        <v>101</v>
      </c>
      <c r="BJ73" s="1" t="n">
        <f aca="false">INT(POWER((((Constants!$G$1+$BB73+$BC73+$BD73+$BF73)*($BE73))*$BG73),IF($G73="wagon",1,1.2)))+$AZ73</f>
        <v>128</v>
      </c>
      <c r="BK73" s="31" t="n">
        <f aca="false">BI73*IF($G73="wagon",62.5,781.25)</f>
        <v>78906.25</v>
      </c>
      <c r="BL73" s="31" t="n">
        <f aca="false">BJ73*IF($G73="wagon",2.73,81.25)</f>
        <v>10400</v>
      </c>
      <c r="BQ73" s="19" t="s">
        <v>458</v>
      </c>
      <c r="BT73" s="19" t="n">
        <v>10</v>
      </c>
      <c r="BU73" s="19" t="n">
        <v>205</v>
      </c>
      <c r="BX73" s="19" t="s">
        <v>95</v>
      </c>
      <c r="BY73" s="1" t="s">
        <v>439</v>
      </c>
      <c r="BZ73" s="32" t="s">
        <v>205</v>
      </c>
      <c r="CA73" s="19" t="str">
        <f aca="false">CONCATENATE(BY73,"_",BZ73)</f>
        <v>prv_DMU (Express)</v>
      </c>
      <c r="CB73" s="19" t="str">
        <f aca="false">_xlfn.CONCAT(H73, "_",I73)</f>
        <v>diesel_RAIL</v>
      </c>
      <c r="CC73" s="21" t="str">
        <f aca="false">_xlfn.CONCAT("{BLACK}Length: {GOLD}", TEXT(ROUNDUP(IF(AQ73&lt;&gt;"",SUM(VALUE(_xlfn.TEXTSPLIT(AQ73, ","))), SUM(VALUE(_xlfn.TEXTSPLIT(AN73, ",")))*IF(M73, M73, 1))/16, 1), "#,##0.0"), " tiles{}")</f>
        <v>{BLACK}Length: {GOLD}3.5 tiles{}</v>
      </c>
      <c r="CD73" s="1" t="str">
        <f aca="false">VLOOKUP($CB73, Constants!$M:$N, 2, FALSE())</f>
        <v>{BLACK}Powered by: {GOLD}Diesel</v>
      </c>
      <c r="CE73" s="1" t="str">
        <f aca="false">IF(M73&gt;1,_xlfn.CONCAT("{BLACK}Cars: {GOLD}", M73),"")</f>
        <v>{BLACK}Cars: {GOLD}4</v>
      </c>
      <c r="CF73" s="19" t="s">
        <v>459</v>
      </c>
      <c r="CG73" s="1" t="str">
        <f aca="false">IF(BW73="buffet","{YELLOW}25% long distance bonus for consist{}",IF(BY73="BRAKE","{YELLOW}Speed bonus for slow wagons{}",IF(BU73&gt;190,CONCATENATE("{YELLOW}",INT((BU73-185)/1.85),"% bonus for long distance travel{}"),IF(AND(BU73&lt;180,BU73&lt;&gt;0),CONCATENATE("{YELLOW}",INT((185-BU73)/1.85),"% penalty for long distance travel{}"),""))))</f>
        <v>{YELLOW}10% bonus for long distance travel{}</v>
      </c>
      <c r="CH73" s="1" t="str">
        <f aca="false">_xlfn.CONCAT(CD73,IF(CD73 &lt;&gt; "", " ", ""),CE73,IF(OR(CE73&lt;&gt;"", CD73&lt;&gt;""), "{}",""), CC73, CG73,"{SILVER}", CF73)</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74" s="19" customFormat="true" ht="13.8" hidden="false" customHeight="false" outlineLevel="0" collapsed="false">
      <c r="A74" s="19" t="s">
        <v>454</v>
      </c>
      <c r="B74" s="19" t="s">
        <v>460</v>
      </c>
      <c r="C74" s="19" t="n">
        <v>441</v>
      </c>
      <c r="D74" s="19" t="n">
        <v>440</v>
      </c>
      <c r="E74" s="19" t="n">
        <v>481</v>
      </c>
      <c r="F74" s="19" t="s">
        <v>89</v>
      </c>
      <c r="G74" s="19" t="s">
        <v>90</v>
      </c>
      <c r="H74" s="19" t="s">
        <v>152</v>
      </c>
      <c r="I74" s="19" t="s">
        <v>153</v>
      </c>
      <c r="J74" s="19" t="n">
        <v>2003</v>
      </c>
      <c r="M74" s="19" t="n">
        <v>5</v>
      </c>
      <c r="N74" s="19" t="n">
        <f aca="false">750*M74</f>
        <v>3750</v>
      </c>
      <c r="O74" s="25"/>
      <c r="P74" s="26"/>
      <c r="Q74" s="26"/>
      <c r="R74" s="26"/>
      <c r="S74" s="26"/>
      <c r="T74" s="26"/>
      <c r="U74" s="26"/>
      <c r="V74" s="26"/>
      <c r="W74" s="19" t="n">
        <f aca="false">W73+37.3</f>
        <v>223.8</v>
      </c>
      <c r="X74" s="25"/>
      <c r="Y74" s="19" t="n">
        <v>5</v>
      </c>
      <c r="Z74" s="19" t="n">
        <f aca="false">54*M74</f>
        <v>270</v>
      </c>
      <c r="AA74" s="27" t="n">
        <f aca="false">IF(AND(W74&gt;0,Z74&gt;0),(Z74/((W74+X74)*10)),"")</f>
        <v>0.120643431635389</v>
      </c>
      <c r="AB74" s="19" t="n">
        <v>125</v>
      </c>
      <c r="AC74" s="19" t="n">
        <f aca="false">ROUND(AB74*1.6, 0)</f>
        <v>200</v>
      </c>
      <c r="AF74" s="19" t="n">
        <v>23.8</v>
      </c>
      <c r="AG74" s="19" t="n">
        <v>23.8</v>
      </c>
      <c r="AH74" s="19" t="n">
        <v>2.73</v>
      </c>
      <c r="AJ74" s="28" t="n">
        <v>51</v>
      </c>
      <c r="AK74" s="19" t="str">
        <f aca="false">CONCATENATE(VLOOKUP(AL74, 'Voxel Sizes'!$A$2:$B$18,2,FALSE()),"x",INT(AH74*15), "x", INT(AI74*15))</f>
        <v>238x40x0</v>
      </c>
      <c r="AL74" s="19" t="n">
        <f aca="false">ROUND(15*((AG74*10)/256),0)</f>
        <v>14</v>
      </c>
      <c r="AN74" s="1" t="str">
        <f aca="false">CONCATENATE(VLOOKUP(AL74,Constants!$A$2:$C$16,IF(AM74&lt;&gt;"", 3, 2), FALSE()),IF(AM74&lt;&gt;"",CONCATENATE(",",VLOOKUP(AM74,$B:$AN,38,FALSE())),""))</f>
        <v>4,6,4</v>
      </c>
      <c r="AP74" s="29"/>
      <c r="AQ74" s="29"/>
      <c r="AR74" s="19" t="s">
        <v>461</v>
      </c>
      <c r="AT74" s="19" t="s">
        <v>130</v>
      </c>
      <c r="AU74" s="19" t="s">
        <v>457</v>
      </c>
      <c r="AX74" s="19" t="n">
        <v>29</v>
      </c>
      <c r="AY74" s="30" t="str">
        <f aca="false">IF(L74&lt;&gt;"",MAX(16,(L74-J74)+8),"")</f>
        <v/>
      </c>
      <c r="AZ74" s="19" t="n">
        <v>-15</v>
      </c>
      <c r="BA74" s="19" t="n">
        <v>-35</v>
      </c>
      <c r="BB74" s="19" t="n">
        <f aca="false">MIN(AB74/150, 1)*30</f>
        <v>25</v>
      </c>
      <c r="BC74" s="19" t="n">
        <f aca="false">MIN(N74/4000, 1)*20</f>
        <v>18.75</v>
      </c>
      <c r="BD74" s="19" t="n">
        <f aca="false">MIN(Z74/400,1)*20</f>
        <v>13.5</v>
      </c>
      <c r="BE74" s="27" t="n">
        <f aca="false">1-(MAX(J74-1900, 0)/750)</f>
        <v>0.862666666666667</v>
      </c>
      <c r="BF74" s="19" t="n">
        <f aca="false">((MAX($M74,1)*MIN($AJ74/300,1)))*IF(G74="Wagon",50,10)</f>
        <v>8.5</v>
      </c>
      <c r="BG74" s="1" t="n">
        <f aca="false">VLOOKUP($H74,Constants!$I:$K, 2, FALSE())</f>
        <v>1</v>
      </c>
      <c r="BH74" s="1" t="n">
        <f aca="false">VLOOKUP($H74,Constants!$I:$K, 3, FALSE())*IF(AND(G74="multiple_unit",AB74&lt;110),0.75,1)</f>
        <v>2</v>
      </c>
      <c r="BI74" s="1" t="n">
        <f aca="false">INT(POWER(((Constants!$G$2+$BB74+$BC74+$BD74+$BF74)*$BE74)*$BH74, 1.05))+$BA74</f>
        <v>120</v>
      </c>
      <c r="BJ74" s="1" t="n">
        <f aca="false">INT(POWER((((Constants!$G$1+$BB74+$BC74+$BD74+$BF74)*($BE74))*$BG74),IF($G74="wagon",1,1.2)))+$AZ74</f>
        <v>147</v>
      </c>
      <c r="BK74" s="31" t="n">
        <f aca="false">BI74*IF($G74="wagon",62.5,781.25)</f>
        <v>93750</v>
      </c>
      <c r="BL74" s="31" t="n">
        <f aca="false">BJ74*IF($G74="wagon",2.73,81.25)</f>
        <v>11943.75</v>
      </c>
      <c r="BQ74" s="19" t="s">
        <v>462</v>
      </c>
      <c r="BS74" s="1" t="s">
        <v>463</v>
      </c>
      <c r="BT74" s="19" t="n">
        <v>10</v>
      </c>
      <c r="BU74" s="19" t="n">
        <v>205</v>
      </c>
      <c r="BX74" s="19" t="s">
        <v>95</v>
      </c>
      <c r="BY74" s="1" t="s">
        <v>439</v>
      </c>
      <c r="BZ74" s="32" t="s">
        <v>205</v>
      </c>
      <c r="CA74" s="19" t="str">
        <f aca="false">CONCATENATE(BY74,"_",BZ74)</f>
        <v>prv_DMU (Express)</v>
      </c>
      <c r="CB74" s="19" t="str">
        <f aca="false">_xlfn.CONCAT(H74, "_",I74)</f>
        <v>diesel_RAIL</v>
      </c>
      <c r="CC74" s="21" t="str">
        <f aca="false">_xlfn.CONCAT("{BLACK}Length: {GOLD}", TEXT(ROUNDUP(IF(AQ74&lt;&gt;"",SUM(VALUE(_xlfn.TEXTSPLIT(AQ74, ","))), SUM(VALUE(_xlfn.TEXTSPLIT(AN74, ",")))*IF(M74, M74, 1))/16, 1), "#,##0.0"), " tiles{}")</f>
        <v>{BLACK}Length: {GOLD}4.4 tiles{}</v>
      </c>
      <c r="CD74" s="1" t="str">
        <f aca="false">VLOOKUP($CB74, Constants!$M:$N, 2, FALSE())</f>
        <v>{BLACK}Powered by: {GOLD}Diesel</v>
      </c>
      <c r="CE74" s="1" t="str">
        <f aca="false">IF(M74&gt;1,_xlfn.CONCAT("{BLACK}Cars: {GOLD}", M74),"")</f>
        <v>{BLACK}Cars: {GOLD}5</v>
      </c>
      <c r="CF74" s="19" t="s">
        <v>459</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{YELLOW}10% bonus for long distance travel{}</v>
      </c>
      <c r="CH74" s="1" t="str">
        <f aca="false">_xlfn.CONCAT(CD74,IF(CD74 &lt;&gt; "", " ", ""),CE74,IF(OR(CE74&lt;&gt;"", CD74&lt;&gt;""), "{}",""), CC74, CG74,"{SILVER}", CF74)</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75" s="19" customFormat="true" ht="13.8" hidden="false" customHeight="false" outlineLevel="0" collapsed="false">
      <c r="A75" s="19" t="s">
        <v>454</v>
      </c>
      <c r="B75" s="19" t="s">
        <v>464</v>
      </c>
      <c r="C75" s="19" t="n">
        <v>442</v>
      </c>
      <c r="D75" s="19" t="n">
        <v>440</v>
      </c>
      <c r="E75" s="19" t="n">
        <v>482</v>
      </c>
      <c r="F75" s="19" t="s">
        <v>89</v>
      </c>
      <c r="G75" s="19" t="s">
        <v>90</v>
      </c>
      <c r="H75" s="19" t="s">
        <v>152</v>
      </c>
      <c r="I75" s="19" t="s">
        <v>153</v>
      </c>
      <c r="J75" s="19" t="n">
        <v>2003</v>
      </c>
      <c r="M75" s="19" t="n">
        <v>7</v>
      </c>
      <c r="N75" s="19" t="n">
        <f aca="false">750*M75</f>
        <v>5250</v>
      </c>
      <c r="O75" s="25"/>
      <c r="P75" s="26"/>
      <c r="Q75" s="26"/>
      <c r="R75" s="26"/>
      <c r="S75" s="26"/>
      <c r="T75" s="26"/>
      <c r="U75" s="26"/>
      <c r="V75" s="26"/>
      <c r="W75" s="19" t="n">
        <f aca="false">W74+(37.3*2)</f>
        <v>298.4</v>
      </c>
      <c r="X75" s="25"/>
      <c r="Y75" s="19" t="n">
        <v>5</v>
      </c>
      <c r="Z75" s="19" t="n">
        <f aca="false">54*M75</f>
        <v>378</v>
      </c>
      <c r="AA75" s="27" t="n">
        <f aca="false">IF(AND(W75&gt;0,Z75&gt;0),(Z75/((W75+X75)*10)),"")</f>
        <v>0.126675603217158</v>
      </c>
      <c r="AB75" s="19" t="n">
        <v>125</v>
      </c>
      <c r="AC75" s="19" t="n">
        <f aca="false">ROUND(AB75*1.6, 0)</f>
        <v>200</v>
      </c>
      <c r="AF75" s="19" t="n">
        <v>23.8</v>
      </c>
      <c r="AG75" s="19" t="n">
        <v>23.8</v>
      </c>
      <c r="AH75" s="19" t="n">
        <v>2.73</v>
      </c>
      <c r="AJ75" s="28" t="n">
        <v>51</v>
      </c>
      <c r="AK75" s="19" t="str">
        <f aca="false">CONCATENATE(VLOOKUP(AL75, 'Voxel Sizes'!$A$2:$B$18,2,FALSE()),"x",INT(AH75*15), "x", INT(AI75*15))</f>
        <v>238x40x0</v>
      </c>
      <c r="AL75" s="19" t="n">
        <f aca="false">ROUND(15*((AG75*10)/256),0)</f>
        <v>14</v>
      </c>
      <c r="AN75" s="1" t="str">
        <f aca="false">CONCATENATE(VLOOKUP(AL75,Constants!$A$2:$C$16,IF(AM75&lt;&gt;"", 3, 2), FALSE()),IF(AM75&lt;&gt;"",CONCATENATE(",",VLOOKUP(AM75,$B:$AN,38,FALSE())),""))</f>
        <v>4,6,4</v>
      </c>
      <c r="AP75" s="29"/>
      <c r="AQ75" s="29"/>
      <c r="AR75" s="19" t="s">
        <v>465</v>
      </c>
      <c r="AT75" s="19" t="s">
        <v>466</v>
      </c>
      <c r="AU75" s="19" t="s">
        <v>457</v>
      </c>
      <c r="AX75" s="19" t="n">
        <v>29</v>
      </c>
      <c r="AY75" s="30" t="str">
        <f aca="false">IF(L75&lt;&gt;"",MAX(16,(L75-J75)+8),"")</f>
        <v/>
      </c>
      <c r="AZ75" s="19" t="n">
        <v>-15</v>
      </c>
      <c r="BA75" s="19" t="n">
        <v>-35</v>
      </c>
      <c r="BB75" s="19" t="n">
        <f aca="false">MIN(AB75/150, 1)*30</f>
        <v>25</v>
      </c>
      <c r="BC75" s="19" t="n">
        <f aca="false">MIN(N75/4000, 1)*20</f>
        <v>20</v>
      </c>
      <c r="BD75" s="19" t="n">
        <f aca="false">MIN(Z75/400,1)*20</f>
        <v>18.9</v>
      </c>
      <c r="BE75" s="27" t="n">
        <f aca="false">1-(MAX(J75-1900, 0)/750)</f>
        <v>0.862666666666667</v>
      </c>
      <c r="BF75" s="19" t="n">
        <f aca="false">((MAX($M75,1)*MIN($AJ75/300,1)))*IF(G75="Wagon",50,10)</f>
        <v>11.9</v>
      </c>
      <c r="BG75" s="1" t="n">
        <f aca="false">VLOOKUP($H75,Constants!$I:$K, 2, FALSE())</f>
        <v>1</v>
      </c>
      <c r="BH75" s="1" t="n">
        <f aca="false">VLOOKUP($H75,Constants!$I:$K, 3, FALSE())*IF(AND(G75="multiple_unit",AB75&lt;110),0.75,1)</f>
        <v>2</v>
      </c>
      <c r="BI75" s="1" t="n">
        <f aca="false">INT(POWER(((Constants!$G$2+$BB75+$BC75+$BD75+$BF75)*$BE75)*$BH75, 1.05))+$BA75</f>
        <v>143</v>
      </c>
      <c r="BJ75" s="1" t="n">
        <f aca="false">INT(POWER((((Constants!$G$1+$BB75+$BC75+$BD75+$BF75)*($BE75))*$BG75),IF($G75="wagon",1,1.2)))+$AZ75</f>
        <v>172</v>
      </c>
      <c r="BK75" s="31" t="n">
        <f aca="false">BI75*IF($G75="wagon",62.5,781.25)</f>
        <v>111718.75</v>
      </c>
      <c r="BL75" s="31" t="n">
        <f aca="false">BJ75*IF($G75="wagon",2.73,81.25)</f>
        <v>13975</v>
      </c>
      <c r="BQ75" s="19" t="s">
        <v>467</v>
      </c>
      <c r="BS75" s="1" t="s">
        <v>468</v>
      </c>
      <c r="BT75" s="19" t="n">
        <v>10</v>
      </c>
      <c r="BU75" s="19" t="n">
        <v>205</v>
      </c>
      <c r="BX75" s="19" t="s">
        <v>95</v>
      </c>
      <c r="BY75" s="1" t="s">
        <v>439</v>
      </c>
      <c r="BZ75" s="32" t="s">
        <v>205</v>
      </c>
      <c r="CA75" s="19" t="str">
        <f aca="false">CONCATENATE(BY75,"_",BZ75)</f>
        <v>prv_DMU (Express)</v>
      </c>
      <c r="CB75" s="19" t="str">
        <f aca="false">_xlfn.CONCAT(H75, "_",I75)</f>
        <v>diesel_RAIL</v>
      </c>
      <c r="CC75" s="21" t="str">
        <f aca="false">_xlfn.CONCAT("{BLACK}Length: {GOLD}", TEXT(ROUNDUP(IF(AQ75&lt;&gt;"",SUM(VALUE(_xlfn.TEXTSPLIT(AQ75, ","))), SUM(VALUE(_xlfn.TEXTSPLIT(AN75, ",")))*IF(M75, M75, 1))/16, 1), "#,##0.0"), " tiles{}")</f>
        <v>{BLACK}Length: {GOLD}6.2 tiles{}</v>
      </c>
      <c r="CD75" s="1" t="str">
        <f aca="false">VLOOKUP($CB75, Constants!$M:$N, 2, FALSE())</f>
        <v>{BLACK}Powered by: {GOLD}Diesel</v>
      </c>
      <c r="CE75" s="1" t="str">
        <f aca="false">IF(M75&gt;1,_xlfn.CONCAT("{BLACK}Cars: {GOLD}", M75),"")</f>
        <v>{BLACK}Cars: {GOLD}7</v>
      </c>
      <c r="CF75" s="19" t="s">
        <v>459</v>
      </c>
      <c r="CG75" s="1" t="str">
        <f aca="false">IF(BW75="buffet","{YELLOW}25% long distance bonus for consist{}",IF(BY75="BRAKE","{YELLOW}Speed bonus for slow wagons{}",IF(BU75&gt;190,CONCATENATE("{YELLOW}",INT((BU75-185)/1.85),"% bonus for long distance travel{}"),IF(AND(BU75&lt;180,BU75&lt;&gt;0),CONCATENATE("{YELLOW}",INT((185-BU75)/1.85),"% penalty for long distance travel{}"),""))))</f>
        <v>{YELLOW}10% bonus for long distance travel{}</v>
      </c>
      <c r="CH75" s="1" t="str">
        <f aca="false">_xlfn.CONCAT(CD75,IF(CD75 &lt;&gt; "", " ", ""),CE75,IF(OR(CE75&lt;&gt;"", CD75&lt;&gt;""), "{}",""), CC75, CG75,"{SILVER}", CF75)</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76" s="19" customFormat="true" ht="13.8" hidden="false" customHeight="false" outlineLevel="0" collapsed="false">
      <c r="A76" s="19" t="s">
        <v>454</v>
      </c>
      <c r="B76" s="19" t="s">
        <v>469</v>
      </c>
      <c r="C76" s="19" t="n">
        <v>443</v>
      </c>
      <c r="D76" s="19" t="n">
        <v>440</v>
      </c>
      <c r="E76" s="19" t="n">
        <v>483</v>
      </c>
      <c r="F76" s="19" t="s">
        <v>89</v>
      </c>
      <c r="G76" s="19" t="s">
        <v>90</v>
      </c>
      <c r="H76" s="19" t="s">
        <v>152</v>
      </c>
      <c r="I76" s="19" t="s">
        <v>153</v>
      </c>
      <c r="J76" s="19" t="n">
        <v>2003</v>
      </c>
      <c r="M76" s="19" t="n">
        <v>9</v>
      </c>
      <c r="N76" s="19" t="n">
        <f aca="false">750*M76</f>
        <v>6750</v>
      </c>
      <c r="O76" s="25"/>
      <c r="P76" s="26"/>
      <c r="Q76" s="26"/>
      <c r="R76" s="26"/>
      <c r="S76" s="26"/>
      <c r="T76" s="26"/>
      <c r="U76" s="26"/>
      <c r="V76" s="26"/>
      <c r="W76" s="19" t="n">
        <f aca="false">W75+(37.3*2)</f>
        <v>373</v>
      </c>
      <c r="X76" s="25"/>
      <c r="Y76" s="19" t="n">
        <v>5</v>
      </c>
      <c r="Z76" s="19" t="n">
        <f aca="false">54*M76</f>
        <v>486</v>
      </c>
      <c r="AA76" s="27" t="n">
        <f aca="false">IF(AND(W76&gt;0,Z76&gt;0),(Z76/((W76+X76)*10)),"")</f>
        <v>0.13029490616622</v>
      </c>
      <c r="AB76" s="19" t="n">
        <v>125</v>
      </c>
      <c r="AC76" s="19" t="n">
        <f aca="false">ROUND(AB76*1.6, 0)</f>
        <v>200</v>
      </c>
      <c r="AF76" s="19" t="n">
        <v>23.8</v>
      </c>
      <c r="AG76" s="19" t="n">
        <v>23.8</v>
      </c>
      <c r="AH76" s="19" t="n">
        <v>2.73</v>
      </c>
      <c r="AJ76" s="28" t="n">
        <v>51</v>
      </c>
      <c r="AK76" s="19" t="str">
        <f aca="false">CONCATENATE(VLOOKUP(AL76, 'Voxel Sizes'!$A$2:$B$18,2,FALSE()),"x",INT(AH76*15), "x", INT(AI76*15))</f>
        <v>238x40x0</v>
      </c>
      <c r="AL76" s="19" t="n">
        <f aca="false">ROUND(15*((AG76*10)/256),0)</f>
        <v>14</v>
      </c>
      <c r="AN76" s="1" t="str">
        <f aca="false">CONCATENATE(VLOOKUP(AL76,Constants!$A$2:$C$16,IF(AM76&lt;&gt;"", 3, 2), FALSE()),IF(AM76&lt;&gt;"",CONCATENATE(",",VLOOKUP(AM76,$B:$AN,38,FALSE())),""))</f>
        <v>4,6,4</v>
      </c>
      <c r="AP76" s="29"/>
      <c r="AQ76" s="29"/>
      <c r="AR76" s="19" t="s">
        <v>470</v>
      </c>
      <c r="AT76" s="19" t="s">
        <v>471</v>
      </c>
      <c r="AU76" s="19" t="s">
        <v>457</v>
      </c>
      <c r="AX76" s="19" t="n">
        <v>29</v>
      </c>
      <c r="AY76" s="30" t="str">
        <f aca="false">IF(L76&lt;&gt;"",MAX(16,(L76-J76)+8),"")</f>
        <v/>
      </c>
      <c r="AZ76" s="19" t="n">
        <v>-15</v>
      </c>
      <c r="BA76" s="19" t="n">
        <v>-35</v>
      </c>
      <c r="BB76" s="19" t="n">
        <f aca="false">MIN(AB76/150, 1)*30</f>
        <v>25</v>
      </c>
      <c r="BC76" s="19" t="n">
        <f aca="false">MIN(N76/4000, 1)*20</f>
        <v>20</v>
      </c>
      <c r="BD76" s="19" t="n">
        <f aca="false">MIN(Z76/400,1)*20</f>
        <v>20</v>
      </c>
      <c r="BE76" s="27" t="n">
        <f aca="false">1-(MAX(J76-1900, 0)/750)</f>
        <v>0.862666666666667</v>
      </c>
      <c r="BF76" s="19" t="n">
        <f aca="false">((MAX($M76,1)*MIN($AJ76/300,1)))*IF(G76="Wagon",50,10)</f>
        <v>15.3</v>
      </c>
      <c r="BG76" s="1" t="n">
        <f aca="false">VLOOKUP($H76,Constants!$I:$K, 2, FALSE())</f>
        <v>1</v>
      </c>
      <c r="BH76" s="1" t="n">
        <f aca="false">VLOOKUP($H76,Constants!$I:$K, 3, FALSE())*IF(AND(G76="multiple_unit",AB76&lt;110),0.75,1)</f>
        <v>2</v>
      </c>
      <c r="BI76" s="1" t="n">
        <f aca="false">INT(POWER(((Constants!$G$2+$BB76+$BC76+$BD76+$BF76)*$BE76)*$BH76, 1.05))+$BA76</f>
        <v>153</v>
      </c>
      <c r="BJ76" s="1" t="n">
        <f aca="false">INT(POWER((((Constants!$G$1+$BB76+$BC76+$BD76+$BF76)*($BE76))*$BG76),IF($G76="wagon",1,1.2)))+$AZ76</f>
        <v>183</v>
      </c>
      <c r="BK76" s="31" t="n">
        <f aca="false">BI76*IF($G76="wagon",62.5,781.25)</f>
        <v>119531.25</v>
      </c>
      <c r="BL76" s="31" t="n">
        <f aca="false">BJ76*IF($G76="wagon",2.73,81.25)</f>
        <v>14868.75</v>
      </c>
      <c r="BQ76" s="19" t="s">
        <v>472</v>
      </c>
      <c r="BS76" s="1" t="s">
        <v>468</v>
      </c>
      <c r="BT76" s="19" t="n">
        <v>10</v>
      </c>
      <c r="BU76" s="19" t="n">
        <v>205</v>
      </c>
      <c r="BX76" s="19" t="s">
        <v>95</v>
      </c>
      <c r="BY76" s="1" t="s">
        <v>439</v>
      </c>
      <c r="BZ76" s="32" t="s">
        <v>205</v>
      </c>
      <c r="CA76" s="19" t="str">
        <f aca="false">CONCATENATE(BY76,"_",BZ76)</f>
        <v>prv_DMU (Express)</v>
      </c>
      <c r="CB76" s="19" t="str">
        <f aca="false">_xlfn.CONCAT(H76, "_",I76)</f>
        <v>diesel_RAIL</v>
      </c>
      <c r="CC76" s="21" t="str">
        <f aca="false">_xlfn.CONCAT("{BLACK}Length: {GOLD}", TEXT(ROUNDUP(IF(AQ76&lt;&gt;"",SUM(VALUE(_xlfn.TEXTSPLIT(AQ76, ","))), SUM(VALUE(_xlfn.TEXTSPLIT(AN76, ",")))*IF(M76, M76, 1))/16, 1), "#,##0.0"), " tiles{}")</f>
        <v>{BLACK}Length: {GOLD}7.9 tiles{}</v>
      </c>
      <c r="CD76" s="1" t="str">
        <f aca="false">VLOOKUP($CB76, Constants!$M:$N, 2, FALSE())</f>
        <v>{BLACK}Powered by: {GOLD}Diesel</v>
      </c>
      <c r="CE76" s="1" t="str">
        <f aca="false">IF(M76&gt;1,_xlfn.CONCAT("{BLACK}Cars: {GOLD}", M76),"")</f>
        <v>{BLACK}Cars: {GOLD}9</v>
      </c>
      <c r="CF76" s="19" t="s">
        <v>459</v>
      </c>
      <c r="CG76" s="1" t="str">
        <f aca="false">IF(BW76="buffet","{YELLOW}25% long distance bonus for consist{}",IF(BY76="BRAKE","{YELLOW}Speed bonus for slow wagons{}",IF(BU76&gt;190,CONCATENATE("{YELLOW}",INT((BU76-185)/1.85),"% bonus for long distance travel{}"),IF(AND(BU76&lt;180,BU76&lt;&gt;0),CONCATENATE("{YELLOW}",INT((185-BU76)/1.85),"% penalty for long distance travel{}"),""))))</f>
        <v>{YELLOW}10% bonus for long distance travel{}</v>
      </c>
      <c r="CH76" s="1" t="str">
        <f aca="false">_xlfn.CONCAT(CD76,IF(CD76 &lt;&gt; "", " ", ""),CE76,IF(OR(CE76&lt;&gt;"", CD76&lt;&gt;""), "{}",""), CC76, CG76,"{SILVER}", CF76)</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77" customFormat="false" ht="13.8" hidden="false" customHeight="false" outlineLevel="0" collapsed="false">
      <c r="A77" s="1" t="s">
        <v>473</v>
      </c>
      <c r="B77" s="1" t="s">
        <v>474</v>
      </c>
      <c r="C77" s="1" t="n">
        <v>473</v>
      </c>
      <c r="E77" s="1" t="n">
        <v>490</v>
      </c>
      <c r="F77" s="1" t="s">
        <v>89</v>
      </c>
      <c r="G77" s="1" t="s">
        <v>147</v>
      </c>
      <c r="H77" s="1" t="s">
        <v>255</v>
      </c>
      <c r="I77" s="1" t="s">
        <v>153</v>
      </c>
      <c r="J77" s="1" t="n">
        <v>2014</v>
      </c>
      <c r="N77" s="1" t="n">
        <v>1600</v>
      </c>
      <c r="W77" s="1" t="n">
        <v>78</v>
      </c>
      <c r="Z77" s="1" t="n">
        <v>186</v>
      </c>
      <c r="AA77" s="4" t="n">
        <f aca="false">IF(AND(W77&gt;0,Z77&gt;0),(Z77/((W77+X77)*10)),"")</f>
        <v>0.238461538461538</v>
      </c>
      <c r="AB77" s="1" t="n">
        <v>90</v>
      </c>
      <c r="AC77" s="1" t="n">
        <f aca="false">ROUND(AB77*1.6, 0)</f>
        <v>144</v>
      </c>
      <c r="AF77" s="1" t="n">
        <v>16.36</v>
      </c>
      <c r="AG77" s="1" t="n">
        <v>16.36</v>
      </c>
      <c r="AJ77" s="5" t="n">
        <v>0</v>
      </c>
      <c r="AK77" s="19" t="str">
        <f aca="false">CONCATENATE(VLOOKUP(AL77, 'Voxel Sizes'!$A$2:$B$18,2,FALSE()),"x",INT(AH77*15), "x", INT(AI77*15))</f>
        <v>164x0x0</v>
      </c>
      <c r="AL77" s="1" t="n">
        <f aca="false">ROUND(15*((AG77*10)/256),0)</f>
        <v>10</v>
      </c>
      <c r="AN77" s="1" t="str">
        <f aca="false">CONCATENATE(VLOOKUP(AL77,Constants!$A$2:$C$16,IF(AM77&lt;&gt;"", 3, 2), FALSE()),IF(AM77&lt;&gt;"",CONCATENATE(",",VLOOKUP(AM77,$B:$AN,38,FALSE())),""))</f>
        <v>4,2,4</v>
      </c>
      <c r="AX77" s="1" t="n">
        <v>33</v>
      </c>
      <c r="AY77" s="6" t="str">
        <f aca="false">IF(L77&lt;&gt;"",MAX(16,(L77-J77)+8),"")</f>
        <v/>
      </c>
      <c r="BA77" s="1" t="n">
        <v>-30</v>
      </c>
      <c r="BB77" s="1" t="n">
        <f aca="false">MIN(AB77/150, 1)*30</f>
        <v>18</v>
      </c>
      <c r="BC77" s="1" t="n">
        <f aca="false">MIN(N77/4000, 1)*20</f>
        <v>8</v>
      </c>
      <c r="BD77" s="1" t="n">
        <f aca="false">MIN(Z77/400,1)*20</f>
        <v>9.3</v>
      </c>
      <c r="BE77" s="4" t="n">
        <f aca="false">1-(MAX(J77-1900, 0)/750)</f>
        <v>0.848</v>
      </c>
      <c r="BF77" s="1" t="n">
        <f aca="false">((MAX($M77,1)*MIN($AJ77/300,1)))*IF(G77="Wagon",50,10)</f>
        <v>0</v>
      </c>
      <c r="BG77" s="1" t="n">
        <f aca="false">VLOOKUP($H77,Constants!$I:$K, 2, FALSE())</f>
        <v>0.9</v>
      </c>
      <c r="BH77" s="1" t="n">
        <f aca="false">VLOOKUP($H77,Constants!$I:$K, 3, FALSE())*IF(AND(G77="multiple_unit",AB77&lt;110),0.75,1)</f>
        <v>2.5</v>
      </c>
      <c r="BI77" s="1" t="n">
        <f aca="false">INT(POWER(((Constants!$G$2+$BB77+$BC77+$BD77+$BF77)*$BE77)*$BH77, 1.05))+$BA77</f>
        <v>76</v>
      </c>
      <c r="BJ77" s="1" t="n">
        <f aca="false">INT(POWER((((Constants!$G$1+$BB77+$BC77+$BD77+$BF77)*($BE77))*$BG77),IF($G77="wagon",1,1.2)))+$AZ77</f>
        <v>79</v>
      </c>
      <c r="BK77" s="20" t="n">
        <f aca="false">BI77*IF($G77="wagon",62.5,781.25)</f>
        <v>59375</v>
      </c>
      <c r="BL77" s="20" t="n">
        <f aca="false">BJ77*IF($G77="wagon",2.73,81.25)</f>
        <v>6418.75</v>
      </c>
      <c r="BT77" s="1" t="n">
        <v>10</v>
      </c>
      <c r="BY77" s="1" t="str">
        <f aca="false">VLOOKUP(J77,Eras!$A$2:$C$10, 2, TRUE())</f>
        <v>mod</v>
      </c>
      <c r="BZ77" s="18" t="s">
        <v>475</v>
      </c>
      <c r="CA77" s="1" t="str">
        <f aca="false">CONCATENATE(BY77,"_",BZ77)</f>
        <v>mod_MT (Electric)</v>
      </c>
      <c r="CB77" s="1" t="str">
        <f aca="false">_xlfn.CONCAT(H77, "_",I77)</f>
        <v>dual_power_RAIL</v>
      </c>
      <c r="CC77" s="21" t="str">
        <f aca="false">_xlfn.CONCAT("{BLACK}Length: {GOLD}", TEXT(ROUNDUP(IF(AQ77&lt;&gt;"",SUM(VALUE(_xlfn.TEXTSPLIT(AQ77, ","))), SUM(VALUE(_xlfn.TEXTSPLIT(AN77, ",")))*IF(M77, M77, 1))/16, 1), "#,##0.0"), " tiles{}")</f>
        <v>{BLACK}Length: {GOLD}0.7 tiles{}</v>
      </c>
      <c r="CD77" s="1" t="str">
        <f aca="false">VLOOKUP($CB77, Constants!$M:$N, 2, FALSE())</f>
        <v>{BLACK}Powered by: {GOLD}750V DC / Diesel</v>
      </c>
      <c r="CE77" s="1" t="str">
        <f aca="false">IF(M77&gt;1,_xlfn.CONCAT("{BLACK}Cars: {GOLD}", M77),"")</f>
        <v/>
      </c>
      <c r="CF77" s="1" t="s">
        <v>476</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{BLACK}Powered by: {GOLD}750V DC / Diesel {}{BLACK}Length: {GOLD}0.7 tiles{}{SILVER}These re-engined and modernized Class 73s retained their ability to run from the third rail but received diesel engines capable of operating at an equivalent power level.</v>
      </c>
      <c r="CI77" s="1"/>
      <c r="CJ77" s="1"/>
    </row>
    <row r="78" customFormat="false" ht="13.8" hidden="false" customHeight="false" outlineLevel="0" collapsed="false">
      <c r="A78" s="1" t="s">
        <v>477</v>
      </c>
      <c r="B78" s="1" t="s">
        <v>478</v>
      </c>
      <c r="C78" s="1" t="n">
        <v>484</v>
      </c>
      <c r="E78" s="1" t="n">
        <v>500</v>
      </c>
      <c r="F78" s="1" t="s">
        <v>89</v>
      </c>
      <c r="G78" s="1" t="s">
        <v>90</v>
      </c>
      <c r="H78" s="1" t="s">
        <v>91</v>
      </c>
      <c r="I78" s="1" t="s">
        <v>248</v>
      </c>
      <c r="J78" s="1" t="n">
        <v>2012</v>
      </c>
      <c r="M78" s="1" t="n">
        <v>5</v>
      </c>
      <c r="N78" s="1" t="n">
        <v>3620</v>
      </c>
      <c r="W78" s="1" t="n">
        <v>200</v>
      </c>
      <c r="Y78" s="1" t="n">
        <v>5</v>
      </c>
      <c r="Z78" s="1" t="n">
        <v>240</v>
      </c>
      <c r="AA78" s="4" t="n">
        <f aca="false">IF(AND(W78&gt;0,Z78&gt;0),(Z78/((W78+X78)*10)),"")</f>
        <v>0.12</v>
      </c>
      <c r="AB78" s="1" t="n">
        <v>100</v>
      </c>
      <c r="AC78" s="1" t="n">
        <f aca="false">ROUND(AB78*1.6, 0)</f>
        <v>160</v>
      </c>
      <c r="AG78" s="1" t="n">
        <v>21</v>
      </c>
      <c r="AJ78" s="5" t="n">
        <v>54</v>
      </c>
      <c r="AK78" s="19" t="str">
        <f aca="false">CONCATENATE(VLOOKUP(AL78, 'Voxel Sizes'!$A$2:$B$18,2,FALSE()),"x",INT(AH78*15), "x", INT(AI78*15))</f>
        <v>198x0x0</v>
      </c>
      <c r="AL78" s="1" t="n">
        <f aca="false">ROUND(15*((AG78*10)/256),0)</f>
        <v>12</v>
      </c>
      <c r="AN78" s="1" t="str">
        <f aca="false">CONCATENATE(VLOOKUP(AL78,Constants!$A$2:$C$16,IF(AM78&lt;&gt;"", 3, 2), FALSE()),IF(AM78&lt;&gt;"",CONCATENATE(",",VLOOKUP(AM78,$B:$AN,38,FALSE())),""))</f>
        <v>4,4,4</v>
      </c>
      <c r="AR78" s="1" t="s">
        <v>479</v>
      </c>
      <c r="AT78" s="1" t="s">
        <v>480</v>
      </c>
      <c r="AU78" s="1" t="s">
        <v>481</v>
      </c>
      <c r="AX78" s="1" t="n">
        <v>27</v>
      </c>
      <c r="AY78" s="6" t="str">
        <f aca="false">IF(L78&lt;&gt;"",MAX(16,(L78-J78)+8),"")</f>
        <v/>
      </c>
      <c r="AZ78" s="1" t="n">
        <v>-15</v>
      </c>
      <c r="BA78" s="1" t="n">
        <v>-30</v>
      </c>
      <c r="BB78" s="1" t="n">
        <f aca="false">MIN(AB78/150, 1)*30</f>
        <v>20</v>
      </c>
      <c r="BC78" s="1" t="n">
        <f aca="false">MIN(N78/4000, 1)*20</f>
        <v>18.1</v>
      </c>
      <c r="BD78" s="1" t="n">
        <f aca="false">MIN(Z78/400,1)*20</f>
        <v>12</v>
      </c>
      <c r="BE78" s="4" t="n">
        <f aca="false">1-(MAX(J78-1900, 0)/750)</f>
        <v>0.850666666666667</v>
      </c>
      <c r="BF78" s="1" t="n">
        <f aca="false">((MAX($M78,1)*MIN($AJ78/300,1)))*IF(G78="Wagon",50,10)</f>
        <v>9</v>
      </c>
      <c r="BG78" s="1" t="n">
        <f aca="false">VLOOKUP($H78,Constants!$I:$K, 2, FALSE())</f>
        <v>0.85</v>
      </c>
      <c r="BH78" s="1" t="n">
        <f aca="false">VLOOKUP($H78,Constants!$I:$K, 3, FALSE())*IF(AND(G78="multiple_unit",AB78&lt;110),0.75,1)</f>
        <v>1.725</v>
      </c>
      <c r="BI78" s="1" t="n">
        <f aca="false">INT(POWER(((Constants!$G$2+$BB78+$BC78+$BD78+$BF78)*$BE78)*$BH78, 1.05))+$BA78</f>
        <v>88</v>
      </c>
      <c r="BJ78" s="1" t="n">
        <f aca="false">INT(POWER((((Constants!$G$1+$BB78+$BC78+$BD78+$BF78)*($BE78))*$BG78),IF($G78="wagon",1,1.2)))+$AZ78</f>
        <v>103</v>
      </c>
      <c r="BK78" s="20" t="n">
        <f aca="false">BI78*IF($G78="wagon",62.5,781.25)</f>
        <v>68750</v>
      </c>
      <c r="BL78" s="20" t="n">
        <f aca="false">BJ78*IF($G78="wagon",2.73,81.25)</f>
        <v>8368.75</v>
      </c>
      <c r="BT78" s="1" t="n">
        <v>4</v>
      </c>
      <c r="BU78" s="1" t="n">
        <v>205</v>
      </c>
      <c r="BX78" s="1" t="s">
        <v>95</v>
      </c>
      <c r="BY78" s="1" t="s">
        <v>482</v>
      </c>
      <c r="BZ78" s="18" t="s">
        <v>226</v>
      </c>
      <c r="CA78" s="1" t="str">
        <f aca="false">CONCATENATE(BY78,"_",BZ78)</f>
        <v>mod_EMU (Express)</v>
      </c>
      <c r="CB78" s="1" t="str">
        <f aca="false">_xlfn.CONCAT(H78, "_",I78)</f>
        <v>electric_THIRD_RAIL</v>
      </c>
      <c r="CC78" s="21" t="str">
        <f aca="false">_xlfn.CONCAT("{BLACK}Length: {GOLD}", TEXT(ROUNDUP(IF(AQ78&lt;&gt;"",SUM(VALUE(_xlfn.TEXTSPLIT(AQ78, ","))), SUM(VALUE(_xlfn.TEXTSPLIT(AN78, ",")))*IF(M78, M78, 1))/16, 1), "#,##0.0"), " tiles{}")</f>
        <v>{BLACK}Length: {GOLD}3.8 tiles{}</v>
      </c>
      <c r="CD78" s="1" t="str">
        <f aca="false">VLOOKUP($CB78, Constants!$M:$N, 2, FALSE())</f>
        <v>{BLACK}Powered by: {GOLD}750V DC</v>
      </c>
      <c r="CE78" s="1" t="str">
        <f aca="false">IF(M78&gt;1,_xlfn.CONCAT("{BLACK}Cars: {GOLD}", M78),"")</f>
        <v>{BLACK}Cars: {GOLD}5</v>
      </c>
      <c r="CF78" s="1" t="s">
        <v>483</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{YELLOW}10% bonus for long distance travel{}</v>
      </c>
      <c r="CH78" s="1" t="str">
        <f aca="false">_xlfn.CONCAT(CD78,IF(CD78 &lt;&gt; "", " ", ""),CE78,IF(OR(CE78&lt;&gt;"", CD78&lt;&gt;""), "{}",""), CC78, CG78,"{SILVER}", CF78)</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78" s="1"/>
      <c r="CJ78" s="1"/>
    </row>
    <row r="79" customFormat="false" ht="13.8" hidden="false" customHeight="false" outlineLevel="0" collapsed="false">
      <c r="A79" s="18" t="s">
        <v>484</v>
      </c>
      <c r="B79" s="18" t="s">
        <v>485</v>
      </c>
      <c r="C79" s="1" t="n">
        <v>11374</v>
      </c>
      <c r="E79" s="1" t="n">
        <v>510</v>
      </c>
      <c r="F79" s="1" t="s">
        <v>89</v>
      </c>
      <c r="G79" s="1" t="s">
        <v>90</v>
      </c>
      <c r="H79" s="1" t="s">
        <v>91</v>
      </c>
      <c r="I79" s="1" t="s">
        <v>92</v>
      </c>
      <c r="J79" s="1" t="n">
        <v>2014</v>
      </c>
      <c r="M79" s="1" t="n">
        <v>16</v>
      </c>
      <c r="N79" s="1" t="n">
        <v>21000</v>
      </c>
      <c r="W79" s="1" t="n">
        <v>171</v>
      </c>
      <c r="Y79" s="1" t="n">
        <v>5</v>
      </c>
      <c r="Z79" s="1" t="n">
        <v>480</v>
      </c>
      <c r="AA79" s="4" t="n">
        <f aca="false">IF(AND(W79&gt;0,Z79&gt;0),(Z79/((W79+X79)*10)),"")</f>
        <v>0.280701754385965</v>
      </c>
      <c r="AB79" s="1" t="n">
        <v>200</v>
      </c>
      <c r="AC79" s="1" t="n">
        <f aca="false">ROUND(AB79*1.6, 0)</f>
        <v>320</v>
      </c>
      <c r="AF79" s="1" t="n">
        <v>25.7</v>
      </c>
      <c r="AG79" s="1" t="n">
        <v>25.7</v>
      </c>
      <c r="AH79" s="1" t="n">
        <v>2.92</v>
      </c>
      <c r="AI79" s="1" t="n">
        <v>4.3</v>
      </c>
      <c r="AJ79" s="5" t="n">
        <v>56</v>
      </c>
      <c r="AK79" s="19" t="str">
        <f aca="false">CONCATENATE(VLOOKUP(AL79, 'Voxel Sizes'!$A$2:$B$18,2,FALSE()),"x",INT(AH79*15), "x", INT(AI79*15))</f>
        <v>256x43x64</v>
      </c>
      <c r="AL79" s="1" t="n">
        <f aca="false">ROUND(15*((AG79*10)/256),0)</f>
        <v>15</v>
      </c>
      <c r="AN79" s="1" t="str">
        <f aca="false">CONCATENATE(VLOOKUP(AL79,Constants!$A$2:$C$16,IF(AM79&lt;&gt;"", 3, 2), FALSE()),IF(AM79&lt;&gt;"",CONCATENATE(",",VLOOKUP(AM79,$B:$AN,38,FALSE())),""))</f>
        <v>4,7,4</v>
      </c>
      <c r="AO79" s="1" t="s">
        <v>486</v>
      </c>
      <c r="AP79" s="7" t="str">
        <f aca="false">E320_16_ULEN</f>
        <v>4,7,4,4,6,4,4,6,4,4,6,4,4,6,4,4,6,4,4,6,4,4,6,4,4,6,4,4,6,4,4,6,4,4,6,4,4,6,4,4,6,4,4,6,4,4,7,4</v>
      </c>
      <c r="AQ79" s="7" t="str">
        <f aca="false">E320_16_VLEN</f>
        <v>15,14,14,14,14,14,14,14,14,14,14,14,14,14,14,15</v>
      </c>
      <c r="AR79"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79" s="1" t="str">
        <f aca="false">E320_16_NV</f>
        <v>1,1,1,1,0,0,0,1,0,1,1,0,0,0,1,1</v>
      </c>
      <c r="AU79" s="1" t="s">
        <v>487</v>
      </c>
      <c r="AX79" s="1" t="n">
        <v>35</v>
      </c>
      <c r="AY79" s="6" t="str">
        <f aca="false">IF(L79&lt;&gt;"",MAX(16,(L79-J79)+8),"")</f>
        <v/>
      </c>
      <c r="AZ79" s="1" t="n">
        <v>25</v>
      </c>
      <c r="BA79" s="1" t="n">
        <v>-15</v>
      </c>
      <c r="BB79" s="1" t="n">
        <f aca="false">MIN(AB79/150, 1)*30</f>
        <v>30</v>
      </c>
      <c r="BC79" s="1" t="n">
        <f aca="false">MIN(N79/4000, 1)*20</f>
        <v>20</v>
      </c>
      <c r="BD79" s="1" t="n">
        <f aca="false">MIN(Z79/400,1)*20</f>
        <v>20</v>
      </c>
      <c r="BE79" s="4" t="n">
        <f aca="false">1-(MAX(J79-1900, 0)/750)</f>
        <v>0.848</v>
      </c>
      <c r="BF79" s="1" t="n">
        <f aca="false">((MAX($M79,1)*MIN($AJ79/300,1)))*IF(G79="Wagon",50,10)</f>
        <v>29.8666666666667</v>
      </c>
      <c r="BG79" s="1" t="n">
        <f aca="false">VLOOKUP($H79,Constants!$I:$K, 2, FALSE())</f>
        <v>0.85</v>
      </c>
      <c r="BH79" s="1" t="n">
        <f aca="false">VLOOKUP($H79,Constants!$I:$K, 3, FALSE())*IF(AND(G79="multiple_unit",AB79&lt;110),0.75,1)</f>
        <v>2.3</v>
      </c>
      <c r="BI79" s="1" t="n">
        <f aca="false">INT(POWER(((Constants!$G$2+$BB79+$BC79+$BD79+$BF79)*$BE79)*$BH79, 1.05))+$BA79</f>
        <v>251</v>
      </c>
      <c r="BJ79" s="1" t="n">
        <f aca="false">INT(POWER((((Constants!$G$1+$BB79+$BC79+$BD79+$BF79)*($BE79))*$BG79),IF($G79="wagon",1,1.2)))+$AZ79</f>
        <v>225</v>
      </c>
      <c r="BK79" s="20" t="n">
        <f aca="false">BI79*IF($G79="wagon",62.5,781.25)</f>
        <v>196093.75</v>
      </c>
      <c r="BL79" s="20" t="n">
        <f aca="false">BJ79*IF($G79="wagon",2.73,81.25)</f>
        <v>18281.25</v>
      </c>
      <c r="BT79" s="1" t="n">
        <v>6</v>
      </c>
      <c r="BU79" s="1" t="n">
        <v>185</v>
      </c>
      <c r="BV79" s="1" t="s">
        <v>225</v>
      </c>
      <c r="BW79" s="18" t="s">
        <v>233</v>
      </c>
      <c r="BX79" s="1" t="s">
        <v>95</v>
      </c>
      <c r="BY79" s="1" t="s">
        <v>482</v>
      </c>
      <c r="BZ79" s="18" t="s">
        <v>226</v>
      </c>
      <c r="CA79" s="1" t="str">
        <f aca="false">CONCATENATE(BY79,"_",BZ79)</f>
        <v>mod_EMU (Express)</v>
      </c>
      <c r="CB79" s="1" t="str">
        <f aca="false">_xlfn.CONCAT(H79, "_",I79)</f>
        <v>electric_ELRL</v>
      </c>
      <c r="CC79" s="21" t="str">
        <f aca="false">_xlfn.CONCAT("{BLACK}Length: {GOLD}", TEXT(ROUNDUP(IF(AQ79&lt;&gt;"",SUM(VALUE(_xlfn.TEXTSPLIT(AQ79, ","))), SUM(VALUE(_xlfn.TEXTSPLIT(AN79, ",")))*IF(M79, M79, 1))/16, 1), "#,##0.0"), " tiles{}")</f>
        <v>{BLACK}Length: {GOLD}14.2 tiles{}</v>
      </c>
      <c r="CD79" s="1" t="str">
        <f aca="false">VLOOKUP($CB79, Constants!$M:$N, 2, FALSE())</f>
        <v>{BLACK}Powered by: {GOLD}25kV AC</v>
      </c>
      <c r="CE79" s="1" t="str">
        <f aca="false">IF(M79&gt;1,_xlfn.CONCAT("{BLACK}Cars: {GOLD}", M79),"")</f>
        <v>{BLACK}Cars: {GOLD}16</v>
      </c>
      <c r="CF79" s="1" t="s">
        <v>488</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{YELLOW}25% long distance bonus for consist{}</v>
      </c>
      <c r="CH79" s="1" t="str">
        <f aca="false">_xlfn.CONCAT(CD79,IF(CD79 &lt;&gt; "", " ", ""),CE79,IF(OR(CE79&lt;&gt;"", CD79&lt;&gt;""), "{}",""), CC79, CG79,"{SILVER}", CF79)</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79" s="1"/>
      <c r="CJ79" s="1"/>
    </row>
    <row r="80" customFormat="false" ht="13.8" hidden="false" customHeight="false" outlineLevel="0" collapsed="false">
      <c r="A80" s="18" t="s">
        <v>484</v>
      </c>
      <c r="B80" s="18" t="s">
        <v>489</v>
      </c>
      <c r="C80" s="1" t="n">
        <v>11375</v>
      </c>
      <c r="D80" s="1" t="n">
        <v>11374</v>
      </c>
      <c r="E80" s="1" t="n">
        <v>510</v>
      </c>
      <c r="F80" s="1" t="s">
        <v>89</v>
      </c>
      <c r="G80" s="1" t="s">
        <v>90</v>
      </c>
      <c r="H80" s="1" t="s">
        <v>91</v>
      </c>
      <c r="I80" s="1" t="s">
        <v>92</v>
      </c>
      <c r="J80" s="1" t="n">
        <v>2014</v>
      </c>
      <c r="M80" s="1" t="n">
        <v>12</v>
      </c>
      <c r="N80" s="1" t="n">
        <v>15750</v>
      </c>
      <c r="W80" s="1" t="n">
        <v>170</v>
      </c>
      <c r="Y80" s="1" t="n">
        <v>5</v>
      </c>
      <c r="Z80" s="1" t="n">
        <v>360</v>
      </c>
      <c r="AA80" s="4" t="n">
        <f aca="false">IF(AND(W80&gt;0,Z80&gt;0),(Z80/((W80+X80)*10)),"")</f>
        <v>0.211764705882353</v>
      </c>
      <c r="AB80" s="1" t="n">
        <v>200</v>
      </c>
      <c r="AC80" s="1" t="n">
        <f aca="false">ROUND(AB80*1.6, 0)</f>
        <v>320</v>
      </c>
      <c r="AF80" s="1" t="n">
        <v>25.7</v>
      </c>
      <c r="AG80" s="1" t="n">
        <v>25.7</v>
      </c>
      <c r="AH80" s="1" t="n">
        <v>2.92</v>
      </c>
      <c r="AI80" s="1" t="n">
        <v>4.3</v>
      </c>
      <c r="AJ80" s="5" t="n">
        <v>53</v>
      </c>
      <c r="AK80" s="19" t="str">
        <f aca="false">CONCATENATE(VLOOKUP(AL80, 'Voxel Sizes'!$A$2:$B$18,2,FALSE()),"x",INT(AH80*15), "x", INT(AI80*15))</f>
        <v>256x43x64</v>
      </c>
      <c r="AL80" s="1" t="n">
        <f aca="false">ROUND(15*((AG80*10)/256),0)</f>
        <v>15</v>
      </c>
      <c r="AN80" s="1" t="str">
        <f aca="false">CONCATENATE(VLOOKUP(AL80,Constants!$A$2:$C$16,IF(AM80&lt;&gt;"", 3, 2), FALSE()),IF(AM80&lt;&gt;"",CONCATENATE(",",VLOOKUP(AM80,$B:$AN,38,FALSE())),""))</f>
        <v>4,7,4</v>
      </c>
      <c r="AO80" s="1" t="s">
        <v>490</v>
      </c>
      <c r="AP80" s="7" t="str">
        <f aca="false">E320_12_ULEN</f>
        <v>4,7,4,4,6,4,4,6,4,4,6,4,4,6,4,4,6,4,4,6,4,4,6,4,4,6,4,4,6,4,4,6,4,4,7,4</v>
      </c>
      <c r="AQ80" s="7" t="str">
        <f aca="false">E320_12_VLEN</f>
        <v>15,14,14,14,14,14,14,14,14,14,14,15</v>
      </c>
      <c r="AR80" s="1" t="str">
        <f aca="false">E320_12_VEH</f>
        <v>eurostar_e320_front,eurostar_e320_p,eurostar_e320_pd,eurostar_e320_m,eurostar_e320_pd,eurostar_e320_mc,eurostar_e320_mc,eurostar_e320_pdr,eurostar_e320_mr,eurostar_e320_pdr,eurostar_e320_pr,eurostar_e320_rear</v>
      </c>
      <c r="AT80" s="1" t="str">
        <f aca="false">E320_12_NV</f>
        <v>0,0,0,0,0,0,0,0,0,0,0,0</v>
      </c>
      <c r="AU80" s="1" t="s">
        <v>487</v>
      </c>
      <c r="AX80" s="1" t="n">
        <v>35</v>
      </c>
      <c r="AY80" s="6" t="str">
        <f aca="false">IF(L80&lt;&gt;"",MAX(16,(L80-J80)+8),"")</f>
        <v/>
      </c>
      <c r="AZ80" s="1" t="n">
        <v>-10</v>
      </c>
      <c r="BA80" s="1" t="n">
        <v>-30</v>
      </c>
      <c r="BB80" s="1" t="n">
        <f aca="false">MIN(AB80/150, 1)*30</f>
        <v>30</v>
      </c>
      <c r="BC80" s="1" t="n">
        <f aca="false">MIN(N80/4000, 1)*20</f>
        <v>20</v>
      </c>
      <c r="BD80" s="1" t="n">
        <f aca="false">MIN(Z80/400,1)*20</f>
        <v>18</v>
      </c>
      <c r="BE80" s="4" t="n">
        <f aca="false">1-(MAX(J80-1900, 0)/750)</f>
        <v>0.848</v>
      </c>
      <c r="BF80" s="1" t="n">
        <f aca="false">((MAX($M80,1)*MIN($AJ80/300,1)))*IF(G80="Wagon",50,10)</f>
        <v>21.2</v>
      </c>
      <c r="BG80" s="1" t="n">
        <f aca="false">VLOOKUP($H80,Constants!$I:$K, 2, FALSE())</f>
        <v>0.85</v>
      </c>
      <c r="BH80" s="1" t="n">
        <f aca="false">VLOOKUP($H80,Constants!$I:$K, 3, FALSE())*IF(AND(G80="multiple_unit",AB80&lt;110),0.75,1)</f>
        <v>2.3</v>
      </c>
      <c r="BI80" s="1" t="n">
        <f aca="false">INT(POWER(((Constants!$G$2+$BB80+$BC80+$BD80+$BF80)*$BE80)*$BH80, 1.05))+$BA80</f>
        <v>208</v>
      </c>
      <c r="BJ80" s="1" t="n">
        <f aca="false">INT(POWER((((Constants!$G$1+$BB80+$BC80+$BD80+$BF80)*($BE80))*$BG80),IF($G80="wagon",1,1.2)))+$AZ80</f>
        <v>168</v>
      </c>
      <c r="BK80" s="20" t="n">
        <f aca="false">BI80*IF($G80="wagon",62.5,781.25)</f>
        <v>162500</v>
      </c>
      <c r="BL80" s="20" t="n">
        <f aca="false">BJ80*IF($G80="wagon",2.73,81.25)</f>
        <v>13650</v>
      </c>
      <c r="BT80" s="1" t="n">
        <v>6</v>
      </c>
      <c r="BU80" s="1" t="n">
        <v>185</v>
      </c>
      <c r="BV80" s="1" t="s">
        <v>225</v>
      </c>
      <c r="BW80" s="18"/>
      <c r="BX80" s="1" t="s">
        <v>95</v>
      </c>
      <c r="BY80" s="1" t="s">
        <v>482</v>
      </c>
      <c r="BZ80" s="18" t="s">
        <v>226</v>
      </c>
      <c r="CA80" s="1" t="str">
        <f aca="false">CONCATENATE(BY80,"_",BZ80)</f>
        <v>mod_EMU (Express)</v>
      </c>
      <c r="CB80" s="1" t="str">
        <f aca="false">_xlfn.CONCAT(H80, "_",I80)</f>
        <v>electric_ELRL</v>
      </c>
      <c r="CC80" s="21" t="str">
        <f aca="false">_xlfn.CONCAT("{BLACK}Length: {GOLD}", TEXT(ROUNDUP(IF(AQ80&lt;&gt;"",SUM(VALUE(_xlfn.TEXTSPLIT(AQ80, ","))), SUM(VALUE(_xlfn.TEXTSPLIT(AN80, ",")))*IF(M80, M80, 1))/16, 1), "#,##0.0"), " tiles{}")</f>
        <v>{BLACK}Length: {GOLD}10.7 tiles{}</v>
      </c>
      <c r="CD80" s="1" t="str">
        <f aca="false">VLOOKUP($CB80, Constants!$M:$N, 2, FALSE())</f>
        <v>{BLACK}Powered by: {GOLD}25kV AC</v>
      </c>
      <c r="CE80" s="1" t="str">
        <f aca="false">IF(M80&gt;1,_xlfn.CONCAT("{BLACK}Cars: {GOLD}", M80),"")</f>
        <v>{BLACK}Cars: {GOLD}12</v>
      </c>
      <c r="CF80" s="1" t="s">
        <v>491</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
      </c>
      <c r="CH80" s="1" t="str">
        <f aca="false">_xlfn.CONCAT(CD80,IF(CD80 &lt;&gt; "", " ", ""),CE80,IF(OR(CE80&lt;&gt;"", CD80&lt;&gt;""), "{}",""), CC80, CG80,"{SILVER}", CF80)</f>
        <v>{BLACK}Powered by: {GOLD}25kV AC {BLACK}Cars: {GOLD}12{}{BLACK}Length: {GOLD}10.7 tiles{}{SILVER}A fictional shorter Class 374 variant…</v>
      </c>
      <c r="CI80" s="1"/>
      <c r="CJ80" s="1"/>
    </row>
    <row r="81" s="19" customFormat="true" ht="13.8" hidden="false" customHeight="false" outlineLevel="0" collapsed="false">
      <c r="A81" s="32" t="s">
        <v>492</v>
      </c>
      <c r="B81" s="32" t="s">
        <v>493</v>
      </c>
      <c r="C81" s="19" t="n">
        <v>509</v>
      </c>
      <c r="E81" s="19" t="n">
        <v>511</v>
      </c>
      <c r="F81" s="19" t="s">
        <v>89</v>
      </c>
      <c r="G81" s="19" t="s">
        <v>90</v>
      </c>
      <c r="H81" s="19" t="s">
        <v>255</v>
      </c>
      <c r="I81" s="19" t="s">
        <v>92</v>
      </c>
      <c r="J81" s="19" t="n">
        <v>2017</v>
      </c>
      <c r="M81" s="19" t="n">
        <v>5</v>
      </c>
      <c r="N81" s="19" t="n">
        <v>3200</v>
      </c>
      <c r="O81" s="25" t="n">
        <v>2250</v>
      </c>
      <c r="P81" s="26"/>
      <c r="Q81" s="26"/>
      <c r="R81" s="26"/>
      <c r="S81" s="26"/>
      <c r="T81" s="26"/>
      <c r="U81" s="26"/>
      <c r="V81" s="26"/>
      <c r="W81" s="32" t="n">
        <v>243</v>
      </c>
      <c r="X81" s="25"/>
      <c r="Y81" s="32" t="n">
        <v>5</v>
      </c>
      <c r="Z81" s="32" t="n">
        <v>195</v>
      </c>
      <c r="AA81" s="27" t="n">
        <f aca="false">IF(AND(W81&gt;0,Z81&gt;0),(Z81/((W81+X81)*10)),"")</f>
        <v>0.0802469135802469</v>
      </c>
      <c r="AB81" s="32" t="n">
        <v>140</v>
      </c>
      <c r="AC81" s="32" t="n">
        <f aca="false">ROUND(AB81*1.6, 0)</f>
        <v>224</v>
      </c>
      <c r="AD81" s="32"/>
      <c r="AE81" s="32"/>
      <c r="AF81" s="32" t="n">
        <v>26</v>
      </c>
      <c r="AG81" s="32" t="n">
        <v>24</v>
      </c>
      <c r="AH81" s="32"/>
      <c r="AI81" s="32"/>
      <c r="AJ81" s="28" t="n">
        <v>66</v>
      </c>
      <c r="AK81" s="32" t="str">
        <f aca="false">CONCATENATE(VLOOKUP(AL81, '[1]Voxel Sizes'!$A$2:$B$18,2,FALSE()),"x",INT(AH81*15), "x", INT(AI81*15))</f>
        <v>238x0x0</v>
      </c>
      <c r="AL81" s="32" t="n">
        <f aca="false">ROUND(15*((AG81*10)/256),0)</f>
        <v>14</v>
      </c>
      <c r="AM81" s="32"/>
      <c r="AN81" s="32" t="str">
        <f aca="false">CONCATENATE(VLOOKUP(AL81,[1]Constants!$A$2:$C$16,IF(AM81&lt;&gt;"", 3, 2), FALSE()),IF(AM81&lt;&gt;"",CONCATENATE(",",VLOOKUP(AM81,$B:$AN,39,FALSE())),""))</f>
        <v>4,6,4</v>
      </c>
      <c r="AO81" s="32" t="n">
        <v>12</v>
      </c>
      <c r="AP81" s="29"/>
      <c r="AQ81" s="29"/>
      <c r="AR81" s="19" t="s">
        <v>494</v>
      </c>
      <c r="AS81" s="19" t="s">
        <v>495</v>
      </c>
      <c r="AT81" s="19" t="s">
        <v>480</v>
      </c>
      <c r="AX81" s="19" t="n">
        <v>30</v>
      </c>
      <c r="AY81" s="30" t="str">
        <f aca="false">IF(L81&lt;&gt;"",MAX(16,(L81-J81)+8),"")</f>
        <v/>
      </c>
      <c r="AZ81" s="32" t="n">
        <v>-15</v>
      </c>
      <c r="BA81" s="32" t="n">
        <v>-30</v>
      </c>
      <c r="BB81" s="32" t="n">
        <f aca="false">MIN(AB81/150, 1)*30</f>
        <v>28</v>
      </c>
      <c r="BC81" s="32" t="n">
        <f aca="false">MIN(N81/4000, 1)*20</f>
        <v>16</v>
      </c>
      <c r="BD81" s="32" t="n">
        <f aca="false">MIN(Z81/400,1)*20</f>
        <v>9.75</v>
      </c>
      <c r="BE81" s="27" t="n">
        <f aca="false">1-(MAX(J81-1900, 0)/750)</f>
        <v>0.844</v>
      </c>
      <c r="BF81" s="32" t="n">
        <f aca="false">((MAX($M81,1)*MIN($AJ81/300,1)))*IF(G81="Wagon",50,10)</f>
        <v>11</v>
      </c>
      <c r="BG81" s="1" t="n">
        <f aca="false">VLOOKUP($H81,Constants!$I:$K, 2, FALSE())</f>
        <v>0.9</v>
      </c>
      <c r="BH81" s="1" t="n">
        <f aca="false">VLOOKUP($H81,Constants!$I:$K, 3, FALSE())*IF(AND(G81="multiple_unit",AB81&lt;110),0.75,1)</f>
        <v>2.5</v>
      </c>
      <c r="BI81" s="32" t="n">
        <f aca="false">INT(POWER((([1]Constants!$G$2+$BB81+$BC81+$BD81+$BF81)*$BE81)*$BH81, 1.05))+$BA81</f>
        <v>158</v>
      </c>
      <c r="BJ81" s="32" t="n">
        <f aca="false">INT(POWER(((([1]Constants!$G$1+$BB81+$BC81+$BD81+$BF81)*($BE81))*$BG81),IF($G81="wagon",1,1.2)))+$AZ81</f>
        <v>122</v>
      </c>
      <c r="BK81" s="31" t="n">
        <f aca="false">BI81*IF($G81="wagon",62.5,781.25)</f>
        <v>123437.5</v>
      </c>
      <c r="BL81" s="31" t="n">
        <f aca="false">BJ81*IF($G81="wagon",2.73,81.25)</f>
        <v>9912.5</v>
      </c>
      <c r="BM81" s="32"/>
      <c r="BN81" s="32"/>
      <c r="BO81" s="32"/>
      <c r="BP81" s="32"/>
      <c r="BQ81" s="19" t="str">
        <f aca="false">_xlfn.ORG.LIBREOFFICE.REGEX(_xlfn.ORG.LIBREOFFICE.REGEX(IETMUVEHICLES, _xlfn.CONCAT(B81, ",?"), ""), ",$", "")</f>
        <v>class_800_9,class_801_5,class_801_9,class_802_5,class_802_9</v>
      </c>
      <c r="BR81" s="32"/>
      <c r="BS81" s="32"/>
      <c r="BT81" s="32" t="n">
        <v>10</v>
      </c>
      <c r="BU81" s="32" t="n">
        <v>222</v>
      </c>
      <c r="BV81" s="32"/>
      <c r="BW81" s="32"/>
      <c r="BX81" s="32" t="s">
        <v>95</v>
      </c>
      <c r="BY81" s="32" t="str">
        <f aca="false">VLOOKUP(J81,[1]Eras!$A$2:$C$10, 2, TRUE())</f>
        <v>mod</v>
      </c>
      <c r="BZ81" s="32" t="s">
        <v>226</v>
      </c>
      <c r="CA81" s="19" t="str">
        <f aca="false">CONCATENATE(BY81,"_",BZ81)</f>
        <v>mod_EMU (Express)</v>
      </c>
      <c r="CB81" s="19" t="str">
        <f aca="false">_xlfn.CONCAT(H81, "_",I81)</f>
        <v>dual_power_ELRL</v>
      </c>
      <c r="CC81" s="33" t="str">
        <f aca="false" t="array" ref="CC81:CC81">_xlfn.CONCAT("{BLACK}Length: {GOLD}", TEXT(ROUNDUP(IF(AQ81&lt;&gt;"",SUM(VALUE(_xlfn.TEXTSPLIT(AQ81, ","))), SUM(VALUE(_xlfn.TEXTSPLIT(AN81, ",")))*IF(M81, M81, 1))/16, 1), "#,##0.0"), " tiles{}")</f>
        <v>{BLACK}Length: {GOLD}4.4 tiles{}</v>
      </c>
      <c r="CD81" s="1" t="str">
        <f aca="false">VLOOKUP($CB81, Constants!$M:$N, 2, FALSE())</f>
        <v>{BLACK}Powered by: {GOLD}25kV AC / Diesel</v>
      </c>
      <c r="CE81" s="19" t="str">
        <f aca="false">IF(M81&gt;1,_xlfn.CONCAT("{BLACK}Cars: {GOLD}", M81),"")</f>
        <v>{BLACK}Cars: {GOLD}5</v>
      </c>
      <c r="CF81" s="19" t="s">
        <v>496</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{YELLOW}20% bonus for long distance travel{}</v>
      </c>
      <c r="CH81" s="1" t="str">
        <f aca="false">_xlfn.CONCAT(CD81,IF(CD81 &lt;&gt; "", " ", ""),CE81,IF(OR(CE81&lt;&gt;"", CD81&lt;&gt;""), "{}",""), CC81, CG81,"{SILVER}", CF81)</f>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82" s="19" customFormat="true" ht="13.8" hidden="false" customHeight="false" outlineLevel="0" collapsed="false">
      <c r="A82" s="32" t="s">
        <v>497</v>
      </c>
      <c r="B82" s="32" t="s">
        <v>498</v>
      </c>
      <c r="C82" s="19" t="n">
        <v>510</v>
      </c>
      <c r="D82" s="19" t="n">
        <v>509</v>
      </c>
      <c r="E82" s="19" t="n">
        <v>512</v>
      </c>
      <c r="F82" s="19" t="s">
        <v>89</v>
      </c>
      <c r="G82" s="19" t="s">
        <v>90</v>
      </c>
      <c r="H82" s="19" t="s">
        <v>255</v>
      </c>
      <c r="I82" s="19" t="s">
        <v>92</v>
      </c>
      <c r="J82" s="19" t="n">
        <v>2017</v>
      </c>
      <c r="M82" s="19" t="n">
        <v>9</v>
      </c>
      <c r="N82" s="19" t="n">
        <v>5400</v>
      </c>
      <c r="O82" s="25" t="n">
        <v>3750</v>
      </c>
      <c r="P82" s="26"/>
      <c r="Q82" s="26"/>
      <c r="R82" s="26"/>
      <c r="S82" s="26"/>
      <c r="T82" s="26"/>
      <c r="U82" s="26"/>
      <c r="V82" s="26"/>
      <c r="W82" s="32" t="n">
        <v>438</v>
      </c>
      <c r="X82" s="25"/>
      <c r="Y82" s="32" t="n">
        <v>5</v>
      </c>
      <c r="Z82" s="32" t="n">
        <v>195</v>
      </c>
      <c r="AA82" s="27" t="n">
        <f aca="false">IF(AND(W82&gt;0,Z82&gt;0),(Z82/((W82+X82)*10)),"")</f>
        <v>0.0445205479452055</v>
      </c>
      <c r="AB82" s="32" t="n">
        <v>140</v>
      </c>
      <c r="AC82" s="32" t="n">
        <f aca="false">ROUND(AB82*1.6, 0)</f>
        <v>224</v>
      </c>
      <c r="AD82" s="32"/>
      <c r="AE82" s="32"/>
      <c r="AF82" s="32" t="n">
        <v>26</v>
      </c>
      <c r="AG82" s="32" t="n">
        <v>24</v>
      </c>
      <c r="AH82" s="32"/>
      <c r="AI82" s="32"/>
      <c r="AJ82" s="28" t="n">
        <v>66</v>
      </c>
      <c r="AK82" s="32" t="str">
        <f aca="false">CONCATENATE(VLOOKUP(AL82, '[1]Voxel Sizes'!$A$2:$B$18,2,FALSE()),"x",INT(AH82*15), "x", INT(AI82*15))</f>
        <v>238x0x0</v>
      </c>
      <c r="AL82" s="32" t="n">
        <f aca="false">ROUND(15*((AG82*10)/256),0)</f>
        <v>14</v>
      </c>
      <c r="AM82" s="32"/>
      <c r="AN82" s="32" t="str">
        <f aca="false">CONCATENATE(VLOOKUP(AL82,[1]Constants!$A$2:$C$16,IF(AM82&lt;&gt;"", 3, 2), FALSE()),IF(AM82&lt;&gt;"",CONCATENATE(",",VLOOKUP(AM82,$B:$AN,39,FALSE())),""))</f>
        <v>4,6,4</v>
      </c>
      <c r="AO82" s="32" t="n">
        <v>24</v>
      </c>
      <c r="AP82" s="29"/>
      <c r="AQ82" s="29"/>
      <c r="AR82" s="19" t="s">
        <v>499</v>
      </c>
      <c r="AS82" s="19" t="s">
        <v>495</v>
      </c>
      <c r="AT82" s="19" t="s">
        <v>471</v>
      </c>
      <c r="AU82" s="19" t="s">
        <v>493</v>
      </c>
      <c r="AX82" s="19" t="n">
        <v>30</v>
      </c>
      <c r="AY82" s="30" t="str">
        <f aca="false">IF(L82&lt;&gt;"",MAX(16,(L82-J82)+8),"")</f>
        <v/>
      </c>
      <c r="AZ82" s="32" t="n">
        <v>-15</v>
      </c>
      <c r="BA82" s="32" t="n">
        <v>-30</v>
      </c>
      <c r="BB82" s="32" t="n">
        <f aca="false">MIN(AB82/150, 1)*30</f>
        <v>28</v>
      </c>
      <c r="BC82" s="32" t="n">
        <f aca="false">MIN(N82/4000, 1)*20</f>
        <v>20</v>
      </c>
      <c r="BD82" s="32" t="n">
        <f aca="false">MIN(Z82/400,1)*20</f>
        <v>9.75</v>
      </c>
      <c r="BE82" s="27" t="n">
        <f aca="false">1-(MAX(J82-1900, 0)/750)</f>
        <v>0.844</v>
      </c>
      <c r="BF82" s="32" t="n">
        <f aca="false">((MAX($M82,1)*MIN($AJ82/300,1)))*IF(G82="Wagon",50,10)</f>
        <v>19.8</v>
      </c>
      <c r="BG82" s="1" t="n">
        <f aca="false">VLOOKUP($H82,Constants!$I:$K, 2, FALSE())</f>
        <v>0.9</v>
      </c>
      <c r="BH82" s="1" t="n">
        <f aca="false">VLOOKUP($H82,Constants!$I:$K, 3, FALSE())*IF(AND(G82="multiple_unit",AB82&lt;110),0.75,1)</f>
        <v>2.5</v>
      </c>
      <c r="BI82" s="32" t="n">
        <f aca="false">INT(POWER((([1]Constants!$G$2+$BB82+$BC82+$BD82+$BF82)*$BE82)*$BH82, 1.05))+$BA82</f>
        <v>195</v>
      </c>
      <c r="BJ82" s="32" t="n">
        <f aca="false">INT(POWER(((([1]Constants!$G$1+$BB82+$BC82+$BD82+$BF82)*($BE82))*$BG82),IF($G82="wagon",1,1.2)))+$AZ82</f>
        <v>149</v>
      </c>
      <c r="BK82" s="31" t="n">
        <f aca="false">BI82*IF($G82="wagon",62.5,781.25)</f>
        <v>152343.75</v>
      </c>
      <c r="BL82" s="31" t="n">
        <f aca="false">BJ82*IF($G82="wagon",2.73,81.25)</f>
        <v>12106.25</v>
      </c>
      <c r="BM82" s="32"/>
      <c r="BN82" s="32"/>
      <c r="BO82" s="32"/>
      <c r="BP82" s="32"/>
      <c r="BQ82" s="19" t="str">
        <f aca="false">_xlfn.ORG.LIBREOFFICE.REGEX(_xlfn.ORG.LIBREOFFICE.REGEX(IETMUVEHICLES, _xlfn.CONCAT(B82, ",?"), ""), ",$", "")</f>
        <v>class_800_azuma,class_801_5,class_801_9,class_802_5,class_802_9</v>
      </c>
      <c r="BR82" s="32"/>
      <c r="BS82" s="32"/>
      <c r="BT82" s="32" t="n">
        <v>10</v>
      </c>
      <c r="BU82" s="32" t="n">
        <v>222</v>
      </c>
      <c r="BV82" s="32"/>
      <c r="BW82" s="32"/>
      <c r="BX82" s="32" t="s">
        <v>95</v>
      </c>
      <c r="BY82" s="32" t="str">
        <f aca="false">VLOOKUP(J82,[1]Eras!$A$2:$C$10, 2, TRUE())</f>
        <v>mod</v>
      </c>
      <c r="BZ82" s="32" t="s">
        <v>226</v>
      </c>
      <c r="CA82" s="19" t="str">
        <f aca="false">CONCATENATE(BY82,"_",BZ82)</f>
        <v>mod_EMU (Express)</v>
      </c>
      <c r="CB82" s="19" t="str">
        <f aca="false">_xlfn.CONCAT(H82, "_",I82)</f>
        <v>dual_power_ELRL</v>
      </c>
      <c r="CC82" s="33" t="str">
        <f aca="false" t="array" ref="CC82:CC82">_xlfn.CONCAT("{BLACK}Length: {GOLD}", TEXT(ROUNDUP(IF(AQ82&lt;&gt;"",SUM(VALUE(_xlfn.TEXTSPLIT(AQ82, ","))), SUM(VALUE(_xlfn.TEXTSPLIT(AN82, ",")))*IF(M82, M82, 1))/16, 1), "#,##0.0"), " tiles{}")</f>
        <v>{BLACK}Length: {GOLD}7.9 tiles{}</v>
      </c>
      <c r="CD82" s="1" t="str">
        <f aca="false">VLOOKUP($CB82, Constants!$M:$N, 2, FALSE())</f>
        <v>{BLACK}Powered by: {GOLD}25kV AC / Diesel</v>
      </c>
      <c r="CE82" s="19" t="str">
        <f aca="false">IF(M82&gt;1,_xlfn.CONCAT("{BLACK}Cars: {GOLD}", M82),"")</f>
        <v>{BLACK}Cars: {GOLD}9</v>
      </c>
      <c r="CF82" s="19" t="s">
        <v>496</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{YELLOW}20% bonus for long distance travel{}</v>
      </c>
      <c r="CH82" s="1" t="str">
        <f aca="false">_xlfn.CONCAT(CD82,IF(CD82 &lt;&gt; "", " ", ""),CE82,IF(OR(CE82&lt;&gt;"", CD82&lt;&gt;""), "{}",""), CC82, CG82,"{SILVER}", CF82)</f>
        <v>{BLACK}Powered by: {GOLD}25kV AC / Diesel {BLACK}Cars: {GOLD}9{}{BLACK}Length: {GOLD}7.9 tiles{}{YELLOW}20% bonus for long distance travel{}{SILVER}The Class 800 "Azuma" (on LNER) or "IET" (on GWR) is a high speed bi-mode unit based on the Hitachi AT300 series. It is designed to replace HST and Class 91 hauled services on Intercity routes.</v>
      </c>
    </row>
    <row r="83" s="19" customFormat="true" ht="13.8" hidden="false" customHeight="false" outlineLevel="0" collapsed="false">
      <c r="A83" s="32" t="s">
        <v>500</v>
      </c>
      <c r="B83" s="32" t="s">
        <v>501</v>
      </c>
      <c r="C83" s="19" t="n">
        <v>511</v>
      </c>
      <c r="D83" s="19" t="n">
        <v>509</v>
      </c>
      <c r="E83" s="19" t="n">
        <v>513</v>
      </c>
      <c r="F83" s="19" t="s">
        <v>89</v>
      </c>
      <c r="G83" s="19" t="s">
        <v>90</v>
      </c>
      <c r="H83" s="18" t="s">
        <v>91</v>
      </c>
      <c r="I83" s="32" t="s">
        <v>92</v>
      </c>
      <c r="J83" s="32" t="n">
        <v>2017</v>
      </c>
      <c r="K83" s="32"/>
      <c r="L83" s="32"/>
      <c r="M83" s="32" t="n">
        <v>5</v>
      </c>
      <c r="N83" s="32" t="n">
        <v>3200</v>
      </c>
      <c r="O83" s="25"/>
      <c r="P83" s="26"/>
      <c r="Q83" s="26"/>
      <c r="R83" s="26"/>
      <c r="S83" s="26"/>
      <c r="T83" s="26"/>
      <c r="U83" s="26"/>
      <c r="V83" s="26"/>
      <c r="W83" s="32" t="n">
        <v>233</v>
      </c>
      <c r="X83" s="25"/>
      <c r="Y83" s="32" t="n">
        <v>5</v>
      </c>
      <c r="Z83" s="32" t="n">
        <v>195</v>
      </c>
      <c r="AA83" s="27" t="n">
        <f aca="false">IF(AND(W83&gt;0,Z83&gt;0),(Z83/((W83+X83)*10)),"")</f>
        <v>0.0836909871244635</v>
      </c>
      <c r="AB83" s="32" t="n">
        <v>140</v>
      </c>
      <c r="AC83" s="32" t="n">
        <f aca="false">ROUND(AB83*1.6, 0)</f>
        <v>224</v>
      </c>
      <c r="AD83" s="32"/>
      <c r="AE83" s="32"/>
      <c r="AF83" s="32" t="n">
        <v>26</v>
      </c>
      <c r="AG83" s="32" t="n">
        <v>24</v>
      </c>
      <c r="AH83" s="32"/>
      <c r="AI83" s="32"/>
      <c r="AJ83" s="28" t="n">
        <v>66</v>
      </c>
      <c r="AK83" s="32" t="str">
        <f aca="false">CONCATENATE(VLOOKUP(AL83, '[1]Voxel Sizes'!$A$2:$B$18,2,FALSE()),"x",INT(AH83*15), "x", INT(AI83*15))</f>
        <v>238x0x0</v>
      </c>
      <c r="AL83" s="32" t="n">
        <f aca="false">ROUND(15*((AG83*10)/256),0)</f>
        <v>14</v>
      </c>
      <c r="AM83" s="32"/>
      <c r="AN83" s="32" t="str">
        <f aca="false">CONCATENATE(VLOOKUP(AL83,[1]Constants!$A$2:$C$16,IF(AM83&lt;&gt;"", 3, 2), FALSE()),IF(AM83&lt;&gt;"",CONCATENATE(",",VLOOKUP(AM83,$B:$AN,39,FALSE())),""))</f>
        <v>4,6,4</v>
      </c>
      <c r="AO83" s="32" t="n">
        <v>12</v>
      </c>
      <c r="AP83" s="29"/>
      <c r="AQ83" s="29"/>
      <c r="AR83" s="19" t="s">
        <v>494</v>
      </c>
      <c r="AS83" s="19" t="s">
        <v>495</v>
      </c>
      <c r="AT83" s="19" t="s">
        <v>130</v>
      </c>
      <c r="AU83" s="19" t="s">
        <v>493</v>
      </c>
      <c r="AX83" s="19" t="n">
        <v>30</v>
      </c>
      <c r="AY83" s="30" t="str">
        <f aca="false">IF(L83&lt;&gt;"",MAX(16,(L83-J83)+8),"")</f>
        <v/>
      </c>
      <c r="AZ83" s="32" t="n">
        <v>-15</v>
      </c>
      <c r="BA83" s="32" t="n">
        <v>-30</v>
      </c>
      <c r="BB83" s="32" t="n">
        <f aca="false">MIN(AB83/150, 1)*30</f>
        <v>28</v>
      </c>
      <c r="BC83" s="32" t="n">
        <f aca="false">MIN(N83/4000, 1)*20</f>
        <v>16</v>
      </c>
      <c r="BD83" s="32" t="n">
        <f aca="false">MIN(Z83/400,1)*20</f>
        <v>9.75</v>
      </c>
      <c r="BE83" s="27" t="n">
        <f aca="false">1-(MAX(J83-1900, 0)/750)</f>
        <v>0.844</v>
      </c>
      <c r="BF83" s="32" t="n">
        <f aca="false">((MAX($M83,1)*MIN($AJ83/300,1)))*IF(G83="Wagon",50,10)</f>
        <v>11</v>
      </c>
      <c r="BG83" s="1" t="n">
        <f aca="false">VLOOKUP($H83,Constants!$I:$K, 2, FALSE())</f>
        <v>0.85</v>
      </c>
      <c r="BH83" s="1" t="n">
        <f aca="false">VLOOKUP($H83,Constants!$I:$K, 3, FALSE())*IF(AND(G83="multiple_unit",AB83&lt;110),0.75,1)</f>
        <v>2.3</v>
      </c>
      <c r="BI83" s="32" t="n">
        <f aca="false">INT(POWER((([1]Constants!$G$2+$BB83+$BC83+$BD83+$BF83)*$BE83)*$BH83, 1.05))+$BA83</f>
        <v>143</v>
      </c>
      <c r="BJ83" s="32" t="n">
        <f aca="false">INT(POWER(((([1]Constants!$G$1+$BB83+$BC83+$BD83+$BF83)*($BE83))*$BG83),IF($G83="wagon",1,1.2)))+$AZ83</f>
        <v>113</v>
      </c>
      <c r="BK83" s="31" t="n">
        <f aca="false">BI83*IF($G83="wagon",62.5,781.25)</f>
        <v>111718.75</v>
      </c>
      <c r="BL83" s="31" t="n">
        <f aca="false">BJ83*IF($G83="wagon",2.73,81.25)</f>
        <v>9181.25</v>
      </c>
      <c r="BM83" s="32"/>
      <c r="BN83" s="32"/>
      <c r="BO83" s="32"/>
      <c r="BP83" s="32"/>
      <c r="BQ83" s="19" t="str">
        <f aca="false">_xlfn.ORG.LIBREOFFICE.REGEX(_xlfn.ORG.LIBREOFFICE.REGEX(IETMUVEHICLES, _xlfn.CONCAT(B83, ",?"), ""), ",$", "")</f>
        <v>class_800_azuma,class_800_9,class_801_9,class_802_5,class_802_9</v>
      </c>
      <c r="BR83" s="32"/>
      <c r="BS83" s="32"/>
      <c r="BT83" s="32" t="n">
        <v>10</v>
      </c>
      <c r="BU83" s="32" t="n">
        <v>222</v>
      </c>
      <c r="BV83" s="32"/>
      <c r="BW83" s="32"/>
      <c r="BX83" s="32" t="s">
        <v>95</v>
      </c>
      <c r="BY83" s="32" t="str">
        <f aca="false">VLOOKUP(J83,[1]Eras!$A$2:$C$10, 2, TRUE())</f>
        <v>mod</v>
      </c>
      <c r="BZ83" s="32" t="s">
        <v>226</v>
      </c>
      <c r="CA83" s="19" t="str">
        <f aca="false">CONCATENATE(BY83,"_",BZ83)</f>
        <v>mod_EMU (Express)</v>
      </c>
      <c r="CB83" s="19" t="str">
        <f aca="false">_xlfn.CONCAT(H83, "_",I83)</f>
        <v>electric_ELRL</v>
      </c>
      <c r="CC83" s="33" t="str">
        <f aca="false" t="array" ref="CC83:CC83">_xlfn.CONCAT("{BLACK}Length: {GOLD}", TEXT(ROUNDUP(IF(AQ83&lt;&gt;"",SUM(VALUE(_xlfn.TEXTSPLIT(AQ83, ","))), SUM(VALUE(_xlfn.TEXTSPLIT(AN83, ",")))*IF(M83, M83, 1))/16, 1), "#,##0.0"), " tiles{}")</f>
        <v>{BLACK}Length: {GOLD}4.4 tiles{}</v>
      </c>
      <c r="CD83" s="1" t="str">
        <f aca="false">VLOOKUP($CB83, Constants!$M:$N, 2, FALSE())</f>
        <v>{BLACK}Powered by: {GOLD}25kV AC</v>
      </c>
      <c r="CE83" s="19" t="str">
        <f aca="false">IF(M83&gt;1,_xlfn.CONCAT("{BLACK}Cars: {GOLD}", M83),"")</f>
        <v>{BLACK}Cars: {GOLD}5</v>
      </c>
      <c r="CF83" s="19" t="s">
        <v>502</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{YELLOW}20% bonus for long distance travel{}</v>
      </c>
      <c r="CH83" s="1" t="str">
        <f aca="false">_xlfn.CONCAT(CD83,IF(CD83 &lt;&gt; "", " ", ""),CE83,IF(OR(CE83&lt;&gt;"", CD83&lt;&gt;""), "{}",""), CC83, CG83,"{SILVER}", CF83)</f>
        <v>{BLACK}Powered by: {GOLD}25kV AC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84" s="19" customFormat="true" ht="13.8" hidden="false" customHeight="false" outlineLevel="0" collapsed="false">
      <c r="A84" s="32" t="s">
        <v>503</v>
      </c>
      <c r="B84" s="32" t="s">
        <v>504</v>
      </c>
      <c r="C84" s="19" t="n">
        <v>512</v>
      </c>
      <c r="D84" s="19" t="n">
        <v>509</v>
      </c>
      <c r="E84" s="19" t="n">
        <v>514</v>
      </c>
      <c r="F84" s="19" t="s">
        <v>89</v>
      </c>
      <c r="G84" s="19" t="s">
        <v>90</v>
      </c>
      <c r="H84" s="18" t="s">
        <v>91</v>
      </c>
      <c r="I84" s="32" t="s">
        <v>92</v>
      </c>
      <c r="J84" s="32" t="n">
        <v>2017</v>
      </c>
      <c r="K84" s="32"/>
      <c r="L84" s="32"/>
      <c r="M84" s="32" t="n">
        <v>9</v>
      </c>
      <c r="N84" s="32" t="n">
        <v>5400</v>
      </c>
      <c r="O84" s="25"/>
      <c r="P84" s="26"/>
      <c r="Q84" s="26"/>
      <c r="R84" s="26"/>
      <c r="S84" s="26"/>
      <c r="T84" s="26"/>
      <c r="U84" s="26"/>
      <c r="V84" s="26"/>
      <c r="W84" s="32" t="n">
        <v>420</v>
      </c>
      <c r="X84" s="25"/>
      <c r="Y84" s="32" t="n">
        <v>5</v>
      </c>
      <c r="Z84" s="32" t="n">
        <v>195</v>
      </c>
      <c r="AA84" s="27" t="n">
        <f aca="false">IF(AND(W84&gt;0,Z84&gt;0),(Z84/((W84+X84)*10)),"")</f>
        <v>0.0464285714285714</v>
      </c>
      <c r="AB84" s="32" t="n">
        <v>140</v>
      </c>
      <c r="AC84" s="32" t="n">
        <f aca="false">ROUND(AB84*1.6, 0)</f>
        <v>224</v>
      </c>
      <c r="AD84" s="32"/>
      <c r="AE84" s="32"/>
      <c r="AF84" s="32" t="n">
        <v>26</v>
      </c>
      <c r="AG84" s="32" t="n">
        <v>24</v>
      </c>
      <c r="AH84" s="32"/>
      <c r="AI84" s="32"/>
      <c r="AJ84" s="28" t="n">
        <v>66</v>
      </c>
      <c r="AK84" s="32" t="str">
        <f aca="false">CONCATENATE(VLOOKUP(AL84, '[1]Voxel Sizes'!$A$2:$B$18,2,FALSE()),"x",INT(AH84*15), "x", INT(AI84*15))</f>
        <v>238x0x0</v>
      </c>
      <c r="AL84" s="32" t="n">
        <f aca="false">ROUND(15*((AG84*10)/256),0)</f>
        <v>14</v>
      </c>
      <c r="AM84" s="32"/>
      <c r="AN84" s="32" t="str">
        <f aca="false">CONCATENATE(VLOOKUP(AL84,[1]Constants!$A$2:$C$16,IF(AM84&lt;&gt;"", 3, 2), FALSE()),IF(AM84&lt;&gt;"",CONCATENATE(",",VLOOKUP(AM84,$B:$AN,39,FALSE())),""))</f>
        <v>4,6,4</v>
      </c>
      <c r="AO84" s="32" t="n">
        <v>24</v>
      </c>
      <c r="AP84" s="29"/>
      <c r="AQ84" s="29"/>
      <c r="AR84" s="19" t="s">
        <v>499</v>
      </c>
      <c r="AS84" s="19" t="s">
        <v>495</v>
      </c>
      <c r="AT84" s="19" t="s">
        <v>471</v>
      </c>
      <c r="AU84" s="19" t="s">
        <v>493</v>
      </c>
      <c r="AX84" s="19" t="n">
        <v>30</v>
      </c>
      <c r="AY84" s="30" t="str">
        <f aca="false">IF(L84&lt;&gt;"",MAX(16,(L84-J84)+8),"")</f>
        <v/>
      </c>
      <c r="AZ84" s="32" t="n">
        <v>-15</v>
      </c>
      <c r="BA84" s="32" t="n">
        <v>-30</v>
      </c>
      <c r="BB84" s="32" t="n">
        <f aca="false">MIN(AB84/150, 1)*30</f>
        <v>28</v>
      </c>
      <c r="BC84" s="32" t="n">
        <f aca="false">MIN(N84/4000, 1)*20</f>
        <v>20</v>
      </c>
      <c r="BD84" s="32" t="n">
        <f aca="false">MIN(Z84/400,1)*20</f>
        <v>9.75</v>
      </c>
      <c r="BE84" s="27" t="n">
        <f aca="false">1-(MAX(J84-1900, 0)/750)</f>
        <v>0.844</v>
      </c>
      <c r="BF84" s="32" t="n">
        <f aca="false">((MAX($M84,1)*MIN($AJ84/300,1)))*IF(G84="Wagon",50,10)</f>
        <v>19.8</v>
      </c>
      <c r="BG84" s="1" t="n">
        <f aca="false">VLOOKUP($H84,Constants!$I:$K, 2, FALSE())</f>
        <v>0.85</v>
      </c>
      <c r="BH84" s="1" t="n">
        <f aca="false">VLOOKUP($H84,Constants!$I:$K, 3, FALSE())*IF(AND(G84="multiple_unit",AB84&lt;110),0.75,1)</f>
        <v>2.3</v>
      </c>
      <c r="BI84" s="32" t="n">
        <f aca="false">INT(POWER((([1]Constants!$G$2+$BB84+$BC84+$BD84+$BF84)*$BE84)*$BH84, 1.05))+$BA84</f>
        <v>176</v>
      </c>
      <c r="BJ84" s="32" t="n">
        <f aca="false">INT(POWER(((([1]Constants!$G$1+$BB84+$BC84+$BD84+$BF84)*($BE84))*$BG84),IF($G84="wagon",1,1.2)))+$AZ84</f>
        <v>138</v>
      </c>
      <c r="BK84" s="31" t="n">
        <f aca="false">BI84*IF($G84="wagon",62.5,781.25)</f>
        <v>137500</v>
      </c>
      <c r="BL84" s="31" t="n">
        <f aca="false">BJ84*IF($G84="wagon",2.73,81.25)</f>
        <v>11212.5</v>
      </c>
      <c r="BM84" s="32"/>
      <c r="BN84" s="32"/>
      <c r="BO84" s="32"/>
      <c r="BP84" s="32"/>
      <c r="BQ84" s="19" t="str">
        <f aca="false">_xlfn.ORG.LIBREOFFICE.REGEX(_xlfn.ORG.LIBREOFFICE.REGEX(IETMUVEHICLES, _xlfn.CONCAT(B84, ",?"), ""), ",$", "")</f>
        <v>class_800_azuma,class_800_9,class_801_5,class_802_5,class_802_9</v>
      </c>
      <c r="BR84" s="32"/>
      <c r="BS84" s="32"/>
      <c r="BT84" s="32" t="n">
        <v>10</v>
      </c>
      <c r="BU84" s="32" t="n">
        <v>222</v>
      </c>
      <c r="BV84" s="32"/>
      <c r="BW84" s="32"/>
      <c r="BX84" s="32" t="s">
        <v>95</v>
      </c>
      <c r="BY84" s="32" t="str">
        <f aca="false">VLOOKUP(J84,[1]Eras!$A$2:$C$10, 2, TRUE())</f>
        <v>mod</v>
      </c>
      <c r="BZ84" s="32" t="s">
        <v>226</v>
      </c>
      <c r="CA84" s="19" t="str">
        <f aca="false">CONCATENATE(BY84,"_",BZ84)</f>
        <v>mod_EMU (Express)</v>
      </c>
      <c r="CB84" s="19" t="str">
        <f aca="false">_xlfn.CONCAT(H84, "_",I84)</f>
        <v>electric_ELRL</v>
      </c>
      <c r="CC84" s="33" t="str">
        <f aca="false" t="array" ref="CC84:CC84">_xlfn.CONCAT("{BLACK}Length: {GOLD}", TEXT(ROUNDUP(IF(AQ84&lt;&gt;"",SUM(VALUE(_xlfn.TEXTSPLIT(AQ84, ","))), SUM(VALUE(_xlfn.TEXTSPLIT(AN84, ",")))*IF(M84, M84, 1))/16, 1), "#,##0.0"), " tiles{}")</f>
        <v>{BLACK}Length: {GOLD}7.9 tiles{}</v>
      </c>
      <c r="CD84" s="1" t="str">
        <f aca="false">VLOOKUP($CB84, Constants!$M:$N, 2, FALSE())</f>
        <v>{BLACK}Powered by: {GOLD}25kV AC</v>
      </c>
      <c r="CE84" s="19" t="str">
        <f aca="false">IF(M84&gt;1,_xlfn.CONCAT("{BLACK}Cars: {GOLD}", M84),"")</f>
        <v>{BLACK}Cars: {GOLD}9</v>
      </c>
      <c r="CF84" s="19" t="s">
        <v>502</v>
      </c>
      <c r="CG84" s="1" t="str">
        <f aca="false">IF(BW84="buffet","{YELLOW}25% long distance bonus for consist{}",IF(BY84="BRAKE","{YELLOW}Speed bonus for slow wagons{}",IF(BU84&gt;190,CONCATENATE("{YELLOW}",INT((BU84-185)/1.85),"% bonus for long distance travel{}"),IF(AND(BU84&lt;180,BU84&lt;&gt;0),CONCATENATE("{YELLOW}",INT((185-BU84)/1.85),"% penalty for long distance travel{}"),""))))</f>
        <v>{YELLOW}20% bonus for long distance travel{}</v>
      </c>
      <c r="CH84" s="1" t="str">
        <f aca="false">_xlfn.CONCAT(CD84,IF(CD84 &lt;&gt; "", " ", ""),CE84,IF(OR(CE84&lt;&gt;"", CD84&lt;&gt;""), "{}",""), CC84, CG84,"{SILVER}", CF84)</f>
        <v>{BLACK}Powered by: {GOLD}25kV AC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85" s="19" customFormat="true" ht="13.8" hidden="false" customHeight="false" outlineLevel="0" collapsed="false">
      <c r="A85" s="32" t="s">
        <v>505</v>
      </c>
      <c r="B85" s="32" t="s">
        <v>506</v>
      </c>
      <c r="C85" s="19" t="n">
        <v>513</v>
      </c>
      <c r="D85" s="19" t="n">
        <v>509</v>
      </c>
      <c r="E85" s="19" t="n">
        <v>515</v>
      </c>
      <c r="F85" s="19" t="s">
        <v>89</v>
      </c>
      <c r="G85" s="19" t="s">
        <v>90</v>
      </c>
      <c r="H85" s="19" t="s">
        <v>255</v>
      </c>
      <c r="I85" s="19" t="s">
        <v>92</v>
      </c>
      <c r="J85" s="19" t="n">
        <v>2017</v>
      </c>
      <c r="M85" s="19" t="n">
        <v>5</v>
      </c>
      <c r="N85" s="19" t="n">
        <v>3200</v>
      </c>
      <c r="O85" s="25" t="n">
        <f aca="false">940*3</f>
        <v>2820</v>
      </c>
      <c r="P85" s="26"/>
      <c r="Q85" s="26"/>
      <c r="R85" s="26"/>
      <c r="S85" s="26"/>
      <c r="T85" s="26"/>
      <c r="U85" s="26"/>
      <c r="V85" s="26"/>
      <c r="W85" s="32" t="n">
        <v>243</v>
      </c>
      <c r="X85" s="25"/>
      <c r="Y85" s="32" t="n">
        <v>5</v>
      </c>
      <c r="Z85" s="32" t="n">
        <v>195</v>
      </c>
      <c r="AA85" s="27" t="n">
        <f aca="false">IF(AND(W85&gt;0,Z85&gt;0),(Z85/((W85+X85)*10)),"")</f>
        <v>0.0802469135802469</v>
      </c>
      <c r="AB85" s="32" t="n">
        <v>140</v>
      </c>
      <c r="AC85" s="32" t="n">
        <f aca="false">ROUND(AB85*1.6, 0)</f>
        <v>224</v>
      </c>
      <c r="AD85" s="32"/>
      <c r="AE85" s="32"/>
      <c r="AF85" s="32" t="n">
        <v>26</v>
      </c>
      <c r="AG85" s="32" t="n">
        <v>24</v>
      </c>
      <c r="AH85" s="32"/>
      <c r="AI85" s="32"/>
      <c r="AJ85" s="28" t="n">
        <v>66</v>
      </c>
      <c r="AK85" s="32" t="str">
        <f aca="false">CONCATENATE(VLOOKUP(AL85, '[1]Voxel Sizes'!$A$2:$B$18,2,FALSE()),"x",INT(AH85*15), "x", INT(AI85*15))</f>
        <v>238x0x0</v>
      </c>
      <c r="AL85" s="32" t="n">
        <f aca="false">ROUND(15*((AG85*10)/256),0)</f>
        <v>14</v>
      </c>
      <c r="AM85" s="32"/>
      <c r="AN85" s="32" t="str">
        <f aca="false">CONCATENATE(VLOOKUP(AL85,[1]Constants!$A$2:$C$16,IF(AM85&lt;&gt;"", 3, 2), FALSE()),IF(AM85&lt;&gt;"",CONCATENATE(",",VLOOKUP(AM85,$B:$AN,39,FALSE())),""))</f>
        <v>4,6,4</v>
      </c>
      <c r="AO85" s="32" t="n">
        <v>12</v>
      </c>
      <c r="AP85" s="29"/>
      <c r="AQ85" s="29"/>
      <c r="AR85" s="19" t="s">
        <v>494</v>
      </c>
      <c r="AS85" s="19" t="s">
        <v>495</v>
      </c>
      <c r="AT85" s="19" t="s">
        <v>130</v>
      </c>
      <c r="AU85" s="19" t="s">
        <v>493</v>
      </c>
      <c r="AX85" s="19" t="n">
        <v>30</v>
      </c>
      <c r="AY85" s="30" t="str">
        <f aca="false">IF(L85&lt;&gt;"",MAX(16,(L85-J85)+8),"")</f>
        <v/>
      </c>
      <c r="AZ85" s="32" t="n">
        <v>-15</v>
      </c>
      <c r="BA85" s="32" t="n">
        <v>-30</v>
      </c>
      <c r="BB85" s="32" t="n">
        <f aca="false">MIN(AB85/150, 1)*30</f>
        <v>28</v>
      </c>
      <c r="BC85" s="32" t="n">
        <f aca="false">MIN(N85/4000, 1)*20</f>
        <v>16</v>
      </c>
      <c r="BD85" s="32" t="n">
        <f aca="false">MIN(Z85/400,1)*20</f>
        <v>9.75</v>
      </c>
      <c r="BE85" s="27" t="n">
        <f aca="false">1-(MAX(J85-1900, 0)/750)</f>
        <v>0.844</v>
      </c>
      <c r="BF85" s="32" t="n">
        <f aca="false">((MAX($M85,1)*MIN($AJ85/300,1)))*IF(G85="Wagon",50,10)</f>
        <v>11</v>
      </c>
      <c r="BG85" s="1" t="n">
        <f aca="false">VLOOKUP($H85,Constants!$I:$K, 2, FALSE())</f>
        <v>0.9</v>
      </c>
      <c r="BH85" s="1" t="n">
        <f aca="false">VLOOKUP($H85,Constants!$I:$K, 3, FALSE())*IF(AND(G85="multiple_unit",AB85&lt;110),0.75,1)</f>
        <v>2.5</v>
      </c>
      <c r="BI85" s="32" t="n">
        <f aca="false">INT(POWER((([1]Constants!$G$2+$BB85+$BC85+$BD85+$BF85)*$BE85)*$BH85, 1.05))+$BA85</f>
        <v>158</v>
      </c>
      <c r="BJ85" s="32" t="n">
        <f aca="false">INT(POWER(((([1]Constants!$G$1+$BB85+$BC85+$BD85+$BF85)*($BE85))*$BG85),IF($G85="wagon",1,1.2)))+$AZ85</f>
        <v>122</v>
      </c>
      <c r="BK85" s="31" t="n">
        <f aca="false">BI85*IF($G85="wagon",62.5,781.25)</f>
        <v>123437.5</v>
      </c>
      <c r="BL85" s="31" t="n">
        <f aca="false">BJ85*IF($G85="wagon",2.73,81.25)</f>
        <v>9912.5</v>
      </c>
      <c r="BM85" s="32"/>
      <c r="BN85" s="32"/>
      <c r="BO85" s="32"/>
      <c r="BP85" s="32"/>
      <c r="BQ85" s="19" t="str">
        <f aca="false">_xlfn.ORG.LIBREOFFICE.REGEX(_xlfn.ORG.LIBREOFFICE.REGEX(IETMUVEHICLES, _xlfn.CONCAT(B85, ",?"), ""), ",$", "")</f>
        <v>class_800_azuma,class_800_9,class_801_5,class_801_9,class_802_9</v>
      </c>
      <c r="BR85" s="32"/>
      <c r="BS85" s="32"/>
      <c r="BT85" s="32" t="n">
        <v>10</v>
      </c>
      <c r="BU85" s="32" t="n">
        <v>222</v>
      </c>
      <c r="BV85" s="32"/>
      <c r="BW85" s="32"/>
      <c r="BX85" s="32" t="s">
        <v>95</v>
      </c>
      <c r="BY85" s="32" t="str">
        <f aca="false">VLOOKUP(J85,[1]Eras!$A$2:$C$10, 2, TRUE())</f>
        <v>mod</v>
      </c>
      <c r="BZ85" s="32" t="s">
        <v>226</v>
      </c>
      <c r="CA85" s="19" t="str">
        <f aca="false">CONCATENATE(BY85,"_",BZ85)</f>
        <v>mod_EMU (Express)</v>
      </c>
      <c r="CB85" s="19" t="str">
        <f aca="false">_xlfn.CONCAT(H85, "_",I85)</f>
        <v>dual_power_ELRL</v>
      </c>
      <c r="CC85" s="33" t="str">
        <f aca="false" t="array" ref="CC85:CC85">_xlfn.CONCAT("{BLACK}Length: {GOLD}", TEXT(ROUNDUP(IF(AQ85&lt;&gt;"",SUM(VALUE(_xlfn.TEXTSPLIT(AQ85, ","))), SUM(VALUE(_xlfn.TEXTSPLIT(AN85, ",")))*IF(M85, M85, 1))/16, 1), "#,##0.0"), " tiles{}")</f>
        <v>{BLACK}Length: {GOLD}4.4 tiles{}</v>
      </c>
      <c r="CD85" s="1" t="str">
        <f aca="false">VLOOKUP($CB85, Constants!$M:$N, 2, FALSE())</f>
        <v>{BLACK}Powered by: {GOLD}25kV AC / Diesel</v>
      </c>
      <c r="CE85" s="19" t="str">
        <f aca="false">IF(M85&gt;1,_xlfn.CONCAT("{BLACK}Cars: {GOLD}", M85),"")</f>
        <v>{BLACK}Cars: {GOLD}5</v>
      </c>
      <c r="CF85" s="19" t="s">
        <v>507</v>
      </c>
      <c r="CG85" s="1" t="str">
        <f aca="false">IF(BW85="buffet","{YELLOW}25% long distance bonus for consist{}",IF(BY85="BRAKE","{YELLOW}Speed bonus for slow wagons{}",IF(BU85&gt;190,CONCATENATE("{YELLOW}",INT((BU85-185)/1.85),"% bonus for long distance travel{}"),IF(AND(BU85&lt;180,BU85&lt;&gt;0),CONCATENATE("{YELLOW}",INT((185-BU85)/1.85),"% penalty for long distance travel{}"),""))))</f>
        <v>{YELLOW}20% bonus for long distance travel{}</v>
      </c>
      <c r="CH85" s="1" t="str">
        <f aca="false">_xlfn.CONCAT(CD85,IF(CD85 &lt;&gt; "", " ", ""),CE85,IF(OR(CE85&lt;&gt;"", CD85&lt;&gt;""), "{}",""), CC85, CG85,"{SILVER}", CF85)</f>
        <v>{BLACK}Powered by: {GOLD}25kV AC / Diesel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86" s="19" customFormat="true" ht="13.8" hidden="false" customHeight="false" outlineLevel="0" collapsed="false">
      <c r="A86" s="32" t="s">
        <v>508</v>
      </c>
      <c r="B86" s="32" t="s">
        <v>509</v>
      </c>
      <c r="C86" s="19" t="n">
        <v>514</v>
      </c>
      <c r="D86" s="19" t="n">
        <v>509</v>
      </c>
      <c r="E86" s="19" t="n">
        <v>516</v>
      </c>
      <c r="F86" s="19" t="s">
        <v>89</v>
      </c>
      <c r="G86" s="19" t="s">
        <v>90</v>
      </c>
      <c r="H86" s="19" t="s">
        <v>255</v>
      </c>
      <c r="I86" s="19" t="s">
        <v>92</v>
      </c>
      <c r="J86" s="19" t="n">
        <v>2017</v>
      </c>
      <c r="M86" s="19" t="n">
        <v>9</v>
      </c>
      <c r="N86" s="19" t="n">
        <v>5400</v>
      </c>
      <c r="O86" s="25" t="n">
        <f aca="false">940*5</f>
        <v>4700</v>
      </c>
      <c r="P86" s="26"/>
      <c r="Q86" s="26"/>
      <c r="R86" s="26"/>
      <c r="S86" s="26"/>
      <c r="T86" s="26"/>
      <c r="U86" s="26"/>
      <c r="V86" s="26"/>
      <c r="W86" s="32" t="n">
        <v>438</v>
      </c>
      <c r="X86" s="25"/>
      <c r="Y86" s="32" t="n">
        <v>5</v>
      </c>
      <c r="Z86" s="32" t="n">
        <v>195</v>
      </c>
      <c r="AA86" s="27" t="n">
        <f aca="false">IF(AND(W86&gt;0,Z86&gt;0),(Z86/((W86+X86)*10)),"")</f>
        <v>0.0445205479452055</v>
      </c>
      <c r="AB86" s="32" t="n">
        <v>140</v>
      </c>
      <c r="AC86" s="32" t="n">
        <f aca="false">ROUND(AB86*1.6, 0)</f>
        <v>224</v>
      </c>
      <c r="AD86" s="32"/>
      <c r="AE86" s="32"/>
      <c r="AF86" s="32" t="n">
        <v>26</v>
      </c>
      <c r="AG86" s="32" t="n">
        <v>24</v>
      </c>
      <c r="AH86" s="32"/>
      <c r="AI86" s="32"/>
      <c r="AJ86" s="28" t="n">
        <v>66</v>
      </c>
      <c r="AK86" s="32" t="str">
        <f aca="false">CONCATENATE(VLOOKUP(AL86, '[1]Voxel Sizes'!$A$2:$B$18,2,FALSE()),"x",INT(AH86*15), "x", INT(AI86*15))</f>
        <v>238x0x0</v>
      </c>
      <c r="AL86" s="32" t="n">
        <f aca="false">ROUND(15*((AG86*10)/256),0)</f>
        <v>14</v>
      </c>
      <c r="AM86" s="32"/>
      <c r="AN86" s="32" t="str">
        <f aca="false">CONCATENATE(VLOOKUP(AL86,[1]Constants!$A$2:$C$16,IF(AM86&lt;&gt;"", 3, 2), FALSE()),IF(AM86&lt;&gt;"",CONCATENATE(",",VLOOKUP(AM86,$B:$AN,39,FALSE())),""))</f>
        <v>4,6,4</v>
      </c>
      <c r="AO86" s="32" t="n">
        <v>24</v>
      </c>
      <c r="AP86" s="29"/>
      <c r="AQ86" s="29"/>
      <c r="AR86" s="19" t="s">
        <v>499</v>
      </c>
      <c r="AS86" s="19" t="s">
        <v>495</v>
      </c>
      <c r="AT86" s="19" t="s">
        <v>471</v>
      </c>
      <c r="AU86" s="19" t="s">
        <v>493</v>
      </c>
      <c r="AX86" s="19" t="n">
        <v>30</v>
      </c>
      <c r="AY86" s="30" t="str">
        <f aca="false">IF(L86&lt;&gt;"",MAX(16,(L86-J86)+8),"")</f>
        <v/>
      </c>
      <c r="AZ86" s="32" t="n">
        <v>-15</v>
      </c>
      <c r="BA86" s="32" t="n">
        <v>-30</v>
      </c>
      <c r="BB86" s="32" t="n">
        <f aca="false">MIN(AB86/150, 1)*30</f>
        <v>28</v>
      </c>
      <c r="BC86" s="32" t="n">
        <f aca="false">MIN(N86/4000, 1)*20</f>
        <v>20</v>
      </c>
      <c r="BD86" s="32" t="n">
        <f aca="false">MIN(Z86/400,1)*20</f>
        <v>9.75</v>
      </c>
      <c r="BE86" s="27" t="n">
        <f aca="false">1-(MAX(J86-1900, 0)/750)</f>
        <v>0.844</v>
      </c>
      <c r="BF86" s="32" t="n">
        <f aca="false">((MAX($M86,1)*MIN($AJ86/300,1)))*IF(G86="Wagon",50,10)</f>
        <v>19.8</v>
      </c>
      <c r="BG86" s="1" t="n">
        <f aca="false">VLOOKUP($H86,Constants!$I:$K, 2, FALSE())</f>
        <v>0.9</v>
      </c>
      <c r="BH86" s="1" t="n">
        <f aca="false">VLOOKUP($H86,Constants!$I:$K, 3, FALSE())*IF(AND(G86="multiple_unit",AB86&lt;110),0.75,1)</f>
        <v>2.5</v>
      </c>
      <c r="BI86" s="32" t="n">
        <f aca="false">INT(POWER((([1]Constants!$G$2+$BB86+$BC86+$BD86+$BF86)*$BE86)*$BH86, 1.05))+$BA86</f>
        <v>195</v>
      </c>
      <c r="BJ86" s="32" t="n">
        <f aca="false">INT(POWER(((([1]Constants!$G$1+$BB86+$BC86+$BD86+$BF86)*($BE86))*$BG86),IF($G86="wagon",1,1.2)))+$AZ86</f>
        <v>149</v>
      </c>
      <c r="BK86" s="31" t="n">
        <f aca="false">BI86*IF($G86="wagon",62.5,781.25)</f>
        <v>152343.75</v>
      </c>
      <c r="BL86" s="31" t="n">
        <f aca="false">BJ86*IF($G86="wagon",2.73,81.25)</f>
        <v>12106.25</v>
      </c>
      <c r="BM86" s="32"/>
      <c r="BN86" s="32"/>
      <c r="BO86" s="32"/>
      <c r="BP86" s="32"/>
      <c r="BQ86" s="19" t="str">
        <f aca="false">_xlfn.ORG.LIBREOFFICE.REGEX(_xlfn.ORG.LIBREOFFICE.REGEX(IETMUVEHICLES, _xlfn.CONCAT(B86, ",?"), ""), ",$", "")</f>
        <v>class_800_azuma,class_800_9,class_801_5,class_801_9,class_802_5</v>
      </c>
      <c r="BR86" s="32"/>
      <c r="BS86" s="32"/>
      <c r="BT86" s="32" t="n">
        <v>10</v>
      </c>
      <c r="BU86" s="32" t="n">
        <v>222</v>
      </c>
      <c r="BV86" s="32"/>
      <c r="BW86" s="32"/>
      <c r="BX86" s="32" t="s">
        <v>95</v>
      </c>
      <c r="BY86" s="32" t="str">
        <f aca="false">VLOOKUP(J86,[1]Eras!$A$2:$C$10, 2, TRUE())</f>
        <v>mod</v>
      </c>
      <c r="BZ86" s="32" t="s">
        <v>226</v>
      </c>
      <c r="CA86" s="19" t="str">
        <f aca="false">CONCATENATE(BY86,"_",BZ86)</f>
        <v>mod_EMU (Express)</v>
      </c>
      <c r="CB86" s="19" t="str">
        <f aca="false">_xlfn.CONCAT(H86, "_",I86)</f>
        <v>dual_power_ELRL</v>
      </c>
      <c r="CC86" s="33" t="str">
        <f aca="false" t="array" ref="CC86:CC86">_xlfn.CONCAT("{BLACK}Length: {GOLD}", TEXT(ROUNDUP(IF(AQ86&lt;&gt;"",SUM(VALUE(_xlfn.TEXTSPLIT(AQ86, ","))), SUM(VALUE(_xlfn.TEXTSPLIT(AN86, ",")))*IF(M86, M86, 1))/16, 1), "#,##0.0"), " tiles{}")</f>
        <v>{BLACK}Length: {GOLD}7.9 tiles{}</v>
      </c>
      <c r="CD86" s="1" t="str">
        <f aca="false">VLOOKUP($CB86, Constants!$M:$N, 2, FALSE())</f>
        <v>{BLACK}Powered by: {GOLD}25kV AC / Diesel</v>
      </c>
      <c r="CE86" s="19" t="str">
        <f aca="false">IF(M86&gt;1,_xlfn.CONCAT("{BLACK}Cars: {GOLD}", M86),"")</f>
        <v>{BLACK}Cars: {GOLD}9</v>
      </c>
      <c r="CF86" s="19" t="s">
        <v>507</v>
      </c>
      <c r="CG86" s="1" t="str">
        <f aca="false">IF(BW86="buffet","{YELLOW}25% long distance bonus for consist{}",IF(BY86="BRAKE","{YELLOW}Speed bonus for slow wagons{}",IF(BU86&gt;190,CONCATENATE("{YELLOW}",INT((BU86-185)/1.85),"% bonus for long distance travel{}"),IF(AND(BU86&lt;180,BU86&lt;&gt;0),CONCATENATE("{YELLOW}",INT((185-BU86)/1.85),"% penalty for long distance travel{}"),""))))</f>
        <v>{YELLOW}20% bonus for long distance travel{}</v>
      </c>
      <c r="CH86" s="1" t="str">
        <f aca="false">_xlfn.CONCAT(CD86,IF(CD86 &lt;&gt; "", " ", ""),CE86,IF(OR(CE86&lt;&gt;"", CD86&lt;&gt;""), "{}",""), CC86, CG86,"{SILVER}", CF86)</f>
        <v>{BLACK}Powered by: {GOLD}25kV AC / Diesel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87" s="19" customFormat="true" ht="13.8" hidden="false" customHeight="false" outlineLevel="0" collapsed="false">
      <c r="A87" s="19" t="s">
        <v>510</v>
      </c>
      <c r="B87" s="19" t="s">
        <v>511</v>
      </c>
      <c r="C87" s="19" t="n">
        <v>487</v>
      </c>
      <c r="E87" s="19" t="n">
        <v>518</v>
      </c>
      <c r="F87" s="19" t="s">
        <v>89</v>
      </c>
      <c r="G87" s="19" t="s">
        <v>90</v>
      </c>
      <c r="H87" s="19" t="s">
        <v>372</v>
      </c>
      <c r="I87" s="19" t="s">
        <v>389</v>
      </c>
      <c r="J87" s="19" t="n">
        <v>2018</v>
      </c>
      <c r="M87" s="19" t="n">
        <v>6</v>
      </c>
      <c r="N87" s="19" t="n">
        <v>4800</v>
      </c>
      <c r="O87" s="25" t="n">
        <v>2700</v>
      </c>
      <c r="P87" s="26"/>
      <c r="Q87" s="26"/>
      <c r="R87" s="26"/>
      <c r="S87" s="26"/>
      <c r="T87" s="26"/>
      <c r="U87" s="26"/>
      <c r="V87" s="26"/>
      <c r="W87" s="19" t="n">
        <v>204</v>
      </c>
      <c r="X87" s="25"/>
      <c r="Y87" s="19" t="n">
        <v>6</v>
      </c>
      <c r="Z87" s="19" t="n">
        <v>225</v>
      </c>
      <c r="AA87" s="27" t="n">
        <f aca="false">IF(AND(W87&gt;0,Z87&gt;0),(Z87/((W87+X87)*10)),"")</f>
        <v>0.110294117647059</v>
      </c>
      <c r="AB87" s="19" t="n">
        <v>85</v>
      </c>
      <c r="AC87" s="19" t="n">
        <f aca="false">ROUND(AB87*1.6, 0)</f>
        <v>136</v>
      </c>
      <c r="AF87" s="19" t="n">
        <v>20.2</v>
      </c>
      <c r="AG87" s="19" t="n">
        <v>20.2</v>
      </c>
      <c r="AJ87" s="28" t="n">
        <v>60</v>
      </c>
      <c r="AK87" s="19" t="str">
        <f aca="false">CONCATENATE(VLOOKUP(AL87, 'Voxel Sizes'!$A$2:$B$18,2,FALSE()),"x",INT(AH87*15), "x", INT(AI87*15))</f>
        <v>198x0x0</v>
      </c>
      <c r="AL87" s="19" t="n">
        <f aca="false">ROUND(15*((AG87*10)/256),0)</f>
        <v>12</v>
      </c>
      <c r="AN87" s="1" t="str">
        <f aca="false">CONCATENATE(VLOOKUP(AL87,Constants!$A$2:$C$16,IF(AM87&lt;&gt;"", 3, 2), FALSE()),IF(AM87&lt;&gt;"",CONCATENATE(",",VLOOKUP(AM87,$B:$AN,38,FALSE())),""))</f>
        <v>4,4,4</v>
      </c>
      <c r="AP87" s="29"/>
      <c r="AQ87" s="29"/>
      <c r="AR87" s="19" t="s">
        <v>512</v>
      </c>
      <c r="AS87" s="19" t="s">
        <v>513</v>
      </c>
      <c r="AT87" s="19" t="s">
        <v>514</v>
      </c>
      <c r="AX87" s="19" t="n">
        <v>30</v>
      </c>
      <c r="AY87" s="30" t="str">
        <f aca="false">IF(L87&lt;&gt;"",MAX(16,(L87-J87)+8),"")</f>
        <v/>
      </c>
      <c r="AZ87" s="19" t="n">
        <v>-15</v>
      </c>
      <c r="BA87" s="19" t="n">
        <v>-30</v>
      </c>
      <c r="BB87" s="19" t="n">
        <f aca="false">MIN(AB87/150, 1)*30</f>
        <v>17</v>
      </c>
      <c r="BC87" s="19" t="n">
        <f aca="false">MIN(N87/4000, 1)*20</f>
        <v>20</v>
      </c>
      <c r="BD87" s="19" t="n">
        <f aca="false">MIN(Z87/400,1)*20</f>
        <v>11.25</v>
      </c>
      <c r="BE87" s="27" t="n">
        <f aca="false">1-(MAX(J87-1900, 0)/750)</f>
        <v>0.842666666666667</v>
      </c>
      <c r="BF87" s="19" t="n">
        <f aca="false">((MAX($M87,1)*MIN($AJ87/300,1)))*IF(G87="Wagon",50,10)</f>
        <v>12</v>
      </c>
      <c r="BG87" s="1" t="n">
        <f aca="false">VLOOKUP($H87,Constants!$I:$K, 2, FALSE())</f>
        <v>0.85</v>
      </c>
      <c r="BH87" s="1" t="n">
        <f aca="false">VLOOKUP($H87,Constants!$I:$K, 3, FALSE())*IF(AND(G87="multiple_unit",AB87&lt;110),0.75,1)</f>
        <v>1.8</v>
      </c>
      <c r="BI87" s="1" t="n">
        <f aca="false">INT(POWER(((Constants!$G$2+$BB87+$BC87+$BD87+$BF87)*$BE87)*$BH87, 1.05))+$BA87</f>
        <v>94</v>
      </c>
      <c r="BJ87" s="1" t="n">
        <f aca="false">INT(POWER((((Constants!$G$1+$BB87+$BC87+$BD87+$BF87)*($BE87))*$BG87),IF($G87="wagon",1,1.2)))+$AZ87</f>
        <v>104</v>
      </c>
      <c r="BK87" s="31" t="n">
        <f aca="false">BI87*IF($G87="wagon",62.5,781.25)</f>
        <v>73437.5</v>
      </c>
      <c r="BL87" s="31" t="n">
        <f aca="false">BJ87*IF($G87="wagon",2.73,81.25)</f>
        <v>8450</v>
      </c>
      <c r="BS87" s="19" t="s">
        <v>463</v>
      </c>
      <c r="BT87" s="19" t="n">
        <v>3</v>
      </c>
      <c r="BX87" s="19" t="s">
        <v>95</v>
      </c>
      <c r="BY87" s="1" t="s">
        <v>482</v>
      </c>
      <c r="BZ87" s="32" t="s">
        <v>97</v>
      </c>
      <c r="CA87" s="19" t="str">
        <f aca="false">CONCATENATE(BY87,"_",BZ87)</f>
        <v>mod_EMU</v>
      </c>
      <c r="CB87" s="19" t="str">
        <f aca="false">_xlfn.CONCAT(H87, "_",I87)</f>
        <v>dual_electric_DUAL_POWER</v>
      </c>
      <c r="CC87" s="33" t="str">
        <f aca="false" t="array" ref="CC87:CC87">_xlfn.CONCAT("{BLACK}Length: {GOLD}", TEXT(ROUNDUP(IF(AQ87&lt;&gt;"",SUM(VALUE(_xlfn.TEXTSPLIT(AQ87, ","))), SUM(VALUE(_xlfn.TEXTSPLIT(AN87, ",")))*IF(M87, M87, 1))/16, 1), "#,##0.0"), " tiles{}")</f>
        <v>{BLACK}Length: {GOLD}4.5 tiles{}</v>
      </c>
      <c r="CD87" s="1" t="str">
        <f aca="false">VLOOKUP($CB87, Constants!$M:$N, 2, FALSE())</f>
        <v>{BLACK}Powered by: {GOLD}25kV AC / 750V DC</v>
      </c>
      <c r="CE87" s="19" t="str">
        <f aca="false">IF(M87&gt;1,_xlfn.CONCAT("{BLACK}Cars: {GOLD}", M87),"")</f>
        <v>{BLACK}Cars: {GOLD}6</v>
      </c>
      <c r="CF87" s="19" t="s">
        <v>515</v>
      </c>
      <c r="CG87" s="1" t="str">
        <f aca="false">IF(BW87="buffet","{YELLOW}25% long distance bonus for consist{}",IF(BY87="BRAKE","{YELLOW}Speed bonus for slow wagons{}",IF(BU87&gt;190,CONCATENATE("{YELLOW}",INT((BU87-185)/1.85),"% bonus for long distance travel{}"),IF(AND(BU87&lt;180,BU87&lt;&gt;0),CONCATENATE("{YELLOW}",INT((185-BU87)/1.85),"% penalty for long distance travel{}"),""))))</f>
        <v/>
      </c>
      <c r="CH87" s="1" t="str">
        <f aca="false">_xlfn.CONCAT(CD87,IF(CD87 &lt;&gt; "", " ", ""),CE87,IF(OR(CE87&lt;&gt;"", CD87&lt;&gt;""), "{}",""), CC87, CG87,"{SILVER}", CF87)</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88" s="19" customFormat="true" ht="13.8" hidden="false" customHeight="false" outlineLevel="0" collapsed="false">
      <c r="A88" s="19" t="s">
        <v>516</v>
      </c>
      <c r="B88" s="19" t="s">
        <v>517</v>
      </c>
      <c r="C88" s="19" t="n">
        <v>488</v>
      </c>
      <c r="E88" s="19" t="n">
        <v>519</v>
      </c>
      <c r="F88" s="19" t="s">
        <v>89</v>
      </c>
      <c r="G88" s="19" t="s">
        <v>90</v>
      </c>
      <c r="H88" s="19" t="s">
        <v>91</v>
      </c>
      <c r="I88" s="19" t="s">
        <v>92</v>
      </c>
      <c r="J88" s="19" t="n">
        <v>2020</v>
      </c>
      <c r="M88" s="19" t="n">
        <v>12</v>
      </c>
      <c r="N88" s="19" t="n">
        <v>7000</v>
      </c>
      <c r="O88" s="25" t="n">
        <v>2700</v>
      </c>
      <c r="P88" s="26"/>
      <c r="Q88" s="26"/>
      <c r="R88" s="26"/>
      <c r="S88" s="26"/>
      <c r="T88" s="26"/>
      <c r="U88" s="26"/>
      <c r="V88" s="26"/>
      <c r="W88" s="19" t="n">
        <v>204</v>
      </c>
      <c r="X88" s="25"/>
      <c r="Y88" s="19" t="n">
        <v>5</v>
      </c>
      <c r="Z88" s="19" t="n">
        <v>400</v>
      </c>
      <c r="AA88" s="27" t="n">
        <f aca="false">IF(AND(W88&gt;0,Z88&gt;0),(Z88/((W88+X88)*10)),"")</f>
        <v>0.196078431372549</v>
      </c>
      <c r="AB88" s="19" t="n">
        <v>100</v>
      </c>
      <c r="AC88" s="19" t="n">
        <f aca="false">ROUND(AB88*1.6, 0)</f>
        <v>160</v>
      </c>
      <c r="AF88" s="19" t="n">
        <v>19.7</v>
      </c>
      <c r="AG88" s="19" t="n">
        <v>20</v>
      </c>
      <c r="AJ88" s="28" t="n">
        <v>60</v>
      </c>
      <c r="AK88" s="19" t="str">
        <f aca="false">CONCATENATE(VLOOKUP(AL88, 'Voxel Sizes'!$A$2:$B$18,2,FALSE()),"x",INT(AH88*15), "x", INT(AI88*15))</f>
        <v>198x0x0</v>
      </c>
      <c r="AL88" s="19" t="n">
        <f aca="false">ROUND(15*((AG88*10)/256),0)</f>
        <v>12</v>
      </c>
      <c r="AN88" s="1" t="str">
        <f aca="false">CONCATENATE(VLOOKUP(AL88,Constants!$A$2:$C$16,IF(AM88&lt;&gt;"", 3, 2), FALSE()),IF(AM88&lt;&gt;"",CONCATENATE(",",VLOOKUP(AM88,$B:$AN,38,FALSE())),""))</f>
        <v>4,4,4</v>
      </c>
      <c r="AO88" s="19" t="s">
        <v>518</v>
      </c>
      <c r="AP88" s="29"/>
      <c r="AQ88" s="29"/>
      <c r="AR88"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88" s="19" t="str">
        <f aca="false">STAD_745_NS</f>
        <v>1,1,1,1,0,0,0,0,0,0,1,1</v>
      </c>
      <c r="AU88" s="19" t="s">
        <v>519</v>
      </c>
      <c r="AX88" s="19" t="n">
        <v>30</v>
      </c>
      <c r="AY88" s="30" t="str">
        <f aca="false">IF(L88&lt;&gt;"",MAX(16,(L88-J88)+8),"")</f>
        <v/>
      </c>
      <c r="AZ88" s="19" t="n">
        <v>-15</v>
      </c>
      <c r="BA88" s="19" t="n">
        <v>-30</v>
      </c>
      <c r="BB88" s="19" t="n">
        <f aca="false">MIN(AB88/150, 1)*30</f>
        <v>20</v>
      </c>
      <c r="BC88" s="19" t="n">
        <f aca="false">MIN(N88/4000, 1)*20</f>
        <v>20</v>
      </c>
      <c r="BD88" s="19" t="n">
        <f aca="false">MIN(Z88/400,1)*20</f>
        <v>20</v>
      </c>
      <c r="BE88" s="27" t="n">
        <f aca="false">1-(MAX(J88-1900, 0)/750)</f>
        <v>0.84</v>
      </c>
      <c r="BF88" s="19" t="n">
        <f aca="false">((MAX($M88,1)*MIN($AJ88/300,1)))*IF(G88="Wagon",50,10)</f>
        <v>24</v>
      </c>
      <c r="BG88" s="1" t="n">
        <f aca="false">VLOOKUP($H88,Constants!$I:$K, 2, FALSE())</f>
        <v>0.85</v>
      </c>
      <c r="BH88" s="1" t="n">
        <f aca="false">VLOOKUP($H88,Constants!$I:$K, 3, FALSE())*IF(AND(G88="multiple_unit",AB88&lt;110),0.75,1)</f>
        <v>1.725</v>
      </c>
      <c r="BI88" s="1" t="n">
        <f aca="false">INT(POWER(((Constants!$G$2+$BB88+$BC88+$BD88+$BF88)*$BE88)*$BH88, 1.05))+$BA88</f>
        <v>134</v>
      </c>
      <c r="BJ88" s="1" t="n">
        <f aca="false">INT(POWER((((Constants!$G$1+$BB88+$BC88+$BD88+$BF88)*($BE88))*$BG88),IF($G88="wagon",1,1.2)))+$AZ88</f>
        <v>150</v>
      </c>
      <c r="BK88" s="31" t="n">
        <f aca="false">BI88*IF($G88="wagon",62.5,781.25)</f>
        <v>104687.5</v>
      </c>
      <c r="BL88" s="31" t="n">
        <f aca="false">BJ88*IF($G88="wagon",2.73,81.25)</f>
        <v>12187.5</v>
      </c>
      <c r="BS88" s="19" t="s">
        <v>203</v>
      </c>
      <c r="BT88" s="19" t="n">
        <v>2</v>
      </c>
      <c r="BX88" s="19" t="s">
        <v>95</v>
      </c>
      <c r="BY88" s="1" t="s">
        <v>482</v>
      </c>
      <c r="BZ88" s="32" t="s">
        <v>97</v>
      </c>
      <c r="CA88" s="19" t="str">
        <f aca="false">CONCATENATE(BY88,"_",BZ88)</f>
        <v>mod_EMU</v>
      </c>
      <c r="CB88" s="19" t="str">
        <f aca="false">_xlfn.CONCAT(H88, "_",I88)</f>
        <v>electric_ELRL</v>
      </c>
      <c r="CC88" s="33" t="str">
        <f aca="false" t="array" ref="CC88:CC88">_xlfn.CONCAT("{BLACK}Length: {GOLD}", TEXT(ROUNDUP(IF(AQ88&lt;&gt;"",SUM(VALUE(_xlfn.TEXTSPLIT(AQ88, ","))), SUM(VALUE(_xlfn.TEXTSPLIT(AN88, ",")))*IF(M88, M88, 1))/16, 1), "#,##0.0"), " tiles{}")</f>
        <v>{BLACK}Length: {GOLD}9.0 tiles{}</v>
      </c>
      <c r="CD88" s="1" t="str">
        <f aca="false">VLOOKUP($CB88, Constants!$M:$N, 2, FALSE())</f>
        <v>{BLACK}Powered by: {GOLD}25kV AC</v>
      </c>
      <c r="CE88" s="19" t="str">
        <f aca="false">IF(M88&gt;1,_xlfn.CONCAT("{BLACK}Cars: {GOLD}", M88),"")</f>
        <v>{BLACK}Cars: {GOLD}12</v>
      </c>
      <c r="CF88" s="19" t="s">
        <v>520</v>
      </c>
      <c r="CG88" s="1" t="str">
        <f aca="false">IF(BW88="buffet","{YELLOW}25% long distance bonus for consist{}",IF(BY88="BRAKE","{YELLOW}Speed bonus for slow wagons{}",IF(BU88&gt;190,CONCATENATE("{YELLOW}",INT((BU88-185)/1.85),"% bonus for long distance travel{}"),IF(AND(BU88&lt;180,BU88&lt;&gt;0),CONCATENATE("{YELLOW}",INT((185-BU88)/1.85),"% penalty for long distance travel{}"),""))))</f>
        <v/>
      </c>
      <c r="CH88" s="1" t="str">
        <f aca="false">_xlfn.CONCAT(CD88,IF(CD88 &lt;&gt; "", " ", ""),CE88,IF(OR(CE88&lt;&gt;"", CD88&lt;&gt;""), "{}",""), CC88, CG88,"{SILVER}", CF88)</f>
        <v>{BLACK}Powered by: {GOLD}25kV AC {BLACK}Cars: {GOLD}12{}{BLACK}Length: {GOLD}9.0 tiles{}{SILVER}Stadler’s Class 745 units replaced Class 90 hauled trains on the GEML. The semi-articulated design was required to meet crashworthiness specifications.</v>
      </c>
    </row>
    <row r="89" customFormat="false" ht="13.8" hidden="false" customHeight="false" outlineLevel="0" collapsed="false">
      <c r="A89" s="1" t="s">
        <v>521</v>
      </c>
      <c r="B89" s="1" t="s">
        <v>522</v>
      </c>
      <c r="C89" s="1" t="n">
        <v>490</v>
      </c>
      <c r="E89" s="1" t="n">
        <v>520</v>
      </c>
      <c r="F89" s="1" t="s">
        <v>89</v>
      </c>
      <c r="G89" s="1" t="s">
        <v>90</v>
      </c>
      <c r="H89" s="1" t="s">
        <v>255</v>
      </c>
      <c r="I89" s="1" t="s">
        <v>92</v>
      </c>
      <c r="J89" s="1" t="n">
        <v>2022</v>
      </c>
      <c r="M89" s="1" t="n">
        <v>5</v>
      </c>
      <c r="N89" s="1" t="n">
        <v>4800</v>
      </c>
      <c r="O89" s="2" t="n">
        <v>3950</v>
      </c>
      <c r="W89" s="1" t="n">
        <v>235</v>
      </c>
      <c r="Y89" s="1" t="n">
        <v>5</v>
      </c>
      <c r="Z89" s="1" t="n">
        <v>195</v>
      </c>
      <c r="AA89" s="4" t="n">
        <f aca="false">IF(AND(W89&gt;0,Z89&gt;0),(Z89/((W89+X89)*10)),"")</f>
        <v>0.0829787234042553</v>
      </c>
      <c r="AB89" s="1" t="n">
        <v>125</v>
      </c>
      <c r="AC89" s="1" t="n">
        <f aca="false">ROUND(AB89*1.6, 0)</f>
        <v>200</v>
      </c>
      <c r="AF89" s="1" t="n">
        <v>24</v>
      </c>
      <c r="AG89" s="1" t="n">
        <v>22</v>
      </c>
      <c r="AJ89" s="5" t="n">
        <v>60</v>
      </c>
      <c r="AK89" s="19" t="str">
        <f aca="false">CONCATENATE(VLOOKUP(AL89, 'Voxel Sizes'!$A$2:$B$18,2,FALSE()),"x",INT(AH89*15), "x", INT(AI89*15))</f>
        <v>214x0x0</v>
      </c>
      <c r="AL89" s="1" t="n">
        <f aca="false">ROUND(15*((AG89*10)/256),0)</f>
        <v>13</v>
      </c>
      <c r="AN89" s="1" t="str">
        <f aca="false">CONCATENATE(VLOOKUP(AL89,Constants!$A$2:$C$16,IF(AM89&lt;&gt;"", 3, 2), FALSE()),IF(AM89&lt;&gt;"",CONCATENATE(",",VLOOKUP(AM89,$B:$AN,38,FALSE())),""))</f>
        <v>4,5,4</v>
      </c>
      <c r="AO89" s="1" t="n">
        <v>12</v>
      </c>
      <c r="AR89" s="1" t="s">
        <v>523</v>
      </c>
      <c r="AS89" s="1" t="s">
        <v>524</v>
      </c>
      <c r="AT89" s="1" t="s">
        <v>480</v>
      </c>
      <c r="AX89" s="1" t="n">
        <v>30</v>
      </c>
      <c r="AY89" s="6" t="str">
        <f aca="false">IF(L89&lt;&gt;"",MAX(16,(L89-J89)+8),"")</f>
        <v/>
      </c>
      <c r="AZ89" s="1" t="n">
        <v>-15</v>
      </c>
      <c r="BA89" s="1" t="n">
        <v>-30</v>
      </c>
      <c r="BB89" s="1" t="n">
        <f aca="false">MIN(AB89/150, 1)*30</f>
        <v>25</v>
      </c>
      <c r="BC89" s="1" t="n">
        <f aca="false">MIN(N89/4000, 1)*20</f>
        <v>20</v>
      </c>
      <c r="BD89" s="1" t="n">
        <f aca="false">MIN(Z89/400,1)*20</f>
        <v>9.75</v>
      </c>
      <c r="BE89" s="4" t="n">
        <f aca="false">1-(MAX(J89-1900, 0)/750)</f>
        <v>0.837333333333333</v>
      </c>
      <c r="BF89" s="1" t="n">
        <f aca="false">((MAX($M89,1)*MIN($AJ89/300,1)))*IF(G89="Wagon",50,10)</f>
        <v>10</v>
      </c>
      <c r="BG89" s="1" t="n">
        <f aca="false">VLOOKUP($H89,Constants!$I:$K, 2, FALSE())</f>
        <v>0.9</v>
      </c>
      <c r="BH89" s="1" t="n">
        <f aca="false">VLOOKUP($H89,Constants!$I:$K, 3, FALSE())*IF(AND(G89="multiple_unit",AB89&lt;110),0.75,1)</f>
        <v>2.5</v>
      </c>
      <c r="BI89" s="1" t="n">
        <f aca="false">INT(POWER(((Constants!$G$2+$BB89+$BC89+$BD89+$BF89)*$BE89)*$BH89, 1.05))+$BA89</f>
        <v>157</v>
      </c>
      <c r="BJ89" s="1" t="n">
        <f aca="false">INT(POWER((((Constants!$G$1+$BB89+$BC89+$BD89+$BF89)*($BE89))*$BG89),IF($G89="wagon",1,1.2)))+$AZ89</f>
        <v>121</v>
      </c>
      <c r="BK89" s="20" t="n">
        <f aca="false">BI89*IF($G89="wagon",62.5,781.25)</f>
        <v>122656.25</v>
      </c>
      <c r="BL89" s="20" t="n">
        <f aca="false">BJ89*IF($G89="wagon",2.73,81.25)</f>
        <v>9831.25</v>
      </c>
      <c r="BS89" s="1" t="s">
        <v>463</v>
      </c>
      <c r="BT89" s="1" t="n">
        <v>10</v>
      </c>
      <c r="BU89" s="1" t="n">
        <v>222</v>
      </c>
      <c r="BX89" s="1" t="s">
        <v>95</v>
      </c>
      <c r="BY89" s="1" t="s">
        <v>482</v>
      </c>
      <c r="BZ89" s="18" t="s">
        <v>226</v>
      </c>
      <c r="CA89" s="1" t="str">
        <f aca="false">CONCATENATE(BY89,"_",BZ89)</f>
        <v>mod_EMU (Express)</v>
      </c>
      <c r="CB89" s="1" t="str">
        <f aca="false">_xlfn.CONCAT(H89, "_",I89)</f>
        <v>dual_power_ELRL</v>
      </c>
      <c r="CC89" s="21" t="str">
        <f aca="false">_xlfn.CONCAT("{BLACK}Length: {GOLD}", TEXT(ROUNDUP(IF(AQ89&lt;&gt;"",SUM(VALUE(_xlfn.TEXTSPLIT(AQ89, ","))), SUM(VALUE(_xlfn.TEXTSPLIT(AN89, ",")))*IF(M89, M89, 1))/16, 1), "#,##0.0"), " tiles{}")</f>
        <v>{BLACK}Length: {GOLD}4.1 tiles{}</v>
      </c>
      <c r="CD89" s="1" t="str">
        <f aca="false">VLOOKUP($CB89, Constants!$M:$N, 2, FALSE())</f>
        <v>{BLACK}Powered by: {GOLD}25kV AC / Diesel</v>
      </c>
      <c r="CE89" s="1" t="str">
        <f aca="false">IF(M89&gt;1,_xlfn.CONCAT("{BLACK}Cars: {GOLD}", M89),"")</f>
        <v>{BLACK}Cars: {GOLD}5</v>
      </c>
      <c r="CF89" s="1" t="s">
        <v>525</v>
      </c>
      <c r="CG89" s="1" t="str">
        <f aca="false">IF(BW89="buffet","{YELLOW}25% long distance bonus for consist{}",IF(BY89="BRAKE","{YELLOW}Speed bonus for slow wagons{}",IF(BU89&gt;190,CONCATENATE("{YELLOW}",INT((BU89-185)/1.85),"% bonus for long distance travel{}"),IF(AND(BU89&lt;180,BU89&lt;&gt;0),CONCATENATE("{YELLOW}",INT((185-BU89)/1.85),"% penalty for long distance travel{}"),""))))</f>
        <v>{YELLOW}20% bonus for long distance travel{}</v>
      </c>
      <c r="CH89" s="1" t="str">
        <f aca="false">_xlfn.CONCAT(CD89,IF(CD89 &lt;&gt; "", " ", ""),CE89,IF(OR(CE89&lt;&gt;"", CD89&lt;&gt;""), "{}",""), CC89, CG89,"{SILVER}", CF89)</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89" s="1"/>
      <c r="CJ89" s="1"/>
    </row>
    <row r="90" customFormat="false" ht="13.8" hidden="false" customHeight="false" outlineLevel="0" collapsed="false">
      <c r="A90" s="1" t="s">
        <v>526</v>
      </c>
      <c r="B90" s="1" t="s">
        <v>527</v>
      </c>
      <c r="C90" s="1" t="n">
        <v>20</v>
      </c>
      <c r="E90" s="1" t="n">
        <v>1020</v>
      </c>
      <c r="F90" s="1" t="s">
        <v>89</v>
      </c>
      <c r="G90" s="1" t="s">
        <v>528</v>
      </c>
      <c r="H90" s="1" t="s">
        <v>528</v>
      </c>
      <c r="I90" s="1" t="s">
        <v>153</v>
      </c>
      <c r="J90" s="1" t="n">
        <v>1907</v>
      </c>
      <c r="K90" s="1" t="n">
        <v>1950</v>
      </c>
      <c r="L90" s="1" t="n">
        <v>1961</v>
      </c>
      <c r="W90" s="1" t="n">
        <v>6.4</v>
      </c>
      <c r="Y90" s="1" t="n">
        <v>3</v>
      </c>
      <c r="AA90" s="4" t="str">
        <f aca="false">IF(AND(W90&gt;0,Z90&gt;0),(Z90/((W90+X90)*10)),"")</f>
        <v/>
      </c>
      <c r="AB90" s="1" t="n">
        <v>50</v>
      </c>
      <c r="AC90" s="1" t="n">
        <f aca="false">ROUND(AB90*1.6, 0)</f>
        <v>80</v>
      </c>
      <c r="AF90" s="1" t="n">
        <v>6</v>
      </c>
      <c r="AG90" s="1" t="n">
        <v>8</v>
      </c>
      <c r="AH90" s="1" t="n">
        <v>2.5</v>
      </c>
      <c r="AI90" s="1" t="n">
        <v>3.35</v>
      </c>
      <c r="AJ90" s="5" t="n">
        <v>13</v>
      </c>
      <c r="AK90" s="19" t="str">
        <f aca="false">CONCATENATE(VLOOKUP(AL90, 'Voxel Sizes'!$A$2:$B$18,2,FALSE()),"x",INT(AH90*15), "x", INT(AI90*15))</f>
        <v>82x37x50</v>
      </c>
      <c r="AL90" s="1" t="n">
        <f aca="false">ROUND(15*((AG90*10)/256),0)</f>
        <v>5</v>
      </c>
      <c r="AN90" s="1" t="str">
        <f aca="false">CONCATENATE(VLOOKUP(AL90,Constants!$A$2:$C$16,IF(AM90&lt;&gt;"", 3, 2), FALSE()),IF(AM90&lt;&gt;"",CONCATENATE(",",VLOOKUP(AM90,$B:$AN,38,FALSE())),""))</f>
        <v>2,1,2</v>
      </c>
      <c r="AX90" s="1" t="n">
        <v>30</v>
      </c>
      <c r="AY90" s="6" t="n">
        <f aca="false">IF(L90&lt;&gt;"",MAX(16,(L90-J90)+8),"")</f>
        <v>62</v>
      </c>
      <c r="AZ90" s="1" t="n">
        <v>5</v>
      </c>
      <c r="BA90" s="1" t="n">
        <v>0</v>
      </c>
      <c r="BB90" s="1" t="n">
        <f aca="false">MIN(AB90/150, 1)*30</f>
        <v>10</v>
      </c>
      <c r="BC90" s="1" t="n">
        <f aca="false">MIN(N90/4000, 1)*20</f>
        <v>0</v>
      </c>
      <c r="BD90" s="1" t="n">
        <f aca="false">MIN(Z90/400,1)*20</f>
        <v>0</v>
      </c>
      <c r="BE90" s="4" t="n">
        <f aca="false">1-(MAX(J90-1900, 0)/750)</f>
        <v>0.990666666666667</v>
      </c>
      <c r="BF90" s="1" t="n">
        <f aca="false">((MAX($M90,1)*MIN($AJ90/300,1)))*IF(G90="Wagon",50,10)</f>
        <v>2.16666666666667</v>
      </c>
      <c r="BG90" s="1" t="n">
        <f aca="false">VLOOKUP($H90,Constants!$I:$K, 2, FALSE())</f>
        <v>1</v>
      </c>
      <c r="BH90" s="1" t="n">
        <f aca="false">VLOOKUP($H90,Constants!$I:$K, 3, FALSE())*IF(AND(G90="multiple_unit",AB90&lt;110),0.75,1)</f>
        <v>0.45</v>
      </c>
      <c r="BI90" s="1" t="n">
        <f aca="false">INT(POWER(((Constants!$G$2+$BB90+$BC90+$BD90+$BF90)*$BE90)*$BH90, 1.05))+$BA90</f>
        <v>8</v>
      </c>
      <c r="BJ90" s="1" t="n">
        <f aca="false">INT(POWER((((Constants!$G$1+$BB90+$BC90+$BD90+$BF90)*($BE90))*$BG90),IF($G90="wagon",1,1.2)))+$AZ90</f>
        <v>31</v>
      </c>
      <c r="BK90" s="20" t="n">
        <f aca="false">BI90*IF($G90="wagon",62.5,781.25)</f>
        <v>500</v>
      </c>
      <c r="BL90" s="20" t="n">
        <f aca="false">BJ90*IF($G90="wagon",2.73,81.25)</f>
        <v>84.63</v>
      </c>
      <c r="BT90" s="1" t="n">
        <v>1</v>
      </c>
      <c r="BU90" s="1" t="n">
        <v>185</v>
      </c>
      <c r="BV90" s="18" t="s">
        <v>529</v>
      </c>
      <c r="BW90" s="18"/>
      <c r="BX90" s="1" t="s">
        <v>530</v>
      </c>
      <c r="BY90" s="1" t="str">
        <f aca="false">VLOOKUP(J90,Eras!$A$2:$C$10, 2, TRUE())</f>
        <v>edw</v>
      </c>
      <c r="BZ90" s="18" t="s">
        <v>531</v>
      </c>
      <c r="CA90" s="1" t="str">
        <f aca="false">CONCATENATE(BY90,"_",BZ90)</f>
        <v>edw_Tanker</v>
      </c>
      <c r="CB90" s="1" t="str">
        <f aca="false">_xlfn.CONCAT(H90, "_",I90)</f>
        <v>wagon_RAIL</v>
      </c>
      <c r="CC90" s="21" t="str">
        <f aca="false">_xlfn.CONCAT("{BLACK}Length: {GOLD}", TEXT(ROUNDUP(IF(AQ90&lt;&gt;"",SUM(VALUE(_xlfn.TEXTSPLIT(AQ90, ","))), SUM(VALUE(_xlfn.TEXTSPLIT(AN90, ",")))*IF(M90, M90, 1))/16, 1), "#,##0.0"), " tiles{}")</f>
        <v>{BLACK}Length: {GOLD}0.4 tiles{}</v>
      </c>
      <c r="CD90" s="1" t="str">
        <f aca="false">VLOOKUP($CB90, Constants!$M:$N, 2, FALSE())</f>
        <v/>
      </c>
      <c r="CE90" s="1" t="str">
        <f aca="false">IF(M90&gt;1,_xlfn.CONCAT("{BLACK}Cars: {GOLD}", M90),"")</f>
        <v/>
      </c>
      <c r="CF90" s="1" t="s">
        <v>532</v>
      </c>
      <c r="CG90" s="1" t="str">
        <f aca="false">IF(BW90="buffet","{YELLOW}25% long distance bonus for consist{}",IF(BY90="BRAKE","{YELLOW}Speed bonus for slow wagons{}",IF(BU90&gt;190,CONCATENATE("{YELLOW}",INT((BU90-185)/1.85),"% bonus for long distance travel{}"),IF(AND(BU90&lt;180,BU90&lt;&gt;0),CONCATENATE("{YELLOW}",INT((185-BU90)/1.85),"% penalty for long distance travel{}"),""))))</f>
        <v/>
      </c>
      <c r="CH90" s="1" t="str">
        <f aca="false">_xlfn.CONCAT(CD90,IF(CD90 &lt;&gt; "", " ", ""),CE90,IF(OR(CE90&lt;&gt;"", CD90&lt;&gt;""), "{}",""), CC90, CG90,"{SILVER}", CF90)</f>
        <v>{BLACK}Length: {GOLD}0.4 tiles{}{SILVER}The standard RCH Salt Wagon design of 1907 was long-lived in private ownership and saw some use beyond sodium chloride, which was largely used as part of the chemical industry.</v>
      </c>
      <c r="CI90" s="1"/>
      <c r="CJ90" s="1"/>
    </row>
    <row r="91" customFormat="false" ht="13.8" hidden="false" customHeight="false" outlineLevel="0" collapsed="false">
      <c r="A91" s="1" t="s">
        <v>533</v>
      </c>
      <c r="B91" s="1" t="s">
        <v>534</v>
      </c>
      <c r="C91" s="1" t="n">
        <v>25</v>
      </c>
      <c r="E91" s="1" t="n">
        <v>1025</v>
      </c>
      <c r="F91" s="1" t="s">
        <v>89</v>
      </c>
      <c r="G91" s="1" t="s">
        <v>528</v>
      </c>
      <c r="H91" s="1" t="s">
        <v>528</v>
      </c>
      <c r="I91" s="1" t="s">
        <v>153</v>
      </c>
      <c r="J91" s="1" t="n">
        <v>1955</v>
      </c>
      <c r="K91" s="1" t="n">
        <v>1980</v>
      </c>
      <c r="L91" s="1" t="n">
        <v>1987</v>
      </c>
      <c r="W91" s="1" t="n">
        <v>13.4</v>
      </c>
      <c r="Y91" s="1" t="n">
        <v>5</v>
      </c>
      <c r="AA91" s="4" t="str">
        <f aca="false">IF(AND(W91&gt;0,Z91&gt;0),(Z91/((W91+X91)*10)),"")</f>
        <v/>
      </c>
      <c r="AB91" s="1" t="n">
        <v>50</v>
      </c>
      <c r="AC91" s="1" t="n">
        <f aca="false">ROUND(AB91*1.6, 0)</f>
        <v>80</v>
      </c>
      <c r="AF91" s="1" t="n">
        <v>6</v>
      </c>
      <c r="AG91" s="1" t="n">
        <v>8</v>
      </c>
      <c r="AH91" s="1" t="n">
        <v>2.5</v>
      </c>
      <c r="AI91" s="1" t="n">
        <v>3.35</v>
      </c>
      <c r="AJ91" s="5" t="n">
        <v>20</v>
      </c>
      <c r="AK91" s="19" t="str">
        <f aca="false">CONCATENATE(VLOOKUP(AL91, 'Voxel Sizes'!$A$2:$B$18,2,FALSE()),"x",INT(AH91*15), "x", INT(AI91*15))</f>
        <v>82x37x50</v>
      </c>
      <c r="AL91" s="1" t="n">
        <f aca="false">ROUND(15*((AG91*10)/256),0)</f>
        <v>5</v>
      </c>
      <c r="AN91" s="1" t="str">
        <f aca="false">CONCATENATE(VLOOKUP(AL91,Constants!$A$2:$C$16,IF(AM91&lt;&gt;"", 3, 2), FALSE()),IF(AM91&lt;&gt;"",CONCATENATE(",",VLOOKUP(AM91,$B:$AN,38,FALSE())),""))</f>
        <v>2,1,2</v>
      </c>
      <c r="AX91" s="1" t="n">
        <v>30</v>
      </c>
      <c r="AY91" s="6" t="n">
        <f aca="false">IF(L91&lt;&gt;"",MAX(16,(L91-J91)+8),"")</f>
        <v>40</v>
      </c>
      <c r="AZ91" s="1" t="n">
        <v>5</v>
      </c>
      <c r="BB91" s="1" t="n">
        <f aca="false">MIN(AB91/150, 1)*30</f>
        <v>10</v>
      </c>
      <c r="BC91" s="1" t="n">
        <f aca="false">MIN(N91/4000, 1)*20</f>
        <v>0</v>
      </c>
      <c r="BD91" s="1" t="n">
        <f aca="false">MIN(Z91/400,1)*20</f>
        <v>0</v>
      </c>
      <c r="BE91" s="4" t="n">
        <f aca="false">1-(MAX(J91-1900, 0)/750)</f>
        <v>0.926666666666667</v>
      </c>
      <c r="BF91" s="1" t="n">
        <f aca="false">((MAX($M91,1)*MIN($AJ91/300,1)))*IF(G91="Wagon",50,10)</f>
        <v>3.33333333333333</v>
      </c>
      <c r="BG91" s="1" t="n">
        <f aca="false">VLOOKUP($H91,Constants!$I:$K, 2, FALSE())</f>
        <v>1</v>
      </c>
      <c r="BH91" s="1" t="n">
        <f aca="false">VLOOKUP($H91,Constants!$I:$K, 3, FALSE())*IF(AND(G91="multiple_unit",AB91&lt;110),0.75,1)</f>
        <v>0.45</v>
      </c>
      <c r="BI91" s="1" t="n">
        <f aca="false">INT(POWER(((Constants!$G$2+$BB91+$BC91+$BD91+$BF91)*$BE91)*$BH91, 1.05))+$BA91</f>
        <v>8</v>
      </c>
      <c r="BJ91" s="1" t="n">
        <f aca="false">INT(POWER((((Constants!$G$1+$BB91+$BC91+$BD91+$BF91)*($BE91))*$BG91),IF($G91="wagon",1,1.2)))+$AZ91</f>
        <v>31</v>
      </c>
      <c r="BK91" s="20" t="n">
        <f aca="false">BI91*IF($G91="wagon",62.5,781.25)</f>
        <v>500</v>
      </c>
      <c r="BL91" s="20" t="n">
        <f aca="false">BJ91*IF($G91="wagon",2.73,81.25)</f>
        <v>84.63</v>
      </c>
      <c r="BT91" s="1" t="n">
        <v>1</v>
      </c>
      <c r="BU91" s="1" t="n">
        <v>185</v>
      </c>
      <c r="BV91" s="1" t="s">
        <v>529</v>
      </c>
      <c r="BX91" s="1" t="s">
        <v>535</v>
      </c>
      <c r="BY91" s="1" t="str">
        <f aca="false">VLOOKUP(J91,Eras!$A$2:$C$10, 2, TRUE())</f>
        <v>dsl</v>
      </c>
      <c r="BZ91" s="18" t="s">
        <v>531</v>
      </c>
      <c r="CA91" s="1" t="str">
        <f aca="false">CONCATENATE(BY91,"_",BZ91)</f>
        <v>dsl_Tanker</v>
      </c>
      <c r="CB91" s="1" t="str">
        <f aca="false">_xlfn.CONCAT(H91, "_",I91)</f>
        <v>wagon_RAIL</v>
      </c>
      <c r="CC91" s="21" t="str">
        <f aca="false">_xlfn.CONCAT("{BLACK}Length: {GOLD}", TEXT(ROUNDUP(IF(AQ91&lt;&gt;"",SUM(VALUE(_xlfn.TEXTSPLIT(AQ91, ","))), SUM(VALUE(_xlfn.TEXTSPLIT(AN91, ",")))*IF(M91, M91, 1))/16, 1), "#,##0.0"), " tiles{}")</f>
        <v>{BLACK}Length: {GOLD}0.4 tiles{}</v>
      </c>
      <c r="CD91" s="1" t="str">
        <f aca="false">VLOOKUP($CB91, Constants!$M:$N, 2, FALSE())</f>
        <v/>
      </c>
      <c r="CE91" s="1" t="str">
        <f aca="false">IF(M91&gt;1,_xlfn.CONCAT("{BLACK}Cars: {GOLD}", M91),"")</f>
        <v/>
      </c>
      <c r="CF91" s="1" t="s">
        <v>536</v>
      </c>
      <c r="CG91" s="1" t="str">
        <f aca="false">IF(BW91="buffet","{YELLOW}25% long distance bonus for consist{}",IF(BY91="BRAKE","{YELLOW}Speed bonus for slow wagons{}",IF(BU91&gt;190,CONCATENATE("{YELLOW}",INT((BU91-185)/1.85),"% bonus for long distance travel{}"),IF(AND(BU91&lt;180,BU91&lt;&gt;0),CONCATENATE("{YELLOW}",INT((185-BU91)/1.85),"% penalty for long distance travel{}"),""))))</f>
        <v/>
      </c>
      <c r="CH91" s="1" t="str">
        <f aca="false">_xlfn.CONCAT(CD91,IF(CD91 &lt;&gt; "", " ", ""),CE91,IF(OR(CE91&lt;&gt;"", CD91&lt;&gt;""), "{}",""), CC91, CG91,"{SILVER}", CF91)</f>
        <v>{BLACK}Length: {GOLD}0.4 tiles{}{SILVER}The Presflo covered hopper was designed specifically to carry cement powder, being unloaded via a pressurized air connection and liquefaction of the cargo.</v>
      </c>
      <c r="CI91" s="1" t="n">
        <v>1</v>
      </c>
      <c r="CJ91" s="1"/>
    </row>
    <row r="92" customFormat="false" ht="13.8" hidden="false" customHeight="false" outlineLevel="0" collapsed="false">
      <c r="A92" s="18" t="s">
        <v>537</v>
      </c>
      <c r="B92" s="18" t="s">
        <v>538</v>
      </c>
      <c r="C92" s="1" t="n">
        <v>26</v>
      </c>
      <c r="E92" s="1" t="n">
        <v>1026</v>
      </c>
      <c r="F92" s="1" t="s">
        <v>89</v>
      </c>
      <c r="G92" s="1" t="s">
        <v>528</v>
      </c>
      <c r="H92" s="1" t="s">
        <v>528</v>
      </c>
      <c r="I92" s="1" t="s">
        <v>153</v>
      </c>
      <c r="J92" s="1" t="n">
        <v>1968</v>
      </c>
      <c r="K92" s="1" t="n">
        <v>2012</v>
      </c>
      <c r="L92" s="1" t="n">
        <v>2022</v>
      </c>
      <c r="W92" s="1" t="n">
        <v>12.4</v>
      </c>
      <c r="Y92" s="1" t="n">
        <v>4</v>
      </c>
      <c r="AA92" s="4" t="str">
        <f aca="false">IF(AND(W92&gt;0,Z92&gt;0),(Z92/((W92+X92)*10)),"")</f>
        <v/>
      </c>
      <c r="AB92" s="1" t="n">
        <v>50</v>
      </c>
      <c r="AC92" s="1" t="n">
        <f aca="false">ROUND(AB92*1.6, 0)</f>
        <v>80</v>
      </c>
      <c r="AF92" s="1" t="n">
        <v>8</v>
      </c>
      <c r="AG92" s="1" t="n">
        <v>8</v>
      </c>
      <c r="AH92" s="1" t="n">
        <v>2.6</v>
      </c>
      <c r="AI92" s="1" t="n">
        <v>3.9</v>
      </c>
      <c r="AJ92" s="5" t="n">
        <v>33</v>
      </c>
      <c r="AK92" s="19" t="str">
        <f aca="false">CONCATENATE(VLOOKUP(AL92, 'Voxel Sizes'!$A$2:$B$18,2,FALSE()),"x",INT(AH92*15), "x", INT(AI92*15))</f>
        <v>82x39x58</v>
      </c>
      <c r="AL92" s="1" t="n">
        <f aca="false">ROUND(15*((AG92*10)/256),0)</f>
        <v>5</v>
      </c>
      <c r="AN92" s="1" t="str">
        <f aca="false">CONCATENATE(VLOOKUP(AL92,Constants!$A$2:$C$16,IF(AM92&lt;&gt;"", 3, 2), FALSE()),IF(AM92&lt;&gt;"",CONCATENATE(",",VLOOKUP(AM92,$B:$AN,38,FALSE())),""))</f>
        <v>2,1,2</v>
      </c>
      <c r="AX92" s="1" t="n">
        <v>30</v>
      </c>
      <c r="AY92" s="6" t="n">
        <f aca="false">IF(L92&lt;&gt;"",MAX(16,(L92-J92)+8),"")</f>
        <v>62</v>
      </c>
      <c r="AZ92" s="1" t="n">
        <v>5</v>
      </c>
      <c r="BB92" s="1" t="n">
        <f aca="false">MIN(AB92/150, 1)*30</f>
        <v>10</v>
      </c>
      <c r="BC92" s="1" t="n">
        <f aca="false">MIN(N92/4000, 1)*20</f>
        <v>0</v>
      </c>
      <c r="BD92" s="1" t="n">
        <f aca="false">MIN(Z92/400,1)*20</f>
        <v>0</v>
      </c>
      <c r="BE92" s="4" t="n">
        <f aca="false">1-(MAX(J92-1900, 0)/750)</f>
        <v>0.909333333333333</v>
      </c>
      <c r="BF92" s="1" t="n">
        <f aca="false">((MAX($M92,1)*MIN($AJ92/300,1)))*IF(G92="Wagon",50,10)</f>
        <v>5.5</v>
      </c>
      <c r="BG92" s="1" t="n">
        <f aca="false">VLOOKUP($H92,Constants!$I:$K, 2, FALSE())</f>
        <v>1</v>
      </c>
      <c r="BH92" s="1" t="n">
        <f aca="false">VLOOKUP($H92,Constants!$I:$K, 3, FALSE())*IF(AND(G92="multiple_unit",AB92&lt;110),0.75,1)</f>
        <v>0.45</v>
      </c>
      <c r="BI92" s="1" t="n">
        <f aca="false">INT(POWER(((Constants!$G$2+$BB92+$BC92+$BD92+$BF92)*$BE92)*$BH92, 1.05))+$BA92</f>
        <v>9</v>
      </c>
      <c r="BJ92" s="1" t="n">
        <f aca="false">INT(POWER((((Constants!$G$1+$BB92+$BC92+$BD92+$BF92)*($BE92))*$BG92),IF($G92="wagon",1,1.2)))+$AZ92</f>
        <v>32</v>
      </c>
      <c r="BK92" s="20" t="n">
        <f aca="false">BI92*IF($G92="wagon",62.5,781.25)</f>
        <v>562.5</v>
      </c>
      <c r="BL92" s="20" t="n">
        <f aca="false">BJ92*IF($G92="wagon",2.73,81.25)</f>
        <v>87.36</v>
      </c>
      <c r="BT92" s="1" t="n">
        <v>1</v>
      </c>
      <c r="BU92" s="1" t="n">
        <v>185</v>
      </c>
      <c r="BV92" s="1" t="s">
        <v>529</v>
      </c>
      <c r="BX92" s="1" t="s">
        <v>535</v>
      </c>
      <c r="BY92" s="1" t="str">
        <f aca="false">VLOOKUP(J92,Eras!$A$2:$C$10, 2, TRUE())</f>
        <v>dsl</v>
      </c>
      <c r="BZ92" s="18" t="s">
        <v>531</v>
      </c>
      <c r="CA92" s="1" t="str">
        <f aca="false">CONCATENATE(BY92,"_",BZ92)</f>
        <v>dsl_Tanker</v>
      </c>
      <c r="CB92" s="1" t="str">
        <f aca="false">_xlfn.CONCAT(H92, "_",I92)</f>
        <v>wagon_RAIL</v>
      </c>
      <c r="CC92" s="21" t="str">
        <f aca="false">_xlfn.CONCAT("{BLACK}Length: {GOLD}", TEXT(ROUNDUP(IF(AQ92&lt;&gt;"",SUM(VALUE(_xlfn.TEXTSPLIT(AQ92, ","))), SUM(VALUE(_xlfn.TEXTSPLIT(AN92, ",")))*IF(M92, M92, 1))/16, 1), "#,##0.0"), " tiles{}")</f>
        <v>{BLACK}Length: {GOLD}0.4 tiles{}</v>
      </c>
      <c r="CD92" s="1" t="str">
        <f aca="false">VLOOKUP($CB92, Constants!$M:$N, 2, FALSE())</f>
        <v/>
      </c>
      <c r="CE92" s="1" t="str">
        <f aca="false">IF(M92&gt;1,_xlfn.CONCAT("{BLACK}Cars: {GOLD}", M92),"")</f>
        <v/>
      </c>
      <c r="CF92" s="1" t="s">
        <v>539</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
      </c>
      <c r="CH92" s="1" t="str">
        <f aca="false">_xlfn.CONCAT(CD92,IF(CD92 &lt;&gt; "", " ", ""),CE92,IF(OR(CE92&lt;&gt;"", CD92&lt;&gt;""), "{}",""), CC92, CG92,"{SILVER}", CF92)</f>
        <v>{BLACK}Length: {GOLD}0.4 tiles{}{SILVER}The PCA tanker, with it’s notable depressed-center ‘vee’ appearance, could carry large amounts of cement and was a common sight in mixed freight trains.</v>
      </c>
      <c r="CI92" s="1" t="n">
        <v>1</v>
      </c>
      <c r="CJ92" s="1"/>
    </row>
    <row r="93" customFormat="false" ht="13.8" hidden="false" customHeight="false" outlineLevel="0" collapsed="false">
      <c r="A93" s="18" t="s">
        <v>540</v>
      </c>
      <c r="B93" s="18" t="s">
        <v>541</v>
      </c>
      <c r="C93" s="1" t="n">
        <v>27</v>
      </c>
      <c r="E93" s="1" t="n">
        <v>1027</v>
      </c>
      <c r="F93" s="1" t="s">
        <v>89</v>
      </c>
      <c r="G93" s="1" t="s">
        <v>528</v>
      </c>
      <c r="H93" s="1" t="s">
        <v>528</v>
      </c>
      <c r="I93" s="1" t="s">
        <v>153</v>
      </c>
      <c r="J93" s="1" t="n">
        <v>2007</v>
      </c>
      <c r="W93" s="1" t="n">
        <v>19.9</v>
      </c>
      <c r="Y93" s="1" t="n">
        <v>5</v>
      </c>
      <c r="AA93" s="4" t="str">
        <f aca="false">IF(AND(W93&gt;0,Z93&gt;0),(Z93/((W93+X93)*10)),"")</f>
        <v/>
      </c>
      <c r="AB93" s="1" t="n">
        <v>75</v>
      </c>
      <c r="AC93" s="1" t="n">
        <f aca="false">ROUND(AB93*1.6, 0)</f>
        <v>120</v>
      </c>
      <c r="AF93" s="1" t="n">
        <v>16.2</v>
      </c>
      <c r="AG93" s="1" t="n">
        <v>17</v>
      </c>
      <c r="AH93" s="1" t="n">
        <v>2.7</v>
      </c>
      <c r="AI93" s="1" t="n">
        <v>3.8</v>
      </c>
      <c r="AJ93" s="5" t="n">
        <v>80</v>
      </c>
      <c r="AK93" s="19" t="str">
        <f aca="false">CONCATENATE(VLOOKUP(AL93, 'Voxel Sizes'!$A$2:$B$18,2,FALSE()),"x",INT(AH93*15), "x", INT(AI93*15))</f>
        <v>164x40x57</v>
      </c>
      <c r="AL93" s="1" t="n">
        <f aca="false">ROUND(15*((AG93*10)/256),0)</f>
        <v>10</v>
      </c>
      <c r="AN93" s="1" t="str">
        <f aca="false">CONCATENATE(VLOOKUP(AL93,Constants!$A$2:$C$16,IF(AM93&lt;&gt;"", 3, 2), FALSE()),IF(AM93&lt;&gt;"",CONCATENATE(",",VLOOKUP(AM93,$B:$AN,38,FALSE())),""))</f>
        <v>4,2,4</v>
      </c>
      <c r="AX93" s="1" t="n">
        <v>30</v>
      </c>
      <c r="AY93" s="6" t="str">
        <f aca="false">IF(L93&lt;&gt;"",MAX(16,(L93-J93)+8),"")</f>
        <v/>
      </c>
      <c r="BB93" s="1" t="n">
        <f aca="false">MIN(AB93/150, 1)*30</f>
        <v>15</v>
      </c>
      <c r="BC93" s="1" t="n">
        <f aca="false">MIN(N93/4000, 1)*20</f>
        <v>0</v>
      </c>
      <c r="BD93" s="1" t="n">
        <f aca="false">MIN(Z93/400,1)*20</f>
        <v>0</v>
      </c>
      <c r="BE93" s="4" t="n">
        <f aca="false">1-(MAX(J93-1900, 0)/750)</f>
        <v>0.857333333333333</v>
      </c>
      <c r="BF93" s="1" t="n">
        <f aca="false">((MAX($M93,1)*MIN($AJ93/300,1)))*IF(G93="Wagon",50,10)</f>
        <v>13.3333333333333</v>
      </c>
      <c r="BG93" s="1" t="n">
        <f aca="false">VLOOKUP($H93,Constants!$I:$K, 2, FALSE())</f>
        <v>1</v>
      </c>
      <c r="BH93" s="1" t="n">
        <f aca="false">VLOOKUP($H93,Constants!$I:$K, 3, FALSE())*IF(AND(G93="multiple_unit",AB93&lt;110),0.75,1)</f>
        <v>0.45</v>
      </c>
      <c r="BI93" s="1" t="n">
        <f aca="false">INT(POWER(((Constants!$G$2+$BB93+$BC93+$BD93+$BF93)*$BE93)*$BH93, 1.05))+$BA93</f>
        <v>14</v>
      </c>
      <c r="BJ93" s="1" t="n">
        <f aca="false">INT(POWER((((Constants!$G$1+$BB93+$BC93+$BD93+$BF93)*($BE93))*$BG93),IF($G93="wagon",1,1.2)))+$AZ93</f>
        <v>37</v>
      </c>
      <c r="BK93" s="20" t="n">
        <f aca="false">BI93*IF($G93="wagon",62.5,781.25)</f>
        <v>875</v>
      </c>
      <c r="BL93" s="20" t="n">
        <f aca="false">BJ93*IF($G93="wagon",2.73,81.25)</f>
        <v>101.01</v>
      </c>
      <c r="BT93" s="1" t="n">
        <v>1</v>
      </c>
      <c r="BU93" s="1" t="n">
        <v>185</v>
      </c>
      <c r="BV93" s="1" t="s">
        <v>542</v>
      </c>
      <c r="BX93" s="1" t="s">
        <v>535</v>
      </c>
      <c r="BY93" s="1" t="str">
        <f aca="false">VLOOKUP(J93,Eras!$A$2:$C$10, 2, TRUE())</f>
        <v>mod</v>
      </c>
      <c r="BZ93" s="18" t="s">
        <v>531</v>
      </c>
      <c r="CA93" s="1" t="str">
        <f aca="false">CONCATENATE(BY93,"_",BZ93)</f>
        <v>mod_Tanker</v>
      </c>
      <c r="CB93" s="1" t="str">
        <f aca="false">_xlfn.CONCAT(H93, "_",I93)</f>
        <v>wagon_RAIL</v>
      </c>
      <c r="CC93" s="21" t="str">
        <f aca="false">_xlfn.CONCAT("{BLACK}Length: {GOLD}", TEXT(ROUNDUP(IF(AQ93&lt;&gt;"",SUM(VALUE(_xlfn.TEXTSPLIT(AQ93, ","))), SUM(VALUE(_xlfn.TEXTSPLIT(AN93, ",")))*IF(M93, M93, 1))/16, 1), "#,##0.0"), " tiles{}")</f>
        <v>{BLACK}Length: {GOLD}0.7 tiles{}</v>
      </c>
      <c r="CD93" s="1" t="str">
        <f aca="false">VLOOKUP($CB93, Constants!$M:$N, 2, FALSE())</f>
        <v/>
      </c>
      <c r="CE93" s="1" t="str">
        <f aca="false">IF(M93&gt;1,_xlfn.CONCAT("{BLACK}Cars: {GOLD}", M93),"")</f>
        <v/>
      </c>
      <c r="CF93" s="1" t="s">
        <v>543</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
      </c>
      <c r="CH93" s="1" t="str">
        <f aca="false">_xlfn.CONCAT(CD93,IF(CD93 &lt;&gt; "", " ", ""),CE93,IF(OR(CE93&lt;&gt;"", CD93&lt;&gt;""), "{}",""), CC93, CG93,"{SILVER}", CF93)</f>
        <v>{BLACK}Length: {GOLD}0.7 tiles{}{SILVER}By the 2000s the BR-era 2-axle cement tankers then in use were beginning to show their age. They were replaced by these large bogie tank wagons built in Germany, with a distinctive fish-belly shape.</v>
      </c>
      <c r="CI93" s="1"/>
      <c r="CJ93" s="1"/>
    </row>
    <row r="94" customFormat="false" ht="13.8" hidden="false" customHeight="false" outlineLevel="0" collapsed="false">
      <c r="A94" s="18" t="s">
        <v>544</v>
      </c>
      <c r="B94" s="18" t="s">
        <v>545</v>
      </c>
      <c r="C94" s="1" t="n">
        <v>96</v>
      </c>
      <c r="E94" s="1" t="n">
        <v>1090</v>
      </c>
      <c r="F94" s="1" t="s">
        <v>89</v>
      </c>
      <c r="G94" s="1" t="s">
        <v>528</v>
      </c>
      <c r="H94" s="1" t="s">
        <v>546</v>
      </c>
      <c r="I94" s="1" t="s">
        <v>153</v>
      </c>
      <c r="J94" s="1" t="n">
        <v>1924</v>
      </c>
      <c r="K94" s="1" t="n">
        <v>1955</v>
      </c>
      <c r="L94" s="1" t="n">
        <v>1961</v>
      </c>
      <c r="W94" s="1" t="n">
        <v>20</v>
      </c>
      <c r="Y94" s="1" t="n">
        <v>4</v>
      </c>
      <c r="AA94" s="4" t="str">
        <f aca="false">IF(AND(W94&gt;0,Z94&gt;0),(Z94/((W94+X94)*10)),"")</f>
        <v/>
      </c>
      <c r="AB94" s="1" t="n">
        <v>60</v>
      </c>
      <c r="AC94" s="1" t="n">
        <f aca="false">ROUND(AB94*1.6, 0)</f>
        <v>96</v>
      </c>
      <c r="AF94" s="1" t="n">
        <v>6.1</v>
      </c>
      <c r="AG94" s="1" t="n">
        <v>8</v>
      </c>
      <c r="AH94" s="1" t="n">
        <v>2.5</v>
      </c>
      <c r="AI94" s="1" t="n">
        <v>3.35</v>
      </c>
      <c r="AJ94" s="5" t="n">
        <v>0</v>
      </c>
      <c r="AK94" s="19" t="str">
        <f aca="false">CONCATENATE(VLOOKUP(AL94, 'Voxel Sizes'!$A$2:$B$18,2,FALSE()),"x",INT(AH94*15), "x", INT(AI94*15))</f>
        <v>82x37x50</v>
      </c>
      <c r="AL94" s="1" t="n">
        <f aca="false">ROUND(15*((AG94*10)/256),0)</f>
        <v>5</v>
      </c>
      <c r="AN94" s="1" t="str">
        <f aca="false">CONCATENATE(VLOOKUP(AL94,Constants!$A$2:$C$16,IF(AM94&lt;&gt;"", 3, 2), FALSE()),IF(AM94&lt;&gt;"",CONCATENATE(",",VLOOKUP(AM94,$B:$AN,38,FALSE())),""))</f>
        <v>2,1,2</v>
      </c>
      <c r="AX94" s="1" t="n">
        <v>50</v>
      </c>
      <c r="AY94" s="6" t="n">
        <f aca="false">IF(L94&lt;&gt;"",MAX(16,(L94-J94)+8),"")</f>
        <v>45</v>
      </c>
      <c r="AZ94" s="1" t="n">
        <v>12</v>
      </c>
      <c r="BA94" s="1" t="n">
        <v>6</v>
      </c>
      <c r="BB94" s="1" t="n">
        <f aca="false">MIN(AB94/150, 1)*30</f>
        <v>12</v>
      </c>
      <c r="BC94" s="1" t="n">
        <f aca="false">MIN(N94/4000, 1)*20</f>
        <v>0</v>
      </c>
      <c r="BD94" s="1" t="n">
        <f aca="false">MIN(Z94/400,1)*20</f>
        <v>0</v>
      </c>
      <c r="BE94" s="4" t="n">
        <f aca="false">1-(MAX(J94-1900, 0)/750)</f>
        <v>0.968</v>
      </c>
      <c r="BF94" s="1" t="n">
        <f aca="false">((MAX($M94,1)*MIN($AJ94/300,1)))*IF(G94="Wagon",50,10)</f>
        <v>0</v>
      </c>
      <c r="BG94" s="1" t="n">
        <f aca="false">VLOOKUP($H94,Constants!$I:$K, 2, FALSE())</f>
        <v>1</v>
      </c>
      <c r="BH94" s="1" t="n">
        <f aca="false">VLOOKUP($H94,Constants!$I:$K, 3, FALSE())*IF(AND(G94="multiple_unit",AB94&lt;110),0.75,1)</f>
        <v>0.4</v>
      </c>
      <c r="BI94" s="1" t="n">
        <f aca="false">INT(POWER(((Constants!$G$2+$BB94+$BC94+$BD94+$BF94)*$BE94)*$BH94, 1.05))+$BA94</f>
        <v>13</v>
      </c>
      <c r="BJ94" s="1" t="n">
        <f aca="false">INT(POWER((((Constants!$G$1+$BB94+$BC94+$BD94+$BF94)*($BE94))*$BG94),IF($G94="wagon",1,1.2)))+$AZ94</f>
        <v>38</v>
      </c>
      <c r="BK94" s="20" t="n">
        <f aca="false">BI94*IF($G94="wagon",62.5,781.25)</f>
        <v>812.5</v>
      </c>
      <c r="BL94" s="20" t="n">
        <f aca="false">BJ94*IF($G94="wagon",2.73,81.25)</f>
        <v>103.74</v>
      </c>
      <c r="BT94" s="1" t="n">
        <v>1</v>
      </c>
      <c r="BV94" s="18" t="s">
        <v>547</v>
      </c>
      <c r="BW94" s="18"/>
      <c r="BX94" s="18" t="s">
        <v>548</v>
      </c>
      <c r="BY94" s="1" t="str">
        <f aca="false">VLOOKUP(J94,Eras!$A$2:$C$10, 2, TRUE())</f>
        <v>big4</v>
      </c>
      <c r="BZ94" s="18" t="s">
        <v>549</v>
      </c>
      <c r="CA94" s="1" t="str">
        <f aca="false">CONCATENATE(BY94,"_",BZ94)</f>
        <v>big4_Extra</v>
      </c>
      <c r="CB94" s="1" t="str">
        <f aca="false">_xlfn.CONCAT(H94, "_",I94)</f>
        <v>brake_RAIL</v>
      </c>
      <c r="CC94" s="21" t="str">
        <f aca="false">_xlfn.CONCAT("{BLACK}Length: {GOLD}", TEXT(ROUNDUP(IF(AQ94&lt;&gt;"",SUM(VALUE(_xlfn.TEXTSPLIT(AQ94, ","))), SUM(VALUE(_xlfn.TEXTSPLIT(AN94, ",")))*IF(M94, M94, 1))/16, 1), "#,##0.0"), " tiles{}")</f>
        <v>{BLACK}Length: {GOLD}0.4 tiles{}</v>
      </c>
      <c r="CD94" s="1" t="str">
        <f aca="false">VLOOKUP($CB94, Constants!$M:$N, 2, FALSE())</f>
        <v/>
      </c>
      <c r="CE94" s="1" t="str">
        <f aca="false">IF(M94&gt;1,_xlfn.CONCAT("{BLACK}Cars: {GOLD}", M94),"")</f>
        <v/>
      </c>
      <c r="CF94" s="1" t="s">
        <v>550</v>
      </c>
      <c r="CG94" s="1" t="str">
        <f aca="false">IF(BX94="buffet","{YELLOW}25% long distance bonus for consist{}",IF(BY94="BRAKE","{YELLOW}Speed bonus for slow wagons{}",IF(BU94&gt;190,CONCATENATE("{YELLOW}",INT((BU94-185)/1.85),"% bonus for long distance travel{}"),IF(AND(BU94&lt;180,BU94&lt;&gt;0),CONCATENATE("{YELLOW}",INT((185-BU94)/1.85),"% penalty for long distance travel{}"),""))))</f>
        <v/>
      </c>
      <c r="CH94" s="1" t="str">
        <f aca="false">_xlfn.CONCAT(CD94,IF(CD94 &lt;&gt; "", " ", ""),CE94,IF(OR(CE94&lt;&gt;"", CD94&lt;&gt;""), "{}",""), CC94, CG94,"{SILVER}", CF94)</f>
        <v>{BLACK}Length: {GOLD}0.4 tiles{}{SILVER}This Midland Railway design of Brake Van was also built by the LMS - over 800 were constructed and they were still extant into the early 1960s.</v>
      </c>
      <c r="CI94" s="1"/>
      <c r="CJ94" s="1"/>
    </row>
    <row r="95" customFormat="false" ht="13.8" hidden="false" customHeight="false" outlineLevel="0" collapsed="false">
      <c r="A95" s="18" t="s">
        <v>551</v>
      </c>
      <c r="B95" s="18" t="s">
        <v>552</v>
      </c>
      <c r="C95" s="1" t="n">
        <v>97</v>
      </c>
      <c r="E95" s="1" t="n">
        <v>1091</v>
      </c>
      <c r="F95" s="1" t="s">
        <v>89</v>
      </c>
      <c r="G95" s="1" t="s">
        <v>528</v>
      </c>
      <c r="H95" s="1" t="s">
        <v>546</v>
      </c>
      <c r="I95" s="1" t="s">
        <v>153</v>
      </c>
      <c r="J95" s="1" t="n">
        <v>1938</v>
      </c>
      <c r="K95" s="1" t="n">
        <v>1969</v>
      </c>
      <c r="L95" s="1" t="n">
        <v>1988</v>
      </c>
      <c r="W95" s="1" t="n">
        <v>20</v>
      </c>
      <c r="Y95" s="1" t="n">
        <v>4</v>
      </c>
      <c r="AA95" s="4" t="str">
        <f aca="false">IF(AND(W95&gt;0,Z95&gt;0),(Z95/((W95+X95)*10)),"")</f>
        <v/>
      </c>
      <c r="AB95" s="1" t="n">
        <v>60</v>
      </c>
      <c r="AC95" s="1" t="n">
        <f aca="false">ROUND(AB95*1.6, 0)</f>
        <v>96</v>
      </c>
      <c r="AF95" s="1" t="n">
        <v>10</v>
      </c>
      <c r="AG95" s="1" t="n">
        <v>10</v>
      </c>
      <c r="AH95" s="1" t="n">
        <v>2.5</v>
      </c>
      <c r="AI95" s="1" t="n">
        <v>3.35</v>
      </c>
      <c r="AJ95" s="5" t="n">
        <v>0</v>
      </c>
      <c r="AK95" s="19" t="str">
        <f aca="false">CONCATENATE(VLOOKUP(AL95, 'Voxel Sizes'!$A$2:$B$18,2,FALSE()),"x",INT(AH95*15), "x", INT(AI95*15))</f>
        <v>102x37x50</v>
      </c>
      <c r="AL95" s="1" t="n">
        <f aca="false">ROUND(15*((AG95*10)/256),0)</f>
        <v>6</v>
      </c>
      <c r="AN95" s="1" t="str">
        <f aca="false">CONCATENATE(VLOOKUP(AL95,Constants!$A$2:$C$16,IF(AM95&lt;&gt;"", 3, 2), FALSE()),IF(AM95&lt;&gt;"",CONCATENATE(",",VLOOKUP(AM95,$B:$AN,38,FALSE())),""))</f>
        <v>2,2,2</v>
      </c>
      <c r="AX95" s="1" t="n">
        <v>50</v>
      </c>
      <c r="AY95" s="6" t="n">
        <f aca="false">IF(L95&lt;&gt;"",MAX(16,(L95-J95)+8),"")</f>
        <v>58</v>
      </c>
      <c r="AZ95" s="1" t="n">
        <v>12</v>
      </c>
      <c r="BA95" s="1" t="n">
        <v>6</v>
      </c>
      <c r="BB95" s="1" t="n">
        <f aca="false">MIN(AB95/150, 1)*30</f>
        <v>12</v>
      </c>
      <c r="BC95" s="1" t="n">
        <f aca="false">MIN(N95/4000, 1)*20</f>
        <v>0</v>
      </c>
      <c r="BD95" s="1" t="n">
        <f aca="false">MIN(Z95/400,1)*20</f>
        <v>0</v>
      </c>
      <c r="BE95" s="4" t="n">
        <f aca="false">1-(MAX(J95-1900, 0)/750)</f>
        <v>0.949333333333333</v>
      </c>
      <c r="BF95" s="1" t="n">
        <f aca="false">((MAX($M95,1)*MIN($AJ95/300,1)))*IF(G95="Wagon",50,10)</f>
        <v>0</v>
      </c>
      <c r="BG95" s="1" t="n">
        <f aca="false">VLOOKUP($H95,Constants!$I:$K, 2, FALSE())</f>
        <v>1</v>
      </c>
      <c r="BH95" s="1" t="n">
        <f aca="false">VLOOKUP($H95,Constants!$I:$K, 3, FALSE())*IF(AND(G95="multiple_unit",AB95&lt;110),0.75,1)</f>
        <v>0.4</v>
      </c>
      <c r="BI95" s="1" t="n">
        <f aca="false">INT(POWER(((Constants!$G$2+$BB95+$BC95+$BD95+$BF95)*$BE95)*$BH95, 1.05))+$BA95</f>
        <v>13</v>
      </c>
      <c r="BJ95" s="1" t="n">
        <f aca="false">INT(POWER((((Constants!$G$1+$BB95+$BC95+$BD95+$BF95)*($BE95))*$BG95),IF($G95="wagon",1,1.2)))+$AZ95</f>
        <v>37</v>
      </c>
      <c r="BK95" s="20" t="n">
        <f aca="false">BI95*IF($G95="wagon",62.5,781.25)</f>
        <v>812.5</v>
      </c>
      <c r="BL95" s="20" t="n">
        <f aca="false">BJ95*IF($G95="wagon",2.73,81.25)</f>
        <v>101.01</v>
      </c>
      <c r="BT95" s="1" t="n">
        <v>1</v>
      </c>
      <c r="BV95" s="18" t="s">
        <v>547</v>
      </c>
      <c r="BW95" s="18"/>
      <c r="BX95" s="18" t="s">
        <v>548</v>
      </c>
      <c r="BY95" s="1" t="str">
        <f aca="false">VLOOKUP(J95,Eras!$A$2:$C$10, 2, TRUE())</f>
        <v>big4</v>
      </c>
      <c r="BZ95" s="18" t="s">
        <v>549</v>
      </c>
      <c r="CA95" s="1" t="str">
        <f aca="false">CONCATENATE(BY95,"_",BZ95)</f>
        <v>big4_Extra</v>
      </c>
      <c r="CB95" s="1" t="str">
        <f aca="false">_xlfn.CONCAT(H95, "_",I95)</f>
        <v>brake_RAIL</v>
      </c>
      <c r="CC95" s="21" t="str">
        <f aca="false">_xlfn.CONCAT("{BLACK}Length: {GOLD}", TEXT(ROUNDUP(IF(AQ95&lt;&gt;"",SUM(VALUE(_xlfn.TEXTSPLIT(AQ95, ","))), SUM(VALUE(_xlfn.TEXTSPLIT(AN95, ",")))*IF(M95, M95, 1))/16, 1), "#,##0.0"), " tiles{}")</f>
        <v>{BLACK}Length: {GOLD}0.4 tiles{}</v>
      </c>
      <c r="CD95" s="1" t="str">
        <f aca="false">VLOOKUP($CB95, Constants!$M:$N, 2, FALSE())</f>
        <v/>
      </c>
      <c r="CE95" s="1" t="str">
        <f aca="false">IF(M95&gt;1,_xlfn.CONCAT("{BLACK}Cars: {GOLD}", M95),"")</f>
        <v/>
      </c>
      <c r="CF95" s="1" t="s">
        <v>553</v>
      </c>
      <c r="CG95" s="1" t="str">
        <f aca="false">IF(BX95="buffet","{YELLOW}25% long distance bonus for consist{}",IF(BY95="BRAKE","{YELLOW}Speed bonus for slow wagons{}",IF(BU95&gt;190,CONCATENATE("{YELLOW}",INT((BU95-185)/1.85),"% bonus for long distance travel{}"),IF(AND(BU95&lt;180,BU95&lt;&gt;0),CONCATENATE("{YELLOW}",INT((185-BU95)/1.85),"% penalty for long distance travel{}"),""))))</f>
        <v/>
      </c>
      <c r="CH95" s="1" t="str">
        <f aca="false">_xlfn.CONCAT(CD95,IF(CD95 &lt;&gt; "", " ", ""),CE95,IF(OR(CE95&lt;&gt;"", CD95&lt;&gt;""), "{}",""), CC95, CG95,"{SILVER}", CF95)</f>
        <v>{BLACK}Length: {GOLD}0.4 tiles{}{SILVER}The native design of LMS Brake Van had a sizable veranda at both ends. Once again, they lasted well into BR ownership as part of Engineers’ trains.</v>
      </c>
      <c r="CI95" s="1"/>
      <c r="CJ95" s="1"/>
    </row>
    <row r="96" customFormat="false" ht="13.8" hidden="false" customHeight="false" outlineLevel="0" collapsed="false">
      <c r="A96" s="18" t="s">
        <v>554</v>
      </c>
      <c r="B96" s="18" t="s">
        <v>555</v>
      </c>
      <c r="C96" s="1" t="n">
        <v>21</v>
      </c>
      <c r="E96" s="1" t="n">
        <v>1021</v>
      </c>
      <c r="F96" s="1" t="s">
        <v>89</v>
      </c>
      <c r="G96" s="1" t="s">
        <v>528</v>
      </c>
      <c r="H96" s="1" t="s">
        <v>528</v>
      </c>
      <c r="I96" s="1" t="s">
        <v>153</v>
      </c>
      <c r="J96" s="1" t="n">
        <v>1936</v>
      </c>
      <c r="K96" s="1" t="n">
        <v>1962</v>
      </c>
      <c r="L96" s="1" t="n">
        <v>1966</v>
      </c>
      <c r="W96" s="1" t="n">
        <v>10.1</v>
      </c>
      <c r="Y96" s="1" t="n">
        <v>4</v>
      </c>
      <c r="AA96" s="4" t="str">
        <f aca="false">IF(AND(W96&gt;0,Z96&gt;0),(Z96/((W96+X96)*10)),"")</f>
        <v/>
      </c>
      <c r="AB96" s="1" t="n">
        <v>45</v>
      </c>
      <c r="AC96" s="1" t="n">
        <f aca="false">ROUND(AB96*1.6, 0)</f>
        <v>72</v>
      </c>
      <c r="AF96" s="1" t="n">
        <v>9</v>
      </c>
      <c r="AG96" s="1" t="n">
        <v>9</v>
      </c>
      <c r="AH96" s="1" t="n">
        <v>2.5</v>
      </c>
      <c r="AI96" s="1" t="n">
        <v>3.35</v>
      </c>
      <c r="AJ96" s="5" t="n">
        <v>20</v>
      </c>
      <c r="AK96" s="19" t="str">
        <f aca="false">CONCATENATE(VLOOKUP(AL96, 'Voxel Sizes'!$A$2:$B$18,2,FALSE()),"x",INT(AH96*15), "x", INT(AI96*15))</f>
        <v>82x37x50</v>
      </c>
      <c r="AL96" s="1" t="n">
        <f aca="false">ROUND(15*((AG96*10)/256),0)</f>
        <v>5</v>
      </c>
      <c r="AN96" s="1" t="str">
        <f aca="false">CONCATENATE(VLOOKUP(AL96,Constants!$A$2:$C$16,IF(AM96&lt;&gt;"", 3, 2), FALSE()),IF(AM96&lt;&gt;"",CONCATENATE(",",VLOOKUP(AM96,$B:$AN,38,FALSE())),""))</f>
        <v>2,1,2</v>
      </c>
      <c r="AX96" s="1" t="n">
        <v>30</v>
      </c>
      <c r="AY96" s="6" t="n">
        <f aca="false">IF(L96&lt;&gt;"",MAX(16,(L96-J96)+8),"")</f>
        <v>38</v>
      </c>
      <c r="AZ96" s="1" t="n">
        <v>5</v>
      </c>
      <c r="BB96" s="1" t="n">
        <f aca="false">MIN(AB96/150, 1)*30</f>
        <v>9</v>
      </c>
      <c r="BC96" s="1" t="n">
        <f aca="false">MIN(N96/4000, 1)*20</f>
        <v>0</v>
      </c>
      <c r="BD96" s="1" t="n">
        <f aca="false">MIN(Z96/400,1)*20</f>
        <v>0</v>
      </c>
      <c r="BE96" s="4" t="n">
        <f aca="false">1-(MAX(J96-1900, 0)/750)</f>
        <v>0.952</v>
      </c>
      <c r="BF96" s="1" t="n">
        <f aca="false">((MAX($M96,1)*MIN($AJ96/300,1)))*IF(G96="Wagon",50,10)</f>
        <v>3.33333333333333</v>
      </c>
      <c r="BG96" s="1" t="n">
        <f aca="false">VLOOKUP($H96,Constants!$I:$K, 2, FALSE())</f>
        <v>1</v>
      </c>
      <c r="BH96" s="1" t="n">
        <f aca="false">VLOOKUP($H96,Constants!$I:$K, 3, FALSE())*IF(AND(G96="multiple_unit",AB96&lt;110),0.75,1)</f>
        <v>0.45</v>
      </c>
      <c r="BI96" s="1" t="n">
        <f aca="false">INT(POWER(((Constants!$G$2+$BB96+$BC96+$BD96+$BF96)*$BE96)*$BH96, 1.05))+$BA96</f>
        <v>8</v>
      </c>
      <c r="BJ96" s="1" t="n">
        <f aca="false">INT(POWER((((Constants!$G$1+$BB96+$BC96+$BD96+$BF96)*($BE96))*$BG96),IF($G96="wagon",1,1.2)))+$AZ96</f>
        <v>31</v>
      </c>
      <c r="BK96" s="20" t="n">
        <f aca="false">BI96*IF($G96="wagon",62.5,781.25)</f>
        <v>500</v>
      </c>
      <c r="BL96" s="20" t="n">
        <f aca="false">BJ96*IF($G96="wagon",2.73,81.25)</f>
        <v>84.63</v>
      </c>
      <c r="BT96" s="1" t="n">
        <v>1</v>
      </c>
      <c r="BU96" s="1" t="n">
        <v>185</v>
      </c>
      <c r="BV96" s="1" t="s">
        <v>542</v>
      </c>
      <c r="BX96" s="1" t="s">
        <v>556</v>
      </c>
      <c r="BY96" s="1" t="str">
        <f aca="false">VLOOKUP(J96,Eras!$A$2:$C$10, 2, TRUE())</f>
        <v>big4</v>
      </c>
      <c r="BZ96" s="18" t="s">
        <v>531</v>
      </c>
      <c r="CA96" s="1" t="str">
        <f aca="false">CONCATENATE(BY96,"_",BZ96)</f>
        <v>big4_Tanker</v>
      </c>
      <c r="CB96" s="1" t="str">
        <f aca="false">_xlfn.CONCAT(H96, "_",I96)</f>
        <v>wagon_RAIL</v>
      </c>
      <c r="CC96" s="21" t="str">
        <f aca="false">_xlfn.CONCAT("{BLACK}Length: {GOLD}", TEXT(ROUNDUP(IF(AQ96&lt;&gt;"",SUM(VALUE(_xlfn.TEXTSPLIT(AQ96, ","))), SUM(VALUE(_xlfn.TEXTSPLIT(AN96, ",")))*IF(M96, M96, 1))/16, 1), "#,##0.0"), " tiles{}")</f>
        <v>{BLACK}Length: {GOLD}0.4 tiles{}</v>
      </c>
      <c r="CD96" s="1" t="str">
        <f aca="false">VLOOKUP($CB96, Constants!$M:$N, 2, FALSE())</f>
        <v/>
      </c>
      <c r="CE96" s="1" t="str">
        <f aca="false">IF(M96&gt;1,_xlfn.CONCAT("{BLACK}Cars: {GOLD}", M96),"")</f>
        <v/>
      </c>
      <c r="CF96" s="1" t="s">
        <v>557</v>
      </c>
      <c r="CG96" s="1" t="str">
        <f aca="false">IF(BW96="buffet","{YELLOW}25% long distance bonus for consist{}",IF(BY96="BRAKE","{YELLOW}Speed bonus for slow wagons{}",IF(BU96&gt;190,CONCATENATE("{YELLOW}",INT((BU96-185)/1.85),"% bonus for long distance travel{}"),IF(AND(BU96&lt;180,BU96&lt;&gt;0),CONCATENATE("{YELLOW}",INT((185-BU96)/1.85),"% penalty for long distance travel{}"),""))))</f>
        <v/>
      </c>
      <c r="CH96" s="1" t="str">
        <f aca="false">_xlfn.CONCAT(CD96,IF(CD96 &lt;&gt; "", " ", ""),CE96,IF(OR(CE96&lt;&gt;"", CD96&lt;&gt;""), "{}",""), CC96, CG96,"{SILVER}", CF96)</f>
        <v>{BLACK}Length: {GOLD}0.4 tiles{}{SILVER}The LMS Grain Hooper was later standardised into the BR COVGRAIN standard design. Long-distance bulk grain service in covered hoppers was a significant efficiency gain over shipping bagged grain by the vanload.</v>
      </c>
      <c r="CI96" s="1"/>
      <c r="CJ96" s="1"/>
    </row>
    <row r="97" customFormat="false" ht="13.8" hidden="false" customHeight="false" outlineLevel="0" collapsed="false">
      <c r="A97" s="18" t="s">
        <v>558</v>
      </c>
      <c r="B97" s="18" t="s">
        <v>559</v>
      </c>
      <c r="C97" s="1" t="n">
        <v>98</v>
      </c>
      <c r="E97" s="1" t="n">
        <v>1092</v>
      </c>
      <c r="F97" s="1" t="s">
        <v>89</v>
      </c>
      <c r="G97" s="1" t="s">
        <v>528</v>
      </c>
      <c r="H97" s="1" t="s">
        <v>546</v>
      </c>
      <c r="I97" s="1" t="s">
        <v>153</v>
      </c>
      <c r="J97" s="1" t="n">
        <v>1936</v>
      </c>
      <c r="K97" s="1" t="n">
        <v>1990</v>
      </c>
      <c r="L97" s="1" t="n">
        <v>1998</v>
      </c>
      <c r="W97" s="1" t="n">
        <v>26</v>
      </c>
      <c r="Y97" s="1" t="n">
        <v>4</v>
      </c>
      <c r="AA97" s="4" t="str">
        <f aca="false">IF(AND(W97&gt;0,Z97&gt;0),(Z97/((W97+X97)*10)),"")</f>
        <v/>
      </c>
      <c r="AB97" s="1" t="n">
        <v>75</v>
      </c>
      <c r="AC97" s="1" t="n">
        <f aca="false">ROUND(AB97*1.6, 0)</f>
        <v>120</v>
      </c>
      <c r="AF97" s="1" t="n">
        <v>12.8</v>
      </c>
      <c r="AG97" s="1" t="n">
        <v>12.8</v>
      </c>
      <c r="AH97" s="1" t="n">
        <v>2.5</v>
      </c>
      <c r="AI97" s="1" t="n">
        <v>3.35</v>
      </c>
      <c r="AJ97" s="5" t="n">
        <v>0</v>
      </c>
      <c r="AK97" s="19" t="str">
        <f aca="false">CONCATENATE(VLOOKUP(AL97, 'Voxel Sizes'!$A$2:$B$18,2,FALSE()),"x",INT(AH97*15), "x", INT(AI97*15))</f>
        <v>136x37x50</v>
      </c>
      <c r="AL97" s="1" t="n">
        <f aca="false">ROUND(15*((AG97*10)/256),0)</f>
        <v>8</v>
      </c>
      <c r="AN97" s="1" t="str">
        <f aca="false">CONCATENATE(VLOOKUP(AL97,Constants!$A$2:$C$16,IF(AM97&lt;&gt;"", 3, 2), FALSE()),IF(AM97&lt;&gt;"",CONCATENATE(",",VLOOKUP(AM97,$B:$AN,38,FALSE())),""))</f>
        <v>2,4,2</v>
      </c>
      <c r="AX97" s="1" t="n">
        <v>50</v>
      </c>
      <c r="AY97" s="6" t="n">
        <f aca="false">IF(L97&lt;&gt;"",MAX(16,(L97-J97)+8),"")</f>
        <v>70</v>
      </c>
      <c r="BB97" s="1" t="n">
        <f aca="false">MIN(AB97/150, 1)*30</f>
        <v>15</v>
      </c>
      <c r="BC97" s="1" t="n">
        <f aca="false">MIN(N97/4000, 1)*20</f>
        <v>0</v>
      </c>
      <c r="BD97" s="1" t="n">
        <f aca="false">MIN(Z97/400,1)*20</f>
        <v>0</v>
      </c>
      <c r="BE97" s="4" t="n">
        <f aca="false">1-(MAX(J97-1900, 0)/750)</f>
        <v>0.952</v>
      </c>
      <c r="BF97" s="1" t="n">
        <f aca="false">((MAX($M97,1)*MIN($AJ97/300,1)))*IF(G97="Wagon",50,10)</f>
        <v>0</v>
      </c>
      <c r="BG97" s="1" t="n">
        <f aca="false">VLOOKUP($H97,Constants!$I:$K, 2, FALSE())</f>
        <v>1</v>
      </c>
      <c r="BH97" s="1" t="n">
        <f aca="false">VLOOKUP($H97,Constants!$I:$K, 3, FALSE())*IF(AND(G97="multiple_unit",AB97&lt;110),0.75,1)</f>
        <v>0.4</v>
      </c>
      <c r="BI97" s="1" t="n">
        <f aca="false">INT(POWER(((Constants!$G$2+$BB97+$BC97+$BD97+$BF97)*$BE97)*$BH97, 1.05))+$BA97</f>
        <v>8</v>
      </c>
      <c r="BJ97" s="1" t="n">
        <f aca="false">INT(POWER((((Constants!$G$1+$BB97+$BC97+$BD97+$BF97)*($BE97))*$BG97),IF($G97="wagon",1,1.2)))+$AZ97</f>
        <v>28</v>
      </c>
      <c r="BK97" s="20" t="n">
        <f aca="false">BI97*IF($G97="wagon",62.5,781.25)</f>
        <v>500</v>
      </c>
      <c r="BL97" s="20" t="n">
        <f aca="false">BJ97*IF($G97="wagon",2.73,81.25)</f>
        <v>76.44</v>
      </c>
      <c r="BT97" s="1" t="n">
        <v>1</v>
      </c>
      <c r="BV97" s="18" t="s">
        <v>547</v>
      </c>
      <c r="BW97" s="18"/>
      <c r="BX97" s="18" t="s">
        <v>548</v>
      </c>
      <c r="BY97" s="1" t="str">
        <f aca="false">VLOOKUP(J97,Eras!$A$2:$C$10, 2, TRUE())</f>
        <v>big4</v>
      </c>
      <c r="BZ97" s="18" t="s">
        <v>549</v>
      </c>
      <c r="CA97" s="1" t="str">
        <f aca="false">CONCATENATE(BY97,"_",BZ97)</f>
        <v>big4_Extra</v>
      </c>
      <c r="CB97" s="1" t="str">
        <f aca="false">_xlfn.CONCAT(H97, "_",I97)</f>
        <v>brake_RAIL</v>
      </c>
      <c r="CC97" s="21" t="str">
        <f aca="false">_xlfn.CONCAT("{BLACK}Length: {GOLD}", TEXT(ROUNDUP(IF(AQ97&lt;&gt;"",SUM(VALUE(_xlfn.TEXTSPLIT(AQ97, ","))), SUM(VALUE(_xlfn.TEXTSPLIT(AN97, ",")))*IF(M97, M97, 1))/16, 1), "#,##0.0"), " tiles{}")</f>
        <v>{BLACK}Length: {GOLD}0.5 tiles{}</v>
      </c>
      <c r="CD97" s="1" t="str">
        <f aca="false">VLOOKUP($CB97, Constants!$M:$N, 2, FALSE())</f>
        <v/>
      </c>
      <c r="CE97" s="1" t="str">
        <f aca="false">IF(M97&gt;1,_xlfn.CONCAT("{BLACK}Cars: {GOLD}", M97),"")</f>
        <v/>
      </c>
      <c r="CF97" s="1" t="s">
        <v>560</v>
      </c>
      <c r="CG97" s="1" t="str">
        <f aca="false">IF(BX97="buffet","{YELLOW}25% long distance bonus for consist{}",IF(BY97="BRAKE","{YELLOW}Speed bonus for slow wagons{}",IF(BU97&gt;190,CONCATENATE("{YELLOW}",INT((BU97-185)/1.85),"% bonus for long distance travel{}"),IF(AND(BU97&lt;180,BU97&lt;&gt;0),CONCATENATE("{YELLOW}",INT((185-BU97)/1.85),"% penalty for long distance travel{}"),""))))</f>
        <v/>
      </c>
      <c r="CH97" s="1" t="str">
        <f aca="false">_xlfn.CONCAT(CD97,IF(CD97 &lt;&gt; "", " ", ""),CE97,IF(OR(CE97&lt;&gt;"", CD97&lt;&gt;""), "{}",""), CC97, CG97,"{SILVER}", CF97)</f>
        <v>{BLACK}Length: {GOLD}0.5 tiles{}{SILVER}The first SR ‘Queen Mary’ Brake vans converted from LBSCR ‘Milk Van’ MLVs, and lasted in departmental and limited freight service into the 2000s! A shed on rails with a stove and a desk has 1000 uses.</v>
      </c>
      <c r="CI97" s="1"/>
      <c r="CJ97" s="1"/>
    </row>
    <row r="98" s="18" customFormat="true" ht="13.8" hidden="false" customHeight="false" outlineLevel="0" collapsed="false">
      <c r="A98" s="18" t="s">
        <v>561</v>
      </c>
      <c r="B98" s="18" t="s">
        <v>562</v>
      </c>
      <c r="C98" s="1" t="n">
        <v>99</v>
      </c>
      <c r="D98" s="1" t="n">
        <v>98</v>
      </c>
      <c r="E98" s="1" t="n">
        <v>1093</v>
      </c>
      <c r="F98" s="1" t="s">
        <v>89</v>
      </c>
      <c r="G98" s="1" t="s">
        <v>528</v>
      </c>
      <c r="H98" s="1" t="s">
        <v>546</v>
      </c>
      <c r="I98" s="1" t="s">
        <v>153</v>
      </c>
      <c r="J98" s="1" t="n">
        <v>1936</v>
      </c>
      <c r="K98" s="1" t="n">
        <v>1990</v>
      </c>
      <c r="L98" s="1" t="n">
        <v>1998</v>
      </c>
      <c r="M98" s="1"/>
      <c r="N98" s="1"/>
      <c r="O98" s="2"/>
      <c r="P98" s="3"/>
      <c r="Q98" s="3"/>
      <c r="R98" s="3"/>
      <c r="S98" s="3"/>
      <c r="T98" s="3"/>
      <c r="U98" s="3"/>
      <c r="V98" s="3"/>
      <c r="W98" s="1" t="n">
        <v>26</v>
      </c>
      <c r="X98" s="2"/>
      <c r="Y98" s="1" t="n">
        <v>4</v>
      </c>
      <c r="Z98" s="1"/>
      <c r="AA98" s="4" t="str">
        <f aca="false">IF(AND(W98&gt;0,Z98&gt;0),(Z98/((W98+X98)*10)),"")</f>
        <v/>
      </c>
      <c r="AB98" s="1" t="n">
        <v>75</v>
      </c>
      <c r="AC98" s="1" t="n">
        <f aca="false">ROUND(AB98*1.6, 0)</f>
        <v>120</v>
      </c>
      <c r="AD98" s="1"/>
      <c r="AE98" s="1"/>
      <c r="AF98" s="1" t="n">
        <v>12.8</v>
      </c>
      <c r="AG98" s="1" t="n">
        <v>12.8</v>
      </c>
      <c r="AH98" s="1" t="n">
        <v>2.5</v>
      </c>
      <c r="AI98" s="1" t="n">
        <v>3.35</v>
      </c>
      <c r="AJ98" s="5" t="n">
        <v>0</v>
      </c>
      <c r="AK98" s="19" t="str">
        <f aca="false">CONCATENATE(VLOOKUP(AL98, 'Voxel Sizes'!$A$2:$B$18,2,FALSE()),"x",INT(AH98*15), "x", INT(AI98*15))</f>
        <v>136x37x50</v>
      </c>
      <c r="AL98" s="1" t="n">
        <f aca="false">ROUND(15*((AG98*10)/256),0)</f>
        <v>8</v>
      </c>
      <c r="AM98" s="1"/>
      <c r="AN98" s="1" t="str">
        <f aca="false">CONCATENATE(VLOOKUP(AL98,Constants!$A$2:$C$16,IF(AM98&lt;&gt;"", 3, 2), FALSE()),IF(AM98&lt;&gt;"",CONCATENATE(",",VLOOKUP(AM98,$B:$AN,38,FALSE())),""))</f>
        <v>2,4,2</v>
      </c>
      <c r="AO98" s="1"/>
      <c r="AP98" s="7"/>
      <c r="AQ98" s="7"/>
      <c r="AR98" s="1"/>
      <c r="AS98" s="1"/>
      <c r="AT98" s="1"/>
      <c r="AU98" s="1"/>
      <c r="AV98" s="1"/>
      <c r="AW98" s="1"/>
      <c r="AX98" s="1" t="n">
        <v>50</v>
      </c>
      <c r="AY98" s="6" t="n">
        <f aca="false">IF(L98&lt;&gt;"",MAX(16,(L98-J98)+8),"")</f>
        <v>70</v>
      </c>
      <c r="AZ98" s="1"/>
      <c r="BA98" s="1"/>
      <c r="BB98" s="1" t="n">
        <f aca="false">MIN(AB98/150, 1)*30</f>
        <v>15</v>
      </c>
      <c r="BC98" s="1" t="n">
        <f aca="false">MIN(N98/4000, 1)*20</f>
        <v>0</v>
      </c>
      <c r="BD98" s="1" t="n">
        <f aca="false">MIN(Z98/400,1)*20</f>
        <v>0</v>
      </c>
      <c r="BE98" s="4" t="n">
        <f aca="false">1-(MAX(J98-1900, 0)/750)</f>
        <v>0.952</v>
      </c>
      <c r="BF98" s="1" t="n">
        <f aca="false">((MAX($M98,1)*MIN($AJ98/300,1)))*IF(G98="Wagon",50,10)</f>
        <v>0</v>
      </c>
      <c r="BG98" s="1" t="n">
        <f aca="false">VLOOKUP($H98,Constants!$I:$K, 2, FALSE())</f>
        <v>1</v>
      </c>
      <c r="BH98" s="1" t="n">
        <f aca="false">VLOOKUP($H98,Constants!$I:$K, 3, FALSE())*IF(AND(G98="multiple_unit",AB98&lt;110),0.75,1)</f>
        <v>0.4</v>
      </c>
      <c r="BI98" s="1" t="n">
        <f aca="false">INT(POWER(((Constants!$G$2+$BB98+$BC98+$BD98+$BF98)*$BE98)*$BH98, 1.05))+$BA98</f>
        <v>8</v>
      </c>
      <c r="BJ98" s="1" t="n">
        <f aca="false">INT(POWER((((Constants!$G$1+$BB98+$BC98+$BD98+$BF98)*($BE98))*$BG98),IF($G98="wagon",1,1.2)))+$AZ98</f>
        <v>28</v>
      </c>
      <c r="BK98" s="20" t="n">
        <f aca="false">BI98*IF($G98="wagon",62.5,781.25)</f>
        <v>500</v>
      </c>
      <c r="BL98" s="20" t="n">
        <f aca="false">BJ98*IF($G98="wagon",2.73,81.25)</f>
        <v>76.44</v>
      </c>
      <c r="BM98" s="1"/>
      <c r="BN98" s="1"/>
      <c r="BO98" s="1"/>
      <c r="BP98" s="1"/>
      <c r="BQ98" s="1"/>
      <c r="BR98" s="1"/>
      <c r="BS98" s="1"/>
      <c r="BT98" s="1" t="n">
        <v>1</v>
      </c>
      <c r="BU98" s="1"/>
      <c r="BX98" s="18" t="s">
        <v>548</v>
      </c>
      <c r="BY98" s="1" t="str">
        <f aca="false">VLOOKUP(J98,Eras!$A$2:$C$10, 2, TRUE())</f>
        <v>big4</v>
      </c>
      <c r="BZ98" s="18" t="s">
        <v>549</v>
      </c>
      <c r="CA98" s="1" t="str">
        <f aca="false">CONCATENATE(BY98,"_",BZ98)</f>
        <v>big4_Extra</v>
      </c>
      <c r="CB98" s="1" t="str">
        <f aca="false">_xlfn.CONCAT(H98, "_",I98)</f>
        <v>brake_RAIL</v>
      </c>
      <c r="CC98" s="21" t="str">
        <f aca="false">_xlfn.CONCAT("{BLACK}Length: {GOLD}", TEXT(ROUNDUP(IF(AQ98&lt;&gt;"",SUM(VALUE(_xlfn.TEXTSPLIT(AQ98, ","))), SUM(VALUE(_xlfn.TEXTSPLIT(AN98, ",")))*IF(M98, M98, 1))/16, 1), "#,##0.0"), " tiles{}")</f>
        <v>{BLACK}Length: {GOLD}0.5 tiles{}</v>
      </c>
      <c r="CD98" s="1" t="str">
        <f aca="false">VLOOKUP($CB98, Constants!$M:$N, 2, FALSE())</f>
        <v/>
      </c>
      <c r="CE98" s="1" t="str">
        <f aca="false">IF(M98&gt;1,_xlfn.CONCAT("{BLACK}Cars: {GOLD}", M98),"")</f>
        <v/>
      </c>
      <c r="CF98" s="1" t="s">
        <v>563</v>
      </c>
      <c r="CG98" s="1" t="str">
        <f aca="false">IF(BX98="buffet","{YELLOW}25% long distance bonus for consist{}",IF(BY98="BRAKE","{YELLOW}Speed bonus for slow wagons{}",IF(BU98&gt;190,CONCATENATE("{YELLOW}",INT((BU98-185)/1.85),"% bonus for long distance travel{}"),IF(AND(BU98&lt;180,BU98&lt;&gt;0),CONCATENATE("{YELLOW}",INT((185-BU98)/1.85),"% penalty for long distance travel{}"),""))))</f>
        <v/>
      </c>
      <c r="CH98" s="1" t="str">
        <f aca="false">_xlfn.CONCAT(CD98,IF(CD98 &lt;&gt; "", " ", ""),CE98,IF(OR(CE98&lt;&gt;"", CD98&lt;&gt;""), "{}",""), CC98, CG98,"{SILVER}", CF98)</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1"/>
      <c r="YB98" s="1"/>
      <c r="YC98" s="1"/>
      <c r="YD98" s="1"/>
      <c r="YE98" s="1"/>
      <c r="YF98" s="1"/>
      <c r="YG98" s="1"/>
      <c r="YH98" s="1"/>
      <c r="YI98" s="1"/>
      <c r="YJ98" s="1"/>
      <c r="YK98" s="1"/>
      <c r="YL98" s="1"/>
      <c r="YM98" s="1"/>
      <c r="YN98" s="1"/>
      <c r="YO98" s="1"/>
      <c r="YP98" s="1"/>
      <c r="YQ98" s="1"/>
      <c r="YR98" s="1"/>
      <c r="YS98" s="1"/>
      <c r="YT98" s="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1"/>
      <c r="ACI98" s="1"/>
      <c r="ACJ98" s="1"/>
      <c r="ACK98" s="1"/>
      <c r="ACL98" s="1"/>
      <c r="ACM98" s="1"/>
      <c r="ACN98" s="1"/>
      <c r="ACO98" s="1"/>
      <c r="ACP98" s="1"/>
      <c r="ACQ98" s="1"/>
      <c r="ACR98" s="1"/>
      <c r="ACS98" s="1"/>
      <c r="ACT98" s="1"/>
      <c r="ACU98" s="1"/>
      <c r="ACV98" s="1"/>
      <c r="ACW98" s="1"/>
      <c r="ACX98" s="1"/>
      <c r="ACY98" s="1"/>
      <c r="ACZ98" s="1"/>
      <c r="ADA98" s="1"/>
      <c r="ADB98" s="1"/>
      <c r="ADC98" s="1"/>
      <c r="ADD98" s="1"/>
      <c r="ADE98" s="1"/>
      <c r="ADF98" s="1"/>
      <c r="ADG98" s="1"/>
      <c r="ADH98" s="1"/>
      <c r="ADI98" s="1"/>
      <c r="ADJ98" s="1"/>
      <c r="ADK98" s="1"/>
      <c r="ADL98" s="1"/>
      <c r="ADM98" s="1"/>
      <c r="ADN98" s="1"/>
      <c r="ADO98" s="1"/>
      <c r="ADP98" s="1"/>
      <c r="ADQ98" s="1"/>
      <c r="ADR98" s="1"/>
      <c r="ADS98" s="1"/>
      <c r="ADT98" s="1"/>
      <c r="ADU98" s="1"/>
      <c r="ADV98" s="1"/>
      <c r="ADW98" s="1"/>
      <c r="ADX98" s="1"/>
      <c r="ADY98" s="1"/>
      <c r="ADZ98" s="1"/>
      <c r="AEA98" s="1"/>
      <c r="AEB98" s="1"/>
      <c r="AEC98" s="1"/>
      <c r="AED98" s="1"/>
      <c r="AEE98" s="1"/>
      <c r="AEF98" s="1"/>
      <c r="AEG98" s="1"/>
      <c r="AEH98" s="1"/>
      <c r="AEI98" s="1"/>
      <c r="AEJ98" s="1"/>
      <c r="AEK98" s="1"/>
      <c r="AEL98" s="1"/>
      <c r="AEM98" s="1"/>
      <c r="AEN98" s="1"/>
      <c r="AEO98" s="1"/>
      <c r="AEP98" s="1"/>
      <c r="AEQ98" s="1"/>
      <c r="AER98" s="1"/>
      <c r="AES98" s="1"/>
      <c r="AET98" s="1"/>
      <c r="AEU98" s="1"/>
      <c r="AEV98" s="1"/>
      <c r="AEW98" s="1"/>
      <c r="AEX98" s="1"/>
      <c r="AEY98" s="1"/>
      <c r="AEZ98" s="1"/>
      <c r="AFA98" s="1"/>
      <c r="AFB98" s="1"/>
      <c r="AFC98" s="1"/>
      <c r="AFD98" s="1"/>
      <c r="AFE98" s="1"/>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1"/>
      <c r="AGN98" s="1"/>
      <c r="AGO98" s="1"/>
      <c r="AGP98" s="1"/>
      <c r="AGQ98" s="1"/>
      <c r="AGR98" s="1"/>
      <c r="AGS98" s="1"/>
      <c r="AGT98" s="1"/>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row>
    <row r="99" customFormat="false" ht="13.8" hidden="false" customHeight="false" outlineLevel="0" collapsed="false">
      <c r="A99" s="18" t="s">
        <v>564</v>
      </c>
      <c r="B99" s="18" t="s">
        <v>565</v>
      </c>
      <c r="C99" s="1" t="n">
        <v>22</v>
      </c>
      <c r="E99" s="1" t="n">
        <v>1027</v>
      </c>
      <c r="F99" s="1" t="s">
        <v>89</v>
      </c>
      <c r="G99" s="1" t="s">
        <v>528</v>
      </c>
      <c r="H99" s="1" t="s">
        <v>528</v>
      </c>
      <c r="I99" s="1" t="s">
        <v>153</v>
      </c>
      <c r="J99" s="1" t="n">
        <v>1955</v>
      </c>
      <c r="K99" s="1" t="n">
        <v>1974</v>
      </c>
      <c r="L99" s="1" t="n">
        <v>1982</v>
      </c>
      <c r="W99" s="1" t="n">
        <v>9.7</v>
      </c>
      <c r="Y99" s="1" t="n">
        <v>4</v>
      </c>
      <c r="AA99" s="4" t="str">
        <f aca="false">IF(AND(W99&gt;0,Z99&gt;0),(Z99/((W99+X99)*10)),"")</f>
        <v/>
      </c>
      <c r="AB99" s="1" t="n">
        <v>60</v>
      </c>
      <c r="AC99" s="1" t="n">
        <f aca="false">ROUND(AB99*1.6, 0)</f>
        <v>96</v>
      </c>
      <c r="AF99" s="1" t="n">
        <v>7.6</v>
      </c>
      <c r="AG99" s="1" t="n">
        <v>8</v>
      </c>
      <c r="AH99" s="1" t="n">
        <v>2.5</v>
      </c>
      <c r="AI99" s="1" t="n">
        <v>3.35</v>
      </c>
      <c r="AJ99" s="5" t="n">
        <v>22</v>
      </c>
      <c r="AK99" s="19" t="str">
        <f aca="false">CONCATENATE(VLOOKUP(AL99, 'Voxel Sizes'!$A$2:$B$18,2,FALSE()),"x",INT(AH99*15), "x", INT(AI99*15))</f>
        <v>82x37x50</v>
      </c>
      <c r="AL99" s="1" t="n">
        <f aca="false">ROUND(15*((AG99*10)/256),0)</f>
        <v>5</v>
      </c>
      <c r="AN99" s="1" t="str">
        <f aca="false">CONCATENATE(VLOOKUP(AL99,Constants!$A$2:$C$16,IF(AM99&lt;&gt;"", 3, 2), FALSE()),IF(AM99&lt;&gt;"",CONCATENATE(",",VLOOKUP(AM99,$B:$AN,38,FALSE())),""))</f>
        <v>2,1,2</v>
      </c>
      <c r="AX99" s="1" t="n">
        <v>30</v>
      </c>
      <c r="AY99" s="6" t="n">
        <f aca="false">IF(L99&lt;&gt;"",MAX(16,(L99-J99)+8),"")</f>
        <v>35</v>
      </c>
      <c r="AZ99" s="1" t="n">
        <v>5</v>
      </c>
      <c r="BB99" s="1" t="n">
        <f aca="false">MIN(AB99/150, 1)*30</f>
        <v>12</v>
      </c>
      <c r="BC99" s="1" t="n">
        <f aca="false">MIN(N99/4000, 1)*20</f>
        <v>0</v>
      </c>
      <c r="BD99" s="1" t="n">
        <f aca="false">MIN(Z99/400,1)*20</f>
        <v>0</v>
      </c>
      <c r="BE99" s="4" t="n">
        <f aca="false">1-(MAX(J99-1900, 0)/750)</f>
        <v>0.926666666666667</v>
      </c>
      <c r="BF99" s="1" t="n">
        <f aca="false">((MAX($M99,1)*MIN($AJ99/300,1)))*IF(G99="Wagon",50,10)</f>
        <v>3.66666666666667</v>
      </c>
      <c r="BG99" s="1" t="n">
        <f aca="false">VLOOKUP($H99,Constants!$I:$K, 2, FALSE())</f>
        <v>1</v>
      </c>
      <c r="BH99" s="1" t="n">
        <f aca="false">VLOOKUP($H99,Constants!$I:$K, 3, FALSE())*IF(AND(G99="multiple_unit",AB99&lt;110),0.75,1)</f>
        <v>0.45</v>
      </c>
      <c r="BI99" s="1" t="n">
        <f aca="false">INT(POWER(((Constants!$G$2+$BB99+$BC99+$BD99+$BF99)*$BE99)*$BH99, 1.05))+$BA99</f>
        <v>9</v>
      </c>
      <c r="BJ99" s="1" t="n">
        <f aca="false">INT(POWER((((Constants!$G$1+$BB99+$BC99+$BD99+$BF99)*($BE99))*$BG99),IF($G99="wagon",1,1.2)))+$AZ99</f>
        <v>33</v>
      </c>
      <c r="BK99" s="20" t="n">
        <f aca="false">BI99*IF($G99="wagon",62.5,781.25)</f>
        <v>562.5</v>
      </c>
      <c r="BL99" s="20" t="n">
        <f aca="false">BJ99*IF($G99="wagon",2.73,81.25)</f>
        <v>90.09</v>
      </c>
      <c r="BT99" s="1" t="n">
        <v>1</v>
      </c>
      <c r="BU99" s="1" t="n">
        <v>185</v>
      </c>
      <c r="BV99" s="1" t="s">
        <v>542</v>
      </c>
      <c r="BX99" s="1" t="s">
        <v>556</v>
      </c>
      <c r="BY99" s="1" t="str">
        <f aca="false">VLOOKUP(J99,Eras!$A$2:$C$10, 2, TRUE())</f>
        <v>dsl</v>
      </c>
      <c r="BZ99" s="18" t="s">
        <v>531</v>
      </c>
      <c r="CA99" s="1" t="str">
        <f aca="false">CONCATENATE(BY99,"_",BZ99)</f>
        <v>dsl_Tanker</v>
      </c>
      <c r="CB99" s="1" t="str">
        <f aca="false">_xlfn.CONCAT(H99, "_",I99)</f>
        <v>wagon_RAIL</v>
      </c>
      <c r="CC99" s="21" t="str">
        <f aca="false">_xlfn.CONCAT("{BLACK}Length: {GOLD}", TEXT(ROUNDUP(IF(AQ99&lt;&gt;"",SUM(VALUE(_xlfn.TEXTSPLIT(AQ99, ","))), SUM(VALUE(_xlfn.TEXTSPLIT(AN99, ",")))*IF(M99, M99, 1))/16, 1), "#,##0.0"), " tiles{}")</f>
        <v>{BLACK}Length: {GOLD}0.4 tiles{}</v>
      </c>
      <c r="CD99" s="1" t="str">
        <f aca="false">VLOOKUP($CB99, Constants!$M:$N, 2, FALSE())</f>
        <v/>
      </c>
      <c r="CE99" s="1" t="str">
        <f aca="false">IF(M99&gt;1,_xlfn.CONCAT("{BLACK}Cars: {GOLD}", M99),"")</f>
        <v/>
      </c>
      <c r="CF99" s="1" t="s">
        <v>566</v>
      </c>
      <c r="CG99" s="1" t="str">
        <f aca="false">IF(BW99="buffet","{YELLOW}25% long distance bonus for consist{}",IF(BY99="BRAKE","{YELLOW}Speed bonus for slow wagons{}",IF(BU99&gt;190,CONCATENATE("{YELLOW}",INT((BU99-185)/1.85),"% bonus for long distance travel{}"),IF(AND(BU99&lt;180,BU99&lt;&gt;0),CONCATENATE("{YELLOW}",INT((185-BU99)/1.85),"% penalty for long distance travel{}"),""))))</f>
        <v/>
      </c>
      <c r="CH99" s="1" t="str">
        <f aca="false">_xlfn.CONCAT(CD99,IF(CD99 &lt;&gt; "", " ", ""),CE99,IF(OR(CE99&lt;&gt;"", CD99&lt;&gt;""), "{}",""), CC99, CG99,"{SILVER}", CF99)</f>
        <v>{BLACK}Length: {GOLD}0.4 tiles{}{SILVER}This is a representative BR GRAINFIT wagon, a vacuum-braked bulk hopper derived from the 1930s LMS design.</v>
      </c>
      <c r="CI99" s="1"/>
      <c r="CJ99" s="1"/>
    </row>
    <row r="100" customFormat="false" ht="13.8" hidden="false" customHeight="false" outlineLevel="0" collapsed="false">
      <c r="A100" s="18" t="s">
        <v>567</v>
      </c>
      <c r="B100" s="18" t="s">
        <v>568</v>
      </c>
      <c r="C100" s="1" t="n">
        <v>23</v>
      </c>
      <c r="E100" s="1" t="n">
        <v>1029</v>
      </c>
      <c r="F100" s="1" t="s">
        <v>89</v>
      </c>
      <c r="G100" s="1" t="s">
        <v>528</v>
      </c>
      <c r="H100" s="1" t="s">
        <v>528</v>
      </c>
      <c r="I100" s="1" t="s">
        <v>153</v>
      </c>
      <c r="J100" s="1" t="n">
        <v>1966</v>
      </c>
      <c r="K100" s="1" t="n">
        <v>1996</v>
      </c>
      <c r="L100" s="1" t="n">
        <v>2002</v>
      </c>
      <c r="W100" s="1" t="n">
        <v>12.9</v>
      </c>
      <c r="Y100" s="1" t="n">
        <v>5</v>
      </c>
      <c r="AA100" s="4" t="str">
        <f aca="false">IF(AND(W100&gt;0,Z100&gt;0),(Z100/((W100+X100)*10)),"")</f>
        <v/>
      </c>
      <c r="AB100" s="1" t="n">
        <v>60</v>
      </c>
      <c r="AC100" s="1" t="n">
        <f aca="false">ROUND(AB100*1.6, 0)</f>
        <v>96</v>
      </c>
      <c r="AF100" s="1" t="n">
        <v>8.8</v>
      </c>
      <c r="AG100" s="1" t="n">
        <v>10</v>
      </c>
      <c r="AH100" s="1" t="n">
        <v>2.7</v>
      </c>
      <c r="AI100" s="1" t="n">
        <v>3.8</v>
      </c>
      <c r="AJ100" s="5" t="n">
        <v>36</v>
      </c>
      <c r="AK100" s="19" t="str">
        <f aca="false">CONCATENATE(VLOOKUP(AL100, 'Voxel Sizes'!$A$2:$B$18,2,FALSE()),"x",INT(AH100*15), "x", INT(AI100*15))</f>
        <v>102x40x57</v>
      </c>
      <c r="AL100" s="1" t="n">
        <f aca="false">ROUND(15*((AG100*10)/256),0)</f>
        <v>6</v>
      </c>
      <c r="AN100" s="1" t="str">
        <f aca="false">CONCATENATE(VLOOKUP(AL100,Constants!$A$2:$C$16,IF(AM100&lt;&gt;"", 3, 2), FALSE()),IF(AM100&lt;&gt;"",CONCATENATE(",",VLOOKUP(AM100,$B:$AN,38,FALSE())),""))</f>
        <v>2,2,2</v>
      </c>
      <c r="AX100" s="1" t="n">
        <v>30</v>
      </c>
      <c r="AY100" s="6" t="n">
        <f aca="false">IF(L100&lt;&gt;"",MAX(16,(L100-J100)+8),"")</f>
        <v>44</v>
      </c>
      <c r="BB100" s="1" t="n">
        <f aca="false">MIN(AB100/150, 1)*30</f>
        <v>12</v>
      </c>
      <c r="BC100" s="1" t="n">
        <f aca="false">MIN(N100/4000, 1)*20</f>
        <v>0</v>
      </c>
      <c r="BD100" s="1" t="n">
        <f aca="false">MIN(Z100/400,1)*20</f>
        <v>0</v>
      </c>
      <c r="BE100" s="4" t="n">
        <f aca="false">1-(MAX(J100-1900, 0)/750)</f>
        <v>0.912</v>
      </c>
      <c r="BF100" s="1" t="n">
        <f aca="false">((MAX($M100,1)*MIN($AJ100/300,1)))*IF(G100="Wagon",50,10)</f>
        <v>6</v>
      </c>
      <c r="BG100" s="1" t="n">
        <f aca="false">VLOOKUP($H100,Constants!$I:$K, 2, FALSE())</f>
        <v>1</v>
      </c>
      <c r="BH100" s="1" t="n">
        <f aca="false">VLOOKUP($H100,Constants!$I:$K, 3, FALSE())*IF(AND(G100="multiple_unit",AB100&lt;110),0.75,1)</f>
        <v>0.45</v>
      </c>
      <c r="BI100" s="1" t="n">
        <f aca="false">INT(POWER(((Constants!$G$2+$BB100+$BC100+$BD100+$BF100)*$BE100)*$BH100, 1.05))+$BA100</f>
        <v>10</v>
      </c>
      <c r="BJ100" s="1" t="n">
        <f aca="false">INT(POWER((((Constants!$G$1+$BB100+$BC100+$BD100+$BF100)*($BE100))*$BG100),IF($G100="wagon",1,1.2)))+$AZ100</f>
        <v>30</v>
      </c>
      <c r="BK100" s="20" t="n">
        <f aca="false">BI100*IF($G100="wagon",62.5,781.25)</f>
        <v>625</v>
      </c>
      <c r="BL100" s="20" t="n">
        <f aca="false">BJ100*IF($G100="wagon",2.73,81.25)</f>
        <v>81.9</v>
      </c>
      <c r="BT100" s="1" t="n">
        <v>1</v>
      </c>
      <c r="BU100" s="1" t="n">
        <v>185</v>
      </c>
      <c r="BV100" s="1" t="s">
        <v>542</v>
      </c>
      <c r="BX100" s="1" t="s">
        <v>556</v>
      </c>
      <c r="BY100" s="1" t="str">
        <f aca="false">VLOOKUP(J100,Eras!$A$2:$C$10, 2, TRUE())</f>
        <v>dsl</v>
      </c>
      <c r="BZ100" s="18" t="s">
        <v>531</v>
      </c>
      <c r="CA100" s="1" t="str">
        <f aca="false">CONCATENATE(BY100,"_",BZ100)</f>
        <v>dsl_Tanker</v>
      </c>
      <c r="CB100" s="1" t="str">
        <f aca="false">_xlfn.CONCAT(H100, "_",I100)</f>
        <v>wagon_RAIL</v>
      </c>
      <c r="CC100" s="21" t="str">
        <f aca="false">_xlfn.CONCAT("{BLACK}Length: {GOLD}", TEXT(ROUNDUP(IF(AQ100&lt;&gt;"",SUM(VALUE(_xlfn.TEXTSPLIT(AQ100, ","))), SUM(VALUE(_xlfn.TEXTSPLIT(AN100, ",")))*IF(M100, M100, 1))/16, 1), "#,##0.0"), " tiles{}")</f>
        <v>{BLACK}Length: {GOLD}0.4 tiles{}</v>
      </c>
      <c r="CD100" s="1" t="str">
        <f aca="false">VLOOKUP($CB100, Constants!$M:$N, 2, FALSE())</f>
        <v/>
      </c>
      <c r="CE100" s="1" t="str">
        <f aca="false">IF(M100&gt;1,_xlfn.CONCAT("{BLACK}Cars: {GOLD}", M100),"")</f>
        <v/>
      </c>
      <c r="CF100" s="1" t="s">
        <v>569</v>
      </c>
      <c r="CG100" s="1" t="str">
        <f aca="false">IF(BW100="buffet","{YELLOW}25% long distance bonus for consist{}",IF(BY100="BRAKE","{YELLOW}Speed bonus for slow wagons{}",IF(BU100&gt;190,CONCATENATE("{YELLOW}",INT((BU100-185)/1.85),"% bonus for long distance travel{}"),IF(AND(BU100&lt;180,BU100&lt;&gt;0),CONCATENATE("{YELLOW}",INT((185-BU100)/1.85),"% penalty for long distance travel{}"),""))))</f>
        <v/>
      </c>
      <c r="CH100" s="1" t="str">
        <f aca="false">_xlfn.CONCAT(CD100,IF(CD100 &lt;&gt; "", " ", ""),CE100,IF(OR(CE100&lt;&gt;"", CD100&lt;&gt;""), "{}",""), CC100, CG100,"{SILVER}", CF100)</f>
        <v>{BLACK}Length: {GOLD}0.4 tiles{}{SILVER}The BR ‘Whiskey Covhops’ were a common sight on long-distance freight trains from southern England, headed for the distilleries of Scotland.</v>
      </c>
      <c r="CI100" s="1"/>
      <c r="CJ100" s="1"/>
    </row>
    <row r="101" customFormat="false" ht="13.8" hidden="false" customHeight="false" outlineLevel="0" collapsed="false">
      <c r="A101" s="1" t="s">
        <v>570</v>
      </c>
      <c r="B101" s="1" t="s">
        <v>571</v>
      </c>
      <c r="C101" s="1" t="n">
        <v>32</v>
      </c>
      <c r="E101" s="1" t="n">
        <v>1031</v>
      </c>
      <c r="F101" s="1" t="s">
        <v>89</v>
      </c>
      <c r="G101" s="1" t="s">
        <v>528</v>
      </c>
      <c r="H101" s="1" t="s">
        <v>528</v>
      </c>
      <c r="I101" s="1" t="s">
        <v>153</v>
      </c>
      <c r="J101" s="1" t="n">
        <v>1973</v>
      </c>
      <c r="W101" s="1" t="n">
        <v>22.7</v>
      </c>
      <c r="Y101" s="1" t="n">
        <v>5</v>
      </c>
      <c r="AA101" s="4" t="str">
        <f aca="false">IF(AND(W101&gt;0,Z101&gt;0),(Z101/((W101+X101)*10)),"")</f>
        <v/>
      </c>
      <c r="AB101" s="1" t="n">
        <v>75</v>
      </c>
      <c r="AC101" s="1" t="n">
        <f aca="false">ROUND(AB101*1.6, 0)</f>
        <v>120</v>
      </c>
      <c r="AF101" s="1" t="n">
        <v>18.3</v>
      </c>
      <c r="AG101" s="1" t="n">
        <v>18.3</v>
      </c>
      <c r="AH101" s="1" t="n">
        <v>2.7</v>
      </c>
      <c r="AI101" s="1" t="n">
        <v>3.8</v>
      </c>
      <c r="AJ101" s="5" t="n">
        <v>56</v>
      </c>
      <c r="AK101" s="19" t="str">
        <f aca="false">CONCATENATE(VLOOKUP(AL101, 'Voxel Sizes'!$A$2:$B$18,2,FALSE()),"x",INT(AH101*15), "x", INT(AI101*15))</f>
        <v>186x40x57</v>
      </c>
      <c r="AL101" s="1" t="n">
        <f aca="false">ROUND(15*((AG101*10)/256),0)</f>
        <v>11</v>
      </c>
      <c r="AN101" s="1" t="str">
        <f aca="false">CONCATENATE(VLOOKUP(AL101,Constants!$A$2:$C$16,IF(AM101&lt;&gt;"", 3, 2), FALSE()),IF(AM101&lt;&gt;"",CONCATENATE(",",VLOOKUP(AM101,$B:$AN,38,FALSE())),""))</f>
        <v>4,3,4</v>
      </c>
      <c r="AX101" s="1" t="n">
        <v>30</v>
      </c>
      <c r="AY101" s="6" t="str">
        <f aca="false">IF(L101&lt;&gt;"",MAX(16,(L101-J101)+8),"")</f>
        <v/>
      </c>
      <c r="BB101" s="1" t="n">
        <f aca="false">MIN(AB101/150, 1)*30</f>
        <v>15</v>
      </c>
      <c r="BC101" s="1" t="n">
        <f aca="false">MIN(N101/4000, 1)*20</f>
        <v>0</v>
      </c>
      <c r="BD101" s="1" t="n">
        <f aca="false">MIN(Z101/400,1)*20</f>
        <v>0</v>
      </c>
      <c r="BE101" s="4" t="n">
        <f aca="false">1-(MAX(J101-1900, 0)/750)</f>
        <v>0.902666666666667</v>
      </c>
      <c r="BF101" s="1" t="n">
        <f aca="false">((MAX($M101,1)*MIN($AJ101/300,1)))*IF(G101="Wagon",50,10)</f>
        <v>9.33333333333333</v>
      </c>
      <c r="BG101" s="1" t="n">
        <f aca="false">VLOOKUP($H101,Constants!$I:$K, 2, FALSE())</f>
        <v>1</v>
      </c>
      <c r="BH101" s="1" t="n">
        <f aca="false">VLOOKUP($H101,Constants!$I:$K, 3, FALSE())*IF(AND(G101="multiple_unit",AB101&lt;110),0.75,1)</f>
        <v>0.45</v>
      </c>
      <c r="BI101" s="1" t="n">
        <f aca="false">INT(POWER(((Constants!$G$2+$BB101+$BC101+$BD101+$BF101)*$BE101)*$BH101, 1.05))+$BA101</f>
        <v>13</v>
      </c>
      <c r="BJ101" s="1" t="n">
        <f aca="false">INT(POWER((((Constants!$G$1+$BB101+$BC101+$BD101+$BF101)*($BE101))*$BG101),IF($G101="wagon",1,1.2)))+$AZ101</f>
        <v>35</v>
      </c>
      <c r="BK101" s="20" t="n">
        <f aca="false">BI101*IF($G101="wagon",62.5,781.25)</f>
        <v>812.5</v>
      </c>
      <c r="BL101" s="20" t="n">
        <f aca="false">BJ101*IF($G101="wagon",2.73,81.25)</f>
        <v>95.55</v>
      </c>
      <c r="BT101" s="1" t="n">
        <v>1</v>
      </c>
      <c r="BU101" s="1" t="n">
        <v>185</v>
      </c>
      <c r="BV101" s="1" t="s">
        <v>542</v>
      </c>
      <c r="BX101" s="1" t="s">
        <v>556</v>
      </c>
      <c r="BY101" s="1" t="str">
        <f aca="false">VLOOKUP(J101,Eras!$A$2:$C$10, 2, TRUE())</f>
        <v>lbr</v>
      </c>
      <c r="BZ101" s="18" t="s">
        <v>531</v>
      </c>
      <c r="CA101" s="1" t="str">
        <f aca="false">CONCATENATE(BY101,"_",BZ101)</f>
        <v>lbr_Tanker</v>
      </c>
      <c r="CB101" s="1" t="str">
        <f aca="false">_xlfn.CONCAT(H101, "_",I101)</f>
        <v>wagon_RAIL</v>
      </c>
      <c r="CC101" s="21" t="str">
        <f aca="false">_xlfn.CONCAT("{BLACK}Length: {GOLD}", TEXT(ROUNDUP(IF(AQ101&lt;&gt;"",SUM(VALUE(_xlfn.TEXTSPLIT(AQ101, ","))), SUM(VALUE(_xlfn.TEXTSPLIT(AN101, ",")))*IF(M101, M101, 1))/16, 1), "#,##0.0"), " tiles{}")</f>
        <v>{BLACK}Length: {GOLD}0.7 tiles{}</v>
      </c>
      <c r="CD101" s="1" t="str">
        <f aca="false">VLOOKUP($CB101, Constants!$M:$N, 2, FALSE())</f>
        <v/>
      </c>
      <c r="CE101" s="1" t="str">
        <f aca="false">IF(M101&gt;1,_xlfn.CONCAT("{BLACK}Cars: {GOLD}", M101),"")</f>
        <v/>
      </c>
      <c r="CF101" s="1" t="s">
        <v>572</v>
      </c>
      <c r="CG101" s="1" t="str">
        <f aca="false">IF(BW101="buffet","{YELLOW}25% long distance bonus for consist{}",IF(BY101="BRAKE","{YELLOW}Speed bonus for slow wagons{}",IF(BU101&gt;190,CONCATENATE("{YELLOW}",INT((BU101-185)/1.85),"% bonus for long distance travel{}"),IF(AND(BU101&lt;180,BU101&lt;&gt;0),CONCATENATE("{YELLOW}",INT((185-BU101)/1.85),"% penalty for long distance travel{}"),""))))</f>
        <v/>
      </c>
      <c r="CH101" s="1" t="str">
        <f aca="false">_xlfn.CONCAT(CD101,IF(CD101 &lt;&gt; "", " ", ""),CE101,IF(OR(CE101&lt;&gt;"", CD101&lt;&gt;""), "{}",""), CC101, CG101,"{SILVER}", CF101)</f>
        <v>{BLACK}Length: {GOLD}0.7 tiles{}{SILVER}Large bogie covered hoppers first appeared in Britain in the mid 1970s. These were frequently privately owned and registered as international vehicles. This slab-sided ‘Polybulk’ example was built in France.</v>
      </c>
      <c r="CI101" s="1" t="n">
        <v>1</v>
      </c>
      <c r="CJ101" s="1"/>
    </row>
    <row r="102" customFormat="false" ht="13.8" hidden="false" customHeight="false" outlineLevel="0" collapsed="false">
      <c r="A102" s="1" t="s">
        <v>573</v>
      </c>
      <c r="B102" s="1" t="s">
        <v>574</v>
      </c>
      <c r="C102" s="1" t="n">
        <v>33</v>
      </c>
      <c r="E102" s="1" t="n">
        <v>1033</v>
      </c>
      <c r="F102" s="1" t="s">
        <v>89</v>
      </c>
      <c r="G102" s="1" t="s">
        <v>528</v>
      </c>
      <c r="H102" s="1" t="s">
        <v>528</v>
      </c>
      <c r="I102" s="1" t="s">
        <v>153</v>
      </c>
      <c r="J102" s="1" t="n">
        <v>1962</v>
      </c>
      <c r="K102" s="1" t="n">
        <v>1994</v>
      </c>
      <c r="L102" s="1" t="n">
        <v>2000</v>
      </c>
      <c r="W102" s="1" t="n">
        <v>14.8</v>
      </c>
      <c r="Y102" s="1" t="n">
        <v>4</v>
      </c>
      <c r="AA102" s="4" t="str">
        <f aca="false">IF(AND(W102&gt;0,Z102&gt;0),(Z102/((W102+X102)*10)),"")</f>
        <v/>
      </c>
      <c r="AB102" s="1" t="n">
        <v>60</v>
      </c>
      <c r="AC102" s="1" t="n">
        <f aca="false">ROUND(AB102*1.6, 0)</f>
        <v>96</v>
      </c>
      <c r="AF102" s="1" t="n">
        <v>14</v>
      </c>
      <c r="AG102" s="1" t="n">
        <v>14</v>
      </c>
      <c r="AH102" s="1" t="n">
        <v>2.7</v>
      </c>
      <c r="AI102" s="1" t="n">
        <v>3.8</v>
      </c>
      <c r="AJ102" s="5" t="n">
        <v>34</v>
      </c>
      <c r="AK102" s="19" t="str">
        <f aca="false">CONCATENATE(VLOOKUP(AL102, 'Voxel Sizes'!$A$2:$B$18,2,FALSE()),"x",INT(AH102*15), "x", INT(AI102*15))</f>
        <v>136x40x57</v>
      </c>
      <c r="AL102" s="1" t="n">
        <f aca="false">ROUND(15*((AG102*10)/256),0)</f>
        <v>8</v>
      </c>
      <c r="AN102" s="1" t="str">
        <f aca="false">CONCATENATE(VLOOKUP(AL102,Constants!$A$2:$C$16,IF(AM102&lt;&gt;"", 3, 2), FALSE()),IF(AM102&lt;&gt;"",CONCATENATE(",",VLOOKUP(AM102,$B:$AN,38,FALSE())),""))</f>
        <v>2,4,2</v>
      </c>
      <c r="AW102" s="19" t="s">
        <v>575</v>
      </c>
      <c r="AX102" s="1" t="n">
        <v>30</v>
      </c>
      <c r="AY102" s="6" t="n">
        <f aca="false">IF(L102&lt;&gt;"",MAX(16,(L102-J102)+8),"")</f>
        <v>46</v>
      </c>
      <c r="BB102" s="1" t="n">
        <f aca="false">MIN(AB102/150, 1)*30</f>
        <v>12</v>
      </c>
      <c r="BC102" s="1" t="n">
        <f aca="false">MIN(N102/4000, 1)*20</f>
        <v>0</v>
      </c>
      <c r="BD102" s="1" t="n">
        <f aca="false">MIN(Z102/400,1)*20</f>
        <v>0</v>
      </c>
      <c r="BE102" s="4" t="n">
        <f aca="false">1-(MAX(J102-1900, 0)/750)</f>
        <v>0.917333333333333</v>
      </c>
      <c r="BF102" s="1" t="n">
        <f aca="false">((MAX($M102,1)*MIN($AJ102/300,1)))*IF(G102="Wagon",50,10)</f>
        <v>5.66666666666667</v>
      </c>
      <c r="BG102" s="1" t="n">
        <f aca="false">VLOOKUP($H102,Constants!$I:$K, 2, FALSE())</f>
        <v>1</v>
      </c>
      <c r="BH102" s="1" t="n">
        <f aca="false">VLOOKUP($H102,Constants!$I:$K, 3, FALSE())*IF(AND(G102="multiple_unit",AB102&lt;110),0.75,1)</f>
        <v>0.45</v>
      </c>
      <c r="BI102" s="1" t="n">
        <f aca="false">INT(POWER(((Constants!$G$2+$BB102+$BC102+$BD102+$BF102)*$BE102)*$BH102, 1.05))+$BA102</f>
        <v>10</v>
      </c>
      <c r="BJ102" s="1" t="n">
        <f aca="false">INT(POWER((((Constants!$G$1+$BB102+$BC102+$BD102+$BF102)*($BE102))*$BG102),IF($G102="wagon",1,1.2)))+$AZ102</f>
        <v>29</v>
      </c>
      <c r="BK102" s="20" t="n">
        <f aca="false">BI102*IF($G102="wagon",62.5,781.25)</f>
        <v>625</v>
      </c>
      <c r="BL102" s="20" t="n">
        <f aca="false">BJ102*IF($G102="wagon",2.73,81.25)</f>
        <v>79.17</v>
      </c>
      <c r="BT102" s="1" t="n">
        <v>1</v>
      </c>
      <c r="BU102" s="1" t="n">
        <v>185</v>
      </c>
      <c r="BV102" s="1" t="s">
        <v>576</v>
      </c>
      <c r="BX102" s="1" t="s">
        <v>438</v>
      </c>
      <c r="BY102" s="1" t="str">
        <f aca="false">VLOOKUP(J102,Eras!$A$2:$C$10, 2, TRUE())</f>
        <v>dsl</v>
      </c>
      <c r="BZ102" s="18" t="s">
        <v>576</v>
      </c>
      <c r="CA102" s="1" t="str">
        <f aca="false">CONCATENATE(BY102,"_",BZ102)</f>
        <v>dsl_Van</v>
      </c>
      <c r="CB102" s="1" t="str">
        <f aca="false">_xlfn.CONCAT(H102, "_",I102)</f>
        <v>wagon_RAIL</v>
      </c>
      <c r="CC102" s="21" t="str">
        <f aca="false">_xlfn.CONCAT("{BLACK}Length: {GOLD}", TEXT(ROUNDUP(IF(AQ102&lt;&gt;"",SUM(VALUE(_xlfn.TEXTSPLIT(AQ102, ","))), SUM(VALUE(_xlfn.TEXTSPLIT(AN102, ",")))*IF(M102, M102, 1))/16, 1), "#,##0.0"), " tiles{}")</f>
        <v>{BLACK}Length: {GOLD}0.5 tiles{}</v>
      </c>
      <c r="CD102" s="1" t="str">
        <f aca="false">VLOOKUP($CB102, Constants!$M:$N, 2, FALSE())</f>
        <v/>
      </c>
      <c r="CE102" s="1" t="str">
        <f aca="false">IF(M102&gt;1,_xlfn.CONCAT("{BLACK}Cars: {GOLD}", M102),"")</f>
        <v/>
      </c>
      <c r="CF102" s="1" t="s">
        <v>577</v>
      </c>
      <c r="CG102" s="1" t="str">
        <f aca="false">IF(BW102="buffet","{YELLOW}25% long distance bonus for consist{}",IF(BY102="BRAKE","{YELLOW}Speed bonus for slow wagons{}",IF(BU102&gt;190,CONCATENATE("{YELLOW}",INT((BU102-185)/1.85),"% bonus for long distance travel{}"),IF(AND(BU102&lt;180,BU102&lt;&gt;0),CONCATENATE("{YELLOW}",INT((185-BU102)/1.85),"% penalty for long distance travel{}"),""))))</f>
        <v/>
      </c>
      <c r="CH102" s="1" t="str">
        <f aca="false">_xlfn.CONCAT(CD102,IF(CD102 &lt;&gt; "", " ", ""),CE102,IF(OR(CE102&lt;&gt;"", CD102&lt;&gt;""), "{}",""), CC102, CG102,"{SILVER}", CF102)</f>
        <v>{BLACK}Length: {GOLD}0.5 tiles{}{SILVER}BR’s two-axle Ferry Vans were built for interoperation with european service via cross-channel ferry services, allowing British companies to send goods directly to continental customers.</v>
      </c>
      <c r="CI102" s="1"/>
      <c r="CJ102" s="1"/>
    </row>
    <row r="103" customFormat="false" ht="13.8" hidden="false" customHeight="false" outlineLevel="0" collapsed="false">
      <c r="A103" s="1" t="s">
        <v>578</v>
      </c>
      <c r="B103" s="1" t="s">
        <v>579</v>
      </c>
      <c r="C103" s="1" t="n">
        <v>35</v>
      </c>
      <c r="E103" s="1" t="n">
        <v>1035</v>
      </c>
      <c r="F103" s="1" t="s">
        <v>89</v>
      </c>
      <c r="G103" s="1" t="s">
        <v>528</v>
      </c>
      <c r="H103" s="1" t="s">
        <v>528</v>
      </c>
      <c r="I103" s="1" t="s">
        <v>153</v>
      </c>
      <c r="J103" s="1" t="n">
        <v>1977</v>
      </c>
      <c r="W103" s="1" t="n">
        <v>26</v>
      </c>
      <c r="Y103" s="1" t="n">
        <v>4</v>
      </c>
      <c r="AA103" s="4" t="str">
        <f aca="false">IF(AND(W103&gt;0,Z103&gt;0),(Z103/((W103+X103)*10)),"")</f>
        <v/>
      </c>
      <c r="AB103" s="1" t="n">
        <v>60</v>
      </c>
      <c r="AC103" s="1" t="n">
        <f aca="false">ROUND(AB103*1.6, 0)</f>
        <v>96</v>
      </c>
      <c r="AF103" s="1" t="n">
        <v>21.7</v>
      </c>
      <c r="AG103" s="1" t="n">
        <v>21.7</v>
      </c>
      <c r="AI103" s="1" t="n">
        <v>3.8</v>
      </c>
      <c r="AJ103" s="5" t="n">
        <v>58</v>
      </c>
      <c r="AK103" s="19" t="str">
        <f aca="false">CONCATENATE(VLOOKUP(AL103, 'Voxel Sizes'!$A$2:$B$18,2,FALSE()),"x",INT(AH103*15), "x", INT(AI103*15))</f>
        <v>214x0x57</v>
      </c>
      <c r="AL103" s="1" t="n">
        <f aca="false">ROUND(15*((AG103*10)/256),0)</f>
        <v>13</v>
      </c>
      <c r="AN103" s="1" t="str">
        <f aca="false">CONCATENATE(VLOOKUP(AL103,Constants!$A$2:$C$16,IF(AM103&lt;&gt;"", 3, 2), FALSE()),IF(AM103&lt;&gt;"",CONCATENATE(",",VLOOKUP(AM103,$B:$AN,38,FALSE())),""))</f>
        <v>4,5,4</v>
      </c>
      <c r="AW103" s="19"/>
      <c r="AX103" s="1" t="n">
        <v>30</v>
      </c>
      <c r="AY103" s="6" t="str">
        <f aca="false">IF(L103&lt;&gt;"",MAX(16,(L103-J103)+8),"")</f>
        <v/>
      </c>
      <c r="BB103" s="1" t="n">
        <f aca="false">MIN(AB103/150, 1)*30</f>
        <v>12</v>
      </c>
      <c r="BC103" s="1" t="n">
        <f aca="false">MIN(N103/4000, 1)*20</f>
        <v>0</v>
      </c>
      <c r="BD103" s="1" t="n">
        <f aca="false">MIN(Z103/400,1)*20</f>
        <v>0</v>
      </c>
      <c r="BE103" s="4" t="n">
        <f aca="false">1-(MAX(J103-1900, 0)/750)</f>
        <v>0.897333333333333</v>
      </c>
      <c r="BF103" s="1" t="n">
        <f aca="false">((MAX($M103,1)*MIN($AJ103/300,1)))*IF(G103="Wagon",50,10)</f>
        <v>9.66666666666667</v>
      </c>
      <c r="BG103" s="1" t="n">
        <f aca="false">VLOOKUP($H103,Constants!$I:$K, 2, FALSE())</f>
        <v>1</v>
      </c>
      <c r="BH103" s="1" t="n">
        <f aca="false">VLOOKUP($H103,Constants!$I:$K, 3, FALSE())*IF(AND(G103="multiple_unit",AB103&lt;110),0.75,1)</f>
        <v>0.45</v>
      </c>
      <c r="BI103" s="1" t="n">
        <f aca="false">INT(POWER(((Constants!$G$2+$BB103+$BC103+$BD103+$BF103)*$BE103)*$BH103, 1.05))+$BA103</f>
        <v>12</v>
      </c>
      <c r="BJ103" s="1" t="n">
        <f aca="false">INT(POWER((((Constants!$G$1+$BB103+$BC103+$BD103+$BF103)*($BE103))*$BG103),IF($G103="wagon",1,1.2)))+$AZ103</f>
        <v>32</v>
      </c>
      <c r="BK103" s="20" t="n">
        <f aca="false">BI103*IF($G103="wagon",62.5,781.25)</f>
        <v>750</v>
      </c>
      <c r="BL103" s="20" t="n">
        <f aca="false">BJ103*IF($G103="wagon",2.73,81.25)</f>
        <v>87.36</v>
      </c>
      <c r="BT103" s="1" t="n">
        <v>1</v>
      </c>
      <c r="BU103" s="1" t="n">
        <v>185</v>
      </c>
      <c r="BV103" s="1" t="s">
        <v>576</v>
      </c>
      <c r="BX103" s="1" t="s">
        <v>438</v>
      </c>
      <c r="BY103" s="1" t="str">
        <f aca="false">VLOOKUP(J103,Eras!$A$2:$C$10, 2, TRUE())</f>
        <v>lbr</v>
      </c>
      <c r="BZ103" s="18" t="s">
        <v>576</v>
      </c>
      <c r="CA103" s="1" t="str">
        <f aca="false">CONCATENATE(BY103,"_",BZ103)</f>
        <v>lbr_Van</v>
      </c>
      <c r="CB103" s="1" t="str">
        <f aca="false">_xlfn.CONCAT(H103, "_",I103)</f>
        <v>wagon_RAIL</v>
      </c>
      <c r="CC103" s="21" t="str">
        <f aca="false">_xlfn.CONCAT("{BLACK}Length: {GOLD}", TEXT(ROUNDUP(IF(AQ103&lt;&gt;"",SUM(VALUE(_xlfn.TEXTSPLIT(AQ103, ","))), SUM(VALUE(_xlfn.TEXTSPLIT(AN103, ",")))*IF(M103, M103, 1))/16, 1), "#,##0.0"), " tiles{}")</f>
        <v>{BLACK}Length: {GOLD}0.9 tiles{}</v>
      </c>
      <c r="CD103" s="1" t="str">
        <f aca="false">VLOOKUP($CB103, Constants!$M:$N, 2, FALSE())</f>
        <v/>
      </c>
      <c r="CE103" s="1" t="str">
        <f aca="false">IF(M103&gt;1,_xlfn.CONCAT("{BLACK}Cars: {GOLD}", M103),"")</f>
        <v/>
      </c>
      <c r="CF103" s="1" t="s">
        <v>580</v>
      </c>
      <c r="CG103" s="1" t="str">
        <f aca="false">IF(BW103="buffet","{YELLOW}25% long distance bonus for consist{}",IF(BY103="BRAKE","{YELLOW}Speed bonus for slow wagons{}",IF(BU103&gt;190,CONCATENATE("{YELLOW}",INT((BU103-185)/1.85),"% bonus for long distance travel{}"),IF(AND(BU103&lt;180,BU103&lt;&gt;0),CONCATENATE("{YELLOW}",INT((185-BU103)/1.85),"% penalty for long distance travel{}"),""))))</f>
        <v/>
      </c>
      <c r="CH103" s="1" t="str">
        <f aca="false">_xlfn.CONCAT(CD103,IF(CD103 &lt;&gt; "", " ", ""),CE103,IF(OR(CE103&lt;&gt;"", CD103&lt;&gt;""), "{}",""), CC103, CG103,"{SILVER}", CF103)</f>
        <v>{BLACK}Length: {GOLD}0.9 tiles{}{SILVER}The prominent CARGOWAGGON-lettered vans began arriving in international traffic during the late 1970s and 1980s. These large goods wagons were reliable and high-capacity. The whole hood lifts and slides to permit forklift access to the wagon.</v>
      </c>
      <c r="CI103" s="1"/>
      <c r="CJ103" s="1"/>
    </row>
    <row r="104" customFormat="false" ht="13.8" hidden="false" customHeight="false" outlineLevel="0" collapsed="false">
      <c r="A104" s="1" t="s">
        <v>581</v>
      </c>
      <c r="B104" s="1" t="s">
        <v>582</v>
      </c>
      <c r="C104" s="1" t="n">
        <v>36</v>
      </c>
      <c r="E104" s="19" t="n">
        <v>1037</v>
      </c>
      <c r="F104" s="1" t="s">
        <v>89</v>
      </c>
      <c r="G104" s="1" t="s">
        <v>324</v>
      </c>
      <c r="H104" s="1" t="s">
        <v>528</v>
      </c>
      <c r="I104" s="1" t="s">
        <v>153</v>
      </c>
      <c r="J104" s="1" t="n">
        <v>1987</v>
      </c>
      <c r="M104" s="1" t="n">
        <v>2</v>
      </c>
      <c r="W104" s="1" t="n">
        <v>27.3</v>
      </c>
      <c r="Y104" s="1" t="n">
        <v>4</v>
      </c>
      <c r="AA104" s="4" t="str">
        <f aca="false">IF(AND(W104&gt;0,Z104&gt;0),(Z104/((W104+X104)*10)),"")</f>
        <v/>
      </c>
      <c r="AB104" s="1" t="n">
        <v>60</v>
      </c>
      <c r="AC104" s="1" t="n">
        <f aca="false">ROUND(AB104*1.6, 0)</f>
        <v>96</v>
      </c>
      <c r="AF104" s="1" t="n">
        <v>13.5</v>
      </c>
      <c r="AG104" s="1" t="n">
        <v>13.5</v>
      </c>
      <c r="AI104" s="1" t="n">
        <v>3.8</v>
      </c>
      <c r="AJ104" s="5" t="n">
        <v>34</v>
      </c>
      <c r="AK104" s="19" t="str">
        <f aca="false">CONCATENATE(VLOOKUP(AL104, 'Voxel Sizes'!$A$2:$B$18,2,FALSE()),"x",INT(AH104*15), "x", INT(AI104*15))</f>
        <v>136x0x57</v>
      </c>
      <c r="AL104" s="1" t="n">
        <f aca="false">ROUND(15*((AG104*10)/256),0)</f>
        <v>8</v>
      </c>
      <c r="AN104" s="1" t="str">
        <f aca="false">CONCATENATE(VLOOKUP(AL104,Constants!$A$2:$C$16,IF(AM104&lt;&gt;"", 3, 2), FALSE()),IF(AM104&lt;&gt;"",CONCATENATE(",",VLOOKUP(AM104,$B:$AN,38,FALSE())),""))</f>
        <v>2,4,2</v>
      </c>
      <c r="AR104" s="1" t="s">
        <v>583</v>
      </c>
      <c r="AT104" s="1" t="s">
        <v>113</v>
      </c>
      <c r="AU104" s="1" t="s">
        <v>584</v>
      </c>
      <c r="AW104" s="19"/>
      <c r="AX104" s="1" t="n">
        <v>30</v>
      </c>
      <c r="AY104" s="6" t="str">
        <f aca="false">IF(L104&lt;&gt;"",MAX(16,(L104-J104)+8),"")</f>
        <v/>
      </c>
      <c r="BB104" s="1" t="n">
        <f aca="false">MIN(AB104/150, 1)*30</f>
        <v>12</v>
      </c>
      <c r="BC104" s="1" t="n">
        <f aca="false">MIN(N104/4000, 1)*20</f>
        <v>0</v>
      </c>
      <c r="BD104" s="1" t="n">
        <f aca="false">MIN(Z104/400,1)*20</f>
        <v>0</v>
      </c>
      <c r="BE104" s="4" t="n">
        <f aca="false">1-(MAX(J104-1900, 0)/750)</f>
        <v>0.884</v>
      </c>
      <c r="BF104" s="1" t="n">
        <f aca="false">((MAX($M104,1)*MIN($AJ104/300,1)))*IF(G104="Wagon",50,10)</f>
        <v>2.26666666666667</v>
      </c>
      <c r="BG104" s="1" t="n">
        <f aca="false">VLOOKUP($H104,Constants!$I:$K, 2, FALSE())</f>
        <v>1</v>
      </c>
      <c r="BH104" s="1" t="n">
        <f aca="false">VLOOKUP($H104,Constants!$I:$K, 3, FALSE())*IF(AND(G104="multiple_unit",AB104&lt;110),0.75,1)</f>
        <v>0.45</v>
      </c>
      <c r="BI104" s="1" t="n">
        <f aca="false">INT(POWER(((Constants!$G$2+$BB104+$BC104+$BD104+$BF104)*$BE104)*$BH104, 1.05))+$BA104</f>
        <v>8</v>
      </c>
      <c r="BJ104" s="1" t="n">
        <f aca="false">INT(POWER((((Constants!$G$1+$BB104+$BC104+$BD104+$BF104)*($BE104))*$BG104),IF($G104="wagon",1,1.2)))+$AZ104</f>
        <v>49</v>
      </c>
      <c r="BK104" s="20" t="n">
        <f aca="false">BI104*IF($G104="wagon",62.5,781.25)</f>
        <v>6250</v>
      </c>
      <c r="BL104" s="20" t="n">
        <f aca="false">BJ104*IF($G104="wagon",2.73,81.25)</f>
        <v>3981.25</v>
      </c>
      <c r="BT104" s="1" t="n">
        <v>1</v>
      </c>
      <c r="BU104" s="1" t="n">
        <v>185</v>
      </c>
      <c r="BV104" s="1" t="s">
        <v>576</v>
      </c>
      <c r="BX104" s="1" t="s">
        <v>438</v>
      </c>
      <c r="BY104" s="1" t="str">
        <f aca="false">VLOOKUP(J104,Eras!$A$2:$C$10, 2, TRUE())</f>
        <v>lbr</v>
      </c>
      <c r="BZ104" s="18" t="s">
        <v>576</v>
      </c>
      <c r="CA104" s="1" t="str">
        <f aca="false">CONCATENATE(BY104,"_",BZ104)</f>
        <v>lbr_Van</v>
      </c>
      <c r="CB104" s="1" t="str">
        <f aca="false">_xlfn.CONCAT(H104, "_",I104)</f>
        <v>wagon_RAIL</v>
      </c>
      <c r="CC104" s="21" t="str">
        <f aca="false">_xlfn.CONCAT("{BLACK}Length: {GOLD}", TEXT(ROUNDUP(IF(AQ104&lt;&gt;"",SUM(VALUE(_xlfn.TEXTSPLIT(AQ104, ","))), SUM(VALUE(_xlfn.TEXTSPLIT(AN104, ",")))*IF(M104, M104, 1))/16, 1), "#,##0.0"), " tiles{}")</f>
        <v>{BLACK}Length: {GOLD}1.0 tiles{}</v>
      </c>
      <c r="CD104" s="1" t="str">
        <f aca="false">VLOOKUP($CB104, Constants!$M:$N, 2, FALSE())</f>
        <v/>
      </c>
      <c r="CE104" s="1" t="str">
        <f aca="false">IF(M104&gt;1,_xlfn.CONCAT("{BLACK}Cars: {GOLD}", M104),"")</f>
        <v>{BLACK}Cars: {GOLD}2</v>
      </c>
      <c r="CF104" s="1" t="s">
        <v>585</v>
      </c>
      <c r="CG104" s="1" t="str">
        <f aca="false">IF(BW104="buffet","{YELLOW}25% long distance bonus for consist{}",IF(BY104="BRAKE","{YELLOW}Speed bonus for slow wagons{}",IF(BU104&gt;190,CONCATENATE("{YELLOW}",INT((BU104-185)/1.85),"% bonus for long distance travel{}"),IF(AND(BU104&lt;180,BU104&lt;&gt;0),CONCATENATE("{YELLOW}",INT((185-BU104)/1.85),"% penalty for long distance travel{}"),""))))</f>
        <v/>
      </c>
      <c r="CH104" s="1" t="str">
        <f aca="false">_xlfn.CONCAT(CD104,IF(CD104 &lt;&gt; "", " ", ""),CE104,IF(OR(CE104&lt;&gt;"", CD104&lt;&gt;""), "{}",""), CC104, CG104,"{SILVER}", CF104)</f>
        <v>{BLACK}Cars: {GOLD}2{}{BLACK}Length: {GOLD}1.0 tiles{}{SILVER}Built as permanently-coupled pairs of two-axle wagons, supposedly to capture an EU subsidy, these smaller cargowaggon sets continue to see service within the UK.</v>
      </c>
      <c r="CI104" s="1"/>
      <c r="CJ104" s="1"/>
      <c r="XFD104" s="19"/>
    </row>
    <row r="105" customFormat="false" ht="13.8" hidden="false" customHeight="false" outlineLevel="0" collapsed="false">
      <c r="A105" s="1" t="s">
        <v>586</v>
      </c>
      <c r="B105" s="1" t="s">
        <v>587</v>
      </c>
      <c r="C105" s="1" t="n">
        <v>37</v>
      </c>
      <c r="E105" s="1" t="n">
        <v>1036</v>
      </c>
      <c r="F105" s="1" t="s">
        <v>89</v>
      </c>
      <c r="G105" s="1" t="s">
        <v>528</v>
      </c>
      <c r="H105" s="1" t="s">
        <v>528</v>
      </c>
      <c r="I105" s="1" t="s">
        <v>153</v>
      </c>
      <c r="J105" s="1" t="n">
        <v>1977</v>
      </c>
      <c r="W105" s="1" t="n">
        <v>25</v>
      </c>
      <c r="Y105" s="1" t="n">
        <v>4</v>
      </c>
      <c r="AA105" s="4" t="str">
        <f aca="false">IF(AND(W105&gt;0,Z105&gt;0),(Z105/((W105+X105)*10)),"")</f>
        <v/>
      </c>
      <c r="AB105" s="1" t="n">
        <v>60</v>
      </c>
      <c r="AC105" s="1" t="n">
        <f aca="false">ROUND(AB105*1.6, 0)</f>
        <v>96</v>
      </c>
      <c r="AF105" s="1" t="n">
        <v>21.7</v>
      </c>
      <c r="AG105" s="1" t="n">
        <v>21.7</v>
      </c>
      <c r="AI105" s="1" t="n">
        <v>3.8</v>
      </c>
      <c r="AJ105" s="5" t="n">
        <v>65</v>
      </c>
      <c r="AK105" s="19" t="str">
        <f aca="false">CONCATENATE(VLOOKUP(AL105, 'Voxel Sizes'!$A$2:$B$18,2,FALSE()),"x",INT(AH105*15), "x", INT(AI105*15))</f>
        <v>214x0x57</v>
      </c>
      <c r="AL105" s="1" t="n">
        <f aca="false">ROUND(15*((AG105*10)/256),0)</f>
        <v>13</v>
      </c>
      <c r="AN105" s="1" t="str">
        <f aca="false">CONCATENATE(VLOOKUP(AL105,Constants!$A$2:$C$16,IF(AM105&lt;&gt;"", 3, 2), FALSE()),IF(AM105&lt;&gt;"",CONCATENATE(",",VLOOKUP(AM105,$B:$AN,38,FALSE())),""))</f>
        <v>4,5,4</v>
      </c>
      <c r="AW105" s="19"/>
      <c r="AX105" s="1" t="n">
        <v>30</v>
      </c>
      <c r="AY105" s="6" t="str">
        <f aca="false">IF(L105&lt;&gt;"",MAX(16,(L105-J105)+8),"")</f>
        <v/>
      </c>
      <c r="BB105" s="1" t="n">
        <f aca="false">MIN(AB105/150, 1)*30</f>
        <v>12</v>
      </c>
      <c r="BC105" s="1" t="n">
        <f aca="false">MIN(N105/4000, 1)*20</f>
        <v>0</v>
      </c>
      <c r="BD105" s="1" t="n">
        <f aca="false">MIN(Z105/400,1)*20</f>
        <v>0</v>
      </c>
      <c r="BE105" s="4" t="n">
        <f aca="false">1-(MAX(J105-1900, 0)/750)</f>
        <v>0.897333333333333</v>
      </c>
      <c r="BF105" s="1" t="n">
        <f aca="false">((MAX($M105,1)*MIN($AJ105/300,1)))*IF(G105="Wagon",50,10)</f>
        <v>10.8333333333333</v>
      </c>
      <c r="BG105" s="1" t="n">
        <f aca="false">VLOOKUP($H105,Constants!$I:$K, 2, FALSE())</f>
        <v>1</v>
      </c>
      <c r="BH105" s="1" t="n">
        <f aca="false">VLOOKUP($H105,Constants!$I:$K, 3, FALSE())*IF(AND(G105="multiple_unit",AB105&lt;110),0.75,1)</f>
        <v>0.45</v>
      </c>
      <c r="BI105" s="1" t="n">
        <f aca="false">INT(POWER(((Constants!$G$2+$BB105+$BC105+$BD105+$BF105)*$BE105)*$BH105, 1.05))+$BA105</f>
        <v>12</v>
      </c>
      <c r="BJ105" s="1" t="n">
        <f aca="false">INT(POWER((((Constants!$G$1+$BB105+$BC105+$BD105+$BF105)*($BE105))*$BG105),IF($G105="wagon",1,1.2)))+$AZ105</f>
        <v>33</v>
      </c>
      <c r="BK105" s="20" t="n">
        <f aca="false">BI105*IF($G105="wagon",62.5,781.25)</f>
        <v>750</v>
      </c>
      <c r="BL105" s="20" t="n">
        <f aca="false">BJ105*IF($G105="wagon",2.73,81.25)</f>
        <v>90.09</v>
      </c>
      <c r="BT105" s="1" t="n">
        <v>1</v>
      </c>
      <c r="BU105" s="1" t="n">
        <v>185</v>
      </c>
      <c r="BV105" s="32" t="s">
        <v>588</v>
      </c>
      <c r="BW105" s="32"/>
      <c r="BX105" s="32" t="s">
        <v>589</v>
      </c>
      <c r="BY105" s="1" t="str">
        <f aca="false">VLOOKUP(J105,Eras!$A$2:$C$10, 2, TRUE())</f>
        <v>lbr</v>
      </c>
      <c r="BZ105" s="18" t="s">
        <v>590</v>
      </c>
      <c r="CA105" s="1" t="str">
        <f aca="false">CONCATENATE(BY105,"_",BZ105)</f>
        <v>lbr_Flat Wagon</v>
      </c>
      <c r="CB105" s="1" t="str">
        <f aca="false">_xlfn.CONCAT(H105, "_",I105)</f>
        <v>wagon_RAIL</v>
      </c>
      <c r="CC105" s="21" t="str">
        <f aca="false">_xlfn.CONCAT("{BLACK}Length: {GOLD}", TEXT(ROUNDUP(IF(AQ105&lt;&gt;"",SUM(VALUE(_xlfn.TEXTSPLIT(AQ105, ","))), SUM(VALUE(_xlfn.TEXTSPLIT(AN105, ",")))*IF(M105, M105, 1))/16, 1), "#,##0.0"), " tiles{}")</f>
        <v>{BLACK}Length: {GOLD}0.9 tiles{}</v>
      </c>
      <c r="CD105" s="1" t="str">
        <f aca="false">VLOOKUP($CB105, Constants!$M:$N, 2, FALSE())</f>
        <v/>
      </c>
      <c r="CE105" s="1" t="str">
        <f aca="false">IF(M105&gt;1,_xlfn.CONCAT("{BLACK}Cars: {GOLD}", M105),"")</f>
        <v/>
      </c>
      <c r="CF105" s="1" t="s">
        <v>591</v>
      </c>
      <c r="CG105" s="1" t="str">
        <f aca="false">IF(BX105="buffet","{YELLOW}25% long distance bonus for consist{}",IF(BY105="BRAKE","{YELLOW}Speed bonus for slow wagons{}",IF(BU105&gt;190,CONCATENATE("{YELLOW}",INT((BU105-185)/1.85),"% bonus for long distance travel{}"),IF(AND(BU105&lt;180,BU105&lt;&gt;0),CONCATENATE("{YELLOW}",INT((185-BU105)/1.85),"% penalty for long distance travel{}"),""))))</f>
        <v/>
      </c>
      <c r="CH105" s="1" t="str">
        <f aca="false">_xlfn.CONCAT(CD105,IF(CD105 &lt;&gt; "", " ", ""),CE105,IF(OR(CE105&lt;&gt;"", CD105&lt;&gt;""), "{}",""), CC105, CG105,"{SILVER}", CF105)</f>
        <v>{BLACK}Length: {GOLD}0.9 tiles{}{SILVER}The basic chassis of the Cargowaggon van adapted naturally to a sturdy, high-capacity flat wagon, used for steel, wood and other cargo, then later adapted for departmental work carrying welded rail and as match wagons.</v>
      </c>
      <c r="CI105" s="1"/>
      <c r="CJ105" s="1"/>
      <c r="XFD105" s="19"/>
    </row>
    <row r="106" customFormat="false" ht="13.8" hidden="false" customHeight="false" outlineLevel="0" collapsed="false">
      <c r="A106" s="18" t="s">
        <v>592</v>
      </c>
      <c r="B106" s="18" t="s">
        <v>593</v>
      </c>
      <c r="C106" s="1" t="n">
        <v>101</v>
      </c>
      <c r="E106" s="1" t="n">
        <v>1101</v>
      </c>
      <c r="F106" s="1" t="s">
        <v>89</v>
      </c>
      <c r="G106" s="1" t="s">
        <v>528</v>
      </c>
      <c r="H106" s="1" t="s">
        <v>594</v>
      </c>
      <c r="I106" s="1" t="s">
        <v>153</v>
      </c>
      <c r="J106" s="1" t="n">
        <v>1905</v>
      </c>
      <c r="K106" s="1" t="n">
        <v>1960</v>
      </c>
      <c r="L106" s="1" t="n">
        <v>1960</v>
      </c>
      <c r="W106" s="1" t="n">
        <v>39</v>
      </c>
      <c r="Y106" s="1" t="n">
        <v>4</v>
      </c>
      <c r="AA106" s="4" t="str">
        <f aca="false">IF(AND(W106&gt;0,Z106&gt;0),(Z106/((W106+X106)*10)),"")</f>
        <v/>
      </c>
      <c r="AB106" s="1" t="n">
        <v>90</v>
      </c>
      <c r="AC106" s="1" t="n">
        <f aca="false">ROUND(AB106*1.6, 0)</f>
        <v>144</v>
      </c>
      <c r="AF106" s="1" t="n">
        <v>19.8</v>
      </c>
      <c r="AG106" s="1" t="n">
        <v>20</v>
      </c>
      <c r="AH106" s="1" t="n">
        <v>2.82</v>
      </c>
      <c r="AI106" s="1" t="n">
        <v>3.79</v>
      </c>
      <c r="AJ106" s="5" t="n">
        <v>18</v>
      </c>
      <c r="AK106" s="19" t="str">
        <f aca="false">CONCATENATE(VLOOKUP(AL106, 'Voxel Sizes'!$A$2:$B$18,2,FALSE()),"x",INT(AH106*15), "x", INT(AI106*15))</f>
        <v>198x42x56</v>
      </c>
      <c r="AL106" s="1" t="n">
        <f aca="false">ROUND(15*((AG106*10)/256),0)</f>
        <v>12</v>
      </c>
      <c r="AN106" s="1" t="str">
        <f aca="false">CONCATENATE(VLOOKUP(AL106,Constants!$A$2:$C$16,IF(AM106&lt;&gt;"", 3, 2), FALSE()),IF(AM106&lt;&gt;"",CONCATENATE(",",VLOOKUP(AM106,$B:$AN,38,FALSE())),""))</f>
        <v>4,4,4</v>
      </c>
      <c r="AX106" s="1" t="n">
        <v>30</v>
      </c>
      <c r="AY106" s="6" t="n">
        <f aca="false">IF(L106&lt;&gt;"",MAX(16,(L106-J106)+8),"")</f>
        <v>63</v>
      </c>
      <c r="AZ106" s="1" t="n">
        <v>1000</v>
      </c>
      <c r="BA106" s="1" t="n">
        <v>110</v>
      </c>
      <c r="BB106" s="1" t="n">
        <f aca="false">MIN(AB106/150, 1)*30</f>
        <v>18</v>
      </c>
      <c r="BC106" s="1" t="n">
        <f aca="false">MIN(N106/4000, 1)*20</f>
        <v>0</v>
      </c>
      <c r="BD106" s="1" t="n">
        <f aca="false">MIN(Z106/400,1)*20</f>
        <v>0</v>
      </c>
      <c r="BE106" s="4" t="n">
        <f aca="false">1-(MAX(J106-1900, 0)/750)</f>
        <v>0.993333333333333</v>
      </c>
      <c r="BF106" s="1" t="n">
        <f aca="false">((MAX($M106,1)*MIN($AJ106/300,1)))*IF(G106="Wagon",50,10)</f>
        <v>3</v>
      </c>
      <c r="BG106" s="1" t="n">
        <f aca="false">VLOOKUP($H106,Constants!$I:$K, 2, FALSE())</f>
        <v>1.5</v>
      </c>
      <c r="BH106" s="1" t="n">
        <f aca="false">VLOOKUP($H106,Constants!$I:$K, 3, FALSE())*IF(AND(G106="multiple_unit",AB106&lt;110),0.75,1)</f>
        <v>0.7</v>
      </c>
      <c r="BI106" s="1" t="n">
        <f aca="false">INT(POWER(((Constants!$G$2+$BB106+$BC106+$BD106+$BF106)*$BE106)*$BH106, 1.05))+$BA106</f>
        <v>130</v>
      </c>
      <c r="BJ106" s="1" t="n">
        <f aca="false">INT(POWER((((Constants!$G$1+$BB106+$BC106+$BD106+$BF106)*($BE106))*$BG106),IF($G106="wagon",1,1.2)))+$AZ106</f>
        <v>1053</v>
      </c>
      <c r="BK106" s="20" t="n">
        <f aca="false">BI106*IF($G106="wagon",62.5,781.25)</f>
        <v>8125</v>
      </c>
      <c r="BL106" s="20" t="n">
        <f aca="false">BJ106*IF($G106="wagon",2.73,81.25)</f>
        <v>2874.69</v>
      </c>
      <c r="BT106" s="1" t="n">
        <v>2</v>
      </c>
      <c r="BU106" s="1" t="n">
        <v>278</v>
      </c>
      <c r="BV106" s="1" t="s">
        <v>225</v>
      </c>
      <c r="BX106" s="1" t="s">
        <v>95</v>
      </c>
      <c r="BY106" s="1" t="str">
        <f aca="false">VLOOKUP(J106,Eras!$A$2:$C$10, 2, TRUE())</f>
        <v>edw</v>
      </c>
      <c r="BZ106" s="18" t="s">
        <v>595</v>
      </c>
      <c r="CA106" s="1" t="str">
        <f aca="false">CONCATENATE(BY106,"_",BZ106)</f>
        <v>edw_Carriage</v>
      </c>
      <c r="CB106" s="1" t="str">
        <f aca="false">_xlfn.CONCAT(H106, "_",I106)</f>
        <v>luxury_carriage_RAIL</v>
      </c>
      <c r="CC106" s="21" t="str">
        <f aca="false">_xlfn.CONCAT("{BLACK}Length: {GOLD}", TEXT(ROUNDUP(IF(AQ106&lt;&gt;"",SUM(VALUE(_xlfn.TEXTSPLIT(AQ106, ","))), SUM(VALUE(_xlfn.TEXTSPLIT(AN106, ",")))*IF(M106, M106, 1))/16, 1), "#,##0.0"), " tiles{}")</f>
        <v>{BLACK}Length: {GOLD}0.8 tiles{}</v>
      </c>
      <c r="CD106" s="1" t="str">
        <f aca="false">VLOOKUP($CB106, Constants!$M:$N, 2, FALSE())</f>
        <v/>
      </c>
      <c r="CE106" s="1" t="str">
        <f aca="false">IF(M106&gt;1,_xlfn.CONCAT("{BLACK}Cars: {GOLD}", M106),"")</f>
        <v/>
      </c>
      <c r="CF106" s="1" t="s">
        <v>596</v>
      </c>
      <c r="CG106" s="1" t="str">
        <f aca="false">IF(BW106="buffet","{YELLOW}25% long distance bonus for consist{}",IF(BY106="BRAKE","{YELLOW}Speed bonus for slow wagons{}",IF(BU106&gt;190,CONCATENATE("{YELLOW}",INT((BU106-185)/1.85),"% bonus for long distance travel{}"),IF(AND(BU106&lt;180,BU106&lt;&gt;0),CONCATENATE("{YELLOW}",INT((185-BU106)/1.85),"% penalty for long distance travel{}"),""))))</f>
        <v>{YELLOW}50% bonus for long distance travel{}</v>
      </c>
      <c r="CH106" s="1" t="str">
        <f aca="false">_xlfn.CONCAT(CD106,IF(CD106 &lt;&gt; "", " ", ""),CE106,IF(OR(CE106&lt;&gt;"", CD106&lt;&gt;""), "{}",""), CC106, CG106,"{SILVER}", CF106)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106" s="1"/>
      <c r="CJ106" s="1"/>
    </row>
    <row r="107" customFormat="false" ht="13.8" hidden="false" customHeight="false" outlineLevel="0" collapsed="false">
      <c r="A107" s="18" t="s">
        <v>597</v>
      </c>
      <c r="B107" s="18" t="s">
        <v>598</v>
      </c>
      <c r="C107" s="1" t="n">
        <v>1111</v>
      </c>
      <c r="E107" s="1" t="n">
        <v>1102</v>
      </c>
      <c r="F107" s="1" t="s">
        <v>89</v>
      </c>
      <c r="G107" s="1" t="s">
        <v>528</v>
      </c>
      <c r="H107" s="1" t="s">
        <v>594</v>
      </c>
      <c r="I107" s="1" t="s">
        <v>153</v>
      </c>
      <c r="J107" s="1" t="n">
        <v>1936</v>
      </c>
      <c r="K107" s="1" t="n">
        <v>1974</v>
      </c>
      <c r="L107" s="1" t="n">
        <v>1980</v>
      </c>
      <c r="W107" s="1" t="n">
        <v>38</v>
      </c>
      <c r="Y107" s="1" t="n">
        <v>4</v>
      </c>
      <c r="AA107" s="4" t="str">
        <f aca="false">IF(AND(W107&gt;0,Z107&gt;0),(Z107/((W107+X107)*10)),"")</f>
        <v/>
      </c>
      <c r="AB107" s="1" t="n">
        <v>90</v>
      </c>
      <c r="AC107" s="1" t="n">
        <f aca="false">ROUND(AB107*1.6, 0)</f>
        <v>144</v>
      </c>
      <c r="AF107" s="1" t="n">
        <v>19.2</v>
      </c>
      <c r="AG107" s="1" t="n">
        <v>20</v>
      </c>
      <c r="AH107" s="1" t="n">
        <v>2.82</v>
      </c>
      <c r="AI107" s="1" t="n">
        <v>3.79</v>
      </c>
      <c r="AJ107" s="5" t="n">
        <v>18</v>
      </c>
      <c r="AK107" s="19" t="str">
        <f aca="false">CONCATENATE(VLOOKUP(AL107, 'Voxel Sizes'!$A$2:$B$18,2,FALSE()),"x",INT(AH107*15), "x", INT(AI107*15))</f>
        <v>198x42x56</v>
      </c>
      <c r="AL107" s="1" t="n">
        <f aca="false">ROUND(15*((AG107*10)/256),0)</f>
        <v>12</v>
      </c>
      <c r="AN107" s="1" t="str">
        <f aca="false">CONCATENATE(VLOOKUP(AL107,Constants!$A$2:$C$16,IF(AM107&lt;&gt;"", 3, 2), FALSE()),IF(AM107&lt;&gt;"",CONCATENATE(",",VLOOKUP(AM107,$B:$AN,38,FALSE())),""))</f>
        <v>4,4,4</v>
      </c>
      <c r="AW107" s="19" t="s">
        <v>599</v>
      </c>
      <c r="AX107" s="1" t="n">
        <v>30</v>
      </c>
      <c r="AY107" s="6" t="n">
        <f aca="false">IF(L107&lt;&gt;"",MAX(16,(L107-J107)+8),"")</f>
        <v>52</v>
      </c>
      <c r="AZ107" s="1" t="n">
        <v>1000</v>
      </c>
      <c r="BA107" s="1" t="n">
        <v>110</v>
      </c>
      <c r="BB107" s="1" t="n">
        <f aca="false">MIN(AB107/150, 1)*30</f>
        <v>18</v>
      </c>
      <c r="BC107" s="1" t="n">
        <f aca="false">MIN(N107/4000, 1)*20</f>
        <v>0</v>
      </c>
      <c r="BD107" s="1" t="n">
        <f aca="false">MIN(Z107/400,1)*20</f>
        <v>0</v>
      </c>
      <c r="BE107" s="4" t="n">
        <f aca="false">1-(MAX(J107-1900, 0)/750)</f>
        <v>0.952</v>
      </c>
      <c r="BF107" s="1" t="n">
        <f aca="false">((MAX($M107,1)*MIN($AJ107/300,1)))*IF(G107="Wagon",50,10)</f>
        <v>3</v>
      </c>
      <c r="BG107" s="1" t="n">
        <f aca="false">VLOOKUP($H107,Constants!$I:$K, 2, FALSE())</f>
        <v>1.5</v>
      </c>
      <c r="BH107" s="1" t="n">
        <f aca="false">VLOOKUP($H107,Constants!$I:$K, 3, FALSE())*IF(AND(G107="multiple_unit",AB107&lt;110),0.75,1)</f>
        <v>0.7</v>
      </c>
      <c r="BI107" s="1" t="n">
        <f aca="false">INT(POWER(((Constants!$G$2+$BB107+$BC107+$BD107+$BF107)*$BE107)*$BH107, 1.05))+$BA107</f>
        <v>129</v>
      </c>
      <c r="BJ107" s="1" t="n">
        <f aca="false">INT(POWER((((Constants!$G$1+$BB107+$BC107+$BD107+$BF107)*($BE107))*$BG107),IF($G107="wagon",1,1.2)))+$AZ107</f>
        <v>1051</v>
      </c>
      <c r="BK107" s="20" t="n">
        <f aca="false">BI107*IF($G107="wagon",62.5,781.25)</f>
        <v>8062.5</v>
      </c>
      <c r="BL107" s="20" t="n">
        <f aca="false">BJ107*IF($G107="wagon",2.73,81.25)</f>
        <v>2869.23</v>
      </c>
      <c r="BT107" s="1" t="n">
        <v>2</v>
      </c>
      <c r="BU107" s="1" t="n">
        <v>278</v>
      </c>
      <c r="BV107" s="1" t="s">
        <v>225</v>
      </c>
      <c r="BX107" s="1" t="s">
        <v>95</v>
      </c>
      <c r="BY107" s="1" t="str">
        <f aca="false">VLOOKUP(J107,Eras!$A$2:$C$10, 2, TRUE())</f>
        <v>big4</v>
      </c>
      <c r="BZ107" s="18" t="s">
        <v>595</v>
      </c>
      <c r="CA107" s="1" t="str">
        <f aca="false">CONCATENATE(BY107,"_",BZ107)</f>
        <v>big4_Carriage</v>
      </c>
      <c r="CB107" s="1" t="str">
        <f aca="false">_xlfn.CONCAT(H107, "_",I107)</f>
        <v>luxury_carriage_RAIL</v>
      </c>
      <c r="CC107" s="21" t="str">
        <f aca="false">_xlfn.CONCAT("{BLACK}Length: {GOLD}", TEXT(ROUNDUP(IF(AQ107&lt;&gt;"",SUM(VALUE(_xlfn.TEXTSPLIT(AQ107, ","))), SUM(VALUE(_xlfn.TEXTSPLIT(AN107, ",")))*IF(M107, M107, 1))/16, 1), "#,##0.0"), " tiles{}")</f>
        <v>{BLACK}Length: {GOLD}0.8 tiles{}</v>
      </c>
      <c r="CD107" s="1" t="str">
        <f aca="false">VLOOKUP($CB107, Constants!$M:$N, 2, FALSE())</f>
        <v/>
      </c>
      <c r="CE107" s="1" t="str">
        <f aca="false">IF(M107&gt;1,_xlfn.CONCAT("{BLACK}Cars: {GOLD}", M107),"")</f>
        <v/>
      </c>
      <c r="CF107" s="1" t="s">
        <v>600</v>
      </c>
      <c r="CG107" s="1" t="str">
        <f aca="false">IF(BW107="buffet","{YELLOW}25% long distance bonus for consist{}",IF(BY107="BRAKE","{YELLOW}Speed bonus for slow wagons{}",IF(BU107&gt;190,CONCATENATE("{YELLOW}",INT((BU107-185)/1.85),"% bonus for long distance travel{}"),IF(AND(BU107&lt;180,BU107&lt;&gt;0),CONCATENATE("{YELLOW}",INT((185-BU107)/1.85),"% penalty for long distance travel{}"),""))))</f>
        <v>{YELLOW}50% bonus for long distance travel{}</v>
      </c>
      <c r="CH107" s="1" t="str">
        <f aca="false">_xlfn.CONCAT(CD107,IF(CD107 &lt;&gt; "", " ", ""),CE107,IF(OR(CE107&lt;&gt;"", CD107&lt;&gt;""), "{}",""), CC107, CG107,"{SILVER}", CF107)</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107" s="1"/>
      <c r="CJ107" s="1"/>
      <c r="XFD107" s="19"/>
    </row>
    <row r="108" customFormat="false" ht="13.8" hidden="false" customHeight="false" outlineLevel="0" collapsed="false">
      <c r="A108" s="18" t="s">
        <v>601</v>
      </c>
      <c r="B108" s="18" t="s">
        <v>602</v>
      </c>
      <c r="C108" s="1" t="n">
        <v>1112</v>
      </c>
      <c r="E108" s="1" t="n">
        <v>1103</v>
      </c>
      <c r="F108" s="1" t="s">
        <v>89</v>
      </c>
      <c r="G108" s="1" t="s">
        <v>528</v>
      </c>
      <c r="H108" s="1" t="s">
        <v>603</v>
      </c>
      <c r="I108" s="1" t="s">
        <v>153</v>
      </c>
      <c r="J108" s="1" t="n">
        <v>1936</v>
      </c>
      <c r="K108" s="1" t="n">
        <v>1974</v>
      </c>
      <c r="L108" s="1" t="n">
        <v>1980</v>
      </c>
      <c r="W108" s="1" t="n">
        <v>21</v>
      </c>
      <c r="Y108" s="1" t="n">
        <v>4</v>
      </c>
      <c r="AA108" s="4" t="str">
        <f aca="false">IF(AND(W108&gt;0,Z108&gt;0),(Z108/((W108+X108)*10)),"")</f>
        <v/>
      </c>
      <c r="AB108" s="1" t="n">
        <v>90</v>
      </c>
      <c r="AC108" s="1" t="n">
        <f aca="false">ROUND(AB108*1.6, 0)</f>
        <v>144</v>
      </c>
      <c r="AF108" s="1" t="n">
        <v>12.1</v>
      </c>
      <c r="AG108" s="1" t="n">
        <v>12</v>
      </c>
      <c r="AH108" s="1" t="n">
        <v>2.82</v>
      </c>
      <c r="AI108" s="1" t="n">
        <v>3.79</v>
      </c>
      <c r="AJ108" s="5" t="n">
        <v>18</v>
      </c>
      <c r="AK108" s="19" t="str">
        <f aca="false">CONCATENATE(VLOOKUP(AL108, 'Voxel Sizes'!$A$2:$B$18,2,FALSE()),"x",INT(AH108*15), "x", INT(AI108*15))</f>
        <v>120x42x56</v>
      </c>
      <c r="AL108" s="1" t="n">
        <f aca="false">ROUND(15*((AG108*10)/256),0)</f>
        <v>7</v>
      </c>
      <c r="AN108" s="1" t="str">
        <f aca="false">CONCATENATE(VLOOKUP(AL108,Constants!$A$2:$C$16,IF(AM108&lt;&gt;"", 3, 2), FALSE()),IF(AM108&lt;&gt;"",CONCATENATE(",",VLOOKUP(AM108,$B:$AN,38,FALSE())),""))</f>
        <v>2,3,2</v>
      </c>
      <c r="AW108" s="19" t="s">
        <v>604</v>
      </c>
      <c r="AX108" s="1" t="n">
        <v>30</v>
      </c>
      <c r="AY108" s="6" t="n">
        <f aca="false">IF(L108&lt;&gt;"",MAX(16,(L108-J108)+8),"")</f>
        <v>52</v>
      </c>
      <c r="AZ108" s="1" t="n">
        <v>1000</v>
      </c>
      <c r="BA108" s="1" t="n">
        <v>110</v>
      </c>
      <c r="BB108" s="1" t="n">
        <f aca="false">MIN(AB108/150, 1)*30</f>
        <v>18</v>
      </c>
      <c r="BC108" s="1" t="n">
        <f aca="false">MIN(N108/4000, 1)*20</f>
        <v>0</v>
      </c>
      <c r="BD108" s="1" t="n">
        <f aca="false">MIN(Z108/400,1)*20</f>
        <v>0</v>
      </c>
      <c r="BE108" s="4" t="n">
        <f aca="false">1-(MAX(J108-1900, 0)/750)</f>
        <v>0.952</v>
      </c>
      <c r="BF108" s="1" t="n">
        <f aca="false">((MAX($M108,1)*MIN($AJ108/300,1)))*IF(G108="Wagon",50,10)</f>
        <v>3</v>
      </c>
      <c r="BG108" s="1" t="n">
        <f aca="false">VLOOKUP($H108,Constants!$I:$K, 2, FALSE())</f>
        <v>1.2</v>
      </c>
      <c r="BH108" s="1" t="n">
        <f aca="false">VLOOKUP($H108,Constants!$I:$K, 3, FALSE())*IF(AND(G108="multiple_unit",AB108&lt;110),0.75,1)</f>
        <v>0.6</v>
      </c>
      <c r="BI108" s="1" t="n">
        <f aca="false">INT(POWER(((Constants!$G$2+$BB108+$BC108+$BD108+$BF108)*$BE108)*$BH108, 1.05))+$BA108</f>
        <v>126</v>
      </c>
      <c r="BJ108" s="1" t="n">
        <f aca="false">INT(POWER((((Constants!$G$1+$BB108+$BC108+$BD108+$BF108)*($BE108))*$BG108),IF($G108="wagon",1,1.2)))+$AZ108</f>
        <v>1041</v>
      </c>
      <c r="BK108" s="20" t="n">
        <f aca="false">BI108*IF($G108="wagon",62.5,781.25)</f>
        <v>7875</v>
      </c>
      <c r="BL108" s="20" t="n">
        <f aca="false">BJ108*IF($G108="wagon",2.73,81.25)</f>
        <v>2841.93</v>
      </c>
      <c r="BT108" s="1" t="n">
        <v>2</v>
      </c>
      <c r="BU108" s="1" t="n">
        <v>185</v>
      </c>
      <c r="BV108" s="1" t="s">
        <v>368</v>
      </c>
      <c r="BX108" s="1" t="s">
        <v>148</v>
      </c>
      <c r="BY108" s="1" t="str">
        <f aca="false">VLOOKUP(J108,Eras!$A$2:$C$10, 2, TRUE())</f>
        <v>big4</v>
      </c>
      <c r="BZ108" s="18" t="s">
        <v>595</v>
      </c>
      <c r="CA108" s="1" t="str">
        <f aca="false">CONCATENATE(BY108,"_",BZ108)</f>
        <v>big4_Carriage</v>
      </c>
      <c r="CB108" s="1" t="str">
        <f aca="false">_xlfn.CONCAT(H108, "_",I108)</f>
        <v>carriage_RAIL</v>
      </c>
      <c r="CC108" s="21" t="str">
        <f aca="false">_xlfn.CONCAT("{BLACK}Length: {GOLD}", TEXT(ROUNDUP(IF(AQ108&lt;&gt;"",SUM(VALUE(_xlfn.TEXTSPLIT(AQ108, ","))), SUM(VALUE(_xlfn.TEXTSPLIT(AN108, ",")))*IF(M108, M108, 1))/16, 1), "#,##0.0"), " tiles{}")</f>
        <v>{BLACK}Length: {GOLD}0.5 tiles{}</v>
      </c>
      <c r="CD108" s="1" t="str">
        <f aca="false">VLOOKUP($CB108, Constants!$M:$N, 2, FALSE())</f>
        <v/>
      </c>
      <c r="CE108" s="1" t="str">
        <f aca="false">IF(M108&gt;1,_xlfn.CONCAT("{BLACK}Cars: {GOLD}", M108),"")</f>
        <v/>
      </c>
      <c r="CF108" s="1" t="s">
        <v>605</v>
      </c>
      <c r="CG108" s="1" t="str">
        <f aca="false">IF(BW108="buffet","{YELLOW}25% long distance bonus for consist{}",IF(BY108="BRAKE","{YELLOW}Speed bonus for slow wagons{}",IF(BU108&gt;190,CONCATENATE("{YELLOW}",INT((BU108-185)/1.85),"% bonus for long distance travel{}"),IF(AND(BU108&lt;180,BU108&lt;&gt;0),CONCATENATE("{YELLOW}",INT((185-BU108)/1.85),"% penalty for long distance travel{}"),""))))</f>
        <v/>
      </c>
      <c r="CH108" s="1" t="str">
        <f aca="false">_xlfn.CONCAT(CD108,IF(CD108 &lt;&gt; "", " ", ""),CE108,IF(OR(CE108&lt;&gt;"", CD108&lt;&gt;""), "{}",""), CC108, CG108,"{SILVER}", CF108)</f>
        <v>{BLACK}Length: {GOLD}0.5 tiles{}{SILVER}These two-axle baggage cars were a fixture of the night ferry service, running with the sleeping cars on the 11 hour schedule from London to Paris.</v>
      </c>
      <c r="CI108" s="1"/>
      <c r="CJ108" s="1"/>
      <c r="XFD108" s="19"/>
    </row>
    <row r="109" customFormat="false" ht="13.8" hidden="false" customHeight="false" outlineLevel="0" collapsed="false">
      <c r="A109" s="18" t="s">
        <v>606</v>
      </c>
      <c r="B109" s="18" t="s">
        <v>607</v>
      </c>
      <c r="C109" s="1" t="n">
        <v>108</v>
      </c>
      <c r="E109" s="1" t="n">
        <v>1111</v>
      </c>
      <c r="F109" s="1" t="s">
        <v>89</v>
      </c>
      <c r="G109" s="1" t="s">
        <v>528</v>
      </c>
      <c r="H109" s="1" t="s">
        <v>603</v>
      </c>
      <c r="I109" s="1" t="s">
        <v>153</v>
      </c>
      <c r="J109" s="1" t="n">
        <v>1957</v>
      </c>
      <c r="K109" s="1" t="n">
        <v>1981</v>
      </c>
      <c r="L109" s="1" t="n">
        <v>2002</v>
      </c>
      <c r="W109" s="1" t="n">
        <v>33</v>
      </c>
      <c r="Y109" s="1" t="n">
        <v>4</v>
      </c>
      <c r="AA109" s="4" t="str">
        <f aca="false">IF(AND(W109&gt;0,Z109&gt;0),(Z109/((W109+X109)*10)),"")</f>
        <v/>
      </c>
      <c r="AB109" s="1" t="n">
        <v>100</v>
      </c>
      <c r="AC109" s="1" t="n">
        <f aca="false">ROUND(AB109*1.6, 0)</f>
        <v>160</v>
      </c>
      <c r="AF109" s="1" t="n">
        <v>18.4</v>
      </c>
      <c r="AG109" s="1" t="n">
        <v>18</v>
      </c>
      <c r="AH109" s="1" t="n">
        <v>2.82</v>
      </c>
      <c r="AI109" s="1" t="n">
        <v>3.79</v>
      </c>
      <c r="AJ109" s="5" t="n">
        <v>65</v>
      </c>
      <c r="AK109" s="19" t="str">
        <f aca="false">CONCATENATE(VLOOKUP(AL109, 'Voxel Sizes'!$A$2:$B$18,2,FALSE()),"x",INT(AH109*15), "x", INT(AI109*15))</f>
        <v>186x42x56</v>
      </c>
      <c r="AL109" s="1" t="n">
        <f aca="false">ROUND(15*((AG109*10)/256),0)</f>
        <v>11</v>
      </c>
      <c r="AN109" s="1" t="str">
        <f aca="false">CONCATENATE(VLOOKUP(AL109,Constants!$A$2:$C$16,IF(AM109&lt;&gt;"", 3, 2), FALSE()),IF(AM109&lt;&gt;"",CONCATENATE(",",VLOOKUP(AM109,$B:$AN,38,FALSE())),""))</f>
        <v>4,3,4</v>
      </c>
      <c r="AW109" s="19"/>
      <c r="AX109" s="1" t="n">
        <v>30</v>
      </c>
      <c r="AY109" s="6" t="n">
        <f aca="false">IF(L109&lt;&gt;"",MAX(16,(L109-J109)+8),"")</f>
        <v>53</v>
      </c>
      <c r="AZ109" s="1" t="n">
        <v>55</v>
      </c>
      <c r="BA109" s="1" t="n">
        <v>25</v>
      </c>
      <c r="BB109" s="1" t="n">
        <f aca="false">MIN(AB109/150, 1)*30</f>
        <v>20</v>
      </c>
      <c r="BC109" s="1" t="n">
        <f aca="false">MIN(N109/4000, 1)*20</f>
        <v>0</v>
      </c>
      <c r="BD109" s="1" t="n">
        <f aca="false">MIN(Z109/400,1)*20</f>
        <v>0</v>
      </c>
      <c r="BE109" s="4" t="n">
        <f aca="false">1-(MAX(J109-1900, 0)/750)</f>
        <v>0.924</v>
      </c>
      <c r="BF109" s="1" t="n">
        <f aca="false">((MAX($M109,1)*MIN($AJ109/300,1)))*IF(G109="Wagon",50,10)</f>
        <v>10.8333333333333</v>
      </c>
      <c r="BG109" s="1" t="n">
        <f aca="false">VLOOKUP($H109,Constants!$I:$K, 2, FALSE())</f>
        <v>1.2</v>
      </c>
      <c r="BH109" s="1" t="n">
        <f aca="false">VLOOKUP($H109,Constants!$I:$K, 3, FALSE())*IF(AND(G109="multiple_unit",AB109&lt;110),0.75,1)</f>
        <v>0.6</v>
      </c>
      <c r="BI109" s="1" t="n">
        <f aca="false">INT(POWER(((Constants!$G$2+$BB109+$BC109+$BD109+$BF109)*$BE109)*$BH109, 1.05))+$BA109</f>
        <v>48</v>
      </c>
      <c r="BJ109" s="1" t="n">
        <f aca="false">INT(POWER((((Constants!$G$1+$BB109+$BC109+$BD109+$BF109)*($BE109))*$BG109),IF($G109="wagon",1,1.2)))+$AZ109</f>
        <v>105</v>
      </c>
      <c r="BK109" s="20" t="n">
        <f aca="false">BI109*IF($G109="wagon",62.5,781.25)</f>
        <v>3000</v>
      </c>
      <c r="BL109" s="20" t="n">
        <f aca="false">BJ109*IF($G109="wagon",2.73,81.25)</f>
        <v>286.65</v>
      </c>
      <c r="BT109" s="1" t="n">
        <v>1</v>
      </c>
      <c r="BU109" s="1" t="n">
        <v>185</v>
      </c>
      <c r="BV109" s="1" t="s">
        <v>368</v>
      </c>
      <c r="BX109" s="1" t="s">
        <v>148</v>
      </c>
      <c r="BY109" s="1" t="str">
        <f aca="false">VLOOKUP(J109,Eras!$A$2:$C$10, 2, TRUE())</f>
        <v>dsl</v>
      </c>
      <c r="BZ109" s="18" t="s">
        <v>608</v>
      </c>
      <c r="CA109" s="1" t="str">
        <f aca="false">CONCATENATE(BY109,"_",BZ109)</f>
        <v>dsl_Mail Carriage</v>
      </c>
      <c r="CB109" s="1" t="str">
        <f aca="false">_xlfn.CONCAT(H109, "_",I109)</f>
        <v>carriage_RAIL</v>
      </c>
      <c r="CC109" s="21" t="str">
        <f aca="false">_xlfn.CONCAT("{BLACK}Length: {GOLD}", TEXT(ROUNDUP(IF(AQ109&lt;&gt;"",SUM(VALUE(_xlfn.TEXTSPLIT(AQ109, ","))), SUM(VALUE(_xlfn.TEXTSPLIT(AN109, ",")))*IF(M109, M109, 1))/16, 1), "#,##0.0"), " tiles{}")</f>
        <v>{BLACK}Length: {GOLD}0.7 tiles{}</v>
      </c>
      <c r="CD109" s="1" t="str">
        <f aca="false">VLOOKUP($CB109, Constants!$M:$N, 2, FALSE())</f>
        <v/>
      </c>
      <c r="CE109" s="1" t="str">
        <f aca="false">IF(M109&gt;1,_xlfn.CONCAT("{BLACK}Cars: {GOLD}", M109),"")</f>
        <v/>
      </c>
      <c r="CF109" s="1" t="s">
        <v>609</v>
      </c>
      <c r="CG109" s="1" t="str">
        <f aca="false">IF(BW109="buffet","{YELLOW}25% long distance bonus for consist{}",IF(BY109="BRAKE","{YELLOW}Speed bonus for slow wagons{}",IF(BU109&gt;190,CONCATENATE("{YELLOW}",INT((BU109-185)/1.85),"% bonus for long distance travel{}"),IF(AND(BU109&lt;180,BU109&lt;&gt;0),CONCATENATE("{YELLOW}",INT((185-BU109)/1.85),"% penalty for long distance travel{}"),""))))</f>
        <v/>
      </c>
      <c r="CH109" s="1" t="str">
        <f aca="false">_xlfn.CONCAT(CD109,IF(CD109 &lt;&gt; "", " ", ""),CE109,IF(OR(CE109&lt;&gt;"", CD109&lt;&gt;""), "{}",""), CC109, CG109,"{SILVER}", CF109)</f>
        <v>{BLACK}Length: {GOLD}0.7 tiles{}{SILVER}The standard parcels and baggage car on British Rail for decades, the Mk1 Brake Gangwayed was extremely versatile. This represents a standard 57’ frame example, making it noticably shorter than the standard Mk1 coach.</v>
      </c>
      <c r="CI109" s="1"/>
      <c r="CJ109" s="1"/>
    </row>
    <row r="110" customFormat="false" ht="13.8" hidden="false" customHeight="false" outlineLevel="0" collapsed="false">
      <c r="A110" s="18" t="s">
        <v>610</v>
      </c>
      <c r="B110" s="18" t="s">
        <v>611</v>
      </c>
      <c r="C110" s="1" t="n">
        <v>109</v>
      </c>
      <c r="D110" s="1" t="n">
        <v>108</v>
      </c>
      <c r="E110" s="1" t="n">
        <v>1112</v>
      </c>
      <c r="F110" s="1" t="s">
        <v>89</v>
      </c>
      <c r="G110" s="1" t="s">
        <v>528</v>
      </c>
      <c r="H110" s="1" t="s">
        <v>603</v>
      </c>
      <c r="I110" s="1" t="s">
        <v>153</v>
      </c>
      <c r="J110" s="1" t="n">
        <v>1975</v>
      </c>
      <c r="K110" s="1" t="n">
        <v>1998</v>
      </c>
      <c r="L110" s="1" t="n">
        <v>2002</v>
      </c>
      <c r="W110" s="1" t="n">
        <v>33</v>
      </c>
      <c r="Y110" s="1" t="n">
        <v>4</v>
      </c>
      <c r="AA110" s="4" t="str">
        <f aca="false">IF(AND(W110&gt;0,Z110&gt;0),(Z110/((W110+X110)*10)),"")</f>
        <v/>
      </c>
      <c r="AB110" s="1" t="n">
        <v>110</v>
      </c>
      <c r="AC110" s="1" t="n">
        <f aca="false">ROUND(AB110*1.6, 0)</f>
        <v>176</v>
      </c>
      <c r="AF110" s="1" t="n">
        <v>18.4</v>
      </c>
      <c r="AG110" s="1" t="n">
        <v>18</v>
      </c>
      <c r="AH110" s="1" t="n">
        <v>2.82</v>
      </c>
      <c r="AI110" s="1" t="n">
        <v>3.79</v>
      </c>
      <c r="AJ110" s="5" t="n">
        <v>65</v>
      </c>
      <c r="AK110" s="19" t="str">
        <f aca="false">CONCATENATE(VLOOKUP(AL110, 'Voxel Sizes'!$A$2:$B$18,2,FALSE()),"x",INT(AH110*15), "x", INT(AI110*15))</f>
        <v>186x42x56</v>
      </c>
      <c r="AL110" s="1" t="n">
        <f aca="false">ROUND(15*((AG110*10)/256),0)</f>
        <v>11</v>
      </c>
      <c r="AN110" s="1" t="str">
        <f aca="false">CONCATENATE(VLOOKUP(AL110,Constants!$A$2:$C$16,IF(AM110&lt;&gt;"", 3, 2), FALSE()),IF(AM110&lt;&gt;"",CONCATENATE(",",VLOOKUP(AM110,$B:$AN,38,FALSE())),""))</f>
        <v>4,3,4</v>
      </c>
      <c r="AW110" s="19"/>
      <c r="AX110" s="1" t="n">
        <v>30</v>
      </c>
      <c r="AY110" s="6" t="n">
        <f aca="false">IF(L110&lt;&gt;"",MAX(16,(L110-J110)+8),"")</f>
        <v>35</v>
      </c>
      <c r="AZ110" s="1" t="n">
        <v>75</v>
      </c>
      <c r="BA110" s="1" t="n">
        <v>35</v>
      </c>
      <c r="BB110" s="1" t="n">
        <f aca="false">MIN(AB110/150, 1)*30</f>
        <v>22</v>
      </c>
      <c r="BC110" s="1" t="n">
        <f aca="false">MIN(N110/4000, 1)*20</f>
        <v>0</v>
      </c>
      <c r="BD110" s="1" t="n">
        <f aca="false">MIN(Z110/400,1)*20</f>
        <v>0</v>
      </c>
      <c r="BE110" s="4" t="n">
        <f aca="false">1-(MAX(J110-1900, 0)/750)</f>
        <v>0.9</v>
      </c>
      <c r="BF110" s="1" t="n">
        <f aca="false">((MAX($M110,1)*MIN($AJ110/300,1)))*IF(G110="Wagon",50,10)</f>
        <v>10.8333333333333</v>
      </c>
      <c r="BG110" s="1" t="n">
        <f aca="false">VLOOKUP($H110,Constants!$I:$K, 2, FALSE())</f>
        <v>1.2</v>
      </c>
      <c r="BH110" s="1" t="n">
        <f aca="false">VLOOKUP($H110,Constants!$I:$K, 3, FALSE())*IF(AND(G110="multiple_unit",AB110&lt;110),0.75,1)</f>
        <v>0.6</v>
      </c>
      <c r="BI110" s="1" t="n">
        <f aca="false">INT(POWER(((Constants!$G$2+$BB110+$BC110+$BD110+$BF110)*$BE110)*$BH110, 1.05))+$BA110</f>
        <v>58</v>
      </c>
      <c r="BJ110" s="1" t="n">
        <f aca="false">INT(POWER((((Constants!$G$1+$BB110+$BC110+$BD110+$BF110)*($BE110))*$BG110),IF($G110="wagon",1,1.2)))+$AZ110</f>
        <v>126</v>
      </c>
      <c r="BK110" s="20" t="n">
        <f aca="false">BI110*IF($G110="wagon",62.5,781.25)</f>
        <v>3625</v>
      </c>
      <c r="BL110" s="20" t="n">
        <f aca="false">BJ110*IF($G110="wagon",2.73,81.25)</f>
        <v>343.98</v>
      </c>
      <c r="BT110" s="1" t="n">
        <v>1</v>
      </c>
      <c r="BU110" s="1" t="n">
        <v>185</v>
      </c>
      <c r="BV110" s="1" t="s">
        <v>368</v>
      </c>
      <c r="BX110" s="1" t="s">
        <v>148</v>
      </c>
      <c r="BY110" s="1" t="str">
        <f aca="false">VLOOKUP(J110,Eras!$A$2:$C$10, 2, TRUE())</f>
        <v>lbr</v>
      </c>
      <c r="BZ110" s="18" t="s">
        <v>608</v>
      </c>
      <c r="CA110" s="1" t="str">
        <f aca="false">CONCATENATE(BY110,"_",BZ110)</f>
        <v>lbr_Mail Carriage</v>
      </c>
      <c r="CB110" s="1" t="str">
        <f aca="false">_xlfn.CONCAT(H110, "_",I110)</f>
        <v>carriage_RAIL</v>
      </c>
      <c r="CC110" s="21" t="str">
        <f aca="false">_xlfn.CONCAT("{BLACK}Length: {GOLD}", TEXT(ROUNDUP(IF(AQ110&lt;&gt;"",SUM(VALUE(_xlfn.TEXTSPLIT(AQ110, ","))), SUM(VALUE(_xlfn.TEXTSPLIT(AN110, ",")))*IF(M110, M110, 1))/16, 1), "#,##0.0"), " tiles{}")</f>
        <v>{BLACK}Length: {GOLD}0.7 tiles{}</v>
      </c>
      <c r="CD110" s="1" t="str">
        <f aca="false">VLOOKUP($CB110, Constants!$M:$N, 2, FALSE())</f>
        <v/>
      </c>
      <c r="CE110" s="1" t="str">
        <f aca="false">IF(M110&gt;1,_xlfn.CONCAT("{BLACK}Cars: {GOLD}", M110),"")</f>
        <v/>
      </c>
      <c r="CF110" s="1" t="s">
        <v>612</v>
      </c>
      <c r="CG110" s="1" t="str">
        <f aca="false">IF(BW110="buffet","{YELLOW}25% long distance bonus for consist{}",IF(BY110="BRAKE","{YELLOW}Speed bonus for slow wagons{}",IF(BU110&gt;190,CONCATENATE("{YELLOW}",INT((BU110-185)/1.85),"% bonus for long distance travel{}"),IF(AND(BU110&lt;180,BU110&lt;&gt;0),CONCATENATE("{YELLOW}",INT((185-BU110)/1.85),"% penalty for long distance travel{}"),""))))</f>
        <v/>
      </c>
      <c r="CH110" s="1" t="str">
        <f aca="false">_xlfn.CONCAT(CD110,IF(CD110 &lt;&gt; "", " ", ""),CE110,IF(OR(CE110&lt;&gt;"", CD110&lt;&gt;""), "{}",""), CC110, CG110,"{SILVER}", CF110)</f>
        <v>{BLACK}Length: {GOLD}0.7 tiles{}{SILVER}In the 1980s a number of BG vehicles were upgraded with B4 bogies and cleared for travel at 110mph, to provide additional capacity within fast passenger services, which were typically run with Mark 2 stock.</v>
      </c>
      <c r="CI110" s="1"/>
      <c r="CJ110" s="1"/>
    </row>
    <row r="111" customFormat="false" ht="13.8" hidden="false" customHeight="false" outlineLevel="0" collapsed="false">
      <c r="A111" s="18" t="s">
        <v>613</v>
      </c>
      <c r="B111" s="18" t="s">
        <v>614</v>
      </c>
      <c r="C111" s="1" t="n">
        <v>110</v>
      </c>
      <c r="D111" s="1" t="n">
        <v>108</v>
      </c>
      <c r="E111" s="1" t="n">
        <v>1113</v>
      </c>
      <c r="F111" s="1" t="s">
        <v>89</v>
      </c>
      <c r="G111" s="1" t="s">
        <v>528</v>
      </c>
      <c r="H111" s="1" t="s">
        <v>603</v>
      </c>
      <c r="I111" s="1" t="s">
        <v>153</v>
      </c>
      <c r="J111" s="1" t="n">
        <v>1989</v>
      </c>
      <c r="K111" s="1" t="n">
        <v>2002</v>
      </c>
      <c r="L111" s="1" t="n">
        <v>2002</v>
      </c>
      <c r="W111" s="1" t="n">
        <v>33</v>
      </c>
      <c r="Y111" s="1" t="n">
        <v>5</v>
      </c>
      <c r="AA111" s="4" t="str">
        <f aca="false">IF(AND(W111&gt;0,Z111&gt;0),(Z111/((W111+X111)*10)),"")</f>
        <v/>
      </c>
      <c r="AB111" s="1" t="n">
        <v>100</v>
      </c>
      <c r="AC111" s="1" t="n">
        <f aca="false">ROUND(AB111*1.6, 0)</f>
        <v>160</v>
      </c>
      <c r="AF111" s="1" t="n">
        <v>18.4</v>
      </c>
      <c r="AG111" s="1" t="n">
        <v>18</v>
      </c>
      <c r="AH111" s="1" t="n">
        <v>2.82</v>
      </c>
      <c r="AI111" s="1" t="n">
        <v>3.79</v>
      </c>
      <c r="AJ111" s="5" t="n">
        <v>72</v>
      </c>
      <c r="AK111" s="19" t="str">
        <f aca="false">CONCATENATE(VLOOKUP(AL111, 'Voxel Sizes'!$A$2:$B$18,2,FALSE()),"x",INT(AH111*15), "x", INT(AI111*15))</f>
        <v>186x42x56</v>
      </c>
      <c r="AL111" s="1" t="n">
        <f aca="false">ROUND(15*((AG111*10)/256),0)</f>
        <v>11</v>
      </c>
      <c r="AN111" s="1" t="str">
        <f aca="false">CONCATENATE(VLOOKUP(AL111,Constants!$A$2:$C$16,IF(AM111&lt;&gt;"", 3, 2), FALSE()),IF(AM111&lt;&gt;"",CONCATENATE(",",VLOOKUP(AM111,$B:$AN,38,FALSE())),""))</f>
        <v>4,3,4</v>
      </c>
      <c r="AW111" s="19"/>
      <c r="AX111" s="1" t="n">
        <v>30</v>
      </c>
      <c r="AY111" s="6" t="n">
        <f aca="false">IF(L111&lt;&gt;"",MAX(16,(L111-J111)+8),"")</f>
        <v>21</v>
      </c>
      <c r="AZ111" s="1" t="n">
        <v>65</v>
      </c>
      <c r="BA111" s="1" t="n">
        <v>45</v>
      </c>
      <c r="BB111" s="1" t="n">
        <f aca="false">MIN(AB111/150, 1)*30</f>
        <v>20</v>
      </c>
      <c r="BC111" s="1" t="n">
        <f aca="false">MIN(N111/4000, 1)*20</f>
        <v>0</v>
      </c>
      <c r="BD111" s="1" t="n">
        <f aca="false">MIN(Z111/400,1)*20</f>
        <v>0</v>
      </c>
      <c r="BE111" s="4" t="n">
        <f aca="false">1-(MAX(J111-1900, 0)/750)</f>
        <v>0.881333333333333</v>
      </c>
      <c r="BF111" s="1" t="n">
        <f aca="false">((MAX($M111,1)*MIN($AJ111/300,1)))*IF(G111="Wagon",50,10)</f>
        <v>12</v>
      </c>
      <c r="BG111" s="1" t="n">
        <f aca="false">VLOOKUP($H111,Constants!$I:$K, 2, FALSE())</f>
        <v>1.2</v>
      </c>
      <c r="BH111" s="1" t="n">
        <f aca="false">VLOOKUP($H111,Constants!$I:$K, 3, FALSE())*IF(AND(G111="multiple_unit",AB111&lt;110),0.75,1)</f>
        <v>0.6</v>
      </c>
      <c r="BI111" s="1" t="n">
        <f aca="false">INT(POWER(((Constants!$G$2+$BB111+$BC111+$BD111+$BF111)*$BE111)*$BH111, 1.05))+$BA111</f>
        <v>67</v>
      </c>
      <c r="BJ111" s="1" t="n">
        <f aca="false">INT(POWER((((Constants!$G$1+$BB111+$BC111+$BD111+$BF111)*($BE111))*$BG111),IF($G111="wagon",1,1.2)))+$AZ111</f>
        <v>114</v>
      </c>
      <c r="BK111" s="20" t="n">
        <f aca="false">BI111*IF($G111="wagon",62.5,781.25)</f>
        <v>4187.5</v>
      </c>
      <c r="BL111" s="20" t="n">
        <f aca="false">BJ111*IF($G111="wagon",2.73,81.25)</f>
        <v>311.22</v>
      </c>
      <c r="BT111" s="1" t="n">
        <v>1</v>
      </c>
      <c r="BU111" s="1" t="n">
        <v>185</v>
      </c>
      <c r="BV111" s="1" t="s">
        <v>368</v>
      </c>
      <c r="BX111" s="1" t="s">
        <v>148</v>
      </c>
      <c r="BY111" s="1" t="str">
        <f aca="false">VLOOKUP(J111,Eras!$A$2:$C$10, 2, TRUE())</f>
        <v>lbr</v>
      </c>
      <c r="BZ111" s="18" t="s">
        <v>608</v>
      </c>
      <c r="CA111" s="1" t="str">
        <f aca="false">CONCATENATE(BY111,"_",BZ111)</f>
        <v>lbr_Mail Carriage</v>
      </c>
      <c r="CB111" s="1" t="str">
        <f aca="false">_xlfn.CONCAT(H111, "_",I111)</f>
        <v>carriage_RAIL</v>
      </c>
      <c r="CC111" s="21" t="str">
        <f aca="false">_xlfn.CONCAT("{BLACK}Length: {GOLD}", TEXT(ROUNDUP(IF(AQ111&lt;&gt;"",SUM(VALUE(_xlfn.TEXTSPLIT(AQ111, ","))), SUM(VALUE(_xlfn.TEXTSPLIT(AN111, ",")))*IF(M111, M111, 1))/16, 1), "#,##0.0"), " tiles{}")</f>
        <v>{BLACK}Length: {GOLD}0.7 tiles{}</v>
      </c>
      <c r="CD111" s="1" t="str">
        <f aca="false">VLOOKUP($CB111, Constants!$M:$N, 2, FALSE())</f>
        <v/>
      </c>
      <c r="CE111" s="1" t="str">
        <f aca="false">IF(M111&gt;1,_xlfn.CONCAT("{BLACK}Cars: {GOLD}", M111),"")</f>
        <v/>
      </c>
      <c r="CF111" s="1" t="s">
        <v>615</v>
      </c>
      <c r="CG111" s="1" t="str">
        <f aca="false">IF(BW111="buffet","{YELLOW}25% long distance bonus for consist{}",IF(BY111="BRAKE","{YELLOW}Speed bonus for slow wagons{}",IF(BU111&gt;190,CONCATENATE("{YELLOW}",INT((BU111-185)/1.85),"% bonus for long distance travel{}"),IF(AND(BU111&lt;180,BU111&lt;&gt;0),CONCATENATE("{YELLOW}",INT((185-BU111)/1.85),"% penalty for long distance travel{}"),""))))</f>
        <v/>
      </c>
      <c r="CH111" s="1" t="str">
        <f aca="false">_xlfn.CONCAT(CD111,IF(CD111 &lt;&gt; "", " ", ""),CE111,IF(OR(CE111&lt;&gt;"", CD111&lt;&gt;""), "{}",""), CC111, CG111,"{SILVER}", CF111)</f>
        <v>{BLACK}Length: {GOLD}0.7 tiles{}{SILVER}By the 90s parcels traffic was in decline on the railway, and increasingly movement focused on fixed flows between mail terminals. As a result, a number of vehicles were rebuilt with roller shutter doors for faster loading.</v>
      </c>
      <c r="CI111" s="1"/>
      <c r="CJ111" s="1"/>
    </row>
    <row r="112" s="19" customFormat="true" ht="13.8" hidden="false" customHeight="false" outlineLevel="0" collapsed="false">
      <c r="A112" s="18" t="s">
        <v>616</v>
      </c>
      <c r="B112" s="18" t="s">
        <v>617</v>
      </c>
      <c r="C112" s="1" t="n">
        <v>85</v>
      </c>
      <c r="D112" s="1"/>
      <c r="E112" s="1" t="n">
        <v>1185</v>
      </c>
      <c r="F112" s="1" t="s">
        <v>89</v>
      </c>
      <c r="G112" s="1" t="s">
        <v>528</v>
      </c>
      <c r="H112" s="1" t="s">
        <v>528</v>
      </c>
      <c r="I112" s="1" t="s">
        <v>153</v>
      </c>
      <c r="J112" s="1" t="n">
        <v>1958</v>
      </c>
      <c r="K112" s="1" t="n">
        <v>1975</v>
      </c>
      <c r="L112" s="1" t="n">
        <v>1990</v>
      </c>
      <c r="M112" s="1"/>
      <c r="N112" s="1"/>
      <c r="O112" s="2"/>
      <c r="P112" s="3"/>
      <c r="Q112" s="3"/>
      <c r="R112" s="3"/>
      <c r="S112" s="3"/>
      <c r="T112" s="3"/>
      <c r="U112" s="3"/>
      <c r="V112" s="3"/>
      <c r="W112" s="1" t="n">
        <v>21</v>
      </c>
      <c r="X112" s="2"/>
      <c r="Y112" s="1" t="n">
        <v>4</v>
      </c>
      <c r="Z112" s="1"/>
      <c r="AA112" s="4" t="str">
        <f aca="false">IF(AND(W112&gt;0,Z112&gt;0),(Z112/((W112+X112)*10)),"")</f>
        <v/>
      </c>
      <c r="AB112" s="1" t="n">
        <v>80</v>
      </c>
      <c r="AC112" s="1" t="n">
        <f aca="false">ROUND(AB112*1.6, 0)</f>
        <v>128</v>
      </c>
      <c r="AD112" s="1"/>
      <c r="AE112" s="1"/>
      <c r="AF112" s="1" t="n">
        <v>19.8</v>
      </c>
      <c r="AG112" s="1" t="n">
        <v>20</v>
      </c>
      <c r="AH112" s="1" t="n">
        <v>2.82</v>
      </c>
      <c r="AI112" s="1" t="n">
        <v>3.79</v>
      </c>
      <c r="AJ112" s="5" t="n">
        <v>12</v>
      </c>
      <c r="AK112" s="19" t="str">
        <f aca="false">CONCATENATE(VLOOKUP(AL112, 'Voxel Sizes'!$A$2:$B$18,2,FALSE()),"x",INT(AH112*15), "x", INT(AI112*15))</f>
        <v>198x42x56</v>
      </c>
      <c r="AL112" s="1" t="n">
        <f aca="false">ROUND(15*((AG112*10)/256),0)</f>
        <v>12</v>
      </c>
      <c r="AM112" s="1"/>
      <c r="AN112" s="1" t="str">
        <f aca="false">CONCATENATE(VLOOKUP(AL112,Constants!$A$2:$C$16,IF(AM112&lt;&gt;"", 3, 2), FALSE()),IF(AM112&lt;&gt;"",CONCATENATE(",",VLOOKUP(AM112,$B:$AN,38,FALSE())),""))</f>
        <v>4,4,4</v>
      </c>
      <c r="AO112" s="1"/>
      <c r="AP112" s="7"/>
      <c r="AQ112" s="7"/>
      <c r="AR112" s="1"/>
      <c r="AS112" s="1"/>
      <c r="AT112" s="1"/>
      <c r="AU112" s="1"/>
      <c r="AV112" s="1"/>
      <c r="AX112" s="1" t="n">
        <v>30</v>
      </c>
      <c r="AY112" s="6" t="n">
        <f aca="false">IF(L112&lt;&gt;"",MAX(16,(L112-J112)+8),"")</f>
        <v>40</v>
      </c>
      <c r="AZ112" s="1"/>
      <c r="BA112" s="1"/>
      <c r="BB112" s="1" t="n">
        <f aca="false">MIN(AB112/150, 1)*30</f>
        <v>16</v>
      </c>
      <c r="BC112" s="1" t="n">
        <f aca="false">MIN(N112/4000, 1)*20</f>
        <v>0</v>
      </c>
      <c r="BD112" s="1" t="n">
        <f aca="false">MIN(Z112/400,1)*20</f>
        <v>0</v>
      </c>
      <c r="BE112" s="4" t="n">
        <f aca="false">1-(MAX(J112-1900, 0)/750)</f>
        <v>0.922666666666667</v>
      </c>
      <c r="BF112" s="1" t="n">
        <f aca="false">((MAX($M112,1)*MIN($AJ112/300,1)))*IF(G112="Wagon",50,10)</f>
        <v>2</v>
      </c>
      <c r="BG112" s="1" t="n">
        <f aca="false">VLOOKUP($H112,Constants!$I:$K, 2, FALSE())</f>
        <v>1</v>
      </c>
      <c r="BH112" s="1" t="n">
        <f aca="false">VLOOKUP($H112,Constants!$I:$K, 3, FALSE())*IF(AND(G112="multiple_unit",AB112&lt;110),0.75,1)</f>
        <v>0.45</v>
      </c>
      <c r="BI112" s="1" t="n">
        <f aca="false">INT(POWER(((Constants!$G$2+$BB112+$BC112+$BD112+$BF112)*$BE112)*$BH112, 1.05))+$BA112</f>
        <v>10</v>
      </c>
      <c r="BJ112" s="1" t="n">
        <f aca="false">INT(POWER((((Constants!$G$1+$BB112+$BC112+$BD112+$BF112)*($BE112))*$BG112),IF($G112="wagon",1,1.2)))+$AZ112</f>
        <v>30</v>
      </c>
      <c r="BK112" s="20" t="n">
        <f aca="false">BI112*IF($G112="wagon",62.5,781.25)</f>
        <v>625</v>
      </c>
      <c r="BL112" s="20" t="n">
        <f aca="false">BJ112*IF($G112="wagon",2.73,81.25)</f>
        <v>81.9</v>
      </c>
      <c r="BM112" s="1"/>
      <c r="BN112" s="1"/>
      <c r="BO112" s="1"/>
      <c r="BP112" s="1"/>
      <c r="BQ112" s="1"/>
      <c r="BR112" s="1"/>
      <c r="BS112" s="1"/>
      <c r="BT112" s="1" t="n">
        <v>2</v>
      </c>
      <c r="BU112" s="1" t="n">
        <v>278</v>
      </c>
      <c r="BV112" s="1" t="s">
        <v>618</v>
      </c>
      <c r="BW112" s="1"/>
      <c r="BX112" s="1" t="s">
        <v>95</v>
      </c>
      <c r="BY112" s="1" t="str">
        <f aca="false">VLOOKUP(J112,Eras!$A$2:$C$10, 2, TRUE())</f>
        <v>dsl</v>
      </c>
      <c r="BZ112" s="18" t="s">
        <v>595</v>
      </c>
      <c r="CA112" s="1" t="str">
        <f aca="false">CONCATENATE(BY112,"_",BZ112)</f>
        <v>dsl_Carriage</v>
      </c>
      <c r="CB112" s="1" t="str">
        <f aca="false">_xlfn.CONCAT(H112, "_",I112)</f>
        <v>wagon_RAIL</v>
      </c>
      <c r="CC112" s="21" t="str">
        <f aca="false">_xlfn.CONCAT("{BLACK}Length: {GOLD}", TEXT(ROUNDUP(IF(AQ112&lt;&gt;"",SUM(VALUE(_xlfn.TEXTSPLIT(AQ112, ","))), SUM(VALUE(_xlfn.TEXTSPLIT(AN112, ",")))*IF(M112, M112, 1))/16, 1), "#,##0.0"), " tiles{}")</f>
        <v>{BLACK}Length: {GOLD}0.8 tiles{}</v>
      </c>
      <c r="CD112" s="1" t="str">
        <f aca="false">VLOOKUP($CB112, Constants!$M:$N, 2, FALSE())</f>
        <v/>
      </c>
      <c r="CE112" s="1" t="str">
        <f aca="false">IF(M112&gt;1,_xlfn.CONCAT("{BLACK}Cars: {GOLD}", M112),"")</f>
        <v/>
      </c>
      <c r="CF112" s="1" t="s">
        <v>619</v>
      </c>
      <c r="CG112" s="1" t="str">
        <f aca="false">IF(BW112="buffet","{YELLOW}25% long distance bonus for consist{}",IF(BY112="BRAKE","{YELLOW}Speed bonus for slow wagons{}",IF(BU112&gt;190,CONCATENATE("{YELLOW}",INT((BU112-185)/1.85),"% bonus for long distance travel (for passengers){}"),IF(AND(BU112&lt;180,BU112&lt;&gt;0),CONCATENATE("{YELLOW}",INT((185-BU112)/1.85),"% penalty for long distance travel{}"),""))))</f>
        <v>{YELLOW}50% bonus for long distance travel (for passengers){}</v>
      </c>
      <c r="CH112" s="1" t="str">
        <f aca="false">_xlfn.CONCAT(CD112,IF(CD112 &lt;&gt; "", " ", ""),CE112,IF(OR(CE112&lt;&gt;"", CD112&lt;&gt;""), "{}",""), CC112, CG112,"{SILVER}", CF112)</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A112" s="1"/>
      <c r="XFB112" s="1"/>
      <c r="XFC112" s="4"/>
      <c r="XFD112" s="1"/>
    </row>
    <row r="113" s="19" customFormat="true" ht="13.8" hidden="false" customHeight="false" outlineLevel="0" collapsed="false">
      <c r="A113" s="18" t="s">
        <v>620</v>
      </c>
      <c r="B113" s="18" t="s">
        <v>621</v>
      </c>
      <c r="C113" s="1" t="n">
        <v>86</v>
      </c>
      <c r="D113" s="1"/>
      <c r="E113" s="1" t="n">
        <v>1186</v>
      </c>
      <c r="F113" s="1" t="s">
        <v>89</v>
      </c>
      <c r="G113" s="1" t="s">
        <v>324</v>
      </c>
      <c r="H113" s="1" t="s">
        <v>528</v>
      </c>
      <c r="I113" s="1" t="s">
        <v>153</v>
      </c>
      <c r="J113" s="1" t="n">
        <v>1964</v>
      </c>
      <c r="K113" s="1" t="n">
        <v>1985</v>
      </c>
      <c r="L113" s="1" t="n">
        <v>1990</v>
      </c>
      <c r="M113" s="1" t="n">
        <v>4</v>
      </c>
      <c r="N113" s="1"/>
      <c r="O113" s="2"/>
      <c r="P113" s="3"/>
      <c r="Q113" s="3"/>
      <c r="R113" s="3"/>
      <c r="S113" s="3"/>
      <c r="T113" s="3"/>
      <c r="U113" s="3"/>
      <c r="V113" s="3"/>
      <c r="W113" s="1" t="n">
        <v>87</v>
      </c>
      <c r="X113" s="2"/>
      <c r="Y113" s="1" t="n">
        <v>4</v>
      </c>
      <c r="Z113" s="1"/>
      <c r="AA113" s="4" t="str">
        <f aca="false">IF(AND(W113&gt;0,Z113&gt;0),(Z113/((W113+X113)*10)),"")</f>
        <v/>
      </c>
      <c r="AB113" s="1" t="n">
        <v>75</v>
      </c>
      <c r="AC113" s="1" t="n">
        <f aca="false">ROUND(AB113*1.6, 0)</f>
        <v>120</v>
      </c>
      <c r="AD113" s="1"/>
      <c r="AE113" s="1"/>
      <c r="AF113" s="1" t="n">
        <v>16.4</v>
      </c>
      <c r="AG113" s="1" t="n">
        <v>15</v>
      </c>
      <c r="AH113" s="1" t="n">
        <v>2.82</v>
      </c>
      <c r="AI113" s="1" t="n">
        <v>3.79</v>
      </c>
      <c r="AJ113" s="5" t="n">
        <v>18</v>
      </c>
      <c r="AK113" s="19" t="str">
        <f aca="false">CONCATENATE(VLOOKUP(AL113, 'Voxel Sizes'!$A$2:$B$18,2,FALSE()),"x",INT(AH113*15), "x", INT(AI113*15))</f>
        <v>152x42x56</v>
      </c>
      <c r="AL113" s="1" t="n">
        <f aca="false">ROUND(15*((AG113*10)/256),0)</f>
        <v>9</v>
      </c>
      <c r="AM113" s="1"/>
      <c r="AN113" s="1" t="str">
        <f aca="false">CONCATENATE(VLOOKUP(AL113,Constants!$A$2:$C$16,IF(AM113&lt;&gt;"", 3, 2), FALSE()),IF(AM113&lt;&gt;"",CONCATENATE(",",VLOOKUP(AM113,$B:$AN,38,FALSE())),""))</f>
        <v>2,5,2</v>
      </c>
      <c r="AO113" s="1"/>
      <c r="AP113" s="35" t="s">
        <v>622</v>
      </c>
      <c r="AQ113" s="7" t="s">
        <v>623</v>
      </c>
      <c r="AR113" s="1" t="s">
        <v>624</v>
      </c>
      <c r="AS113" s="1"/>
      <c r="AT113" s="1" t="s">
        <v>163</v>
      </c>
      <c r="AU113" s="1" t="s">
        <v>625</v>
      </c>
      <c r="AV113" s="1"/>
      <c r="AX113" s="1" t="n">
        <v>30</v>
      </c>
      <c r="AY113" s="6" t="n">
        <f aca="false">IF(L113&lt;&gt;"",MAX(16,(L113-J113)+8),"")</f>
        <v>34</v>
      </c>
      <c r="AZ113" s="1"/>
      <c r="BA113" s="1"/>
      <c r="BB113" s="1" t="n">
        <f aca="false">MIN(AB113/150, 1)*30</f>
        <v>15</v>
      </c>
      <c r="BC113" s="1" t="n">
        <f aca="false">MIN(N113/4000, 1)*20</f>
        <v>0</v>
      </c>
      <c r="BD113" s="1" t="n">
        <f aca="false">MIN(Z113/400,1)*20</f>
        <v>0</v>
      </c>
      <c r="BE113" s="4" t="n">
        <f aca="false">1-(MAX(J113-1900, 0)/750)</f>
        <v>0.914666666666667</v>
      </c>
      <c r="BF113" s="1" t="n">
        <f aca="false">((MAX($M113,1)*MIN($AJ113/300,1)))*IF(G113="Wagon",50,10)</f>
        <v>2.4</v>
      </c>
      <c r="BG113" s="1" t="n">
        <f aca="false">VLOOKUP($H113,Constants!$I:$K, 2, FALSE())</f>
        <v>1</v>
      </c>
      <c r="BH113" s="1" t="n">
        <f aca="false">VLOOKUP($H113,Constants!$I:$K, 3, FALSE())*IF(AND(G113="multiple_unit",AB113&lt;110),0.75,1)</f>
        <v>0.45</v>
      </c>
      <c r="BI113" s="1" t="n">
        <f aca="false">INT(POWER(((Constants!$G$2+$BB113+$BC113+$BD113+$BF113)*$BE113)*$BH113, 1.05))+$BA113</f>
        <v>10</v>
      </c>
      <c r="BJ113" s="1" t="n">
        <f aca="false">INT(POWER((((Constants!$G$1+$BB113+$BC113+$BD113+$BF113)*($BE113))*$BG113),IF($G113="wagon",1,1.2)))+$AZ113</f>
        <v>58</v>
      </c>
      <c r="BK113" s="20" t="n">
        <f aca="false">BI113*IF($G113="wagon",62.5,781.25)</f>
        <v>7812.5</v>
      </c>
      <c r="BL113" s="20" t="n">
        <f aca="false">BJ113*IF($G113="wagon",2.73,81.25)</f>
        <v>4712.5</v>
      </c>
      <c r="BM113" s="1"/>
      <c r="BN113" s="1"/>
      <c r="BO113" s="1"/>
      <c r="BP113" s="1"/>
      <c r="BQ113" s="1"/>
      <c r="BR113" s="1"/>
      <c r="BS113" s="1"/>
      <c r="BT113" s="1" t="n">
        <v>2</v>
      </c>
      <c r="BU113" s="1" t="n">
        <v>278</v>
      </c>
      <c r="BV113" s="1" t="s">
        <v>618</v>
      </c>
      <c r="BW113" s="1"/>
      <c r="BX113" s="1" t="s">
        <v>95</v>
      </c>
      <c r="BY113" s="1" t="str">
        <f aca="false">VLOOKUP(J113,Eras!$A$2:$C$10, 2, TRUE())</f>
        <v>dsl</v>
      </c>
      <c r="BZ113" s="18" t="s">
        <v>595</v>
      </c>
      <c r="CA113" s="1" t="str">
        <f aca="false">CONCATENATE(BY113,"_",BZ113)</f>
        <v>dsl_Carriage</v>
      </c>
      <c r="CB113" s="1" t="str">
        <f aca="false">_xlfn.CONCAT(H113, "_",I113)</f>
        <v>wagon_RAIL</v>
      </c>
      <c r="CC113" s="21" t="str">
        <f aca="false">_xlfn.CONCAT("{BLACK}Length: {GOLD}", TEXT(ROUNDUP(IF(AQ113&lt;&gt;"",SUM(VALUE(_xlfn.TEXTSPLIT(AQ113, ","))), SUM(VALUE(_xlfn.TEXTSPLIT(AN113, ",")))*IF(M113, M113, 1))/16, 1), "#,##0.0"), " tiles{}")</f>
        <v>{BLACK}Length: {GOLD}2.4 tiles{}</v>
      </c>
      <c r="CD113" s="1" t="str">
        <f aca="false">VLOOKUP($CB113, Constants!$M:$N, 2, FALSE())</f>
        <v/>
      </c>
      <c r="CE113" s="1" t="str">
        <f aca="false">IF(M113&gt;1,_xlfn.CONCAT("{BLACK}Cars: {GOLD}", M113),"")</f>
        <v>{BLACK}Cars: {GOLD}4</v>
      </c>
      <c r="CF113" s="1" t="s">
        <v>626</v>
      </c>
      <c r="CG113" s="1" t="str">
        <f aca="false">IF(BW113="buffet","{YELLOW}25% long distance bonus for consist{}",IF(BY113="BRAKE","{YELLOW}Speed bonus for slow wagons{}",IF(BU113&gt;190,CONCATENATE("{YELLOW}",INT((BU113-185)/1.85),"% bonus for long distance travel (for passengers){}"),IF(AND(BU113&lt;180,BU113&lt;&gt;0),CONCATENATE("{YELLOW}",INT((185-BU113)/1.85),"% penalty for long distance travel{}"),""))))</f>
        <v>{YELLOW}50% bonus for long distance travel (for passengers){}</v>
      </c>
      <c r="CH113" s="1" t="str">
        <f aca="false">_xlfn.CONCAT(CD113,IF(CD113 &lt;&gt; "", " ", ""),CE113,IF(OR(CE113&lt;&gt;"", CD113&lt;&gt;""), "{}",""), CC113, CG113,"{SILVER}", CF113)</f>
        <v>{BLACK}Cars: {GOLD}4{}{BLACK}Length: {GOLD}2.4 tiles{}{YELLOW}50% bonus for long distance travel (for passengers){}{SILVER}Large and articulated, the cartic 4 sets were built for motorail services and used to move new cars from factories to export.</v>
      </c>
      <c r="XFA113" s="1"/>
      <c r="XFB113" s="1"/>
      <c r="XFC113" s="4"/>
      <c r="XFD113" s="1"/>
    </row>
    <row r="114" customFormat="false" ht="13.8" hidden="false" customHeight="false" outlineLevel="0" collapsed="false">
      <c r="A114" s="18" t="s">
        <v>627</v>
      </c>
      <c r="B114" s="18" t="s">
        <v>628</v>
      </c>
      <c r="C114" s="1" t="n">
        <v>102</v>
      </c>
      <c r="E114" s="1" t="n">
        <v>1104</v>
      </c>
      <c r="F114" s="1" t="s">
        <v>89</v>
      </c>
      <c r="G114" s="1" t="s">
        <v>528</v>
      </c>
      <c r="H114" s="1" t="s">
        <v>603</v>
      </c>
      <c r="I114" s="1" t="s">
        <v>153</v>
      </c>
      <c r="J114" s="1" t="n">
        <v>1955</v>
      </c>
      <c r="K114" s="1" t="n">
        <v>1981</v>
      </c>
      <c r="L114" s="1" t="n">
        <v>1987</v>
      </c>
      <c r="W114" s="1" t="n">
        <v>33</v>
      </c>
      <c r="Y114" s="1" t="n">
        <v>4</v>
      </c>
      <c r="AA114" s="4" t="str">
        <f aca="false">IF(AND(W114&gt;0,Z114&gt;0),(Z114/((W114+X114)*10)),"")</f>
        <v/>
      </c>
      <c r="AB114" s="1" t="n">
        <v>100</v>
      </c>
      <c r="AC114" s="1" t="n">
        <f aca="false">ROUND(AB114*1.6, 0)</f>
        <v>160</v>
      </c>
      <c r="AF114" s="1" t="n">
        <v>21</v>
      </c>
      <c r="AG114" s="1" t="n">
        <v>21</v>
      </c>
      <c r="AH114" s="1" t="n">
        <v>2.82</v>
      </c>
      <c r="AI114" s="1" t="n">
        <v>3.79</v>
      </c>
      <c r="AJ114" s="5" t="n">
        <v>22</v>
      </c>
      <c r="AK114" s="19" t="str">
        <f aca="false">CONCATENATE(VLOOKUP(AL114, 'Voxel Sizes'!$A$2:$B$18,2,FALSE()),"x",INT(AH114*15), "x", INT(AI114*15))</f>
        <v>198x42x56</v>
      </c>
      <c r="AL114" s="1" t="n">
        <f aca="false">ROUND(15*((AG114*10)/256),0)</f>
        <v>12</v>
      </c>
      <c r="AN114" s="1" t="str">
        <f aca="false">CONCATENATE(VLOOKUP(AL114,Constants!$A$2:$C$16,IF(AM114&lt;&gt;"", 3, 2), FALSE()),IF(AM114&lt;&gt;"",CONCATENATE(",",VLOOKUP(AM114,$B:$AN,38,FALSE())),""))</f>
        <v>4,4,4</v>
      </c>
      <c r="AW114" s="19" t="s">
        <v>629</v>
      </c>
      <c r="AX114" s="1" t="n">
        <v>30</v>
      </c>
      <c r="AY114" s="6" t="n">
        <f aca="false">IF(L114&lt;&gt;"",MAX(16,(L114-J114)+8),"")</f>
        <v>40</v>
      </c>
      <c r="AZ114" s="1" t="n">
        <v>1000</v>
      </c>
      <c r="BA114" s="1" t="n">
        <v>110</v>
      </c>
      <c r="BB114" s="1" t="n">
        <f aca="false">MIN(AB114/150, 1)*30</f>
        <v>20</v>
      </c>
      <c r="BC114" s="1" t="n">
        <f aca="false">MIN(N114/4000, 1)*20</f>
        <v>0</v>
      </c>
      <c r="BD114" s="1" t="n">
        <f aca="false">MIN(Z114/400,1)*20</f>
        <v>0</v>
      </c>
      <c r="BE114" s="4" t="n">
        <f aca="false">1-(MAX(J114-1900, 0)/750)</f>
        <v>0.926666666666667</v>
      </c>
      <c r="BF114" s="1" t="n">
        <f aca="false">((MAX($M114,1)*MIN($AJ114/300,1)))*IF(G114="Wagon",50,10)</f>
        <v>3.66666666666667</v>
      </c>
      <c r="BG114" s="1" t="n">
        <f aca="false">VLOOKUP($H114,Constants!$I:$K, 2, FALSE())</f>
        <v>1.2</v>
      </c>
      <c r="BH114" s="1" t="n">
        <f aca="false">VLOOKUP($H114,Constants!$I:$K, 3, FALSE())*IF(AND(G114="multiple_unit",AB114&lt;110),0.75,1)</f>
        <v>0.6</v>
      </c>
      <c r="BI114" s="1" t="n">
        <f aca="false">INT(POWER(((Constants!$G$2+$BB114+$BC114+$BD114+$BF114)*$BE114)*$BH114, 1.05))+$BA114</f>
        <v>128</v>
      </c>
      <c r="BJ114" s="1" t="n">
        <f aca="false">INT(POWER((((Constants!$G$1+$BB114+$BC114+$BD114+$BF114)*($BE114))*$BG114),IF($G114="wagon",1,1.2)))+$AZ114</f>
        <v>1042</v>
      </c>
      <c r="BK114" s="20" t="n">
        <f aca="false">BI114*IF($G114="wagon",62.5,781.25)</f>
        <v>8000</v>
      </c>
      <c r="BL114" s="20" t="n">
        <f aca="false">BJ114*IF($G114="wagon",2.73,81.25)</f>
        <v>2844.66</v>
      </c>
      <c r="BT114" s="1" t="n">
        <v>2</v>
      </c>
      <c r="BU114" s="1" t="n">
        <v>278</v>
      </c>
      <c r="BV114" s="1" t="s">
        <v>225</v>
      </c>
      <c r="BX114" s="1" t="s">
        <v>95</v>
      </c>
      <c r="BY114" s="1" t="str">
        <f aca="false">VLOOKUP(J114,Eras!$A$2:$C$10, 2, TRUE())</f>
        <v>dsl</v>
      </c>
      <c r="BZ114" s="18" t="s">
        <v>595</v>
      </c>
      <c r="CA114" s="1" t="str">
        <f aca="false">CONCATENATE(BY114,"_",BZ114)</f>
        <v>dsl_Carriage</v>
      </c>
      <c r="CB114" s="1" t="str">
        <f aca="false">_xlfn.CONCAT(H114, "_",I114)</f>
        <v>carriage_RAIL</v>
      </c>
      <c r="CC114" s="21" t="str">
        <f aca="false">_xlfn.CONCAT("{BLACK}Length: {GOLD}", TEXT(ROUNDUP(IF(AQ114&lt;&gt;"",SUM(VALUE(_xlfn.TEXTSPLIT(AQ114, ","))), SUM(VALUE(_xlfn.TEXTSPLIT(AN114, ",")))*IF(M114, M114, 1))/16, 1), "#,##0.0"), " tiles{}")</f>
        <v>{BLACK}Length: {GOLD}0.8 tiles{}</v>
      </c>
      <c r="CD114" s="1" t="str">
        <f aca="false">VLOOKUP($CB114, Constants!$M:$N, 2, FALSE())</f>
        <v/>
      </c>
      <c r="CE114" s="1" t="str">
        <f aca="false">IF(M114&gt;1,_xlfn.CONCAT("{BLACK}Cars: {GOLD}", M114),"")</f>
        <v/>
      </c>
      <c r="CF114" s="1" t="s">
        <v>630</v>
      </c>
      <c r="CG114" s="1" t="str">
        <f aca="false">IF(BW114="buffet","{YELLOW}25% long distance bonus for consist{}",IF(BY114="BRAKE","{YELLOW}Speed bonus for slow wagons{}",IF(BU114&gt;190,CONCATENATE("{YELLOW}",INT((BU114-185)/1.85),"% bonus for long distance travel{}"),IF(AND(BU114&lt;180,BU114&lt;&gt;0),CONCATENATE("{YELLOW}",INT((185-BU114)/1.85),"% penalty for long distance travel{}"),""))))</f>
        <v>{YELLOW}50% bonus for long distance travel{}</v>
      </c>
      <c r="CH114" s="1" t="str">
        <f aca="false">_xlfn.CONCAT(CD114,IF(CD114 &lt;&gt; "", " ", ""),CE114,IF(OR(CE114&lt;&gt;"", CD114&lt;&gt;""), "{}",""), CC114, CG114,"{SILVER}", CF114)</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114" s="1"/>
      <c r="CJ114" s="1"/>
    </row>
    <row r="115" customFormat="false" ht="13.8" hidden="false" customHeight="false" outlineLevel="0" collapsed="false">
      <c r="A115" s="1" t="s">
        <v>631</v>
      </c>
      <c r="B115" s="1" t="s">
        <v>632</v>
      </c>
      <c r="C115" s="1" t="n">
        <v>103</v>
      </c>
      <c r="E115" s="1" t="n">
        <v>1105</v>
      </c>
      <c r="F115" s="1" t="s">
        <v>89</v>
      </c>
      <c r="G115" s="1" t="s">
        <v>528</v>
      </c>
      <c r="H115" s="1" t="s">
        <v>603</v>
      </c>
      <c r="I115" s="1" t="s">
        <v>153</v>
      </c>
      <c r="J115" s="1" t="n">
        <v>1975</v>
      </c>
      <c r="W115" s="1" t="n">
        <v>34</v>
      </c>
      <c r="Y115" s="1" t="n">
        <v>3</v>
      </c>
      <c r="AA115" s="4" t="str">
        <f aca="false">IF(AND(W115&gt;0,Z115&gt;0),(Z115/((W115+X115)*10)),"")</f>
        <v/>
      </c>
      <c r="AB115" s="1" t="n">
        <v>125</v>
      </c>
      <c r="AC115" s="1" t="n">
        <f aca="false">ROUND(AB115*1.6, 0)</f>
        <v>200</v>
      </c>
      <c r="AF115" s="1" t="n">
        <v>23</v>
      </c>
      <c r="AG115" s="1" t="n">
        <v>23</v>
      </c>
      <c r="AH115" s="1" t="n">
        <v>2.82</v>
      </c>
      <c r="AI115" s="1" t="n">
        <v>3.79</v>
      </c>
      <c r="AJ115" s="5" t="n">
        <v>24</v>
      </c>
      <c r="AK115" s="19" t="str">
        <f aca="false">CONCATENATE(VLOOKUP(AL115, 'Voxel Sizes'!$A$2:$B$18,2,FALSE()),"x",INT(AH115*15), "x", INT(AI115*15))</f>
        <v>214x42x56</v>
      </c>
      <c r="AL115" s="1" t="n">
        <f aca="false">ROUND(15*((AG115*10)/256),0)</f>
        <v>13</v>
      </c>
      <c r="AN115" s="1" t="str">
        <f aca="false">CONCATENATE(VLOOKUP(AL115,Constants!$A$2:$C$16,IF(AM115&lt;&gt;"", 3, 2), FALSE()),IF(AM115&lt;&gt;"",CONCATENATE(",",VLOOKUP(AM115,$B:$AN,38,FALSE())),""))</f>
        <v>4,5,4</v>
      </c>
      <c r="AW115" s="19" t="s">
        <v>633</v>
      </c>
      <c r="AX115" s="1" t="n">
        <v>30</v>
      </c>
      <c r="AY115" s="6" t="str">
        <f aca="false">IF(L115&lt;&gt;"",MAX(16,(L115-J115)+8),"")</f>
        <v/>
      </c>
      <c r="AZ115" s="1" t="n">
        <v>1150</v>
      </c>
      <c r="BA115" s="1" t="n">
        <v>150</v>
      </c>
      <c r="BB115" s="1" t="n">
        <f aca="false">MIN(AB115/150, 1)*30</f>
        <v>25</v>
      </c>
      <c r="BC115" s="1" t="n">
        <f aca="false">MIN(N115/4000, 1)*20</f>
        <v>0</v>
      </c>
      <c r="BD115" s="1" t="n">
        <f aca="false">MIN(Z115/400,1)*20</f>
        <v>0</v>
      </c>
      <c r="BE115" s="4" t="n">
        <f aca="false">1-(MAX(J115-1900, 0)/750)</f>
        <v>0.9</v>
      </c>
      <c r="BF115" s="1" t="n">
        <f aca="false">((MAX($M115,1)*MIN($AJ115/300,1)))*IF(G115="Wagon",50,10)</f>
        <v>4</v>
      </c>
      <c r="BG115" s="1" t="n">
        <f aca="false">VLOOKUP($H115,Constants!$I:$K, 2, FALSE())</f>
        <v>1.2</v>
      </c>
      <c r="BH115" s="1" t="n">
        <f aca="false">VLOOKUP($H115,Constants!$I:$K, 3, FALSE())*IF(AND(G115="multiple_unit",AB115&lt;110),0.75,1)</f>
        <v>0.6</v>
      </c>
      <c r="BI115" s="1" t="n">
        <f aca="false">INT(POWER(((Constants!$G$2+$BB115+$BC115+$BD115+$BF115)*$BE115)*$BH115, 1.05))+$BA115</f>
        <v>171</v>
      </c>
      <c r="BJ115" s="1" t="n">
        <f aca="false">INT(POWER((((Constants!$G$1+$BB115+$BC115+$BD115+$BF115)*($BE115))*$BG115),IF($G115="wagon",1,1.2)))+$AZ115</f>
        <v>1197</v>
      </c>
      <c r="BK115" s="20" t="n">
        <f aca="false">BI115*IF($G115="wagon",62.5,781.25)</f>
        <v>10687.5</v>
      </c>
      <c r="BL115" s="20" t="n">
        <f aca="false">BJ115*IF($G115="wagon",2.73,81.25)</f>
        <v>3267.81</v>
      </c>
      <c r="BT115" s="1" t="n">
        <v>2</v>
      </c>
      <c r="BU115" s="1" t="n">
        <v>278</v>
      </c>
      <c r="BV115" s="1" t="s">
        <v>225</v>
      </c>
      <c r="BX115" s="1" t="s">
        <v>95</v>
      </c>
      <c r="BY115" s="1" t="str">
        <f aca="false">VLOOKUP(J115,Eras!$A$2:$C$10, 2, TRUE())</f>
        <v>lbr</v>
      </c>
      <c r="BZ115" s="18" t="s">
        <v>595</v>
      </c>
      <c r="CA115" s="1" t="str">
        <f aca="false">CONCATENATE(BY115,"_",BZ115)</f>
        <v>lbr_Carriage</v>
      </c>
      <c r="CB115" s="1" t="str">
        <f aca="false">_xlfn.CONCAT(H115, "_",I115)</f>
        <v>carriage_RAIL</v>
      </c>
      <c r="CC115" s="21" t="str">
        <f aca="false">_xlfn.CONCAT("{BLACK}Length: {GOLD}", TEXT(ROUNDUP(IF(AQ115&lt;&gt;"",SUM(VALUE(_xlfn.TEXTSPLIT(AQ115, ","))), SUM(VALUE(_xlfn.TEXTSPLIT(AN115, ",")))*IF(M115, M115, 1))/16, 1), "#,##0.0"), " tiles{}")</f>
        <v>{BLACK}Length: {GOLD}0.9 tiles{}</v>
      </c>
      <c r="CD115" s="1" t="str">
        <f aca="false">VLOOKUP($CB115, Constants!$M:$N, 2, FALSE())</f>
        <v/>
      </c>
      <c r="CE115" s="1" t="str">
        <f aca="false">IF(M115&gt;1,_xlfn.CONCAT("{BLACK}Cars: {GOLD}", M115),"")</f>
        <v/>
      </c>
      <c r="CF115" s="1" t="s">
        <v>634</v>
      </c>
      <c r="CG115" s="1" t="str">
        <f aca="false">IF(BW115="buffet","{YELLOW}25% long distance bonus for consist{}",IF(BY115="BRAKE","{YELLOW}Speed bonus for slow wagons{}",IF(BU115&gt;190,CONCATENATE("{YELLOW}",INT((BU115-185)/1.85),"% bonus for long distance travel{}"),IF(AND(BU115&lt;180,BU115&lt;&gt;0),CONCATENATE("{YELLOW}",INT((185-BU115)/1.85),"% penalty for long distance travel{}"),""))))</f>
        <v>{YELLOW}50% bonus for long distance travel{}</v>
      </c>
      <c r="CH115" s="1" t="str">
        <f aca="false">_xlfn.CONCAT(CD115,IF(CD115 &lt;&gt; "", " ", ""),CE115,IF(OR(CE115&lt;&gt;"", CD115&lt;&gt;""), "{}",""), CC115, CG115,"{SILVER}", CF115)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115" s="1"/>
      <c r="CJ115" s="1"/>
    </row>
    <row r="116" customFormat="false" ht="13.8" hidden="false" customHeight="false" outlineLevel="0" collapsed="false">
      <c r="A116" s="1" t="s">
        <v>635</v>
      </c>
      <c r="B116" s="1" t="s">
        <v>636</v>
      </c>
      <c r="C116" s="1" t="n">
        <v>120</v>
      </c>
      <c r="D116" s="1" t="n">
        <v>121</v>
      </c>
      <c r="E116" s="1" t="n">
        <v>1108</v>
      </c>
      <c r="F116" s="1" t="s">
        <v>89</v>
      </c>
      <c r="G116" s="1" t="s">
        <v>324</v>
      </c>
      <c r="H116" s="1" t="s">
        <v>594</v>
      </c>
      <c r="I116" s="1" t="s">
        <v>153</v>
      </c>
      <c r="J116" s="1" t="n">
        <v>1997</v>
      </c>
      <c r="M116" s="1" t="n">
        <v>7</v>
      </c>
      <c r="W116" s="1" t="n">
        <v>363.4</v>
      </c>
      <c r="Y116" s="1" t="n">
        <v>3</v>
      </c>
      <c r="AA116" s="4" t="str">
        <f aca="false">IF(AND(W116&gt;0,Z116&gt;0),(Z116/((W116+X116)*10)),"")</f>
        <v/>
      </c>
      <c r="AB116" s="1" t="n">
        <v>125</v>
      </c>
      <c r="AC116" s="1" t="n">
        <f aca="false">ROUND(AB116*1.6, 0)</f>
        <v>200</v>
      </c>
      <c r="AF116" s="1" t="n">
        <v>23</v>
      </c>
      <c r="AG116" s="1" t="n">
        <v>23</v>
      </c>
      <c r="AH116" s="1" t="n">
        <v>2.82</v>
      </c>
      <c r="AI116" s="1" t="n">
        <v>3.79</v>
      </c>
      <c r="AJ116" s="5" t="n">
        <v>25</v>
      </c>
      <c r="AK116" s="19" t="str">
        <f aca="false">CONCATENATE(VLOOKUP(AL116, 'Voxel Sizes'!$A$2:$B$18,2,FALSE()),"x",INT(AH116*15), "x", INT(AI116*15))</f>
        <v>214x42x56</v>
      </c>
      <c r="AL116" s="1" t="n">
        <f aca="false">ROUND(15*((AG116*10)/256),0)</f>
        <v>13</v>
      </c>
      <c r="AN116" s="1" t="str">
        <f aca="false">CONCATENATE(VLOOKUP(AL116,Constants!$A$2:$C$16,IF(AM116&lt;&gt;"", 3, 2), FALSE()),IF(AM116&lt;&gt;"",CONCATENATE(",",VLOOKUP(AM116,$B:$AN,38,FALSE())),""))</f>
        <v>4,5,4</v>
      </c>
      <c r="AR116" s="1" t="s">
        <v>637</v>
      </c>
      <c r="AT116" s="1" t="s">
        <v>638</v>
      </c>
      <c r="AU116" s="1" t="s">
        <v>639</v>
      </c>
      <c r="AW116" s="19"/>
      <c r="AX116" s="1" t="n">
        <v>30</v>
      </c>
      <c r="AY116" s="6" t="str">
        <f aca="false">IF(L116&lt;&gt;"",MAX(16,(L116-J116)+8),"")</f>
        <v/>
      </c>
      <c r="AZ116" s="1" t="n">
        <v>170</v>
      </c>
      <c r="BA116" s="1" t="n">
        <v>80</v>
      </c>
      <c r="BB116" s="1" t="n">
        <f aca="false">MIN(AB116/150, 1)*30</f>
        <v>25</v>
      </c>
      <c r="BC116" s="1" t="n">
        <f aca="false">MIN(N116/4000, 1)*20</f>
        <v>0</v>
      </c>
      <c r="BD116" s="1" t="n">
        <f aca="false">MIN(Z116/400,1)*20</f>
        <v>0</v>
      </c>
      <c r="BE116" s="4" t="n">
        <f aca="false">1-(MAX(J116-1900, 0)/750)</f>
        <v>0.870666666666667</v>
      </c>
      <c r="BF116" s="1" t="n">
        <f aca="false">((MAX($M116,1)*MIN($AJ116/300,1)))*IF(G116="Wagon",50,10)</f>
        <v>5.83333333333333</v>
      </c>
      <c r="BG116" s="1" t="n">
        <f aca="false">VLOOKUP($H116,Constants!$I:$K, 2, FALSE())</f>
        <v>1.5</v>
      </c>
      <c r="BH116" s="1" t="n">
        <f aca="false">VLOOKUP($H116,Constants!$I:$K, 3, FALSE())*IF(AND(G116="multiple_unit",AB116&lt;110),0.75,1)</f>
        <v>0.7</v>
      </c>
      <c r="BI116" s="1" t="n">
        <f aca="false">INT(POWER(((Constants!$G$2+$BB116+$BC116+$BD116+$BF116)*$BE116)*$BH116, 1.05))+$BA116</f>
        <v>105</v>
      </c>
      <c r="BJ116" s="1" t="n">
        <f aca="false">INT(POWER((((Constants!$G$1+$BB116+$BC116+$BD116+$BF116)*($BE116))*$BG116),IF($G116="wagon",1,1.2)))+$AZ116</f>
        <v>305</v>
      </c>
      <c r="BK116" s="20" t="n">
        <f aca="false">BI116*IF($G116="wagon",62.5,781.25)</f>
        <v>82031.25</v>
      </c>
      <c r="BL116" s="20" t="n">
        <f aca="false">BJ116*IF($G116="wagon",2.73,81.25)</f>
        <v>24781.25</v>
      </c>
      <c r="BT116" s="1" t="n">
        <v>2</v>
      </c>
      <c r="BU116" s="1" t="n">
        <v>185</v>
      </c>
      <c r="BV116" s="1" t="s">
        <v>225</v>
      </c>
      <c r="BW116" s="1" t="s">
        <v>640</v>
      </c>
      <c r="BX116" s="1" t="s">
        <v>95</v>
      </c>
      <c r="BY116" s="1" t="str">
        <f aca="false">VLOOKUP(J116,Eras!$A$2:$C$10, 2, TRUE())</f>
        <v>prv</v>
      </c>
      <c r="BZ116" s="18" t="s">
        <v>595</v>
      </c>
      <c r="CA116" s="1" t="str">
        <f aca="false">CONCATENATE(BY116,"_",BZ116)</f>
        <v>prv_Carriage</v>
      </c>
      <c r="CB116" s="1" t="str">
        <f aca="false">_xlfn.CONCAT(H116, "_",I116)</f>
        <v>luxury_carriage_RAIL</v>
      </c>
      <c r="CC116" s="21" t="str">
        <f aca="false">_xlfn.CONCAT("{BLACK}Length: {GOLD}", TEXT(ROUNDUP(IF(AQ116&lt;&gt;"",SUM(VALUE(_xlfn.TEXTSPLIT(AQ116, ","))), SUM(VALUE(_xlfn.TEXTSPLIT(AN116, ",")))*IF(M116, M116, 1))/16, 1), "#,##0.0"), " tiles{}")</f>
        <v>{BLACK}Length: {GOLD}5.7 tiles{}</v>
      </c>
      <c r="CD116" s="1" t="str">
        <f aca="false">VLOOKUP($CB116, Constants!$M:$N, 2, FALSE())</f>
        <v/>
      </c>
      <c r="CE116" s="1" t="str">
        <f aca="false">IF(M116&gt;1,_xlfn.CONCAT("{BLACK}Cars: {GOLD}", M116),"")</f>
        <v>{BLACK}Cars: {GOLD}7</v>
      </c>
      <c r="CF116" s="1" t="s">
        <v>641</v>
      </c>
      <c r="CG116" s="18" t="s">
        <v>642</v>
      </c>
      <c r="CH116" s="1" t="str">
        <f aca="false">_xlfn.CONCAT(CD116,IF(CD116 &lt;&gt; "", " ", ""),CE116,IF(OR(CE116&lt;&gt;"", CD116&lt;&gt;""), "{}",""), CC116, CG116,"{SILVER}", CF116)</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116" s="1"/>
      <c r="CJ116" s="1"/>
    </row>
    <row r="117" customFormat="false" ht="13.8" hidden="false" customHeight="false" outlineLevel="0" collapsed="false">
      <c r="A117" s="1" t="s">
        <v>643</v>
      </c>
      <c r="B117" s="1" t="s">
        <v>644</v>
      </c>
      <c r="C117" s="1" t="n">
        <v>121</v>
      </c>
      <c r="E117" s="1" t="n">
        <v>1109</v>
      </c>
      <c r="F117" s="1" t="s">
        <v>89</v>
      </c>
      <c r="G117" s="1" t="s">
        <v>324</v>
      </c>
      <c r="H117" s="1" t="s">
        <v>594</v>
      </c>
      <c r="I117" s="1" t="s">
        <v>153</v>
      </c>
      <c r="J117" s="1" t="n">
        <v>1997</v>
      </c>
      <c r="M117" s="1" t="n">
        <v>8</v>
      </c>
      <c r="W117" s="1" t="n">
        <v>419.8</v>
      </c>
      <c r="Y117" s="1" t="n">
        <v>3</v>
      </c>
      <c r="AA117" s="4" t="str">
        <f aca="false">IF(AND(W117&gt;0,Z117&gt;0),(Z117/((W117+X117)*10)),"")</f>
        <v/>
      </c>
      <c r="AB117" s="1" t="n">
        <v>125</v>
      </c>
      <c r="AC117" s="1" t="n">
        <f aca="false">ROUND(AB117*1.6, 0)</f>
        <v>200</v>
      </c>
      <c r="AF117" s="1" t="n">
        <v>23</v>
      </c>
      <c r="AG117" s="1" t="n">
        <v>23</v>
      </c>
      <c r="AH117" s="1" t="n">
        <v>2.82</v>
      </c>
      <c r="AI117" s="1" t="n">
        <v>3.79</v>
      </c>
      <c r="AJ117" s="5" t="n">
        <v>25</v>
      </c>
      <c r="AK117" s="19" t="str">
        <f aca="false">CONCATENATE(VLOOKUP(AL117, 'Voxel Sizes'!$A$2:$B$18,2,FALSE()),"x",INT(AH117*15), "x", INT(AI117*15))</f>
        <v>214x42x56</v>
      </c>
      <c r="AL117" s="1" t="n">
        <f aca="false">ROUND(15*((AG117*10)/256),0)</f>
        <v>13</v>
      </c>
      <c r="AN117" s="1" t="str">
        <f aca="false">CONCATENATE(VLOOKUP(AL117,Constants!$A$2:$C$16,IF(AM117&lt;&gt;"", 3, 2), FALSE()),IF(AM117&lt;&gt;"",CONCATENATE(",",VLOOKUP(AM117,$B:$AN,38,FALSE())),""))</f>
        <v>4,5,4</v>
      </c>
      <c r="AR117" s="18" t="s">
        <v>645</v>
      </c>
      <c r="AT117" s="1" t="s">
        <v>209</v>
      </c>
      <c r="AU117" s="1" t="s">
        <v>639</v>
      </c>
      <c r="AW117" s="19"/>
      <c r="AX117" s="1" t="n">
        <v>30</v>
      </c>
      <c r="AY117" s="6" t="str">
        <f aca="false">IF(L117&lt;&gt;"",MAX(16,(L117-J117)+8),"")</f>
        <v/>
      </c>
      <c r="AZ117" s="1" t="n">
        <v>180</v>
      </c>
      <c r="BA117" s="1" t="n">
        <v>90</v>
      </c>
      <c r="BB117" s="1" t="n">
        <f aca="false">MIN(AB117/150, 1)*30</f>
        <v>25</v>
      </c>
      <c r="BC117" s="1" t="n">
        <f aca="false">MIN(N117/4000, 1)*20</f>
        <v>0</v>
      </c>
      <c r="BD117" s="1" t="n">
        <f aca="false">MIN(Z117/400,1)*20</f>
        <v>0</v>
      </c>
      <c r="BE117" s="4" t="n">
        <f aca="false">1-(MAX(J117-1900, 0)/750)</f>
        <v>0.870666666666667</v>
      </c>
      <c r="BF117" s="1" t="n">
        <f aca="false">((MAX($M117,1)*MIN($AJ117/300,1)))*IF(G117="Wagon",50,10)</f>
        <v>6.66666666666667</v>
      </c>
      <c r="BG117" s="1" t="n">
        <f aca="false">VLOOKUP($H117,Constants!$I:$K, 2, FALSE())</f>
        <v>1.5</v>
      </c>
      <c r="BH117" s="1" t="n">
        <f aca="false">VLOOKUP($H117,Constants!$I:$K, 3, FALSE())*IF(AND(G117="multiple_unit",AB117&lt;110),0.75,1)</f>
        <v>0.7</v>
      </c>
      <c r="BI117" s="1" t="n">
        <f aca="false">INT(POWER(((Constants!$G$2+$BB117+$BC117+$BD117+$BF117)*$BE117)*$BH117, 1.05))+$BA117</f>
        <v>116</v>
      </c>
      <c r="BJ117" s="1" t="n">
        <f aca="false">INT(POWER((((Constants!$G$1+$BB117+$BC117+$BD117+$BF117)*($BE117))*$BG117),IF($G117="wagon",1,1.2)))+$AZ117</f>
        <v>318</v>
      </c>
      <c r="BK117" s="20" t="n">
        <f aca="false">BI117*IF($G117="wagon",62.5,781.25)</f>
        <v>90625</v>
      </c>
      <c r="BL117" s="20" t="n">
        <f aca="false">BJ117*IF($G117="wagon",2.73,81.25)</f>
        <v>25837.5</v>
      </c>
      <c r="BT117" s="1" t="n">
        <v>2</v>
      </c>
      <c r="BU117" s="1" t="n">
        <v>185</v>
      </c>
      <c r="BV117" s="1" t="s">
        <v>225</v>
      </c>
      <c r="BW117" s="1" t="s">
        <v>640</v>
      </c>
      <c r="BX117" s="1" t="s">
        <v>95</v>
      </c>
      <c r="BY117" s="1" t="str">
        <f aca="false">VLOOKUP(J117,Eras!$A$2:$C$10, 2, TRUE())</f>
        <v>prv</v>
      </c>
      <c r="BZ117" s="18" t="s">
        <v>595</v>
      </c>
      <c r="CA117" s="1" t="str">
        <f aca="false">CONCATENATE(BY117,"_",BZ117)</f>
        <v>prv_Carriage</v>
      </c>
      <c r="CB117" s="1" t="str">
        <f aca="false">_xlfn.CONCAT(H117, "_",I117)</f>
        <v>luxury_carriage_RAIL</v>
      </c>
      <c r="CC117" s="21" t="str">
        <f aca="false">_xlfn.CONCAT("{BLACK}Length: {GOLD}", TEXT(ROUNDUP(IF(AQ117&lt;&gt;"",SUM(VALUE(_xlfn.TEXTSPLIT(AQ117, ","))), SUM(VALUE(_xlfn.TEXTSPLIT(AN117, ",")))*IF(M117, M117, 1))/16, 1), "#,##0.0"), " tiles{}")</f>
        <v>{BLACK}Length: {GOLD}6.5 tiles{}</v>
      </c>
      <c r="CD117" s="1" t="str">
        <f aca="false">VLOOKUP($CB117, Constants!$M:$N, 2, FALSE())</f>
        <v/>
      </c>
      <c r="CE117" s="1" t="str">
        <f aca="false">IF(M117&gt;1,_xlfn.CONCAT("{BLACK}Cars: {GOLD}", M117),"")</f>
        <v>{BLACK}Cars: {GOLD}8</v>
      </c>
      <c r="CF117" s="1" t="s">
        <v>646</v>
      </c>
      <c r="CG117" s="18" t="s">
        <v>642</v>
      </c>
      <c r="CH117" s="1" t="str">
        <f aca="false">_xlfn.CONCAT(CD117,IF(CD117 &lt;&gt; "", " ", ""),CE117,IF(OR(CE117&lt;&gt;"", CD117&lt;&gt;""), "{}",""), CC117, CG117,"{SILVER}", CF117)</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117" s="1"/>
      <c r="CJ117" s="1"/>
    </row>
    <row r="118" customFormat="false" ht="13.8" hidden="false" customHeight="false" outlineLevel="0" collapsed="false">
      <c r="A118" s="1" t="s">
        <v>647</v>
      </c>
      <c r="B118" s="1" t="s">
        <v>648</v>
      </c>
      <c r="C118" s="1" t="n">
        <v>122</v>
      </c>
      <c r="D118" s="1" t="n">
        <v>121</v>
      </c>
      <c r="E118" s="1" t="n">
        <v>1110</v>
      </c>
      <c r="F118" s="1" t="s">
        <v>89</v>
      </c>
      <c r="G118" s="1" t="s">
        <v>528</v>
      </c>
      <c r="H118" s="1" t="s">
        <v>649</v>
      </c>
      <c r="I118" s="1" t="s">
        <v>153</v>
      </c>
      <c r="J118" s="1" t="n">
        <v>1997</v>
      </c>
      <c r="W118" s="1" t="n">
        <v>46.1</v>
      </c>
      <c r="Y118" s="1" t="n">
        <v>3</v>
      </c>
      <c r="AA118" s="4" t="str">
        <f aca="false">IF(AND(W118&gt;0,Z118&gt;0),(Z118/((W118+X118)*10)),"")</f>
        <v/>
      </c>
      <c r="AB118" s="1" t="n">
        <v>125</v>
      </c>
      <c r="AC118" s="1" t="n">
        <f aca="false">ROUND(AB118*1.6, 0)</f>
        <v>200</v>
      </c>
      <c r="AF118" s="1" t="n">
        <v>23</v>
      </c>
      <c r="AG118" s="1" t="n">
        <v>23</v>
      </c>
      <c r="AH118" s="1" t="n">
        <v>2.82</v>
      </c>
      <c r="AI118" s="1" t="n">
        <v>3.79</v>
      </c>
      <c r="AJ118" s="5" t="n">
        <v>0</v>
      </c>
      <c r="AK118" s="19" t="str">
        <f aca="false">CONCATENATE(VLOOKUP(AL118, 'Voxel Sizes'!$A$2:$B$18,2,FALSE()),"x",INT(AH118*15), "x", INT(AI118*15))</f>
        <v>214x42x56</v>
      </c>
      <c r="AL118" s="1" t="n">
        <f aca="false">ROUND(15*((AG118*10)/256),0)</f>
        <v>13</v>
      </c>
      <c r="AN118" s="1" t="str">
        <f aca="false">CONCATENATE(VLOOKUP(AL118,Constants!$A$2:$C$16,IF(AM118&lt;&gt;"", 3, 2), FALSE()),IF(AM118&lt;&gt;"",CONCATENATE(",",VLOOKUP(AM118,$B:$AN,38,FALSE())),""))</f>
        <v>4,5,4</v>
      </c>
      <c r="AW118" s="19"/>
      <c r="AX118" s="1" t="n">
        <v>30</v>
      </c>
      <c r="AY118" s="6" t="str">
        <f aca="false">IF(L118&lt;&gt;"",MAX(16,(L118-J118)+8),"")</f>
        <v/>
      </c>
      <c r="AZ118" s="1" t="n">
        <v>1250</v>
      </c>
      <c r="BA118" s="1" t="n">
        <v>150</v>
      </c>
      <c r="BB118" s="1" t="n">
        <f aca="false">MIN(AB118/150, 1)*30</f>
        <v>25</v>
      </c>
      <c r="BC118" s="1" t="n">
        <f aca="false">MIN(N118/4000, 1)*20</f>
        <v>0</v>
      </c>
      <c r="BD118" s="1" t="n">
        <f aca="false">MIN(Z118/400,1)*20</f>
        <v>0</v>
      </c>
      <c r="BE118" s="4" t="n">
        <f aca="false">1-(MAX(J118-1900, 0)/750)</f>
        <v>0.870666666666667</v>
      </c>
      <c r="BF118" s="1" t="n">
        <f aca="false">((MAX($M118,1)*MIN($AJ118/300,1)))*IF(G118="Wagon",50,10)</f>
        <v>0</v>
      </c>
      <c r="BG118" s="1" t="n">
        <f aca="false">VLOOKUP($H118,Constants!$I:$K, 2, FALSE())</f>
        <v>1</v>
      </c>
      <c r="BH118" s="1" t="n">
        <f aca="false">VLOOKUP($H118,Constants!$I:$K, 3, FALSE())*IF(AND(G118="multiple_unit",AB118&lt;110),0.75,1)</f>
        <v>2</v>
      </c>
      <c r="BI118" s="1" t="n">
        <f aca="false">INT(POWER(((Constants!$G$2+$BB118+$BC118+$BD118+$BF118)*$BE118)*$BH118, 1.05))+$BA118</f>
        <v>213</v>
      </c>
      <c r="BJ118" s="1" t="n">
        <f aca="false">INT(POWER((((Constants!$G$1+$BB118+$BC118+$BD118+$BF118)*($BE118))*$BG118),IF($G118="wagon",1,1.2)))+$AZ118</f>
        <v>1284</v>
      </c>
      <c r="BK118" s="20" t="n">
        <f aca="false">BI118*IF($G118="wagon",62.5,781.25)</f>
        <v>13312.5</v>
      </c>
      <c r="BL118" s="20" t="n">
        <f aca="false">BJ118*IF($G118="wagon",2.73,81.25)</f>
        <v>3505.32</v>
      </c>
      <c r="BT118" s="1" t="n">
        <v>2</v>
      </c>
      <c r="BU118" s="1" t="n">
        <v>185</v>
      </c>
      <c r="BV118" s="1" t="s">
        <v>225</v>
      </c>
      <c r="BW118" s="1" t="s">
        <v>649</v>
      </c>
      <c r="BX118" s="1" t="s">
        <v>95</v>
      </c>
      <c r="BY118" s="1" t="str">
        <f aca="false">VLOOKUP(J118,Eras!$A$2:$C$10, 2, TRUE())</f>
        <v>prv</v>
      </c>
      <c r="BZ118" s="18" t="s">
        <v>595</v>
      </c>
      <c r="CA118" s="1" t="str">
        <f aca="false">CONCATENATE(BY118,"_",BZ118)</f>
        <v>prv_Carriage</v>
      </c>
      <c r="CB118" s="1" t="str">
        <f aca="false">_xlfn.CONCAT(H118, "_",I118)</f>
        <v>generator_car_RAIL</v>
      </c>
      <c r="CC118" s="21" t="str">
        <f aca="false">_xlfn.CONCAT("{BLACK}Length: {GOLD}", TEXT(ROUNDUP(IF(AQ118&lt;&gt;"",SUM(VALUE(_xlfn.TEXTSPLIT(AQ118, ","))), SUM(VALUE(_xlfn.TEXTSPLIT(AN118, ",")))*IF(M118, M118, 1))/16, 1), "#,##0.0"), " tiles{}")</f>
        <v>{BLACK}Length: {GOLD}0.9 tiles{}</v>
      </c>
      <c r="CD118" s="1" t="str">
        <f aca="false">VLOOKUP($CB118, Constants!$M:$N, 2, FALSE())</f>
        <v>{BLACK}Powered by: {GOLD}Diesel</v>
      </c>
      <c r="CE118" s="1" t="str">
        <f aca="false">IF(M118&gt;1,_xlfn.CONCAT("{BLACK}Cars: {GOLD}", M118),"")</f>
        <v/>
      </c>
      <c r="CF118" s="1" t="s">
        <v>650</v>
      </c>
      <c r="CG118" s="1" t="str">
        <f aca="false">IF(BW118="buffet","{YELLOW}25% long distance bonus for consist{}",IF(BY118="BRAKE","{YELLOW}Speed bonus for slow wagons{}",IF(BU118&gt;190,CONCATENATE("{YELLOW}",INT((BU118-185)/1.85),"% bonus for long distance travel{}"),IF(AND(BU118&lt;180,BU118&lt;&gt;0),CONCATENATE("{YELLOW}",INT((185-BU118)/1.85),"% penalty for long distance travel{}"),""))))</f>
        <v/>
      </c>
      <c r="CH118" s="1" t="str">
        <f aca="false">_xlfn.CONCAT(CD118,IF(CD118 &lt;&gt; "", " ", ""),CE118,IF(OR(CE118&lt;&gt;"", CD118&lt;&gt;""), "{}",""), CC118, CG118,"{SILVER}", CF118)</f>
        <v>{BLACK}Powered by: {GOLD}Diesel {}{BLACK}Length: {GOLD}0.9 tiles{}{SILVER}The Nightstar rolling stock was so power-hungry that a number of Mk3 Sleepers were converted with 450 kVA generator sets for use when away from electrified areas.</v>
      </c>
      <c r="CI118" s="1"/>
      <c r="CJ118" s="1"/>
    </row>
    <row r="119" customFormat="false" ht="13.8" hidden="false" customHeight="false" outlineLevel="0" collapsed="false">
      <c r="A119" s="1" t="s">
        <v>651</v>
      </c>
      <c r="B119" s="1" t="s">
        <v>652</v>
      </c>
      <c r="C119" s="1" t="n">
        <v>123</v>
      </c>
      <c r="D119" s="1" t="n">
        <v>121</v>
      </c>
      <c r="E119" s="1" t="n">
        <v>1111</v>
      </c>
      <c r="F119" s="1" t="s">
        <v>89</v>
      </c>
      <c r="G119" s="1" t="s">
        <v>528</v>
      </c>
      <c r="H119" s="1" t="s">
        <v>649</v>
      </c>
      <c r="I119" s="1" t="s">
        <v>153</v>
      </c>
      <c r="J119" s="1" t="n">
        <v>1997</v>
      </c>
      <c r="W119" s="1" t="n">
        <v>46.1</v>
      </c>
      <c r="Y119" s="1" t="n">
        <v>3</v>
      </c>
      <c r="AA119" s="4" t="str">
        <f aca="false">IF(AND(W119&gt;0,Z119&gt;0),(Z119/((W119+X119)*10)),"")</f>
        <v/>
      </c>
      <c r="AB119" s="1" t="n">
        <v>125</v>
      </c>
      <c r="AC119" s="1" t="n">
        <f aca="false">ROUND(AB119*1.6, 0)</f>
        <v>200</v>
      </c>
      <c r="AF119" s="1" t="n">
        <v>23</v>
      </c>
      <c r="AG119" s="1" t="n">
        <v>23</v>
      </c>
      <c r="AH119" s="1" t="n">
        <v>2.82</v>
      </c>
      <c r="AI119" s="1" t="n">
        <v>3.79</v>
      </c>
      <c r="AJ119" s="5" t="n">
        <v>0</v>
      </c>
      <c r="AK119" s="19" t="str">
        <f aca="false">CONCATENATE(VLOOKUP(AL119, 'Voxel Sizes'!$A$2:$B$18,2,FALSE()),"x",INT(AH119*15), "x", INT(AI119*15))</f>
        <v>214x42x56</v>
      </c>
      <c r="AL119" s="1" t="n">
        <f aca="false">ROUND(15*((AG119*10)/256),0)</f>
        <v>13</v>
      </c>
      <c r="AN119" s="1" t="str">
        <f aca="false">CONCATENATE(VLOOKUP(AL119,Constants!$A$2:$C$16,IF(AM119&lt;&gt;"", 3, 2), FALSE()),IF(AM119&lt;&gt;"",CONCATENATE(",",VLOOKUP(AM119,$B:$AN,38,FALSE())),""))</f>
        <v>4,5,4</v>
      </c>
      <c r="AW119" s="19"/>
      <c r="AX119" s="1" t="n">
        <v>30</v>
      </c>
      <c r="AY119" s="6" t="str">
        <f aca="false">IF(L119&lt;&gt;"",MAX(16,(L119-J119)+8),"")</f>
        <v/>
      </c>
      <c r="AZ119" s="1" t="n">
        <v>1250</v>
      </c>
      <c r="BA119" s="1" t="n">
        <v>150</v>
      </c>
      <c r="BB119" s="1" t="n">
        <f aca="false">MIN(AB119/150, 1)*30</f>
        <v>25</v>
      </c>
      <c r="BC119" s="1" t="n">
        <f aca="false">MIN(N119/4000, 1)*20</f>
        <v>0</v>
      </c>
      <c r="BD119" s="1" t="n">
        <f aca="false">MIN(Z119/400,1)*20</f>
        <v>0</v>
      </c>
      <c r="BE119" s="4" t="n">
        <f aca="false">1-(MAX(J119-1900, 0)/750)</f>
        <v>0.870666666666667</v>
      </c>
      <c r="BF119" s="1" t="n">
        <f aca="false">((MAX($M119,1)*MIN($AJ119/300,1)))*IF(G119="Wagon",50,10)</f>
        <v>0</v>
      </c>
      <c r="BG119" s="1" t="n">
        <f aca="false">VLOOKUP($H119,Constants!$I:$K, 2, FALSE())</f>
        <v>1</v>
      </c>
      <c r="BH119" s="1" t="n">
        <f aca="false">VLOOKUP($H119,Constants!$I:$K, 3, FALSE())*IF(AND(G119="multiple_unit",AB119&lt;110),0.75,1)</f>
        <v>2</v>
      </c>
      <c r="BI119" s="1" t="n">
        <f aca="false">INT(POWER(((Constants!$G$2+$BB119+$BC119+$BD119+$BF119)*$BE119)*$BH119, 1.05))+$BA119</f>
        <v>213</v>
      </c>
      <c r="BJ119" s="1" t="n">
        <f aca="false">INT(POWER((((Constants!$G$1+$BB119+$BC119+$BD119+$BF119)*($BE119))*$BG119),IF($G119="wagon",1,1.2)))+$AZ119</f>
        <v>1284</v>
      </c>
      <c r="BK119" s="20" t="n">
        <f aca="false">BI119*IF($G119="wagon",62.5,781.25)</f>
        <v>13312.5</v>
      </c>
      <c r="BL119" s="20" t="n">
        <f aca="false">BJ119*IF($G119="wagon",2.73,81.25)</f>
        <v>3505.32</v>
      </c>
      <c r="BT119" s="1" t="n">
        <v>2</v>
      </c>
      <c r="BU119" s="1" t="n">
        <v>185</v>
      </c>
      <c r="BV119" s="1" t="s">
        <v>225</v>
      </c>
      <c r="BW119" s="1" t="s">
        <v>649</v>
      </c>
      <c r="BX119" s="1" t="s">
        <v>95</v>
      </c>
      <c r="BY119" s="1" t="str">
        <f aca="false">VLOOKUP(J119,Eras!$A$2:$C$10, 2, TRUE())</f>
        <v>prv</v>
      </c>
      <c r="BZ119" s="18" t="s">
        <v>595</v>
      </c>
      <c r="CA119" s="1" t="str">
        <f aca="false">CONCATENATE(BY119,"_",BZ119)</f>
        <v>prv_Carriage</v>
      </c>
      <c r="CB119" s="1" t="str">
        <f aca="false">_xlfn.CONCAT(H119, "_",I119)</f>
        <v>generator_car_RAIL</v>
      </c>
      <c r="CC119" s="21" t="str">
        <f aca="false">_xlfn.CONCAT("{BLACK}Length: {GOLD}", TEXT(ROUNDUP(IF(AQ119&lt;&gt;"",SUM(VALUE(_xlfn.TEXTSPLIT(AQ119, ","))), SUM(VALUE(_xlfn.TEXTSPLIT(AN119, ",")))*IF(M119, M119, 1))/16, 1), "#,##0.0"), " tiles{}")</f>
        <v>{BLACK}Length: {GOLD}0.9 tiles{}</v>
      </c>
      <c r="CD119" s="1" t="str">
        <f aca="false">VLOOKUP($CB119, Constants!$M:$N, 2, FALSE())</f>
        <v>{BLACK}Powered by: {GOLD}Diesel</v>
      </c>
      <c r="CE119" s="1" t="str">
        <f aca="false">IF(M119&gt;1,_xlfn.CONCAT("{BLACK}Cars: {GOLD}", M119),"")</f>
        <v/>
      </c>
      <c r="CF119" s="1" t="s">
        <v>650</v>
      </c>
      <c r="CG119" s="1" t="str">
        <f aca="false">IF(BW119="buffet","{YELLOW}25% long distance bonus for consist{}",IF(BY119="BRAKE","{YELLOW}Speed bonus for slow wagons{}",IF(BU119&gt;190,CONCATENATE("{YELLOW}",INT((BU119-185)/1.85),"% bonus for long distance travel{}"),IF(AND(BU119&lt;180,BU119&lt;&gt;0),CONCATENATE("{YELLOW}",INT((185-BU119)/1.85),"% penalty for long distance travel{}"),""))))</f>
        <v/>
      </c>
      <c r="CH119" s="1" t="str">
        <f aca="false">_xlfn.CONCAT(CD119,IF(CD119 &lt;&gt; "", " ", ""),CE119,IF(OR(CE119&lt;&gt;"", CD119&lt;&gt;""), "{}",""), CC119, CG119,"{SILVER}", CF119)</f>
        <v>{BLACK}Powered by: {GOLD}Diesel {}{BLACK}Length: {GOLD}0.9 tiles{}{SILVER}The Nightstar rolling stock was so power-hungry that a number of Mk3 Sleepers were converted with 450 kVA generator sets for use when away from electrified areas.</v>
      </c>
      <c r="CI119" s="1"/>
      <c r="CJ119" s="1"/>
    </row>
    <row r="120" customFormat="false" ht="13.8" hidden="false" customHeight="false" outlineLevel="0" collapsed="false">
      <c r="A120" s="1" t="s">
        <v>653</v>
      </c>
      <c r="B120" s="1" t="s">
        <v>654</v>
      </c>
      <c r="C120" s="1" t="n">
        <v>105</v>
      </c>
      <c r="E120" s="1" t="n">
        <v>1112</v>
      </c>
      <c r="F120" s="1" t="s">
        <v>89</v>
      </c>
      <c r="G120" s="1" t="s">
        <v>528</v>
      </c>
      <c r="H120" s="1" t="s">
        <v>603</v>
      </c>
      <c r="I120" s="1" t="s">
        <v>153</v>
      </c>
      <c r="J120" s="1" t="n">
        <v>2018</v>
      </c>
      <c r="W120" s="1" t="n">
        <v>43</v>
      </c>
      <c r="Y120" s="1" t="n">
        <v>3</v>
      </c>
      <c r="AA120" s="4" t="str">
        <f aca="false">IF(AND(W120&gt;0,Z120&gt;0),(Z120/((W120+X120)*10)),"")</f>
        <v/>
      </c>
      <c r="AB120" s="1" t="n">
        <v>125</v>
      </c>
      <c r="AC120" s="1" t="n">
        <f aca="false">ROUND(AB120*1.6, 0)</f>
        <v>200</v>
      </c>
      <c r="AF120" s="1" t="n">
        <v>22.2</v>
      </c>
      <c r="AG120" s="1" t="n">
        <v>22</v>
      </c>
      <c r="AH120" s="1" t="n">
        <v>2.75</v>
      </c>
      <c r="AI120" s="1" t="n">
        <v>3.79</v>
      </c>
      <c r="AJ120" s="5" t="n">
        <v>10</v>
      </c>
      <c r="AK120" s="19" t="str">
        <f aca="false">CONCATENATE(VLOOKUP(AL120, 'Voxel Sizes'!$A$2:$B$18,2,FALSE()),"x",INT(AH120*15), "x", INT(AI120*15))</f>
        <v>214x41x56</v>
      </c>
      <c r="AL120" s="1" t="n">
        <f aca="false">ROUND(15*((AG120*10)/256),0)</f>
        <v>13</v>
      </c>
      <c r="AN120" s="1" t="str">
        <f aca="false">CONCATENATE(VLOOKUP(AL120,Constants!$A$2:$C$16,IF(AM120&lt;&gt;"", 3, 2), FALSE()),IF(AM120&lt;&gt;"",CONCATENATE(",",VLOOKUP(AM120,$B:$AN,38,FALSE())),""))</f>
        <v>4,5,4</v>
      </c>
      <c r="AW120" s="19" t="s">
        <v>655</v>
      </c>
      <c r="AX120" s="1" t="n">
        <v>30</v>
      </c>
      <c r="AY120" s="6" t="str">
        <f aca="false">IF(L120&lt;&gt;"",MAX(16,(L120-J120)+8),"")</f>
        <v/>
      </c>
      <c r="AZ120" s="1" t="n">
        <v>1150</v>
      </c>
      <c r="BA120" s="1" t="n">
        <v>150</v>
      </c>
      <c r="BB120" s="1" t="n">
        <f aca="false">MIN(AB120/150, 1)*30</f>
        <v>25</v>
      </c>
      <c r="BC120" s="1" t="n">
        <f aca="false">MIN(N120/4000, 1)*20</f>
        <v>0</v>
      </c>
      <c r="BD120" s="1" t="n">
        <f aca="false">MIN(Z120/400,1)*20</f>
        <v>0</v>
      </c>
      <c r="BE120" s="4" t="n">
        <f aca="false">1-(MAX(J120-1900, 0)/750)</f>
        <v>0.842666666666667</v>
      </c>
      <c r="BF120" s="1" t="n">
        <f aca="false">((MAX($M120,1)*MIN($AJ120/300,1)))*IF(G120="Wagon",50,10)</f>
        <v>1.66666666666667</v>
      </c>
      <c r="BG120" s="1" t="n">
        <f aca="false">VLOOKUP($H120,Constants!$I:$K, 2, FALSE())</f>
        <v>1.2</v>
      </c>
      <c r="BH120" s="1" t="n">
        <f aca="false">VLOOKUP($H120,Constants!$I:$K, 3, FALSE())*IF(AND(G120="multiple_unit",AB120&lt;110),0.75,1)</f>
        <v>0.6</v>
      </c>
      <c r="BI120" s="1" t="n">
        <f aca="false">INT(POWER(((Constants!$G$2+$BB120+$BC120+$BD120+$BF120)*$BE120)*$BH120, 1.05))+$BA120</f>
        <v>168</v>
      </c>
      <c r="BJ120" s="1" t="n">
        <f aca="false">INT(POWER((((Constants!$G$1+$BB120+$BC120+$BD120+$BF120)*($BE120))*$BG120),IF($G120="wagon",1,1.2)))+$AZ120</f>
        <v>1192</v>
      </c>
      <c r="BK120" s="20" t="n">
        <f aca="false">BI120*IF($G120="wagon",62.5,781.25)</f>
        <v>10500</v>
      </c>
      <c r="BL120" s="20" t="n">
        <f aca="false">BJ120*IF($G120="wagon",2.73,81.25)</f>
        <v>3254.16</v>
      </c>
      <c r="BT120" s="1" t="n">
        <v>2</v>
      </c>
      <c r="BU120" s="1" t="n">
        <v>278</v>
      </c>
      <c r="BV120" s="1" t="s">
        <v>225</v>
      </c>
      <c r="BX120" s="1" t="s">
        <v>95</v>
      </c>
      <c r="BY120" s="1" t="str">
        <f aca="false">VLOOKUP(J120,Eras!$A$2:$C$10, 2, TRUE())</f>
        <v>mod</v>
      </c>
      <c r="BZ120" s="18" t="s">
        <v>595</v>
      </c>
      <c r="CA120" s="1" t="str">
        <f aca="false">CONCATENATE(BY120,"_",BZ120)</f>
        <v>mod_Carriage</v>
      </c>
      <c r="CB120" s="1" t="str">
        <f aca="false">_xlfn.CONCAT(H120, "_",I120)</f>
        <v>carriage_RAIL</v>
      </c>
      <c r="CC120" s="21" t="str">
        <f aca="false">_xlfn.CONCAT("{BLACK}Length: {GOLD}", TEXT(ROUNDUP(IF(AQ120&lt;&gt;"",SUM(VALUE(_xlfn.TEXTSPLIT(AQ120, ","))), SUM(VALUE(_xlfn.TEXTSPLIT(AN120, ",")))*IF(M120, M120, 1))/16, 1), "#,##0.0"), " tiles{}")</f>
        <v>{BLACK}Length: {GOLD}0.9 tiles{}</v>
      </c>
      <c r="CD120" s="1" t="str">
        <f aca="false">VLOOKUP($CB120, Constants!$M:$N, 2, FALSE())</f>
        <v/>
      </c>
      <c r="CE120" s="1" t="str">
        <f aca="false">IF(M120&gt;1,_xlfn.CONCAT("{BLACK}Cars: {GOLD}", M120),"")</f>
        <v/>
      </c>
      <c r="CF120" s="1" t="s">
        <v>656</v>
      </c>
      <c r="CG120" s="1" t="str">
        <f aca="false">IF(BW120="buffet","{YELLOW}25% long distance bonus for consist{}",IF(BY120="BRAKE","{YELLOW}Speed bonus for slow wagons{}",IF(BU120&gt;190,CONCATENATE("{YELLOW}",INT((BU120-185)/1.85),"% bonus for long distance travel{}"),IF(AND(BU120&lt;180,BU120&lt;&gt;0),CONCATENATE("{YELLOW}",INT((185-BU120)/1.85),"% penalty for long distance travel{}"),""))))</f>
        <v>{YELLOW}50% bonus for long distance travel{}</v>
      </c>
      <c r="CH120" s="1" t="str">
        <f aca="false">_xlfn.CONCAT(CD120,IF(CD120 &lt;&gt; "", " ", ""),CE120,IF(OR(CE120&lt;&gt;"", CD120&lt;&gt;""), "{}",""), CC120, CG120,"{SILVER}", CF120)</f>
        <v>{BLACK}Length: {GOLD}0.9 tiles{}{YELLOW}50% bonus for long distance travel{}{SILVER}The Mk5 sleeper trains were procured to replace Mk3 sleepers. With the end of double berths, these trains have an even lower capacity than what they replaced!</v>
      </c>
      <c r="CI120" s="1"/>
      <c r="CJ120" s="1"/>
    </row>
    <row r="121" customFormat="false" ht="13.8" hidden="false" customHeight="false" outlineLevel="0" collapsed="false">
      <c r="A121" s="1" t="s">
        <v>657</v>
      </c>
      <c r="B121" s="1" t="s">
        <v>658</v>
      </c>
      <c r="C121" s="1" t="n">
        <v>106</v>
      </c>
      <c r="D121" s="1" t="n">
        <v>105</v>
      </c>
      <c r="E121" s="1" t="n">
        <v>1113</v>
      </c>
      <c r="F121" s="1" t="s">
        <v>89</v>
      </c>
      <c r="G121" s="1" t="s">
        <v>528</v>
      </c>
      <c r="H121" s="1" t="s">
        <v>603</v>
      </c>
      <c r="I121" s="1" t="s">
        <v>153</v>
      </c>
      <c r="J121" s="1" t="n">
        <v>2018</v>
      </c>
      <c r="W121" s="1" t="n">
        <v>43</v>
      </c>
      <c r="Y121" s="1" t="n">
        <v>3</v>
      </c>
      <c r="AA121" s="4" t="str">
        <f aca="false">IF(AND(W121&gt;0,Z121&gt;0),(Z121/((W121+X121)*10)),"")</f>
        <v/>
      </c>
      <c r="AB121" s="1" t="n">
        <v>125</v>
      </c>
      <c r="AC121" s="1" t="n">
        <f aca="false">ROUND(AB121*1.6, 0)</f>
        <v>200</v>
      </c>
      <c r="AF121" s="1" t="n">
        <v>22.2</v>
      </c>
      <c r="AG121" s="1" t="n">
        <v>22</v>
      </c>
      <c r="AH121" s="1" t="n">
        <v>2.75</v>
      </c>
      <c r="AI121" s="1" t="n">
        <v>3.79</v>
      </c>
      <c r="AJ121" s="5" t="n">
        <v>30</v>
      </c>
      <c r="AK121" s="19" t="str">
        <f aca="false">CONCATENATE(VLOOKUP(AL121, 'Voxel Sizes'!$A$2:$B$18,2,FALSE()),"x",INT(AH121*15), "x", INT(AI121*15))</f>
        <v>214x41x56</v>
      </c>
      <c r="AL121" s="1" t="n">
        <f aca="false">ROUND(15*((AG121*10)/256),0)</f>
        <v>13</v>
      </c>
      <c r="AN121" s="1" t="str">
        <f aca="false">CONCATENATE(VLOOKUP(AL121,Constants!$A$2:$C$16,IF(AM121&lt;&gt;"", 3, 2), FALSE()),IF(AM121&lt;&gt;"",CONCATENATE(",",VLOOKUP(AM121,$B:$AN,38,FALSE())),""))</f>
        <v>4,5,4</v>
      </c>
      <c r="AW121" s="19" t="s">
        <v>659</v>
      </c>
      <c r="AX121" s="1" t="n">
        <v>30</v>
      </c>
      <c r="AY121" s="6" t="str">
        <f aca="false">IF(L121&lt;&gt;"",MAX(16,(L121-J121)+8),"")</f>
        <v/>
      </c>
      <c r="AZ121" s="1" t="n">
        <v>1150</v>
      </c>
      <c r="BA121" s="1" t="n">
        <v>150</v>
      </c>
      <c r="BB121" s="1" t="n">
        <f aca="false">MIN(AB121/150, 1)*30</f>
        <v>25</v>
      </c>
      <c r="BC121" s="1" t="n">
        <f aca="false">MIN(N121/4000, 1)*20</f>
        <v>0</v>
      </c>
      <c r="BD121" s="1" t="n">
        <f aca="false">MIN(Z121/400,1)*20</f>
        <v>0</v>
      </c>
      <c r="BE121" s="4" t="n">
        <f aca="false">1-(MAX(J121-1900, 0)/750)</f>
        <v>0.842666666666667</v>
      </c>
      <c r="BF121" s="1" t="n">
        <f aca="false">((MAX($M121,1)*MIN($AJ121/300,1)))*IF(G121="Wagon",50,10)</f>
        <v>5</v>
      </c>
      <c r="BG121" s="1" t="n">
        <f aca="false">VLOOKUP($H121,Constants!$I:$K, 2, FALSE())</f>
        <v>1.2</v>
      </c>
      <c r="BH121" s="1" t="n">
        <f aca="false">VLOOKUP($H121,Constants!$I:$K, 3, FALSE())*IF(AND(G121="multiple_unit",AB121&lt;110),0.75,1)</f>
        <v>0.6</v>
      </c>
      <c r="BI121" s="1" t="n">
        <f aca="false">INT(POWER(((Constants!$G$2+$BB121+$BC121+$BD121+$BF121)*$BE121)*$BH121, 1.05))+$BA121</f>
        <v>170</v>
      </c>
      <c r="BJ121" s="1" t="n">
        <f aca="false">INT(POWER((((Constants!$G$1+$BB121+$BC121+$BD121+$BF121)*($BE121))*$BG121),IF($G121="wagon",1,1.2)))+$AZ121</f>
        <v>1195</v>
      </c>
      <c r="BK121" s="20" t="n">
        <f aca="false">BI121*IF($G121="wagon",62.5,781.25)</f>
        <v>10625</v>
      </c>
      <c r="BL121" s="20" t="n">
        <f aca="false">BJ121*IF($G121="wagon",2.73,81.25)</f>
        <v>3262.35</v>
      </c>
      <c r="BT121" s="1" t="n">
        <v>2</v>
      </c>
      <c r="BU121" s="1" t="n">
        <v>222</v>
      </c>
      <c r="BV121" s="1" t="s">
        <v>225</v>
      </c>
      <c r="BX121" s="1" t="s">
        <v>95</v>
      </c>
      <c r="BY121" s="1" t="str">
        <f aca="false">VLOOKUP(J121,Eras!$A$2:$C$10, 2, TRUE())</f>
        <v>mod</v>
      </c>
      <c r="BZ121" s="18" t="s">
        <v>595</v>
      </c>
      <c r="CA121" s="1" t="str">
        <f aca="false">CONCATENATE(BY121,"_",BZ121)</f>
        <v>mod_Carriage</v>
      </c>
      <c r="CB121" s="1" t="str">
        <f aca="false">_xlfn.CONCAT(H121, "_",I121)</f>
        <v>carriage_RAIL</v>
      </c>
      <c r="CC121" s="21" t="str">
        <f aca="false">_xlfn.CONCAT("{BLACK}Length: {GOLD}", TEXT(ROUNDUP(IF(AQ121&lt;&gt;"",SUM(VALUE(_xlfn.TEXTSPLIT(AQ121, ","))), SUM(VALUE(_xlfn.TEXTSPLIT(AN121, ",")))*IF(M121, M121, 1))/16, 1), "#,##0.0"), " tiles{}")</f>
        <v>{BLACK}Length: {GOLD}0.9 tiles{}</v>
      </c>
      <c r="CD121" s="1" t="str">
        <f aca="false">VLOOKUP($CB121, Constants!$M:$N, 2, FALSE())</f>
        <v/>
      </c>
      <c r="CE121" s="1" t="str">
        <f aca="false">IF(M121&gt;1,_xlfn.CONCAT("{BLACK}Cars: {GOLD}", M121),"")</f>
        <v/>
      </c>
      <c r="CF121" s="1" t="s">
        <v>660</v>
      </c>
      <c r="CG121" s="1" t="str">
        <f aca="false">IF(BW121="buffet","{YELLOW}25% long distance bonus for consist{}",IF(BY121="BRAKE","{YELLOW}Speed bonus for slow wagons{}",IF(BU121&gt;190,CONCATENATE("{YELLOW}",INT((BU121-185)/1.85),"% bonus for long distance travel{}"),IF(AND(BU121&lt;180,BU121&lt;&gt;0),CONCATENATE("{YELLOW}",INT((185-BU121)/1.85),"% penalty for long distance travel{}"),""))))</f>
        <v>{YELLOW}20% bonus for long distance travel{}</v>
      </c>
      <c r="CH121" s="1" t="str">
        <f aca="false">_xlfn.CONCAT(CD121,IF(CD121 &lt;&gt; "", " ", ""),CE121,IF(OR(CE121&lt;&gt;"", CD121&lt;&gt;""), "{}",""), CC121, CG121,"{SILVER}", CF121)</f>
        <v>{BLACK}Length: {GOLD}0.9 tiles{}{YELLOW}20% bonus for long distance travel{}{SILVER}Mk5 sleeper services make up for their pathetic berth count with conventional seated stock, featuring a 2+1 airline style seating and not enough recline in the seats.</v>
      </c>
      <c r="CI121" s="1"/>
      <c r="CJ121" s="1"/>
    </row>
    <row r="122" customFormat="false" ht="13.8" hidden="false" customHeight="false" outlineLevel="0" collapsed="false">
      <c r="A122" s="1" t="s">
        <v>661</v>
      </c>
      <c r="B122" s="1" t="s">
        <v>662</v>
      </c>
      <c r="C122" s="1" t="n">
        <v>107</v>
      </c>
      <c r="D122" s="1" t="n">
        <v>105</v>
      </c>
      <c r="E122" s="1" t="n">
        <v>1114</v>
      </c>
      <c r="F122" s="1" t="s">
        <v>89</v>
      </c>
      <c r="G122" s="1" t="s">
        <v>528</v>
      </c>
      <c r="H122" s="1" t="s">
        <v>603</v>
      </c>
      <c r="I122" s="1" t="s">
        <v>153</v>
      </c>
      <c r="J122" s="1" t="n">
        <v>2018</v>
      </c>
      <c r="W122" s="1" t="n">
        <v>43</v>
      </c>
      <c r="Y122" s="1" t="n">
        <v>3</v>
      </c>
      <c r="AA122" s="4" t="str">
        <f aca="false">IF(AND(W122&gt;0,Z122&gt;0),(Z122/((W122+X122)*10)),"")</f>
        <v/>
      </c>
      <c r="AB122" s="1" t="n">
        <v>125</v>
      </c>
      <c r="AC122" s="1" t="n">
        <f aca="false">ROUND(AB122*1.6, 0)</f>
        <v>200</v>
      </c>
      <c r="AF122" s="1" t="n">
        <v>22.2</v>
      </c>
      <c r="AG122" s="1" t="n">
        <v>22</v>
      </c>
      <c r="AH122" s="1" t="n">
        <v>2.75</v>
      </c>
      <c r="AI122" s="1" t="n">
        <v>3.79</v>
      </c>
      <c r="AJ122" s="5" t="n">
        <v>0</v>
      </c>
      <c r="AK122" s="19" t="str">
        <f aca="false">CONCATENATE(VLOOKUP(AL122, 'Voxel Sizes'!$A$2:$B$18,2,FALSE()),"x",INT(AH122*15), "x", INT(AI122*15))</f>
        <v>214x41x56</v>
      </c>
      <c r="AL122" s="1" t="n">
        <f aca="false">ROUND(15*((AG122*10)/256),0)</f>
        <v>13</v>
      </c>
      <c r="AN122" s="1" t="str">
        <f aca="false">CONCATENATE(VLOOKUP(AL122,Constants!$A$2:$C$16,IF(AM122&lt;&gt;"", 3, 2), FALSE()),IF(AM122&lt;&gt;"",CONCATENATE(",",VLOOKUP(AM122,$B:$AN,38,FALSE())),""))</f>
        <v>4,5,4</v>
      </c>
      <c r="AW122" s="19" t="s">
        <v>663</v>
      </c>
      <c r="AX122" s="1" t="n">
        <v>30</v>
      </c>
      <c r="AY122" s="6" t="str">
        <f aca="false">IF(L122&lt;&gt;"",MAX(16,(L122-J122)+8),"")</f>
        <v/>
      </c>
      <c r="AZ122" s="1" t="n">
        <v>1150</v>
      </c>
      <c r="BA122" s="1" t="n">
        <v>150</v>
      </c>
      <c r="BB122" s="1" t="n">
        <f aca="false">MIN(AB122/150, 1)*30</f>
        <v>25</v>
      </c>
      <c r="BC122" s="1" t="n">
        <f aca="false">MIN(N122/4000, 1)*20</f>
        <v>0</v>
      </c>
      <c r="BD122" s="1" t="n">
        <f aca="false">MIN(Z122/400,1)*20</f>
        <v>0</v>
      </c>
      <c r="BE122" s="4" t="n">
        <f aca="false">1-(MAX(J122-1900, 0)/750)</f>
        <v>0.842666666666667</v>
      </c>
      <c r="BF122" s="1" t="n">
        <f aca="false">((MAX($M122,1)*MIN($AJ122/300,1)))*IF(G122="Wagon",50,10)</f>
        <v>0</v>
      </c>
      <c r="BG122" s="1" t="n">
        <f aca="false">VLOOKUP($H122,Constants!$I:$K, 2, FALSE())</f>
        <v>1.2</v>
      </c>
      <c r="BH122" s="1" t="n">
        <f aca="false">VLOOKUP($H122,Constants!$I:$K, 3, FALSE())*IF(AND(G122="multiple_unit",AB122&lt;110),0.75,1)</f>
        <v>0.6</v>
      </c>
      <c r="BI122" s="1" t="n">
        <f aca="false">INT(POWER(((Constants!$G$2+$BB122+$BC122+$BD122+$BF122)*$BE122)*$BH122, 1.05))+$BA122</f>
        <v>167</v>
      </c>
      <c r="BJ122" s="1" t="n">
        <f aca="false">INT(POWER((((Constants!$G$1+$BB122+$BC122+$BD122+$BF122)*($BE122))*$BG122),IF($G122="wagon",1,1.2)))+$AZ122</f>
        <v>1190</v>
      </c>
      <c r="BK122" s="20" t="n">
        <f aca="false">BI122*IF($G122="wagon",62.5,781.25)</f>
        <v>10437.5</v>
      </c>
      <c r="BL122" s="20" t="n">
        <f aca="false">BJ122*IF($G122="wagon",2.73,81.25)</f>
        <v>3248.7</v>
      </c>
      <c r="BT122" s="1" t="n">
        <v>2</v>
      </c>
      <c r="BU122" s="1" t="n">
        <v>278</v>
      </c>
      <c r="BV122" s="1" t="s">
        <v>225</v>
      </c>
      <c r="BW122" s="18" t="s">
        <v>233</v>
      </c>
      <c r="BX122" s="1" t="s">
        <v>95</v>
      </c>
      <c r="BY122" s="1" t="str">
        <f aca="false">VLOOKUP(J122,Eras!$A$2:$C$10, 2, TRUE())</f>
        <v>mod</v>
      </c>
      <c r="BZ122" s="18" t="s">
        <v>595</v>
      </c>
      <c r="CA122" s="1" t="str">
        <f aca="false">CONCATENATE(BY122,"_",BZ122)</f>
        <v>mod_Carriage</v>
      </c>
      <c r="CB122" s="1" t="str">
        <f aca="false">_xlfn.CONCAT(H122, "_",I122)</f>
        <v>carriage_RAIL</v>
      </c>
      <c r="CC122" s="21" t="str">
        <f aca="false">_xlfn.CONCAT("{BLACK}Length: {GOLD}", TEXT(ROUNDUP(IF(AQ122&lt;&gt;"",SUM(VALUE(_xlfn.TEXTSPLIT(AQ122, ","))), SUM(VALUE(_xlfn.TEXTSPLIT(AN122, ",")))*IF(M122, M122, 1))/16, 1), "#,##0.0"), " tiles{}")</f>
        <v>{BLACK}Length: {GOLD}0.9 tiles{}</v>
      </c>
      <c r="CD122" s="1" t="str">
        <f aca="false">VLOOKUP($CB122, Constants!$M:$N, 2, FALSE())</f>
        <v/>
      </c>
      <c r="CE122" s="1" t="str">
        <f aca="false">IF(M122&gt;1,_xlfn.CONCAT("{BLACK}Cars: {GOLD}", M122),"")</f>
        <v/>
      </c>
      <c r="CF122" s="1" t="s">
        <v>664</v>
      </c>
      <c r="CG122" s="1" t="str">
        <f aca="false">IF(BW122="buffet","{YELLOW}25% long distance bonus for consist{}",IF(BY122="BRAKE","{YELLOW}Speed bonus for slow wagons{}",IF(BU122&gt;190,CONCATENATE("{YELLOW}",INT((BU122-185)/1.85),"% bonus for long distance travel{}"),IF(AND(BU122&lt;180,BU122&lt;&gt;0),CONCATENATE("{YELLOW}",INT((185-BU122)/1.85),"% penalty for long distance travel{}"),""))))</f>
        <v>{YELLOW}25% long distance bonus for consist{}</v>
      </c>
      <c r="CH122" s="1" t="str">
        <f aca="false">_xlfn.CONCAT(CD122,IF(CD122 &lt;&gt; "", " ", ""),CE122,IF(OR(CE122&lt;&gt;"", CD122&lt;&gt;""), "{}",""), CC122, CG122,"{SILVER}", CF122)</f>
        <v>{BLACK}Length: {GOLD}0.9 tiles{}{YELLOW}25% long distance bonus for consist{}{SILVER}The Mk5 ‘Club Car’ is the dining facility for sleeper services, but the 30 seats within are not bookable for travel.</v>
      </c>
      <c r="CI122" s="1"/>
      <c r="CJ122" s="1"/>
    </row>
    <row r="123" s="1" customFormat="true" ht="13.8" hidden="false" customHeight="false" outlineLevel="0" collapsed="false"/>
    <row r="124" s="1" customFormat="true" ht="13.8" hidden="false" customHeight="false" outlineLevel="0" collapsed="false"/>
    <row r="125" s="1" customFormat="true" ht="13.8" hidden="false" customHeight="false" outlineLevel="0" collapsed="false">
      <c r="O125" s="36"/>
      <c r="P125" s="36"/>
      <c r="Q125" s="36"/>
      <c r="R125" s="36"/>
      <c r="S125" s="36"/>
      <c r="T125" s="37"/>
      <c r="U125" s="36"/>
      <c r="V125" s="36"/>
      <c r="X125" s="36"/>
      <c r="AA125" s="4"/>
      <c r="AJ125" s="36"/>
      <c r="AP125" s="36"/>
      <c r="AQ125" s="36"/>
      <c r="BE125" s="4"/>
      <c r="BK125" s="20"/>
      <c r="BL125" s="20"/>
    </row>
    <row r="126" s="1" customFormat="true" ht="13.8" hidden="false" customHeight="false" outlineLevel="0" collapsed="false"/>
    <row r="127" s="1" customFormat="true" ht="13.8" hidden="false" customHeight="false" outlineLevel="0" collapsed="false"/>
    <row r="128" s="1" customFormat="true" ht="13.8" hidden="false" customHeight="false" outlineLevel="0" collapsed="false">
      <c r="O128" s="36"/>
      <c r="P128" s="36"/>
      <c r="Q128" s="36"/>
      <c r="R128" s="36"/>
      <c r="S128" s="36"/>
      <c r="T128" s="37"/>
      <c r="U128" s="36"/>
      <c r="V128" s="36"/>
      <c r="X128" s="36"/>
      <c r="AA128" s="4"/>
      <c r="AJ128" s="36"/>
      <c r="AP128" s="36"/>
      <c r="AQ128" s="36"/>
      <c r="BE128" s="4"/>
      <c r="BK128" s="20"/>
      <c r="BL128" s="20"/>
    </row>
    <row r="129" s="1" customFormat="true" ht="13.8" hidden="false" customHeight="false" outlineLevel="0" collapsed="false">
      <c r="O129" s="36"/>
      <c r="P129" s="36"/>
      <c r="Q129" s="36"/>
      <c r="R129" s="36"/>
      <c r="S129" s="36"/>
      <c r="T129" s="37"/>
      <c r="U129" s="36"/>
      <c r="V129" s="36"/>
      <c r="X129" s="36"/>
      <c r="AA129" s="4"/>
      <c r="AJ129" s="36"/>
      <c r="AP129" s="36"/>
      <c r="AQ129" s="36"/>
      <c r="BE129" s="4"/>
      <c r="BK129" s="20"/>
      <c r="BL129" s="20"/>
    </row>
    <row r="130" s="1" customFormat="true" ht="13.8" hidden="false" customHeight="false" outlineLevel="0" collapsed="false">
      <c r="O130" s="36"/>
      <c r="P130" s="36"/>
      <c r="Q130" s="36"/>
      <c r="R130" s="36"/>
      <c r="S130" s="36"/>
      <c r="T130" s="37"/>
      <c r="U130" s="36"/>
      <c r="V130" s="36"/>
      <c r="X130" s="36"/>
      <c r="AA130" s="4"/>
      <c r="AJ130" s="36"/>
      <c r="AP130" s="36"/>
      <c r="AQ130" s="36"/>
      <c r="BE130" s="4"/>
      <c r="BK130" s="20"/>
      <c r="BL130" s="20"/>
    </row>
    <row r="131" s="1" customFormat="true" ht="13.8" hidden="false" customHeight="false" outlineLevel="0" collapsed="false">
      <c r="O131" s="36"/>
      <c r="P131" s="36"/>
      <c r="Q131" s="36"/>
      <c r="R131" s="36"/>
      <c r="S131" s="36"/>
      <c r="T131" s="37"/>
      <c r="U131" s="36"/>
      <c r="V131" s="36"/>
      <c r="X131" s="36"/>
      <c r="AA131" s="4"/>
      <c r="AJ131" s="36"/>
      <c r="AP131" s="36"/>
      <c r="AQ131" s="36"/>
      <c r="BE131" s="4"/>
      <c r="BK131" s="20"/>
      <c r="BL131" s="20"/>
    </row>
    <row r="132" s="1" customFormat="true" ht="13.8" hidden="false" customHeight="false" outlineLevel="0" collapsed="false">
      <c r="O132" s="36"/>
      <c r="P132" s="36"/>
      <c r="Q132" s="36"/>
      <c r="R132" s="36"/>
      <c r="S132" s="36"/>
      <c r="T132" s="37"/>
      <c r="U132" s="36"/>
      <c r="V132" s="36"/>
      <c r="X132" s="36"/>
      <c r="AA132" s="4"/>
      <c r="AJ132" s="36"/>
      <c r="AP132" s="36"/>
      <c r="AQ132" s="36"/>
      <c r="BE132" s="4"/>
      <c r="BK132" s="20"/>
      <c r="BL132" s="20"/>
    </row>
    <row r="133" s="1" customFormat="true" ht="13.8" hidden="false" customHeight="false" outlineLevel="0" collapsed="false">
      <c r="O133" s="36"/>
      <c r="P133" s="36"/>
      <c r="Q133" s="36"/>
      <c r="R133" s="36"/>
      <c r="S133" s="36"/>
      <c r="T133" s="37"/>
      <c r="U133" s="36"/>
      <c r="V133" s="36"/>
      <c r="X133" s="36"/>
      <c r="AA133" s="4"/>
      <c r="AJ133" s="36"/>
      <c r="AP133" s="36"/>
      <c r="AQ133" s="36"/>
      <c r="BE133" s="4"/>
      <c r="BK133" s="20"/>
      <c r="BL133" s="20"/>
    </row>
    <row r="134" s="1" customFormat="true" ht="13.8" hidden="false" customHeight="false" outlineLevel="0" collapsed="false">
      <c r="O134" s="36"/>
      <c r="P134" s="36"/>
      <c r="Q134" s="36"/>
      <c r="R134" s="36"/>
      <c r="S134" s="36"/>
      <c r="T134" s="37"/>
      <c r="U134" s="36"/>
      <c r="V134" s="36"/>
      <c r="X134" s="36"/>
      <c r="AA134" s="4"/>
      <c r="AJ134" s="36"/>
      <c r="AP134" s="36"/>
      <c r="AQ134" s="36"/>
      <c r="BE134" s="4"/>
      <c r="BK134" s="20"/>
      <c r="BL134" s="20"/>
    </row>
    <row r="135" s="1" customFormat="true" ht="13.8" hidden="false" customHeight="false" outlineLevel="0" collapsed="false">
      <c r="O135" s="36"/>
      <c r="P135" s="36"/>
      <c r="Q135" s="36"/>
      <c r="R135" s="36"/>
      <c r="S135" s="36"/>
      <c r="T135" s="37"/>
      <c r="U135" s="36"/>
      <c r="V135" s="36"/>
      <c r="X135" s="36"/>
      <c r="AA135" s="4"/>
      <c r="AJ135" s="36"/>
      <c r="AP135" s="36"/>
      <c r="AQ135" s="36"/>
      <c r="BE135" s="4"/>
      <c r="BK135" s="20"/>
      <c r="BL135" s="20"/>
    </row>
    <row r="136" s="1" customFormat="true" ht="13.8" hidden="false" customHeight="false" outlineLevel="0" collapsed="false">
      <c r="O136" s="36"/>
      <c r="P136" s="36"/>
      <c r="Q136" s="36"/>
      <c r="R136" s="36"/>
      <c r="S136" s="36"/>
      <c r="T136" s="36"/>
      <c r="U136" s="36"/>
      <c r="V136" s="36"/>
      <c r="X136" s="36"/>
      <c r="AA136" s="4"/>
      <c r="AJ136" s="36"/>
      <c r="AP136" s="36"/>
      <c r="AQ136" s="36"/>
      <c r="BE136" s="4"/>
      <c r="BK136" s="20"/>
      <c r="BL136" s="20"/>
    </row>
    <row r="137" s="1" customFormat="true" ht="13.8" hidden="false" customHeight="false" outlineLevel="0" collapsed="false">
      <c r="O137" s="36"/>
      <c r="P137" s="36"/>
      <c r="Q137" s="36"/>
      <c r="R137" s="36"/>
      <c r="S137" s="36"/>
      <c r="T137" s="37"/>
      <c r="U137" s="36"/>
      <c r="V137" s="36"/>
      <c r="X137" s="36"/>
      <c r="AA137" s="4"/>
      <c r="AJ137" s="36"/>
      <c r="AP137" s="36"/>
      <c r="AQ137" s="36"/>
      <c r="BE137" s="4"/>
      <c r="BK137" s="20"/>
      <c r="BL137" s="20"/>
    </row>
    <row r="138" s="1" customFormat="true" ht="13.8" hidden="false" customHeight="false" outlineLevel="0" collapsed="false">
      <c r="O138" s="36"/>
      <c r="P138" s="36"/>
      <c r="Q138" s="36"/>
      <c r="R138" s="36"/>
      <c r="S138" s="36"/>
      <c r="T138" s="36"/>
      <c r="U138" s="36"/>
      <c r="V138" s="36"/>
      <c r="X138" s="36"/>
      <c r="AA138" s="4"/>
      <c r="AJ138" s="36"/>
      <c r="AP138" s="36"/>
      <c r="AQ138" s="36"/>
      <c r="BE138" s="4"/>
      <c r="BK138" s="20"/>
      <c r="BL138" s="20"/>
    </row>
    <row r="139" s="1" customFormat="true" ht="13.8" hidden="false" customHeight="false" outlineLevel="0" collapsed="false">
      <c r="O139" s="36"/>
      <c r="P139" s="36"/>
      <c r="Q139" s="36"/>
      <c r="R139" s="36"/>
      <c r="S139" s="36"/>
      <c r="T139" s="36"/>
      <c r="U139" s="36"/>
      <c r="V139" s="36"/>
      <c r="X139" s="36"/>
      <c r="AA139" s="4"/>
      <c r="AJ139" s="36"/>
      <c r="AP139" s="36"/>
      <c r="AQ139" s="36"/>
      <c r="BE139" s="4"/>
      <c r="BK139" s="20"/>
      <c r="BL139" s="20"/>
    </row>
    <row r="140" s="1" customFormat="true" ht="13.8" hidden="false" customHeight="false" outlineLevel="0" collapsed="false">
      <c r="O140" s="36"/>
      <c r="P140" s="36"/>
      <c r="Q140" s="36"/>
      <c r="R140" s="36"/>
      <c r="S140" s="36"/>
      <c r="T140" s="36"/>
      <c r="U140" s="36"/>
      <c r="V140" s="36"/>
      <c r="X140" s="36"/>
      <c r="AA140" s="4"/>
      <c r="AJ140" s="36"/>
      <c r="AP140" s="36"/>
      <c r="AQ140" s="36"/>
      <c r="BE140" s="4"/>
      <c r="BK140" s="20"/>
      <c r="BL140" s="20"/>
    </row>
    <row r="141" s="1" customFormat="true" ht="13.8" hidden="false" customHeight="false" outlineLevel="0" collapsed="false">
      <c r="O141" s="36"/>
      <c r="P141" s="36"/>
      <c r="Q141" s="36"/>
      <c r="R141" s="36"/>
      <c r="S141" s="36"/>
      <c r="T141" s="36"/>
      <c r="U141" s="36"/>
      <c r="V141" s="36"/>
      <c r="X141" s="36"/>
      <c r="AA141" s="4"/>
      <c r="AJ141" s="36"/>
      <c r="AP141" s="36"/>
      <c r="AQ141" s="36"/>
      <c r="BE141" s="4"/>
      <c r="BK141" s="20"/>
      <c r="BL141" s="20"/>
    </row>
    <row r="142" s="1" customFormat="true" ht="13.8" hidden="false" customHeight="false" outlineLevel="0" collapsed="false">
      <c r="O142" s="36"/>
      <c r="P142" s="36"/>
      <c r="Q142" s="36"/>
      <c r="R142" s="36"/>
      <c r="S142" s="36"/>
      <c r="T142" s="36"/>
      <c r="U142" s="36"/>
      <c r="V142" s="36"/>
      <c r="X142" s="36"/>
      <c r="AA142" s="4"/>
      <c r="AJ142" s="36"/>
      <c r="AP142" s="36"/>
      <c r="AQ142" s="36"/>
      <c r="BE142" s="4"/>
      <c r="BK142" s="20"/>
      <c r="BL142" s="20"/>
    </row>
    <row r="143" s="1" customFormat="true" ht="13.8" hidden="false" customHeight="false" outlineLevel="0" collapsed="false">
      <c r="O143" s="36"/>
      <c r="P143" s="36"/>
      <c r="Q143" s="36"/>
      <c r="R143" s="36"/>
      <c r="S143" s="36"/>
      <c r="T143" s="36"/>
      <c r="U143" s="36"/>
      <c r="V143" s="36"/>
      <c r="X143" s="36"/>
      <c r="AA143" s="4"/>
      <c r="AJ143" s="36"/>
      <c r="AP143" s="36"/>
      <c r="AQ143" s="36"/>
      <c r="BE143" s="4"/>
      <c r="BK143" s="20"/>
      <c r="BL143" s="20"/>
    </row>
    <row r="144" s="1" customFormat="true" ht="13.8" hidden="false" customHeight="false" outlineLevel="0" collapsed="false">
      <c r="O144" s="36"/>
      <c r="P144" s="36"/>
      <c r="Q144" s="36"/>
      <c r="R144" s="36"/>
      <c r="S144" s="36"/>
      <c r="T144" s="36"/>
      <c r="U144" s="36"/>
      <c r="V144" s="36"/>
      <c r="X144" s="36"/>
      <c r="AA144" s="4"/>
      <c r="AJ144" s="36"/>
      <c r="AP144" s="36"/>
      <c r="AQ144" s="36"/>
      <c r="BE144" s="4"/>
      <c r="BK144" s="20"/>
      <c r="BL144" s="20"/>
    </row>
    <row r="145" s="1" customFormat="true" ht="13.8" hidden="false" customHeight="false" outlineLevel="0" collapsed="false">
      <c r="O145" s="36"/>
      <c r="P145" s="36"/>
      <c r="Q145" s="36"/>
      <c r="R145" s="36"/>
      <c r="S145" s="36"/>
      <c r="T145" s="36"/>
      <c r="U145" s="36"/>
      <c r="V145" s="36"/>
      <c r="X145" s="36"/>
      <c r="AA145" s="4"/>
      <c r="AJ145" s="36"/>
      <c r="AP145" s="36"/>
      <c r="AQ145" s="36"/>
      <c r="BE145" s="4"/>
      <c r="BK145" s="20"/>
      <c r="BL145" s="20"/>
    </row>
    <row r="146" s="1" customFormat="true" ht="13.8" hidden="false" customHeight="false" outlineLevel="0" collapsed="false">
      <c r="O146" s="36"/>
      <c r="P146" s="36"/>
      <c r="Q146" s="36"/>
      <c r="R146" s="36"/>
      <c r="S146" s="36"/>
      <c r="T146" s="36"/>
      <c r="U146" s="36"/>
      <c r="V146" s="36"/>
      <c r="X146" s="36"/>
      <c r="AA146" s="4"/>
      <c r="AJ146" s="36"/>
      <c r="AP146" s="36"/>
      <c r="AQ146" s="36"/>
      <c r="BE146" s="4"/>
      <c r="BK146" s="20"/>
      <c r="BL146" s="20"/>
    </row>
    <row r="147" s="1" customFormat="true" ht="12.75" hidden="false" customHeight="true" outlineLevel="0" collapsed="false">
      <c r="O147" s="36"/>
      <c r="P147" s="36"/>
      <c r="Q147" s="36"/>
      <c r="R147" s="36"/>
      <c r="S147" s="36"/>
      <c r="T147" s="36"/>
      <c r="U147" s="36"/>
      <c r="V147" s="36"/>
      <c r="X147" s="36"/>
      <c r="AA147" s="4"/>
      <c r="AJ147" s="36"/>
      <c r="AP147" s="36"/>
      <c r="AQ147" s="36"/>
      <c r="BE147" s="4"/>
      <c r="BK147" s="20"/>
      <c r="BL147" s="20"/>
    </row>
    <row r="148" s="1" customFormat="true" ht="13.8" hidden="false" customHeight="false" outlineLevel="0" collapsed="false">
      <c r="O148" s="36"/>
      <c r="P148" s="36"/>
      <c r="Q148" s="36"/>
      <c r="R148" s="36"/>
      <c r="S148" s="36"/>
      <c r="T148" s="36"/>
      <c r="U148" s="36"/>
      <c r="V148" s="36"/>
      <c r="X148" s="36"/>
      <c r="AA148" s="4"/>
      <c r="AJ148" s="36"/>
      <c r="AP148" s="36"/>
      <c r="AQ148" s="36"/>
      <c r="BE148" s="4"/>
      <c r="BK148" s="20"/>
      <c r="BL148" s="20"/>
    </row>
    <row r="149" s="1" customFormat="true" ht="13.8" hidden="false" customHeight="false" outlineLevel="0" collapsed="false">
      <c r="O149" s="36"/>
      <c r="P149" s="36"/>
      <c r="Q149" s="36"/>
      <c r="R149" s="36"/>
      <c r="S149" s="36"/>
      <c r="T149" s="36"/>
      <c r="U149" s="36"/>
      <c r="V149" s="36"/>
      <c r="X149" s="36"/>
      <c r="AA149" s="4"/>
      <c r="AJ149" s="36"/>
      <c r="AP149" s="36"/>
      <c r="AQ149" s="36"/>
      <c r="BE149" s="4"/>
      <c r="BK149" s="20"/>
      <c r="BL149" s="20"/>
    </row>
    <row r="150" s="1" customFormat="true" ht="13.8" hidden="false" customHeight="false" outlineLevel="0" collapsed="false">
      <c r="O150" s="36"/>
      <c r="P150" s="36"/>
      <c r="Q150" s="36"/>
      <c r="R150" s="36"/>
      <c r="S150" s="36"/>
      <c r="T150" s="36"/>
      <c r="U150" s="36"/>
      <c r="V150" s="36"/>
      <c r="X150" s="36"/>
      <c r="AA150" s="4"/>
      <c r="AJ150" s="36"/>
      <c r="AP150" s="36"/>
      <c r="AQ150" s="36"/>
      <c r="BE150" s="4"/>
      <c r="BK150" s="20"/>
      <c r="BL150" s="20"/>
    </row>
    <row r="151" s="1" customFormat="true" ht="13.8" hidden="false" customHeight="false" outlineLevel="0" collapsed="false">
      <c r="O151" s="36"/>
      <c r="P151" s="36"/>
      <c r="Q151" s="36"/>
      <c r="R151" s="36"/>
      <c r="S151" s="36"/>
      <c r="T151" s="36"/>
      <c r="U151" s="36"/>
      <c r="V151" s="36"/>
      <c r="X151" s="36"/>
      <c r="AA151" s="4"/>
      <c r="AJ151" s="36"/>
      <c r="AP151" s="36"/>
      <c r="AQ151" s="36"/>
      <c r="BE151" s="4"/>
      <c r="BK151" s="20"/>
      <c r="BL151" s="20"/>
    </row>
    <row r="152" s="1" customFormat="true" ht="13.8" hidden="false" customHeight="false" outlineLevel="0" collapsed="false">
      <c r="O152" s="36"/>
      <c r="P152" s="36"/>
      <c r="Q152" s="36"/>
      <c r="R152" s="36"/>
      <c r="S152" s="36"/>
      <c r="T152" s="36"/>
      <c r="U152" s="36"/>
      <c r="V152" s="36"/>
      <c r="X152" s="36"/>
      <c r="AA152" s="4"/>
      <c r="AJ152" s="36"/>
      <c r="AP152" s="36"/>
      <c r="AQ152" s="36"/>
      <c r="BE152" s="4"/>
      <c r="BK152" s="20"/>
      <c r="BL152" s="20"/>
    </row>
    <row r="153" s="1" customFormat="true" ht="13.8" hidden="false" customHeight="false" outlineLevel="0" collapsed="false">
      <c r="O153" s="36"/>
      <c r="P153" s="36"/>
      <c r="Q153" s="36"/>
      <c r="R153" s="36"/>
      <c r="S153" s="36"/>
      <c r="T153" s="36"/>
      <c r="U153" s="36"/>
      <c r="V153" s="36"/>
      <c r="X153" s="36"/>
      <c r="AA153" s="4"/>
      <c r="AJ153" s="36"/>
      <c r="AP153" s="36"/>
      <c r="AQ153" s="36"/>
      <c r="BE153" s="4"/>
      <c r="BK153" s="20"/>
      <c r="BL153" s="20"/>
    </row>
    <row r="154" s="1" customFormat="true" ht="13.8" hidden="false" customHeight="false" outlineLevel="0" collapsed="false">
      <c r="O154" s="36"/>
      <c r="P154" s="36"/>
      <c r="Q154" s="36"/>
      <c r="R154" s="36"/>
      <c r="S154" s="36"/>
      <c r="T154" s="36"/>
      <c r="U154" s="36"/>
      <c r="V154" s="36"/>
      <c r="X154" s="36"/>
      <c r="AA154" s="4"/>
      <c r="AJ154" s="36"/>
      <c r="AP154" s="36"/>
      <c r="AQ154" s="36"/>
      <c r="BE154" s="4"/>
      <c r="BK154" s="20"/>
      <c r="BL154" s="20"/>
    </row>
    <row r="155" s="1" customFormat="true" ht="13.8" hidden="false" customHeight="false" outlineLevel="0" collapsed="false">
      <c r="O155" s="36"/>
      <c r="P155" s="36"/>
      <c r="Q155" s="36"/>
      <c r="R155" s="36"/>
      <c r="S155" s="36"/>
      <c r="T155" s="36"/>
      <c r="U155" s="36"/>
      <c r="V155" s="36"/>
      <c r="X155" s="36"/>
      <c r="AA155" s="4"/>
      <c r="AJ155" s="36"/>
      <c r="AP155" s="36"/>
      <c r="AQ155" s="36"/>
      <c r="BE155" s="4"/>
      <c r="BK155" s="20"/>
      <c r="BL155" s="20"/>
    </row>
    <row r="156" s="1" customFormat="true" ht="13.8" hidden="false" customHeight="false" outlineLevel="0" collapsed="false">
      <c r="O156" s="36"/>
      <c r="P156" s="36"/>
      <c r="Q156" s="36"/>
      <c r="R156" s="36"/>
      <c r="S156" s="36"/>
      <c r="T156" s="37"/>
      <c r="U156" s="36"/>
      <c r="V156" s="36"/>
      <c r="X156" s="36"/>
      <c r="AA156" s="4"/>
      <c r="AJ156" s="36"/>
      <c r="AP156" s="36"/>
      <c r="AQ156" s="36"/>
      <c r="BE156" s="4"/>
      <c r="BK156" s="20"/>
      <c r="BL156" s="20"/>
    </row>
    <row r="157" s="1" customFormat="true" ht="13.8" hidden="false" customHeight="false" outlineLevel="0" collapsed="false">
      <c r="O157" s="36"/>
      <c r="P157" s="36"/>
      <c r="Q157" s="36"/>
      <c r="R157" s="36"/>
      <c r="S157" s="36"/>
      <c r="T157" s="37"/>
      <c r="U157" s="36"/>
      <c r="V157" s="36"/>
      <c r="X157" s="36"/>
      <c r="AA157" s="4"/>
      <c r="AJ157" s="36"/>
      <c r="AP157" s="36"/>
      <c r="AQ157" s="36"/>
      <c r="BE157" s="4"/>
      <c r="BK157" s="20"/>
      <c r="BL157" s="20"/>
    </row>
    <row r="158" s="1" customFormat="true" ht="13.8" hidden="false" customHeight="false" outlineLevel="0" collapsed="false">
      <c r="O158" s="36"/>
      <c r="P158" s="36"/>
      <c r="Q158" s="36"/>
      <c r="R158" s="36"/>
      <c r="S158" s="36"/>
      <c r="T158" s="37"/>
      <c r="U158" s="36"/>
      <c r="V158" s="36"/>
      <c r="X158" s="36"/>
      <c r="AA158" s="4"/>
      <c r="AJ158" s="36"/>
      <c r="AP158" s="36"/>
      <c r="AQ158" s="36"/>
      <c r="BE158" s="4"/>
      <c r="BK158" s="20"/>
      <c r="BL158" s="20"/>
    </row>
    <row r="159" s="1" customFormat="true" ht="13.8" hidden="false" customHeight="false" outlineLevel="0" collapsed="false">
      <c r="O159" s="36"/>
      <c r="P159" s="36"/>
      <c r="Q159" s="36"/>
      <c r="R159" s="36"/>
      <c r="S159" s="36"/>
      <c r="T159" s="37"/>
      <c r="U159" s="36"/>
      <c r="V159" s="36"/>
      <c r="X159" s="36"/>
      <c r="AA159" s="4"/>
      <c r="AJ159" s="36"/>
      <c r="AP159" s="36"/>
      <c r="AQ159" s="36"/>
      <c r="BE159" s="4"/>
      <c r="BK159" s="20"/>
      <c r="BL159" s="20"/>
    </row>
    <row r="160" s="1" customFormat="true" ht="13.8" hidden="false" customHeight="false" outlineLevel="0" collapsed="false">
      <c r="O160" s="36"/>
      <c r="P160" s="36"/>
      <c r="Q160" s="36"/>
      <c r="R160" s="36"/>
      <c r="S160" s="36"/>
      <c r="T160" s="37"/>
      <c r="U160" s="36"/>
      <c r="V160" s="36"/>
      <c r="X160" s="36"/>
      <c r="AA160" s="4"/>
      <c r="AJ160" s="36"/>
      <c r="AP160" s="36"/>
      <c r="AQ160" s="36"/>
      <c r="BE160" s="4"/>
      <c r="BK160" s="20"/>
      <c r="BL160" s="20"/>
    </row>
    <row r="161" s="1" customFormat="true" ht="13.8" hidden="false" customHeight="false" outlineLevel="0" collapsed="false">
      <c r="O161" s="36"/>
      <c r="P161" s="36"/>
      <c r="Q161" s="36"/>
      <c r="R161" s="36"/>
      <c r="S161" s="36"/>
      <c r="T161" s="37"/>
      <c r="U161" s="36"/>
      <c r="V161" s="36"/>
      <c r="X161" s="36"/>
      <c r="AA161" s="4"/>
      <c r="AJ161" s="36"/>
      <c r="AP161" s="36"/>
      <c r="AQ161" s="36"/>
      <c r="BE161" s="4"/>
      <c r="BK161" s="20"/>
      <c r="BL161" s="20"/>
    </row>
    <row r="162" s="1" customFormat="true" ht="13.8" hidden="false" customHeight="false" outlineLevel="0" collapsed="false">
      <c r="O162" s="36"/>
      <c r="P162" s="36"/>
      <c r="Q162" s="36"/>
      <c r="R162" s="36"/>
      <c r="S162" s="36"/>
      <c r="T162" s="37"/>
      <c r="U162" s="36"/>
      <c r="V162" s="36"/>
      <c r="X162" s="36"/>
      <c r="AA162" s="4"/>
      <c r="AJ162" s="36"/>
      <c r="AP162" s="36"/>
      <c r="AQ162" s="36"/>
      <c r="BE162" s="4"/>
      <c r="BK162" s="20"/>
      <c r="BL162" s="20"/>
    </row>
    <row r="163" s="1" customFormat="true" ht="13.8" hidden="false" customHeight="false" outlineLevel="0" collapsed="false">
      <c r="O163" s="36"/>
      <c r="P163" s="36"/>
      <c r="Q163" s="36"/>
      <c r="R163" s="36"/>
      <c r="S163" s="36"/>
      <c r="T163" s="37"/>
      <c r="U163" s="36"/>
      <c r="V163" s="36"/>
      <c r="X163" s="36"/>
      <c r="AA163" s="4"/>
      <c r="AJ163" s="36"/>
      <c r="AP163" s="36"/>
      <c r="AQ163" s="36"/>
      <c r="BE163" s="4"/>
      <c r="BK163" s="20"/>
      <c r="BL163" s="20"/>
    </row>
    <row r="164" s="1" customFormat="true" ht="13.8" hidden="false" customHeight="false" outlineLevel="0" collapsed="false">
      <c r="O164" s="36"/>
      <c r="P164" s="36"/>
      <c r="Q164" s="36"/>
      <c r="R164" s="36"/>
      <c r="S164" s="36"/>
      <c r="T164" s="37"/>
      <c r="U164" s="36"/>
      <c r="V164" s="36"/>
      <c r="X164" s="36"/>
      <c r="AA164" s="4"/>
      <c r="AJ164" s="36"/>
      <c r="AP164" s="36"/>
      <c r="AQ164" s="36"/>
      <c r="BE164" s="4"/>
      <c r="BK164" s="20"/>
      <c r="BL164" s="20"/>
    </row>
    <row r="165" s="1" customFormat="true" ht="13.8" hidden="false" customHeight="false" outlineLevel="0" collapsed="false">
      <c r="O165" s="36"/>
      <c r="P165" s="36"/>
      <c r="Q165" s="36"/>
      <c r="R165" s="36"/>
      <c r="S165" s="36"/>
      <c r="T165" s="37"/>
      <c r="U165" s="36"/>
      <c r="V165" s="36"/>
      <c r="X165" s="36"/>
      <c r="AA165" s="4"/>
      <c r="AJ165" s="36"/>
      <c r="AP165" s="36"/>
      <c r="AQ165" s="36"/>
      <c r="BE165" s="4"/>
      <c r="BK165" s="20"/>
      <c r="BL165" s="20"/>
    </row>
    <row r="166" s="1" customFormat="true" ht="13.8" hidden="false" customHeight="false" outlineLevel="0" collapsed="false">
      <c r="O166" s="36"/>
      <c r="P166" s="36"/>
      <c r="Q166" s="36"/>
      <c r="R166" s="36"/>
      <c r="S166" s="36"/>
      <c r="T166" s="37"/>
      <c r="U166" s="36"/>
      <c r="V166" s="36"/>
      <c r="X166" s="36"/>
      <c r="AA166" s="4"/>
      <c r="AJ166" s="36"/>
      <c r="AP166" s="36"/>
      <c r="AQ166" s="36"/>
      <c r="BE166" s="4"/>
      <c r="BK166" s="20"/>
      <c r="BL166" s="20"/>
    </row>
    <row r="167" s="1" customFormat="true" ht="13.8" hidden="false" customHeight="false" outlineLevel="0" collapsed="false">
      <c r="O167" s="36"/>
      <c r="P167" s="36"/>
      <c r="Q167" s="36"/>
      <c r="R167" s="36"/>
      <c r="S167" s="36"/>
      <c r="T167" s="37"/>
      <c r="U167" s="36"/>
      <c r="V167" s="36"/>
      <c r="X167" s="36"/>
      <c r="AA167" s="4"/>
      <c r="AJ167" s="36"/>
      <c r="AP167" s="36"/>
      <c r="AQ167" s="36"/>
      <c r="BE167" s="4"/>
      <c r="BK167" s="20"/>
      <c r="BL167" s="20"/>
    </row>
    <row r="168" s="1" customFormat="true" ht="13.8" hidden="false" customHeight="false" outlineLevel="0" collapsed="false">
      <c r="O168" s="36"/>
      <c r="P168" s="36"/>
      <c r="Q168" s="36"/>
      <c r="R168" s="36"/>
      <c r="S168" s="36"/>
      <c r="T168" s="37"/>
      <c r="U168" s="36"/>
      <c r="V168" s="36"/>
      <c r="X168" s="36"/>
      <c r="AA168" s="4"/>
      <c r="AJ168" s="36"/>
      <c r="AP168" s="36"/>
      <c r="AQ168" s="36"/>
      <c r="BE168" s="4"/>
      <c r="BK168" s="20"/>
      <c r="BL168" s="20"/>
    </row>
    <row r="169" s="1" customFormat="true" ht="13.8" hidden="false" customHeight="false" outlineLevel="0" collapsed="false">
      <c r="O169" s="36"/>
      <c r="P169" s="36"/>
      <c r="Q169" s="36"/>
      <c r="R169" s="36"/>
      <c r="S169" s="36"/>
      <c r="T169" s="37"/>
      <c r="U169" s="36"/>
      <c r="V169" s="36"/>
      <c r="X169" s="36"/>
      <c r="AA169" s="4"/>
      <c r="AJ169" s="36"/>
      <c r="AP169" s="36"/>
      <c r="AQ169" s="36"/>
      <c r="BE169" s="4"/>
      <c r="BK169" s="20"/>
      <c r="BL169" s="20"/>
    </row>
    <row r="170" s="1" customFormat="true" ht="13.8" hidden="false" customHeight="false" outlineLevel="0" collapsed="false">
      <c r="O170" s="36"/>
      <c r="P170" s="36"/>
      <c r="Q170" s="36"/>
      <c r="R170" s="36"/>
      <c r="S170" s="36"/>
      <c r="T170" s="37"/>
      <c r="U170" s="36"/>
      <c r="V170" s="36"/>
      <c r="X170" s="36"/>
      <c r="AA170" s="4"/>
      <c r="AJ170" s="36"/>
      <c r="AP170" s="36"/>
      <c r="AQ170" s="36"/>
      <c r="BE170" s="4"/>
      <c r="BK170" s="20"/>
      <c r="BL170" s="20"/>
    </row>
    <row r="171" s="1" customFormat="true" ht="13.8" hidden="false" customHeight="false" outlineLevel="0" collapsed="false">
      <c r="O171" s="36"/>
      <c r="P171" s="36"/>
      <c r="Q171" s="36"/>
      <c r="R171" s="36"/>
      <c r="S171" s="36"/>
      <c r="T171" s="36"/>
      <c r="U171" s="36"/>
      <c r="V171" s="36"/>
      <c r="X171" s="36"/>
      <c r="AA171" s="4"/>
      <c r="AJ171" s="36"/>
      <c r="AP171" s="36"/>
      <c r="AQ171" s="36"/>
      <c r="BE171" s="4"/>
      <c r="BK171" s="20"/>
      <c r="BL171" s="20"/>
    </row>
    <row r="172" s="1" customFormat="true" ht="13.8" hidden="false" customHeight="false" outlineLevel="0" collapsed="false">
      <c r="O172" s="36"/>
      <c r="P172" s="36"/>
      <c r="Q172" s="36"/>
      <c r="R172" s="36"/>
      <c r="S172" s="36"/>
      <c r="T172" s="36"/>
      <c r="U172" s="36"/>
      <c r="V172" s="36"/>
      <c r="X172" s="36"/>
      <c r="AA172" s="4"/>
      <c r="AJ172" s="36"/>
      <c r="AP172" s="36"/>
      <c r="AQ172" s="36"/>
      <c r="BE172" s="4"/>
      <c r="BK172" s="20"/>
      <c r="BL172" s="20"/>
    </row>
    <row r="173" s="1" customFormat="true" ht="13.8" hidden="false" customHeight="false" outlineLevel="0" collapsed="false">
      <c r="O173" s="36"/>
      <c r="P173" s="36"/>
      <c r="Q173" s="36"/>
      <c r="R173" s="36"/>
      <c r="S173" s="36"/>
      <c r="T173" s="36"/>
      <c r="U173" s="36"/>
      <c r="V173" s="36"/>
      <c r="X173" s="36"/>
      <c r="AA173" s="4"/>
      <c r="AJ173" s="36"/>
      <c r="AP173" s="36"/>
      <c r="AQ173" s="36"/>
      <c r="BE173" s="4"/>
      <c r="BK173" s="20"/>
      <c r="BL173" s="20"/>
    </row>
    <row r="174" s="1" customFormat="true" ht="13.8" hidden="false" customHeight="false" outlineLevel="0" collapsed="false">
      <c r="O174" s="36"/>
      <c r="P174" s="36"/>
      <c r="Q174" s="36"/>
      <c r="R174" s="36"/>
      <c r="S174" s="36"/>
      <c r="T174" s="36"/>
      <c r="U174" s="36"/>
      <c r="V174" s="36"/>
      <c r="X174" s="36"/>
      <c r="AA174" s="4"/>
      <c r="AJ174" s="36"/>
      <c r="AP174" s="36"/>
      <c r="AQ174" s="36"/>
      <c r="BE174" s="4"/>
      <c r="BK174" s="20"/>
      <c r="BL174" s="20"/>
    </row>
    <row r="175" s="1" customFormat="true" ht="13.8" hidden="false" customHeight="false" outlineLevel="0" collapsed="false">
      <c r="O175" s="36"/>
      <c r="P175" s="36"/>
      <c r="Q175" s="36"/>
      <c r="R175" s="36"/>
      <c r="S175" s="36"/>
      <c r="T175" s="36"/>
      <c r="U175" s="36"/>
      <c r="V175" s="36"/>
      <c r="X175" s="36"/>
      <c r="AA175" s="4"/>
      <c r="AJ175" s="36"/>
      <c r="AP175" s="36"/>
      <c r="AQ175" s="36"/>
      <c r="BE175" s="4"/>
      <c r="BK175" s="20"/>
      <c r="BL175" s="20"/>
    </row>
    <row r="176" s="1" customFormat="true" ht="13.8" hidden="false" customHeight="false" outlineLevel="0" collapsed="false">
      <c r="O176" s="36"/>
      <c r="P176" s="36"/>
      <c r="Q176" s="36"/>
      <c r="R176" s="36"/>
      <c r="S176" s="36"/>
      <c r="T176" s="36"/>
      <c r="U176" s="36"/>
      <c r="V176" s="36"/>
      <c r="X176" s="36"/>
      <c r="AA176" s="4"/>
      <c r="AJ176" s="36"/>
      <c r="AP176" s="36"/>
      <c r="AQ176" s="36"/>
      <c r="BE176" s="4"/>
      <c r="BK176" s="20"/>
      <c r="BL176" s="20"/>
      <c r="CC176" s="10"/>
    </row>
    <row r="177" s="1" customFormat="true" ht="13.8" hidden="false" customHeight="false" outlineLevel="0" collapsed="false">
      <c r="O177" s="36"/>
      <c r="P177" s="36"/>
      <c r="Q177" s="36"/>
      <c r="R177" s="36"/>
      <c r="S177" s="36"/>
      <c r="T177" s="36"/>
      <c r="U177" s="36"/>
      <c r="V177" s="36"/>
      <c r="X177" s="36"/>
      <c r="AA177" s="4"/>
      <c r="AJ177" s="36"/>
      <c r="AP177" s="36"/>
      <c r="AQ177" s="36"/>
      <c r="BE177" s="4"/>
      <c r="BK177" s="20"/>
      <c r="BL177" s="20"/>
      <c r="CC177" s="10"/>
    </row>
    <row r="178" s="1" customFormat="true" ht="13.8" hidden="false" customHeight="false" outlineLevel="0" collapsed="false">
      <c r="O178" s="36"/>
      <c r="P178" s="36"/>
      <c r="Q178" s="36"/>
      <c r="R178" s="36"/>
      <c r="S178" s="36"/>
      <c r="T178" s="36"/>
      <c r="U178" s="36"/>
      <c r="V178" s="36"/>
      <c r="X178" s="36"/>
      <c r="AA178" s="4"/>
      <c r="AJ178" s="36"/>
      <c r="AP178" s="36"/>
      <c r="AQ178" s="36"/>
      <c r="BE178" s="4"/>
      <c r="BK178" s="20"/>
      <c r="BL178" s="20"/>
      <c r="CC178" s="10"/>
    </row>
    <row r="179" s="1" customFormat="true" ht="13.8" hidden="false" customHeight="false" outlineLevel="0" collapsed="false">
      <c r="O179" s="36"/>
      <c r="P179" s="36"/>
      <c r="Q179" s="36"/>
      <c r="R179" s="36"/>
      <c r="S179" s="36"/>
      <c r="T179" s="36"/>
      <c r="U179" s="36"/>
      <c r="V179" s="36"/>
      <c r="X179" s="36"/>
      <c r="AA179" s="4"/>
      <c r="AJ179" s="36"/>
      <c r="AP179" s="36"/>
      <c r="AQ179" s="36"/>
      <c r="BE179" s="4"/>
      <c r="BK179" s="20"/>
      <c r="BL179" s="20"/>
      <c r="CC179" s="10"/>
    </row>
    <row r="180" s="1" customFormat="true" ht="13.8" hidden="false" customHeight="false" outlineLevel="0" collapsed="false">
      <c r="O180" s="36"/>
      <c r="P180" s="36"/>
      <c r="Q180" s="36"/>
      <c r="R180" s="36"/>
      <c r="S180" s="36"/>
      <c r="T180" s="36"/>
      <c r="U180" s="36"/>
      <c r="V180" s="36"/>
      <c r="X180" s="36"/>
      <c r="AA180" s="4"/>
      <c r="AJ180" s="36"/>
      <c r="AP180" s="36"/>
      <c r="AQ180" s="36"/>
      <c r="BE180" s="4"/>
      <c r="BK180" s="20"/>
      <c r="BL180" s="20"/>
      <c r="CC180" s="10"/>
    </row>
    <row r="181" s="1" customFormat="true" ht="13.8" hidden="false" customHeight="false" outlineLevel="0" collapsed="false">
      <c r="O181" s="36"/>
      <c r="P181" s="36"/>
      <c r="Q181" s="36"/>
      <c r="R181" s="36"/>
      <c r="S181" s="36"/>
      <c r="T181" s="36"/>
      <c r="U181" s="36"/>
      <c r="V181" s="36"/>
      <c r="X181" s="36"/>
      <c r="AA181" s="4"/>
      <c r="AJ181" s="36"/>
      <c r="AP181" s="36"/>
      <c r="AQ181" s="36"/>
      <c r="BE181" s="4"/>
      <c r="BK181" s="20"/>
      <c r="BL181" s="20"/>
      <c r="CC181" s="10"/>
    </row>
    <row r="182" s="1" customFormat="true" ht="13.8" hidden="false" customHeight="false" outlineLevel="0" collapsed="false">
      <c r="O182" s="36"/>
      <c r="P182" s="36"/>
      <c r="Q182" s="36"/>
      <c r="R182" s="36"/>
      <c r="S182" s="36"/>
      <c r="T182" s="36"/>
      <c r="U182" s="36"/>
      <c r="V182" s="36"/>
      <c r="X182" s="36"/>
      <c r="AA182" s="4"/>
      <c r="AJ182" s="36"/>
      <c r="AP182" s="36"/>
      <c r="AQ182" s="36"/>
      <c r="BE182" s="4"/>
      <c r="BK182" s="20"/>
      <c r="BL182" s="20"/>
      <c r="CC182" s="10"/>
    </row>
    <row r="183" s="1" customFormat="true" ht="13.8" hidden="false" customHeight="false" outlineLevel="0" collapsed="false">
      <c r="O183" s="36"/>
      <c r="P183" s="36"/>
      <c r="Q183" s="36"/>
      <c r="R183" s="36"/>
      <c r="S183" s="36"/>
      <c r="T183" s="36"/>
      <c r="U183" s="36"/>
      <c r="V183" s="36"/>
      <c r="X183" s="36"/>
      <c r="AA183" s="4"/>
      <c r="AJ183" s="36"/>
      <c r="AP183" s="36"/>
      <c r="AQ183" s="36"/>
      <c r="BE183" s="4"/>
      <c r="BK183" s="20"/>
      <c r="BL183" s="20"/>
      <c r="CC183" s="10"/>
    </row>
    <row r="184" s="1" customFormat="true" ht="13.8" hidden="false" customHeight="false" outlineLevel="0" collapsed="false">
      <c r="O184" s="36"/>
      <c r="P184" s="36"/>
      <c r="Q184" s="36"/>
      <c r="R184" s="36"/>
      <c r="S184" s="36"/>
      <c r="T184" s="36"/>
      <c r="U184" s="36"/>
      <c r="V184" s="36"/>
      <c r="X184" s="36"/>
      <c r="AA184" s="4"/>
      <c r="AJ184" s="36"/>
      <c r="AP184" s="36"/>
      <c r="AQ184" s="36"/>
      <c r="BE184" s="4"/>
      <c r="BK184" s="20"/>
      <c r="BL184" s="20"/>
      <c r="CC184" s="10"/>
    </row>
    <row r="185" s="1" customFormat="true" ht="13.8" hidden="false" customHeight="false" outlineLevel="0" collapsed="false">
      <c r="O185" s="36"/>
      <c r="P185" s="36"/>
      <c r="Q185" s="36"/>
      <c r="R185" s="36"/>
      <c r="S185" s="36"/>
      <c r="T185" s="36"/>
      <c r="U185" s="36"/>
      <c r="V185" s="36"/>
      <c r="X185" s="36"/>
      <c r="AA185" s="4"/>
      <c r="AJ185" s="36"/>
      <c r="AP185" s="36"/>
      <c r="AQ185" s="36"/>
      <c r="BE185" s="4"/>
      <c r="BK185" s="20"/>
      <c r="BL185" s="20"/>
      <c r="CC185" s="10"/>
    </row>
    <row r="186" s="1" customFormat="true" ht="13.8" hidden="false" customHeight="false" outlineLevel="0" collapsed="false">
      <c r="O186" s="36"/>
      <c r="P186" s="36"/>
      <c r="Q186" s="36"/>
      <c r="R186" s="36"/>
      <c r="S186" s="36"/>
      <c r="T186" s="36"/>
      <c r="U186" s="36"/>
      <c r="V186" s="36"/>
      <c r="X186" s="36"/>
      <c r="AA186" s="4"/>
      <c r="AJ186" s="36"/>
      <c r="AP186" s="36"/>
      <c r="AQ186" s="36"/>
      <c r="BE186" s="4"/>
      <c r="BK186" s="20"/>
      <c r="BL186" s="20"/>
      <c r="CC186" s="10"/>
    </row>
    <row r="1048576" customFormat="false" ht="12.8" hidden="false" customHeight="true" outlineLevel="0" collapsed="false"/>
  </sheetData>
  <autoFilter ref="A1:CH122"/>
  <conditionalFormatting sqref="C12:C13 C78 C34">
    <cfRule type="duplicateValues" priority="2" aboveAverage="0" equalAverage="0" bottom="0" percent="0" rank="0" text="" dxfId="11"/>
  </conditionalFormatting>
  <conditionalFormatting sqref="C56:C57">
    <cfRule type="duplicateValues" priority="3" aboveAverage="0" equalAverage="0" bottom="0" percent="0" rank="0" text="" dxfId="12"/>
  </conditionalFormatting>
  <conditionalFormatting sqref="C77">
    <cfRule type="duplicateValues" priority="4" aboveAverage="0" equalAverage="0" bottom="0" percent="0" rank="0" text="" dxfId="11"/>
  </conditionalFormatting>
  <conditionalFormatting sqref="C89 C55 C52">
    <cfRule type="duplicateValues" priority="5" aboveAverage="0" equalAverage="0" bottom="0" percent="0" rank="0" text="" dxfId="13"/>
  </conditionalFormatting>
  <conditionalFormatting sqref="C67 C60 C62">
    <cfRule type="duplicateValues" priority="6" aboveAverage="0" equalAverage="0" bottom="0" percent="0" rank="0" text="" dxfId="14"/>
  </conditionalFormatting>
  <conditionalFormatting sqref="C61 C63">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0:C21">
    <cfRule type="duplicateValues" priority="9" aboveAverage="0" equalAverage="0" bottom="0" percent="0" rank="0" text="" dxfId="16"/>
  </conditionalFormatting>
  <conditionalFormatting sqref="C73:C76 C87:C88">
    <cfRule type="duplicateValues" priority="10" aboveAverage="0" equalAverage="0" bottom="0" percent="0" rank="0" text="" dxfId="17"/>
  </conditionalFormatting>
  <conditionalFormatting sqref="C64:C65 C58:C59">
    <cfRule type="duplicateValues" priority="11" aboveAverage="0" equalAverage="0" bottom="0" percent="0" rank="0" text="" dxfId="18"/>
  </conditionalFormatting>
  <conditionalFormatting sqref="C37:C42 C31:C33">
    <cfRule type="duplicateValues" priority="12" aboveAverage="0" equalAverage="0" bottom="0" percent="0" rank="0" text="" dxfId="19"/>
  </conditionalFormatting>
  <conditionalFormatting sqref="C81:C86">
    <cfRule type="duplicateValues" priority="13" aboveAverage="0" equalAverage="0" bottom="0" percent="0" rank="0" text="" dxfId="20"/>
  </conditionalFormatting>
  <dataValidations count="19">
    <dataValidation allowBlank="true" errorStyle="stop" operator="equal" showDropDown="false" showErrorMessage="true" showInputMessage="true" sqref="BZ1 BZ35:BZ36"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22:BZ27 BZ34 BZ66 BZ68:BZ72 BZ78:BZ80" type="list">
      <formula1>'Gameplay Planning'!$1:$1</formula1>
      <formula2>0</formula2>
    </dataValidation>
    <dataValidation allowBlank="true" errorStyle="stop" operator="equal" showDropDown="false" showErrorMessage="true" showInputMessage="true" sqref="BZ14:BZ19 BZ28:BZ30" type="list">
      <formula1>'Gameplay Planning'!$1:$1</formula1>
      <formula2>0</formula2>
    </dataValidation>
    <dataValidation allowBlank="true" errorStyle="stop" operator="equal" showDropDown="false" showErrorMessage="true" showInputMessage="true" sqref="BZ20:BZ21" type="list">
      <formula1>'Gameplay Planning'!$1:$1</formula1>
      <formula2>0</formula2>
    </dataValidation>
    <dataValidation allowBlank="true" errorStyle="stop" operator="equal" showDropDown="false" showErrorMessage="true" showInputMessage="true" sqref="BZ43:BZ47 BZ50:BZ51" type="list">
      <formula1>'Gameplay Planning'!$1:$1</formula1>
      <formula2>0</formula2>
    </dataValidation>
    <dataValidation allowBlank="true" errorStyle="stop" operator="equal" showDropDown="false" showErrorMessage="true" showInputMessage="true" sqref="BZ48:BZ49" type="list">
      <formula1>'Gameplay Planning'!$1:$1</formula1>
      <formula2>0</formula2>
    </dataValidation>
    <dataValidation allowBlank="true" errorStyle="stop" operator="equal" showDropDown="false" showErrorMessage="true" showInputMessage="true" sqref="BZ52:BZ55 BZ89" type="list">
      <formula1>'Gameplay Planning'!$1:$1</formula1>
      <formula2>0</formula2>
    </dataValidation>
    <dataValidation allowBlank="true" errorStyle="stop" operator="equal" showDropDown="false" showErrorMessage="true" showInputMessage="true" sqref="BZ56:BZ57" type="list">
      <formula1>'Gameplay Planning'!$1:$1</formula1>
      <formula2>0</formula2>
    </dataValidation>
    <dataValidation allowBlank="true" errorStyle="stop" operator="equal" showDropDown="false" showErrorMessage="true" showInputMessage="true" sqref="BZ60:BZ64 BZ67" type="list">
      <formula1>'Gameplay Planning'!$1:$1</formula1>
      <formula2>0</formula2>
    </dataValidation>
    <dataValidation allowBlank="true" errorStyle="stop" operator="equal" showDropDown="false" showErrorMessage="true" showInputMessage="true" sqref="BZ77" type="list">
      <formula1>'Gameplay Planning'!$1:$1</formula1>
      <formula2>0</formula2>
    </dataValidation>
    <dataValidation allowBlank="true" errorStyle="stop" operator="equal" showDropDown="false" showErrorMessage="true" showInputMessage="true" sqref="BZ90:BZ92 BZ94:BZ99" type="list">
      <formula1>'Gameplay Planning'!$1:$1</formula1>
      <formula2>0</formula2>
    </dataValidation>
    <dataValidation allowBlank="true" errorStyle="stop" operator="equal" showDropDown="false" showErrorMessage="true" showInputMessage="true" sqref="BZ93 BZ100:BZ105" type="list">
      <formula1>'Gameplay Planning'!$1:$1</formula1>
      <formula2>0</formula2>
    </dataValidation>
    <dataValidation allowBlank="true" errorStyle="stop" operator="equal" showDropDown="false" showErrorMessage="true" showInputMessage="true" sqref="BZ106:BZ122" type="list">
      <formula1>'Gameplay Planning'!$1:$1</formula1>
      <formula2>0</formula2>
    </dataValidation>
    <dataValidation allowBlank="true" errorStyle="stop" operator="equal" showDropDown="false" showErrorMessage="true" showInputMessage="true" sqref="CB143 CB187:CB1101" type="list">
      <formula1>'Gameplay Planning'!$1:$1</formula1>
      <formula2>0</formula2>
    </dataValidation>
    <dataValidation allowBlank="true" errorStyle="stop" operator="between" showDropDown="false" showErrorMessage="true" showInputMessage="true" sqref="BZ73:BZ76 BZ87:BZ88" type="list">
      <formula1>'Gameplay Planning'!$1:$1</formula1>
      <formula2>0</formula2>
    </dataValidation>
    <dataValidation allowBlank="true" errorStyle="stop" operator="between" showDropDown="false" showErrorMessage="true" showInputMessage="true" sqref="BZ58:BZ59 BZ65" type="list">
      <formula1>'Gameplay Planning'!$1:$1</formula1>
      <formula2>0</formula2>
    </dataValidation>
    <dataValidation allowBlank="true" errorStyle="stop" operator="between" showDropDown="false" showErrorMessage="true" showInputMessage="true" sqref="BZ31:BZ33 BZ37:BZ42" type="list">
      <formula1>'Gameplay Planning'!$1:$1</formula1>
      <formula2>0</formula2>
    </dataValidation>
    <dataValidation allowBlank="true" errorStyle="stop" operator="between" showDropDown="false" showErrorMessage="true" showInputMessage="true" sqref="BZ81:BZ8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2" width="28.99"/>
    <col collapsed="false" customWidth="true" hidden="false" outlineLevel="0" max="4" min="3" style="32" width="17.3"/>
    <col collapsed="false" customWidth="true" hidden="false" outlineLevel="0" max="5" min="5" style="32" width="6.57"/>
    <col collapsed="false" customWidth="true" hidden="false" outlineLevel="0" max="8" min="8" style="32" width="11.99"/>
    <col collapsed="false" customWidth="true" hidden="false" outlineLevel="0" max="10" min="9" style="32" width="16.14"/>
    <col collapsed="false" customWidth="true" hidden="false" outlineLevel="0" max="11" min="11" style="32" width="13.3"/>
    <col collapsed="false" customWidth="true" hidden="false" outlineLevel="0" max="13" min="13" style="32" width="14.01"/>
    <col collapsed="false" customWidth="true" hidden="false" outlineLevel="0" max="15" min="15" style="32" width="13.7"/>
    <col collapsed="false" customWidth="true" hidden="false" outlineLevel="0" max="16" min="16" style="32" width="3.15"/>
    <col collapsed="false" customWidth="true" hidden="false" outlineLevel="0" max="18" min="18" style="32" width="12.57"/>
    <col collapsed="false" customWidth="true" hidden="false" outlineLevel="0" max="19" min="19" style="32" width="12.43"/>
    <col collapsed="false" customWidth="true" hidden="false" outlineLevel="0" max="20" min="20" style="32" width="10.85"/>
    <col collapsed="false" customWidth="true" hidden="false" outlineLevel="0" max="21" min="21" style="32" width="4.43"/>
    <col collapsed="false" customWidth="true" hidden="false" outlineLevel="0" max="22" min="22" style="32" width="7"/>
  </cols>
  <sheetData>
    <row r="1" customFormat="false" ht="15" hidden="false" customHeight="false" outlineLevel="0" collapsed="false">
      <c r="C1" s="38" t="s">
        <v>665</v>
      </c>
      <c r="D1" s="38" t="s">
        <v>666</v>
      </c>
      <c r="E1" s="38" t="s">
        <v>154</v>
      </c>
      <c r="F1" s="38" t="s">
        <v>361</v>
      </c>
      <c r="G1" s="38" t="s">
        <v>376</v>
      </c>
      <c r="H1" s="38" t="s">
        <v>475</v>
      </c>
      <c r="I1" s="38" t="s">
        <v>342</v>
      </c>
      <c r="J1" s="38" t="s">
        <v>667</v>
      </c>
      <c r="K1" s="38" t="s">
        <v>266</v>
      </c>
      <c r="L1" s="38" t="s">
        <v>166</v>
      </c>
      <c r="M1" s="38" t="s">
        <v>205</v>
      </c>
      <c r="N1" s="38" t="s">
        <v>97</v>
      </c>
      <c r="O1" s="38" t="s">
        <v>226</v>
      </c>
      <c r="P1" s="38" t="s">
        <v>668</v>
      </c>
      <c r="Q1" s="38" t="s">
        <v>595</v>
      </c>
      <c r="R1" s="38" t="s">
        <v>608</v>
      </c>
      <c r="S1" s="38" t="s">
        <v>669</v>
      </c>
      <c r="T1" s="38" t="s">
        <v>590</v>
      </c>
      <c r="U1" s="38" t="s">
        <v>576</v>
      </c>
      <c r="V1" s="38" t="s">
        <v>531</v>
      </c>
      <c r="W1" s="38" t="s">
        <v>549</v>
      </c>
    </row>
    <row r="2" customFormat="false" ht="15" hidden="false" customHeight="false" outlineLevel="0" collapsed="false">
      <c r="A2" s="38" t="s">
        <v>670</v>
      </c>
      <c r="B2" s="38" t="s">
        <v>671</v>
      </c>
    </row>
    <row r="3" customFormat="false" ht="15" hidden="false" customHeight="false" outlineLevel="0" collapsed="false">
      <c r="A3" s="32" t="s">
        <v>672</v>
      </c>
      <c r="B3" s="32"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2" t="s">
        <v>673</v>
      </c>
      <c r="B4" s="32"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2" t="s">
        <v>96</v>
      </c>
      <c r="B5" s="32"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2" t="s">
        <v>143</v>
      </c>
      <c r="B6" s="32"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2</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2" t="s">
        <v>674</v>
      </c>
      <c r="B7" s="32"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2" t="s">
        <v>204</v>
      </c>
      <c r="B8" s="32"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2</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1</v>
      </c>
      <c r="V8" s="19" t="n">
        <f aca="false">COUNTIF(Table!$CA:$CA,CONCATENATE($A8,"_",V$1))</f>
        <v>4</v>
      </c>
      <c r="W8" s="19" t="n">
        <f aca="false">COUNTIF(Table!$CA:$CA,CONCATENATE($A8,"_",W$1))</f>
        <v>0</v>
      </c>
    </row>
    <row r="9" customFormat="false" ht="15" hidden="false" customHeight="false" outlineLevel="0" collapsed="false">
      <c r="A9" s="32" t="s">
        <v>244</v>
      </c>
      <c r="B9" s="32"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2</v>
      </c>
      <c r="L9" s="19" t="n">
        <f aca="false">COUNTIF(Table!$CA:$CA,CONCATENATE($A9,"_",L$1))</f>
        <v>8</v>
      </c>
      <c r="M9" s="19" t="n">
        <f aca="false">COUNTIF(Table!$CA:$CA,CONCATENATE($A9,"_",M$1))</f>
        <v>2</v>
      </c>
      <c r="N9" s="19" t="n">
        <f aca="false">COUNTIF(Table!$CA:$CA,CONCATENATE($A9,"_",N$1))</f>
        <v>3</v>
      </c>
      <c r="O9" s="19" t="n">
        <f aca="false">COUNTIF(Table!$CA:$CA,CONCATENATE($A9,"_",O$1))</f>
        <v>14</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1</v>
      </c>
      <c r="U9" s="19" t="n">
        <f aca="false">COUNTIF(Table!$CA:$CA,CONCATENATE($A9,"_",U$1))</f>
        <v>2</v>
      </c>
      <c r="V9" s="19" t="n">
        <f aca="false">COUNTIF(Table!$CA:$CA,CONCATENATE($A9,"_",V$1))</f>
        <v>1</v>
      </c>
      <c r="W9" s="19" t="n">
        <f aca="false">COUNTIF(Table!$CA:$CA,CONCATENATE($A9,"_",W$1))</f>
        <v>0</v>
      </c>
    </row>
    <row r="10" customFormat="false" ht="15" hidden="false" customHeight="false" outlineLevel="0" collapsed="false">
      <c r="A10" s="32" t="s">
        <v>439</v>
      </c>
      <c r="B10" s="32"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2</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2" t="s">
        <v>482</v>
      </c>
      <c r="B11" s="32"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10</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21">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2" width="9.58"/>
    <col collapsed="false" customWidth="true" hidden="false" outlineLevel="0" max="2" min="2" style="32" width="5.43"/>
    <col collapsed="false" customWidth="true" hidden="false" outlineLevel="0" max="3" min="3" style="32" width="28.99"/>
  </cols>
  <sheetData>
    <row r="1" customFormat="false" ht="15" hidden="false" customHeight="false" outlineLevel="0" collapsed="false">
      <c r="A1" s="38" t="s">
        <v>675</v>
      </c>
      <c r="B1" s="38" t="s">
        <v>676</v>
      </c>
      <c r="C1" s="38" t="s">
        <v>677</v>
      </c>
    </row>
    <row r="2" customFormat="false" ht="15" hidden="false" customHeight="false" outlineLevel="0" collapsed="false">
      <c r="A2" s="32" t="n">
        <v>1700</v>
      </c>
      <c r="B2" s="32" t="s">
        <v>672</v>
      </c>
      <c r="C2" s="32" t="s">
        <v>678</v>
      </c>
    </row>
    <row r="3" customFormat="false" ht="15" hidden="false" customHeight="false" outlineLevel="0" collapsed="false">
      <c r="A3" s="32" t="n">
        <v>1850</v>
      </c>
      <c r="B3" s="32" t="s">
        <v>673</v>
      </c>
      <c r="C3" s="32" t="s">
        <v>679</v>
      </c>
    </row>
    <row r="4" customFormat="false" ht="15" hidden="false" customHeight="false" outlineLevel="0" collapsed="false">
      <c r="A4" s="32" t="n">
        <v>1900</v>
      </c>
      <c r="B4" s="32" t="s">
        <v>96</v>
      </c>
      <c r="C4" s="32" t="s">
        <v>680</v>
      </c>
    </row>
    <row r="5" customFormat="false" ht="15" hidden="false" customHeight="false" outlineLevel="0" collapsed="false">
      <c r="A5" s="32" t="n">
        <v>1923</v>
      </c>
      <c r="B5" s="32" t="s">
        <v>143</v>
      </c>
      <c r="C5" s="32" t="s">
        <v>681</v>
      </c>
    </row>
    <row r="6" customFormat="false" ht="15" hidden="false" customHeight="false" outlineLevel="0" collapsed="false">
      <c r="A6" s="32" t="n">
        <v>1948</v>
      </c>
      <c r="B6" s="32" t="s">
        <v>674</v>
      </c>
      <c r="C6" s="32" t="s">
        <v>682</v>
      </c>
    </row>
    <row r="7" customFormat="false" ht="15" hidden="false" customHeight="false" outlineLevel="0" collapsed="false">
      <c r="A7" s="32" t="n">
        <v>1955</v>
      </c>
      <c r="B7" s="32" t="s">
        <v>204</v>
      </c>
      <c r="C7" s="32" t="s">
        <v>683</v>
      </c>
    </row>
    <row r="8" customFormat="false" ht="15" hidden="false" customHeight="false" outlineLevel="0" collapsed="false">
      <c r="A8" s="32" t="n">
        <v>1970</v>
      </c>
      <c r="B8" s="32" t="s">
        <v>244</v>
      </c>
      <c r="C8" s="32" t="s">
        <v>684</v>
      </c>
    </row>
    <row r="9" customFormat="false" ht="15" hidden="false" customHeight="false" outlineLevel="0" collapsed="false">
      <c r="A9" s="32" t="n">
        <v>1995</v>
      </c>
      <c r="B9" s="32" t="s">
        <v>439</v>
      </c>
      <c r="C9" s="32" t="s">
        <v>685</v>
      </c>
    </row>
    <row r="10" customFormat="false" ht="15" hidden="false" customHeight="false" outlineLevel="0" collapsed="false">
      <c r="A10" s="32" t="n">
        <v>2005</v>
      </c>
      <c r="B10" s="32" t="s">
        <v>482</v>
      </c>
      <c r="C10" s="32" t="s">
        <v>686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2" width="7"/>
    <col collapsed="false" customWidth="true" hidden="false" outlineLevel="0" max="2" min="2" style="32" width="13.3"/>
    <col collapsed="false" customWidth="true" hidden="false" outlineLevel="0" max="3" min="3" style="32" width="20.14"/>
    <col collapsed="false" customWidth="true" hidden="false" outlineLevel="0" max="6" min="6" style="32" width="27.43"/>
    <col collapsed="false" customWidth="true" hidden="false" outlineLevel="0" max="9" min="9" style="32" width="14.69"/>
    <col collapsed="false" customWidth="true" hidden="false" outlineLevel="0" max="10" min="10" style="32" width="18.13"/>
    <col collapsed="false" customWidth="true" hidden="false" outlineLevel="0" max="11" min="11" style="32" width="18.86"/>
    <col collapsed="false" customWidth="true" hidden="false" outlineLevel="0" max="13" min="13" style="32" width="19.72"/>
    <col collapsed="false" customWidth="true" hidden="false" outlineLevel="0" max="14" min="14" style="32" width="27.28"/>
    <col collapsed="false" customWidth="true" hidden="false" outlineLevel="0" max="15" min="15" style="32" width="6.7"/>
  </cols>
  <sheetData>
    <row r="1" customFormat="false" ht="15" hidden="false" customHeight="false" outlineLevel="0" collapsed="false">
      <c r="A1" s="38" t="s">
        <v>687</v>
      </c>
      <c r="B1" s="38" t="s">
        <v>688</v>
      </c>
      <c r="C1" s="38" t="s">
        <v>689</v>
      </c>
      <c r="F1" s="38" t="s">
        <v>690</v>
      </c>
      <c r="G1" s="32" t="n">
        <v>15</v>
      </c>
      <c r="I1" s="38" t="s">
        <v>691</v>
      </c>
      <c r="J1" s="38" t="s">
        <v>692</v>
      </c>
      <c r="K1" s="38" t="s">
        <v>693</v>
      </c>
      <c r="M1" s="38" t="s">
        <v>694</v>
      </c>
      <c r="N1" s="38" t="s">
        <v>695</v>
      </c>
      <c r="O1" s="38" t="s">
        <v>13</v>
      </c>
    </row>
    <row r="2" customFormat="false" ht="15" hidden="false" customHeight="false" outlineLevel="0" collapsed="false">
      <c r="A2" s="32" t="n">
        <v>0</v>
      </c>
      <c r="B2" s="32" t="s">
        <v>696</v>
      </c>
      <c r="F2" s="38" t="s">
        <v>697</v>
      </c>
      <c r="G2" s="32" t="n">
        <v>5</v>
      </c>
      <c r="I2" s="32" t="s">
        <v>152</v>
      </c>
      <c r="J2" s="32" t="n">
        <v>1</v>
      </c>
      <c r="K2" s="32" t="n">
        <v>2</v>
      </c>
      <c r="M2" s="32" t="s">
        <v>285</v>
      </c>
      <c r="N2" s="32" t="str">
        <f aca="false">IF(O2&lt;&gt;"", _xlfn.CONCAT("{BLACK}Powered by: {GOLD}",O2), "")</f>
        <v>{BLACK}Powered by: {GOLD}Diesel</v>
      </c>
      <c r="O2" s="32" t="s">
        <v>698</v>
      </c>
    </row>
    <row r="3" customFormat="false" ht="15" hidden="false" customHeight="false" outlineLevel="0" collapsed="false">
      <c r="A3" s="32" t="n">
        <v>3</v>
      </c>
      <c r="B3" s="32" t="s">
        <v>176</v>
      </c>
      <c r="C3" s="32" t="s">
        <v>176</v>
      </c>
      <c r="I3" s="32" t="s">
        <v>91</v>
      </c>
      <c r="J3" s="32" t="n">
        <v>0.85</v>
      </c>
      <c r="K3" s="32" t="n">
        <v>2.3</v>
      </c>
      <c r="M3" s="32" t="s">
        <v>699</v>
      </c>
      <c r="N3" s="32" t="str">
        <f aca="false">IF(O3&lt;&gt;"", _xlfn.CONCAT("{BLACK}Powered by: {GOLD}",O3), "")</f>
        <v>{BLACK}Powered by: {GOLD}Steam</v>
      </c>
      <c r="O3" s="32" t="s">
        <v>700</v>
      </c>
    </row>
    <row r="4" customFormat="false" ht="15" hidden="false" customHeight="false" outlineLevel="0" collapsed="false">
      <c r="A4" s="32" t="n">
        <v>4</v>
      </c>
      <c r="B4" s="32" t="s">
        <v>701</v>
      </c>
      <c r="C4" s="32" t="s">
        <v>701</v>
      </c>
      <c r="I4" s="32" t="s">
        <v>702</v>
      </c>
      <c r="J4" s="32" t="n">
        <v>1.15</v>
      </c>
      <c r="K4" s="32" t="n">
        <v>1.7</v>
      </c>
      <c r="M4" s="32" t="s">
        <v>703</v>
      </c>
      <c r="N4" s="32" t="str">
        <f aca="false">IF(O4&lt;&gt;"", _xlfn.CONCAT("{BLACK}Powered by: {GOLD}",O4), "")</f>
        <v>{BLACK}Powered by: {GOLD}25kV AC</v>
      </c>
      <c r="O4" s="32" t="s">
        <v>704</v>
      </c>
    </row>
    <row r="5" customFormat="false" ht="15" hidden="false" customHeight="false" outlineLevel="0" collapsed="false">
      <c r="A5" s="32" t="n">
        <v>5</v>
      </c>
      <c r="B5" s="32" t="s">
        <v>705</v>
      </c>
      <c r="C5" s="32" t="s">
        <v>705</v>
      </c>
      <c r="I5" s="32" t="s">
        <v>255</v>
      </c>
      <c r="J5" s="32" t="n">
        <v>0.9</v>
      </c>
      <c r="K5" s="32" t="n">
        <v>2.5</v>
      </c>
      <c r="M5" s="32" t="s">
        <v>706</v>
      </c>
      <c r="N5" s="32" t="str">
        <f aca="false">IF(O5&lt;&gt;"", _xlfn.CONCAT("{BLACK}Powered by: {GOLD}",O5), "")</f>
        <v>{BLACK}Powered by: {GOLD}750V DC</v>
      </c>
      <c r="O5" s="32" t="s">
        <v>707</v>
      </c>
    </row>
    <row r="6" customFormat="false" ht="15" hidden="false" customHeight="false" outlineLevel="0" collapsed="false">
      <c r="A6" s="32" t="n">
        <v>6</v>
      </c>
      <c r="B6" s="32" t="s">
        <v>708</v>
      </c>
      <c r="C6" s="32" t="s">
        <v>708</v>
      </c>
      <c r="I6" s="32" t="s">
        <v>372</v>
      </c>
      <c r="J6" s="32" t="n">
        <v>0.85</v>
      </c>
      <c r="K6" s="32" t="n">
        <v>2.4</v>
      </c>
      <c r="M6" s="32" t="s">
        <v>709</v>
      </c>
      <c r="N6" s="32" t="str">
        <f aca="false">IF(O6&lt;&gt;"", _xlfn.CONCAT("{BLACK}Powered by: {GOLD}",O6), "")</f>
        <v/>
      </c>
    </row>
    <row r="7" customFormat="false" ht="15" hidden="false" customHeight="false" outlineLevel="0" collapsed="false">
      <c r="A7" s="32" t="n">
        <v>7</v>
      </c>
      <c r="B7" s="32" t="s">
        <v>710</v>
      </c>
      <c r="C7" s="32" t="s">
        <v>710</v>
      </c>
      <c r="I7" s="32" t="s">
        <v>603</v>
      </c>
      <c r="J7" s="32" t="n">
        <v>1.2</v>
      </c>
      <c r="K7" s="32" t="n">
        <v>0.6</v>
      </c>
      <c r="M7" s="32" t="s">
        <v>711</v>
      </c>
      <c r="N7" s="32" t="str">
        <f aca="false">IF(O7&lt;&gt;"", _xlfn.CONCAT("{BLACK}Powered by: {GOLD}",O7), "")</f>
        <v/>
      </c>
    </row>
    <row r="8" customFormat="false" ht="15" hidden="false" customHeight="false" outlineLevel="0" collapsed="false">
      <c r="A8" s="32" t="n">
        <v>8</v>
      </c>
      <c r="B8" s="32" t="s">
        <v>712</v>
      </c>
      <c r="C8" s="32" t="s">
        <v>712</v>
      </c>
      <c r="I8" s="32" t="s">
        <v>594</v>
      </c>
      <c r="J8" s="32" t="n">
        <v>1.5</v>
      </c>
      <c r="K8" s="32" t="n">
        <v>0.7</v>
      </c>
      <c r="M8" s="32" t="s">
        <v>713</v>
      </c>
      <c r="N8" s="32" t="str">
        <f aca="false">IF(O8&lt;&gt;"", _xlfn.CONCAT("{BLACK}Powered by: {GOLD}",O8), "")</f>
        <v/>
      </c>
    </row>
    <row r="9" customFormat="false" ht="15" hidden="false" customHeight="false" outlineLevel="0" collapsed="false">
      <c r="A9" s="32" t="n">
        <v>9</v>
      </c>
      <c r="B9" s="32" t="s">
        <v>714</v>
      </c>
      <c r="C9" s="32" t="s">
        <v>714</v>
      </c>
      <c r="I9" s="32" t="s">
        <v>528</v>
      </c>
      <c r="J9" s="32" t="n">
        <v>1</v>
      </c>
      <c r="K9" s="32" t="n">
        <v>0.45</v>
      </c>
      <c r="M9" s="32" t="s">
        <v>715</v>
      </c>
      <c r="N9" s="32" t="str">
        <f aca="false">IF(O9&lt;&gt;"", _xlfn.CONCAT("{BLACK}Powered by: {GOLD}",O9), "")</f>
        <v/>
      </c>
    </row>
    <row r="10" customFormat="false" ht="15" hidden="false" customHeight="false" outlineLevel="0" collapsed="false">
      <c r="A10" s="32" t="n">
        <v>10</v>
      </c>
      <c r="B10" s="32" t="s">
        <v>716</v>
      </c>
      <c r="C10" s="32" t="s">
        <v>716</v>
      </c>
      <c r="I10" s="32" t="s">
        <v>546</v>
      </c>
      <c r="J10" s="32" t="n">
        <v>1</v>
      </c>
      <c r="K10" s="32" t="n">
        <v>0.4</v>
      </c>
      <c r="M10" s="32" t="s">
        <v>717</v>
      </c>
      <c r="N10" s="32" t="str">
        <f aca="false">IF(O10&lt;&gt;"", _xlfn.CONCAT("{BLACK}Powered by: {GOLD}",O10), "")</f>
        <v>{BLACK}Powered by: {GOLD}Steam</v>
      </c>
      <c r="O10" s="32" t="s">
        <v>700</v>
      </c>
    </row>
    <row r="11" customFormat="false" ht="15" hidden="false" customHeight="false" outlineLevel="0" collapsed="false">
      <c r="A11" s="32" t="n">
        <v>11</v>
      </c>
      <c r="B11" s="32" t="s">
        <v>718</v>
      </c>
      <c r="C11" s="32" t="s">
        <v>718</v>
      </c>
      <c r="I11" s="32" t="s">
        <v>719</v>
      </c>
      <c r="J11" s="32" t="n">
        <v>0.9</v>
      </c>
      <c r="K11" s="32" t="n">
        <v>1.6</v>
      </c>
      <c r="M11" s="32" t="s">
        <v>720</v>
      </c>
      <c r="N11" s="32" t="str">
        <f aca="false">IF(O11&lt;&gt;"", _xlfn.CONCAT("{BLACK}Powered by: {GOLD}",O11), "")</f>
        <v>{BLACK}Powered by: {GOLD}750V DC / Diesel</v>
      </c>
      <c r="O11" s="32" t="s">
        <v>721</v>
      </c>
    </row>
    <row r="12" customFormat="false" ht="15" hidden="false" customHeight="false" outlineLevel="0" collapsed="false">
      <c r="A12" s="32" t="n">
        <v>12</v>
      </c>
      <c r="B12" s="32" t="s">
        <v>722</v>
      </c>
      <c r="C12" s="32" t="s">
        <v>722</v>
      </c>
      <c r="I12" s="32" t="s">
        <v>38</v>
      </c>
      <c r="J12" s="32" t="n">
        <v>0</v>
      </c>
      <c r="K12" s="32" t="n">
        <v>0</v>
      </c>
      <c r="M12" s="32" t="s">
        <v>723</v>
      </c>
      <c r="N12" s="32" t="str">
        <f aca="false">IF(O12&lt;&gt;"", _xlfn.CONCAT("{BLACK}Powered by: {GOLD}",O12), "")</f>
        <v>{BLACK}Powered by: {GOLD}25kV AC / 750V DC</v>
      </c>
      <c r="O12" s="32" t="s">
        <v>724</v>
      </c>
    </row>
    <row r="13" customFormat="false" ht="15" hidden="false" customHeight="false" outlineLevel="0" collapsed="false">
      <c r="A13" s="32" t="n">
        <v>13</v>
      </c>
      <c r="B13" s="32" t="s">
        <v>725</v>
      </c>
      <c r="C13" s="32" t="s">
        <v>725</v>
      </c>
      <c r="I13" s="32" t="s">
        <v>726</v>
      </c>
      <c r="J13" s="32" t="n">
        <v>1.05</v>
      </c>
      <c r="K13" s="32" t="n">
        <v>1.9</v>
      </c>
      <c r="M13" s="32" t="s">
        <v>727</v>
      </c>
      <c r="N13" s="32" t="str">
        <f aca="false">IF(O13&lt;&gt;"", _xlfn.CONCAT("{BLACK}Powered by: {GOLD}",O13), "")</f>
        <v/>
      </c>
    </row>
    <row r="14" customFormat="false" ht="15" hidden="false" customHeight="false" outlineLevel="0" collapsed="false">
      <c r="A14" s="32" t="n">
        <v>14</v>
      </c>
      <c r="B14" s="32" t="s">
        <v>728</v>
      </c>
      <c r="C14" s="32" t="s">
        <v>728</v>
      </c>
      <c r="I14" s="32" t="s">
        <v>729</v>
      </c>
      <c r="J14" s="32" t="n">
        <v>0.98</v>
      </c>
      <c r="K14" s="32" t="n">
        <v>1.88</v>
      </c>
      <c r="M14" s="32" t="s">
        <v>730</v>
      </c>
      <c r="N14" s="32" t="str">
        <f aca="false">IF(O14&lt;&gt;"", _xlfn.CONCAT("{BLACK}Powered by: {GOLD}",O14), "")</f>
        <v/>
      </c>
    </row>
    <row r="15" customFormat="false" ht="15" hidden="false" customHeight="false" outlineLevel="0" collapsed="false">
      <c r="A15" s="32" t="n">
        <v>15</v>
      </c>
      <c r="B15" s="32" t="s">
        <v>731</v>
      </c>
      <c r="C15" s="32" t="s">
        <v>731</v>
      </c>
      <c r="I15" s="32" t="s">
        <v>732</v>
      </c>
      <c r="J15" s="32" t="n">
        <v>0.5</v>
      </c>
      <c r="K15" s="32" t="n">
        <v>0.5</v>
      </c>
      <c r="M15" s="32" t="s">
        <v>733</v>
      </c>
      <c r="N15" s="32" t="str">
        <f aca="false">IF(O15&lt;&gt;"", _xlfn.CONCAT("{BLACK}Powered by: {GOLD}",O15), "")</f>
        <v/>
      </c>
    </row>
    <row r="16" customFormat="false" ht="15" hidden="false" customHeight="false" outlineLevel="0" collapsed="false">
      <c r="A16" s="32" t="n">
        <v>16</v>
      </c>
      <c r="B16" s="32" t="s">
        <v>734</v>
      </c>
      <c r="C16" s="32" t="s">
        <v>734</v>
      </c>
      <c r="I16" s="32" t="s">
        <v>316</v>
      </c>
      <c r="J16" s="32" t="n">
        <v>0.85</v>
      </c>
      <c r="K16" s="32" t="n">
        <v>2.3</v>
      </c>
      <c r="M16" s="32" t="s">
        <v>735</v>
      </c>
      <c r="N16" s="32" t="str">
        <f aca="false">IF(O16&lt;&gt;"", _xlfn.CONCAT("{BLACK}Powered by: {GOLD}",O16), "")</f>
        <v>{BLACK}Powered by: {GOLD}Petrol</v>
      </c>
      <c r="O16" s="32" t="s">
        <v>736</v>
      </c>
    </row>
    <row r="17" customFormat="false" ht="15" hidden="false" customHeight="false" outlineLevel="0" collapsed="false">
      <c r="I17" s="32" t="s">
        <v>737</v>
      </c>
      <c r="J17" s="32" t="n">
        <v>1</v>
      </c>
      <c r="K17" s="32" t="n">
        <v>2</v>
      </c>
      <c r="M17" s="32" t="s">
        <v>738</v>
      </c>
      <c r="N17" s="32" t="str">
        <f aca="false">IF(O17&lt;&gt;"", _xlfn.CONCAT("{BLACK}Powered by: {GOLD}",O17), "")</f>
        <v>{BLACK}Powered by: {GOLD}25kV AC / Diesel</v>
      </c>
      <c r="O17" s="32" t="s">
        <v>739</v>
      </c>
    </row>
    <row r="18" customFormat="false" ht="15" hidden="false" customHeight="false" outlineLevel="0" collapsed="false">
      <c r="I18" s="32" t="s">
        <v>740</v>
      </c>
      <c r="J18" s="32" t="n">
        <v>0.8</v>
      </c>
      <c r="K18" s="32" t="n">
        <v>2.3</v>
      </c>
      <c r="M18" s="32" t="s">
        <v>741</v>
      </c>
      <c r="N18" s="32" t="str">
        <f aca="false">IF(O18&lt;&gt;"", _xlfn.CONCAT("{BLACK}Powered by: {GOLD}",O18), "")</f>
        <v>{BLACK}Powered by: {GOLD}LPG / Flywheel</v>
      </c>
      <c r="O18" s="32" t="s">
        <v>742</v>
      </c>
    </row>
    <row r="19" customFormat="false" ht="15" hidden="false" customHeight="false" outlineLevel="0" collapsed="false">
      <c r="I19" s="32" t="s">
        <v>649</v>
      </c>
      <c r="J19" s="32" t="n">
        <v>1</v>
      </c>
      <c r="K19" s="32" t="n">
        <v>2</v>
      </c>
      <c r="M19" s="32" t="s">
        <v>743</v>
      </c>
      <c r="N19" s="32" t="str">
        <f aca="false">IF(O19&lt;&gt;"", _xlfn.CONCAT("{BLACK}Powered by: {GOLD}",O19), "")</f>
        <v/>
      </c>
    </row>
    <row r="20" customFormat="false" ht="15" hidden="false" customHeight="false" outlineLevel="0" collapsed="false">
      <c r="M20" s="32" t="s">
        <v>744</v>
      </c>
      <c r="N20" s="32" t="str">
        <f aca="false">IF(O20&lt;&gt;"", _xlfn.CONCAT("{BLACK}Powered by: {GOLD}",O20), "")</f>
        <v>{BLACK}Powered by: {GOLD}Steam</v>
      </c>
      <c r="O20" s="32" t="s">
        <v>700</v>
      </c>
    </row>
    <row r="21" customFormat="false" ht="15" hidden="false" customHeight="false" outlineLevel="0" collapsed="false">
      <c r="M21" s="32" t="s">
        <v>745</v>
      </c>
      <c r="N21" s="32" t="str">
        <f aca="false">IF(O21&lt;&gt;"", _xlfn.CONCAT("{BLACK}Powered by: {GOLD}",O21), "")</f>
        <v/>
      </c>
    </row>
    <row r="22" customFormat="false" ht="15" hidden="false" customHeight="false" outlineLevel="0" collapsed="false">
      <c r="M22" s="32" t="s">
        <v>746</v>
      </c>
      <c r="N22" s="32" t="str">
        <f aca="false">IF(O22&lt;&gt;"", _xlfn.CONCAT("{BLACK}Powered by: {GOLD}",O22), "")</f>
        <v>{BLACK}Powered by: {GOLD}Grass and hay</v>
      </c>
      <c r="O22" s="32" t="s">
        <v>747</v>
      </c>
    </row>
    <row r="23" customFormat="false" ht="15" hidden="false" customHeight="false" outlineLevel="0" collapsed="false">
      <c r="M23" s="32" t="s">
        <v>748</v>
      </c>
      <c r="N23" s="32" t="str">
        <f aca="false">IF(O23&lt;&gt;"", _xlfn.CONCAT("{BLACK}Powered by: {GOLD}",O23), "")</f>
        <v>{BLACK}Powered by: {GOLD}630V DC</v>
      </c>
      <c r="O23" s="32" t="s">
        <v>749</v>
      </c>
    </row>
    <row r="24" customFormat="false" ht="15" hidden="false" customHeight="false" outlineLevel="0" collapsed="false">
      <c r="M24" s="32" t="s">
        <v>750</v>
      </c>
      <c r="N24" s="32" t="str">
        <f aca="false">IF(O24&lt;&gt;"", _xlfn.CONCAT("{BLACK}Powered by: {GOLD}",O24), "")</f>
        <v/>
      </c>
    </row>
    <row r="25" customFormat="false" ht="15" hidden="false" customHeight="false" outlineLevel="0" collapsed="false">
      <c r="M25" s="32" t="s">
        <v>751</v>
      </c>
      <c r="N25" s="32" t="str">
        <f aca="false">IF(O25&lt;&gt;"", _xlfn.CONCAT("{BLACK}Powered by: {GOLD}",O25), "")</f>
        <v/>
      </c>
    </row>
    <row r="26" customFormat="false" ht="15" hidden="false" customHeight="false" outlineLevel="0" collapsed="false">
      <c r="M26" s="32" t="s">
        <v>752</v>
      </c>
      <c r="N26" s="32" t="str">
        <f aca="false">IF(O26&lt;&gt;"", _xlfn.CONCAT("{BLACK}Powered by: {GOLD}",O26), "")</f>
        <v>{BLACK}Powered by: {GOLD}Grass and hay</v>
      </c>
      <c r="O26" s="32" t="s">
        <v>747</v>
      </c>
    </row>
    <row r="27" customFormat="false" ht="15" hidden="false" customHeight="false" outlineLevel="0" collapsed="false">
      <c r="M27" s="32" t="s">
        <v>753</v>
      </c>
      <c r="N27" s="32" t="str">
        <f aca="false">IF(O27&lt;&gt;"", _xlfn.CONCAT("{BLACK}Powered by: {GOLD}",O27), "")</f>
        <v/>
      </c>
    </row>
    <row r="28" customFormat="false" ht="15" hidden="false" customHeight="false" outlineLevel="0" collapsed="false">
      <c r="M28" s="32" t="s">
        <v>754</v>
      </c>
      <c r="N28" s="32" t="str">
        <f aca="false">IF(O28&lt;&gt;"", _xlfn.CONCAT("{BLACK}Powered by: {GOLD}",O28), "")</f>
        <v>{BLACK}Powered by: {GOLD}Diesel</v>
      </c>
      <c r="O28" s="32" t="s">
        <v>698</v>
      </c>
    </row>
    <row r="29" customFormat="false" ht="15" hidden="false" customHeight="false" outlineLevel="0" collapsed="false">
      <c r="M29" s="32" t="s">
        <v>755</v>
      </c>
      <c r="N29" s="32" t="str">
        <f aca="false">IF(O29&lt;&gt;"", _xlfn.CONCAT("{BLACK}Powered by: {GOLD}",O29), "")</f>
        <v/>
      </c>
      <c r="O29" s="32" t="str">
        <f aca="false">IF(P29&lt;&gt;"", _xlfn.CONCAT("{BLACK}Powered by: {GOLD}",P29), "")</f>
        <v/>
      </c>
    </row>
    <row r="30" customFormat="false" ht="15" hidden="false" customHeight="false" outlineLevel="0" collapsed="false">
      <c r="M30" s="32" t="s">
        <v>756</v>
      </c>
      <c r="N30" s="32" t="str">
        <f aca="false">IF(O30&lt;&gt;"", _xlfn.CONCAT("{BLACK}Powered by: {GOLD}",O30), "")</f>
        <v>{BLACK}Powered by: {GOLD}Gas Turbine</v>
      </c>
      <c r="O30" s="32" t="s">
        <v>757</v>
      </c>
    </row>
    <row r="31" customFormat="false" ht="15" hidden="false" customHeight="false" outlineLevel="0" collapsed="false">
      <c r="M31" s="32" t="s">
        <v>758</v>
      </c>
      <c r="N31" s="32" t="str">
        <f aca="false">IF(O31&lt;&gt;"", _xlfn.CONCAT("{BLACK}Powered by: {GOLD}",O31), "")</f>
        <v>{BLACK}Powered by: {GOLD}Petrol</v>
      </c>
      <c r="O31" s="32" t="s">
        <v>736</v>
      </c>
    </row>
    <row r="32" customFormat="false" ht="15" hidden="false" customHeight="false" outlineLevel="0" collapsed="false">
      <c r="M32" s="32" t="s">
        <v>759</v>
      </c>
      <c r="N32" s="32" t="str">
        <f aca="false">IF(O32&lt;&gt;"", _xlfn.CONCAT("{BLACK}Powered by: {GOLD}",O32), "")</f>
        <v/>
      </c>
    </row>
    <row r="33" customFormat="false" ht="15" hidden="false" customHeight="false" outlineLevel="0" collapsed="false">
      <c r="M33" s="32" t="s">
        <v>760</v>
      </c>
      <c r="N33" s="32" t="str">
        <f aca="false">IF(O33&lt;&gt;"", _xlfn.CONCAT("{BLACK}Powered by: {GOLD}",O33), "")</f>
        <v>{BLACK}Powered by: {GOLD}750V DC / Battery</v>
      </c>
      <c r="O33" s="32" t="s">
        <v>761</v>
      </c>
    </row>
    <row r="34" customFormat="false" ht="15" hidden="false" customHeight="true" outlineLevel="0" collapsed="false">
      <c r="M34" s="32" t="s">
        <v>762</v>
      </c>
      <c r="N34" s="32" t="str">
        <f aca="false">IF(O34&lt;&gt;"", _xlfn.CONCAT("{BLACK}Powered by: {GOLD}",O34), "")</f>
        <v>{BLACK}Powered by: {GOLD}25kV AC</v>
      </c>
      <c r="O34" s="32" t="s">
        <v>704</v>
      </c>
    </row>
    <row r="35" customFormat="false" ht="15" hidden="false" customHeight="true" outlineLevel="0" collapsed="false">
      <c r="M35" s="32" t="s">
        <v>763</v>
      </c>
      <c r="N35" s="32" t="str">
        <f aca="false">IF(O35&lt;&gt;"", _xlfn.CONCAT("{BLACK}Powered by: {GOLD}",O35), "")</f>
        <v>{BLACK}Powered by: {GOLD}Diesel</v>
      </c>
      <c r="O35" s="32" t="s">
        <v>698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2" width="10.71"/>
    <col collapsed="false" customWidth="true" hidden="false" outlineLevel="0" max="4" min="3" style="32" width="21.43"/>
  </cols>
  <sheetData>
    <row r="1" customFormat="false" ht="15" hidden="false" customHeight="false" outlineLevel="0" collapsed="false">
      <c r="A1" s="38" t="s">
        <v>764</v>
      </c>
      <c r="B1" s="38" t="s">
        <v>765</v>
      </c>
      <c r="C1" s="38" t="s">
        <v>766</v>
      </c>
      <c r="D1" s="38" t="s">
        <v>767</v>
      </c>
    </row>
    <row r="2" customFormat="false" ht="15" hidden="false" customHeight="false" outlineLevel="0" collapsed="false">
      <c r="A2" s="32" t="n">
        <v>0</v>
      </c>
      <c r="B2" s="32" t="n">
        <f aca="false">IF(D2,D2,C2)</f>
        <v>0</v>
      </c>
      <c r="C2" s="32" t="n">
        <f aca="false">INT(A2*(256/15))</f>
        <v>0</v>
      </c>
      <c r="D2" s="38"/>
    </row>
    <row r="3" customFormat="false" ht="15" hidden="false" customHeight="false" outlineLevel="0" collapsed="false">
      <c r="A3" s="32" t="n">
        <v>1</v>
      </c>
      <c r="B3" s="32" t="n">
        <f aca="false">IF(D3,D3,C3)</f>
        <v>17</v>
      </c>
      <c r="C3" s="32" t="n">
        <f aca="false">INT(A3*(256/15))</f>
        <v>17</v>
      </c>
    </row>
    <row r="4" customFormat="false" ht="15" hidden="false" customHeight="false" outlineLevel="0" collapsed="false">
      <c r="A4" s="32" t="n">
        <v>2</v>
      </c>
      <c r="B4" s="32" t="n">
        <f aca="false">IF(D4,D4,C4)</f>
        <v>34</v>
      </c>
      <c r="C4" s="32" t="n">
        <f aca="false">INT(A4*(256/15))</f>
        <v>34</v>
      </c>
    </row>
    <row r="5" customFormat="false" ht="15" hidden="false" customHeight="false" outlineLevel="0" collapsed="false">
      <c r="A5" s="32" t="n">
        <v>3</v>
      </c>
      <c r="B5" s="32" t="n">
        <f aca="false">IF(D5,D5,C5)</f>
        <v>51</v>
      </c>
      <c r="C5" s="32" t="n">
        <f aca="false">INT(A5*(256/15))</f>
        <v>51</v>
      </c>
    </row>
    <row r="6" customFormat="false" ht="15" hidden="false" customHeight="false" outlineLevel="0" collapsed="false">
      <c r="A6" s="32" t="n">
        <v>4</v>
      </c>
      <c r="B6" s="32" t="n">
        <f aca="false">IF(D6,D6,C6)</f>
        <v>66</v>
      </c>
      <c r="C6" s="32" t="n">
        <f aca="false">INT(A6*(256/15))</f>
        <v>68</v>
      </c>
      <c r="D6" s="32" t="n">
        <v>66</v>
      </c>
    </row>
    <row r="7" customFormat="false" ht="15" hidden="false" customHeight="false" outlineLevel="0" collapsed="false">
      <c r="A7" s="32" t="n">
        <v>5</v>
      </c>
      <c r="B7" s="32" t="n">
        <f aca="false">IF(D7,D7,C7)</f>
        <v>82</v>
      </c>
      <c r="C7" s="32" t="n">
        <f aca="false">INT(A7*(256/15))</f>
        <v>85</v>
      </c>
      <c r="D7" s="32" t="n">
        <v>82</v>
      </c>
    </row>
    <row r="8" customFormat="false" ht="15" hidden="false" customHeight="false" outlineLevel="0" collapsed="false">
      <c r="A8" s="32" t="n">
        <v>6</v>
      </c>
      <c r="B8" s="32" t="n">
        <f aca="false">IF(D8,D8,C8)</f>
        <v>102</v>
      </c>
      <c r="C8" s="32" t="n">
        <f aca="false">INT(A8*(256/15))</f>
        <v>102</v>
      </c>
      <c r="D8" s="32" t="n">
        <v>102</v>
      </c>
    </row>
    <row r="9" customFormat="false" ht="15" hidden="false" customHeight="false" outlineLevel="0" collapsed="false">
      <c r="A9" s="32" t="n">
        <v>7</v>
      </c>
      <c r="B9" s="32" t="n">
        <f aca="false">IF(D9,D9,C9)</f>
        <v>120</v>
      </c>
      <c r="C9" s="32" t="n">
        <f aca="false">INT(A9*(256/15))</f>
        <v>119</v>
      </c>
      <c r="D9" s="32" t="n">
        <v>120</v>
      </c>
    </row>
    <row r="10" customFormat="false" ht="15" hidden="false" customHeight="false" outlineLevel="0" collapsed="false">
      <c r="A10" s="32" t="n">
        <v>8</v>
      </c>
      <c r="B10" s="32" t="n">
        <f aca="false">IF(D10,D10,C10)</f>
        <v>136</v>
      </c>
      <c r="C10" s="32" t="n">
        <f aca="false">INT(A10*(256/15))</f>
        <v>136</v>
      </c>
      <c r="D10" s="32" t="n">
        <v>136</v>
      </c>
    </row>
    <row r="11" customFormat="false" ht="15" hidden="false" customHeight="false" outlineLevel="0" collapsed="false">
      <c r="A11" s="32" t="n">
        <v>9</v>
      </c>
      <c r="B11" s="32" t="n">
        <f aca="false">IF(D11,D11,C11)</f>
        <v>152</v>
      </c>
      <c r="C11" s="32" t="n">
        <f aca="false">INT(A11*(256/15))</f>
        <v>153</v>
      </c>
      <c r="D11" s="32" t="n">
        <v>152</v>
      </c>
    </row>
    <row r="12" customFormat="false" ht="15" hidden="false" customHeight="false" outlineLevel="0" collapsed="false">
      <c r="A12" s="32" t="n">
        <v>10</v>
      </c>
      <c r="B12" s="32" t="n">
        <f aca="false">IF(D12,D12,C12)</f>
        <v>164</v>
      </c>
      <c r="C12" s="32" t="n">
        <f aca="false">INT(A12*(256/15))</f>
        <v>170</v>
      </c>
      <c r="D12" s="32" t="n">
        <v>164</v>
      </c>
    </row>
    <row r="13" customFormat="false" ht="15" hidden="false" customHeight="false" outlineLevel="0" collapsed="false">
      <c r="A13" s="32" t="n">
        <v>11</v>
      </c>
      <c r="B13" s="32" t="n">
        <f aca="false">IF(D13,D13,C13)</f>
        <v>186</v>
      </c>
      <c r="C13" s="32" t="n">
        <f aca="false">INT(A13*(256/15))</f>
        <v>187</v>
      </c>
      <c r="D13" s="32" t="n">
        <v>186</v>
      </c>
    </row>
    <row r="14" customFormat="false" ht="15" hidden="false" customHeight="false" outlineLevel="0" collapsed="false">
      <c r="A14" s="32" t="n">
        <v>12</v>
      </c>
      <c r="B14" s="32" t="n">
        <f aca="false">IF(D14,D14,C14)</f>
        <v>198</v>
      </c>
      <c r="C14" s="32" t="n">
        <f aca="false">INT(A14*(256/15))</f>
        <v>204</v>
      </c>
      <c r="D14" s="32" t="n">
        <v>198</v>
      </c>
    </row>
    <row r="15" customFormat="false" ht="15" hidden="false" customHeight="false" outlineLevel="0" collapsed="false">
      <c r="A15" s="32" t="n">
        <v>13</v>
      </c>
      <c r="B15" s="32" t="n">
        <v>214</v>
      </c>
      <c r="C15" s="32" t="n">
        <f aca="false">INT(A15*(256/15))</f>
        <v>221</v>
      </c>
    </row>
    <row r="16" customFormat="false" ht="15" hidden="false" customHeight="false" outlineLevel="0" collapsed="false">
      <c r="A16" s="32" t="n">
        <v>14</v>
      </c>
      <c r="B16" s="32" t="n">
        <f aca="false">IF(D16,D16,C16)</f>
        <v>238</v>
      </c>
      <c r="C16" s="32" t="n">
        <f aca="false">INT(A16*(256/15))</f>
        <v>238</v>
      </c>
    </row>
    <row r="17" customFormat="false" ht="15" hidden="false" customHeight="false" outlineLevel="0" collapsed="false">
      <c r="A17" s="32" t="n">
        <v>15</v>
      </c>
      <c r="B17" s="32" t="n">
        <f aca="false">IF(D17,D17,C17)</f>
        <v>256</v>
      </c>
      <c r="C17" s="32" t="n">
        <f aca="false">INT(A17*(256/15))</f>
        <v>256</v>
      </c>
    </row>
    <row r="18" customFormat="false" ht="15" hidden="false" customHeight="false" outlineLevel="0" collapsed="false">
      <c r="A18" s="32" t="n">
        <v>16</v>
      </c>
      <c r="B18" s="32" t="n">
        <f aca="false">IF(D18,D18,C18)</f>
        <v>273</v>
      </c>
      <c r="C18" s="32"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2" width="11.43"/>
    <col collapsed="false" customWidth="true" hidden="false" outlineLevel="0" max="2" min="2" style="32" width="29.86"/>
    <col collapsed="false" customWidth="true" hidden="false" outlineLevel="0" max="7" min="3" style="32" width="25.85"/>
    <col collapsed="false" customWidth="true" hidden="false" outlineLevel="0" max="9" min="8" style="32" width="26.81"/>
    <col collapsed="false" customWidth="true" hidden="false" outlineLevel="0" max="10" min="10" style="32" width="16.33"/>
    <col collapsed="false" customWidth="true" hidden="false" outlineLevel="0" max="11" min="11" style="32" width="16.18"/>
    <col collapsed="false" customWidth="true" hidden="false" outlineLevel="0" max="12" min="12" style="32" width="19.79"/>
    <col collapsed="false" customWidth="true" hidden="false" outlineLevel="0" max="14" min="13" style="32" width="16.65"/>
    <col collapsed="false" customWidth="true" hidden="false" outlineLevel="0" max="15" min="15" style="32" width="16.33"/>
    <col collapsed="false" customWidth="true" hidden="false" outlineLevel="0" max="16" min="16" style="32" width="18.37"/>
    <col collapsed="false" customWidth="true" hidden="false" outlineLevel="0" max="17" min="17" style="32" width="18.21"/>
  </cols>
  <sheetData>
    <row r="1" customFormat="false" ht="15" hidden="false" customHeight="false" outlineLevel="0" collapsed="false">
      <c r="B1" s="32" t="n">
        <v>1</v>
      </c>
      <c r="C1" s="32" t="n">
        <v>2</v>
      </c>
      <c r="D1" s="32" t="n">
        <v>3</v>
      </c>
      <c r="E1" s="32" t="n">
        <v>4</v>
      </c>
      <c r="F1" s="32" t="n">
        <v>5</v>
      </c>
      <c r="G1" s="32" t="n">
        <v>6</v>
      </c>
      <c r="H1" s="32" t="n">
        <v>7</v>
      </c>
      <c r="I1" s="32" t="n">
        <v>8</v>
      </c>
      <c r="J1" s="32" t="n">
        <v>9</v>
      </c>
      <c r="K1" s="32" t="n">
        <v>10</v>
      </c>
      <c r="L1" s="32" t="n">
        <v>11</v>
      </c>
      <c r="M1" s="32" t="n">
        <v>12</v>
      </c>
      <c r="N1" s="32" t="n">
        <v>13</v>
      </c>
      <c r="O1" s="32" t="n">
        <v>14</v>
      </c>
      <c r="P1" s="32" t="n">
        <v>15</v>
      </c>
      <c r="Q1" s="32" t="n">
        <v>16</v>
      </c>
      <c r="R1" s="32" t="n">
        <v>17</v>
      </c>
      <c r="S1" s="32" t="n">
        <v>18</v>
      </c>
      <c r="T1" s="32" t="n">
        <v>19</v>
      </c>
      <c r="U1" s="32" t="n">
        <v>20</v>
      </c>
    </row>
    <row r="2" customFormat="false" ht="15" hidden="false" customHeight="false" outlineLevel="0" collapsed="false">
      <c r="B2" s="32" t="s">
        <v>768</v>
      </c>
    </row>
    <row r="3" customFormat="false" ht="15" hidden="false" customHeight="false" outlineLevel="0" collapsed="false">
      <c r="A3" s="32" t="s">
        <v>769</v>
      </c>
      <c r="B3" s="32" t="s">
        <v>319</v>
      </c>
      <c r="C3" s="32" t="s">
        <v>770</v>
      </c>
      <c r="D3" s="32" t="s">
        <v>770</v>
      </c>
      <c r="E3" s="32" t="s">
        <v>770</v>
      </c>
      <c r="F3" s="32" t="s">
        <v>770</v>
      </c>
      <c r="G3" s="32" t="s">
        <v>771</v>
      </c>
      <c r="H3" s="32" t="s">
        <v>772</v>
      </c>
      <c r="I3" s="32" t="s">
        <v>772</v>
      </c>
      <c r="J3" s="32" t="s">
        <v>352</v>
      </c>
      <c r="K3" s="32" t="s">
        <v>770</v>
      </c>
      <c r="L3" s="32" t="s">
        <v>770</v>
      </c>
      <c r="M3" s="32" t="s">
        <v>770</v>
      </c>
      <c r="N3" s="32" t="s">
        <v>770</v>
      </c>
      <c r="O3" s="32" t="s">
        <v>773</v>
      </c>
    </row>
    <row r="4" customFormat="false" ht="15" hidden="false" customHeight="false" outlineLevel="0" collapsed="false">
      <c r="A4" s="32" t="s">
        <v>774</v>
      </c>
      <c r="B4" s="32" t="n">
        <v>1</v>
      </c>
      <c r="C4" s="32" t="n">
        <v>1</v>
      </c>
      <c r="D4" s="32" t="n">
        <v>0</v>
      </c>
      <c r="E4" s="32" t="n">
        <v>0</v>
      </c>
      <c r="F4" s="32" t="n">
        <v>0</v>
      </c>
      <c r="G4" s="32" t="n">
        <v>1</v>
      </c>
      <c r="H4" s="32" t="n">
        <v>1</v>
      </c>
      <c r="I4" s="32" t="n">
        <v>0</v>
      </c>
      <c r="J4" s="32" t="n">
        <v>1</v>
      </c>
      <c r="K4" s="32" t="n">
        <v>0</v>
      </c>
      <c r="L4" s="32" t="n">
        <v>0</v>
      </c>
      <c r="M4" s="32" t="n">
        <v>0</v>
      </c>
      <c r="N4" s="32" t="n">
        <v>0</v>
      </c>
      <c r="O4" s="32" t="n">
        <v>1</v>
      </c>
    </row>
    <row r="6" customFormat="false" ht="14.25" hidden="false" customHeight="true" outlineLevel="0" collapsed="false">
      <c r="B6" s="32" t="s">
        <v>775</v>
      </c>
    </row>
    <row r="7" customFormat="false" ht="15" hidden="false" customHeight="false" outlineLevel="0" collapsed="false">
      <c r="A7" s="32" t="s">
        <v>769</v>
      </c>
      <c r="B7" s="32" t="s">
        <v>394</v>
      </c>
      <c r="C7" s="32" t="s">
        <v>776</v>
      </c>
      <c r="D7" s="32" t="s">
        <v>777</v>
      </c>
      <c r="E7" s="32" t="s">
        <v>777</v>
      </c>
      <c r="F7" s="32" t="s">
        <v>777</v>
      </c>
      <c r="G7" s="32" t="s">
        <v>777</v>
      </c>
      <c r="H7" s="32" t="s">
        <v>778</v>
      </c>
      <c r="I7" s="32" t="s">
        <v>777</v>
      </c>
      <c r="J7" s="32" t="s">
        <v>777</v>
      </c>
      <c r="K7" s="32" t="s">
        <v>779</v>
      </c>
      <c r="L7" s="32" t="s">
        <v>780</v>
      </c>
      <c r="M7" s="32" t="s">
        <v>781</v>
      </c>
      <c r="N7" s="32" t="s">
        <v>781</v>
      </c>
      <c r="O7" s="32" t="s">
        <v>782</v>
      </c>
      <c r="P7" s="32" t="s">
        <v>781</v>
      </c>
      <c r="Q7" s="32" t="s">
        <v>781</v>
      </c>
      <c r="R7" s="32" t="s">
        <v>781</v>
      </c>
      <c r="S7" s="32" t="s">
        <v>781</v>
      </c>
      <c r="T7" s="32" t="s">
        <v>783</v>
      </c>
      <c r="U7" s="32" t="s">
        <v>398</v>
      </c>
    </row>
    <row r="8" customFormat="false" ht="15" hidden="false" customHeight="false" outlineLevel="0" collapsed="false">
      <c r="A8" s="32" t="s">
        <v>774</v>
      </c>
      <c r="B8" s="32" t="n">
        <v>1</v>
      </c>
      <c r="C8" s="32" t="n">
        <v>1</v>
      </c>
      <c r="D8" s="32" t="n">
        <v>1</v>
      </c>
      <c r="E8" s="32" t="n">
        <v>0</v>
      </c>
      <c r="F8" s="32" t="n">
        <v>0</v>
      </c>
      <c r="G8" s="32" t="n">
        <v>0</v>
      </c>
      <c r="H8" s="32" t="n">
        <v>1</v>
      </c>
      <c r="I8" s="32" t="n">
        <v>0</v>
      </c>
      <c r="J8" s="32" t="n">
        <v>0</v>
      </c>
      <c r="K8" s="32" t="n">
        <v>1</v>
      </c>
      <c r="L8" s="32" t="n">
        <v>1</v>
      </c>
      <c r="M8" s="32" t="n">
        <v>1</v>
      </c>
      <c r="N8" s="32" t="n">
        <v>0</v>
      </c>
      <c r="O8" s="32" t="n">
        <v>1</v>
      </c>
      <c r="P8" s="32" t="n">
        <v>0</v>
      </c>
      <c r="Q8" s="32" t="n">
        <v>0</v>
      </c>
      <c r="R8" s="32" t="n">
        <v>0</v>
      </c>
      <c r="S8" s="32" t="n">
        <v>0</v>
      </c>
      <c r="T8" s="32" t="n">
        <v>1</v>
      </c>
      <c r="U8" s="32" t="n">
        <v>1</v>
      </c>
    </row>
    <row r="9" customFormat="false" ht="15" hidden="false" customHeight="false" outlineLevel="0" collapsed="false">
      <c r="A9" s="32" t="s">
        <v>687</v>
      </c>
      <c r="B9" s="32" t="n">
        <v>22.15</v>
      </c>
      <c r="C9" s="32" t="n">
        <v>21.84</v>
      </c>
      <c r="D9" s="32" t="n">
        <v>18.7</v>
      </c>
      <c r="E9" s="32" t="n">
        <v>18.7</v>
      </c>
      <c r="F9" s="32" t="n">
        <v>18.7</v>
      </c>
      <c r="G9" s="32" t="n">
        <v>18.7</v>
      </c>
      <c r="H9" s="32" t="n">
        <v>18.7</v>
      </c>
      <c r="I9" s="32" t="n">
        <v>18.7</v>
      </c>
      <c r="J9" s="32" t="n">
        <v>18.7</v>
      </c>
      <c r="K9" s="32" t="n">
        <v>21.84</v>
      </c>
      <c r="L9" s="32" t="n">
        <v>21.84</v>
      </c>
      <c r="M9" s="32" t="n">
        <v>18.7</v>
      </c>
      <c r="N9" s="32" t="n">
        <v>18.7</v>
      </c>
      <c r="O9" s="32" t="n">
        <v>18.7</v>
      </c>
      <c r="P9" s="32" t="n">
        <v>18.7</v>
      </c>
      <c r="Q9" s="32" t="n">
        <v>18.7</v>
      </c>
      <c r="R9" s="32" t="n">
        <v>18.7</v>
      </c>
      <c r="S9" s="32" t="n">
        <v>18.7</v>
      </c>
      <c r="T9" s="32" t="n">
        <v>21.84</v>
      </c>
      <c r="U9" s="32" t="n">
        <v>22.15</v>
      </c>
    </row>
    <row r="10" customFormat="false" ht="15" hidden="false" customHeight="false" outlineLevel="0" collapsed="false">
      <c r="A10" s="32" t="s">
        <v>784</v>
      </c>
      <c r="B10" s="32" t="n">
        <f aca="false">ROUND(15*((B9*10)/256),0)</f>
        <v>13</v>
      </c>
      <c r="C10" s="32" t="n">
        <f aca="false">ROUND(15*((C9*10)/256),0)</f>
        <v>13</v>
      </c>
      <c r="D10" s="32" t="n">
        <f aca="false">ROUND(15*((D9*10)/256),0)</f>
        <v>11</v>
      </c>
      <c r="E10" s="32" t="n">
        <f aca="false">ROUND(15*((E9*10)/256),0)</f>
        <v>11</v>
      </c>
      <c r="F10" s="32" t="n">
        <f aca="false">ROUND(15*((F9*10)/256),0)</f>
        <v>11</v>
      </c>
      <c r="G10" s="32" t="n">
        <f aca="false">ROUND(15*((G9*10)/256),0)</f>
        <v>11</v>
      </c>
      <c r="H10" s="32" t="n">
        <f aca="false">ROUND(15*((H9*10)/256),0)</f>
        <v>11</v>
      </c>
      <c r="I10" s="32" t="n">
        <f aca="false">ROUND(15*((I9*10)/256),0)</f>
        <v>11</v>
      </c>
      <c r="J10" s="32" t="n">
        <f aca="false">ROUND(15*((J9*10)/256),0)</f>
        <v>11</v>
      </c>
      <c r="K10" s="32" t="n">
        <f aca="false">ROUND(15*((K9*10)/256),0)</f>
        <v>13</v>
      </c>
      <c r="L10" s="32" t="n">
        <f aca="false">ROUND(15*((L9*10)/256),0)</f>
        <v>13</v>
      </c>
      <c r="M10" s="32" t="n">
        <f aca="false">ROUND(15*((M9*10)/256),0)</f>
        <v>11</v>
      </c>
      <c r="N10" s="32" t="n">
        <f aca="false">ROUND(15*((N9*10)/256),0)</f>
        <v>11</v>
      </c>
      <c r="O10" s="32" t="n">
        <f aca="false">ROUND(15*((O9*10)/256),0)</f>
        <v>11</v>
      </c>
      <c r="P10" s="32" t="n">
        <f aca="false">ROUND(15*((P9*10)/256),0)</f>
        <v>11</v>
      </c>
      <c r="Q10" s="32" t="n">
        <f aca="false">ROUND(15*((Q9*10)/256),0)</f>
        <v>11</v>
      </c>
      <c r="R10" s="32" t="n">
        <f aca="false">ROUND(15*((R9*10)/256),0)</f>
        <v>11</v>
      </c>
      <c r="S10" s="32" t="n">
        <f aca="false">ROUND(15*((S9*10)/256),0)</f>
        <v>11</v>
      </c>
      <c r="T10" s="32" t="n">
        <f aca="false">ROUND(15*((T9*10)/256),0)</f>
        <v>13</v>
      </c>
      <c r="U10" s="32" t="n">
        <f aca="false">ROUND(15*((U9*10)/256),0)</f>
        <v>13</v>
      </c>
    </row>
    <row r="11" customFormat="false" ht="15" hidden="false" customHeight="false" outlineLevel="0" collapsed="false">
      <c r="A11" s="32" t="s">
        <v>785</v>
      </c>
      <c r="B11" s="32" t="str">
        <f aca="false">VLOOKUP(B10,Constants!$A$1:$B$16,2,FALSE())</f>
        <v>4,5,4</v>
      </c>
      <c r="C11" s="32" t="str">
        <f aca="false">VLOOKUP(C10,Constants!$A$1:$B$16,2,FALSE())</f>
        <v>4,5,4</v>
      </c>
      <c r="D11" s="32" t="str">
        <f aca="false">VLOOKUP(D10,Constants!$A$1:$B$16,2,FALSE())</f>
        <v>4,3,4</v>
      </c>
      <c r="E11" s="32" t="str">
        <f aca="false">VLOOKUP(E10,Constants!$A$1:$B$16,2,FALSE())</f>
        <v>4,3,4</v>
      </c>
      <c r="F11" s="32" t="str">
        <f aca="false">VLOOKUP(F10,Constants!$A$1:$B$16,2,FALSE())</f>
        <v>4,3,4</v>
      </c>
      <c r="G11" s="32" t="str">
        <f aca="false">VLOOKUP(G10,Constants!$A$1:$B$16,2,FALSE())</f>
        <v>4,3,4</v>
      </c>
      <c r="H11" s="32" t="str">
        <f aca="false">VLOOKUP(H10,Constants!$A$1:$B$16,2,FALSE())</f>
        <v>4,3,4</v>
      </c>
      <c r="I11" s="32" t="str">
        <f aca="false">VLOOKUP(I10,Constants!$A$1:$B$16,2,FALSE())</f>
        <v>4,3,4</v>
      </c>
      <c r="J11" s="32" t="str">
        <f aca="false">VLOOKUP(J10,Constants!$A$1:$B$16,2,FALSE())</f>
        <v>4,3,4</v>
      </c>
      <c r="K11" s="32" t="str">
        <f aca="false">VLOOKUP(K10,Constants!$A$1:$B$16,2,FALSE())</f>
        <v>4,5,4</v>
      </c>
      <c r="L11" s="32" t="str">
        <f aca="false">VLOOKUP(L10,Constants!$A$1:$B$16,2,FALSE())</f>
        <v>4,5,4</v>
      </c>
      <c r="M11" s="32" t="str">
        <f aca="false">VLOOKUP(M10,Constants!$A$1:$B$16,2,FALSE())</f>
        <v>4,3,4</v>
      </c>
      <c r="N11" s="32" t="str">
        <f aca="false">VLOOKUP(N10,Constants!$A$1:$B$16,2,FALSE())</f>
        <v>4,3,4</v>
      </c>
      <c r="O11" s="32" t="str">
        <f aca="false">VLOOKUP(O10,Constants!$A$1:$B$16,2,FALSE())</f>
        <v>4,3,4</v>
      </c>
      <c r="P11" s="32" t="str">
        <f aca="false">VLOOKUP(P10,Constants!$A$1:$B$16,2,FALSE())</f>
        <v>4,3,4</v>
      </c>
      <c r="Q11" s="32" t="str">
        <f aca="false">VLOOKUP(Q10,Constants!$A$1:$B$16,2,FALSE())</f>
        <v>4,3,4</v>
      </c>
      <c r="R11" s="32" t="str">
        <f aca="false">VLOOKUP(R10,Constants!$A$1:$B$16,2,FALSE())</f>
        <v>4,3,4</v>
      </c>
      <c r="S11" s="32" t="str">
        <f aca="false">VLOOKUP(S10,Constants!$A$1:$B$16,2,FALSE())</f>
        <v>4,3,4</v>
      </c>
      <c r="T11" s="32" t="str">
        <f aca="false">VLOOKUP(T10,Constants!$A$1:$B$16,2,FALSE())</f>
        <v>4,5,4</v>
      </c>
      <c r="U11" s="32" t="str">
        <f aca="false">VLOOKUP(U10,Constants!$A$1:$B$16,2,FALSE())</f>
        <v>4,5,4</v>
      </c>
    </row>
    <row r="13" customFormat="false" ht="15" hidden="false" customHeight="false" outlineLevel="0" collapsed="false">
      <c r="B13" s="32"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2" t="str">
        <f aca="false">_xlfn.TEXTJOIN(",",TRUE(),  B8:Z8)</f>
        <v>1,1,1,0,0,0,1,0,0,1,1,1,0,1,0,0,0,0,1,1</v>
      </c>
    </row>
    <row r="15" customFormat="false" ht="15" hidden="false" customHeight="false" outlineLevel="0" collapsed="false">
      <c r="B15" s="32" t="str">
        <f aca="false">_xlfn.TEXTJOIN(",",TRUE(),  B9:Z9)</f>
        <v>22.15,21.84,18.7,18.7,18.7,18.7,18.7,18.7,18.7,21.84,21.84,18.7,18.7,18.7,18.7,18.7,18.7,18.7,21.84,22.15</v>
      </c>
    </row>
    <row r="16" customFormat="false" ht="15" hidden="false" customHeight="false" outlineLevel="0" collapsed="false">
      <c r="B16" s="32" t="str">
        <f aca="false">_xlfn.TEXTJOIN(",",TRUE(),  B10:Z10)</f>
        <v>13,13,11,11,11,11,11,11,11,13,13,11,11,11,11,11,11,11,13,13</v>
      </c>
    </row>
    <row r="17" customFormat="false" ht="15" hidden="false" customHeight="false" outlineLevel="0" collapsed="false">
      <c r="B17" s="32" t="str">
        <f aca="false">_xlfn.TEXTJOIN(",",TRUE(),  B11:Z11)</f>
        <v>4,5,4,4,5,4,4,3,4,4,3,4,4,3,4,4,3,4,4,3,4,4,3,4,4,3,4,4,5,4,4,5,4,4,3,4,4,3,4,4,3,4,4,3,4,4,3,4,4,3,4,4,3,4,4,5,4,4,5,4</v>
      </c>
    </row>
    <row r="19" customFormat="false" ht="15" hidden="false" customHeight="false" outlineLevel="0" collapsed="false">
      <c r="B19" s="32" t="s">
        <v>786</v>
      </c>
    </row>
    <row r="20" customFormat="false" ht="15" hidden="false" customHeight="false" outlineLevel="0" collapsed="false">
      <c r="A20" s="32" t="s">
        <v>769</v>
      </c>
      <c r="B20" s="32" t="s">
        <v>402</v>
      </c>
      <c r="C20" s="32" t="s">
        <v>776</v>
      </c>
      <c r="D20" s="32" t="s">
        <v>777</v>
      </c>
      <c r="E20" s="32" t="s">
        <v>777</v>
      </c>
      <c r="F20" s="32" t="s">
        <v>777</v>
      </c>
      <c r="G20" s="32" t="s">
        <v>778</v>
      </c>
      <c r="H20" s="32" t="s">
        <v>777</v>
      </c>
      <c r="I20" s="32" t="s">
        <v>779</v>
      </c>
      <c r="J20" s="32" t="s">
        <v>780</v>
      </c>
      <c r="K20" s="32" t="s">
        <v>781</v>
      </c>
      <c r="L20" s="32" t="s">
        <v>782</v>
      </c>
      <c r="M20" s="32" t="s">
        <v>781</v>
      </c>
      <c r="N20" s="32" t="s">
        <v>781</v>
      </c>
      <c r="O20" s="32" t="s">
        <v>781</v>
      </c>
      <c r="P20" s="32" t="s">
        <v>783</v>
      </c>
      <c r="Q20" s="32" t="s">
        <v>406</v>
      </c>
      <c r="R20" s="32"/>
      <c r="S20" s="32"/>
      <c r="T20" s="32"/>
      <c r="U20" s="32"/>
    </row>
    <row r="21" customFormat="false" ht="15" hidden="false" customHeight="false" outlineLevel="0" collapsed="false">
      <c r="A21" s="32" t="s">
        <v>774</v>
      </c>
      <c r="B21" s="32" t="n">
        <v>0</v>
      </c>
      <c r="C21" s="32" t="n">
        <v>0</v>
      </c>
      <c r="D21" s="32" t="n">
        <v>0</v>
      </c>
      <c r="E21" s="32" t="n">
        <v>0</v>
      </c>
      <c r="F21" s="32" t="n">
        <v>0</v>
      </c>
      <c r="G21" s="32" t="n">
        <v>0</v>
      </c>
      <c r="H21" s="32" t="n">
        <v>0</v>
      </c>
      <c r="I21" s="32" t="n">
        <v>0</v>
      </c>
      <c r="J21" s="32" t="n">
        <v>0</v>
      </c>
      <c r="K21" s="32" t="n">
        <v>0</v>
      </c>
      <c r="L21" s="32" t="n">
        <v>0</v>
      </c>
      <c r="M21" s="32" t="n">
        <v>0</v>
      </c>
      <c r="N21" s="32" t="n">
        <v>0</v>
      </c>
      <c r="O21" s="32" t="n">
        <v>0</v>
      </c>
      <c r="P21" s="32" t="n">
        <v>0</v>
      </c>
      <c r="Q21" s="32" t="n">
        <v>0</v>
      </c>
      <c r="R21" s="32"/>
      <c r="S21" s="32"/>
      <c r="T21" s="32"/>
      <c r="U21" s="32"/>
    </row>
    <row r="22" customFormat="false" ht="15" hidden="false" customHeight="false" outlineLevel="0" collapsed="false">
      <c r="A22" s="32" t="s">
        <v>687</v>
      </c>
      <c r="B22" s="32" t="n">
        <v>22.15</v>
      </c>
      <c r="C22" s="32" t="n">
        <v>21.84</v>
      </c>
      <c r="D22" s="32" t="n">
        <v>18.7</v>
      </c>
      <c r="E22" s="32" t="n">
        <v>18.7</v>
      </c>
      <c r="F22" s="32" t="n">
        <v>18.7</v>
      </c>
      <c r="G22" s="32" t="n">
        <v>18.7</v>
      </c>
      <c r="H22" s="32" t="n">
        <v>18.7</v>
      </c>
      <c r="I22" s="32" t="n">
        <v>21.84</v>
      </c>
      <c r="J22" s="32" t="n">
        <v>21.84</v>
      </c>
      <c r="K22" s="32" t="n">
        <v>18.7</v>
      </c>
      <c r="L22" s="32" t="n">
        <v>18.7</v>
      </c>
      <c r="M22" s="32" t="n">
        <v>18.7</v>
      </c>
      <c r="N22" s="32" t="n">
        <v>18.7</v>
      </c>
      <c r="O22" s="32" t="n">
        <v>18.7</v>
      </c>
      <c r="P22" s="32" t="n">
        <v>21.84</v>
      </c>
      <c r="Q22" s="32" t="n">
        <v>22.15</v>
      </c>
      <c r="R22" s="32"/>
      <c r="S22" s="32"/>
      <c r="T22" s="32"/>
      <c r="U22" s="32"/>
    </row>
    <row r="23" customFormat="false" ht="15" hidden="false" customHeight="false" outlineLevel="0" collapsed="false">
      <c r="A23" s="32" t="s">
        <v>784</v>
      </c>
      <c r="B23" s="32" t="n">
        <f aca="false">ROUND(15*((B22*10)/256),0)</f>
        <v>13</v>
      </c>
      <c r="C23" s="32" t="n">
        <f aca="false">ROUND(15*((C22*10)/256),0)</f>
        <v>13</v>
      </c>
      <c r="D23" s="32" t="n">
        <f aca="false">ROUND(15*((D22*10)/256),0)</f>
        <v>11</v>
      </c>
      <c r="E23" s="32" t="n">
        <f aca="false">ROUND(15*((E22*10)/256),0)</f>
        <v>11</v>
      </c>
      <c r="F23" s="32" t="n">
        <f aca="false">ROUND(15*((F22*10)/256),0)</f>
        <v>11</v>
      </c>
      <c r="G23" s="32" t="n">
        <f aca="false">ROUND(15*((G22*10)/256),0)</f>
        <v>11</v>
      </c>
      <c r="H23" s="32" t="n">
        <f aca="false">ROUND(15*((H22*10)/256),0)</f>
        <v>11</v>
      </c>
      <c r="I23" s="32" t="n">
        <f aca="false">ROUND(15*((I22*10)/256),0)</f>
        <v>13</v>
      </c>
      <c r="J23" s="32" t="n">
        <f aca="false">ROUND(15*((J22*10)/256),0)</f>
        <v>13</v>
      </c>
      <c r="K23" s="32" t="n">
        <f aca="false">ROUND(15*((K22*10)/256),0)</f>
        <v>11</v>
      </c>
      <c r="L23" s="32" t="n">
        <f aca="false">ROUND(15*((L22*10)/256),0)</f>
        <v>11</v>
      </c>
      <c r="M23" s="32" t="n">
        <f aca="false">ROUND(15*((M22*10)/256),0)</f>
        <v>11</v>
      </c>
      <c r="N23" s="32" t="n">
        <f aca="false">ROUND(15*((N22*10)/256),0)</f>
        <v>11</v>
      </c>
      <c r="O23" s="32" t="n">
        <f aca="false">ROUND(15*((O22*10)/256),0)</f>
        <v>11</v>
      </c>
      <c r="P23" s="32" t="n">
        <f aca="false">ROUND(15*((P22*10)/256),0)</f>
        <v>13</v>
      </c>
      <c r="Q23" s="32" t="n">
        <f aca="false">ROUND(15*((Q22*10)/256),0)</f>
        <v>13</v>
      </c>
      <c r="R23" s="32"/>
      <c r="S23" s="32"/>
      <c r="T23" s="32"/>
      <c r="U23" s="32"/>
    </row>
    <row r="24" customFormat="false" ht="15" hidden="false" customHeight="false" outlineLevel="0" collapsed="false">
      <c r="A24" s="32" t="s">
        <v>785</v>
      </c>
      <c r="B24" s="32" t="str">
        <f aca="false">VLOOKUP(B23,Constants!$A$1:$B$16,2,FALSE())</f>
        <v>4,5,4</v>
      </c>
      <c r="C24" s="32" t="str">
        <f aca="false">VLOOKUP(C23,Constants!$A$1:$B$16,2,FALSE())</f>
        <v>4,5,4</v>
      </c>
      <c r="D24" s="32" t="str">
        <f aca="false">VLOOKUP(D23,Constants!$A$1:$B$16,2,FALSE())</f>
        <v>4,3,4</v>
      </c>
      <c r="E24" s="32" t="str">
        <f aca="false">VLOOKUP(E23,Constants!$A$1:$B$16,2,FALSE())</f>
        <v>4,3,4</v>
      </c>
      <c r="F24" s="32" t="str">
        <f aca="false">VLOOKUP(F23,Constants!$A$1:$B$16,2,FALSE())</f>
        <v>4,3,4</v>
      </c>
      <c r="G24" s="32" t="str">
        <f aca="false">VLOOKUP(G23,Constants!$A$1:$B$16,2,FALSE())</f>
        <v>4,3,4</v>
      </c>
      <c r="H24" s="32" t="str">
        <f aca="false">VLOOKUP(H23,Constants!$A$1:$B$16,2,FALSE())</f>
        <v>4,3,4</v>
      </c>
      <c r="I24" s="32" t="str">
        <f aca="false">VLOOKUP(I23,Constants!$A$1:$B$16,2,FALSE())</f>
        <v>4,5,4</v>
      </c>
      <c r="J24" s="32" t="str">
        <f aca="false">VLOOKUP(J23,Constants!$A$1:$B$16,2,FALSE())</f>
        <v>4,5,4</v>
      </c>
      <c r="K24" s="32" t="str">
        <f aca="false">VLOOKUP(K23,Constants!$A$1:$B$16,2,FALSE())</f>
        <v>4,3,4</v>
      </c>
      <c r="L24" s="32" t="str">
        <f aca="false">VLOOKUP(L23,Constants!$A$1:$B$16,2,FALSE())</f>
        <v>4,3,4</v>
      </c>
      <c r="M24" s="32" t="str">
        <f aca="false">VLOOKUP(M23,Constants!$A$1:$B$16,2,FALSE())</f>
        <v>4,3,4</v>
      </c>
      <c r="N24" s="32" t="str">
        <f aca="false">VLOOKUP(N23,Constants!$A$1:$B$16,2,FALSE())</f>
        <v>4,3,4</v>
      </c>
      <c r="O24" s="32" t="str">
        <f aca="false">VLOOKUP(O23,Constants!$A$1:$B$16,2,FALSE())</f>
        <v>4,3,4</v>
      </c>
      <c r="P24" s="32" t="str">
        <f aca="false">VLOOKUP(P23,Constants!$A$1:$B$16,2,FALSE())</f>
        <v>4,5,4</v>
      </c>
      <c r="Q24" s="32" t="str">
        <f aca="false">VLOOKUP(Q23,Constants!$A$1:$B$16,2,FALSE())</f>
        <v>4,5,4</v>
      </c>
      <c r="R24" s="32"/>
      <c r="S24" s="32"/>
      <c r="T24" s="32"/>
      <c r="U24" s="32"/>
    </row>
    <row r="26" customFormat="false" ht="15" hidden="false" customHeight="false" outlineLevel="0" collapsed="false">
      <c r="B26" s="32"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2" t="str">
        <f aca="false">_xlfn.TEXTJOIN(",",TRUE(),  B21:Z21)</f>
        <v>0,0,0,0,0,0,0,0,0,0,0,0,0,0,0,0</v>
      </c>
    </row>
    <row r="28" customFormat="false" ht="15" hidden="false" customHeight="false" outlineLevel="0" collapsed="false">
      <c r="B28" s="32" t="str">
        <f aca="false">_xlfn.TEXTJOIN(",",TRUE(),  B22:Z22)</f>
        <v>22.15,21.84,18.7,18.7,18.7,18.7,18.7,21.84,21.84,18.7,18.7,18.7,18.7,18.7,21.84,22.15</v>
      </c>
    </row>
    <row r="29" customFormat="false" ht="15" hidden="false" customHeight="false" outlineLevel="0" collapsed="false">
      <c r="B29" s="32" t="str">
        <f aca="false">_xlfn.TEXTJOIN(",",TRUE(),  B23:Z23)</f>
        <v>13,13,11,11,11,11,11,13,13,11,11,11,11,11,13,13</v>
      </c>
    </row>
    <row r="30" customFormat="false" ht="15" hidden="false" customHeight="true" outlineLevel="0" collapsed="false">
      <c r="B30" s="32"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2" t="s">
        <v>787</v>
      </c>
    </row>
    <row r="33" customFormat="false" ht="15" hidden="false" customHeight="false" outlineLevel="0" collapsed="false">
      <c r="A33" s="32" t="s">
        <v>769</v>
      </c>
      <c r="B33" s="32" t="s">
        <v>114</v>
      </c>
      <c r="C33" s="32" t="s">
        <v>788</v>
      </c>
      <c r="D33" s="32" t="s">
        <v>146</v>
      </c>
      <c r="E33" s="32" t="s">
        <v>114</v>
      </c>
      <c r="F33" s="32" t="s">
        <v>788</v>
      </c>
    </row>
    <row r="34" customFormat="false" ht="15" hidden="false" customHeight="false" outlineLevel="0" collapsed="false">
      <c r="A34" s="32" t="s">
        <v>774</v>
      </c>
      <c r="B34" s="32" t="n">
        <v>1</v>
      </c>
      <c r="C34" s="32" t="n">
        <v>1</v>
      </c>
      <c r="D34" s="32" t="n">
        <v>1</v>
      </c>
      <c r="E34" s="32" t="n">
        <v>0</v>
      </c>
      <c r="F34" s="32" t="n">
        <v>0</v>
      </c>
    </row>
    <row r="35" customFormat="false" ht="15" hidden="false" customHeight="false" outlineLevel="0" collapsed="false">
      <c r="A35" s="32" t="s">
        <v>687</v>
      </c>
      <c r="B35" s="32" t="n">
        <v>17.5</v>
      </c>
      <c r="C35" s="32" t="n">
        <v>17.5</v>
      </c>
      <c r="D35" s="32" t="n">
        <v>12.8</v>
      </c>
      <c r="E35" s="32" t="n">
        <v>17.5</v>
      </c>
      <c r="F35" s="32" t="n">
        <v>17.5</v>
      </c>
    </row>
    <row r="36" customFormat="false" ht="15" hidden="false" customHeight="false" outlineLevel="0" collapsed="false">
      <c r="A36" s="32" t="s">
        <v>784</v>
      </c>
      <c r="B36" s="32" t="n">
        <f aca="false">ROUND(15*((B35*10)/256),0)</f>
        <v>10</v>
      </c>
      <c r="C36" s="32" t="n">
        <f aca="false">ROUND(15*((C35*10)/256),0)</f>
        <v>10</v>
      </c>
      <c r="D36" s="32" t="n">
        <f aca="false">ROUND(15*((D35*10)/256),0)</f>
        <v>8</v>
      </c>
      <c r="E36" s="32" t="n">
        <f aca="false">ROUND(15*((E35*10)/256),0)</f>
        <v>10</v>
      </c>
      <c r="F36" s="32" t="n">
        <f aca="false">ROUND(15*((F35*10)/256),0)</f>
        <v>10</v>
      </c>
    </row>
    <row r="37" customFormat="false" ht="15" hidden="false" customHeight="false" outlineLevel="0" collapsed="false">
      <c r="A37" s="32" t="s">
        <v>785</v>
      </c>
      <c r="B37" s="32" t="str">
        <f aca="false">VLOOKUP(B36,Constants!$A$1:$B$16,2,FALSE())</f>
        <v>4,2,4</v>
      </c>
      <c r="C37" s="32" t="str">
        <f aca="false">VLOOKUP(C36,Constants!$A$1:$B$16,2,FALSE())</f>
        <v>4,2,4</v>
      </c>
      <c r="D37" s="32" t="str">
        <f aca="false">VLOOKUP(D36,Constants!$A$1:$B$16,2,FALSE())</f>
        <v>2,4,2</v>
      </c>
      <c r="E37" s="32" t="str">
        <f aca="false">VLOOKUP(E36,Constants!$A$1:$B$16,2,FALSE())</f>
        <v>4,2,4</v>
      </c>
      <c r="F37" s="32" t="str">
        <f aca="false">VLOOKUP(F36,Constants!$A$1:$B$16,2,FALSE())</f>
        <v>4,2,4</v>
      </c>
    </row>
    <row r="38" customFormat="false" ht="15" hidden="false" customHeight="false" outlineLevel="0" collapsed="false">
      <c r="A38" s="32" t="s">
        <v>789</v>
      </c>
      <c r="B38" s="32" t="n">
        <v>0</v>
      </c>
      <c r="C38" s="32" t="n">
        <v>0</v>
      </c>
      <c r="D38" s="32" t="n">
        <v>0</v>
      </c>
      <c r="E38" s="32" t="n">
        <v>0</v>
      </c>
      <c r="F38" s="32" t="n">
        <v>0</v>
      </c>
    </row>
    <row r="39" customFormat="false" ht="15" hidden="false" customHeight="true" outlineLevel="0" collapsed="false">
      <c r="B39" s="32" t="str">
        <f aca="false">_xlfn.TEXTJOIN(",",TRUE(),  B33:P33)</f>
        <v>lbscr_emu_dt,lbscr_emu_dt_rev,lbscr_emu_mlv,lbscr_emu_dt,lbscr_emu_dt_rev</v>
      </c>
    </row>
    <row r="40" customFormat="false" ht="15" hidden="false" customHeight="false" outlineLevel="0" collapsed="false">
      <c r="B40" s="32" t="str">
        <f aca="false">_xlfn.TEXTJOIN(",",TRUE(),  B34:P34)</f>
        <v>1,1,1,0,0</v>
      </c>
    </row>
    <row r="41" customFormat="false" ht="15" hidden="false" customHeight="false" outlineLevel="0" collapsed="false">
      <c r="B41" s="32" t="str">
        <f aca="false">_xlfn.TEXTJOIN(",",TRUE(),  B37:P37)</f>
        <v>4,2,4,4,2,4,2,4,2,4,2,4,4,2,4</v>
      </c>
    </row>
    <row r="42" customFormat="false" ht="15" hidden="false" customHeight="false" outlineLevel="0" collapsed="false">
      <c r="B42" s="32" t="str">
        <f aca="false">_xlfn.TEXTJOIN(",",TRUE(),  B36:U36)</f>
        <v>10,10,8,10,10</v>
      </c>
    </row>
    <row r="43" customFormat="false" ht="15" hidden="false" customHeight="false" outlineLevel="0" collapsed="false">
      <c r="B43" s="32" t="n">
        <f aca="false">SUM(B38:Y38)</f>
        <v>0</v>
      </c>
    </row>
    <row r="45" customFormat="false" ht="15" hidden="false" customHeight="false" outlineLevel="0" collapsed="false">
      <c r="B45" s="32" t="s">
        <v>790</v>
      </c>
    </row>
    <row r="46" customFormat="false" ht="15" hidden="false" customHeight="false" outlineLevel="0" collapsed="false">
      <c r="A46" s="32" t="s">
        <v>769</v>
      </c>
      <c r="B46" s="32" t="s">
        <v>639</v>
      </c>
      <c r="C46" s="32" t="s">
        <v>791</v>
      </c>
      <c r="D46" s="32" t="s">
        <v>792</v>
      </c>
      <c r="E46" s="32" t="s">
        <v>793</v>
      </c>
      <c r="F46" s="32" t="s">
        <v>793</v>
      </c>
      <c r="G46" s="32" t="s">
        <v>793</v>
      </c>
      <c r="H46" s="32" t="s">
        <v>793</v>
      </c>
      <c r="I46" s="32" t="s">
        <v>794</v>
      </c>
    </row>
    <row r="47" customFormat="false" ht="15" hidden="false" customHeight="false" outlineLevel="0" collapsed="false">
      <c r="A47" s="32" t="s">
        <v>774</v>
      </c>
      <c r="B47" s="32" t="n">
        <v>1</v>
      </c>
      <c r="C47" s="32" t="n">
        <v>1</v>
      </c>
      <c r="D47" s="32" t="n">
        <v>1</v>
      </c>
      <c r="E47" s="32" t="n">
        <v>1</v>
      </c>
      <c r="F47" s="32" t="n">
        <v>0</v>
      </c>
      <c r="G47" s="32" t="n">
        <v>0</v>
      </c>
      <c r="H47" s="32" t="n">
        <v>0</v>
      </c>
      <c r="I47" s="32" t="n">
        <v>1</v>
      </c>
    </row>
    <row r="48" customFormat="false" ht="15" hidden="false" customHeight="false" outlineLevel="0" collapsed="false">
      <c r="A48" s="32" t="s">
        <v>687</v>
      </c>
      <c r="B48" s="32" t="n">
        <v>23</v>
      </c>
      <c r="C48" s="32" t="n">
        <v>23</v>
      </c>
      <c r="D48" s="32" t="n">
        <v>23</v>
      </c>
      <c r="E48" s="32" t="n">
        <v>23</v>
      </c>
      <c r="F48" s="32" t="n">
        <v>23</v>
      </c>
      <c r="G48" s="32" t="n">
        <v>23</v>
      </c>
      <c r="H48" s="32" t="n">
        <v>23</v>
      </c>
      <c r="I48" s="32" t="n">
        <v>23</v>
      </c>
    </row>
    <row r="49" customFormat="false" ht="15" hidden="false" customHeight="false" outlineLevel="0" collapsed="false">
      <c r="A49" s="32" t="s">
        <v>784</v>
      </c>
      <c r="B49" s="32" t="n">
        <f aca="false">ROUND(15*((B48*10)/256),0)</f>
        <v>13</v>
      </c>
      <c r="C49" s="32" t="n">
        <f aca="false">ROUND(15*((C48*10)/256),0)</f>
        <v>13</v>
      </c>
      <c r="D49" s="32" t="n">
        <f aca="false">ROUND(15*((D48*10)/256),0)</f>
        <v>13</v>
      </c>
      <c r="E49" s="32" t="n">
        <f aca="false">ROUND(15*((E48*10)/256),0)</f>
        <v>13</v>
      </c>
      <c r="F49" s="32" t="n">
        <f aca="false">ROUND(15*((F48*10)/256),0)</f>
        <v>13</v>
      </c>
      <c r="G49" s="32" t="n">
        <f aca="false">ROUND(15*((G48*10)/256),0)</f>
        <v>13</v>
      </c>
      <c r="H49" s="32" t="n">
        <f aca="false">ROUND(15*((H48*10)/256),0)</f>
        <v>13</v>
      </c>
      <c r="I49" s="32" t="n">
        <f aca="false">ROUND(15*((I48*10)/256),0)</f>
        <v>13</v>
      </c>
    </row>
    <row r="50" customFormat="false" ht="15" hidden="false" customHeight="false" outlineLevel="0" collapsed="false">
      <c r="A50" s="32" t="s">
        <v>785</v>
      </c>
      <c r="B50" s="32" t="str">
        <f aca="false">VLOOKUP(B49,Constants!$A$1:$B$16,2,FALSE())</f>
        <v>4,5,4</v>
      </c>
      <c r="C50" s="32" t="str">
        <f aca="false">VLOOKUP(C49,Constants!$A$1:$B$16,2,FALSE())</f>
        <v>4,5,4</v>
      </c>
      <c r="D50" s="32" t="str">
        <f aca="false">VLOOKUP(D49,Constants!$A$1:$B$16,2,FALSE())</f>
        <v>4,5,4</v>
      </c>
      <c r="E50" s="32" t="str">
        <f aca="false">VLOOKUP(E49,Constants!$A$1:$B$16,2,FALSE())</f>
        <v>4,5,4</v>
      </c>
      <c r="F50" s="32" t="str">
        <f aca="false">VLOOKUP(F49,Constants!$A$1:$B$16,2,FALSE())</f>
        <v>4,5,4</v>
      </c>
      <c r="G50" s="32" t="str">
        <f aca="false">VLOOKUP(G49,Constants!$A$1:$B$16,2,FALSE())</f>
        <v>4,5,4</v>
      </c>
      <c r="H50" s="32" t="str">
        <f aca="false">VLOOKUP(H49,Constants!$A$1:$B$16,2,FALSE())</f>
        <v>4,5,4</v>
      </c>
      <c r="I50" s="32" t="str">
        <f aca="false">VLOOKUP(I49,Constants!$A$1:$B$16,2,FALSE())</f>
        <v>4,5,4</v>
      </c>
    </row>
    <row r="51" customFormat="false" ht="15" hidden="false" customHeight="true" outlineLevel="0" collapsed="false">
      <c r="A51" s="32" t="s">
        <v>789</v>
      </c>
      <c r="B51" s="32" t="n">
        <v>50.2</v>
      </c>
      <c r="C51" s="32" t="n">
        <v>50.2</v>
      </c>
      <c r="D51" s="32" t="n">
        <v>52.9</v>
      </c>
      <c r="E51" s="32" t="n">
        <v>53.3</v>
      </c>
      <c r="F51" s="32" t="n">
        <v>53.3</v>
      </c>
      <c r="G51" s="32" t="n">
        <v>53.3</v>
      </c>
      <c r="H51" s="32" t="n">
        <v>53.3</v>
      </c>
      <c r="I51" s="32" t="n">
        <v>53.3</v>
      </c>
    </row>
    <row r="52" customFormat="false" ht="15" hidden="false" customHeight="false" outlineLevel="0" collapsed="false">
      <c r="B52" s="32"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2" t="str">
        <f aca="false">_xlfn.TEXTJOIN(",",TRUE(),  B47:P47)</f>
        <v>1,1,1,1,0,0,0,1</v>
      </c>
    </row>
    <row r="54" customFormat="false" ht="15" hidden="false" customHeight="false" outlineLevel="0" collapsed="false">
      <c r="B54" s="32" t="str">
        <f aca="false">_xlfn.TEXTJOIN(",",TRUE(),  B50:P50)</f>
        <v>4,5,4,4,5,4,4,5,4,4,5,4,4,5,4,4,5,4,4,5,4,4,5,4</v>
      </c>
    </row>
    <row r="55" customFormat="false" ht="15" hidden="false" customHeight="false" outlineLevel="0" collapsed="false">
      <c r="B55" s="32" t="str">
        <f aca="false">_xlfn.TEXTJOIN(",",TRUE(),  B49:U49)</f>
        <v>13,13,13,13,13,13,13,13</v>
      </c>
    </row>
    <row r="56" customFormat="false" ht="15" hidden="false" customHeight="true" outlineLevel="0" collapsed="false">
      <c r="B56" s="32" t="n">
        <f aca="false">SUM(B51:Y51)</f>
        <v>419.8</v>
      </c>
    </row>
    <row r="57" customFormat="false" ht="15" hidden="false" customHeight="true" outlineLevel="0" collapsed="false">
      <c r="B57" s="32" t="s">
        <v>795</v>
      </c>
    </row>
    <row r="58" customFormat="false" ht="15" hidden="false" customHeight="true" outlineLevel="0" collapsed="false">
      <c r="A58" s="32" t="s">
        <v>769</v>
      </c>
      <c r="B58" s="32" t="s">
        <v>639</v>
      </c>
      <c r="C58" s="32" t="s">
        <v>791</v>
      </c>
      <c r="D58" s="32" t="s">
        <v>791</v>
      </c>
      <c r="E58" s="32" t="s">
        <v>792</v>
      </c>
      <c r="F58" s="32" t="s">
        <v>793</v>
      </c>
      <c r="G58" s="32" t="s">
        <v>793</v>
      </c>
      <c r="H58" s="32" t="s">
        <v>794</v>
      </c>
    </row>
    <row r="59" customFormat="false" ht="15" hidden="false" customHeight="true" outlineLevel="0" collapsed="false">
      <c r="A59" s="32" t="s">
        <v>774</v>
      </c>
      <c r="B59" s="32" t="n">
        <v>0</v>
      </c>
      <c r="C59" s="32" t="n">
        <v>0</v>
      </c>
      <c r="D59" s="32" t="n">
        <v>0</v>
      </c>
      <c r="E59" s="32" t="n">
        <v>0</v>
      </c>
      <c r="F59" s="32" t="n">
        <v>0</v>
      </c>
      <c r="G59" s="32" t="n">
        <v>0</v>
      </c>
      <c r="H59" s="32" t="n">
        <v>0</v>
      </c>
    </row>
    <row r="60" customFormat="false" ht="15" hidden="false" customHeight="true" outlineLevel="0" collapsed="false">
      <c r="A60" s="32" t="s">
        <v>687</v>
      </c>
      <c r="B60" s="32" t="n">
        <v>23</v>
      </c>
      <c r="C60" s="32" t="n">
        <v>23</v>
      </c>
      <c r="D60" s="32" t="n">
        <v>23</v>
      </c>
      <c r="E60" s="32" t="n">
        <v>23</v>
      </c>
      <c r="F60" s="32" t="n">
        <v>23</v>
      </c>
      <c r="G60" s="32" t="n">
        <v>23</v>
      </c>
      <c r="H60" s="32" t="n">
        <v>23</v>
      </c>
    </row>
    <row r="61" customFormat="false" ht="15" hidden="false" customHeight="true" outlineLevel="0" collapsed="false">
      <c r="A61" s="32" t="s">
        <v>784</v>
      </c>
      <c r="B61" s="32" t="n">
        <f aca="false">ROUND(15*((B60*10)/256),0)</f>
        <v>13</v>
      </c>
      <c r="C61" s="32" t="n">
        <f aca="false">ROUND(15*((C60*10)/256),0)</f>
        <v>13</v>
      </c>
      <c r="D61" s="32" t="n">
        <f aca="false">ROUND(15*((D60*10)/256),0)</f>
        <v>13</v>
      </c>
      <c r="E61" s="32" t="n">
        <f aca="false">ROUND(15*((E60*10)/256),0)</f>
        <v>13</v>
      </c>
      <c r="F61" s="32" t="n">
        <f aca="false">ROUND(15*((F60*10)/256),0)</f>
        <v>13</v>
      </c>
      <c r="G61" s="32" t="n">
        <f aca="false">ROUND(15*((G60*10)/256),0)</f>
        <v>13</v>
      </c>
      <c r="H61" s="32" t="n">
        <f aca="false">ROUND(15*((H60*10)/256),0)</f>
        <v>13</v>
      </c>
    </row>
    <row r="62" customFormat="false" ht="15" hidden="false" customHeight="true" outlineLevel="0" collapsed="false">
      <c r="A62" s="32" t="s">
        <v>785</v>
      </c>
      <c r="B62" s="32" t="str">
        <f aca="false">VLOOKUP(B61,Constants!$A$1:$B$16,2,FALSE())</f>
        <v>4,5,4</v>
      </c>
      <c r="C62" s="32" t="str">
        <f aca="false">VLOOKUP(C61,Constants!$A$1:$B$16,2,FALSE())</f>
        <v>4,5,4</v>
      </c>
      <c r="D62" s="32" t="str">
        <f aca="false">VLOOKUP(D61,Constants!$A$1:$B$16,2,FALSE())</f>
        <v>4,5,4</v>
      </c>
      <c r="E62" s="32" t="str">
        <f aca="false">VLOOKUP(E61,Constants!$A$1:$B$16,2,FALSE())</f>
        <v>4,5,4</v>
      </c>
      <c r="F62" s="32" t="str">
        <f aca="false">VLOOKUP(F61,Constants!$A$1:$B$16,2,FALSE())</f>
        <v>4,5,4</v>
      </c>
      <c r="G62" s="32" t="str">
        <f aca="false">VLOOKUP(G61,Constants!$A$1:$B$16,2,FALSE())</f>
        <v>4,5,4</v>
      </c>
      <c r="H62" s="32" t="str">
        <f aca="false">VLOOKUP(H61,Constants!$A$1:$B$16,2,FALSE())</f>
        <v>4,5,4</v>
      </c>
    </row>
    <row r="63" customFormat="false" ht="15" hidden="false" customHeight="true" outlineLevel="0" collapsed="false">
      <c r="A63" s="32" t="s">
        <v>789</v>
      </c>
      <c r="B63" s="32" t="n">
        <v>50.2</v>
      </c>
      <c r="C63" s="32" t="n">
        <v>50.2</v>
      </c>
      <c r="D63" s="32" t="n">
        <v>50.2</v>
      </c>
      <c r="E63" s="32" t="n">
        <v>52.9</v>
      </c>
      <c r="F63" s="32" t="n">
        <v>53.3</v>
      </c>
      <c r="G63" s="32" t="n">
        <v>53.3</v>
      </c>
      <c r="H63" s="32" t="n">
        <v>53.3</v>
      </c>
    </row>
    <row r="64" customFormat="false" ht="15" hidden="false" customHeight="true" outlineLevel="0" collapsed="false">
      <c r="B64" s="32"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2" t="str">
        <f aca="false">_xlfn.TEXTJOIN(",",TRUE(),  B59:P59)</f>
        <v>0,0,0,0,0,0,0</v>
      </c>
    </row>
    <row r="66" customFormat="false" ht="15" hidden="false" customHeight="true" outlineLevel="0" collapsed="false">
      <c r="B66" s="32" t="str">
        <f aca="false">_xlfn.TEXTJOIN(",",TRUE(),  B62:P62)</f>
        <v>4,5,4,4,5,4,4,5,4,4,5,4,4,5,4,4,5,4,4,5,4</v>
      </c>
    </row>
    <row r="67" customFormat="false" ht="15" hidden="false" customHeight="true" outlineLevel="0" collapsed="false">
      <c r="B67" s="32" t="str">
        <f aca="false">_xlfn.TEXTJOIN(",",TRUE(),  B61:U61)</f>
        <v>13,13,13,13,13,13,13</v>
      </c>
    </row>
    <row r="68" customFormat="false" ht="15" hidden="false" customHeight="true" outlineLevel="0" collapsed="false">
      <c r="B68" s="32" t="n">
        <f aca="false">SUM(B63:Y63)</f>
        <v>363.4</v>
      </c>
    </row>
    <row r="73" customFormat="false" ht="15" hidden="false" customHeight="true" outlineLevel="0" collapsed="false">
      <c r="B73" s="32" t="s">
        <v>796</v>
      </c>
    </row>
    <row r="74" customFormat="false" ht="15" hidden="false" customHeight="true" outlineLevel="0" collapsed="false">
      <c r="A74" s="32" t="s">
        <v>769</v>
      </c>
      <c r="B74" s="32" t="s">
        <v>487</v>
      </c>
      <c r="C74" s="32" t="s">
        <v>797</v>
      </c>
      <c r="D74" s="32" t="s">
        <v>798</v>
      </c>
      <c r="E74" s="32" t="s">
        <v>799</v>
      </c>
      <c r="F74" s="32" t="s">
        <v>799</v>
      </c>
      <c r="G74" s="32" t="s">
        <v>798</v>
      </c>
      <c r="H74" s="32" t="s">
        <v>799</v>
      </c>
      <c r="I74" s="32" t="s">
        <v>800</v>
      </c>
      <c r="J74" s="32" t="s">
        <v>800</v>
      </c>
      <c r="K74" s="32" t="s">
        <v>801</v>
      </c>
      <c r="L74" s="32" t="s">
        <v>802</v>
      </c>
      <c r="M74" s="32" t="s">
        <v>801</v>
      </c>
      <c r="N74" s="32" t="s">
        <v>801</v>
      </c>
      <c r="O74" s="32" t="s">
        <v>802</v>
      </c>
      <c r="P74" s="32" t="s">
        <v>803</v>
      </c>
      <c r="Q74" s="32" t="s">
        <v>804</v>
      </c>
      <c r="R74" s="32"/>
      <c r="S74" s="32"/>
      <c r="T74" s="32"/>
      <c r="U74" s="32"/>
    </row>
    <row r="75" customFormat="false" ht="15" hidden="false" customHeight="true" outlineLevel="0" collapsed="false">
      <c r="A75" s="32" t="s">
        <v>774</v>
      </c>
      <c r="B75" s="32" t="n">
        <v>1</v>
      </c>
      <c r="C75" s="32" t="n">
        <v>1</v>
      </c>
      <c r="D75" s="32" t="n">
        <v>1</v>
      </c>
      <c r="E75" s="32" t="n">
        <v>1</v>
      </c>
      <c r="F75" s="32" t="n">
        <v>0</v>
      </c>
      <c r="G75" s="32" t="n">
        <v>0</v>
      </c>
      <c r="H75" s="32" t="n">
        <v>0</v>
      </c>
      <c r="I75" s="32" t="n">
        <v>1</v>
      </c>
      <c r="J75" s="32" t="n">
        <v>0</v>
      </c>
      <c r="K75" s="32" t="n">
        <v>1</v>
      </c>
      <c r="L75" s="32" t="n">
        <v>1</v>
      </c>
      <c r="M75" s="32" t="n">
        <v>0</v>
      </c>
      <c r="N75" s="32" t="n">
        <v>0</v>
      </c>
      <c r="O75" s="32" t="n">
        <v>0</v>
      </c>
      <c r="P75" s="32" t="n">
        <v>1</v>
      </c>
      <c r="Q75" s="32" t="n">
        <v>1</v>
      </c>
      <c r="R75" s="32"/>
      <c r="S75" s="32"/>
      <c r="T75" s="32"/>
      <c r="U75" s="32"/>
    </row>
    <row r="76" customFormat="false" ht="15" hidden="false" customHeight="true" outlineLevel="0" collapsed="false">
      <c r="A76" s="32" t="s">
        <v>687</v>
      </c>
      <c r="B76" s="32" t="n">
        <v>25.7</v>
      </c>
      <c r="C76" s="32" t="n">
        <v>24.2</v>
      </c>
      <c r="D76" s="32" t="n">
        <v>24.2</v>
      </c>
      <c r="E76" s="32" t="n">
        <v>24.2</v>
      </c>
      <c r="F76" s="32" t="n">
        <v>24.2</v>
      </c>
      <c r="G76" s="32" t="n">
        <v>24.2</v>
      </c>
      <c r="H76" s="32" t="n">
        <v>24.2</v>
      </c>
      <c r="I76" s="32" t="n">
        <v>24.2</v>
      </c>
      <c r="J76" s="32" t="n">
        <v>24.2</v>
      </c>
      <c r="K76" s="32" t="n">
        <v>24.2</v>
      </c>
      <c r="L76" s="32" t="n">
        <v>24.2</v>
      </c>
      <c r="M76" s="32" t="n">
        <v>24.2</v>
      </c>
      <c r="N76" s="32" t="n">
        <v>24.2</v>
      </c>
      <c r="O76" s="32" t="n">
        <v>24.2</v>
      </c>
      <c r="P76" s="32" t="n">
        <v>24.2</v>
      </c>
      <c r="Q76" s="32" t="n">
        <v>25.7</v>
      </c>
      <c r="R76" s="32"/>
      <c r="S76" s="32"/>
      <c r="T76" s="32"/>
      <c r="U76" s="32"/>
    </row>
    <row r="77" customFormat="false" ht="15" hidden="false" customHeight="true" outlineLevel="0" collapsed="false">
      <c r="A77" s="32" t="s">
        <v>784</v>
      </c>
      <c r="B77" s="32" t="n">
        <f aca="false">ROUND(15*((B76*10)/256),0)</f>
        <v>15</v>
      </c>
      <c r="C77" s="32" t="n">
        <f aca="false">ROUND(15*((C76*10)/256),0)</f>
        <v>14</v>
      </c>
      <c r="D77" s="32" t="n">
        <f aca="false">ROUND(15*((D76*10)/256),0)</f>
        <v>14</v>
      </c>
      <c r="E77" s="32" t="n">
        <f aca="false">ROUND(15*((E76*10)/256),0)</f>
        <v>14</v>
      </c>
      <c r="F77" s="32" t="n">
        <f aca="false">ROUND(15*((F76*10)/256),0)</f>
        <v>14</v>
      </c>
      <c r="G77" s="32" t="n">
        <f aca="false">ROUND(15*((G76*10)/256),0)</f>
        <v>14</v>
      </c>
      <c r="H77" s="32" t="n">
        <f aca="false">ROUND(15*((H76*10)/256),0)</f>
        <v>14</v>
      </c>
      <c r="I77" s="32" t="n">
        <f aca="false">ROUND(15*((I76*10)/256),0)</f>
        <v>14</v>
      </c>
      <c r="J77" s="32" t="n">
        <f aca="false">ROUND(15*((J76*10)/256),0)</f>
        <v>14</v>
      </c>
      <c r="K77" s="32" t="n">
        <f aca="false">ROUND(15*((K76*10)/256),0)</f>
        <v>14</v>
      </c>
      <c r="L77" s="32" t="n">
        <f aca="false">ROUND(15*((L76*10)/256),0)</f>
        <v>14</v>
      </c>
      <c r="M77" s="32" t="n">
        <f aca="false">ROUND(15*((M76*10)/256),0)</f>
        <v>14</v>
      </c>
      <c r="N77" s="32" t="n">
        <f aca="false">ROUND(15*((N76*10)/256),0)</f>
        <v>14</v>
      </c>
      <c r="O77" s="32" t="n">
        <f aca="false">ROUND(15*((O76*10)/256),0)</f>
        <v>14</v>
      </c>
      <c r="P77" s="32" t="n">
        <f aca="false">ROUND(15*((P76*10)/256),0)</f>
        <v>14</v>
      </c>
      <c r="Q77" s="32" t="n">
        <f aca="false">ROUND(15*((Q76*10)/256),0)</f>
        <v>15</v>
      </c>
      <c r="R77" s="32"/>
      <c r="S77" s="32"/>
      <c r="T77" s="32"/>
      <c r="U77" s="32"/>
    </row>
    <row r="78" customFormat="false" ht="15" hidden="false" customHeight="true" outlineLevel="0" collapsed="false">
      <c r="A78" s="32" t="s">
        <v>785</v>
      </c>
      <c r="B78" s="32" t="str">
        <f aca="false">VLOOKUP(B77,Constants!$A$1:$B$16,2,FALSE())</f>
        <v>4,7,4</v>
      </c>
      <c r="C78" s="32" t="str">
        <f aca="false">VLOOKUP(C77,Constants!$A$1:$B$16,2,FALSE())</f>
        <v>4,6,4</v>
      </c>
      <c r="D78" s="32" t="str">
        <f aca="false">VLOOKUP(D77,Constants!$A$1:$B$16,2,FALSE())</f>
        <v>4,6,4</v>
      </c>
      <c r="E78" s="32" t="str">
        <f aca="false">VLOOKUP(E77,Constants!$A$1:$B$16,2,FALSE())</f>
        <v>4,6,4</v>
      </c>
      <c r="F78" s="32" t="str">
        <f aca="false">VLOOKUP(F77,Constants!$A$1:$B$16,2,FALSE())</f>
        <v>4,6,4</v>
      </c>
      <c r="G78" s="32" t="str">
        <f aca="false">VLOOKUP(G77,Constants!$A$1:$B$16,2,FALSE())</f>
        <v>4,6,4</v>
      </c>
      <c r="H78" s="32" t="str">
        <f aca="false">VLOOKUP(H77,Constants!$A$1:$B$16,2,FALSE())</f>
        <v>4,6,4</v>
      </c>
      <c r="I78" s="32" t="str">
        <f aca="false">VLOOKUP(I77,Constants!$A$1:$B$16,2,FALSE())</f>
        <v>4,6,4</v>
      </c>
      <c r="J78" s="32" t="str">
        <f aca="false">VLOOKUP(J77,Constants!$A$1:$B$16,2,FALSE())</f>
        <v>4,6,4</v>
      </c>
      <c r="K78" s="32" t="str">
        <f aca="false">VLOOKUP(K77,Constants!$A$1:$B$16,2,FALSE())</f>
        <v>4,6,4</v>
      </c>
      <c r="L78" s="32" t="str">
        <f aca="false">VLOOKUP(L77,Constants!$A$1:$B$16,2,FALSE())</f>
        <v>4,6,4</v>
      </c>
      <c r="M78" s="32" t="str">
        <f aca="false">VLOOKUP(M77,Constants!$A$1:$B$16,2,FALSE())</f>
        <v>4,6,4</v>
      </c>
      <c r="N78" s="32" t="str">
        <f aca="false">VLOOKUP(N77,Constants!$A$1:$B$16,2,FALSE())</f>
        <v>4,6,4</v>
      </c>
      <c r="O78" s="32" t="str">
        <f aca="false">VLOOKUP(O77,Constants!$A$1:$B$16,2,FALSE())</f>
        <v>4,6,4</v>
      </c>
      <c r="P78" s="32" t="str">
        <f aca="false">VLOOKUP(P77,Constants!$A$1:$B$16,2,FALSE())</f>
        <v>4,6,4</v>
      </c>
      <c r="Q78" s="32" t="str">
        <f aca="false">VLOOKUP(Q77,Constants!$A$1:$B$16,2,FALSE())</f>
        <v>4,7,4</v>
      </c>
      <c r="R78" s="32"/>
      <c r="S78" s="32"/>
      <c r="T78" s="32"/>
      <c r="U78" s="32"/>
    </row>
    <row r="80" customFormat="false" ht="15" hidden="false" customHeight="true" outlineLevel="0" collapsed="false">
      <c r="B80" s="32"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2" t="str">
        <f aca="false">_xlfn.TEXTJOIN(",",TRUE(),  B75:Z75)</f>
        <v>1,1,1,1,0,0,0,1,0,1,1,0,0,0,1,1</v>
      </c>
    </row>
    <row r="82" customFormat="false" ht="15" hidden="false" customHeight="true" outlineLevel="0" collapsed="false">
      <c r="B82" s="32" t="str">
        <f aca="false">_xlfn.TEXTJOIN(",",TRUE(),  B76:Z76)</f>
        <v>25.7,24.2,24.2,24.2,24.2,24.2,24.2,24.2,24.2,24.2,24.2,24.2,24.2,24.2,24.2,25.7</v>
      </c>
    </row>
    <row r="83" customFormat="false" ht="15" hidden="false" customHeight="true" outlineLevel="0" collapsed="false">
      <c r="B83" s="32" t="str">
        <f aca="false">_xlfn.TEXTJOIN(",",TRUE(),  B77:Z77)</f>
        <v>15,14,14,14,14,14,14,14,14,14,14,14,14,14,14,15</v>
      </c>
    </row>
    <row r="84" customFormat="false" ht="15" hidden="false" customHeight="true" outlineLevel="0" collapsed="false">
      <c r="B84" s="32" t="str">
        <f aca="false">_xlfn.TEXTJOIN(",",TRUE(),  B78:Z78)</f>
        <v>4,7,4,4,6,4,4,6,4,4,6,4,4,6,4,4,6,4,4,6,4,4,6,4,4,6,4,4,6,4,4,6,4,4,6,4,4,6,4,4,6,4,4,6,4,4,7,4</v>
      </c>
    </row>
    <row r="86" customFormat="false" ht="15" hidden="false" customHeight="true" outlineLevel="0" collapsed="false">
      <c r="B86" s="32" t="s">
        <v>805</v>
      </c>
    </row>
    <row r="87" customFormat="false" ht="15" hidden="false" customHeight="true" outlineLevel="0" collapsed="false">
      <c r="A87" s="32" t="s">
        <v>769</v>
      </c>
      <c r="B87" s="32" t="s">
        <v>487</v>
      </c>
      <c r="C87" s="32" t="s">
        <v>797</v>
      </c>
      <c r="D87" s="32" t="s">
        <v>799</v>
      </c>
      <c r="E87" s="32" t="s">
        <v>798</v>
      </c>
      <c r="F87" s="32" t="s">
        <v>799</v>
      </c>
      <c r="G87" s="32" t="s">
        <v>800</v>
      </c>
      <c r="H87" s="32" t="s">
        <v>800</v>
      </c>
      <c r="I87" s="32" t="s">
        <v>801</v>
      </c>
      <c r="J87" s="32" t="s">
        <v>802</v>
      </c>
      <c r="K87" s="32" t="s">
        <v>801</v>
      </c>
      <c r="L87" s="32" t="s">
        <v>803</v>
      </c>
      <c r="M87" s="32" t="s">
        <v>804</v>
      </c>
      <c r="P87" s="19"/>
      <c r="Q87" s="19"/>
      <c r="R87" s="32"/>
      <c r="S87" s="32"/>
      <c r="T87" s="32"/>
      <c r="U87" s="32"/>
    </row>
    <row r="88" customFormat="false" ht="15" hidden="false" customHeight="true" outlineLevel="0" collapsed="false">
      <c r="A88" s="32" t="s">
        <v>774</v>
      </c>
      <c r="B88" s="32" t="n">
        <v>0</v>
      </c>
      <c r="C88" s="32" t="n">
        <v>0</v>
      </c>
      <c r="D88" s="32" t="n">
        <v>0</v>
      </c>
      <c r="E88" s="32" t="n">
        <v>0</v>
      </c>
      <c r="F88" s="32" t="n">
        <v>0</v>
      </c>
      <c r="G88" s="32" t="n">
        <v>0</v>
      </c>
      <c r="H88" s="32" t="n">
        <v>0</v>
      </c>
      <c r="I88" s="32" t="n">
        <v>0</v>
      </c>
      <c r="J88" s="32" t="n">
        <v>0</v>
      </c>
      <c r="K88" s="32" t="n">
        <v>0</v>
      </c>
      <c r="L88" s="32" t="n">
        <v>0</v>
      </c>
      <c r="M88" s="32" t="n">
        <v>0</v>
      </c>
      <c r="P88" s="19"/>
      <c r="Q88" s="19"/>
      <c r="R88" s="32"/>
      <c r="S88" s="32"/>
      <c r="T88" s="32"/>
      <c r="U88" s="32"/>
    </row>
    <row r="89" customFormat="false" ht="15" hidden="false" customHeight="true" outlineLevel="0" collapsed="false">
      <c r="A89" s="32" t="s">
        <v>687</v>
      </c>
      <c r="B89" s="32" t="n">
        <v>25.7</v>
      </c>
      <c r="C89" s="32" t="n">
        <v>24.2</v>
      </c>
      <c r="D89" s="32" t="n">
        <v>24.2</v>
      </c>
      <c r="E89" s="32" t="n">
        <v>24.2</v>
      </c>
      <c r="F89" s="32" t="n">
        <v>24.2</v>
      </c>
      <c r="G89" s="32" t="n">
        <v>24.2</v>
      </c>
      <c r="H89" s="32" t="n">
        <v>24.2</v>
      </c>
      <c r="I89" s="32" t="n">
        <v>24.2</v>
      </c>
      <c r="J89" s="32" t="n">
        <v>24.2</v>
      </c>
      <c r="K89" s="32" t="n">
        <v>24.2</v>
      </c>
      <c r="L89" s="32" t="n">
        <v>24.2</v>
      </c>
      <c r="M89" s="32" t="n">
        <v>25.7</v>
      </c>
      <c r="P89" s="19"/>
      <c r="Q89" s="19"/>
      <c r="R89" s="32"/>
      <c r="S89" s="32"/>
      <c r="T89" s="32"/>
      <c r="U89" s="32"/>
    </row>
    <row r="90" customFormat="false" ht="15" hidden="false" customHeight="true" outlineLevel="0" collapsed="false">
      <c r="A90" s="32" t="s">
        <v>784</v>
      </c>
      <c r="B90" s="32" t="n">
        <f aca="false">ROUND(15*((B89*10)/256),0)</f>
        <v>15</v>
      </c>
      <c r="C90" s="32" t="n">
        <f aca="false">ROUND(15*((C89*10)/256),0)</f>
        <v>14</v>
      </c>
      <c r="D90" s="32" t="n">
        <f aca="false">ROUND(15*((D89*10)/256),0)</f>
        <v>14</v>
      </c>
      <c r="E90" s="32" t="n">
        <f aca="false">ROUND(15*((E89*10)/256),0)</f>
        <v>14</v>
      </c>
      <c r="F90" s="32" t="n">
        <f aca="false">ROUND(15*((F89*10)/256),0)</f>
        <v>14</v>
      </c>
      <c r="G90" s="32" t="n">
        <f aca="false">ROUND(15*((G89*10)/256),0)</f>
        <v>14</v>
      </c>
      <c r="H90" s="32" t="n">
        <f aca="false">ROUND(15*((H89*10)/256),0)</f>
        <v>14</v>
      </c>
      <c r="I90" s="32" t="n">
        <f aca="false">ROUND(15*((I89*10)/256),0)</f>
        <v>14</v>
      </c>
      <c r="J90" s="32" t="n">
        <f aca="false">ROUND(15*((J89*10)/256),0)</f>
        <v>14</v>
      </c>
      <c r="K90" s="32" t="n">
        <f aca="false">ROUND(15*((K89*10)/256),0)</f>
        <v>14</v>
      </c>
      <c r="L90" s="32" t="n">
        <f aca="false">ROUND(15*((L89*10)/256),0)</f>
        <v>14</v>
      </c>
      <c r="M90" s="32" t="n">
        <f aca="false">ROUND(15*((M89*10)/256),0)</f>
        <v>15</v>
      </c>
      <c r="P90" s="19"/>
      <c r="Q90" s="19"/>
      <c r="R90" s="32"/>
      <c r="S90" s="32"/>
      <c r="T90" s="32"/>
      <c r="U90" s="32"/>
    </row>
    <row r="91" customFormat="false" ht="15" hidden="false" customHeight="true" outlineLevel="0" collapsed="false">
      <c r="A91" s="32" t="s">
        <v>785</v>
      </c>
      <c r="B91" s="32" t="str">
        <f aca="false">VLOOKUP(B90,Constants!$A$1:$B$16,2,FALSE())</f>
        <v>4,7,4</v>
      </c>
      <c r="C91" s="32" t="str">
        <f aca="false">VLOOKUP(C90,Constants!$A$1:$B$16,2,FALSE())</f>
        <v>4,6,4</v>
      </c>
      <c r="D91" s="32" t="str">
        <f aca="false">VLOOKUP(D90,Constants!$A$1:$B$16,2,FALSE())</f>
        <v>4,6,4</v>
      </c>
      <c r="E91" s="32" t="str">
        <f aca="false">VLOOKUP(E90,Constants!$A$1:$B$16,2,FALSE())</f>
        <v>4,6,4</v>
      </c>
      <c r="F91" s="32" t="str">
        <f aca="false">VLOOKUP(F90,Constants!$A$1:$B$16,2,FALSE())</f>
        <v>4,6,4</v>
      </c>
      <c r="G91" s="32" t="str">
        <f aca="false">VLOOKUP(G90,Constants!$A$1:$B$16,2,FALSE())</f>
        <v>4,6,4</v>
      </c>
      <c r="H91" s="32" t="str">
        <f aca="false">VLOOKUP(H90,Constants!$A$1:$B$16,2,FALSE())</f>
        <v>4,6,4</v>
      </c>
      <c r="I91" s="32" t="str">
        <f aca="false">VLOOKUP(I90,Constants!$A$1:$B$16,2,FALSE())</f>
        <v>4,6,4</v>
      </c>
      <c r="J91" s="32" t="str">
        <f aca="false">VLOOKUP(J90,Constants!$A$1:$B$16,2,FALSE())</f>
        <v>4,6,4</v>
      </c>
      <c r="K91" s="32" t="str">
        <f aca="false">VLOOKUP(K90,Constants!$A$1:$B$16,2,FALSE())</f>
        <v>4,6,4</v>
      </c>
      <c r="L91" s="32" t="str">
        <f aca="false">VLOOKUP(L90,Constants!$A$1:$B$16,2,FALSE())</f>
        <v>4,6,4</v>
      </c>
      <c r="M91" s="32" t="str">
        <f aca="false">VLOOKUP(M90,Constants!$A$1:$B$16,2,FALSE())</f>
        <v>4,7,4</v>
      </c>
      <c r="P91" s="19"/>
      <c r="Q91" s="19"/>
      <c r="R91" s="32"/>
      <c r="S91" s="32"/>
      <c r="T91" s="32"/>
      <c r="U91" s="32"/>
    </row>
    <row r="92" customFormat="false" ht="15" hidden="false" customHeight="true" outlineLevel="0" collapsed="false">
      <c r="P92" s="19"/>
      <c r="Q92" s="19"/>
    </row>
    <row r="93" customFormat="false" ht="15" hidden="false" customHeight="true" outlineLevel="0" collapsed="false">
      <c r="B93" s="32"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2" t="str">
        <f aca="false">_xlfn.TEXTJOIN(",",TRUE(),  B88:Z88)</f>
        <v>0,0,0,0,0,0,0,0,0,0,0,0</v>
      </c>
    </row>
    <row r="95" customFormat="false" ht="15" hidden="false" customHeight="true" outlineLevel="0" collapsed="false">
      <c r="B95" s="32" t="str">
        <f aca="false">_xlfn.TEXTJOIN(",",TRUE(),  B89:Z89)</f>
        <v>25.7,24.2,24.2,24.2,24.2,24.2,24.2,24.2,24.2,24.2,24.2,25.7</v>
      </c>
    </row>
    <row r="96" customFormat="false" ht="15" hidden="false" customHeight="true" outlineLevel="0" collapsed="false">
      <c r="B96" s="32" t="str">
        <f aca="false">_xlfn.TEXTJOIN(",",TRUE(),  B90:Z90)</f>
        <v>15,14,14,14,14,14,14,14,14,14,14,15</v>
      </c>
    </row>
    <row r="97" customFormat="false" ht="15" hidden="false" customHeight="true" outlineLevel="0" collapsed="false">
      <c r="B97" s="32" t="str">
        <f aca="false">_xlfn.TEXTJOIN(",",TRUE(),  B91:Z91)</f>
        <v>4,7,4,4,6,4,4,6,4,4,6,4,4,6,4,4,6,4,4,6,4,4,6,4,4,6,4,4,6,4,4,6,4,4,7,4</v>
      </c>
    </row>
    <row r="99" customFormat="false" ht="15" hidden="false" customHeight="true" outlineLevel="0" collapsed="false">
      <c r="B99" s="32" t="s">
        <v>806</v>
      </c>
    </row>
    <row r="100" customFormat="false" ht="15" hidden="false" customHeight="true" outlineLevel="0" collapsed="false">
      <c r="A100" s="32" t="s">
        <v>769</v>
      </c>
      <c r="B100" s="32" t="s">
        <v>519</v>
      </c>
      <c r="C100" s="32" t="s">
        <v>807</v>
      </c>
      <c r="D100" s="32" t="s">
        <v>808</v>
      </c>
      <c r="E100" s="32" t="s">
        <v>809</v>
      </c>
      <c r="F100" s="32" t="s">
        <v>808</v>
      </c>
      <c r="G100" s="32" t="s">
        <v>809</v>
      </c>
      <c r="H100" s="32" t="s">
        <v>808</v>
      </c>
      <c r="I100" s="32" t="s">
        <v>809</v>
      </c>
      <c r="J100" s="32" t="s">
        <v>808</v>
      </c>
      <c r="K100" s="32" t="s">
        <v>809</v>
      </c>
      <c r="L100" s="32" t="s">
        <v>810</v>
      </c>
      <c r="M100" s="32" t="s">
        <v>811</v>
      </c>
    </row>
    <row r="101" customFormat="false" ht="15" hidden="false" customHeight="true" outlineLevel="0" collapsed="false">
      <c r="A101" s="32" t="s">
        <v>774</v>
      </c>
      <c r="B101" s="32" t="n">
        <v>1</v>
      </c>
      <c r="C101" s="32" t="n">
        <v>1</v>
      </c>
      <c r="D101" s="32" t="n">
        <v>1</v>
      </c>
      <c r="E101" s="32" t="n">
        <v>1</v>
      </c>
      <c r="F101" s="32" t="n">
        <v>0</v>
      </c>
      <c r="G101" s="32" t="n">
        <v>0</v>
      </c>
      <c r="H101" s="32" t="n">
        <v>0</v>
      </c>
      <c r="I101" s="32" t="n">
        <v>0</v>
      </c>
      <c r="J101" s="32" t="n">
        <v>0</v>
      </c>
      <c r="K101" s="32" t="n">
        <v>0</v>
      </c>
      <c r="L101" s="32" t="n">
        <v>1</v>
      </c>
      <c r="M101" s="32" t="n">
        <v>1</v>
      </c>
    </row>
    <row r="102" customFormat="false" ht="15" hidden="false" customHeight="true" outlineLevel="0" collapsed="false">
      <c r="A102" s="32" t="s">
        <v>687</v>
      </c>
      <c r="B102" s="32" t="n">
        <v>20</v>
      </c>
      <c r="C102" s="32" t="n">
        <v>20</v>
      </c>
      <c r="D102" s="32" t="n">
        <v>20</v>
      </c>
      <c r="E102" s="32" t="n">
        <v>20</v>
      </c>
      <c r="F102" s="32" t="n">
        <v>20</v>
      </c>
      <c r="G102" s="32" t="n">
        <v>20</v>
      </c>
      <c r="H102" s="32" t="n">
        <v>20</v>
      </c>
      <c r="I102" s="32" t="n">
        <v>20</v>
      </c>
      <c r="J102" s="32" t="n">
        <v>20</v>
      </c>
      <c r="K102" s="32" t="n">
        <v>20</v>
      </c>
      <c r="L102" s="32" t="n">
        <v>20</v>
      </c>
      <c r="M102" s="32" t="n">
        <v>20</v>
      </c>
    </row>
    <row r="103" customFormat="false" ht="15" hidden="false" customHeight="true" outlineLevel="0" collapsed="false">
      <c r="A103" s="32" t="s">
        <v>784</v>
      </c>
      <c r="B103" s="32" t="n">
        <f aca="false">ROUND(15*((B102*10)/256),0)</f>
        <v>12</v>
      </c>
      <c r="C103" s="32" t="n">
        <f aca="false">ROUND(15*((C102*10)/256),0)</f>
        <v>12</v>
      </c>
      <c r="D103" s="32" t="n">
        <f aca="false">ROUND(15*((D102*10)/256),0)</f>
        <v>12</v>
      </c>
      <c r="E103" s="32" t="n">
        <f aca="false">ROUND(15*((E102*10)/256),0)</f>
        <v>12</v>
      </c>
      <c r="F103" s="32" t="n">
        <f aca="false">ROUND(15*((F102*10)/256),0)</f>
        <v>12</v>
      </c>
      <c r="G103" s="32" t="n">
        <f aca="false">ROUND(15*((G102*10)/256),0)</f>
        <v>12</v>
      </c>
      <c r="H103" s="32" t="n">
        <f aca="false">ROUND(15*((H102*10)/256),0)</f>
        <v>12</v>
      </c>
      <c r="I103" s="32" t="n">
        <f aca="false">ROUND(15*((I102*10)/256),0)</f>
        <v>12</v>
      </c>
      <c r="J103" s="32" t="n">
        <f aca="false">ROUND(15*((J102*10)/256),0)</f>
        <v>12</v>
      </c>
      <c r="K103" s="32" t="n">
        <f aca="false">ROUND(15*((K102*10)/256),0)</f>
        <v>12</v>
      </c>
      <c r="L103" s="32" t="n">
        <f aca="false">ROUND(15*((L102*10)/256),0)</f>
        <v>12</v>
      </c>
      <c r="M103" s="32" t="n">
        <f aca="false">ROUND(15*((M102*10)/256),0)</f>
        <v>12</v>
      </c>
    </row>
    <row r="104" customFormat="false" ht="15" hidden="false" customHeight="true" outlineLevel="0" collapsed="false">
      <c r="A104" s="32" t="s">
        <v>785</v>
      </c>
      <c r="B104" s="32" t="str">
        <f aca="false">VLOOKUP(B103,Constants!$A$1:$B$16,2,FALSE())</f>
        <v>4,4,4</v>
      </c>
      <c r="C104" s="32" t="str">
        <f aca="false">VLOOKUP(C103,Constants!$A$1:$B$16,2,FALSE())</f>
        <v>4,4,4</v>
      </c>
      <c r="D104" s="32" t="str">
        <f aca="false">VLOOKUP(D103,Constants!$A$1:$B$16,2,FALSE())</f>
        <v>4,4,4</v>
      </c>
      <c r="E104" s="32" t="str">
        <f aca="false">VLOOKUP(E103,Constants!$A$1:$B$16,2,FALSE())</f>
        <v>4,4,4</v>
      </c>
      <c r="F104" s="32" t="str">
        <f aca="false">VLOOKUP(F103,Constants!$A$1:$B$16,2,FALSE())</f>
        <v>4,4,4</v>
      </c>
      <c r="G104" s="32" t="str">
        <f aca="false">VLOOKUP(G103,Constants!$A$1:$B$16,2,FALSE())</f>
        <v>4,4,4</v>
      </c>
      <c r="H104" s="32" t="str">
        <f aca="false">VLOOKUP(H103,Constants!$A$1:$B$16,2,FALSE())</f>
        <v>4,4,4</v>
      </c>
      <c r="I104" s="32" t="str">
        <f aca="false">VLOOKUP(I103,Constants!$A$1:$B$16,2,FALSE())</f>
        <v>4,4,4</v>
      </c>
      <c r="J104" s="32" t="str">
        <f aca="false">VLOOKUP(J103,Constants!$A$1:$B$16,2,FALSE())</f>
        <v>4,4,4</v>
      </c>
      <c r="K104" s="32" t="str">
        <f aca="false">VLOOKUP(K103,Constants!$A$1:$B$16,2,FALSE())</f>
        <v>4,4,4</v>
      </c>
      <c r="L104" s="32" t="str">
        <f aca="false">VLOOKUP(L103,Constants!$A$1:$B$16,2,FALSE())</f>
        <v>4,4,4</v>
      </c>
      <c r="M104" s="32" t="str">
        <f aca="false">VLOOKUP(M103,Constants!$A$1:$B$16,2,FALSE())</f>
        <v>4,4,4</v>
      </c>
    </row>
    <row r="106" customFormat="false" ht="15" hidden="false" customHeight="true" outlineLevel="0" collapsed="false">
      <c r="B106" s="32"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2" t="str">
        <f aca="false">_xlfn.TEXTJOIN(",",TRUE(),  B101:Z101)</f>
        <v>1,1,1,1,0,0,0,0,0,0,1,1</v>
      </c>
    </row>
    <row r="108" customFormat="false" ht="15" hidden="false" customHeight="true" outlineLevel="0" collapsed="false">
      <c r="B108" s="32" t="str">
        <f aca="false">_xlfn.TEXTJOIN(",",TRUE(),  B102:Z102)</f>
        <v>20,20,20,20,20,20,20,20,20,20,20,20</v>
      </c>
    </row>
    <row r="109" customFormat="false" ht="15" hidden="false" customHeight="true" outlineLevel="0" collapsed="false">
      <c r="B109" s="32" t="str">
        <f aca="false">_xlfn.TEXTJOIN(",",TRUE(),  B103:Z103)</f>
        <v>12,12,12,12,12,12,12,12,12,12,12,12</v>
      </c>
    </row>
    <row r="110" customFormat="false" ht="15" hidden="false" customHeight="true" outlineLevel="0" collapsed="false">
      <c r="B110" s="32"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43" activeCellId="0" sqref="A43"/>
    </sheetView>
  </sheetViews>
  <sheetFormatPr defaultColWidth="10.19921875" defaultRowHeight="12.8" customHeight="true" zeroHeight="false" outlineLevelRow="0" outlineLevelCol="0"/>
  <cols>
    <col collapsed="false" customWidth="true" hidden="false" outlineLevel="0" max="1" min="1" style="32" width="14.37"/>
  </cols>
  <sheetData>
    <row r="1" customFormat="false" ht="13.8" hidden="false" customHeight="false" outlineLevel="0" collapsed="false">
      <c r="A1" s="32" t="s">
        <v>812</v>
      </c>
      <c r="B1" s="32" t="s">
        <v>813</v>
      </c>
      <c r="C1" s="32" t="s">
        <v>814</v>
      </c>
      <c r="D1" s="32" t="s">
        <v>12</v>
      </c>
      <c r="E1" s="32" t="s">
        <v>815</v>
      </c>
    </row>
    <row r="2" customFormat="false" ht="13.8" hidden="false" customHeight="false" outlineLevel="0" collapsed="false">
      <c r="A2" s="32" t="s">
        <v>816</v>
      </c>
      <c r="B2" s="32" t="n">
        <f aca="false">(33.7+24+26.75+24.15+24.3+31.9)</f>
        <v>164.8</v>
      </c>
      <c r="C2" s="32" t="n">
        <f aca="false">52+72+28+43+47+25</f>
        <v>267</v>
      </c>
      <c r="D2" s="32" t="n">
        <v>6</v>
      </c>
      <c r="E2" s="32" t="n">
        <f aca="false">C2/D2</f>
        <v>44.5</v>
      </c>
    </row>
    <row r="3" customFormat="false" ht="13.8" hidden="false" customHeight="false" outlineLevel="0" collapsed="false">
      <c r="A3" s="32" t="s">
        <v>817</v>
      </c>
      <c r="B3" s="32" t="n">
        <f aca="false">B2+24</f>
        <v>188.8</v>
      </c>
      <c r="C3" s="32" t="n">
        <f aca="false">C2+72+72-42</f>
        <v>369</v>
      </c>
      <c r="D3" s="32" t="n">
        <v>7</v>
      </c>
      <c r="E3" s="32" t="n">
        <f aca="false">C3/D3</f>
        <v>52.7142857142857</v>
      </c>
    </row>
    <row r="4" customFormat="false" ht="13.8" hidden="false" customHeight="false" outlineLevel="0" collapsed="false">
      <c r="A4" s="32" t="s">
        <v>818</v>
      </c>
      <c r="B4" s="32" t="n">
        <f aca="false">(33.7+31.9)</f>
        <v>65.6</v>
      </c>
      <c r="C4" s="32" t="n">
        <f aca="false">52+25</f>
        <v>77</v>
      </c>
      <c r="D4" s="32" t="n">
        <v>2</v>
      </c>
      <c r="E4" s="32" t="n">
        <f aca="false">C4/D4</f>
        <v>38.5</v>
      </c>
    </row>
    <row r="5" customFormat="false" ht="13.8" hidden="false" customHeight="false" outlineLevel="0" collapsed="false">
      <c r="A5" s="32" t="s">
        <v>819</v>
      </c>
      <c r="B5" s="32" t="n">
        <f aca="false">(31.9 * 2) + (24.3 * 8)</f>
        <v>258.2</v>
      </c>
      <c r="C5" s="32" t="n">
        <f aca="false">60+72+72+72+72+18+47+47+36</f>
        <v>496</v>
      </c>
      <c r="D5" s="32" t="n">
        <v>10</v>
      </c>
      <c r="E5" s="32" t="n">
        <f aca="false">C5/D5</f>
        <v>49.6</v>
      </c>
    </row>
    <row r="6" customFormat="false" ht="13.8" hidden="false" customHeight="false" outlineLevel="0" collapsed="false">
      <c r="A6" s="32" t="s">
        <v>820</v>
      </c>
      <c r="B6" s="32" t="n">
        <f aca="false">(31.9 * 2) + (24.3 * 6)</f>
        <v>209.6</v>
      </c>
      <c r="C6" s="32" t="n">
        <f aca="false">60+72+72+18+47+36</f>
        <v>305</v>
      </c>
      <c r="D6" s="32" t="n">
        <v>6</v>
      </c>
      <c r="E6" s="32" t="n">
        <f aca="false">C6/D6</f>
        <v>50.8333333333333</v>
      </c>
    </row>
    <row r="7" customFormat="false" ht="13.8" hidden="false" customHeight="false" outlineLevel="0" collapsed="false">
      <c r="A7" s="32" t="s">
        <v>821</v>
      </c>
      <c r="B7" s="32" t="str">
        <f aca="false">_xlfn.TEXTJOIN(",",1,A13:A22)</f>
        <v>apt_half_6,apt_half_6_rev,apt_powercar,apt_half_2,apt_half_2_rev,apt_q_dvt,apt_s_dm,apt_s_10,apt_s_6</v>
      </c>
    </row>
    <row r="8" customFormat="false" ht="13.8" hidden="false" customHeight="false" outlineLevel="0" collapsed="false">
      <c r="B8" s="32"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2" t="s">
        <v>822</v>
      </c>
      <c r="B10" s="32"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2" t="s">
        <v>823</v>
      </c>
      <c r="B12" s="32" t="s">
        <v>824</v>
      </c>
    </row>
    <row r="13" customFormat="false" ht="13.8" hidden="false" customHeight="false" outlineLevel="0" collapsed="false">
      <c r="A13" s="32" t="s">
        <v>315</v>
      </c>
      <c r="B13" s="18" t="s">
        <v>212</v>
      </c>
    </row>
    <row r="14" customFormat="false" ht="13.8" hidden="false" customHeight="false" outlineLevel="0" collapsed="false">
      <c r="A14" s="32" t="s">
        <v>323</v>
      </c>
      <c r="B14" s="18" t="s">
        <v>217</v>
      </c>
    </row>
    <row r="15" customFormat="false" ht="13.8" hidden="false" customHeight="false" outlineLevel="0" collapsed="false">
      <c r="A15" s="32" t="s">
        <v>338</v>
      </c>
      <c r="B15" s="18" t="s">
        <v>222</v>
      </c>
    </row>
    <row r="16" customFormat="false" ht="13.8" hidden="false" customHeight="false" outlineLevel="0" collapsed="false">
      <c r="A16" s="32" t="s">
        <v>330</v>
      </c>
      <c r="B16" s="18" t="s">
        <v>229</v>
      </c>
    </row>
    <row r="17" customFormat="false" ht="13.8" hidden="false" customHeight="false" outlineLevel="0" collapsed="false">
      <c r="A17" s="32" t="s">
        <v>334</v>
      </c>
      <c r="B17" s="18" t="s">
        <v>236</v>
      </c>
    </row>
    <row r="18" customFormat="false" ht="13.8" hidden="false" customHeight="false" outlineLevel="0" collapsed="false">
      <c r="A18" s="32" t="s">
        <v>346</v>
      </c>
    </row>
    <row r="19" customFormat="false" ht="13.8" hidden="false" customHeight="false" outlineLevel="0" collapsed="false">
      <c r="A19" s="32" t="s">
        <v>341</v>
      </c>
    </row>
    <row r="20" customFormat="false" ht="13.8" hidden="false" customHeight="false" outlineLevel="0" collapsed="false">
      <c r="A20" s="32" t="s">
        <v>349</v>
      </c>
    </row>
    <row r="21" customFormat="false" ht="13.8" hidden="false" customHeight="false" outlineLevel="0" collapsed="false">
      <c r="A21" s="32" t="s">
        <v>356</v>
      </c>
    </row>
    <row r="22" customFormat="false" ht="13.8" hidden="false" customHeight="false" outlineLevel="0" collapsed="false"/>
    <row r="29" customFormat="false" ht="12.8" hidden="false" customHeight="true" outlineLevel="0" collapsed="false">
      <c r="A29" s="32" t="s">
        <v>825</v>
      </c>
      <c r="B29" s="32" t="str">
        <f aca="false">_xlfn.TEXTJOIN(",",1,A30:A40)</f>
        <v>class_141,class_150,class_151,class_153,class_153_mail,super_sprinter,express_sprinter_2car,express_sprinter_3car,sprinter_hybrid,class_170,class_170_3car</v>
      </c>
    </row>
    <row r="30" customFormat="false" ht="12.8" hidden="false" customHeight="true" outlineLevel="0" collapsed="false">
      <c r="A30" s="19" t="s">
        <v>269</v>
      </c>
    </row>
    <row r="31" customFormat="false" ht="12.8" hidden="false" customHeight="true" outlineLevel="0" collapsed="false">
      <c r="A31" s="19" t="s">
        <v>274</v>
      </c>
    </row>
    <row r="32" customFormat="false" ht="12.8" hidden="false" customHeight="true" outlineLevel="0" collapsed="false">
      <c r="A32" s="1" t="s">
        <v>279</v>
      </c>
    </row>
    <row r="33" customFormat="false" ht="12.8" hidden="false" customHeight="true" outlineLevel="0" collapsed="false">
      <c r="A33" s="1" t="s">
        <v>283</v>
      </c>
    </row>
    <row r="34" customFormat="false" ht="12.8" hidden="false" customHeight="true" outlineLevel="0" collapsed="false">
      <c r="A34" s="1" t="s">
        <v>288</v>
      </c>
    </row>
    <row r="35" customFormat="false" ht="12.8" hidden="false" customHeight="true" outlineLevel="0" collapsed="false">
      <c r="A35" s="19" t="s">
        <v>292</v>
      </c>
    </row>
    <row r="36" customFormat="false" ht="12.8" hidden="false" customHeight="true" outlineLevel="0" collapsed="false">
      <c r="A36" s="19" t="s">
        <v>296</v>
      </c>
    </row>
    <row r="37" customFormat="false" ht="12.8" hidden="false" customHeight="true" outlineLevel="0" collapsed="false">
      <c r="A37" s="19" t="s">
        <v>300</v>
      </c>
    </row>
    <row r="38" customFormat="false" ht="12.8" hidden="false" customHeight="true" outlineLevel="0" collapsed="false">
      <c r="A38" s="19" t="s">
        <v>304</v>
      </c>
    </row>
    <row r="39" customFormat="false" ht="12.8" hidden="false" customHeight="true" outlineLevel="0" collapsed="false">
      <c r="A39" s="19" t="s">
        <v>308</v>
      </c>
    </row>
    <row r="40" customFormat="false" ht="12.8" hidden="false" customHeight="true" outlineLevel="0" collapsed="false">
      <c r="A40" s="19" t="s">
        <v>312</v>
      </c>
    </row>
    <row r="42" customFormat="false" ht="12.8" hidden="false" customHeight="true" outlineLevel="0" collapsed="false">
      <c r="A42" s="32" t="s">
        <v>826</v>
      </c>
      <c r="B42" s="32" t="str">
        <f aca="false">_xlfn.TEXTJOIN(",",1,A43:A53)</f>
        <v>class_800_azuma,class_800_9,class_801_5,class_801_9,class_802_5,class_802_9</v>
      </c>
    </row>
    <row r="43" customFormat="false" ht="12.8" hidden="false" customHeight="true" outlineLevel="0" collapsed="false">
      <c r="A43" s="19" t="s">
        <v>493</v>
      </c>
    </row>
    <row r="44" customFormat="false" ht="12.8" hidden="false" customHeight="true" outlineLevel="0" collapsed="false">
      <c r="A44" s="19" t="s">
        <v>498</v>
      </c>
    </row>
    <row r="45" customFormat="false" ht="12.8" hidden="false" customHeight="true" outlineLevel="0" collapsed="false">
      <c r="A45" s="19" t="s">
        <v>501</v>
      </c>
    </row>
    <row r="46" customFormat="false" ht="12.8" hidden="false" customHeight="true" outlineLevel="0" collapsed="false">
      <c r="A46" s="19" t="s">
        <v>504</v>
      </c>
    </row>
    <row r="47" customFormat="false" ht="12.8" hidden="false" customHeight="true" outlineLevel="0" collapsed="false">
      <c r="A47" s="19" t="s">
        <v>506</v>
      </c>
    </row>
    <row r="48" customFormat="false" ht="12.8" hidden="false" customHeight="true" outlineLevel="0" collapsed="false">
      <c r="A48" s="19" t="s">
        <v>509</v>
      </c>
    </row>
    <row r="49" customFormat="false" ht="12.8" hidden="false" customHeight="true" outlineLevel="0" collapsed="false">
      <c r="A49" s="19"/>
    </row>
    <row r="50" customFormat="false" ht="12.8" hidden="false" customHeight="true" outlineLevel="0" collapsed="false">
      <c r="A50" s="19"/>
    </row>
    <row r="51" customFormat="false" ht="12.8" hidden="false" customHeight="true" outlineLevel="0" collapsed="false">
      <c r="A51" s="19"/>
    </row>
    <row r="52" customFormat="false" ht="12.8" hidden="false" customHeight="true" outlineLevel="0" collapsed="false">
      <c r="A52" s="19"/>
    </row>
    <row r="53" customFormat="false" ht="12.8" hidden="false" customHeight="true" outlineLevel="0" collapsed="false">
      <c r="A53" s="19"/>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2" width="47.71"/>
  </cols>
  <sheetData>
    <row r="1" customFormat="false" ht="13.8" hidden="false" customHeight="false" outlineLevel="0" collapsed="false">
      <c r="A1" s="39" t="s">
        <v>827</v>
      </c>
      <c r="B1" s="39" t="s">
        <v>828</v>
      </c>
      <c r="C1" s="39" t="s">
        <v>829</v>
      </c>
      <c r="D1" s="39" t="n">
        <v>0</v>
      </c>
      <c r="E1" s="32" t="s">
        <v>830</v>
      </c>
    </row>
    <row r="2" customFormat="false" ht="13.8" hidden="false" customHeight="false" outlineLevel="0" collapsed="false">
      <c r="A2" s="39" t="s">
        <v>831</v>
      </c>
      <c r="B2" s="39" t="s">
        <v>832</v>
      </c>
      <c r="C2" s="39" t="s">
        <v>829</v>
      </c>
      <c r="D2" s="39" t="n">
        <v>1</v>
      </c>
      <c r="E2" s="32" t="s">
        <v>830</v>
      </c>
    </row>
    <row r="3" customFormat="false" ht="13.8" hidden="false" customHeight="false" outlineLevel="0" collapsed="false">
      <c r="A3" s="39" t="s">
        <v>833</v>
      </c>
      <c r="B3" s="39" t="s">
        <v>834</v>
      </c>
      <c r="C3" s="39" t="s">
        <v>829</v>
      </c>
      <c r="D3" s="39" t="n">
        <v>2</v>
      </c>
      <c r="E3" s="32" t="s">
        <v>830</v>
      </c>
    </row>
    <row r="4" customFormat="false" ht="13.8" hidden="false" customHeight="false" outlineLevel="0" collapsed="false">
      <c r="A4" s="39" t="s">
        <v>835</v>
      </c>
      <c r="B4" s="39" t="s">
        <v>836</v>
      </c>
      <c r="C4" s="39" t="s">
        <v>829</v>
      </c>
      <c r="D4" s="39" t="n">
        <v>3</v>
      </c>
      <c r="E4" s="32" t="s">
        <v>830</v>
      </c>
    </row>
    <row r="5" customFormat="false" ht="13.8" hidden="false" customHeight="false" outlineLevel="0" collapsed="false">
      <c r="A5" s="39" t="s">
        <v>837</v>
      </c>
      <c r="B5" s="39" t="s">
        <v>838</v>
      </c>
      <c r="C5" s="39" t="s">
        <v>829</v>
      </c>
      <c r="D5" s="39" t="n">
        <v>4</v>
      </c>
      <c r="E5" s="32" t="s">
        <v>830</v>
      </c>
    </row>
    <row r="6" customFormat="false" ht="13.8" hidden="false" customHeight="false" outlineLevel="0" collapsed="false">
      <c r="A6" s="39" t="s">
        <v>839</v>
      </c>
      <c r="B6" s="39" t="s">
        <v>840</v>
      </c>
      <c r="C6" s="39" t="s">
        <v>829</v>
      </c>
      <c r="D6" s="39" t="n">
        <v>5</v>
      </c>
      <c r="E6" s="32" t="s">
        <v>830</v>
      </c>
    </row>
    <row r="7" customFormat="false" ht="13.8" hidden="false" customHeight="false" outlineLevel="0" collapsed="false">
      <c r="A7" s="39" t="s">
        <v>841</v>
      </c>
      <c r="B7" s="39" t="s">
        <v>842</v>
      </c>
      <c r="C7" s="39" t="s">
        <v>829</v>
      </c>
      <c r="D7" s="39" t="n">
        <v>6</v>
      </c>
      <c r="E7" s="32" t="s">
        <v>830</v>
      </c>
    </row>
    <row r="8" customFormat="false" ht="13.8" hidden="false" customHeight="false" outlineLevel="0" collapsed="false">
      <c r="A8" s="39" t="s">
        <v>843</v>
      </c>
      <c r="B8" s="39" t="s">
        <v>844</v>
      </c>
      <c r="C8" s="39" t="s">
        <v>829</v>
      </c>
      <c r="D8" s="39" t="n">
        <v>7</v>
      </c>
      <c r="E8" s="32" t="s">
        <v>830</v>
      </c>
    </row>
    <row r="9" customFormat="false" ht="13.8" hidden="false" customHeight="false" outlineLevel="0" collapsed="false">
      <c r="A9" s="39" t="s">
        <v>845</v>
      </c>
      <c r="B9" s="39" t="s">
        <v>846</v>
      </c>
      <c r="C9" s="39" t="s">
        <v>829</v>
      </c>
      <c r="D9" s="39" t="n">
        <v>8</v>
      </c>
      <c r="E9" s="32" t="s">
        <v>830</v>
      </c>
    </row>
    <row r="10" customFormat="false" ht="13.8" hidden="false" customHeight="false" outlineLevel="0" collapsed="false">
      <c r="A10" s="39" t="s">
        <v>847</v>
      </c>
      <c r="B10" s="39" t="s">
        <v>848</v>
      </c>
      <c r="C10" s="39" t="s">
        <v>829</v>
      </c>
      <c r="D10" s="39" t="n">
        <v>9</v>
      </c>
      <c r="E10" s="32" t="s">
        <v>830</v>
      </c>
    </row>
    <row r="11" customFormat="false" ht="13.8" hidden="false" customHeight="false" outlineLevel="0" collapsed="false">
      <c r="A11" s="39" t="s">
        <v>849</v>
      </c>
      <c r="B11" s="39" t="s">
        <v>850</v>
      </c>
      <c r="C11" s="39" t="s">
        <v>829</v>
      </c>
      <c r="D11" s="39" t="n">
        <v>10</v>
      </c>
      <c r="E11" s="32" t="s">
        <v>830</v>
      </c>
    </row>
    <row r="12" customFormat="false" ht="13.8" hidden="false" customHeight="false" outlineLevel="0" collapsed="false">
      <c r="A12" s="39" t="s">
        <v>851</v>
      </c>
      <c r="B12" s="39" t="s">
        <v>852</v>
      </c>
      <c r="C12" s="39" t="s">
        <v>829</v>
      </c>
      <c r="D12" s="39" t="n">
        <v>11</v>
      </c>
      <c r="E12" s="32" t="s">
        <v>830</v>
      </c>
    </row>
    <row r="13" customFormat="false" ht="13.8" hidden="false" customHeight="false" outlineLevel="0" collapsed="false">
      <c r="A13" s="39" t="s">
        <v>853</v>
      </c>
      <c r="B13" s="39" t="s">
        <v>854</v>
      </c>
      <c r="C13" s="39" t="s">
        <v>829</v>
      </c>
      <c r="D13" s="39" t="n">
        <v>12</v>
      </c>
      <c r="E13" s="32" t="s">
        <v>830</v>
      </c>
    </row>
    <row r="14" customFormat="false" ht="13.8" hidden="false" customHeight="false" outlineLevel="0" collapsed="false">
      <c r="A14" s="39" t="s">
        <v>855</v>
      </c>
      <c r="B14" s="39" t="s">
        <v>856</v>
      </c>
      <c r="C14" s="39" t="s">
        <v>829</v>
      </c>
      <c r="D14" s="39" t="n">
        <v>13</v>
      </c>
      <c r="E14" s="32" t="s">
        <v>830</v>
      </c>
    </row>
    <row r="15" customFormat="false" ht="13.8" hidden="false" customHeight="false" outlineLevel="0" collapsed="false">
      <c r="A15" s="39" t="s">
        <v>857</v>
      </c>
      <c r="B15" s="39" t="s">
        <v>858</v>
      </c>
      <c r="C15" s="39" t="s">
        <v>829</v>
      </c>
      <c r="D15" s="39" t="n">
        <v>14</v>
      </c>
      <c r="E15" s="32" t="s">
        <v>830</v>
      </c>
    </row>
    <row r="16" customFormat="false" ht="13.8" hidden="false" customHeight="false" outlineLevel="0" collapsed="false">
      <c r="A16" s="39" t="s">
        <v>859</v>
      </c>
      <c r="B16" s="39" t="s">
        <v>860</v>
      </c>
      <c r="C16" s="39" t="s">
        <v>829</v>
      </c>
      <c r="D16" s="39" t="n">
        <v>15</v>
      </c>
      <c r="E16" s="32" t="s">
        <v>830</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23"/>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0" t="s">
        <v>0</v>
      </c>
      <c r="B1" s="41" t="s">
        <v>1</v>
      </c>
      <c r="C1" s="41" t="s">
        <v>7</v>
      </c>
      <c r="D1" s="41" t="s">
        <v>9</v>
      </c>
      <c r="E1" s="41" t="s">
        <v>12</v>
      </c>
      <c r="F1" s="41" t="s">
        <v>83</v>
      </c>
      <c r="G1" s="42" t="s">
        <v>861</v>
      </c>
    </row>
    <row r="2" customFormat="false" ht="13.8" hidden="false" customHeight="false" outlineLevel="0" collapsed="false">
      <c r="A2" s="43" t="s">
        <v>567</v>
      </c>
      <c r="B2" s="44" t="s">
        <v>568</v>
      </c>
      <c r="C2" s="44" t="s">
        <v>528</v>
      </c>
      <c r="D2" s="44" t="n">
        <v>1966</v>
      </c>
      <c r="E2" s="44" t="s">
        <v>861</v>
      </c>
      <c r="F2" s="44" t="s">
        <v>569</v>
      </c>
      <c r="G2" s="45"/>
    </row>
    <row r="3" customFormat="false" ht="13.8" hidden="false" customHeight="false" outlineLevel="0" collapsed="false">
      <c r="A3" s="43" t="s">
        <v>570</v>
      </c>
      <c r="B3" s="44" t="s">
        <v>571</v>
      </c>
      <c r="C3" s="44" t="s">
        <v>528</v>
      </c>
      <c r="D3" s="44" t="n">
        <v>1973</v>
      </c>
      <c r="E3" s="44" t="s">
        <v>861</v>
      </c>
      <c r="F3" s="44" t="s">
        <v>572</v>
      </c>
      <c r="G3" s="45"/>
    </row>
    <row r="4" customFormat="false" ht="13.8" hidden="false" customHeight="false" outlineLevel="0" collapsed="false">
      <c r="A4" s="43" t="s">
        <v>533</v>
      </c>
      <c r="B4" s="44" t="s">
        <v>534</v>
      </c>
      <c r="C4" s="44" t="s">
        <v>528</v>
      </c>
      <c r="D4" s="44" t="n">
        <v>1955</v>
      </c>
      <c r="E4" s="44" t="s">
        <v>861</v>
      </c>
      <c r="F4" s="44" t="s">
        <v>536</v>
      </c>
      <c r="G4" s="45"/>
    </row>
    <row r="5" customFormat="false" ht="13.8" hidden="false" customHeight="false" outlineLevel="0" collapsed="false">
      <c r="A5" s="43" t="s">
        <v>477</v>
      </c>
      <c r="B5" s="44" t="s">
        <v>478</v>
      </c>
      <c r="C5" s="44" t="s">
        <v>91</v>
      </c>
      <c r="D5" s="44" t="n">
        <v>2012</v>
      </c>
      <c r="E5" s="44" t="n">
        <v>5</v>
      </c>
      <c r="F5" s="44" t="s">
        <v>483</v>
      </c>
      <c r="G5" s="45"/>
    </row>
    <row r="6" customFormat="false" ht="13.8" hidden="false" customHeight="false" outlineLevel="0" collapsed="false">
      <c r="A6" s="43" t="s">
        <v>159</v>
      </c>
      <c r="B6" s="44" t="s">
        <v>160</v>
      </c>
      <c r="C6" s="44" t="s">
        <v>152</v>
      </c>
      <c r="D6" s="44" t="n">
        <v>1956</v>
      </c>
      <c r="E6" s="44" t="n">
        <v>4</v>
      </c>
      <c r="F6" s="44" t="s">
        <v>167</v>
      </c>
      <c r="G6" s="45"/>
    </row>
    <row r="7" customFormat="false" ht="13.8" hidden="false" customHeight="false" outlineLevel="0" collapsed="false">
      <c r="A7" s="43" t="s">
        <v>168</v>
      </c>
      <c r="B7" s="44" t="s">
        <v>169</v>
      </c>
      <c r="C7" s="44" t="s">
        <v>152</v>
      </c>
      <c r="D7" s="44" t="n">
        <v>1956</v>
      </c>
      <c r="E7" s="44" t="n">
        <v>6</v>
      </c>
      <c r="F7" s="44" t="s">
        <v>167</v>
      </c>
      <c r="G7" s="45"/>
    </row>
    <row r="8" customFormat="false" ht="13.8" hidden="false" customHeight="false" outlineLevel="0" collapsed="false">
      <c r="A8" s="43" t="s">
        <v>180</v>
      </c>
      <c r="B8" s="44" t="s">
        <v>181</v>
      </c>
      <c r="C8" s="44" t="s">
        <v>152</v>
      </c>
      <c r="D8" s="44" t="n">
        <v>1957</v>
      </c>
      <c r="E8" s="44" t="n">
        <v>2</v>
      </c>
      <c r="F8" s="44" t="s">
        <v>179</v>
      </c>
      <c r="G8" s="45"/>
    </row>
    <row r="9" customFormat="false" ht="13.8" hidden="false" customHeight="false" outlineLevel="0" collapsed="false">
      <c r="A9" s="43" t="s">
        <v>173</v>
      </c>
      <c r="B9" s="44" t="s">
        <v>174</v>
      </c>
      <c r="C9" s="44" t="s">
        <v>152</v>
      </c>
      <c r="D9" s="44" t="n">
        <v>1957</v>
      </c>
      <c r="E9" s="44" t="n">
        <v>3</v>
      </c>
      <c r="F9" s="44" t="s">
        <v>179</v>
      </c>
      <c r="G9" s="45"/>
    </row>
    <row r="10" customFormat="false" ht="13.8" hidden="false" customHeight="false" outlineLevel="0" collapsed="false">
      <c r="A10" s="43" t="s">
        <v>211</v>
      </c>
      <c r="B10" s="44" t="s">
        <v>212</v>
      </c>
      <c r="C10" s="44" t="s">
        <v>91</v>
      </c>
      <c r="D10" s="44" t="n">
        <v>1959</v>
      </c>
      <c r="E10" s="44" t="n">
        <v>4</v>
      </c>
      <c r="F10" s="44" t="s">
        <v>215</v>
      </c>
      <c r="G10" s="45"/>
    </row>
    <row r="11" customFormat="false" ht="13.8" hidden="false" customHeight="false" outlineLevel="0" collapsed="false">
      <c r="A11" s="43" t="s">
        <v>216</v>
      </c>
      <c r="B11" s="44" t="s">
        <v>217</v>
      </c>
      <c r="C11" s="44" t="s">
        <v>91</v>
      </c>
      <c r="D11" s="44" t="n">
        <v>1959</v>
      </c>
      <c r="E11" s="44" t="n">
        <v>3</v>
      </c>
      <c r="F11" s="44" t="s">
        <v>220</v>
      </c>
      <c r="G11" s="45"/>
    </row>
    <row r="12" customFormat="false" ht="13.8" hidden="false" customHeight="false" outlineLevel="0" collapsed="false">
      <c r="A12" s="43" t="s">
        <v>221</v>
      </c>
      <c r="B12" s="44" t="s">
        <v>222</v>
      </c>
      <c r="C12" s="44" t="s">
        <v>91</v>
      </c>
      <c r="D12" s="44" t="n">
        <v>1962</v>
      </c>
      <c r="E12" s="44" t="n">
        <v>2</v>
      </c>
      <c r="F12" s="44" t="s">
        <v>227</v>
      </c>
      <c r="G12" s="45"/>
    </row>
    <row r="13" customFormat="false" ht="13.8" hidden="false" customHeight="false" outlineLevel="0" collapsed="false">
      <c r="A13" s="43" t="s">
        <v>228</v>
      </c>
      <c r="B13" s="44" t="s">
        <v>229</v>
      </c>
      <c r="C13" s="44" t="s">
        <v>91</v>
      </c>
      <c r="D13" s="44" t="n">
        <v>1962</v>
      </c>
      <c r="E13" s="44" t="n">
        <v>4</v>
      </c>
      <c r="F13" s="44" t="s">
        <v>234</v>
      </c>
      <c r="G13" s="45"/>
    </row>
    <row r="14" customFormat="false" ht="13.8" hidden="false" customHeight="false" outlineLevel="0" collapsed="false">
      <c r="A14" s="43" t="s">
        <v>235</v>
      </c>
      <c r="B14" s="44" t="s">
        <v>236</v>
      </c>
      <c r="C14" s="44" t="s">
        <v>91</v>
      </c>
      <c r="D14" s="44" t="n">
        <v>1962</v>
      </c>
      <c r="E14" s="44" t="n">
        <v>4</v>
      </c>
      <c r="F14" s="44" t="s">
        <v>239</v>
      </c>
      <c r="G14" s="45"/>
    </row>
    <row r="15" customFormat="false" ht="13.8" hidden="false" customHeight="false" outlineLevel="0" collapsed="false">
      <c r="A15" s="43" t="s">
        <v>246</v>
      </c>
      <c r="B15" s="44" t="s">
        <v>247</v>
      </c>
      <c r="C15" s="44" t="s">
        <v>91</v>
      </c>
      <c r="D15" s="44" t="n">
        <v>1956</v>
      </c>
      <c r="E15" s="44" t="n">
        <v>4</v>
      </c>
      <c r="F15" s="44" t="s">
        <v>252</v>
      </c>
      <c r="G15" s="45"/>
    </row>
    <row r="16" customFormat="false" ht="13.8" hidden="false" customHeight="false" outlineLevel="0" collapsed="false">
      <c r="A16" s="43" t="s">
        <v>253</v>
      </c>
      <c r="B16" s="44" t="s">
        <v>254</v>
      </c>
      <c r="C16" s="44" t="s">
        <v>255</v>
      </c>
      <c r="D16" s="44" t="n">
        <v>1959</v>
      </c>
      <c r="E16" s="44" t="n">
        <v>1</v>
      </c>
      <c r="F16" s="44" t="s">
        <v>258</v>
      </c>
      <c r="G16" s="45"/>
    </row>
    <row r="17" customFormat="false" ht="13.8" hidden="false" customHeight="false" outlineLevel="0" collapsed="false">
      <c r="A17" s="43" t="s">
        <v>259</v>
      </c>
      <c r="B17" s="44" t="s">
        <v>260</v>
      </c>
      <c r="C17" s="44" t="s">
        <v>91</v>
      </c>
      <c r="D17" s="44" t="n">
        <v>1959</v>
      </c>
      <c r="E17" s="44" t="n">
        <v>1</v>
      </c>
      <c r="F17" s="44" t="s">
        <v>262</v>
      </c>
      <c r="G17" s="45"/>
    </row>
    <row r="18" customFormat="false" ht="13.8" hidden="false" customHeight="false" outlineLevel="0" collapsed="false">
      <c r="A18" s="43" t="s">
        <v>473</v>
      </c>
      <c r="B18" s="44" t="s">
        <v>474</v>
      </c>
      <c r="C18" s="44" t="s">
        <v>255</v>
      </c>
      <c r="D18" s="44" t="n">
        <v>2014</v>
      </c>
      <c r="E18" s="44" t="s">
        <v>861</v>
      </c>
      <c r="F18" s="44" t="s">
        <v>476</v>
      </c>
      <c r="G18" s="45"/>
    </row>
    <row r="19" customFormat="false" ht="13.8" hidden="false" customHeight="false" outlineLevel="0" collapsed="false">
      <c r="A19" s="43" t="s">
        <v>564</v>
      </c>
      <c r="B19" s="44" t="s">
        <v>565</v>
      </c>
      <c r="C19" s="44" t="s">
        <v>528</v>
      </c>
      <c r="D19" s="44" t="n">
        <v>1955</v>
      </c>
      <c r="E19" s="44" t="s">
        <v>861</v>
      </c>
      <c r="F19" s="44" t="s">
        <v>566</v>
      </c>
      <c r="G19" s="45"/>
    </row>
    <row r="20" customFormat="false" ht="13.8" hidden="false" customHeight="false" outlineLevel="0" collapsed="false">
      <c r="A20" s="43" t="s">
        <v>363</v>
      </c>
      <c r="B20" s="44" t="s">
        <v>364</v>
      </c>
      <c r="C20" s="44" t="s">
        <v>316</v>
      </c>
      <c r="D20" s="44" t="n">
        <v>1986</v>
      </c>
      <c r="E20" s="44" t="s">
        <v>861</v>
      </c>
      <c r="F20" s="44" t="s">
        <v>365</v>
      </c>
      <c r="G20" s="45"/>
    </row>
    <row r="21" customFormat="false" ht="13.8" hidden="false" customHeight="false" outlineLevel="0" collapsed="false">
      <c r="A21" s="43" t="s">
        <v>610</v>
      </c>
      <c r="B21" s="44" t="s">
        <v>611</v>
      </c>
      <c r="C21" s="44" t="s">
        <v>603</v>
      </c>
      <c r="D21" s="44" t="n">
        <v>1975</v>
      </c>
      <c r="E21" s="44" t="s">
        <v>861</v>
      </c>
      <c r="F21" s="44" t="s">
        <v>612</v>
      </c>
      <c r="G21" s="45"/>
    </row>
    <row r="22" customFormat="false" ht="13.8" hidden="false" customHeight="false" outlineLevel="0" collapsed="false">
      <c r="A22" s="43" t="s">
        <v>606</v>
      </c>
      <c r="B22" s="44" t="s">
        <v>607</v>
      </c>
      <c r="C22" s="44" t="s">
        <v>603</v>
      </c>
      <c r="D22" s="44" t="n">
        <v>1957</v>
      </c>
      <c r="E22" s="44" t="s">
        <v>861</v>
      </c>
      <c r="F22" s="44" t="s">
        <v>609</v>
      </c>
      <c r="G22" s="45"/>
    </row>
    <row r="23" customFormat="false" ht="13.8" hidden="false" customHeight="false" outlineLevel="0" collapsed="false">
      <c r="A23" s="43" t="s">
        <v>627</v>
      </c>
      <c r="B23" s="44" t="s">
        <v>628</v>
      </c>
      <c r="C23" s="44" t="s">
        <v>603</v>
      </c>
      <c r="D23" s="44" t="n">
        <v>1955</v>
      </c>
      <c r="E23" s="44" t="s">
        <v>861</v>
      </c>
      <c r="F23" s="44" t="s">
        <v>630</v>
      </c>
      <c r="G23" s="45"/>
    </row>
    <row r="24" customFormat="false" ht="13.8" hidden="false" customHeight="false" outlineLevel="0" collapsed="false">
      <c r="A24" s="43" t="s">
        <v>613</v>
      </c>
      <c r="B24" s="44" t="s">
        <v>614</v>
      </c>
      <c r="C24" s="44" t="s">
        <v>603</v>
      </c>
      <c r="D24" s="44" t="n">
        <v>1989</v>
      </c>
      <c r="E24" s="44" t="s">
        <v>861</v>
      </c>
      <c r="F24" s="44" t="s">
        <v>615</v>
      </c>
      <c r="G24" s="45"/>
    </row>
    <row r="25" customFormat="false" ht="13.8" hidden="false" customHeight="false" outlineLevel="0" collapsed="false">
      <c r="A25" s="43" t="s">
        <v>631</v>
      </c>
      <c r="B25" s="44" t="s">
        <v>632</v>
      </c>
      <c r="C25" s="44" t="s">
        <v>603</v>
      </c>
      <c r="D25" s="44" t="n">
        <v>1975</v>
      </c>
      <c r="E25" s="44" t="s">
        <v>861</v>
      </c>
      <c r="F25" s="44" t="s">
        <v>634</v>
      </c>
      <c r="G25" s="45"/>
    </row>
    <row r="26" customFormat="false" ht="13.8" hidden="false" customHeight="false" outlineLevel="0" collapsed="false">
      <c r="A26" s="43" t="s">
        <v>348</v>
      </c>
      <c r="B26" s="44" t="s">
        <v>349</v>
      </c>
      <c r="C26" s="44" t="s">
        <v>316</v>
      </c>
      <c r="D26" s="44" t="n">
        <v>1986</v>
      </c>
      <c r="E26" s="44" t="n">
        <v>10</v>
      </c>
      <c r="F26" s="44" t="s">
        <v>354</v>
      </c>
      <c r="G26" s="45"/>
    </row>
    <row r="27" customFormat="false" ht="13.8" hidden="false" customHeight="false" outlineLevel="0" collapsed="false">
      <c r="A27" s="43" t="s">
        <v>355</v>
      </c>
      <c r="B27" s="44" t="s">
        <v>356</v>
      </c>
      <c r="C27" s="44" t="s">
        <v>316</v>
      </c>
      <c r="D27" s="44" t="n">
        <v>1986</v>
      </c>
      <c r="E27" s="44" t="n">
        <v>6</v>
      </c>
      <c r="F27" s="44" t="s">
        <v>354</v>
      </c>
      <c r="G27" s="45"/>
    </row>
    <row r="28" customFormat="false" ht="13.8" hidden="false" customHeight="false" outlineLevel="0" collapsed="false">
      <c r="A28" s="43" t="s">
        <v>340</v>
      </c>
      <c r="B28" s="44" t="s">
        <v>341</v>
      </c>
      <c r="C28" s="44" t="s">
        <v>91</v>
      </c>
      <c r="D28" s="44" t="n">
        <v>1986</v>
      </c>
      <c r="E28" s="44" t="s">
        <v>861</v>
      </c>
      <c r="F28" s="44" t="s">
        <v>344</v>
      </c>
      <c r="G28" s="45"/>
    </row>
    <row r="29" customFormat="false" ht="13.8" hidden="false" customHeight="false" outlineLevel="0" collapsed="false">
      <c r="A29" s="43" t="s">
        <v>345</v>
      </c>
      <c r="B29" s="44" t="s">
        <v>346</v>
      </c>
      <c r="C29" s="44" t="s">
        <v>316</v>
      </c>
      <c r="D29" s="44" t="n">
        <v>1986</v>
      </c>
      <c r="E29" s="44" t="s">
        <v>861</v>
      </c>
      <c r="F29" s="44" t="s">
        <v>347</v>
      </c>
      <c r="G29" s="45"/>
    </row>
    <row r="30" customFormat="false" ht="13.8" hidden="false" customHeight="false" outlineLevel="0" collapsed="false">
      <c r="A30" s="43" t="s">
        <v>192</v>
      </c>
      <c r="B30" s="44" t="s">
        <v>190</v>
      </c>
      <c r="C30" s="44" t="s">
        <v>152</v>
      </c>
      <c r="D30" s="44" t="n">
        <v>1982</v>
      </c>
      <c r="E30" s="44" t="n">
        <v>3</v>
      </c>
      <c r="F30" s="44" t="s">
        <v>196</v>
      </c>
      <c r="G30" s="45"/>
    </row>
    <row r="31" customFormat="false" ht="13.8" hidden="false" customHeight="false" outlineLevel="0" collapsed="false">
      <c r="A31" s="43" t="s">
        <v>185</v>
      </c>
      <c r="B31" s="44" t="s">
        <v>186</v>
      </c>
      <c r="C31" s="44" t="s">
        <v>152</v>
      </c>
      <c r="D31" s="44" t="n">
        <v>1982</v>
      </c>
      <c r="E31" s="44" t="n">
        <v>4</v>
      </c>
      <c r="F31" s="44" t="s">
        <v>191</v>
      </c>
      <c r="G31" s="45"/>
    </row>
    <row r="32" customFormat="false" ht="13.8" hidden="false" customHeight="false" outlineLevel="0" collapsed="false">
      <c r="A32" s="43" t="s">
        <v>329</v>
      </c>
      <c r="B32" s="44" t="s">
        <v>330</v>
      </c>
      <c r="C32" s="44" t="s">
        <v>316</v>
      </c>
      <c r="D32" s="44" t="n">
        <v>1979</v>
      </c>
      <c r="E32" s="44" t="n">
        <v>2</v>
      </c>
      <c r="F32" s="44" t="s">
        <v>332</v>
      </c>
      <c r="G32" s="45"/>
    </row>
    <row r="33" customFormat="false" ht="13.8" hidden="false" customHeight="false" outlineLevel="0" collapsed="false">
      <c r="A33" s="43" t="s">
        <v>333</v>
      </c>
      <c r="B33" s="44" t="s">
        <v>334</v>
      </c>
      <c r="C33" s="44" t="s">
        <v>316</v>
      </c>
      <c r="D33" s="44" t="n">
        <v>1979</v>
      </c>
      <c r="E33" s="44" t="n">
        <v>2</v>
      </c>
      <c r="F33" s="44" t="s">
        <v>336</v>
      </c>
      <c r="G33" s="45"/>
    </row>
    <row r="34" customFormat="false" ht="13.8" hidden="false" customHeight="false" outlineLevel="0" collapsed="false">
      <c r="A34" s="43" t="s">
        <v>314</v>
      </c>
      <c r="B34" s="44" t="s">
        <v>315</v>
      </c>
      <c r="C34" s="44" t="s">
        <v>316</v>
      </c>
      <c r="D34" s="44" t="n">
        <v>1979</v>
      </c>
      <c r="E34" s="44" t="n">
        <v>6</v>
      </c>
      <c r="F34" s="44" t="s">
        <v>321</v>
      </c>
      <c r="G34" s="45"/>
    </row>
    <row r="35" customFormat="false" ht="13.8" hidden="false" customHeight="false" outlineLevel="0" collapsed="false">
      <c r="A35" s="43" t="s">
        <v>322</v>
      </c>
      <c r="B35" s="44" t="s">
        <v>323</v>
      </c>
      <c r="C35" s="44" t="s">
        <v>316</v>
      </c>
      <c r="D35" s="44" t="n">
        <v>1979</v>
      </c>
      <c r="E35" s="44" t="n">
        <v>6</v>
      </c>
      <c r="F35" s="44" t="s">
        <v>328</v>
      </c>
      <c r="G35" s="45"/>
    </row>
    <row r="36" customFormat="false" ht="13.8" hidden="false" customHeight="false" outlineLevel="0" collapsed="false">
      <c r="A36" s="43" t="s">
        <v>337</v>
      </c>
      <c r="B36" s="44" t="s">
        <v>338</v>
      </c>
      <c r="C36" s="44" t="s">
        <v>91</v>
      </c>
      <c r="D36" s="44" t="n">
        <v>1979</v>
      </c>
      <c r="E36" s="44" t="s">
        <v>861</v>
      </c>
      <c r="F36" s="44" t="s">
        <v>339</v>
      </c>
      <c r="G36" s="45"/>
    </row>
    <row r="37" customFormat="false" ht="13.8" hidden="false" customHeight="false" outlineLevel="0" collapsed="false">
      <c r="A37" s="43" t="s">
        <v>379</v>
      </c>
      <c r="B37" s="44" t="s">
        <v>380</v>
      </c>
      <c r="C37" s="44" t="s">
        <v>152</v>
      </c>
      <c r="D37" s="44" t="n">
        <v>1985</v>
      </c>
      <c r="E37" s="44" t="s">
        <v>861</v>
      </c>
      <c r="F37" s="44" t="s">
        <v>381</v>
      </c>
      <c r="G37" s="45"/>
    </row>
    <row r="38" customFormat="false" ht="13.8" hidden="false" customHeight="false" outlineLevel="0" collapsed="false">
      <c r="A38" s="43" t="s">
        <v>359</v>
      </c>
      <c r="B38" s="44" t="s">
        <v>360</v>
      </c>
      <c r="C38" s="44" t="s">
        <v>152</v>
      </c>
      <c r="D38" s="44" t="n">
        <v>1986</v>
      </c>
      <c r="E38" s="44" t="s">
        <v>861</v>
      </c>
      <c r="F38" s="44" t="s">
        <v>362</v>
      </c>
      <c r="G38" s="45"/>
    </row>
    <row r="39" customFormat="false" ht="13.8" hidden="false" customHeight="false" outlineLevel="0" collapsed="false">
      <c r="A39" s="43" t="s">
        <v>366</v>
      </c>
      <c r="B39" s="44" t="s">
        <v>367</v>
      </c>
      <c r="C39" s="44" t="s">
        <v>316</v>
      </c>
      <c r="D39" s="44" t="n">
        <v>1986</v>
      </c>
      <c r="E39" s="44" t="s">
        <v>861</v>
      </c>
      <c r="F39" s="44" t="s">
        <v>369</v>
      </c>
      <c r="G39" s="45"/>
    </row>
    <row r="40" customFormat="false" ht="13.8" hidden="false" customHeight="false" outlineLevel="0" collapsed="false">
      <c r="A40" s="43" t="s">
        <v>427</v>
      </c>
      <c r="B40" s="44" t="s">
        <v>425</v>
      </c>
      <c r="C40" s="44" t="s">
        <v>91</v>
      </c>
      <c r="D40" s="44" t="n">
        <v>1993</v>
      </c>
      <c r="E40" s="44" t="n">
        <v>2</v>
      </c>
      <c r="F40" s="44" t="s">
        <v>429</v>
      </c>
      <c r="G40" s="45"/>
    </row>
    <row r="41" customFormat="false" ht="13.8" hidden="false" customHeight="false" outlineLevel="0" collapsed="false">
      <c r="A41" s="43" t="s">
        <v>374</v>
      </c>
      <c r="B41" s="44" t="s">
        <v>375</v>
      </c>
      <c r="C41" s="44" t="s">
        <v>91</v>
      </c>
      <c r="D41" s="44" t="n">
        <v>1985</v>
      </c>
      <c r="E41" s="44" t="s">
        <v>861</v>
      </c>
      <c r="F41" s="44" t="s">
        <v>378</v>
      </c>
      <c r="G41" s="45"/>
    </row>
    <row r="42" customFormat="false" ht="13.8" hidden="false" customHeight="false" outlineLevel="0" collapsed="false">
      <c r="A42" s="43" t="s">
        <v>370</v>
      </c>
      <c r="B42" s="44" t="s">
        <v>371</v>
      </c>
      <c r="C42" s="44" t="s">
        <v>372</v>
      </c>
      <c r="D42" s="44" t="n">
        <v>1986</v>
      </c>
      <c r="E42" s="44" t="s">
        <v>861</v>
      </c>
      <c r="F42" s="44" t="s">
        <v>373</v>
      </c>
      <c r="G42" s="45"/>
    </row>
    <row r="43" customFormat="false" ht="13.8" hidden="false" customHeight="false" outlineLevel="0" collapsed="false">
      <c r="A43" s="43" t="s">
        <v>653</v>
      </c>
      <c r="B43" s="44" t="s">
        <v>654</v>
      </c>
      <c r="C43" s="44" t="s">
        <v>603</v>
      </c>
      <c r="D43" s="44" t="n">
        <v>2018</v>
      </c>
      <c r="E43" s="44" t="s">
        <v>861</v>
      </c>
      <c r="F43" s="44" t="s">
        <v>656</v>
      </c>
      <c r="G43" s="45"/>
    </row>
    <row r="44" customFormat="false" ht="13.8" hidden="false" customHeight="false" outlineLevel="0" collapsed="false">
      <c r="A44" s="43" t="s">
        <v>661</v>
      </c>
      <c r="B44" s="44" t="s">
        <v>662</v>
      </c>
      <c r="C44" s="44" t="s">
        <v>603</v>
      </c>
      <c r="D44" s="44" t="n">
        <v>2018</v>
      </c>
      <c r="E44" s="44" t="s">
        <v>861</v>
      </c>
      <c r="F44" s="44" t="s">
        <v>664</v>
      </c>
      <c r="G44" s="45"/>
    </row>
    <row r="45" customFormat="false" ht="13.8" hidden="false" customHeight="false" outlineLevel="0" collapsed="false">
      <c r="A45" s="43" t="s">
        <v>657</v>
      </c>
      <c r="B45" s="44" t="s">
        <v>658</v>
      </c>
      <c r="C45" s="44" t="s">
        <v>603</v>
      </c>
      <c r="D45" s="44" t="n">
        <v>2018</v>
      </c>
      <c r="E45" s="44" t="s">
        <v>861</v>
      </c>
      <c r="F45" s="44" t="s">
        <v>660</v>
      </c>
      <c r="G45" s="45"/>
    </row>
    <row r="46" customFormat="false" ht="13.8" hidden="false" customHeight="false" outlineLevel="0" collapsed="false">
      <c r="A46" s="43" t="s">
        <v>430</v>
      </c>
      <c r="B46" s="44" t="s">
        <v>431</v>
      </c>
      <c r="C46" s="44" t="s">
        <v>152</v>
      </c>
      <c r="D46" s="44" t="n">
        <v>1994</v>
      </c>
      <c r="E46" s="44" t="s">
        <v>861</v>
      </c>
      <c r="F46" s="44" t="s">
        <v>432</v>
      </c>
      <c r="G46" s="45"/>
    </row>
    <row r="47" customFormat="false" ht="13.8" hidden="false" customHeight="false" outlineLevel="0" collapsed="false">
      <c r="A47" s="43" t="s">
        <v>647</v>
      </c>
      <c r="B47" s="44" t="s">
        <v>648</v>
      </c>
      <c r="C47" s="44" t="s">
        <v>649</v>
      </c>
      <c r="D47" s="44" t="n">
        <v>1997</v>
      </c>
      <c r="E47" s="44" t="s">
        <v>861</v>
      </c>
      <c r="F47" s="44" t="s">
        <v>650</v>
      </c>
      <c r="G47" s="45"/>
    </row>
    <row r="48" customFormat="false" ht="13.8" hidden="false" customHeight="false" outlineLevel="0" collapsed="false">
      <c r="A48" s="43" t="s">
        <v>651</v>
      </c>
      <c r="B48" s="44" t="s">
        <v>652</v>
      </c>
      <c r="C48" s="44" t="s">
        <v>649</v>
      </c>
      <c r="D48" s="44" t="n">
        <v>1997</v>
      </c>
      <c r="E48" s="44" t="s">
        <v>861</v>
      </c>
      <c r="F48" s="44" t="s">
        <v>650</v>
      </c>
      <c r="G48" s="45"/>
    </row>
    <row r="49" customFormat="false" ht="13.8" hidden="false" customHeight="false" outlineLevel="0" collapsed="false">
      <c r="A49" s="43" t="s">
        <v>635</v>
      </c>
      <c r="B49" s="44" t="s">
        <v>636</v>
      </c>
      <c r="C49" s="44" t="s">
        <v>594</v>
      </c>
      <c r="D49" s="44" t="n">
        <v>1997</v>
      </c>
      <c r="E49" s="44" t="n">
        <v>7</v>
      </c>
      <c r="F49" s="44" t="s">
        <v>641</v>
      </c>
      <c r="G49" s="45"/>
    </row>
    <row r="50" customFormat="false" ht="13.8" hidden="false" customHeight="false" outlineLevel="0" collapsed="false">
      <c r="A50" s="43" t="s">
        <v>643</v>
      </c>
      <c r="B50" s="44" t="s">
        <v>644</v>
      </c>
      <c r="C50" s="44" t="s">
        <v>594</v>
      </c>
      <c r="D50" s="44" t="n">
        <v>1997</v>
      </c>
      <c r="E50" s="44" t="n">
        <v>8</v>
      </c>
      <c r="F50" s="44" t="s">
        <v>646</v>
      </c>
      <c r="G50" s="45"/>
    </row>
    <row r="51" customFormat="false" ht="13.8" hidden="false" customHeight="false" outlineLevel="0" collapsed="false">
      <c r="A51" s="43" t="s">
        <v>393</v>
      </c>
      <c r="B51" s="44" t="s">
        <v>394</v>
      </c>
      <c r="C51" s="44" t="s">
        <v>372</v>
      </c>
      <c r="D51" s="44" t="n">
        <v>1992</v>
      </c>
      <c r="E51" s="44" t="n">
        <v>20</v>
      </c>
      <c r="F51" s="44" t="s">
        <v>400</v>
      </c>
      <c r="G51" s="45"/>
    </row>
    <row r="52" customFormat="false" ht="13.8" hidden="false" customHeight="false" outlineLevel="0" collapsed="false">
      <c r="A52" s="43" t="s">
        <v>401</v>
      </c>
      <c r="B52" s="44" t="s">
        <v>402</v>
      </c>
      <c r="C52" s="44" t="s">
        <v>372</v>
      </c>
      <c r="D52" s="44" t="n">
        <v>1992</v>
      </c>
      <c r="E52" s="44" t="n">
        <v>16</v>
      </c>
      <c r="F52" s="44" t="s">
        <v>408</v>
      </c>
      <c r="G52" s="45"/>
    </row>
    <row r="53" customFormat="false" ht="13.8" hidden="false" customHeight="false" outlineLevel="0" collapsed="false">
      <c r="A53" s="43" t="s">
        <v>521</v>
      </c>
      <c r="B53" s="44" t="s">
        <v>522</v>
      </c>
      <c r="C53" s="44" t="s">
        <v>255</v>
      </c>
      <c r="D53" s="44" t="n">
        <v>2022</v>
      </c>
      <c r="E53" s="44" t="n">
        <v>5</v>
      </c>
      <c r="F53" s="44" t="s">
        <v>525</v>
      </c>
      <c r="G53" s="45"/>
    </row>
    <row r="54" customFormat="false" ht="13.8" hidden="false" customHeight="false" outlineLevel="0" collapsed="false">
      <c r="A54" s="43" t="s">
        <v>540</v>
      </c>
      <c r="B54" s="44" t="s">
        <v>541</v>
      </c>
      <c r="C54" s="44" t="s">
        <v>528</v>
      </c>
      <c r="D54" s="44" t="n">
        <v>2007</v>
      </c>
      <c r="E54" s="44" t="s">
        <v>861</v>
      </c>
      <c r="F54" s="44" t="s">
        <v>543</v>
      </c>
      <c r="G54" s="45"/>
    </row>
    <row r="55" customFormat="false" ht="13.8" hidden="false" customHeight="false" outlineLevel="0" collapsed="false">
      <c r="A55" s="43" t="s">
        <v>110</v>
      </c>
      <c r="B55" s="44" t="s">
        <v>111</v>
      </c>
      <c r="C55" s="44" t="s">
        <v>91</v>
      </c>
      <c r="D55" s="44" t="n">
        <v>1911</v>
      </c>
      <c r="E55" s="44" t="n">
        <v>2</v>
      </c>
      <c r="F55" s="44" t="s">
        <v>116</v>
      </c>
      <c r="G55" s="45"/>
    </row>
    <row r="56" customFormat="false" ht="13.8" hidden="false" customHeight="false" outlineLevel="0" collapsed="false">
      <c r="A56" s="43" t="s">
        <v>117</v>
      </c>
      <c r="B56" s="44" t="s">
        <v>118</v>
      </c>
      <c r="C56" s="44" t="s">
        <v>91</v>
      </c>
      <c r="D56" s="44" t="n">
        <v>1911</v>
      </c>
      <c r="E56" s="44" t="n">
        <v>3</v>
      </c>
      <c r="F56" s="44" t="s">
        <v>116</v>
      </c>
      <c r="G56" s="45"/>
    </row>
    <row r="57" customFormat="false" ht="13.8" hidden="false" customHeight="false" outlineLevel="0" collapsed="false">
      <c r="A57" s="43" t="s">
        <v>122</v>
      </c>
      <c r="B57" s="44" t="s">
        <v>123</v>
      </c>
      <c r="C57" s="44" t="s">
        <v>91</v>
      </c>
      <c r="D57" s="44" t="n">
        <v>1911</v>
      </c>
      <c r="E57" s="44" t="n">
        <v>4</v>
      </c>
      <c r="F57" s="44" t="s">
        <v>116</v>
      </c>
      <c r="G57" s="45"/>
    </row>
    <row r="58" customFormat="false" ht="13.8" hidden="false" customHeight="false" outlineLevel="0" collapsed="false">
      <c r="A58" s="43" t="s">
        <v>127</v>
      </c>
      <c r="B58" s="44" t="s">
        <v>128</v>
      </c>
      <c r="C58" s="44" t="s">
        <v>91</v>
      </c>
      <c r="D58" s="44" t="n">
        <v>1911</v>
      </c>
      <c r="E58" s="44" t="n">
        <v>5</v>
      </c>
      <c r="F58" s="44" t="s">
        <v>116</v>
      </c>
      <c r="G58" s="45"/>
    </row>
    <row r="59" customFormat="false" ht="13.8" hidden="false" customHeight="false" outlineLevel="0" collapsed="false">
      <c r="A59" s="43" t="s">
        <v>132</v>
      </c>
      <c r="B59" s="44" t="s">
        <v>133</v>
      </c>
      <c r="C59" s="44" t="s">
        <v>91</v>
      </c>
      <c r="D59" s="44" t="n">
        <v>1911</v>
      </c>
      <c r="E59" s="44" t="n">
        <v>6</v>
      </c>
      <c r="F59" s="44" t="s">
        <v>116</v>
      </c>
      <c r="G59" s="45"/>
    </row>
    <row r="60" customFormat="false" ht="13.8" hidden="false" customHeight="false" outlineLevel="0" collapsed="false">
      <c r="A60" s="43" t="s">
        <v>137</v>
      </c>
      <c r="B60" s="44" t="s">
        <v>138</v>
      </c>
      <c r="C60" s="44" t="s">
        <v>91</v>
      </c>
      <c r="D60" s="44" t="n">
        <v>1925</v>
      </c>
      <c r="E60" s="44" t="n">
        <v>5</v>
      </c>
      <c r="F60" s="44" t="s">
        <v>144</v>
      </c>
      <c r="G60" s="45"/>
    </row>
    <row r="61" customFormat="false" ht="13.8" hidden="false" customHeight="false" outlineLevel="0" collapsed="false">
      <c r="A61" s="43" t="s">
        <v>145</v>
      </c>
      <c r="B61" s="44" t="s">
        <v>146</v>
      </c>
      <c r="C61" s="44" t="s">
        <v>91</v>
      </c>
      <c r="D61" s="44" t="n">
        <v>1925</v>
      </c>
      <c r="E61" s="44" t="s">
        <v>861</v>
      </c>
      <c r="F61" s="44" t="s">
        <v>149</v>
      </c>
      <c r="G61" s="45"/>
    </row>
    <row r="62" customFormat="false" ht="13.8" hidden="false" customHeight="false" outlineLevel="0" collapsed="false">
      <c r="A62" s="43" t="s">
        <v>282</v>
      </c>
      <c r="B62" s="44" t="s">
        <v>283</v>
      </c>
      <c r="C62" s="44" t="s">
        <v>152</v>
      </c>
      <c r="D62" s="44" t="n">
        <v>1991</v>
      </c>
      <c r="E62" s="44" t="n">
        <v>1</v>
      </c>
      <c r="F62" s="44" t="s">
        <v>286</v>
      </c>
      <c r="G62" s="45"/>
    </row>
    <row r="63" customFormat="false" ht="13.8" hidden="false" customHeight="false" outlineLevel="0" collapsed="false">
      <c r="A63" s="43" t="s">
        <v>551</v>
      </c>
      <c r="B63" s="44" t="s">
        <v>552</v>
      </c>
      <c r="C63" s="44" t="s">
        <v>546</v>
      </c>
      <c r="D63" s="44" t="n">
        <v>1938</v>
      </c>
      <c r="E63" s="44" t="s">
        <v>861</v>
      </c>
      <c r="F63" s="44" t="s">
        <v>553</v>
      </c>
      <c r="G63" s="45"/>
    </row>
    <row r="64" customFormat="false" ht="13.8" hidden="false" customHeight="false" outlineLevel="0" collapsed="false">
      <c r="A64" s="43" t="s">
        <v>554</v>
      </c>
      <c r="B64" s="44" t="s">
        <v>555</v>
      </c>
      <c r="C64" s="44" t="s">
        <v>528</v>
      </c>
      <c r="D64" s="44" t="n">
        <v>1936</v>
      </c>
      <c r="E64" s="44" t="s">
        <v>861</v>
      </c>
      <c r="F64" s="44" t="s">
        <v>557</v>
      </c>
      <c r="G64" s="45"/>
    </row>
    <row r="65" customFormat="false" ht="13.8" hidden="false" customHeight="false" outlineLevel="0" collapsed="false">
      <c r="A65" s="43" t="s">
        <v>592</v>
      </c>
      <c r="B65" s="44" t="s">
        <v>593</v>
      </c>
      <c r="C65" s="44" t="s">
        <v>594</v>
      </c>
      <c r="D65" s="44" t="n">
        <v>1905</v>
      </c>
      <c r="E65" s="44" t="s">
        <v>861</v>
      </c>
      <c r="F65" s="44" t="s">
        <v>596</v>
      </c>
      <c r="G65" s="45"/>
    </row>
    <row r="66" customFormat="false" ht="13.8" hidden="false" customHeight="false" outlineLevel="0" collapsed="false">
      <c r="A66" s="46" t="s">
        <v>197</v>
      </c>
      <c r="B66" s="44" t="s">
        <v>207</v>
      </c>
      <c r="C66" s="44" t="s">
        <v>152</v>
      </c>
      <c r="D66" s="44" t="n">
        <v>1960</v>
      </c>
      <c r="E66" s="44" t="n">
        <v>8</v>
      </c>
      <c r="F66" s="44" t="s">
        <v>210</v>
      </c>
      <c r="G66" s="45"/>
    </row>
    <row r="67" customFormat="false" ht="13.8" hidden="false" customHeight="false" outlineLevel="0" collapsed="false">
      <c r="A67" s="47"/>
      <c r="B67" s="44" t="s">
        <v>198</v>
      </c>
      <c r="C67" s="44" t="s">
        <v>152</v>
      </c>
      <c r="D67" s="44" t="n">
        <v>1960</v>
      </c>
      <c r="E67" s="44" t="n">
        <v>6</v>
      </c>
      <c r="F67" s="44" t="s">
        <v>206</v>
      </c>
      <c r="G67" s="45"/>
    </row>
    <row r="68" customFormat="false" ht="13.8" hidden="false" customHeight="false" outlineLevel="0" collapsed="false">
      <c r="A68" s="43" t="s">
        <v>278</v>
      </c>
      <c r="B68" s="44" t="s">
        <v>279</v>
      </c>
      <c r="C68" s="44" t="s">
        <v>152</v>
      </c>
      <c r="D68" s="44" t="n">
        <v>1985</v>
      </c>
      <c r="E68" s="44" t="n">
        <v>3</v>
      </c>
      <c r="F68" s="44" t="s">
        <v>281</v>
      </c>
      <c r="G68" s="45"/>
    </row>
    <row r="69" customFormat="false" ht="13.8" hidden="false" customHeight="false" outlineLevel="0" collapsed="false">
      <c r="A69" s="43" t="s">
        <v>544</v>
      </c>
      <c r="B69" s="44" t="s">
        <v>545</v>
      </c>
      <c r="C69" s="44" t="s">
        <v>546</v>
      </c>
      <c r="D69" s="44" t="n">
        <v>1924</v>
      </c>
      <c r="E69" s="44" t="s">
        <v>861</v>
      </c>
      <c r="F69" s="44" t="s">
        <v>550</v>
      </c>
      <c r="G69" s="45"/>
    </row>
    <row r="70" customFormat="false" ht="13.8" hidden="false" customHeight="false" outlineLevel="0" collapsed="false">
      <c r="A70" s="43" t="s">
        <v>87</v>
      </c>
      <c r="B70" s="44" t="s">
        <v>88</v>
      </c>
      <c r="C70" s="44" t="s">
        <v>91</v>
      </c>
      <c r="D70" s="44" t="n">
        <v>1907</v>
      </c>
      <c r="E70" s="44" t="n">
        <v>1</v>
      </c>
      <c r="F70" s="44" t="s">
        <v>98</v>
      </c>
      <c r="G70" s="45"/>
    </row>
    <row r="71" customFormat="false" ht="13.8" hidden="false" customHeight="false" outlineLevel="0" collapsed="false">
      <c r="A71" s="43" t="s">
        <v>99</v>
      </c>
      <c r="B71" s="44" t="s">
        <v>100</v>
      </c>
      <c r="C71" s="44" t="s">
        <v>91</v>
      </c>
      <c r="D71" s="44" t="n">
        <v>1907</v>
      </c>
      <c r="E71" s="44" t="n">
        <v>2</v>
      </c>
      <c r="F71" s="44" t="s">
        <v>98</v>
      </c>
      <c r="G71" s="45"/>
    </row>
    <row r="72" customFormat="false" ht="13.8" hidden="false" customHeight="false" outlineLevel="0" collapsed="false">
      <c r="A72" s="43" t="s">
        <v>105</v>
      </c>
      <c r="B72" s="44" t="s">
        <v>106</v>
      </c>
      <c r="C72" s="44" t="s">
        <v>91</v>
      </c>
      <c r="D72" s="44" t="n">
        <v>1907</v>
      </c>
      <c r="E72" s="44" t="n">
        <v>3</v>
      </c>
      <c r="F72" s="44" t="s">
        <v>98</v>
      </c>
      <c r="G72" s="45"/>
    </row>
    <row r="73" customFormat="false" ht="13.8" hidden="false" customHeight="false" outlineLevel="0" collapsed="false">
      <c r="A73" s="43" t="s">
        <v>537</v>
      </c>
      <c r="B73" s="44" t="s">
        <v>538</v>
      </c>
      <c r="C73" s="44" t="s">
        <v>528</v>
      </c>
      <c r="D73" s="44" t="n">
        <v>1968</v>
      </c>
      <c r="E73" s="44" t="s">
        <v>861</v>
      </c>
      <c r="F73" s="44" t="s">
        <v>539</v>
      </c>
      <c r="G73" s="45"/>
    </row>
    <row r="74" customFormat="false" ht="13.8" hidden="false" customHeight="false" outlineLevel="0" collapsed="false">
      <c r="A74" s="43" t="s">
        <v>526</v>
      </c>
      <c r="B74" s="44" t="s">
        <v>527</v>
      </c>
      <c r="C74" s="44" t="s">
        <v>528</v>
      </c>
      <c r="D74" s="44" t="n">
        <v>1907</v>
      </c>
      <c r="E74" s="44" t="s">
        <v>861</v>
      </c>
      <c r="F74" s="44" t="s">
        <v>532</v>
      </c>
      <c r="G74" s="45"/>
    </row>
    <row r="75" customFormat="false" ht="13.8" hidden="false" customHeight="false" outlineLevel="0" collapsed="false">
      <c r="A75" s="43" t="s">
        <v>150</v>
      </c>
      <c r="B75" s="44" t="s">
        <v>151</v>
      </c>
      <c r="C75" s="44" t="s">
        <v>152</v>
      </c>
      <c r="D75" s="44" t="n">
        <v>1936</v>
      </c>
      <c r="E75" s="44" t="s">
        <v>861</v>
      </c>
      <c r="F75" s="44" t="s">
        <v>155</v>
      </c>
      <c r="G75" s="45"/>
    </row>
    <row r="76" customFormat="false" ht="13.8" hidden="false" customHeight="false" outlineLevel="0" collapsed="false">
      <c r="A76" s="43" t="s">
        <v>156</v>
      </c>
      <c r="B76" s="44" t="s">
        <v>157</v>
      </c>
      <c r="C76" s="44" t="s">
        <v>152</v>
      </c>
      <c r="D76" s="44" t="n">
        <v>1938</v>
      </c>
      <c r="E76" s="44" t="s">
        <v>861</v>
      </c>
      <c r="F76" s="44" t="s">
        <v>158</v>
      </c>
      <c r="G76" s="45"/>
    </row>
    <row r="77" customFormat="false" ht="13.8" hidden="false" customHeight="false" outlineLevel="0" collapsed="false">
      <c r="A77" s="46" t="s">
        <v>484</v>
      </c>
      <c r="B77" s="44" t="s">
        <v>489</v>
      </c>
      <c r="C77" s="44" t="s">
        <v>91</v>
      </c>
      <c r="D77" s="44" t="n">
        <v>2014</v>
      </c>
      <c r="E77" s="44" t="n">
        <v>12</v>
      </c>
      <c r="F77" s="44" t="s">
        <v>491</v>
      </c>
      <c r="G77" s="45"/>
    </row>
    <row r="78" customFormat="false" ht="13.8" hidden="false" customHeight="false" outlineLevel="0" collapsed="false">
      <c r="A78" s="47"/>
      <c r="B78" s="44" t="s">
        <v>485</v>
      </c>
      <c r="C78" s="44" t="s">
        <v>91</v>
      </c>
      <c r="D78" s="44" t="n">
        <v>2014</v>
      </c>
      <c r="E78" s="44" t="n">
        <v>16</v>
      </c>
      <c r="F78" s="44" t="s">
        <v>488</v>
      </c>
      <c r="G78" s="45"/>
    </row>
    <row r="79" customFormat="false" ht="13.8" hidden="false" customHeight="false" outlineLevel="0" collapsed="false">
      <c r="A79" s="43" t="s">
        <v>558</v>
      </c>
      <c r="B79" s="44" t="s">
        <v>559</v>
      </c>
      <c r="C79" s="44" t="s">
        <v>546</v>
      </c>
      <c r="D79" s="44" t="n">
        <v>1936</v>
      </c>
      <c r="E79" s="44" t="s">
        <v>861</v>
      </c>
      <c r="F79" s="44" t="s">
        <v>560</v>
      </c>
      <c r="G79" s="45"/>
    </row>
    <row r="80" customFormat="false" ht="13.8" hidden="false" customHeight="false" outlineLevel="0" collapsed="false">
      <c r="A80" s="43" t="s">
        <v>561</v>
      </c>
      <c r="B80" s="44" t="s">
        <v>562</v>
      </c>
      <c r="C80" s="44" t="s">
        <v>546</v>
      </c>
      <c r="D80" s="44" t="n">
        <v>1936</v>
      </c>
      <c r="E80" s="44" t="s">
        <v>861</v>
      </c>
      <c r="F80" s="44" t="s">
        <v>563</v>
      </c>
      <c r="G80" s="45"/>
    </row>
    <row r="81" customFormat="false" ht="13.8" hidden="false" customHeight="false" outlineLevel="0" collapsed="false">
      <c r="A81" s="43" t="s">
        <v>240</v>
      </c>
      <c r="B81" s="44" t="s">
        <v>241</v>
      </c>
      <c r="C81" s="44" t="s">
        <v>91</v>
      </c>
      <c r="D81" s="44" t="n">
        <v>1975</v>
      </c>
      <c r="E81" s="44" t="n">
        <v>2</v>
      </c>
      <c r="F81" s="44" t="s">
        <v>245</v>
      </c>
      <c r="G81" s="45"/>
    </row>
    <row r="82" customFormat="false" ht="13.8" hidden="false" customHeight="false" outlineLevel="0" collapsed="false">
      <c r="A82" s="43" t="s">
        <v>441</v>
      </c>
      <c r="B82" s="44" t="s">
        <v>442</v>
      </c>
      <c r="C82" s="44" t="s">
        <v>152</v>
      </c>
      <c r="D82" s="44" t="n">
        <v>1999</v>
      </c>
      <c r="E82" s="44" t="n">
        <v>2</v>
      </c>
      <c r="F82" s="44" t="s">
        <v>440</v>
      </c>
      <c r="G82" s="45"/>
    </row>
    <row r="83" customFormat="false" ht="13.8" hidden="false" customHeight="false" outlineLevel="0" collapsed="false">
      <c r="A83" s="43" t="s">
        <v>445</v>
      </c>
      <c r="B83" s="44" t="s">
        <v>446</v>
      </c>
      <c r="C83" s="44" t="s">
        <v>152</v>
      </c>
      <c r="D83" s="44" t="n">
        <v>1999</v>
      </c>
      <c r="E83" s="44" t="n">
        <v>3</v>
      </c>
      <c r="F83" s="44" t="s">
        <v>440</v>
      </c>
      <c r="G83" s="45"/>
    </row>
    <row r="84" customFormat="false" ht="13.8" hidden="false" customHeight="false" outlineLevel="0" collapsed="false">
      <c r="A84" s="43" t="s">
        <v>448</v>
      </c>
      <c r="B84" s="44" t="s">
        <v>449</v>
      </c>
      <c r="C84" s="44" t="s">
        <v>152</v>
      </c>
      <c r="D84" s="44" t="n">
        <v>1999</v>
      </c>
      <c r="E84" s="44" t="n">
        <v>4</v>
      </c>
      <c r="F84" s="44" t="s">
        <v>440</v>
      </c>
      <c r="G84" s="45"/>
    </row>
    <row r="85" customFormat="false" ht="13.8" hidden="false" customHeight="false" outlineLevel="0" collapsed="false">
      <c r="A85" s="43" t="s">
        <v>451</v>
      </c>
      <c r="B85" s="44" t="s">
        <v>452</v>
      </c>
      <c r="C85" s="44" t="s">
        <v>152</v>
      </c>
      <c r="D85" s="44" t="n">
        <v>1999</v>
      </c>
      <c r="E85" s="44" t="n">
        <v>5</v>
      </c>
      <c r="F85" s="44" t="s">
        <v>440</v>
      </c>
      <c r="G85" s="45"/>
    </row>
    <row r="86" customFormat="false" ht="13.8" hidden="false" customHeight="false" outlineLevel="0" collapsed="false">
      <c r="A86" s="43" t="s">
        <v>433</v>
      </c>
      <c r="B86" s="44" t="s">
        <v>434</v>
      </c>
      <c r="C86" s="44" t="s">
        <v>152</v>
      </c>
      <c r="D86" s="44" t="n">
        <v>1999</v>
      </c>
      <c r="E86" s="44" t="n">
        <v>1</v>
      </c>
      <c r="F86" s="44" t="s">
        <v>440</v>
      </c>
      <c r="G86" s="45"/>
    </row>
    <row r="87" customFormat="false" ht="13.8" hidden="false" customHeight="false" outlineLevel="0" collapsed="false">
      <c r="A87" s="46" t="s">
        <v>454</v>
      </c>
      <c r="B87" s="44" t="s">
        <v>455</v>
      </c>
      <c r="C87" s="44" t="s">
        <v>152</v>
      </c>
      <c r="D87" s="44" t="n">
        <v>2003</v>
      </c>
      <c r="E87" s="44" t="n">
        <v>4</v>
      </c>
      <c r="F87" s="44" t="s">
        <v>459</v>
      </c>
      <c r="G87" s="45"/>
    </row>
    <row r="88" customFormat="false" ht="13.8" hidden="false" customHeight="false" outlineLevel="0" collapsed="false">
      <c r="A88" s="48"/>
      <c r="B88" s="44" t="s">
        <v>460</v>
      </c>
      <c r="C88" s="44" t="s">
        <v>152</v>
      </c>
      <c r="D88" s="44" t="n">
        <v>2003</v>
      </c>
      <c r="E88" s="44" t="n">
        <v>5</v>
      </c>
      <c r="F88" s="44" t="s">
        <v>459</v>
      </c>
      <c r="G88" s="45"/>
    </row>
    <row r="89" customFormat="false" ht="13.8" hidden="false" customHeight="false" outlineLevel="0" collapsed="false">
      <c r="A89" s="48"/>
      <c r="B89" s="44" t="s">
        <v>464</v>
      </c>
      <c r="C89" s="44" t="s">
        <v>152</v>
      </c>
      <c r="D89" s="44" t="n">
        <v>2003</v>
      </c>
      <c r="E89" s="44" t="n">
        <v>7</v>
      </c>
      <c r="F89" s="44" t="s">
        <v>459</v>
      </c>
      <c r="G89" s="45"/>
    </row>
    <row r="90" customFormat="false" ht="13.8" hidden="false" customHeight="false" outlineLevel="0" collapsed="false">
      <c r="A90" s="47"/>
      <c r="B90" s="44" t="s">
        <v>469</v>
      </c>
      <c r="C90" s="44" t="s">
        <v>152</v>
      </c>
      <c r="D90" s="44" t="n">
        <v>2003</v>
      </c>
      <c r="E90" s="44" t="n">
        <v>9</v>
      </c>
      <c r="F90" s="44" t="s">
        <v>459</v>
      </c>
      <c r="G90" s="45"/>
    </row>
    <row r="91" customFormat="false" ht="13.8" hidden="false" customHeight="false" outlineLevel="0" collapsed="false">
      <c r="A91" s="43" t="s">
        <v>287</v>
      </c>
      <c r="B91" s="44" t="s">
        <v>288</v>
      </c>
      <c r="C91" s="44" t="s">
        <v>152</v>
      </c>
      <c r="D91" s="44" t="n">
        <v>1991</v>
      </c>
      <c r="E91" s="44" t="n">
        <v>1</v>
      </c>
      <c r="F91" s="44" t="s">
        <v>290</v>
      </c>
      <c r="G91" s="45"/>
    </row>
    <row r="92" customFormat="false" ht="13.8" hidden="false" customHeight="false" outlineLevel="0" collapsed="false">
      <c r="A92" s="43" t="s">
        <v>510</v>
      </c>
      <c r="B92" s="44" t="s">
        <v>511</v>
      </c>
      <c r="C92" s="44" t="s">
        <v>372</v>
      </c>
      <c r="D92" s="44" t="n">
        <v>2018</v>
      </c>
      <c r="E92" s="44" t="n">
        <v>6</v>
      </c>
      <c r="F92" s="44" t="s">
        <v>515</v>
      </c>
      <c r="G92" s="45"/>
    </row>
    <row r="93" customFormat="false" ht="13.8" hidden="false" customHeight="false" outlineLevel="0" collapsed="false">
      <c r="A93" s="43" t="s">
        <v>516</v>
      </c>
      <c r="B93" s="44" t="s">
        <v>517</v>
      </c>
      <c r="C93" s="44" t="s">
        <v>91</v>
      </c>
      <c r="D93" s="44" t="n">
        <v>2020</v>
      </c>
      <c r="E93" s="44" t="n">
        <v>12</v>
      </c>
      <c r="F93" s="44" t="s">
        <v>520</v>
      </c>
      <c r="G93" s="45"/>
    </row>
    <row r="94" customFormat="false" ht="13.8" hidden="false" customHeight="false" outlineLevel="0" collapsed="false">
      <c r="A94" s="43" t="s">
        <v>616</v>
      </c>
      <c r="B94" s="44" t="s">
        <v>617</v>
      </c>
      <c r="C94" s="44" t="s">
        <v>528</v>
      </c>
      <c r="D94" s="44" t="n">
        <v>1958</v>
      </c>
      <c r="E94" s="44" t="s">
        <v>861</v>
      </c>
      <c r="F94" s="44" t="s">
        <v>619</v>
      </c>
      <c r="G94" s="45"/>
    </row>
    <row r="95" customFormat="false" ht="13.8" hidden="false" customHeight="false" outlineLevel="0" collapsed="false">
      <c r="A95" s="43" t="s">
        <v>620</v>
      </c>
      <c r="B95" s="44" t="s">
        <v>621</v>
      </c>
      <c r="C95" s="44" t="s">
        <v>528</v>
      </c>
      <c r="D95" s="44" t="n">
        <v>1964</v>
      </c>
      <c r="E95" s="44" t="n">
        <v>4</v>
      </c>
      <c r="F95" s="44" t="s">
        <v>626</v>
      </c>
      <c r="G95" s="45"/>
    </row>
    <row r="96" customFormat="false" ht="13.8" hidden="false" customHeight="false" outlineLevel="0" collapsed="false">
      <c r="A96" s="43" t="s">
        <v>601</v>
      </c>
      <c r="B96" s="44" t="s">
        <v>602</v>
      </c>
      <c r="C96" s="44" t="s">
        <v>603</v>
      </c>
      <c r="D96" s="44" t="n">
        <v>1936</v>
      </c>
      <c r="E96" s="44" t="s">
        <v>861</v>
      </c>
      <c r="F96" s="44" t="s">
        <v>605</v>
      </c>
      <c r="G96" s="45"/>
    </row>
    <row r="97" customFormat="false" ht="13.8" hidden="false" customHeight="false" outlineLevel="0" collapsed="false">
      <c r="A97" s="43" t="s">
        <v>597</v>
      </c>
      <c r="B97" s="44" t="s">
        <v>598</v>
      </c>
      <c r="C97" s="44" t="s">
        <v>594</v>
      </c>
      <c r="D97" s="44" t="n">
        <v>1936</v>
      </c>
      <c r="E97" s="44" t="s">
        <v>861</v>
      </c>
      <c r="F97" s="44" t="s">
        <v>600</v>
      </c>
      <c r="G97" s="45"/>
    </row>
    <row r="98" customFormat="false" ht="13.8" hidden="false" customHeight="false" outlineLevel="0" collapsed="false">
      <c r="A98" s="43" t="s">
        <v>573</v>
      </c>
      <c r="B98" s="44" t="s">
        <v>574</v>
      </c>
      <c r="C98" s="44" t="s">
        <v>528</v>
      </c>
      <c r="D98" s="44" t="n">
        <v>1962</v>
      </c>
      <c r="E98" s="44" t="s">
        <v>861</v>
      </c>
      <c r="F98" s="44" t="s">
        <v>577</v>
      </c>
      <c r="G98" s="45"/>
    </row>
    <row r="99" customFormat="false" ht="13.8" hidden="false" customHeight="false" outlineLevel="0" collapsed="false">
      <c r="A99" s="43" t="s">
        <v>586</v>
      </c>
      <c r="B99" s="44" t="s">
        <v>587</v>
      </c>
      <c r="C99" s="44" t="s">
        <v>528</v>
      </c>
      <c r="D99" s="44" t="n">
        <v>1977</v>
      </c>
      <c r="E99" s="44" t="s">
        <v>861</v>
      </c>
      <c r="F99" s="44" t="s">
        <v>591</v>
      </c>
      <c r="G99" s="45"/>
    </row>
    <row r="100" customFormat="false" ht="13.8" hidden="false" customHeight="false" outlineLevel="0" collapsed="false">
      <c r="A100" s="43" t="s">
        <v>578</v>
      </c>
      <c r="B100" s="44" t="s">
        <v>579</v>
      </c>
      <c r="C100" s="44" t="s">
        <v>528</v>
      </c>
      <c r="D100" s="44" t="n">
        <v>1977</v>
      </c>
      <c r="E100" s="44" t="s">
        <v>861</v>
      </c>
      <c r="F100" s="44" t="s">
        <v>580</v>
      </c>
      <c r="G100" s="45"/>
    </row>
    <row r="101" customFormat="false" ht="13.8" hidden="false" customHeight="false" outlineLevel="0" collapsed="false">
      <c r="A101" s="43" t="s">
        <v>581</v>
      </c>
      <c r="B101" s="44" t="s">
        <v>582</v>
      </c>
      <c r="C101" s="44" t="s">
        <v>528</v>
      </c>
      <c r="D101" s="44" t="n">
        <v>1987</v>
      </c>
      <c r="E101" s="44" t="n">
        <v>2</v>
      </c>
      <c r="F101" s="44" t="s">
        <v>585</v>
      </c>
      <c r="G101" s="45"/>
    </row>
    <row r="102" customFormat="false" ht="13.8" hidden="false" customHeight="false" outlineLevel="0" collapsed="false">
      <c r="A102" s="43" t="s">
        <v>382</v>
      </c>
      <c r="B102" s="44" t="s">
        <v>383</v>
      </c>
      <c r="C102" s="44" t="s">
        <v>91</v>
      </c>
      <c r="D102" s="44" t="n">
        <v>1988</v>
      </c>
      <c r="E102" s="44" t="n">
        <v>5</v>
      </c>
      <c r="F102" s="44" t="s">
        <v>387</v>
      </c>
      <c r="G102" s="45"/>
    </row>
    <row r="103" customFormat="false" ht="13.8" hidden="false" customHeight="false" outlineLevel="0" collapsed="false">
      <c r="A103" s="43" t="s">
        <v>388</v>
      </c>
      <c r="B103" s="44" t="s">
        <v>386</v>
      </c>
      <c r="C103" s="44" t="s">
        <v>372</v>
      </c>
      <c r="D103" s="44" t="n">
        <v>1988</v>
      </c>
      <c r="E103" s="44" t="n">
        <v>5</v>
      </c>
      <c r="F103" s="44" t="s">
        <v>862</v>
      </c>
      <c r="G103" s="45"/>
    </row>
    <row r="104" customFormat="false" ht="13.8" hidden="false" customHeight="false" outlineLevel="0" collapsed="false">
      <c r="A104" s="43" t="s">
        <v>421</v>
      </c>
      <c r="B104" s="44" t="s">
        <v>422</v>
      </c>
      <c r="C104" s="44" t="s">
        <v>91</v>
      </c>
      <c r="D104" s="44" t="n">
        <v>1992</v>
      </c>
      <c r="E104" s="44" t="n">
        <v>4</v>
      </c>
      <c r="F104" s="44" t="s">
        <v>426</v>
      </c>
      <c r="G104" s="45"/>
    </row>
    <row r="105" customFormat="false" ht="13.8" hidden="false" customHeight="false" outlineLevel="0" collapsed="false">
      <c r="A105" s="46" t="s">
        <v>409</v>
      </c>
      <c r="B105" s="44" t="s">
        <v>410</v>
      </c>
      <c r="C105" s="44" t="s">
        <v>372</v>
      </c>
      <c r="D105" s="44" t="n">
        <v>1992</v>
      </c>
      <c r="E105" s="44" t="n">
        <v>20</v>
      </c>
      <c r="F105" s="44" t="s">
        <v>400</v>
      </c>
      <c r="G105" s="45"/>
    </row>
    <row r="106" customFormat="false" ht="13.8" hidden="false" customHeight="false" outlineLevel="0" collapsed="false">
      <c r="A106" s="47"/>
      <c r="B106" s="44" t="s">
        <v>413</v>
      </c>
      <c r="C106" s="44" t="s">
        <v>372</v>
      </c>
      <c r="D106" s="44" t="n">
        <v>1992</v>
      </c>
      <c r="E106" s="44" t="n">
        <v>16</v>
      </c>
      <c r="F106" s="44" t="s">
        <v>408</v>
      </c>
      <c r="G106" s="45"/>
    </row>
    <row r="107" customFormat="false" ht="13.8" hidden="false" customHeight="false" outlineLevel="0" collapsed="false">
      <c r="A107" s="43" t="s">
        <v>416</v>
      </c>
      <c r="B107" s="44" t="s">
        <v>417</v>
      </c>
      <c r="C107" s="44" t="s">
        <v>372</v>
      </c>
      <c r="D107" s="44" t="n">
        <v>1994</v>
      </c>
      <c r="E107" s="44" t="n">
        <v>4</v>
      </c>
      <c r="F107" s="44" t="s">
        <v>420</v>
      </c>
      <c r="G107" s="45"/>
    </row>
    <row r="108" customFormat="false" ht="13.8" hidden="false" customHeight="false" outlineLevel="0" collapsed="false">
      <c r="A108" s="46" t="s">
        <v>307</v>
      </c>
      <c r="B108" s="44" t="s">
        <v>308</v>
      </c>
      <c r="C108" s="44" t="s">
        <v>152</v>
      </c>
      <c r="D108" s="44" t="n">
        <v>1998</v>
      </c>
      <c r="E108" s="44" t="n">
        <v>2</v>
      </c>
      <c r="F108" s="44" t="s">
        <v>311</v>
      </c>
      <c r="G108" s="45"/>
    </row>
    <row r="109" customFormat="false" ht="13.8" hidden="false" customHeight="false" outlineLevel="0" collapsed="false">
      <c r="A109" s="47"/>
      <c r="B109" s="44" t="s">
        <v>312</v>
      </c>
      <c r="C109" s="44" t="s">
        <v>152</v>
      </c>
      <c r="D109" s="44" t="n">
        <v>1998</v>
      </c>
      <c r="E109" s="44" t="n">
        <v>3</v>
      </c>
      <c r="F109" s="44" t="s">
        <v>311</v>
      </c>
      <c r="G109" s="45"/>
    </row>
    <row r="110" customFormat="false" ht="13.8" hidden="false" customHeight="false" outlineLevel="0" collapsed="false">
      <c r="A110" s="43" t="s">
        <v>273</v>
      </c>
      <c r="B110" s="44" t="s">
        <v>274</v>
      </c>
      <c r="C110" s="44" t="s">
        <v>152</v>
      </c>
      <c r="D110" s="44" t="n">
        <v>1984</v>
      </c>
      <c r="E110" s="44" t="n">
        <v>2</v>
      </c>
      <c r="F110" s="44" t="s">
        <v>277</v>
      </c>
      <c r="G110" s="45"/>
    </row>
    <row r="111" customFormat="false" ht="13.8" hidden="false" customHeight="false" outlineLevel="0" collapsed="false">
      <c r="A111" s="46" t="s">
        <v>295</v>
      </c>
      <c r="B111" s="44" t="s">
        <v>296</v>
      </c>
      <c r="C111" s="44" t="s">
        <v>152</v>
      </c>
      <c r="D111" s="44" t="n">
        <v>1989</v>
      </c>
      <c r="E111" s="44" t="n">
        <v>2</v>
      </c>
      <c r="F111" s="44" t="s">
        <v>299</v>
      </c>
      <c r="G111" s="45"/>
    </row>
    <row r="112" customFormat="false" ht="13.8" hidden="false" customHeight="false" outlineLevel="0" collapsed="false">
      <c r="A112" s="47"/>
      <c r="B112" s="44" t="s">
        <v>300</v>
      </c>
      <c r="C112" s="44" t="s">
        <v>152</v>
      </c>
      <c r="D112" s="44" t="n">
        <v>1989</v>
      </c>
      <c r="E112" s="44" t="n">
        <v>3</v>
      </c>
      <c r="F112" s="44" t="s">
        <v>299</v>
      </c>
      <c r="G112" s="45"/>
    </row>
    <row r="113" customFormat="false" ht="13.8" hidden="false" customHeight="false" outlineLevel="0" collapsed="false">
      <c r="A113" s="43" t="s">
        <v>303</v>
      </c>
      <c r="B113" s="44" t="s">
        <v>304</v>
      </c>
      <c r="C113" s="44" t="s">
        <v>152</v>
      </c>
      <c r="D113" s="44" t="n">
        <v>1989</v>
      </c>
      <c r="E113" s="44" t="n">
        <v>2</v>
      </c>
      <c r="F113" s="44" t="s">
        <v>306</v>
      </c>
      <c r="G113" s="45"/>
    </row>
    <row r="114" customFormat="false" ht="13.8" hidden="false" customHeight="false" outlineLevel="0" collapsed="false">
      <c r="A114" s="43" t="s">
        <v>268</v>
      </c>
      <c r="B114" s="44" t="s">
        <v>269</v>
      </c>
      <c r="C114" s="44" t="s">
        <v>152</v>
      </c>
      <c r="D114" s="44" t="n">
        <v>1984</v>
      </c>
      <c r="E114" s="44" t="n">
        <v>2</v>
      </c>
      <c r="F114" s="44" t="s">
        <v>272</v>
      </c>
      <c r="G114" s="45"/>
    </row>
    <row r="115" customFormat="false" ht="13.8" hidden="false" customHeight="false" outlineLevel="0" collapsed="false">
      <c r="A115" s="43" t="s">
        <v>263</v>
      </c>
      <c r="B115" s="44" t="s">
        <v>264</v>
      </c>
      <c r="C115" s="44" t="s">
        <v>152</v>
      </c>
      <c r="D115" s="44" t="n">
        <v>1979</v>
      </c>
      <c r="E115" s="44" t="n">
        <v>1</v>
      </c>
      <c r="F115" s="44" t="s">
        <v>267</v>
      </c>
      <c r="G115" s="45"/>
    </row>
    <row r="116" customFormat="false" ht="13.8" hidden="false" customHeight="false" outlineLevel="0" collapsed="false">
      <c r="A116" s="43" t="s">
        <v>291</v>
      </c>
      <c r="B116" s="44" t="s">
        <v>292</v>
      </c>
      <c r="C116" s="44" t="s">
        <v>152</v>
      </c>
      <c r="D116" s="44" t="n">
        <v>1988</v>
      </c>
      <c r="E116" s="44" t="n">
        <v>2</v>
      </c>
      <c r="F116" s="44" t="s">
        <v>294</v>
      </c>
      <c r="G116" s="45"/>
    </row>
    <row r="117" customFormat="false" ht="13.8" hidden="false" customHeight="false" outlineLevel="0" collapsed="false">
      <c r="A117" s="43" t="s">
        <v>492</v>
      </c>
      <c r="B117" s="44" t="s">
        <v>493</v>
      </c>
      <c r="C117" s="44" t="s">
        <v>255</v>
      </c>
      <c r="D117" s="44" t="n">
        <v>2017</v>
      </c>
      <c r="E117" s="44" t="n">
        <v>5</v>
      </c>
      <c r="F117" s="44" t="s">
        <v>496</v>
      </c>
      <c r="G117" s="45"/>
    </row>
    <row r="118" customFormat="false" ht="13.8" hidden="false" customHeight="false" outlineLevel="0" collapsed="false">
      <c r="A118" s="43" t="s">
        <v>497</v>
      </c>
      <c r="B118" s="44" t="s">
        <v>498</v>
      </c>
      <c r="C118" s="44" t="s">
        <v>255</v>
      </c>
      <c r="D118" s="44" t="n">
        <v>2017</v>
      </c>
      <c r="E118" s="44" t="n">
        <v>9</v>
      </c>
      <c r="F118" s="44" t="s">
        <v>496</v>
      </c>
      <c r="G118" s="45"/>
    </row>
    <row r="119" customFormat="false" ht="13.8" hidden="false" customHeight="false" outlineLevel="0" collapsed="false">
      <c r="A119" s="43" t="s">
        <v>500</v>
      </c>
      <c r="B119" s="44" t="s">
        <v>501</v>
      </c>
      <c r="C119" s="44" t="s">
        <v>91</v>
      </c>
      <c r="D119" s="44" t="n">
        <v>2017</v>
      </c>
      <c r="E119" s="44" t="n">
        <v>5</v>
      </c>
      <c r="F119" s="44" t="s">
        <v>502</v>
      </c>
      <c r="G119" s="45"/>
    </row>
    <row r="120" customFormat="false" ht="13.8" hidden="false" customHeight="false" outlineLevel="0" collapsed="false">
      <c r="A120" s="43" t="s">
        <v>503</v>
      </c>
      <c r="B120" s="44" t="s">
        <v>504</v>
      </c>
      <c r="C120" s="44" t="s">
        <v>91</v>
      </c>
      <c r="D120" s="44" t="n">
        <v>2017</v>
      </c>
      <c r="E120" s="44" t="n">
        <v>9</v>
      </c>
      <c r="F120" s="44" t="s">
        <v>502</v>
      </c>
      <c r="G120" s="45"/>
    </row>
    <row r="121" customFormat="false" ht="13.8" hidden="false" customHeight="false" outlineLevel="0" collapsed="false">
      <c r="A121" s="43" t="s">
        <v>505</v>
      </c>
      <c r="B121" s="44" t="s">
        <v>506</v>
      </c>
      <c r="C121" s="44" t="s">
        <v>255</v>
      </c>
      <c r="D121" s="44" t="n">
        <v>2017</v>
      </c>
      <c r="E121" s="44" t="n">
        <v>5</v>
      </c>
      <c r="F121" s="44" t="s">
        <v>507</v>
      </c>
      <c r="G121" s="45"/>
    </row>
    <row r="122" customFormat="false" ht="13.8" hidden="false" customHeight="false" outlineLevel="0" collapsed="false">
      <c r="A122" s="43" t="s">
        <v>508</v>
      </c>
      <c r="B122" s="44" t="s">
        <v>509</v>
      </c>
      <c r="C122" s="44" t="s">
        <v>255</v>
      </c>
      <c r="D122" s="44" t="n">
        <v>2017</v>
      </c>
      <c r="E122" s="44" t="n">
        <v>9</v>
      </c>
      <c r="F122" s="44" t="s">
        <v>507</v>
      </c>
      <c r="G122" s="45"/>
    </row>
    <row r="123" customFormat="false" ht="13.8" hidden="false" customHeight="false" outlineLevel="0" collapsed="false">
      <c r="A123" s="49" t="s">
        <v>863</v>
      </c>
      <c r="B123" s="50"/>
      <c r="C123" s="50"/>
      <c r="D123" s="50"/>
      <c r="E123" s="50"/>
      <c r="F123" s="51"/>
      <c r="G123" s="52"/>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9115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2026-04-23T23:52:26Z</dcterms:modified>
  <cp:revision>509</cp:revision>
  <dc:subject/>
  <dc:title/>
</cp:coreProperties>
</file>

<file path=docProps/custom.xml><?xml version="1.0" encoding="utf-8"?>
<Properties xmlns="http://schemas.openxmlformats.org/officeDocument/2006/custom-properties" xmlns:vt="http://schemas.openxmlformats.org/officeDocument/2006/docPropsVTypes"/>
</file>