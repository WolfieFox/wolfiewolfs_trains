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Table!$A$1:$CH$60</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<sst xmlns="http://schemas.openxmlformats.org/spreadsheetml/2006/main" count="1447" uniqueCount="691">
  <si>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</si>
  <si>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</si>
  <si>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</si>
  <si>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</si>
  <si>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</si>
  <si>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</si>
  <si>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</si>
  <si>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</si>
  <si>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</si>
  <si>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</si>
  <si>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</si>
  <si>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</si>
  <si>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</si>
  <si>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</si>
  <si>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</si>
  <si>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</si>
  <si>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</si>
  <si>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</si>
  <si>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</si>
  <si>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</si>
  <si>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</si>
  <si>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</si>
  <si>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</si>
  <si>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</si>
  <si>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</si>
  <si>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</si>
  <si>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</si>
  <si>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</si>
  <si>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</si>
  <si>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</si>
  <si>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</si>
  <si>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</si>
  <si>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</si>
  <si>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</si>
  <si>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</si>
  <si>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</si>
  <si>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</si>
  <si>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</si>
  <si>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</si>
  <si>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</si>
  <si>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</si>
  <si>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</si>
  <si>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</si>
  <si>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</si>
  <si>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</si>
  <si>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</si>
  <si>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</si>
  <si>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</si>
  <si>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</si>
  <si>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</si>
  <si>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</si>
  <si>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</si>
  <si>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</si>
  <si>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</si>
  <si>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</si>
  <si>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</si>
  <si>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</si>
  <si>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</si>
  <si>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</si>
  <si>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</si>
  <si>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</si>
  <si>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</si>
  <si>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</si>
  <si>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</si>
  <si>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</si>
  <si>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</si>
  <si>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</si>
  <si>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</si>
  <si>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</si>
  <si>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</si>
  <si>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</si>
  <si>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</si>
  <si>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</si>
  <si>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</si>
  <si>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</si>
  <si>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</si>
  <si>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</si>
  <si>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</si>
  <si>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</si>
  <si>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</si>
  <si>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</si>
  <si>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</si>
  <si>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</si>
  <si>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</si>
  <si>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</si>
  <si>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</si>
  <si>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</si>
  <si>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</si>
  <si>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</si>
  <si>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</si>
  <si>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</si>
  <si>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</si>
  <si>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</si>
  <si>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</si>
  <si>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</si>
  <si>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</si>
  <si>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</si>
  <si>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</si>
  <si>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</si>
  <si>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</si>
  <si>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</si>
  <si>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</si>
  <si>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</si>
  <si>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</si>
  <si>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</si>
  <si>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</si>
  <si>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</si>
  <si>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</si>
  <si>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</si>
  <si>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</si>
  <si>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</si>
  <si>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</si>
  <si>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</si>
  <si>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</si>
  <si>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</si>
  <si>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</si>
  <si>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</si>
  <si>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</si>
  <si>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</si>
  <si>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</si>
  <si>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</si>
  <si>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</si>
  <si>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</si>
  <si>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</si>
  <si>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</si>
  <si>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</si>
  <si>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</si>
  <si>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</si>
  <si>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</si>
  <si>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</si>
  <si>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</si>
  <si>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</si>
  <si>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</si>
  <si>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</si>
  <si>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</si>
  <si>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</si>
  <si>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</si>
  <si>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</si>
  <si>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</si>
  <si>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</si>
  <si>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</si>
  <si>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</si>
  <si>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</si>
  <si>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</si>
  <si>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</si>
  <si>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</si>
  <si>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</si>
  <si>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</si>
  <si>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</si>
  <si>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</si>
  <si>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</si>
  <si>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</si>
  <si>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</si>
  <si>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</si>
  <si>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</si>
  <si>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</si>
  <si>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</si>
  <si>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</si>
  <si>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</si>
  <si>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</si>
  <si>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</si>
  <si>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</si>
  <si>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</si>
  <si>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</si>
  <si>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</si>
  <si>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</si>
  <si>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</si>
  <si>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</si>
  <si>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</si>
  <si>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</si>
  <si>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</si>
  <si>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</si>
  <si>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</si>
  <si>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</si>
  <si>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</si>
  <si>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</si>
  <si>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</si>
  <si>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</si>
  <si>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</si>
  <si>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</si>
  <si>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</si>
  <si>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</si>
  <si>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</si>
  <si>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</si>
  <si>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</si>
  <si>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</si>
  <si>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</si>
  <si>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</si>
  <si>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</si>
  <si>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</si>
  <si>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</si>
  <si>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</si>
  <si>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</si>
  <si>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</si>
  <si>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</si>
  <si>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</si>
  <si>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</si>
  <si>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</si>
  <si>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</si>
  <si>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</si>
  <si>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</si>
  <si>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blue_pullman_western</t>
  </si>
  <si>
    <t xml:space="preserve">0,24</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</si>
  <si>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</si>
  <si>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</si>
  <si>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</si>
  <si>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</si>
  <si>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</si>
  <si>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</si>
  <si>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</si>
  <si>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</si>
  <si>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</si>
  <si>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</si>
  <si>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</si>
  <si>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</si>
  <si>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</si>
  <si>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</si>
  <si>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</si>
  <si>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</si>
  <si>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</si>
  <si>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</si>
  <si>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</si>
  <si>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</si>
  <si>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</si>
  <si>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</si>
  <si>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</si>
  <si>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</si>
  <si>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</si>
  <si>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</si>
  <si>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</si>
  <si>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</si>
  <si>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</si>
  <si>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</si>
  <si>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</si>
  <si>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</si>
  <si>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</si>
  <si>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</si>
  <si>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</si>
  <si>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</si>
  <si>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</si>
  <si>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</si>
  <si>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</si>
  <si>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</si>
  <si>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</si>
  <si>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</si>
  <si>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</si>
  <si>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</si>
  <si>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</si>
  <si>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</si>
  <si>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</si>
  <si>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</si>
  <si>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</si>
  <si>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</si>
  <si>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</si>
  <si>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</si>
  <si>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</si>
  <si>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</si>
  <si>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</si>
  <si>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</si>
  <si>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</si>
  <si>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</si>
  <si>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</si>
  <si>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</si>
  <si>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</si>
  <si>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</si>
  <si>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</si>
  <si>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</si>
  <si>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</si>
  <si>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</si>
  <si>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</si>
  <si>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</si>
  <si>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</si>
  <si>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</si>
  <si>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</si>
  <si>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</si>
  <si>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</si>
  <si>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</si>
  <si>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</si>
  <si>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</si>
  <si>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</si>
  <si>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</si>
  <si>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</si>
  <si>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</si>
  <si>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</si>
  <si>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</si>
  <si>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</si>
  <si>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</si>
  <si>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</si>
  <si>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</si>
  <si>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</si>
  <si>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</si>
  <si>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</si>
  <si>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</si>
  <si>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</si>
  <si>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</si>
  <si>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</si>
  <si>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</si>
  <si>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</si>
  <si>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</si>
  <si>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</si>
  <si>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</si>
  <si>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</si>
  <si>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</si>
  <si>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</si>
  <si>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</si>
  <si>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</si>
  <si>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</si>
  <si>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</si>
  <si>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</si>
  <si>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</si>
  <si>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</si>
  <si>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</si>
  <si>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</si>
  <si>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</si>
  <si>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</si>
  <si>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</si>
  <si>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</si>
  <si>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</si>
  <si>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</si>
  <si>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</si>
  <si>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</si>
  <si>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</si>
  <si>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</si>
  <si>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</si>
  <si>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</si>
  <si>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</si>
  <si>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</si>
  <si>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</si>
  <si>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</si>
  <si>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</si>
  <si>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</si>
  <si>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</si>
  <si>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</si>
  <si>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</si>
  <si>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</si>
  <si>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</si>
  <si>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</si>
  <si>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</si>
  <si>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</si>
  <si>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</si>
  <si>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</si>
  <si>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</si>
  <si>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</si>
  <si>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</si>
  <si>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</si>
  <si>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</si>
  <si>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</si>
  <si>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</si>
  <si>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</si>
  <si>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</si>
  <si>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</si>
  <si>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</si>
  <si>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</si>
  <si>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</si>
  <si>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</si>
  <si>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</si>
  <si>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</si>
  <si>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</si>
  <si>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</si>
  <si>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</si>
  <si>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</si>
  <si>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0,1,0</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</si>
  <si>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</si>
  <si>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</si>
  <si>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</si>
  <si>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</si>
  <si>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</si>
  <si>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</si>
  <si>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</si>
  <si>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</si>
  <si>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</si>
  <si>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</si>
  <si>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</si>
  <si>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</si>
  <si>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</si>
  <si>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</si>
  <si>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</si>
  <si>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</si>
  <si>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</si>
  <si>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</si>
  <si>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</si>
  <si>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</si>
  <si>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oooer</t>
  </si>
  <si>
    <t xml:space="preserve">class_374_12car</t>
  </si>
  <si>
    <t xml:space="preserve">6,30</t>
  </si>
  <si>
    <t xml:space="preserve">ooers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</si>
  <si>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</si>
  <si>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</si>
  <si>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</si>
  <si>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</si>
  <si>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param_max_mu_length &lt; 2</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</si>
  <si>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</si>
  <si>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</si>
  <si>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</si>
  <si>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</si>
  <si>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</si>
  <si>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</si>
  <si>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</si>
  <si>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</si>
  <si>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</si>
  <si>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</si>
  <si>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</si>
  <si>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</si>
  <si>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</si>
  <si>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</si>
  <si>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</si>
  <si>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</si>
  <si>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</si>
  <si>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</si>
  <si>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</si>
  <si>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</si>
  <si>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</si>
  <si>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</si>
  <si>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</si>
  <si>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</si>
  <si>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</si>
  <si>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</si>
  <si>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</si>
  <si>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</si>
  <si>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</si>
  <si>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</si>
  <si>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</si>
  <si>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</si>
  <si>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</si>
  <si>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</si>
  <si>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</si>
  <si>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</si>
  <si>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</si>
  <si>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</si>
  <si>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</si>
  <si>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</si>
  <si>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</si>
  <si>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</si>
  <si>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</si>
  <si>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</si>
  <si>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</si>
  <si>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</si>
  <si>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</si>
  <si>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</si>
  <si>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</si>
  <si>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</si>
  <si>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</si>
  <si>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</si>
  <si>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</si>
  <si>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BG (Prototype)</t>
  </si>
  <si>
    <t xml:space="preserve">mail_coach_mk1_bg</t>
  </si>
  <si>
    <t xml:space="preserve">carriage</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</si>
  <si>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</si>
  <si>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</si>
  <si>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</si>
  <si>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</si>
  <si>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</si>
  <si>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</si>
  <si>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</si>
  <si>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</si>
  <si>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Mk1 Sleeper</t>
  </si>
  <si>
    <t xml:space="preserve">passenger_coach_mk1_sleeper</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</si>
  <si>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</si>
  <si>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</si>
  <si>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</si>
  <si>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</si>
  <si>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</si>
  <si>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</si>
  <si>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</si>
  <si>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</si>
  <si>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</si>
  <si>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</si>
  <si>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</si>
  <si>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</si>
  <si>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</si>
  <si>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</si>
  <si>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</si>
  <si>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</si>
  <si>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</si>
  <si>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</si>
  <si>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</si>
  <si>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</si>
  <si>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</si>
  <si>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</si>
  <si>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</si>
  <si>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</si>
  <si>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</si>
  <si>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</si>
  <si>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</si>
  <si>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</si>
  <si>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</si>
  <si>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</si>
  <si>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</si>
  <si>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</si>
  <si>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</si>
  <si>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</si>
  <si>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</si>
  <si>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</si>
  <si>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</si>
  <si>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</si>
  <si>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</si>
  <si>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</si>
  <si>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</si>
  <si>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LU</t>
  </si>
  <si>
    <t xml:space="preserve">Open Wagon</t>
  </si>
  <si>
    <t xml:space="preserve">Flat Wagon</t>
  </si>
  <si>
    <t xml:space="preserve">Van</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</si>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</sst>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0">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8">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J147"/>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F20" activePane="bottomRight" state="frozen"/>
      <selection pane="topLeft" activeCell="A1" activeCellId="0" sqref="A1"/>
      <selection pane="topRight" activeCell="F1" activeCellId="0" sqref="F1"/>
      <selection pane="bottomLeft" activeCell="A20" activeCellId="0" sqref="A20"/>
      <selection pane="bottomRight" activeCell="AO57" activeCellId="0" sqref="AO57"/>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9" t="n">
        <v>10</v>
      </c>
      <c r="E2" s="18" t="n">
        <v>10</v>
      </c>
      <c r="F2" s="18" t="s">
        <v>89</v>
      </c>
      <c r="G2" s="1" t="s">
        <v>90</v>
      </c>
      <c r="H2" s="18" t="s">
        <v>91</v>
      </c>
      <c r="I2" s="18" t="s">
        <v>92</v>
      </c>
      <c r="J2" s="18" t="n">
        <v>1907</v>
      </c>
      <c r="L2" s="18" t="n">
        <v>1955</v>
      </c>
      <c r="M2" s="18" t="n">
        <v>1</v>
      </c>
      <c r="N2" s="18" t="n">
        <v>360</v>
      </c>
      <c r="O2" s="20"/>
      <c r="P2" s="21"/>
      <c r="Q2" s="21"/>
      <c r="R2" s="21"/>
      <c r="S2" s="21"/>
      <c r="T2" s="21"/>
      <c r="U2" s="21"/>
      <c r="V2" s="21"/>
      <c r="W2" s="18" t="n">
        <v>37.5</v>
      </c>
      <c r="X2" s="20"/>
      <c r="Y2" s="18" t="n">
        <v>5</v>
      </c>
      <c r="Z2" s="18" t="n">
        <v>48</v>
      </c>
      <c r="AA2" s="22" t="n">
        <f aca="false">IF(AND(W2&gt;0,Z2&gt;0),(Z2/((W2+X2)*10)),"")</f>
        <v>0.128</v>
      </c>
      <c r="AB2" s="18" t="n">
        <v>60</v>
      </c>
      <c r="AC2" s="18" t="n">
        <f aca="false">ROUND(AB2*1.6, 0)</f>
        <v>96</v>
      </c>
      <c r="AG2" s="18" t="n">
        <v>17</v>
      </c>
      <c r="AJ2" s="23" t="n">
        <v>42</v>
      </c>
      <c r="AK2" s="18" t="str">
        <f aca="false">CONCATENATE(VLOOKUP(AL2, '[1]Voxel Sizes'!$A$2:$B$18,2,FALSE()),"x",INT(AH2*15), "x", INT(AI2*15))</f>
        <v>164x0x0</v>
      </c>
      <c r="AL2" s="18" t="n">
        <f aca="false">ROUND(15*((AG2*10)/256),0)</f>
        <v>10</v>
      </c>
      <c r="AN2" s="1" t="str">
        <f aca="false">CONCATENATE(VLOOKUP(AL2,Constants!$A$2:$C$16,IF(AM2&lt;&gt;"", 3, 2), FALSE()),IF(AM2&lt;&gt;"",CONCATENATE(",",VLOOKUP(AM2,$B:$AN,38,FALSE())),""))</f>
        <v>4,2,4</v>
      </c>
      <c r="AP2" s="24"/>
      <c r="AQ2" s="24"/>
      <c r="AR2" s="18" t="s">
        <v>93</v>
      </c>
      <c r="AT2" s="18" t="n">
        <v>1</v>
      </c>
      <c r="AU2" s="18" t="s">
        <v>93</v>
      </c>
      <c r="AX2" s="18" t="n">
        <v>25</v>
      </c>
      <c r="AY2" s="25" t="n">
        <f aca="false">IF(L2&lt;&gt;"",MAX(16,(L2-J2)+8),"")</f>
        <v>56</v>
      </c>
      <c r="AZ2" s="18" t="n">
        <v>-10</v>
      </c>
      <c r="BA2" s="18" t="n">
        <v>-25</v>
      </c>
      <c r="BB2" s="18" t="n">
        <f aca="false">MIN(AB2/150, 1)*30</f>
        <v>12</v>
      </c>
      <c r="BC2" s="18" t="n">
        <f aca="false">MIN(N2/4000, 1)*20</f>
        <v>1.8</v>
      </c>
      <c r="BD2" s="18" t="n">
        <f aca="false">MIN(Z2/400,1)*20</f>
        <v>2.4</v>
      </c>
      <c r="BE2" s="22"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f aca="false">INT(POWER((([1]Constants!$G$2+$BB2+$BC2+$BD2+$BF2)*$BE2)*$BH2, 1.05))+$BA2</f>
        <v>21</v>
      </c>
      <c r="BJ2" s="18" t="n">
        <f aca="false">INT(POWER(((([1]Constants!$G$1+$BB2+$BC2+$BD2+$BF2)*($BE2))*$BG2),IF($G2="wagon",1,1.2)))+$AZ2</f>
        <v>43</v>
      </c>
      <c r="BK2" s="26" t="n">
        <f aca="false">BI2*IF($G2="wagon",62.5,781.25)</f>
        <v>16406.25</v>
      </c>
      <c r="BL2" s="26" t="n">
        <f aca="false">BJ2*IF($G2="wagon",2.73,81.25)</f>
        <v>3493.75</v>
      </c>
      <c r="BQ2" s="18" t="s">
        <v>94</v>
      </c>
      <c r="BT2" s="18" t="n">
        <v>6</v>
      </c>
      <c r="BU2" s="18" t="n">
        <v>185</v>
      </c>
      <c r="BX2" s="18" t="s">
        <v>95</v>
      </c>
      <c r="BY2" s="18" t="str">
        <f aca="false">VLOOKUP(J2,[1]Eras!$A$2:$C$10, 2, TRUE())</f>
        <v>edw</v>
      </c>
      <c r="BZ2" s="18" t="s">
        <v>96</v>
      </c>
      <c r="CA2" s="18" t="str">
        <f aca="false">CONCATENATE(BY2,"_",BZ2)</f>
        <v>edw_EMU</v>
      </c>
      <c r="CB2" s="18" t="str">
        <f aca="false">_xlfn.CONCAT(H2, "_",I2)</f>
        <v>electric_ELRL</v>
      </c>
      <c r="CC2" s="27"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97</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98</v>
      </c>
      <c r="B3" s="18" t="s">
        <v>99</v>
      </c>
      <c r="C3" s="19" t="n">
        <v>11</v>
      </c>
      <c r="D3" s="18" t="n">
        <v>10</v>
      </c>
      <c r="E3" s="18" t="n">
        <v>11</v>
      </c>
      <c r="F3" s="18" t="s">
        <v>89</v>
      </c>
      <c r="G3" s="1" t="s">
        <v>90</v>
      </c>
      <c r="H3" s="18" t="s">
        <v>91</v>
      </c>
      <c r="I3" s="18" t="s">
        <v>92</v>
      </c>
      <c r="J3" s="18" t="n">
        <v>1907</v>
      </c>
      <c r="L3" s="18" t="n">
        <v>1955</v>
      </c>
      <c r="M3" s="18" t="n">
        <v>2</v>
      </c>
      <c r="N3" s="18" t="n">
        <v>360</v>
      </c>
      <c r="O3" s="20"/>
      <c r="P3" s="21"/>
      <c r="Q3" s="21"/>
      <c r="R3" s="21"/>
      <c r="S3" s="21"/>
      <c r="T3" s="21"/>
      <c r="U3" s="21"/>
      <c r="V3" s="21"/>
      <c r="W3" s="18" t="n">
        <f aca="false">37.5+31</f>
        <v>68.5</v>
      </c>
      <c r="X3" s="20"/>
      <c r="Y3" s="18" t="n">
        <v>5</v>
      </c>
      <c r="Z3" s="18" t="n">
        <v>48</v>
      </c>
      <c r="AA3" s="22" t="n">
        <f aca="false">IF(AND(W3&gt;0,Z3&gt;0),(Z3/((W3+X3)*10)),"")</f>
        <v>0.0700729927007299</v>
      </c>
      <c r="AB3" s="18" t="n">
        <v>60</v>
      </c>
      <c r="AC3" s="18" t="n">
        <f aca="false">ROUND(AB3*1.6, 0)</f>
        <v>96</v>
      </c>
      <c r="AG3" s="18" t="n">
        <v>17</v>
      </c>
      <c r="AJ3" s="23" t="n">
        <v>47</v>
      </c>
      <c r="AK3" s="18" t="str">
        <f aca="false">CONCATENATE(VLOOKUP(AL3, '[1]Voxel Sizes'!$A$2:$B$18,2,FALSE()),"x",INT(AH3*15), "x", INT(AI3*15))</f>
        <v>164x0x0</v>
      </c>
      <c r="AL3" s="18" t="n">
        <f aca="false">ROUND(15*((AG3*10)/256),0)</f>
        <v>10</v>
      </c>
      <c r="AN3" s="1" t="str">
        <f aca="false">CONCATENATE(VLOOKUP(AL3,Constants!$A$2:$C$16,IF(AM3&lt;&gt;"", 3, 2), FALSE()),IF(AM3&lt;&gt;"",CONCATENATE(",",VLOOKUP(AM3,$B:$AN,38,FALSE())),""))</f>
        <v>4,2,4</v>
      </c>
      <c r="AP3" s="24"/>
      <c r="AQ3" s="24"/>
      <c r="AR3" s="18" t="s">
        <v>100</v>
      </c>
      <c r="AT3" s="18" t="s">
        <v>101</v>
      </c>
      <c r="AU3" s="18" t="s">
        <v>102</v>
      </c>
      <c r="AX3" s="18" t="n">
        <v>25</v>
      </c>
      <c r="AY3" s="25" t="n">
        <f aca="false">IF(L3&lt;&gt;"",MAX(16,(L3-J3)+8),"")</f>
        <v>56</v>
      </c>
      <c r="AZ3" s="18" t="n">
        <v>-10</v>
      </c>
      <c r="BA3" s="18" t="n">
        <v>-25</v>
      </c>
      <c r="BB3" s="18" t="n">
        <f aca="false">MIN(AB3/150, 1)*30</f>
        <v>12</v>
      </c>
      <c r="BC3" s="18" t="n">
        <f aca="false">MIN(N3/4000, 1)*20</f>
        <v>1.8</v>
      </c>
      <c r="BD3" s="18" t="n">
        <f aca="false">MIN(Z3/400,1)*20</f>
        <v>2.4</v>
      </c>
      <c r="BE3" s="22"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f aca="false">INT(POWER((([1]Constants!$G$2+$BB3+$BC3+$BD3+$BF3)*$BE3)*$BH3, 1.05))+$BA3</f>
        <v>25</v>
      </c>
      <c r="BJ3" s="18" t="n">
        <f aca="false">INT(POWER(((([1]Constants!$G$1+$BB3+$BC3+$BD3+$BF3)*($BE3))*$BG3),IF($G3="wagon",1,1.2)))+$AZ3</f>
        <v>46</v>
      </c>
      <c r="BK3" s="26" t="n">
        <f aca="false">BI3*IF($G3="wagon",62.5,781.25)</f>
        <v>19531.25</v>
      </c>
      <c r="BL3" s="26" t="n">
        <f aca="false">BJ3*IF($G3="wagon",2.73,81.25)</f>
        <v>3737.5</v>
      </c>
      <c r="BQ3" s="18" t="s">
        <v>103</v>
      </c>
      <c r="BT3" s="18" t="n">
        <v>6</v>
      </c>
      <c r="BU3" s="18" t="n">
        <v>185</v>
      </c>
      <c r="BX3" s="18" t="s">
        <v>95</v>
      </c>
      <c r="BY3" s="18" t="str">
        <f aca="false">VLOOKUP(J3,[1]Eras!$A$2:$C$10, 2, TRUE())</f>
        <v>edw</v>
      </c>
      <c r="BZ3" s="18" t="s">
        <v>96</v>
      </c>
      <c r="CA3" s="18" t="str">
        <f aca="false">CONCATENATE(BY3,"_",BZ3)</f>
        <v>edw_EMU</v>
      </c>
      <c r="CB3" s="18" t="str">
        <f aca="false">_xlfn.CONCAT(H3, "_",I3)</f>
        <v>electric_ELRL</v>
      </c>
      <c r="CC3" s="27"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97</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104</v>
      </c>
      <c r="B4" s="18" t="s">
        <v>105</v>
      </c>
      <c r="C4" s="19" t="n">
        <v>12</v>
      </c>
      <c r="D4" s="18" t="n">
        <v>10</v>
      </c>
      <c r="E4" s="18" t="n">
        <v>12</v>
      </c>
      <c r="F4" s="18" t="s">
        <v>89</v>
      </c>
      <c r="G4" s="1" t="s">
        <v>90</v>
      </c>
      <c r="H4" s="18" t="s">
        <v>91</v>
      </c>
      <c r="I4" s="18" t="s">
        <v>92</v>
      </c>
      <c r="J4" s="18" t="n">
        <v>1907</v>
      </c>
      <c r="L4" s="18" t="n">
        <v>1955</v>
      </c>
      <c r="M4" s="18" t="n">
        <v>3</v>
      </c>
      <c r="N4" s="18" t="n">
        <v>360</v>
      </c>
      <c r="O4" s="20"/>
      <c r="P4" s="21"/>
      <c r="Q4" s="21"/>
      <c r="R4" s="21"/>
      <c r="S4" s="21"/>
      <c r="T4" s="21"/>
      <c r="U4" s="21"/>
      <c r="V4" s="21"/>
      <c r="W4" s="18" t="n">
        <f aca="false">37.5+31+31</f>
        <v>99.5</v>
      </c>
      <c r="X4" s="20"/>
      <c r="Y4" s="18" t="n">
        <v>5</v>
      </c>
      <c r="Z4" s="18" t="n">
        <v>48</v>
      </c>
      <c r="AA4" s="22" t="n">
        <f aca="false">IF(AND(W4&gt;0,Z4&gt;0),(Z4/((W4+X4)*10)),"")</f>
        <v>0.0482412060301508</v>
      </c>
      <c r="AB4" s="18" t="n">
        <v>60</v>
      </c>
      <c r="AC4" s="18" t="n">
        <f aca="false">ROUND(AB4*1.6, 0)</f>
        <v>96</v>
      </c>
      <c r="AG4" s="18" t="n">
        <v>17</v>
      </c>
      <c r="AJ4" s="23" t="n">
        <v>48</v>
      </c>
      <c r="AK4" s="18" t="str">
        <f aca="false">CONCATENATE(VLOOKUP(AL4, '[1]Voxel Sizes'!$A$2:$B$18,2,FALSE()),"x",INT(AH4*15), "x", INT(AI4*15))</f>
        <v>164x0x0</v>
      </c>
      <c r="AL4" s="18" t="n">
        <f aca="false">ROUND(15*((AG4*10)/256),0)</f>
        <v>10</v>
      </c>
      <c r="AN4" s="1" t="str">
        <f aca="false">CONCATENATE(VLOOKUP(AL4,Constants!$A$2:$C$16,IF(AM4&lt;&gt;"", 3, 2), FALSE()),IF(AM4&lt;&gt;"",CONCATENATE(",",VLOOKUP(AM4,$B:$AN,38,FALSE())),""))</f>
        <v>4,2,4</v>
      </c>
      <c r="AP4" s="24"/>
      <c r="AQ4" s="24"/>
      <c r="AR4" s="18" t="s">
        <v>106</v>
      </c>
      <c r="AT4" s="18" t="s">
        <v>107</v>
      </c>
      <c r="AU4" s="18" t="s">
        <v>102</v>
      </c>
      <c r="AX4" s="18" t="n">
        <v>25</v>
      </c>
      <c r="AY4" s="25" t="n">
        <f aca="false">IF(L4&lt;&gt;"",MAX(16,(L4-J4)+8),"")</f>
        <v>56</v>
      </c>
      <c r="AZ4" s="18" t="n">
        <v>-10</v>
      </c>
      <c r="BA4" s="18" t="n">
        <v>-25</v>
      </c>
      <c r="BB4" s="18" t="n">
        <f aca="false">MIN(AB4/150, 1)*30</f>
        <v>12</v>
      </c>
      <c r="BC4" s="18" t="n">
        <f aca="false">MIN(N4/4000, 1)*20</f>
        <v>1.8</v>
      </c>
      <c r="BD4" s="18" t="n">
        <f aca="false">MIN(Z4/400,1)*20</f>
        <v>2.4</v>
      </c>
      <c r="BE4" s="22"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f aca="false">INT(POWER((([1]Constants!$G$2+$BB4+$BC4+$BD4+$BF4)*$BE4)*$BH4, 1.05))+$BA4</f>
        <v>28</v>
      </c>
      <c r="BJ4" s="18" t="n">
        <f aca="false">INT(POWER(((([1]Constants!$G$1+$BB4+$BC4+$BD4+$BF4)*($BE4))*$BG4),IF($G4="wagon",1,1.2)))+$AZ4</f>
        <v>49</v>
      </c>
      <c r="BK4" s="26" t="n">
        <f aca="false">BI4*IF($G4="wagon",62.5,781.25)</f>
        <v>21875</v>
      </c>
      <c r="BL4" s="26" t="n">
        <f aca="false">BJ4*IF($G4="wagon",2.73,81.25)</f>
        <v>3981.25</v>
      </c>
      <c r="BQ4" s="18" t="s">
        <v>108</v>
      </c>
      <c r="BT4" s="18" t="n">
        <v>6</v>
      </c>
      <c r="BU4" s="18" t="n">
        <v>185</v>
      </c>
      <c r="BX4" s="18" t="s">
        <v>95</v>
      </c>
      <c r="BY4" s="18" t="str">
        <f aca="false">VLOOKUP(J4,[1]Eras!$A$2:$C$10, 2, TRUE())</f>
        <v>edw</v>
      </c>
      <c r="BZ4" s="18" t="s">
        <v>96</v>
      </c>
      <c r="CA4" s="18" t="str">
        <f aca="false">CONCATENATE(BY4,"_",BZ4)</f>
        <v>edw_EMU</v>
      </c>
      <c r="CB4" s="18" t="str">
        <f aca="false">_xlfn.CONCAT(H4, "_",I4)</f>
        <v>electric_ELRL</v>
      </c>
      <c r="CC4" s="27"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97</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109</v>
      </c>
      <c r="B5" s="18" t="s">
        <v>110</v>
      </c>
      <c r="C5" s="19" t="n">
        <v>14</v>
      </c>
      <c r="E5" s="18" t="n">
        <v>14</v>
      </c>
      <c r="F5" s="18" t="s">
        <v>89</v>
      </c>
      <c r="G5" s="1" t="s">
        <v>90</v>
      </c>
      <c r="H5" s="18" t="s">
        <v>91</v>
      </c>
      <c r="I5" s="18" t="s">
        <v>92</v>
      </c>
      <c r="J5" s="18" t="n">
        <v>1911</v>
      </c>
      <c r="L5" s="18" t="n">
        <v>1955</v>
      </c>
      <c r="M5" s="18" t="n">
        <v>2</v>
      </c>
      <c r="N5" s="18" t="n">
        <v>600</v>
      </c>
      <c r="O5" s="20"/>
      <c r="P5" s="21"/>
      <c r="Q5" s="21"/>
      <c r="R5" s="21"/>
      <c r="S5" s="21"/>
      <c r="T5" s="21"/>
      <c r="U5" s="21"/>
      <c r="V5" s="21"/>
      <c r="W5" s="18" t="n">
        <f aca="false">52+25</f>
        <v>77</v>
      </c>
      <c r="X5" s="20"/>
      <c r="Y5" s="18" t="n">
        <v>5</v>
      </c>
      <c r="Z5" s="18" t="n">
        <v>48</v>
      </c>
      <c r="AA5" s="22" t="n">
        <f aca="false">IF(AND(W5&gt;0,Z5&gt;0),(Z5/((W5+X5)*10)),"")</f>
        <v>0.0623376623376623</v>
      </c>
      <c r="AB5" s="18" t="n">
        <v>60</v>
      </c>
      <c r="AC5" s="18" t="n">
        <f aca="false">ROUND(AB5*1.6, 0)</f>
        <v>96</v>
      </c>
      <c r="AG5" s="18" t="n">
        <v>17.5</v>
      </c>
      <c r="AJ5" s="23" t="n">
        <v>48</v>
      </c>
      <c r="AK5" s="18" t="str">
        <f aca="false">CONCATENATE(VLOOKUP(AL5, '[1]Voxel Sizes'!$A$2:$B$18,2,FALSE()),"x",INT(AH5*15), "x", INT(AI5*15))</f>
        <v>164x0x0</v>
      </c>
      <c r="AL5" s="18" t="n">
        <f aca="false">ROUND(15*((AG5*10)/256),0)</f>
        <v>10</v>
      </c>
      <c r="AN5" s="1" t="str">
        <f aca="false">CONCATENATE(VLOOKUP(AL5,Constants!$A$2:$C$16,IF(AM5&lt;&gt;"", 3, 2), FALSE()),IF(AM5&lt;&gt;"",CONCATENATE(",",VLOOKUP(AM5,$B:$AN,38,FALSE())),""))</f>
        <v>4,2,4</v>
      </c>
      <c r="AP5" s="24"/>
      <c r="AQ5" s="24"/>
      <c r="AR5" s="18" t="s">
        <v>111</v>
      </c>
      <c r="AT5" s="18" t="s">
        <v>112</v>
      </c>
      <c r="AU5" s="18" t="s">
        <v>113</v>
      </c>
      <c r="AX5" s="18" t="n">
        <v>25</v>
      </c>
      <c r="AY5" s="25" t="n">
        <f aca="false">IF(L5&lt;&gt;"",MAX(16,(L5-J5)+8),"")</f>
        <v>52</v>
      </c>
      <c r="AZ5" s="18" t="n">
        <v>-10</v>
      </c>
      <c r="BA5" s="18" t="n">
        <v>-25</v>
      </c>
      <c r="BB5" s="18" t="n">
        <f aca="false">MIN(AB5/150, 1)*30</f>
        <v>12</v>
      </c>
      <c r="BC5" s="18" t="n">
        <f aca="false">MIN(N5/4000, 1)*20</f>
        <v>3</v>
      </c>
      <c r="BD5" s="18" t="n">
        <f aca="false">MIN(Z5/400,1)*20</f>
        <v>2.4</v>
      </c>
      <c r="BE5" s="22"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f aca="false">INT(POWER((([1]Constants!$G$2+$BB5+$BC5+$BD5+$BF5)*$BE5)*$BH5, 1.05))+$BA5</f>
        <v>27</v>
      </c>
      <c r="BJ5" s="18" t="n">
        <f aca="false">INT(POWER(((([1]Constants!$G$1+$BB5+$BC5+$BD5+$BF5)*($BE5))*$BG5),IF($G5="wagon",1,1.2)))+$AZ5</f>
        <v>48</v>
      </c>
      <c r="BK5" s="26" t="n">
        <f aca="false">BI5*IF($G5="wagon",62.5,781.25)</f>
        <v>21093.75</v>
      </c>
      <c r="BL5" s="26" t="n">
        <f aca="false">BJ5*IF($G5="wagon",2.73,81.25)</f>
        <v>3900</v>
      </c>
      <c r="BQ5" s="18" t="s">
        <v>114</v>
      </c>
      <c r="BT5" s="18" t="n">
        <v>6</v>
      </c>
      <c r="BU5" s="18" t="n">
        <v>185</v>
      </c>
      <c r="BX5" s="18" t="s">
        <v>95</v>
      </c>
      <c r="BY5" s="18" t="str">
        <f aca="false">VLOOKUP(J5,[1]Eras!$A$2:$C$10, 2, TRUE())</f>
        <v>edw</v>
      </c>
      <c r="BZ5" s="18" t="s">
        <v>96</v>
      </c>
      <c r="CA5" s="18" t="str">
        <f aca="false">CONCATENATE(BY5,"_",BZ5)</f>
        <v>edw_EMU</v>
      </c>
      <c r="CB5" s="18" t="str">
        <f aca="false">_xlfn.CONCAT(H5, "_",I5)</f>
        <v>electric_ELRL</v>
      </c>
      <c r="CC5" s="27"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115</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116</v>
      </c>
      <c r="B6" s="18" t="s">
        <v>117</v>
      </c>
      <c r="C6" s="19" t="n">
        <v>15</v>
      </c>
      <c r="D6" s="18" t="n">
        <v>14</v>
      </c>
      <c r="E6" s="18" t="n">
        <v>14</v>
      </c>
      <c r="F6" s="18" t="s">
        <v>89</v>
      </c>
      <c r="G6" s="1" t="s">
        <v>90</v>
      </c>
      <c r="H6" s="18" t="s">
        <v>91</v>
      </c>
      <c r="I6" s="18" t="s">
        <v>92</v>
      </c>
      <c r="J6" s="18" t="n">
        <v>1911</v>
      </c>
      <c r="L6" s="18" t="n">
        <v>1955</v>
      </c>
      <c r="M6" s="18" t="n">
        <v>3</v>
      </c>
      <c r="N6" s="18" t="n">
        <v>600</v>
      </c>
      <c r="O6" s="20"/>
      <c r="P6" s="21"/>
      <c r="Q6" s="21"/>
      <c r="R6" s="21"/>
      <c r="S6" s="21"/>
      <c r="T6" s="21"/>
      <c r="U6" s="21"/>
      <c r="V6" s="21"/>
      <c r="W6" s="18" t="n">
        <f aca="false">52+25*2</f>
        <v>102</v>
      </c>
      <c r="X6" s="20"/>
      <c r="Y6" s="18" t="n">
        <v>5</v>
      </c>
      <c r="Z6" s="18" t="n">
        <v>48</v>
      </c>
      <c r="AA6" s="22" t="n">
        <f aca="false">IF(AND(W6&gt;0,Z6&gt;0),(Z6/((W6+X6)*10)),"")</f>
        <v>0.0470588235294118</v>
      </c>
      <c r="AB6" s="18" t="n">
        <v>60</v>
      </c>
      <c r="AC6" s="18" t="n">
        <f aca="false">ROUND(AB6*1.6, 0)</f>
        <v>96</v>
      </c>
      <c r="AG6" s="18" t="n">
        <v>17.5</v>
      </c>
      <c r="AJ6" s="23" t="n">
        <v>48</v>
      </c>
      <c r="AK6" s="18" t="str">
        <f aca="false">CONCATENATE(VLOOKUP(AL6, '[1]Voxel Sizes'!$A$2:$B$18,2,FALSE()),"x",INT(AH6*15), "x", INT(AI6*15))</f>
        <v>164x0x0</v>
      </c>
      <c r="AL6" s="18" t="n">
        <f aca="false">ROUND(15*((AG6*10)/256),0)</f>
        <v>10</v>
      </c>
      <c r="AN6" s="1" t="str">
        <f aca="false">CONCATENATE(VLOOKUP(AL6,Constants!$A$2:$C$16,IF(AM6&lt;&gt;"", 3, 2), FALSE()),IF(AM6&lt;&gt;"",CONCATENATE(",",VLOOKUP(AM6,$B:$AN,38,FALSE())),""))</f>
        <v>4,2,4</v>
      </c>
      <c r="AP6" s="24"/>
      <c r="AQ6" s="24"/>
      <c r="AR6" s="18" t="s">
        <v>118</v>
      </c>
      <c r="AT6" s="18" t="s">
        <v>119</v>
      </c>
      <c r="AU6" s="18" t="s">
        <v>113</v>
      </c>
      <c r="AX6" s="18" t="n">
        <v>25</v>
      </c>
      <c r="AY6" s="25" t="n">
        <f aca="false">IF(L6&lt;&gt;"",MAX(16,(L6-J6)+8),"")</f>
        <v>52</v>
      </c>
      <c r="AZ6" s="18" t="n">
        <v>-10</v>
      </c>
      <c r="BA6" s="18" t="n">
        <v>-25</v>
      </c>
      <c r="BB6" s="18" t="n">
        <f aca="false">MIN(AB6/150, 1)*30</f>
        <v>12</v>
      </c>
      <c r="BC6" s="18" t="n">
        <f aca="false">MIN(N6/4000, 1)*20</f>
        <v>3</v>
      </c>
      <c r="BD6" s="18" t="n">
        <f aca="false">MIN(Z6/400,1)*20</f>
        <v>2.4</v>
      </c>
      <c r="BE6" s="22"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f aca="false">INT(POWER((([1]Constants!$G$2+$BB6+$BC6+$BD6+$BF6)*$BE6)*$BH6, 1.05))+$BA6</f>
        <v>31</v>
      </c>
      <c r="BJ6" s="18" t="n">
        <f aca="false">INT(POWER(((([1]Constants!$G$1+$BB6+$BC6+$BD6+$BF6)*($BE6))*$BG6),IF($G6="wagon",1,1.2)))+$AZ6</f>
        <v>51</v>
      </c>
      <c r="BK6" s="26" t="n">
        <f aca="false">BI6*IF($G6="wagon",62.5,781.25)</f>
        <v>24218.75</v>
      </c>
      <c r="BL6" s="26" t="n">
        <f aca="false">BJ6*IF($G6="wagon",2.73,81.25)</f>
        <v>4143.75</v>
      </c>
      <c r="BQ6" s="18" t="s">
        <v>120</v>
      </c>
      <c r="BT6" s="18" t="n">
        <v>6</v>
      </c>
      <c r="BU6" s="18" t="n">
        <v>185</v>
      </c>
      <c r="BX6" s="18" t="s">
        <v>95</v>
      </c>
      <c r="BY6" s="18" t="str">
        <f aca="false">VLOOKUP(J6,[1]Eras!$A$2:$C$10, 2, TRUE())</f>
        <v>edw</v>
      </c>
      <c r="BZ6" s="18" t="s">
        <v>96</v>
      </c>
      <c r="CA6" s="18" t="str">
        <f aca="false">CONCATENATE(BY6,"_",BZ6)</f>
        <v>edw_EMU</v>
      </c>
      <c r="CB6" s="18" t="str">
        <f aca="false">_xlfn.CONCAT(H6, "_",I6)</f>
        <v>electric_ELRL</v>
      </c>
      <c r="CC6" s="27"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115</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121</v>
      </c>
      <c r="B7" s="18" t="s">
        <v>122</v>
      </c>
      <c r="C7" s="19" t="n">
        <v>16</v>
      </c>
      <c r="D7" s="18" t="n">
        <v>14</v>
      </c>
      <c r="E7" s="18" t="n">
        <v>14</v>
      </c>
      <c r="F7" s="18" t="s">
        <v>89</v>
      </c>
      <c r="G7" s="1" t="s">
        <v>90</v>
      </c>
      <c r="H7" s="18" t="s">
        <v>91</v>
      </c>
      <c r="I7" s="18" t="s">
        <v>92</v>
      </c>
      <c r="J7" s="18" t="n">
        <v>1911</v>
      </c>
      <c r="L7" s="18" t="n">
        <v>1955</v>
      </c>
      <c r="M7" s="18" t="n">
        <v>4</v>
      </c>
      <c r="N7" s="18" t="n">
        <v>600</v>
      </c>
      <c r="O7" s="20"/>
      <c r="P7" s="21"/>
      <c r="Q7" s="21"/>
      <c r="R7" s="21"/>
      <c r="S7" s="21"/>
      <c r="T7" s="21"/>
      <c r="U7" s="21"/>
      <c r="V7" s="21"/>
      <c r="W7" s="18" t="n">
        <f aca="false">52+25*3</f>
        <v>127</v>
      </c>
      <c r="X7" s="20"/>
      <c r="Y7" s="18" t="n">
        <v>5</v>
      </c>
      <c r="Z7" s="18" t="n">
        <v>48</v>
      </c>
      <c r="AA7" s="22" t="n">
        <f aca="false">IF(AND(W7&gt;0,Z7&gt;0),(Z7/((W7+X7)*10)),"")</f>
        <v>0.0377952755905512</v>
      </c>
      <c r="AB7" s="18" t="n">
        <v>60</v>
      </c>
      <c r="AC7" s="18" t="n">
        <f aca="false">ROUND(AB7*1.6, 0)</f>
        <v>96</v>
      </c>
      <c r="AG7" s="18" t="n">
        <v>17.5</v>
      </c>
      <c r="AJ7" s="23" t="n">
        <v>48</v>
      </c>
      <c r="AK7" s="18" t="str">
        <f aca="false">CONCATENATE(VLOOKUP(AL7, '[1]Voxel Sizes'!$A$2:$B$18,2,FALSE()),"x",INT(AH7*15), "x", INT(AI7*15))</f>
        <v>164x0x0</v>
      </c>
      <c r="AL7" s="18" t="n">
        <f aca="false">ROUND(15*((AG7*10)/256),0)</f>
        <v>10</v>
      </c>
      <c r="AN7" s="1" t="str">
        <f aca="false">CONCATENATE(VLOOKUP(AL7,Constants!$A$2:$C$16,IF(AM7&lt;&gt;"", 3, 2), FALSE()),IF(AM7&lt;&gt;"",CONCATENATE(",",VLOOKUP(AM7,$B:$AN,38,FALSE())),""))</f>
        <v>4,2,4</v>
      </c>
      <c r="AP7" s="24"/>
      <c r="AQ7" s="24"/>
      <c r="AR7" s="18" t="s">
        <v>123</v>
      </c>
      <c r="AT7" s="18" t="s">
        <v>124</v>
      </c>
      <c r="AU7" s="18" t="s">
        <v>113</v>
      </c>
      <c r="AX7" s="18" t="n">
        <v>25</v>
      </c>
      <c r="AY7" s="25" t="n">
        <f aca="false">IF(L7&lt;&gt;"",MAX(16,(L7-J7)+8),"")</f>
        <v>52</v>
      </c>
      <c r="AZ7" s="18" t="n">
        <v>-10</v>
      </c>
      <c r="BA7" s="18" t="n">
        <v>-25</v>
      </c>
      <c r="BB7" s="18" t="n">
        <f aca="false">MIN(AB7/150, 1)*30</f>
        <v>12</v>
      </c>
      <c r="BC7" s="18" t="n">
        <f aca="false">MIN(N7/4000, 1)*20</f>
        <v>3</v>
      </c>
      <c r="BD7" s="18" t="n">
        <f aca="false">MIN(Z7/400,1)*20</f>
        <v>2.4</v>
      </c>
      <c r="BE7" s="22"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f aca="false">INT(POWER((([1]Constants!$G$2+$BB7+$BC7+$BD7+$BF7)*$BE7)*$BH7, 1.05))+$BA7</f>
        <v>34</v>
      </c>
      <c r="BJ7" s="18" t="n">
        <f aca="false">INT(POWER(((([1]Constants!$G$1+$BB7+$BC7+$BD7+$BF7)*($BE7))*$BG7),IF($G7="wagon",1,1.2)))+$AZ7</f>
        <v>55</v>
      </c>
      <c r="BK7" s="26" t="n">
        <f aca="false">BI7*IF($G7="wagon",62.5,781.25)</f>
        <v>26562.5</v>
      </c>
      <c r="BL7" s="26" t="n">
        <f aca="false">BJ7*IF($G7="wagon",2.73,81.25)</f>
        <v>4468.75</v>
      </c>
      <c r="BQ7" s="18" t="s">
        <v>125</v>
      </c>
      <c r="BT7" s="18" t="n">
        <v>6</v>
      </c>
      <c r="BU7" s="18" t="n">
        <v>185</v>
      </c>
      <c r="BX7" s="18" t="s">
        <v>95</v>
      </c>
      <c r="BY7" s="18" t="str">
        <f aca="false">VLOOKUP(J7,[1]Eras!$A$2:$C$10, 2, TRUE())</f>
        <v>edw</v>
      </c>
      <c r="BZ7" s="18" t="s">
        <v>96</v>
      </c>
      <c r="CA7" s="18" t="str">
        <f aca="false">CONCATENATE(BY7,"_",BZ7)</f>
        <v>edw_EMU</v>
      </c>
      <c r="CB7" s="18" t="str">
        <f aca="false">_xlfn.CONCAT(H7, "_",I7)</f>
        <v>electric_ELRL</v>
      </c>
      <c r="CC7" s="27"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115</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126</v>
      </c>
      <c r="B8" s="18" t="s">
        <v>127</v>
      </c>
      <c r="C8" s="19" t="n">
        <v>17</v>
      </c>
      <c r="D8" s="18" t="n">
        <v>14</v>
      </c>
      <c r="E8" s="18" t="n">
        <v>14</v>
      </c>
      <c r="F8" s="18" t="s">
        <v>89</v>
      </c>
      <c r="G8" s="1" t="s">
        <v>90</v>
      </c>
      <c r="H8" s="18" t="s">
        <v>91</v>
      </c>
      <c r="I8" s="18" t="s">
        <v>92</v>
      </c>
      <c r="J8" s="18" t="n">
        <v>1911</v>
      </c>
      <c r="L8" s="18" t="n">
        <v>1955</v>
      </c>
      <c r="M8" s="18" t="n">
        <v>5</v>
      </c>
      <c r="N8" s="18" t="n">
        <v>600</v>
      </c>
      <c r="O8" s="20"/>
      <c r="P8" s="21"/>
      <c r="Q8" s="21"/>
      <c r="R8" s="21"/>
      <c r="S8" s="21"/>
      <c r="T8" s="21"/>
      <c r="U8" s="21"/>
      <c r="V8" s="21"/>
      <c r="W8" s="18" t="n">
        <f aca="false">52+25*4</f>
        <v>152</v>
      </c>
      <c r="X8" s="20"/>
      <c r="Y8" s="18" t="n">
        <v>5</v>
      </c>
      <c r="Z8" s="18" t="n">
        <v>48</v>
      </c>
      <c r="AA8" s="22" t="n">
        <f aca="false">IF(AND(W8&gt;0,Z8&gt;0),(Z8/((W8+X8)*10)),"")</f>
        <v>0.0315789473684211</v>
      </c>
      <c r="AB8" s="18" t="n">
        <v>60</v>
      </c>
      <c r="AC8" s="18" t="n">
        <f aca="false">ROUND(AB8*1.6, 0)</f>
        <v>96</v>
      </c>
      <c r="AG8" s="18" t="n">
        <v>17.5</v>
      </c>
      <c r="AJ8" s="23" t="n">
        <v>48</v>
      </c>
      <c r="AK8" s="18" t="str">
        <f aca="false">CONCATENATE(VLOOKUP(AL8, '[1]Voxel Sizes'!$A$2:$B$18,2,FALSE()),"x",INT(AH8*15), "x", INT(AI8*15))</f>
        <v>164x0x0</v>
      </c>
      <c r="AL8" s="18" t="n">
        <f aca="false">ROUND(15*((AG8*10)/256),0)</f>
        <v>10</v>
      </c>
      <c r="AN8" s="1" t="str">
        <f aca="false">CONCATENATE(VLOOKUP(AL8,Constants!$A$2:$C$16,IF(AM8&lt;&gt;"", 3, 2), FALSE()),IF(AM8&lt;&gt;"",CONCATENATE(",",VLOOKUP(AM8,$B:$AN,38,FALSE())),""))</f>
        <v>4,2,4</v>
      </c>
      <c r="AP8" s="24"/>
      <c r="AQ8" s="24"/>
      <c r="AR8" s="18" t="s">
        <v>128</v>
      </c>
      <c r="AT8" s="18" t="s">
        <v>129</v>
      </c>
      <c r="AU8" s="18" t="s">
        <v>113</v>
      </c>
      <c r="AX8" s="18" t="n">
        <v>25</v>
      </c>
      <c r="AY8" s="25" t="n">
        <f aca="false">IF(L8&lt;&gt;"",MAX(16,(L8-J8)+8),"")</f>
        <v>52</v>
      </c>
      <c r="AZ8" s="18" t="n">
        <v>-10</v>
      </c>
      <c r="BA8" s="18" t="n">
        <v>-25</v>
      </c>
      <c r="BB8" s="18" t="n">
        <f aca="false">MIN(AB8/150, 1)*30</f>
        <v>12</v>
      </c>
      <c r="BC8" s="18" t="n">
        <f aca="false">MIN(N8/4000, 1)*20</f>
        <v>3</v>
      </c>
      <c r="BD8" s="18" t="n">
        <f aca="false">MIN(Z8/400,1)*20</f>
        <v>2.4</v>
      </c>
      <c r="BE8" s="22"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f aca="false">INT(POWER((([1]Constants!$G$2+$BB8+$BC8+$BD8+$BF8)*$BE8)*$BH8, 1.05))+$BA8</f>
        <v>37</v>
      </c>
      <c r="BJ8" s="18" t="n">
        <f aca="false">INT(POWER(((([1]Constants!$G$1+$BB8+$BC8+$BD8+$BF8)*($BE8))*$BG8),IF($G8="wagon",1,1.2)))+$AZ8</f>
        <v>58</v>
      </c>
      <c r="BK8" s="26" t="n">
        <f aca="false">BI8*IF($G8="wagon",62.5,781.25)</f>
        <v>28906.25</v>
      </c>
      <c r="BL8" s="26" t="n">
        <f aca="false">BJ8*IF($G8="wagon",2.73,81.25)</f>
        <v>4712.5</v>
      </c>
      <c r="BQ8" s="18" t="s">
        <v>130</v>
      </c>
      <c r="BT8" s="18" t="n">
        <v>6</v>
      </c>
      <c r="BU8" s="18" t="n">
        <v>185</v>
      </c>
      <c r="BX8" s="18" t="s">
        <v>95</v>
      </c>
      <c r="BY8" s="18" t="str">
        <f aca="false">VLOOKUP(J8,[1]Eras!$A$2:$C$10, 2, TRUE())</f>
        <v>edw</v>
      </c>
      <c r="BZ8" s="18" t="s">
        <v>96</v>
      </c>
      <c r="CA8" s="18" t="str">
        <f aca="false">CONCATENATE(BY8,"_",BZ8)</f>
        <v>edw_EMU</v>
      </c>
      <c r="CB8" s="18" t="str">
        <f aca="false">_xlfn.CONCAT(H8, "_",I8)</f>
        <v>electric_ELRL</v>
      </c>
      <c r="CC8" s="27"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115</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131</v>
      </c>
      <c r="B9" s="18" t="s">
        <v>132</v>
      </c>
      <c r="C9" s="19" t="n">
        <v>18</v>
      </c>
      <c r="D9" s="18" t="n">
        <v>14</v>
      </c>
      <c r="E9" s="18" t="n">
        <v>14</v>
      </c>
      <c r="F9" s="18" t="s">
        <v>89</v>
      </c>
      <c r="G9" s="1" t="s">
        <v>90</v>
      </c>
      <c r="H9" s="18" t="s">
        <v>91</v>
      </c>
      <c r="I9" s="18" t="s">
        <v>92</v>
      </c>
      <c r="J9" s="18" t="n">
        <v>1911</v>
      </c>
      <c r="L9" s="18" t="n">
        <v>1955</v>
      </c>
      <c r="M9" s="18" t="n">
        <v>6</v>
      </c>
      <c r="N9" s="18" t="n">
        <v>600</v>
      </c>
      <c r="O9" s="20"/>
      <c r="P9" s="21"/>
      <c r="Q9" s="21"/>
      <c r="R9" s="21"/>
      <c r="S9" s="21"/>
      <c r="T9" s="21"/>
      <c r="U9" s="21"/>
      <c r="V9" s="21"/>
      <c r="W9" s="18" t="n">
        <f aca="false">52+25*5</f>
        <v>177</v>
      </c>
      <c r="X9" s="20"/>
      <c r="Y9" s="18" t="n">
        <v>5</v>
      </c>
      <c r="Z9" s="18" t="n">
        <v>48</v>
      </c>
      <c r="AA9" s="22" t="n">
        <f aca="false">IF(AND(W9&gt;0,Z9&gt;0),(Z9/((W9+X9)*10)),"")</f>
        <v>0.0271186440677966</v>
      </c>
      <c r="AB9" s="18" t="n">
        <v>60</v>
      </c>
      <c r="AC9" s="18" t="n">
        <f aca="false">ROUND(AB9*1.6, 0)</f>
        <v>96</v>
      </c>
      <c r="AG9" s="18" t="n">
        <v>17.5</v>
      </c>
      <c r="AJ9" s="23" t="n">
        <v>48</v>
      </c>
      <c r="AK9" s="18" t="str">
        <f aca="false">CONCATENATE(VLOOKUP(AL9, '[1]Voxel Sizes'!$A$2:$B$18,2,FALSE()),"x",INT(AH9*15), "x", INT(AI9*15))</f>
        <v>164x0x0</v>
      </c>
      <c r="AL9" s="18" t="n">
        <f aca="false">ROUND(15*((AG9*10)/256),0)</f>
        <v>10</v>
      </c>
      <c r="AN9" s="1" t="str">
        <f aca="false">CONCATENATE(VLOOKUP(AL9,Constants!$A$2:$C$16,IF(AM9&lt;&gt;"", 3, 2), FALSE()),IF(AM9&lt;&gt;"",CONCATENATE(",",VLOOKUP(AM9,$B:$AN,38,FALSE())),""))</f>
        <v>4,2,4</v>
      </c>
      <c r="AP9" s="24"/>
      <c r="AQ9" s="24"/>
      <c r="AR9" s="18" t="s">
        <v>133</v>
      </c>
      <c r="AT9" s="18" t="s">
        <v>134</v>
      </c>
      <c r="AU9" s="18" t="s">
        <v>113</v>
      </c>
      <c r="AX9" s="18" t="n">
        <v>25</v>
      </c>
      <c r="AY9" s="25" t="n">
        <f aca="false">IF(L9&lt;&gt;"",MAX(16,(L9-J9)+8),"")</f>
        <v>52</v>
      </c>
      <c r="AZ9" s="18" t="n">
        <v>-10</v>
      </c>
      <c r="BA9" s="18" t="n">
        <v>-25</v>
      </c>
      <c r="BB9" s="18" t="n">
        <f aca="false">MIN(AB9/150, 1)*30</f>
        <v>12</v>
      </c>
      <c r="BC9" s="18" t="n">
        <f aca="false">MIN(N9/4000, 1)*20</f>
        <v>3</v>
      </c>
      <c r="BD9" s="18" t="n">
        <f aca="false">MIN(Z9/400,1)*20</f>
        <v>2.4</v>
      </c>
      <c r="BE9" s="22"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f aca="false">INT(POWER((([1]Constants!$G$2+$BB9+$BC9+$BD9+$BF9)*$BE9)*$BH9, 1.05))+$BA9</f>
        <v>41</v>
      </c>
      <c r="BJ9" s="18" t="n">
        <f aca="false">INT(POWER(((([1]Constants!$G$1+$BB9+$BC9+$BD9+$BF9)*($BE9))*$BG9),IF($G9="wagon",1,1.2)))+$AZ9</f>
        <v>61</v>
      </c>
      <c r="BK9" s="26" t="n">
        <f aca="false">BI9*IF($G9="wagon",62.5,781.25)</f>
        <v>32031.25</v>
      </c>
      <c r="BL9" s="26" t="n">
        <f aca="false">BJ9*IF($G9="wagon",2.73,81.25)</f>
        <v>4956.25</v>
      </c>
      <c r="BQ9" s="18" t="s">
        <v>135</v>
      </c>
      <c r="BT9" s="18" t="n">
        <v>6</v>
      </c>
      <c r="BU9" s="18" t="n">
        <v>185</v>
      </c>
      <c r="BX9" s="18" t="s">
        <v>95</v>
      </c>
      <c r="BY9" s="18" t="str">
        <f aca="false">VLOOKUP(J9,[1]Eras!$A$2:$C$10, 2, TRUE())</f>
        <v>edw</v>
      </c>
      <c r="BZ9" s="18" t="s">
        <v>96</v>
      </c>
      <c r="CA9" s="18" t="str">
        <f aca="false">CONCATENATE(BY9,"_",BZ9)</f>
        <v>edw_EMU</v>
      </c>
      <c r="CB9" s="18" t="str">
        <f aca="false">_xlfn.CONCAT(H9, "_",I9)</f>
        <v>electric_ELRL</v>
      </c>
      <c r="CC9" s="27"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115</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136</v>
      </c>
      <c r="B10" s="18" t="s">
        <v>137</v>
      </c>
      <c r="C10" s="19" t="n">
        <v>19</v>
      </c>
      <c r="E10" s="18" t="n">
        <v>19</v>
      </c>
      <c r="F10" s="18" t="s">
        <v>89</v>
      </c>
      <c r="G10" s="1" t="s">
        <v>90</v>
      </c>
      <c r="H10" s="18" t="s">
        <v>91</v>
      </c>
      <c r="I10" s="18" t="s">
        <v>92</v>
      </c>
      <c r="J10" s="18" t="n">
        <v>1925</v>
      </c>
      <c r="L10" s="18" t="n">
        <v>1955</v>
      </c>
      <c r="M10" s="18" t="n">
        <v>5</v>
      </c>
      <c r="N10" s="18" t="n">
        <v>1000</v>
      </c>
      <c r="O10" s="20"/>
      <c r="P10" s="21"/>
      <c r="Q10" s="21"/>
      <c r="R10" s="21"/>
      <c r="S10" s="21"/>
      <c r="T10" s="21"/>
      <c r="U10" s="21"/>
      <c r="V10" s="21"/>
      <c r="W10" s="18" t="n">
        <v>160</v>
      </c>
      <c r="X10" s="20"/>
      <c r="Y10" s="18" t="n">
        <v>5</v>
      </c>
      <c r="Z10" s="18" t="n">
        <v>48</v>
      </c>
      <c r="AA10" s="22" t="n">
        <f aca="false">IF(AND(W10&gt;0,Z10&gt;0),(Z10/((W10+X10)*10)),"")</f>
        <v>0.03</v>
      </c>
      <c r="AB10" s="18" t="n">
        <v>60</v>
      </c>
      <c r="AC10" s="18" t="n">
        <f aca="false">ROUND(AB10*1.6, 0)</f>
        <v>96</v>
      </c>
      <c r="AG10" s="18" t="n">
        <v>12.8</v>
      </c>
      <c r="AJ10" s="23" t="n">
        <v>60</v>
      </c>
      <c r="AK10" s="18" t="str">
        <f aca="false">CONCATENATE(VLOOKUP(AL10, '[1]Voxel Sizes'!$A$2:$B$18,2,FALSE()),"x",INT(AH10*15), "x", INT(AI10*15))</f>
        <v>136x0x0</v>
      </c>
      <c r="AL10" s="18" t="n">
        <f aca="false">ROUND(15*((AG10*10)/256),0)</f>
        <v>8</v>
      </c>
      <c r="AN10" s="1" t="str">
        <f aca="false">CONCATENATE(VLOOKUP(AL10,Constants!$A$2:$C$16,IF(AM10&lt;&gt;"", 3, 2), FALSE()),IF(AM10&lt;&gt;"",CONCATENATE(",",VLOOKUP(AM10,$B:$AN,38,FALSE())),""))</f>
        <v>2,4,2</v>
      </c>
      <c r="AP10" s="24" t="s">
        <v>138</v>
      </c>
      <c r="AQ10" s="24" t="s">
        <v>139</v>
      </c>
      <c r="AR10" s="18" t="s">
        <v>140</v>
      </c>
      <c r="AT10" s="18" t="s">
        <v>141</v>
      </c>
      <c r="AU10" s="18" t="s">
        <v>113</v>
      </c>
      <c r="AX10" s="18" t="n">
        <v>25</v>
      </c>
      <c r="AY10" s="25" t="n">
        <f aca="false">IF(L10&lt;&gt;"",MAX(16,(L10-J10)+8),"")</f>
        <v>38</v>
      </c>
      <c r="AZ10" s="18" t="n">
        <v>-10</v>
      </c>
      <c r="BA10" s="18" t="n">
        <v>-25</v>
      </c>
      <c r="BB10" s="18" t="n">
        <f aca="false">MIN(AB10/150, 1)*30</f>
        <v>12</v>
      </c>
      <c r="BC10" s="18" t="n">
        <f aca="false">MIN(N10/4000, 1)*20</f>
        <v>5</v>
      </c>
      <c r="BD10" s="18" t="n">
        <f aca="false">MIN(Z10/400,1)*20</f>
        <v>2.4</v>
      </c>
      <c r="BE10" s="22"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f aca="false">INT(POWER((([1]Constants!$G$2+$BB10+$BC10+$BD10+$BF10)*$BE10)*$BH10, 1.05))+$BA10</f>
        <v>45</v>
      </c>
      <c r="BJ10" s="18" t="n">
        <f aca="false">INT(POWER(((([1]Constants!$G$1+$BB10+$BC10+$BD10+$BF10)*($BE10))*$BG10),IF($G10="wagon",1,1.2)))+$AZ10</f>
        <v>64</v>
      </c>
      <c r="BK10" s="26" t="n">
        <f aca="false">BI10*IF($G10="wagon",62.5,781.25)</f>
        <v>35156.25</v>
      </c>
      <c r="BL10" s="26" t="n">
        <f aca="false">BJ10*IF($G10="wagon",2.73,81.25)</f>
        <v>5200</v>
      </c>
      <c r="BT10" s="18" t="n">
        <v>6</v>
      </c>
      <c r="BU10" s="18" t="n">
        <v>185</v>
      </c>
      <c r="BX10" s="18" t="s">
        <v>95</v>
      </c>
      <c r="BY10" s="18" t="str">
        <f aca="false">VLOOKUP(J10,[1]Eras!$A$2:$C$10, 2, TRUE())</f>
        <v>big4</v>
      </c>
      <c r="BZ10" s="18" t="s">
        <v>96</v>
      </c>
      <c r="CA10" s="18" t="str">
        <f aca="false">CONCATENATE(BY10,"_",BZ10)</f>
        <v>big4_EMU</v>
      </c>
      <c r="CB10" s="18" t="str">
        <f aca="false">_xlfn.CONCAT(H10, "_",I10)</f>
        <v>electric_ELRL</v>
      </c>
      <c r="CC10" s="27"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142</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143</v>
      </c>
      <c r="B11" s="18" t="s">
        <v>144</v>
      </c>
      <c r="C11" s="19" t="n">
        <v>13</v>
      </c>
      <c r="E11" s="18" t="n">
        <v>20</v>
      </c>
      <c r="F11" s="18" t="s">
        <v>89</v>
      </c>
      <c r="G11" s="1" t="s">
        <v>145</v>
      </c>
      <c r="H11" s="18" t="s">
        <v>91</v>
      </c>
      <c r="I11" s="18" t="s">
        <v>92</v>
      </c>
      <c r="J11" s="18" t="n">
        <v>1925</v>
      </c>
      <c r="L11" s="18" t="n">
        <v>1955</v>
      </c>
      <c r="N11" s="18" t="n">
        <v>1000</v>
      </c>
      <c r="O11" s="20"/>
      <c r="P11" s="21"/>
      <c r="Q11" s="21"/>
      <c r="R11" s="21"/>
      <c r="S11" s="21"/>
      <c r="T11" s="21"/>
      <c r="U11" s="21"/>
      <c r="V11" s="21"/>
      <c r="W11" s="18" t="n">
        <v>62</v>
      </c>
      <c r="X11" s="20"/>
      <c r="Y11" s="18" t="n">
        <v>5</v>
      </c>
      <c r="Z11" s="18" t="n">
        <v>48</v>
      </c>
      <c r="AA11" s="22" t="n">
        <f aca="false">IF(AND(W11&gt;0,Z11&gt;0),(Z11/((W11+X11)*10)),"")</f>
        <v>0.0774193548387097</v>
      </c>
      <c r="AB11" s="18" t="n">
        <v>60</v>
      </c>
      <c r="AC11" s="18" t="n">
        <f aca="false">ROUND(AB11*1.6, 0)</f>
        <v>96</v>
      </c>
      <c r="AG11" s="18" t="n">
        <v>12.8</v>
      </c>
      <c r="AJ11" s="23" t="n">
        <v>60</v>
      </c>
      <c r="AK11" s="18" t="str">
        <f aca="false">CONCATENATE(VLOOKUP(AL11, '[1]Voxel Sizes'!$A$2:$B$18,2,FALSE()),"x",INT(AH11*15), "x", INT(AI11*15))</f>
        <v>136x0x0</v>
      </c>
      <c r="AL11" s="18" t="n">
        <f aca="false">ROUND(15*((AG11*10)/256),0)</f>
        <v>8</v>
      </c>
      <c r="AN11" s="1" t="str">
        <f aca="false">CONCATENATE(VLOOKUP(AL11,Constants!$A$2:$C$16,IF(AM11&lt;&gt;"", 3, 2), FALSE()),IF(AM11&lt;&gt;"",CONCATENATE(",",VLOOKUP(AM11,$B:$AN,38,FALSE())),""))</f>
        <v>2,4,2</v>
      </c>
      <c r="AP11" s="24"/>
      <c r="AQ11" s="24"/>
      <c r="AU11" s="18" t="s">
        <v>144</v>
      </c>
      <c r="AX11" s="18" t="n">
        <v>25</v>
      </c>
      <c r="AY11" s="25" t="n">
        <f aca="false">IF(L11&lt;&gt;"",MAX(16,(L11-J11)+8),"")</f>
        <v>38</v>
      </c>
      <c r="AZ11" s="18" t="n">
        <v>-10</v>
      </c>
      <c r="BA11" s="18" t="n">
        <v>-25</v>
      </c>
      <c r="BB11" s="18" t="n">
        <f aca="false">MIN(AB11/150, 1)*30</f>
        <v>12</v>
      </c>
      <c r="BC11" s="18" t="n">
        <f aca="false">MIN(N11/4000, 1)*20</f>
        <v>5</v>
      </c>
      <c r="BD11" s="18" t="n">
        <f aca="false">MIN(Z11/400,1)*20</f>
        <v>2.4</v>
      </c>
      <c r="BE11" s="22"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f aca="false">INT(POWER((([1]Constants!$G$2+$BB11+$BC11+$BD11+$BF11)*$BE11)*$BH11, 1.05))+$BA11</f>
        <v>46</v>
      </c>
      <c r="BJ11" s="18" t="n">
        <f aca="false">INT(POWER(((([1]Constants!$G$1+$BB11+$BC11+$BD11+$BF11)*($BE11))*$BG11),IF($G11="wagon",1,1.2)))+$AZ11</f>
        <v>49</v>
      </c>
      <c r="BK11" s="26" t="n">
        <f aca="false">BI11*IF($G11="wagon",62.5,781.25)</f>
        <v>35937.5</v>
      </c>
      <c r="BL11" s="26" t="n">
        <f aca="false">BJ11*IF($G11="wagon",2.73,81.25)</f>
        <v>3981.25</v>
      </c>
      <c r="BT11" s="18" t="n">
        <v>6</v>
      </c>
      <c r="BU11" s="18" t="n">
        <v>185</v>
      </c>
      <c r="BX11" s="18" t="s">
        <v>146</v>
      </c>
      <c r="BY11" s="18" t="str">
        <f aca="false">VLOOKUP(J11,[1]Eras!$A$2:$C$10, 2, TRUE())</f>
        <v>big4</v>
      </c>
      <c r="BZ11" s="18" t="s">
        <v>96</v>
      </c>
      <c r="CA11" s="18" t="str">
        <f aca="false">CONCATENATE(BY11,"_",BZ11)</f>
        <v>big4_EMU</v>
      </c>
      <c r="CB11" s="18" t="str">
        <f aca="false">_xlfn.CONCAT(H11, "_",I11)</f>
        <v>electric_ELRL</v>
      </c>
      <c r="CC11" s="27"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147</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28" customFormat="true" ht="13.8" hidden="false" customHeight="false" outlineLevel="0" collapsed="false">
      <c r="A12" s="28" t="s">
        <v>148</v>
      </c>
      <c r="B12" s="28" t="s">
        <v>149</v>
      </c>
      <c r="C12" s="1" t="n">
        <v>40</v>
      </c>
      <c r="E12" s="28" t="n">
        <v>40</v>
      </c>
      <c r="F12" s="28" t="s">
        <v>89</v>
      </c>
      <c r="G12" s="28" t="s">
        <v>145</v>
      </c>
      <c r="H12" s="28" t="s">
        <v>150</v>
      </c>
      <c r="I12" s="28" t="s">
        <v>151</v>
      </c>
      <c r="J12" s="28" t="n">
        <v>1936</v>
      </c>
      <c r="K12" s="28" t="n">
        <v>1960</v>
      </c>
      <c r="L12" s="28" t="n">
        <v>1985</v>
      </c>
      <c r="N12" s="28" t="n">
        <v>45</v>
      </c>
      <c r="O12" s="2"/>
      <c r="P12" s="3"/>
      <c r="Q12" s="3"/>
      <c r="R12" s="3"/>
      <c r="S12" s="3"/>
      <c r="T12" s="29"/>
      <c r="U12" s="3"/>
      <c r="V12" s="3"/>
      <c r="W12" s="28" t="n">
        <v>7</v>
      </c>
      <c r="X12" s="2"/>
      <c r="Y12" s="28" t="n">
        <v>5</v>
      </c>
      <c r="Z12" s="28" t="n">
        <v>15</v>
      </c>
      <c r="AA12" s="4" t="n">
        <f aca="false">IF(AND(W12&gt;0,Z12&gt;0),(Z12/((W12+X12)*10)),"")</f>
        <v>0.214285714285714</v>
      </c>
      <c r="AB12" s="28" t="n">
        <v>12</v>
      </c>
      <c r="AC12" s="28" t="n">
        <f aca="false">ROUND(AB12*1.6, 0)</f>
        <v>19</v>
      </c>
      <c r="AF12" s="28" t="n">
        <v>5.5</v>
      </c>
      <c r="AG12" s="28" t="n">
        <v>6</v>
      </c>
      <c r="AH12" s="28" t="n">
        <v>2.4</v>
      </c>
      <c r="AI12" s="28" t="n">
        <v>3.32</v>
      </c>
      <c r="AJ12" s="5" t="n">
        <v>0</v>
      </c>
      <c r="AK12" s="1" t="str">
        <f aca="false">CONCATENATE(VLOOKUP(AL12, '[1]Voxel Sizes'!$A$2:$B$18,2,FALSE()),"x",INT(AH12*15), "x", INT(AI12*15))</f>
        <v>60x36x49</v>
      </c>
      <c r="AL12" s="1" t="n">
        <f aca="false">ROUND(15*((AG12*10)/256),0)</f>
        <v>4</v>
      </c>
      <c r="AN12" s="1" t="str">
        <f aca="false">CONCATENATE(VLOOKUP(AL12,Constants!$A$2:$C$16,IF(AM12&lt;&gt;"", 3, 2), FALSE()),IF(AM12&lt;&gt;"",CONCATENATE(",",VLOOKUP(AM12,$B:$AN,38,FALSE())),""))</f>
        <v>1,2,1</v>
      </c>
      <c r="AP12" s="7"/>
      <c r="AQ12" s="7"/>
      <c r="AX12" s="28" t="n">
        <v>60</v>
      </c>
      <c r="AY12" s="6" t="n">
        <f aca="false">IF(L12&lt;&gt;"",MAX(16,(L12-J12)+8),"")</f>
        <v>57</v>
      </c>
      <c r="AZ12" s="28" t="n">
        <v>-11</v>
      </c>
      <c r="BA12" s="28" t="n">
        <v>-14</v>
      </c>
      <c r="BB12" s="8" t="n">
        <f aca="false">MIN(AB12/150, 1)*30</f>
        <v>2.4</v>
      </c>
      <c r="BC12" s="8" t="n">
        <f aca="false">MIN(N12/4000, 1)*20</f>
        <v>0.225</v>
      </c>
      <c r="BD12" s="8" t="n">
        <f aca="false">MIN(Z12/400,1)*20</f>
        <v>0.75</v>
      </c>
      <c r="BE12" s="30"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31" t="n">
        <f aca="false">BI12*IF($G12="wagon",62.5,781.25)</f>
        <v>3125</v>
      </c>
      <c r="BL12" s="31" t="n">
        <f aca="false">BJ12*IF($G12="wagon",2.73,81.25)</f>
        <v>1625</v>
      </c>
      <c r="BT12" s="28" t="n">
        <v>5</v>
      </c>
      <c r="BY12" s="1" t="str">
        <f aca="false">VLOOKUP(J12,Eras!$A$2:$C$10, 2, TRUE())</f>
        <v>big4</v>
      </c>
      <c r="BZ12" s="28" t="s">
        <v>152</v>
      </c>
      <c r="CA12" s="10" t="str">
        <f aca="false">CONCATENATE(BY12,"_",BZ12)</f>
        <v>big4_Cheap</v>
      </c>
      <c r="CB12" s="10" t="str">
        <f aca="false">_xlfn.CONCAT(H12, "_",I12)</f>
        <v>diesel_RAIL</v>
      </c>
      <c r="CC12" s="32"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28" t="s">
        <v>153</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28" t="s">
        <v>154</v>
      </c>
      <c r="B13" s="28" t="s">
        <v>155</v>
      </c>
      <c r="C13" s="1" t="n">
        <v>41</v>
      </c>
      <c r="D13" s="28"/>
      <c r="E13" s="28" t="n">
        <v>41</v>
      </c>
      <c r="F13" s="28" t="s">
        <v>89</v>
      </c>
      <c r="G13" s="28" t="s">
        <v>145</v>
      </c>
      <c r="H13" s="28" t="s">
        <v>150</v>
      </c>
      <c r="I13" s="28" t="s">
        <v>151</v>
      </c>
      <c r="J13" s="28" t="n">
        <v>1938</v>
      </c>
      <c r="K13" s="28" t="n">
        <v>1966</v>
      </c>
      <c r="L13" s="28" t="n">
        <v>1991</v>
      </c>
      <c r="M13" s="28"/>
      <c r="N13" s="28" t="n">
        <v>84</v>
      </c>
      <c r="T13" s="29"/>
      <c r="W13" s="28" t="n">
        <v>17</v>
      </c>
      <c r="Y13" s="28" t="n">
        <v>5</v>
      </c>
      <c r="Z13" s="28" t="n">
        <v>60</v>
      </c>
      <c r="AA13" s="4" t="n">
        <f aca="false">IF(AND(W13&gt;0,Z13&gt;0),(Z13/((W13+X13)*10)),"")</f>
        <v>0.352941176470588</v>
      </c>
      <c r="AB13" s="28" t="n">
        <v>18</v>
      </c>
      <c r="AC13" s="28" t="n">
        <f aca="false">ROUND(AB13*1.6, 0)</f>
        <v>29</v>
      </c>
      <c r="AD13" s="28"/>
      <c r="AE13" s="28"/>
      <c r="AF13" s="28" t="n">
        <v>6.2</v>
      </c>
      <c r="AG13" s="28" t="n">
        <v>8</v>
      </c>
      <c r="AH13" s="28" t="n">
        <v>2.4</v>
      </c>
      <c r="AI13" s="28" t="n">
        <v>3.32</v>
      </c>
      <c r="AJ13" s="5" t="n">
        <v>0</v>
      </c>
      <c r="AK13" s="1" t="str">
        <f aca="false">CONCATENATE(VLOOKUP(AL13, '[1]Voxel Sizes'!$A$2:$B$18,2,FALSE()),"x",INT(AH13*15), "x", INT(AI13*15))</f>
        <v>82x36x49</v>
      </c>
      <c r="AL13" s="1" t="n">
        <f aca="false">ROUND(15*((AG13*10)/256),0)</f>
        <v>5</v>
      </c>
      <c r="AM13" s="28"/>
      <c r="AN13" s="1" t="str">
        <f aca="false">CONCATENATE(VLOOKUP(AL13,Constants!$A$2:$C$16,IF(AM13&lt;&gt;"", 3, 2), FALSE()),IF(AM13&lt;&gt;"",CONCATENATE(",",VLOOKUP(AM13,$B:$AN,38,FALSE())),""))</f>
        <v>2,1,2</v>
      </c>
      <c r="AO13" s="28"/>
      <c r="AR13" s="28"/>
      <c r="AS13" s="28"/>
      <c r="AT13" s="28"/>
      <c r="AU13" s="28"/>
      <c r="AV13" s="28"/>
      <c r="AW13" s="28"/>
      <c r="AX13" s="28" t="n">
        <v>60</v>
      </c>
      <c r="AY13" s="6" t="n">
        <f aca="false">IF(L13&lt;&gt;"",MAX(16,(L13-J13)+8),"")</f>
        <v>61</v>
      </c>
      <c r="AZ13" s="28" t="n">
        <v>-11</v>
      </c>
      <c r="BA13" s="28" t="n">
        <v>-14</v>
      </c>
      <c r="BB13" s="8" t="n">
        <f aca="false">MIN(AB13/150, 1)*30</f>
        <v>3.6</v>
      </c>
      <c r="BC13" s="8" t="n">
        <f aca="false">MIN(N13/4000, 1)*20</f>
        <v>0.42</v>
      </c>
      <c r="BD13" s="8" t="n">
        <f aca="false">MIN(Z13/400,1)*20</f>
        <v>3</v>
      </c>
      <c r="BE13" s="30"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31" t="n">
        <f aca="false">BI13*IF($G13="wagon",62.5,781.25)</f>
        <v>9375</v>
      </c>
      <c r="BL13" s="31" t="n">
        <f aca="false">BJ13*IF($G13="wagon",2.73,81.25)</f>
        <v>2193.75</v>
      </c>
      <c r="BM13" s="28"/>
      <c r="BN13" s="28"/>
      <c r="BO13" s="28"/>
      <c r="BP13" s="28"/>
      <c r="BQ13" s="28"/>
      <c r="BR13" s="28"/>
      <c r="BS13" s="28"/>
      <c r="BT13" s="28" t="n">
        <v>5</v>
      </c>
      <c r="BU13" s="28"/>
      <c r="BV13" s="28"/>
      <c r="BW13" s="28"/>
      <c r="BX13" s="28"/>
      <c r="BY13" s="1" t="str">
        <f aca="false">VLOOKUP(J13,Eras!$A$2:$C$10, 2, TRUE())</f>
        <v>big4</v>
      </c>
      <c r="BZ13" s="28" t="s">
        <v>152</v>
      </c>
      <c r="CA13" s="10" t="str">
        <f aca="false">CONCATENATE(BY13,"_",BZ13)</f>
        <v>big4_Cheap</v>
      </c>
      <c r="CB13" s="10" t="str">
        <f aca="false">_xlfn.CONCAT(H13, "_",I13)</f>
        <v>diesel_RAIL</v>
      </c>
      <c r="CC13" s="32"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28" t="s">
        <v>156</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28"/>
      <c r="CJ13" s="1"/>
    </row>
    <row r="14" customFormat="false" ht="13.8" hidden="false" customHeight="false" outlineLevel="0" collapsed="false">
      <c r="A14" s="1" t="s">
        <v>157</v>
      </c>
      <c r="B14" s="1" t="s">
        <v>158</v>
      </c>
      <c r="C14" s="1" t="n">
        <v>151</v>
      </c>
      <c r="E14" s="1" t="n">
        <v>153</v>
      </c>
      <c r="F14" s="1" t="s">
        <v>89</v>
      </c>
      <c r="G14" s="1" t="s">
        <v>90</v>
      </c>
      <c r="H14" s="1" t="s">
        <v>150</v>
      </c>
      <c r="I14" s="1" t="s">
        <v>151</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1" t="str">
        <f aca="false">CONCATENATE(VLOOKUP(AL14, '[1]Voxel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159</v>
      </c>
      <c r="AT14" s="1" t="s">
        <v>160</v>
      </c>
      <c r="AU14" s="1" t="s">
        <v>158</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f aca="false">INT(POWER((([1]Constants!$G$2+$BB14+$BC14+$BD14+$BF14)*$BE14)*$BH14, 1.05))+$BA14</f>
        <v>38</v>
      </c>
      <c r="BJ14" s="1" t="n">
        <f aca="false">INT(POWER(((([1]Constants!$G$1+$BB14+$BC14+$BD14+$BF14)*($BE14))*$BG14),IF($G14="wagon",1,1.2)))+$AZ14</f>
        <v>77</v>
      </c>
      <c r="BK14" s="33" t="n">
        <f aca="false">BI14*IF($G14="wagon",62.5,781.25)</f>
        <v>29687.5</v>
      </c>
      <c r="BL14" s="33" t="n">
        <f aca="false">BJ14*IF($G14="wagon",2.73,81.25)</f>
        <v>6256.25</v>
      </c>
      <c r="BQ14" s="1" t="s">
        <v>161</v>
      </c>
      <c r="BT14" s="1" t="n">
        <v>4</v>
      </c>
      <c r="BU14" s="1" t="n">
        <v>185</v>
      </c>
      <c r="BX14" s="1" t="s">
        <v>95</v>
      </c>
      <c r="BY14" s="1" t="str">
        <f aca="false">VLOOKUP(J14,[1]Eras!$A$2:$C$10, 2, TRUE())</f>
        <v>lbr</v>
      </c>
      <c r="BZ14" s="28" t="s">
        <v>162</v>
      </c>
      <c r="CA14" s="1" t="str">
        <f aca="false">CONCATENATE(BY14,"_",BZ14)</f>
        <v>lbr_DMU</v>
      </c>
      <c r="CB14" s="1" t="str">
        <f aca="false">_xlfn.CONCAT(H14, "_",I14)</f>
        <v>diesel_RAIL</v>
      </c>
      <c r="CC14" s="32"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163</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164</v>
      </c>
      <c r="B15" s="1" t="s">
        <v>165</v>
      </c>
      <c r="C15" s="1" t="n">
        <v>201</v>
      </c>
      <c r="E15" s="1" t="n">
        <v>20</v>
      </c>
      <c r="F15" s="1" t="s">
        <v>89</v>
      </c>
      <c r="G15" s="1" t="s">
        <v>90</v>
      </c>
      <c r="H15" s="1" t="s">
        <v>150</v>
      </c>
      <c r="I15" s="1" t="s">
        <v>151</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1" t="str">
        <f aca="false">CONCATENATE(VLOOKUP(AL15, '[1]Voxel Sizes'!$A$2:$B$18,2,FALSE()),"x",INT(AH15*15), "x", INT(AI15*15))</f>
        <v>186x37x56</v>
      </c>
      <c r="AL15" s="1" t="n">
        <f aca="false">ROUND(15*((AG15*10)/256),0)</f>
        <v>11</v>
      </c>
      <c r="AN15" s="1" t="str">
        <f aca="false">CONCATENATE(VLOOKUP(AL15,Constants!$A$2:$C$16,IF(AM15&lt;&gt;"", 3, 2), FALSE()),IF(AM15&lt;&gt;"",CONCATENATE(",",VLOOKUP(AM15,$B:$AN,38,FALSE())),""))</f>
        <v>4,3,4</v>
      </c>
      <c r="AO15" s="1" t="s">
        <v>166</v>
      </c>
      <c r="AR15" s="1" t="s">
        <v>167</v>
      </c>
      <c r="AT15" s="1" t="s">
        <v>168</v>
      </c>
      <c r="AU15" s="1" t="s">
        <v>169</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33" t="n">
        <f aca="false">BI15*IF($G15="wagon",62.5,781.25)</f>
        <v>32812.5</v>
      </c>
      <c r="BL15" s="33" t="n">
        <f aca="false">BJ15*IF($G15="wagon",2.73,81.25)</f>
        <v>6093.75</v>
      </c>
      <c r="BQ15" s="1" t="s">
        <v>170</v>
      </c>
      <c r="BT15" s="1" t="n">
        <v>2</v>
      </c>
      <c r="BX15" s="1" t="s">
        <v>95</v>
      </c>
      <c r="BY15" s="1" t="str">
        <f aca="false">VLOOKUP(J15,Eras!$A$2:$C$10, 2, TRUE())</f>
        <v>dsl</v>
      </c>
      <c r="BZ15" s="28" t="s">
        <v>162</v>
      </c>
      <c r="CA15" s="1" t="str">
        <f aca="false">CONCATENATE(BY15,"_",BZ15)</f>
        <v>dsl_DMU</v>
      </c>
      <c r="CB15" s="1" t="str">
        <f aca="false">_xlfn.CONCAT(H15, "_",I15)</f>
        <v>diesel_RAIL</v>
      </c>
      <c r="CC15" s="32"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171</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172</v>
      </c>
      <c r="B16" s="1" t="s">
        <v>173</v>
      </c>
      <c r="C16" s="1" t="n">
        <v>202</v>
      </c>
      <c r="D16" s="1" t="n">
        <v>201</v>
      </c>
      <c r="E16" s="1" t="n">
        <v>22</v>
      </c>
      <c r="F16" s="1" t="s">
        <v>89</v>
      </c>
      <c r="G16" s="1" t="s">
        <v>90</v>
      </c>
      <c r="H16" s="1" t="s">
        <v>150</v>
      </c>
      <c r="I16" s="1" t="s">
        <v>151</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1" t="str">
        <f aca="false">CONCATENATE(VLOOKUP(AL16, '[1]Voxel Sizes'!$A$2:$B$18,2,FALSE()),"x",INT(AH16*15), "x", INT(AI16*15))</f>
        <v>186x37x56</v>
      </c>
      <c r="AL16" s="1" t="n">
        <f aca="false">ROUND(15*((AG16*10)/256),0)</f>
        <v>11</v>
      </c>
      <c r="AN16" s="1" t="str">
        <f aca="false">CONCATENATE(VLOOKUP(AL16,Constants!$A$2:$C$16,IF(AM16&lt;&gt;"", 3, 2), FALSE()),IF(AM16&lt;&gt;"",CONCATENATE(",",VLOOKUP(AM16,$B:$AN,38,FALSE())),""))</f>
        <v>4,3,4</v>
      </c>
      <c r="AO16" s="1" t="s">
        <v>174</v>
      </c>
      <c r="AR16" s="1" t="s">
        <v>175</v>
      </c>
      <c r="AT16" s="1" t="s">
        <v>134</v>
      </c>
      <c r="AU16" s="1" t="s">
        <v>169</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33" t="n">
        <f aca="false">BI16*IF($G16="wagon",62.5,781.25)</f>
        <v>37500</v>
      </c>
      <c r="BL16" s="33" t="n">
        <f aca="false">BJ16*IF($G16="wagon",2.73,81.25)</f>
        <v>6825</v>
      </c>
      <c r="BQ16" s="28" t="s">
        <v>176</v>
      </c>
      <c r="BT16" s="1" t="n">
        <v>2</v>
      </c>
      <c r="BX16" s="1" t="s">
        <v>95</v>
      </c>
      <c r="BY16" s="1" t="str">
        <f aca="false">VLOOKUP(J16,Eras!$A$2:$C$10, 2, TRUE())</f>
        <v>dsl</v>
      </c>
      <c r="BZ16" s="28" t="s">
        <v>162</v>
      </c>
      <c r="CA16" s="1" t="str">
        <f aca="false">CONCATENATE(BY16,"_",BZ16)</f>
        <v>dsl_DMU</v>
      </c>
      <c r="CB16" s="1" t="str">
        <f aca="false">_xlfn.CONCAT(H16, "_",I16)</f>
        <v>diesel_RAIL</v>
      </c>
      <c r="CC16" s="32"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171</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177</v>
      </c>
      <c r="B17" s="1" t="s">
        <v>178</v>
      </c>
      <c r="C17" s="1" t="n">
        <v>205</v>
      </c>
      <c r="E17" s="1" t="n">
        <v>24</v>
      </c>
      <c r="F17" s="1" t="s">
        <v>89</v>
      </c>
      <c r="G17" s="1" t="s">
        <v>90</v>
      </c>
      <c r="H17" s="1" t="s">
        <v>150</v>
      </c>
      <c r="I17" s="1" t="s">
        <v>151</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1" t="str">
        <f aca="false">CONCATENATE(VLOOKUP(AL17, '[1]Voxel Sizes'!$A$2:$B$18,2,FALSE()),"x",INT(AH17*15), "x", INT(AI17*15))</f>
        <v>198x40x56</v>
      </c>
      <c r="AL17" s="1" t="n">
        <f aca="false">ROUND(15*((AG17*10)/256),0)</f>
        <v>12</v>
      </c>
      <c r="AN17" s="1" t="str">
        <f aca="false">CONCATENATE(VLOOKUP(AL17,Constants!$A$2:$C$16,IF(AM17&lt;&gt;"", 3, 2), FALSE()),IF(AM17&lt;&gt;"",CONCATENATE(",",VLOOKUP(AM17,$B:$AN,38,FALSE())),""))</f>
        <v>4,4,4</v>
      </c>
      <c r="AR17" s="1" t="s">
        <v>179</v>
      </c>
      <c r="AT17" s="1" t="s">
        <v>160</v>
      </c>
      <c r="AU17" s="1" t="s">
        <v>180</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33" t="n">
        <f aca="false">BI17*IF($G17="wagon",62.5,781.25)</f>
        <v>30468.75</v>
      </c>
      <c r="BL17" s="33" t="n">
        <f aca="false">BJ17*IF($G17="wagon",2.73,81.25)</f>
        <v>5768.75</v>
      </c>
      <c r="BQ17" s="1" t="s">
        <v>181</v>
      </c>
      <c r="BT17" s="1" t="n">
        <v>2</v>
      </c>
      <c r="BX17" s="1" t="s">
        <v>95</v>
      </c>
      <c r="BY17" s="1" t="str">
        <f aca="false">VLOOKUP(J17,Eras!$A$2:$C$10, 2, TRUE())</f>
        <v>dsl</v>
      </c>
      <c r="BZ17" s="28" t="s">
        <v>162</v>
      </c>
      <c r="CA17" s="1" t="str">
        <f aca="false">CONCATENATE(BY17,"_",BZ17)</f>
        <v>dsl_DMU</v>
      </c>
      <c r="CB17" s="1" t="str">
        <f aca="false">_xlfn.CONCAT(H17, "_",I17)</f>
        <v>diesel_RAIL</v>
      </c>
      <c r="CC17" s="32"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182</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28" customFormat="true" ht="13.8" hidden="false" customHeight="false" outlineLevel="0" collapsed="false">
      <c r="A18" s="1" t="s">
        <v>183</v>
      </c>
      <c r="B18" s="1" t="s">
        <v>184</v>
      </c>
      <c r="C18" s="1" t="n">
        <v>206</v>
      </c>
      <c r="D18" s="1" t="n">
        <v>205</v>
      </c>
      <c r="E18" s="1" t="n">
        <v>26</v>
      </c>
      <c r="F18" s="1" t="s">
        <v>89</v>
      </c>
      <c r="G18" s="1" t="s">
        <v>90</v>
      </c>
      <c r="H18" s="1" t="s">
        <v>150</v>
      </c>
      <c r="I18" s="1" t="s">
        <v>151</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1" t="str">
        <f aca="false">CONCATENATE(VLOOKUP(AL18, '[1]Voxel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185</v>
      </c>
      <c r="AS18" s="1"/>
      <c r="AT18" s="1" t="s">
        <v>186</v>
      </c>
      <c r="AU18" s="1" t="s">
        <v>180</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33" t="n">
        <f aca="false">BI18*IF($G18="wagon",62.5,781.25)</f>
        <v>28125</v>
      </c>
      <c r="BL18" s="33" t="n">
        <f aca="false">BJ18*IF($G18="wagon",2.73,81.25)</f>
        <v>5443.75</v>
      </c>
      <c r="BM18" s="1"/>
      <c r="BN18" s="1"/>
      <c r="BO18" s="1"/>
      <c r="BP18" s="1"/>
      <c r="BQ18" s="1" t="s">
        <v>187</v>
      </c>
      <c r="BR18" s="1"/>
      <c r="BS18" s="1"/>
      <c r="BT18" s="1" t="n">
        <v>2</v>
      </c>
      <c r="BU18" s="1"/>
      <c r="BV18" s="1"/>
      <c r="BW18" s="1"/>
      <c r="BX18" s="1" t="s">
        <v>95</v>
      </c>
      <c r="BY18" s="1" t="str">
        <f aca="false">VLOOKUP(J18,Eras!$A$2:$C$10, 2, TRUE())</f>
        <v>dsl</v>
      </c>
      <c r="BZ18" s="28" t="s">
        <v>162</v>
      </c>
      <c r="CA18" s="1" t="str">
        <f aca="false">CONCATENATE(BY18,"_",BZ18)</f>
        <v>dsl_DMU</v>
      </c>
      <c r="CB18" s="1" t="str">
        <f aca="false">_xlfn.CONCAT(H18, "_",I18)</f>
        <v>diesel_RAIL</v>
      </c>
      <c r="CC18" s="32"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182</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188</v>
      </c>
      <c r="B19" s="1" t="s">
        <v>189</v>
      </c>
      <c r="C19" s="1" t="n">
        <v>210</v>
      </c>
      <c r="E19" s="1" t="n">
        <v>28</v>
      </c>
      <c r="F19" s="1" t="s">
        <v>89</v>
      </c>
      <c r="G19" s="1" t="s">
        <v>90</v>
      </c>
      <c r="H19" s="1" t="s">
        <v>150</v>
      </c>
      <c r="I19" s="1" t="s">
        <v>151</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1" t="str">
        <f aca="false">CONCATENATE(VLOOKUP(AL19, '[1]Voxel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190</v>
      </c>
      <c r="AT19" s="1" t="s">
        <v>191</v>
      </c>
      <c r="AU19" s="1" t="s">
        <v>192</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33" t="n">
        <f aca="false">BI19*IF($G19="wagon",62.5,781.25)</f>
        <v>52343.75</v>
      </c>
      <c r="BL19" s="33" t="n">
        <f aca="false">BJ19*IF($G19="wagon",2.73,81.25)</f>
        <v>8693.75</v>
      </c>
      <c r="BQ19" s="1" t="s">
        <v>193</v>
      </c>
      <c r="BT19" s="1" t="n">
        <v>2</v>
      </c>
      <c r="BX19" s="1" t="s">
        <v>95</v>
      </c>
      <c r="BY19" s="1" t="str">
        <f aca="false">VLOOKUP(J19,Eras!$A$2:$C$10, 2, TRUE())</f>
        <v>lbr</v>
      </c>
      <c r="BZ19" s="28" t="s">
        <v>162</v>
      </c>
      <c r="CA19" s="1" t="str">
        <f aca="false">CONCATENATE(BY19,"_",BZ19)</f>
        <v>lbr_DMU</v>
      </c>
      <c r="CB19" s="1" t="str">
        <f aca="false">_xlfn.CONCAT(H19, "_",I19)</f>
        <v>diesel_RAIL</v>
      </c>
      <c r="CC19" s="32"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194</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195</v>
      </c>
      <c r="B20" s="1" t="s">
        <v>193</v>
      </c>
      <c r="C20" s="1" t="n">
        <v>211</v>
      </c>
      <c r="D20" s="1" t="n">
        <v>210</v>
      </c>
      <c r="E20" s="1" t="n">
        <v>29</v>
      </c>
      <c r="F20" s="1" t="s">
        <v>89</v>
      </c>
      <c r="G20" s="1" t="s">
        <v>90</v>
      </c>
      <c r="H20" s="1" t="s">
        <v>150</v>
      </c>
      <c r="I20" s="1" t="s">
        <v>151</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1" t="str">
        <f aca="false">CONCATENATE(VLOOKUP(AL20, '[1]Voxel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196</v>
      </c>
      <c r="AT20" s="1" t="s">
        <v>197</v>
      </c>
      <c r="AU20" s="1" t="s">
        <v>198</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33" t="n">
        <f aca="false">BI20*IF($G20="wagon",62.5,781.25)</f>
        <v>50000</v>
      </c>
      <c r="BL20" s="33" t="n">
        <f aca="false">BJ20*IF($G20="wagon",2.73,81.25)</f>
        <v>8368.75</v>
      </c>
      <c r="BQ20" s="1" t="s">
        <v>189</v>
      </c>
      <c r="BT20" s="1" t="n">
        <v>2</v>
      </c>
      <c r="BX20" s="1" t="s">
        <v>95</v>
      </c>
      <c r="BY20" s="1" t="str">
        <f aca="false">VLOOKUP(J20,Eras!$A$2:$C$10, 2, TRUE())</f>
        <v>lbr</v>
      </c>
      <c r="BZ20" s="28" t="s">
        <v>162</v>
      </c>
      <c r="CA20" s="1" t="str">
        <f aca="false">CONCATENATE(BY20,"_",BZ20)</f>
        <v>lbr_DMU</v>
      </c>
      <c r="CB20" s="1" t="str">
        <f aca="false">_xlfn.CONCAT(H20, "_",I20)</f>
        <v>diesel_RAIL</v>
      </c>
      <c r="CC20" s="32"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199</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s="19" customFormat="true" ht="13.8" hidden="false" customHeight="false" outlineLevel="0" collapsed="false">
      <c r="A21" s="18" t="s">
        <v>200</v>
      </c>
      <c r="B21" s="18" t="s">
        <v>201</v>
      </c>
      <c r="C21" s="19" t="n">
        <v>251</v>
      </c>
      <c r="D21" s="18"/>
      <c r="E21" s="18" t="n">
        <v>27</v>
      </c>
      <c r="F21" s="18" t="s">
        <v>89</v>
      </c>
      <c r="G21" s="18" t="s">
        <v>90</v>
      </c>
      <c r="H21" s="18" t="s">
        <v>150</v>
      </c>
      <c r="I21" s="18" t="s">
        <v>151</v>
      </c>
      <c r="J21" s="18" t="n">
        <v>1960</v>
      </c>
      <c r="K21" s="18"/>
      <c r="L21" s="18" t="n">
        <v>1973</v>
      </c>
      <c r="M21" s="18" t="n">
        <v>8</v>
      </c>
      <c r="N21" s="18" t="n">
        <v>1000</v>
      </c>
      <c r="O21" s="20"/>
      <c r="P21" s="21"/>
      <c r="Q21" s="21"/>
      <c r="R21" s="21"/>
      <c r="S21" s="21"/>
      <c r="T21" s="21"/>
      <c r="U21" s="21"/>
      <c r="V21" s="21"/>
      <c r="W21" s="18" t="n">
        <f aca="false">408/6*5</f>
        <v>340</v>
      </c>
      <c r="X21" s="20"/>
      <c r="Y21" s="18" t="n">
        <v>3</v>
      </c>
      <c r="Z21" s="18" t="n">
        <v>155</v>
      </c>
      <c r="AA21" s="22" t="n">
        <f aca="false">IF(AND(W21&gt;0,Z21&gt;0),(Z21/((W21+X21)*10)),"")</f>
        <v>0.0455882352941176</v>
      </c>
      <c r="AB21" s="18" t="n">
        <v>90</v>
      </c>
      <c r="AC21" s="18" t="n">
        <f aca="false">ROUND(AB21*1.6, 0)</f>
        <v>144</v>
      </c>
      <c r="AD21" s="18"/>
      <c r="AE21" s="18"/>
      <c r="AF21" s="18" t="n">
        <v>20.26</v>
      </c>
      <c r="AG21" s="18" t="n">
        <v>20</v>
      </c>
      <c r="AH21" s="18" t="n">
        <v>2.9</v>
      </c>
      <c r="AI21" s="18" t="n">
        <v>3.77</v>
      </c>
      <c r="AJ21" s="23" t="n">
        <v>36</v>
      </c>
      <c r="AK21" s="18" t="str">
        <f aca="false">CONCATENATE(VLOOKUP(AL21, '[1]Voxel Sizes'!$A$2:$B$18,2,FALSE()),"x",INT(AH21*15), "x", INT(AI21*15))</f>
        <v>198x43x56</v>
      </c>
      <c r="AL21" s="18" t="n">
        <f aca="false">ROUND(15*((AG21*10)/256),0)</f>
        <v>12</v>
      </c>
      <c r="AM21" s="18"/>
      <c r="AN21" s="1" t="str">
        <f aca="false">CONCATENATE(VLOOKUP(AL21,Constants!$A$2:$C$16,IF(AM21&lt;&gt;"", 3, 2), FALSE()),IF(AM21&lt;&gt;"",CONCATENATE(",",VLOOKUP(AM21,$B:$AN,38,FALSE())),""))</f>
        <v>4,4,4</v>
      </c>
      <c r="AO21" s="18" t="s">
        <v>202</v>
      </c>
      <c r="AP21" s="24"/>
      <c r="AQ21" s="24"/>
      <c r="AR21" s="18" t="s">
        <v>203</v>
      </c>
      <c r="AS21" s="18"/>
      <c r="AT21" s="18" t="s">
        <v>204</v>
      </c>
      <c r="AU21" s="18" t="s">
        <v>205</v>
      </c>
      <c r="AV21" s="18"/>
      <c r="AW21" s="18"/>
      <c r="AX21" s="18" t="n">
        <v>22</v>
      </c>
      <c r="AY21" s="25" t="n">
        <f aca="false">IF(L21&lt;&gt;"",MAX(16,(L21-J21)+8),"")</f>
        <v>21</v>
      </c>
      <c r="AZ21" s="18" t="n">
        <v>-10</v>
      </c>
      <c r="BA21" s="18" t="n">
        <v>-15</v>
      </c>
      <c r="BB21" s="18" t="n">
        <f aca="false">MIN(AB21/150, 1)*30</f>
        <v>18</v>
      </c>
      <c r="BC21" s="18" t="n">
        <f aca="false">MIN(N21/4000, 1)*20</f>
        <v>5</v>
      </c>
      <c r="BD21" s="18" t="n">
        <f aca="false">MIN(Z21/400,1)*20</f>
        <v>7.75</v>
      </c>
      <c r="BE21" s="22" t="n">
        <f aca="false">1-(MAX(J21-1900, 0)/750)</f>
        <v>0.92</v>
      </c>
      <c r="BF21" s="18" t="n">
        <f aca="false">((MAX($M21,1)*MIN($AJ21/300,1)))*IF(G21="Wagon",50,10)</f>
        <v>9.6</v>
      </c>
      <c r="BG21" s="1" t="n">
        <f aca="false">VLOOKUP($H21,Constants!$I:$K, 2, FALSE())</f>
        <v>1</v>
      </c>
      <c r="BH21" s="1" t="n">
        <f aca="false">VLOOKUP($H21,Constants!$I:$K, 3, FALSE())*IF(AND(G21="multiple_unit",AB21&lt;110),0.75,1)</f>
        <v>1.5</v>
      </c>
      <c r="BI21" s="18" t="n">
        <f aca="false">INT(POWER((([1]Constants!$G$2+$BB21+$BC21+$BD21+$BF21)*$BE21)*$BH21, 1.05))+$BA21</f>
        <v>61</v>
      </c>
      <c r="BJ21" s="18" t="n">
        <f aca="false">INT(POWER(((([1]Constants!$G$1+$BB21+$BC21+$BD21+$BF21)*($BE21))*$BG21),IF($G21="wagon",1,1.2)))+$AZ21</f>
        <v>101</v>
      </c>
      <c r="BK21" s="26" t="n">
        <f aca="false">BI21*IF($G21="wagon",62.5,781.25)</f>
        <v>47656.25</v>
      </c>
      <c r="BL21" s="26" t="n">
        <f aca="false">BJ21*IF($G21="wagon",2.73,81.25)</f>
        <v>8206.25</v>
      </c>
      <c r="BM21" s="18"/>
      <c r="BN21" s="18"/>
      <c r="BO21" s="18"/>
      <c r="BP21" s="18"/>
      <c r="BQ21" s="18"/>
      <c r="BR21" s="18"/>
      <c r="BS21" s="18" t="s">
        <v>206</v>
      </c>
      <c r="BT21" s="18" t="n">
        <v>2</v>
      </c>
      <c r="BU21" s="18" t="n">
        <v>222</v>
      </c>
      <c r="BV21" s="18"/>
      <c r="BW21" s="18"/>
      <c r="BX21" s="18" t="s">
        <v>95</v>
      </c>
      <c r="BY21" s="18" t="str">
        <f aca="false">VLOOKUP(J21,[1]Eras!$A$2:$C$10, 2, TRUE())</f>
        <v>dsl</v>
      </c>
      <c r="BZ21" s="18" t="s">
        <v>207</v>
      </c>
      <c r="CA21" s="19" t="str">
        <f aca="false">CONCATENATE(BY21,"_",BZ21)</f>
        <v>dsl_DMU (Express)</v>
      </c>
      <c r="CB21" s="19" t="str">
        <f aca="false">_xlfn.CONCAT(H21, "_",I21)</f>
        <v>diesel_RAIL</v>
      </c>
      <c r="CC21" s="27"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9" t="str">
        <f aca="false">IF(M21&gt;1,_xlfn.CONCAT("{BLACK}Cars: {GOLD}", M21),"")</f>
        <v>{BLACK}Cars: {GOLD}8</v>
      </c>
      <c r="CF21" s="19" t="s">
        <v>208</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row>
    <row r="22" s="28" customFormat="true" ht="13.8" hidden="false" customHeight="false" outlineLevel="0" collapsed="false">
      <c r="A22" s="28" t="s">
        <v>209</v>
      </c>
      <c r="B22" s="28" t="s">
        <v>210</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 t="str">
        <f aca="false">CONCATENATE(VLOOKUP(AL22, '[1]Voxel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211</v>
      </c>
      <c r="AS22" s="1"/>
      <c r="AT22" s="1" t="s">
        <v>191</v>
      </c>
      <c r="AU22" s="1" t="s">
        <v>212</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f aca="false">INT(POWER((([1]Constants!$G$2+$BB22+$BC22+$BD22+$BF22)*$BE22)*$BH22, 1.05))+$BA22</f>
        <v>54</v>
      </c>
      <c r="BJ22" s="1" t="n">
        <f aca="false">INT(POWER(((([1]Constants!$G$1+$BB22+$BC22+$BD22+$BF22)*($BE22))*$BG22),IF($G22="wagon",1,1.2)))+$AZ22</f>
        <v>67</v>
      </c>
      <c r="BK22" s="33" t="n">
        <f aca="false">BI22*IF($G22="wagon",62.5,781.25)</f>
        <v>42187.5</v>
      </c>
      <c r="BL22" s="33"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tr">
        <f aca="false">VLOOKUP(J22,[1]Eras!$A$2:$C$10, 2, TRUE())</f>
        <v>dsl</v>
      </c>
      <c r="BZ22" s="28" t="s">
        <v>96</v>
      </c>
      <c r="CA22" s="1" t="str">
        <f aca="false">CONCATENATE(BY22,"_",BZ22)</f>
        <v>dsl_EMU</v>
      </c>
      <c r="CB22" s="1" t="str">
        <f aca="false">_xlfn.CONCAT(H22, "_",I22)</f>
        <v>electric_ELRL</v>
      </c>
      <c r="CC22" s="32"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213</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28" customFormat="true" ht="13.8" hidden="false" customHeight="false" outlineLevel="0" collapsed="false">
      <c r="A23" s="28" t="s">
        <v>214</v>
      </c>
      <c r="B23" s="28" t="s">
        <v>215</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 t="str">
        <f aca="false">CONCATENATE(VLOOKUP(AL23, '[1]Voxel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216</v>
      </c>
      <c r="AS23" s="1"/>
      <c r="AT23" s="1" t="s">
        <v>160</v>
      </c>
      <c r="AU23" s="1" t="s">
        <v>217</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f aca="false">INT(POWER((([1]Constants!$G$2+$BB23+$BC23+$BD23+$BF23)*$BE23)*$BH23, 1.05))+$BA23</f>
        <v>50</v>
      </c>
      <c r="BJ23" s="1" t="n">
        <f aca="false">INT(POWER(((([1]Constants!$G$1+$BB23+$BC23+$BD23+$BF23)*($BE23))*$BG23),IF($G23="wagon",1,1.2)))+$AZ23</f>
        <v>58</v>
      </c>
      <c r="BK23" s="33" t="n">
        <f aca="false">BI23*IF($G23="wagon",62.5,781.25)</f>
        <v>39062.5</v>
      </c>
      <c r="BL23" s="33"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146</v>
      </c>
      <c r="BY23" s="1" t="str">
        <f aca="false">VLOOKUP(J23,[1]Eras!$A$2:$C$10, 2, TRUE())</f>
        <v>dsl</v>
      </c>
      <c r="BZ23" s="28" t="s">
        <v>96</v>
      </c>
      <c r="CA23" s="1" t="str">
        <f aca="false">CONCATENATE(BY23,"_",BZ23)</f>
        <v>dsl_EMU</v>
      </c>
      <c r="CB23" s="1" t="str">
        <f aca="false">_xlfn.CONCAT(H23, "_",I23)</f>
        <v>electric_ELRL</v>
      </c>
      <c r="CC23" s="32"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218</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28" t="s">
        <v>219</v>
      </c>
      <c r="B24" s="28" t="s">
        <v>220</v>
      </c>
      <c r="C24" s="1" t="n">
        <v>309</v>
      </c>
      <c r="D24" s="1" t="n">
        <v>310</v>
      </c>
      <c r="E24" s="1" t="n">
        <v>39</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 t="str">
        <f aca="false">CONCATENATE(VLOOKUP(AL24, '[1]Voxel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221</v>
      </c>
      <c r="AT24" s="1" t="s">
        <v>112</v>
      </c>
      <c r="AU24" s="1" t="s">
        <v>222</v>
      </c>
      <c r="AX24" s="1" t="n">
        <v>35</v>
      </c>
      <c r="AY24" s="6" t="n">
        <f aca="false">IF(L24&lt;&gt;"",MAX(16,(L24-J24)+8),"")</f>
        <v>46</v>
      </c>
      <c r="AZ24" s="1" t="n">
        <v>-15</v>
      </c>
      <c r="BA24" s="1" t="n">
        <v>-60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f aca="false">INT(POWER((([1]Constants!$G$2+$BB24+$BC24+$BD24+$BF24)*$BE24)*$BH24, 1.05))+$BA24</f>
        <v>27</v>
      </c>
      <c r="BJ24" s="1" t="n">
        <f aca="false">INT(POWER(((([1]Constants!$G$1+$BB24+$BC24+$BD24+$BF24)*($BE24))*$BG24),IF($G24="wagon",1,1.2)))+$AZ24</f>
        <v>74</v>
      </c>
      <c r="BK24" s="33" t="n">
        <f aca="false">BI24*IF($G24="wagon",62.5,781.25)</f>
        <v>21093.75</v>
      </c>
      <c r="BL24" s="33"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223</v>
      </c>
      <c r="BW24" s="28"/>
      <c r="BX24" s="1" t="s">
        <v>95</v>
      </c>
      <c r="BY24" s="1" t="str">
        <f aca="false">VLOOKUP(J24,[1]Eras!$A$2:$C$10, 2, TRUE())</f>
        <v>dsl</v>
      </c>
      <c r="BZ24" s="28" t="s">
        <v>224</v>
      </c>
      <c r="CA24" s="1" t="str">
        <f aca="false">CONCATENATE(BY24,"_",BZ24)</f>
        <v>dsl_EMU (Express)</v>
      </c>
      <c r="CB24" s="1" t="str">
        <f aca="false">_xlfn.CONCAT(H24, "_",I24)</f>
        <v>electric_ELRL</v>
      </c>
      <c r="CC24" s="32"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225</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28" t="s">
        <v>226</v>
      </c>
      <c r="B25" s="28" t="s">
        <v>227</v>
      </c>
      <c r="C25" s="1" t="n">
        <v>310</v>
      </c>
      <c r="E25" s="1" t="n">
        <v>40</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 t="str">
        <f aca="false">CONCATENATE(VLOOKUP(AL25, '[1]Voxel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228</v>
      </c>
      <c r="AT25" s="1" t="s">
        <v>229</v>
      </c>
      <c r="AU25" s="1" t="s">
        <v>230</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f aca="false">INT(POWER((([1]Constants!$G$2+$BB25+$BC25+$BD25+$BF25)*$BE25)*$BH25, 1.05))+$BA25</f>
        <v>75</v>
      </c>
      <c r="BJ25" s="1" t="n">
        <f aca="false">INT(POWER(((([1]Constants!$G$1+$BB25+$BC25+$BD25+$BF25)*($BE25))*$BG25),IF($G25="wagon",1,1.2)))+$AZ25</f>
        <v>118</v>
      </c>
      <c r="BK25" s="33" t="n">
        <f aca="false">BI25*IF($G25="wagon",62.5,781.25)</f>
        <v>58593.75</v>
      </c>
      <c r="BL25" s="33"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223</v>
      </c>
      <c r="BW25" s="28" t="s">
        <v>231</v>
      </c>
      <c r="BX25" s="1" t="s">
        <v>95</v>
      </c>
      <c r="BY25" s="1" t="str">
        <f aca="false">VLOOKUP(J25,[1]Eras!$A$2:$C$10, 2, TRUE())</f>
        <v>dsl</v>
      </c>
      <c r="BZ25" s="28" t="s">
        <v>224</v>
      </c>
      <c r="CA25" s="1" t="str">
        <f aca="false">CONCATENATE(BY25,"_",BZ25)</f>
        <v>dsl_EMU (Express)</v>
      </c>
      <c r="CB25" s="1" t="str">
        <f aca="false">_xlfn.CONCAT(H25, "_",I25)</f>
        <v>electric_ELRL</v>
      </c>
      <c r="CC25" s="32"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232</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28" t="s">
        <v>233</v>
      </c>
      <c r="B26" s="28" t="s">
        <v>234</v>
      </c>
      <c r="C26" s="1" t="n">
        <v>311</v>
      </c>
      <c r="D26" s="1" t="n">
        <v>310</v>
      </c>
      <c r="E26" s="1" t="n">
        <v>41</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 t="str">
        <f aca="false">CONCATENATE(VLOOKUP(AL26, '[1]Voxel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235</v>
      </c>
      <c r="AT26" s="1" t="s">
        <v>236</v>
      </c>
      <c r="AU26" s="1" t="s">
        <v>230</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f aca="false">INT(POWER((([1]Constants!$G$2+$BB26+$BC26+$BD26+$BF26)*$BE26)*$BH26, 1.05))+$BA26</f>
        <v>64</v>
      </c>
      <c r="BJ26" s="1" t="n">
        <f aca="false">INT(POWER(((([1]Constants!$G$1+$BB26+$BC26+$BD26+$BF26)*($BE26))*$BG26),IF($G26="wagon",1,1.2)))+$AZ26</f>
        <v>86</v>
      </c>
      <c r="BK26" s="33" t="n">
        <f aca="false">BI26*IF($G26="wagon",62.5,781.25)</f>
        <v>50000</v>
      </c>
      <c r="BL26" s="33"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223</v>
      </c>
      <c r="BW26" s="28"/>
      <c r="BX26" s="1" t="s">
        <v>95</v>
      </c>
      <c r="BY26" s="1" t="str">
        <f aca="false">VLOOKUP(J26,[1]Eras!$A$2:$C$10, 2, TRUE())</f>
        <v>dsl</v>
      </c>
      <c r="BZ26" s="28" t="s">
        <v>224</v>
      </c>
      <c r="CA26" s="1" t="str">
        <f aca="false">CONCATENATE(BY26,"_",BZ26)</f>
        <v>dsl_EMU (Express)</v>
      </c>
      <c r="CB26" s="1" t="str">
        <f aca="false">_xlfn.CONCAT(H26, "_",I26)</f>
        <v>electric_ELRL</v>
      </c>
      <c r="CC26" s="32"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237</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s="28" customFormat="true" ht="13.8" hidden="false" customHeight="false" outlineLevel="0" collapsed="false">
      <c r="A27" s="1" t="s">
        <v>238</v>
      </c>
      <c r="B27" s="1" t="s">
        <v>239</v>
      </c>
      <c r="C27" s="1" t="n">
        <v>411</v>
      </c>
      <c r="D27" s="1"/>
      <c r="E27" s="1" t="n">
        <v>413</v>
      </c>
      <c r="F27" s="1" t="s">
        <v>89</v>
      </c>
      <c r="G27" s="1" t="s">
        <v>90</v>
      </c>
      <c r="H27" s="1" t="s">
        <v>91</v>
      </c>
      <c r="I27" s="1" t="s">
        <v>240</v>
      </c>
      <c r="J27" s="1" t="n">
        <v>1956</v>
      </c>
      <c r="K27" s="1" t="n">
        <v>1989</v>
      </c>
      <c r="L27" s="1" t="n">
        <v>2004</v>
      </c>
      <c r="M27" s="1" t="n">
        <v>4</v>
      </c>
      <c r="N27" s="1" t="n">
        <v>500</v>
      </c>
      <c r="O27" s="2"/>
      <c r="P27" s="3"/>
      <c r="Q27" s="3"/>
      <c r="R27" s="3"/>
      <c r="S27" s="3"/>
      <c r="T27" s="3"/>
      <c r="U27" s="3"/>
      <c r="V27" s="3"/>
      <c r="W27" s="1" t="n">
        <v>46.2</v>
      </c>
      <c r="X27" s="2"/>
      <c r="Y27" s="1" t="n">
        <v>5</v>
      </c>
      <c r="Z27" s="1" t="n">
        <v>95</v>
      </c>
      <c r="AA27" s="4" t="n">
        <f aca="false">IF(AND(W27&gt;0,Z27&gt;0),(Z27/((W27+X27)*10)),"")</f>
        <v>0.205627705627706</v>
      </c>
      <c r="AB27" s="1" t="n">
        <v>90</v>
      </c>
      <c r="AC27" s="1" t="n">
        <f aca="false">ROUND(AB27*1.6, 0)</f>
        <v>144</v>
      </c>
      <c r="AD27" s="1"/>
      <c r="AE27" s="1"/>
      <c r="AF27" s="1" t="n">
        <v>19.64</v>
      </c>
      <c r="AG27" s="1" t="n">
        <v>20</v>
      </c>
      <c r="AH27" s="1" t="n">
        <v>2.7</v>
      </c>
      <c r="AI27" s="1" t="n">
        <v>3.77</v>
      </c>
      <c r="AJ27" s="5" t="n">
        <v>56</v>
      </c>
      <c r="AK27" s="1" t="str">
        <f aca="false">CONCATENATE(VLOOKUP(AL27, '[1]Voxel Sizes'!$A$2:$B$18,2,FALSE()),"x",INT(AH27*15), "x", INT(AI27*15))</f>
        <v>198x40x56</v>
      </c>
      <c r="AL27" s="1" t="n">
        <f aca="false">ROUND(15*((AG27*10)/256),0)</f>
        <v>12</v>
      </c>
      <c r="AM27" s="1"/>
      <c r="AN27" s="1" t="str">
        <f aca="false">CONCATENATE(VLOOKUP(AL27,Constants!$A$2:$C$16,IF(AM27&lt;&gt;"", 3, 2), FALSE()),IF(AM27&lt;&gt;"",CONCATENATE(",",VLOOKUP(AM27,$B:$AN,38,FALSE())),""))</f>
        <v>4,4,4</v>
      </c>
      <c r="AO27" s="1"/>
      <c r="AP27" s="7"/>
      <c r="AQ27" s="7"/>
      <c r="AR27" s="1" t="s">
        <v>241</v>
      </c>
      <c r="AS27" s="1"/>
      <c r="AT27" s="1" t="s">
        <v>191</v>
      </c>
      <c r="AU27" s="1" t="s">
        <v>242</v>
      </c>
      <c r="AV27" s="1"/>
      <c r="AW27" s="1"/>
      <c r="AX27" s="1" t="n">
        <v>45</v>
      </c>
      <c r="AY27" s="6" t="n">
        <f aca="false">IF(L27&lt;&gt;"",MAX(16,(L27-J27)+8),"")</f>
        <v>56</v>
      </c>
      <c r="AZ27" s="1" t="n">
        <v>-10</v>
      </c>
      <c r="BA27" s="1"/>
      <c r="BB27" s="1" t="n">
        <f aca="false">MIN(AB27/150, 1)*30</f>
        <v>18</v>
      </c>
      <c r="BC27" s="1" t="n">
        <f aca="false">MIN(N27/4000, 1)*20</f>
        <v>2.5</v>
      </c>
      <c r="BD27" s="1" t="n">
        <f aca="false">MIN(Z27/400,1)*20</f>
        <v>4.75</v>
      </c>
      <c r="BE27" s="4" t="n">
        <f aca="false">1-(MAX(J27-1900, 0)/750)</f>
        <v>0.925333333333333</v>
      </c>
      <c r="BF27" s="1" t="n">
        <f aca="false">((MAX($M27,1)*MIN($AJ27/300,1)))*IF(G27="Wagon",50,10)</f>
        <v>7.46666666666667</v>
      </c>
      <c r="BG27" s="1" t="n">
        <f aca="false">VLOOKUP($H27,Constants!$I:$K, 2, FALSE())</f>
        <v>0.85</v>
      </c>
      <c r="BH27" s="1" t="n">
        <f aca="false">VLOOKUP($H27,Constants!$I:$K, 3, FALSE())*IF(AND(G27="multiple_unit",AB27&lt;110),0.75,1)</f>
        <v>1.725</v>
      </c>
      <c r="BI27" s="1" t="n">
        <f aca="false">INT(POWER(((Constants!$G$2+$BB27+$BC27+$BD27+$BF27)*$BE27)*$BH27, 1.05))+$BA27</f>
        <v>73</v>
      </c>
      <c r="BJ27" s="1" t="n">
        <f aca="false">INT(POWER((((Constants!$G$1+$BB27+$BC27+$BD27+$BF27)*($BE27))*$BG27),IF($G27="wagon",1,1.2)))+$AZ27</f>
        <v>67</v>
      </c>
      <c r="BK27" s="33" t="n">
        <f aca="false">BI27*IF($G27="wagon",62.5,781.25)</f>
        <v>57031.25</v>
      </c>
      <c r="BL27" s="33" t="n">
        <f aca="false">BJ27*IF($G27="wagon",2.73,81.25)</f>
        <v>5443.75</v>
      </c>
      <c r="BM27" s="1"/>
      <c r="BN27" s="1"/>
      <c r="BO27" s="1"/>
      <c r="BP27" s="1"/>
      <c r="BQ27" s="1" t="s">
        <v>243</v>
      </c>
      <c r="BR27" s="1"/>
      <c r="BS27" s="1"/>
      <c r="BT27" s="1" t="n">
        <v>2</v>
      </c>
      <c r="BU27" s="1"/>
      <c r="BV27" s="1"/>
      <c r="BW27" s="1"/>
      <c r="BX27" s="1" t="s">
        <v>95</v>
      </c>
      <c r="BY27" s="1" t="str">
        <f aca="false">VLOOKUP(J27,Eras!$A$2:$C$10, 2, TRUE())</f>
        <v>dsl</v>
      </c>
      <c r="BZ27" s="28" t="s">
        <v>96</v>
      </c>
      <c r="CA27" s="1" t="str">
        <f aca="false">CONCATENATE(BY27,"_",BZ27)</f>
        <v>dsl_EMU</v>
      </c>
      <c r="CB27" s="1" t="str">
        <f aca="false">_xlfn.CONCAT(H27, "_",I27)</f>
        <v>electric_THIRD_RAIL</v>
      </c>
      <c r="CC27" s="32" t="str">
        <f aca="false" t="array" ref="CC27:CC27">_xlfn.CONCAT("{BLACK}Length: {GOLD}", TEXT(ROUNDUP(IF(AQ27&lt;&gt;"",SUM(VALUE(_xlfn.TEXTSPLIT(AQ27, ","))), SUM(VALUE(_xlfn.TEXTSPLIT(AN27, ",")))*IF(M27, M27, 1))/16, 1), "#,##0.0"), " tiles{}")</f>
        <v>{BLACK}Length: {GOLD}3.0 tiles{}</v>
      </c>
      <c r="CD27" s="1" t="str">
        <f aca="false">VLOOKUP($CB27, Constants!$M:$N, 2, FALSE())</f>
        <v>{BLACK}Powered by: {GOLD}750V DC</v>
      </c>
      <c r="CE27" s="1" t="str">
        <f aca="false">IF(M27&gt;1,_xlfn.CONCAT("{BLACK}Cars: {GOLD}", M27),"")</f>
        <v>{BLACK}Cars: {GOLD}4</v>
      </c>
      <c r="CF27" s="1" t="s">
        <v>244</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{BLACK}Powered by: {GOLD}750V DC {BLACK}Cars: {GOLD}4{}{BLACK}Length: {GOLD}3.0 tiles{}{SILVER}The archetypal Mk1 Express EMU – 4CEP units were an evolution of the earlier southern 4COR units. 133 were built and they enjoyed a long career into the early 2000s.</v>
      </c>
      <c r="CI27" s="1"/>
      <c r="CJ27" s="1"/>
      <c r="CK27" s="1"/>
    </row>
    <row r="28" customFormat="false" ht="13.8" hidden="false" customHeight="false" outlineLevel="0" collapsed="false">
      <c r="A28" s="1" t="s">
        <v>245</v>
      </c>
      <c r="B28" s="1" t="s">
        <v>246</v>
      </c>
      <c r="C28" s="1" t="n">
        <v>419</v>
      </c>
      <c r="E28" s="1" t="n">
        <v>421</v>
      </c>
      <c r="F28" s="1" t="s">
        <v>89</v>
      </c>
      <c r="G28" s="1" t="s">
        <v>145</v>
      </c>
      <c r="H28" s="1" t="s">
        <v>247</v>
      </c>
      <c r="I28" s="1" t="s">
        <v>248</v>
      </c>
      <c r="J28" s="1" t="n">
        <v>1959</v>
      </c>
      <c r="K28" s="1" t="n">
        <v>1989</v>
      </c>
      <c r="L28" s="1" t="n">
        <v>2004</v>
      </c>
      <c r="M28" s="1" t="n">
        <v>1</v>
      </c>
      <c r="N28" s="1" t="n">
        <v>500</v>
      </c>
      <c r="W28" s="1" t="n">
        <v>46.2</v>
      </c>
      <c r="Y28" s="1" t="n">
        <v>5</v>
      </c>
      <c r="Z28" s="1" t="n">
        <v>95</v>
      </c>
      <c r="AA28" s="4" t="n">
        <f aca="false">IF(AND(W28&gt;0,Z28&gt;0),(Z28/((W28+X28)*10)),"")</f>
        <v>0.205627705627706</v>
      </c>
      <c r="AB28" s="1" t="n">
        <v>90</v>
      </c>
      <c r="AC28" s="1" t="n">
        <f aca="false">ROUND(AB28*1.6, 0)</f>
        <v>144</v>
      </c>
      <c r="AF28" s="1" t="n">
        <v>19.64</v>
      </c>
      <c r="AG28" s="1" t="n">
        <v>20</v>
      </c>
      <c r="AH28" s="1" t="n">
        <v>2.7</v>
      </c>
      <c r="AI28" s="1" t="n">
        <v>3.77</v>
      </c>
      <c r="AJ28" s="5" t="n">
        <v>38</v>
      </c>
      <c r="AK28" s="1" t="str">
        <f aca="false">CONCATENATE(VLOOKUP(AL28, '[1]Voxel Sizes'!$A$2:$B$18,2,FALSE()),"x",INT(AH28*15), "x", INT(AI28*15))</f>
        <v>198x40x56</v>
      </c>
      <c r="AL28" s="1" t="n">
        <f aca="false">ROUND(15*((AG28*10)/256),0)</f>
        <v>12</v>
      </c>
      <c r="AN28" s="1" t="str">
        <f aca="false">CONCATENATE(VLOOKUP(AL28,Constants!$A$2:$C$16,IF(AM28&lt;&gt;"", 3, 2), FALSE()),IF(AM28&lt;&gt;"",CONCATENATE(",",VLOOKUP(AM28,$B:$AN,38,FALSE())),""))</f>
        <v>4,4,4</v>
      </c>
      <c r="AR28" s="1" t="s">
        <v>246</v>
      </c>
      <c r="AT28" s="1" t="n">
        <v>1</v>
      </c>
      <c r="AX28" s="1" t="n">
        <v>45</v>
      </c>
      <c r="AY28" s="6" t="n">
        <f aca="false">IF(L28&lt;&gt;"",MAX(16,(L28-J28)+8),"")</f>
        <v>53</v>
      </c>
      <c r="BA28" s="1" t="n">
        <v>-45</v>
      </c>
      <c r="BB28" s="1" t="n">
        <f aca="false">MIN(AB28/150, 1)*30</f>
        <v>18</v>
      </c>
      <c r="BC28" s="1" t="n">
        <f aca="false">MIN(N28/4000, 1)*20</f>
        <v>2.5</v>
      </c>
      <c r="BD28" s="1" t="n">
        <f aca="false">MIN(Z28/400,1)*20</f>
        <v>4.75</v>
      </c>
      <c r="BE28" s="4" t="n">
        <f aca="false">1-(MAX(J28-1900, 0)/750)</f>
        <v>0.921333333333333</v>
      </c>
      <c r="BF28" s="1" t="n">
        <f aca="false">((MAX($M28,1)*MIN($AJ28/300,1)))*IF(G28="Wagon",50,10)</f>
        <v>1.26666666666667</v>
      </c>
      <c r="BG28" s="1" t="n">
        <f aca="false">VLOOKUP($H28,Constants!$I:$K, 2, FALSE())</f>
        <v>0.9</v>
      </c>
      <c r="BH28" s="1" t="n">
        <f aca="false">VLOOKUP($H28,Constants!$I:$K, 3, FALSE())*IF(AND(G28="multiple_unit",AB28&lt;110),0.75,1)</f>
        <v>2.5</v>
      </c>
      <c r="BI28" s="1" t="n">
        <f aca="false">INT(POWER(((Constants!$G$2+$BB28+$BC28+$BD28+$BF28)*$BE28)*$BH28, 1.05))+$BA28</f>
        <v>44</v>
      </c>
      <c r="BJ28" s="1" t="n">
        <f aca="false">INT(POWER((((Constants!$G$1+$BB28+$BC28+$BD28+$BF28)*($BE28))*$BG28),IF($G28="wagon",1,1.2)))+$AZ28</f>
        <v>69</v>
      </c>
      <c r="BK28" s="33" t="n">
        <f aca="false">BI28*IF($G28="wagon",62.5,781.25)</f>
        <v>34375</v>
      </c>
      <c r="BL28" s="33" t="n">
        <f aca="false">BJ28*IF($G28="wagon",2.73,81.25)</f>
        <v>5606.25</v>
      </c>
      <c r="BQ28" s="1" t="s">
        <v>249</v>
      </c>
      <c r="BT28" s="1" t="n">
        <v>2</v>
      </c>
      <c r="BX28" s="1" t="s">
        <v>146</v>
      </c>
      <c r="BY28" s="1" t="str">
        <f aca="false">VLOOKUP(J28,Eras!$A$2:$C$10, 2, TRUE())</f>
        <v>dsl</v>
      </c>
      <c r="BZ28" s="28" t="s">
        <v>96</v>
      </c>
      <c r="CA28" s="1" t="str">
        <f aca="false">CONCATENATE(BY28,"_",BZ28)</f>
        <v>dsl_EMU</v>
      </c>
      <c r="CB28" s="1" t="str">
        <f aca="false">_xlfn.CONCAT(H28, "_",I28)</f>
        <v>dual_power_BATTERY</v>
      </c>
      <c r="CC28" s="32" t="str">
        <f aca="false" t="array" ref="CC28:CC28">_xlfn.CONCAT("{BLACK}Length: {GOLD}", TEXT(ROUNDUP(IF(AQ28&lt;&gt;"",SUM(VALUE(_xlfn.TEXTSPLIT(AQ28, ","))), SUM(VALUE(_xlfn.TEXTSPLIT(AN28, ",")))*IF(M28, M28, 1))/16, 1), "#,##0.0"), " tiles{}")</f>
        <v>{BLACK}Length: {GOLD}0.8 tiles{}</v>
      </c>
      <c r="CD28" s="1" t="str">
        <f aca="false">VLOOKUP($CB28, Constants!$M:$N, 2, FALSE())</f>
        <v>{BLACK}Powered by: {GOLD}750V DC / Battery</v>
      </c>
      <c r="CE28" s="1" t="str">
        <f aca="false">IF(M28&gt;1,_xlfn.CONCAT("{BLACK}Cars: {GOLD}", M28),"")</f>
        <v/>
      </c>
      <c r="CF28" s="1" t="s">
        <v>250</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 Battery {}{BLACK}Length: {GOLD}0.8 tiles{}{SILVER}The Class 419 Motor Luggage Van was used to extend the luggage capacity of express services and was capable of running on it’s own batteries within non-electrified areas.</v>
      </c>
      <c r="CI28" s="1"/>
      <c r="CJ28" s="1"/>
    </row>
    <row r="29" customFormat="false" ht="13.8" hidden="false" customHeight="false" outlineLevel="0" collapsed="false">
      <c r="A29" s="1" t="s">
        <v>251</v>
      </c>
      <c r="B29" s="1" t="s">
        <v>252</v>
      </c>
      <c r="C29" s="1" t="n">
        <v>489</v>
      </c>
      <c r="E29" s="1" t="n">
        <v>491</v>
      </c>
      <c r="F29" s="1" t="s">
        <v>89</v>
      </c>
      <c r="G29" s="1" t="s">
        <v>145</v>
      </c>
      <c r="H29" s="1" t="s">
        <v>91</v>
      </c>
      <c r="I29" s="1" t="s">
        <v>240</v>
      </c>
      <c r="J29" s="1" t="n">
        <v>1959</v>
      </c>
      <c r="K29" s="1" t="n">
        <v>1989</v>
      </c>
      <c r="L29" s="1" t="n">
        <v>2005</v>
      </c>
      <c r="M29" s="1" t="n">
        <v>1</v>
      </c>
      <c r="N29" s="1" t="n">
        <v>500</v>
      </c>
      <c r="W29" s="1" t="n">
        <v>40.5</v>
      </c>
      <c r="Y29" s="1" t="n">
        <v>5</v>
      </c>
      <c r="Z29" s="1" t="n">
        <v>95</v>
      </c>
      <c r="AA29" s="4" t="n">
        <f aca="false">IF(AND(W29&gt;0,Z29&gt;0),(Z29/((W29+X29)*10)),"")</f>
        <v>0.234567901234568</v>
      </c>
      <c r="AB29" s="1" t="n">
        <v>90</v>
      </c>
      <c r="AC29" s="1" t="n">
        <f aca="false">ROUND(AB29*1.6, 0)</f>
        <v>144</v>
      </c>
      <c r="AF29" s="1" t="n">
        <v>19.64</v>
      </c>
      <c r="AG29" s="1" t="n">
        <v>20</v>
      </c>
      <c r="AH29" s="1" t="n">
        <v>2.7</v>
      </c>
      <c r="AI29" s="1" t="n">
        <v>3.77</v>
      </c>
      <c r="AJ29" s="5" t="n">
        <v>38</v>
      </c>
      <c r="AK29" s="1" t="str">
        <f aca="false">CONCATENATE(VLOOKUP(AL29, '[1]Voxel Sizes'!$A$2:$B$18,2,FALSE()),"x",INT(AH29*15), "x", INT(AI29*15))</f>
        <v>198x40x56</v>
      </c>
      <c r="AL29" s="1" t="n">
        <f aca="false">ROUND(15*((AG29*10)/256),0)</f>
        <v>12</v>
      </c>
      <c r="AN29" s="1" t="str">
        <f aca="false">CONCATENATE(VLOOKUP(AL29,Constants!$A$2:$C$16,IF(AM29&lt;&gt;"", 3, 2), FALSE()),IF(AM29&lt;&gt;"",CONCATENATE(",",VLOOKUP(AM29,$B:$AN,38,FALSE())),""))</f>
        <v>4,4,4</v>
      </c>
      <c r="AR29" s="1" t="s">
        <v>252</v>
      </c>
      <c r="AT29" s="1" t="n">
        <v>1</v>
      </c>
      <c r="AX29" s="1" t="n">
        <v>45</v>
      </c>
      <c r="AY29" s="6" t="n">
        <f aca="false">IF(L29&lt;&gt;"",MAX(16,(L29-J29)+8),"")</f>
        <v>54</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0.85</v>
      </c>
      <c r="BH29" s="1" t="n">
        <f aca="false">VLOOKUP($H29,Constants!$I:$K, 3, FALSE())*IF(AND(G29="multiple_unit",AB29&lt;110),0.75,1)</f>
        <v>2.3</v>
      </c>
      <c r="BI29" s="1" t="n">
        <f aca="false">INT(POWER(((Constants!$G$2+$BB29+$BC29+$BD29+$BF29)*$BE29)*$BH29, 1.05))+$BA29</f>
        <v>37</v>
      </c>
      <c r="BJ29" s="1" t="n">
        <f aca="false">INT(POWER((((Constants!$G$1+$BB29+$BC29+$BD29+$BF29)*($BE29))*$BG29),IF($G29="wagon",1,1.2)))+$AZ29</f>
        <v>65</v>
      </c>
      <c r="BK29" s="33" t="n">
        <f aca="false">BI29*IF($G29="wagon",62.5,781.25)</f>
        <v>28906.25</v>
      </c>
      <c r="BL29" s="33" t="n">
        <f aca="false">BJ29*IF($G29="wagon",2.73,81.25)</f>
        <v>5281.25</v>
      </c>
      <c r="BM29" s="1" t="n">
        <v>1</v>
      </c>
      <c r="BN29" s="1" t="n">
        <v>1</v>
      </c>
      <c r="BQ29" s="1" t="s">
        <v>253</v>
      </c>
      <c r="BT29" s="1" t="n">
        <v>2</v>
      </c>
      <c r="BX29" s="1" t="s">
        <v>146</v>
      </c>
      <c r="BY29" s="1" t="str">
        <f aca="false">VLOOKUP(J29,Eras!$A$2:$C$10, 2, TRUE())</f>
        <v>dsl</v>
      </c>
      <c r="BZ29" s="28" t="s">
        <v>96</v>
      </c>
      <c r="CA29" s="1" t="str">
        <f aca="false">CONCATENATE(BY29,"_",BZ29)</f>
        <v>dsl_EMU</v>
      </c>
      <c r="CB29" s="1" t="str">
        <f aca="false">_xlfn.CONCAT(H29, "_",I29)</f>
        <v>electric_THIRD_RAIL</v>
      </c>
      <c r="CC29" s="32"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v>
      </c>
      <c r="CE29" s="1" t="str">
        <f aca="false">IF(M29&gt;1,_xlfn.CONCAT("{BLACK}Cars: {GOLD}", M29),"")</f>
        <v/>
      </c>
      <c r="CF29" s="1" t="s">
        <v>254</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{}{BLACK}Length: {GOLD}0.8 tiles{}{SILVER}A late conversion of the 2HAP driving motor to a cab and luggage car for Gatwick Express services</v>
      </c>
      <c r="CI29" s="1"/>
      <c r="CJ29" s="1"/>
    </row>
    <row r="30" customFormat="false" ht="13.8" hidden="false" customHeight="false" outlineLevel="0" collapsed="false">
      <c r="A30" s="1" t="s">
        <v>255</v>
      </c>
      <c r="B30" s="1" t="s">
        <v>161</v>
      </c>
      <c r="C30" s="1" t="n">
        <v>153</v>
      </c>
      <c r="E30" s="1" t="n">
        <v>155</v>
      </c>
      <c r="F30" s="1" t="s">
        <v>89</v>
      </c>
      <c r="G30" s="1" t="s">
        <v>90</v>
      </c>
      <c r="H30" s="1" t="s">
        <v>150</v>
      </c>
      <c r="I30" s="1" t="s">
        <v>151</v>
      </c>
      <c r="J30" s="1" t="n">
        <v>1991</v>
      </c>
      <c r="M30" s="1" t="n">
        <v>1</v>
      </c>
      <c r="N30" s="1" t="n">
        <v>285</v>
      </c>
      <c r="W30" s="1" t="n">
        <v>41.2</v>
      </c>
      <c r="Y30" s="1" t="n">
        <v>5</v>
      </c>
      <c r="Z30" s="1" t="n">
        <v>55</v>
      </c>
      <c r="AA30" s="4" t="n">
        <v>0.153631284916201</v>
      </c>
      <c r="AB30" s="1" t="n">
        <v>75</v>
      </c>
      <c r="AC30" s="1" t="n">
        <v>120</v>
      </c>
      <c r="AF30" s="1" t="n">
        <v>23.2</v>
      </c>
      <c r="AG30" s="1" t="n">
        <v>23.2</v>
      </c>
      <c r="AH30" s="1" t="n">
        <v>2.7</v>
      </c>
      <c r="AI30" s="1" t="n">
        <v>3.7</v>
      </c>
      <c r="AJ30" s="5" t="n">
        <v>72</v>
      </c>
      <c r="AK30" s="1" t="str">
        <f aca="false">CONCATENATE(VLOOKUP(AL30, '[1]Voxel Sizes'!$A$2:$B$18,2,FALSE()),"x",INT(AH30*15), "x", INT(AI30*15))</f>
        <v>238x40x55</v>
      </c>
      <c r="AL30" s="1" t="n">
        <f aca="false">ROUND(15*((AG30*10)/256),0)</f>
        <v>14</v>
      </c>
      <c r="AN30" s="1" t="str">
        <f aca="false">CONCATENATE(VLOOKUP(AL30,Constants!$A$2:$C$16,IF(AM30&lt;&gt;"", 3, 2), FALSE()),IF(AM30&lt;&gt;"",CONCATENATE(",",VLOOKUP(AM30,$B:$AN,38,FALSE())),""))</f>
        <v>4,6,4</v>
      </c>
      <c r="AR30" s="1" t="s">
        <v>161</v>
      </c>
      <c r="AT30" s="1" t="n">
        <v>1</v>
      </c>
      <c r="AX30" s="1" t="n">
        <v>33</v>
      </c>
      <c r="AZ30" s="1" t="n">
        <v>-10</v>
      </c>
      <c r="BA30" s="1" t="n">
        <v>-15</v>
      </c>
      <c r="BB30" s="1" t="n">
        <f aca="false">MIN(AB30/150, 1)*30</f>
        <v>15</v>
      </c>
      <c r="BC30" s="1" t="n">
        <f aca="false">MIN(N30/4000, 1)*20</f>
        <v>1.425</v>
      </c>
      <c r="BD30" s="1" t="n">
        <f aca="false">MIN(Z30/400,1)*20</f>
        <v>2.75</v>
      </c>
      <c r="BE30" s="4" t="n">
        <f aca="false">1-(MAX(J30-1900, 0)/750)</f>
        <v>0.878666666666667</v>
      </c>
      <c r="BF30" s="1" t="n">
        <f aca="false">((MAX($M30,1)*MIN($AJ30/300,1)))*IF(G30="Wagon",50,10)</f>
        <v>2.4</v>
      </c>
      <c r="BG30" s="1" t="n">
        <f aca="false">VLOOKUP($H30,Constants!$I:$K, 2, FALSE())</f>
        <v>1</v>
      </c>
      <c r="BH30" s="1" t="n">
        <f aca="false">VLOOKUP($H30,Constants!$I:$K, 3, FALSE())*IF(AND(G30="multiple_unit",AB30&lt;110),0.75,1)</f>
        <v>1.5</v>
      </c>
      <c r="BI30" s="1" t="n">
        <f aca="false">INT(POWER(((Constants!$G$2+$BB30+$BC30+$BD30+$BF30)*$BE30)*$BH30, 1.05))+$BA30</f>
        <v>26</v>
      </c>
      <c r="BJ30" s="1" t="n">
        <f aca="false">INT(POWER((((Constants!$G$1+$BB30+$BC30+$BD30+$BF30)*($BE30))*$BG30),IF($G30="wagon",1,1.2)))+$AZ30</f>
        <v>54</v>
      </c>
      <c r="BK30" s="33" t="n">
        <f aca="false">BI30*IF($G30="wagon",62.5,781.25)</f>
        <v>20312.5</v>
      </c>
      <c r="BL30" s="33" t="n">
        <f aca="false">BJ30*IF($G30="wagon",2.73,81.25)</f>
        <v>4387.5</v>
      </c>
      <c r="BQ30" s="1" t="s">
        <v>158</v>
      </c>
      <c r="BT30" s="1" t="n">
        <v>4</v>
      </c>
      <c r="BU30" s="1" t="n">
        <v>185</v>
      </c>
      <c r="BX30" s="1" t="s">
        <v>95</v>
      </c>
      <c r="BY30" s="1" t="str">
        <f aca="false">VLOOKUP(J30,Eras!$A$2:$C$10, 2, TRUE())</f>
        <v>lbr</v>
      </c>
      <c r="BZ30" s="28" t="s">
        <v>162</v>
      </c>
      <c r="CA30" s="1" t="s">
        <v>256</v>
      </c>
      <c r="CB30" s="1" t="s">
        <v>257</v>
      </c>
      <c r="CC30" s="32" t="str">
        <f aca="false" t="array" ref="CC30:CC32">_xlfn.CONCAT("{BLACK}Length: {GOLD}", TEXT(ROUNDUP(IF(AQ30&lt;&gt;"",SUM(VALUE(_xlfn.TEXTSPLIT(AQ30, ","))), SUM(VALUE(_xlfn.TEXTSPLIT(AN30, ",")))*IF(M30, M30, 1))/16, 1), "#,##0.0"), " tiles{}")</f>
        <v>{BLACK}Length: {GOLD}0.9 tiles{}</v>
      </c>
      <c r="CD30" s="1" t="str">
        <f aca="false">VLOOKUP($CB30, Constants!$M:$N, 2, FALSE())</f>
        <v>{BLACK}Powered by: {GOLD}Diesel</v>
      </c>
      <c r="CE30" s="1" t="s">
        <v>258</v>
      </c>
      <c r="CF30" s="1" t="s">
        <v>259</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{GOLD}Diesel {BLACK}Cars: {GOLD}2{}{BLACK}Length: {GOLD}0.9 tiles{}{SILVER}The Class 153 was a conversion of earlier Class 155 units, 35 of which were split in two with small cabs added at the inner ends.</v>
      </c>
      <c r="CI30" s="1"/>
      <c r="CJ30" s="1"/>
    </row>
    <row r="31" customFormat="false" ht="13.8" hidden="false" customHeight="false" outlineLevel="0" collapsed="false">
      <c r="A31" s="28" t="s">
        <v>260</v>
      </c>
      <c r="B31" s="28" t="s">
        <v>261</v>
      </c>
      <c r="C31" s="28" t="n">
        <v>370</v>
      </c>
      <c r="D31" s="1" t="n">
        <v>372</v>
      </c>
      <c r="E31" s="28" t="n">
        <v>372</v>
      </c>
      <c r="F31" s="28" t="s">
        <v>89</v>
      </c>
      <c r="G31" s="28" t="s">
        <v>90</v>
      </c>
      <c r="H31" s="28" t="s">
        <v>262</v>
      </c>
      <c r="I31" s="28" t="s">
        <v>151</v>
      </c>
      <c r="J31" s="28" t="n">
        <v>1979</v>
      </c>
      <c r="K31" s="28" t="n">
        <v>1986</v>
      </c>
      <c r="L31" s="28" t="n">
        <v>1988</v>
      </c>
      <c r="M31" s="28" t="n">
        <v>6</v>
      </c>
      <c r="N31" s="28" t="n">
        <v>10</v>
      </c>
      <c r="W31" s="28" t="n">
        <v>164.8</v>
      </c>
      <c r="Y31" s="28" t="n">
        <v>4</v>
      </c>
      <c r="Z31" s="28" t="n">
        <v>5</v>
      </c>
      <c r="AA31" s="4" t="n">
        <f aca="false">IF(AND(W31&gt;0,Z31&gt;0),(Z31/((W31+X31)*10)),"")</f>
        <v>0.00303398058252427</v>
      </c>
      <c r="AB31" s="28" t="n">
        <v>155</v>
      </c>
      <c r="AC31" s="28" t="n">
        <f aca="false">ROUND(AB31*1.6, 0)</f>
        <v>248</v>
      </c>
      <c r="AD31" s="28"/>
      <c r="AE31" s="28"/>
      <c r="AF31" s="28" t="n">
        <v>20.9</v>
      </c>
      <c r="AG31" s="28" t="n">
        <v>20.9</v>
      </c>
      <c r="AH31" s="28" t="n">
        <v>2.7</v>
      </c>
      <c r="AI31" s="28" t="n">
        <v>3.5</v>
      </c>
      <c r="AJ31" s="5" t="n">
        <v>44</v>
      </c>
      <c r="AK31" s="28" t="str">
        <f aca="false">CONCATENATE(VLOOKUP(AL31, '[1]Voxel Sizes'!$A$2:$B$18,2,FALSE()),"x",INT(AH31*15), "x", INT(AI31*15))</f>
        <v>198x40x52</v>
      </c>
      <c r="AL31" s="28" t="n">
        <f aca="false">ROUND(15*((AG31*10)/256),0)</f>
        <v>12</v>
      </c>
      <c r="AM31" s="28"/>
      <c r="AN31" s="1" t="str">
        <f aca="false">CONCATENATE(VLOOKUP(AL31,Constants!$A$2:$C$16,IF(AM31&lt;&gt;"", 3, 2), FALSE()),IF(AM31&lt;&gt;"",CONCATENATE(",",VLOOKUP(AM31,$B:$AN,38,FALSE())),""))</f>
        <v>4,4,4</v>
      </c>
      <c r="AO31" s="28"/>
      <c r="AR31" s="28" t="s">
        <v>263</v>
      </c>
      <c r="AS31" s="28"/>
      <c r="AT31" s="28" t="s">
        <v>264</v>
      </c>
      <c r="AU31" s="28" t="s">
        <v>265</v>
      </c>
      <c r="AV31" s="28"/>
      <c r="AW31" s="28"/>
      <c r="AX31" s="28" t="n">
        <v>12</v>
      </c>
      <c r="AY31" s="6" t="n">
        <f aca="false">IF(L31&lt;&gt;"",MAX(16,(L31-J31)+8),"")</f>
        <v>17</v>
      </c>
      <c r="AZ31" s="28"/>
      <c r="BA31" s="28" t="n">
        <v>-20</v>
      </c>
      <c r="BB31" s="1" t="n">
        <f aca="false">MIN(AB31/150, 1)*30</f>
        <v>30</v>
      </c>
      <c r="BC31" s="1" t="n">
        <f aca="false">MIN(N31/4000, 1)*20</f>
        <v>0.05</v>
      </c>
      <c r="BD31" s="1" t="n">
        <f aca="false">MIN(Z31/400,1)*20</f>
        <v>0.25</v>
      </c>
      <c r="BE31" s="4" t="n">
        <f aca="false">1-(MAX(J31-1900, 0)/750)</f>
        <v>0.894666666666667</v>
      </c>
      <c r="BF31" s="1" t="n">
        <f aca="false">((MAX($M31,1)*MIN($AJ31/300,1)))*IF(G31="Wagon",50,10)</f>
        <v>8.8</v>
      </c>
      <c r="BG31" s="1" t="n">
        <f aca="false">VLOOKUP($H31,Constants!$I:$K, 2, FALSE())</f>
        <v>0.85</v>
      </c>
      <c r="BH31" s="1" t="n">
        <f aca="false">VLOOKUP($H31,Constants!$I:$K, 3, FALSE())*IF(AND(G31="multiple_unit",AB31&lt;110),0.75,1)</f>
        <v>2.3</v>
      </c>
      <c r="BI31" s="1" t="n">
        <f aca="false">INT(POWER(((Constants!$G$2+$BB31+$BC31+$BD31+$BF31)*$BE31)*$BH31, 1.05))+$BA31</f>
        <v>93</v>
      </c>
      <c r="BJ31" s="1" t="n">
        <f aca="false">INT(POWER((((Constants!$G$1+$BB31+$BC31+$BD31+$BF31)*($BE31))*$BG31),IF($G31="wagon",1,1.2)))+$AZ31</f>
        <v>86</v>
      </c>
      <c r="BK31" s="33" t="n">
        <f aca="false">BI31*IF($G31="wagon",62.5,781.25)</f>
        <v>72656.25</v>
      </c>
      <c r="BL31" s="33" t="n">
        <f aca="false">BJ31*IF($G31="wagon",2.73,81.25)</f>
        <v>6987.5</v>
      </c>
      <c r="BP31" s="28" t="n">
        <v>1</v>
      </c>
      <c r="BQ31" s="28" t="str">
        <f aca="false">_xlfn.ORG.LIBREOFFICE.REGEX(_xlfn.ORG.LIBREOFFICE.REGEX(APTMUVehicles, _xlfn.CONCAT(B31, ",?"), ""), ",$", "")</f>
        <v>apt_half_6_rev,apt_powercar,apt_half_2,apt_half_2_rev,apt_q_dvt,apt_s_dm,apt_s_10,apt_s_6</v>
      </c>
      <c r="BR31" s="28"/>
      <c r="BS31" s="28" t="s">
        <v>206</v>
      </c>
      <c r="BT31" s="28" t="n">
        <v>8</v>
      </c>
      <c r="BU31" s="28" t="n">
        <v>222</v>
      </c>
      <c r="BX31" s="28" t="s">
        <v>95</v>
      </c>
      <c r="BY31" s="1" t="str">
        <f aca="false">VLOOKUP(J31,Eras!$A$2:$C$10, 2, TRUE())</f>
        <v>lbr</v>
      </c>
      <c r="BZ31" s="28" t="s">
        <v>224</v>
      </c>
      <c r="CA31" s="28" t="str">
        <f aca="false">CONCATENATE(BY31,"_",BZ31)</f>
        <v>lbr_EMU (Express)</v>
      </c>
      <c r="CB31" s="28" t="str">
        <f aca="false">_xlfn.CONCAT(H31, "_",I31)</f>
        <v>none_RAIL</v>
      </c>
      <c r="CC31" s="32" t="str">
        <v>{BLACK}Length: {GOLD}0.9 tiles{}</v>
      </c>
      <c r="CD31" s="1" t="str">
        <f aca="false">VLOOKUP($CB31, Constants!$M:$N, 2, FALSE())</f>
        <v/>
      </c>
      <c r="CE31" s="28" t="str">
        <f aca="false">IF(M31&gt;1,_xlfn.CONCAT("{BLACK}Cars: {GOLD}", M31),"")</f>
        <v>{BLACK}Cars: {GOLD}6</v>
      </c>
      <c r="CF31" s="28" t="s">
        <v>266</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{YELLOW}20% bonus for long distance travel{}</v>
      </c>
      <c r="CH31" s="28" t="str">
        <f aca="false">_xlfn.CONCAT(CD31,IF(CD31 &lt;&gt; "", " ", ""),CE31,IF(OR(CE31&lt;&gt;"", CD31&lt;&gt;""), "{}",""), CC31, CG31,"{SILVER}", CF31)</f>
        <v>{BLACK}Cars: {GOLD}6{}{BLACK}Length: {GOLD}0.9 tiles{}{YELLOW}20% bonus for long distance travel{}{SILVER}A 6-car unpowered half-rake of APT-P vehicles. Pair with the Non-Driving power car and a reversed set for a complete unit.</v>
      </c>
      <c r="CI31" s="28"/>
      <c r="CJ31" s="28"/>
    </row>
    <row r="32" customFormat="false" ht="13.8" hidden="false" customHeight="false" outlineLevel="0" collapsed="false">
      <c r="A32" s="1" t="s">
        <v>267</v>
      </c>
      <c r="B32" s="1" t="s">
        <v>268</v>
      </c>
      <c r="C32" s="1" t="n">
        <v>371</v>
      </c>
      <c r="D32" s="1" t="n">
        <v>372</v>
      </c>
      <c r="E32" s="1" t="n">
        <v>373</v>
      </c>
      <c r="F32" s="1" t="s">
        <v>89</v>
      </c>
      <c r="G32" s="1" t="s">
        <v>269</v>
      </c>
      <c r="H32" s="1" t="s">
        <v>262</v>
      </c>
      <c r="I32" s="1" t="s">
        <v>151</v>
      </c>
      <c r="J32" s="1" t="n">
        <v>1979</v>
      </c>
      <c r="K32" s="1" t="n">
        <v>1986</v>
      </c>
      <c r="L32" s="1" t="n">
        <v>1988</v>
      </c>
      <c r="M32" s="1" t="n">
        <v>6</v>
      </c>
      <c r="N32" s="1" t="n">
        <v>10</v>
      </c>
      <c r="W32" s="1" t="n">
        <v>164.8</v>
      </c>
      <c r="Y32" s="1" t="n">
        <v>4</v>
      </c>
      <c r="Z32" s="1" t="n">
        <v>5</v>
      </c>
      <c r="AA32" s="4" t="n">
        <f aca="false">IF(AND(W32&gt;0,Z32&gt;0),(Z32/((W32+X32)*10)),"")</f>
        <v>0.00303398058252427</v>
      </c>
      <c r="AB32" s="1" t="n">
        <v>155</v>
      </c>
      <c r="AC32" s="1" t="n">
        <f aca="false">ROUND(AB32*1.6, 0)</f>
        <v>248</v>
      </c>
      <c r="AF32" s="1" t="n">
        <v>20.9</v>
      </c>
      <c r="AG32" s="1" t="n">
        <v>20.9</v>
      </c>
      <c r="AH32" s="1" t="n">
        <v>2.7</v>
      </c>
      <c r="AI32" s="1" t="n">
        <v>3.5</v>
      </c>
      <c r="AJ32" s="5" t="n">
        <v>44</v>
      </c>
      <c r="AK32" s="1" t="str">
        <f aca="false">CONCATENATE(VLOOKUP(AL32, '[1]Voxel Sizes'!$A$2:$B$18,2,FALSE()),"x",INT(AH32*15), "x", INT(AI32*15))</f>
        <v>198x40x52</v>
      </c>
      <c r="AL32" s="1" t="n">
        <f aca="false">ROUND(15*((AG32*10)/256),0)</f>
        <v>12</v>
      </c>
      <c r="AN32" s="1" t="str">
        <f aca="false">CONCATENATE(VLOOKUP(AL32,Constants!$A$2:$C$16,IF(AM32&lt;&gt;"", 3, 2), FALSE()),IF(AM32&lt;&gt;"",CONCATENATE(",",VLOOKUP(AM32,$B:$AN,38,FALSE())),""))</f>
        <v>4,4,4</v>
      </c>
      <c r="AR32" s="1" t="s">
        <v>270</v>
      </c>
      <c r="AT32" s="1" t="s">
        <v>271</v>
      </c>
      <c r="AU32" s="1" t="s">
        <v>272</v>
      </c>
      <c r="AX32" s="1" t="n">
        <v>12</v>
      </c>
      <c r="AY32" s="6" t="n">
        <f aca="false">IF(L32&lt;&gt;"",MAX(16,(L32-J32)+8),"")</f>
        <v>17</v>
      </c>
      <c r="AZ32" s="1" t="n">
        <v>-20</v>
      </c>
      <c r="BA32" s="1" t="n">
        <v>-20</v>
      </c>
      <c r="BB32" s="1" t="n">
        <f aca="false">MIN(AB32/150, 1)*30</f>
        <v>30</v>
      </c>
      <c r="BC32" s="1" t="n">
        <f aca="false">MIN(N32/4000, 1)*20</f>
        <v>0.05</v>
      </c>
      <c r="BD32" s="1" t="n">
        <f aca="false">MIN(Z32/400,1)*20</f>
        <v>0.25</v>
      </c>
      <c r="BE32" s="4" t="n">
        <f aca="false">1-(MAX(J32-1900, 0)/750)</f>
        <v>0.894666666666667</v>
      </c>
      <c r="BF32" s="1" t="n">
        <f aca="false">((MAX($M32,1)*MIN($AJ32/300,1)))*IF(G32="Wagon",50,10)</f>
        <v>8.8</v>
      </c>
      <c r="BG32" s="1" t="n">
        <f aca="false">VLOOKUP($H32,Constants!$I:$K, 2, FALSE())</f>
        <v>0.85</v>
      </c>
      <c r="BH32" s="1" t="n">
        <f aca="false">VLOOKUP($H32,Constants!$I:$K, 3, FALSE())*IF(AND(G32="multiple_unit",AB32&lt;110),0.75,1)</f>
        <v>2.3</v>
      </c>
      <c r="BI32" s="1" t="n">
        <f aca="false">INT(POWER(((Constants!$G$2+$BB32+$BC32+$BD32+$BF32)*$BE32)*$BH32, 1.05))+$BA32</f>
        <v>93</v>
      </c>
      <c r="BJ32" s="1" t="n">
        <f aca="false">INT(POWER((((Constants!$G$1+$BB32+$BC32+$BD32+$BF32)*($BE32))*$BG32),IF($G32="wagon",1,1.2)))+$AZ32</f>
        <v>66</v>
      </c>
      <c r="BK32" s="33" t="n">
        <f aca="false">BI32*IF($G32="wagon",62.5,781.25)</f>
        <v>72656.25</v>
      </c>
      <c r="BL32" s="33" t="n">
        <f aca="false">BJ32*IF($G32="wagon",2.73,81.25)</f>
        <v>5362.5</v>
      </c>
      <c r="BO32" s="1" t="n">
        <v>1</v>
      </c>
      <c r="BP32" s="1" t="n">
        <v>1</v>
      </c>
      <c r="BQ32" s="1" t="str">
        <f aca="false">_xlfn.ORG.LIBREOFFICE.REGEX(_xlfn.ORG.LIBREOFFICE.REGEX(APTMUVehicles, _xlfn.CONCAT(B32, ",?"), ""), ",$", "")</f>
        <v>apt_half_6,apt_powercar,apt_half_2,apt_half_2_rev,apt_q_dvt,apt_s_dm,apt_s_10,apt_s_6</v>
      </c>
      <c r="BS32" s="1" t="s">
        <v>206</v>
      </c>
      <c r="BT32" s="1" t="n">
        <v>8</v>
      </c>
      <c r="BU32" s="1" t="n">
        <v>222</v>
      </c>
      <c r="BX32" s="1" t="s">
        <v>95</v>
      </c>
      <c r="BY32" s="1" t="str">
        <f aca="false">VLOOKUP(J32,Eras!$A$2:$C$10, 2, TRUE())</f>
        <v>lbr</v>
      </c>
      <c r="BZ32" s="28" t="s">
        <v>224</v>
      </c>
      <c r="CA32" s="1" t="str">
        <f aca="false">CONCATENATE(BY32,"_",BZ32)</f>
        <v>lbr_EMU (Express)</v>
      </c>
      <c r="CB32" s="1" t="str">
        <f aca="false">_xlfn.CONCAT(H32, "_",I32)</f>
        <v>none_RAIL</v>
      </c>
      <c r="CC32" s="32" t="str">
        <v>{BLACK}Length: {GOLD}0.9 tiles{}</v>
      </c>
      <c r="CD32" s="1" t="str">
        <f aca="false">VLOOKUP($CB32, Constants!$M:$N, 2, FALSE())</f>
        <v/>
      </c>
      <c r="CE32" s="1" t="str">
        <f aca="false">IF(M32&gt;1,_xlfn.CONCAT("{BLACK}Cars: {GOLD}", M32),"")</f>
        <v>{BLACK}Cars: {GOLD}6</v>
      </c>
      <c r="CF32" s="1" t="s">
        <v>273</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{YELLOW}20% bonus for long distance travel{}</v>
      </c>
      <c r="CH32" s="1" t="str">
        <f aca="false">_xlfn.CONCAT(CD32,IF(CD32 &lt;&gt; "", " ", ""),CE32,IF(OR(CE32&lt;&gt;"", CD32&lt;&gt;""), "{}",""), CC32, CG32,"{SILVER}", CF32)</f>
        <v>{BLACK}Cars: {GOLD}6{}{BLACK}Length: {GOLD}0.9 tiles{}{YELLOW}20% bonus for long distance travel{}{SILVER}A 6-car half-rake of APT-P vehicles. This is the rear half of a formation.</v>
      </c>
      <c r="CI32" s="1"/>
      <c r="CJ32" s="1"/>
    </row>
    <row r="33" customFormat="false" ht="13.8" hidden="false" customHeight="false" outlineLevel="0" collapsed="false">
      <c r="A33" s="1" t="s">
        <v>274</v>
      </c>
      <c r="B33" s="1" t="s">
        <v>275</v>
      </c>
      <c r="C33" s="1" t="n">
        <v>372</v>
      </c>
      <c r="E33" s="1" t="n">
        <v>374</v>
      </c>
      <c r="F33" s="1" t="s">
        <v>89</v>
      </c>
      <c r="G33" s="1" t="s">
        <v>90</v>
      </c>
      <c r="H33" s="1" t="s">
        <v>262</v>
      </c>
      <c r="I33" s="1" t="s">
        <v>151</v>
      </c>
      <c r="J33" s="1" t="n">
        <v>1979</v>
      </c>
      <c r="K33" s="1" t="n">
        <v>1986</v>
      </c>
      <c r="L33" s="1" t="n">
        <v>1988</v>
      </c>
      <c r="M33" s="1" t="n">
        <v>2</v>
      </c>
      <c r="N33" s="1" t="n">
        <v>10</v>
      </c>
      <c r="W33" s="1" t="n">
        <v>65.6</v>
      </c>
      <c r="Y33" s="1" t="n">
        <v>4</v>
      </c>
      <c r="Z33" s="1" t="n">
        <v>5</v>
      </c>
      <c r="AA33" s="4" t="n">
        <f aca="false">IF(AND(W33&gt;0,Z33&gt;0),(Z33/((W33+X33)*10)),"")</f>
        <v>0.0076219512195122</v>
      </c>
      <c r="AB33" s="1" t="n">
        <v>155</v>
      </c>
      <c r="AC33" s="1" t="n">
        <f aca="false">ROUND(AB33*1.6, 0)</f>
        <v>248</v>
      </c>
      <c r="AF33" s="1" t="n">
        <v>20.9</v>
      </c>
      <c r="AG33" s="1" t="n">
        <v>20.9</v>
      </c>
      <c r="AH33" s="1" t="n">
        <v>2.7</v>
      </c>
      <c r="AI33" s="1" t="n">
        <v>3.5</v>
      </c>
      <c r="AJ33" s="5" t="n">
        <v>39</v>
      </c>
      <c r="AK33" s="1" t="str">
        <f aca="false">CONCATENATE(VLOOKUP(AL33, '[1]Voxel Sizes'!$A$2:$B$18,2,FALSE()),"x",INT(AH33*15), "x", INT(AI33*15))</f>
        <v>198x40x52</v>
      </c>
      <c r="AL33" s="1" t="n">
        <f aca="false">ROUND(15*((AG33*10)/256),0)</f>
        <v>12</v>
      </c>
      <c r="AN33" s="1" t="str">
        <f aca="false">CONCATENATE(VLOOKUP(AL33,Constants!$A$2:$C$16,IF(AM33&lt;&gt;"", 3, 2), FALSE()),IF(AM33&lt;&gt;"",CONCATENATE(",",VLOOKUP(AM33,$B:$AN,38,FALSE())),""))</f>
        <v>4,4,4</v>
      </c>
      <c r="AR33" s="1" t="s">
        <v>276</v>
      </c>
      <c r="AT33" s="1" t="s">
        <v>186</v>
      </c>
      <c r="AU33" s="1" t="s">
        <v>265</v>
      </c>
      <c r="AX33" s="1" t="n">
        <v>12</v>
      </c>
      <c r="AY33" s="6" t="n">
        <f aca="false">IF(L33&lt;&gt;"",MAX(16,(L33-J33)+8),"")</f>
        <v>17</v>
      </c>
      <c r="AZ33" s="1" t="n">
        <v>-45</v>
      </c>
      <c r="BA33" s="1" t="n">
        <v>-65</v>
      </c>
      <c r="BB33" s="1" t="n">
        <f aca="false">MIN(AB33/150, 1)*30</f>
        <v>30</v>
      </c>
      <c r="BC33" s="1" t="n">
        <f aca="false">MIN(N33/4000, 1)*20</f>
        <v>0.05</v>
      </c>
      <c r="BD33" s="1" t="n">
        <f aca="false">MIN(Z33/400,1)*20</f>
        <v>0.25</v>
      </c>
      <c r="BE33" s="4" t="n">
        <f aca="false">1-(MAX(J33-1900, 0)/750)</f>
        <v>0.894666666666667</v>
      </c>
      <c r="BF33" s="1" t="n">
        <f aca="false">((MAX($M33,1)*MIN($AJ33/300,1)))*IF(G33="Wagon",50,10)</f>
        <v>2.6</v>
      </c>
      <c r="BG33" s="1" t="n">
        <f aca="false">VLOOKUP($H33,Constants!$I:$K, 2, FALSE())</f>
        <v>0.85</v>
      </c>
      <c r="BH33" s="1" t="n">
        <f aca="false">VLOOKUP($H33,Constants!$I:$K, 3, FALSE())*IF(AND(G33="multiple_unit",AB33&lt;110),0.75,1)</f>
        <v>2.3</v>
      </c>
      <c r="BI33" s="1" t="n">
        <f aca="false">INT(POWER(((Constants!$G$2+$BB33+$BC33+$BD33+$BF33)*$BE33)*$BH33, 1.05))+$BA33</f>
        <v>31</v>
      </c>
      <c r="BJ33" s="1" t="n">
        <f aca="false">INT(POWER((((Constants!$G$1+$BB33+$BC33+$BD33+$BF33)*($BE33))*$BG33),IF($G33="wagon",1,1.2)))+$AZ33</f>
        <v>29</v>
      </c>
      <c r="BK33" s="33" t="n">
        <f aca="false">BI33*IF($G33="wagon",62.5,781.25)</f>
        <v>24218.75</v>
      </c>
      <c r="BL33" s="33" t="n">
        <f aca="false">BJ33*IF($G33="wagon",2.73,81.25)</f>
        <v>2356.25</v>
      </c>
      <c r="BP33" s="1" t="n">
        <v>1</v>
      </c>
      <c r="BQ33" s="1" t="str">
        <f aca="false">_xlfn.ORG.LIBREOFFICE.REGEX(_xlfn.ORG.LIBREOFFICE.REGEX(APTMUVehicles, _xlfn.CONCAT(B33, ",?"), ""), ",$", "")</f>
        <v>apt_half_6,apt_half_6_rev,apt_powercar,apt_half_2_rev,apt_q_dvt,apt_s_dm,apt_s_10,apt_s_6</v>
      </c>
      <c r="BT33" s="1" t="n">
        <v>8</v>
      </c>
      <c r="BU33" s="1" t="n">
        <v>185</v>
      </c>
      <c r="BX33" s="1" t="s">
        <v>95</v>
      </c>
      <c r="BY33" s="1" t="str">
        <f aca="false">VLOOKUP(J33,Eras!$A$2:$C$10, 2, TRUE())</f>
        <v>lbr</v>
      </c>
      <c r="BZ33" s="28" t="s">
        <v>224</v>
      </c>
      <c r="CA33" s="1" t="str">
        <f aca="false">CONCATENATE(BY33,"_",BZ33)</f>
        <v>lbr_EMU (Express)</v>
      </c>
      <c r="CB33" s="1" t="str">
        <f aca="false">_xlfn.CONCAT(H33, "_",I33)</f>
        <v>none_RAIL</v>
      </c>
      <c r="CC33" s="32" t="str">
        <f aca="false" t="array" ref="CC33:CC33">_xlfn.CONCAT("{BLACK}Length: {GOLD}", TEXT(ROUNDUP(IF(AQ33&lt;&gt;"",SUM(VALUE(_xlfn.TEXTSPLIT(AQ33, ","))), SUM(VALUE(_xlfn.TEXTSPLIT(AN33, ",")))*IF(M33, M33, 1))/16, 1), "#,##0.0"), " tiles{}")</f>
        <v>{BLACK}Length: {GOLD}1.5 tiles{}</v>
      </c>
      <c r="CD33" s="1" t="str">
        <f aca="false">VLOOKUP($CB33, Constants!$M:$N, 2, FALSE())</f>
        <v/>
      </c>
      <c r="CE33" s="1" t="str">
        <f aca="false">IF(M33&gt;1,_xlfn.CONCAT("{BLACK}Cars: {GOLD}", M33),"")</f>
        <v>{BLACK}Cars: {GOLD}2</v>
      </c>
      <c r="CF33" s="1" t="s">
        <v>277</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{BLACK}Cars: {GOLD}2{}{BLACK}Length: {GOLD}1.5 tiles{}{SILVER}A minimal 2-car half-rake of APT-P Vehicles. Lack of dining facilities makes this much less attractive for passengers. Pair with the Non-Driving power car and a reversed set for a complete unit.</v>
      </c>
      <c r="CI33" s="1"/>
      <c r="CJ33" s="1"/>
    </row>
    <row r="34" customFormat="false" ht="13.8" hidden="false" customHeight="false" outlineLevel="0" collapsed="false">
      <c r="A34" s="1" t="s">
        <v>278</v>
      </c>
      <c r="B34" s="1" t="s">
        <v>279</v>
      </c>
      <c r="C34" s="1" t="n">
        <v>373</v>
      </c>
      <c r="D34" s="1" t="n">
        <v>372</v>
      </c>
      <c r="E34" s="1" t="n">
        <v>375</v>
      </c>
      <c r="F34" s="1" t="s">
        <v>89</v>
      </c>
      <c r="G34" s="1" t="s">
        <v>269</v>
      </c>
      <c r="H34" s="1" t="s">
        <v>262</v>
      </c>
      <c r="I34" s="1" t="s">
        <v>151</v>
      </c>
      <c r="J34" s="1" t="n">
        <v>1979</v>
      </c>
      <c r="K34" s="1" t="n">
        <v>1986</v>
      </c>
      <c r="L34" s="1" t="n">
        <v>1988</v>
      </c>
      <c r="M34" s="1" t="n">
        <v>2</v>
      </c>
      <c r="N34" s="1" t="n">
        <v>10</v>
      </c>
      <c r="W34" s="1" t="n">
        <v>65.6</v>
      </c>
      <c r="Y34" s="1" t="n">
        <v>4</v>
      </c>
      <c r="Z34" s="1" t="n">
        <v>5</v>
      </c>
      <c r="AA34" s="4" t="n">
        <f aca="false">IF(AND(W34&gt;0,Z34&gt;0),(Z34/((W34+X34)*10)),"")</f>
        <v>0.0076219512195122</v>
      </c>
      <c r="AB34" s="1" t="n">
        <v>155</v>
      </c>
      <c r="AC34" s="1" t="n">
        <f aca="false">ROUND(AB34*1.6, 0)</f>
        <v>248</v>
      </c>
      <c r="AF34" s="1" t="n">
        <v>20.9</v>
      </c>
      <c r="AG34" s="1" t="n">
        <v>20.9</v>
      </c>
      <c r="AH34" s="1" t="n">
        <v>2.7</v>
      </c>
      <c r="AI34" s="1" t="n">
        <v>3.5</v>
      </c>
      <c r="AJ34" s="5" t="n">
        <v>39</v>
      </c>
      <c r="AK34" s="1" t="str">
        <f aca="false">CONCATENATE(VLOOKUP(AL34, '[1]Voxel Sizes'!$A$2:$B$18,2,FALSE()),"x",INT(AH34*15), "x", INT(AI34*15))</f>
        <v>198x40x52</v>
      </c>
      <c r="AL34" s="1" t="n">
        <f aca="false">ROUND(15*((AG34*10)/256),0)</f>
        <v>12</v>
      </c>
      <c r="AN34" s="1" t="str">
        <f aca="false">CONCATENATE(VLOOKUP(AL34,Constants!$A$2:$C$16,IF(AM34&lt;&gt;"", 3, 2), FALSE()),IF(AM34&lt;&gt;"",CONCATENATE(",",VLOOKUP(AM34,$B:$AN,38,FALSE())),""))</f>
        <v>4,4,4</v>
      </c>
      <c r="AR34" s="1" t="s">
        <v>280</v>
      </c>
      <c r="AT34" s="1" t="s">
        <v>186</v>
      </c>
      <c r="AU34" s="1" t="s">
        <v>272</v>
      </c>
      <c r="AX34" s="1" t="n">
        <v>12</v>
      </c>
      <c r="AY34" s="6" t="n">
        <f aca="false">IF(L34&lt;&gt;"",MAX(16,(L34-J34)+8),"")</f>
        <v>17</v>
      </c>
      <c r="AZ34" s="1" t="n">
        <v>-60</v>
      </c>
      <c r="BA34" s="1" t="n">
        <v>-65</v>
      </c>
      <c r="BB34" s="1" t="n">
        <f aca="false">MIN(AB34/150, 1)*30</f>
        <v>30</v>
      </c>
      <c r="BC34" s="1" t="n">
        <f aca="false">MIN(N34/4000, 1)*20</f>
        <v>0.05</v>
      </c>
      <c r="BD34" s="1" t="n">
        <f aca="false">MIN(Z34/400,1)*20</f>
        <v>0.25</v>
      </c>
      <c r="BE34" s="4" t="n">
        <f aca="false">1-(MAX(J34-1900, 0)/750)</f>
        <v>0.894666666666667</v>
      </c>
      <c r="BF34" s="1" t="n">
        <f aca="false">((MAX($M34,1)*MIN($AJ34/300,1)))*IF(G34="Wagon",50,10)</f>
        <v>2.6</v>
      </c>
      <c r="BG34" s="1" t="n">
        <f aca="false">VLOOKUP($H34,Constants!$I:$K, 2, FALSE())</f>
        <v>0.85</v>
      </c>
      <c r="BH34" s="1" t="n">
        <f aca="false">VLOOKUP($H34,Constants!$I:$K, 3, FALSE())*IF(AND(G34="multiple_unit",AB34&lt;110),0.75,1)</f>
        <v>2.3</v>
      </c>
      <c r="BI34" s="1" t="n">
        <f aca="false">INT(POWER(((Constants!$G$2+$BB34+$BC34+$BD34+$BF34)*$BE34)*$BH34, 1.05))+$BA34</f>
        <v>31</v>
      </c>
      <c r="BJ34" s="1" t="n">
        <f aca="false">INT(POWER((((Constants!$G$1+$BB34+$BC34+$BD34+$BF34)*($BE34))*$BG34),IF($G34="wagon",1,1.2)))+$AZ34</f>
        <v>14</v>
      </c>
      <c r="BK34" s="33" t="n">
        <f aca="false">BI34*IF($G34="wagon",62.5,781.25)</f>
        <v>24218.75</v>
      </c>
      <c r="BL34" s="33" t="n">
        <f aca="false">BJ34*IF($G34="wagon",2.73,81.25)</f>
        <v>1137.5</v>
      </c>
      <c r="BO34" s="1" t="n">
        <v>1</v>
      </c>
      <c r="BP34" s="1" t="n">
        <v>1</v>
      </c>
      <c r="BQ34" s="1" t="str">
        <f aca="false">_xlfn.ORG.LIBREOFFICE.REGEX(_xlfn.ORG.LIBREOFFICE.REGEX(APTMUVehicles, _xlfn.CONCAT(B34, ",?"), ""), ",$", "")</f>
        <v>apt_half_6,apt_half_6_rev,apt_powercar,apt_half_2,apt_q_dvt,apt_s_dm,apt_s_10,apt_s_6</v>
      </c>
      <c r="BT34" s="1" t="n">
        <v>8</v>
      </c>
      <c r="BU34" s="1" t="n">
        <v>185</v>
      </c>
      <c r="BX34" s="1" t="s">
        <v>95</v>
      </c>
      <c r="BY34" s="1" t="str">
        <f aca="false">VLOOKUP(J34,Eras!$A$2:$C$10, 2, TRUE())</f>
        <v>lbr</v>
      </c>
      <c r="BZ34" s="28" t="s">
        <v>224</v>
      </c>
      <c r="CA34" s="1" t="str">
        <f aca="false">CONCATENATE(BY34,"_",BZ34)</f>
        <v>lbr_EMU (Express)</v>
      </c>
      <c r="CB34" s="1" t="str">
        <f aca="false">_xlfn.CONCAT(H34, "_",I34)</f>
        <v>none_RAIL</v>
      </c>
      <c r="CC34" s="32" t="str">
        <f aca="false" t="array" ref="CC34:CC34">_xlfn.CONCAT("{BLACK}Length: {GOLD}", TEXT(ROUNDUP(IF(AQ34&lt;&gt;"",SUM(VALUE(_xlfn.TEXTSPLIT(AQ34, ","))), SUM(VALUE(_xlfn.TEXTSPLIT(AN34, ",")))*IF(M34, M34, 1))/16, 1), "#,##0.0"), " tiles{}")</f>
        <v>{BLACK}Length: {GOLD}1.5 tiles{}</v>
      </c>
      <c r="CD34" s="1" t="str">
        <f aca="false">VLOOKUP($CB34, Constants!$M:$N, 2, FALSE())</f>
        <v/>
      </c>
      <c r="CE34" s="1" t="str">
        <f aca="false">IF(M34&gt;1,_xlfn.CONCAT("{BLACK}Cars: {GOLD}", M34),"")</f>
        <v>{BLACK}Cars: {GOLD}2</v>
      </c>
      <c r="CF34" s="1" t="s">
        <v>281</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{BLACK}Cars: {GOLD}2{}{BLACK}Length: {GOLD}1.5 tiles{}{SILVER}A minimal 2-car half-rake of APT-P Vehicles. Lack of dining facilities makes this much less attractive for passengers. This is the rear half of a formation.</v>
      </c>
      <c r="CI34" s="1"/>
      <c r="CJ34" s="1"/>
    </row>
    <row r="35" customFormat="false" ht="13.8" hidden="false" customHeight="false" outlineLevel="0" collapsed="false">
      <c r="A35" s="1" t="s">
        <v>282</v>
      </c>
      <c r="B35" s="1" t="s">
        <v>283</v>
      </c>
      <c r="C35" s="1" t="n">
        <v>374</v>
      </c>
      <c r="D35" s="1" t="n">
        <v>372</v>
      </c>
      <c r="E35" s="1" t="n">
        <v>376</v>
      </c>
      <c r="F35" s="1" t="s">
        <v>89</v>
      </c>
      <c r="G35" s="28" t="s">
        <v>145</v>
      </c>
      <c r="H35" s="1" t="s">
        <v>91</v>
      </c>
      <c r="I35" s="1" t="s">
        <v>92</v>
      </c>
      <c r="J35" s="1" t="n">
        <v>1979</v>
      </c>
      <c r="K35" s="1" t="n">
        <v>1986</v>
      </c>
      <c r="L35" s="1" t="n">
        <v>1988</v>
      </c>
      <c r="N35" s="1" t="n">
        <v>4000</v>
      </c>
      <c r="W35" s="1" t="n">
        <v>67.5</v>
      </c>
      <c r="Y35" s="1" t="n">
        <v>4</v>
      </c>
      <c r="Z35" s="1" t="n">
        <v>210</v>
      </c>
      <c r="AA35" s="4" t="n">
        <f aca="false">IF(AND(W35&gt;0,Z35&gt;0),(Z35/((W35+X35)*10)),"")</f>
        <v>0.311111111111111</v>
      </c>
      <c r="AB35" s="1" t="n">
        <v>155</v>
      </c>
      <c r="AC35" s="1" t="n">
        <f aca="false">ROUND(AB35*1.6, 0)</f>
        <v>248</v>
      </c>
      <c r="AF35" s="1" t="n">
        <v>20.9</v>
      </c>
      <c r="AG35" s="1" t="n">
        <v>20.9</v>
      </c>
      <c r="AH35" s="1" t="n">
        <v>2.7</v>
      </c>
      <c r="AI35" s="1" t="n">
        <v>3.5</v>
      </c>
      <c r="AJ35" s="5" t="n">
        <v>0</v>
      </c>
      <c r="AK35" s="1" t="str">
        <f aca="false">CONCATENATE(VLOOKUP(AL35, '[1]Voxel Sizes'!$A$2:$B$18,2,FALSE()),"x",INT(AH35*15), "x", INT(AI35*15))</f>
        <v>198x40x52</v>
      </c>
      <c r="AL35" s="1" t="n">
        <f aca="false">ROUND(15*((AG35*10)/256),0)</f>
        <v>12</v>
      </c>
      <c r="AN35" s="1" t="str">
        <f aca="false">CONCATENATE(VLOOKUP(AL35,Constants!$A$2:$C$16,IF(AM35&lt;&gt;"", 3, 2), FALSE()),IF(AM35&lt;&gt;"",CONCATENATE(",",VLOOKUP(AM35,$B:$AN,38,FALSE())),""))</f>
        <v>4,4,4</v>
      </c>
      <c r="AX35" s="1" t="n">
        <v>12</v>
      </c>
      <c r="AY35" s="6" t="n">
        <f aca="false">IF(L35&lt;&gt;"",MAX(16,(L35-J35)+8),"")</f>
        <v>17</v>
      </c>
      <c r="AZ35" s="1" t="n">
        <v>25</v>
      </c>
      <c r="BA35" s="1" t="n">
        <v>-90</v>
      </c>
      <c r="BB35" s="1" t="n">
        <f aca="false">MIN(AB35/150, 1)*30</f>
        <v>30</v>
      </c>
      <c r="BC35" s="1" t="n">
        <f aca="false">MIN(N35/4000, 1)*20</f>
        <v>20</v>
      </c>
      <c r="BD35" s="1" t="n">
        <f aca="false">MIN(Z35/400,1)*20</f>
        <v>10.5</v>
      </c>
      <c r="BE35" s="4" t="n">
        <f aca="false">1-(MAX(J35-1900, 0)/750)</f>
        <v>0.894666666666667</v>
      </c>
      <c r="BF35" s="1" t="n">
        <f aca="false">((MAX($M35,1)*MIN($AJ35/300,1)))*IF(G35="Wagon",50,10)</f>
        <v>0</v>
      </c>
      <c r="BG35" s="1" t="n">
        <f aca="false">VLOOKUP($H35,Constants!$I:$K, 2, FALSE())</f>
        <v>0.85</v>
      </c>
      <c r="BH35" s="1" t="n">
        <f aca="false">VLOOKUP($H35,Constants!$I:$K, 3, FALSE())*IF(AND(G35="multiple_unit",AB35&lt;110),0.75,1)</f>
        <v>2.3</v>
      </c>
      <c r="BI35" s="1" t="n">
        <f aca="false">INT(POWER(((Constants!$G$2+$BB35+$BC35+$BD35+$BF35)*$BE35)*$BH35, 1.05))+$BA35</f>
        <v>82</v>
      </c>
      <c r="BJ35" s="1" t="n">
        <f aca="false">INT(POWER((((Constants!$G$1+$BB35+$BC35+$BD35+$BF35)*($BE35))*$BG35),IF($G35="wagon",1,1.2)))+$AZ35</f>
        <v>154</v>
      </c>
      <c r="BK35" s="33" t="n">
        <f aca="false">BI35*IF($G35="wagon",62.5,781.25)</f>
        <v>64062.5</v>
      </c>
      <c r="BL35" s="33" t="n">
        <f aca="false">BJ35*IF($G35="wagon",2.73,81.25)</f>
        <v>12512.5</v>
      </c>
      <c r="BM35" s="1" t="n">
        <v>2</v>
      </c>
      <c r="BO35" s="1" t="n">
        <v>1</v>
      </c>
      <c r="BP35" s="1" t="n">
        <v>1</v>
      </c>
      <c r="BQ35" s="1" t="str">
        <f aca="false">_xlfn.ORG.LIBREOFFICE.REGEX(_xlfn.ORG.LIBREOFFICE.REGEX(APTMUVehicles, _xlfn.CONCAT(B35, ",?"), ""), ",$", "")</f>
        <v>apt_half_6,apt_half_6_rev,apt_half_2,apt_half_2_rev,apt_q_dvt,apt_s_dm,apt_s_10,apt_s_6</v>
      </c>
      <c r="BT35" s="1" t="n">
        <v>8</v>
      </c>
      <c r="BY35" s="1" t="str">
        <f aca="false">VLOOKUP(J35,Eras!$A$2:$C$10, 2, TRUE())</f>
        <v>lbr</v>
      </c>
      <c r="BZ35" s="28" t="s">
        <v>224</v>
      </c>
      <c r="CA35" s="1" t="str">
        <f aca="false">CONCATENATE(BY35,"_",BZ35)</f>
        <v>lbr_EMU (Express)</v>
      </c>
      <c r="CB35" s="1" t="str">
        <f aca="false">_xlfn.CONCAT(H35, "_",I35)</f>
        <v>electric_ELRL</v>
      </c>
      <c r="CC35" s="32" t="str">
        <f aca="false" t="array" ref="CC35:CC45">_xlfn.CONCAT("{BLACK}Length: {GOLD}", TEXT(ROUNDUP(IF(AQ35&lt;&gt;"",SUM(VALUE(_xlfn.TEXTSPLIT(AQ35, ","))), SUM(VALUE(_xlfn.TEXTSPLIT(AN35, ",")))*IF(M35, M35, 1))/16, 1), "#,##0.0"), " tiles{}")</f>
        <v>{BLACK}Length: {GOLD}0.8 tiles{}</v>
      </c>
      <c r="CD35" s="1" t="str">
        <f aca="false">VLOOKUP($CB35, Constants!$M:$N, 2, FALSE())</f>
        <v>{BLACK}Powered by: {GOLD}25kV AC</v>
      </c>
      <c r="CE35" s="1" t="str">
        <f aca="false">IF(M35&gt;1,_xlfn.CONCAT("{BLACK}Cars: {GOLD}", M35),"")</f>
        <v/>
      </c>
      <c r="CF35" s="1" t="s">
        <v>284</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{BLACK}Powered by: {GOLD}25kV AC {}{BLACK}Length: {GOLD}0.8 tiles{}{SILVER}An APT-P centre power car</v>
      </c>
      <c r="CI35" s="1"/>
      <c r="CJ35" s="1"/>
    </row>
    <row r="36" customFormat="false" ht="13.8" hidden="false" customHeight="false" outlineLevel="0" collapsed="false">
      <c r="A36" s="28" t="s">
        <v>285</v>
      </c>
      <c r="B36" s="28" t="s">
        <v>286</v>
      </c>
      <c r="C36" s="28" t="n">
        <v>380</v>
      </c>
      <c r="D36" s="28" t="n">
        <v>382</v>
      </c>
      <c r="E36" s="28" t="n">
        <v>382</v>
      </c>
      <c r="F36" s="28" t="s">
        <v>89</v>
      </c>
      <c r="G36" s="28" t="s">
        <v>145</v>
      </c>
      <c r="H36" s="28" t="s">
        <v>91</v>
      </c>
      <c r="I36" s="28" t="s">
        <v>92</v>
      </c>
      <c r="J36" s="28" t="n">
        <v>1986</v>
      </c>
      <c r="K36" s="28" t="n">
        <v>1991</v>
      </c>
      <c r="L36" s="28" t="n">
        <v>1994</v>
      </c>
      <c r="M36" s="28"/>
      <c r="N36" s="28" t="n">
        <v>4000</v>
      </c>
      <c r="W36" s="1" t="n">
        <v>76.8</v>
      </c>
      <c r="Y36" s="1" t="n">
        <v>4</v>
      </c>
      <c r="Z36" s="1" t="n">
        <v>210</v>
      </c>
      <c r="AA36" s="4" t="n">
        <f aca="false">IF(AND(W36&gt;0,Z36&gt;0),(Z36/((W36+X36)*10)),"")</f>
        <v>0.2734375</v>
      </c>
      <c r="AB36" s="1" t="n">
        <v>140</v>
      </c>
      <c r="AC36" s="1" t="n">
        <f aca="false">ROUND(AB36*1.6, 0)</f>
        <v>224</v>
      </c>
      <c r="AF36" s="1" t="n">
        <v>22</v>
      </c>
      <c r="AG36" s="1" t="n">
        <v>22</v>
      </c>
      <c r="AH36" s="1" t="n">
        <v>2.7</v>
      </c>
      <c r="AI36" s="1" t="n">
        <v>3.5</v>
      </c>
      <c r="AJ36" s="5" t="n">
        <v>0</v>
      </c>
      <c r="AK36" s="1" t="str">
        <f aca="false">CONCATENATE(VLOOKUP(AL36, '[1]Voxel Sizes'!$A$2:$B$18,2,FALSE()),"x",INT(AH36*15), "x", INT(AI36*15))</f>
        <v>214x40x52</v>
      </c>
      <c r="AL36" s="1" t="n">
        <f aca="false">ROUND(15*((AG36*10)/256),0)</f>
        <v>13</v>
      </c>
      <c r="AN36" s="1" t="str">
        <f aca="false">CONCATENATE(VLOOKUP(AL36,Constants!$A$2:$C$16,IF(AM36&lt;&gt;"", 3, 2), FALSE()),IF(AM36&lt;&gt;"",CONCATENATE(",",VLOOKUP(AM36,$B:$AN,38,FALSE())),""))</f>
        <v>4,5,4</v>
      </c>
      <c r="AX36" s="1" t="n">
        <v>20</v>
      </c>
      <c r="AY36" s="6" t="n">
        <f aca="false">IF(L36&lt;&gt;"",MAX(16,(L36-J36)+8),"")</f>
        <v>16</v>
      </c>
      <c r="AZ36" s="1" t="n">
        <v>-35</v>
      </c>
      <c r="BA36" s="1" t="n">
        <v>-60</v>
      </c>
      <c r="BB36" s="1" t="n">
        <f aca="false">MIN(AB36/150, 1)*30</f>
        <v>28</v>
      </c>
      <c r="BC36" s="1" t="n">
        <f aca="false">MIN(N36/4000, 1)*20</f>
        <v>20</v>
      </c>
      <c r="BD36" s="1" t="n">
        <f aca="false">MIN(Z36/400,1)*20</f>
        <v>10.5</v>
      </c>
      <c r="BE36" s="4" t="n">
        <f aca="false">1-(MAX(J36-1900, 0)/750)</f>
        <v>0.885333333333333</v>
      </c>
      <c r="BF36" s="1" t="n">
        <f aca="false">((MAX($M36,1)*MIN($AJ36/300,1)))*IF(G36="Wagon",50,10)</f>
        <v>0</v>
      </c>
      <c r="BG36" s="1" t="n">
        <f aca="false">VLOOKUP($H36,Constants!$I:$K, 2, FALSE())</f>
        <v>0.85</v>
      </c>
      <c r="BH36" s="1" t="n">
        <f aca="false">VLOOKUP($H36,Constants!$I:$K, 3, FALSE())*IF(AND(G36="multiple_unit",AB36&lt;110),0.75,1)</f>
        <v>2.3</v>
      </c>
      <c r="BI36" s="1" t="n">
        <f aca="false">INT(POWER(((Constants!$G$2+$BB36+$BC36+$BD36+$BF36)*$BE36)*$BH36, 1.05))+$BA36</f>
        <v>104</v>
      </c>
      <c r="BJ36" s="1" t="n">
        <f aca="false">INT(POWER((((Constants!$G$1+$BB36+$BC36+$BD36+$BF36)*($BE36))*$BG36),IF($G36="wagon",1,1.2)))+$AZ36</f>
        <v>88</v>
      </c>
      <c r="BK36" s="33" t="n">
        <f aca="false">BI36*IF($G36="wagon",62.5,781.25)</f>
        <v>81250</v>
      </c>
      <c r="BL36" s="33" t="n">
        <f aca="false">BJ36*IF($G36="wagon",2.73,81.25)</f>
        <v>7150</v>
      </c>
      <c r="BM36" s="1" t="n">
        <v>1</v>
      </c>
      <c r="BN36" s="1" t="n">
        <v>1</v>
      </c>
      <c r="BP36" s="1" t="n">
        <v>1</v>
      </c>
      <c r="BQ36" s="1" t="str">
        <f aca="false">_xlfn.ORG.LIBREOFFICE.REGEX(_xlfn.ORG.LIBREOFFICE.REGEX(APTMUVehicles, _xlfn.CONCAT(B36, ",?"), ""), ",$", "")</f>
        <v>apt_half_6,apt_half_6_rev,apt_powercar,apt_half_2,apt_half_2_rev,apt_q_dvt,apt_s_10,apt_s_6</v>
      </c>
      <c r="BS36" s="1" t="s">
        <v>287</v>
      </c>
      <c r="BT36" s="1" t="n">
        <v>7</v>
      </c>
      <c r="BY36" s="1" t="str">
        <f aca="false">VLOOKUP(J36,Eras!$A$2:$C$10, 2, TRUE())</f>
        <v>lbr</v>
      </c>
      <c r="BZ36" s="28" t="s">
        <v>288</v>
      </c>
      <c r="CA36" s="1" t="str">
        <f aca="false">CONCATENATE(BY36,"_",BZ36)</f>
        <v>lbr_Express (Electric)</v>
      </c>
      <c r="CB36" s="1" t="str">
        <f aca="false">_xlfn.CONCAT(H36, "_",I36)</f>
        <v>electric_ELRL</v>
      </c>
      <c r="CC36" s="32" t="str">
        <v>{BLACK}Length: {GOLD}0.8 tiles{}</v>
      </c>
      <c r="CD36" s="1" t="str">
        <f aca="false">VLOOKUP($CB36, Constants!$M:$N, 2, FALSE())</f>
        <v>{BLACK}Powered by: {GOLD}25kV AC</v>
      </c>
      <c r="CE36" s="1" t="str">
        <f aca="false">IF(M36&gt;1,_xlfn.CONCAT("{BLACK}Cars: {GOLD}", M36),"")</f>
        <v/>
      </c>
      <c r="CF36" s="1" t="s">
        <v>289</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{BLACK}Powered by: {GOLD}25kV AC {}{BLACK}Length: {GOLD}0.8 tiles{}{SILVER}The APT-S was a rework of the APT concept towards more conventional rolling stock, with a driving motor car, articulated trailers and a DVT.</v>
      </c>
      <c r="CI36" s="1"/>
      <c r="CJ36" s="1"/>
    </row>
    <row r="37" customFormat="false" ht="13.8" hidden="false" customHeight="false" outlineLevel="0" collapsed="false">
      <c r="A37" s="28" t="s">
        <v>290</v>
      </c>
      <c r="B37" s="28" t="s">
        <v>291</v>
      </c>
      <c r="C37" s="28" t="n">
        <v>382</v>
      </c>
      <c r="E37" s="28" t="n">
        <v>384</v>
      </c>
      <c r="F37" s="28" t="s">
        <v>89</v>
      </c>
      <c r="G37" s="28" t="s">
        <v>145</v>
      </c>
      <c r="H37" s="28" t="s">
        <v>262</v>
      </c>
      <c r="I37" s="28" t="s">
        <v>151</v>
      </c>
      <c r="J37" s="28" t="n">
        <v>1986</v>
      </c>
      <c r="K37" s="28" t="n">
        <v>1991</v>
      </c>
      <c r="L37" s="28" t="n">
        <v>1994</v>
      </c>
      <c r="M37" s="28"/>
      <c r="N37" s="28" t="n">
        <v>100</v>
      </c>
      <c r="W37" s="1" t="n">
        <v>38.4</v>
      </c>
      <c r="Y37" s="1" t="n">
        <v>4</v>
      </c>
      <c r="Z37" s="1" t="n">
        <v>5</v>
      </c>
      <c r="AA37" s="4" t="n">
        <f aca="false">IF(AND(W37&gt;0,Z37&gt;0),(Z37/((W37+X37)*10)),"")</f>
        <v>0.0130208333333333</v>
      </c>
      <c r="AB37" s="1" t="n">
        <v>140</v>
      </c>
      <c r="AC37" s="1" t="n">
        <f aca="false">ROUND(AB37*1.6, 0)</f>
        <v>224</v>
      </c>
      <c r="AF37" s="1" t="n">
        <v>22</v>
      </c>
      <c r="AG37" s="1" t="n">
        <v>22</v>
      </c>
      <c r="AH37" s="1" t="n">
        <v>2.7</v>
      </c>
      <c r="AI37" s="1" t="n">
        <v>3.5</v>
      </c>
      <c r="AJ37" s="5" t="n">
        <v>36</v>
      </c>
      <c r="AK37" s="1" t="str">
        <f aca="false">CONCATENATE(VLOOKUP(AL37, '[1]Voxel Sizes'!$A$2:$B$18,2,FALSE()),"x",INT(AH37*15), "x", INT(AI37*15))</f>
        <v>214x40x52</v>
      </c>
      <c r="AL37" s="1" t="n">
        <f aca="false">ROUND(15*((AG37*10)/256),0)</f>
        <v>13</v>
      </c>
      <c r="AN37" s="1" t="str">
        <f aca="false">CONCATENATE(VLOOKUP(AL37,Constants!$A$2:$C$16,IF(AM37&lt;&gt;"", 3, 2), FALSE()),IF(AM37&lt;&gt;"",CONCATENATE(",",VLOOKUP(AM37,$B:$AN,38,FALSE())),""))</f>
        <v>4,5,4</v>
      </c>
      <c r="AX37" s="1" t="n">
        <v>20</v>
      </c>
      <c r="AY37" s="6" t="n">
        <f aca="false">IF(L37&lt;&gt;"",MAX(16,(L37-J37)+8),"")</f>
        <v>16</v>
      </c>
      <c r="AZ37" s="1" t="n">
        <v>-35</v>
      </c>
      <c r="BA37" s="1" t="n">
        <v>-60</v>
      </c>
      <c r="BB37" s="1" t="n">
        <f aca="false">MIN(AB37/150, 1)*30</f>
        <v>28</v>
      </c>
      <c r="BC37" s="1" t="n">
        <f aca="false">MIN(N37/4000, 1)*20</f>
        <v>0.5</v>
      </c>
      <c r="BD37" s="1" t="n">
        <f aca="false">MIN(Z37/400,1)*20</f>
        <v>0.25</v>
      </c>
      <c r="BE37" s="4" t="n">
        <f aca="false">1-(MAX(J37-1900, 0)/750)</f>
        <v>0.885333333333333</v>
      </c>
      <c r="BF37" s="1" t="n">
        <f aca="false">((MAX($M37,1)*MIN($AJ37/300,1)))*IF(G37="Wagon",50,10)</f>
        <v>1.2</v>
      </c>
      <c r="BG37" s="1" t="n">
        <f aca="false">VLOOKUP($H37,Constants!$I:$K, 2, FALSE())</f>
        <v>0.85</v>
      </c>
      <c r="BH37" s="1" t="n">
        <f aca="false">VLOOKUP($H37,Constants!$I:$K, 3, FALSE())*IF(AND(G37="multiple_unit",AB37&lt;110),0.75,1)</f>
        <v>2.3</v>
      </c>
      <c r="BI37" s="1" t="n">
        <f aca="false">INT(POWER(((Constants!$G$2+$BB37+$BC37+$BD37+$BF37)*$BE37)*$BH37, 1.05))+$BA37</f>
        <v>28</v>
      </c>
      <c r="BJ37" s="1" t="n">
        <f aca="false">INT(POWER((((Constants!$G$1+$BB37+$BC37+$BD37+$BF37)*($BE37))*$BG37),IF($G37="wagon",1,1.2)))+$AZ37</f>
        <v>33</v>
      </c>
      <c r="BK37" s="33" t="n">
        <f aca="false">BI37*IF($G37="wagon",62.5,781.25)</f>
        <v>21875</v>
      </c>
      <c r="BL37" s="33" t="n">
        <f aca="false">BJ37*IF($G37="wagon",2.73,81.25)</f>
        <v>2681.25</v>
      </c>
      <c r="BM37" s="1" t="n">
        <v>1</v>
      </c>
      <c r="BN37" s="1" t="n">
        <v>1</v>
      </c>
      <c r="BP37" s="1" t="n">
        <v>1</v>
      </c>
      <c r="BQ37" s="1" t="str">
        <f aca="false">_xlfn.ORG.LIBREOFFICE.REGEX(_xlfn.ORG.LIBREOFFICE.REGEX(APTMUVehicles, _xlfn.CONCAT(B37, ",?"), ""), ",$", "")</f>
        <v>apt_half_6,apt_half_6_rev,apt_powercar,apt_half_2,apt_half_2_rev,apt_s_dm,apt_s_10,apt_s_6</v>
      </c>
      <c r="BS37" s="1" t="s">
        <v>287</v>
      </c>
      <c r="BT37" s="1" t="n">
        <v>7</v>
      </c>
      <c r="BU37" s="1" t="n">
        <v>185</v>
      </c>
      <c r="BX37" s="1" t="s">
        <v>146</v>
      </c>
      <c r="BY37" s="1" t="str">
        <f aca="false">VLOOKUP(J37,Eras!$A$2:$C$10, 2, TRUE())</f>
        <v>lbr</v>
      </c>
      <c r="BZ37" s="28" t="s">
        <v>288</v>
      </c>
      <c r="CA37" s="1" t="str">
        <f aca="false">CONCATENATE(BY37,"_",BZ37)</f>
        <v>lbr_Express (Electric)</v>
      </c>
      <c r="CB37" s="1" t="str">
        <f aca="false">_xlfn.CONCAT(H37, "_",I37)</f>
        <v>none_RAIL</v>
      </c>
      <c r="CC37" s="32" t="str">
        <v>{BLACK}Length: {GOLD}0.8 tiles{}</v>
      </c>
      <c r="CD37" s="1" t="str">
        <f aca="false">VLOOKUP($CB37, Constants!$M:$N, 2, FALSE())</f>
        <v/>
      </c>
      <c r="CE37" s="1" t="str">
        <f aca="false">IF(M37&gt;1,_xlfn.CONCAT("{BLACK}Cars: {GOLD}", M37),"")</f>
        <v/>
      </c>
      <c r="CF37" s="1" t="s">
        <v>292</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{BLACK}Length: {GOLD}0.8 tiles{}{SILVER}The APT-Q was proposed to rationalise existing APT-P stock into usable 6-car tains, with a single non-driving power car and a new-build DVT.</v>
      </c>
      <c r="CI37" s="1"/>
      <c r="CJ37" s="1"/>
    </row>
    <row r="38" customFormat="false" ht="13.8" hidden="false" customHeight="false" outlineLevel="0" collapsed="false">
      <c r="A38" s="1" t="s">
        <v>293</v>
      </c>
      <c r="B38" s="1" t="s">
        <v>294</v>
      </c>
      <c r="C38" s="1" t="n">
        <v>384</v>
      </c>
      <c r="D38" s="1" t="n">
        <v>386</v>
      </c>
      <c r="E38" s="1" t="n">
        <v>386</v>
      </c>
      <c r="F38" s="1" t="s">
        <v>89</v>
      </c>
      <c r="G38" s="1" t="s">
        <v>269</v>
      </c>
      <c r="H38" s="1" t="s">
        <v>262</v>
      </c>
      <c r="I38" s="1" t="s">
        <v>151</v>
      </c>
      <c r="J38" s="1" t="n">
        <v>1986</v>
      </c>
      <c r="K38" s="1" t="n">
        <v>1991</v>
      </c>
      <c r="L38" s="1" t="n">
        <v>1994</v>
      </c>
      <c r="M38" s="1" t="n">
        <v>10</v>
      </c>
      <c r="N38" s="1" t="n">
        <v>10</v>
      </c>
      <c r="W38" s="28" t="n">
        <v>258.2</v>
      </c>
      <c r="Y38" s="1" t="n">
        <v>4</v>
      </c>
      <c r="Z38" s="1" t="n">
        <v>5</v>
      </c>
      <c r="AA38" s="4" t="n">
        <f aca="false">IF(AND(W38&gt;0,Z38&gt;0),(Z38/((W38+X38)*10)),"")</f>
        <v>0.00193648334624322</v>
      </c>
      <c r="AB38" s="1" t="n">
        <v>140</v>
      </c>
      <c r="AC38" s="1" t="n">
        <f aca="false">ROUND(AB38*1.6, 0)</f>
        <v>224</v>
      </c>
      <c r="AF38" s="1" t="n">
        <v>20.9</v>
      </c>
      <c r="AG38" s="1" t="n">
        <v>20.9</v>
      </c>
      <c r="AH38" s="1" t="n">
        <v>2.7</v>
      </c>
      <c r="AI38" s="1" t="n">
        <v>3.5</v>
      </c>
      <c r="AJ38" s="5" t="n">
        <v>49</v>
      </c>
      <c r="AK38" s="1" t="str">
        <f aca="false">CONCATENATE(VLOOKUP(AL38, '[1]Voxel Sizes'!$A$2:$B$18,2,FALSE()),"x",INT(AH38*15), "x", INT(AI38*15))</f>
        <v>198x40x52</v>
      </c>
      <c r="AL38" s="1" t="n">
        <f aca="false">ROUND(15*((AG38*10)/256),0)</f>
        <v>12</v>
      </c>
      <c r="AN38" s="1" t="str">
        <f aca="false">CONCATENATE(VLOOKUP(AL38,Constants!$A$2:$C$16,IF(AM38&lt;&gt;"", 3, 2), FALSE()),IF(AM38&lt;&gt;"",CONCATENATE(",",VLOOKUP(AM38,$B:$AN,38,FALSE())),""))</f>
        <v>4,4,4</v>
      </c>
      <c r="AR38" s="1" t="s">
        <v>295</v>
      </c>
      <c r="AT38" s="1" t="s">
        <v>296</v>
      </c>
      <c r="AU38" s="1" t="s">
        <v>297</v>
      </c>
      <c r="AX38" s="1" t="n">
        <v>20</v>
      </c>
      <c r="AY38" s="6" t="n">
        <f aca="false">IF(L38&lt;&gt;"",MAX(16,(L38-J38)+8),"")</f>
        <v>16</v>
      </c>
      <c r="AZ38" s="1" t="n">
        <v>-45</v>
      </c>
      <c r="BA38" s="1" t="n">
        <v>-65</v>
      </c>
      <c r="BB38" s="1" t="n">
        <f aca="false">MIN(AB38/150, 1)*30</f>
        <v>28</v>
      </c>
      <c r="BC38" s="1" t="n">
        <f aca="false">MIN(N38/4000, 1)*20</f>
        <v>0.05</v>
      </c>
      <c r="BD38" s="1" t="n">
        <f aca="false">MIN(Z38/400,1)*20</f>
        <v>0.25</v>
      </c>
      <c r="BE38" s="4" t="n">
        <f aca="false">1-(MAX(J38-1900, 0)/750)</f>
        <v>0.885333333333333</v>
      </c>
      <c r="BF38" s="1" t="n">
        <f aca="false">((MAX($M38,1)*MIN($AJ38/300,1)))*IF(G38="Wagon",50,10)</f>
        <v>16.3333333333333</v>
      </c>
      <c r="BG38" s="1" t="n">
        <f aca="false">VLOOKUP($H38,Constants!$I:$K, 2, FALSE())</f>
        <v>0.85</v>
      </c>
      <c r="BH38" s="1" t="n">
        <f aca="false">VLOOKUP($H38,Constants!$I:$K, 3, FALSE())*IF(AND(G38="multiple_unit",AB38&lt;110),0.75,1)</f>
        <v>2.3</v>
      </c>
      <c r="BI38" s="1" t="n">
        <f aca="false">INT(POWER(((Constants!$G$2+$BB38+$BC38+$BD38+$BF38)*$BE38)*$BH38, 1.05))+$BA38</f>
        <v>62</v>
      </c>
      <c r="BJ38" s="1" t="n">
        <f aca="false">INT(POWER((((Constants!$G$1+$BB38+$BC38+$BD38+$BF38)*($BE38))*$BG38),IF($G38="wagon",1,1.2)))+$AZ38</f>
        <v>51</v>
      </c>
      <c r="BK38" s="33" t="n">
        <f aca="false">BI38*IF($G38="wagon",62.5,781.25)</f>
        <v>48437.5</v>
      </c>
      <c r="BL38" s="33" t="n">
        <f aca="false">BJ38*IF($G38="wagon",2.73,81.25)</f>
        <v>4143.75</v>
      </c>
      <c r="BO38" s="1" t="n">
        <v>1</v>
      </c>
      <c r="BP38" s="1" t="n">
        <v>1</v>
      </c>
      <c r="BQ38" s="1" t="str">
        <f aca="false">_xlfn.ORG.LIBREOFFICE.REGEX(_xlfn.ORG.LIBREOFFICE.REGEX(APTMUVehicles, _xlfn.CONCAT(B38, ",?"), ""), ",$", "")</f>
        <v>apt_half_6,apt_half_6_rev,apt_powercar,apt_half_2,apt_half_2_rev,apt_q_dvt,apt_s_dm,apt_s_6</v>
      </c>
      <c r="BS38" s="28" t="s">
        <v>298</v>
      </c>
      <c r="BT38" s="1" t="n">
        <v>7</v>
      </c>
      <c r="BU38" s="1" t="n">
        <v>222</v>
      </c>
      <c r="BX38" s="1" t="s">
        <v>95</v>
      </c>
      <c r="BY38" s="1" t="str">
        <f aca="false">VLOOKUP(J38,Eras!$A$2:$C$10, 2, TRUE())</f>
        <v>lbr</v>
      </c>
      <c r="BZ38" s="28" t="s">
        <v>224</v>
      </c>
      <c r="CA38" s="1" t="str">
        <f aca="false">CONCATENATE(BY38,"_",BZ38)</f>
        <v>lbr_EMU (Express)</v>
      </c>
      <c r="CB38" s="1" t="str">
        <f aca="false">_xlfn.CONCAT(H38, "_",I38)</f>
        <v>none_RAIL</v>
      </c>
      <c r="CC38" s="32" t="str">
        <v>{BLACK}Length: {GOLD}0.8 tiles{}</v>
      </c>
      <c r="CD38" s="1" t="str">
        <f aca="false">VLOOKUP($CB38, Constants!$M:$N, 2, FALSE())</f>
        <v/>
      </c>
      <c r="CE38" s="1" t="str">
        <f aca="false">IF(M38&gt;1,_xlfn.CONCAT("{BLACK}Cars: {GOLD}", M38),"")</f>
        <v>{BLACK}Cars: {GOLD}10</v>
      </c>
      <c r="CF38" s="1" t="s">
        <v>299</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{YELLOW}20% bonus for long distance travel{}</v>
      </c>
      <c r="CH38" s="1" t="str">
        <f aca="false">_xlfn.CONCAT(CD38,IF(CD38 &lt;&gt; "", " ", ""),CE38,IF(OR(CE38&lt;&gt;"", CD38&lt;&gt;""), "{}",""), CC38, CG38,"{SILVER}", CF38)</f>
        <v>{BLACK}Cars: {GOLD}10{}{BLACK}Length: {GOLD}0.8 tiles{}{YELLOW}20% bonus for long distance travel{}{SILVER}An articulated trailer rake of APT-S Vehicles, intended to run with a Driving Motor and a DVT but also usable in other weird combinations.</v>
      </c>
      <c r="CI38" s="1"/>
      <c r="CJ38" s="1"/>
    </row>
    <row r="39" customFormat="false" ht="13.8" hidden="false" customHeight="false" outlineLevel="0" collapsed="false">
      <c r="A39" s="1" t="s">
        <v>300</v>
      </c>
      <c r="B39" s="1" t="s">
        <v>301</v>
      </c>
      <c r="C39" s="1" t="n">
        <v>386</v>
      </c>
      <c r="E39" s="1" t="n">
        <v>388</v>
      </c>
      <c r="F39" s="1" t="s">
        <v>89</v>
      </c>
      <c r="G39" s="1" t="s">
        <v>269</v>
      </c>
      <c r="H39" s="1" t="s">
        <v>262</v>
      </c>
      <c r="I39" s="1" t="s">
        <v>151</v>
      </c>
      <c r="J39" s="1" t="n">
        <v>1986</v>
      </c>
      <c r="K39" s="1" t="n">
        <v>1991</v>
      </c>
      <c r="L39" s="1" t="n">
        <v>1994</v>
      </c>
      <c r="M39" s="1" t="n">
        <v>6</v>
      </c>
      <c r="N39" s="1" t="n">
        <v>10</v>
      </c>
      <c r="W39" s="1" t="n">
        <v>209.6</v>
      </c>
      <c r="Y39" s="1" t="n">
        <v>4</v>
      </c>
      <c r="Z39" s="1" t="n">
        <v>5</v>
      </c>
      <c r="AA39" s="4" t="n">
        <f aca="false">IF(AND(W39&gt;0,Z39&gt;0),(Z39/((W39+X39)*10)),"")</f>
        <v>0.00238549618320611</v>
      </c>
      <c r="AB39" s="1" t="n">
        <v>140</v>
      </c>
      <c r="AC39" s="1" t="n">
        <f aca="false">ROUND(AB39*1.6, 0)</f>
        <v>224</v>
      </c>
      <c r="AF39" s="1" t="n">
        <v>20.9</v>
      </c>
      <c r="AG39" s="1" t="n">
        <v>20.9</v>
      </c>
      <c r="AH39" s="1" t="n">
        <v>2.7</v>
      </c>
      <c r="AI39" s="1" t="n">
        <v>3.5</v>
      </c>
      <c r="AJ39" s="5" t="n">
        <v>50</v>
      </c>
      <c r="AK39" s="1" t="str">
        <f aca="false">CONCATENATE(VLOOKUP(AL39, '[1]Voxel Sizes'!$A$2:$B$18,2,FALSE()),"x",INT(AH39*15), "x", INT(AI39*15))</f>
        <v>198x40x52</v>
      </c>
      <c r="AL39" s="1" t="n">
        <f aca="false">ROUND(15*((AG39*10)/256),0)</f>
        <v>12</v>
      </c>
      <c r="AN39" s="1" t="str">
        <f aca="false">CONCATENATE(VLOOKUP(AL39,Constants!$A$2:$C$16,IF(AM39&lt;&gt;"", 3, 2), FALSE()),IF(AM39&lt;&gt;"",CONCATENATE(",",VLOOKUP(AM39,$B:$AN,38,FALSE())),""))</f>
        <v>4,4,4</v>
      </c>
      <c r="AR39" s="1" t="s">
        <v>302</v>
      </c>
      <c r="AT39" s="1" t="s">
        <v>134</v>
      </c>
      <c r="AU39" s="1" t="s">
        <v>297</v>
      </c>
      <c r="AX39" s="1" t="n">
        <v>20</v>
      </c>
      <c r="AY39" s="6" t="n">
        <f aca="false">IF(L39&lt;&gt;"",MAX(16,(L39-J39)+8),"")</f>
        <v>16</v>
      </c>
      <c r="AZ39" s="1" t="n">
        <v>-45</v>
      </c>
      <c r="BA39" s="1" t="n">
        <v>-65</v>
      </c>
      <c r="BB39" s="1" t="n">
        <f aca="false">MIN(AB39/150, 1)*30</f>
        <v>28</v>
      </c>
      <c r="BC39" s="1" t="n">
        <f aca="false">MIN(N39/4000, 1)*20</f>
        <v>0.05</v>
      </c>
      <c r="BD39" s="1" t="n">
        <f aca="false">MIN(Z39/400,1)*20</f>
        <v>0.25</v>
      </c>
      <c r="BE39" s="4" t="n">
        <f aca="false">1-(MAX(J39-1900, 0)/750)</f>
        <v>0.885333333333333</v>
      </c>
      <c r="BF39" s="1" t="n">
        <f aca="false">((MAX($M39,1)*MIN($AJ39/300,1)))*IF(G39="Wagon",50,10)</f>
        <v>10</v>
      </c>
      <c r="BG39" s="1" t="n">
        <f aca="false">VLOOKUP($H39,Constants!$I:$K, 2, FALSE())</f>
        <v>0.85</v>
      </c>
      <c r="BH39" s="1" t="n">
        <f aca="false">VLOOKUP($H39,Constants!$I:$K, 3, FALSE())*IF(AND(G39="multiple_unit",AB39&lt;110),0.75,1)</f>
        <v>2.3</v>
      </c>
      <c r="BI39" s="1" t="n">
        <f aca="false">INT(POWER(((Constants!$G$2+$BB39+$BC39+$BD39+$BF39)*$BE39)*$BH39, 1.05))+$BA39</f>
        <v>45</v>
      </c>
      <c r="BJ39" s="1" t="n">
        <f aca="false">INT(POWER((((Constants!$G$1+$BB39+$BC39+$BD39+$BF39)*($BE39))*$BG39),IF($G39="wagon",1,1.2)))+$AZ39</f>
        <v>38</v>
      </c>
      <c r="BK39" s="33" t="n">
        <f aca="false">BI39*IF($G39="wagon",62.5,781.25)</f>
        <v>35156.25</v>
      </c>
      <c r="BL39" s="33" t="n">
        <f aca="false">BJ39*IF($G39="wagon",2.73,81.25)</f>
        <v>3087.5</v>
      </c>
      <c r="BO39" s="1" t="n">
        <v>1</v>
      </c>
      <c r="BP39" s="1" t="n">
        <v>1</v>
      </c>
      <c r="BQ39" s="1" t="str">
        <f aca="false">_xlfn.ORG.LIBREOFFICE.REGEX(_xlfn.ORG.LIBREOFFICE.REGEX(APTMUVehicles, _xlfn.CONCAT(B39, ",?"), ""), ",$", "")</f>
        <v>apt_half_6,apt_half_6_rev,apt_powercar,apt_half_2,apt_half_2_rev,apt_q_dvt,apt_s_dm,apt_s_10</v>
      </c>
      <c r="BS39" s="28" t="s">
        <v>303</v>
      </c>
      <c r="BT39" s="1" t="n">
        <v>7</v>
      </c>
      <c r="BU39" s="1" t="n">
        <v>222</v>
      </c>
      <c r="BX39" s="1" t="s">
        <v>95</v>
      </c>
      <c r="BY39" s="1" t="str">
        <f aca="false">VLOOKUP(J39,Eras!$A$2:$C$10, 2, TRUE())</f>
        <v>lbr</v>
      </c>
      <c r="BZ39" s="28" t="s">
        <v>224</v>
      </c>
      <c r="CA39" s="1" t="str">
        <f aca="false">CONCATENATE(BY39,"_",BZ39)</f>
        <v>lbr_EMU (Express)</v>
      </c>
      <c r="CB39" s="1" t="str">
        <f aca="false">_xlfn.CONCAT(H39, "_",I39)</f>
        <v>none_RAIL</v>
      </c>
      <c r="CC39" s="32" t="str">
        <v>{BLACK}Length: {GOLD}0.8 tiles{}</v>
      </c>
      <c r="CD39" s="1" t="str">
        <f aca="false">VLOOKUP($CB39, Constants!$M:$N, 2, FALSE())</f>
        <v/>
      </c>
      <c r="CE39" s="1" t="str">
        <f aca="false">IF(M39&gt;1,_xlfn.CONCAT("{BLACK}Cars: {GOLD}", M39),"")</f>
        <v>{BLACK}Cars: {GOLD}6</v>
      </c>
      <c r="CF39" s="1" t="s">
        <v>299</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{YELLOW}20% bonus for long distance travel{}</v>
      </c>
      <c r="CH39" s="1" t="str">
        <f aca="false">_xlfn.CONCAT(CD39,IF(CD39 &lt;&gt; "", " ", ""),CE39,IF(OR(CE39&lt;&gt;"", CD39&lt;&gt;""), "{}",""), CC39, CG39,"{SILVER}", CF39)</f>
        <v>{BLACK}Cars: {GOLD}6{}{BLACK}Length: {GOLD}0.8 tiles{}{YELLOW}20% bonus for long distance travel{}{SILVER}An articulated trailer rake of APT-S Vehicles, intended to run with a Driving Motor and a DVT but also usable in other weird combinations.</v>
      </c>
      <c r="CI39" s="1"/>
      <c r="CJ39" s="1"/>
    </row>
    <row r="40" customFormat="false" ht="13.8" hidden="false" customHeight="false" outlineLevel="0" collapsed="false">
      <c r="A40" s="1" t="s">
        <v>304</v>
      </c>
      <c r="B40" s="1" t="s">
        <v>305</v>
      </c>
      <c r="C40" s="1" t="n">
        <v>420</v>
      </c>
      <c r="E40" s="1" t="n">
        <v>392</v>
      </c>
      <c r="F40" s="1" t="s">
        <v>89</v>
      </c>
      <c r="G40" s="1" t="s">
        <v>145</v>
      </c>
      <c r="H40" s="1" t="s">
        <v>150</v>
      </c>
      <c r="I40" s="1" t="s">
        <v>151</v>
      </c>
      <c r="J40" s="1" t="n">
        <v>1986</v>
      </c>
      <c r="K40" s="1" t="n">
        <v>2026</v>
      </c>
      <c r="L40" s="1" t="n">
        <v>2031</v>
      </c>
      <c r="N40" s="1" t="n">
        <v>2250</v>
      </c>
      <c r="W40" s="1" t="n">
        <v>71.5</v>
      </c>
      <c r="Z40" s="1" t="n">
        <v>180</v>
      </c>
      <c r="AA40" s="4" t="n">
        <f aca="false">IF(AND(W40&gt;0,Z40&gt;0),(Z40/((W40+X40)*10)),"")</f>
        <v>0.251748251748252</v>
      </c>
      <c r="AB40" s="1" t="n">
        <v>125</v>
      </c>
      <c r="AC40" s="1" t="n">
        <f aca="false">ROUND(AB40*1.6, 0)</f>
        <v>200</v>
      </c>
      <c r="AF40" s="1" t="n">
        <v>17.79</v>
      </c>
      <c r="AG40" s="1" t="n">
        <v>17.79</v>
      </c>
      <c r="AJ40" s="5" t="n">
        <v>0</v>
      </c>
      <c r="AK40" s="1" t="str">
        <f aca="false">CONCATENATE(VLOOKUP(AL40, '[1]Voxel Sizes'!$A$2:$B$18,2,FALSE()),"x",INT(AH40*15), "x", INT(AI40*15))</f>
        <v>164x0x0</v>
      </c>
      <c r="AL40" s="1" t="n">
        <f aca="false">ROUND(15*((AG40*10)/256),0)</f>
        <v>10</v>
      </c>
      <c r="AN40" s="1" t="str">
        <f aca="false">CONCATENATE(VLOOKUP(AL40,Constants!$A$2:$C$16,IF(AM40&lt;&gt;"", 3, 2), FALSE()),IF(AM40&lt;&gt;"",CONCATENATE(",",VLOOKUP(AM40,$B:$AN,38,FALSE())),""))</f>
        <v>4,2,4</v>
      </c>
      <c r="AX40" s="1" t="n">
        <v>35</v>
      </c>
      <c r="AY40" s="6" t="n">
        <f aca="false">IF(L40&lt;&gt;"",MAX(16,(L40-J40)+8),"")</f>
        <v>53</v>
      </c>
      <c r="BB40" s="1" t="n">
        <f aca="false">MIN(AB40/150, 1)*30</f>
        <v>25</v>
      </c>
      <c r="BC40" s="1" t="n">
        <f aca="false">MIN(N40/4000, 1)*20</f>
        <v>11.25</v>
      </c>
      <c r="BD40" s="1" t="n">
        <f aca="false">MIN(Z40/400,1)*20</f>
        <v>9</v>
      </c>
      <c r="BE40" s="4" t="n">
        <f aca="false">1-(MAX(J40-1900, 0)/750)</f>
        <v>0.885333333333333</v>
      </c>
      <c r="BF40" s="1" t="n">
        <f aca="false">((MAX($M40,1)*MIN($AJ40/300,1)))*IF(G40="Wagon",50,10)</f>
        <v>0</v>
      </c>
      <c r="BG40" s="1" t="n">
        <f aca="false">VLOOKUP($H40,Constants!$I:$K, 2, FALSE())</f>
        <v>1</v>
      </c>
      <c r="BH40" s="1" t="n">
        <f aca="false">VLOOKUP($H40,Constants!$I:$K, 3, FALSE())*IF(AND(G40="multiple_unit",AB40&lt;110),0.75,1)</f>
        <v>2</v>
      </c>
      <c r="BI40" s="1" t="n">
        <f aca="false">INT(POWER(((Constants!$G$2+$BB40+$BC40+$BD40+$BF40)*$BE40)*$BH40, 1.05))+$BA40</f>
        <v>111</v>
      </c>
      <c r="BJ40" s="1" t="n">
        <f aca="false">INT(POWER((((Constants!$G$1+$BB40+$BC40+$BD40+$BF40)*($BE40))*$BG40),IF($G40="wagon",1,1.2)))+$AZ40</f>
        <v>118</v>
      </c>
      <c r="BK40" s="33" t="n">
        <f aca="false">BI40*IF($G40="wagon",62.5,781.25)</f>
        <v>86718.75</v>
      </c>
      <c r="BL40" s="33" t="n">
        <f aca="false">BJ40*IF($G40="wagon",2.73,81.25)</f>
        <v>9587.5</v>
      </c>
      <c r="BM40" s="1" t="n">
        <v>1</v>
      </c>
      <c r="BN40" s="1" t="n">
        <v>1</v>
      </c>
      <c r="BT40" s="1" t="n">
        <v>2</v>
      </c>
      <c r="BY40" s="1" t="str">
        <f aca="false">VLOOKUP(J40,Eras!$A$2:$C$10, 2, TRUE())</f>
        <v>lbr</v>
      </c>
      <c r="BZ40" s="28" t="s">
        <v>306</v>
      </c>
      <c r="CA40" s="1" t="str">
        <f aca="false">CONCATENATE(BY40,"_",BZ40)</f>
        <v>lbr_Express</v>
      </c>
      <c r="CB40" s="1" t="str">
        <f aca="false">_xlfn.CONCAT(H40, "_",I40)</f>
        <v>diesel_RAIL</v>
      </c>
      <c r="CC40" s="32" t="str">
        <v>{BLACK}Length: {GOLD}0.8 tiles{}</v>
      </c>
      <c r="CD40" s="1" t="str">
        <f aca="false">VLOOKUP($CB40, Constants!$M:$N, 2, FALSE())</f>
        <v>{BLACK}Powered by: {GOLD}Diesel</v>
      </c>
      <c r="CE40" s="1" t="str">
        <f aca="false">IF(M40&gt;1,_xlfn.CONCAT("{BLACK}Cars: {GOLD}", M40),"")</f>
        <v/>
      </c>
      <c r="CF40" s="1" t="s">
        <v>307</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
      </c>
      <c r="CH40" s="1" t="str">
        <f aca="false">_xlfn.CONCAT(CD40,IF(CD40 &lt;&gt; "", " ", ""),CE40,IF(OR(CE40&lt;&gt;"", CD40&lt;&gt;""), "{}",""), CC40, CG40,"{SILVER}", CF40)</f>
        <v>{BLACK}Powered by: {GOLD}Diesel {}{BLACK}Length: {GOLD}0.8 tiles{}{SILVER}To facilitate the testing and introduction of the Class 91 fleet prior to the availability of Mark 4 Driving Van Trailers, 8 HST Power Cars were converted to act as control vehicles for electric locomotives.</v>
      </c>
      <c r="CI40" s="1"/>
      <c r="CJ40" s="1"/>
    </row>
    <row r="41" customFormat="false" ht="13.8" hidden="false" customHeight="false" outlineLevel="0" collapsed="false">
      <c r="A41" s="1" t="s">
        <v>308</v>
      </c>
      <c r="B41" s="1" t="s">
        <v>309</v>
      </c>
      <c r="C41" s="1" t="n">
        <v>422</v>
      </c>
      <c r="E41" s="1" t="n">
        <v>394</v>
      </c>
      <c r="F41" s="1" t="s">
        <v>89</v>
      </c>
      <c r="G41" s="1" t="s">
        <v>145</v>
      </c>
      <c r="H41" s="1" t="s">
        <v>262</v>
      </c>
      <c r="I41" s="1" t="s">
        <v>151</v>
      </c>
      <c r="J41" s="1" t="n">
        <v>1986</v>
      </c>
      <c r="K41" s="1" t="n">
        <v>1991</v>
      </c>
      <c r="N41" s="1" t="n">
        <v>100</v>
      </c>
      <c r="W41" s="1" t="n">
        <v>35</v>
      </c>
      <c r="Y41" s="1" t="n">
        <v>4</v>
      </c>
      <c r="Z41" s="1" t="n">
        <v>5</v>
      </c>
      <c r="AA41" s="4" t="n">
        <f aca="false">IF(AND(W41&gt;0,Z41&gt;0),(Z41/((W41+X41)*10)),"")</f>
        <v>0.0142857142857143</v>
      </c>
      <c r="AB41" s="1" t="n">
        <v>125</v>
      </c>
      <c r="AC41" s="1" t="n">
        <f aca="false">ROUND(AB41*1.6, 0)</f>
        <v>200</v>
      </c>
      <c r="AF41" s="1" t="n">
        <v>23</v>
      </c>
      <c r="AG41" s="1" t="n">
        <v>23</v>
      </c>
      <c r="AJ41" s="5" t="n">
        <v>45</v>
      </c>
      <c r="AK41" s="1" t="str">
        <f aca="false">CONCATENATE(VLOOKUP(AL41, '[1]Voxel Sizes'!$A$2:$B$18,2,FALSE()),"x",INT(AH41*15), "x", INT(AI41*15))</f>
        <v>214x0x0</v>
      </c>
      <c r="AL41" s="1" t="n">
        <f aca="false">ROUND(15*((AG41*10)/256),0)</f>
        <v>13</v>
      </c>
      <c r="AN41" s="1" t="str">
        <f aca="false">CONCATENATE(VLOOKUP(AL41,Constants!$A$2:$C$16,IF(AM41&lt;&gt;"", 3, 2), FALSE()),IF(AM41&lt;&gt;"",CONCATENATE(",",VLOOKUP(AM41,$B:$AN,38,FALSE())),""))</f>
        <v>4,5,4</v>
      </c>
      <c r="AX41" s="1" t="n">
        <v>27</v>
      </c>
      <c r="AY41" s="6" t="str">
        <f aca="false">IF(L41&lt;&gt;"",MAX(16,(L41-J41)+8),"")</f>
        <v/>
      </c>
      <c r="AZ41" s="1" t="n">
        <v>-15</v>
      </c>
      <c r="BA41" s="1" t="n">
        <v>-60</v>
      </c>
      <c r="BB41" s="1" t="n">
        <f aca="false">MIN(AB41/150, 1)*30</f>
        <v>25</v>
      </c>
      <c r="BC41" s="1" t="n">
        <f aca="false">MIN(N41/4000, 1)*20</f>
        <v>0.5</v>
      </c>
      <c r="BD41" s="1" t="n">
        <f aca="false">MIN(Z41/400,1)*20</f>
        <v>0.25</v>
      </c>
      <c r="BE41" s="4" t="n">
        <f aca="false">1-(MAX(J41-1900, 0)/750)</f>
        <v>0.885333333333333</v>
      </c>
      <c r="BF41" s="1" t="n">
        <f aca="false">((MAX($M41,1)*MIN($AJ41/300,1)))*IF(G41="Wagon",50,10)</f>
        <v>1.5</v>
      </c>
      <c r="BG41" s="1" t="n">
        <f aca="false">VLOOKUP($H41,Constants!$I:$K, 2, FALSE())</f>
        <v>0.85</v>
      </c>
      <c r="BH41" s="1" t="n">
        <f aca="false">VLOOKUP($H41,Constants!$I:$K, 3, FALSE())*IF(AND(G41="multiple_unit",AB41&lt;110),0.75,1)</f>
        <v>2.3</v>
      </c>
      <c r="BI41" s="1" t="n">
        <f aca="false">INT(POWER((([1]Constants!$G$2+$BB41+$BC41+$BD41+$BF41)*$BE41)*$BH41, 1.05))+$BA41</f>
        <v>20</v>
      </c>
      <c r="BJ41" s="1" t="n">
        <f aca="false">INT(POWER(((([1]Constants!$G$1+$BB41+$BC41+$BD41+$BF41)*($BE41))*$BG41),IF($G41="wagon",1,1.2)))+$AZ41</f>
        <v>48</v>
      </c>
      <c r="BK41" s="33" t="n">
        <f aca="false">BI41*IF($G41="wagon",62.5,781.25)</f>
        <v>15625</v>
      </c>
      <c r="BL41" s="33" t="n">
        <f aca="false">BJ41*IF($G41="wagon",2.73,81.25)</f>
        <v>3900</v>
      </c>
      <c r="BM41" s="1" t="n">
        <v>1</v>
      </c>
      <c r="BN41" s="1" t="n">
        <v>1</v>
      </c>
      <c r="BS41" s="1" t="s">
        <v>287</v>
      </c>
      <c r="BT41" s="1" t="n">
        <v>7</v>
      </c>
      <c r="BU41" s="1" t="n">
        <v>205</v>
      </c>
      <c r="BV41" s="1" t="s">
        <v>223</v>
      </c>
      <c r="BX41" s="1" t="s">
        <v>95</v>
      </c>
      <c r="BY41" s="1" t="str">
        <f aca="false">VLOOKUP(J41,Eras!$A$2:$C$10, 2, TRUE())</f>
        <v>lbr</v>
      </c>
      <c r="BZ41" s="28" t="s">
        <v>306</v>
      </c>
      <c r="CA41" s="1" t="str">
        <f aca="false">CONCATENATE(BY41,"_",BZ41)</f>
        <v>lbr_Express</v>
      </c>
      <c r="CB41" s="1" t="str">
        <f aca="false">_xlfn.CONCAT(H41, "_",I41)</f>
        <v>none_RAIL</v>
      </c>
      <c r="CC41" s="32" t="str">
        <v>{BLACK}Length: {GOLD}0.8 tiles{}</v>
      </c>
      <c r="CD41" s="1" t="str">
        <f aca="false">VLOOKUP($CB41, [1]Constants!$M$1:$N$1048576, 2, FALSE())</f>
        <v/>
      </c>
      <c r="CE41" s="1" t="str">
        <f aca="false">IF(M41&gt;1,_xlfn.CONCAT("{BLACK}Cars: {GOLD}", M41),"")</f>
        <v/>
      </c>
      <c r="CF41" s="1" t="s">
        <v>310</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{YELLOW}10% bonus for long distance travel{}</v>
      </c>
      <c r="CH41" s="1" t="str">
        <f aca="false">_xlfn.CONCAT(CD41,IF(CD41 &lt;&gt; "", " ", ""),CE41,IF(OR(CE41&lt;&gt;"", CD41&lt;&gt;""), "{}",""), CC41, CG41,"{SILVER}", CF41)</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1" s="1"/>
      <c r="CJ41" s="1"/>
    </row>
    <row r="42" customFormat="false" ht="13.8" hidden="false" customHeight="false" outlineLevel="0" collapsed="false">
      <c r="A42" s="1" t="s">
        <v>311</v>
      </c>
      <c r="B42" s="1" t="s">
        <v>312</v>
      </c>
      <c r="C42" s="1" t="n">
        <v>424</v>
      </c>
      <c r="D42" s="1" t="n">
        <v>420</v>
      </c>
      <c r="E42" s="1" t="n">
        <v>396</v>
      </c>
      <c r="F42" s="1" t="s">
        <v>89</v>
      </c>
      <c r="G42" s="1" t="s">
        <v>145</v>
      </c>
      <c r="H42" s="1" t="s">
        <v>262</v>
      </c>
      <c r="I42" s="1" t="s">
        <v>151</v>
      </c>
      <c r="J42" s="1" t="n">
        <v>1986</v>
      </c>
      <c r="K42" s="1" t="n">
        <v>1991</v>
      </c>
      <c r="N42" s="1" t="n">
        <v>100</v>
      </c>
      <c r="W42" s="1" t="n">
        <v>40</v>
      </c>
      <c r="Z42" s="1" t="n">
        <v>5</v>
      </c>
      <c r="AA42" s="4" t="n">
        <f aca="false">IF(AND(W42&gt;0,Z42&gt;0),(Z42/((W42+X42)*10)),"")</f>
        <v>0.0125</v>
      </c>
      <c r="AB42" s="1" t="n">
        <v>125</v>
      </c>
      <c r="AC42" s="1" t="n">
        <f aca="false">ROUND(AB42*1.6, 0)</f>
        <v>200</v>
      </c>
      <c r="AF42" s="1" t="n">
        <v>17.79</v>
      </c>
      <c r="AG42" s="1" t="n">
        <v>17.79</v>
      </c>
      <c r="AJ42" s="5" t="n">
        <v>36</v>
      </c>
      <c r="AK42" s="1" t="str">
        <f aca="false">CONCATENATE(VLOOKUP(AL42, '[1]Voxel Sizes'!$A$2:$B$18,2,FALSE()),"x",INT(AH42*15), "x", INT(AI42*15))</f>
        <v>164x0x0</v>
      </c>
      <c r="AL42" s="1" t="n">
        <f aca="false">ROUND(15*((AG42*10)/256),0)</f>
        <v>10</v>
      </c>
      <c r="AN42" s="1" t="str">
        <f aca="false">CONCATENATE(VLOOKUP(AL42,Constants!$A$2:$C$16,IF(AM42&lt;&gt;"", 3, 2), FALSE()),IF(AM42&lt;&gt;"",CONCATENATE(",",VLOOKUP(AM42,$B:$AN,38,FALSE())),""))</f>
        <v>4,2,4</v>
      </c>
      <c r="AX42" s="1" t="n">
        <v>27</v>
      </c>
      <c r="AY42" s="6" t="str">
        <f aca="false">IF(L42&lt;&gt;"",MAX(16,(L42-J42)+8),"")</f>
        <v/>
      </c>
      <c r="AZ42" s="1" t="n">
        <v>-15</v>
      </c>
      <c r="BA42" s="1" t="n">
        <v>-55</v>
      </c>
      <c r="BB42" s="1" t="n">
        <f aca="false">MIN(AB42/150, 1)*30</f>
        <v>25</v>
      </c>
      <c r="BC42" s="1" t="n">
        <f aca="false">MIN(N42/4000, 1)*20</f>
        <v>0.5</v>
      </c>
      <c r="BD42" s="1" t="n">
        <f aca="false">MIN(Z42/400,1)*20</f>
        <v>0.25</v>
      </c>
      <c r="BE42" s="4" t="n">
        <f aca="false">1-(MAX(J42-1900, 0)/750)</f>
        <v>0.885333333333333</v>
      </c>
      <c r="BF42" s="1" t="n">
        <f aca="false">((MAX($M42,1)*MIN($AJ42/300,1)))*IF(G42="Wagon",50,10)</f>
        <v>1.2</v>
      </c>
      <c r="BG42" s="1" t="n">
        <f aca="false">VLOOKUP($H42,Constants!$I:$K, 2, FALSE())</f>
        <v>0.85</v>
      </c>
      <c r="BH42" s="1" t="n">
        <f aca="false">VLOOKUP($H42,Constants!$I:$K, 3, FALSE())*IF(AND(G42="multiple_unit",AB42&lt;110),0.75,1)</f>
        <v>2.3</v>
      </c>
      <c r="BI42" s="1" t="n">
        <f aca="false">INT(POWER((([1]Constants!$G$2+$BB42+$BC42+$BD42+$BF42)*$BE42)*$BH42, 1.05))+$BA42</f>
        <v>25</v>
      </c>
      <c r="BJ42" s="1" t="n">
        <f aca="false">INT(POWER(((([1]Constants!$G$1+$BB42+$BC42+$BD42+$BF42)*($BE42))*$BG42),IF($G42="wagon",1,1.2)))+$AZ42</f>
        <v>47</v>
      </c>
      <c r="BK42" s="33" t="n">
        <f aca="false">BI42*IF($G42="wagon",62.5,781.25)</f>
        <v>19531.25</v>
      </c>
      <c r="BL42" s="33" t="n">
        <f aca="false">BJ42*IF($G42="wagon",2.73,81.25)</f>
        <v>3818.75</v>
      </c>
      <c r="BM42" s="1" t="n">
        <v>1</v>
      </c>
      <c r="BN42" s="1" t="n">
        <v>1</v>
      </c>
      <c r="BS42" s="1" t="s">
        <v>287</v>
      </c>
      <c r="BT42" s="1" t="n">
        <v>7</v>
      </c>
      <c r="BV42" s="1" t="s">
        <v>313</v>
      </c>
      <c r="BX42" s="1" t="s">
        <v>146</v>
      </c>
      <c r="BY42" s="1" t="str">
        <f aca="false">VLOOKUP(J42,Eras!$A$2:$C$10, 2, TRUE())</f>
        <v>lbr</v>
      </c>
      <c r="BZ42" s="28" t="s">
        <v>306</v>
      </c>
      <c r="CA42" s="1" t="str">
        <f aca="false">CONCATENATE(BY42,"_",BZ42)</f>
        <v>lbr_Express</v>
      </c>
      <c r="CB42" s="1" t="str">
        <f aca="false">_xlfn.CONCAT(H42, "_",I42)</f>
        <v>none_RAIL</v>
      </c>
      <c r="CC42" s="32" t="str">
        <v>{BLACK}Length: {GOLD}0.8 tiles{}</v>
      </c>
      <c r="CD42" s="1" t="str">
        <f aca="false">VLOOKUP($CB42, [1]Constants!$M$1:$N$1048576, 2, FALSE())</f>
        <v/>
      </c>
      <c r="CE42" s="1" t="str">
        <f aca="false">IF(M42&gt;1,_xlfn.CONCAT("{BLACK}Cars: {GOLD}", M42),"")</f>
        <v/>
      </c>
      <c r="CF42" s="1" t="s">
        <v>314</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{BLACK}Length: {GOLD}0.8 tiles{}{SILVER}A depowered Class 43, proposed as a conversion from surplus power cars and now suitable for carrying baggage.</v>
      </c>
      <c r="CI42" s="1"/>
      <c r="CJ42" s="1"/>
    </row>
    <row r="43" customFormat="false" ht="13.8" hidden="false" customHeight="false" outlineLevel="0" collapsed="false">
      <c r="A43" s="1" t="s">
        <v>315</v>
      </c>
      <c r="B43" s="1" t="s">
        <v>316</v>
      </c>
      <c r="C43" s="1" t="n">
        <v>396</v>
      </c>
      <c r="E43" s="1" t="n">
        <v>398</v>
      </c>
      <c r="F43" s="1" t="s">
        <v>89</v>
      </c>
      <c r="G43" s="1" t="s">
        <v>145</v>
      </c>
      <c r="H43" s="1" t="s">
        <v>317</v>
      </c>
      <c r="I43" s="1" t="s">
        <v>92</v>
      </c>
      <c r="J43" s="1" t="n">
        <v>1986</v>
      </c>
      <c r="K43" s="1" t="n">
        <v>2026</v>
      </c>
      <c r="L43" s="1" t="n">
        <v>2031</v>
      </c>
      <c r="N43" s="1" t="n">
        <v>2750</v>
      </c>
      <c r="W43" s="1" t="n">
        <v>74</v>
      </c>
      <c r="Z43" s="1" t="n">
        <v>180</v>
      </c>
      <c r="AA43" s="4" t="n">
        <f aca="false">IF(AND(W43&gt;0,Z43&gt;0),(Z43/((W43+X43)*10)),"")</f>
        <v>0.243243243243243</v>
      </c>
      <c r="AB43" s="1" t="n">
        <v>125</v>
      </c>
      <c r="AC43" s="1" t="n">
        <f aca="false">ROUND(AB43*1.6, 0)</f>
        <v>200</v>
      </c>
      <c r="AF43" s="1" t="n">
        <v>17.79</v>
      </c>
      <c r="AG43" s="1" t="n">
        <v>17.79</v>
      </c>
      <c r="AJ43" s="5" t="n">
        <v>0</v>
      </c>
      <c r="AK43" s="1" t="str">
        <f aca="false">CONCATENATE(VLOOKUP(AL43, '[1]Voxel Sizes'!$A$2:$B$18,2,FALSE()),"x",INT(AH43*15), "x", INT(AI43*15))</f>
        <v>164x0x0</v>
      </c>
      <c r="AL43" s="1" t="n">
        <f aca="false">ROUND(15*((AG43*10)/256),0)</f>
        <v>10</v>
      </c>
      <c r="AN43" s="1" t="str">
        <f aca="false">CONCATENATE(VLOOKUP(AL43,Constants!$A$2:$C$16,IF(AM43&lt;&gt;"", 3, 2), FALSE()),IF(AM43&lt;&gt;"",CONCATENATE(",",VLOOKUP(AM43,$B:$AN,38,FALSE())),""))</f>
        <v>4,2,4</v>
      </c>
      <c r="AS43" s="1" t="s">
        <v>316</v>
      </c>
      <c r="AX43" s="1" t="n">
        <v>35</v>
      </c>
      <c r="AY43" s="6" t="n">
        <f aca="false">IF(L43&lt;&gt;"",MAX(16,(L43-J43)+8),"")</f>
        <v>53</v>
      </c>
      <c r="BB43" s="1" t="n">
        <f aca="false">MIN(AB43/150, 1)*30</f>
        <v>25</v>
      </c>
      <c r="BC43" s="1" t="n">
        <f aca="false">MIN(N43/4000, 1)*20</f>
        <v>13.75</v>
      </c>
      <c r="BD43" s="1" t="n">
        <f aca="false">MIN(Z43/400,1)*20</f>
        <v>9</v>
      </c>
      <c r="BE43" s="4" t="n">
        <f aca="false">1-(MAX(J43-1900, 0)/750)</f>
        <v>0.885333333333333</v>
      </c>
      <c r="BF43" s="1" t="n">
        <f aca="false">((MAX($M43,1)*MIN($AJ43/300,1)))*IF(G43="Wagon",50,10)</f>
        <v>0</v>
      </c>
      <c r="BG43" s="1" t="n">
        <f aca="false">VLOOKUP($H43,Constants!$I:$K, 2, FALSE())</f>
        <v>0.85</v>
      </c>
      <c r="BH43" s="1" t="n">
        <f aca="false">VLOOKUP($H43,Constants!$I:$K, 3, FALSE())*IF(AND(G43="multiple_unit",AB43&lt;110),0.75,1)</f>
        <v>2.4</v>
      </c>
      <c r="BI43" s="1" t="n">
        <f aca="false">INT(POWER(((Constants!$G$2+$BB43+$BC43+$BD43+$BF43)*$BE43)*$BH43, 1.05))+$BA43</f>
        <v>141</v>
      </c>
      <c r="BJ43" s="1" t="n">
        <f aca="false">INT(POWER((((Constants!$G$1+$BB43+$BC43+$BD43+$BF43)*($BE43))*$BG43),IF($G43="wagon",1,1.2)))+$AZ43</f>
        <v>102</v>
      </c>
      <c r="BK43" s="33" t="n">
        <f aca="false">BI43*IF($G43="wagon",62.5,781.25)</f>
        <v>110156.25</v>
      </c>
      <c r="BL43" s="33" t="n">
        <f aca="false">BJ43*IF($G43="wagon",2.73,81.25)</f>
        <v>8287.5</v>
      </c>
      <c r="BM43" s="1" t="n">
        <v>1</v>
      </c>
      <c r="BN43" s="1" t="n">
        <v>1</v>
      </c>
      <c r="BS43" s="1" t="s">
        <v>287</v>
      </c>
      <c r="BT43" s="1" t="n">
        <v>2</v>
      </c>
      <c r="BY43" s="1" t="str">
        <f aca="false">VLOOKUP(J43,Eras!$A$2:$C$10, 2, TRUE())</f>
        <v>lbr</v>
      </c>
      <c r="BZ43" s="28" t="s">
        <v>288</v>
      </c>
      <c r="CA43" s="1" t="str">
        <f aca="false">CONCATENATE(BY43,"_",BZ43)</f>
        <v>lbr_Express (Electric)</v>
      </c>
      <c r="CB43" s="1" t="str">
        <f aca="false">_xlfn.CONCAT(H43, "_",I43)</f>
        <v>dual_electric_ELRL</v>
      </c>
      <c r="CC43" s="32" t="str">
        <v>{BLACK}Length: {GOLD}0.8 tiles{}</v>
      </c>
      <c r="CD43" s="1" t="str">
        <f aca="false">VLOOKUP($CB43, Constants!$M:$N, 2, FALSE())</f>
        <v>{BLACK}Powered by: {GOLD}25kV AC</v>
      </c>
      <c r="CE43" s="1" t="str">
        <f aca="false">IF(M43&gt;1,_xlfn.CONCAT("{BLACK}Cars: {GOLD}", M43),"")</f>
        <v/>
      </c>
      <c r="CF43" s="1" t="s">
        <v>318</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
      </c>
      <c r="CH43" s="1" t="str">
        <f aca="false">_xlfn.CONCAT(CD43,IF(CD43 &lt;&gt; "", " ", ""),CE43,IF(OR(CE43&lt;&gt;"", CD43&lt;&gt;""), "{}",""), CC43, CG43,"{SILVER}", CF43)</f>
        <v>{BLACK}Powered by: {GOLD}25kV AC {}{BLACK}Length: {GOLD}0.8 tiles{}{SILVER}A proposed electric version of the Class 43 ‘HST’ Power Car was oft-discussed after the failure of the APT program.</v>
      </c>
      <c r="CI43" s="1"/>
      <c r="CJ43" s="1"/>
    </row>
    <row r="44" customFormat="false" ht="13.8" hidden="false" customHeight="false" outlineLevel="0" collapsed="false">
      <c r="A44" s="28" t="s">
        <v>319</v>
      </c>
      <c r="B44" s="28" t="s">
        <v>320</v>
      </c>
      <c r="C44" s="1" t="n">
        <v>388</v>
      </c>
      <c r="D44" s="28"/>
      <c r="E44" s="28" t="n">
        <v>390</v>
      </c>
      <c r="F44" s="28" t="s">
        <v>89</v>
      </c>
      <c r="G44" s="28" t="s">
        <v>145</v>
      </c>
      <c r="H44" s="28" t="s">
        <v>91</v>
      </c>
      <c r="I44" s="28" t="s">
        <v>92</v>
      </c>
      <c r="J44" s="28" t="n">
        <v>1985</v>
      </c>
      <c r="K44" s="28" t="n">
        <v>1999</v>
      </c>
      <c r="L44" s="28"/>
      <c r="M44" s="28"/>
      <c r="N44" s="28" t="n">
        <v>5400</v>
      </c>
      <c r="W44" s="28" t="n">
        <v>109</v>
      </c>
      <c r="Y44" s="28"/>
      <c r="Z44" s="28" t="n">
        <v>267</v>
      </c>
      <c r="AA44" s="4" t="n">
        <v>0.205384615384615</v>
      </c>
      <c r="AB44" s="28" t="n">
        <v>75</v>
      </c>
      <c r="AC44" s="28" t="n">
        <v>128</v>
      </c>
      <c r="AD44" s="28"/>
      <c r="AE44" s="28"/>
      <c r="AF44" s="28" t="n">
        <v>19.13</v>
      </c>
      <c r="AG44" s="28" t="n">
        <v>19.13</v>
      </c>
      <c r="AH44" s="28"/>
      <c r="AI44" s="28" t="n">
        <v>3.91</v>
      </c>
      <c r="AJ44" s="5" t="n">
        <v>0</v>
      </c>
      <c r="AK44" s="1" t="str">
        <f aca="false">CONCATENATE(VLOOKUP(AL44, '[1]Voxel Sizes'!$A$2:$B$18,2,FALSE()),"x",INT(AH44*15), "x", INT(AI44*15))</f>
        <v>186x0x58</v>
      </c>
      <c r="AL44" s="28" t="n">
        <v>11</v>
      </c>
      <c r="AM44" s="28"/>
      <c r="AN44" s="1" t="str">
        <f aca="false">CONCATENATE(VLOOKUP(AL44,Constants!$A$2:$C$16,IF(AM44&lt;&gt;"", 3, 2), FALSE()),IF(AM44&lt;&gt;"",CONCATENATE(",",VLOOKUP(AM44,$B:$AN,38,FALSE())),""))</f>
        <v>4,3,4</v>
      </c>
      <c r="AO44" s="28"/>
      <c r="AR44" s="28"/>
      <c r="AS44" s="28"/>
      <c r="AT44" s="28"/>
      <c r="AU44" s="28"/>
      <c r="AV44" s="28"/>
      <c r="AW44" s="28"/>
      <c r="AX44" s="28" t="n">
        <v>30</v>
      </c>
      <c r="AZ44" s="28" t="n">
        <v>15</v>
      </c>
      <c r="BA44" s="28" t="n">
        <v>-10</v>
      </c>
      <c r="BB44" s="28" t="n">
        <v>16</v>
      </c>
      <c r="BC44" s="28" t="n">
        <v>16.5</v>
      </c>
      <c r="BD44" s="28" t="n">
        <v>13.35</v>
      </c>
      <c r="BE44" s="4" t="n">
        <v>0.889333333333333</v>
      </c>
      <c r="BF44" s="28" t="n">
        <v>0</v>
      </c>
      <c r="BG44" s="1" t="n">
        <f aca="false">VLOOKUP($H44,Constants!$I:$K, 2, FALSE())</f>
        <v>0.85</v>
      </c>
      <c r="BH44" s="1" t="n">
        <f aca="false">VLOOKUP($H44,Constants!$I:$K, 3, FALSE())*IF(AND(G44="multiple_unit",AB44&lt;110),0.75,1)</f>
        <v>2.3</v>
      </c>
      <c r="BI44" s="1" t="n">
        <f aca="false">INT(POWER(((Constants!$G$2+$BB44+$BC44+$BD44+$BF44)*$BE44)*$BH44, 1.05))+$BA44</f>
        <v>121</v>
      </c>
      <c r="BJ44" s="1" t="n">
        <f aca="false">INT(POWER((((Constants!$G$1+$BB44+$BC44+$BD44+$BF44)*($BE44))*$BG44),IF($G44="wagon",1,1.2)))+$AZ44</f>
        <v>113</v>
      </c>
      <c r="BK44" s="33" t="n">
        <f aca="false">BI44*IF($G44="wagon",62.5,781.25)</f>
        <v>94531.25</v>
      </c>
      <c r="BL44" s="33" t="n">
        <f aca="false">BJ44*IF($G44="wagon",2.73,81.25)</f>
        <v>9181.25</v>
      </c>
      <c r="BM44" s="28"/>
      <c r="BN44" s="28"/>
      <c r="BO44" s="28"/>
      <c r="BP44" s="28"/>
      <c r="BQ44" s="28"/>
      <c r="BR44" s="28"/>
      <c r="BS44" s="1" t="s">
        <v>287</v>
      </c>
      <c r="BT44" s="1" t="n">
        <v>4</v>
      </c>
      <c r="BY44" s="1" t="str">
        <f aca="false">VLOOKUP(J44,Eras!$A$2:$C$10, 2, TRUE())</f>
        <v>lbr</v>
      </c>
      <c r="BZ44" s="28" t="s">
        <v>321</v>
      </c>
      <c r="CA44" s="1" t="s">
        <v>322</v>
      </c>
      <c r="CB44" s="1" t="str">
        <f aca="false">_xlfn.CONCAT(H44, "_",I44)</f>
        <v>electric_ELRL</v>
      </c>
      <c r="CC44" s="34" t="str">
        <v>{BLACK}Length: {GOLD}0.8 tiles{}</v>
      </c>
      <c r="CD44" s="1" t="str">
        <f aca="false">VLOOKUP($CB44, Constants!$M:$N, 2, FALSE())</f>
        <v>{BLACK}Powered by: {GOLD}25kV AC</v>
      </c>
      <c r="CE44" s="1"/>
      <c r="CF44" s="1" t="s">
        <v>323</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{BLACK}Powered by: {GOLD}25kV AC {}{BLACK}Length: {GOLD}0.8 tiles{}{SILVER}The Class 88 was a proposed re-use of the Class 58 design, dropping the diesel engine for a 25kv Overhead power supply.</v>
      </c>
      <c r="CI44" s="1"/>
      <c r="CJ44" s="1"/>
    </row>
    <row r="45" customFormat="false" ht="13.8" hidden="false" customHeight="false" outlineLevel="0" collapsed="false">
      <c r="A45" s="28" t="s">
        <v>324</v>
      </c>
      <c r="B45" s="28" t="s">
        <v>325</v>
      </c>
      <c r="C45" s="1" t="n">
        <v>390</v>
      </c>
      <c r="D45" s="28"/>
      <c r="E45" s="28" t="n">
        <v>400</v>
      </c>
      <c r="F45" s="28" t="s">
        <v>89</v>
      </c>
      <c r="G45" s="28" t="s">
        <v>145</v>
      </c>
      <c r="H45" s="28" t="s">
        <v>150</v>
      </c>
      <c r="I45" s="28" t="s">
        <v>151</v>
      </c>
      <c r="J45" s="28" t="n">
        <v>1985</v>
      </c>
      <c r="K45" s="28" t="n">
        <v>1994</v>
      </c>
      <c r="L45" s="28"/>
      <c r="M45" s="28"/>
      <c r="N45" s="28" t="n">
        <v>2100</v>
      </c>
      <c r="W45" s="28" t="n">
        <v>120</v>
      </c>
      <c r="Y45" s="28"/>
      <c r="Z45" s="28" t="n">
        <v>192</v>
      </c>
      <c r="AA45" s="4" t="n">
        <f aca="false">IF(AND(W45&gt;0,Z45&gt;0),(Z45/((W45+X45)*10)),"")</f>
        <v>0.16</v>
      </c>
      <c r="AB45" s="28" t="n">
        <v>75</v>
      </c>
      <c r="AC45" s="28" t="n">
        <f aca="false">ROUND(AB45*1.6, 0)</f>
        <v>120</v>
      </c>
      <c r="AD45" s="28"/>
      <c r="AE45" s="28"/>
      <c r="AF45" s="28" t="n">
        <v>18</v>
      </c>
      <c r="AG45" s="28" t="n">
        <v>17</v>
      </c>
      <c r="AH45" s="28"/>
      <c r="AI45" s="28" t="n">
        <v>3.91</v>
      </c>
      <c r="AJ45" s="5" t="n">
        <v>0</v>
      </c>
      <c r="AK45" s="1" t="str">
        <f aca="false">CONCATENATE(VLOOKUP(AL45, '[1]Voxel Sizes'!$A$2:$B$18,2,FALSE()),"x",INT(AH45*15), "x", INT(AI45*15))</f>
        <v>164x0x58</v>
      </c>
      <c r="AL45" s="28" t="n">
        <f aca="false">ROUND(15*((AG45*10)/256),0)</f>
        <v>10</v>
      </c>
      <c r="AM45" s="28"/>
      <c r="AN45" s="1" t="str">
        <f aca="false">CONCATENATE(VLOOKUP(AL45,Constants!$A$2:$C$16,IF(AM45&lt;&gt;"", 3, 2), FALSE()),IF(AM45&lt;&gt;"",CONCATENATE(",",VLOOKUP(AM45,$B:$AN,38,FALSE())),""))</f>
        <v>4,2,4</v>
      </c>
      <c r="AO45" s="28"/>
      <c r="AR45" s="28"/>
      <c r="AS45" s="28"/>
      <c r="AT45" s="28"/>
      <c r="AU45" s="28"/>
      <c r="AV45" s="28"/>
      <c r="AW45" s="28"/>
      <c r="AX45" s="28" t="n">
        <v>30</v>
      </c>
      <c r="AY45" s="6" t="str">
        <f aca="false">IF(L45&lt;&gt;"",MAX(16,(L45-J45)+8),"")</f>
        <v/>
      </c>
      <c r="AZ45" s="28" t="n">
        <v>15</v>
      </c>
      <c r="BA45" s="28" t="n">
        <v>-10</v>
      </c>
      <c r="BB45" s="28" t="n">
        <f aca="false">MIN(AB45/150, 1)*30</f>
        <v>15</v>
      </c>
      <c r="BC45" s="28" t="n">
        <f aca="false">MIN(N45/4000, 1)*20</f>
        <v>10.5</v>
      </c>
      <c r="BD45" s="28" t="n">
        <f aca="false">MIN(Z45/400,1)*20</f>
        <v>9.6</v>
      </c>
      <c r="BE45" s="4" t="n">
        <f aca="false">1-(MAX(J45-1900, 0)/750)</f>
        <v>0.886666666666667</v>
      </c>
      <c r="BF45" s="28" t="n">
        <f aca="false">((MAX($M45,1)*MIN($AJ45/300,1)))*IF(G45="Wagon",50,10)</f>
        <v>0</v>
      </c>
      <c r="BG45" s="1" t="n">
        <f aca="false">VLOOKUP($H45,Constants!$I:$K, 2, FALSE())</f>
        <v>1</v>
      </c>
      <c r="BH45" s="1" t="n">
        <f aca="false">VLOOKUP($H45,Constants!$I:$K, 3, FALSE())*IF(AND(G45="multiple_unit",AB45&lt;110),0.75,1)</f>
        <v>2</v>
      </c>
      <c r="BI45" s="1" t="n">
        <f aca="false">INT(POWER(((Constants!$G$2+$BB45+$BC45+$BD45+$BF45)*$BE45)*$BH45, 1.05))+$BA45</f>
        <v>78</v>
      </c>
      <c r="BJ45" s="1" t="n">
        <f aca="false">INT(POWER((((Constants!$G$1+$BB45+$BC45+$BD45+$BF45)*($BE45))*$BG45),IF($G45="wagon",1,1.2)))+$AZ45</f>
        <v>109</v>
      </c>
      <c r="BK45" s="33" t="n">
        <f aca="false">BI45*IF($G45="wagon",62.5,781.25)</f>
        <v>60937.5</v>
      </c>
      <c r="BL45" s="33" t="n">
        <f aca="false">BJ45*IF($G45="wagon",2.73,81.25)</f>
        <v>8856.25</v>
      </c>
      <c r="BM45" s="28"/>
      <c r="BN45" s="28"/>
      <c r="BO45" s="28"/>
      <c r="BP45" s="28"/>
      <c r="BQ45" s="28"/>
      <c r="BR45" s="28"/>
      <c r="BS45" s="1" t="s">
        <v>287</v>
      </c>
      <c r="BT45" s="1" t="n">
        <v>6</v>
      </c>
      <c r="BY45" s="1" t="str">
        <f aca="false">VLOOKUP(J45,[1]Eras!$A$2:$C$10, 2, TRUE())</f>
        <v>lbr</v>
      </c>
      <c r="BZ45" s="28" t="s">
        <v>321</v>
      </c>
      <c r="CA45" s="1" t="str">
        <f aca="false">CONCATENATE(BY45,"_",BZ45)</f>
        <v>lbr_Freight</v>
      </c>
      <c r="CB45" s="1" t="str">
        <f aca="false">_xlfn.CONCAT(H45, "_",I45)</f>
        <v>diesel_RAIL</v>
      </c>
      <c r="CC45" s="34" t="str">
        <v>{BLACK}Length: {GOLD}0.8 tiles{}</v>
      </c>
      <c r="CD45" s="1" t="str">
        <f aca="false">VLOOKUP($CB45, Constants!$M:$N, 2, FALSE())</f>
        <v>{BLACK}Powered by: {GOLD}Diesel</v>
      </c>
      <c r="CE45" s="1" t="str">
        <f aca="false">IF(M45&gt;1,_xlfn.CONCAT("{BLACK}Cars: {GOLD}", M45),"")</f>
        <v/>
      </c>
      <c r="CF45" s="1" t="s">
        <v>326</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45" s="1"/>
      <c r="CJ45" s="1"/>
    </row>
    <row r="46" s="18" customFormat="true" ht="13.8" hidden="false" customHeight="false" outlineLevel="0" collapsed="false">
      <c r="A46" s="18" t="s">
        <v>327</v>
      </c>
      <c r="B46" s="18" t="s">
        <v>328</v>
      </c>
      <c r="C46" s="19" t="n">
        <v>400</v>
      </c>
      <c r="E46" s="18" t="n">
        <v>410</v>
      </c>
      <c r="F46" s="18" t="s">
        <v>89</v>
      </c>
      <c r="G46" s="18" t="s">
        <v>90</v>
      </c>
      <c r="H46" s="18" t="s">
        <v>317</v>
      </c>
      <c r="I46" s="18" t="s">
        <v>329</v>
      </c>
      <c r="J46" s="18" t="n">
        <v>1992</v>
      </c>
      <c r="K46" s="18" t="n">
        <v>1996</v>
      </c>
      <c r="M46" s="18" t="n">
        <v>20</v>
      </c>
      <c r="N46" s="18" t="n">
        <v>16400</v>
      </c>
      <c r="O46" s="20" t="n">
        <v>4600</v>
      </c>
      <c r="P46" s="21"/>
      <c r="Q46" s="21"/>
      <c r="R46" s="21"/>
      <c r="S46" s="21"/>
      <c r="T46" s="21"/>
      <c r="U46" s="21"/>
      <c r="V46" s="21"/>
      <c r="W46" s="18" t="n">
        <v>752</v>
      </c>
      <c r="X46" s="20"/>
      <c r="Y46" s="18" t="n">
        <v>4</v>
      </c>
      <c r="Z46" s="18" t="n">
        <v>220</v>
      </c>
      <c r="AA46" s="22" t="n">
        <f aca="false">IF(AND(W46&gt;0,Z46&gt;0),(Z46/((W46+X46)*10)),"")</f>
        <v>0.0292553191489362</v>
      </c>
      <c r="AB46" s="18" t="n">
        <v>186</v>
      </c>
      <c r="AC46" s="18" t="n">
        <f aca="false">ROUND(AB46*1.6, 0)</f>
        <v>298</v>
      </c>
      <c r="AF46" s="18" t="n">
        <v>22.15</v>
      </c>
      <c r="AG46" s="18" t="n">
        <v>22.15</v>
      </c>
      <c r="AH46" s="18" t="n">
        <v>2.81</v>
      </c>
      <c r="AJ46" s="23" t="n">
        <v>35</v>
      </c>
      <c r="AK46" s="18" t="str">
        <f aca="false">CONCATENATE(VLOOKUP(AL46, '[1]Voxel Sizes'!$A$2:$B$18,2,FALSE()),"x",INT(AH46*15), "x", INT(AI46*15))</f>
        <v>214x42x0</v>
      </c>
      <c r="AL46" s="18" t="n">
        <f aca="false">ROUND(15*((AG46*10)/256),0)</f>
        <v>13</v>
      </c>
      <c r="AN46" s="1" t="str">
        <f aca="false">CONCATENATE(VLOOKUP(AL46,Constants!$A$2:$C$16,IF(AM46&lt;&gt;"", 3, 2), FALSE()),IF(AM46&lt;&gt;"",CONCATENATE(",",VLOOKUP(AM46,$B:$AN,38,FALSE())),""))</f>
        <v>4,5,4</v>
      </c>
      <c r="AP46" s="35" t="s">
        <v>330</v>
      </c>
      <c r="AQ46" s="35" t="s">
        <v>331</v>
      </c>
      <c r="AR46" s="18" t="s">
        <v>332</v>
      </c>
      <c r="AS46" s="18" t="s">
        <v>333</v>
      </c>
      <c r="AT46" s="18" t="s">
        <v>334</v>
      </c>
      <c r="AX46" s="18" t="n">
        <v>25</v>
      </c>
      <c r="AY46" s="25" t="str">
        <f aca="false">IF(L46&lt;&gt;"",MAX(16,(L46-J46)+8),"")</f>
        <v/>
      </c>
      <c r="BB46" s="18" t="n">
        <f aca="false">MIN(AB46/150, 1)*30</f>
        <v>30</v>
      </c>
      <c r="BC46" s="18" t="n">
        <f aca="false">MIN(N46/4000, 1)*20</f>
        <v>20</v>
      </c>
      <c r="BD46" s="18" t="n">
        <f aca="false">MIN(Z46/400,1)*20</f>
        <v>11</v>
      </c>
      <c r="BE46" s="22" t="n">
        <f aca="false">1-(MAX(J46-1900, 0)/750)</f>
        <v>0.877333333333333</v>
      </c>
      <c r="BF46" s="18" t="n">
        <f aca="false">((MAX($M46,1)*MIN($AJ46/300,1)))*IF(G46="Wagon",50,10)</f>
        <v>23.3333333333333</v>
      </c>
      <c r="BG46" s="1" t="n">
        <f aca="false">VLOOKUP($H46,Constants!$I:$K, 2, FALSE())</f>
        <v>0.85</v>
      </c>
      <c r="BH46" s="1" t="n">
        <f aca="false">VLOOKUP($H46,Constants!$I:$K, 3, FALSE())*IF(AND(G46="multiple_unit",AB46&lt;110),0.75,1)</f>
        <v>2.4</v>
      </c>
      <c r="BI46" s="18" t="n">
        <f aca="false">INT(POWER((([1]Constants!$G$2+$BB46+$BC46+$BD46+$BF46)*$BE46)*$BH46, 1.05))+$BA46</f>
        <v>244</v>
      </c>
      <c r="BJ46" s="18" t="n">
        <f aca="false">INT(POWER(((([1]Constants!$G$1+$BB46+$BC46+$BD46+$BF46)*($BE46))*$BG46),IF($G46="wagon",1,1.2)))+$AZ46</f>
        <v>175</v>
      </c>
      <c r="BK46" s="26" t="n">
        <f aca="false">BI46*IF($G46="wagon",62.5,781.25)</f>
        <v>190625</v>
      </c>
      <c r="BL46" s="26" t="n">
        <f aca="false">BJ46*IF($G46="wagon",2.73,81.25)</f>
        <v>14218.75</v>
      </c>
      <c r="BS46" s="18" t="s">
        <v>206</v>
      </c>
      <c r="BT46" s="18" t="n">
        <v>11</v>
      </c>
      <c r="BU46" s="18" t="n">
        <v>232</v>
      </c>
      <c r="BX46" s="18" t="s">
        <v>95</v>
      </c>
      <c r="BY46" s="18" t="str">
        <f aca="false">VLOOKUP(J46,[1]Eras!$A$2:$C$10, 2, TRUE())</f>
        <v>lbr</v>
      </c>
      <c r="BZ46" s="18" t="s">
        <v>224</v>
      </c>
      <c r="CA46" s="18" t="str">
        <f aca="false">CONCATENATE(BY46,"_",BZ46)</f>
        <v>lbr_EMU (Express)</v>
      </c>
      <c r="CB46" s="18" t="str">
        <f aca="false">_xlfn.CONCAT(H46, "_",I46)</f>
        <v>dual_electric_DUAL_POWER</v>
      </c>
      <c r="CC46" s="27" t="str">
        <f aca="false" t="array" ref="CC46:CC46">_xlfn.CONCAT("{BLACK}Length: {GOLD}", TEXT(ROUNDUP(IF(AQ46&lt;&gt;"",SUM(VALUE(_xlfn.TEXTSPLIT(AQ46, ","))), SUM(VALUE(_xlfn.TEXTSPLIT(AN46, ",")))*IF(M46, M46, 1))/16, 1), "#,##0.0"), " tiles{}")</f>
        <v>{BLACK}Length: {GOLD}14.5 tiles{}</v>
      </c>
      <c r="CD46" s="18" t="str">
        <f aca="false">VLOOKUP($CB46, [1]Constants!$M$1:$N$1048576, 2, FALSE())</f>
        <v/>
      </c>
      <c r="CE46" s="18" t="str">
        <f aca="false">IF(M46&gt;1,_xlfn.CONCAT("{BLACK}Cars: {GOLD}", M46),"")</f>
        <v>{BLACK}Cars: {GOLD}20</v>
      </c>
      <c r="CF46" s="18" t="s">
        <v>335</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{YELLOW}25% bonus for long distance travel{}</v>
      </c>
      <c r="CH46" s="1" t="str">
        <f aca="false">_xlfn.CONCAT(CD46,IF(CD46 &lt;&gt; "", " ", ""),CE46,IF(OR(CE46&lt;&gt;"", CD46&lt;&gt;""), "{}",""), CC46, CG46,"{SILVER}", CF46)</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7" s="18" customFormat="true" ht="13.8" hidden="false" customHeight="false" outlineLevel="0" collapsed="false">
      <c r="A47" s="18" t="s">
        <v>336</v>
      </c>
      <c r="B47" s="18" t="s">
        <v>337</v>
      </c>
      <c r="C47" s="19" t="n">
        <v>401</v>
      </c>
      <c r="D47" s="18" t="n">
        <v>400</v>
      </c>
      <c r="E47" s="18" t="n">
        <v>411</v>
      </c>
      <c r="F47" s="18" t="s">
        <v>89</v>
      </c>
      <c r="G47" s="18" t="s">
        <v>90</v>
      </c>
      <c r="H47" s="18" t="s">
        <v>317</v>
      </c>
      <c r="I47" s="18" t="s">
        <v>329</v>
      </c>
      <c r="J47" s="18" t="n">
        <v>1992</v>
      </c>
      <c r="K47" s="18" t="n">
        <v>1996</v>
      </c>
      <c r="M47" s="18" t="n">
        <v>16</v>
      </c>
      <c r="N47" s="18" t="n">
        <v>16400</v>
      </c>
      <c r="O47" s="20" t="n">
        <v>4600</v>
      </c>
      <c r="P47" s="21"/>
      <c r="Q47" s="21"/>
      <c r="R47" s="21"/>
      <c r="S47" s="21"/>
      <c r="T47" s="21"/>
      <c r="U47" s="21"/>
      <c r="V47" s="21"/>
      <c r="W47" s="18" t="n">
        <v>665</v>
      </c>
      <c r="X47" s="20"/>
      <c r="Y47" s="18" t="n">
        <v>4</v>
      </c>
      <c r="Z47" s="18" t="n">
        <v>220</v>
      </c>
      <c r="AA47" s="22" t="n">
        <f aca="false">IF(AND(W47&gt;0,Z47&gt;0),(Z47/((W47+X47)*10)),"")</f>
        <v>0.0330827067669173</v>
      </c>
      <c r="AB47" s="18" t="n">
        <v>186</v>
      </c>
      <c r="AC47" s="18" t="n">
        <f aca="false">ROUND(AB47*1.6, 0)</f>
        <v>298</v>
      </c>
      <c r="AF47" s="18" t="n">
        <v>22.15</v>
      </c>
      <c r="AG47" s="18" t="n">
        <v>22.15</v>
      </c>
      <c r="AH47" s="18" t="n">
        <v>2.81</v>
      </c>
      <c r="AJ47" s="23" t="n">
        <v>35</v>
      </c>
      <c r="AK47" s="18" t="str">
        <f aca="false">CONCATENATE(VLOOKUP(AL47, '[1]Voxel Sizes'!$A$2:$B$18,2,FALSE()),"x",INT(AH47*15), "x", INT(AI47*15))</f>
        <v>214x42x0</v>
      </c>
      <c r="AL47" s="18" t="n">
        <f aca="false">ROUND(15*((AG47*10)/256),0)</f>
        <v>13</v>
      </c>
      <c r="AN47" s="1" t="str">
        <f aca="false">CONCATENATE(VLOOKUP(AL47,Constants!$A$2:$C$16,IF(AM47&lt;&gt;"", 3, 2), FALSE()),IF(AM47&lt;&gt;"",CONCATENATE(",",VLOOKUP(AM47,$B:$AN,38,FALSE())),""))</f>
        <v>4,5,4</v>
      </c>
      <c r="AP47" s="35" t="s">
        <v>338</v>
      </c>
      <c r="AQ47" s="35" t="s">
        <v>339</v>
      </c>
      <c r="AR47" s="18" t="s">
        <v>340</v>
      </c>
      <c r="AS47" s="18" t="s">
        <v>341</v>
      </c>
      <c r="AT47" s="18" t="s">
        <v>342</v>
      </c>
      <c r="AX47" s="18" t="n">
        <v>25</v>
      </c>
      <c r="AY47" s="25" t="str">
        <f aca="false">IF(L47&lt;&gt;"",MAX(16,(L47-J47)+8),"")</f>
        <v/>
      </c>
      <c r="BB47" s="18" t="n">
        <f aca="false">MIN(AB47/150, 1)*30</f>
        <v>30</v>
      </c>
      <c r="BC47" s="18" t="n">
        <f aca="false">MIN(N47/4000, 1)*20</f>
        <v>20</v>
      </c>
      <c r="BD47" s="18" t="n">
        <f aca="false">MIN(Z47/400,1)*20</f>
        <v>11</v>
      </c>
      <c r="BE47" s="22" t="n">
        <f aca="false">1-(MAX(J47-1900, 0)/750)</f>
        <v>0.877333333333333</v>
      </c>
      <c r="BF47" s="18" t="n">
        <f aca="false">((MAX($M47,1)*MIN($AJ47/300,1)))*IF(G47="Wagon",50,10)</f>
        <v>18.6666666666667</v>
      </c>
      <c r="BG47" s="1" t="n">
        <f aca="false">VLOOKUP($H47,Constants!$I:$K, 2, FALSE())</f>
        <v>0.85</v>
      </c>
      <c r="BH47" s="1" t="n">
        <f aca="false">VLOOKUP($H47,Constants!$I:$K, 3, FALSE())*IF(AND(G47="multiple_unit",AB47&lt;110),0.75,1)</f>
        <v>2.4</v>
      </c>
      <c r="BI47" s="18" t="n">
        <f aca="false">INT(POWER((([1]Constants!$G$2+$BB47+$BC47+$BD47+$BF47)*$BE47)*$BH47, 1.05))+$BA47</f>
        <v>231</v>
      </c>
      <c r="BJ47" s="18" t="n">
        <f aca="false">INT(POWER(((([1]Constants!$G$1+$BB47+$BC47+$BD47+$BF47)*($BE47))*$BG47),IF($G47="wagon",1,1.2)))+$AZ47</f>
        <v>165</v>
      </c>
      <c r="BK47" s="26" t="n">
        <f aca="false">BI47*IF($G47="wagon",62.5,781.25)</f>
        <v>180468.75</v>
      </c>
      <c r="BL47" s="26" t="n">
        <f aca="false">BJ47*IF($G47="wagon",2.73,81.25)</f>
        <v>13406.25</v>
      </c>
      <c r="BS47" s="18" t="s">
        <v>206</v>
      </c>
      <c r="BT47" s="18" t="n">
        <v>11</v>
      </c>
      <c r="BU47" s="18" t="n">
        <v>232</v>
      </c>
      <c r="BX47" s="18" t="s">
        <v>95</v>
      </c>
      <c r="BY47" s="18" t="str">
        <f aca="false">VLOOKUP(J47,[1]Eras!$A$2:$C$10, 2, TRUE())</f>
        <v>lbr</v>
      </c>
      <c r="BZ47" s="18" t="s">
        <v>224</v>
      </c>
      <c r="CA47" s="18" t="str">
        <f aca="false">CONCATENATE(BY47,"_",BZ47)</f>
        <v>lbr_EMU (Express)</v>
      </c>
      <c r="CB47" s="18" t="str">
        <f aca="false">_xlfn.CONCAT(H47, "_",I47)</f>
        <v>dual_electric_DUAL_POWER</v>
      </c>
      <c r="CC47" s="27" t="str">
        <f aca="false" t="array" ref="CC47:CC47">_xlfn.CONCAT("{BLACK}Length: {GOLD}", TEXT(ROUNDUP(IF(AQ47&lt;&gt;"",SUM(VALUE(_xlfn.TEXTSPLIT(AQ47, ","))), SUM(VALUE(_xlfn.TEXTSPLIT(AN47, ",")))*IF(M47, M47, 1))/16, 1), "#,##0.0"), " tiles{}")</f>
        <v>{BLACK}Length: {GOLD}11.8 tiles{}</v>
      </c>
      <c r="CD47" s="18" t="str">
        <f aca="false">VLOOKUP($CB47, [1]Constants!$M$1:$N$1048576, 2, FALSE())</f>
        <v/>
      </c>
      <c r="CE47" s="18" t="str">
        <f aca="false">IF(M47&gt;1,_xlfn.CONCAT("{BLACK}Cars: {GOLD}", M47),"")</f>
        <v>{BLACK}Cars: {GOLD}16</v>
      </c>
      <c r="CF47" s="18" t="s">
        <v>343</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{YELLOW}25% bonus for long distance travel{}</v>
      </c>
      <c r="CH47" s="1" t="str">
        <f aca="false">_xlfn.CONCAT(CD47,IF(CD47 &lt;&gt; "", " ", ""),CE47,IF(OR(CE47&lt;&gt;"", CD47&lt;&gt;""), "{}",""), CC47, CG47,"{SILVER}", CF47)</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48" s="18" customFormat="true" ht="13.8" hidden="false" customHeight="false" outlineLevel="0" collapsed="false">
      <c r="A48" s="18" t="s">
        <v>344</v>
      </c>
      <c r="B48" s="18" t="s">
        <v>345</v>
      </c>
      <c r="C48" s="19" t="n">
        <v>471</v>
      </c>
      <c r="E48" s="18" t="n">
        <v>470</v>
      </c>
      <c r="F48" s="18" t="s">
        <v>89</v>
      </c>
      <c r="G48" s="18" t="s">
        <v>145</v>
      </c>
      <c r="H48" s="18" t="s">
        <v>150</v>
      </c>
      <c r="I48" s="18" t="s">
        <v>151</v>
      </c>
      <c r="J48" s="18" t="n">
        <v>1994</v>
      </c>
      <c r="K48" s="18" t="n">
        <v>1965</v>
      </c>
      <c r="N48" s="18" t="n">
        <v>1750</v>
      </c>
      <c r="O48" s="20"/>
      <c r="P48" s="21"/>
      <c r="Q48" s="21"/>
      <c r="R48" s="21"/>
      <c r="S48" s="21"/>
      <c r="T48" s="21"/>
      <c r="U48" s="21"/>
      <c r="V48" s="21"/>
      <c r="W48" s="18" t="n">
        <v>105</v>
      </c>
      <c r="X48" s="20"/>
      <c r="Z48" s="18" t="n">
        <v>247</v>
      </c>
      <c r="AA48" s="22" t="n">
        <f aca="false">IF(AND(W48&gt;0,Z48&gt;0),(Z48/((W48+X48)*10)),"")</f>
        <v>0.235238095238095</v>
      </c>
      <c r="AB48" s="18" t="n">
        <v>90</v>
      </c>
      <c r="AC48" s="18" t="n">
        <f aca="false">ROUND(AB48*1.6, 0)</f>
        <v>144</v>
      </c>
      <c r="AF48" s="18" t="n">
        <v>18.75</v>
      </c>
      <c r="AG48" s="18" t="n">
        <v>18.75</v>
      </c>
      <c r="AH48" s="18" t="n">
        <v>2.71</v>
      </c>
      <c r="AI48" s="18" t="n">
        <v>3.89</v>
      </c>
      <c r="AJ48" s="23" t="n">
        <v>0</v>
      </c>
      <c r="AK48" s="18" t="str">
        <f aca="false">CONCATENATE(VLOOKUP(AL48, '[1]Voxel Sizes'!$A$2:$B$18,2,FALSE()),"x",INT(AH48*15), "x", INT(AI48*15))</f>
        <v>186x40x58</v>
      </c>
      <c r="AL48" s="18" t="n">
        <f aca="false">ROUND(15*((AG48*10)/256),0)</f>
        <v>11</v>
      </c>
      <c r="AN48" s="1" t="str">
        <f aca="false">CONCATENATE(VLOOKUP(AL48,Constants!$A$2:$C$16,IF(AM48&lt;&gt;"", 3, 2), FALSE()),IF(AM48&lt;&gt;"",CONCATENATE(",",VLOOKUP(AM48,$B:$AN,38,FALSE())),""))</f>
        <v>4,3,4</v>
      </c>
      <c r="AP48" s="35"/>
      <c r="AQ48" s="35"/>
      <c r="AX48" s="18" t="n">
        <v>40</v>
      </c>
      <c r="AY48" s="25" t="str">
        <f aca="false">IF(L48&lt;&gt;"",MAX(16,(L48-J48)+8),"")</f>
        <v/>
      </c>
      <c r="BA48" s="18" t="n">
        <v>-30</v>
      </c>
      <c r="BB48" s="18" t="n">
        <f aca="false">MIN(AB48/150, 1)*30</f>
        <v>18</v>
      </c>
      <c r="BC48" s="18" t="n">
        <f aca="false">MIN(N48/4000, 1)*20</f>
        <v>8.75</v>
      </c>
      <c r="BD48" s="18" t="n">
        <f aca="false">MIN(Z48/400,1)*20</f>
        <v>12.35</v>
      </c>
      <c r="BE48" s="22" t="n">
        <f aca="false">1-(MAX(J48-1900, 0)/750)</f>
        <v>0.874666666666667</v>
      </c>
      <c r="BF48" s="18" t="n">
        <f aca="false">((MAX($M48,1)*MIN($AJ48/300,1)))*IF(G48="Wagon",50,10)</f>
        <v>0</v>
      </c>
      <c r="BG48" s="1" t="n">
        <f aca="false">VLOOKUP($H48,Constants!$I:$K, 2, FALSE())</f>
        <v>1</v>
      </c>
      <c r="BH48" s="1" t="n">
        <f aca="false">VLOOKUP($H48,Constants!$I:$K, 3, FALSE())*IF(AND(G48="multiple_unit",AB48&lt;110),0.75,1)</f>
        <v>2</v>
      </c>
      <c r="BI48" s="18" t="n">
        <f aca="false">INT(POWER((([1]Constants!$G$2+$BB48+$BC48+$BD48+$BF48)*$BE48)*$BH48, 1.05))+$BA48</f>
        <v>65</v>
      </c>
      <c r="BJ48" s="18" t="n">
        <f aca="false">INT(POWER(((([1]Constants!$G$1+$BB48+$BC48+$BD48+$BF48)*($BE48))*$BG48),IF($G48="wagon",1,1.2)))+$AZ48</f>
        <v>102</v>
      </c>
      <c r="BK48" s="26" t="n">
        <f aca="false">BI48*IF($G48="wagon",62.5,781.25)</f>
        <v>50781.25</v>
      </c>
      <c r="BL48" s="26" t="n">
        <f aca="false">BJ48*IF($G48="wagon",2.73,81.25)</f>
        <v>8287.5</v>
      </c>
      <c r="BT48" s="18" t="n">
        <v>1</v>
      </c>
      <c r="BY48" s="18" t="str">
        <f aca="false">VLOOKUP(J48,[1]Eras!$A$2:$C$10, 2, TRUE())</f>
        <v>lbr</v>
      </c>
      <c r="BZ48" s="18" t="s">
        <v>321</v>
      </c>
      <c r="CA48" s="18" t="str">
        <f aca="false">CONCATENATE(BY48,"_",BZ48)</f>
        <v>lbr_Freight</v>
      </c>
      <c r="CB48" s="18" t="str">
        <f aca="false">_xlfn.CONCAT(H48, "_",I48)</f>
        <v>diesel_RAIL</v>
      </c>
      <c r="CC48" s="27" t="str">
        <f aca="false" t="array" ref="CC48:CC48">_xlfn.CONCAT("{BLACK}Length: {GOLD}", TEXT(ROUNDUP(IF(AQ48&lt;&gt;"",SUM(VALUE(_xlfn.TEXTSPLIT(AQ48, ","))), SUM(VALUE(_xlfn.TEXTSPLIT(AN48, ",")))*IF(M48, M48, 1))/16, 1), "#,##0.0"), " tiles{}")</f>
        <v>{BLACK}Length: {GOLD}0.7 tiles{}</v>
      </c>
      <c r="CD48" s="1" t="str">
        <f aca="false">VLOOKUP($CB48, Constants!$M:$N, 2, FALSE())</f>
        <v>{BLACK}Powered by: {GOLD}Diesel</v>
      </c>
      <c r="CE48" s="18" t="str">
        <f aca="false">IF(M48&gt;1,_xlfn.CONCAT("{BLACK}Cars: {GOLD}", M48),"")</f>
        <v/>
      </c>
      <c r="CF48" s="18" t="s">
        <v>346</v>
      </c>
      <c r="CG48" s="1"/>
      <c r="CH48" s="1" t="str">
        <f aca="false">_xlfn.CONCAT(CD48,IF(CD48 &lt;&gt; "", " ", ""),CE48,IF(OR(CE48&lt;&gt;"", CD48&lt;&gt;""), "{}",""), CC48, CG48,"{SILVER}", CF48)</f>
        <v>{BLACK}Powered by: {GOLD}Diesel {}{BLACK}Length: {GOLD}0.7 tiles{}{SILVER}Originally to power the “Nightstar” european sleeper services away from electrified lines, this sub-class of 12 locomotives mostly saw use as rescue and freight locomotives with other operators.</v>
      </c>
    </row>
    <row r="49" customFormat="false" ht="13.8" hidden="false" customHeight="false" outlineLevel="0" collapsed="false">
      <c r="A49" s="28" t="s">
        <v>347</v>
      </c>
      <c r="B49" s="28" t="s">
        <v>348</v>
      </c>
      <c r="C49" s="1" t="n">
        <v>579</v>
      </c>
      <c r="D49" s="1" t="n">
        <v>580</v>
      </c>
      <c r="E49" s="1" t="n">
        <v>476</v>
      </c>
      <c r="F49" s="1" t="s">
        <v>89</v>
      </c>
      <c r="G49" s="1" t="s">
        <v>349</v>
      </c>
      <c r="H49" s="1" t="s">
        <v>150</v>
      </c>
      <c r="I49" s="1" t="s">
        <v>151</v>
      </c>
      <c r="J49" s="1" t="n">
        <v>1999</v>
      </c>
      <c r="M49" s="1" t="n">
        <v>1</v>
      </c>
      <c r="N49" s="1" t="n">
        <v>710</v>
      </c>
      <c r="W49" s="1" t="n">
        <v>34</v>
      </c>
      <c r="Y49" s="1" t="n">
        <v>4</v>
      </c>
      <c r="Z49" s="1" t="n">
        <v>106</v>
      </c>
      <c r="AA49" s="4" t="n">
        <f aca="false">IF(AND(W49&gt;0,Z49&gt;0),(Z49/((W49+X49)*10)),"")</f>
        <v>0.311764705882353</v>
      </c>
      <c r="AB49" s="1" t="n">
        <v>75</v>
      </c>
      <c r="AC49" s="1" t="n">
        <f aca="false">ROUND(AB49*1.6, 0)</f>
        <v>120</v>
      </c>
      <c r="AF49" s="1" t="n">
        <v>20.2</v>
      </c>
      <c r="AG49" s="1" t="n">
        <v>20</v>
      </c>
      <c r="AH49" s="1" t="n">
        <v>2.82</v>
      </c>
      <c r="AI49" s="1" t="n">
        <v>3.97</v>
      </c>
      <c r="AJ49" s="5" t="n">
        <v>40</v>
      </c>
      <c r="AK49" s="1" t="str">
        <f aca="false">CONCATENATE(VLOOKUP(AL49, '[1]Voxel Sizes'!$A$2:$B$18,2,FALSE()),"x",INT(AH49*15), "x", INT(AI49*15))</f>
        <v>198x42x59</v>
      </c>
      <c r="AL49" s="1" t="n">
        <f aca="false">ROUND(15*((AG49*10)/256),0)</f>
        <v>12</v>
      </c>
      <c r="AN49" s="1" t="str">
        <f aca="false">CONCATENATE(VLOOKUP(AL49,Constants!$A$2:$C$16,IF(AM49&lt;&gt;"", 3, 2), FALSE()),IF(AM49&lt;&gt;"",CONCATENATE(",",VLOOKUP(AM49,$B:$AN,38,FALSE())),""))</f>
        <v>4,4,4</v>
      </c>
      <c r="AO49" s="1" t="n">
        <v>0</v>
      </c>
      <c r="AR49" s="1" t="s">
        <v>350</v>
      </c>
      <c r="AT49" s="1" t="s">
        <v>112</v>
      </c>
      <c r="AU49" s="1" t="s">
        <v>350</v>
      </c>
      <c r="AX49" s="1" t="n">
        <v>35</v>
      </c>
      <c r="AY49" s="6" t="str">
        <f aca="false">IF(L49&lt;&gt;"",MAX(16,(L49-J49)+8),"")</f>
        <v/>
      </c>
      <c r="BB49" s="1" t="n">
        <f aca="false">MIN(AB49/150, 1)*30</f>
        <v>15</v>
      </c>
      <c r="BC49" s="1" t="n">
        <f aca="false">MIN(N49/4000, 1)*20</f>
        <v>3.55</v>
      </c>
      <c r="BD49" s="1" t="n">
        <f aca="false">MIN(Z49/400,1)*20</f>
        <v>5.3</v>
      </c>
      <c r="BE49" s="4" t="n">
        <f aca="false">1-(MAX(J49-1900, 0)/750)</f>
        <v>0.868</v>
      </c>
      <c r="BF49" s="1" t="n">
        <f aca="false">((MAX($M49,1)*MIN($AJ49/300,1)))*IF(G49="Wagon",50,10)</f>
        <v>1.33333333333333</v>
      </c>
      <c r="BG49" s="1" t="n">
        <f aca="false">VLOOKUP($H49,Constants!$I:$K, 2, FALSE())</f>
        <v>1</v>
      </c>
      <c r="BH49" s="1" t="n">
        <f aca="false">VLOOKUP($H49,Constants!$I:$K, 3, FALSE())*IF(AND(G49="multiple_unit",AB49&lt;110),0.75,1)</f>
        <v>2</v>
      </c>
      <c r="BI49" s="1" t="n">
        <f aca="false">INT(POWER((([1]Constants!$G$2+$BB49+$BC49+$BD49+$BF49)*$BE49)*$BH49, 1.05))+$BA49</f>
        <v>63</v>
      </c>
      <c r="BJ49" s="1" t="n">
        <f aca="false">INT(POWER(((([1]Constants!$G$1+$BB49+$BC49+$BD49+$BF49)*($BE49))*$BG49),IF($G49="wagon",1,1.2)))+$AZ49</f>
        <v>70</v>
      </c>
      <c r="BK49" s="33" t="n">
        <f aca="false">BI49*IF($G49="wagon",62.5,781.25)</f>
        <v>49218.75</v>
      </c>
      <c r="BL49" s="33" t="n">
        <f aca="false">BJ49*IF($G49="wagon",2.73,81.25)</f>
        <v>5687.5</v>
      </c>
      <c r="BT49" s="1" t="n">
        <v>6</v>
      </c>
      <c r="BU49" s="1" t="n">
        <v>185</v>
      </c>
      <c r="BV49" s="19" t="s">
        <v>351</v>
      </c>
      <c r="BW49" s="19"/>
      <c r="BX49" s="1" t="s">
        <v>352</v>
      </c>
      <c r="BY49" s="1" t="str">
        <f aca="false">VLOOKUP(J49,[1]Eras!$A$2:$C$10, 2, TRUE())</f>
        <v>prv</v>
      </c>
      <c r="BZ49" s="28" t="s">
        <v>321</v>
      </c>
      <c r="CA49" s="1" t="str">
        <f aca="false">CONCATENATE(BY49,"_",BZ49)</f>
        <v>prv_Freight</v>
      </c>
      <c r="CB49" s="1" t="str">
        <f aca="false">_xlfn.CONCAT(H49, "_",I49)</f>
        <v>diesel_RAIL</v>
      </c>
      <c r="CC49" s="32" t="str">
        <f aca="false" t="array" ref="CC49:CC49">_xlfn.CONCAT("{BLACK}Length: {GOLD}", TEXT(ROUNDUP(IF(AQ49&lt;&gt;"",SUM(VALUE(_xlfn.TEXTSPLIT(AQ49, ","))), SUM(VALUE(_xlfn.TEXTSPLIT(AN49, ",")))*IF(M49, M49, 1))/16, 1), "#,##0.0"), " tiles{}")</f>
        <v>{BLACK}Length: {GOLD}0.8 tiles{}</v>
      </c>
      <c r="CD49" s="1" t="str">
        <f aca="false">VLOOKUP($CB49, Constants!$M:$N, 2, FALSE())</f>
        <v>{BLACK}Powered by: {GOLD}Diesel</v>
      </c>
      <c r="CE49" s="1" t="str">
        <f aca="false">IF(M49&gt;1,_xlfn.CONCAT("{BLACK}Cars: {GOLD}", M49),"")</f>
        <v/>
      </c>
      <c r="CF49" s="1" t="s">
        <v>353</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
      </c>
      <c r="CH49" s="1" t="str">
        <f aca="false">_xlfn.CONCAT(CD49,IF(CD49 &lt;&gt; "", " ", ""),CE49,IF(OR(CE49&lt;&gt;"", CD49&lt;&gt;""), "{}",""), CC49, CG49,"{SILVER}", CF49)</f>
        <v>{BLACK}Powered by: {GOLD}Diesel {}{BLACK}Length: {GOLD}0.8 tiles{}{SILVER}The Windhoff MPV units were mainly used for Departmental service, notably in the iconic Rail Head Treatment trains, but trials were made in freight service.</v>
      </c>
      <c r="CI49" s="1"/>
      <c r="CJ49" s="1"/>
    </row>
    <row r="50" customFormat="false" ht="13.8" hidden="false" customHeight="false" outlineLevel="0" collapsed="false">
      <c r="A50" s="28" t="s">
        <v>354</v>
      </c>
      <c r="B50" s="28" t="s">
        <v>355</v>
      </c>
      <c r="C50" s="1" t="n">
        <v>580</v>
      </c>
      <c r="E50" s="1" t="n">
        <v>472</v>
      </c>
      <c r="F50" s="1" t="s">
        <v>89</v>
      </c>
      <c r="G50" s="1" t="s">
        <v>349</v>
      </c>
      <c r="H50" s="1" t="s">
        <v>150</v>
      </c>
      <c r="I50" s="1" t="s">
        <v>151</v>
      </c>
      <c r="J50" s="1" t="n">
        <v>1999</v>
      </c>
      <c r="M50" s="1" t="n">
        <v>2</v>
      </c>
      <c r="N50" s="1" t="n">
        <v>710</v>
      </c>
      <c r="W50" s="1" t="n">
        <v>61</v>
      </c>
      <c r="Y50" s="1" t="n">
        <v>4</v>
      </c>
      <c r="Z50" s="1" t="n">
        <v>106</v>
      </c>
      <c r="AA50" s="4" t="n">
        <f aca="false">IF(AND(W50&gt;0,Z50&gt;0),(Z50/((W50+X50)*10)),"")</f>
        <v>0.173770491803279</v>
      </c>
      <c r="AB50" s="1" t="n">
        <v>75</v>
      </c>
      <c r="AC50" s="1" t="n">
        <f aca="false">ROUND(AB50*1.6, 0)</f>
        <v>120</v>
      </c>
      <c r="AF50" s="1" t="n">
        <v>20.2</v>
      </c>
      <c r="AG50" s="1" t="n">
        <v>20</v>
      </c>
      <c r="AH50" s="1" t="n">
        <v>2.82</v>
      </c>
      <c r="AI50" s="1" t="n">
        <v>3.97</v>
      </c>
      <c r="AJ50" s="5" t="n">
        <v>40</v>
      </c>
      <c r="AK50" s="1" t="str">
        <f aca="false">CONCATENATE(VLOOKUP(AL50, '[1]Voxel Sizes'!$A$2:$B$18,2,FALSE()),"x",INT(AH50*15), "x", INT(AI50*15))</f>
        <v>198x42x59</v>
      </c>
      <c r="AL50" s="1" t="n">
        <f aca="false">ROUND(15*((AG50*10)/256),0)</f>
        <v>12</v>
      </c>
      <c r="AN50" s="1" t="str">
        <f aca="false">CONCATENATE(VLOOKUP(AL50,Constants!$A$2:$C$16,IF(AM50&lt;&gt;"", 3, 2), FALSE()),IF(AM50&lt;&gt;"",CONCATENATE(",",VLOOKUP(AM50,$B:$AN,38,FALSE())),""))</f>
        <v>4,4,4</v>
      </c>
      <c r="AO50" s="1" t="n">
        <v>0</v>
      </c>
      <c r="AR50" s="1" t="s">
        <v>356</v>
      </c>
      <c r="AT50" s="1" t="s">
        <v>112</v>
      </c>
      <c r="AU50" s="1" t="s">
        <v>357</v>
      </c>
      <c r="AX50" s="1" t="n">
        <v>35</v>
      </c>
      <c r="AY50" s="6" t="str">
        <f aca="false">IF(L50&lt;&gt;"",MAX(16,(L50-J50)+8),"")</f>
        <v/>
      </c>
      <c r="BB50" s="1" t="n">
        <f aca="false">MIN(AB50/150, 1)*30</f>
        <v>15</v>
      </c>
      <c r="BC50" s="1" t="n">
        <f aca="false">MIN(N50/4000, 1)*20</f>
        <v>3.55</v>
      </c>
      <c r="BD50" s="1" t="n">
        <f aca="false">MIN(Z50/400,1)*20</f>
        <v>5.3</v>
      </c>
      <c r="BE50" s="4" t="n">
        <f aca="false">1-(MAX(J50-1900, 0)/750)</f>
        <v>0.868</v>
      </c>
      <c r="BF50" s="1" t="n">
        <f aca="false">((MAX($M50,1)*MIN($AJ50/300,1)))*IF(G50="Wagon",50,10)</f>
        <v>2.66666666666667</v>
      </c>
      <c r="BG50" s="1" t="n">
        <f aca="false">VLOOKUP($H50,Constants!$I:$K, 2, FALSE())</f>
        <v>1</v>
      </c>
      <c r="BH50" s="1" t="n">
        <f aca="false">VLOOKUP($H50,Constants!$I:$K, 3, FALSE())*IF(AND(G50="multiple_unit",AB50&lt;110),0.75,1)</f>
        <v>2</v>
      </c>
      <c r="BI50" s="1" t="n">
        <f aca="false">INT(POWER((([1]Constants!$G$2+$BB50+$BC50+$BD50+$BF50)*$BE50)*$BH50, 1.05))+$BA50</f>
        <v>66</v>
      </c>
      <c r="BJ50" s="1" t="n">
        <f aca="false">INT(POWER(((([1]Constants!$G$1+$BB50+$BC50+$BD50+$BF50)*($BE50))*$BG50),IF($G50="wagon",1,1.2)))+$AZ50</f>
        <v>73</v>
      </c>
      <c r="BK50" s="33" t="n">
        <f aca="false">BI50*IF($G50="wagon",62.5,781.25)</f>
        <v>51562.5</v>
      </c>
      <c r="BL50" s="33" t="n">
        <f aca="false">BJ50*IF($G50="wagon",2.73,81.25)</f>
        <v>5931.25</v>
      </c>
      <c r="BT50" s="1" t="n">
        <v>6</v>
      </c>
      <c r="BU50" s="1" t="n">
        <v>185</v>
      </c>
      <c r="BV50" s="19" t="s">
        <v>351</v>
      </c>
      <c r="BW50" s="19"/>
      <c r="BX50" s="1" t="s">
        <v>352</v>
      </c>
      <c r="BY50" s="1" t="str">
        <f aca="false">VLOOKUP(J50,[1]Eras!$A$2:$C$10, 2, TRUE())</f>
        <v>prv</v>
      </c>
      <c r="BZ50" s="28" t="s">
        <v>321</v>
      </c>
      <c r="CA50" s="1" t="str">
        <f aca="false">CONCATENATE(BY50,"_",BZ50)</f>
        <v>prv_Freight</v>
      </c>
      <c r="CB50" s="1" t="str">
        <f aca="false">_xlfn.CONCAT(H50, "_",I50)</f>
        <v>diesel_RAIL</v>
      </c>
      <c r="CC50" s="32" t="str">
        <f aca="false" t="array" ref="CC50:CC50">_xlfn.CONCAT("{BLACK}Length: {GOLD}", TEXT(ROUNDUP(IF(AQ50&lt;&gt;"",SUM(VALUE(_xlfn.TEXTSPLIT(AQ50, ","))), SUM(VALUE(_xlfn.TEXTSPLIT(AN50, ",")))*IF(M50, M50, 1))/16, 1), "#,##0.0"), " tiles{}")</f>
        <v>{BLACK}Length: {GOLD}1.5 tiles{}</v>
      </c>
      <c r="CD50" s="1" t="str">
        <f aca="false">VLOOKUP($CB50, Constants!$M:$N, 2, FALSE())</f>
        <v>{BLACK}Powered by: {GOLD}Diesel</v>
      </c>
      <c r="CE50" s="1" t="str">
        <f aca="false">IF(M50&gt;1,_xlfn.CONCAT("{BLACK}Cars: {GOLD}", M50),"")</f>
        <v>{BLACK}Cars: {GOLD}2</v>
      </c>
      <c r="CF50" s="1" t="s">
        <v>353</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
      </c>
      <c r="CH50" s="1" t="str">
        <f aca="false">_xlfn.CONCAT(CD50,IF(CD50 &lt;&gt; "", " ", ""),CE50,IF(OR(CE50&lt;&gt;"", CD50&lt;&gt;""), "{}",""), CC50, CG50,"{SILVER}", CF50)</f>
        <v>{BLACK}Powered by: {GOLD}Diesel {BLACK}Cars: {GOLD}2{}{BLACK}Length: {GOLD}1.5 tiles{}{SILVER}The Windhoff MPV units were mainly used for Departmental service, notably in the iconic Rail Head Treatment trains, but trials were made in freight service.</v>
      </c>
      <c r="CI50" s="1"/>
      <c r="CJ50" s="1"/>
    </row>
    <row r="51" customFormat="false" ht="13.8" hidden="false" customHeight="false" outlineLevel="0" collapsed="false">
      <c r="A51" s="28" t="s">
        <v>358</v>
      </c>
      <c r="B51" s="28" t="s">
        <v>359</v>
      </c>
      <c r="C51" s="1" t="n">
        <v>581</v>
      </c>
      <c r="D51" s="1" t="n">
        <v>580</v>
      </c>
      <c r="E51" s="1" t="n">
        <v>473</v>
      </c>
      <c r="F51" s="1" t="s">
        <v>89</v>
      </c>
      <c r="G51" s="1" t="s">
        <v>349</v>
      </c>
      <c r="H51" s="1" t="s">
        <v>150</v>
      </c>
      <c r="I51" s="1" t="s">
        <v>151</v>
      </c>
      <c r="J51" s="1" t="n">
        <v>1999</v>
      </c>
      <c r="M51" s="1" t="n">
        <v>3</v>
      </c>
      <c r="N51" s="1" t="n">
        <v>710</v>
      </c>
      <c r="W51" s="1" t="n">
        <f aca="false">W50+19</f>
        <v>80</v>
      </c>
      <c r="Y51" s="1" t="n">
        <v>4</v>
      </c>
      <c r="Z51" s="1" t="n">
        <v>106</v>
      </c>
      <c r="AA51" s="4" t="n">
        <f aca="false">IF(AND(W51&gt;0,Z51&gt;0),(Z51/((W51+X51)*10)),"")</f>
        <v>0.1325</v>
      </c>
      <c r="AB51" s="1" t="n">
        <v>75</v>
      </c>
      <c r="AC51" s="1" t="n">
        <f aca="false">ROUND(AB51*1.6, 0)</f>
        <v>120</v>
      </c>
      <c r="AF51" s="1" t="n">
        <v>20.2</v>
      </c>
      <c r="AG51" s="1" t="n">
        <v>20</v>
      </c>
      <c r="AH51" s="1" t="n">
        <v>2.82</v>
      </c>
      <c r="AI51" s="1" t="n">
        <v>3.97</v>
      </c>
      <c r="AJ51" s="5" t="n">
        <v>40</v>
      </c>
      <c r="AK51" s="1" t="str">
        <f aca="false">CONCATENATE(VLOOKUP(AL51, '[1]Voxel Sizes'!$A$2:$B$18,2,FALSE()),"x",INT(AH51*15), "x", INT(AI51*15))</f>
        <v>198x42x59</v>
      </c>
      <c r="AL51" s="1" t="n">
        <f aca="false">ROUND(15*((AG51*10)/256),0)</f>
        <v>12</v>
      </c>
      <c r="AN51" s="1" t="str">
        <f aca="false">CONCATENATE(VLOOKUP(AL51,Constants!$A$2:$C$16,IF(AM51&lt;&gt;"", 3, 2), FALSE()),IF(AM51&lt;&gt;"",CONCATENATE(",",VLOOKUP(AM51,$B:$AN,38,FALSE())),""))</f>
        <v>4,4,4</v>
      </c>
      <c r="AO51" s="1" t="n">
        <v>0</v>
      </c>
      <c r="AR51" s="1" t="s">
        <v>360</v>
      </c>
      <c r="AT51" s="1" t="s">
        <v>361</v>
      </c>
      <c r="AU51" s="1" t="s">
        <v>357</v>
      </c>
      <c r="AX51" s="1" t="n">
        <v>35</v>
      </c>
      <c r="AY51" s="6" t="str">
        <f aca="false">IF(L51&lt;&gt;"",MAX(16,(L51-J51)+8),"")</f>
        <v/>
      </c>
      <c r="BB51" s="1" t="n">
        <f aca="false">MIN(AB51/150, 1)*30</f>
        <v>15</v>
      </c>
      <c r="BC51" s="1" t="n">
        <f aca="false">MIN(N51/4000, 1)*20</f>
        <v>3.55</v>
      </c>
      <c r="BD51" s="1" t="n">
        <f aca="false">MIN(Z51/400,1)*20</f>
        <v>5.3</v>
      </c>
      <c r="BE51" s="4" t="n">
        <f aca="false">1-(MAX(J51-1900, 0)/750)</f>
        <v>0.868</v>
      </c>
      <c r="BF51" s="1" t="n">
        <f aca="false">((MAX($M51,1)*MIN($AJ51/300,1)))*IF(G51="Wagon",50,10)</f>
        <v>4</v>
      </c>
      <c r="BG51" s="1" t="n">
        <f aca="false">VLOOKUP($H51,Constants!$I:$K, 2, FALSE())</f>
        <v>1</v>
      </c>
      <c r="BH51" s="1" t="n">
        <f aca="false">VLOOKUP($H51,Constants!$I:$K, 3, FALSE())*IF(AND(G51="multiple_unit",AB51&lt;110),0.75,1)</f>
        <v>2</v>
      </c>
      <c r="BI51" s="1" t="n">
        <f aca="false">INT(POWER((([1]Constants!$G$2+$BB51+$BC51+$BD51+$BF51)*$BE51)*$BH51, 1.05))+$BA51</f>
        <v>69</v>
      </c>
      <c r="BJ51" s="1" t="n">
        <f aca="false">INT(POWER(((([1]Constants!$G$1+$BB51+$BC51+$BD51+$BF51)*($BE51))*$BG51),IF($G51="wagon",1,1.2)))+$AZ51</f>
        <v>76</v>
      </c>
      <c r="BK51" s="33" t="n">
        <f aca="false">BI51*IF($G51="wagon",62.5,781.25)</f>
        <v>53906.25</v>
      </c>
      <c r="BL51" s="33" t="n">
        <f aca="false">BJ51*IF($G51="wagon",2.73,81.25)</f>
        <v>6175</v>
      </c>
      <c r="BT51" s="1" t="n">
        <v>6</v>
      </c>
      <c r="BU51" s="1" t="n">
        <v>185</v>
      </c>
      <c r="BV51" s="19" t="s">
        <v>351</v>
      </c>
      <c r="BW51" s="19"/>
      <c r="BX51" s="1" t="s">
        <v>352</v>
      </c>
      <c r="BY51" s="1" t="str">
        <f aca="false">VLOOKUP(J51,[1]Eras!$A$2:$C$10, 2, TRUE())</f>
        <v>prv</v>
      </c>
      <c r="BZ51" s="28" t="s">
        <v>321</v>
      </c>
      <c r="CA51" s="1" t="str">
        <f aca="false">CONCATENATE(BY51,"_",BZ51)</f>
        <v>prv_Freight</v>
      </c>
      <c r="CB51" s="1" t="str">
        <f aca="false">_xlfn.CONCAT(H51, "_",I51)</f>
        <v>diesel_RAIL</v>
      </c>
      <c r="CC51" s="32" t="str">
        <f aca="false" t="array" ref="CC51:CC51">_xlfn.CONCAT("{BLACK}Length: {GOLD}", TEXT(ROUNDUP(IF(AQ51&lt;&gt;"",SUM(VALUE(_xlfn.TEXTSPLIT(AQ51, ","))), SUM(VALUE(_xlfn.TEXTSPLIT(AN51, ",")))*IF(M51, M51, 1))/16, 1), "#,##0.0"), " tiles{}")</f>
        <v>{BLACK}Length: {GOLD}2.3 tiles{}</v>
      </c>
      <c r="CD51" s="1" t="str">
        <f aca="false">VLOOKUP($CB51, Constants!$M:$N, 2, FALSE())</f>
        <v>{BLACK}Powered by: {GOLD}Diesel</v>
      </c>
      <c r="CE51" s="1" t="str">
        <f aca="false">IF(M51&gt;1,_xlfn.CONCAT("{BLACK}Cars: {GOLD}", M51),"")</f>
        <v>{BLACK}Cars: {GOLD}3</v>
      </c>
      <c r="CF51" s="1" t="s">
        <v>353</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{BLACK}Powered by: {GOLD}Diesel {BLACK}Cars: {GOLD}3{}{BLACK}Length: {GOLD}2.3 tiles{}{SILVER}The Windhoff MPV units were mainly used for Departmental service, notably in the iconic Rail Head Treatment trains, but trials were made in freight service.</v>
      </c>
      <c r="CI51" s="1"/>
      <c r="CJ51" s="1"/>
    </row>
    <row r="52" customFormat="false" ht="13.8" hidden="false" customHeight="false" outlineLevel="0" collapsed="false">
      <c r="A52" s="28" t="s">
        <v>362</v>
      </c>
      <c r="B52" s="28" t="s">
        <v>363</v>
      </c>
      <c r="C52" s="1" t="n">
        <v>582</v>
      </c>
      <c r="D52" s="1" t="n">
        <v>580</v>
      </c>
      <c r="E52" s="1" t="n">
        <v>474</v>
      </c>
      <c r="F52" s="1" t="s">
        <v>89</v>
      </c>
      <c r="G52" s="1" t="s">
        <v>349</v>
      </c>
      <c r="H52" s="1" t="s">
        <v>150</v>
      </c>
      <c r="I52" s="1" t="s">
        <v>151</v>
      </c>
      <c r="J52" s="1" t="n">
        <v>1999</v>
      </c>
      <c r="M52" s="1" t="n">
        <v>4</v>
      </c>
      <c r="N52" s="1" t="n">
        <v>710</v>
      </c>
      <c r="W52" s="1" t="n">
        <f aca="false">W51+19</f>
        <v>99</v>
      </c>
      <c r="Y52" s="1" t="n">
        <v>4</v>
      </c>
      <c r="Z52" s="1" t="n">
        <v>106</v>
      </c>
      <c r="AA52" s="4" t="n">
        <f aca="false">IF(AND(W52&gt;0,Z52&gt;0),(Z52/((W52+X52)*10)),"")</f>
        <v>0.107070707070707</v>
      </c>
      <c r="AB52" s="1" t="n">
        <v>75</v>
      </c>
      <c r="AC52" s="1" t="n">
        <f aca="false">ROUND(AB52*1.6, 0)</f>
        <v>120</v>
      </c>
      <c r="AF52" s="1" t="n">
        <v>20.2</v>
      </c>
      <c r="AG52" s="1" t="n">
        <v>20</v>
      </c>
      <c r="AH52" s="1" t="n">
        <v>2.82</v>
      </c>
      <c r="AI52" s="1" t="n">
        <v>3.97</v>
      </c>
      <c r="AJ52" s="5" t="n">
        <v>40</v>
      </c>
      <c r="AK52" s="1" t="str">
        <f aca="false">CONCATENATE(VLOOKUP(AL52, '[1]Voxel Sizes'!$A$2:$B$18,2,FALSE()),"x",INT(AH52*15), "x", INT(AI52*15))</f>
        <v>198x42x59</v>
      </c>
      <c r="AL52" s="1" t="n">
        <f aca="false">ROUND(15*((AG52*10)/256),0)</f>
        <v>12</v>
      </c>
      <c r="AN52" s="1" t="str">
        <f aca="false">CONCATENATE(VLOOKUP(AL52,Constants!$A$2:$C$16,IF(AM52&lt;&gt;"", 3, 2), FALSE()),IF(AM52&lt;&gt;"",CONCATENATE(",",VLOOKUP(AM52,$B:$AN,38,FALSE())),""))</f>
        <v>4,4,4</v>
      </c>
      <c r="AO52" s="1" t="n">
        <v>0</v>
      </c>
      <c r="AR52" s="1" t="s">
        <v>364</v>
      </c>
      <c r="AT52" s="1" t="s">
        <v>124</v>
      </c>
      <c r="AU52" s="1" t="s">
        <v>357</v>
      </c>
      <c r="AX52" s="1" t="n">
        <v>35</v>
      </c>
      <c r="AY52" s="6" t="str">
        <f aca="false">IF(L52&lt;&gt;"",MAX(16,(L52-J52)+8),"")</f>
        <v/>
      </c>
      <c r="BB52" s="1" t="n">
        <f aca="false">MIN(AB52/150, 1)*30</f>
        <v>15</v>
      </c>
      <c r="BC52" s="1" t="n">
        <f aca="false">MIN(N52/4000, 1)*20</f>
        <v>3.55</v>
      </c>
      <c r="BD52" s="1" t="n">
        <f aca="false">MIN(Z52/400,1)*20</f>
        <v>5.3</v>
      </c>
      <c r="BE52" s="4" t="n">
        <f aca="false">1-(MAX(J52-1900, 0)/750)</f>
        <v>0.868</v>
      </c>
      <c r="BF52" s="1" t="n">
        <f aca="false">((MAX($M52,1)*MIN($AJ52/300,1)))*IF(G52="Wagon",50,10)</f>
        <v>5.33333333333333</v>
      </c>
      <c r="BG52" s="1" t="n">
        <f aca="false">VLOOKUP($H52,Constants!$I:$K, 2, FALSE())</f>
        <v>1</v>
      </c>
      <c r="BH52" s="1" t="n">
        <f aca="false">VLOOKUP($H52,Constants!$I:$K, 3, FALSE())*IF(AND(G52="multiple_unit",AB52&lt;110),0.75,1)</f>
        <v>2</v>
      </c>
      <c r="BI52" s="1" t="n">
        <f aca="false">INT(POWER((([1]Constants!$G$2+$BB52+$BC52+$BD52+$BF52)*$BE52)*$BH52, 1.05))+$BA52</f>
        <v>72</v>
      </c>
      <c r="BJ52" s="1" t="n">
        <f aca="false">INT(POWER(((([1]Constants!$G$1+$BB52+$BC52+$BD52+$BF52)*($BE52))*$BG52),IF($G52="wagon",1,1.2)))+$AZ52</f>
        <v>79</v>
      </c>
      <c r="BK52" s="33" t="n">
        <f aca="false">BI52*IF($G52="wagon",62.5,781.25)</f>
        <v>56250</v>
      </c>
      <c r="BL52" s="33" t="n">
        <f aca="false">BJ52*IF($G52="wagon",2.73,81.25)</f>
        <v>6418.75</v>
      </c>
      <c r="BT52" s="1" t="n">
        <v>6</v>
      </c>
      <c r="BU52" s="1" t="n">
        <v>185</v>
      </c>
      <c r="BV52" s="19" t="s">
        <v>351</v>
      </c>
      <c r="BW52" s="19"/>
      <c r="BX52" s="1" t="s">
        <v>352</v>
      </c>
      <c r="BY52" s="1" t="str">
        <f aca="false">VLOOKUP(J52,[1]Eras!$A$2:$C$10, 2, TRUE())</f>
        <v>prv</v>
      </c>
      <c r="BZ52" s="28" t="s">
        <v>321</v>
      </c>
      <c r="CA52" s="1" t="str">
        <f aca="false">CONCATENATE(BY52,"_",BZ52)</f>
        <v>prv_Freight</v>
      </c>
      <c r="CB52" s="1" t="str">
        <f aca="false">_xlfn.CONCAT(H52, "_",I52)</f>
        <v>diesel_RAIL</v>
      </c>
      <c r="CC52" s="32" t="str">
        <f aca="false" t="array" ref="CC52:CC52">_xlfn.CONCAT("{BLACK}Length: {GOLD}", TEXT(ROUNDUP(IF(AQ52&lt;&gt;"",SUM(VALUE(_xlfn.TEXTSPLIT(AQ52, ","))), SUM(VALUE(_xlfn.TEXTSPLIT(AN52, ",")))*IF(M52, M52, 1))/16, 1), "#,##0.0"), " tiles{}")</f>
        <v>{BLACK}Length: {GOLD}3.0 tiles{}</v>
      </c>
      <c r="CD52" s="1" t="str">
        <f aca="false">VLOOKUP($CB52, Constants!$M:$N, 2, FALSE())</f>
        <v>{BLACK}Powered by: {GOLD}Diesel</v>
      </c>
      <c r="CE52" s="1" t="str">
        <f aca="false">IF(M52&gt;1,_xlfn.CONCAT("{BLACK}Cars: {GOLD}", M52),"")</f>
        <v>{BLACK}Cars: {GOLD}4</v>
      </c>
      <c r="CF52" s="1" t="s">
        <v>353</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{BLACK}Cars: {GOLD}4{}{BLACK}Length: {GOLD}3.0 tiles{}{SILVER}The Windhoff MPV units were mainly used for Departmental service, notably in the iconic Rail Head Treatment trains, but trials were made in freight service.</v>
      </c>
      <c r="CI52" s="1"/>
      <c r="CJ52" s="1"/>
    </row>
    <row r="53" customFormat="false" ht="13.8" hidden="false" customHeight="false" outlineLevel="0" collapsed="false">
      <c r="A53" s="28" t="s">
        <v>365</v>
      </c>
      <c r="B53" s="28" t="s">
        <v>366</v>
      </c>
      <c r="C53" s="1" t="n">
        <v>583</v>
      </c>
      <c r="D53" s="1" t="n">
        <v>580</v>
      </c>
      <c r="E53" s="1" t="n">
        <v>475</v>
      </c>
      <c r="F53" s="1" t="s">
        <v>89</v>
      </c>
      <c r="G53" s="1" t="s">
        <v>349</v>
      </c>
      <c r="H53" s="1" t="s">
        <v>150</v>
      </c>
      <c r="I53" s="1" t="s">
        <v>151</v>
      </c>
      <c r="J53" s="1" t="n">
        <v>1999</v>
      </c>
      <c r="M53" s="1" t="n">
        <v>5</v>
      </c>
      <c r="N53" s="1" t="n">
        <v>710</v>
      </c>
      <c r="W53" s="1" t="n">
        <f aca="false">W52+19</f>
        <v>118</v>
      </c>
      <c r="Y53" s="1" t="n">
        <v>4</v>
      </c>
      <c r="Z53" s="1" t="n">
        <v>106</v>
      </c>
      <c r="AA53" s="4" t="n">
        <f aca="false">IF(AND(W53&gt;0,Z53&gt;0),(Z53/((W53+X53)*10)),"")</f>
        <v>0.0898305084745763</v>
      </c>
      <c r="AB53" s="1" t="n">
        <v>75</v>
      </c>
      <c r="AC53" s="1" t="n">
        <f aca="false">ROUND(AB53*1.6, 0)</f>
        <v>120</v>
      </c>
      <c r="AF53" s="1" t="n">
        <v>20.2</v>
      </c>
      <c r="AG53" s="1" t="n">
        <v>20</v>
      </c>
      <c r="AH53" s="1" t="n">
        <v>2.82</v>
      </c>
      <c r="AI53" s="1" t="n">
        <v>3.97</v>
      </c>
      <c r="AJ53" s="5" t="n">
        <v>40</v>
      </c>
      <c r="AK53" s="1" t="str">
        <f aca="false">CONCATENATE(VLOOKUP(AL53, '[1]Voxel Sizes'!$A$2:$B$18,2,FALSE()),"x",INT(AH53*15), "x", INT(AI53*15))</f>
        <v>198x42x59</v>
      </c>
      <c r="AL53" s="1" t="n">
        <f aca="false">ROUND(15*((AG53*10)/256),0)</f>
        <v>12</v>
      </c>
      <c r="AN53" s="1" t="str">
        <f aca="false">CONCATENATE(VLOOKUP(AL53,Constants!$A$2:$C$16,IF(AM53&lt;&gt;"", 3, 2), FALSE()),IF(AM53&lt;&gt;"",CONCATENATE(",",VLOOKUP(AM53,$B:$AN,38,FALSE())),""))</f>
        <v>4,4,4</v>
      </c>
      <c r="AO53" s="1" t="n">
        <v>0</v>
      </c>
      <c r="AR53" s="1" t="s">
        <v>367</v>
      </c>
      <c r="AT53" s="1" t="s">
        <v>129</v>
      </c>
      <c r="AU53" s="1" t="s">
        <v>357</v>
      </c>
      <c r="AX53" s="1" t="n">
        <v>35</v>
      </c>
      <c r="AY53" s="6" t="str">
        <f aca="false">IF(L53&lt;&gt;"",MAX(16,(L53-J53)+8),"")</f>
        <v/>
      </c>
      <c r="BB53" s="1" t="n">
        <f aca="false">MIN(AB53/150, 1)*30</f>
        <v>15</v>
      </c>
      <c r="BC53" s="1" t="n">
        <f aca="false">MIN(N53/4000, 1)*20</f>
        <v>3.55</v>
      </c>
      <c r="BD53" s="1" t="n">
        <f aca="false">MIN(Z53/400,1)*20</f>
        <v>5.3</v>
      </c>
      <c r="BE53" s="4" t="n">
        <f aca="false">1-(MAX(J53-1900, 0)/750)</f>
        <v>0.868</v>
      </c>
      <c r="BF53" s="1" t="n">
        <f aca="false">((MAX($M53,1)*MIN($AJ53/300,1)))*IF(G53="Wagon",50,10)</f>
        <v>6.66666666666667</v>
      </c>
      <c r="BG53" s="1" t="n">
        <f aca="false">VLOOKUP($H53,Constants!$I:$K, 2, FALSE())</f>
        <v>1</v>
      </c>
      <c r="BH53" s="1" t="n">
        <f aca="false">VLOOKUP($H53,Constants!$I:$K, 3, FALSE())*IF(AND(G53="multiple_unit",AB53&lt;110),0.75,1)</f>
        <v>2</v>
      </c>
      <c r="BI53" s="1" t="n">
        <f aca="false">INT(POWER((([1]Constants!$G$2+$BB53+$BC53+$BD53+$BF53)*$BE53)*$BH53, 1.05))+$BA53</f>
        <v>75</v>
      </c>
      <c r="BJ53" s="1" t="n">
        <f aca="false">INT(POWER(((([1]Constants!$G$1+$BB53+$BC53+$BD53+$BF53)*($BE53))*$BG53),IF($G53="wagon",1,1.2)))+$AZ53</f>
        <v>82</v>
      </c>
      <c r="BK53" s="33" t="n">
        <f aca="false">BI53*IF($G53="wagon",62.5,781.25)</f>
        <v>58593.75</v>
      </c>
      <c r="BL53" s="33" t="n">
        <f aca="false">BJ53*IF($G53="wagon",2.73,81.25)</f>
        <v>6662.5</v>
      </c>
      <c r="BT53" s="1" t="n">
        <v>6</v>
      </c>
      <c r="BU53" s="1" t="n">
        <v>185</v>
      </c>
      <c r="BV53" s="19" t="s">
        <v>351</v>
      </c>
      <c r="BW53" s="19"/>
      <c r="BX53" s="1" t="s">
        <v>352</v>
      </c>
      <c r="BY53" s="1" t="str">
        <f aca="false">VLOOKUP(J53,[1]Eras!$A$2:$C$10, 2, TRUE())</f>
        <v>prv</v>
      </c>
      <c r="BZ53" s="28" t="s">
        <v>321</v>
      </c>
      <c r="CA53" s="1" t="str">
        <f aca="false">CONCATENATE(BY53,"_",BZ53)</f>
        <v>prv_Freight</v>
      </c>
      <c r="CB53" s="1" t="str">
        <f aca="false">_xlfn.CONCAT(H53, "_",I53)</f>
        <v>diesel_RAIL</v>
      </c>
      <c r="CC53" s="32" t="str">
        <f aca="false" t="array" ref="CC53:CC53">_xlfn.CONCAT("{BLACK}Length: {GOLD}", TEXT(ROUNDUP(IF(AQ53&lt;&gt;"",SUM(VALUE(_xlfn.TEXTSPLIT(AQ53, ","))), SUM(VALUE(_xlfn.TEXTSPLIT(AN53, ",")))*IF(M53, M53, 1))/16, 1), "#,##0.0"), " tiles{}")</f>
        <v>{BLACK}Length: {GOLD}3.8 tiles{}</v>
      </c>
      <c r="CD53" s="1" t="str">
        <f aca="false">VLOOKUP($CB53, Constants!$M:$N, 2, FALSE())</f>
        <v>{BLACK}Powered by: {GOLD}Diesel</v>
      </c>
      <c r="CE53" s="1" t="str">
        <f aca="false">IF(M53&gt;1,_xlfn.CONCAT("{BLACK}Cars: {GOLD}", M53),"")</f>
        <v>{BLACK}Cars: {GOLD}5</v>
      </c>
      <c r="CF53" s="1" t="s">
        <v>353</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
      </c>
      <c r="CH53" s="1" t="str">
        <f aca="false">_xlfn.CONCAT(CD53,IF(CD53 &lt;&gt; "", " ", ""),CE53,IF(OR(CE53&lt;&gt;"", CD53&lt;&gt;""), "{}",""), CC53, CG53,"{SILVER}", CF53)</f>
        <v>{BLACK}Powered by: {GOLD}Diesel {BLACK}Cars: {GOLD}5{}{BLACK}Length: {GOLD}3.8 tiles{}{SILVER}The Windhoff MPV units were mainly used for Departmental service, notably in the iconic Rail Head Treatment trains, but trials were made in freight service.</v>
      </c>
      <c r="CI53" s="1"/>
      <c r="CJ53" s="1"/>
    </row>
    <row r="54" customFormat="false" ht="13.8" hidden="false" customHeight="false" outlineLevel="0" collapsed="false">
      <c r="A54" s="1" t="s">
        <v>368</v>
      </c>
      <c r="B54" s="1" t="s">
        <v>369</v>
      </c>
      <c r="C54" s="1" t="n">
        <v>473</v>
      </c>
      <c r="E54" s="1" t="n">
        <v>479</v>
      </c>
      <c r="F54" s="1" t="s">
        <v>89</v>
      </c>
      <c r="G54" s="1" t="s">
        <v>145</v>
      </c>
      <c r="H54" s="1" t="s">
        <v>247</v>
      </c>
      <c r="I54" s="1" t="s">
        <v>151</v>
      </c>
      <c r="J54" s="1" t="n">
        <v>2014</v>
      </c>
      <c r="N54" s="1" t="n">
        <v>1600</v>
      </c>
      <c r="W54" s="1" t="n">
        <v>78</v>
      </c>
      <c r="Z54" s="1" t="n">
        <v>186</v>
      </c>
      <c r="AA54" s="4" t="n">
        <f aca="false">IF(AND(W54&gt;0,Z54&gt;0),(Z54/((W54+X54)*10)),"")</f>
        <v>0.238461538461538</v>
      </c>
      <c r="AB54" s="1" t="n">
        <v>90</v>
      </c>
      <c r="AC54" s="1" t="n">
        <f aca="false">ROUND(AB54*1.6, 0)</f>
        <v>144</v>
      </c>
      <c r="AF54" s="1" t="n">
        <v>16.36</v>
      </c>
      <c r="AG54" s="1" t="n">
        <v>16.36</v>
      </c>
      <c r="AJ54" s="5" t="n">
        <v>0</v>
      </c>
      <c r="AK54" s="1" t="str">
        <f aca="false">CONCATENATE(VLOOKUP(AL54, '[1]Voxel Sizes'!$A$2:$B$18,2,FALSE()),"x",INT(AH54*15), "x", INT(AI54*15))</f>
        <v>164x0x0</v>
      </c>
      <c r="AL54" s="1" t="n">
        <f aca="false">ROUND(15*((AG54*10)/256),0)</f>
        <v>10</v>
      </c>
      <c r="AN54" s="1" t="str">
        <f aca="false">CONCATENATE(VLOOKUP(AL54,Constants!$A$2:$C$16,IF(AM54&lt;&gt;"", 3, 2), FALSE()),IF(AM54&lt;&gt;"",CONCATENATE(",",VLOOKUP(AM54,$B:$AN,38,FALSE())),""))</f>
        <v>4,2,4</v>
      </c>
      <c r="AX54" s="1" t="n">
        <v>33</v>
      </c>
      <c r="AY54" s="6" t="str">
        <f aca="false">IF(L54&lt;&gt;"",MAX(16,(L54-J54)+8),"")</f>
        <v/>
      </c>
      <c r="BA54" s="1" t="n">
        <v>-30</v>
      </c>
      <c r="BB54" s="1" t="n">
        <f aca="false">MIN(AB54/150, 1)*30</f>
        <v>18</v>
      </c>
      <c r="BC54" s="1" t="n">
        <f aca="false">MIN(N54/4000, 1)*20</f>
        <v>8</v>
      </c>
      <c r="BD54" s="1" t="n">
        <f aca="false">MIN(Z54/400,1)*20</f>
        <v>9.3</v>
      </c>
      <c r="BE54" s="4" t="n">
        <f aca="false">1-(MAX(J54-1900, 0)/750)</f>
        <v>0.848</v>
      </c>
      <c r="BF54" s="1" t="n">
        <f aca="false">((MAX($M54,1)*MIN($AJ54/300,1)))*IF(G54="Wagon",50,10)</f>
        <v>0</v>
      </c>
      <c r="BG54" s="1" t="n">
        <f aca="false">VLOOKUP($H54,Constants!$I:$K, 2, FALSE())</f>
        <v>0.9</v>
      </c>
      <c r="BH54" s="1" t="n">
        <f aca="false">VLOOKUP($H54,Constants!$I:$K, 3, FALSE())*IF(AND(G54="multiple_unit",AB54&lt;110),0.75,1)</f>
        <v>2.5</v>
      </c>
      <c r="BI54" s="1" t="n">
        <f aca="false">INT(POWER(((Constants!$G$2+$BB54+$BC54+$BD54+$BF54)*$BE54)*$BH54, 1.05))+$BA54</f>
        <v>76</v>
      </c>
      <c r="BJ54" s="1" t="n">
        <f aca="false">INT(POWER((((Constants!$G$1+$BB54+$BC54+$BD54+$BF54)*($BE54))*$BG54),IF($G54="wagon",1,1.2)))+$AZ54</f>
        <v>79</v>
      </c>
      <c r="BK54" s="33" t="n">
        <f aca="false">BI54*IF($G54="wagon",62.5,781.25)</f>
        <v>59375</v>
      </c>
      <c r="BL54" s="33" t="n">
        <f aca="false">BJ54*IF($G54="wagon",2.73,81.25)</f>
        <v>6418.75</v>
      </c>
      <c r="BT54" s="1" t="n">
        <v>10</v>
      </c>
      <c r="BY54" s="1" t="str">
        <f aca="false">VLOOKUP(J54,Eras!$A$2:$C$10, 2, TRUE())</f>
        <v>mod</v>
      </c>
      <c r="BZ54" s="28" t="s">
        <v>370</v>
      </c>
      <c r="CA54" s="1" t="str">
        <f aca="false">CONCATENATE(BY54,"_",BZ54)</f>
        <v>mod_MT (Electric)</v>
      </c>
      <c r="CB54" s="1" t="str">
        <f aca="false">_xlfn.CONCAT(H54, "_",I54)</f>
        <v>dual_power_RAIL</v>
      </c>
      <c r="CC54" s="32" t="str">
        <f aca="false" t="array" ref="CC54:CC54">_xlfn.CONCAT("{BLACK}Length: {GOLD}", TEXT(ROUNDUP(IF(AQ54&lt;&gt;"",SUM(VALUE(_xlfn.TEXTSPLIT(AQ54, ","))), SUM(VALUE(_xlfn.TEXTSPLIT(AN54, ",")))*IF(M54, M54, 1))/16, 1), "#,##0.0"), " tiles{}")</f>
        <v>{BLACK}Length: {GOLD}0.7 tiles{}</v>
      </c>
      <c r="CD54" s="1" t="str">
        <f aca="false">VLOOKUP($CB54, Constants!$M:$N, 2, FALSE())</f>
        <v>{BLACK}Powered by: {GOLD}750V DC / Diesel</v>
      </c>
      <c r="CE54" s="1" t="str">
        <f aca="false">IF(M54&gt;1,_xlfn.CONCAT("{BLACK}Cars: {GOLD}", M54),"")</f>
        <v/>
      </c>
      <c r="CF54" s="1" t="s">
        <v>371</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{BLACK}Powered by: {GOLD}750V DC / Diesel {}{BLACK}Length: {GOLD}0.7 tiles{}{SILVER}These re-engined and modernized Class 73s retained their ability to run from the third rail but received diesel engines capable of operating at an equivalent power level.</v>
      </c>
      <c r="CI54" s="1"/>
      <c r="CJ54" s="1"/>
    </row>
    <row r="55" customFormat="false" ht="13.8" hidden="false" customHeight="false" outlineLevel="0" collapsed="false">
      <c r="A55" s="1" t="s">
        <v>372</v>
      </c>
      <c r="B55" s="1" t="s">
        <v>373</v>
      </c>
      <c r="C55" s="1" t="n">
        <v>484</v>
      </c>
      <c r="E55" s="1" t="n">
        <v>480</v>
      </c>
      <c r="F55" s="1" t="s">
        <v>89</v>
      </c>
      <c r="G55" s="1" t="s">
        <v>90</v>
      </c>
      <c r="H55" s="1" t="s">
        <v>91</v>
      </c>
      <c r="I55" s="1" t="s">
        <v>240</v>
      </c>
      <c r="J55" s="1" t="n">
        <v>2012</v>
      </c>
      <c r="M55" s="1" t="n">
        <v>5</v>
      </c>
      <c r="N55" s="1" t="n">
        <v>3620</v>
      </c>
      <c r="W55" s="1" t="n">
        <v>200</v>
      </c>
      <c r="Y55" s="1" t="n">
        <v>5</v>
      </c>
      <c r="Z55" s="1" t="n">
        <v>240</v>
      </c>
      <c r="AA55" s="4" t="n">
        <f aca="false">IF(AND(W55&gt;0,Z55&gt;0),(Z55/((W55+X55)*10)),"")</f>
        <v>0.12</v>
      </c>
      <c r="AB55" s="1" t="n">
        <v>100</v>
      </c>
      <c r="AC55" s="1" t="n">
        <f aca="false">ROUND(AB55*1.6, 0)</f>
        <v>160</v>
      </c>
      <c r="AG55" s="1" t="n">
        <v>21</v>
      </c>
      <c r="AJ55" s="5" t="n">
        <v>54</v>
      </c>
      <c r="AK55" s="1" t="str">
        <f aca="false">CONCATENATE(VLOOKUP(AL55, '[1]Voxel Sizes'!$A$2:$B$18,2,FALSE()),"x",INT(AH55*15), "x", INT(AI55*15))</f>
        <v>198x0x0</v>
      </c>
      <c r="AL55" s="1" t="n">
        <f aca="false">ROUND(15*((AG55*10)/256),0)</f>
        <v>12</v>
      </c>
      <c r="AN55" s="1" t="str">
        <f aca="false">CONCATENATE(VLOOKUP(AL55,Constants!$A$2:$C$16,IF(AM55&lt;&gt;"", 3, 2), FALSE()),IF(AM55&lt;&gt;"",CONCATENATE(",",VLOOKUP(AM55,$B:$AN,38,FALSE())),""))</f>
        <v>4,4,4</v>
      </c>
      <c r="AR55" s="1" t="s">
        <v>374</v>
      </c>
      <c r="AT55" s="1" t="s">
        <v>375</v>
      </c>
      <c r="AU55" s="1" t="s">
        <v>376</v>
      </c>
      <c r="AX55" s="1" t="n">
        <v>27</v>
      </c>
      <c r="AY55" s="6" t="str">
        <f aca="false">IF(L55&lt;&gt;"",MAX(16,(L55-J55)+8),"")</f>
        <v/>
      </c>
      <c r="AZ55" s="1" t="n">
        <v>-15</v>
      </c>
      <c r="BA55" s="1" t="n">
        <v>-30</v>
      </c>
      <c r="BB55" s="1" t="n">
        <f aca="false">MIN(AB55/150, 1)*30</f>
        <v>20</v>
      </c>
      <c r="BC55" s="1" t="n">
        <f aca="false">MIN(N55/4000, 1)*20</f>
        <v>18.1</v>
      </c>
      <c r="BD55" s="1" t="n">
        <f aca="false">MIN(Z55/400,1)*20</f>
        <v>12</v>
      </c>
      <c r="BE55" s="4" t="n">
        <f aca="false">1-(MAX(J55-1900, 0)/750)</f>
        <v>0.850666666666667</v>
      </c>
      <c r="BF55" s="1" t="n">
        <f aca="false">((MAX($M55,1)*MIN($AJ55/300,1)))*IF(G55="Wagon",50,10)</f>
        <v>9</v>
      </c>
      <c r="BG55" s="1" t="n">
        <f aca="false">VLOOKUP($H55,Constants!$I:$K, 2, FALSE())</f>
        <v>0.85</v>
      </c>
      <c r="BH55" s="1" t="n">
        <f aca="false">VLOOKUP($H55,Constants!$I:$K, 3, FALSE())*IF(AND(G55="multiple_unit",AB55&lt;110),0.75,1)</f>
        <v>1.725</v>
      </c>
      <c r="BI55" s="1" t="n">
        <f aca="false">INT(POWER(((Constants!$G$2+$BB55+$BC55+$BD55+$BF55)*$BE55)*$BH55, 1.05))+$BA55</f>
        <v>88</v>
      </c>
      <c r="BJ55" s="1" t="n">
        <f aca="false">INT(POWER((((Constants!$G$1+$BB55+$BC55+$BD55+$BF55)*($BE55))*$BG55),IF($G55="wagon",1,1.2)))+$AZ55</f>
        <v>103</v>
      </c>
      <c r="BK55" s="33" t="n">
        <f aca="false">BI55*IF($G55="wagon",62.5,781.25)</f>
        <v>68750</v>
      </c>
      <c r="BL55" s="33" t="n">
        <f aca="false">BJ55*IF($G55="wagon",2.73,81.25)</f>
        <v>8368.75</v>
      </c>
      <c r="BT55" s="1" t="n">
        <v>4</v>
      </c>
      <c r="BU55" s="1" t="n">
        <v>205</v>
      </c>
      <c r="BX55" s="1" t="s">
        <v>95</v>
      </c>
      <c r="BY55" s="1" t="str">
        <f aca="false">VLOOKUP(J55,[1]Eras!$A$2:$C$10, 2, TRUE())</f>
        <v>mod</v>
      </c>
      <c r="BZ55" s="28" t="s">
        <v>224</v>
      </c>
      <c r="CA55" s="1" t="str">
        <f aca="false">CONCATENATE(BY55,"_",BZ55)</f>
        <v>mod_EMU (Express)</v>
      </c>
      <c r="CB55" s="1" t="str">
        <f aca="false">_xlfn.CONCAT(H55, "_",I55)</f>
        <v>electric_THIRD_RAIL</v>
      </c>
      <c r="CC55" s="32" t="str">
        <f aca="false" t="array" ref="CC55:CC55">_xlfn.CONCAT("{BLACK}Length: {GOLD}", TEXT(ROUNDUP(IF(AQ55&lt;&gt;"",SUM(VALUE(_xlfn.TEXTSPLIT(AQ55, ","))), SUM(VALUE(_xlfn.TEXTSPLIT(AN55, ",")))*IF(M55, M55, 1))/16, 1), "#,##0.0"), " tiles{}")</f>
        <v>{BLACK}Length: {GOLD}3.8 tiles{}</v>
      </c>
      <c r="CD55" s="1" t="str">
        <f aca="false">VLOOKUP($CB55, Constants!$M:$N, 2, FALSE())</f>
        <v>{BLACK}Powered by: {GOLD}750V DC</v>
      </c>
      <c r="CE55" s="1" t="str">
        <f aca="false">IF(M55&gt;1,_xlfn.CONCAT("{BLACK}Cars: {GOLD}", M55),"")</f>
        <v>{BLACK}Cars: {GOLD}5</v>
      </c>
      <c r="CF55" s="1" t="s">
        <v>377</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{YELLOW}10% bonus for long distance travel{}</v>
      </c>
      <c r="CH55" s="1" t="str">
        <f aca="false">_xlfn.CONCAT(CD55,IF(CD55 &lt;&gt; "", " ", ""),CE55,IF(OR(CE55&lt;&gt;"", CD55&lt;&gt;""), "{}",""), CC55, CG55,"{SILVER}", CF55)</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55" s="1"/>
      <c r="CJ55" s="1"/>
    </row>
    <row r="56" s="19" customFormat="true" ht="13.8" hidden="false" customHeight="false" outlineLevel="0" collapsed="false">
      <c r="A56" s="28" t="s">
        <v>378</v>
      </c>
      <c r="B56" s="28" t="s">
        <v>379</v>
      </c>
      <c r="C56" s="1" t="n">
        <v>11374</v>
      </c>
      <c r="D56" s="1"/>
      <c r="E56" s="1" t="n">
        <v>490</v>
      </c>
      <c r="F56" s="1" t="s">
        <v>89</v>
      </c>
      <c r="G56" s="1" t="s">
        <v>90</v>
      </c>
      <c r="H56" s="1" t="s">
        <v>91</v>
      </c>
      <c r="I56" s="1" t="s">
        <v>92</v>
      </c>
      <c r="J56" s="1" t="n">
        <v>2014</v>
      </c>
      <c r="K56" s="1"/>
      <c r="L56" s="1"/>
      <c r="M56" s="1" t="n">
        <v>16</v>
      </c>
      <c r="N56" s="1" t="n">
        <v>21000</v>
      </c>
      <c r="O56" s="2"/>
      <c r="P56" s="3"/>
      <c r="Q56" s="3"/>
      <c r="R56" s="3"/>
      <c r="S56" s="3"/>
      <c r="T56" s="3"/>
      <c r="U56" s="3"/>
      <c r="V56" s="3"/>
      <c r="W56" s="1" t="n">
        <v>171</v>
      </c>
      <c r="X56" s="2"/>
      <c r="Y56" s="1" t="n">
        <v>5</v>
      </c>
      <c r="Z56" s="1" t="n">
        <v>480</v>
      </c>
      <c r="AA56" s="4" t="n">
        <f aca="false">IF(AND(W56&gt;0,Z56&gt;0),(Z56/((W56+X56)*10)),"")</f>
        <v>0.280701754385965</v>
      </c>
      <c r="AB56" s="1" t="n">
        <v>200</v>
      </c>
      <c r="AC56" s="1" t="n">
        <f aca="false">ROUND(AB56*1.6, 0)</f>
        <v>320</v>
      </c>
      <c r="AD56" s="1"/>
      <c r="AE56" s="1"/>
      <c r="AF56" s="1" t="n">
        <v>25.7</v>
      </c>
      <c r="AG56" s="1" t="n">
        <v>25.7</v>
      </c>
      <c r="AH56" s="1" t="n">
        <v>2.92</v>
      </c>
      <c r="AI56" s="1" t="n">
        <v>4.3</v>
      </c>
      <c r="AJ56" s="5" t="n">
        <v>56</v>
      </c>
      <c r="AK56" s="1" t="str">
        <f aca="false">CONCATENATE(VLOOKUP(AL56, '[1]Voxel Sizes'!$A$2:$B$18,2,FALSE()),"x",INT(AH56*15), "x", INT(AI56*15))</f>
        <v>256x43x64</v>
      </c>
      <c r="AL56" s="1" t="n">
        <f aca="false">ROUND(15*((AG56*10)/256),0)</f>
        <v>15</v>
      </c>
      <c r="AM56" s="1"/>
      <c r="AN56" s="1" t="str">
        <f aca="false">CONCATENATE(VLOOKUP(AL56,Constants!$A$2:$C$16,IF(AM56&lt;&gt;"", 3, 2), FALSE()),IF(AM56&lt;&gt;"",CONCATENATE(",",VLOOKUP(AM56,$B:$AN,38,FALSE())),""))</f>
        <v>4,7,4</v>
      </c>
      <c r="AO56" s="1" t="s">
        <v>380</v>
      </c>
      <c r="AP56" s="7" t="str">
        <f aca="false">E320_16_ULEN</f>
        <v>4,7,4,4,6,4,4,6,4,4,6,4,4,6,4,4,6,4,4,6,4,4,6,4,4,6,4,4,6,4,4,6,4,4,6,4,4,6,4,4,6,4,4,6,4,4,7,4</v>
      </c>
      <c r="AQ56" s="7" t="str">
        <f aca="false">E320_16_VLEN</f>
        <v>15,14,14,14,14,14,14,14,14,14,14,14,14,14,14,15</v>
      </c>
      <c r="AR56"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S56" s="1"/>
      <c r="AT56" s="1" t="str">
        <f aca="false">E320_16_NV</f>
        <v>1,1,1,1,0,0,0,1,0,1,1,0,0,0,1,1</v>
      </c>
      <c r="AU56" s="1" t="s">
        <v>381</v>
      </c>
      <c r="AV56" s="1"/>
      <c r="AW56" s="1"/>
      <c r="AX56" s="1" t="n">
        <v>35</v>
      </c>
      <c r="AY56" s="6" t="str">
        <f aca="false">IF(L56&lt;&gt;"",MAX(16,(L56-J56)+8),"")</f>
        <v/>
      </c>
      <c r="AZ56" s="1" t="n">
        <v>25</v>
      </c>
      <c r="BA56" s="1" t="n">
        <v>-15</v>
      </c>
      <c r="BB56" s="1" t="n">
        <f aca="false">MIN(AB56/150, 1)*30</f>
        <v>30</v>
      </c>
      <c r="BC56" s="1" t="n">
        <f aca="false">MIN(N56/4000, 1)*20</f>
        <v>20</v>
      </c>
      <c r="BD56" s="1" t="n">
        <f aca="false">MIN(Z56/400,1)*20</f>
        <v>20</v>
      </c>
      <c r="BE56" s="4" t="n">
        <f aca="false">1-(MAX(J56-1900, 0)/750)</f>
        <v>0.848</v>
      </c>
      <c r="BF56" s="1" t="n">
        <f aca="false">((MAX($M56,1)*MIN($AJ56/300,1)))*IF(G56="Wagon",50,10)</f>
        <v>29.8666666666667</v>
      </c>
      <c r="BG56" s="1" t="n">
        <f aca="false">VLOOKUP($H56,Constants!$I:$K, 2, FALSE())</f>
        <v>0.85</v>
      </c>
      <c r="BH56" s="1" t="n">
        <f aca="false">VLOOKUP($H56,Constants!$I:$K, 3, FALSE())*IF(AND(G56="multiple_unit",AB56&lt;110),0.75,1)</f>
        <v>2.3</v>
      </c>
      <c r="BI56" s="1" t="n">
        <f aca="false">INT(POWER((([1]Constants!$G$2+$BB56+$BC56+$BD56+$BF56)*$BE56)*$BH56, 1.05))+$BA56</f>
        <v>251</v>
      </c>
      <c r="BJ56" s="1" t="n">
        <f aca="false">INT(POWER(((([1]Constants!$G$1+$BB56+$BC56+$BD56+$BF56)*($BE56))*$BG56),IF($G56="wagon",1,1.2)))+$AZ56</f>
        <v>225</v>
      </c>
      <c r="BK56" s="33" t="n">
        <f aca="false">BI56*IF($G56="wagon",62.5,781.25)</f>
        <v>196093.75</v>
      </c>
      <c r="BL56" s="33" t="n">
        <f aca="false">BJ56*IF($G56="wagon",2.73,81.25)</f>
        <v>18281.25</v>
      </c>
      <c r="BM56" s="1"/>
      <c r="BN56" s="1"/>
      <c r="BO56" s="1"/>
      <c r="BP56" s="1"/>
      <c r="BQ56" s="1"/>
      <c r="BR56" s="1"/>
      <c r="BS56" s="1"/>
      <c r="BT56" s="1" t="n">
        <v>6</v>
      </c>
      <c r="BU56" s="1" t="n">
        <v>185</v>
      </c>
      <c r="BV56" s="1" t="s">
        <v>223</v>
      </c>
      <c r="BW56" s="28" t="s">
        <v>231</v>
      </c>
      <c r="BX56" s="1" t="s">
        <v>95</v>
      </c>
      <c r="BY56" s="1" t="str">
        <f aca="false">VLOOKUP(J56,[1]Eras!$A$2:$C$10, 2, TRUE())</f>
        <v>mod</v>
      </c>
      <c r="BZ56" s="28" t="s">
        <v>224</v>
      </c>
      <c r="CA56" s="1" t="str">
        <f aca="false">CONCATENATE(BY56,"_",BZ56)</f>
        <v>mod_EMU (Express)</v>
      </c>
      <c r="CB56" s="1" t="str">
        <f aca="false">_xlfn.CONCAT(H56, "_",I56)</f>
        <v>electric_ELRL</v>
      </c>
      <c r="CC56" s="32" t="str">
        <f aca="false" t="array" ref="CC56:CC56">_xlfn.CONCAT("{BLACK}Length: {GOLD}", TEXT(ROUNDUP(IF(AQ56&lt;&gt;"",SUM(VALUE(_xlfn.TEXTSPLIT(AQ56, ","))), SUM(VALUE(_xlfn.TEXTSPLIT(AN56, ",")))*IF(M56, M56, 1))/16, 1), "#,##0.0"), " tiles{}")</f>
        <v>{BLACK}Length: {GOLD}14.2 tiles{}</v>
      </c>
      <c r="CD56" s="1" t="str">
        <f aca="false">VLOOKUP($CB56, Constants!$M:$N, 2, FALSE())</f>
        <v>{BLACK}Powered by: {GOLD}25kV AC</v>
      </c>
      <c r="CE56" s="1" t="str">
        <f aca="false">IF(M56&gt;1,_xlfn.CONCAT("{BLACK}Cars: {GOLD}", M56),"")</f>
        <v>{BLACK}Cars: {GOLD}16</v>
      </c>
      <c r="CF56" s="1" t="s">
        <v>382</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{YELLOW}25% long distance bonus for consist{}</v>
      </c>
      <c r="CH56" s="1" t="str">
        <f aca="false">_xlfn.CONCAT(CD56,IF(CD56 &lt;&gt; "", " ", ""),CE56,IF(OR(CE56&lt;&gt;"", CD56&lt;&gt;""), "{}",""), CC56, CG56,"{SILVER}", CF56)</f>
        <v>{BLACK}Powered by: {GOLD}25kV AC {BLACK}Cars: {GOLD}16{}{BLACK}Length: {GOLD}14.2 tiles{}{YELLOW}25% long distance bonus for consist{}{SILVER}oooer</v>
      </c>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C56" s="1"/>
      <c r="ND56" s="1"/>
      <c r="NE56" s="1"/>
      <c r="NF56" s="1"/>
      <c r="NG56" s="1"/>
      <c r="NH56" s="1"/>
      <c r="NI56" s="1"/>
      <c r="NJ56" s="1"/>
      <c r="NK56" s="1"/>
      <c r="NL56" s="1"/>
      <c r="NM56" s="1"/>
      <c r="NN56" s="1"/>
      <c r="NO56" s="1"/>
      <c r="NP56" s="1"/>
      <c r="NQ56" s="1"/>
      <c r="NR56" s="1"/>
      <c r="NS56" s="1"/>
      <c r="NT56" s="1"/>
      <c r="NU56" s="1"/>
      <c r="NV56" s="1"/>
      <c r="NW56" s="1"/>
      <c r="NX56" s="1"/>
      <c r="NY56" s="1"/>
      <c r="NZ56" s="1"/>
      <c r="OA56" s="1"/>
      <c r="OB56" s="1"/>
      <c r="OC56" s="1"/>
      <c r="OD56" s="1"/>
      <c r="OE56" s="1"/>
      <c r="OF56" s="1"/>
      <c r="OG56" s="1"/>
      <c r="OH56" s="1"/>
      <c r="OI56" s="1"/>
      <c r="OJ56" s="1"/>
      <c r="OK56" s="1"/>
      <c r="OL56" s="1"/>
      <c r="OM56" s="1"/>
      <c r="ON56" s="1"/>
      <c r="OO56" s="1"/>
      <c r="OP56" s="1"/>
      <c r="OQ56" s="1"/>
      <c r="OR56" s="1"/>
      <c r="OS56" s="1"/>
      <c r="OT56" s="1"/>
      <c r="OU56" s="1"/>
      <c r="OV56" s="1"/>
      <c r="OW56" s="1"/>
      <c r="OX56" s="1"/>
      <c r="OY56" s="1"/>
      <c r="OZ56" s="1"/>
      <c r="PA56" s="1"/>
      <c r="PB56" s="1"/>
      <c r="PC56" s="1"/>
      <c r="PD56" s="1"/>
      <c r="PE56" s="1"/>
      <c r="PF56" s="1"/>
      <c r="PG56" s="1"/>
      <c r="PH56" s="1"/>
      <c r="PI56" s="1"/>
      <c r="PJ56" s="1"/>
      <c r="PK56" s="1"/>
      <c r="PL56" s="1"/>
      <c r="PM56" s="1"/>
      <c r="PN56" s="1"/>
      <c r="PO56" s="1"/>
      <c r="PP56" s="1"/>
      <c r="PQ56" s="1"/>
      <c r="PR56" s="1"/>
      <c r="PS56" s="1"/>
      <c r="PT56" s="1"/>
      <c r="PU56" s="1"/>
      <c r="PV56" s="1"/>
      <c r="PW56" s="1"/>
      <c r="PX56" s="1"/>
      <c r="PY56" s="1"/>
      <c r="PZ56" s="1"/>
      <c r="QA56" s="1"/>
      <c r="QB56" s="1"/>
      <c r="QC56" s="1"/>
      <c r="QD56" s="1"/>
      <c r="QE56" s="1"/>
      <c r="QF56" s="1"/>
      <c r="QG56" s="1"/>
      <c r="QH56" s="1"/>
      <c r="QI56" s="1"/>
      <c r="QJ56" s="1"/>
      <c r="QK56" s="1"/>
      <c r="QL56" s="1"/>
      <c r="QM56" s="1"/>
      <c r="QN56" s="1"/>
      <c r="QO56" s="1"/>
      <c r="QP56" s="1"/>
      <c r="QQ56" s="1"/>
      <c r="QR56" s="1"/>
      <c r="QS56" s="1"/>
      <c r="QT56" s="1"/>
      <c r="QU56" s="1"/>
      <c r="QV56" s="1"/>
      <c r="QW56" s="1"/>
      <c r="QX56" s="1"/>
      <c r="QY56" s="1"/>
      <c r="QZ56" s="1"/>
      <c r="RA56" s="1"/>
      <c r="RB56" s="1"/>
      <c r="RC56" s="1"/>
      <c r="RD56" s="1"/>
      <c r="RE56" s="1"/>
      <c r="RF56" s="1"/>
      <c r="RG56" s="1"/>
      <c r="RH56" s="1"/>
      <c r="RI56" s="1"/>
      <c r="RJ56" s="1"/>
      <c r="RK56" s="1"/>
      <c r="RL56" s="1"/>
      <c r="RM56" s="1"/>
      <c r="RN56" s="1"/>
      <c r="RO56" s="1"/>
      <c r="RP56" s="1"/>
      <c r="RQ56" s="1"/>
      <c r="RR56" s="1"/>
      <c r="RS56" s="1"/>
      <c r="RT56" s="1"/>
      <c r="RU56" s="1"/>
      <c r="RV56" s="1"/>
      <c r="RW56" s="1"/>
      <c r="RX56" s="1"/>
      <c r="RY56" s="1"/>
      <c r="RZ56" s="1"/>
      <c r="SA56" s="1"/>
      <c r="SB56" s="1"/>
      <c r="SC56" s="1"/>
      <c r="SD56" s="1"/>
      <c r="SE56" s="1"/>
      <c r="SF56" s="1"/>
      <c r="SG56" s="1"/>
      <c r="SH56" s="1"/>
      <c r="SI56" s="1"/>
      <c r="SJ56" s="1"/>
      <c r="SK56" s="1"/>
      <c r="SL56" s="1"/>
      <c r="SM56" s="1"/>
      <c r="SN56" s="1"/>
      <c r="SO56" s="1"/>
      <c r="SP56" s="1"/>
      <c r="SQ56" s="1"/>
      <c r="SR56" s="1"/>
      <c r="SS56" s="1"/>
      <c r="ST56" s="1"/>
      <c r="SU56" s="1"/>
      <c r="SV56" s="1"/>
      <c r="SW56" s="1"/>
      <c r="SX56" s="1"/>
      <c r="SY56" s="1"/>
      <c r="SZ56" s="1"/>
      <c r="TA56" s="1"/>
      <c r="TB56" s="1"/>
      <c r="TC56" s="1"/>
      <c r="TD56" s="1"/>
      <c r="TE56" s="1"/>
      <c r="TF56" s="1"/>
      <c r="TG56" s="1"/>
      <c r="TH56" s="1"/>
      <c r="TI56" s="1"/>
      <c r="TJ56" s="1"/>
      <c r="TK56" s="1"/>
      <c r="TL56" s="1"/>
      <c r="TM56" s="1"/>
      <c r="TN56" s="1"/>
      <c r="TO56" s="1"/>
      <c r="TP56" s="1"/>
      <c r="TQ56" s="1"/>
      <c r="TR56" s="1"/>
      <c r="TS56" s="1"/>
      <c r="TT56" s="1"/>
      <c r="TU56" s="1"/>
      <c r="TV56" s="1"/>
      <c r="TW56" s="1"/>
      <c r="TX56" s="1"/>
      <c r="TY56" s="1"/>
      <c r="TZ56" s="1"/>
      <c r="UA56" s="1"/>
      <c r="UB56" s="1"/>
      <c r="UC56" s="1"/>
      <c r="UD56" s="1"/>
      <c r="UE56" s="1"/>
      <c r="UF56" s="1"/>
      <c r="UG56" s="1"/>
      <c r="UH56" s="1"/>
      <c r="UI56" s="1"/>
      <c r="UJ56" s="1"/>
      <c r="UK56" s="1"/>
      <c r="UL56" s="1"/>
      <c r="UM56" s="1"/>
      <c r="UN56" s="1"/>
      <c r="UO56" s="1"/>
      <c r="UP56" s="1"/>
      <c r="UQ56" s="1"/>
      <c r="UR56" s="1"/>
      <c r="US56" s="1"/>
      <c r="UT56" s="1"/>
      <c r="UU56" s="1"/>
      <c r="UV56" s="1"/>
      <c r="UW56" s="1"/>
      <c r="UX56" s="1"/>
      <c r="UY56" s="1"/>
      <c r="UZ56" s="1"/>
      <c r="VA56" s="1"/>
      <c r="VB56" s="1"/>
      <c r="VC56" s="1"/>
      <c r="VD56" s="1"/>
      <c r="VE56" s="1"/>
      <c r="VF56" s="1"/>
      <c r="VG56" s="1"/>
      <c r="VH56" s="1"/>
      <c r="VI56" s="1"/>
      <c r="VJ56" s="1"/>
      <c r="VK56" s="1"/>
      <c r="VL56" s="1"/>
      <c r="VM56" s="1"/>
      <c r="VN56" s="1"/>
      <c r="VO56" s="1"/>
      <c r="VP56" s="1"/>
      <c r="VQ56" s="1"/>
      <c r="VR56" s="1"/>
      <c r="VS56" s="1"/>
      <c r="VT56" s="1"/>
      <c r="VU56" s="1"/>
      <c r="VV56" s="1"/>
      <c r="VW56" s="1"/>
      <c r="VX56" s="1"/>
      <c r="VY56" s="1"/>
      <c r="VZ56" s="1"/>
      <c r="WA56" s="1"/>
      <c r="WB56" s="1"/>
      <c r="WC56" s="1"/>
      <c r="WD56" s="1"/>
      <c r="WE56" s="1"/>
      <c r="WF56" s="1"/>
      <c r="WG56" s="1"/>
      <c r="WH56" s="1"/>
      <c r="WI56" s="1"/>
      <c r="WJ56" s="1"/>
      <c r="WK56" s="1"/>
      <c r="WL56" s="1"/>
      <c r="WM56" s="1"/>
      <c r="WN56" s="1"/>
      <c r="WO56" s="1"/>
      <c r="WP56" s="1"/>
      <c r="WQ56" s="1"/>
      <c r="WR56" s="1"/>
      <c r="WS56" s="1"/>
      <c r="WT56" s="1"/>
      <c r="WU56" s="1"/>
      <c r="WV56" s="1"/>
      <c r="WW56" s="1"/>
      <c r="WX56" s="1"/>
      <c r="WY56" s="1"/>
      <c r="WZ56" s="1"/>
      <c r="XA56" s="1"/>
      <c r="XB56" s="1"/>
      <c r="XC56" s="1"/>
      <c r="XD56" s="1"/>
      <c r="XE56" s="1"/>
      <c r="XF56" s="1"/>
      <c r="XG56" s="1"/>
      <c r="XH56" s="1"/>
      <c r="XI56" s="1"/>
      <c r="XJ56" s="1"/>
      <c r="XK56" s="1"/>
      <c r="XL56" s="1"/>
      <c r="XM56" s="1"/>
      <c r="XN56" s="1"/>
      <c r="XO56" s="1"/>
      <c r="XP56" s="1"/>
      <c r="XQ56" s="1"/>
      <c r="XR56" s="1"/>
      <c r="XS56" s="1"/>
      <c r="XT56" s="1"/>
      <c r="XU56" s="1"/>
      <c r="XV56" s="1"/>
      <c r="XW56" s="1"/>
      <c r="XX56" s="1"/>
      <c r="XY56" s="1"/>
      <c r="XZ56" s="1"/>
      <c r="YA56" s="1"/>
      <c r="YB56" s="1"/>
      <c r="YC56" s="1"/>
      <c r="YD56" s="1"/>
      <c r="YE56" s="1"/>
      <c r="YF56" s="1"/>
      <c r="YG56" s="1"/>
      <c r="YH56" s="1"/>
      <c r="YI56" s="1"/>
      <c r="YJ56" s="1"/>
      <c r="YK56" s="1"/>
      <c r="YL56" s="1"/>
      <c r="YM56" s="1"/>
      <c r="YN56" s="1"/>
      <c r="YO56" s="1"/>
      <c r="YP56" s="1"/>
      <c r="YQ56" s="1"/>
      <c r="YR56" s="1"/>
      <c r="YS56" s="1"/>
      <c r="YT56" s="1"/>
      <c r="YU56" s="1"/>
      <c r="YV56" s="1"/>
      <c r="YW56" s="1"/>
      <c r="YX56" s="1"/>
      <c r="YY56" s="1"/>
      <c r="YZ56" s="1"/>
      <c r="ZA56" s="1"/>
      <c r="ZB56" s="1"/>
      <c r="ZC56" s="1"/>
      <c r="ZD56" s="1"/>
      <c r="ZE56" s="1"/>
      <c r="ZF56" s="1"/>
      <c r="ZG56" s="1"/>
      <c r="ZH56" s="1"/>
      <c r="ZI56" s="1"/>
      <c r="ZJ56" s="1"/>
      <c r="ZK56" s="1"/>
      <c r="ZL56" s="1"/>
      <c r="ZM56" s="1"/>
      <c r="ZN56" s="1"/>
      <c r="ZO56" s="1"/>
      <c r="ZP56" s="1"/>
      <c r="ZQ56" s="1"/>
      <c r="ZR56" s="1"/>
      <c r="ZS56" s="1"/>
      <c r="ZT56" s="1"/>
      <c r="ZU56" s="1"/>
      <c r="ZV56" s="1"/>
      <c r="ZW56" s="1"/>
      <c r="ZX56" s="1"/>
      <c r="ZY56" s="1"/>
      <c r="ZZ56" s="1"/>
      <c r="AAA56" s="1"/>
      <c r="AAB56" s="1"/>
      <c r="AAC56" s="1"/>
      <c r="AAD56" s="1"/>
      <c r="AAE56" s="1"/>
      <c r="AAF56" s="1"/>
      <c r="AAG56" s="1"/>
      <c r="AAH56" s="1"/>
      <c r="AAI56" s="1"/>
      <c r="AAJ56" s="1"/>
      <c r="AAK56" s="1"/>
      <c r="AAL56" s="1"/>
      <c r="AAM56" s="1"/>
      <c r="AAN56" s="1"/>
      <c r="AAO56" s="1"/>
      <c r="AAP56" s="1"/>
      <c r="AAQ56" s="1"/>
      <c r="AAR56" s="1"/>
      <c r="AAS56" s="1"/>
      <c r="AAT56" s="1"/>
      <c r="AAU56" s="1"/>
      <c r="AAV56" s="1"/>
      <c r="AAW56" s="1"/>
      <c r="AAX56" s="1"/>
      <c r="AAY56" s="1"/>
      <c r="AAZ56" s="1"/>
      <c r="ABA56" s="1"/>
      <c r="ABB56" s="1"/>
      <c r="ABC56" s="1"/>
      <c r="ABD56" s="1"/>
      <c r="ABE56" s="1"/>
      <c r="ABF56" s="1"/>
      <c r="ABG56" s="1"/>
      <c r="ABH56" s="1"/>
      <c r="ABI56" s="1"/>
      <c r="ABJ56" s="1"/>
      <c r="ABK56" s="1"/>
      <c r="ABL56" s="1"/>
      <c r="ABM56" s="1"/>
      <c r="ABN56" s="1"/>
      <c r="ABO56" s="1"/>
      <c r="ABP56" s="1"/>
      <c r="ABQ56" s="1"/>
      <c r="ABR56" s="1"/>
      <c r="ABS56" s="1"/>
      <c r="ABT56" s="1"/>
      <c r="ABU56" s="1"/>
      <c r="ABV56" s="1"/>
      <c r="ABW56" s="1"/>
      <c r="ABX56" s="1"/>
      <c r="ABY56" s="1"/>
      <c r="ABZ56" s="1"/>
      <c r="ACA56" s="1"/>
      <c r="ACB56" s="1"/>
      <c r="ACC56" s="1"/>
      <c r="ACD56" s="1"/>
      <c r="ACE56" s="1"/>
      <c r="ACF56" s="1"/>
      <c r="ACG56" s="1"/>
      <c r="ACH56" s="1"/>
      <c r="ACI56" s="1"/>
      <c r="ACJ56" s="1"/>
      <c r="ACK56" s="1"/>
      <c r="ACL56" s="1"/>
      <c r="ACM56" s="1"/>
      <c r="ACN56" s="1"/>
      <c r="ACO56" s="1"/>
      <c r="ACP56" s="1"/>
      <c r="ACQ56" s="1"/>
      <c r="ACR56" s="1"/>
      <c r="ACS56" s="1"/>
      <c r="ACT56" s="1"/>
      <c r="ACU56" s="1"/>
      <c r="ACV56" s="1"/>
      <c r="ACW56" s="1"/>
      <c r="ACX56" s="1"/>
      <c r="ACY56" s="1"/>
      <c r="ACZ56" s="1"/>
      <c r="ADA56" s="1"/>
      <c r="ADB56" s="1"/>
      <c r="ADC56" s="1"/>
      <c r="ADD56" s="1"/>
      <c r="ADE56" s="1"/>
      <c r="ADF56" s="1"/>
      <c r="ADG56" s="1"/>
      <c r="ADH56" s="1"/>
      <c r="ADI56" s="1"/>
      <c r="ADJ56" s="1"/>
      <c r="ADK56" s="1"/>
      <c r="ADL56" s="1"/>
      <c r="ADM56" s="1"/>
      <c r="ADN56" s="1"/>
      <c r="ADO56" s="1"/>
      <c r="ADP56" s="1"/>
      <c r="ADQ56" s="1"/>
      <c r="ADR56" s="1"/>
      <c r="ADS56" s="1"/>
      <c r="ADT56" s="1"/>
      <c r="ADU56" s="1"/>
      <c r="ADV56" s="1"/>
      <c r="ADW56" s="1"/>
      <c r="ADX56" s="1"/>
      <c r="ADY56" s="1"/>
      <c r="ADZ56" s="1"/>
      <c r="AEA56" s="1"/>
      <c r="AEB56" s="1"/>
      <c r="AEC56" s="1"/>
      <c r="AED56" s="1"/>
      <c r="AEE56" s="1"/>
      <c r="AEF56" s="1"/>
      <c r="AEG56" s="1"/>
      <c r="AEH56" s="1"/>
      <c r="AEI56" s="1"/>
      <c r="AEJ56" s="1"/>
      <c r="AEK56" s="1"/>
      <c r="AEL56" s="1"/>
      <c r="AEM56" s="1"/>
      <c r="AEN56" s="1"/>
      <c r="AEO56" s="1"/>
      <c r="AEP56" s="1"/>
      <c r="AEQ56" s="1"/>
      <c r="AER56" s="1"/>
      <c r="AES56" s="1"/>
      <c r="AET56" s="1"/>
      <c r="AEU56" s="1"/>
      <c r="AEV56" s="1"/>
      <c r="AEW56" s="1"/>
      <c r="AEX56" s="1"/>
      <c r="AEY56" s="1"/>
      <c r="AEZ56" s="1"/>
      <c r="AFA56" s="1"/>
      <c r="AFB56" s="1"/>
      <c r="AFC56" s="1"/>
      <c r="AFD56" s="1"/>
      <c r="AFE56" s="1"/>
      <c r="AFF56" s="1"/>
      <c r="AFG56" s="1"/>
      <c r="AFH56" s="1"/>
      <c r="AFI56" s="1"/>
      <c r="AFJ56" s="1"/>
      <c r="AFK56" s="1"/>
      <c r="AFL56" s="1"/>
      <c r="AFM56" s="1"/>
      <c r="AFN56" s="1"/>
      <c r="AFO56" s="1"/>
      <c r="AFP56" s="1"/>
      <c r="AFQ56" s="1"/>
      <c r="AFR56" s="1"/>
      <c r="AFS56" s="1"/>
      <c r="AFT56" s="1"/>
      <c r="AFU56" s="1"/>
      <c r="AFV56" s="1"/>
      <c r="AFW56" s="1"/>
      <c r="AFX56" s="1"/>
      <c r="AFY56" s="1"/>
      <c r="AFZ56" s="1"/>
      <c r="AGA56" s="1"/>
      <c r="AGB56" s="1"/>
      <c r="AGC56" s="1"/>
      <c r="AGD56" s="1"/>
      <c r="AGE56" s="1"/>
      <c r="AGF56" s="1"/>
      <c r="AGG56" s="1"/>
      <c r="AGH56" s="1"/>
      <c r="AGI56" s="1"/>
      <c r="AGJ56" s="1"/>
      <c r="AGK56" s="1"/>
      <c r="AGL56" s="1"/>
      <c r="AGM56" s="1"/>
      <c r="AGN56" s="1"/>
      <c r="AGO56" s="1"/>
      <c r="AGP56" s="1"/>
      <c r="AGQ56" s="1"/>
      <c r="AGR56" s="1"/>
      <c r="AGS56" s="1"/>
      <c r="AGT56" s="1"/>
      <c r="AGU56" s="1"/>
      <c r="AGV56" s="1"/>
      <c r="AGW56" s="1"/>
      <c r="AGX56" s="1"/>
      <c r="AGY56" s="1"/>
      <c r="AGZ56" s="1"/>
      <c r="AHA56" s="1"/>
      <c r="AHB56" s="1"/>
      <c r="AHC56" s="1"/>
      <c r="AHD56" s="1"/>
      <c r="AHE56" s="1"/>
      <c r="AHF56" s="1"/>
      <c r="AHG56" s="1"/>
      <c r="AHH56" s="1"/>
      <c r="AHI56" s="1"/>
      <c r="AHJ56" s="1"/>
      <c r="AHK56" s="1"/>
      <c r="AHL56" s="1"/>
      <c r="AHM56" s="1"/>
      <c r="AHN56" s="1"/>
      <c r="AHO56" s="1"/>
      <c r="AHP56" s="1"/>
      <c r="AHQ56" s="1"/>
      <c r="AHR56" s="1"/>
      <c r="AHS56" s="1"/>
      <c r="AHT56" s="1"/>
      <c r="AHU56" s="1"/>
      <c r="AHV56" s="1"/>
      <c r="AHW56" s="1"/>
      <c r="AHX56" s="1"/>
      <c r="AHY56" s="1"/>
      <c r="AHZ56" s="1"/>
      <c r="AIA56" s="1"/>
      <c r="AIB56" s="1"/>
      <c r="AIC56" s="1"/>
      <c r="AID56" s="1"/>
      <c r="AIE56" s="1"/>
      <c r="AIF56" s="1"/>
      <c r="AIG56" s="1"/>
      <c r="AIH56" s="1"/>
      <c r="AII56" s="1"/>
      <c r="AIJ56" s="1"/>
      <c r="AIK56" s="1"/>
      <c r="AIL56" s="1"/>
      <c r="AIM56" s="1"/>
      <c r="AIN56" s="1"/>
      <c r="AIO56" s="1"/>
      <c r="AIP56" s="1"/>
      <c r="AIQ56" s="1"/>
      <c r="AIR56" s="1"/>
      <c r="AIS56" s="1"/>
      <c r="AIT56" s="1"/>
      <c r="AIU56" s="1"/>
      <c r="AIV56" s="1"/>
      <c r="AIW56" s="1"/>
      <c r="AIX56" s="1"/>
      <c r="AIY56" s="1"/>
      <c r="AIZ56" s="1"/>
      <c r="AJA56" s="1"/>
      <c r="AJB56" s="1"/>
      <c r="AJC56" s="1"/>
      <c r="AJD56" s="1"/>
      <c r="AJE56" s="1"/>
      <c r="AJF56" s="1"/>
      <c r="AJG56" s="1"/>
      <c r="AJH56" s="1"/>
      <c r="AJI56" s="1"/>
      <c r="AJJ56" s="1"/>
      <c r="AJK56" s="1"/>
      <c r="AJL56" s="1"/>
      <c r="AJM56" s="1"/>
      <c r="AJN56" s="1"/>
      <c r="AJO56" s="1"/>
      <c r="AJP56" s="1"/>
      <c r="AJQ56" s="1"/>
      <c r="AJR56" s="1"/>
      <c r="AJS56" s="1"/>
      <c r="AJT56" s="1"/>
      <c r="AJU56" s="1"/>
      <c r="AJV56" s="1"/>
      <c r="AJW56" s="1"/>
      <c r="AJX56" s="1"/>
      <c r="AJY56" s="1"/>
      <c r="AJZ56" s="1"/>
      <c r="AKA56" s="1"/>
      <c r="AKB56" s="1"/>
      <c r="AKC56" s="1"/>
      <c r="AKD56" s="1"/>
      <c r="AKE56" s="1"/>
      <c r="AKF56" s="1"/>
      <c r="AKG56" s="1"/>
      <c r="AKH56" s="1"/>
      <c r="AKI56" s="1"/>
      <c r="AKJ56" s="1"/>
      <c r="AKK56" s="1"/>
      <c r="AKL56" s="1"/>
      <c r="AKM56" s="1"/>
      <c r="AKN56" s="1"/>
      <c r="AKO56" s="1"/>
      <c r="AKP56" s="1"/>
      <c r="AKQ56" s="1"/>
      <c r="AKR56" s="1"/>
      <c r="AKS56" s="1"/>
      <c r="AKT56" s="1"/>
      <c r="AKU56" s="1"/>
      <c r="AKV56" s="1"/>
      <c r="AKW56" s="1"/>
      <c r="AKX56" s="1"/>
      <c r="AKY56" s="1"/>
      <c r="AKZ56" s="1"/>
      <c r="ALA56" s="1"/>
      <c r="ALB56" s="1"/>
      <c r="ALC56" s="1"/>
      <c r="ALD56" s="1"/>
      <c r="ALE56" s="1"/>
      <c r="ALF56" s="1"/>
      <c r="ALG56" s="1"/>
      <c r="ALH56" s="1"/>
      <c r="ALI56" s="1"/>
      <c r="ALJ56" s="1"/>
      <c r="ALK56" s="1"/>
      <c r="ALL56" s="1"/>
      <c r="ALM56" s="1"/>
      <c r="ALN56" s="1"/>
      <c r="ALO56" s="1"/>
      <c r="ALP56" s="1"/>
      <c r="ALQ56" s="1"/>
      <c r="ALR56" s="1"/>
      <c r="ALS56" s="1"/>
      <c r="ALT56" s="1"/>
      <c r="ALU56" s="1"/>
      <c r="ALV56" s="1"/>
      <c r="ALW56" s="1"/>
      <c r="ALX56" s="1"/>
      <c r="ALY56" s="1"/>
      <c r="ALZ56" s="1"/>
      <c r="AMA56" s="1"/>
      <c r="AMB56" s="1"/>
      <c r="AMC56" s="1"/>
      <c r="AMD56" s="1"/>
      <c r="AME56" s="1"/>
      <c r="AMF56" s="1"/>
      <c r="AMG56" s="1"/>
      <c r="AMH56" s="1"/>
      <c r="AMI56" s="1"/>
      <c r="AMJ56" s="1"/>
    </row>
    <row r="57" s="19" customFormat="true" ht="13.8" hidden="false" customHeight="false" outlineLevel="0" collapsed="false">
      <c r="A57" s="28" t="s">
        <v>378</v>
      </c>
      <c r="B57" s="28" t="s">
        <v>383</v>
      </c>
      <c r="C57" s="1" t="n">
        <v>11375</v>
      </c>
      <c r="D57" s="1" t="n">
        <v>11374</v>
      </c>
      <c r="E57" s="1" t="n">
        <v>491</v>
      </c>
      <c r="F57" s="1" t="s">
        <v>89</v>
      </c>
      <c r="G57" s="1" t="s">
        <v>90</v>
      </c>
      <c r="H57" s="1" t="s">
        <v>91</v>
      </c>
      <c r="I57" s="1" t="s">
        <v>92</v>
      </c>
      <c r="J57" s="1" t="n">
        <v>2014</v>
      </c>
      <c r="K57" s="1"/>
      <c r="L57" s="1"/>
      <c r="M57" s="1" t="n">
        <v>12</v>
      </c>
      <c r="N57" s="1" t="n">
        <v>15750</v>
      </c>
      <c r="O57" s="2"/>
      <c r="P57" s="3"/>
      <c r="Q57" s="3"/>
      <c r="R57" s="3"/>
      <c r="S57" s="3"/>
      <c r="T57" s="3"/>
      <c r="U57" s="3"/>
      <c r="V57" s="3"/>
      <c r="W57" s="1" t="n">
        <v>170</v>
      </c>
      <c r="X57" s="2"/>
      <c r="Y57" s="1" t="n">
        <v>5</v>
      </c>
      <c r="Z57" s="1" t="n">
        <v>360</v>
      </c>
      <c r="AA57" s="4" t="n">
        <f aca="false">IF(AND(W57&gt;0,Z57&gt;0),(Z57/((W57+X57)*10)),"")</f>
        <v>0.211764705882353</v>
      </c>
      <c r="AB57" s="1" t="n">
        <v>200</v>
      </c>
      <c r="AC57" s="1" t="n">
        <f aca="false">ROUND(AB57*1.6, 0)</f>
        <v>320</v>
      </c>
      <c r="AD57" s="1"/>
      <c r="AE57" s="1"/>
      <c r="AF57" s="1" t="n">
        <v>25.7</v>
      </c>
      <c r="AG57" s="1" t="n">
        <v>25.7</v>
      </c>
      <c r="AH57" s="1" t="n">
        <v>2.92</v>
      </c>
      <c r="AI57" s="1" t="n">
        <v>4.3</v>
      </c>
      <c r="AJ57" s="5" t="n">
        <v>53</v>
      </c>
      <c r="AK57" s="1" t="str">
        <f aca="false">CONCATENATE(VLOOKUP(AL57, '[1]Voxel Sizes'!$A$2:$B$18,2,FALSE()),"x",INT(AH57*15), "x", INT(AI57*15))</f>
        <v>256x43x64</v>
      </c>
      <c r="AL57" s="1" t="n">
        <f aca="false">ROUND(15*((AG57*10)/256),0)</f>
        <v>15</v>
      </c>
      <c r="AM57" s="1"/>
      <c r="AN57" s="1" t="str">
        <f aca="false">CONCATENATE(VLOOKUP(AL57,Constants!$A$2:$C$16,IF(AM57&lt;&gt;"", 3, 2), FALSE()),IF(AM57&lt;&gt;"",CONCATENATE(",",VLOOKUP(AM57,$B:$AN,38,FALSE())),""))</f>
        <v>4,7,4</v>
      </c>
      <c r="AO57" s="1" t="s">
        <v>384</v>
      </c>
      <c r="AP57" s="7" t="str">
        <f aca="false">E320_12_ULEN</f>
        <v>4,7,4,4,6,4,4,6,4,4,6,4,4,6,4,4,6,4,4,6,4,4,6,4,4,6,4,4,6,4,4,6,4,4,7,4</v>
      </c>
      <c r="AQ57" s="7" t="str">
        <f aca="false">E320_12_VLEN</f>
        <v>15,14,14,14,14,14,14,14,14,14,14,15</v>
      </c>
      <c r="AR57" s="1" t="str">
        <f aca="false">E320_12_VEH</f>
        <v>eurostar_e320_front,eurostar_e320_p,eurostar_e320_pd,eurostar_e320_m,eurostar_e320_pd,eurostar_e320_mc,eurostar_e320_mc,eurostar_e320_pdr,eurostar_e320_mr,eurostar_e320_pdr,eurostar_e320_pr,eurostar_e320_rear</v>
      </c>
      <c r="AS57" s="1"/>
      <c r="AT57" s="1" t="str">
        <f aca="false">E320_12_NV</f>
        <v>0,0,0,0,0,0,0,0,0,0,0,0</v>
      </c>
      <c r="AU57" s="1" t="s">
        <v>381</v>
      </c>
      <c r="AV57" s="1"/>
      <c r="AW57" s="1"/>
      <c r="AX57" s="1" t="n">
        <v>35</v>
      </c>
      <c r="AY57" s="6" t="str">
        <f aca="false">IF(L57&lt;&gt;"",MAX(16,(L57-J57)+8),"")</f>
        <v/>
      </c>
      <c r="AZ57" s="1" t="n">
        <v>-10</v>
      </c>
      <c r="BA57" s="1" t="n">
        <v>-30</v>
      </c>
      <c r="BB57" s="1" t="n">
        <f aca="false">MIN(AB57/150, 1)*30</f>
        <v>30</v>
      </c>
      <c r="BC57" s="1" t="n">
        <f aca="false">MIN(N57/4000, 1)*20</f>
        <v>20</v>
      </c>
      <c r="BD57" s="1" t="n">
        <f aca="false">MIN(Z57/400,1)*20</f>
        <v>18</v>
      </c>
      <c r="BE57" s="4" t="n">
        <f aca="false">1-(MAX(J57-1900, 0)/750)</f>
        <v>0.848</v>
      </c>
      <c r="BF57" s="1" t="n">
        <f aca="false">((MAX($M57,1)*MIN($AJ57/300,1)))*IF(G57="Wagon",50,10)</f>
        <v>21.2</v>
      </c>
      <c r="BG57" s="1" t="n">
        <f aca="false">VLOOKUP($H57,Constants!$I:$K, 2, FALSE())</f>
        <v>0.85</v>
      </c>
      <c r="BH57" s="1" t="n">
        <f aca="false">VLOOKUP($H57,Constants!$I:$K, 3, FALSE())*IF(AND(G57="multiple_unit",AB57&lt;110),0.75,1)</f>
        <v>2.3</v>
      </c>
      <c r="BI57" s="1" t="n">
        <f aca="false">INT(POWER((([1]Constants!$G$2+$BB57+$BC57+$BD57+$BF57)*$BE57)*$BH57, 1.05))+$BA57</f>
        <v>208</v>
      </c>
      <c r="BJ57" s="1" t="n">
        <f aca="false">INT(POWER(((([1]Constants!$G$1+$BB57+$BC57+$BD57+$BF57)*($BE57))*$BG57),IF($G57="wagon",1,1.2)))+$AZ57</f>
        <v>168</v>
      </c>
      <c r="BK57" s="33" t="n">
        <f aca="false">BI57*IF($G57="wagon",62.5,781.25)</f>
        <v>162500</v>
      </c>
      <c r="BL57" s="33" t="n">
        <f aca="false">BJ57*IF($G57="wagon",2.73,81.25)</f>
        <v>13650</v>
      </c>
      <c r="BM57" s="1"/>
      <c r="BN57" s="1"/>
      <c r="BO57" s="1"/>
      <c r="BP57" s="1"/>
      <c r="BQ57" s="1"/>
      <c r="BR57" s="1"/>
      <c r="BS57" s="1"/>
      <c r="BT57" s="1" t="n">
        <v>6</v>
      </c>
      <c r="BU57" s="1" t="n">
        <v>185</v>
      </c>
      <c r="BV57" s="1" t="s">
        <v>223</v>
      </c>
      <c r="BW57" s="28"/>
      <c r="BX57" s="1" t="s">
        <v>95</v>
      </c>
      <c r="BY57" s="1" t="str">
        <f aca="false">VLOOKUP(J57,[1]Eras!$A$2:$C$10, 2, TRUE())</f>
        <v>mod</v>
      </c>
      <c r="BZ57" s="28" t="s">
        <v>224</v>
      </c>
      <c r="CA57" s="1" t="str">
        <f aca="false">CONCATENATE(BY57,"_",BZ57)</f>
        <v>mod_EMU (Express)</v>
      </c>
      <c r="CB57" s="1" t="str">
        <f aca="false">_xlfn.CONCAT(H57, "_",I57)</f>
        <v>electric_ELRL</v>
      </c>
      <c r="CC57" s="32" t="str">
        <f aca="false" t="array" ref="CC57:CC57">_xlfn.CONCAT("{BLACK}Length: {GOLD}", TEXT(ROUNDUP(IF(AQ57&lt;&gt;"",SUM(VALUE(_xlfn.TEXTSPLIT(AQ57, ","))), SUM(VALUE(_xlfn.TEXTSPLIT(AN57, ",")))*IF(M57, M57, 1))/16, 1), "#,##0.0"), " tiles{}")</f>
        <v>{BLACK}Length: {GOLD}10.7 tiles{}</v>
      </c>
      <c r="CD57" s="1" t="str">
        <f aca="false">VLOOKUP($CB57, Constants!$M:$N, 2, FALSE())</f>
        <v>{BLACK}Powered by: {GOLD}25kV AC</v>
      </c>
      <c r="CE57" s="1" t="str">
        <f aca="false">IF(M57&gt;1,_xlfn.CONCAT("{BLACK}Cars: {GOLD}", M57),"")</f>
        <v>{BLACK}Cars: {GOLD}12</v>
      </c>
      <c r="CF57" s="1" t="s">
        <v>385</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
      </c>
      <c r="CH57" s="1" t="str">
        <f aca="false">_xlfn.CONCAT(CD57,IF(CD57 &lt;&gt; "", " ", ""),CE57,IF(OR(CE57&lt;&gt;"", CD57&lt;&gt;""), "{}",""), CC57, CG57,"{SILVER}", CF57)</f>
        <v>{BLACK}Powered by: {GOLD}25kV AC {BLACK}Cars: {GOLD}12{}{BLACK}Length: {GOLD}10.7 tiles{}{SILVER}ooers</v>
      </c>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C57" s="1"/>
      <c r="ND57" s="1"/>
      <c r="NE57" s="1"/>
      <c r="NF57" s="1"/>
      <c r="NG57" s="1"/>
      <c r="NH57" s="1"/>
      <c r="NI57" s="1"/>
      <c r="NJ57" s="1"/>
      <c r="NK57" s="1"/>
      <c r="NL57" s="1"/>
      <c r="NM57" s="1"/>
      <c r="NN57" s="1"/>
      <c r="NO57" s="1"/>
      <c r="NP57" s="1"/>
      <c r="NQ57" s="1"/>
      <c r="NR57" s="1"/>
      <c r="NS57" s="1"/>
      <c r="NT57" s="1"/>
      <c r="NU57" s="1"/>
      <c r="NV57" s="1"/>
      <c r="NW57" s="1"/>
      <c r="NX57" s="1"/>
      <c r="NY57" s="1"/>
      <c r="NZ57" s="1"/>
      <c r="OA57" s="1"/>
      <c r="OB57" s="1"/>
      <c r="OC57" s="1"/>
      <c r="OD57" s="1"/>
      <c r="OE57" s="1"/>
      <c r="OF57" s="1"/>
      <c r="OG57" s="1"/>
      <c r="OH57" s="1"/>
      <c r="OI57" s="1"/>
      <c r="OJ57" s="1"/>
      <c r="OK57" s="1"/>
      <c r="OL57" s="1"/>
      <c r="OM57" s="1"/>
      <c r="ON57" s="1"/>
      <c r="OO57" s="1"/>
      <c r="OP57" s="1"/>
      <c r="OQ57" s="1"/>
      <c r="OR57" s="1"/>
      <c r="OS57" s="1"/>
      <c r="OT57" s="1"/>
      <c r="OU57" s="1"/>
      <c r="OV57" s="1"/>
      <c r="OW57" s="1"/>
      <c r="OX57" s="1"/>
      <c r="OY57" s="1"/>
      <c r="OZ57" s="1"/>
      <c r="PA57" s="1"/>
      <c r="PB57" s="1"/>
      <c r="PC57" s="1"/>
      <c r="PD57" s="1"/>
      <c r="PE57" s="1"/>
      <c r="PF57" s="1"/>
      <c r="PG57" s="1"/>
      <c r="PH57" s="1"/>
      <c r="PI57" s="1"/>
      <c r="PJ57" s="1"/>
      <c r="PK57" s="1"/>
      <c r="PL57" s="1"/>
      <c r="PM57" s="1"/>
      <c r="PN57" s="1"/>
      <c r="PO57" s="1"/>
      <c r="PP57" s="1"/>
      <c r="PQ57" s="1"/>
      <c r="PR57" s="1"/>
      <c r="PS57" s="1"/>
      <c r="PT57" s="1"/>
      <c r="PU57" s="1"/>
      <c r="PV57" s="1"/>
      <c r="PW57" s="1"/>
      <c r="PX57" s="1"/>
      <c r="PY57" s="1"/>
      <c r="PZ57" s="1"/>
      <c r="QA57" s="1"/>
      <c r="QB57" s="1"/>
      <c r="QC57" s="1"/>
      <c r="QD57" s="1"/>
      <c r="QE57" s="1"/>
      <c r="QF57" s="1"/>
      <c r="QG57" s="1"/>
      <c r="QH57" s="1"/>
      <c r="QI57" s="1"/>
      <c r="QJ57" s="1"/>
      <c r="QK57" s="1"/>
      <c r="QL57" s="1"/>
      <c r="QM57" s="1"/>
      <c r="QN57" s="1"/>
      <c r="QO57" s="1"/>
      <c r="QP57" s="1"/>
      <c r="QQ57" s="1"/>
      <c r="QR57" s="1"/>
      <c r="QS57" s="1"/>
      <c r="QT57" s="1"/>
      <c r="QU57" s="1"/>
      <c r="QV57" s="1"/>
      <c r="QW57" s="1"/>
      <c r="QX57" s="1"/>
      <c r="QY57" s="1"/>
      <c r="QZ57" s="1"/>
      <c r="RA57" s="1"/>
      <c r="RB57" s="1"/>
      <c r="RC57" s="1"/>
      <c r="RD57" s="1"/>
      <c r="RE57" s="1"/>
      <c r="RF57" s="1"/>
      <c r="RG57" s="1"/>
      <c r="RH57" s="1"/>
      <c r="RI57" s="1"/>
      <c r="RJ57" s="1"/>
      <c r="RK57" s="1"/>
      <c r="RL57" s="1"/>
      <c r="RM57" s="1"/>
      <c r="RN57" s="1"/>
      <c r="RO57" s="1"/>
      <c r="RP57" s="1"/>
      <c r="RQ57" s="1"/>
      <c r="RR57" s="1"/>
      <c r="RS57" s="1"/>
      <c r="RT57" s="1"/>
      <c r="RU57" s="1"/>
      <c r="RV57" s="1"/>
      <c r="RW57" s="1"/>
      <c r="RX57" s="1"/>
      <c r="RY57" s="1"/>
      <c r="RZ57" s="1"/>
      <c r="SA57" s="1"/>
      <c r="SB57" s="1"/>
      <c r="SC57" s="1"/>
      <c r="SD57" s="1"/>
      <c r="SE57" s="1"/>
      <c r="SF57" s="1"/>
      <c r="SG57" s="1"/>
      <c r="SH57" s="1"/>
      <c r="SI57" s="1"/>
      <c r="SJ57" s="1"/>
      <c r="SK57" s="1"/>
      <c r="SL57" s="1"/>
      <c r="SM57" s="1"/>
      <c r="SN57" s="1"/>
      <c r="SO57" s="1"/>
      <c r="SP57" s="1"/>
      <c r="SQ57" s="1"/>
      <c r="SR57" s="1"/>
      <c r="SS57" s="1"/>
      <c r="ST57" s="1"/>
      <c r="SU57" s="1"/>
      <c r="SV57" s="1"/>
      <c r="SW57" s="1"/>
      <c r="SX57" s="1"/>
      <c r="SY57" s="1"/>
      <c r="SZ57" s="1"/>
      <c r="TA57" s="1"/>
      <c r="TB57" s="1"/>
      <c r="TC57" s="1"/>
      <c r="TD57" s="1"/>
      <c r="TE57" s="1"/>
      <c r="TF57" s="1"/>
      <c r="TG57" s="1"/>
      <c r="TH57" s="1"/>
      <c r="TI57" s="1"/>
      <c r="TJ57" s="1"/>
      <c r="TK57" s="1"/>
      <c r="TL57" s="1"/>
      <c r="TM57" s="1"/>
      <c r="TN57" s="1"/>
      <c r="TO57" s="1"/>
      <c r="TP57" s="1"/>
      <c r="TQ57" s="1"/>
      <c r="TR57" s="1"/>
      <c r="TS57" s="1"/>
      <c r="TT57" s="1"/>
      <c r="TU57" s="1"/>
      <c r="TV57" s="1"/>
      <c r="TW57" s="1"/>
      <c r="TX57" s="1"/>
      <c r="TY57" s="1"/>
      <c r="TZ57" s="1"/>
      <c r="UA57" s="1"/>
      <c r="UB57" s="1"/>
      <c r="UC57" s="1"/>
      <c r="UD57" s="1"/>
      <c r="UE57" s="1"/>
      <c r="UF57" s="1"/>
      <c r="UG57" s="1"/>
      <c r="UH57" s="1"/>
      <c r="UI57" s="1"/>
      <c r="UJ57" s="1"/>
      <c r="UK57" s="1"/>
      <c r="UL57" s="1"/>
      <c r="UM57" s="1"/>
      <c r="UN57" s="1"/>
      <c r="UO57" s="1"/>
      <c r="UP57" s="1"/>
      <c r="UQ57" s="1"/>
      <c r="UR57" s="1"/>
      <c r="US57" s="1"/>
      <c r="UT57" s="1"/>
      <c r="UU57" s="1"/>
      <c r="UV57" s="1"/>
      <c r="UW57" s="1"/>
      <c r="UX57" s="1"/>
      <c r="UY57" s="1"/>
      <c r="UZ57" s="1"/>
      <c r="VA57" s="1"/>
      <c r="VB57" s="1"/>
      <c r="VC57" s="1"/>
      <c r="VD57" s="1"/>
      <c r="VE57" s="1"/>
      <c r="VF57" s="1"/>
      <c r="VG57" s="1"/>
      <c r="VH57" s="1"/>
      <c r="VI57" s="1"/>
      <c r="VJ57" s="1"/>
      <c r="VK57" s="1"/>
      <c r="VL57" s="1"/>
      <c r="VM57" s="1"/>
      <c r="VN57" s="1"/>
      <c r="VO57" s="1"/>
      <c r="VP57" s="1"/>
      <c r="VQ57" s="1"/>
      <c r="VR57" s="1"/>
      <c r="VS57" s="1"/>
      <c r="VT57" s="1"/>
      <c r="VU57" s="1"/>
      <c r="VV57" s="1"/>
      <c r="VW57" s="1"/>
      <c r="VX57" s="1"/>
      <c r="VY57" s="1"/>
      <c r="VZ57" s="1"/>
      <c r="WA57" s="1"/>
      <c r="WB57" s="1"/>
      <c r="WC57" s="1"/>
      <c r="WD57" s="1"/>
      <c r="WE57" s="1"/>
      <c r="WF57" s="1"/>
      <c r="WG57" s="1"/>
      <c r="WH57" s="1"/>
      <c r="WI57" s="1"/>
      <c r="WJ57" s="1"/>
      <c r="WK57" s="1"/>
      <c r="WL57" s="1"/>
      <c r="WM57" s="1"/>
      <c r="WN57" s="1"/>
      <c r="WO57" s="1"/>
      <c r="WP57" s="1"/>
      <c r="WQ57" s="1"/>
      <c r="WR57" s="1"/>
      <c r="WS57" s="1"/>
      <c r="WT57" s="1"/>
      <c r="WU57" s="1"/>
      <c r="WV57" s="1"/>
      <c r="WW57" s="1"/>
      <c r="WX57" s="1"/>
      <c r="WY57" s="1"/>
      <c r="WZ57" s="1"/>
      <c r="XA57" s="1"/>
      <c r="XB57" s="1"/>
      <c r="XC57" s="1"/>
      <c r="XD57" s="1"/>
      <c r="XE57" s="1"/>
      <c r="XF57" s="1"/>
      <c r="XG57" s="1"/>
      <c r="XH57" s="1"/>
      <c r="XI57" s="1"/>
      <c r="XJ57" s="1"/>
      <c r="XK57" s="1"/>
      <c r="XL57" s="1"/>
      <c r="XM57" s="1"/>
      <c r="XN57" s="1"/>
      <c r="XO57" s="1"/>
      <c r="XP57" s="1"/>
      <c r="XQ57" s="1"/>
      <c r="XR57" s="1"/>
      <c r="XS57" s="1"/>
      <c r="XT57" s="1"/>
      <c r="XU57" s="1"/>
      <c r="XV57" s="1"/>
      <c r="XW57" s="1"/>
      <c r="XX57" s="1"/>
      <c r="XY57" s="1"/>
      <c r="XZ57" s="1"/>
      <c r="YA57" s="1"/>
      <c r="YB57" s="1"/>
      <c r="YC57" s="1"/>
      <c r="YD57" s="1"/>
      <c r="YE57" s="1"/>
      <c r="YF57" s="1"/>
      <c r="YG57" s="1"/>
      <c r="YH57" s="1"/>
      <c r="YI57" s="1"/>
      <c r="YJ57" s="1"/>
      <c r="YK57" s="1"/>
      <c r="YL57" s="1"/>
      <c r="YM57" s="1"/>
      <c r="YN57" s="1"/>
      <c r="YO57" s="1"/>
      <c r="YP57" s="1"/>
      <c r="YQ57" s="1"/>
      <c r="YR57" s="1"/>
      <c r="YS57" s="1"/>
      <c r="YT57" s="1"/>
      <c r="YU57" s="1"/>
      <c r="YV57" s="1"/>
      <c r="YW57" s="1"/>
      <c r="YX57" s="1"/>
      <c r="YY57" s="1"/>
      <c r="YZ57" s="1"/>
      <c r="ZA57" s="1"/>
      <c r="ZB57" s="1"/>
      <c r="ZC57" s="1"/>
      <c r="ZD57" s="1"/>
      <c r="ZE57" s="1"/>
      <c r="ZF57" s="1"/>
      <c r="ZG57" s="1"/>
      <c r="ZH57" s="1"/>
      <c r="ZI57" s="1"/>
      <c r="ZJ57" s="1"/>
      <c r="ZK57" s="1"/>
      <c r="ZL57" s="1"/>
      <c r="ZM57" s="1"/>
      <c r="ZN57" s="1"/>
      <c r="ZO57" s="1"/>
      <c r="ZP57" s="1"/>
      <c r="ZQ57" s="1"/>
      <c r="ZR57" s="1"/>
      <c r="ZS57" s="1"/>
      <c r="ZT57" s="1"/>
      <c r="ZU57" s="1"/>
      <c r="ZV57" s="1"/>
      <c r="ZW57" s="1"/>
      <c r="ZX57" s="1"/>
      <c r="ZY57" s="1"/>
      <c r="ZZ57" s="1"/>
      <c r="AAA57" s="1"/>
      <c r="AAB57" s="1"/>
      <c r="AAC57" s="1"/>
      <c r="AAD57" s="1"/>
      <c r="AAE57" s="1"/>
      <c r="AAF57" s="1"/>
      <c r="AAG57" s="1"/>
      <c r="AAH57" s="1"/>
      <c r="AAI57" s="1"/>
      <c r="AAJ57" s="1"/>
      <c r="AAK57" s="1"/>
      <c r="AAL57" s="1"/>
      <c r="AAM57" s="1"/>
      <c r="AAN57" s="1"/>
      <c r="AAO57" s="1"/>
      <c r="AAP57" s="1"/>
      <c r="AAQ57" s="1"/>
      <c r="AAR57" s="1"/>
      <c r="AAS57" s="1"/>
      <c r="AAT57" s="1"/>
      <c r="AAU57" s="1"/>
      <c r="AAV57" s="1"/>
      <c r="AAW57" s="1"/>
      <c r="AAX57" s="1"/>
      <c r="AAY57" s="1"/>
      <c r="AAZ57" s="1"/>
      <c r="ABA57" s="1"/>
      <c r="ABB57" s="1"/>
      <c r="ABC57" s="1"/>
      <c r="ABD57" s="1"/>
      <c r="ABE57" s="1"/>
      <c r="ABF57" s="1"/>
      <c r="ABG57" s="1"/>
      <c r="ABH57" s="1"/>
      <c r="ABI57" s="1"/>
      <c r="ABJ57" s="1"/>
      <c r="ABK57" s="1"/>
      <c r="ABL57" s="1"/>
      <c r="ABM57" s="1"/>
      <c r="ABN57" s="1"/>
      <c r="ABO57" s="1"/>
      <c r="ABP57" s="1"/>
      <c r="ABQ57" s="1"/>
      <c r="ABR57" s="1"/>
      <c r="ABS57" s="1"/>
      <c r="ABT57" s="1"/>
      <c r="ABU57" s="1"/>
      <c r="ABV57" s="1"/>
      <c r="ABW57" s="1"/>
      <c r="ABX57" s="1"/>
      <c r="ABY57" s="1"/>
      <c r="ABZ57" s="1"/>
      <c r="ACA57" s="1"/>
      <c r="ACB57" s="1"/>
      <c r="ACC57" s="1"/>
      <c r="ACD57" s="1"/>
      <c r="ACE57" s="1"/>
      <c r="ACF57" s="1"/>
      <c r="ACG57" s="1"/>
      <c r="ACH57" s="1"/>
      <c r="ACI57" s="1"/>
      <c r="ACJ57" s="1"/>
      <c r="ACK57" s="1"/>
      <c r="ACL57" s="1"/>
      <c r="ACM57" s="1"/>
      <c r="ACN57" s="1"/>
      <c r="ACO57" s="1"/>
      <c r="ACP57" s="1"/>
      <c r="ACQ57" s="1"/>
      <c r="ACR57" s="1"/>
      <c r="ACS57" s="1"/>
      <c r="ACT57" s="1"/>
      <c r="ACU57" s="1"/>
      <c r="ACV57" s="1"/>
      <c r="ACW57" s="1"/>
      <c r="ACX57" s="1"/>
      <c r="ACY57" s="1"/>
      <c r="ACZ57" s="1"/>
      <c r="ADA57" s="1"/>
      <c r="ADB57" s="1"/>
      <c r="ADC57" s="1"/>
      <c r="ADD57" s="1"/>
      <c r="ADE57" s="1"/>
      <c r="ADF57" s="1"/>
      <c r="ADG57" s="1"/>
      <c r="ADH57" s="1"/>
      <c r="ADI57" s="1"/>
      <c r="ADJ57" s="1"/>
      <c r="ADK57" s="1"/>
      <c r="ADL57" s="1"/>
      <c r="ADM57" s="1"/>
      <c r="ADN57" s="1"/>
      <c r="ADO57" s="1"/>
      <c r="ADP57" s="1"/>
      <c r="ADQ57" s="1"/>
      <c r="ADR57" s="1"/>
      <c r="ADS57" s="1"/>
      <c r="ADT57" s="1"/>
      <c r="ADU57" s="1"/>
      <c r="ADV57" s="1"/>
      <c r="ADW57" s="1"/>
      <c r="ADX57" s="1"/>
      <c r="ADY57" s="1"/>
      <c r="ADZ57" s="1"/>
      <c r="AEA57" s="1"/>
      <c r="AEB57" s="1"/>
      <c r="AEC57" s="1"/>
      <c r="AED57" s="1"/>
      <c r="AEE57" s="1"/>
      <c r="AEF57" s="1"/>
      <c r="AEG57" s="1"/>
      <c r="AEH57" s="1"/>
      <c r="AEI57" s="1"/>
      <c r="AEJ57" s="1"/>
      <c r="AEK57" s="1"/>
      <c r="AEL57" s="1"/>
      <c r="AEM57" s="1"/>
      <c r="AEN57" s="1"/>
      <c r="AEO57" s="1"/>
      <c r="AEP57" s="1"/>
      <c r="AEQ57" s="1"/>
      <c r="AER57" s="1"/>
      <c r="AES57" s="1"/>
      <c r="AET57" s="1"/>
      <c r="AEU57" s="1"/>
      <c r="AEV57" s="1"/>
      <c r="AEW57" s="1"/>
      <c r="AEX57" s="1"/>
      <c r="AEY57" s="1"/>
      <c r="AEZ57" s="1"/>
      <c r="AFA57" s="1"/>
      <c r="AFB57" s="1"/>
      <c r="AFC57" s="1"/>
      <c r="AFD57" s="1"/>
      <c r="AFE57" s="1"/>
      <c r="AFF57" s="1"/>
      <c r="AFG57" s="1"/>
      <c r="AFH57" s="1"/>
      <c r="AFI57" s="1"/>
      <c r="AFJ57" s="1"/>
      <c r="AFK57" s="1"/>
      <c r="AFL57" s="1"/>
      <c r="AFM57" s="1"/>
      <c r="AFN57" s="1"/>
      <c r="AFO57" s="1"/>
      <c r="AFP57" s="1"/>
      <c r="AFQ57" s="1"/>
      <c r="AFR57" s="1"/>
      <c r="AFS57" s="1"/>
      <c r="AFT57" s="1"/>
      <c r="AFU57" s="1"/>
      <c r="AFV57" s="1"/>
      <c r="AFW57" s="1"/>
      <c r="AFX57" s="1"/>
      <c r="AFY57" s="1"/>
      <c r="AFZ57" s="1"/>
      <c r="AGA57" s="1"/>
      <c r="AGB57" s="1"/>
      <c r="AGC57" s="1"/>
      <c r="AGD57" s="1"/>
      <c r="AGE57" s="1"/>
      <c r="AGF57" s="1"/>
      <c r="AGG57" s="1"/>
      <c r="AGH57" s="1"/>
      <c r="AGI57" s="1"/>
      <c r="AGJ57" s="1"/>
      <c r="AGK57" s="1"/>
      <c r="AGL57" s="1"/>
      <c r="AGM57" s="1"/>
      <c r="AGN57" s="1"/>
      <c r="AGO57" s="1"/>
      <c r="AGP57" s="1"/>
      <c r="AGQ57" s="1"/>
      <c r="AGR57" s="1"/>
      <c r="AGS57" s="1"/>
      <c r="AGT57" s="1"/>
      <c r="AGU57" s="1"/>
      <c r="AGV57" s="1"/>
      <c r="AGW57" s="1"/>
      <c r="AGX57" s="1"/>
      <c r="AGY57" s="1"/>
      <c r="AGZ57" s="1"/>
      <c r="AHA57" s="1"/>
      <c r="AHB57" s="1"/>
      <c r="AHC57" s="1"/>
      <c r="AHD57" s="1"/>
      <c r="AHE57" s="1"/>
      <c r="AHF57" s="1"/>
      <c r="AHG57" s="1"/>
      <c r="AHH57" s="1"/>
      <c r="AHI57" s="1"/>
      <c r="AHJ57" s="1"/>
      <c r="AHK57" s="1"/>
      <c r="AHL57" s="1"/>
      <c r="AHM57" s="1"/>
      <c r="AHN57" s="1"/>
      <c r="AHO57" s="1"/>
      <c r="AHP57" s="1"/>
      <c r="AHQ57" s="1"/>
      <c r="AHR57" s="1"/>
      <c r="AHS57" s="1"/>
      <c r="AHT57" s="1"/>
      <c r="AHU57" s="1"/>
      <c r="AHV57" s="1"/>
      <c r="AHW57" s="1"/>
      <c r="AHX57" s="1"/>
      <c r="AHY57" s="1"/>
      <c r="AHZ57" s="1"/>
      <c r="AIA57" s="1"/>
      <c r="AIB57" s="1"/>
      <c r="AIC57" s="1"/>
      <c r="AID57" s="1"/>
      <c r="AIE57" s="1"/>
      <c r="AIF57" s="1"/>
      <c r="AIG57" s="1"/>
      <c r="AIH57" s="1"/>
      <c r="AII57" s="1"/>
      <c r="AIJ57" s="1"/>
      <c r="AIK57" s="1"/>
      <c r="AIL57" s="1"/>
      <c r="AIM57" s="1"/>
      <c r="AIN57" s="1"/>
      <c r="AIO57" s="1"/>
      <c r="AIP57" s="1"/>
      <c r="AIQ57" s="1"/>
      <c r="AIR57" s="1"/>
      <c r="AIS57" s="1"/>
      <c r="AIT57" s="1"/>
      <c r="AIU57" s="1"/>
      <c r="AIV57" s="1"/>
      <c r="AIW57" s="1"/>
      <c r="AIX57" s="1"/>
      <c r="AIY57" s="1"/>
      <c r="AIZ57" s="1"/>
      <c r="AJA57" s="1"/>
      <c r="AJB57" s="1"/>
      <c r="AJC57" s="1"/>
      <c r="AJD57" s="1"/>
      <c r="AJE57" s="1"/>
      <c r="AJF57" s="1"/>
      <c r="AJG57" s="1"/>
      <c r="AJH57" s="1"/>
      <c r="AJI57" s="1"/>
      <c r="AJJ57" s="1"/>
      <c r="AJK57" s="1"/>
      <c r="AJL57" s="1"/>
      <c r="AJM57" s="1"/>
      <c r="AJN57" s="1"/>
      <c r="AJO57" s="1"/>
      <c r="AJP57" s="1"/>
      <c r="AJQ57" s="1"/>
      <c r="AJR57" s="1"/>
      <c r="AJS57" s="1"/>
      <c r="AJT57" s="1"/>
      <c r="AJU57" s="1"/>
      <c r="AJV57" s="1"/>
      <c r="AJW57" s="1"/>
      <c r="AJX57" s="1"/>
      <c r="AJY57" s="1"/>
      <c r="AJZ57" s="1"/>
      <c r="AKA57" s="1"/>
      <c r="AKB57" s="1"/>
      <c r="AKC57" s="1"/>
      <c r="AKD57" s="1"/>
      <c r="AKE57" s="1"/>
      <c r="AKF57" s="1"/>
      <c r="AKG57" s="1"/>
      <c r="AKH57" s="1"/>
      <c r="AKI57" s="1"/>
      <c r="AKJ57" s="1"/>
      <c r="AKK57" s="1"/>
      <c r="AKL57" s="1"/>
      <c r="AKM57" s="1"/>
      <c r="AKN57" s="1"/>
      <c r="AKO57" s="1"/>
      <c r="AKP57" s="1"/>
      <c r="AKQ57" s="1"/>
      <c r="AKR57" s="1"/>
      <c r="AKS57" s="1"/>
      <c r="AKT57" s="1"/>
      <c r="AKU57" s="1"/>
      <c r="AKV57" s="1"/>
      <c r="AKW57" s="1"/>
      <c r="AKX57" s="1"/>
      <c r="AKY57" s="1"/>
      <c r="AKZ57" s="1"/>
      <c r="ALA57" s="1"/>
      <c r="ALB57" s="1"/>
      <c r="ALC57" s="1"/>
      <c r="ALD57" s="1"/>
      <c r="ALE57" s="1"/>
      <c r="ALF57" s="1"/>
      <c r="ALG57" s="1"/>
      <c r="ALH57" s="1"/>
      <c r="ALI57" s="1"/>
      <c r="ALJ57" s="1"/>
      <c r="ALK57" s="1"/>
      <c r="ALL57" s="1"/>
      <c r="ALM57" s="1"/>
      <c r="ALN57" s="1"/>
      <c r="ALO57" s="1"/>
      <c r="ALP57" s="1"/>
      <c r="ALQ57" s="1"/>
      <c r="ALR57" s="1"/>
      <c r="ALS57" s="1"/>
      <c r="ALT57" s="1"/>
      <c r="ALU57" s="1"/>
      <c r="ALV57" s="1"/>
      <c r="ALW57" s="1"/>
      <c r="ALX57" s="1"/>
      <c r="ALY57" s="1"/>
      <c r="ALZ57" s="1"/>
      <c r="AMA57" s="1"/>
      <c r="AMB57" s="1"/>
      <c r="AMC57" s="1"/>
      <c r="AMD57" s="1"/>
      <c r="AME57" s="1"/>
      <c r="AMF57" s="1"/>
      <c r="AMG57" s="1"/>
      <c r="AMH57" s="1"/>
      <c r="AMI57" s="1"/>
      <c r="AMJ57" s="1"/>
    </row>
    <row r="58" customFormat="false" ht="13.8" hidden="false" customHeight="false" outlineLevel="0" collapsed="false">
      <c r="A58" s="1" t="s">
        <v>386</v>
      </c>
      <c r="B58" s="1" t="s">
        <v>387</v>
      </c>
      <c r="C58" s="1" t="n">
        <v>490</v>
      </c>
      <c r="E58" s="1" t="n">
        <v>500</v>
      </c>
      <c r="F58" s="1" t="s">
        <v>89</v>
      </c>
      <c r="G58" s="1" t="s">
        <v>90</v>
      </c>
      <c r="H58" s="1" t="s">
        <v>247</v>
      </c>
      <c r="I58" s="1" t="s">
        <v>92</v>
      </c>
      <c r="J58" s="1" t="n">
        <v>2022</v>
      </c>
      <c r="M58" s="1" t="n">
        <v>5</v>
      </c>
      <c r="N58" s="1" t="n">
        <v>4800</v>
      </c>
      <c r="O58" s="2" t="n">
        <v>3950</v>
      </c>
      <c r="W58" s="1" t="n">
        <v>235</v>
      </c>
      <c r="Y58" s="1" t="n">
        <v>5</v>
      </c>
      <c r="Z58" s="1" t="n">
        <v>195</v>
      </c>
      <c r="AA58" s="4" t="n">
        <f aca="false">IF(AND(W58&gt;0,Z58&gt;0),(Z58/((W58+X58)*10)),"")</f>
        <v>0.0829787234042553</v>
      </c>
      <c r="AB58" s="1" t="n">
        <v>125</v>
      </c>
      <c r="AC58" s="1" t="n">
        <f aca="false">ROUND(AB58*1.6, 0)</f>
        <v>200</v>
      </c>
      <c r="AF58" s="1" t="n">
        <v>24</v>
      </c>
      <c r="AG58" s="1" t="n">
        <v>22</v>
      </c>
      <c r="AJ58" s="5" t="n">
        <v>60</v>
      </c>
      <c r="AK58" s="1" t="str">
        <f aca="false">CONCATENATE(VLOOKUP(AL58, '[1]Voxel Sizes'!$A$2:$B$18,2,FALSE()),"x",INT(AH58*15), "x", INT(AI58*15))</f>
        <v>214x0x0</v>
      </c>
      <c r="AL58" s="1" t="n">
        <f aca="false">ROUND(15*((AG58*10)/256),0)</f>
        <v>13</v>
      </c>
      <c r="AN58" s="1" t="str">
        <f aca="false">CONCATENATE(VLOOKUP(AL58,Constants!$A$2:$C$16,IF(AM58&lt;&gt;"", 3, 2), FALSE()),IF(AM58&lt;&gt;"",CONCATENATE(",",VLOOKUP(AM58,$B:$AN,38,FALSE())),""))</f>
        <v>4,5,4</v>
      </c>
      <c r="AO58" s="1" t="n">
        <v>12</v>
      </c>
      <c r="AR58" s="1" t="s">
        <v>388</v>
      </c>
      <c r="AS58" s="1" t="s">
        <v>389</v>
      </c>
      <c r="AT58" s="1" t="s">
        <v>375</v>
      </c>
      <c r="AX58" s="1" t="n">
        <v>30</v>
      </c>
      <c r="AY58" s="6" t="str">
        <f aca="false">IF(L58&lt;&gt;"",MAX(16,(L58-J58)+8),"")</f>
        <v/>
      </c>
      <c r="AZ58" s="1" t="n">
        <v>-15</v>
      </c>
      <c r="BA58" s="1" t="n">
        <v>-30</v>
      </c>
      <c r="BB58" s="1" t="n">
        <f aca="false">MIN(AB58/150, 1)*30</f>
        <v>25</v>
      </c>
      <c r="BC58" s="1" t="n">
        <f aca="false">MIN(N58/4000, 1)*20</f>
        <v>20</v>
      </c>
      <c r="BD58" s="1" t="n">
        <f aca="false">MIN(Z58/400,1)*20</f>
        <v>9.75</v>
      </c>
      <c r="BE58" s="4" t="n">
        <f aca="false">1-(MAX(J58-1900, 0)/750)</f>
        <v>0.837333333333333</v>
      </c>
      <c r="BF58" s="1" t="n">
        <f aca="false">((MAX($M58,1)*MIN($AJ58/300,1)))*IF(G58="Wagon",50,10)</f>
        <v>10</v>
      </c>
      <c r="BG58" s="1" t="n">
        <f aca="false">VLOOKUP($H58,Constants!$I:$K, 2, FALSE())</f>
        <v>0.9</v>
      </c>
      <c r="BH58" s="1" t="n">
        <f aca="false">VLOOKUP($H58,Constants!$I:$K, 3, FALSE())*IF(AND(G58="multiple_unit",AB58&lt;110),0.75,1)</f>
        <v>2.5</v>
      </c>
      <c r="BI58" s="1" t="n">
        <f aca="false">INT(POWER(((Constants!$G$2+$BB58+$BC58+$BD58+$BF58)*$BE58)*$BH58, 1.05))+$BA58</f>
        <v>157</v>
      </c>
      <c r="BJ58" s="1" t="n">
        <f aca="false">INT(POWER((((Constants!$G$1+$BB58+$BC58+$BD58+$BF58)*($BE58))*$BG58),IF($G58="wagon",1,1.2)))+$AZ58</f>
        <v>121</v>
      </c>
      <c r="BK58" s="33" t="n">
        <f aca="false">BI58*IF($G58="wagon",62.5,781.25)</f>
        <v>122656.25</v>
      </c>
      <c r="BL58" s="33" t="n">
        <f aca="false">BJ58*IF($G58="wagon",2.73,81.25)</f>
        <v>9831.25</v>
      </c>
      <c r="BS58" s="1" t="s">
        <v>390</v>
      </c>
      <c r="BT58" s="1" t="n">
        <v>10</v>
      </c>
      <c r="BU58" s="1" t="n">
        <v>222</v>
      </c>
      <c r="BX58" s="1" t="s">
        <v>95</v>
      </c>
      <c r="BY58" s="1" t="str">
        <f aca="false">VLOOKUP(J58,[1]Eras!$A$2:$C$10, 2, TRUE())</f>
        <v>mod</v>
      </c>
      <c r="BZ58" s="28" t="s">
        <v>224</v>
      </c>
      <c r="CA58" s="1" t="str">
        <f aca="false">CONCATENATE(BY58,"_",BZ58)</f>
        <v>mod_EMU (Express)</v>
      </c>
      <c r="CB58" s="1" t="str">
        <f aca="false">_xlfn.CONCAT(H58, "_",I58)</f>
        <v>dual_power_ELRL</v>
      </c>
      <c r="CC58" s="32" t="str">
        <f aca="false" t="array" ref="CC58:CC58">_xlfn.CONCAT("{BLACK}Length: {GOLD}", TEXT(ROUNDUP(IF(AQ58&lt;&gt;"",SUM(VALUE(_xlfn.TEXTSPLIT(AQ58, ","))), SUM(VALUE(_xlfn.TEXTSPLIT(AN58, ",")))*IF(M58, M58, 1))/16, 1), "#,##0.0"), " tiles{}")</f>
        <v>{BLACK}Length: {GOLD}4.1 tiles{}</v>
      </c>
      <c r="CD58" s="1" t="str">
        <f aca="false">VLOOKUP($CB58, Constants!$M:$N, 2, FALSE())</f>
        <v>{BLACK}Powered by: {GOLD}25kV AC / Diesel</v>
      </c>
      <c r="CE58" s="1" t="str">
        <f aca="false">IF(M58&gt;1,_xlfn.CONCAT("{BLACK}Cars: {GOLD}", M58),"")</f>
        <v>{BLACK}Cars: {GOLD}5</v>
      </c>
      <c r="CF58" s="1" t="s">
        <v>391</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{YELLOW}20% bonus for long distance travel{}</v>
      </c>
      <c r="CH58" s="1" t="str">
        <f aca="false">_xlfn.CONCAT(CD58,IF(CD58 &lt;&gt; "", " ", ""),CE58,IF(OR(CE58&lt;&gt;"", CD58&lt;&gt;""), "{}",""), CC58, CG58,"{SILVER}", CF58)</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58" s="1"/>
      <c r="CJ58" s="1"/>
    </row>
    <row r="59" customFormat="false" ht="13.8" hidden="false" customHeight="false" outlineLevel="0" collapsed="false">
      <c r="A59" s="1" t="s">
        <v>392</v>
      </c>
      <c r="B59" s="1" t="s">
        <v>393</v>
      </c>
      <c r="C59" s="1" t="n">
        <v>20</v>
      </c>
      <c r="E59" s="1" t="n">
        <v>1020</v>
      </c>
      <c r="F59" s="1" t="s">
        <v>89</v>
      </c>
      <c r="G59" s="1" t="s">
        <v>394</v>
      </c>
      <c r="H59" s="1" t="s">
        <v>394</v>
      </c>
      <c r="I59" s="1" t="s">
        <v>151</v>
      </c>
      <c r="J59" s="1" t="n">
        <v>1907</v>
      </c>
      <c r="K59" s="1" t="n">
        <v>1950</v>
      </c>
      <c r="L59" s="1" t="n">
        <v>1961</v>
      </c>
      <c r="W59" s="1" t="n">
        <v>6.4</v>
      </c>
      <c r="Y59" s="1" t="n">
        <v>3</v>
      </c>
      <c r="AA59" s="4" t="str">
        <f aca="false">IF(AND(W59&gt;0,Z59&gt;0),(Z59/((W59+X59)*10)),"")</f>
        <v/>
      </c>
      <c r="AB59" s="1" t="n">
        <v>50</v>
      </c>
      <c r="AC59" s="1" t="n">
        <f aca="false">ROUND(AB59*1.6, 0)</f>
        <v>80</v>
      </c>
      <c r="AF59" s="1" t="n">
        <v>6</v>
      </c>
      <c r="AG59" s="1" t="n">
        <v>8</v>
      </c>
      <c r="AH59" s="1" t="n">
        <v>2.5</v>
      </c>
      <c r="AI59" s="1" t="n">
        <v>3.35</v>
      </c>
      <c r="AJ59" s="5" t="n">
        <v>13</v>
      </c>
      <c r="AK59" s="1" t="str">
        <f aca="false">CONCATENATE(VLOOKUP(AL59, '[1]Voxel Sizes'!$A$2:$B$18,2,FALSE()),"x",INT(AH59*15), "x", INT(AI59*15))</f>
        <v>82x37x50</v>
      </c>
      <c r="AL59" s="1" t="n">
        <f aca="false">ROUND(15*((AG59*10)/256),0)</f>
        <v>5</v>
      </c>
      <c r="AN59" s="1" t="str">
        <f aca="false">CONCATENATE(VLOOKUP(AL59,Constants!$A$2:$C$16,IF(AM59&lt;&gt;"", 3, 2), FALSE()),IF(AM59&lt;&gt;"",CONCATENATE(",",VLOOKUP(AM59,$B:$AN,38,FALSE())),""))</f>
        <v>2,1,2</v>
      </c>
      <c r="AX59" s="1" t="n">
        <v>30</v>
      </c>
      <c r="AY59" s="6" t="n">
        <f aca="false">IF(L59&lt;&gt;"",MAX(16,(L59-J59)+8),"")</f>
        <v>62</v>
      </c>
      <c r="AZ59" s="1" t="n">
        <v>5</v>
      </c>
      <c r="BA59" s="1" t="n">
        <v>0</v>
      </c>
      <c r="BB59" s="1" t="n">
        <f aca="false">MIN(AB59/150, 1)*30</f>
        <v>10</v>
      </c>
      <c r="BC59" s="1" t="n">
        <f aca="false">MIN(N59/4000, 1)*20</f>
        <v>0</v>
      </c>
      <c r="BD59" s="1" t="n">
        <f aca="false">MIN(Z59/400,1)*20</f>
        <v>0</v>
      </c>
      <c r="BE59" s="4" t="n">
        <f aca="false">1-(MAX(J59-1900, 0)/750)</f>
        <v>0.990666666666667</v>
      </c>
      <c r="BF59" s="1" t="n">
        <f aca="false">((MAX($M59,1)*MIN($AJ59/300,1)))*IF(G59="Wagon",50,10)</f>
        <v>2.16666666666667</v>
      </c>
      <c r="BG59" s="1" t="n">
        <f aca="false">VLOOKUP($H59,Constants!$I:$K, 2, FALSE())</f>
        <v>1</v>
      </c>
      <c r="BH59" s="1" t="n">
        <f aca="false">VLOOKUP($H59,Constants!$I:$K, 3, FALSE())*IF(AND(G59="multiple_unit",AB59&lt;110),0.75,1)</f>
        <v>0.45</v>
      </c>
      <c r="BI59" s="1" t="n">
        <f aca="false">INT(POWER(((Constants!$G$2+$BB59+$BC59+$BD59+$BF59)*$BE59)*$BH59, 1.05))+$BA59</f>
        <v>8</v>
      </c>
      <c r="BJ59" s="1" t="n">
        <f aca="false">INT(POWER((((Constants!$G$1+$BB59+$BC59+$BD59+$BF59)*($BE59))*$BG59),IF($G59="wagon",1,1.2)))+$AZ59</f>
        <v>31</v>
      </c>
      <c r="BK59" s="33" t="n">
        <f aca="false">BI59*IF($G59="wagon",62.5,781.25)</f>
        <v>500</v>
      </c>
      <c r="BL59" s="33" t="n">
        <f aca="false">BJ59*IF($G59="wagon",2.73,81.25)</f>
        <v>84.63</v>
      </c>
      <c r="BT59" s="1" t="n">
        <v>1</v>
      </c>
      <c r="BU59" s="1" t="n">
        <v>185</v>
      </c>
      <c r="BV59" s="28" t="s">
        <v>395</v>
      </c>
      <c r="BW59" s="28"/>
      <c r="BX59" s="1" t="s">
        <v>396</v>
      </c>
      <c r="BY59" s="1" t="str">
        <f aca="false">VLOOKUP(J59,Eras!$A$2:$C$10, 2, TRUE())</f>
        <v>edw</v>
      </c>
      <c r="BZ59" s="28" t="s">
        <v>397</v>
      </c>
      <c r="CA59" s="1" t="str">
        <f aca="false">CONCATENATE(BY59,"_",BZ59)</f>
        <v>edw_Tanker</v>
      </c>
      <c r="CB59" s="1" t="str">
        <f aca="false">_xlfn.CONCAT(H59, "_",I59)</f>
        <v>wagon_RAIL</v>
      </c>
      <c r="CC59" s="32" t="str">
        <f aca="false" t="array" ref="CC59:CC59">_xlfn.CONCAT("{BLACK}Length: {GOLD}", TEXT(ROUNDUP(IF(AQ59&lt;&gt;"",SUM(VALUE(_xlfn.TEXTSPLIT(AQ59, ","))), SUM(VALUE(_xlfn.TEXTSPLIT(AN59, ",")))*IF(M59, M59, 1))/16, 1), "#,##0.0"), " tiles{}")</f>
        <v>{BLACK}Length: {GOLD}0.4 tiles{}</v>
      </c>
      <c r="CD59" s="1" t="str">
        <f aca="false">VLOOKUP($CB59, Constants!$M:$N, 2, FALSE())</f>
        <v/>
      </c>
      <c r="CE59" s="1" t="str">
        <f aca="false">IF(M59&gt;1,_xlfn.CONCAT("{BLACK}Cars: {GOLD}", M59),"")</f>
        <v/>
      </c>
      <c r="CF59" s="1" t="s">
        <v>398</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
      </c>
      <c r="CH59" s="1" t="str">
        <f aca="false">_xlfn.CONCAT(CD59,IF(CD59 &lt;&gt; "", " ", ""),CE59,IF(OR(CE59&lt;&gt;"", CD59&lt;&gt;""), "{}",""), CC59, CG59,"{SILVER}", CF59)</f>
        <v>{BLACK}Length: {GOLD}0.4 tiles{}{SILVER}The standard RCH Salt Wagon design of 1907 was long-lived in private ownership and saw some use beyond sodium chloride, which was largely used as part of the chemical industry.</v>
      </c>
      <c r="CI59" s="1"/>
      <c r="CJ59" s="1"/>
    </row>
    <row r="60" customFormat="false" ht="13.8" hidden="false" customHeight="false" outlineLevel="0" collapsed="false">
      <c r="A60" s="1" t="s">
        <v>399</v>
      </c>
      <c r="B60" s="1" t="s">
        <v>400</v>
      </c>
      <c r="C60" s="1" t="n">
        <v>25</v>
      </c>
      <c r="E60" s="1" t="n">
        <v>1025</v>
      </c>
      <c r="F60" s="1" t="s">
        <v>89</v>
      </c>
      <c r="G60" s="1" t="s">
        <v>394</v>
      </c>
      <c r="H60" s="1" t="s">
        <v>394</v>
      </c>
      <c r="I60" s="1" t="s">
        <v>151</v>
      </c>
      <c r="J60" s="1" t="n">
        <v>1955</v>
      </c>
      <c r="K60" s="1" t="n">
        <v>1980</v>
      </c>
      <c r="L60" s="1" t="n">
        <v>1987</v>
      </c>
      <c r="W60" s="1" t="n">
        <v>13.4</v>
      </c>
      <c r="Y60" s="1" t="n">
        <v>5</v>
      </c>
      <c r="AA60" s="4" t="str">
        <f aca="false">IF(AND(W60&gt;0,Z60&gt;0),(Z60/((W60+X60)*10)),"")</f>
        <v/>
      </c>
      <c r="AB60" s="1" t="n">
        <v>50</v>
      </c>
      <c r="AC60" s="1" t="n">
        <f aca="false">ROUND(AB60*1.6, 0)</f>
        <v>80</v>
      </c>
      <c r="AF60" s="1" t="n">
        <v>6</v>
      </c>
      <c r="AG60" s="1" t="n">
        <v>8</v>
      </c>
      <c r="AH60" s="1" t="n">
        <v>2.5</v>
      </c>
      <c r="AI60" s="1" t="n">
        <v>3.35</v>
      </c>
      <c r="AJ60" s="5" t="n">
        <v>20</v>
      </c>
      <c r="AK60" s="1" t="str">
        <f aca="false">CONCATENATE(VLOOKUP(AL60, '[1]Voxel Sizes'!$A$2:$B$18,2,FALSE()),"x",INT(AH60*15), "x", INT(AI60*15))</f>
        <v>82x37x50</v>
      </c>
      <c r="AL60" s="1" t="n">
        <f aca="false">ROUND(15*((AG60*10)/256),0)</f>
        <v>5</v>
      </c>
      <c r="AN60" s="1" t="str">
        <f aca="false">CONCATENATE(VLOOKUP(AL60,Constants!$A$2:$C$16,IF(AM60&lt;&gt;"", 3, 2), FALSE()),IF(AM60&lt;&gt;"",CONCATENATE(",",VLOOKUP(AM60,$B:$AN,38,FALSE())),""))</f>
        <v>2,1,2</v>
      </c>
      <c r="AX60" s="1" t="n">
        <v>30</v>
      </c>
      <c r="AY60" s="6" t="n">
        <f aca="false">IF(L60&lt;&gt;"",MAX(16,(L60-J60)+8),"")</f>
        <v>40</v>
      </c>
      <c r="AZ60" s="1" t="n">
        <v>5</v>
      </c>
      <c r="BB60" s="1" t="n">
        <f aca="false">MIN(AB60/150, 1)*30</f>
        <v>10</v>
      </c>
      <c r="BC60" s="1" t="n">
        <f aca="false">MIN(N60/4000, 1)*20</f>
        <v>0</v>
      </c>
      <c r="BD60" s="1" t="n">
        <f aca="false">MIN(Z60/400,1)*20</f>
        <v>0</v>
      </c>
      <c r="BE60" s="4" t="n">
        <f aca="false">1-(MAX(J60-1900, 0)/750)</f>
        <v>0.926666666666667</v>
      </c>
      <c r="BF60" s="1" t="n">
        <f aca="false">((MAX($M60,1)*MIN($AJ60/300,1)))*IF(G60="Wagon",50,10)</f>
        <v>3.33333333333333</v>
      </c>
      <c r="BG60" s="1" t="n">
        <f aca="false">VLOOKUP($H60,Constants!$I:$K, 2, FALSE())</f>
        <v>1</v>
      </c>
      <c r="BH60" s="1" t="n">
        <f aca="false">VLOOKUP($H60,Constants!$I:$K, 3, FALSE())*IF(AND(G60="multiple_unit",AB60&lt;110),0.75,1)</f>
        <v>0.45</v>
      </c>
      <c r="BI60" s="1" t="n">
        <f aca="false">INT(POWER(((Constants!$G$2+$BB60+$BC60+$BD60+$BF60)*$BE60)*$BH60, 1.05))+$BA60</f>
        <v>8</v>
      </c>
      <c r="BJ60" s="1" t="n">
        <f aca="false">INT(POWER((((Constants!$G$1+$BB60+$BC60+$BD60+$BF60)*($BE60))*$BG60),IF($G60="wagon",1,1.2)))+$AZ60</f>
        <v>31</v>
      </c>
      <c r="BK60" s="33" t="n">
        <f aca="false">BI60*IF($G60="wagon",62.5,781.25)</f>
        <v>500</v>
      </c>
      <c r="BL60" s="33" t="n">
        <f aca="false">BJ60*IF($G60="wagon",2.73,81.25)</f>
        <v>84.63</v>
      </c>
      <c r="BT60" s="1" t="n">
        <v>1</v>
      </c>
      <c r="BU60" s="1" t="n">
        <v>185</v>
      </c>
      <c r="BV60" s="1" t="s">
        <v>395</v>
      </c>
      <c r="BX60" s="1" t="s">
        <v>401</v>
      </c>
      <c r="BY60" s="1" t="str">
        <f aca="false">VLOOKUP(J60,Eras!$A$2:$C$10, 2, TRUE())</f>
        <v>dsl</v>
      </c>
      <c r="BZ60" s="28" t="s">
        <v>397</v>
      </c>
      <c r="CA60" s="1" t="str">
        <f aca="false">CONCATENATE(BY60,"_",BZ60)</f>
        <v>dsl_Tanker</v>
      </c>
      <c r="CB60" s="1" t="str">
        <f aca="false">_xlfn.CONCAT(H60, "_",I60)</f>
        <v>wagon_RAIL</v>
      </c>
      <c r="CC60" s="32" t="str">
        <f aca="false" t="array" ref="CC60:CC60">_xlfn.CONCAT("{BLACK}Length: {GOLD}", TEXT(ROUNDUP(IF(AQ60&lt;&gt;"",SUM(VALUE(_xlfn.TEXTSPLIT(AQ60, ","))), SUM(VALUE(_xlfn.TEXTSPLIT(AN60, ",")))*IF(M60, M60, 1))/16, 1), "#,##0.0"), " tiles{}")</f>
        <v>{BLACK}Length: {GOLD}0.4 tiles{}</v>
      </c>
      <c r="CD60" s="1" t="str">
        <f aca="false">VLOOKUP($CB60, Constants!$M:$N, 2, FALSE())</f>
        <v/>
      </c>
      <c r="CE60" s="1" t="str">
        <f aca="false">IF(M60&gt;1,_xlfn.CONCAT("{BLACK}Cars: {GOLD}", M60),"")</f>
        <v/>
      </c>
      <c r="CF60" s="1" t="s">
        <v>402</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
      </c>
      <c r="CH60" s="1" t="str">
        <f aca="false">_xlfn.CONCAT(CD60,IF(CD60 &lt;&gt; "", " ", ""),CE60,IF(OR(CE60&lt;&gt;"", CD60&lt;&gt;""), "{}",""), CC60, CG60,"{SILVER}", CF60)</f>
        <v>{BLACK}Length: {GOLD}0.4 tiles{}{SILVER}The Presflo covered hopper was designed specifically to carry cement powder, being unloaded via a pressurized air connection and liquefaction of the cargo.</v>
      </c>
      <c r="CI60" s="1" t="n">
        <v>1</v>
      </c>
      <c r="CJ60" s="1"/>
    </row>
    <row r="61" customFormat="false" ht="13.8" hidden="false" customHeight="false" outlineLevel="0" collapsed="false">
      <c r="A61" s="28" t="s">
        <v>403</v>
      </c>
      <c r="B61" s="28" t="s">
        <v>404</v>
      </c>
      <c r="C61" s="1" t="n">
        <v>26</v>
      </c>
      <c r="E61" s="1" t="n">
        <v>1026</v>
      </c>
      <c r="F61" s="1" t="s">
        <v>89</v>
      </c>
      <c r="G61" s="1" t="s">
        <v>394</v>
      </c>
      <c r="H61" s="1" t="s">
        <v>394</v>
      </c>
      <c r="I61" s="1" t="s">
        <v>151</v>
      </c>
      <c r="J61" s="1" t="n">
        <v>1968</v>
      </c>
      <c r="K61" s="1" t="n">
        <v>2012</v>
      </c>
      <c r="L61" s="1" t="n">
        <v>2022</v>
      </c>
      <c r="W61" s="1" t="n">
        <v>12.4</v>
      </c>
      <c r="Y61" s="1" t="n">
        <v>4</v>
      </c>
      <c r="AA61" s="4" t="str">
        <f aca="false">IF(AND(W61&gt;0,Z61&gt;0),(Z61/((W61+X61)*10)),"")</f>
        <v/>
      </c>
      <c r="AB61" s="1" t="n">
        <v>50</v>
      </c>
      <c r="AC61" s="1" t="n">
        <f aca="false">ROUND(AB61*1.6, 0)</f>
        <v>80</v>
      </c>
      <c r="AF61" s="1" t="n">
        <v>8</v>
      </c>
      <c r="AG61" s="1" t="n">
        <v>8</v>
      </c>
      <c r="AH61" s="1" t="n">
        <v>2.6</v>
      </c>
      <c r="AI61" s="1" t="n">
        <v>3.9</v>
      </c>
      <c r="AJ61" s="5" t="n">
        <v>33</v>
      </c>
      <c r="AK61" s="1" t="str">
        <f aca="false">CONCATENATE(VLOOKUP(AL61, '[1]Voxel Sizes'!$A$2:$B$18,2,FALSE()),"x",INT(AH61*15), "x", INT(AI61*15))</f>
        <v>82x39x58</v>
      </c>
      <c r="AL61" s="1" t="n">
        <f aca="false">ROUND(15*((AG61*10)/256),0)</f>
        <v>5</v>
      </c>
      <c r="AN61" s="1" t="str">
        <f aca="false">CONCATENATE(VLOOKUP(AL61,Constants!$A$2:$C$16,IF(AM61&lt;&gt;"", 3, 2), FALSE()),IF(AM61&lt;&gt;"",CONCATENATE(",",VLOOKUP(AM61,$B:$AN,38,FALSE())),""))</f>
        <v>2,1,2</v>
      </c>
      <c r="AX61" s="1" t="n">
        <v>30</v>
      </c>
      <c r="AY61" s="6" t="n">
        <f aca="false">IF(L61&lt;&gt;"",MAX(16,(L61-J61)+8),"")</f>
        <v>62</v>
      </c>
      <c r="AZ61" s="1" t="n">
        <v>5</v>
      </c>
      <c r="BB61" s="1" t="n">
        <f aca="false">MIN(AB61/150, 1)*30</f>
        <v>10</v>
      </c>
      <c r="BC61" s="1" t="n">
        <f aca="false">MIN(N61/4000, 1)*20</f>
        <v>0</v>
      </c>
      <c r="BD61" s="1" t="n">
        <f aca="false">MIN(Z61/400,1)*20</f>
        <v>0</v>
      </c>
      <c r="BE61" s="4" t="n">
        <f aca="false">1-(MAX(J61-1900, 0)/750)</f>
        <v>0.909333333333333</v>
      </c>
      <c r="BF61" s="1" t="n">
        <f aca="false">((MAX($M61,1)*MIN($AJ61/300,1)))*IF(G61="Wagon",50,10)</f>
        <v>5.5</v>
      </c>
      <c r="BG61" s="1" t="n">
        <f aca="false">VLOOKUP($H61,Constants!$I:$K, 2, FALSE())</f>
        <v>1</v>
      </c>
      <c r="BH61" s="1" t="n">
        <f aca="false">VLOOKUP($H61,Constants!$I:$K, 3, FALSE())*IF(AND(G61="multiple_unit",AB61&lt;110),0.75,1)</f>
        <v>0.45</v>
      </c>
      <c r="BI61" s="1" t="n">
        <f aca="false">INT(POWER(((Constants!$G$2+$BB61+$BC61+$BD61+$BF61)*$BE61)*$BH61, 1.05))+$BA61</f>
        <v>9</v>
      </c>
      <c r="BJ61" s="1" t="n">
        <f aca="false">INT(POWER((((Constants!$G$1+$BB61+$BC61+$BD61+$BF61)*($BE61))*$BG61),IF($G61="wagon",1,1.2)))+$AZ61</f>
        <v>32</v>
      </c>
      <c r="BK61" s="33" t="n">
        <f aca="false">BI61*IF($G61="wagon",62.5,781.25)</f>
        <v>562.5</v>
      </c>
      <c r="BL61" s="33" t="n">
        <f aca="false">BJ61*IF($G61="wagon",2.73,81.25)</f>
        <v>87.36</v>
      </c>
      <c r="BT61" s="1" t="n">
        <v>1</v>
      </c>
      <c r="BU61" s="1" t="n">
        <v>185</v>
      </c>
      <c r="BV61" s="1" t="s">
        <v>395</v>
      </c>
      <c r="BX61" s="1" t="s">
        <v>401</v>
      </c>
      <c r="BY61" s="1" t="str">
        <f aca="false">VLOOKUP(J61,Eras!$A$2:$C$10, 2, TRUE())</f>
        <v>dsl</v>
      </c>
      <c r="BZ61" s="28" t="s">
        <v>397</v>
      </c>
      <c r="CA61" s="1" t="str">
        <f aca="false">CONCATENATE(BY61,"_",BZ61)</f>
        <v>dsl_Tanker</v>
      </c>
      <c r="CB61" s="1" t="str">
        <f aca="false">_xlfn.CONCAT(H61, "_",I61)</f>
        <v>wagon_RAIL</v>
      </c>
      <c r="CC61" s="32" t="str">
        <f aca="false" t="array" ref="CC61:CC61">_xlfn.CONCAT("{BLACK}Length: {GOLD}", TEXT(ROUNDUP(IF(AQ61&lt;&gt;"",SUM(VALUE(_xlfn.TEXTSPLIT(AQ61, ","))), SUM(VALUE(_xlfn.TEXTSPLIT(AN61, ",")))*IF(M61, M61, 1))/16, 1), "#,##0.0"), " tiles{}")</f>
        <v>{BLACK}Length: {GOLD}0.4 tiles{}</v>
      </c>
      <c r="CD61" s="1" t="str">
        <f aca="false">VLOOKUP($CB61, Constants!$M:$N, 2, FALSE())</f>
        <v/>
      </c>
      <c r="CE61" s="1" t="str">
        <f aca="false">IF(M61&gt;1,_xlfn.CONCAT("{BLACK}Cars: {GOLD}", M61),"")</f>
        <v/>
      </c>
      <c r="CF61" s="1" t="s">
        <v>405</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{BLACK}Length: {GOLD}0.4 tiles{}{SILVER}The PCA tanker, with it’s notable depressed-center ‘vee’ appearance, could carry large amounts of cement and was a common sight in mixed freight trains.</v>
      </c>
      <c r="CI61" s="1" t="n">
        <v>1</v>
      </c>
      <c r="CJ61" s="1"/>
    </row>
    <row r="62" customFormat="false" ht="13.8" hidden="false" customHeight="false" outlineLevel="0" collapsed="false">
      <c r="A62" s="28" t="s">
        <v>406</v>
      </c>
      <c r="B62" s="28" t="s">
        <v>407</v>
      </c>
      <c r="C62" s="1" t="n">
        <v>27</v>
      </c>
      <c r="E62" s="1" t="n">
        <v>1027</v>
      </c>
      <c r="F62" s="1" t="s">
        <v>89</v>
      </c>
      <c r="G62" s="1" t="s">
        <v>394</v>
      </c>
      <c r="H62" s="1" t="s">
        <v>394</v>
      </c>
      <c r="I62" s="1" t="s">
        <v>151</v>
      </c>
      <c r="J62" s="1" t="n">
        <v>2007</v>
      </c>
      <c r="W62" s="1" t="n">
        <v>19.9</v>
      </c>
      <c r="Y62" s="1" t="n">
        <v>5</v>
      </c>
      <c r="AA62" s="4" t="str">
        <f aca="false">IF(AND(W62&gt;0,Z62&gt;0),(Z62/((W62+X62)*10)),"")</f>
        <v/>
      </c>
      <c r="AB62" s="1" t="n">
        <v>75</v>
      </c>
      <c r="AC62" s="1" t="n">
        <f aca="false">ROUND(AB62*1.6, 0)</f>
        <v>120</v>
      </c>
      <c r="AF62" s="1" t="n">
        <v>16.2</v>
      </c>
      <c r="AG62" s="1" t="n">
        <v>17</v>
      </c>
      <c r="AH62" s="1" t="n">
        <v>2.7</v>
      </c>
      <c r="AI62" s="1" t="n">
        <v>3.8</v>
      </c>
      <c r="AJ62" s="5" t="n">
        <v>80</v>
      </c>
      <c r="AK62" s="1" t="str">
        <f aca="false">CONCATENATE(VLOOKUP(AL62, '[1]Voxel Sizes'!$A$2:$B$18,2,FALSE()),"x",INT(AH62*15), "x", INT(AI62*15))</f>
        <v>164x40x57</v>
      </c>
      <c r="AL62" s="1" t="n">
        <f aca="false">ROUND(15*((AG62*10)/256),0)</f>
        <v>10</v>
      </c>
      <c r="AN62" s="1" t="str">
        <f aca="false">CONCATENATE(VLOOKUP(AL62,Constants!$A$2:$C$16,IF(AM62&lt;&gt;"", 3, 2), FALSE()),IF(AM62&lt;&gt;"",CONCATENATE(",",VLOOKUP(AM62,$B:$AN,38,FALSE())),""))</f>
        <v>4,2,4</v>
      </c>
      <c r="AX62" s="1" t="n">
        <v>30</v>
      </c>
      <c r="AY62" s="6" t="str">
        <f aca="false">IF(L62&lt;&gt;"",MAX(16,(L62-J62)+8),"")</f>
        <v/>
      </c>
      <c r="BB62" s="1" t="n">
        <f aca="false">MIN(AB62/150, 1)*30</f>
        <v>15</v>
      </c>
      <c r="BC62" s="1" t="n">
        <f aca="false">MIN(N62/4000, 1)*20</f>
        <v>0</v>
      </c>
      <c r="BD62" s="1" t="n">
        <f aca="false">MIN(Z62/400,1)*20</f>
        <v>0</v>
      </c>
      <c r="BE62" s="4" t="n">
        <f aca="false">1-(MAX(J62-1900, 0)/750)</f>
        <v>0.857333333333333</v>
      </c>
      <c r="BF62" s="1" t="n">
        <f aca="false">((MAX($M62,1)*MIN($AJ62/300,1)))*IF(G62="Wagon",50,10)</f>
        <v>13.3333333333333</v>
      </c>
      <c r="BG62" s="1" t="n">
        <f aca="false">VLOOKUP($H62,Constants!$I:$K, 2, FALSE())</f>
        <v>1</v>
      </c>
      <c r="BH62" s="1" t="n">
        <f aca="false">VLOOKUP($H62,Constants!$I:$K, 3, FALSE())*IF(AND(G62="multiple_unit",AB62&lt;110),0.75,1)</f>
        <v>0.45</v>
      </c>
      <c r="BI62" s="1" t="n">
        <f aca="false">INT(POWER(((Constants!$G$2+$BB62+$BC62+$BD62+$BF62)*$BE62)*$BH62, 1.05))+$BA62</f>
        <v>14</v>
      </c>
      <c r="BJ62" s="1" t="n">
        <f aca="false">INT(POWER((((Constants!$G$1+$BB62+$BC62+$BD62+$BF62)*($BE62))*$BG62),IF($G62="wagon",1,1.2)))+$AZ62</f>
        <v>37</v>
      </c>
      <c r="BK62" s="33" t="n">
        <f aca="false">BI62*IF($G62="wagon",62.5,781.25)</f>
        <v>875</v>
      </c>
      <c r="BL62" s="33" t="n">
        <f aca="false">BJ62*IF($G62="wagon",2.73,81.25)</f>
        <v>101.01</v>
      </c>
      <c r="BT62" s="1" t="n">
        <v>1</v>
      </c>
      <c r="BU62" s="1" t="n">
        <v>185</v>
      </c>
      <c r="BV62" s="1" t="s">
        <v>408</v>
      </c>
      <c r="BX62" s="1" t="s">
        <v>401</v>
      </c>
      <c r="BY62" s="1" t="str">
        <f aca="false">VLOOKUP(J62,Eras!$A$2:$C$10, 2, TRUE())</f>
        <v>mod</v>
      </c>
      <c r="BZ62" s="28" t="s">
        <v>397</v>
      </c>
      <c r="CA62" s="1" t="str">
        <f aca="false">CONCATENATE(BY62,"_",BZ62)</f>
        <v>mod_Tanker</v>
      </c>
      <c r="CB62" s="1" t="str">
        <f aca="false">_xlfn.CONCAT(H62, "_",I62)</f>
        <v>wagon_RAIL</v>
      </c>
      <c r="CC62" s="32" t="str">
        <f aca="false" t="array" ref="CC62:CC62">_xlfn.CONCAT("{BLACK}Length: {GOLD}", TEXT(ROUNDUP(IF(AQ62&lt;&gt;"",SUM(VALUE(_xlfn.TEXTSPLIT(AQ62, ","))), SUM(VALUE(_xlfn.TEXTSPLIT(AN62, ",")))*IF(M62, M62, 1))/16, 1), "#,##0.0"), " tiles{}")</f>
        <v>{BLACK}Length: {GOLD}0.7 tiles{}</v>
      </c>
      <c r="CD62" s="1" t="str">
        <f aca="false">VLOOKUP($CB62, Constants!$M:$N, 2, FALSE())</f>
        <v/>
      </c>
      <c r="CE62" s="1" t="str">
        <f aca="false">IF(M62&gt;1,_xlfn.CONCAT("{BLACK}Cars: {GOLD}", M62),"")</f>
        <v/>
      </c>
      <c r="CF62" s="1" t="s">
        <v>409</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
      </c>
      <c r="CH62" s="1" t="str">
        <f aca="false">_xlfn.CONCAT(CD62,IF(CD62 &lt;&gt; "", " ", ""),CE62,IF(OR(CE62&lt;&gt;"", CD62&lt;&gt;""), "{}",""), CC62, CG62,"{SILVER}", CF62)</f>
        <v>{BLACK}Length: {GOLD}0.7 tiles{}{SILVER}By the 2000s the BR-era 2-axle cement tankers then in use were beginning to show their age. They were replaced by these large bogie tank wagons built in Germany, with a distinctive fish-belly shape.</v>
      </c>
      <c r="CI62" s="1"/>
      <c r="CJ62" s="1"/>
    </row>
    <row r="63" s="19" customFormat="true" ht="13.8" hidden="false" customHeight="false" outlineLevel="0" collapsed="false">
      <c r="A63" s="28" t="s">
        <v>410</v>
      </c>
      <c r="B63" s="28" t="s">
        <v>411</v>
      </c>
      <c r="C63" s="1" t="n">
        <v>96</v>
      </c>
      <c r="D63" s="1"/>
      <c r="E63" s="1" t="n">
        <v>1090</v>
      </c>
      <c r="F63" s="1" t="s">
        <v>89</v>
      </c>
      <c r="G63" s="1" t="s">
        <v>394</v>
      </c>
      <c r="H63" s="1" t="s">
        <v>412</v>
      </c>
      <c r="I63" s="1" t="s">
        <v>151</v>
      </c>
      <c r="J63" s="1" t="n">
        <v>1924</v>
      </c>
      <c r="K63" s="1" t="n">
        <v>1955</v>
      </c>
      <c r="L63" s="1" t="n">
        <v>1961</v>
      </c>
      <c r="M63" s="1"/>
      <c r="N63" s="1"/>
      <c r="O63" s="2"/>
      <c r="P63" s="3"/>
      <c r="Q63" s="3"/>
      <c r="R63" s="3"/>
      <c r="S63" s="3"/>
      <c r="T63" s="3"/>
      <c r="U63" s="3"/>
      <c r="V63" s="3"/>
      <c r="W63" s="1" t="n">
        <v>20</v>
      </c>
      <c r="X63" s="2"/>
      <c r="Y63" s="1" t="n">
        <v>4</v>
      </c>
      <c r="Z63" s="1"/>
      <c r="AA63" s="4" t="str">
        <f aca="false">IF(AND(W63&gt;0,Z63&gt;0),(Z63/((W63+X63)*10)),"")</f>
        <v/>
      </c>
      <c r="AB63" s="1" t="n">
        <v>60</v>
      </c>
      <c r="AC63" s="1" t="n">
        <f aca="false">ROUND(AB63*1.6, 0)</f>
        <v>96</v>
      </c>
      <c r="AD63" s="1"/>
      <c r="AE63" s="1"/>
      <c r="AF63" s="1" t="n">
        <v>6.1</v>
      </c>
      <c r="AG63" s="1" t="n">
        <v>8</v>
      </c>
      <c r="AH63" s="1" t="n">
        <v>2.5</v>
      </c>
      <c r="AI63" s="1" t="n">
        <v>3.35</v>
      </c>
      <c r="AJ63" s="5" t="n">
        <v>0</v>
      </c>
      <c r="AK63" s="1" t="str">
        <f aca="false">CONCATENATE(VLOOKUP(AL63, '[1]Voxel Sizes'!$A$2:$B$18,2,FALSE()),"x",INT(AH63*15), "x", INT(AI63*15))</f>
        <v>82x37x50</v>
      </c>
      <c r="AL63" s="1" t="n">
        <f aca="false">ROUND(15*((AG63*10)/256),0)</f>
        <v>5</v>
      </c>
      <c r="AM63" s="1"/>
      <c r="AN63" s="1" t="str">
        <f aca="false">CONCATENATE(VLOOKUP(AL63,Constants!$A$2:$C$16,IF(AM63&lt;&gt;"", 3, 2), FALSE()),IF(AM63&lt;&gt;"",CONCATENATE(",",VLOOKUP(AM63,$B:$AN,38,FALSE())),""))</f>
        <v>2,1,2</v>
      </c>
      <c r="AO63" s="1"/>
      <c r="AP63" s="7"/>
      <c r="AQ63" s="7"/>
      <c r="AR63" s="1"/>
      <c r="AS63" s="1"/>
      <c r="AT63" s="1"/>
      <c r="AU63" s="1"/>
      <c r="AV63" s="1"/>
      <c r="AW63" s="1"/>
      <c r="AX63" s="1" t="n">
        <v>50</v>
      </c>
      <c r="AY63" s="6" t="n">
        <f aca="false">IF(L63&lt;&gt;"",MAX(16,(L63-J63)+8),"")</f>
        <v>45</v>
      </c>
      <c r="AZ63" s="1" t="n">
        <v>12</v>
      </c>
      <c r="BA63" s="1" t="n">
        <v>6</v>
      </c>
      <c r="BB63" s="1" t="n">
        <f aca="false">MIN(AB63/150, 1)*30</f>
        <v>12</v>
      </c>
      <c r="BC63" s="1" t="n">
        <f aca="false">MIN(N63/4000, 1)*20</f>
        <v>0</v>
      </c>
      <c r="BD63" s="1" t="n">
        <f aca="false">MIN(Z63/400,1)*20</f>
        <v>0</v>
      </c>
      <c r="BE63" s="4" t="n">
        <f aca="false">1-(MAX(J63-1900, 0)/750)</f>
        <v>0.968</v>
      </c>
      <c r="BF63" s="1" t="n">
        <f aca="false">((MAX($M63,1)*MIN($AJ63/300,1)))*IF(G63="Wagon",50,10)</f>
        <v>0</v>
      </c>
      <c r="BG63" s="1" t="n">
        <f aca="false">VLOOKUP($H63,Constants!$I:$K, 2, FALSE())</f>
        <v>1</v>
      </c>
      <c r="BH63" s="1" t="n">
        <f aca="false">VLOOKUP($H63,Constants!$I:$K, 3, FALSE())*IF(AND(G63="multiple_unit",AB63&lt;110),0.75,1)</f>
        <v>0.4</v>
      </c>
      <c r="BI63" s="1" t="n">
        <f aca="false">INT(POWER(((Constants!$G$2+$BB63+$BC63+$BD63+$BF63)*$BE63)*$BH63, 1.05))+$BA63</f>
        <v>13</v>
      </c>
      <c r="BJ63" s="1" t="n">
        <f aca="false">INT(POWER((((Constants!$G$1+$BB63+$BC63+$BD63+$BF63)*($BE63))*$BG63),IF($G63="wagon",1,1.2)))+$AZ63</f>
        <v>38</v>
      </c>
      <c r="BK63" s="33" t="n">
        <f aca="false">BI63*IF($G63="wagon",62.5,781.25)</f>
        <v>812.5</v>
      </c>
      <c r="BL63" s="33" t="n">
        <f aca="false">BJ63*IF($G63="wagon",2.73,81.25)</f>
        <v>103.74</v>
      </c>
      <c r="BM63" s="1"/>
      <c r="BN63" s="1"/>
      <c r="BO63" s="1"/>
      <c r="BP63" s="1"/>
      <c r="BQ63" s="1"/>
      <c r="BR63" s="1"/>
      <c r="BS63" s="1"/>
      <c r="BT63" s="1" t="n">
        <v>1</v>
      </c>
      <c r="BU63" s="1"/>
      <c r="BV63" s="18" t="s">
        <v>413</v>
      </c>
      <c r="BW63" s="18"/>
      <c r="BX63" s="18" t="s">
        <v>414</v>
      </c>
      <c r="BY63" s="1" t="str">
        <f aca="false">VLOOKUP(J63,Eras!$A$2:$C$10, 2, TRUE())</f>
        <v>big4</v>
      </c>
      <c r="BZ63" s="28" t="s">
        <v>415</v>
      </c>
      <c r="CA63" s="1" t="str">
        <f aca="false">CONCATENATE(BY63,"_",BZ63)</f>
        <v>big4_Extra</v>
      </c>
      <c r="CB63" s="1" t="str">
        <f aca="false">_xlfn.CONCAT(H63, "_",I63)</f>
        <v>brake_RAIL</v>
      </c>
      <c r="CC63" s="32" t="str">
        <f aca="false" t="array" ref="CC63:CC63">_xlfn.CONCAT("{BLACK}Length: {GOLD}", TEXT(ROUNDUP(IF(AQ63&lt;&gt;"",SUM(VALUE(_xlfn.TEXTSPLIT(AQ63, ","))), SUM(VALUE(_xlfn.TEXTSPLIT(AN63, ",")))*IF(M63, M63, 1))/16, 1), "#,##0.0"), " tiles{}")</f>
        <v>{BLACK}Length: {GOLD}0.4 tiles{}</v>
      </c>
      <c r="CD63" s="1" t="str">
        <f aca="false">VLOOKUP($CB63, Constants!$M:$N, 2, FALSE())</f>
        <v/>
      </c>
      <c r="CE63" s="1" t="str">
        <f aca="false">IF(M63&gt;1,_xlfn.CONCAT("{BLACK}Cars: {GOLD}", M63),"")</f>
        <v/>
      </c>
      <c r="CF63" s="1" t="s">
        <v>416</v>
      </c>
      <c r="CG63" s="1" t="str">
        <f aca="false">IF(BX63="buffet","{YELLOW}25% long distance bonus for consist{}",IF(BY63="BRAKE","{YELLOW}Speed bonus for slow wagons{}",IF(BU63&gt;190,CONCATENATE("{YELLOW}",INT((BU63-185)/1.85),"% bonus for long distance travel{}"),IF(AND(BU63&lt;180,BU63&lt;&gt;0),CONCATENATE("{YELLOW}",INT((185-BU63)/1.85),"% penalty for long distance travel{}"),""))))</f>
        <v/>
      </c>
      <c r="CH63" s="1" t="str">
        <f aca="false">_xlfn.CONCAT(CD63,IF(CD63 &lt;&gt; "", " ", ""),CE63,IF(OR(CE63&lt;&gt;"", CD63&lt;&gt;""), "{}",""), CC63, CG63,"{SILVER}", CF63)</f>
        <v>{BLACK}Length: {GOLD}0.4 tiles{}{SILVER}This Midland Railway design of Brake Van was also built by the LMS - over 800 were constructed and they were still extant into the early 1960s.</v>
      </c>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C63" s="1"/>
      <c r="ND63" s="1"/>
      <c r="NE63" s="1"/>
      <c r="NF63" s="1"/>
      <c r="NG63" s="1"/>
      <c r="NH63" s="1"/>
      <c r="NI63" s="1"/>
      <c r="NJ63" s="1"/>
      <c r="NK63" s="1"/>
      <c r="NL63" s="1"/>
      <c r="NM63" s="1"/>
      <c r="NN63" s="1"/>
      <c r="NO63" s="1"/>
      <c r="NP63" s="1"/>
      <c r="NQ63" s="1"/>
      <c r="NR63" s="1"/>
      <c r="NS63" s="1"/>
      <c r="NT63" s="1"/>
      <c r="NU63" s="1"/>
      <c r="NV63" s="1"/>
      <c r="NW63" s="1"/>
      <c r="NX63" s="1"/>
      <c r="NY63" s="1"/>
      <c r="NZ63" s="1"/>
      <c r="OA63" s="1"/>
      <c r="OB63" s="1"/>
      <c r="OC63" s="1"/>
      <c r="OD63" s="1"/>
      <c r="OE63" s="1"/>
      <c r="OF63" s="1"/>
      <c r="OG63" s="1"/>
      <c r="OH63" s="1"/>
      <c r="OI63" s="1"/>
      <c r="OJ63" s="1"/>
      <c r="OK63" s="1"/>
      <c r="OL63" s="1"/>
      <c r="OM63" s="1"/>
      <c r="ON63" s="1"/>
      <c r="OO63" s="1"/>
      <c r="OP63" s="1"/>
      <c r="OQ63" s="1"/>
      <c r="OR63" s="1"/>
      <c r="OS63" s="1"/>
      <c r="OT63" s="1"/>
      <c r="OU63" s="1"/>
      <c r="OV63" s="1"/>
      <c r="OW63" s="1"/>
      <c r="OX63" s="1"/>
      <c r="OY63" s="1"/>
      <c r="OZ63" s="1"/>
      <c r="PA63" s="1"/>
      <c r="PB63" s="1"/>
      <c r="PC63" s="1"/>
      <c r="PD63" s="1"/>
      <c r="PE63" s="1"/>
      <c r="PF63" s="1"/>
      <c r="PG63" s="1"/>
      <c r="PH63" s="1"/>
      <c r="PI63" s="1"/>
      <c r="PJ63" s="1"/>
      <c r="PK63" s="1"/>
      <c r="PL63" s="1"/>
      <c r="PM63" s="1"/>
      <c r="PN63" s="1"/>
      <c r="PO63" s="1"/>
      <c r="PP63" s="1"/>
      <c r="PQ63" s="1"/>
      <c r="PR63" s="1"/>
      <c r="PS63" s="1"/>
      <c r="PT63" s="1"/>
      <c r="PU63" s="1"/>
      <c r="PV63" s="1"/>
      <c r="PW63" s="1"/>
      <c r="PX63" s="1"/>
      <c r="PY63" s="1"/>
      <c r="PZ63" s="1"/>
      <c r="QA63" s="1"/>
      <c r="QB63" s="1"/>
      <c r="QC63" s="1"/>
      <c r="QD63" s="1"/>
      <c r="QE63" s="1"/>
      <c r="QF63" s="1"/>
      <c r="QG63" s="1"/>
      <c r="QH63" s="1"/>
      <c r="QI63" s="1"/>
      <c r="QJ63" s="1"/>
      <c r="QK63" s="1"/>
      <c r="QL63" s="1"/>
      <c r="QM63" s="1"/>
      <c r="QN63" s="1"/>
      <c r="QO63" s="1"/>
      <c r="QP63" s="1"/>
      <c r="QQ63" s="1"/>
      <c r="QR63" s="1"/>
      <c r="QS63" s="1"/>
      <c r="QT63" s="1"/>
      <c r="QU63" s="1"/>
      <c r="QV63" s="1"/>
      <c r="QW63" s="1"/>
      <c r="QX63" s="1"/>
      <c r="QY63" s="1"/>
      <c r="QZ63" s="1"/>
      <c r="RA63" s="1"/>
      <c r="RB63" s="1"/>
      <c r="RC63" s="1"/>
      <c r="RD63" s="1"/>
      <c r="RE63" s="1"/>
      <c r="RF63" s="1"/>
      <c r="RG63" s="1"/>
      <c r="RH63" s="1"/>
      <c r="RI63" s="1"/>
      <c r="RJ63" s="1"/>
      <c r="RK63" s="1"/>
      <c r="RL63" s="1"/>
      <c r="RM63" s="1"/>
      <c r="RN63" s="1"/>
      <c r="RO63" s="1"/>
      <c r="RP63" s="1"/>
      <c r="RQ63" s="1"/>
      <c r="RR63" s="1"/>
      <c r="RS63" s="1"/>
      <c r="RT63" s="1"/>
      <c r="RU63" s="1"/>
      <c r="RV63" s="1"/>
      <c r="RW63" s="1"/>
      <c r="RX63" s="1"/>
      <c r="RY63" s="1"/>
      <c r="RZ63" s="1"/>
      <c r="SA63" s="1"/>
      <c r="SB63" s="1"/>
      <c r="SC63" s="1"/>
      <c r="SD63" s="1"/>
      <c r="SE63" s="1"/>
      <c r="SF63" s="1"/>
      <c r="SG63" s="1"/>
      <c r="SH63" s="1"/>
      <c r="SI63" s="1"/>
      <c r="SJ63" s="1"/>
      <c r="SK63" s="1"/>
      <c r="SL63" s="1"/>
      <c r="SM63" s="1"/>
      <c r="SN63" s="1"/>
      <c r="SO63" s="1"/>
      <c r="SP63" s="1"/>
      <c r="SQ63" s="1"/>
      <c r="SR63" s="1"/>
      <c r="SS63" s="1"/>
      <c r="ST63" s="1"/>
      <c r="SU63" s="1"/>
      <c r="SV63" s="1"/>
      <c r="SW63" s="1"/>
      <c r="SX63" s="1"/>
      <c r="SY63" s="1"/>
      <c r="SZ63" s="1"/>
      <c r="TA63" s="1"/>
      <c r="TB63" s="1"/>
      <c r="TC63" s="1"/>
      <c r="TD63" s="1"/>
      <c r="TE63" s="1"/>
      <c r="TF63" s="1"/>
      <c r="TG63" s="1"/>
      <c r="TH63" s="1"/>
      <c r="TI63" s="1"/>
      <c r="TJ63" s="1"/>
      <c r="TK63" s="1"/>
      <c r="TL63" s="1"/>
      <c r="TM63" s="1"/>
      <c r="TN63" s="1"/>
      <c r="TO63" s="1"/>
      <c r="TP63" s="1"/>
      <c r="TQ63" s="1"/>
      <c r="TR63" s="1"/>
      <c r="TS63" s="1"/>
      <c r="TT63" s="1"/>
      <c r="TU63" s="1"/>
      <c r="TV63" s="1"/>
      <c r="TW63" s="1"/>
      <c r="TX63" s="1"/>
      <c r="TY63" s="1"/>
      <c r="TZ63" s="1"/>
      <c r="UA63" s="1"/>
      <c r="UB63" s="1"/>
      <c r="UC63" s="1"/>
      <c r="UD63" s="1"/>
      <c r="UE63" s="1"/>
      <c r="UF63" s="1"/>
      <c r="UG63" s="1"/>
      <c r="UH63" s="1"/>
      <c r="UI63" s="1"/>
      <c r="UJ63" s="1"/>
      <c r="UK63" s="1"/>
      <c r="UL63" s="1"/>
      <c r="UM63" s="1"/>
      <c r="UN63" s="1"/>
      <c r="UO63" s="1"/>
      <c r="UP63" s="1"/>
      <c r="UQ63" s="1"/>
      <c r="UR63" s="1"/>
      <c r="US63" s="1"/>
      <c r="UT63" s="1"/>
      <c r="UU63" s="1"/>
      <c r="UV63" s="1"/>
      <c r="UW63" s="1"/>
      <c r="UX63" s="1"/>
      <c r="UY63" s="1"/>
      <c r="UZ63" s="1"/>
      <c r="VA63" s="1"/>
      <c r="VB63" s="1"/>
      <c r="VC63" s="1"/>
      <c r="VD63" s="1"/>
      <c r="VE63" s="1"/>
      <c r="VF63" s="1"/>
      <c r="VG63" s="1"/>
      <c r="VH63" s="1"/>
      <c r="VI63" s="1"/>
      <c r="VJ63" s="1"/>
      <c r="VK63" s="1"/>
      <c r="VL63" s="1"/>
      <c r="VM63" s="1"/>
      <c r="VN63" s="1"/>
      <c r="VO63" s="1"/>
      <c r="VP63" s="1"/>
      <c r="VQ63" s="1"/>
      <c r="VR63" s="1"/>
      <c r="VS63" s="1"/>
      <c r="VT63" s="1"/>
      <c r="VU63" s="1"/>
      <c r="VV63" s="1"/>
      <c r="VW63" s="1"/>
      <c r="VX63" s="1"/>
      <c r="VY63" s="1"/>
      <c r="VZ63" s="1"/>
      <c r="WA63" s="1"/>
      <c r="WB63" s="1"/>
      <c r="WC63" s="1"/>
      <c r="WD63" s="1"/>
      <c r="WE63" s="1"/>
      <c r="WF63" s="1"/>
      <c r="WG63" s="1"/>
      <c r="WH63" s="1"/>
      <c r="WI63" s="1"/>
      <c r="WJ63" s="1"/>
      <c r="WK63" s="1"/>
      <c r="WL63" s="1"/>
      <c r="WM63" s="1"/>
      <c r="WN63" s="1"/>
      <c r="WO63" s="1"/>
      <c r="WP63" s="1"/>
      <c r="WQ63" s="1"/>
      <c r="WR63" s="1"/>
      <c r="WS63" s="1"/>
      <c r="WT63" s="1"/>
      <c r="WU63" s="1"/>
      <c r="WV63" s="1"/>
      <c r="WW63" s="1"/>
      <c r="WX63" s="1"/>
      <c r="WY63" s="1"/>
      <c r="WZ63" s="1"/>
      <c r="XA63" s="1"/>
      <c r="XB63" s="1"/>
      <c r="XC63" s="1"/>
      <c r="XD63" s="1"/>
      <c r="XE63" s="1"/>
      <c r="XF63" s="1"/>
      <c r="XG63" s="1"/>
      <c r="XH63" s="1"/>
      <c r="XI63" s="1"/>
      <c r="XJ63" s="1"/>
      <c r="XK63" s="1"/>
      <c r="XL63" s="1"/>
      <c r="XM63" s="1"/>
      <c r="XN63" s="1"/>
      <c r="XO63" s="1"/>
      <c r="XP63" s="1"/>
      <c r="XQ63" s="1"/>
      <c r="XR63" s="1"/>
      <c r="XS63" s="1"/>
      <c r="XT63" s="1"/>
      <c r="XU63" s="1"/>
      <c r="XV63" s="1"/>
      <c r="XW63" s="1"/>
      <c r="XX63" s="1"/>
      <c r="XY63" s="1"/>
      <c r="XZ63" s="1"/>
      <c r="YA63" s="1"/>
      <c r="YB63" s="1"/>
      <c r="YC63" s="1"/>
      <c r="YD63" s="1"/>
      <c r="YE63" s="1"/>
      <c r="YF63" s="1"/>
      <c r="YG63" s="1"/>
      <c r="YH63" s="1"/>
      <c r="YI63" s="1"/>
      <c r="YJ63" s="1"/>
      <c r="YK63" s="1"/>
      <c r="YL63" s="1"/>
      <c r="YM63" s="1"/>
      <c r="YN63" s="1"/>
      <c r="YO63" s="1"/>
      <c r="YP63" s="1"/>
      <c r="YQ63" s="1"/>
      <c r="YR63" s="1"/>
      <c r="YS63" s="1"/>
      <c r="YT63" s="1"/>
      <c r="YU63" s="1"/>
      <c r="YV63" s="1"/>
      <c r="YW63" s="1"/>
      <c r="YX63" s="1"/>
      <c r="YY63" s="1"/>
      <c r="YZ63" s="1"/>
      <c r="ZA63" s="1"/>
      <c r="ZB63" s="1"/>
      <c r="ZC63" s="1"/>
      <c r="ZD63" s="1"/>
      <c r="ZE63" s="1"/>
      <c r="ZF63" s="1"/>
      <c r="ZG63" s="1"/>
      <c r="ZH63" s="1"/>
      <c r="ZI63" s="1"/>
      <c r="ZJ63" s="1"/>
      <c r="ZK63" s="1"/>
      <c r="ZL63" s="1"/>
      <c r="ZM63" s="1"/>
      <c r="ZN63" s="1"/>
      <c r="ZO63" s="1"/>
      <c r="ZP63" s="1"/>
      <c r="ZQ63" s="1"/>
      <c r="ZR63" s="1"/>
      <c r="ZS63" s="1"/>
      <c r="ZT63" s="1"/>
      <c r="ZU63" s="1"/>
      <c r="ZV63" s="1"/>
      <c r="ZW63" s="1"/>
      <c r="ZX63" s="1"/>
      <c r="ZY63" s="1"/>
      <c r="ZZ63" s="1"/>
      <c r="AAA63" s="1"/>
      <c r="AAB63" s="1"/>
      <c r="AAC63" s="1"/>
      <c r="AAD63" s="1"/>
      <c r="AAE63" s="1"/>
      <c r="AAF63" s="1"/>
      <c r="AAG63" s="1"/>
      <c r="AAH63" s="1"/>
      <c r="AAI63" s="1"/>
      <c r="AAJ63" s="1"/>
      <c r="AAK63" s="1"/>
      <c r="AAL63" s="1"/>
      <c r="AAM63" s="1"/>
      <c r="AAN63" s="1"/>
      <c r="AAO63" s="1"/>
      <c r="AAP63" s="1"/>
      <c r="AAQ63" s="1"/>
      <c r="AAR63" s="1"/>
      <c r="AAS63" s="1"/>
      <c r="AAT63" s="1"/>
      <c r="AAU63" s="1"/>
      <c r="AAV63" s="1"/>
      <c r="AAW63" s="1"/>
      <c r="AAX63" s="1"/>
      <c r="AAY63" s="1"/>
      <c r="AAZ63" s="1"/>
      <c r="ABA63" s="1"/>
      <c r="ABB63" s="1"/>
      <c r="ABC63" s="1"/>
      <c r="ABD63" s="1"/>
      <c r="ABE63" s="1"/>
      <c r="ABF63" s="1"/>
      <c r="ABG63" s="1"/>
      <c r="ABH63" s="1"/>
      <c r="ABI63" s="1"/>
      <c r="ABJ63" s="1"/>
      <c r="ABK63" s="1"/>
      <c r="ABL63" s="1"/>
      <c r="ABM63" s="1"/>
      <c r="ABN63" s="1"/>
      <c r="ABO63" s="1"/>
      <c r="ABP63" s="1"/>
      <c r="ABQ63" s="1"/>
      <c r="ABR63" s="1"/>
      <c r="ABS63" s="1"/>
      <c r="ABT63" s="1"/>
      <c r="ABU63" s="1"/>
      <c r="ABV63" s="1"/>
      <c r="ABW63" s="1"/>
      <c r="ABX63" s="1"/>
      <c r="ABY63" s="1"/>
      <c r="ABZ63" s="1"/>
      <c r="ACA63" s="1"/>
      <c r="ACB63" s="1"/>
      <c r="ACC63" s="1"/>
      <c r="ACD63" s="1"/>
      <c r="ACE63" s="1"/>
      <c r="ACF63" s="1"/>
      <c r="ACG63" s="1"/>
      <c r="ACH63" s="1"/>
      <c r="ACI63" s="1"/>
      <c r="ACJ63" s="1"/>
      <c r="ACK63" s="1"/>
      <c r="ACL63" s="1"/>
      <c r="ACM63" s="1"/>
      <c r="ACN63" s="1"/>
      <c r="ACO63" s="1"/>
      <c r="ACP63" s="1"/>
      <c r="ACQ63" s="1"/>
      <c r="ACR63" s="1"/>
      <c r="ACS63" s="1"/>
      <c r="ACT63" s="1"/>
      <c r="ACU63" s="1"/>
      <c r="ACV63" s="1"/>
      <c r="ACW63" s="1"/>
      <c r="ACX63" s="1"/>
      <c r="ACY63" s="1"/>
      <c r="ACZ63" s="1"/>
      <c r="ADA63" s="1"/>
      <c r="ADB63" s="1"/>
      <c r="ADC63" s="1"/>
      <c r="ADD63" s="1"/>
      <c r="ADE63" s="1"/>
      <c r="ADF63" s="1"/>
      <c r="ADG63" s="1"/>
      <c r="ADH63" s="1"/>
      <c r="ADI63" s="1"/>
      <c r="ADJ63" s="1"/>
      <c r="ADK63" s="1"/>
      <c r="ADL63" s="1"/>
      <c r="ADM63" s="1"/>
      <c r="ADN63" s="1"/>
      <c r="ADO63" s="1"/>
      <c r="ADP63" s="1"/>
      <c r="ADQ63" s="1"/>
      <c r="ADR63" s="1"/>
      <c r="ADS63" s="1"/>
      <c r="ADT63" s="1"/>
      <c r="ADU63" s="1"/>
      <c r="ADV63" s="1"/>
      <c r="ADW63" s="1"/>
      <c r="ADX63" s="1"/>
      <c r="ADY63" s="1"/>
      <c r="ADZ63" s="1"/>
      <c r="AEA63" s="1"/>
      <c r="AEB63" s="1"/>
      <c r="AEC63" s="1"/>
      <c r="AED63" s="1"/>
      <c r="AEE63" s="1"/>
      <c r="AEF63" s="1"/>
      <c r="AEG63" s="1"/>
      <c r="AEH63" s="1"/>
      <c r="AEI63" s="1"/>
      <c r="AEJ63" s="1"/>
      <c r="AEK63" s="1"/>
      <c r="AEL63" s="1"/>
      <c r="AEM63" s="1"/>
      <c r="AEN63" s="1"/>
      <c r="AEO63" s="1"/>
      <c r="AEP63" s="1"/>
      <c r="AEQ63" s="1"/>
      <c r="AER63" s="1"/>
      <c r="AES63" s="1"/>
      <c r="AET63" s="1"/>
      <c r="AEU63" s="1"/>
      <c r="AEV63" s="1"/>
      <c r="AEW63" s="1"/>
      <c r="AEX63" s="1"/>
      <c r="AEY63" s="1"/>
      <c r="AEZ63" s="1"/>
      <c r="AFA63" s="1"/>
      <c r="AFB63" s="1"/>
      <c r="AFC63" s="1"/>
      <c r="AFD63" s="1"/>
      <c r="AFE63" s="1"/>
      <c r="AFF63" s="1"/>
      <c r="AFG63" s="1"/>
      <c r="AFH63" s="1"/>
      <c r="AFI63" s="1"/>
      <c r="AFJ63" s="1"/>
      <c r="AFK63" s="1"/>
      <c r="AFL63" s="1"/>
      <c r="AFM63" s="1"/>
      <c r="AFN63" s="1"/>
      <c r="AFO63" s="1"/>
      <c r="AFP63" s="1"/>
      <c r="AFQ63" s="1"/>
      <c r="AFR63" s="1"/>
      <c r="AFS63" s="1"/>
      <c r="AFT63" s="1"/>
      <c r="AFU63" s="1"/>
      <c r="AFV63" s="1"/>
      <c r="AFW63" s="1"/>
      <c r="AFX63" s="1"/>
      <c r="AFY63" s="1"/>
      <c r="AFZ63" s="1"/>
      <c r="AGA63" s="1"/>
      <c r="AGB63" s="1"/>
      <c r="AGC63" s="1"/>
      <c r="AGD63" s="1"/>
      <c r="AGE63" s="1"/>
      <c r="AGF63" s="1"/>
      <c r="AGG63" s="1"/>
      <c r="AGH63" s="1"/>
      <c r="AGI63" s="1"/>
      <c r="AGJ63" s="1"/>
      <c r="AGK63" s="1"/>
      <c r="AGL63" s="1"/>
      <c r="AGM63" s="1"/>
      <c r="AGN63" s="1"/>
      <c r="AGO63" s="1"/>
      <c r="AGP63" s="1"/>
      <c r="AGQ63" s="1"/>
      <c r="AGR63" s="1"/>
      <c r="AGS63" s="1"/>
      <c r="AGT63" s="1"/>
      <c r="AGU63" s="1"/>
      <c r="AGV63" s="1"/>
      <c r="AGW63" s="1"/>
      <c r="AGX63" s="1"/>
      <c r="AGY63" s="1"/>
      <c r="AGZ63" s="1"/>
      <c r="AHA63" s="1"/>
      <c r="AHB63" s="1"/>
      <c r="AHC63" s="1"/>
      <c r="AHD63" s="1"/>
      <c r="AHE63" s="1"/>
      <c r="AHF63" s="1"/>
      <c r="AHG63" s="1"/>
      <c r="AHH63" s="1"/>
      <c r="AHI63" s="1"/>
      <c r="AHJ63" s="1"/>
      <c r="AHK63" s="1"/>
      <c r="AHL63" s="1"/>
      <c r="AHM63" s="1"/>
      <c r="AHN63" s="1"/>
      <c r="AHO63" s="1"/>
      <c r="AHP63" s="1"/>
      <c r="AHQ63" s="1"/>
      <c r="AHR63" s="1"/>
      <c r="AHS63" s="1"/>
      <c r="AHT63" s="1"/>
      <c r="AHU63" s="1"/>
      <c r="AHV63" s="1"/>
      <c r="AHW63" s="1"/>
      <c r="AHX63" s="1"/>
      <c r="AHY63" s="1"/>
      <c r="AHZ63" s="1"/>
      <c r="AIA63" s="1"/>
      <c r="AIB63" s="1"/>
      <c r="AIC63" s="1"/>
      <c r="AID63" s="1"/>
      <c r="AIE63" s="1"/>
      <c r="AIF63" s="1"/>
      <c r="AIG63" s="1"/>
      <c r="AIH63" s="1"/>
      <c r="AII63" s="1"/>
      <c r="AIJ63" s="1"/>
      <c r="AIK63" s="1"/>
      <c r="AIL63" s="1"/>
      <c r="AIM63" s="1"/>
      <c r="AIN63" s="1"/>
      <c r="AIO63" s="1"/>
      <c r="AIP63" s="1"/>
      <c r="AIQ63" s="1"/>
      <c r="AIR63" s="1"/>
      <c r="AIS63" s="1"/>
      <c r="AIT63" s="1"/>
      <c r="AIU63" s="1"/>
      <c r="AIV63" s="1"/>
      <c r="AIW63" s="1"/>
      <c r="AIX63" s="1"/>
      <c r="AIY63" s="1"/>
      <c r="AIZ63" s="1"/>
      <c r="AJA63" s="1"/>
      <c r="AJB63" s="1"/>
      <c r="AJC63" s="1"/>
      <c r="AJD63" s="1"/>
      <c r="AJE63" s="1"/>
      <c r="AJF63" s="1"/>
      <c r="AJG63" s="1"/>
      <c r="AJH63" s="1"/>
      <c r="AJI63" s="1"/>
      <c r="AJJ63" s="1"/>
      <c r="AJK63" s="1"/>
      <c r="AJL63" s="1"/>
      <c r="AJM63" s="1"/>
      <c r="AJN63" s="1"/>
      <c r="AJO63" s="1"/>
      <c r="AJP63" s="1"/>
      <c r="AJQ63" s="1"/>
      <c r="AJR63" s="1"/>
      <c r="AJS63" s="1"/>
      <c r="AJT63" s="1"/>
      <c r="AJU63" s="1"/>
      <c r="AJV63" s="1"/>
      <c r="AJW63" s="1"/>
      <c r="AJX63" s="1"/>
      <c r="AJY63" s="1"/>
      <c r="AJZ63" s="1"/>
      <c r="AKA63" s="1"/>
      <c r="AKB63" s="1"/>
      <c r="AKC63" s="1"/>
      <c r="AKD63" s="1"/>
      <c r="AKE63" s="1"/>
      <c r="AKF63" s="1"/>
      <c r="AKG63" s="1"/>
      <c r="AKH63" s="1"/>
      <c r="AKI63" s="1"/>
      <c r="AKJ63" s="1"/>
      <c r="AKK63" s="1"/>
      <c r="AKL63" s="1"/>
      <c r="AKM63" s="1"/>
      <c r="AKN63" s="1"/>
      <c r="AKO63" s="1"/>
      <c r="AKP63" s="1"/>
      <c r="AKQ63" s="1"/>
      <c r="AKR63" s="1"/>
      <c r="AKS63" s="1"/>
      <c r="AKT63" s="1"/>
      <c r="AKU63" s="1"/>
      <c r="AKV63" s="1"/>
      <c r="AKW63" s="1"/>
      <c r="AKX63" s="1"/>
      <c r="AKY63" s="1"/>
      <c r="AKZ63" s="1"/>
      <c r="ALA63" s="1"/>
      <c r="ALB63" s="1"/>
      <c r="ALC63" s="1"/>
      <c r="ALD63" s="1"/>
      <c r="ALE63" s="1"/>
      <c r="ALF63" s="1"/>
      <c r="ALG63" s="1"/>
      <c r="ALH63" s="1"/>
      <c r="ALI63" s="1"/>
      <c r="ALJ63" s="1"/>
      <c r="ALK63" s="1"/>
      <c r="ALL63" s="1"/>
      <c r="ALM63" s="1"/>
      <c r="ALN63" s="1"/>
      <c r="ALO63" s="1"/>
      <c r="ALP63" s="1"/>
      <c r="ALQ63" s="1"/>
      <c r="ALR63" s="1"/>
      <c r="ALS63" s="1"/>
      <c r="ALT63" s="1"/>
      <c r="ALU63" s="1"/>
      <c r="ALV63" s="1"/>
      <c r="ALW63" s="1"/>
      <c r="ALX63" s="1"/>
      <c r="ALY63" s="1"/>
      <c r="ALZ63" s="1"/>
      <c r="AMA63" s="1"/>
      <c r="AMB63" s="1"/>
      <c r="AMC63" s="1"/>
      <c r="AMD63" s="1"/>
      <c r="AME63" s="1"/>
      <c r="AMF63" s="1"/>
      <c r="AMG63" s="1"/>
      <c r="AMH63" s="1"/>
      <c r="AMI63" s="1"/>
      <c r="AMJ63" s="1"/>
    </row>
    <row r="64" s="19" customFormat="true" ht="13.8" hidden="false" customHeight="false" outlineLevel="0" collapsed="false">
      <c r="A64" s="28" t="s">
        <v>417</v>
      </c>
      <c r="B64" s="28" t="s">
        <v>418</v>
      </c>
      <c r="C64" s="1" t="n">
        <v>97</v>
      </c>
      <c r="D64" s="1"/>
      <c r="E64" s="1" t="n">
        <v>1091</v>
      </c>
      <c r="F64" s="1" t="s">
        <v>89</v>
      </c>
      <c r="G64" s="1" t="s">
        <v>394</v>
      </c>
      <c r="H64" s="1" t="s">
        <v>412</v>
      </c>
      <c r="I64" s="1" t="s">
        <v>151</v>
      </c>
      <c r="J64" s="1" t="n">
        <v>1938</v>
      </c>
      <c r="K64" s="1" t="n">
        <v>1969</v>
      </c>
      <c r="L64" s="1" t="n">
        <v>1988</v>
      </c>
      <c r="M64" s="1"/>
      <c r="N64" s="1"/>
      <c r="O64" s="2"/>
      <c r="P64" s="3"/>
      <c r="Q64" s="3"/>
      <c r="R64" s="3"/>
      <c r="S64" s="3"/>
      <c r="T64" s="3"/>
      <c r="U64" s="3"/>
      <c r="V64" s="3"/>
      <c r="W64" s="1" t="n">
        <v>20</v>
      </c>
      <c r="X64" s="2"/>
      <c r="Y64" s="1" t="n">
        <v>4</v>
      </c>
      <c r="Z64" s="1"/>
      <c r="AA64" s="4" t="str">
        <f aca="false">IF(AND(W64&gt;0,Z64&gt;0),(Z64/((W64+X64)*10)),"")</f>
        <v/>
      </c>
      <c r="AB64" s="1" t="n">
        <v>60</v>
      </c>
      <c r="AC64" s="1" t="n">
        <f aca="false">ROUND(AB64*1.6, 0)</f>
        <v>96</v>
      </c>
      <c r="AD64" s="1"/>
      <c r="AE64" s="1"/>
      <c r="AF64" s="1" t="n">
        <v>10</v>
      </c>
      <c r="AG64" s="1" t="n">
        <v>10</v>
      </c>
      <c r="AH64" s="1" t="n">
        <v>2.5</v>
      </c>
      <c r="AI64" s="1" t="n">
        <v>3.35</v>
      </c>
      <c r="AJ64" s="5" t="n">
        <v>0</v>
      </c>
      <c r="AK64" s="1" t="str">
        <f aca="false">CONCATENATE(VLOOKUP(AL64, '[1]Voxel Sizes'!$A$2:$B$18,2,FALSE()),"x",INT(AH64*15), "x", INT(AI64*15))</f>
        <v>102x37x50</v>
      </c>
      <c r="AL64" s="1" t="n">
        <f aca="false">ROUND(15*((AG64*10)/256),0)</f>
        <v>6</v>
      </c>
      <c r="AM64" s="1"/>
      <c r="AN64" s="1" t="str">
        <f aca="false">CONCATENATE(VLOOKUP(AL64,Constants!$A$2:$C$16,IF(AM64&lt;&gt;"", 3, 2), FALSE()),IF(AM64&lt;&gt;"",CONCATENATE(",",VLOOKUP(AM64,$B:$AN,38,FALSE())),""))</f>
        <v>2,2,2</v>
      </c>
      <c r="AO64" s="1"/>
      <c r="AP64" s="7"/>
      <c r="AQ64" s="7"/>
      <c r="AR64" s="1"/>
      <c r="AS64" s="1"/>
      <c r="AT64" s="1"/>
      <c r="AU64" s="1"/>
      <c r="AV64" s="1"/>
      <c r="AW64" s="1"/>
      <c r="AX64" s="1" t="n">
        <v>50</v>
      </c>
      <c r="AY64" s="6" t="n">
        <f aca="false">IF(L64&lt;&gt;"",MAX(16,(L64-J64)+8),"")</f>
        <v>58</v>
      </c>
      <c r="AZ64" s="1" t="n">
        <v>12</v>
      </c>
      <c r="BA64" s="1" t="n">
        <v>6</v>
      </c>
      <c r="BB64" s="1" t="n">
        <f aca="false">MIN(AB64/150, 1)*30</f>
        <v>12</v>
      </c>
      <c r="BC64" s="1" t="n">
        <f aca="false">MIN(N64/4000, 1)*20</f>
        <v>0</v>
      </c>
      <c r="BD64" s="1" t="n">
        <f aca="false">MIN(Z64/400,1)*20</f>
        <v>0</v>
      </c>
      <c r="BE64" s="4" t="n">
        <f aca="false">1-(MAX(J64-1900, 0)/750)</f>
        <v>0.949333333333333</v>
      </c>
      <c r="BF64" s="1" t="n">
        <f aca="false">((MAX($M64,1)*MIN($AJ64/300,1)))*IF(G64="Wagon",50,10)</f>
        <v>0</v>
      </c>
      <c r="BG64" s="1" t="n">
        <f aca="false">VLOOKUP($H64,Constants!$I:$K, 2, FALSE())</f>
        <v>1</v>
      </c>
      <c r="BH64" s="1" t="n">
        <f aca="false">VLOOKUP($H64,Constants!$I:$K, 3, FALSE())*IF(AND(G64="multiple_unit",AB64&lt;110),0.75,1)</f>
        <v>0.4</v>
      </c>
      <c r="BI64" s="1" t="n">
        <f aca="false">INT(POWER(((Constants!$G$2+$BB64+$BC64+$BD64+$BF64)*$BE64)*$BH64, 1.05))+$BA64</f>
        <v>13</v>
      </c>
      <c r="BJ64" s="1" t="n">
        <f aca="false">INT(POWER((((Constants!$G$1+$BB64+$BC64+$BD64+$BF64)*($BE64))*$BG64),IF($G64="wagon",1,1.2)))+$AZ64</f>
        <v>37</v>
      </c>
      <c r="BK64" s="33" t="n">
        <f aca="false">BI64*IF($G64="wagon",62.5,781.25)</f>
        <v>812.5</v>
      </c>
      <c r="BL64" s="33" t="n">
        <f aca="false">BJ64*IF($G64="wagon",2.73,81.25)</f>
        <v>101.01</v>
      </c>
      <c r="BM64" s="1"/>
      <c r="BN64" s="1"/>
      <c r="BO64" s="1"/>
      <c r="BP64" s="1"/>
      <c r="BQ64" s="1"/>
      <c r="BR64" s="1"/>
      <c r="BS64" s="1"/>
      <c r="BT64" s="1" t="n">
        <v>1</v>
      </c>
      <c r="BU64" s="1"/>
      <c r="BV64" s="18" t="s">
        <v>413</v>
      </c>
      <c r="BW64" s="18"/>
      <c r="BX64" s="18" t="s">
        <v>414</v>
      </c>
      <c r="BY64" s="1" t="str">
        <f aca="false">VLOOKUP(J64,Eras!$A$2:$C$10, 2, TRUE())</f>
        <v>big4</v>
      </c>
      <c r="BZ64" s="28" t="s">
        <v>415</v>
      </c>
      <c r="CA64" s="1" t="str">
        <f aca="false">CONCATENATE(BY64,"_",BZ64)</f>
        <v>big4_Extra</v>
      </c>
      <c r="CB64" s="1" t="str">
        <f aca="false">_xlfn.CONCAT(H64, "_",I64)</f>
        <v>brake_RAIL</v>
      </c>
      <c r="CC64" s="32" t="str">
        <f aca="false" t="array" ref="CC64:CC64">_xlfn.CONCAT("{BLACK}Length: {GOLD}", TEXT(ROUNDUP(IF(AQ64&lt;&gt;"",SUM(VALUE(_xlfn.TEXTSPLIT(AQ64, ","))), SUM(VALUE(_xlfn.TEXTSPLIT(AN64, ",")))*IF(M64, M64, 1))/16, 1), "#,##0.0"), " tiles{}")</f>
        <v>{BLACK}Length: {GOLD}0.4 tiles{}</v>
      </c>
      <c r="CD64" s="1" t="str">
        <f aca="false">VLOOKUP($CB64, Constants!$M:$N, 2, FALSE())</f>
        <v/>
      </c>
      <c r="CE64" s="1" t="str">
        <f aca="false">IF(M64&gt;1,_xlfn.CONCAT("{BLACK}Cars: {GOLD}", M64),"")</f>
        <v/>
      </c>
      <c r="CF64" s="1" t="s">
        <v>419</v>
      </c>
      <c r="CG64" s="1" t="str">
        <f aca="false">IF(BX64="buffet","{YELLOW}25%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{BLACK}Length: {GOLD}0.4 tiles{}{SILVER}The native design of LMS Brake Van had a sizable veranda at both ends. Once again, they lasted well into BR ownership as part of Engineers’ trains.</v>
      </c>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C64" s="1"/>
      <c r="ND64" s="1"/>
      <c r="NE64" s="1"/>
      <c r="NF64" s="1"/>
      <c r="NG64" s="1"/>
      <c r="NH64" s="1"/>
      <c r="NI64" s="1"/>
      <c r="NJ64" s="1"/>
      <c r="NK64" s="1"/>
      <c r="NL64" s="1"/>
      <c r="NM64" s="1"/>
      <c r="NN64" s="1"/>
      <c r="NO64" s="1"/>
      <c r="NP64" s="1"/>
      <c r="NQ64" s="1"/>
      <c r="NR64" s="1"/>
      <c r="NS64" s="1"/>
      <c r="NT64" s="1"/>
      <c r="NU64" s="1"/>
      <c r="NV64" s="1"/>
      <c r="NW64" s="1"/>
      <c r="NX64" s="1"/>
      <c r="NY64" s="1"/>
      <c r="NZ64" s="1"/>
      <c r="OA64" s="1"/>
      <c r="OB64" s="1"/>
      <c r="OC64" s="1"/>
      <c r="OD64" s="1"/>
      <c r="OE64" s="1"/>
      <c r="OF64" s="1"/>
      <c r="OG64" s="1"/>
      <c r="OH64" s="1"/>
      <c r="OI64" s="1"/>
      <c r="OJ64" s="1"/>
      <c r="OK64" s="1"/>
      <c r="OL64" s="1"/>
      <c r="OM64" s="1"/>
      <c r="ON64" s="1"/>
      <c r="OO64" s="1"/>
      <c r="OP64" s="1"/>
      <c r="OQ64" s="1"/>
      <c r="OR64" s="1"/>
      <c r="OS64" s="1"/>
      <c r="OT64" s="1"/>
      <c r="OU64" s="1"/>
      <c r="OV64" s="1"/>
      <c r="OW64" s="1"/>
      <c r="OX64" s="1"/>
      <c r="OY64" s="1"/>
      <c r="OZ64" s="1"/>
      <c r="PA64" s="1"/>
      <c r="PB64" s="1"/>
      <c r="PC64" s="1"/>
      <c r="PD64" s="1"/>
      <c r="PE64" s="1"/>
      <c r="PF64" s="1"/>
      <c r="PG64" s="1"/>
      <c r="PH64" s="1"/>
      <c r="PI64" s="1"/>
      <c r="PJ64" s="1"/>
      <c r="PK64" s="1"/>
      <c r="PL64" s="1"/>
      <c r="PM64" s="1"/>
      <c r="PN64" s="1"/>
      <c r="PO64" s="1"/>
      <c r="PP64" s="1"/>
      <c r="PQ64" s="1"/>
      <c r="PR64" s="1"/>
      <c r="PS64" s="1"/>
      <c r="PT64" s="1"/>
      <c r="PU64" s="1"/>
      <c r="PV64" s="1"/>
      <c r="PW64" s="1"/>
      <c r="PX64" s="1"/>
      <c r="PY64" s="1"/>
      <c r="PZ64" s="1"/>
      <c r="QA64" s="1"/>
      <c r="QB64" s="1"/>
      <c r="QC64" s="1"/>
      <c r="QD64" s="1"/>
      <c r="QE64" s="1"/>
      <c r="QF64" s="1"/>
      <c r="QG64" s="1"/>
      <c r="QH64" s="1"/>
      <c r="QI64" s="1"/>
      <c r="QJ64" s="1"/>
      <c r="QK64" s="1"/>
      <c r="QL64" s="1"/>
      <c r="QM64" s="1"/>
      <c r="QN64" s="1"/>
      <c r="QO64" s="1"/>
      <c r="QP64" s="1"/>
      <c r="QQ64" s="1"/>
      <c r="QR64" s="1"/>
      <c r="QS64" s="1"/>
      <c r="QT64" s="1"/>
      <c r="QU64" s="1"/>
      <c r="QV64" s="1"/>
      <c r="QW64" s="1"/>
      <c r="QX64" s="1"/>
      <c r="QY64" s="1"/>
      <c r="QZ64" s="1"/>
      <c r="RA64" s="1"/>
      <c r="RB64" s="1"/>
      <c r="RC64" s="1"/>
      <c r="RD64" s="1"/>
      <c r="RE64" s="1"/>
      <c r="RF64" s="1"/>
      <c r="RG64" s="1"/>
      <c r="RH64" s="1"/>
      <c r="RI64" s="1"/>
      <c r="RJ64" s="1"/>
      <c r="RK64" s="1"/>
      <c r="RL64" s="1"/>
      <c r="RM64" s="1"/>
      <c r="RN64" s="1"/>
      <c r="RO64" s="1"/>
      <c r="RP64" s="1"/>
      <c r="RQ64" s="1"/>
      <c r="RR64" s="1"/>
      <c r="RS64" s="1"/>
      <c r="RT64" s="1"/>
      <c r="RU64" s="1"/>
      <c r="RV64" s="1"/>
      <c r="RW64" s="1"/>
      <c r="RX64" s="1"/>
      <c r="RY64" s="1"/>
      <c r="RZ64" s="1"/>
      <c r="SA64" s="1"/>
      <c r="SB64" s="1"/>
      <c r="SC64" s="1"/>
      <c r="SD64" s="1"/>
      <c r="SE64" s="1"/>
      <c r="SF64" s="1"/>
      <c r="SG64" s="1"/>
      <c r="SH64" s="1"/>
      <c r="SI64" s="1"/>
      <c r="SJ64" s="1"/>
      <c r="SK64" s="1"/>
      <c r="SL64" s="1"/>
      <c r="SM64" s="1"/>
      <c r="SN64" s="1"/>
      <c r="SO64" s="1"/>
      <c r="SP64" s="1"/>
      <c r="SQ64" s="1"/>
      <c r="SR64" s="1"/>
      <c r="SS64" s="1"/>
      <c r="ST64" s="1"/>
      <c r="SU64" s="1"/>
      <c r="SV64" s="1"/>
      <c r="SW64" s="1"/>
      <c r="SX64" s="1"/>
      <c r="SY64" s="1"/>
      <c r="SZ64" s="1"/>
      <c r="TA64" s="1"/>
      <c r="TB64" s="1"/>
      <c r="TC64" s="1"/>
      <c r="TD64" s="1"/>
      <c r="TE64" s="1"/>
      <c r="TF64" s="1"/>
      <c r="TG64" s="1"/>
      <c r="TH64" s="1"/>
      <c r="TI64" s="1"/>
      <c r="TJ64" s="1"/>
      <c r="TK64" s="1"/>
      <c r="TL64" s="1"/>
      <c r="TM64" s="1"/>
      <c r="TN64" s="1"/>
      <c r="TO64" s="1"/>
      <c r="TP64" s="1"/>
      <c r="TQ64" s="1"/>
      <c r="TR64" s="1"/>
      <c r="TS64" s="1"/>
      <c r="TT64" s="1"/>
      <c r="TU64" s="1"/>
      <c r="TV64" s="1"/>
      <c r="TW64" s="1"/>
      <c r="TX64" s="1"/>
      <c r="TY64" s="1"/>
      <c r="TZ64" s="1"/>
      <c r="UA64" s="1"/>
      <c r="UB64" s="1"/>
      <c r="UC64" s="1"/>
      <c r="UD64" s="1"/>
      <c r="UE64" s="1"/>
      <c r="UF64" s="1"/>
      <c r="UG64" s="1"/>
      <c r="UH64" s="1"/>
      <c r="UI64" s="1"/>
      <c r="UJ64" s="1"/>
      <c r="UK64" s="1"/>
      <c r="UL64" s="1"/>
      <c r="UM64" s="1"/>
      <c r="UN64" s="1"/>
      <c r="UO64" s="1"/>
      <c r="UP64" s="1"/>
      <c r="UQ64" s="1"/>
      <c r="UR64" s="1"/>
      <c r="US64" s="1"/>
      <c r="UT64" s="1"/>
      <c r="UU64" s="1"/>
      <c r="UV64" s="1"/>
      <c r="UW64" s="1"/>
      <c r="UX64" s="1"/>
      <c r="UY64" s="1"/>
      <c r="UZ64" s="1"/>
      <c r="VA64" s="1"/>
      <c r="VB64" s="1"/>
      <c r="VC64" s="1"/>
      <c r="VD64" s="1"/>
      <c r="VE64" s="1"/>
      <c r="VF64" s="1"/>
      <c r="VG64" s="1"/>
      <c r="VH64" s="1"/>
      <c r="VI64" s="1"/>
      <c r="VJ64" s="1"/>
      <c r="VK64" s="1"/>
      <c r="VL64" s="1"/>
      <c r="VM64" s="1"/>
      <c r="VN64" s="1"/>
      <c r="VO64" s="1"/>
      <c r="VP64" s="1"/>
      <c r="VQ64" s="1"/>
      <c r="VR64" s="1"/>
      <c r="VS64" s="1"/>
      <c r="VT64" s="1"/>
      <c r="VU64" s="1"/>
      <c r="VV64" s="1"/>
      <c r="VW64" s="1"/>
      <c r="VX64" s="1"/>
      <c r="VY64" s="1"/>
      <c r="VZ64" s="1"/>
      <c r="WA64" s="1"/>
      <c r="WB64" s="1"/>
      <c r="WC64" s="1"/>
      <c r="WD64" s="1"/>
      <c r="WE64" s="1"/>
      <c r="WF64" s="1"/>
      <c r="WG64" s="1"/>
      <c r="WH64" s="1"/>
      <c r="WI64" s="1"/>
      <c r="WJ64" s="1"/>
      <c r="WK64" s="1"/>
      <c r="WL64" s="1"/>
      <c r="WM64" s="1"/>
      <c r="WN64" s="1"/>
      <c r="WO64" s="1"/>
      <c r="WP64" s="1"/>
      <c r="WQ64" s="1"/>
      <c r="WR64" s="1"/>
      <c r="WS64" s="1"/>
      <c r="WT64" s="1"/>
      <c r="WU64" s="1"/>
      <c r="WV64" s="1"/>
      <c r="WW64" s="1"/>
      <c r="WX64" s="1"/>
      <c r="WY64" s="1"/>
      <c r="WZ64" s="1"/>
      <c r="XA64" s="1"/>
      <c r="XB64" s="1"/>
      <c r="XC64" s="1"/>
      <c r="XD64" s="1"/>
      <c r="XE64" s="1"/>
      <c r="XF64" s="1"/>
      <c r="XG64" s="1"/>
      <c r="XH64" s="1"/>
      <c r="XI64" s="1"/>
      <c r="XJ64" s="1"/>
      <c r="XK64" s="1"/>
      <c r="XL64" s="1"/>
      <c r="XM64" s="1"/>
      <c r="XN64" s="1"/>
      <c r="XO64" s="1"/>
      <c r="XP64" s="1"/>
      <c r="XQ64" s="1"/>
      <c r="XR64" s="1"/>
      <c r="XS64" s="1"/>
      <c r="XT64" s="1"/>
      <c r="XU64" s="1"/>
      <c r="XV64" s="1"/>
      <c r="XW64" s="1"/>
      <c r="XX64" s="1"/>
      <c r="XY64" s="1"/>
      <c r="XZ64" s="1"/>
      <c r="YA64" s="1"/>
      <c r="YB64" s="1"/>
      <c r="YC64" s="1"/>
      <c r="YD64" s="1"/>
      <c r="YE64" s="1"/>
      <c r="YF64" s="1"/>
      <c r="YG64" s="1"/>
      <c r="YH64" s="1"/>
      <c r="YI64" s="1"/>
      <c r="YJ64" s="1"/>
      <c r="YK64" s="1"/>
      <c r="YL64" s="1"/>
      <c r="YM64" s="1"/>
      <c r="YN64" s="1"/>
      <c r="YO64" s="1"/>
      <c r="YP64" s="1"/>
      <c r="YQ64" s="1"/>
      <c r="YR64" s="1"/>
      <c r="YS64" s="1"/>
      <c r="YT64" s="1"/>
      <c r="YU64" s="1"/>
      <c r="YV64" s="1"/>
      <c r="YW64" s="1"/>
      <c r="YX64" s="1"/>
      <c r="YY64" s="1"/>
      <c r="YZ64" s="1"/>
      <c r="ZA64" s="1"/>
      <c r="ZB64" s="1"/>
      <c r="ZC64" s="1"/>
      <c r="ZD64" s="1"/>
      <c r="ZE64" s="1"/>
      <c r="ZF64" s="1"/>
      <c r="ZG64" s="1"/>
      <c r="ZH64" s="1"/>
      <c r="ZI64" s="1"/>
      <c r="ZJ64" s="1"/>
      <c r="ZK64" s="1"/>
      <c r="ZL64" s="1"/>
      <c r="ZM64" s="1"/>
      <c r="ZN64" s="1"/>
      <c r="ZO64" s="1"/>
      <c r="ZP64" s="1"/>
      <c r="ZQ64" s="1"/>
      <c r="ZR64" s="1"/>
      <c r="ZS64" s="1"/>
      <c r="ZT64" s="1"/>
      <c r="ZU64" s="1"/>
      <c r="ZV64" s="1"/>
      <c r="ZW64" s="1"/>
      <c r="ZX64" s="1"/>
      <c r="ZY64" s="1"/>
      <c r="ZZ64" s="1"/>
      <c r="AAA64" s="1"/>
      <c r="AAB64" s="1"/>
      <c r="AAC64" s="1"/>
      <c r="AAD64" s="1"/>
      <c r="AAE64" s="1"/>
      <c r="AAF64" s="1"/>
      <c r="AAG64" s="1"/>
      <c r="AAH64" s="1"/>
      <c r="AAI64" s="1"/>
      <c r="AAJ64" s="1"/>
      <c r="AAK64" s="1"/>
      <c r="AAL64" s="1"/>
      <c r="AAM64" s="1"/>
      <c r="AAN64" s="1"/>
      <c r="AAO64" s="1"/>
      <c r="AAP64" s="1"/>
      <c r="AAQ64" s="1"/>
      <c r="AAR64" s="1"/>
      <c r="AAS64" s="1"/>
      <c r="AAT64" s="1"/>
      <c r="AAU64" s="1"/>
      <c r="AAV64" s="1"/>
      <c r="AAW64" s="1"/>
      <c r="AAX64" s="1"/>
      <c r="AAY64" s="1"/>
      <c r="AAZ64" s="1"/>
      <c r="ABA64" s="1"/>
      <c r="ABB64" s="1"/>
      <c r="ABC64" s="1"/>
      <c r="ABD64" s="1"/>
      <c r="ABE64" s="1"/>
      <c r="ABF64" s="1"/>
      <c r="ABG64" s="1"/>
      <c r="ABH64" s="1"/>
      <c r="ABI64" s="1"/>
      <c r="ABJ64" s="1"/>
      <c r="ABK64" s="1"/>
      <c r="ABL64" s="1"/>
      <c r="ABM64" s="1"/>
      <c r="ABN64" s="1"/>
      <c r="ABO64" s="1"/>
      <c r="ABP64" s="1"/>
      <c r="ABQ64" s="1"/>
      <c r="ABR64" s="1"/>
      <c r="ABS64" s="1"/>
      <c r="ABT64" s="1"/>
      <c r="ABU64" s="1"/>
      <c r="ABV64" s="1"/>
      <c r="ABW64" s="1"/>
      <c r="ABX64" s="1"/>
      <c r="ABY64" s="1"/>
      <c r="ABZ64" s="1"/>
      <c r="ACA64" s="1"/>
      <c r="ACB64" s="1"/>
      <c r="ACC64" s="1"/>
      <c r="ACD64" s="1"/>
      <c r="ACE64" s="1"/>
      <c r="ACF64" s="1"/>
      <c r="ACG64" s="1"/>
      <c r="ACH64" s="1"/>
      <c r="ACI64" s="1"/>
      <c r="ACJ64" s="1"/>
      <c r="ACK64" s="1"/>
      <c r="ACL64" s="1"/>
      <c r="ACM64" s="1"/>
      <c r="ACN64" s="1"/>
      <c r="ACO64" s="1"/>
      <c r="ACP64" s="1"/>
      <c r="ACQ64" s="1"/>
      <c r="ACR64" s="1"/>
      <c r="ACS64" s="1"/>
      <c r="ACT64" s="1"/>
      <c r="ACU64" s="1"/>
      <c r="ACV64" s="1"/>
      <c r="ACW64" s="1"/>
      <c r="ACX64" s="1"/>
      <c r="ACY64" s="1"/>
      <c r="ACZ64" s="1"/>
      <c r="ADA64" s="1"/>
      <c r="ADB64" s="1"/>
      <c r="ADC64" s="1"/>
      <c r="ADD64" s="1"/>
      <c r="ADE64" s="1"/>
      <c r="ADF64" s="1"/>
      <c r="ADG64" s="1"/>
      <c r="ADH64" s="1"/>
      <c r="ADI64" s="1"/>
      <c r="ADJ64" s="1"/>
      <c r="ADK64" s="1"/>
      <c r="ADL64" s="1"/>
      <c r="ADM64" s="1"/>
      <c r="ADN64" s="1"/>
      <c r="ADO64" s="1"/>
      <c r="ADP64" s="1"/>
      <c r="ADQ64" s="1"/>
      <c r="ADR64" s="1"/>
      <c r="ADS64" s="1"/>
      <c r="ADT64" s="1"/>
      <c r="ADU64" s="1"/>
      <c r="ADV64" s="1"/>
      <c r="ADW64" s="1"/>
      <c r="ADX64" s="1"/>
      <c r="ADY64" s="1"/>
      <c r="ADZ64" s="1"/>
      <c r="AEA64" s="1"/>
      <c r="AEB64" s="1"/>
      <c r="AEC64" s="1"/>
      <c r="AED64" s="1"/>
      <c r="AEE64" s="1"/>
      <c r="AEF64" s="1"/>
      <c r="AEG64" s="1"/>
      <c r="AEH64" s="1"/>
      <c r="AEI64" s="1"/>
      <c r="AEJ64" s="1"/>
      <c r="AEK64" s="1"/>
      <c r="AEL64" s="1"/>
      <c r="AEM64" s="1"/>
      <c r="AEN64" s="1"/>
      <c r="AEO64" s="1"/>
      <c r="AEP64" s="1"/>
      <c r="AEQ64" s="1"/>
      <c r="AER64" s="1"/>
      <c r="AES64" s="1"/>
      <c r="AET64" s="1"/>
      <c r="AEU64" s="1"/>
      <c r="AEV64" s="1"/>
      <c r="AEW64" s="1"/>
      <c r="AEX64" s="1"/>
      <c r="AEY64" s="1"/>
      <c r="AEZ64" s="1"/>
      <c r="AFA64" s="1"/>
      <c r="AFB64" s="1"/>
      <c r="AFC64" s="1"/>
      <c r="AFD64" s="1"/>
      <c r="AFE64" s="1"/>
      <c r="AFF64" s="1"/>
      <c r="AFG64" s="1"/>
      <c r="AFH64" s="1"/>
      <c r="AFI64" s="1"/>
      <c r="AFJ64" s="1"/>
      <c r="AFK64" s="1"/>
      <c r="AFL64" s="1"/>
      <c r="AFM64" s="1"/>
      <c r="AFN64" s="1"/>
      <c r="AFO64" s="1"/>
      <c r="AFP64" s="1"/>
      <c r="AFQ64" s="1"/>
      <c r="AFR64" s="1"/>
      <c r="AFS64" s="1"/>
      <c r="AFT64" s="1"/>
      <c r="AFU64" s="1"/>
      <c r="AFV64" s="1"/>
      <c r="AFW64" s="1"/>
      <c r="AFX64" s="1"/>
      <c r="AFY64" s="1"/>
      <c r="AFZ64" s="1"/>
      <c r="AGA64" s="1"/>
      <c r="AGB64" s="1"/>
      <c r="AGC64" s="1"/>
      <c r="AGD64" s="1"/>
      <c r="AGE64" s="1"/>
      <c r="AGF64" s="1"/>
      <c r="AGG64" s="1"/>
      <c r="AGH64" s="1"/>
      <c r="AGI64" s="1"/>
      <c r="AGJ64" s="1"/>
      <c r="AGK64" s="1"/>
      <c r="AGL64" s="1"/>
      <c r="AGM64" s="1"/>
      <c r="AGN64" s="1"/>
      <c r="AGO64" s="1"/>
      <c r="AGP64" s="1"/>
      <c r="AGQ64" s="1"/>
      <c r="AGR64" s="1"/>
      <c r="AGS64" s="1"/>
      <c r="AGT64" s="1"/>
      <c r="AGU64" s="1"/>
      <c r="AGV64" s="1"/>
      <c r="AGW64" s="1"/>
      <c r="AGX64" s="1"/>
      <c r="AGY64" s="1"/>
      <c r="AGZ64" s="1"/>
      <c r="AHA64" s="1"/>
      <c r="AHB64" s="1"/>
      <c r="AHC64" s="1"/>
      <c r="AHD64" s="1"/>
      <c r="AHE64" s="1"/>
      <c r="AHF64" s="1"/>
      <c r="AHG64" s="1"/>
      <c r="AHH64" s="1"/>
      <c r="AHI64" s="1"/>
      <c r="AHJ64" s="1"/>
      <c r="AHK64" s="1"/>
      <c r="AHL64" s="1"/>
      <c r="AHM64" s="1"/>
      <c r="AHN64" s="1"/>
      <c r="AHO64" s="1"/>
      <c r="AHP64" s="1"/>
      <c r="AHQ64" s="1"/>
      <c r="AHR64" s="1"/>
      <c r="AHS64" s="1"/>
      <c r="AHT64" s="1"/>
      <c r="AHU64" s="1"/>
      <c r="AHV64" s="1"/>
      <c r="AHW64" s="1"/>
      <c r="AHX64" s="1"/>
      <c r="AHY64" s="1"/>
      <c r="AHZ64" s="1"/>
      <c r="AIA64" s="1"/>
      <c r="AIB64" s="1"/>
      <c r="AIC64" s="1"/>
      <c r="AID64" s="1"/>
      <c r="AIE64" s="1"/>
      <c r="AIF64" s="1"/>
      <c r="AIG64" s="1"/>
      <c r="AIH64" s="1"/>
      <c r="AII64" s="1"/>
      <c r="AIJ64" s="1"/>
      <c r="AIK64" s="1"/>
      <c r="AIL64" s="1"/>
      <c r="AIM64" s="1"/>
      <c r="AIN64" s="1"/>
      <c r="AIO64" s="1"/>
      <c r="AIP64" s="1"/>
      <c r="AIQ64" s="1"/>
      <c r="AIR64" s="1"/>
      <c r="AIS64" s="1"/>
      <c r="AIT64" s="1"/>
      <c r="AIU64" s="1"/>
      <c r="AIV64" s="1"/>
      <c r="AIW64" s="1"/>
      <c r="AIX64" s="1"/>
      <c r="AIY64" s="1"/>
      <c r="AIZ64" s="1"/>
      <c r="AJA64" s="1"/>
      <c r="AJB64" s="1"/>
      <c r="AJC64" s="1"/>
      <c r="AJD64" s="1"/>
      <c r="AJE64" s="1"/>
      <c r="AJF64" s="1"/>
      <c r="AJG64" s="1"/>
      <c r="AJH64" s="1"/>
      <c r="AJI64" s="1"/>
      <c r="AJJ64" s="1"/>
      <c r="AJK64" s="1"/>
      <c r="AJL64" s="1"/>
      <c r="AJM64" s="1"/>
      <c r="AJN64" s="1"/>
      <c r="AJO64" s="1"/>
      <c r="AJP64" s="1"/>
      <c r="AJQ64" s="1"/>
      <c r="AJR64" s="1"/>
      <c r="AJS64" s="1"/>
      <c r="AJT64" s="1"/>
      <c r="AJU64" s="1"/>
      <c r="AJV64" s="1"/>
      <c r="AJW64" s="1"/>
      <c r="AJX64" s="1"/>
      <c r="AJY64" s="1"/>
      <c r="AJZ64" s="1"/>
      <c r="AKA64" s="1"/>
      <c r="AKB64" s="1"/>
      <c r="AKC64" s="1"/>
      <c r="AKD64" s="1"/>
      <c r="AKE64" s="1"/>
      <c r="AKF64" s="1"/>
      <c r="AKG64" s="1"/>
      <c r="AKH64" s="1"/>
      <c r="AKI64" s="1"/>
      <c r="AKJ64" s="1"/>
      <c r="AKK64" s="1"/>
      <c r="AKL64" s="1"/>
      <c r="AKM64" s="1"/>
      <c r="AKN64" s="1"/>
      <c r="AKO64" s="1"/>
      <c r="AKP64" s="1"/>
      <c r="AKQ64" s="1"/>
      <c r="AKR64" s="1"/>
      <c r="AKS64" s="1"/>
      <c r="AKT64" s="1"/>
      <c r="AKU64" s="1"/>
      <c r="AKV64" s="1"/>
      <c r="AKW64" s="1"/>
      <c r="AKX64" s="1"/>
      <c r="AKY64" s="1"/>
      <c r="AKZ64" s="1"/>
      <c r="ALA64" s="1"/>
      <c r="ALB64" s="1"/>
      <c r="ALC64" s="1"/>
      <c r="ALD64" s="1"/>
      <c r="ALE64" s="1"/>
      <c r="ALF64" s="1"/>
      <c r="ALG64" s="1"/>
      <c r="ALH64" s="1"/>
      <c r="ALI64" s="1"/>
      <c r="ALJ64" s="1"/>
      <c r="ALK64" s="1"/>
      <c r="ALL64" s="1"/>
      <c r="ALM64" s="1"/>
      <c r="ALN64" s="1"/>
      <c r="ALO64" s="1"/>
      <c r="ALP64" s="1"/>
      <c r="ALQ64" s="1"/>
      <c r="ALR64" s="1"/>
      <c r="ALS64" s="1"/>
      <c r="ALT64" s="1"/>
      <c r="ALU64" s="1"/>
      <c r="ALV64" s="1"/>
      <c r="ALW64" s="1"/>
      <c r="ALX64" s="1"/>
      <c r="ALY64" s="1"/>
      <c r="ALZ64" s="1"/>
      <c r="AMA64" s="1"/>
      <c r="AMB64" s="1"/>
      <c r="AMC64" s="1"/>
      <c r="AMD64" s="1"/>
      <c r="AME64" s="1"/>
      <c r="AMF64" s="1"/>
      <c r="AMG64" s="1"/>
      <c r="AMH64" s="1"/>
      <c r="AMI64" s="1"/>
      <c r="AMJ64" s="1"/>
    </row>
    <row r="65" customFormat="false" ht="13.8" hidden="false" customHeight="false" outlineLevel="0" collapsed="false">
      <c r="A65" s="28" t="s">
        <v>420</v>
      </c>
      <c r="B65" s="28" t="s">
        <v>421</v>
      </c>
      <c r="C65" s="1" t="n">
        <v>21</v>
      </c>
      <c r="E65" s="1" t="n">
        <v>1021</v>
      </c>
      <c r="F65" s="1" t="s">
        <v>89</v>
      </c>
      <c r="G65" s="1" t="s">
        <v>394</v>
      </c>
      <c r="H65" s="1" t="s">
        <v>394</v>
      </c>
      <c r="I65" s="1" t="s">
        <v>151</v>
      </c>
      <c r="J65" s="1" t="n">
        <v>1936</v>
      </c>
      <c r="K65" s="1" t="n">
        <v>1962</v>
      </c>
      <c r="L65" s="1" t="n">
        <v>1966</v>
      </c>
      <c r="W65" s="1" t="n">
        <v>10.1</v>
      </c>
      <c r="Y65" s="1" t="n">
        <v>4</v>
      </c>
      <c r="AA65" s="4" t="str">
        <f aca="false">IF(AND(W65&gt;0,Z65&gt;0),(Z65/((W65+X65)*10)),"")</f>
        <v/>
      </c>
      <c r="AB65" s="1" t="n">
        <v>45</v>
      </c>
      <c r="AC65" s="1" t="n">
        <f aca="false">ROUND(AB65*1.6, 0)</f>
        <v>72</v>
      </c>
      <c r="AF65" s="1" t="n">
        <v>10</v>
      </c>
      <c r="AG65" s="1" t="n">
        <v>10</v>
      </c>
      <c r="AH65" s="1" t="n">
        <v>2.5</v>
      </c>
      <c r="AI65" s="1" t="n">
        <v>3.35</v>
      </c>
      <c r="AJ65" s="5" t="n">
        <v>20</v>
      </c>
      <c r="AK65" s="1" t="str">
        <f aca="false">CONCATENATE(VLOOKUP(AL65, '[1]Voxel Sizes'!$A$2:$B$18,2,FALSE()),"x",INT(AH65*15), "x", INT(AI65*15))</f>
        <v>102x37x50</v>
      </c>
      <c r="AL65" s="1" t="n">
        <f aca="false">ROUND(15*((AG65*10)/256),0)</f>
        <v>6</v>
      </c>
      <c r="AN65" s="1" t="str">
        <f aca="false">CONCATENATE(VLOOKUP(AL65,Constants!$A$2:$C$16,IF(AM65&lt;&gt;"", 3, 2), FALSE()),IF(AM65&lt;&gt;"",CONCATENATE(",",VLOOKUP(AM65,$B:$AN,38,FALSE())),""))</f>
        <v>2,2,2</v>
      </c>
      <c r="AX65" s="1" t="n">
        <v>30</v>
      </c>
      <c r="AY65" s="6" t="n">
        <f aca="false">IF(L65&lt;&gt;"",MAX(16,(L65-J65)+8),"")</f>
        <v>38</v>
      </c>
      <c r="AZ65" s="1" t="n">
        <v>5</v>
      </c>
      <c r="BB65" s="1" t="n">
        <f aca="false">MIN(AB65/150, 1)*30</f>
        <v>9</v>
      </c>
      <c r="BC65" s="1" t="n">
        <f aca="false">MIN(N65/4000, 1)*20</f>
        <v>0</v>
      </c>
      <c r="BD65" s="1" t="n">
        <f aca="false">MIN(Z65/400,1)*20</f>
        <v>0</v>
      </c>
      <c r="BE65" s="4" t="n">
        <f aca="false">1-(MAX(J65-1900, 0)/750)</f>
        <v>0.952</v>
      </c>
      <c r="BF65" s="1" t="n">
        <f aca="false">((MAX($M65,1)*MIN($AJ65/300,1)))*IF(G65="Wagon",50,10)</f>
        <v>3.33333333333333</v>
      </c>
      <c r="BG65" s="1" t="n">
        <f aca="false">VLOOKUP($H65,Constants!$I:$K, 2, FALSE())</f>
        <v>1</v>
      </c>
      <c r="BH65" s="1" t="n">
        <f aca="false">VLOOKUP($H65,Constants!$I:$K, 3, FALSE())*IF(AND(G65="multiple_unit",AB65&lt;110),0.75,1)</f>
        <v>0.45</v>
      </c>
      <c r="BI65" s="1" t="n">
        <f aca="false">INT(POWER(((Constants!$G$2+$BB65+$BC65+$BD65+$BF65)*$BE65)*$BH65, 1.05))+$BA65</f>
        <v>8</v>
      </c>
      <c r="BJ65" s="1" t="n">
        <f aca="false">INT(POWER((((Constants!$G$1+$BB65+$BC65+$BD65+$BF65)*($BE65))*$BG65),IF($G65="wagon",1,1.2)))+$AZ65</f>
        <v>31</v>
      </c>
      <c r="BK65" s="33" t="n">
        <f aca="false">BI65*IF($G65="wagon",62.5,781.25)</f>
        <v>500</v>
      </c>
      <c r="BL65" s="33" t="n">
        <f aca="false">BJ65*IF($G65="wagon",2.73,81.25)</f>
        <v>84.63</v>
      </c>
      <c r="BT65" s="1" t="n">
        <v>1</v>
      </c>
      <c r="BU65" s="1" t="n">
        <v>185</v>
      </c>
      <c r="BV65" s="1" t="s">
        <v>408</v>
      </c>
      <c r="BX65" s="1" t="s">
        <v>422</v>
      </c>
      <c r="BY65" s="1" t="str">
        <f aca="false">VLOOKUP(J65,Eras!$A$2:$C$10, 2, TRUE())</f>
        <v>big4</v>
      </c>
      <c r="BZ65" s="28" t="s">
        <v>397</v>
      </c>
      <c r="CA65" s="1" t="str">
        <f aca="false">CONCATENATE(BY65,"_",BZ65)</f>
        <v>big4_Tanker</v>
      </c>
      <c r="CB65" s="1" t="str">
        <f aca="false">_xlfn.CONCAT(H65, "_",I65)</f>
        <v>wagon_RAIL</v>
      </c>
      <c r="CC65" s="32" t="str">
        <f aca="false" t="array" ref="CC65:CC65">_xlfn.CONCAT("{BLACK}Length: {GOLD}", TEXT(ROUNDUP(IF(AQ65&lt;&gt;"",SUM(VALUE(_xlfn.TEXTSPLIT(AQ65, ","))), SUM(VALUE(_xlfn.TEXTSPLIT(AN65, ",")))*IF(M65, M65, 1))/16, 1), "#,##0.0"), " tiles{}")</f>
        <v>{BLACK}Length: {GOLD}0.4 tiles{}</v>
      </c>
      <c r="CD65" s="1" t="str">
        <f aca="false">VLOOKUP($CB65, Constants!$M:$N, 2, FALSE())</f>
        <v/>
      </c>
      <c r="CE65" s="1" t="str">
        <f aca="false">IF(M65&gt;1,_xlfn.CONCAT("{BLACK}Cars: {GOLD}", M65),"")</f>
        <v/>
      </c>
      <c r="CF65" s="1" t="s">
        <v>423</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
      </c>
      <c r="CH65" s="1" t="str">
        <f aca="false">_xlfn.CONCAT(CD65,IF(CD65 &lt;&gt; "", " ", ""),CE65,IF(OR(CE65&lt;&gt;"", CD65&lt;&gt;""), "{}",""), CC65, CG65,"{SILVER}", CF65)</f>
        <v>{BLACK}Length: {GOLD}0.4 tiles{}{SILVER}The LMS Grain Hooper was later standardised into the BR COVGRAIN standard design. Long-distance bulk grain service in covered hoppers was a significant efficiency gain over shipping bagged grain by the vanload.</v>
      </c>
      <c r="CI65" s="1"/>
      <c r="CJ65" s="1"/>
    </row>
    <row r="66" customFormat="false" ht="13.8" hidden="false" customHeight="false" outlineLevel="0" collapsed="false">
      <c r="A66" s="28" t="s">
        <v>424</v>
      </c>
      <c r="B66" s="28" t="s">
        <v>425</v>
      </c>
      <c r="C66" s="1" t="n">
        <v>98</v>
      </c>
      <c r="E66" s="1" t="n">
        <v>1092</v>
      </c>
      <c r="F66" s="1" t="s">
        <v>89</v>
      </c>
      <c r="G66" s="1" t="s">
        <v>394</v>
      </c>
      <c r="H66" s="1" t="s">
        <v>412</v>
      </c>
      <c r="I66" s="1" t="s">
        <v>151</v>
      </c>
      <c r="J66" s="1" t="n">
        <v>1936</v>
      </c>
      <c r="K66" s="1" t="n">
        <v>1990</v>
      </c>
      <c r="L66" s="1" t="n">
        <v>1998</v>
      </c>
      <c r="W66" s="1" t="n">
        <v>26</v>
      </c>
      <c r="Y66" s="1" t="n">
        <v>4</v>
      </c>
      <c r="AA66" s="4" t="str">
        <f aca="false">IF(AND(W66&gt;0,Z66&gt;0),(Z66/((W66+X66)*10)),"")</f>
        <v/>
      </c>
      <c r="AB66" s="1" t="n">
        <v>75</v>
      </c>
      <c r="AC66" s="1" t="n">
        <f aca="false">ROUND(AB66*1.6, 0)</f>
        <v>120</v>
      </c>
      <c r="AF66" s="1" t="n">
        <v>12.8</v>
      </c>
      <c r="AG66" s="1" t="n">
        <v>12.8</v>
      </c>
      <c r="AH66" s="1" t="n">
        <v>2.5</v>
      </c>
      <c r="AI66" s="1" t="n">
        <v>3.35</v>
      </c>
      <c r="AJ66" s="5" t="n">
        <v>0</v>
      </c>
      <c r="AK66" s="1" t="str">
        <f aca="false">CONCATENATE(VLOOKUP(AL66, '[1]Voxel Sizes'!$A$2:$B$18,2,FALSE()),"x",INT(AH66*15), "x", INT(AI66*15))</f>
        <v>136x37x50</v>
      </c>
      <c r="AL66" s="1" t="n">
        <f aca="false">ROUND(15*((AG66*10)/256),0)</f>
        <v>8</v>
      </c>
      <c r="AN66" s="1" t="str">
        <f aca="false">CONCATENATE(VLOOKUP(AL66,Constants!$A$2:$C$16,IF(AM66&lt;&gt;"", 3, 2), FALSE()),IF(AM66&lt;&gt;"",CONCATENATE(",",VLOOKUP(AM66,$B:$AN,38,FALSE())),""))</f>
        <v>2,4,2</v>
      </c>
      <c r="AX66" s="1" t="n">
        <v>50</v>
      </c>
      <c r="AY66" s="6" t="n">
        <f aca="false">IF(L66&lt;&gt;"",MAX(16,(L66-J66)+8),"")</f>
        <v>70</v>
      </c>
      <c r="BB66" s="1" t="n">
        <f aca="false">MIN(AB66/150, 1)*30</f>
        <v>15</v>
      </c>
      <c r="BC66" s="1" t="n">
        <f aca="false">MIN(N66/4000, 1)*20</f>
        <v>0</v>
      </c>
      <c r="BD66" s="1" t="n">
        <f aca="false">MIN(Z66/400,1)*20</f>
        <v>0</v>
      </c>
      <c r="BE66" s="4" t="n">
        <f aca="false">1-(MAX(J66-1900, 0)/750)</f>
        <v>0.952</v>
      </c>
      <c r="BF66" s="1" t="n">
        <f aca="false">((MAX($M66,1)*MIN($AJ66/300,1)))*IF(G66="Wagon",50,10)</f>
        <v>0</v>
      </c>
      <c r="BG66" s="1" t="n">
        <f aca="false">VLOOKUP($H66,Constants!$I:$K, 2, FALSE())</f>
        <v>1</v>
      </c>
      <c r="BH66" s="1" t="n">
        <f aca="false">VLOOKUP($H66,Constants!$I:$K, 3, FALSE())*IF(AND(G66="multiple_unit",AB66&lt;110),0.75,1)</f>
        <v>0.4</v>
      </c>
      <c r="BI66" s="1" t="n">
        <f aca="false">INT(POWER(((Constants!$G$2+$BB66+$BC66+$BD66+$BF66)*$BE66)*$BH66, 1.05))+$BA66</f>
        <v>8</v>
      </c>
      <c r="BJ66" s="1" t="n">
        <f aca="false">INT(POWER((((Constants!$G$1+$BB66+$BC66+$BD66+$BF66)*($BE66))*$BG66),IF($G66="wagon",1,1.2)))+$AZ66</f>
        <v>28</v>
      </c>
      <c r="BK66" s="33" t="n">
        <f aca="false">BI66*IF($G66="wagon",62.5,781.25)</f>
        <v>500</v>
      </c>
      <c r="BL66" s="33" t="n">
        <f aca="false">BJ66*IF($G66="wagon",2.73,81.25)</f>
        <v>76.44</v>
      </c>
      <c r="BT66" s="1" t="n">
        <v>1</v>
      </c>
      <c r="BV66" s="18" t="s">
        <v>413</v>
      </c>
      <c r="BW66" s="18"/>
      <c r="BX66" s="18" t="s">
        <v>414</v>
      </c>
      <c r="BY66" s="1" t="str">
        <f aca="false">VLOOKUP(J66,Eras!$A$2:$C$10, 2, TRUE())</f>
        <v>big4</v>
      </c>
      <c r="BZ66" s="28" t="s">
        <v>415</v>
      </c>
      <c r="CA66" s="1" t="str">
        <f aca="false">CONCATENATE(BY66,"_",BZ66)</f>
        <v>big4_Extra</v>
      </c>
      <c r="CB66" s="1" t="str">
        <f aca="false">_xlfn.CONCAT(H66, "_",I66)</f>
        <v>brake_RAIL</v>
      </c>
      <c r="CC66" s="32" t="str">
        <f aca="false" t="array" ref="CC66:CC66">_xlfn.CONCAT("{BLACK}Length: {GOLD}", TEXT(ROUNDUP(IF(AQ66&lt;&gt;"",SUM(VALUE(_xlfn.TEXTSPLIT(AQ66, ","))), SUM(VALUE(_xlfn.TEXTSPLIT(AN66, ",")))*IF(M66, M66, 1))/16, 1), "#,##0.0"), " tiles{}")</f>
        <v>{BLACK}Length: {GOLD}0.5 tiles{}</v>
      </c>
      <c r="CD66" s="1" t="str">
        <f aca="false">VLOOKUP($CB66, Constants!$M:$N, 2, FALSE())</f>
        <v/>
      </c>
      <c r="CE66" s="1" t="str">
        <f aca="false">IF(M66&gt;1,_xlfn.CONCAT("{BLACK}Cars: {GOLD}", M66),"")</f>
        <v/>
      </c>
      <c r="CF66" s="1" t="s">
        <v>426</v>
      </c>
      <c r="CG66" s="1" t="str">
        <f aca="false">IF(BX66="buffet","{YELLOW}25%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{BLACK}Length: {GOLD}0.5 tiles{}{SILVER}The first SR ‘Queen Mary’ Brake vans converted from LBSCR ‘Milk Van’ MLVs, and lasted in departmental and limited freight service into the 2000s! A shed on rails with a stove and a desk has 1000 uses.</v>
      </c>
      <c r="CI66" s="1"/>
      <c r="CJ66" s="1"/>
    </row>
    <row r="67" s="18" customFormat="true" ht="13.8" hidden="false" customHeight="false" outlineLevel="0" collapsed="false">
      <c r="A67" s="28" t="s">
        <v>427</v>
      </c>
      <c r="B67" s="28" t="s">
        <v>428</v>
      </c>
      <c r="C67" s="1" t="n">
        <v>99</v>
      </c>
      <c r="D67" s="1" t="n">
        <v>98</v>
      </c>
      <c r="E67" s="1" t="n">
        <v>1093</v>
      </c>
      <c r="F67" s="1" t="s">
        <v>89</v>
      </c>
      <c r="G67" s="1" t="s">
        <v>394</v>
      </c>
      <c r="H67" s="1" t="s">
        <v>412</v>
      </c>
      <c r="I67" s="1" t="s">
        <v>151</v>
      </c>
      <c r="J67" s="1" t="n">
        <v>1936</v>
      </c>
      <c r="K67" s="1" t="n">
        <v>1990</v>
      </c>
      <c r="L67" s="1" t="n">
        <v>1998</v>
      </c>
      <c r="M67" s="1"/>
      <c r="N67" s="1"/>
      <c r="O67" s="2"/>
      <c r="P67" s="3"/>
      <c r="Q67" s="3"/>
      <c r="R67" s="3"/>
      <c r="S67" s="3"/>
      <c r="T67" s="3"/>
      <c r="U67" s="3"/>
      <c r="V67" s="3"/>
      <c r="W67" s="1" t="n">
        <v>26</v>
      </c>
      <c r="X67" s="2"/>
      <c r="Y67" s="1" t="n">
        <v>4</v>
      </c>
      <c r="Z67" s="1"/>
      <c r="AA67" s="4" t="str">
        <f aca="false">IF(AND(W67&gt;0,Z67&gt;0),(Z67/((W67+X67)*10)),"")</f>
        <v/>
      </c>
      <c r="AB67" s="1" t="n">
        <v>75</v>
      </c>
      <c r="AC67" s="1" t="n">
        <f aca="false">ROUND(AB67*1.6, 0)</f>
        <v>120</v>
      </c>
      <c r="AD67" s="1"/>
      <c r="AE67" s="1"/>
      <c r="AF67" s="1" t="n">
        <v>12.8</v>
      </c>
      <c r="AG67" s="1" t="n">
        <v>12.8</v>
      </c>
      <c r="AH67" s="1" t="n">
        <v>2.5</v>
      </c>
      <c r="AI67" s="1" t="n">
        <v>3.35</v>
      </c>
      <c r="AJ67" s="5" t="n">
        <v>0</v>
      </c>
      <c r="AK67" s="1" t="str">
        <f aca="false">CONCATENATE(VLOOKUP(AL67, '[1]Voxel Sizes'!$A$2:$B$18,2,FALSE()),"x",INT(AH67*15), "x", INT(AI67*15))</f>
        <v>136x37x50</v>
      </c>
      <c r="AL67" s="1" t="n">
        <f aca="false">ROUND(15*((AG67*10)/256),0)</f>
        <v>8</v>
      </c>
      <c r="AM67" s="1"/>
      <c r="AN67" s="1" t="str">
        <f aca="false">CONCATENATE(VLOOKUP(AL67,Constants!$A$2:$C$16,IF(AM67&lt;&gt;"", 3, 2), FALSE()),IF(AM67&lt;&gt;"",CONCATENATE(",",VLOOKUP(AM67,$B:$AN,38,FALSE())),""))</f>
        <v>2,4,2</v>
      </c>
      <c r="AO67" s="1"/>
      <c r="AP67" s="7"/>
      <c r="AQ67" s="7"/>
      <c r="AR67" s="1"/>
      <c r="AS67" s="1"/>
      <c r="AT67" s="1"/>
      <c r="AU67" s="1"/>
      <c r="AV67" s="1"/>
      <c r="AW67" s="1"/>
      <c r="AX67" s="1" t="n">
        <v>50</v>
      </c>
      <c r="AY67" s="6" t="n">
        <f aca="false">IF(L67&lt;&gt;"",MAX(16,(L67-J67)+8),"")</f>
        <v>70</v>
      </c>
      <c r="AZ67" s="1"/>
      <c r="BA67" s="1"/>
      <c r="BB67" s="1" t="n">
        <f aca="false">MIN(AB67/150, 1)*30</f>
        <v>15</v>
      </c>
      <c r="BC67" s="1" t="n">
        <f aca="false">MIN(N67/4000, 1)*20</f>
        <v>0</v>
      </c>
      <c r="BD67" s="1" t="n">
        <f aca="false">MIN(Z67/400,1)*20</f>
        <v>0</v>
      </c>
      <c r="BE67" s="4" t="n">
        <f aca="false">1-(MAX(J67-1900, 0)/750)</f>
        <v>0.952</v>
      </c>
      <c r="BF67" s="1" t="n">
        <f aca="false">((MAX($M67,1)*MIN($AJ67/300,1)))*IF(G67="Wagon",50,10)</f>
        <v>0</v>
      </c>
      <c r="BG67" s="1" t="n">
        <f aca="false">VLOOKUP($H67,Constants!$I:$K, 2, FALSE())</f>
        <v>1</v>
      </c>
      <c r="BH67" s="1" t="n">
        <f aca="false">VLOOKUP($H67,Constants!$I:$K, 3, FALSE())*IF(AND(G67="multiple_unit",AB67&lt;110),0.75,1)</f>
        <v>0.4</v>
      </c>
      <c r="BI67" s="1" t="n">
        <f aca="false">INT(POWER(((Constants!$G$2+$BB67+$BC67+$BD67+$BF67)*$BE67)*$BH67, 1.05))+$BA67</f>
        <v>8</v>
      </c>
      <c r="BJ67" s="1" t="n">
        <f aca="false">INT(POWER((((Constants!$G$1+$BB67+$BC67+$BD67+$BF67)*($BE67))*$BG67),IF($G67="wagon",1,1.2)))+$AZ67</f>
        <v>28</v>
      </c>
      <c r="BK67" s="33" t="n">
        <f aca="false">BI67*IF($G67="wagon",62.5,781.25)</f>
        <v>500</v>
      </c>
      <c r="BL67" s="33" t="n">
        <f aca="false">BJ67*IF($G67="wagon",2.73,81.25)</f>
        <v>76.44</v>
      </c>
      <c r="BM67" s="1"/>
      <c r="BN67" s="1"/>
      <c r="BO67" s="1"/>
      <c r="BP67" s="1"/>
      <c r="BQ67" s="1"/>
      <c r="BR67" s="1"/>
      <c r="BS67" s="1"/>
      <c r="BT67" s="1" t="n">
        <v>1</v>
      </c>
      <c r="BU67" s="1"/>
      <c r="BX67" s="18" t="s">
        <v>414</v>
      </c>
      <c r="BY67" s="1" t="str">
        <f aca="false">VLOOKUP(J67,Eras!$A$2:$C$10, 2, TRUE())</f>
        <v>big4</v>
      </c>
      <c r="BZ67" s="28" t="s">
        <v>415</v>
      </c>
      <c r="CA67" s="1" t="str">
        <f aca="false">CONCATENATE(BY67,"_",BZ67)</f>
        <v>big4_Extra</v>
      </c>
      <c r="CB67" s="1" t="str">
        <f aca="false">_xlfn.CONCAT(H67, "_",I67)</f>
        <v>brake_RAIL</v>
      </c>
      <c r="CC67" s="32" t="str">
        <f aca="false" t="array" ref="CC67:CC67">_xlfn.CONCAT("{BLACK}Length: {GOLD}", TEXT(ROUNDUP(IF(AQ67&lt;&gt;"",SUM(VALUE(_xlfn.TEXTSPLIT(AQ67, ","))), SUM(VALUE(_xlfn.TEXTSPLIT(AN67, ",")))*IF(M67, M67, 1))/16, 1), "#,##0.0"), " tiles{}")</f>
        <v>{BLACK}Length: {GOLD}0.5 tiles{}</v>
      </c>
      <c r="CD67" s="1" t="str">
        <f aca="false">VLOOKUP($CB67, Constants!$M:$N, 2, FALSE())</f>
        <v/>
      </c>
      <c r="CE67" s="1" t="str">
        <f aca="false">IF(M67&gt;1,_xlfn.CONCAT("{BLACK}Cars: {GOLD}", M67),"")</f>
        <v/>
      </c>
      <c r="CF67" s="1" t="s">
        <v>429</v>
      </c>
      <c r="CG67" s="1" t="str">
        <f aca="false">IF(BX67="buffet","{YELLOW}25% long distance bonus for consist{}",IF(BY67="BRAKE","{YELLOW}Speed bonus for slow wagons{}",IF(BU67&gt;190,CONCATENATE("{YELLOW}",INT((BU67-185)/1.85),"% bonus for long distance travel{}"),IF(AND(BU67&lt;180,BU67&lt;&gt;0),CONCATENATE("{YELLOW}",INT((185-BU67)/1.85),"% penalty for long distance travel{}"),""))))</f>
        <v/>
      </c>
      <c r="CH67" s="1" t="str">
        <f aca="false">_xlfn.CONCAT(CD67,IF(CD67 &lt;&gt; "", " ", ""),CE67,IF(OR(CE67&lt;&gt;"", CD67&lt;&gt;""), "{}",""), CC67, CG67,"{SILVER}", CF67)</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C67" s="1"/>
      <c r="ND67" s="1"/>
      <c r="NE67" s="1"/>
      <c r="NF67" s="1"/>
      <c r="NG67" s="1"/>
      <c r="NH67" s="1"/>
      <c r="NI67" s="1"/>
      <c r="NJ67" s="1"/>
      <c r="NK67" s="1"/>
      <c r="NL67" s="1"/>
      <c r="NM67" s="1"/>
      <c r="NN67" s="1"/>
      <c r="NO67" s="1"/>
      <c r="NP67" s="1"/>
      <c r="NQ67" s="1"/>
      <c r="NR67" s="1"/>
      <c r="NS67" s="1"/>
      <c r="NT67" s="1"/>
      <c r="NU67" s="1"/>
      <c r="NV67" s="1"/>
      <c r="NW67" s="1"/>
      <c r="NX67" s="1"/>
      <c r="NY67" s="1"/>
      <c r="NZ67" s="1"/>
      <c r="OA67" s="1"/>
      <c r="OB67" s="1"/>
      <c r="OC67" s="1"/>
      <c r="OD67" s="1"/>
      <c r="OE67" s="1"/>
      <c r="OF67" s="1"/>
      <c r="OG67" s="1"/>
      <c r="OH67" s="1"/>
      <c r="OI67" s="1"/>
      <c r="OJ67" s="1"/>
      <c r="OK67" s="1"/>
      <c r="OL67" s="1"/>
      <c r="OM67" s="1"/>
      <c r="ON67" s="1"/>
      <c r="OO67" s="1"/>
      <c r="OP67" s="1"/>
      <c r="OQ67" s="1"/>
      <c r="OR67" s="1"/>
      <c r="OS67" s="1"/>
      <c r="OT67" s="1"/>
      <c r="OU67" s="1"/>
      <c r="OV67" s="1"/>
      <c r="OW67" s="1"/>
      <c r="OX67" s="1"/>
      <c r="OY67" s="1"/>
      <c r="OZ67" s="1"/>
      <c r="PA67" s="1"/>
      <c r="PB67" s="1"/>
      <c r="PC67" s="1"/>
      <c r="PD67" s="1"/>
      <c r="PE67" s="1"/>
      <c r="PF67" s="1"/>
      <c r="PG67" s="1"/>
      <c r="PH67" s="1"/>
      <c r="PI67" s="1"/>
      <c r="PJ67" s="1"/>
      <c r="PK67" s="1"/>
      <c r="PL67" s="1"/>
      <c r="PM67" s="1"/>
      <c r="PN67" s="1"/>
      <c r="PO67" s="1"/>
      <c r="PP67" s="1"/>
      <c r="PQ67" s="1"/>
      <c r="PR67" s="1"/>
      <c r="PS67" s="1"/>
      <c r="PT67" s="1"/>
      <c r="PU67" s="1"/>
      <c r="PV67" s="1"/>
      <c r="PW67" s="1"/>
      <c r="PX67" s="1"/>
      <c r="PY67" s="1"/>
      <c r="PZ67" s="1"/>
      <c r="QA67" s="1"/>
      <c r="QB67" s="1"/>
      <c r="QC67" s="1"/>
      <c r="QD67" s="1"/>
      <c r="QE67" s="1"/>
      <c r="QF67" s="1"/>
      <c r="QG67" s="1"/>
      <c r="QH67" s="1"/>
      <c r="QI67" s="1"/>
      <c r="QJ67" s="1"/>
      <c r="QK67" s="1"/>
      <c r="QL67" s="1"/>
      <c r="QM67" s="1"/>
      <c r="QN67" s="1"/>
      <c r="QO67" s="1"/>
      <c r="QP67" s="1"/>
      <c r="QQ67" s="1"/>
      <c r="QR67" s="1"/>
      <c r="QS67" s="1"/>
      <c r="QT67" s="1"/>
      <c r="QU67" s="1"/>
      <c r="QV67" s="1"/>
      <c r="QW67" s="1"/>
      <c r="QX67" s="1"/>
      <c r="QY67" s="1"/>
      <c r="QZ67" s="1"/>
      <c r="RA67" s="1"/>
      <c r="RB67" s="1"/>
      <c r="RC67" s="1"/>
      <c r="RD67" s="1"/>
      <c r="RE67" s="1"/>
      <c r="RF67" s="1"/>
      <c r="RG67" s="1"/>
      <c r="RH67" s="1"/>
      <c r="RI67" s="1"/>
      <c r="RJ67" s="1"/>
      <c r="RK67" s="1"/>
      <c r="RL67" s="1"/>
      <c r="RM67" s="1"/>
      <c r="RN67" s="1"/>
      <c r="RO67" s="1"/>
      <c r="RP67" s="1"/>
      <c r="RQ67" s="1"/>
      <c r="RR67" s="1"/>
      <c r="RS67" s="1"/>
      <c r="RT67" s="1"/>
      <c r="RU67" s="1"/>
      <c r="RV67" s="1"/>
      <c r="RW67" s="1"/>
      <c r="RX67" s="1"/>
      <c r="RY67" s="1"/>
      <c r="RZ67" s="1"/>
      <c r="SA67" s="1"/>
      <c r="SB67" s="1"/>
      <c r="SC67" s="1"/>
      <c r="SD67" s="1"/>
      <c r="SE67" s="1"/>
      <c r="SF67" s="1"/>
      <c r="SG67" s="1"/>
      <c r="SH67" s="1"/>
      <c r="SI67" s="1"/>
      <c r="SJ67" s="1"/>
      <c r="SK67" s="1"/>
      <c r="SL67" s="1"/>
      <c r="SM67" s="1"/>
      <c r="SN67" s="1"/>
      <c r="SO67" s="1"/>
      <c r="SP67" s="1"/>
      <c r="SQ67" s="1"/>
      <c r="SR67" s="1"/>
      <c r="SS67" s="1"/>
      <c r="ST67" s="1"/>
      <c r="SU67" s="1"/>
      <c r="SV67" s="1"/>
      <c r="SW67" s="1"/>
      <c r="SX67" s="1"/>
      <c r="SY67" s="1"/>
      <c r="SZ67" s="1"/>
      <c r="TA67" s="1"/>
      <c r="TB67" s="1"/>
      <c r="TC67" s="1"/>
      <c r="TD67" s="1"/>
      <c r="TE67" s="1"/>
      <c r="TF67" s="1"/>
      <c r="TG67" s="1"/>
      <c r="TH67" s="1"/>
      <c r="TI67" s="1"/>
      <c r="TJ67" s="1"/>
      <c r="TK67" s="1"/>
      <c r="TL67" s="1"/>
      <c r="TM67" s="1"/>
      <c r="TN67" s="1"/>
      <c r="TO67" s="1"/>
      <c r="TP67" s="1"/>
      <c r="TQ67" s="1"/>
      <c r="TR67" s="1"/>
      <c r="TS67" s="1"/>
      <c r="TT67" s="1"/>
      <c r="TU67" s="1"/>
      <c r="TV67" s="1"/>
      <c r="TW67" s="1"/>
      <c r="TX67" s="1"/>
      <c r="TY67" s="1"/>
      <c r="TZ67" s="1"/>
      <c r="UA67" s="1"/>
      <c r="UB67" s="1"/>
      <c r="UC67" s="1"/>
      <c r="UD67" s="1"/>
      <c r="UE67" s="1"/>
      <c r="UF67" s="1"/>
      <c r="UG67" s="1"/>
      <c r="UH67" s="1"/>
      <c r="UI67" s="1"/>
      <c r="UJ67" s="1"/>
      <c r="UK67" s="1"/>
      <c r="UL67" s="1"/>
      <c r="UM67" s="1"/>
      <c r="UN67" s="1"/>
      <c r="UO67" s="1"/>
      <c r="UP67" s="1"/>
      <c r="UQ67" s="1"/>
      <c r="UR67" s="1"/>
      <c r="US67" s="1"/>
      <c r="UT67" s="1"/>
      <c r="UU67" s="1"/>
      <c r="UV67" s="1"/>
      <c r="UW67" s="1"/>
      <c r="UX67" s="1"/>
      <c r="UY67" s="1"/>
      <c r="UZ67" s="1"/>
      <c r="VA67" s="1"/>
      <c r="VB67" s="1"/>
      <c r="VC67" s="1"/>
      <c r="VD67" s="1"/>
      <c r="VE67" s="1"/>
      <c r="VF67" s="1"/>
      <c r="VG67" s="1"/>
      <c r="VH67" s="1"/>
      <c r="VI67" s="1"/>
      <c r="VJ67" s="1"/>
      <c r="VK67" s="1"/>
      <c r="VL67" s="1"/>
      <c r="VM67" s="1"/>
      <c r="VN67" s="1"/>
      <c r="VO67" s="1"/>
      <c r="VP67" s="1"/>
      <c r="VQ67" s="1"/>
      <c r="VR67" s="1"/>
      <c r="VS67" s="1"/>
      <c r="VT67" s="1"/>
      <c r="VU67" s="1"/>
      <c r="VV67" s="1"/>
      <c r="VW67" s="1"/>
      <c r="VX67" s="1"/>
      <c r="VY67" s="1"/>
      <c r="VZ67" s="1"/>
      <c r="WA67" s="1"/>
      <c r="WB67" s="1"/>
      <c r="WC67" s="1"/>
      <c r="WD67" s="1"/>
      <c r="WE67" s="1"/>
      <c r="WF67" s="1"/>
      <c r="WG67" s="1"/>
      <c r="WH67" s="1"/>
      <c r="WI67" s="1"/>
      <c r="WJ67" s="1"/>
      <c r="WK67" s="1"/>
      <c r="WL67" s="1"/>
      <c r="WM67" s="1"/>
      <c r="WN67" s="1"/>
      <c r="WO67" s="1"/>
      <c r="WP67" s="1"/>
      <c r="WQ67" s="1"/>
      <c r="WR67" s="1"/>
      <c r="WS67" s="1"/>
      <c r="WT67" s="1"/>
      <c r="WU67" s="1"/>
      <c r="WV67" s="1"/>
      <c r="WW67" s="1"/>
      <c r="WX67" s="1"/>
      <c r="WY67" s="1"/>
      <c r="WZ67" s="1"/>
      <c r="XA67" s="1"/>
      <c r="XB67" s="1"/>
      <c r="XC67" s="1"/>
      <c r="XD67" s="1"/>
      <c r="XE67" s="1"/>
      <c r="XF67" s="1"/>
      <c r="XG67" s="1"/>
      <c r="XH67" s="1"/>
      <c r="XI67" s="1"/>
      <c r="XJ67" s="1"/>
      <c r="XK67" s="1"/>
      <c r="XL67" s="1"/>
      <c r="XM67" s="1"/>
      <c r="XN67" s="1"/>
      <c r="XO67" s="1"/>
      <c r="XP67" s="1"/>
      <c r="XQ67" s="1"/>
      <c r="XR67" s="1"/>
      <c r="XS67" s="1"/>
      <c r="XT67" s="1"/>
      <c r="XU67" s="1"/>
      <c r="XV67" s="1"/>
      <c r="XW67" s="1"/>
      <c r="XX67" s="1"/>
      <c r="XY67" s="1"/>
      <c r="XZ67" s="1"/>
      <c r="YA67" s="1"/>
      <c r="YB67" s="1"/>
      <c r="YC67" s="1"/>
      <c r="YD67" s="1"/>
      <c r="YE67" s="1"/>
      <c r="YF67" s="1"/>
      <c r="YG67" s="1"/>
      <c r="YH67" s="1"/>
      <c r="YI67" s="1"/>
      <c r="YJ67" s="1"/>
      <c r="YK67" s="1"/>
      <c r="YL67" s="1"/>
      <c r="YM67" s="1"/>
      <c r="YN67" s="1"/>
      <c r="YO67" s="1"/>
      <c r="YP67" s="1"/>
      <c r="YQ67" s="1"/>
      <c r="YR67" s="1"/>
      <c r="YS67" s="1"/>
      <c r="YT67" s="1"/>
      <c r="YU67" s="1"/>
      <c r="YV67" s="1"/>
      <c r="YW67" s="1"/>
      <c r="YX67" s="1"/>
      <c r="YY67" s="1"/>
      <c r="YZ67" s="1"/>
      <c r="ZA67" s="1"/>
      <c r="ZB67" s="1"/>
      <c r="ZC67" s="1"/>
      <c r="ZD67" s="1"/>
      <c r="ZE67" s="1"/>
      <c r="ZF67" s="1"/>
      <c r="ZG67" s="1"/>
      <c r="ZH67" s="1"/>
      <c r="ZI67" s="1"/>
      <c r="ZJ67" s="1"/>
      <c r="ZK67" s="1"/>
      <c r="ZL67" s="1"/>
      <c r="ZM67" s="1"/>
      <c r="ZN67" s="1"/>
      <c r="ZO67" s="1"/>
      <c r="ZP67" s="1"/>
      <c r="ZQ67" s="1"/>
      <c r="ZR67" s="1"/>
      <c r="ZS67" s="1"/>
      <c r="ZT67" s="1"/>
      <c r="ZU67" s="1"/>
      <c r="ZV67" s="1"/>
      <c r="ZW67" s="1"/>
      <c r="ZX67" s="1"/>
      <c r="ZY67" s="1"/>
      <c r="ZZ67" s="1"/>
      <c r="AAA67" s="1"/>
      <c r="AAB67" s="1"/>
      <c r="AAC67" s="1"/>
      <c r="AAD67" s="1"/>
      <c r="AAE67" s="1"/>
      <c r="AAF67" s="1"/>
      <c r="AAG67" s="1"/>
      <c r="AAH67" s="1"/>
      <c r="AAI67" s="1"/>
      <c r="AAJ67" s="1"/>
      <c r="AAK67" s="1"/>
      <c r="AAL67" s="1"/>
      <c r="AAM67" s="1"/>
      <c r="AAN67" s="1"/>
      <c r="AAO67" s="1"/>
      <c r="AAP67" s="1"/>
      <c r="AAQ67" s="1"/>
      <c r="AAR67" s="1"/>
      <c r="AAS67" s="1"/>
      <c r="AAT67" s="1"/>
      <c r="AAU67" s="1"/>
      <c r="AAV67" s="1"/>
      <c r="AAW67" s="1"/>
      <c r="AAX67" s="1"/>
      <c r="AAY67" s="1"/>
      <c r="AAZ67" s="1"/>
      <c r="ABA67" s="1"/>
      <c r="ABB67" s="1"/>
      <c r="ABC67" s="1"/>
      <c r="ABD67" s="1"/>
      <c r="ABE67" s="1"/>
      <c r="ABF67" s="1"/>
      <c r="ABG67" s="1"/>
      <c r="ABH67" s="1"/>
      <c r="ABI67" s="1"/>
      <c r="ABJ67" s="1"/>
      <c r="ABK67" s="1"/>
      <c r="ABL67" s="1"/>
      <c r="ABM67" s="1"/>
      <c r="ABN67" s="1"/>
      <c r="ABO67" s="1"/>
      <c r="ABP67" s="1"/>
      <c r="ABQ67" s="1"/>
      <c r="ABR67" s="1"/>
      <c r="ABS67" s="1"/>
      <c r="ABT67" s="1"/>
      <c r="ABU67" s="1"/>
      <c r="ABV67" s="1"/>
      <c r="ABW67" s="1"/>
      <c r="ABX67" s="1"/>
      <c r="ABY67" s="1"/>
      <c r="ABZ67" s="1"/>
      <c r="ACA67" s="1"/>
      <c r="ACB67" s="1"/>
      <c r="ACC67" s="1"/>
      <c r="ACD67" s="1"/>
      <c r="ACE67" s="1"/>
      <c r="ACF67" s="1"/>
      <c r="ACG67" s="1"/>
      <c r="ACH67" s="1"/>
      <c r="ACI67" s="1"/>
      <c r="ACJ67" s="1"/>
      <c r="ACK67" s="1"/>
      <c r="ACL67" s="1"/>
      <c r="ACM67" s="1"/>
      <c r="ACN67" s="1"/>
      <c r="ACO67" s="1"/>
      <c r="ACP67" s="1"/>
      <c r="ACQ67" s="1"/>
      <c r="ACR67" s="1"/>
      <c r="ACS67" s="1"/>
      <c r="ACT67" s="1"/>
      <c r="ACU67" s="1"/>
      <c r="ACV67" s="1"/>
      <c r="ACW67" s="1"/>
      <c r="ACX67" s="1"/>
      <c r="ACY67" s="1"/>
      <c r="ACZ67" s="1"/>
      <c r="ADA67" s="1"/>
      <c r="ADB67" s="1"/>
      <c r="ADC67" s="1"/>
      <c r="ADD67" s="1"/>
      <c r="ADE67" s="1"/>
      <c r="ADF67" s="1"/>
      <c r="ADG67" s="1"/>
      <c r="ADH67" s="1"/>
      <c r="ADI67" s="1"/>
      <c r="ADJ67" s="1"/>
      <c r="ADK67" s="1"/>
      <c r="ADL67" s="1"/>
      <c r="ADM67" s="1"/>
      <c r="ADN67" s="1"/>
      <c r="ADO67" s="1"/>
      <c r="ADP67" s="1"/>
      <c r="ADQ67" s="1"/>
      <c r="ADR67" s="1"/>
      <c r="ADS67" s="1"/>
      <c r="ADT67" s="1"/>
      <c r="ADU67" s="1"/>
      <c r="ADV67" s="1"/>
      <c r="ADW67" s="1"/>
      <c r="ADX67" s="1"/>
      <c r="ADY67" s="1"/>
      <c r="ADZ67" s="1"/>
      <c r="AEA67" s="1"/>
      <c r="AEB67" s="1"/>
      <c r="AEC67" s="1"/>
      <c r="AED67" s="1"/>
      <c r="AEE67" s="1"/>
      <c r="AEF67" s="1"/>
      <c r="AEG67" s="1"/>
      <c r="AEH67" s="1"/>
      <c r="AEI67" s="1"/>
      <c r="AEJ67" s="1"/>
      <c r="AEK67" s="1"/>
      <c r="AEL67" s="1"/>
      <c r="AEM67" s="1"/>
      <c r="AEN67" s="1"/>
      <c r="AEO67" s="1"/>
      <c r="AEP67" s="1"/>
      <c r="AEQ67" s="1"/>
      <c r="AER67" s="1"/>
      <c r="AES67" s="1"/>
      <c r="AET67" s="1"/>
      <c r="AEU67" s="1"/>
      <c r="AEV67" s="1"/>
      <c r="AEW67" s="1"/>
      <c r="AEX67" s="1"/>
      <c r="AEY67" s="1"/>
      <c r="AEZ67" s="1"/>
      <c r="AFA67" s="1"/>
      <c r="AFB67" s="1"/>
      <c r="AFC67" s="1"/>
      <c r="AFD67" s="1"/>
      <c r="AFE67" s="1"/>
      <c r="AFF67" s="1"/>
      <c r="AFG67" s="1"/>
      <c r="AFH67" s="1"/>
      <c r="AFI67" s="1"/>
      <c r="AFJ67" s="1"/>
      <c r="AFK67" s="1"/>
      <c r="AFL67" s="1"/>
      <c r="AFM67" s="1"/>
      <c r="AFN67" s="1"/>
      <c r="AFO67" s="1"/>
      <c r="AFP67" s="1"/>
      <c r="AFQ67" s="1"/>
      <c r="AFR67" s="1"/>
      <c r="AFS67" s="1"/>
      <c r="AFT67" s="1"/>
      <c r="AFU67" s="1"/>
      <c r="AFV67" s="1"/>
      <c r="AFW67" s="1"/>
      <c r="AFX67" s="1"/>
      <c r="AFY67" s="1"/>
      <c r="AFZ67" s="1"/>
      <c r="AGA67" s="1"/>
      <c r="AGB67" s="1"/>
      <c r="AGC67" s="1"/>
      <c r="AGD67" s="1"/>
      <c r="AGE67" s="1"/>
      <c r="AGF67" s="1"/>
      <c r="AGG67" s="1"/>
      <c r="AGH67" s="1"/>
      <c r="AGI67" s="1"/>
      <c r="AGJ67" s="1"/>
      <c r="AGK67" s="1"/>
      <c r="AGL67" s="1"/>
      <c r="AGM67" s="1"/>
      <c r="AGN67" s="1"/>
      <c r="AGO67" s="1"/>
      <c r="AGP67" s="1"/>
      <c r="AGQ67" s="1"/>
      <c r="AGR67" s="1"/>
      <c r="AGS67" s="1"/>
      <c r="AGT67" s="1"/>
      <c r="AGU67" s="1"/>
      <c r="AGV67" s="1"/>
      <c r="AGW67" s="1"/>
      <c r="AGX67" s="1"/>
      <c r="AGY67" s="1"/>
      <c r="AGZ67" s="1"/>
      <c r="AHA67" s="1"/>
      <c r="AHB67" s="1"/>
      <c r="AHC67" s="1"/>
      <c r="AHD67" s="1"/>
      <c r="AHE67" s="1"/>
      <c r="AHF67" s="1"/>
      <c r="AHG67" s="1"/>
      <c r="AHH67" s="1"/>
      <c r="AHI67" s="1"/>
      <c r="AHJ67" s="1"/>
      <c r="AHK67" s="1"/>
      <c r="AHL67" s="1"/>
      <c r="AHM67" s="1"/>
      <c r="AHN67" s="1"/>
      <c r="AHO67" s="1"/>
      <c r="AHP67" s="1"/>
      <c r="AHQ67" s="1"/>
      <c r="AHR67" s="1"/>
      <c r="AHS67" s="1"/>
      <c r="AHT67" s="1"/>
      <c r="AHU67" s="1"/>
      <c r="AHV67" s="1"/>
      <c r="AHW67" s="1"/>
      <c r="AHX67" s="1"/>
      <c r="AHY67" s="1"/>
      <c r="AHZ67" s="1"/>
      <c r="AIA67" s="1"/>
      <c r="AIB67" s="1"/>
      <c r="AIC67" s="1"/>
      <c r="AID67" s="1"/>
      <c r="AIE67" s="1"/>
      <c r="AIF67" s="1"/>
      <c r="AIG67" s="1"/>
      <c r="AIH67" s="1"/>
      <c r="AII67" s="1"/>
      <c r="AIJ67" s="1"/>
      <c r="AIK67" s="1"/>
      <c r="AIL67" s="1"/>
      <c r="AIM67" s="1"/>
      <c r="AIN67" s="1"/>
      <c r="AIO67" s="1"/>
      <c r="AIP67" s="1"/>
      <c r="AIQ67" s="1"/>
      <c r="AIR67" s="1"/>
      <c r="AIS67" s="1"/>
      <c r="AIT67" s="1"/>
      <c r="AIU67" s="1"/>
      <c r="AIV67" s="1"/>
      <c r="AIW67" s="1"/>
      <c r="AIX67" s="1"/>
      <c r="AIY67" s="1"/>
      <c r="AIZ67" s="1"/>
      <c r="AJA67" s="1"/>
      <c r="AJB67" s="1"/>
      <c r="AJC67" s="1"/>
      <c r="AJD67" s="1"/>
      <c r="AJE67" s="1"/>
      <c r="AJF67" s="1"/>
      <c r="AJG67" s="1"/>
      <c r="AJH67" s="1"/>
      <c r="AJI67" s="1"/>
      <c r="AJJ67" s="1"/>
      <c r="AJK67" s="1"/>
      <c r="AJL67" s="1"/>
      <c r="AJM67" s="1"/>
      <c r="AJN67" s="1"/>
      <c r="AJO67" s="1"/>
      <c r="AJP67" s="1"/>
      <c r="AJQ67" s="1"/>
      <c r="AJR67" s="1"/>
      <c r="AJS67" s="1"/>
      <c r="AJT67" s="1"/>
      <c r="AJU67" s="1"/>
      <c r="AJV67" s="1"/>
      <c r="AJW67" s="1"/>
      <c r="AJX67" s="1"/>
      <c r="AJY67" s="1"/>
      <c r="AJZ67" s="1"/>
      <c r="AKA67" s="1"/>
      <c r="AKB67" s="1"/>
      <c r="AKC67" s="1"/>
      <c r="AKD67" s="1"/>
      <c r="AKE67" s="1"/>
      <c r="AKF67" s="1"/>
      <c r="AKG67" s="1"/>
      <c r="AKH67" s="1"/>
      <c r="AKI67" s="1"/>
      <c r="AKJ67" s="1"/>
      <c r="AKK67" s="1"/>
      <c r="AKL67" s="1"/>
      <c r="AKM67" s="1"/>
      <c r="AKN67" s="1"/>
      <c r="AKO67" s="1"/>
      <c r="AKP67" s="1"/>
      <c r="AKQ67" s="1"/>
      <c r="AKR67" s="1"/>
      <c r="AKS67" s="1"/>
      <c r="AKT67" s="1"/>
      <c r="AKU67" s="1"/>
      <c r="AKV67" s="1"/>
      <c r="AKW67" s="1"/>
      <c r="AKX67" s="1"/>
      <c r="AKY67" s="1"/>
      <c r="AKZ67" s="1"/>
      <c r="ALA67" s="1"/>
      <c r="ALB67" s="1"/>
      <c r="ALC67" s="1"/>
      <c r="ALD67" s="1"/>
      <c r="ALE67" s="1"/>
      <c r="ALF67" s="1"/>
      <c r="ALG67" s="1"/>
      <c r="ALH67" s="1"/>
      <c r="ALI67" s="1"/>
      <c r="ALJ67" s="1"/>
      <c r="ALK67" s="1"/>
      <c r="ALL67" s="1"/>
      <c r="ALM67" s="1"/>
      <c r="ALN67" s="1"/>
      <c r="ALO67" s="1"/>
      <c r="ALP67" s="1"/>
      <c r="ALQ67" s="1"/>
      <c r="ALR67" s="1"/>
      <c r="ALS67" s="1"/>
      <c r="ALT67" s="1"/>
      <c r="ALU67" s="1"/>
      <c r="ALV67" s="1"/>
      <c r="ALW67" s="1"/>
      <c r="ALX67" s="1"/>
      <c r="ALY67" s="1"/>
      <c r="ALZ67" s="1"/>
      <c r="AMA67" s="1"/>
      <c r="AMB67" s="1"/>
      <c r="AMC67" s="1"/>
      <c r="AMD67" s="1"/>
      <c r="AME67" s="1"/>
      <c r="AMF67" s="1"/>
      <c r="AMG67" s="1"/>
      <c r="AMH67" s="1"/>
      <c r="AMI67" s="1"/>
      <c r="AMJ67" s="1"/>
    </row>
    <row r="68" customFormat="false" ht="13.8" hidden="false" customHeight="false" outlineLevel="0" collapsed="false">
      <c r="A68" s="28" t="s">
        <v>430</v>
      </c>
      <c r="B68" s="28" t="s">
        <v>431</v>
      </c>
      <c r="C68" s="1" t="n">
        <v>22</v>
      </c>
      <c r="E68" s="1" t="n">
        <v>1027</v>
      </c>
      <c r="F68" s="1" t="s">
        <v>89</v>
      </c>
      <c r="G68" s="1" t="s">
        <v>394</v>
      </c>
      <c r="H68" s="1" t="s">
        <v>394</v>
      </c>
      <c r="I68" s="1" t="s">
        <v>151</v>
      </c>
      <c r="J68" s="1" t="n">
        <v>1955</v>
      </c>
      <c r="K68" s="1" t="n">
        <v>1974</v>
      </c>
      <c r="L68" s="1" t="n">
        <v>1982</v>
      </c>
      <c r="W68" s="1" t="n">
        <v>9.7</v>
      </c>
      <c r="Y68" s="1" t="n">
        <v>4</v>
      </c>
      <c r="AA68" s="4" t="str">
        <f aca="false">IF(AND(W68&gt;0,Z68&gt;0),(Z68/((W68+X68)*10)),"")</f>
        <v/>
      </c>
      <c r="AB68" s="1" t="n">
        <v>60</v>
      </c>
      <c r="AC68" s="1" t="n">
        <f aca="false">ROUND(AB68*1.6, 0)</f>
        <v>96</v>
      </c>
      <c r="AF68" s="1" t="n">
        <v>7.6</v>
      </c>
      <c r="AG68" s="1" t="n">
        <v>8</v>
      </c>
      <c r="AH68" s="1" t="n">
        <v>2.5</v>
      </c>
      <c r="AI68" s="1" t="n">
        <v>3.35</v>
      </c>
      <c r="AJ68" s="5" t="n">
        <v>22</v>
      </c>
      <c r="AK68" s="1" t="str">
        <f aca="false">CONCATENATE(VLOOKUP(AL68, '[1]Voxel Sizes'!$A$2:$B$18,2,FALSE()),"x",INT(AH68*15), "x", INT(AI68*15))</f>
        <v>82x37x50</v>
      </c>
      <c r="AL68" s="1" t="n">
        <f aca="false">ROUND(15*((AG68*10)/256),0)</f>
        <v>5</v>
      </c>
      <c r="AN68" s="1" t="str">
        <f aca="false">CONCATENATE(VLOOKUP(AL68,Constants!$A$2:$C$16,IF(AM68&lt;&gt;"", 3, 2), FALSE()),IF(AM68&lt;&gt;"",CONCATENATE(",",VLOOKUP(AM68,$B:$AN,38,FALSE())),""))</f>
        <v>2,1,2</v>
      </c>
      <c r="AX68" s="1" t="n">
        <v>30</v>
      </c>
      <c r="AY68" s="6" t="n">
        <f aca="false">IF(L68&lt;&gt;"",MAX(16,(L68-J68)+8),"")</f>
        <v>35</v>
      </c>
      <c r="AZ68" s="1" t="n">
        <v>5</v>
      </c>
      <c r="BB68" s="1" t="n">
        <f aca="false">MIN(AB68/150, 1)*30</f>
        <v>12</v>
      </c>
      <c r="BC68" s="1" t="n">
        <f aca="false">MIN(N68/4000, 1)*20</f>
        <v>0</v>
      </c>
      <c r="BD68" s="1" t="n">
        <f aca="false">MIN(Z68/400,1)*20</f>
        <v>0</v>
      </c>
      <c r="BE68" s="4" t="n">
        <f aca="false">1-(MAX(J68-1900, 0)/750)</f>
        <v>0.926666666666667</v>
      </c>
      <c r="BF68" s="1" t="n">
        <f aca="false">((MAX($M68,1)*MIN($AJ68/300,1)))*IF(G68="Wagon",50,10)</f>
        <v>3.66666666666667</v>
      </c>
      <c r="BG68" s="1" t="n">
        <f aca="false">VLOOKUP($H68,Constants!$I:$K, 2, FALSE())</f>
        <v>1</v>
      </c>
      <c r="BH68" s="1" t="n">
        <f aca="false">VLOOKUP($H68,Constants!$I:$K, 3, FALSE())*IF(AND(G68="multiple_unit",AB68&lt;110),0.75,1)</f>
        <v>0.45</v>
      </c>
      <c r="BI68" s="1" t="n">
        <f aca="false">INT(POWER(((Constants!$G$2+$BB68+$BC68+$BD68+$BF68)*$BE68)*$BH68, 1.05))+$BA68</f>
        <v>9</v>
      </c>
      <c r="BJ68" s="1" t="n">
        <f aca="false">INT(POWER((((Constants!$G$1+$BB68+$BC68+$BD68+$BF68)*($BE68))*$BG68),IF($G68="wagon",1,1.2)))+$AZ68</f>
        <v>33</v>
      </c>
      <c r="BK68" s="33" t="n">
        <f aca="false">BI68*IF($G68="wagon",62.5,781.25)</f>
        <v>562.5</v>
      </c>
      <c r="BL68" s="33" t="n">
        <f aca="false">BJ68*IF($G68="wagon",2.73,81.25)</f>
        <v>90.09</v>
      </c>
      <c r="BT68" s="1" t="n">
        <v>1</v>
      </c>
      <c r="BU68" s="1" t="n">
        <v>185</v>
      </c>
      <c r="BV68" s="1" t="s">
        <v>408</v>
      </c>
      <c r="BX68" s="1" t="s">
        <v>422</v>
      </c>
      <c r="BY68" s="1" t="str">
        <f aca="false">VLOOKUP(J68,Eras!$A$2:$C$10, 2, TRUE())</f>
        <v>dsl</v>
      </c>
      <c r="BZ68" s="28" t="s">
        <v>397</v>
      </c>
      <c r="CA68" s="1" t="str">
        <f aca="false">CONCATENATE(BY68,"_",BZ68)</f>
        <v>dsl_Tanker</v>
      </c>
      <c r="CB68" s="1" t="str">
        <f aca="false">_xlfn.CONCAT(H68, "_",I68)</f>
        <v>wagon_RAIL</v>
      </c>
      <c r="CC68" s="32" t="str">
        <f aca="false" t="array" ref="CC68:CC68">_xlfn.CONCAT("{BLACK}Length: {GOLD}", TEXT(ROUNDUP(IF(AQ68&lt;&gt;"",SUM(VALUE(_xlfn.TEXTSPLIT(AQ68, ","))), SUM(VALUE(_xlfn.TEXTSPLIT(AN68, ",")))*IF(M68, M68, 1))/16, 1), "#,##0.0"), " tiles{}")</f>
        <v>{BLACK}Length: {GOLD}0.4 tiles{}</v>
      </c>
      <c r="CD68" s="1" t="str">
        <f aca="false">VLOOKUP($CB68, Constants!$M:$N, 2, FALSE())</f>
        <v/>
      </c>
      <c r="CE68" s="1" t="str">
        <f aca="false">IF(M68&gt;1,_xlfn.CONCAT("{BLACK}Cars: {GOLD}", M68),"")</f>
        <v/>
      </c>
      <c r="CF68" s="1" t="s">
        <v>432</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{BLACK}Length: {GOLD}0.4 tiles{}{SILVER}This is a representative BR GRAINFIT wagon, a vacuum-braked bulk hopper derived from the 1930s LMS design.</v>
      </c>
      <c r="CI68" s="1"/>
      <c r="CJ68" s="1"/>
    </row>
    <row r="69" customFormat="false" ht="13.8" hidden="false" customHeight="false" outlineLevel="0" collapsed="false">
      <c r="A69" s="28" t="s">
        <v>433</v>
      </c>
      <c r="B69" s="28" t="s">
        <v>434</v>
      </c>
      <c r="C69" s="1" t="n">
        <v>23</v>
      </c>
      <c r="E69" s="1" t="n">
        <v>1029</v>
      </c>
      <c r="F69" s="1" t="s">
        <v>89</v>
      </c>
      <c r="G69" s="1" t="s">
        <v>394</v>
      </c>
      <c r="H69" s="1" t="s">
        <v>394</v>
      </c>
      <c r="I69" s="1" t="s">
        <v>151</v>
      </c>
      <c r="J69" s="1" t="n">
        <v>1966</v>
      </c>
      <c r="K69" s="1" t="n">
        <v>1996</v>
      </c>
      <c r="L69" s="1" t="n">
        <v>2002</v>
      </c>
      <c r="W69" s="1" t="n">
        <v>12.9</v>
      </c>
      <c r="Y69" s="1" t="n">
        <v>5</v>
      </c>
      <c r="AA69" s="4" t="str">
        <f aca="false">IF(AND(W69&gt;0,Z69&gt;0),(Z69/((W69+X69)*10)),"")</f>
        <v/>
      </c>
      <c r="AB69" s="1" t="n">
        <v>60</v>
      </c>
      <c r="AC69" s="1" t="n">
        <f aca="false">ROUND(AB69*1.6, 0)</f>
        <v>96</v>
      </c>
      <c r="AF69" s="1" t="n">
        <v>8.8</v>
      </c>
      <c r="AG69" s="1" t="n">
        <v>10</v>
      </c>
      <c r="AH69" s="1" t="n">
        <v>2.7</v>
      </c>
      <c r="AI69" s="1" t="n">
        <v>3.8</v>
      </c>
      <c r="AJ69" s="5" t="n">
        <v>36</v>
      </c>
      <c r="AK69" s="1" t="str">
        <f aca="false">CONCATENATE(VLOOKUP(AL69, '[1]Voxel Sizes'!$A$2:$B$18,2,FALSE()),"x",INT(AH69*15), "x", INT(AI69*15))</f>
        <v>102x40x57</v>
      </c>
      <c r="AL69" s="1" t="n">
        <f aca="false">ROUND(15*((AG69*10)/256),0)</f>
        <v>6</v>
      </c>
      <c r="AN69" s="1" t="str">
        <f aca="false">CONCATENATE(VLOOKUP(AL69,Constants!$A$2:$C$16,IF(AM69&lt;&gt;"", 3, 2), FALSE()),IF(AM69&lt;&gt;"",CONCATENATE(",",VLOOKUP(AM69,$B:$AN,38,FALSE())),""))</f>
        <v>2,2,2</v>
      </c>
      <c r="AX69" s="1" t="n">
        <v>30</v>
      </c>
      <c r="AY69" s="6" t="n">
        <f aca="false">IF(L69&lt;&gt;"",MAX(16,(L69-J69)+8),"")</f>
        <v>44</v>
      </c>
      <c r="BB69" s="1" t="n">
        <f aca="false">MIN(AB69/150, 1)*30</f>
        <v>12</v>
      </c>
      <c r="BC69" s="1" t="n">
        <f aca="false">MIN(N69/4000, 1)*20</f>
        <v>0</v>
      </c>
      <c r="BD69" s="1" t="n">
        <f aca="false">MIN(Z69/400,1)*20</f>
        <v>0</v>
      </c>
      <c r="BE69" s="4" t="n">
        <f aca="false">1-(MAX(J69-1900, 0)/750)</f>
        <v>0.912</v>
      </c>
      <c r="BF69" s="1" t="n">
        <f aca="false">((MAX($M69,1)*MIN($AJ69/300,1)))*IF(G69="Wagon",50,10)</f>
        <v>6</v>
      </c>
      <c r="BG69" s="1" t="n">
        <f aca="false">VLOOKUP($H69,Constants!$I:$K, 2, FALSE())</f>
        <v>1</v>
      </c>
      <c r="BH69" s="1" t="n">
        <f aca="false">VLOOKUP($H69,Constants!$I:$K, 3, FALSE())*IF(AND(G69="multiple_unit",AB69&lt;110),0.75,1)</f>
        <v>0.45</v>
      </c>
      <c r="BI69" s="1" t="n">
        <f aca="false">INT(POWER(((Constants!$G$2+$BB69+$BC69+$BD69+$BF69)*$BE69)*$BH69, 1.05))+$BA69</f>
        <v>10</v>
      </c>
      <c r="BJ69" s="1" t="n">
        <f aca="false">INT(POWER((((Constants!$G$1+$BB69+$BC69+$BD69+$BF69)*($BE69))*$BG69),IF($G69="wagon",1,1.2)))+$AZ69</f>
        <v>30</v>
      </c>
      <c r="BK69" s="33" t="n">
        <f aca="false">BI69*IF($G69="wagon",62.5,781.25)</f>
        <v>625</v>
      </c>
      <c r="BL69" s="33" t="n">
        <f aca="false">BJ69*IF($G69="wagon",2.73,81.25)</f>
        <v>81.9</v>
      </c>
      <c r="BT69" s="1" t="n">
        <v>1</v>
      </c>
      <c r="BU69" s="1" t="n">
        <v>185</v>
      </c>
      <c r="BV69" s="1" t="s">
        <v>408</v>
      </c>
      <c r="BX69" s="1" t="s">
        <v>422</v>
      </c>
      <c r="BY69" s="1" t="str">
        <f aca="false">VLOOKUP(J69,Eras!$A$2:$C$10, 2, TRUE())</f>
        <v>dsl</v>
      </c>
      <c r="BZ69" s="28" t="s">
        <v>397</v>
      </c>
      <c r="CA69" s="1" t="str">
        <f aca="false">CONCATENATE(BY69,"_",BZ69)</f>
        <v>dsl_Tanker</v>
      </c>
      <c r="CB69" s="1" t="str">
        <f aca="false">_xlfn.CONCAT(H69, "_",I69)</f>
        <v>wagon_RAIL</v>
      </c>
      <c r="CC69" s="32" t="str">
        <f aca="false" t="array" ref="CC69:CC69">_xlfn.CONCAT("{BLACK}Length: {GOLD}", TEXT(ROUNDUP(IF(AQ69&lt;&gt;"",SUM(VALUE(_xlfn.TEXTSPLIT(AQ69, ","))), SUM(VALUE(_xlfn.TEXTSPLIT(AN69, ",")))*IF(M69, M69, 1))/16, 1), "#,##0.0"), " tiles{}")</f>
        <v>{BLACK}Length: {GOLD}0.4 tiles{}</v>
      </c>
      <c r="CD69" s="1" t="str">
        <f aca="false">VLOOKUP($CB69, Constants!$M:$N, 2, FALSE())</f>
        <v/>
      </c>
      <c r="CE69" s="1" t="str">
        <f aca="false">IF(M69&gt;1,_xlfn.CONCAT("{BLACK}Cars: {GOLD}", M69),"")</f>
        <v/>
      </c>
      <c r="CF69" s="1" t="s">
        <v>435</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{BLACK}Length: {GOLD}0.4 tiles{}{SILVER}The BR ‘Whiskey Covhops’ were a common sight on long-distance freight trains from southern England, headed for the distilleries of Scotland.</v>
      </c>
      <c r="CI69" s="1"/>
      <c r="CJ69" s="1"/>
    </row>
    <row r="70" customFormat="false" ht="13.8" hidden="false" customHeight="false" outlineLevel="0" collapsed="false">
      <c r="A70" s="1" t="s">
        <v>436</v>
      </c>
      <c r="B70" s="1" t="s">
        <v>437</v>
      </c>
      <c r="C70" s="1" t="n">
        <v>32</v>
      </c>
      <c r="E70" s="1" t="n">
        <v>1031</v>
      </c>
      <c r="F70" s="1" t="s">
        <v>89</v>
      </c>
      <c r="G70" s="1" t="s">
        <v>394</v>
      </c>
      <c r="H70" s="1" t="s">
        <v>394</v>
      </c>
      <c r="I70" s="1" t="s">
        <v>151</v>
      </c>
      <c r="J70" s="1" t="n">
        <v>1973</v>
      </c>
      <c r="W70" s="1" t="n">
        <v>22.7</v>
      </c>
      <c r="Y70" s="1" t="n">
        <v>5</v>
      </c>
      <c r="AA70" s="4" t="str">
        <f aca="false">IF(AND(W70&gt;0,Z70&gt;0),(Z70/((W70+X70)*10)),"")</f>
        <v/>
      </c>
      <c r="AB70" s="1" t="n">
        <v>75</v>
      </c>
      <c r="AC70" s="1" t="n">
        <f aca="false">ROUND(AB70*1.6, 0)</f>
        <v>120</v>
      </c>
      <c r="AF70" s="1" t="n">
        <v>18.3</v>
      </c>
      <c r="AG70" s="1" t="n">
        <v>18.3</v>
      </c>
      <c r="AH70" s="1" t="n">
        <v>2.7</v>
      </c>
      <c r="AI70" s="1" t="n">
        <v>3.8</v>
      </c>
      <c r="AJ70" s="5" t="n">
        <v>56</v>
      </c>
      <c r="AK70" s="1" t="str">
        <f aca="false">CONCATENATE(VLOOKUP(AL70, '[1]Voxel Sizes'!$A$2:$B$18,2,FALSE()),"x",INT(AH70*15), "x", INT(AI70*15))</f>
        <v>186x40x57</v>
      </c>
      <c r="AL70" s="1" t="n">
        <f aca="false">ROUND(15*((AG70*10)/256),0)</f>
        <v>11</v>
      </c>
      <c r="AN70" s="1" t="str">
        <f aca="false">CONCATENATE(VLOOKUP(AL70,Constants!$A$2:$C$16,IF(AM70&lt;&gt;"", 3, 2), FALSE()),IF(AM70&lt;&gt;"",CONCATENATE(",",VLOOKUP(AM70,$B:$AN,38,FALSE())),""))</f>
        <v>4,3,4</v>
      </c>
      <c r="AX70" s="1" t="n">
        <v>30</v>
      </c>
      <c r="AY70" s="6" t="str">
        <f aca="false">IF(L70&lt;&gt;"",MAX(16,(L70-J70)+8),"")</f>
        <v/>
      </c>
      <c r="BB70" s="1" t="n">
        <f aca="false">MIN(AB70/150, 1)*30</f>
        <v>15</v>
      </c>
      <c r="BC70" s="1" t="n">
        <f aca="false">MIN(N70/4000, 1)*20</f>
        <v>0</v>
      </c>
      <c r="BD70" s="1" t="n">
        <f aca="false">MIN(Z70/400,1)*20</f>
        <v>0</v>
      </c>
      <c r="BE70" s="4" t="n">
        <f aca="false">1-(MAX(J70-1900, 0)/750)</f>
        <v>0.902666666666667</v>
      </c>
      <c r="BF70" s="1" t="n">
        <f aca="false">((MAX($M70,1)*MIN($AJ70/300,1)))*IF(G70="Wagon",50,10)</f>
        <v>9.33333333333333</v>
      </c>
      <c r="BG70" s="1" t="n">
        <f aca="false">VLOOKUP($H70,Constants!$I:$K, 2, FALSE())</f>
        <v>1</v>
      </c>
      <c r="BH70" s="1" t="n">
        <f aca="false">VLOOKUP($H70,Constants!$I:$K, 3, FALSE())*IF(AND(G70="multiple_unit",AB70&lt;110),0.75,1)</f>
        <v>0.45</v>
      </c>
      <c r="BI70" s="1" t="n">
        <f aca="false">INT(POWER(((Constants!$G$2+$BB70+$BC70+$BD70+$BF70)*$BE70)*$BH70, 1.05))+$BA70</f>
        <v>13</v>
      </c>
      <c r="BJ70" s="1" t="n">
        <f aca="false">INT(POWER((((Constants!$G$1+$BB70+$BC70+$BD70+$BF70)*($BE70))*$BG70),IF($G70="wagon",1,1.2)))+$AZ70</f>
        <v>35</v>
      </c>
      <c r="BK70" s="33" t="n">
        <f aca="false">BI70*IF($G70="wagon",62.5,781.25)</f>
        <v>812.5</v>
      </c>
      <c r="BL70" s="33" t="n">
        <f aca="false">BJ70*IF($G70="wagon",2.73,81.25)</f>
        <v>95.55</v>
      </c>
      <c r="BT70" s="1" t="n">
        <v>1</v>
      </c>
      <c r="BU70" s="1" t="n">
        <v>185</v>
      </c>
      <c r="BV70" s="1" t="s">
        <v>408</v>
      </c>
      <c r="BX70" s="1" t="s">
        <v>422</v>
      </c>
      <c r="BY70" s="1" t="str">
        <f aca="false">VLOOKUP(J70,Eras!$A$2:$C$10, 2, TRUE())</f>
        <v>lbr</v>
      </c>
      <c r="BZ70" s="28" t="s">
        <v>397</v>
      </c>
      <c r="CA70" s="1" t="str">
        <f aca="false">CONCATENATE(BY70,"_",BZ70)</f>
        <v>lbr_Tanker</v>
      </c>
      <c r="CB70" s="1" t="str">
        <f aca="false">_xlfn.CONCAT(H70, "_",I70)</f>
        <v>wagon_RAIL</v>
      </c>
      <c r="CC70" s="32" t="str">
        <f aca="false" t="array" ref="CC70:CC70">_xlfn.CONCAT("{BLACK}Length: {GOLD}", TEXT(ROUNDUP(IF(AQ70&lt;&gt;"",SUM(VALUE(_xlfn.TEXTSPLIT(AQ70, ","))), SUM(VALUE(_xlfn.TEXTSPLIT(AN70, ",")))*IF(M70, M70, 1))/16, 1), "#,##0.0"), " tiles{}")</f>
        <v>{BLACK}Length: {GOLD}0.7 tiles{}</v>
      </c>
      <c r="CD70" s="1" t="str">
        <f aca="false">VLOOKUP($CB70, Constants!$M:$N, 2, FALSE())</f>
        <v/>
      </c>
      <c r="CE70" s="1" t="str">
        <f aca="false">IF(M70&gt;1,_xlfn.CONCAT("{BLACK}Cars: {GOLD}", M70),"")</f>
        <v/>
      </c>
      <c r="CF70" s="1" t="s">
        <v>438</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{BLACK}Length: {GOLD}0.7 tiles{}{SILVER}Large bogie covered hoppers first appeared in Britain in the mid 1970s. These were frequently privately owned and registered as international vehicles. This slab-sided ‘Polybulk’ example was built in France.</v>
      </c>
      <c r="CI70" s="1"/>
      <c r="CJ70" s="1"/>
    </row>
    <row r="71" customFormat="false" ht="13.8" hidden="false" customHeight="false" outlineLevel="0" collapsed="false">
      <c r="A71" s="28" t="s">
        <v>439</v>
      </c>
      <c r="B71" s="28" t="s">
        <v>440</v>
      </c>
      <c r="C71" s="1" t="n">
        <v>101</v>
      </c>
      <c r="E71" s="1" t="n">
        <v>1101</v>
      </c>
      <c r="F71" s="1" t="s">
        <v>89</v>
      </c>
      <c r="G71" s="1" t="s">
        <v>394</v>
      </c>
      <c r="H71" s="1" t="s">
        <v>441</v>
      </c>
      <c r="I71" s="1" t="s">
        <v>151</v>
      </c>
      <c r="J71" s="1" t="n">
        <v>1905</v>
      </c>
      <c r="K71" s="1" t="n">
        <v>1960</v>
      </c>
      <c r="L71" s="1" t="n">
        <v>1960</v>
      </c>
      <c r="W71" s="1" t="n">
        <v>39</v>
      </c>
      <c r="Y71" s="1" t="n">
        <v>4</v>
      </c>
      <c r="AA71" s="4" t="str">
        <f aca="false">IF(AND(W71&gt;0,Z71&gt;0),(Z71/((W71+X71)*10)),"")</f>
        <v/>
      </c>
      <c r="AB71" s="1" t="n">
        <v>90</v>
      </c>
      <c r="AC71" s="1" t="n">
        <f aca="false">ROUND(AB71*1.6, 0)</f>
        <v>144</v>
      </c>
      <c r="AF71" s="1" t="n">
        <v>19.8</v>
      </c>
      <c r="AG71" s="1" t="n">
        <v>20</v>
      </c>
      <c r="AH71" s="1" t="n">
        <v>2.82</v>
      </c>
      <c r="AI71" s="1" t="n">
        <v>3.79</v>
      </c>
      <c r="AJ71" s="5" t="n">
        <v>18</v>
      </c>
      <c r="AK71" s="1" t="str">
        <f aca="false">CONCATENATE(VLOOKUP(AL71, '[1]Voxel Sizes'!$A$2:$B$18,2,FALSE()),"x",INT(AH71*15), "x", INT(AI71*15))</f>
        <v>198x42x56</v>
      </c>
      <c r="AL71" s="1" t="n">
        <f aca="false">ROUND(15*((AG71*10)/256),0)</f>
        <v>12</v>
      </c>
      <c r="AN71" s="1" t="str">
        <f aca="false">CONCATENATE(VLOOKUP(AL71,Constants!$A$2:$C$16,IF(AM71&lt;&gt;"", 3, 2), FALSE()),IF(AM71&lt;&gt;"",CONCATENATE(",",VLOOKUP(AM71,$B:$AN,38,FALSE())),""))</f>
        <v>4,4,4</v>
      </c>
      <c r="AX71" s="1" t="n">
        <v>30</v>
      </c>
      <c r="AY71" s="6" t="n">
        <f aca="false">IF(L71&lt;&gt;"",MAX(16,(L71-J71)+8),"")</f>
        <v>63</v>
      </c>
      <c r="AZ71" s="1" t="n">
        <v>1000</v>
      </c>
      <c r="BA71" s="1" t="n">
        <v>110</v>
      </c>
      <c r="BB71" s="1" t="n">
        <f aca="false">MIN(AB71/150, 1)*30</f>
        <v>18</v>
      </c>
      <c r="BC71" s="1" t="n">
        <f aca="false">MIN(N71/4000, 1)*20</f>
        <v>0</v>
      </c>
      <c r="BD71" s="1" t="n">
        <f aca="false">MIN(Z71/400,1)*20</f>
        <v>0</v>
      </c>
      <c r="BE71" s="4" t="n">
        <f aca="false">1-(MAX(J71-1900, 0)/750)</f>
        <v>0.993333333333333</v>
      </c>
      <c r="BF71" s="1" t="n">
        <f aca="false">((MAX($M71,1)*MIN($AJ71/300,1)))*IF(G71="Wagon",50,10)</f>
        <v>3</v>
      </c>
      <c r="BG71" s="1" t="n">
        <f aca="false">VLOOKUP($H71,Constants!$I:$K, 2, FALSE())</f>
        <v>1.5</v>
      </c>
      <c r="BH71" s="1" t="n">
        <f aca="false">VLOOKUP($H71,Constants!$I:$K, 3, FALSE())*IF(AND(G71="multiple_unit",AB71&lt;110),0.75,1)</f>
        <v>0.7</v>
      </c>
      <c r="BI71" s="1" t="n">
        <f aca="false">INT(POWER(((Constants!$G$2+$BB71+$BC71+$BD71+$BF71)*$BE71)*$BH71, 1.05))+$BA71</f>
        <v>130</v>
      </c>
      <c r="BJ71" s="1" t="n">
        <f aca="false">INT(POWER((((Constants!$G$1+$BB71+$BC71+$BD71+$BF71)*($BE71))*$BG71),IF($G71="wagon",1,1.2)))+$AZ71</f>
        <v>1053</v>
      </c>
      <c r="BK71" s="33" t="n">
        <f aca="false">BI71*IF($G71="wagon",62.5,781.25)</f>
        <v>8125</v>
      </c>
      <c r="BL71" s="33" t="n">
        <f aca="false">BJ71*IF($G71="wagon",2.73,81.25)</f>
        <v>2874.69</v>
      </c>
      <c r="BT71" s="1" t="n">
        <v>2</v>
      </c>
      <c r="BU71" s="1" t="n">
        <v>278</v>
      </c>
      <c r="BV71" s="1" t="s">
        <v>223</v>
      </c>
      <c r="BX71" s="1" t="s">
        <v>95</v>
      </c>
      <c r="BY71" s="1" t="str">
        <f aca="false">VLOOKUP(J71,Eras!$A$2:$C$10, 2, TRUE())</f>
        <v>edw</v>
      </c>
      <c r="BZ71" s="28" t="s">
        <v>442</v>
      </c>
      <c r="CA71" s="1" t="str">
        <f aca="false">CONCATENATE(BY71,"_",BZ71)</f>
        <v>edw_Carriage</v>
      </c>
      <c r="CB71" s="1" t="str">
        <f aca="false">_xlfn.CONCAT(H71, "_",I71)</f>
        <v>luxury_carriage_RAIL</v>
      </c>
      <c r="CC71" s="32" t="str">
        <f aca="false" t="array" ref="CC71:CC71">_xlfn.CONCAT("{BLACK}Length: {GOLD}", TEXT(ROUNDUP(IF(AQ71&lt;&gt;"",SUM(VALUE(_xlfn.TEXTSPLIT(AQ71, ","))), SUM(VALUE(_xlfn.TEXTSPLIT(AN71, ",")))*IF(M71, M71, 1))/16, 1), "#,##0.0"), " tiles{}")</f>
        <v>{BLACK}Length: {GOLD}0.8 tiles{}</v>
      </c>
      <c r="CD71" s="1" t="str">
        <f aca="false">VLOOKUP($CB71, Constants!$M:$N, 2, FALSE())</f>
        <v/>
      </c>
      <c r="CE71" s="1" t="str">
        <f aca="false">IF(M71&gt;1,_xlfn.CONCAT("{BLACK}Cars: {GOLD}", M71),"")</f>
        <v/>
      </c>
      <c r="CF71" s="1" t="s">
        <v>443</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{YELLOW}50% bonus for long distance travel{}</v>
      </c>
      <c r="CH71" s="1" t="str">
        <f aca="false">_xlfn.CONCAT(CD71,IF(CD71 &lt;&gt; "", " ", ""),CE71,IF(OR(CE71&lt;&gt;"", CD71&lt;&gt;""), "{}",""), CC71, CG71,"{SILVER}", CF71)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71" s="1"/>
      <c r="CJ71" s="1"/>
    </row>
    <row r="72" customFormat="false" ht="13.8" hidden="false" customHeight="false" outlineLevel="0" collapsed="false">
      <c r="A72" s="28" t="s">
        <v>444</v>
      </c>
      <c r="B72" s="28" t="s">
        <v>445</v>
      </c>
      <c r="C72" s="1" t="n">
        <v>108</v>
      </c>
      <c r="E72" s="1" t="n">
        <v>1102</v>
      </c>
      <c r="F72" s="1" t="s">
        <v>89</v>
      </c>
      <c r="G72" s="1" t="s">
        <v>394</v>
      </c>
      <c r="H72" s="1" t="s">
        <v>446</v>
      </c>
      <c r="I72" s="1" t="s">
        <v>151</v>
      </c>
      <c r="J72" s="1" t="n">
        <v>1957</v>
      </c>
      <c r="K72" s="1" t="n">
        <v>1981</v>
      </c>
      <c r="L72" s="1" t="n">
        <v>2002</v>
      </c>
      <c r="W72" s="1" t="n">
        <v>33</v>
      </c>
      <c r="Y72" s="1" t="n">
        <v>4</v>
      </c>
      <c r="AA72" s="4" t="str">
        <f aca="false">IF(AND(W72&gt;0,Z72&gt;0),(Z72/((W72+X72)*10)),"")</f>
        <v/>
      </c>
      <c r="AB72" s="1" t="n">
        <v>100</v>
      </c>
      <c r="AC72" s="1" t="n">
        <f aca="false">ROUND(AB72*1.6, 0)</f>
        <v>160</v>
      </c>
      <c r="AF72" s="1" t="n">
        <v>18.4</v>
      </c>
      <c r="AG72" s="1" t="n">
        <v>18</v>
      </c>
      <c r="AH72" s="1" t="n">
        <v>2.82</v>
      </c>
      <c r="AI72" s="1" t="n">
        <v>3.79</v>
      </c>
      <c r="AJ72" s="5" t="n">
        <v>65</v>
      </c>
      <c r="AK72" s="1" t="str">
        <f aca="false">CONCATENATE(VLOOKUP(AL72, '[1]Voxel Sizes'!$A$2:$B$18,2,FALSE()),"x",INT(AH72*15), "x", INT(AI72*15))</f>
        <v>186x42x56</v>
      </c>
      <c r="AL72" s="1" t="n">
        <f aca="false">ROUND(15*((AG72*10)/256),0)</f>
        <v>11</v>
      </c>
      <c r="AN72" s="1" t="str">
        <f aca="false">CONCATENATE(VLOOKUP(AL72,Constants!$A$2:$C$16,IF(AM72&lt;&gt;"", 3, 2), FALSE()),IF(AM72&lt;&gt;"",CONCATENATE(",",VLOOKUP(AM72,$B:$AN,38,FALSE())),""))</f>
        <v>4,3,4</v>
      </c>
      <c r="AX72" s="1" t="n">
        <v>30</v>
      </c>
      <c r="AY72" s="6" t="n">
        <f aca="false">IF(L72&lt;&gt;"",MAX(16,(L72-J72)+8),"")</f>
        <v>53</v>
      </c>
      <c r="AZ72" s="1" t="n">
        <v>55</v>
      </c>
      <c r="BA72" s="1" t="n">
        <v>25</v>
      </c>
      <c r="BB72" s="1" t="n">
        <f aca="false">MIN(AB72/150, 1)*30</f>
        <v>20</v>
      </c>
      <c r="BC72" s="1" t="n">
        <f aca="false">MIN(N72/4000, 1)*20</f>
        <v>0</v>
      </c>
      <c r="BD72" s="1" t="n">
        <f aca="false">MIN(Z72/400,1)*20</f>
        <v>0</v>
      </c>
      <c r="BE72" s="4" t="n">
        <f aca="false">1-(MAX(J72-1900, 0)/750)</f>
        <v>0.924</v>
      </c>
      <c r="BF72" s="1" t="n">
        <f aca="false">((MAX($M72,1)*MIN($AJ72/300,1)))*IF(G72="Wagon",50,10)</f>
        <v>10.8333333333333</v>
      </c>
      <c r="BG72" s="1" t="n">
        <f aca="false">VLOOKUP($H72,Constants!$I:$K, 2, FALSE())</f>
        <v>1.2</v>
      </c>
      <c r="BH72" s="1" t="n">
        <f aca="false">VLOOKUP($H72,Constants!$I:$K, 3, FALSE())*IF(AND(G72="multiple_unit",AB72&lt;110),0.75,1)</f>
        <v>0.6</v>
      </c>
      <c r="BI72" s="1" t="n">
        <f aca="false">INT(POWER(((Constants!$G$2+$BB72+$BC72+$BD72+$BF72)*$BE72)*$BH72, 1.05))+$BA72</f>
        <v>48</v>
      </c>
      <c r="BJ72" s="1" t="n">
        <f aca="false">INT(POWER((((Constants!$G$1+$BB72+$BC72+$BD72+$BF72)*($BE72))*$BG72),IF($G72="wagon",1,1.2)))+$AZ72</f>
        <v>105</v>
      </c>
      <c r="BK72" s="33" t="n">
        <f aca="false">BI72*IF($G72="wagon",62.5,781.25)</f>
        <v>3000</v>
      </c>
      <c r="BL72" s="33" t="n">
        <f aca="false">BJ72*IF($G72="wagon",2.73,81.25)</f>
        <v>286.65</v>
      </c>
      <c r="BT72" s="1" t="n">
        <v>1</v>
      </c>
      <c r="BU72" s="1" t="n">
        <v>185</v>
      </c>
      <c r="BV72" s="1" t="s">
        <v>313</v>
      </c>
      <c r="BX72" s="1" t="s">
        <v>146</v>
      </c>
      <c r="BY72" s="1" t="str">
        <f aca="false">VLOOKUP(J72,Eras!$A$2:$C$10, 2, TRUE())</f>
        <v>dsl</v>
      </c>
      <c r="BZ72" s="28" t="s">
        <v>447</v>
      </c>
      <c r="CA72" s="1" t="str">
        <f aca="false">CONCATENATE(BY72,"_",BZ72)</f>
        <v>dsl_Mail Carriage</v>
      </c>
      <c r="CB72" s="1" t="str">
        <f aca="false">_xlfn.CONCAT(H72, "_",I72)</f>
        <v>carriage_RAIL</v>
      </c>
      <c r="CC72" s="32" t="str">
        <f aca="false" t="array" ref="CC72:CC72">_xlfn.CONCAT("{BLACK}Length: {GOLD}", TEXT(ROUNDUP(IF(AQ72&lt;&gt;"",SUM(VALUE(_xlfn.TEXTSPLIT(AQ72, ","))), SUM(VALUE(_xlfn.TEXTSPLIT(AN72, ",")))*IF(M72, M72, 1))/16, 1), "#,##0.0"), " tiles{}")</f>
        <v>{BLACK}Length: {GOLD}0.7 tiles{}</v>
      </c>
      <c r="CD72" s="1" t="str">
        <f aca="false">VLOOKUP($CB72, Constants!$M:$N, 2, FALSE())</f>
        <v/>
      </c>
      <c r="CE72" s="1" t="str">
        <f aca="false">IF(M72&gt;1,_xlfn.CONCAT("{BLACK}Cars: {GOLD}", M72),"")</f>
        <v/>
      </c>
      <c r="CF72" s="1" t="s">
        <v>448</v>
      </c>
      <c r="CG72" s="1" t="str">
        <f aca="false">IF(BW72="buffet","{YELLOW}25%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{BLACK}Length: {GOLD}0.7 tiles{}{SILVER}The standard parcels and baggage car on British Rail for decades, the Mk1 Brake Gangwayed was extremely versatile. This represents a standard 57’ frame example, making it noticably shorter than the standard Mk1 coach.</v>
      </c>
      <c r="CI72" s="1"/>
      <c r="CJ72" s="1"/>
    </row>
    <row r="73" customFormat="false" ht="13.8" hidden="false" customHeight="false" outlineLevel="0" collapsed="false">
      <c r="A73" s="28" t="s">
        <v>449</v>
      </c>
      <c r="B73" s="28" t="s">
        <v>450</v>
      </c>
      <c r="C73" s="1" t="n">
        <v>109</v>
      </c>
      <c r="D73" s="1" t="n">
        <v>108</v>
      </c>
      <c r="E73" s="1" t="n">
        <v>1112</v>
      </c>
      <c r="F73" s="1" t="s">
        <v>89</v>
      </c>
      <c r="G73" s="1" t="s">
        <v>394</v>
      </c>
      <c r="H73" s="1" t="s">
        <v>446</v>
      </c>
      <c r="I73" s="1" t="s">
        <v>151</v>
      </c>
      <c r="J73" s="1" t="n">
        <v>1975</v>
      </c>
      <c r="K73" s="1" t="n">
        <v>1998</v>
      </c>
      <c r="L73" s="1" t="n">
        <v>2002</v>
      </c>
      <c r="W73" s="1" t="n">
        <v>33</v>
      </c>
      <c r="Y73" s="1" t="n">
        <v>4</v>
      </c>
      <c r="AA73" s="4" t="str">
        <f aca="false">IF(AND(W73&gt;0,Z73&gt;0),(Z73/((W73+X73)*10)),"")</f>
        <v/>
      </c>
      <c r="AB73" s="1" t="n">
        <v>110</v>
      </c>
      <c r="AC73" s="1" t="n">
        <f aca="false">ROUND(AB73*1.6, 0)</f>
        <v>176</v>
      </c>
      <c r="AF73" s="1" t="n">
        <v>18.4</v>
      </c>
      <c r="AG73" s="1" t="n">
        <v>18</v>
      </c>
      <c r="AH73" s="1" t="n">
        <v>2.82</v>
      </c>
      <c r="AI73" s="1" t="n">
        <v>3.79</v>
      </c>
      <c r="AJ73" s="5" t="n">
        <v>65</v>
      </c>
      <c r="AK73" s="1" t="str">
        <f aca="false">CONCATENATE(VLOOKUP(AL73, '[1]Voxel Sizes'!$A$2:$B$18,2,FALSE()),"x",INT(AH73*15), "x", INT(AI73*15))</f>
        <v>186x42x56</v>
      </c>
      <c r="AL73" s="1" t="n">
        <f aca="false">ROUND(15*((AG73*10)/256),0)</f>
        <v>11</v>
      </c>
      <c r="AN73" s="1" t="str">
        <f aca="false">CONCATENATE(VLOOKUP(AL73,Constants!$A$2:$C$16,IF(AM73&lt;&gt;"", 3, 2), FALSE()),IF(AM73&lt;&gt;"",CONCATENATE(",",VLOOKUP(AM73,$B:$AN,38,FALSE())),""))</f>
        <v>4,3,4</v>
      </c>
      <c r="AX73" s="1" t="n">
        <v>30</v>
      </c>
      <c r="AY73" s="6" t="n">
        <f aca="false">IF(L73&lt;&gt;"",MAX(16,(L73-J73)+8),"")</f>
        <v>35</v>
      </c>
      <c r="AZ73" s="1" t="n">
        <v>75</v>
      </c>
      <c r="BA73" s="1" t="n">
        <v>35</v>
      </c>
      <c r="BB73" s="1" t="n">
        <f aca="false">MIN(AB73/150, 1)*30</f>
        <v>22</v>
      </c>
      <c r="BC73" s="1" t="n">
        <f aca="false">MIN(N73/4000, 1)*20</f>
        <v>0</v>
      </c>
      <c r="BD73" s="1" t="n">
        <f aca="false">MIN(Z73/400,1)*20</f>
        <v>0</v>
      </c>
      <c r="BE73" s="4" t="n">
        <f aca="false">1-(MAX(J73-1900, 0)/750)</f>
        <v>0.9</v>
      </c>
      <c r="BF73" s="1" t="n">
        <f aca="false">((MAX($M73,1)*MIN($AJ73/300,1)))*IF(G73="Wagon",50,10)</f>
        <v>10.8333333333333</v>
      </c>
      <c r="BG73" s="1" t="n">
        <f aca="false">VLOOKUP($H73,Constants!$I:$K, 2, FALSE())</f>
        <v>1.2</v>
      </c>
      <c r="BH73" s="1" t="n">
        <f aca="false">VLOOKUP($H73,Constants!$I:$K, 3, FALSE())*IF(AND(G73="multiple_unit",AB73&lt;110),0.75,1)</f>
        <v>0.6</v>
      </c>
      <c r="BI73" s="1" t="n">
        <f aca="false">INT(POWER(((Constants!$G$2+$BB73+$BC73+$BD73+$BF73)*$BE73)*$BH73, 1.05))+$BA73</f>
        <v>58</v>
      </c>
      <c r="BJ73" s="1" t="n">
        <f aca="false">INT(POWER((((Constants!$G$1+$BB73+$BC73+$BD73+$BF73)*($BE73))*$BG73),IF($G73="wagon",1,1.2)))+$AZ73</f>
        <v>126</v>
      </c>
      <c r="BK73" s="33" t="n">
        <f aca="false">BI73*IF($G73="wagon",62.5,781.25)</f>
        <v>3625</v>
      </c>
      <c r="BL73" s="33" t="n">
        <f aca="false">BJ73*IF($G73="wagon",2.73,81.25)</f>
        <v>343.98</v>
      </c>
      <c r="BT73" s="1" t="n">
        <v>1</v>
      </c>
      <c r="BU73" s="1" t="n">
        <v>185</v>
      </c>
      <c r="BV73" s="1" t="s">
        <v>313</v>
      </c>
      <c r="BX73" s="1" t="s">
        <v>146</v>
      </c>
      <c r="BY73" s="1" t="str">
        <f aca="false">VLOOKUP(J73,Eras!$A$2:$C$10, 2, TRUE())</f>
        <v>lbr</v>
      </c>
      <c r="BZ73" s="28" t="s">
        <v>447</v>
      </c>
      <c r="CA73" s="1" t="str">
        <f aca="false">CONCATENATE(BY73,"_",BZ73)</f>
        <v>lbr_Mail Carriage</v>
      </c>
      <c r="CB73" s="1" t="str">
        <f aca="false">_xlfn.CONCAT(H73, "_",I73)</f>
        <v>carriage_RAIL</v>
      </c>
      <c r="CC73" s="32" t="str">
        <f aca="false" t="array" ref="CC73:CC73">_xlfn.CONCAT("{BLACK}Length: {GOLD}", TEXT(ROUNDUP(IF(AQ73&lt;&gt;"",SUM(VALUE(_xlfn.TEXTSPLIT(AQ73, ","))), SUM(VALUE(_xlfn.TEXTSPLIT(AN73, ",")))*IF(M73, M73, 1))/16, 1), "#,##0.0"), " tiles{}")</f>
        <v>{BLACK}Length: {GOLD}0.7 tiles{}</v>
      </c>
      <c r="CD73" s="1" t="str">
        <f aca="false">VLOOKUP($CB73, Constants!$M:$N, 2, FALSE())</f>
        <v/>
      </c>
      <c r="CE73" s="1" t="str">
        <f aca="false">IF(M73&gt;1,_xlfn.CONCAT("{BLACK}Cars: {GOLD}", M73),"")</f>
        <v/>
      </c>
      <c r="CF73" s="1" t="s">
        <v>451</v>
      </c>
      <c r="CG73" s="1" t="str">
        <f aca="false">IF(BW73="buffet","{YELLOW}25% long distance bonus for consist{}",IF(BY73="BRAKE","{YELLOW}Speed bonus for slow wagons{}",IF(BU73&gt;190,CONCATENATE("{YELLOW}",INT((BU73-185)/1.85),"% bonus for long distance travel{}"),IF(AND(BU73&lt;180,BU73&lt;&gt;0),CONCATENATE("{YELLOW}",INT((185-BU73)/1.85),"% penalty for long distance travel{}"),""))))</f>
        <v/>
      </c>
      <c r="CH73" s="1" t="str">
        <f aca="false">_xlfn.CONCAT(CD73,IF(CD73 &lt;&gt; "", " ", ""),CE73,IF(OR(CE73&lt;&gt;"", CD73&lt;&gt;""), "{}",""), CC73, CG73,"{SILVER}", CF73)</f>
        <v>{BLACK}Length: {GOLD}0.7 tiles{}{SILVER}In the 1980s a number of BG vehicles were upgraded with B4 bogies and cleared for travel at 110mph, to provide additional capacity within fast passenger services, which were typically run with Mark 2 stock.</v>
      </c>
      <c r="CI73" s="1"/>
      <c r="CJ73" s="1"/>
    </row>
    <row r="74" customFormat="false" ht="13.8" hidden="false" customHeight="false" outlineLevel="0" collapsed="false">
      <c r="A74" s="28" t="s">
        <v>452</v>
      </c>
      <c r="B74" s="28" t="s">
        <v>453</v>
      </c>
      <c r="C74" s="1" t="n">
        <v>110</v>
      </c>
      <c r="D74" s="1" t="n">
        <v>108</v>
      </c>
      <c r="E74" s="1" t="n">
        <v>1113</v>
      </c>
      <c r="F74" s="1" t="s">
        <v>89</v>
      </c>
      <c r="G74" s="1" t="s">
        <v>394</v>
      </c>
      <c r="H74" s="1" t="s">
        <v>446</v>
      </c>
      <c r="I74" s="1" t="s">
        <v>151</v>
      </c>
      <c r="J74" s="1" t="n">
        <v>1989</v>
      </c>
      <c r="K74" s="1" t="n">
        <v>2002</v>
      </c>
      <c r="L74" s="1" t="n">
        <v>2002</v>
      </c>
      <c r="W74" s="1" t="n">
        <v>33</v>
      </c>
      <c r="Y74" s="1" t="n">
        <v>5</v>
      </c>
      <c r="AA74" s="4" t="str">
        <f aca="false">IF(AND(W74&gt;0,Z74&gt;0),(Z74/((W74+X74)*10)),"")</f>
        <v/>
      </c>
      <c r="AB74" s="1" t="n">
        <v>100</v>
      </c>
      <c r="AC74" s="1" t="n">
        <f aca="false">ROUND(AB74*1.6, 0)</f>
        <v>160</v>
      </c>
      <c r="AF74" s="1" t="n">
        <v>18.4</v>
      </c>
      <c r="AG74" s="1" t="n">
        <v>18</v>
      </c>
      <c r="AH74" s="1" t="n">
        <v>2.82</v>
      </c>
      <c r="AI74" s="1" t="n">
        <v>3.79</v>
      </c>
      <c r="AJ74" s="5" t="n">
        <v>72</v>
      </c>
      <c r="AK74" s="1" t="str">
        <f aca="false">CONCATENATE(VLOOKUP(AL74, '[1]Voxel Sizes'!$A$2:$B$18,2,FALSE()),"x",INT(AH74*15), "x", INT(AI74*15))</f>
        <v>186x42x56</v>
      </c>
      <c r="AL74" s="1" t="n">
        <f aca="false">ROUND(15*((AG74*10)/256),0)</f>
        <v>11</v>
      </c>
      <c r="AN74" s="1" t="str">
        <f aca="false">CONCATENATE(VLOOKUP(AL74,Constants!$A$2:$C$16,IF(AM74&lt;&gt;"", 3, 2), FALSE()),IF(AM74&lt;&gt;"",CONCATENATE(",",VLOOKUP(AM74,$B:$AN,38,FALSE())),""))</f>
        <v>4,3,4</v>
      </c>
      <c r="AX74" s="1" t="n">
        <v>30</v>
      </c>
      <c r="AY74" s="6" t="n">
        <f aca="false">IF(L74&lt;&gt;"",MAX(16,(L74-J74)+8),"")</f>
        <v>21</v>
      </c>
      <c r="AZ74" s="1" t="n">
        <v>65</v>
      </c>
      <c r="BA74" s="1" t="n">
        <v>45</v>
      </c>
      <c r="BB74" s="1" t="n">
        <f aca="false">MIN(AB74/150, 1)*30</f>
        <v>20</v>
      </c>
      <c r="BC74" s="1" t="n">
        <f aca="false">MIN(N74/4000, 1)*20</f>
        <v>0</v>
      </c>
      <c r="BD74" s="1" t="n">
        <f aca="false">MIN(Z74/400,1)*20</f>
        <v>0</v>
      </c>
      <c r="BE74" s="4" t="n">
        <f aca="false">1-(MAX(J74-1900, 0)/750)</f>
        <v>0.881333333333333</v>
      </c>
      <c r="BF74" s="1" t="n">
        <f aca="false">((MAX($M74,1)*MIN($AJ74/300,1)))*IF(G74="Wagon",50,10)</f>
        <v>12</v>
      </c>
      <c r="BG74" s="1" t="n">
        <f aca="false">VLOOKUP($H74,Constants!$I:$K, 2, FALSE())</f>
        <v>1.2</v>
      </c>
      <c r="BH74" s="1" t="n">
        <f aca="false">VLOOKUP($H74,Constants!$I:$K, 3, FALSE())*IF(AND(G74="multiple_unit",AB74&lt;110),0.75,1)</f>
        <v>0.6</v>
      </c>
      <c r="BI74" s="1" t="n">
        <f aca="false">INT(POWER(((Constants!$G$2+$BB74+$BC74+$BD74+$BF74)*$BE74)*$BH74, 1.05))+$BA74</f>
        <v>67</v>
      </c>
      <c r="BJ74" s="1" t="n">
        <f aca="false">INT(POWER((((Constants!$G$1+$BB74+$BC74+$BD74+$BF74)*($BE74))*$BG74),IF($G74="wagon",1,1.2)))+$AZ74</f>
        <v>114</v>
      </c>
      <c r="BK74" s="33" t="n">
        <f aca="false">BI74*IF($G74="wagon",62.5,781.25)</f>
        <v>4187.5</v>
      </c>
      <c r="BL74" s="33" t="n">
        <f aca="false">BJ74*IF($G74="wagon",2.73,81.25)</f>
        <v>311.22</v>
      </c>
      <c r="BT74" s="1" t="n">
        <v>1</v>
      </c>
      <c r="BU74" s="1" t="n">
        <v>185</v>
      </c>
      <c r="BV74" s="1" t="s">
        <v>313</v>
      </c>
      <c r="BX74" s="1" t="s">
        <v>146</v>
      </c>
      <c r="BY74" s="1" t="str">
        <f aca="false">VLOOKUP(J74,Eras!$A$2:$C$10, 2, TRUE())</f>
        <v>lbr</v>
      </c>
      <c r="BZ74" s="28" t="s">
        <v>447</v>
      </c>
      <c r="CA74" s="1" t="str">
        <f aca="false">CONCATENATE(BY74,"_",BZ74)</f>
        <v>lbr_Mail Carriage</v>
      </c>
      <c r="CB74" s="1" t="str">
        <f aca="false">_xlfn.CONCAT(H74, "_",I74)</f>
        <v>carriage_RAIL</v>
      </c>
      <c r="CC74" s="32" t="str">
        <f aca="false" t="array" ref="CC74:CC74">_xlfn.CONCAT("{BLACK}Length: {GOLD}", TEXT(ROUNDUP(IF(AQ74&lt;&gt;"",SUM(VALUE(_xlfn.TEXTSPLIT(AQ74, ","))), SUM(VALUE(_xlfn.TEXTSPLIT(AN74, ",")))*IF(M74, M74, 1))/16, 1), "#,##0.0"), " tiles{}")</f>
        <v>{BLACK}Length: {GOLD}0.7 tiles{}</v>
      </c>
      <c r="CD74" s="1" t="str">
        <f aca="false">VLOOKUP($CB74, Constants!$M:$N, 2, FALSE())</f>
        <v/>
      </c>
      <c r="CE74" s="1" t="str">
        <f aca="false">IF(M74&gt;1,_xlfn.CONCAT("{BLACK}Cars: {GOLD}", M74),"")</f>
        <v/>
      </c>
      <c r="CF74" s="1" t="s">
        <v>454</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
      </c>
      <c r="CH74" s="1" t="str">
        <f aca="false">_xlfn.CONCAT(CD74,IF(CD74 &lt;&gt; "", " ", ""),CE74,IF(OR(CE74&lt;&gt;"", CD74&lt;&gt;""), "{}",""), CC74, CG74,"{SILVER}", CF74)</f>
        <v>{BLACK}Length: {GOLD}0.7 tiles{}{SILVER}By the 90s parcels traffic was in decline on the railway, and increasingly movement focused on fixed flows between mail terminals. As a result, a number of vehicles were rebuilt with roller shutter doors for faster loading.</v>
      </c>
      <c r="CI74" s="1"/>
      <c r="CJ74" s="1"/>
    </row>
    <row r="75" customFormat="false" ht="13.8" hidden="false" customHeight="false" outlineLevel="0" collapsed="false">
      <c r="A75" s="28" t="s">
        <v>455</v>
      </c>
      <c r="B75" s="28" t="s">
        <v>456</v>
      </c>
      <c r="C75" s="1" t="n">
        <v>102</v>
      </c>
      <c r="E75" s="1" t="n">
        <v>1103</v>
      </c>
      <c r="F75" s="1" t="s">
        <v>89</v>
      </c>
      <c r="G75" s="1" t="s">
        <v>394</v>
      </c>
      <c r="H75" s="1" t="s">
        <v>446</v>
      </c>
      <c r="I75" s="1" t="s">
        <v>151</v>
      </c>
      <c r="J75" s="1" t="n">
        <v>1994</v>
      </c>
      <c r="K75" s="1" t="n">
        <v>1981</v>
      </c>
      <c r="L75" s="1" t="n">
        <v>1987</v>
      </c>
      <c r="W75" s="1" t="n">
        <v>33</v>
      </c>
      <c r="Y75" s="1" t="n">
        <v>4</v>
      </c>
      <c r="AA75" s="4" t="str">
        <f aca="false">IF(AND(W75&gt;0,Z75&gt;0),(Z75/((W75+X75)*10)),"")</f>
        <v/>
      </c>
      <c r="AB75" s="1" t="n">
        <v>100</v>
      </c>
      <c r="AC75" s="1" t="n">
        <f aca="false">ROUND(AB75*1.6, 0)</f>
        <v>160</v>
      </c>
      <c r="AF75" s="1" t="n">
        <v>19.8</v>
      </c>
      <c r="AG75" s="1" t="n">
        <v>20</v>
      </c>
      <c r="AH75" s="1" t="n">
        <v>2.82</v>
      </c>
      <c r="AI75" s="1" t="n">
        <v>3.79</v>
      </c>
      <c r="AJ75" s="5" t="n">
        <v>22</v>
      </c>
      <c r="AK75" s="1" t="str">
        <f aca="false">CONCATENATE(VLOOKUP(AL75, '[1]Voxel Sizes'!$A$2:$B$18,2,FALSE()),"x",INT(AH75*15), "x", INT(AI75*15))</f>
        <v>198x42x56</v>
      </c>
      <c r="AL75" s="1" t="n">
        <f aca="false">ROUND(15*((AG75*10)/256),0)</f>
        <v>12</v>
      </c>
      <c r="AN75" s="1" t="str">
        <f aca="false">CONCATENATE(VLOOKUP(AL75,Constants!$A$2:$C$16,IF(AM75&lt;&gt;"", 3, 2), FALSE()),IF(AM75&lt;&gt;"",CONCATENATE(",",VLOOKUP(AM75,$B:$AN,38,FALSE())),""))</f>
        <v>4,4,4</v>
      </c>
      <c r="AW75" s="1" t="s">
        <v>457</v>
      </c>
      <c r="AX75" s="1" t="n">
        <v>30</v>
      </c>
      <c r="AY75" s="6" t="n">
        <f aca="false">IF(L75&lt;&gt;"",MAX(16,(L75-J75)+8),"")</f>
        <v>16</v>
      </c>
      <c r="AZ75" s="1" t="n">
        <v>1000</v>
      </c>
      <c r="BA75" s="1" t="n">
        <v>110</v>
      </c>
      <c r="BB75" s="1" t="n">
        <f aca="false">MIN(AB75/150, 1)*30</f>
        <v>20</v>
      </c>
      <c r="BC75" s="1" t="n">
        <f aca="false">MIN(N75/4000, 1)*20</f>
        <v>0</v>
      </c>
      <c r="BD75" s="1" t="n">
        <f aca="false">MIN(Z75/400,1)*20</f>
        <v>0</v>
      </c>
      <c r="BE75" s="4" t="n">
        <f aca="false">1-(MAX(J75-1900, 0)/750)</f>
        <v>0.874666666666667</v>
      </c>
      <c r="BF75" s="1" t="n">
        <f aca="false">((MAX($M75,1)*MIN($AJ75/300,1)))*IF(G75="Wagon",50,10)</f>
        <v>3.66666666666667</v>
      </c>
      <c r="BG75" s="1" t="n">
        <f aca="false">VLOOKUP($H75,Constants!$I:$K, 2, FALSE())</f>
        <v>1.2</v>
      </c>
      <c r="BH75" s="1" t="n">
        <f aca="false">VLOOKUP($H75,Constants!$I:$K, 3, FALSE())*IF(AND(G75="multiple_unit",AB75&lt;110),0.75,1)</f>
        <v>0.6</v>
      </c>
      <c r="BI75" s="1" t="n">
        <f aca="false">INT(POWER(((Constants!$G$2+$BB75+$BC75+$BD75+$BF75)*$BE75)*$BH75, 1.05))+$BA75</f>
        <v>127</v>
      </c>
      <c r="BJ75" s="1" t="n">
        <f aca="false">INT(POWER((((Constants!$G$1+$BB75+$BC75+$BD75+$BF75)*($BE75))*$BG75),IF($G75="wagon",1,1.2)))+$AZ75</f>
        <v>1040</v>
      </c>
      <c r="BK75" s="33" t="n">
        <f aca="false">BI75*IF($G75="wagon",62.5,781.25)</f>
        <v>7937.5</v>
      </c>
      <c r="BL75" s="33" t="n">
        <f aca="false">BJ75*IF($G75="wagon",2.73,81.25)</f>
        <v>2839.2</v>
      </c>
      <c r="BT75" s="1" t="n">
        <v>2</v>
      </c>
      <c r="BU75" s="1" t="n">
        <v>278</v>
      </c>
      <c r="BV75" s="1" t="s">
        <v>223</v>
      </c>
      <c r="BX75" s="1" t="s">
        <v>95</v>
      </c>
      <c r="BY75" s="1" t="str">
        <f aca="false">VLOOKUP(J75,Eras!$A$2:$C$10, 2, TRUE())</f>
        <v>lbr</v>
      </c>
      <c r="BZ75" s="28" t="s">
        <v>442</v>
      </c>
      <c r="CA75" s="1" t="str">
        <f aca="false">CONCATENATE(BY75,"_",BZ75)</f>
        <v>lbr_Carriage</v>
      </c>
      <c r="CB75" s="1" t="str">
        <f aca="false">_xlfn.CONCAT(H75, "_",I75)</f>
        <v>carriage_RAIL</v>
      </c>
      <c r="CC75" s="32" t="str">
        <f aca="false" t="array" ref="CC75:CC75">_xlfn.CONCAT("{BLACK}Length: {GOLD}", TEXT(ROUNDUP(IF(AQ75&lt;&gt;"",SUM(VALUE(_xlfn.TEXTSPLIT(AQ75, ","))), SUM(VALUE(_xlfn.TEXTSPLIT(AN75, ",")))*IF(M75, M75, 1))/16, 1), "#,##0.0"), " tiles{}")</f>
        <v>{BLACK}Length: {GOLD}0.8 tiles{}</v>
      </c>
      <c r="CD75" s="1" t="str">
        <f aca="false">VLOOKUP($CB75, Constants!$M:$N, 2, FALSE())</f>
        <v/>
      </c>
      <c r="CE75" s="1" t="str">
        <f aca="false">IF(M75&gt;1,_xlfn.CONCAT("{BLACK}Cars: {GOLD}", M75),"")</f>
        <v/>
      </c>
      <c r="CF75" s="1" t="s">
        <v>458</v>
      </c>
      <c r="CG75" s="1" t="str">
        <f aca="false">IF(BW75="buffet","{YELLOW}25% long distance bonus for consist{}",IF(BY75="BRAKE","{YELLOW}Speed bonus for slow wagons{}",IF(BU75&gt;190,CONCATENATE("{YELLOW}",INT((BU75-185)/1.85),"% bonus for long distance travel{}"),IF(AND(BU75&lt;180,BU75&lt;&gt;0),CONCATENATE("{YELLOW}",INT((185-BU75)/1.85),"% penalty for long distance travel{}"),""))))</f>
        <v>{YELLOW}50% bonus for long distance travel{}</v>
      </c>
      <c r="CH75" s="1" t="str">
        <f aca="false">_xlfn.CONCAT(CD75,IF(CD75 &lt;&gt; "", " ", ""),CE75,IF(OR(CE75&lt;&gt;"", CD75&lt;&gt;""), "{}",""), CC75, CG75,"{SILVER}", CF75)</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75" s="1"/>
      <c r="CJ75" s="1"/>
    </row>
    <row r="76" customFormat="false" ht="13.8" hidden="false" customHeight="false" outlineLevel="0" collapsed="false">
      <c r="A76" s="1" t="s">
        <v>459</v>
      </c>
      <c r="B76" s="1" t="s">
        <v>460</v>
      </c>
      <c r="C76" s="1" t="n">
        <v>103</v>
      </c>
      <c r="E76" s="1" t="n">
        <v>1104</v>
      </c>
      <c r="F76" s="1" t="s">
        <v>89</v>
      </c>
      <c r="G76" s="1" t="s">
        <v>394</v>
      </c>
      <c r="H76" s="1" t="s">
        <v>446</v>
      </c>
      <c r="I76" s="1" t="s">
        <v>151</v>
      </c>
      <c r="J76" s="1" t="n">
        <v>1975</v>
      </c>
      <c r="W76" s="1" t="n">
        <v>34</v>
      </c>
      <c r="Y76" s="1" t="n">
        <v>3</v>
      </c>
      <c r="AA76" s="4" t="str">
        <f aca="false">IF(AND(W76&gt;0,Z76&gt;0),(Z76/((W76+X76)*10)),"")</f>
        <v/>
      </c>
      <c r="AB76" s="1" t="n">
        <v>125</v>
      </c>
      <c r="AC76" s="1" t="n">
        <f aca="false">ROUND(AB76*1.6, 0)</f>
        <v>200</v>
      </c>
      <c r="AF76" s="1" t="n">
        <v>23</v>
      </c>
      <c r="AG76" s="1" t="n">
        <v>23</v>
      </c>
      <c r="AH76" s="1" t="n">
        <v>2.82</v>
      </c>
      <c r="AI76" s="1" t="n">
        <v>3.79</v>
      </c>
      <c r="AJ76" s="5" t="n">
        <v>24</v>
      </c>
      <c r="AK76" s="1" t="str">
        <f aca="false">CONCATENATE(VLOOKUP(AL76, '[1]Voxel Sizes'!$A$2:$B$18,2,FALSE()),"x",INT(AH76*15), "x", INT(AI76*15))</f>
        <v>214x42x56</v>
      </c>
      <c r="AL76" s="1" t="n">
        <f aca="false">ROUND(15*((AG76*10)/256),0)</f>
        <v>13</v>
      </c>
      <c r="AN76" s="1" t="str">
        <f aca="false">CONCATENATE(VLOOKUP(AL76,Constants!$A$2:$C$16,IF(AM76&lt;&gt;"", 3, 2), FALSE()),IF(AM76&lt;&gt;"",CONCATENATE(",",VLOOKUP(AM76,$B:$AN,38,FALSE())),""))</f>
        <v>4,5,4</v>
      </c>
      <c r="AW76" s="1" t="s">
        <v>461</v>
      </c>
      <c r="AX76" s="1" t="n">
        <v>30</v>
      </c>
      <c r="AY76" s="6" t="str">
        <f aca="false">IF(L76&lt;&gt;"",MAX(16,(L76-J76)+8),"")</f>
        <v/>
      </c>
      <c r="AZ76" s="1" t="n">
        <v>1150</v>
      </c>
      <c r="BA76" s="1" t="n">
        <v>150</v>
      </c>
      <c r="BB76" s="1" t="n">
        <f aca="false">MIN(AB76/150, 1)*30</f>
        <v>25</v>
      </c>
      <c r="BC76" s="1" t="n">
        <f aca="false">MIN(N76/4000, 1)*20</f>
        <v>0</v>
      </c>
      <c r="BD76" s="1" t="n">
        <f aca="false">MIN(Z76/400,1)*20</f>
        <v>0</v>
      </c>
      <c r="BE76" s="4" t="n">
        <f aca="false">1-(MAX(J76-1900, 0)/750)</f>
        <v>0.9</v>
      </c>
      <c r="BF76" s="1" t="n">
        <f aca="false">((MAX($M76,1)*MIN($AJ76/300,1)))*IF(G76="Wagon",50,10)</f>
        <v>4</v>
      </c>
      <c r="BG76" s="1" t="n">
        <f aca="false">VLOOKUP($H76,Constants!$I:$K, 2, FALSE())</f>
        <v>1.2</v>
      </c>
      <c r="BH76" s="1" t="n">
        <f aca="false">VLOOKUP($H76,Constants!$I:$K, 3, FALSE())*IF(AND(G76="multiple_unit",AB76&lt;110),0.75,1)</f>
        <v>0.6</v>
      </c>
      <c r="BI76" s="1" t="n">
        <f aca="false">INT(POWER(((Constants!$G$2+$BB76+$BC76+$BD76+$BF76)*$BE76)*$BH76, 1.05))+$BA76</f>
        <v>171</v>
      </c>
      <c r="BJ76" s="1" t="n">
        <f aca="false">INT(POWER((((Constants!$G$1+$BB76+$BC76+$BD76+$BF76)*($BE76))*$BG76),IF($G76="wagon",1,1.2)))+$AZ76</f>
        <v>1197</v>
      </c>
      <c r="BK76" s="33" t="n">
        <f aca="false">BI76*IF($G76="wagon",62.5,781.25)</f>
        <v>10687.5</v>
      </c>
      <c r="BL76" s="33" t="n">
        <f aca="false">BJ76*IF($G76="wagon",2.73,81.25)</f>
        <v>3267.81</v>
      </c>
      <c r="BT76" s="1" t="n">
        <v>2</v>
      </c>
      <c r="BU76" s="1" t="n">
        <v>278</v>
      </c>
      <c r="BV76" s="1" t="s">
        <v>223</v>
      </c>
      <c r="BX76" s="1" t="s">
        <v>95</v>
      </c>
      <c r="BY76" s="1" t="str">
        <f aca="false">VLOOKUP(J76,Eras!$A$2:$C$10, 2, TRUE())</f>
        <v>lbr</v>
      </c>
      <c r="BZ76" s="28" t="s">
        <v>442</v>
      </c>
      <c r="CA76" s="1" t="str">
        <f aca="false">CONCATENATE(BY76,"_",BZ76)</f>
        <v>lbr_Carriage</v>
      </c>
      <c r="CB76" s="1" t="str">
        <f aca="false">_xlfn.CONCAT(H76, "_",I76)</f>
        <v>carriage_RAIL</v>
      </c>
      <c r="CC76" s="32" t="str">
        <f aca="false" t="array" ref="CC76:CC76">_xlfn.CONCAT("{BLACK}Length: {GOLD}", TEXT(ROUNDUP(IF(AQ76&lt;&gt;"",SUM(VALUE(_xlfn.TEXTSPLIT(AQ76, ","))), SUM(VALUE(_xlfn.TEXTSPLIT(AN76, ",")))*IF(M76, M76, 1))/16, 1), "#,##0.0"), " tiles{}")</f>
        <v>{BLACK}Length: {GOLD}0.9 tiles{}</v>
      </c>
      <c r="CD76" s="1" t="str">
        <f aca="false">VLOOKUP($CB76, Constants!$M:$N, 2, FALSE())</f>
        <v/>
      </c>
      <c r="CE76" s="1" t="str">
        <f aca="false">IF(M76&gt;1,_xlfn.CONCAT("{BLACK}Cars: {GOLD}", M76),"")</f>
        <v/>
      </c>
      <c r="CF76" s="1" t="s">
        <v>462</v>
      </c>
      <c r="CG76" s="1" t="str">
        <f aca="false">IF(BW76="buffet","{YELLOW}25% long distance bonus for consist{}",IF(BY76="BRAKE","{YELLOW}Speed bonus for slow wagons{}",IF(BU76&gt;190,CONCATENATE("{YELLOW}",INT((BU76-185)/1.85),"% bonus for long distance travel{}"),IF(AND(BU76&lt;180,BU76&lt;&gt;0),CONCATENATE("{YELLOW}",INT((185-BU76)/1.85),"% penalty for long distance travel{}"),""))))</f>
        <v>{YELLOW}50% bonus for long distance travel{}</v>
      </c>
      <c r="CH76" s="1" t="str">
        <f aca="false">_xlfn.CONCAT(CD76,IF(CD76 &lt;&gt; "", " ", ""),CE76,IF(OR(CE76&lt;&gt;"", CD76&lt;&gt;""), "{}",""), CC76, CG76,"{SILVER}", CF76)</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76" s="1"/>
      <c r="CJ76" s="1"/>
    </row>
    <row r="77" customFormat="false" ht="13.8" hidden="false" customHeight="false" outlineLevel="0" collapsed="false">
      <c r="A77" s="1" t="s">
        <v>463</v>
      </c>
      <c r="B77" s="1" t="s">
        <v>464</v>
      </c>
      <c r="C77" s="1" t="n">
        <v>120</v>
      </c>
      <c r="D77" s="1" t="n">
        <v>121</v>
      </c>
      <c r="E77" s="1" t="n">
        <v>1108</v>
      </c>
      <c r="F77" s="1" t="s">
        <v>89</v>
      </c>
      <c r="G77" s="1" t="s">
        <v>269</v>
      </c>
      <c r="H77" s="1" t="s">
        <v>441</v>
      </c>
      <c r="I77" s="1" t="s">
        <v>151</v>
      </c>
      <c r="J77" s="1" t="n">
        <v>1997</v>
      </c>
      <c r="M77" s="1" t="n">
        <v>7</v>
      </c>
      <c r="W77" s="1" t="n">
        <v>363.4</v>
      </c>
      <c r="Y77" s="1" t="n">
        <v>3</v>
      </c>
      <c r="AA77" s="4" t="str">
        <f aca="false">IF(AND(W77&gt;0,Z77&gt;0),(Z77/((W77+X77)*10)),"")</f>
        <v/>
      </c>
      <c r="AB77" s="1" t="n">
        <v>125</v>
      </c>
      <c r="AC77" s="1" t="n">
        <f aca="false">ROUND(AB77*1.6, 0)</f>
        <v>200</v>
      </c>
      <c r="AF77" s="1" t="n">
        <v>23</v>
      </c>
      <c r="AG77" s="1" t="n">
        <v>23</v>
      </c>
      <c r="AH77" s="1" t="n">
        <v>2.82</v>
      </c>
      <c r="AI77" s="1" t="n">
        <v>3.79</v>
      </c>
      <c r="AJ77" s="5" t="n">
        <v>25</v>
      </c>
      <c r="AK77" s="1" t="str">
        <f aca="false">CONCATENATE(VLOOKUP(AL77, '[1]Voxel Sizes'!$A$2:$B$18,2,FALSE()),"x",INT(AH77*15), "x", INT(AI77*15))</f>
        <v>214x42x56</v>
      </c>
      <c r="AL77" s="1" t="n">
        <f aca="false">ROUND(15*((AG77*10)/256),0)</f>
        <v>13</v>
      </c>
      <c r="AN77" s="1" t="str">
        <f aca="false">CONCATENATE(VLOOKUP(AL77,Constants!$A$2:$C$16,IF(AM77&lt;&gt;"", 3, 2), FALSE()),IF(AM77&lt;&gt;"",CONCATENATE(",",VLOOKUP(AM77,$B:$AN,38,FALSE())),""))</f>
        <v>4,5,4</v>
      </c>
      <c r="AR77" s="1" t="s">
        <v>465</v>
      </c>
      <c r="AT77" s="1" t="s">
        <v>466</v>
      </c>
      <c r="AU77" s="1" t="s">
        <v>467</v>
      </c>
      <c r="AX77" s="1" t="n">
        <v>30</v>
      </c>
      <c r="AY77" s="6" t="str">
        <f aca="false">IF(L77&lt;&gt;"",MAX(16,(L77-J77)+8),"")</f>
        <v/>
      </c>
      <c r="AZ77" s="1" t="n">
        <v>170</v>
      </c>
      <c r="BA77" s="1" t="n">
        <v>80</v>
      </c>
      <c r="BB77" s="1" t="n">
        <f aca="false">MIN(AB77/150, 1)*30</f>
        <v>25</v>
      </c>
      <c r="BC77" s="1" t="n">
        <f aca="false">MIN(N77/4000, 1)*20</f>
        <v>0</v>
      </c>
      <c r="BD77" s="1" t="n">
        <f aca="false">MIN(Z77/400,1)*20</f>
        <v>0</v>
      </c>
      <c r="BE77" s="4" t="n">
        <f aca="false">1-(MAX(J77-1900, 0)/750)</f>
        <v>0.870666666666667</v>
      </c>
      <c r="BF77" s="1" t="n">
        <f aca="false">((MAX($M77,1)*MIN($AJ77/300,1)))*IF(G77="Wagon",50,10)</f>
        <v>5.83333333333333</v>
      </c>
      <c r="BG77" s="1" t="n">
        <f aca="false">VLOOKUP($H77,Constants!$I:$K, 2, FALSE())</f>
        <v>1.5</v>
      </c>
      <c r="BH77" s="1" t="n">
        <f aca="false">VLOOKUP($H77,Constants!$I:$K, 3, FALSE())*IF(AND(G77="multiple_unit",AB77&lt;110),0.75,1)</f>
        <v>0.7</v>
      </c>
      <c r="BI77" s="1" t="n">
        <f aca="false">INT(POWER(((Constants!$G$2+$BB77+$BC77+$BD77+$BF77)*$BE77)*$BH77, 1.05))+$BA77</f>
        <v>105</v>
      </c>
      <c r="BJ77" s="1" t="n">
        <f aca="false">INT(POWER((((Constants!$G$1+$BB77+$BC77+$BD77+$BF77)*($BE77))*$BG77),IF($G77="wagon",1,1.2)))+$AZ77</f>
        <v>305</v>
      </c>
      <c r="BK77" s="33" t="n">
        <f aca="false">BI77*IF($G77="wagon",62.5,781.25)</f>
        <v>82031.25</v>
      </c>
      <c r="BL77" s="33" t="n">
        <f aca="false">BJ77*IF($G77="wagon",2.73,81.25)</f>
        <v>24781.25</v>
      </c>
      <c r="BT77" s="1" t="n">
        <v>2</v>
      </c>
      <c r="BU77" s="1" t="n">
        <v>185</v>
      </c>
      <c r="BV77" s="1" t="s">
        <v>223</v>
      </c>
      <c r="BW77" s="1" t="s">
        <v>468</v>
      </c>
      <c r="BX77" s="1" t="s">
        <v>95</v>
      </c>
      <c r="BY77" s="1" t="str">
        <f aca="false">VLOOKUP(J77,Eras!$A$2:$C$10, 2, TRUE())</f>
        <v>prv</v>
      </c>
      <c r="BZ77" s="28" t="s">
        <v>442</v>
      </c>
      <c r="CA77" s="1" t="str">
        <f aca="false">CONCATENATE(BY77,"_",BZ77)</f>
        <v>prv_Carriage</v>
      </c>
      <c r="CB77" s="1" t="str">
        <f aca="false">_xlfn.CONCAT(H77, "_",I77)</f>
        <v>luxury_carriage_RAIL</v>
      </c>
      <c r="CC77" s="32" t="str">
        <f aca="false" t="array" ref="CC77:CC77">_xlfn.CONCAT("{BLACK}Length: {GOLD}", TEXT(ROUNDUP(IF(AQ77&lt;&gt;"",SUM(VALUE(_xlfn.TEXTSPLIT(AQ77, ","))), SUM(VALUE(_xlfn.TEXTSPLIT(AN77, ",")))*IF(M77, M77, 1))/16, 1), "#,##0.0"), " tiles{}")</f>
        <v>{BLACK}Length: {GOLD}5.7 tiles{}</v>
      </c>
      <c r="CD77" s="1" t="str">
        <f aca="false">VLOOKUP($CB77, Constants!$M:$N, 2, FALSE())</f>
        <v/>
      </c>
      <c r="CE77" s="1" t="str">
        <f aca="false">IF(M77&gt;1,_xlfn.CONCAT("{BLACK}Cars: {GOLD}", M77),"")</f>
        <v>{BLACK}Cars: {GOLD}7</v>
      </c>
      <c r="CF77" s="1" t="s">
        <v>469</v>
      </c>
      <c r="CG77" s="28" t="s">
        <v>470</v>
      </c>
      <c r="CH77" s="1" t="str">
        <f aca="false">_xlfn.CONCAT(CD77,IF(CD77 &lt;&gt; "", " ", ""),CE77,IF(OR(CE77&lt;&gt;"", CD77&lt;&gt;""), "{}",""), CC77, CG77,"{SILVER}", CF77)</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77" s="1"/>
      <c r="CJ77" s="1"/>
    </row>
    <row r="78" customFormat="false" ht="13.8" hidden="false" customHeight="false" outlineLevel="0" collapsed="false">
      <c r="A78" s="1" t="s">
        <v>471</v>
      </c>
      <c r="B78" s="1" t="s">
        <v>472</v>
      </c>
      <c r="C78" s="1" t="n">
        <v>121</v>
      </c>
      <c r="E78" s="1" t="n">
        <v>1109</v>
      </c>
      <c r="F78" s="1" t="s">
        <v>89</v>
      </c>
      <c r="G78" s="1" t="s">
        <v>269</v>
      </c>
      <c r="H78" s="1" t="s">
        <v>441</v>
      </c>
      <c r="I78" s="1" t="s">
        <v>151</v>
      </c>
      <c r="J78" s="1" t="n">
        <v>1997</v>
      </c>
      <c r="M78" s="1" t="n">
        <v>8</v>
      </c>
      <c r="W78" s="1" t="n">
        <v>419.8</v>
      </c>
      <c r="Y78" s="1" t="n">
        <v>3</v>
      </c>
      <c r="AA78" s="4" t="str">
        <f aca="false">IF(AND(W78&gt;0,Z78&gt;0),(Z78/((W78+X78)*10)),"")</f>
        <v/>
      </c>
      <c r="AB78" s="1" t="n">
        <v>125</v>
      </c>
      <c r="AC78" s="1" t="n">
        <f aca="false">ROUND(AB78*1.6, 0)</f>
        <v>200</v>
      </c>
      <c r="AF78" s="1" t="n">
        <v>23</v>
      </c>
      <c r="AG78" s="1" t="n">
        <v>23</v>
      </c>
      <c r="AH78" s="1" t="n">
        <v>2.82</v>
      </c>
      <c r="AI78" s="1" t="n">
        <v>3.79</v>
      </c>
      <c r="AJ78" s="5" t="n">
        <v>25</v>
      </c>
      <c r="AK78" s="1" t="str">
        <f aca="false">CONCATENATE(VLOOKUP(AL78, '[1]Voxel Sizes'!$A$2:$B$18,2,FALSE()),"x",INT(AH78*15), "x", INT(AI78*15))</f>
        <v>214x42x56</v>
      </c>
      <c r="AL78" s="1" t="n">
        <f aca="false">ROUND(15*((AG78*10)/256),0)</f>
        <v>13</v>
      </c>
      <c r="AN78" s="1" t="str">
        <f aca="false">CONCATENATE(VLOOKUP(AL78,Constants!$A$2:$C$16,IF(AM78&lt;&gt;"", 3, 2), FALSE()),IF(AM78&lt;&gt;"",CONCATENATE(",",VLOOKUP(AM78,$B:$AN,38,FALSE())),""))</f>
        <v>4,5,4</v>
      </c>
      <c r="AR78" s="18" t="s">
        <v>473</v>
      </c>
      <c r="AT78" s="1" t="s">
        <v>474</v>
      </c>
      <c r="AU78" s="1" t="s">
        <v>467</v>
      </c>
      <c r="AX78" s="1" t="n">
        <v>30</v>
      </c>
      <c r="AY78" s="6" t="str">
        <f aca="false">IF(L78&lt;&gt;"",MAX(16,(L78-J78)+8),"")</f>
        <v/>
      </c>
      <c r="AZ78" s="1" t="n">
        <v>180</v>
      </c>
      <c r="BA78" s="1" t="n">
        <v>90</v>
      </c>
      <c r="BB78" s="1" t="n">
        <f aca="false">MIN(AB78/150, 1)*30</f>
        <v>25</v>
      </c>
      <c r="BC78" s="1" t="n">
        <f aca="false">MIN(N78/4000, 1)*20</f>
        <v>0</v>
      </c>
      <c r="BD78" s="1" t="n">
        <f aca="false">MIN(Z78/400,1)*20</f>
        <v>0</v>
      </c>
      <c r="BE78" s="4" t="n">
        <f aca="false">1-(MAX(J78-1900, 0)/750)</f>
        <v>0.870666666666667</v>
      </c>
      <c r="BF78" s="1" t="n">
        <f aca="false">((MAX($M78,1)*MIN($AJ78/300,1)))*IF(G78="Wagon",50,10)</f>
        <v>6.66666666666667</v>
      </c>
      <c r="BG78" s="1" t="n">
        <f aca="false">VLOOKUP($H78,Constants!$I:$K, 2, FALSE())</f>
        <v>1.5</v>
      </c>
      <c r="BH78" s="1" t="n">
        <f aca="false">VLOOKUP($H78,Constants!$I:$K, 3, FALSE())*IF(AND(G78="multiple_unit",AB78&lt;110),0.75,1)</f>
        <v>0.7</v>
      </c>
      <c r="BI78" s="1" t="n">
        <f aca="false">INT(POWER(((Constants!$G$2+$BB78+$BC78+$BD78+$BF78)*$BE78)*$BH78, 1.05))+$BA78</f>
        <v>116</v>
      </c>
      <c r="BJ78" s="1" t="n">
        <f aca="false">INT(POWER((((Constants!$G$1+$BB78+$BC78+$BD78+$BF78)*($BE78))*$BG78),IF($G78="wagon",1,1.2)))+$AZ78</f>
        <v>318</v>
      </c>
      <c r="BK78" s="33" t="n">
        <f aca="false">BI78*IF($G78="wagon",62.5,781.25)</f>
        <v>90625</v>
      </c>
      <c r="BL78" s="33" t="n">
        <f aca="false">BJ78*IF($G78="wagon",2.73,81.25)</f>
        <v>25837.5</v>
      </c>
      <c r="BT78" s="1" t="n">
        <v>2</v>
      </c>
      <c r="BU78" s="1" t="n">
        <v>185</v>
      </c>
      <c r="BV78" s="1" t="s">
        <v>223</v>
      </c>
      <c r="BW78" s="1" t="s">
        <v>468</v>
      </c>
      <c r="BX78" s="1" t="s">
        <v>95</v>
      </c>
      <c r="BY78" s="1" t="str">
        <f aca="false">VLOOKUP(J78,Eras!$A$2:$C$10, 2, TRUE())</f>
        <v>prv</v>
      </c>
      <c r="BZ78" s="28" t="s">
        <v>442</v>
      </c>
      <c r="CA78" s="1" t="str">
        <f aca="false">CONCATENATE(BY78,"_",BZ78)</f>
        <v>prv_Carriage</v>
      </c>
      <c r="CB78" s="1" t="str">
        <f aca="false">_xlfn.CONCAT(H78, "_",I78)</f>
        <v>luxury_carriage_RAIL</v>
      </c>
      <c r="CC78" s="32" t="str">
        <f aca="false" t="array" ref="CC78:CC78">_xlfn.CONCAT("{BLACK}Length: {GOLD}", TEXT(ROUNDUP(IF(AQ78&lt;&gt;"",SUM(VALUE(_xlfn.TEXTSPLIT(AQ78, ","))), SUM(VALUE(_xlfn.TEXTSPLIT(AN78, ",")))*IF(M78, M78, 1))/16, 1), "#,##0.0"), " tiles{}")</f>
        <v>{BLACK}Length: {GOLD}6.5 tiles{}</v>
      </c>
      <c r="CD78" s="1" t="str">
        <f aca="false">VLOOKUP($CB78, Constants!$M:$N, 2, FALSE())</f>
        <v/>
      </c>
      <c r="CE78" s="1" t="str">
        <f aca="false">IF(M78&gt;1,_xlfn.CONCAT("{BLACK}Cars: {GOLD}", M78),"")</f>
        <v>{BLACK}Cars: {GOLD}8</v>
      </c>
      <c r="CF78" s="1" t="s">
        <v>475</v>
      </c>
      <c r="CG78" s="28" t="s">
        <v>470</v>
      </c>
      <c r="CH78" s="1" t="str">
        <f aca="false">_xlfn.CONCAT(CD78,IF(CD78 &lt;&gt; "", " ", ""),CE78,IF(OR(CE78&lt;&gt;"", CD78&lt;&gt;""), "{}",""), CC78, CG78,"{SILVER}", CF78)</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78" s="1"/>
      <c r="CJ78" s="1"/>
    </row>
    <row r="79" customFormat="false" ht="13.8" hidden="false" customHeight="false" outlineLevel="0" collapsed="false">
      <c r="A79" s="1" t="s">
        <v>476</v>
      </c>
      <c r="B79" s="1" t="s">
        <v>477</v>
      </c>
      <c r="C79" s="1" t="n">
        <v>122</v>
      </c>
      <c r="D79" s="1" t="n">
        <v>121</v>
      </c>
      <c r="E79" s="1" t="n">
        <v>1110</v>
      </c>
      <c r="F79" s="1" t="s">
        <v>89</v>
      </c>
      <c r="G79" s="1" t="s">
        <v>394</v>
      </c>
      <c r="H79" s="1" t="s">
        <v>478</v>
      </c>
      <c r="I79" s="1" t="s">
        <v>151</v>
      </c>
      <c r="J79" s="1" t="n">
        <v>1997</v>
      </c>
      <c r="W79" s="1" t="n">
        <v>46.1</v>
      </c>
      <c r="Y79" s="1" t="n">
        <v>3</v>
      </c>
      <c r="AA79" s="4" t="str">
        <f aca="false">IF(AND(W79&gt;0,Z79&gt;0),(Z79/((W79+X79)*10)),"")</f>
        <v/>
      </c>
      <c r="AB79" s="1" t="n">
        <v>125</v>
      </c>
      <c r="AC79" s="1" t="n">
        <f aca="false">ROUND(AB79*1.6, 0)</f>
        <v>200</v>
      </c>
      <c r="AF79" s="1" t="n">
        <v>23</v>
      </c>
      <c r="AG79" s="1" t="n">
        <v>23</v>
      </c>
      <c r="AH79" s="1" t="n">
        <v>2.82</v>
      </c>
      <c r="AI79" s="1" t="n">
        <v>3.79</v>
      </c>
      <c r="AJ79" s="5" t="n">
        <v>0</v>
      </c>
      <c r="AK79" s="1" t="str">
        <f aca="false">CONCATENATE(VLOOKUP(AL79, '[1]Voxel Sizes'!$A$2:$B$18,2,FALSE()),"x",INT(AH79*15), "x", INT(AI79*15))</f>
        <v>214x42x56</v>
      </c>
      <c r="AL79" s="1" t="n">
        <f aca="false">ROUND(15*((AG79*10)/256),0)</f>
        <v>13</v>
      </c>
      <c r="AN79" s="1" t="str">
        <f aca="false">CONCATENATE(VLOOKUP(AL79,Constants!$A$2:$C$16,IF(AM79&lt;&gt;"", 3, 2), FALSE()),IF(AM79&lt;&gt;"",CONCATENATE(",",VLOOKUP(AM79,$B:$AN,38,FALSE())),""))</f>
        <v>4,5,4</v>
      </c>
      <c r="AX79" s="1" t="n">
        <v>30</v>
      </c>
      <c r="AY79" s="6" t="str">
        <f aca="false">IF(L79&lt;&gt;"",MAX(16,(L79-J79)+8),"")</f>
        <v/>
      </c>
      <c r="AZ79" s="1" t="n">
        <v>1250</v>
      </c>
      <c r="BA79" s="1" t="n">
        <v>150</v>
      </c>
      <c r="BB79" s="1" t="n">
        <f aca="false">MIN(AB79/150, 1)*30</f>
        <v>25</v>
      </c>
      <c r="BC79" s="1" t="n">
        <f aca="false">MIN(N79/4000, 1)*20</f>
        <v>0</v>
      </c>
      <c r="BD79" s="1" t="n">
        <f aca="false">MIN(Z79/400,1)*20</f>
        <v>0</v>
      </c>
      <c r="BE79" s="4" t="n">
        <f aca="false">1-(MAX(J79-1900, 0)/750)</f>
        <v>0.870666666666667</v>
      </c>
      <c r="BF79" s="1" t="n">
        <f aca="false">((MAX($M79,1)*MIN($AJ79/300,1)))*IF(G79="Wagon",50,10)</f>
        <v>0</v>
      </c>
      <c r="BG79" s="1" t="n">
        <f aca="false">VLOOKUP($H79,Constants!$I:$K, 2, FALSE())</f>
        <v>1</v>
      </c>
      <c r="BH79" s="1" t="n">
        <f aca="false">VLOOKUP($H79,Constants!$I:$K, 3, FALSE())*IF(AND(G79="multiple_unit",AB79&lt;110),0.75,1)</f>
        <v>2</v>
      </c>
      <c r="BI79" s="1" t="n">
        <f aca="false">INT(POWER(((Constants!$G$2+$BB79+$BC79+$BD79+$BF79)*$BE79)*$BH79, 1.05))+$BA79</f>
        <v>213</v>
      </c>
      <c r="BJ79" s="1" t="n">
        <f aca="false">INT(POWER((((Constants!$G$1+$BB79+$BC79+$BD79+$BF79)*($BE79))*$BG79),IF($G79="wagon",1,1.2)))+$AZ79</f>
        <v>1284</v>
      </c>
      <c r="BK79" s="33" t="n">
        <f aca="false">BI79*IF($G79="wagon",62.5,781.25)</f>
        <v>13312.5</v>
      </c>
      <c r="BL79" s="33" t="n">
        <f aca="false">BJ79*IF($G79="wagon",2.73,81.25)</f>
        <v>3505.32</v>
      </c>
      <c r="BT79" s="1" t="n">
        <v>2</v>
      </c>
      <c r="BU79" s="1" t="n">
        <v>185</v>
      </c>
      <c r="BV79" s="1" t="s">
        <v>223</v>
      </c>
      <c r="BW79" s="1" t="s">
        <v>478</v>
      </c>
      <c r="BX79" s="1" t="s">
        <v>95</v>
      </c>
      <c r="BY79" s="1" t="str">
        <f aca="false">VLOOKUP(J79,Eras!$A$2:$C$10, 2, TRUE())</f>
        <v>prv</v>
      </c>
      <c r="BZ79" s="28" t="s">
        <v>442</v>
      </c>
      <c r="CA79" s="1" t="str">
        <f aca="false">CONCATENATE(BY79,"_",BZ79)</f>
        <v>prv_Carriage</v>
      </c>
      <c r="CB79" s="1" t="str">
        <f aca="false">_xlfn.CONCAT(H79, "_",I79)</f>
        <v>generator_car_RAIL</v>
      </c>
      <c r="CC79" s="32" t="str">
        <f aca="false" t="array" ref="CC79:CC79">_xlfn.CONCAT("{BLACK}Length: {GOLD}", TEXT(ROUNDUP(IF(AQ79&lt;&gt;"",SUM(VALUE(_xlfn.TEXTSPLIT(AQ79, ","))), SUM(VALUE(_xlfn.TEXTSPLIT(AN79, ",")))*IF(M79, M79, 1))/16, 1), "#,##0.0"), " tiles{}")</f>
        <v>{BLACK}Length: {GOLD}0.9 tiles{}</v>
      </c>
      <c r="CD79" s="1" t="str">
        <f aca="false">VLOOKUP($CB79, Constants!$M:$N, 2, FALSE())</f>
        <v>{BLACK}Powered by: {GOLD}Diesel</v>
      </c>
      <c r="CE79" s="1" t="str">
        <f aca="false">IF(M79&gt;1,_xlfn.CONCAT("{BLACK}Cars: {GOLD}", M79),"")</f>
        <v/>
      </c>
      <c r="CF79" s="1" t="s">
        <v>479</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
      </c>
      <c r="CH79" s="1" t="str">
        <f aca="false">_xlfn.CONCAT(CD79,IF(CD79 &lt;&gt; "", " ", ""),CE79,IF(OR(CE79&lt;&gt;"", CD79&lt;&gt;""), "{}",""), CC79, CG79,"{SILVER}", CF79)</f>
        <v>{BLACK}Powered by: {GOLD}Diesel {}{BLACK}Length: {GOLD}0.9 tiles{}{SILVER}The Nightstar rolling stock was so power-hungry that a number of Mk3 Sleepers were converted with 450 kVA generator sets for use when away from electrified areas.</v>
      </c>
      <c r="CI79" s="1"/>
      <c r="CJ79" s="1"/>
    </row>
    <row r="80" customFormat="false" ht="13.8" hidden="false" customHeight="false" outlineLevel="0" collapsed="false">
      <c r="A80" s="1" t="s">
        <v>480</v>
      </c>
      <c r="B80" s="1" t="s">
        <v>481</v>
      </c>
      <c r="C80" s="1" t="n">
        <v>123</v>
      </c>
      <c r="D80" s="1" t="n">
        <v>121</v>
      </c>
      <c r="E80" s="1" t="n">
        <v>1111</v>
      </c>
      <c r="F80" s="1" t="s">
        <v>89</v>
      </c>
      <c r="G80" s="1" t="s">
        <v>394</v>
      </c>
      <c r="H80" s="1" t="s">
        <v>478</v>
      </c>
      <c r="I80" s="1" t="s">
        <v>151</v>
      </c>
      <c r="J80" s="1" t="n">
        <v>1997</v>
      </c>
      <c r="W80" s="1" t="n">
        <v>46.1</v>
      </c>
      <c r="Y80" s="1" t="n">
        <v>3</v>
      </c>
      <c r="AA80" s="4" t="str">
        <f aca="false">IF(AND(W80&gt;0,Z80&gt;0),(Z80/((W80+X80)*10)),"")</f>
        <v/>
      </c>
      <c r="AB80" s="1" t="n">
        <v>125</v>
      </c>
      <c r="AC80" s="1" t="n">
        <f aca="false">ROUND(AB80*1.6, 0)</f>
        <v>200</v>
      </c>
      <c r="AF80" s="1" t="n">
        <v>23</v>
      </c>
      <c r="AG80" s="1" t="n">
        <v>23</v>
      </c>
      <c r="AH80" s="1" t="n">
        <v>2.82</v>
      </c>
      <c r="AI80" s="1" t="n">
        <v>3.79</v>
      </c>
      <c r="AJ80" s="5" t="n">
        <v>0</v>
      </c>
      <c r="AK80" s="1" t="str">
        <f aca="false">CONCATENATE(VLOOKUP(AL80, '[1]Voxel Sizes'!$A$2:$B$18,2,FALSE()),"x",INT(AH80*15), "x", INT(AI80*15))</f>
        <v>214x42x56</v>
      </c>
      <c r="AL80" s="1" t="n">
        <f aca="false">ROUND(15*((AG80*10)/256),0)</f>
        <v>13</v>
      </c>
      <c r="AN80" s="1" t="str">
        <f aca="false">CONCATENATE(VLOOKUP(AL80,Constants!$A$2:$C$16,IF(AM80&lt;&gt;"", 3, 2), FALSE()),IF(AM80&lt;&gt;"",CONCATENATE(",",VLOOKUP(AM80,$B:$AN,38,FALSE())),""))</f>
        <v>4,5,4</v>
      </c>
      <c r="AX80" s="1" t="n">
        <v>30</v>
      </c>
      <c r="AY80" s="6" t="str">
        <f aca="false">IF(L80&lt;&gt;"",MAX(16,(L80-J80)+8),"")</f>
        <v/>
      </c>
      <c r="AZ80" s="1" t="n">
        <v>1250</v>
      </c>
      <c r="BA80" s="1" t="n">
        <v>150</v>
      </c>
      <c r="BB80" s="1" t="n">
        <f aca="false">MIN(AB80/150, 1)*30</f>
        <v>25</v>
      </c>
      <c r="BC80" s="1" t="n">
        <f aca="false">MIN(N80/4000, 1)*20</f>
        <v>0</v>
      </c>
      <c r="BD80" s="1" t="n">
        <f aca="false">MIN(Z80/400,1)*20</f>
        <v>0</v>
      </c>
      <c r="BE80" s="4" t="n">
        <f aca="false">1-(MAX(J80-1900, 0)/750)</f>
        <v>0.870666666666667</v>
      </c>
      <c r="BF80" s="1" t="n">
        <f aca="false">((MAX($M80,1)*MIN($AJ80/300,1)))*IF(G80="Wagon",50,10)</f>
        <v>0</v>
      </c>
      <c r="BG80" s="1" t="n">
        <f aca="false">VLOOKUP($H80,Constants!$I:$K, 2, FALSE())</f>
        <v>1</v>
      </c>
      <c r="BH80" s="1" t="n">
        <f aca="false">VLOOKUP($H80,Constants!$I:$K, 3, FALSE())*IF(AND(G80="multiple_unit",AB80&lt;110),0.75,1)</f>
        <v>2</v>
      </c>
      <c r="BI80" s="1" t="n">
        <f aca="false">INT(POWER(((Constants!$G$2+$BB80+$BC80+$BD80+$BF80)*$BE80)*$BH80, 1.05))+$BA80</f>
        <v>213</v>
      </c>
      <c r="BJ80" s="1" t="n">
        <f aca="false">INT(POWER((((Constants!$G$1+$BB80+$BC80+$BD80+$BF80)*($BE80))*$BG80),IF($G80="wagon",1,1.2)))+$AZ80</f>
        <v>1284</v>
      </c>
      <c r="BK80" s="33" t="n">
        <f aca="false">BI80*IF($G80="wagon",62.5,781.25)</f>
        <v>13312.5</v>
      </c>
      <c r="BL80" s="33" t="n">
        <f aca="false">BJ80*IF($G80="wagon",2.73,81.25)</f>
        <v>3505.32</v>
      </c>
      <c r="BT80" s="1" t="n">
        <v>2</v>
      </c>
      <c r="BU80" s="1" t="n">
        <v>185</v>
      </c>
      <c r="BV80" s="1" t="s">
        <v>223</v>
      </c>
      <c r="BW80" s="1" t="s">
        <v>478</v>
      </c>
      <c r="BX80" s="1" t="s">
        <v>95</v>
      </c>
      <c r="BY80" s="1" t="str">
        <f aca="false">VLOOKUP(J80,Eras!$A$2:$C$10, 2, TRUE())</f>
        <v>prv</v>
      </c>
      <c r="BZ80" s="28" t="s">
        <v>442</v>
      </c>
      <c r="CA80" s="1" t="str">
        <f aca="false">CONCATENATE(BY80,"_",BZ80)</f>
        <v>prv_Carriage</v>
      </c>
      <c r="CB80" s="1" t="str">
        <f aca="false">_xlfn.CONCAT(H80, "_",I80)</f>
        <v>generator_car_RAIL</v>
      </c>
      <c r="CC80" s="32" t="str">
        <f aca="false" t="array" ref="CC80:CC80">_xlfn.CONCAT("{BLACK}Length: {GOLD}", TEXT(ROUNDUP(IF(AQ80&lt;&gt;"",SUM(VALUE(_xlfn.TEXTSPLIT(AQ80, ","))), SUM(VALUE(_xlfn.TEXTSPLIT(AN80, ",")))*IF(M80, M80, 1))/16, 1), "#,##0.0"), " tiles{}")</f>
        <v>{BLACK}Length: {GOLD}0.9 tiles{}</v>
      </c>
      <c r="CD80" s="1" t="str">
        <f aca="false">VLOOKUP($CB80, Constants!$M:$N, 2, FALSE())</f>
        <v>{BLACK}Powered by: {GOLD}Diesel</v>
      </c>
      <c r="CE80" s="1" t="str">
        <f aca="false">IF(M80&gt;1,_xlfn.CONCAT("{BLACK}Cars: {GOLD}", M80),"")</f>
        <v/>
      </c>
      <c r="CF80" s="1" t="s">
        <v>479</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
      </c>
      <c r="CH80" s="1" t="str">
        <f aca="false">_xlfn.CONCAT(CD80,IF(CD80 &lt;&gt; "", " ", ""),CE80,IF(OR(CE80&lt;&gt;"", CD80&lt;&gt;""), "{}",""), CC80, CG80,"{SILVER}", CF80)</f>
        <v>{BLACK}Powered by: {GOLD}Diesel {}{BLACK}Length: {GOLD}0.9 tiles{}{SILVER}The Nightstar rolling stock was so power-hungry that a number of Mk3 Sleepers were converted with 450 kVA generator sets for use when away from electrified areas.</v>
      </c>
      <c r="CI80" s="1"/>
      <c r="CJ80" s="1"/>
    </row>
    <row r="81" customFormat="false" ht="13.8" hidden="false" customHeight="false" outlineLevel="0" collapsed="false">
      <c r="A81" s="1" t="s">
        <v>482</v>
      </c>
      <c r="B81" s="1" t="s">
        <v>483</v>
      </c>
      <c r="C81" s="1" t="n">
        <v>105</v>
      </c>
      <c r="E81" s="1" t="n">
        <v>1112</v>
      </c>
      <c r="F81" s="1" t="s">
        <v>89</v>
      </c>
      <c r="G81" s="1" t="s">
        <v>394</v>
      </c>
      <c r="H81" s="1" t="s">
        <v>446</v>
      </c>
      <c r="I81" s="1" t="s">
        <v>151</v>
      </c>
      <c r="J81" s="1" t="n">
        <v>2018</v>
      </c>
      <c r="W81" s="1" t="n">
        <v>43</v>
      </c>
      <c r="Y81" s="1" t="n">
        <v>3</v>
      </c>
      <c r="AA81" s="4" t="str">
        <f aca="false">IF(AND(W81&gt;0,Z81&gt;0),(Z81/((W81+X81)*10)),"")</f>
        <v/>
      </c>
      <c r="AB81" s="1" t="n">
        <v>125</v>
      </c>
      <c r="AC81" s="1" t="n">
        <f aca="false">ROUND(AB81*1.6, 0)</f>
        <v>200</v>
      </c>
      <c r="AF81" s="1" t="n">
        <v>22.2</v>
      </c>
      <c r="AG81" s="1" t="n">
        <v>22</v>
      </c>
      <c r="AH81" s="1" t="n">
        <v>2.75</v>
      </c>
      <c r="AI81" s="1" t="n">
        <v>3.79</v>
      </c>
      <c r="AJ81" s="5" t="n">
        <v>10</v>
      </c>
      <c r="AK81" s="1" t="str">
        <f aca="false">CONCATENATE(VLOOKUP(AL81, '[1]Voxel Sizes'!$A$2:$B$18,2,FALSE()),"x",INT(AH81*15), "x", INT(AI81*15))</f>
        <v>214x41x56</v>
      </c>
      <c r="AL81" s="1" t="n">
        <f aca="false">ROUND(15*((AG81*10)/256),0)</f>
        <v>13</v>
      </c>
      <c r="AN81" s="1" t="str">
        <f aca="false">CONCATENATE(VLOOKUP(AL81,Constants!$A$2:$C$16,IF(AM81&lt;&gt;"", 3, 2), FALSE()),IF(AM81&lt;&gt;"",CONCATENATE(",",VLOOKUP(AM81,$B:$AN,38,FALSE())),""))</f>
        <v>4,5,4</v>
      </c>
      <c r="AW81" s="1" t="s">
        <v>484</v>
      </c>
      <c r="AX81" s="1" t="n">
        <v>30</v>
      </c>
      <c r="AY81" s="6" t="str">
        <f aca="false">IF(L81&lt;&gt;"",MAX(16,(L81-J81)+8),"")</f>
        <v/>
      </c>
      <c r="AZ81" s="1" t="n">
        <v>1150</v>
      </c>
      <c r="BA81" s="1" t="n">
        <v>150</v>
      </c>
      <c r="BB81" s="1" t="n">
        <f aca="false">MIN(AB81/150, 1)*30</f>
        <v>25</v>
      </c>
      <c r="BC81" s="1" t="n">
        <f aca="false">MIN(N81/4000, 1)*20</f>
        <v>0</v>
      </c>
      <c r="BD81" s="1" t="n">
        <f aca="false">MIN(Z81/400,1)*20</f>
        <v>0</v>
      </c>
      <c r="BE81" s="4" t="n">
        <f aca="false">1-(MAX(J81-1900, 0)/750)</f>
        <v>0.842666666666667</v>
      </c>
      <c r="BF81" s="1" t="n">
        <f aca="false">((MAX($M81,1)*MIN($AJ81/300,1)))*IF(G81="Wagon",50,10)</f>
        <v>1.66666666666667</v>
      </c>
      <c r="BG81" s="1" t="n">
        <f aca="false">VLOOKUP($H81,Constants!$I:$K, 2, FALSE())</f>
        <v>1.2</v>
      </c>
      <c r="BH81" s="1" t="n">
        <f aca="false">VLOOKUP($H81,Constants!$I:$K, 3, FALSE())*IF(AND(G81="multiple_unit",AB81&lt;110),0.75,1)</f>
        <v>0.6</v>
      </c>
      <c r="BI81" s="1" t="n">
        <f aca="false">INT(POWER(((Constants!$G$2+$BB81+$BC81+$BD81+$BF81)*$BE81)*$BH81, 1.05))+$BA81</f>
        <v>168</v>
      </c>
      <c r="BJ81" s="1" t="n">
        <f aca="false">INT(POWER((((Constants!$G$1+$BB81+$BC81+$BD81+$BF81)*($BE81))*$BG81),IF($G81="wagon",1,1.2)))+$AZ81</f>
        <v>1192</v>
      </c>
      <c r="BK81" s="33" t="n">
        <f aca="false">BI81*IF($G81="wagon",62.5,781.25)</f>
        <v>10500</v>
      </c>
      <c r="BL81" s="33" t="n">
        <f aca="false">BJ81*IF($G81="wagon",2.73,81.25)</f>
        <v>3254.16</v>
      </c>
      <c r="BT81" s="1" t="n">
        <v>2</v>
      </c>
      <c r="BU81" s="1" t="n">
        <v>278</v>
      </c>
      <c r="BV81" s="1" t="s">
        <v>223</v>
      </c>
      <c r="BX81" s="1" t="s">
        <v>95</v>
      </c>
      <c r="BY81" s="1" t="str">
        <f aca="false">VLOOKUP(J81,Eras!$A$2:$C$10, 2, TRUE())</f>
        <v>mod</v>
      </c>
      <c r="BZ81" s="28" t="s">
        <v>442</v>
      </c>
      <c r="CA81" s="1" t="str">
        <f aca="false">CONCATENATE(BY81,"_",BZ81)</f>
        <v>mod_Carriage</v>
      </c>
      <c r="CB81" s="1" t="str">
        <f aca="false">_xlfn.CONCAT(H81, "_",I81)</f>
        <v>carriage_RAIL</v>
      </c>
      <c r="CC81" s="32" t="str">
        <f aca="false" t="array" ref="CC81:CC81">_xlfn.CONCAT("{BLACK}Length: {GOLD}", TEXT(ROUNDUP(IF(AQ81&lt;&gt;"",SUM(VALUE(_xlfn.TEXTSPLIT(AQ81, ","))), SUM(VALUE(_xlfn.TEXTSPLIT(AN81, ",")))*IF(M81, M81, 1))/16, 1), "#,##0.0"), " tiles{}")</f>
        <v>{BLACK}Length: {GOLD}0.9 tiles{}</v>
      </c>
      <c r="CD81" s="1" t="str">
        <f aca="false">VLOOKUP($CB81, Constants!$M:$N, 2, FALSE())</f>
        <v/>
      </c>
      <c r="CE81" s="1" t="str">
        <f aca="false">IF(M81&gt;1,_xlfn.CONCAT("{BLACK}Cars: {GOLD}", M81),"")</f>
        <v/>
      </c>
      <c r="CF81" s="1" t="s">
        <v>485</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{YELLOW}50% bonus for long distance travel{}</v>
      </c>
      <c r="CH81" s="1" t="str">
        <f aca="false">_xlfn.CONCAT(CD81,IF(CD81 &lt;&gt; "", " ", ""),CE81,IF(OR(CE81&lt;&gt;"", CD81&lt;&gt;""), "{}",""), CC81, CG81,"{SILVER}", CF81)</f>
        <v>{BLACK}Length: {GOLD}0.9 tiles{}{YELLOW}50% bonus for long distance travel{}{SILVER}The Mk5 sleeper trains were procured to replace Mk3 sleepers. With the end of double berths, these trains have an even lower capacity than what they replaced!</v>
      </c>
      <c r="CI81" s="1"/>
      <c r="CJ81" s="1"/>
    </row>
    <row r="82" customFormat="false" ht="13.8" hidden="false" customHeight="false" outlineLevel="0" collapsed="false">
      <c r="A82" s="1" t="s">
        <v>486</v>
      </c>
      <c r="B82" s="1" t="s">
        <v>487</v>
      </c>
      <c r="C82" s="1" t="n">
        <v>106</v>
      </c>
      <c r="D82" s="1" t="n">
        <v>105</v>
      </c>
      <c r="E82" s="1" t="n">
        <v>1113</v>
      </c>
      <c r="F82" s="1" t="s">
        <v>89</v>
      </c>
      <c r="G82" s="1" t="s">
        <v>394</v>
      </c>
      <c r="H82" s="1" t="s">
        <v>446</v>
      </c>
      <c r="I82" s="1" t="s">
        <v>151</v>
      </c>
      <c r="J82" s="1" t="n">
        <v>2018</v>
      </c>
      <c r="W82" s="1" t="n">
        <v>43</v>
      </c>
      <c r="Y82" s="1" t="n">
        <v>3</v>
      </c>
      <c r="AA82" s="4" t="str">
        <f aca="false">IF(AND(W82&gt;0,Z82&gt;0),(Z82/((W82+X82)*10)),"")</f>
        <v/>
      </c>
      <c r="AB82" s="1" t="n">
        <v>125</v>
      </c>
      <c r="AC82" s="1" t="n">
        <f aca="false">ROUND(AB82*1.6, 0)</f>
        <v>200</v>
      </c>
      <c r="AF82" s="1" t="n">
        <v>22.2</v>
      </c>
      <c r="AG82" s="1" t="n">
        <v>22</v>
      </c>
      <c r="AH82" s="1" t="n">
        <v>2.75</v>
      </c>
      <c r="AI82" s="1" t="n">
        <v>3.79</v>
      </c>
      <c r="AJ82" s="5" t="n">
        <v>30</v>
      </c>
      <c r="AK82" s="1" t="str">
        <f aca="false">CONCATENATE(VLOOKUP(AL82, '[1]Voxel Sizes'!$A$2:$B$18,2,FALSE()),"x",INT(AH82*15), "x", INT(AI82*15))</f>
        <v>214x41x56</v>
      </c>
      <c r="AL82" s="1" t="n">
        <f aca="false">ROUND(15*((AG82*10)/256),0)</f>
        <v>13</v>
      </c>
      <c r="AN82" s="1" t="str">
        <f aca="false">CONCATENATE(VLOOKUP(AL82,Constants!$A$2:$C$16,IF(AM82&lt;&gt;"", 3, 2), FALSE()),IF(AM82&lt;&gt;"",CONCATENATE(",",VLOOKUP(AM82,$B:$AN,38,FALSE())),""))</f>
        <v>4,5,4</v>
      </c>
      <c r="AW82" s="1" t="s">
        <v>488</v>
      </c>
      <c r="AX82" s="1" t="n">
        <v>30</v>
      </c>
      <c r="AY82" s="6" t="str">
        <f aca="false">IF(L82&lt;&gt;"",MAX(16,(L82-J82)+8),"")</f>
        <v/>
      </c>
      <c r="AZ82" s="1" t="n">
        <v>1150</v>
      </c>
      <c r="BA82" s="1" t="n">
        <v>150</v>
      </c>
      <c r="BB82" s="1" t="n">
        <f aca="false">MIN(AB82/150, 1)*30</f>
        <v>25</v>
      </c>
      <c r="BC82" s="1" t="n">
        <f aca="false">MIN(N82/4000, 1)*20</f>
        <v>0</v>
      </c>
      <c r="BD82" s="1" t="n">
        <f aca="false">MIN(Z82/400,1)*20</f>
        <v>0</v>
      </c>
      <c r="BE82" s="4" t="n">
        <f aca="false">1-(MAX(J82-1900, 0)/750)</f>
        <v>0.842666666666667</v>
      </c>
      <c r="BF82" s="1" t="n">
        <f aca="false">((MAX($M82,1)*MIN($AJ82/300,1)))*IF(G82="Wagon",50,10)</f>
        <v>5</v>
      </c>
      <c r="BG82" s="1" t="n">
        <f aca="false">VLOOKUP($H82,Constants!$I:$K, 2, FALSE())</f>
        <v>1.2</v>
      </c>
      <c r="BH82" s="1" t="n">
        <f aca="false">VLOOKUP($H82,Constants!$I:$K, 3, FALSE())*IF(AND(G82="multiple_unit",AB82&lt;110),0.75,1)</f>
        <v>0.6</v>
      </c>
      <c r="BI82" s="1" t="n">
        <f aca="false">INT(POWER(((Constants!$G$2+$BB82+$BC82+$BD82+$BF82)*$BE82)*$BH82, 1.05))+$BA82</f>
        <v>170</v>
      </c>
      <c r="BJ82" s="1" t="n">
        <f aca="false">INT(POWER((((Constants!$G$1+$BB82+$BC82+$BD82+$BF82)*($BE82))*$BG82),IF($G82="wagon",1,1.2)))+$AZ82</f>
        <v>1195</v>
      </c>
      <c r="BK82" s="33" t="n">
        <f aca="false">BI82*IF($G82="wagon",62.5,781.25)</f>
        <v>10625</v>
      </c>
      <c r="BL82" s="33" t="n">
        <f aca="false">BJ82*IF($G82="wagon",2.73,81.25)</f>
        <v>3262.35</v>
      </c>
      <c r="BT82" s="1" t="n">
        <v>2</v>
      </c>
      <c r="BU82" s="1" t="n">
        <v>222</v>
      </c>
      <c r="BV82" s="1" t="s">
        <v>223</v>
      </c>
      <c r="BX82" s="1" t="s">
        <v>95</v>
      </c>
      <c r="BY82" s="1" t="str">
        <f aca="false">VLOOKUP(J82,Eras!$A$2:$C$10, 2, TRUE())</f>
        <v>mod</v>
      </c>
      <c r="BZ82" s="28" t="s">
        <v>442</v>
      </c>
      <c r="CA82" s="1" t="str">
        <f aca="false">CONCATENATE(BY82,"_",BZ82)</f>
        <v>mod_Carriage</v>
      </c>
      <c r="CB82" s="1" t="str">
        <f aca="false">_xlfn.CONCAT(H82, "_",I82)</f>
        <v>carriage_RAIL</v>
      </c>
      <c r="CC82" s="32" t="str">
        <f aca="false" t="array" ref="CC82:CC82">_xlfn.CONCAT("{BLACK}Length: {GOLD}", TEXT(ROUNDUP(IF(AQ82&lt;&gt;"",SUM(VALUE(_xlfn.TEXTSPLIT(AQ82, ","))), SUM(VALUE(_xlfn.TEXTSPLIT(AN82, ",")))*IF(M82, M82, 1))/16, 1), "#,##0.0"), " tiles{}")</f>
        <v>{BLACK}Length: {GOLD}0.9 tiles{}</v>
      </c>
      <c r="CD82" s="1" t="str">
        <f aca="false">VLOOKUP($CB82, Constants!$M:$N, 2, FALSE())</f>
        <v/>
      </c>
      <c r="CE82" s="1" t="str">
        <f aca="false">IF(M82&gt;1,_xlfn.CONCAT("{BLACK}Cars: {GOLD}", M82),"")</f>
        <v/>
      </c>
      <c r="CF82" s="1" t="s">
        <v>489</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{YELLOW}20% bonus for long distance travel{}</v>
      </c>
      <c r="CH82" s="1" t="str">
        <f aca="false">_xlfn.CONCAT(CD82,IF(CD82 &lt;&gt; "", " ", ""),CE82,IF(OR(CE82&lt;&gt;"", CD82&lt;&gt;""), "{}",""), CC82, CG82,"{SILVER}", CF82)</f>
        <v>{BLACK}Length: {GOLD}0.9 tiles{}{YELLOW}20% bonus for long distance travel{}{SILVER}Mk5 sleeper services make up for their pathetic berth count with conventional seated stock, featuring a 2+1 airline style seating and not enough recline in the seats.</v>
      </c>
      <c r="CI82" s="1"/>
      <c r="CJ82" s="1"/>
    </row>
    <row r="83" customFormat="false" ht="13.8" hidden="false" customHeight="false" outlineLevel="0" collapsed="false">
      <c r="A83" s="1" t="s">
        <v>490</v>
      </c>
      <c r="B83" s="1" t="s">
        <v>491</v>
      </c>
      <c r="C83" s="1" t="n">
        <v>107</v>
      </c>
      <c r="D83" s="1" t="n">
        <v>105</v>
      </c>
      <c r="E83" s="1" t="n">
        <v>1114</v>
      </c>
      <c r="F83" s="1" t="s">
        <v>89</v>
      </c>
      <c r="G83" s="1" t="s">
        <v>394</v>
      </c>
      <c r="H83" s="1" t="s">
        <v>446</v>
      </c>
      <c r="I83" s="1" t="s">
        <v>151</v>
      </c>
      <c r="J83" s="1" t="n">
        <v>2018</v>
      </c>
      <c r="W83" s="1" t="n">
        <v>43</v>
      </c>
      <c r="Y83" s="1" t="n">
        <v>3</v>
      </c>
      <c r="AA83" s="4" t="str">
        <f aca="false">IF(AND(W83&gt;0,Z83&gt;0),(Z83/((W83+X83)*10)),"")</f>
        <v/>
      </c>
      <c r="AB83" s="1" t="n">
        <v>125</v>
      </c>
      <c r="AC83" s="1" t="n">
        <f aca="false">ROUND(AB83*1.6, 0)</f>
        <v>200</v>
      </c>
      <c r="AF83" s="1" t="n">
        <v>22.2</v>
      </c>
      <c r="AG83" s="1" t="n">
        <v>22</v>
      </c>
      <c r="AH83" s="1" t="n">
        <v>2.75</v>
      </c>
      <c r="AI83" s="1" t="n">
        <v>3.79</v>
      </c>
      <c r="AJ83" s="5" t="n">
        <v>0</v>
      </c>
      <c r="AK83" s="1" t="str">
        <f aca="false">CONCATENATE(VLOOKUP(AL83, '[1]Voxel Sizes'!$A$2:$B$18,2,FALSE()),"x",INT(AH83*15), "x", INT(AI83*15))</f>
        <v>214x41x56</v>
      </c>
      <c r="AL83" s="1" t="n">
        <f aca="false">ROUND(15*((AG83*10)/256),0)</f>
        <v>13</v>
      </c>
      <c r="AN83" s="1" t="str">
        <f aca="false">CONCATENATE(VLOOKUP(AL83,Constants!$A$2:$C$16,IF(AM83&lt;&gt;"", 3, 2), FALSE()),IF(AM83&lt;&gt;"",CONCATENATE(",",VLOOKUP(AM83,$B:$AN,38,FALSE())),""))</f>
        <v>4,5,4</v>
      </c>
      <c r="AW83" s="1" t="s">
        <v>492</v>
      </c>
      <c r="AX83" s="1" t="n">
        <v>30</v>
      </c>
      <c r="AY83" s="6" t="str">
        <f aca="false">IF(L83&lt;&gt;"",MAX(16,(L83-J83)+8),"")</f>
        <v/>
      </c>
      <c r="AZ83" s="1" t="n">
        <v>1150</v>
      </c>
      <c r="BA83" s="1" t="n">
        <v>150</v>
      </c>
      <c r="BB83" s="1" t="n">
        <f aca="false">MIN(AB83/150, 1)*30</f>
        <v>25</v>
      </c>
      <c r="BC83" s="1" t="n">
        <f aca="false">MIN(N83/4000, 1)*20</f>
        <v>0</v>
      </c>
      <c r="BD83" s="1" t="n">
        <f aca="false">MIN(Z83/400,1)*20</f>
        <v>0</v>
      </c>
      <c r="BE83" s="4" t="n">
        <f aca="false">1-(MAX(J83-1900, 0)/750)</f>
        <v>0.842666666666667</v>
      </c>
      <c r="BF83" s="1" t="n">
        <f aca="false">((MAX($M83,1)*MIN($AJ83/300,1)))*IF(G83="Wagon",50,10)</f>
        <v>0</v>
      </c>
      <c r="BG83" s="1" t="n">
        <f aca="false">VLOOKUP($H83,Constants!$I:$K, 2, FALSE())</f>
        <v>1.2</v>
      </c>
      <c r="BH83" s="1" t="n">
        <f aca="false">VLOOKUP($H83,Constants!$I:$K, 3, FALSE())*IF(AND(G83="multiple_unit",AB83&lt;110),0.75,1)</f>
        <v>0.6</v>
      </c>
      <c r="BI83" s="1" t="n">
        <f aca="false">INT(POWER(((Constants!$G$2+$BB83+$BC83+$BD83+$BF83)*$BE83)*$BH83, 1.05))+$BA83</f>
        <v>167</v>
      </c>
      <c r="BJ83" s="1" t="n">
        <f aca="false">INT(POWER((((Constants!$G$1+$BB83+$BC83+$BD83+$BF83)*($BE83))*$BG83),IF($G83="wagon",1,1.2)))+$AZ83</f>
        <v>1190</v>
      </c>
      <c r="BK83" s="33" t="n">
        <f aca="false">BI83*IF($G83="wagon",62.5,781.25)</f>
        <v>10437.5</v>
      </c>
      <c r="BL83" s="33" t="n">
        <f aca="false">BJ83*IF($G83="wagon",2.73,81.25)</f>
        <v>3248.7</v>
      </c>
      <c r="BT83" s="1" t="n">
        <v>2</v>
      </c>
      <c r="BU83" s="1" t="n">
        <v>278</v>
      </c>
      <c r="BV83" s="1" t="s">
        <v>223</v>
      </c>
      <c r="BW83" s="28" t="s">
        <v>231</v>
      </c>
      <c r="BX83" s="1" t="s">
        <v>95</v>
      </c>
      <c r="BY83" s="1" t="str">
        <f aca="false">VLOOKUP(J83,Eras!$A$2:$C$10, 2, TRUE())</f>
        <v>mod</v>
      </c>
      <c r="BZ83" s="28" t="s">
        <v>442</v>
      </c>
      <c r="CA83" s="1" t="str">
        <f aca="false">CONCATENATE(BY83,"_",BZ83)</f>
        <v>mod_Carriage</v>
      </c>
      <c r="CB83" s="1" t="str">
        <f aca="false">_xlfn.CONCAT(H83, "_",I83)</f>
        <v>carriage_RAIL</v>
      </c>
      <c r="CC83" s="32" t="str">
        <f aca="false" t="array" ref="CC83:CC83">_xlfn.CONCAT("{BLACK}Length: {GOLD}", TEXT(ROUNDUP(IF(AQ83&lt;&gt;"",SUM(VALUE(_xlfn.TEXTSPLIT(AQ83, ","))), SUM(VALUE(_xlfn.TEXTSPLIT(AN83, ",")))*IF(M83, M83, 1))/16, 1), "#,##0.0"), " tiles{}")</f>
        <v>{BLACK}Length: {GOLD}0.9 tiles{}</v>
      </c>
      <c r="CD83" s="1" t="str">
        <f aca="false">VLOOKUP($CB83, Constants!$M:$N, 2, FALSE())</f>
        <v/>
      </c>
      <c r="CE83" s="1" t="str">
        <f aca="false">IF(M83&gt;1,_xlfn.CONCAT("{BLACK}Cars: {GOLD}", M83),"")</f>
        <v/>
      </c>
      <c r="CF83" s="1" t="s">
        <v>493</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{YELLOW}25% long distance bonus for consist{}</v>
      </c>
      <c r="CH83" s="1" t="str">
        <f aca="false">_xlfn.CONCAT(CD83,IF(CD83 &lt;&gt; "", " ", ""),CE83,IF(OR(CE83&lt;&gt;"", CD83&lt;&gt;""), "{}",""), CC83, CG83,"{SILVER}", CF83)</f>
        <v>{BLACK}Length: {GOLD}0.9 tiles{}{YELLOW}25% long distance bonus for consist{}{SILVER}The Mk5 ‘Club Car’ is the dining facility for sleeper services, but the 30 seats within are not bookable for travel.</v>
      </c>
      <c r="CI83" s="1"/>
      <c r="CJ83" s="1"/>
    </row>
    <row r="84" customFormat="false" ht="13.8" hidden="false" customHeight="false" outlineLevel="0" collapsed="false">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19"/>
      <c r="FD84" s="19"/>
      <c r="FE84" s="19"/>
      <c r="FF84" s="19"/>
      <c r="FG84" s="19"/>
      <c r="FH84" s="19"/>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19"/>
      <c r="GN84" s="19"/>
      <c r="GO84" s="19"/>
      <c r="GP84" s="19"/>
      <c r="GQ84" s="19"/>
      <c r="GR84" s="19"/>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19"/>
      <c r="HX84" s="19"/>
      <c r="HY84" s="19"/>
      <c r="HZ84" s="19"/>
      <c r="IA84" s="19"/>
      <c r="IB84" s="19"/>
      <c r="IC84" s="19"/>
      <c r="ID84" s="19"/>
      <c r="IE84" s="19"/>
      <c r="IF84" s="19"/>
      <c r="IG84" s="19"/>
      <c r="IH84" s="19"/>
      <c r="II84" s="19"/>
      <c r="IJ84" s="19"/>
      <c r="IK84" s="19"/>
      <c r="IL84" s="19"/>
      <c r="IM84" s="19"/>
      <c r="IN84" s="19"/>
      <c r="IO84" s="19"/>
      <c r="IP84" s="19"/>
      <c r="IQ84" s="19"/>
      <c r="IR84" s="19"/>
      <c r="IS84" s="19"/>
      <c r="IT84" s="19"/>
      <c r="IU84" s="19"/>
      <c r="IV84" s="19"/>
      <c r="IW84" s="19"/>
      <c r="IX84" s="19"/>
      <c r="IY84" s="19"/>
      <c r="IZ84" s="19"/>
      <c r="JA84" s="19"/>
      <c r="JB84" s="19"/>
      <c r="JC84" s="19"/>
      <c r="JD84" s="19"/>
      <c r="JE84" s="19"/>
      <c r="JF84" s="19"/>
      <c r="JG84" s="19"/>
      <c r="JH84" s="19"/>
      <c r="JI84" s="19"/>
      <c r="JJ84" s="19"/>
      <c r="JK84" s="19"/>
      <c r="JL84" s="19"/>
      <c r="JM84" s="19"/>
      <c r="JN84" s="19"/>
      <c r="JO84" s="19"/>
      <c r="JP84" s="19"/>
      <c r="JQ84" s="19"/>
      <c r="JR84" s="19"/>
      <c r="JS84" s="19"/>
      <c r="JT84" s="19"/>
      <c r="JU84" s="19"/>
      <c r="JV84" s="19"/>
      <c r="JW84" s="19"/>
      <c r="JX84" s="19"/>
      <c r="JY84" s="19"/>
      <c r="JZ84" s="19"/>
      <c r="KA84" s="19"/>
      <c r="KB84" s="19"/>
      <c r="KC84" s="19"/>
      <c r="KD84" s="19"/>
      <c r="KE84" s="19"/>
      <c r="KF84" s="19"/>
      <c r="KG84" s="19"/>
      <c r="KH84" s="19"/>
      <c r="KI84" s="19"/>
      <c r="KJ84" s="19"/>
      <c r="KK84" s="19"/>
      <c r="KL84" s="19"/>
      <c r="KM84" s="19"/>
      <c r="KN84" s="19"/>
      <c r="KO84" s="19"/>
      <c r="KP84" s="19"/>
      <c r="KQ84" s="19"/>
      <c r="KR84" s="19"/>
      <c r="KS84" s="19"/>
      <c r="KT84" s="19"/>
      <c r="KU84" s="19"/>
      <c r="KV84" s="19"/>
      <c r="KW84" s="19"/>
      <c r="KX84" s="19"/>
      <c r="KY84" s="19"/>
      <c r="KZ84" s="19"/>
      <c r="LA84" s="19"/>
      <c r="LB84" s="19"/>
      <c r="LC84" s="19"/>
      <c r="LD84" s="19"/>
      <c r="LE84" s="19"/>
      <c r="LF84" s="19"/>
      <c r="LG84" s="19"/>
      <c r="LH84" s="19"/>
      <c r="LI84" s="19"/>
      <c r="LJ84" s="19"/>
      <c r="LK84" s="19"/>
      <c r="LL84" s="19"/>
      <c r="LM84" s="19"/>
      <c r="LN84" s="19"/>
      <c r="LO84" s="19"/>
      <c r="LP84" s="19"/>
      <c r="LQ84" s="19"/>
      <c r="LR84" s="19"/>
      <c r="LS84" s="19"/>
      <c r="LT84" s="19"/>
      <c r="LU84" s="19"/>
      <c r="LV84" s="19"/>
      <c r="LW84" s="19"/>
      <c r="LX84" s="19"/>
      <c r="LY84" s="19"/>
      <c r="LZ84" s="19"/>
      <c r="MA84" s="19"/>
      <c r="MB84" s="19"/>
      <c r="MC84" s="19"/>
      <c r="MD84" s="19"/>
      <c r="ME84" s="19"/>
      <c r="MF84" s="19"/>
      <c r="MG84" s="19"/>
      <c r="MH84" s="19"/>
      <c r="MI84" s="19"/>
      <c r="MJ84" s="19"/>
      <c r="MK84" s="19"/>
      <c r="ML84" s="19"/>
      <c r="MM84" s="19"/>
      <c r="MN84" s="19"/>
      <c r="MO84" s="19"/>
      <c r="MP84" s="19"/>
      <c r="MQ84" s="19"/>
      <c r="MR84" s="19"/>
      <c r="MS84" s="19"/>
      <c r="MT84" s="19"/>
      <c r="MU84" s="19"/>
      <c r="MV84" s="19"/>
      <c r="MW84" s="19"/>
      <c r="MX84" s="19"/>
      <c r="MY84" s="19"/>
      <c r="MZ84" s="19"/>
      <c r="NA84" s="19"/>
      <c r="NB84" s="19"/>
      <c r="NC84" s="19"/>
      <c r="ND84" s="19"/>
      <c r="NE84" s="19"/>
      <c r="NF84" s="19"/>
      <c r="NG84" s="19"/>
      <c r="NH84" s="19"/>
      <c r="NI84" s="19"/>
      <c r="NJ84" s="19"/>
      <c r="NK84" s="19"/>
      <c r="NL84" s="19"/>
      <c r="NM84" s="19"/>
      <c r="NN84" s="19"/>
      <c r="NO84" s="19"/>
      <c r="NP84" s="19"/>
      <c r="NQ84" s="19"/>
      <c r="NR84" s="19"/>
      <c r="NS84" s="19"/>
      <c r="NT84" s="19"/>
      <c r="NU84" s="19"/>
      <c r="NV84" s="19"/>
      <c r="NW84" s="19"/>
      <c r="NX84" s="19"/>
      <c r="NY84" s="19"/>
      <c r="NZ84" s="19"/>
      <c r="OA84" s="19"/>
      <c r="OB84" s="19"/>
      <c r="OC84" s="19"/>
      <c r="OD84" s="19"/>
      <c r="OE84" s="19"/>
      <c r="OF84" s="19"/>
      <c r="OG84" s="19"/>
      <c r="OH84" s="19"/>
      <c r="OI84" s="19"/>
      <c r="OJ84" s="19"/>
      <c r="OK84" s="19"/>
      <c r="OL84" s="19"/>
      <c r="OM84" s="19"/>
      <c r="ON84" s="19"/>
      <c r="OO84" s="19"/>
      <c r="OP84" s="19"/>
      <c r="OQ84" s="19"/>
      <c r="OR84" s="19"/>
      <c r="OS84" s="19"/>
      <c r="OT84" s="19"/>
      <c r="OU84" s="19"/>
      <c r="OV84" s="19"/>
      <c r="OW84" s="19"/>
      <c r="OX84" s="19"/>
      <c r="OY84" s="19"/>
      <c r="OZ84" s="19"/>
      <c r="PA84" s="19"/>
      <c r="PB84" s="19"/>
      <c r="PC84" s="19"/>
      <c r="PD84" s="19"/>
      <c r="PE84" s="19"/>
      <c r="PF84" s="19"/>
      <c r="PG84" s="19"/>
      <c r="PH84" s="19"/>
      <c r="PI84" s="19"/>
      <c r="PJ84" s="19"/>
      <c r="PK84" s="19"/>
      <c r="PL84" s="19"/>
      <c r="PM84" s="19"/>
      <c r="PN84" s="19"/>
      <c r="PO84" s="19"/>
      <c r="PP84" s="19"/>
      <c r="PQ84" s="19"/>
      <c r="PR84" s="19"/>
      <c r="PS84" s="19"/>
      <c r="PT84" s="19"/>
      <c r="PU84" s="19"/>
      <c r="PV84" s="19"/>
      <c r="PW84" s="19"/>
      <c r="PX84" s="19"/>
      <c r="PY84" s="19"/>
      <c r="PZ84" s="19"/>
      <c r="QA84" s="19"/>
      <c r="QB84" s="19"/>
      <c r="QC84" s="19"/>
      <c r="QD84" s="19"/>
      <c r="QE84" s="19"/>
      <c r="QF84" s="19"/>
      <c r="QG84" s="19"/>
      <c r="QH84" s="19"/>
      <c r="QI84" s="19"/>
      <c r="QJ84" s="19"/>
      <c r="QK84" s="19"/>
      <c r="QL84" s="19"/>
      <c r="QM84" s="19"/>
      <c r="QN84" s="19"/>
      <c r="QO84" s="19"/>
      <c r="QP84" s="19"/>
      <c r="QQ84" s="19"/>
      <c r="QR84" s="19"/>
      <c r="QS84" s="19"/>
      <c r="QT84" s="19"/>
      <c r="QU84" s="19"/>
      <c r="QV84" s="19"/>
      <c r="QW84" s="19"/>
      <c r="QX84" s="19"/>
      <c r="QY84" s="19"/>
      <c r="QZ84" s="19"/>
      <c r="RA84" s="19"/>
      <c r="RB84" s="19"/>
      <c r="RC84" s="19"/>
      <c r="RD84" s="19"/>
      <c r="RE84" s="19"/>
      <c r="RF84" s="19"/>
      <c r="RG84" s="19"/>
      <c r="RH84" s="19"/>
      <c r="RI84" s="19"/>
      <c r="RJ84" s="19"/>
      <c r="RK84" s="19"/>
      <c r="RL84" s="19"/>
      <c r="RM84" s="19"/>
      <c r="RN84" s="19"/>
      <c r="RO84" s="19"/>
      <c r="RP84" s="19"/>
      <c r="RQ84" s="19"/>
      <c r="RR84" s="19"/>
      <c r="RS84" s="19"/>
      <c r="RT84" s="19"/>
      <c r="RU84" s="19"/>
      <c r="RV84" s="19"/>
      <c r="RW84" s="19"/>
      <c r="RX84" s="19"/>
      <c r="RY84" s="19"/>
      <c r="RZ84" s="19"/>
      <c r="SA84" s="19"/>
      <c r="SB84" s="19"/>
      <c r="SC84" s="19"/>
      <c r="SD84" s="19"/>
      <c r="SE84" s="19"/>
      <c r="SF84" s="19"/>
      <c r="SG84" s="19"/>
      <c r="SH84" s="19"/>
      <c r="SI84" s="19"/>
      <c r="SJ84" s="19"/>
      <c r="SK84" s="19"/>
      <c r="SL84" s="19"/>
      <c r="SM84" s="19"/>
      <c r="SN84" s="19"/>
      <c r="SO84" s="19"/>
      <c r="SP84" s="19"/>
      <c r="SQ84" s="19"/>
      <c r="SR84" s="19"/>
      <c r="SS84" s="19"/>
      <c r="ST84" s="19"/>
      <c r="SU84" s="19"/>
      <c r="SV84" s="19"/>
      <c r="SW84" s="19"/>
      <c r="SX84" s="19"/>
      <c r="SY84" s="19"/>
      <c r="SZ84" s="19"/>
      <c r="TA84" s="19"/>
      <c r="TB84" s="19"/>
      <c r="TC84" s="19"/>
      <c r="TD84" s="19"/>
      <c r="TE84" s="19"/>
      <c r="TF84" s="19"/>
      <c r="TG84" s="19"/>
      <c r="TH84" s="19"/>
      <c r="TI84" s="19"/>
      <c r="TJ84" s="19"/>
      <c r="TK84" s="19"/>
      <c r="TL84" s="19"/>
      <c r="TM84" s="19"/>
      <c r="TN84" s="19"/>
      <c r="TO84" s="19"/>
      <c r="TP84" s="19"/>
      <c r="TQ84" s="19"/>
      <c r="TR84" s="19"/>
      <c r="TS84" s="19"/>
      <c r="TT84" s="19"/>
      <c r="TU84" s="19"/>
      <c r="TV84" s="19"/>
      <c r="TW84" s="19"/>
      <c r="TX84" s="19"/>
      <c r="TY84" s="19"/>
      <c r="TZ84" s="19"/>
      <c r="UA84" s="19"/>
      <c r="UB84" s="19"/>
      <c r="UC84" s="19"/>
      <c r="UD84" s="19"/>
      <c r="UE84" s="19"/>
      <c r="UF84" s="19"/>
      <c r="UG84" s="19"/>
      <c r="UH84" s="19"/>
      <c r="UI84" s="19"/>
      <c r="UJ84" s="19"/>
      <c r="UK84" s="19"/>
      <c r="UL84" s="19"/>
      <c r="UM84" s="19"/>
      <c r="UN84" s="19"/>
      <c r="UO84" s="19"/>
      <c r="UP84" s="19"/>
      <c r="UQ84" s="19"/>
      <c r="UR84" s="19"/>
      <c r="US84" s="19"/>
      <c r="UT84" s="19"/>
      <c r="UU84" s="19"/>
      <c r="UV84" s="19"/>
      <c r="UW84" s="19"/>
      <c r="UX84" s="19"/>
      <c r="UY84" s="19"/>
      <c r="UZ84" s="19"/>
      <c r="VA84" s="19"/>
      <c r="VB84" s="19"/>
      <c r="VC84" s="19"/>
      <c r="VD84" s="19"/>
      <c r="VE84" s="19"/>
      <c r="VF84" s="19"/>
      <c r="VG84" s="19"/>
      <c r="VH84" s="19"/>
      <c r="VI84" s="19"/>
      <c r="VJ84" s="19"/>
      <c r="VK84" s="19"/>
      <c r="VL84" s="19"/>
      <c r="VM84" s="19"/>
      <c r="VN84" s="19"/>
      <c r="VO84" s="19"/>
      <c r="VP84" s="19"/>
      <c r="VQ84" s="19"/>
      <c r="VR84" s="19"/>
      <c r="VS84" s="19"/>
      <c r="VT84" s="19"/>
      <c r="VU84" s="19"/>
      <c r="VV84" s="19"/>
      <c r="VW84" s="19"/>
      <c r="VX84" s="19"/>
      <c r="VY84" s="19"/>
      <c r="VZ84" s="19"/>
      <c r="WA84" s="19"/>
      <c r="WB84" s="19"/>
      <c r="WC84" s="19"/>
      <c r="WD84" s="19"/>
      <c r="WE84" s="19"/>
      <c r="WF84" s="19"/>
      <c r="WG84" s="19"/>
      <c r="WH84" s="19"/>
      <c r="WI84" s="19"/>
      <c r="WJ84" s="19"/>
      <c r="WK84" s="19"/>
      <c r="WL84" s="19"/>
      <c r="WM84" s="19"/>
      <c r="WN84" s="19"/>
      <c r="WO84" s="19"/>
      <c r="WP84" s="19"/>
      <c r="WQ84" s="19"/>
      <c r="WR84" s="19"/>
      <c r="WS84" s="19"/>
      <c r="WT84" s="19"/>
      <c r="WU84" s="19"/>
      <c r="WV84" s="19"/>
      <c r="WW84" s="19"/>
      <c r="WX84" s="19"/>
      <c r="WY84" s="19"/>
      <c r="WZ84" s="19"/>
      <c r="XA84" s="19"/>
      <c r="XB84" s="19"/>
      <c r="XC84" s="19"/>
      <c r="XD84" s="19"/>
      <c r="XE84" s="19"/>
      <c r="XF84" s="19"/>
      <c r="XG84" s="19"/>
      <c r="XH84" s="19"/>
      <c r="XI84" s="19"/>
      <c r="XJ84" s="19"/>
      <c r="XK84" s="19"/>
      <c r="XL84" s="19"/>
      <c r="XM84" s="19"/>
      <c r="XN84" s="19"/>
      <c r="XO84" s="19"/>
      <c r="XP84" s="19"/>
      <c r="XQ84" s="19"/>
      <c r="XR84" s="19"/>
      <c r="XS84" s="19"/>
      <c r="XT84" s="19"/>
      <c r="XU84" s="19"/>
      <c r="XV84" s="19"/>
      <c r="XW84" s="19"/>
      <c r="XX84" s="19"/>
      <c r="XY84" s="19"/>
      <c r="XZ84" s="19"/>
      <c r="YA84" s="19"/>
      <c r="YB84" s="19"/>
      <c r="YC84" s="19"/>
      <c r="YD84" s="19"/>
      <c r="YE84" s="19"/>
      <c r="YF84" s="19"/>
      <c r="YG84" s="19"/>
      <c r="YH84" s="19"/>
      <c r="YI84" s="19"/>
      <c r="YJ84" s="19"/>
      <c r="YK84" s="19"/>
      <c r="YL84" s="19"/>
      <c r="YM84" s="19"/>
      <c r="YN84" s="19"/>
      <c r="YO84" s="19"/>
      <c r="YP84" s="19"/>
      <c r="YQ84" s="19"/>
      <c r="YR84" s="19"/>
      <c r="YS84" s="19"/>
      <c r="YT84" s="19"/>
      <c r="YU84" s="19"/>
      <c r="YV84" s="19"/>
      <c r="YW84" s="19"/>
      <c r="YX84" s="19"/>
      <c r="YY84" s="19"/>
      <c r="YZ84" s="19"/>
      <c r="ZA84" s="19"/>
      <c r="ZB84" s="19"/>
      <c r="ZC84" s="19"/>
      <c r="ZD84" s="19"/>
      <c r="ZE84" s="19"/>
      <c r="ZF84" s="19"/>
      <c r="ZG84" s="19"/>
      <c r="ZH84" s="19"/>
      <c r="ZI84" s="19"/>
      <c r="ZJ84" s="19"/>
      <c r="ZK84" s="19"/>
      <c r="ZL84" s="19"/>
      <c r="ZM84" s="19"/>
      <c r="ZN84" s="19"/>
      <c r="ZO84" s="19"/>
      <c r="ZP84" s="19"/>
      <c r="ZQ84" s="19"/>
      <c r="ZR84" s="19"/>
      <c r="ZS84" s="19"/>
      <c r="ZT84" s="19"/>
      <c r="ZU84" s="19"/>
      <c r="ZV84" s="19"/>
      <c r="ZW84" s="19"/>
      <c r="ZX84" s="19"/>
      <c r="ZY84" s="19"/>
      <c r="ZZ84" s="19"/>
      <c r="AAA84" s="19"/>
      <c r="AAB84" s="19"/>
      <c r="AAC84" s="19"/>
      <c r="AAD84" s="19"/>
      <c r="AAE84" s="19"/>
      <c r="AAF84" s="19"/>
      <c r="AAG84" s="19"/>
      <c r="AAH84" s="19"/>
      <c r="AAI84" s="19"/>
      <c r="AAJ84" s="19"/>
      <c r="AAK84" s="19"/>
      <c r="AAL84" s="19"/>
      <c r="AAM84" s="19"/>
      <c r="AAN84" s="19"/>
      <c r="AAO84" s="19"/>
      <c r="AAP84" s="19"/>
      <c r="AAQ84" s="19"/>
      <c r="AAR84" s="19"/>
      <c r="AAS84" s="19"/>
      <c r="AAT84" s="19"/>
      <c r="AAU84" s="19"/>
      <c r="AAV84" s="19"/>
      <c r="AAW84" s="19"/>
      <c r="AAX84" s="19"/>
      <c r="AAY84" s="19"/>
      <c r="AAZ84" s="19"/>
      <c r="ABA84" s="19"/>
      <c r="ABB84" s="19"/>
      <c r="ABC84" s="19"/>
      <c r="ABD84" s="19"/>
      <c r="ABE84" s="19"/>
      <c r="ABF84" s="19"/>
      <c r="ABG84" s="19"/>
      <c r="ABH84" s="19"/>
      <c r="ABI84" s="19"/>
      <c r="ABJ84" s="19"/>
      <c r="ABK84" s="19"/>
      <c r="ABL84" s="19"/>
      <c r="ABM84" s="19"/>
      <c r="ABN84" s="19"/>
      <c r="ABO84" s="19"/>
      <c r="ABP84" s="19"/>
      <c r="ABQ84" s="19"/>
      <c r="ABR84" s="19"/>
      <c r="ABS84" s="19"/>
      <c r="ABT84" s="19"/>
      <c r="ABU84" s="19"/>
      <c r="ABV84" s="19"/>
      <c r="ABW84" s="19"/>
      <c r="ABX84" s="19"/>
      <c r="ABY84" s="19"/>
      <c r="ABZ84" s="19"/>
      <c r="ACA84" s="19"/>
      <c r="ACB84" s="19"/>
      <c r="ACC84" s="19"/>
      <c r="ACD84" s="19"/>
      <c r="ACE84" s="19"/>
      <c r="ACF84" s="19"/>
      <c r="ACG84" s="19"/>
      <c r="ACH84" s="19"/>
      <c r="ACI84" s="19"/>
      <c r="ACJ84" s="19"/>
      <c r="ACK84" s="19"/>
      <c r="ACL84" s="19"/>
      <c r="ACM84" s="19"/>
      <c r="ACN84" s="19"/>
      <c r="ACO84" s="19"/>
      <c r="ACP84" s="19"/>
      <c r="ACQ84" s="19"/>
      <c r="ACR84" s="19"/>
      <c r="ACS84" s="19"/>
      <c r="ACT84" s="19"/>
      <c r="ACU84" s="19"/>
      <c r="ACV84" s="19"/>
      <c r="ACW84" s="19"/>
      <c r="ACX84" s="19"/>
      <c r="ACY84" s="19"/>
      <c r="ACZ84" s="19"/>
      <c r="ADA84" s="19"/>
      <c r="ADB84" s="19"/>
      <c r="ADC84" s="19"/>
      <c r="ADD84" s="19"/>
      <c r="ADE84" s="19"/>
      <c r="ADF84" s="19"/>
      <c r="ADG84" s="19"/>
      <c r="ADH84" s="19"/>
      <c r="ADI84" s="19"/>
      <c r="ADJ84" s="19"/>
      <c r="ADK84" s="19"/>
      <c r="ADL84" s="19"/>
      <c r="ADM84" s="19"/>
      <c r="ADN84" s="19"/>
      <c r="ADO84" s="19"/>
      <c r="ADP84" s="19"/>
      <c r="ADQ84" s="19"/>
      <c r="ADR84" s="19"/>
      <c r="ADS84" s="19"/>
      <c r="ADT84" s="19"/>
      <c r="ADU84" s="19"/>
      <c r="ADV84" s="19"/>
      <c r="ADW84" s="19"/>
      <c r="ADX84" s="19"/>
      <c r="ADY84" s="19"/>
      <c r="ADZ84" s="19"/>
      <c r="AEA84" s="19"/>
      <c r="AEB84" s="19"/>
      <c r="AEC84" s="19"/>
      <c r="AED84" s="19"/>
      <c r="AEE84" s="19"/>
      <c r="AEF84" s="19"/>
      <c r="AEG84" s="19"/>
      <c r="AEH84" s="19"/>
      <c r="AEI84" s="19"/>
      <c r="AEJ84" s="19"/>
      <c r="AEK84" s="19"/>
      <c r="AEL84" s="19"/>
      <c r="AEM84" s="19"/>
      <c r="AEN84" s="19"/>
      <c r="AEO84" s="19"/>
      <c r="AEP84" s="19"/>
      <c r="AEQ84" s="19"/>
      <c r="AER84" s="19"/>
      <c r="AES84" s="19"/>
      <c r="AET84" s="19"/>
      <c r="AEU84" s="19"/>
      <c r="AEV84" s="19"/>
      <c r="AEW84" s="19"/>
      <c r="AEX84" s="19"/>
      <c r="AEY84" s="19"/>
      <c r="AEZ84" s="19"/>
      <c r="AFA84" s="19"/>
      <c r="AFB84" s="19"/>
      <c r="AFC84" s="19"/>
      <c r="AFD84" s="19"/>
      <c r="AFE84" s="19"/>
      <c r="AFF84" s="19"/>
      <c r="AFG84" s="19"/>
      <c r="AFH84" s="19"/>
      <c r="AFI84" s="19"/>
      <c r="AFJ84" s="19"/>
      <c r="AFK84" s="19"/>
      <c r="AFL84" s="19"/>
      <c r="AFM84" s="19"/>
      <c r="AFN84" s="19"/>
      <c r="AFO84" s="19"/>
      <c r="AFP84" s="19"/>
      <c r="AFQ84" s="19"/>
      <c r="AFR84" s="19"/>
      <c r="AFS84" s="19"/>
      <c r="AFT84" s="19"/>
      <c r="AFU84" s="19"/>
      <c r="AFV84" s="19"/>
      <c r="AFW84" s="19"/>
      <c r="AFX84" s="19"/>
      <c r="AFY84" s="19"/>
      <c r="AFZ84" s="19"/>
      <c r="AGA84" s="19"/>
      <c r="AGB84" s="19"/>
      <c r="AGC84" s="19"/>
      <c r="AGD84" s="19"/>
      <c r="AGE84" s="19"/>
      <c r="AGF84" s="19"/>
      <c r="AGG84" s="19"/>
      <c r="AGH84" s="19"/>
      <c r="AGI84" s="19"/>
      <c r="AGJ84" s="19"/>
      <c r="AGK84" s="19"/>
      <c r="AGL84" s="19"/>
      <c r="AGM84" s="19"/>
      <c r="AGN84" s="19"/>
      <c r="AGO84" s="19"/>
      <c r="AGP84" s="19"/>
      <c r="AGQ84" s="19"/>
      <c r="AGR84" s="19"/>
      <c r="AGS84" s="19"/>
      <c r="AGT84" s="19"/>
      <c r="AGU84" s="19"/>
      <c r="AGV84" s="19"/>
      <c r="AGW84" s="19"/>
      <c r="AGX84" s="19"/>
      <c r="AGY84" s="19"/>
      <c r="AGZ84" s="19"/>
      <c r="AHA84" s="19"/>
      <c r="AHB84" s="19"/>
      <c r="AHC84" s="19"/>
      <c r="AHD84" s="19"/>
      <c r="AHE84" s="19"/>
      <c r="AHF84" s="19"/>
      <c r="AHG84" s="19"/>
      <c r="AHH84" s="19"/>
      <c r="AHI84" s="19"/>
      <c r="AHJ84" s="19"/>
      <c r="AHK84" s="19"/>
      <c r="AHL84" s="19"/>
      <c r="AHM84" s="19"/>
      <c r="AHN84" s="19"/>
      <c r="AHO84" s="19"/>
      <c r="AHP84" s="19"/>
      <c r="AHQ84" s="19"/>
      <c r="AHR84" s="19"/>
      <c r="AHS84" s="19"/>
      <c r="AHT84" s="19"/>
      <c r="AHU84" s="19"/>
      <c r="AHV84" s="19"/>
      <c r="AHW84" s="19"/>
      <c r="AHX84" s="19"/>
      <c r="AHY84" s="19"/>
      <c r="AHZ84" s="19"/>
      <c r="AIA84" s="19"/>
      <c r="AIB84" s="19"/>
      <c r="AIC84" s="19"/>
      <c r="AID84" s="19"/>
      <c r="AIE84" s="19"/>
      <c r="AIF84" s="19"/>
      <c r="AIG84" s="19"/>
      <c r="AIH84" s="19"/>
      <c r="AII84" s="19"/>
      <c r="AIJ84" s="19"/>
      <c r="AIK84" s="19"/>
      <c r="AIL84" s="19"/>
      <c r="AIM84" s="19"/>
      <c r="AIN84" s="19"/>
      <c r="AIO84" s="19"/>
      <c r="AIP84" s="19"/>
      <c r="AIQ84" s="19"/>
      <c r="AIR84" s="19"/>
      <c r="AIS84" s="19"/>
      <c r="AIT84" s="19"/>
      <c r="AIU84" s="19"/>
      <c r="AIV84" s="19"/>
      <c r="AIW84" s="19"/>
      <c r="AIX84" s="19"/>
      <c r="AIY84" s="19"/>
      <c r="AIZ84" s="19"/>
      <c r="AJA84" s="19"/>
      <c r="AJB84" s="19"/>
      <c r="AJC84" s="19"/>
      <c r="AJD84" s="19"/>
      <c r="AJE84" s="19"/>
      <c r="AJF84" s="19"/>
      <c r="AJG84" s="19"/>
      <c r="AJH84" s="19"/>
      <c r="AJI84" s="19"/>
      <c r="AJJ84" s="19"/>
      <c r="AJK84" s="19"/>
      <c r="AJL84" s="19"/>
      <c r="AJM84" s="19"/>
      <c r="AJN84" s="19"/>
      <c r="AJO84" s="19"/>
      <c r="AJP84" s="19"/>
      <c r="AJQ84" s="19"/>
      <c r="AJR84" s="19"/>
      <c r="AJS84" s="19"/>
      <c r="AJT84" s="19"/>
      <c r="AJU84" s="19"/>
      <c r="AJV84" s="19"/>
      <c r="AJW84" s="19"/>
      <c r="AJX84" s="19"/>
      <c r="AJY84" s="19"/>
      <c r="AJZ84" s="19"/>
      <c r="AKA84" s="19"/>
      <c r="AKB84" s="19"/>
      <c r="AKC84" s="19"/>
      <c r="AKD84" s="19"/>
      <c r="AKE84" s="19"/>
      <c r="AKF84" s="19"/>
      <c r="AKG84" s="19"/>
      <c r="AKH84" s="19"/>
      <c r="AKI84" s="19"/>
      <c r="AKJ84" s="19"/>
      <c r="AKK84" s="19"/>
      <c r="AKL84" s="19"/>
      <c r="AKM84" s="19"/>
      <c r="AKN84" s="19"/>
      <c r="AKO84" s="19"/>
      <c r="AKP84" s="19"/>
      <c r="AKQ84" s="19"/>
      <c r="AKR84" s="19"/>
      <c r="AKS84" s="19"/>
      <c r="AKT84" s="19"/>
      <c r="AKU84" s="19"/>
      <c r="AKV84" s="19"/>
      <c r="AKW84" s="19"/>
      <c r="AKX84" s="19"/>
      <c r="AKY84" s="19"/>
      <c r="AKZ84" s="19"/>
      <c r="ALA84" s="19"/>
      <c r="ALB84" s="19"/>
      <c r="ALC84" s="19"/>
      <c r="ALD84" s="19"/>
      <c r="ALE84" s="19"/>
      <c r="ALF84" s="19"/>
      <c r="ALG84" s="19"/>
      <c r="ALH84" s="19"/>
      <c r="ALI84" s="19"/>
      <c r="ALJ84" s="19"/>
      <c r="ALK84" s="19"/>
      <c r="ALL84" s="19"/>
      <c r="ALM84" s="19"/>
      <c r="ALN84" s="19"/>
      <c r="ALO84" s="19"/>
      <c r="ALP84" s="19"/>
      <c r="ALQ84" s="19"/>
      <c r="ALR84" s="19"/>
      <c r="ALS84" s="19"/>
      <c r="ALT84" s="19"/>
      <c r="ALU84" s="19"/>
      <c r="ALV84" s="19"/>
      <c r="ALW84" s="19"/>
      <c r="ALX84" s="19"/>
      <c r="ALY84" s="19"/>
      <c r="ALZ84" s="19"/>
      <c r="AMA84" s="19"/>
      <c r="AMB84" s="19"/>
      <c r="AMC84" s="19"/>
      <c r="AMD84" s="19"/>
      <c r="AME84" s="19"/>
      <c r="AMF84" s="19"/>
      <c r="AMG84" s="19"/>
      <c r="AMH84" s="19"/>
      <c r="AMI84" s="19"/>
      <c r="AMJ84" s="19"/>
    </row>
    <row r="85" customFormat="false" ht="13.8" hidden="false" customHeight="false" outlineLevel="0" collapsed="false">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c r="KX85" s="19"/>
      <c r="KY85" s="19"/>
      <c r="KZ85" s="19"/>
      <c r="LA85" s="19"/>
      <c r="LB85" s="19"/>
      <c r="LC85" s="19"/>
      <c r="LD85" s="19"/>
      <c r="LE85" s="19"/>
      <c r="LF85" s="19"/>
      <c r="LG85" s="19"/>
      <c r="LH85" s="19"/>
      <c r="LI85" s="19"/>
      <c r="LJ85" s="19"/>
      <c r="LK85" s="19"/>
      <c r="LL85" s="19"/>
      <c r="LM85" s="19"/>
      <c r="LN85" s="19"/>
      <c r="LO85" s="19"/>
      <c r="LP85" s="19"/>
      <c r="LQ85" s="19"/>
      <c r="LR85" s="19"/>
      <c r="LS85" s="19"/>
      <c r="LT85" s="19"/>
      <c r="LU85" s="19"/>
      <c r="LV85" s="19"/>
      <c r="LW85" s="19"/>
      <c r="LX85" s="19"/>
      <c r="LY85" s="19"/>
      <c r="LZ85" s="19"/>
      <c r="MA85" s="19"/>
      <c r="MB85" s="19"/>
      <c r="MC85" s="19"/>
      <c r="MD85" s="19"/>
      <c r="ME85" s="19"/>
      <c r="MF85" s="19"/>
      <c r="MG85" s="19"/>
      <c r="MH85" s="19"/>
      <c r="MI85" s="19"/>
      <c r="MJ85" s="19"/>
      <c r="MK85" s="19"/>
      <c r="ML85" s="19"/>
      <c r="MM85" s="19"/>
      <c r="MN85" s="19"/>
      <c r="MO85" s="19"/>
      <c r="MP85" s="19"/>
      <c r="MQ85" s="19"/>
      <c r="MR85" s="19"/>
      <c r="MS85" s="19"/>
      <c r="MT85" s="19"/>
      <c r="MU85" s="19"/>
      <c r="MV85" s="19"/>
      <c r="MW85" s="19"/>
      <c r="MX85" s="19"/>
      <c r="MY85" s="19"/>
      <c r="MZ85" s="19"/>
      <c r="NA85" s="19"/>
      <c r="NB85" s="19"/>
      <c r="NC85" s="19"/>
      <c r="ND85" s="19"/>
      <c r="NE85" s="19"/>
      <c r="NF85" s="19"/>
      <c r="NG85" s="19"/>
      <c r="NH85" s="19"/>
      <c r="NI85" s="19"/>
      <c r="NJ85" s="19"/>
      <c r="NK85" s="19"/>
      <c r="NL85" s="19"/>
      <c r="NM85" s="19"/>
      <c r="NN85" s="19"/>
      <c r="NO85" s="19"/>
      <c r="NP85" s="19"/>
      <c r="NQ85" s="19"/>
      <c r="NR85" s="19"/>
      <c r="NS85" s="19"/>
      <c r="NT85" s="19"/>
      <c r="NU85" s="19"/>
      <c r="NV85" s="19"/>
      <c r="NW85" s="19"/>
      <c r="NX85" s="19"/>
      <c r="NY85" s="19"/>
      <c r="NZ85" s="19"/>
      <c r="OA85" s="19"/>
      <c r="OB85" s="19"/>
      <c r="OC85" s="19"/>
      <c r="OD85" s="19"/>
      <c r="OE85" s="19"/>
      <c r="OF85" s="19"/>
      <c r="OG85" s="19"/>
      <c r="OH85" s="19"/>
      <c r="OI85" s="19"/>
      <c r="OJ85" s="19"/>
      <c r="OK85" s="19"/>
      <c r="OL85" s="19"/>
      <c r="OM85" s="19"/>
      <c r="ON85" s="19"/>
      <c r="OO85" s="19"/>
      <c r="OP85" s="19"/>
      <c r="OQ85" s="19"/>
      <c r="OR85" s="19"/>
      <c r="OS85" s="19"/>
      <c r="OT85" s="19"/>
      <c r="OU85" s="19"/>
      <c r="OV85" s="19"/>
      <c r="OW85" s="19"/>
      <c r="OX85" s="19"/>
      <c r="OY85" s="19"/>
      <c r="OZ85" s="19"/>
      <c r="PA85" s="19"/>
      <c r="PB85" s="19"/>
      <c r="PC85" s="19"/>
      <c r="PD85" s="19"/>
      <c r="PE85" s="19"/>
      <c r="PF85" s="19"/>
      <c r="PG85" s="19"/>
      <c r="PH85" s="19"/>
      <c r="PI85" s="19"/>
      <c r="PJ85" s="19"/>
      <c r="PK85" s="19"/>
      <c r="PL85" s="19"/>
      <c r="PM85" s="19"/>
      <c r="PN85" s="19"/>
      <c r="PO85" s="19"/>
      <c r="PP85" s="19"/>
      <c r="PQ85" s="19"/>
      <c r="PR85" s="19"/>
      <c r="PS85" s="19"/>
      <c r="PT85" s="19"/>
      <c r="PU85" s="19"/>
      <c r="PV85" s="19"/>
      <c r="PW85" s="19"/>
      <c r="PX85" s="19"/>
      <c r="PY85" s="19"/>
      <c r="PZ85" s="19"/>
      <c r="QA85" s="19"/>
      <c r="QB85" s="19"/>
      <c r="QC85" s="19"/>
      <c r="QD85" s="19"/>
      <c r="QE85" s="19"/>
      <c r="QF85" s="19"/>
      <c r="QG85" s="19"/>
      <c r="QH85" s="19"/>
      <c r="QI85" s="19"/>
      <c r="QJ85" s="19"/>
      <c r="QK85" s="19"/>
      <c r="QL85" s="19"/>
      <c r="QM85" s="19"/>
      <c r="QN85" s="19"/>
      <c r="QO85" s="19"/>
      <c r="QP85" s="19"/>
      <c r="QQ85" s="19"/>
      <c r="QR85" s="19"/>
      <c r="QS85" s="19"/>
      <c r="QT85" s="19"/>
      <c r="QU85" s="19"/>
      <c r="QV85" s="19"/>
      <c r="QW85" s="19"/>
      <c r="QX85" s="19"/>
      <c r="QY85" s="19"/>
      <c r="QZ85" s="19"/>
      <c r="RA85" s="19"/>
      <c r="RB85" s="19"/>
      <c r="RC85" s="19"/>
      <c r="RD85" s="19"/>
      <c r="RE85" s="19"/>
      <c r="RF85" s="19"/>
      <c r="RG85" s="19"/>
      <c r="RH85" s="19"/>
      <c r="RI85" s="19"/>
      <c r="RJ85" s="19"/>
      <c r="RK85" s="19"/>
      <c r="RL85" s="19"/>
      <c r="RM85" s="19"/>
      <c r="RN85" s="19"/>
      <c r="RO85" s="19"/>
      <c r="RP85" s="19"/>
      <c r="RQ85" s="19"/>
      <c r="RR85" s="19"/>
      <c r="RS85" s="19"/>
      <c r="RT85" s="19"/>
      <c r="RU85" s="19"/>
      <c r="RV85" s="19"/>
      <c r="RW85" s="19"/>
      <c r="RX85" s="19"/>
      <c r="RY85" s="19"/>
      <c r="RZ85" s="19"/>
      <c r="SA85" s="19"/>
      <c r="SB85" s="19"/>
      <c r="SC85" s="19"/>
      <c r="SD85" s="19"/>
      <c r="SE85" s="19"/>
      <c r="SF85" s="19"/>
      <c r="SG85" s="19"/>
      <c r="SH85" s="19"/>
      <c r="SI85" s="19"/>
      <c r="SJ85" s="19"/>
      <c r="SK85" s="19"/>
      <c r="SL85" s="19"/>
      <c r="SM85" s="19"/>
      <c r="SN85" s="19"/>
      <c r="SO85" s="19"/>
      <c r="SP85" s="19"/>
      <c r="SQ85" s="19"/>
      <c r="SR85" s="19"/>
      <c r="SS85" s="19"/>
      <c r="ST85" s="19"/>
      <c r="SU85" s="19"/>
      <c r="SV85" s="19"/>
      <c r="SW85" s="19"/>
      <c r="SX85" s="19"/>
      <c r="SY85" s="19"/>
      <c r="SZ85" s="19"/>
      <c r="TA85" s="19"/>
      <c r="TB85" s="19"/>
      <c r="TC85" s="19"/>
      <c r="TD85" s="19"/>
      <c r="TE85" s="19"/>
      <c r="TF85" s="19"/>
      <c r="TG85" s="19"/>
      <c r="TH85" s="19"/>
      <c r="TI85" s="19"/>
      <c r="TJ85" s="19"/>
      <c r="TK85" s="19"/>
      <c r="TL85" s="19"/>
      <c r="TM85" s="19"/>
      <c r="TN85" s="19"/>
      <c r="TO85" s="19"/>
      <c r="TP85" s="19"/>
      <c r="TQ85" s="19"/>
      <c r="TR85" s="19"/>
      <c r="TS85" s="19"/>
      <c r="TT85" s="19"/>
      <c r="TU85" s="19"/>
      <c r="TV85" s="19"/>
      <c r="TW85" s="19"/>
      <c r="TX85" s="19"/>
      <c r="TY85" s="19"/>
      <c r="TZ85" s="19"/>
      <c r="UA85" s="19"/>
      <c r="UB85" s="19"/>
      <c r="UC85" s="19"/>
      <c r="UD85" s="19"/>
      <c r="UE85" s="19"/>
      <c r="UF85" s="19"/>
      <c r="UG85" s="19"/>
      <c r="UH85" s="19"/>
      <c r="UI85" s="19"/>
      <c r="UJ85" s="19"/>
      <c r="UK85" s="19"/>
      <c r="UL85" s="19"/>
      <c r="UM85" s="19"/>
      <c r="UN85" s="19"/>
      <c r="UO85" s="19"/>
      <c r="UP85" s="19"/>
      <c r="UQ85" s="19"/>
      <c r="UR85" s="19"/>
      <c r="US85" s="19"/>
      <c r="UT85" s="19"/>
      <c r="UU85" s="19"/>
      <c r="UV85" s="19"/>
      <c r="UW85" s="19"/>
      <c r="UX85" s="19"/>
      <c r="UY85" s="19"/>
      <c r="UZ85" s="19"/>
      <c r="VA85" s="19"/>
      <c r="VB85" s="19"/>
      <c r="VC85" s="19"/>
      <c r="VD85" s="19"/>
      <c r="VE85" s="19"/>
      <c r="VF85" s="19"/>
      <c r="VG85" s="19"/>
      <c r="VH85" s="19"/>
      <c r="VI85" s="19"/>
      <c r="VJ85" s="19"/>
      <c r="VK85" s="19"/>
      <c r="VL85" s="19"/>
      <c r="VM85" s="19"/>
      <c r="VN85" s="19"/>
      <c r="VO85" s="19"/>
      <c r="VP85" s="19"/>
      <c r="VQ85" s="19"/>
      <c r="VR85" s="19"/>
      <c r="VS85" s="19"/>
      <c r="VT85" s="19"/>
      <c r="VU85" s="19"/>
      <c r="VV85" s="19"/>
      <c r="VW85" s="19"/>
      <c r="VX85" s="19"/>
      <c r="VY85" s="19"/>
      <c r="VZ85" s="19"/>
      <c r="WA85" s="19"/>
      <c r="WB85" s="19"/>
      <c r="WC85" s="19"/>
      <c r="WD85" s="19"/>
      <c r="WE85" s="19"/>
      <c r="WF85" s="19"/>
      <c r="WG85" s="19"/>
      <c r="WH85" s="19"/>
      <c r="WI85" s="19"/>
      <c r="WJ85" s="19"/>
      <c r="WK85" s="19"/>
      <c r="WL85" s="19"/>
      <c r="WM85" s="19"/>
      <c r="WN85" s="19"/>
      <c r="WO85" s="19"/>
      <c r="WP85" s="19"/>
      <c r="WQ85" s="19"/>
      <c r="WR85" s="19"/>
      <c r="WS85" s="19"/>
      <c r="WT85" s="19"/>
      <c r="WU85" s="19"/>
      <c r="WV85" s="19"/>
      <c r="WW85" s="19"/>
      <c r="WX85" s="19"/>
      <c r="WY85" s="19"/>
      <c r="WZ85" s="19"/>
      <c r="XA85" s="19"/>
      <c r="XB85" s="19"/>
      <c r="XC85" s="19"/>
      <c r="XD85" s="19"/>
      <c r="XE85" s="19"/>
      <c r="XF85" s="19"/>
      <c r="XG85" s="19"/>
      <c r="XH85" s="19"/>
      <c r="XI85" s="19"/>
      <c r="XJ85" s="19"/>
      <c r="XK85" s="19"/>
      <c r="XL85" s="19"/>
      <c r="XM85" s="19"/>
      <c r="XN85" s="19"/>
      <c r="XO85" s="19"/>
      <c r="XP85" s="19"/>
      <c r="XQ85" s="19"/>
      <c r="XR85" s="19"/>
      <c r="XS85" s="19"/>
      <c r="XT85" s="19"/>
      <c r="XU85" s="19"/>
      <c r="XV85" s="19"/>
      <c r="XW85" s="19"/>
      <c r="XX85" s="19"/>
      <c r="XY85" s="19"/>
      <c r="XZ85" s="19"/>
      <c r="YA85" s="19"/>
      <c r="YB85" s="19"/>
      <c r="YC85" s="19"/>
      <c r="YD85" s="19"/>
      <c r="YE85" s="19"/>
      <c r="YF85" s="19"/>
      <c r="YG85" s="19"/>
      <c r="YH85" s="19"/>
      <c r="YI85" s="19"/>
      <c r="YJ85" s="19"/>
      <c r="YK85" s="19"/>
      <c r="YL85" s="19"/>
      <c r="YM85" s="19"/>
      <c r="YN85" s="19"/>
      <c r="YO85" s="19"/>
      <c r="YP85" s="19"/>
      <c r="YQ85" s="19"/>
      <c r="YR85" s="19"/>
      <c r="YS85" s="19"/>
      <c r="YT85" s="19"/>
      <c r="YU85" s="19"/>
      <c r="YV85" s="19"/>
      <c r="YW85" s="19"/>
      <c r="YX85" s="19"/>
      <c r="YY85" s="19"/>
      <c r="YZ85" s="19"/>
      <c r="ZA85" s="19"/>
      <c r="ZB85" s="19"/>
      <c r="ZC85" s="19"/>
      <c r="ZD85" s="19"/>
      <c r="ZE85" s="19"/>
      <c r="ZF85" s="19"/>
      <c r="ZG85" s="19"/>
      <c r="ZH85" s="19"/>
      <c r="ZI85" s="19"/>
      <c r="ZJ85" s="19"/>
      <c r="ZK85" s="19"/>
      <c r="ZL85" s="19"/>
      <c r="ZM85" s="19"/>
      <c r="ZN85" s="19"/>
      <c r="ZO85" s="19"/>
      <c r="ZP85" s="19"/>
      <c r="ZQ85" s="19"/>
      <c r="ZR85" s="19"/>
      <c r="ZS85" s="19"/>
      <c r="ZT85" s="19"/>
      <c r="ZU85" s="19"/>
      <c r="ZV85" s="19"/>
      <c r="ZW85" s="19"/>
      <c r="ZX85" s="19"/>
      <c r="ZY85" s="19"/>
      <c r="ZZ85" s="19"/>
      <c r="AAA85" s="19"/>
      <c r="AAB85" s="19"/>
      <c r="AAC85" s="19"/>
      <c r="AAD85" s="19"/>
      <c r="AAE85" s="19"/>
      <c r="AAF85" s="19"/>
      <c r="AAG85" s="19"/>
      <c r="AAH85" s="19"/>
      <c r="AAI85" s="19"/>
      <c r="AAJ85" s="19"/>
      <c r="AAK85" s="19"/>
      <c r="AAL85" s="19"/>
      <c r="AAM85" s="19"/>
      <c r="AAN85" s="19"/>
      <c r="AAO85" s="19"/>
      <c r="AAP85" s="19"/>
      <c r="AAQ85" s="19"/>
      <c r="AAR85" s="19"/>
      <c r="AAS85" s="19"/>
      <c r="AAT85" s="19"/>
      <c r="AAU85" s="19"/>
      <c r="AAV85" s="19"/>
      <c r="AAW85" s="19"/>
      <c r="AAX85" s="19"/>
      <c r="AAY85" s="19"/>
      <c r="AAZ85" s="19"/>
      <c r="ABA85" s="19"/>
      <c r="ABB85" s="19"/>
      <c r="ABC85" s="19"/>
      <c r="ABD85" s="19"/>
      <c r="ABE85" s="19"/>
      <c r="ABF85" s="19"/>
      <c r="ABG85" s="19"/>
      <c r="ABH85" s="19"/>
      <c r="ABI85" s="19"/>
      <c r="ABJ85" s="19"/>
      <c r="ABK85" s="19"/>
      <c r="ABL85" s="19"/>
      <c r="ABM85" s="19"/>
      <c r="ABN85" s="19"/>
      <c r="ABO85" s="19"/>
      <c r="ABP85" s="19"/>
      <c r="ABQ85" s="19"/>
      <c r="ABR85" s="19"/>
      <c r="ABS85" s="19"/>
      <c r="ABT85" s="19"/>
      <c r="ABU85" s="19"/>
      <c r="ABV85" s="19"/>
      <c r="ABW85" s="19"/>
      <c r="ABX85" s="19"/>
      <c r="ABY85" s="19"/>
      <c r="ABZ85" s="19"/>
      <c r="ACA85" s="19"/>
      <c r="ACB85" s="19"/>
      <c r="ACC85" s="19"/>
      <c r="ACD85" s="19"/>
      <c r="ACE85" s="19"/>
      <c r="ACF85" s="19"/>
      <c r="ACG85" s="19"/>
      <c r="ACH85" s="19"/>
      <c r="ACI85" s="19"/>
      <c r="ACJ85" s="19"/>
      <c r="ACK85" s="19"/>
      <c r="ACL85" s="19"/>
      <c r="ACM85" s="19"/>
      <c r="ACN85" s="19"/>
      <c r="ACO85" s="19"/>
      <c r="ACP85" s="19"/>
      <c r="ACQ85" s="19"/>
      <c r="ACR85" s="19"/>
      <c r="ACS85" s="19"/>
      <c r="ACT85" s="19"/>
      <c r="ACU85" s="19"/>
      <c r="ACV85" s="19"/>
      <c r="ACW85" s="19"/>
      <c r="ACX85" s="19"/>
      <c r="ACY85" s="19"/>
      <c r="ACZ85" s="19"/>
      <c r="ADA85" s="19"/>
      <c r="ADB85" s="19"/>
      <c r="ADC85" s="19"/>
      <c r="ADD85" s="19"/>
      <c r="ADE85" s="19"/>
      <c r="ADF85" s="19"/>
      <c r="ADG85" s="19"/>
      <c r="ADH85" s="19"/>
      <c r="ADI85" s="19"/>
      <c r="ADJ85" s="19"/>
      <c r="ADK85" s="19"/>
      <c r="ADL85" s="19"/>
      <c r="ADM85" s="19"/>
      <c r="ADN85" s="19"/>
      <c r="ADO85" s="19"/>
      <c r="ADP85" s="19"/>
      <c r="ADQ85" s="19"/>
      <c r="ADR85" s="19"/>
      <c r="ADS85" s="19"/>
      <c r="ADT85" s="19"/>
      <c r="ADU85" s="19"/>
      <c r="ADV85" s="19"/>
      <c r="ADW85" s="19"/>
      <c r="ADX85" s="19"/>
      <c r="ADY85" s="19"/>
      <c r="ADZ85" s="19"/>
      <c r="AEA85" s="19"/>
      <c r="AEB85" s="19"/>
      <c r="AEC85" s="19"/>
      <c r="AED85" s="19"/>
      <c r="AEE85" s="19"/>
      <c r="AEF85" s="19"/>
      <c r="AEG85" s="19"/>
      <c r="AEH85" s="19"/>
      <c r="AEI85" s="19"/>
      <c r="AEJ85" s="19"/>
      <c r="AEK85" s="19"/>
      <c r="AEL85" s="19"/>
      <c r="AEM85" s="19"/>
      <c r="AEN85" s="19"/>
      <c r="AEO85" s="19"/>
      <c r="AEP85" s="19"/>
      <c r="AEQ85" s="19"/>
      <c r="AER85" s="19"/>
      <c r="AES85" s="19"/>
      <c r="AET85" s="19"/>
      <c r="AEU85" s="19"/>
      <c r="AEV85" s="19"/>
      <c r="AEW85" s="19"/>
      <c r="AEX85" s="19"/>
      <c r="AEY85" s="19"/>
      <c r="AEZ85" s="19"/>
      <c r="AFA85" s="19"/>
      <c r="AFB85" s="19"/>
      <c r="AFC85" s="19"/>
      <c r="AFD85" s="19"/>
      <c r="AFE85" s="19"/>
      <c r="AFF85" s="19"/>
      <c r="AFG85" s="19"/>
      <c r="AFH85" s="19"/>
      <c r="AFI85" s="19"/>
      <c r="AFJ85" s="19"/>
      <c r="AFK85" s="19"/>
      <c r="AFL85" s="19"/>
      <c r="AFM85" s="19"/>
      <c r="AFN85" s="19"/>
      <c r="AFO85" s="19"/>
      <c r="AFP85" s="19"/>
      <c r="AFQ85" s="19"/>
      <c r="AFR85" s="19"/>
      <c r="AFS85" s="19"/>
      <c r="AFT85" s="19"/>
      <c r="AFU85" s="19"/>
      <c r="AFV85" s="19"/>
      <c r="AFW85" s="19"/>
      <c r="AFX85" s="19"/>
      <c r="AFY85" s="19"/>
      <c r="AFZ85" s="19"/>
      <c r="AGA85" s="19"/>
      <c r="AGB85" s="19"/>
      <c r="AGC85" s="19"/>
      <c r="AGD85" s="19"/>
      <c r="AGE85" s="19"/>
      <c r="AGF85" s="19"/>
      <c r="AGG85" s="19"/>
      <c r="AGH85" s="19"/>
      <c r="AGI85" s="19"/>
      <c r="AGJ85" s="19"/>
      <c r="AGK85" s="19"/>
      <c r="AGL85" s="19"/>
      <c r="AGM85" s="19"/>
      <c r="AGN85" s="19"/>
      <c r="AGO85" s="19"/>
      <c r="AGP85" s="19"/>
      <c r="AGQ85" s="19"/>
      <c r="AGR85" s="19"/>
      <c r="AGS85" s="19"/>
      <c r="AGT85" s="19"/>
      <c r="AGU85" s="19"/>
      <c r="AGV85" s="19"/>
      <c r="AGW85" s="19"/>
      <c r="AGX85" s="19"/>
      <c r="AGY85" s="19"/>
      <c r="AGZ85" s="19"/>
      <c r="AHA85" s="19"/>
      <c r="AHB85" s="19"/>
      <c r="AHC85" s="19"/>
      <c r="AHD85" s="19"/>
      <c r="AHE85" s="19"/>
      <c r="AHF85" s="19"/>
      <c r="AHG85" s="19"/>
      <c r="AHH85" s="19"/>
      <c r="AHI85" s="19"/>
      <c r="AHJ85" s="19"/>
      <c r="AHK85" s="19"/>
      <c r="AHL85" s="19"/>
      <c r="AHM85" s="19"/>
      <c r="AHN85" s="19"/>
      <c r="AHO85" s="19"/>
      <c r="AHP85" s="19"/>
      <c r="AHQ85" s="19"/>
      <c r="AHR85" s="19"/>
      <c r="AHS85" s="19"/>
      <c r="AHT85" s="19"/>
      <c r="AHU85" s="19"/>
      <c r="AHV85" s="19"/>
      <c r="AHW85" s="19"/>
      <c r="AHX85" s="19"/>
      <c r="AHY85" s="19"/>
      <c r="AHZ85" s="19"/>
      <c r="AIA85" s="19"/>
      <c r="AIB85" s="19"/>
      <c r="AIC85" s="19"/>
      <c r="AID85" s="19"/>
      <c r="AIE85" s="19"/>
      <c r="AIF85" s="19"/>
      <c r="AIG85" s="19"/>
      <c r="AIH85" s="19"/>
      <c r="AII85" s="19"/>
      <c r="AIJ85" s="19"/>
      <c r="AIK85" s="19"/>
      <c r="AIL85" s="19"/>
      <c r="AIM85" s="19"/>
      <c r="AIN85" s="19"/>
      <c r="AIO85" s="19"/>
      <c r="AIP85" s="19"/>
      <c r="AIQ85" s="19"/>
      <c r="AIR85" s="19"/>
      <c r="AIS85" s="19"/>
      <c r="AIT85" s="19"/>
      <c r="AIU85" s="19"/>
      <c r="AIV85" s="19"/>
      <c r="AIW85" s="19"/>
      <c r="AIX85" s="19"/>
      <c r="AIY85" s="19"/>
      <c r="AIZ85" s="19"/>
      <c r="AJA85" s="19"/>
      <c r="AJB85" s="19"/>
      <c r="AJC85" s="19"/>
      <c r="AJD85" s="19"/>
      <c r="AJE85" s="19"/>
      <c r="AJF85" s="19"/>
      <c r="AJG85" s="19"/>
      <c r="AJH85" s="19"/>
      <c r="AJI85" s="19"/>
      <c r="AJJ85" s="19"/>
      <c r="AJK85" s="19"/>
      <c r="AJL85" s="19"/>
      <c r="AJM85" s="19"/>
      <c r="AJN85" s="19"/>
      <c r="AJO85" s="19"/>
      <c r="AJP85" s="19"/>
      <c r="AJQ85" s="19"/>
      <c r="AJR85" s="19"/>
      <c r="AJS85" s="19"/>
      <c r="AJT85" s="19"/>
      <c r="AJU85" s="19"/>
      <c r="AJV85" s="19"/>
      <c r="AJW85" s="19"/>
      <c r="AJX85" s="19"/>
      <c r="AJY85" s="19"/>
      <c r="AJZ85" s="19"/>
      <c r="AKA85" s="19"/>
      <c r="AKB85" s="19"/>
      <c r="AKC85" s="19"/>
      <c r="AKD85" s="19"/>
      <c r="AKE85" s="19"/>
      <c r="AKF85" s="19"/>
      <c r="AKG85" s="19"/>
      <c r="AKH85" s="19"/>
      <c r="AKI85" s="19"/>
      <c r="AKJ85" s="19"/>
      <c r="AKK85" s="19"/>
      <c r="AKL85" s="19"/>
      <c r="AKM85" s="19"/>
      <c r="AKN85" s="19"/>
      <c r="AKO85" s="19"/>
      <c r="AKP85" s="19"/>
      <c r="AKQ85" s="19"/>
      <c r="AKR85" s="19"/>
      <c r="AKS85" s="19"/>
      <c r="AKT85" s="19"/>
      <c r="AKU85" s="19"/>
      <c r="AKV85" s="19"/>
      <c r="AKW85" s="19"/>
      <c r="AKX85" s="19"/>
      <c r="AKY85" s="19"/>
      <c r="AKZ85" s="19"/>
      <c r="ALA85" s="19"/>
      <c r="ALB85" s="19"/>
      <c r="ALC85" s="19"/>
      <c r="ALD85" s="19"/>
      <c r="ALE85" s="19"/>
      <c r="ALF85" s="19"/>
      <c r="ALG85" s="19"/>
      <c r="ALH85" s="19"/>
      <c r="ALI85" s="19"/>
      <c r="ALJ85" s="19"/>
      <c r="ALK85" s="19"/>
      <c r="ALL85" s="19"/>
      <c r="ALM85" s="19"/>
      <c r="ALN85" s="19"/>
      <c r="ALO85" s="19"/>
      <c r="ALP85" s="19"/>
      <c r="ALQ85" s="19"/>
      <c r="ALR85" s="19"/>
      <c r="ALS85" s="19"/>
      <c r="ALT85" s="19"/>
      <c r="ALU85" s="19"/>
      <c r="ALV85" s="19"/>
      <c r="ALW85" s="19"/>
      <c r="ALX85" s="19"/>
      <c r="ALY85" s="19"/>
      <c r="ALZ85" s="19"/>
      <c r="AMA85" s="19"/>
      <c r="AMB85" s="19"/>
      <c r="AMC85" s="19"/>
      <c r="AMD85" s="19"/>
      <c r="AME85" s="19"/>
      <c r="AMF85" s="19"/>
      <c r="AMG85" s="19"/>
      <c r="AMH85" s="19"/>
      <c r="AMI85" s="19"/>
      <c r="AMJ85" s="19"/>
    </row>
    <row r="86" s="1" customFormat="true" ht="13.8" hidden="false" customHeight="false" outlineLevel="0" collapsed="false">
      <c r="O86" s="36"/>
      <c r="P86" s="36"/>
      <c r="Q86" s="36"/>
      <c r="R86" s="36"/>
      <c r="S86" s="36"/>
      <c r="T86" s="37"/>
      <c r="U86" s="36"/>
      <c r="V86" s="36"/>
      <c r="X86" s="36"/>
      <c r="AA86" s="4"/>
      <c r="AJ86" s="36"/>
      <c r="AP86" s="36"/>
      <c r="AQ86" s="36"/>
      <c r="BE86" s="4"/>
      <c r="BK86" s="33"/>
      <c r="BL86" s="33"/>
    </row>
    <row r="87" s="1" customFormat="true" ht="13.8" hidden="false" customHeight="false" outlineLevel="0" collapsed="false"/>
    <row r="88" s="1" customFormat="true" ht="13.8" hidden="false" customHeight="false" outlineLevel="0" collapsed="false"/>
    <row r="89" s="1" customFormat="true" ht="13.8" hidden="false" customHeight="false" outlineLevel="0" collapsed="false">
      <c r="O89" s="36"/>
      <c r="P89" s="36"/>
      <c r="Q89" s="36"/>
      <c r="R89" s="36"/>
      <c r="S89" s="36"/>
      <c r="T89" s="37"/>
      <c r="U89" s="36"/>
      <c r="V89" s="36"/>
      <c r="X89" s="36"/>
      <c r="AA89" s="4"/>
      <c r="AJ89" s="36"/>
      <c r="AP89" s="36"/>
      <c r="AQ89" s="36"/>
      <c r="BE89" s="4"/>
      <c r="BK89" s="33"/>
      <c r="BL89" s="33"/>
    </row>
    <row r="90" s="1" customFormat="true" ht="13.8" hidden="false" customHeight="false" outlineLevel="0" collapsed="false">
      <c r="O90" s="36"/>
      <c r="P90" s="36"/>
      <c r="Q90" s="36"/>
      <c r="R90" s="36"/>
      <c r="S90" s="36"/>
      <c r="T90" s="37"/>
      <c r="U90" s="36"/>
      <c r="V90" s="36"/>
      <c r="X90" s="36"/>
      <c r="AA90" s="4"/>
      <c r="AJ90" s="36"/>
      <c r="AP90" s="36"/>
      <c r="AQ90" s="36"/>
      <c r="BE90" s="4"/>
      <c r="BK90" s="33"/>
      <c r="BL90" s="33"/>
    </row>
    <row r="91" s="1" customFormat="true" ht="13.8" hidden="false" customHeight="false" outlineLevel="0" collapsed="false">
      <c r="O91" s="36"/>
      <c r="P91" s="36"/>
      <c r="Q91" s="36"/>
      <c r="R91" s="36"/>
      <c r="S91" s="36"/>
      <c r="T91" s="37"/>
      <c r="U91" s="36"/>
      <c r="V91" s="36"/>
      <c r="X91" s="36"/>
      <c r="AA91" s="4"/>
      <c r="AJ91" s="36"/>
      <c r="AP91" s="36"/>
      <c r="AQ91" s="36"/>
      <c r="BE91" s="4"/>
      <c r="BK91" s="33"/>
      <c r="BL91" s="33"/>
    </row>
    <row r="92" s="1" customFormat="true" ht="13.8" hidden="false" customHeight="false" outlineLevel="0" collapsed="false">
      <c r="O92" s="36"/>
      <c r="P92" s="36"/>
      <c r="Q92" s="36"/>
      <c r="R92" s="36"/>
      <c r="S92" s="36"/>
      <c r="T92" s="37"/>
      <c r="U92" s="36"/>
      <c r="V92" s="36"/>
      <c r="X92" s="36"/>
      <c r="AA92" s="4"/>
      <c r="AJ92" s="36"/>
      <c r="AP92" s="36"/>
      <c r="AQ92" s="36"/>
      <c r="BE92" s="4"/>
      <c r="BK92" s="33"/>
      <c r="BL92" s="33"/>
    </row>
    <row r="93" s="1" customFormat="true" ht="13.8" hidden="false" customHeight="false" outlineLevel="0" collapsed="false">
      <c r="O93" s="36"/>
      <c r="P93" s="36"/>
      <c r="Q93" s="36"/>
      <c r="R93" s="36"/>
      <c r="S93" s="36"/>
      <c r="T93" s="37"/>
      <c r="U93" s="36"/>
      <c r="V93" s="36"/>
      <c r="X93" s="36"/>
      <c r="AA93" s="4"/>
      <c r="AJ93" s="36"/>
      <c r="AP93" s="36"/>
      <c r="AQ93" s="36"/>
      <c r="BE93" s="4"/>
      <c r="BK93" s="33"/>
      <c r="BL93" s="33"/>
    </row>
    <row r="94" s="1" customFormat="true" ht="13.8" hidden="false" customHeight="false" outlineLevel="0" collapsed="false">
      <c r="O94" s="36"/>
      <c r="P94" s="36"/>
      <c r="Q94" s="36"/>
      <c r="R94" s="36"/>
      <c r="S94" s="36"/>
      <c r="T94" s="37"/>
      <c r="U94" s="36"/>
      <c r="V94" s="36"/>
      <c r="X94" s="36"/>
      <c r="AA94" s="4"/>
      <c r="AJ94" s="36"/>
      <c r="AP94" s="36"/>
      <c r="AQ94" s="36"/>
      <c r="BE94" s="4"/>
      <c r="BK94" s="33"/>
      <c r="BL94" s="33"/>
    </row>
    <row r="95" s="1" customFormat="true" ht="13.8" hidden="false" customHeight="false" outlineLevel="0" collapsed="false">
      <c r="O95" s="36"/>
      <c r="P95" s="36"/>
      <c r="Q95" s="36"/>
      <c r="R95" s="36"/>
      <c r="S95" s="36"/>
      <c r="T95" s="37"/>
      <c r="U95" s="36"/>
      <c r="V95" s="36"/>
      <c r="X95" s="36"/>
      <c r="AA95" s="4"/>
      <c r="AJ95" s="36"/>
      <c r="AP95" s="36"/>
      <c r="AQ95" s="36"/>
      <c r="BE95" s="4"/>
      <c r="BK95" s="33"/>
      <c r="BL95" s="33"/>
    </row>
    <row r="96" s="1" customFormat="true" ht="13.8" hidden="false" customHeight="false" outlineLevel="0" collapsed="false">
      <c r="O96" s="36"/>
      <c r="P96" s="36"/>
      <c r="Q96" s="36"/>
      <c r="R96" s="36"/>
      <c r="S96" s="36"/>
      <c r="T96" s="37"/>
      <c r="U96" s="36"/>
      <c r="V96" s="36"/>
      <c r="X96" s="36"/>
      <c r="AA96" s="4"/>
      <c r="AJ96" s="36"/>
      <c r="AP96" s="36"/>
      <c r="AQ96" s="36"/>
      <c r="BE96" s="4"/>
      <c r="BK96" s="33"/>
      <c r="BL96" s="33"/>
    </row>
    <row r="97" s="1" customFormat="true" ht="13.8" hidden="false" customHeight="false" outlineLevel="0" collapsed="false">
      <c r="O97" s="36"/>
      <c r="P97" s="36"/>
      <c r="Q97" s="36"/>
      <c r="R97" s="36"/>
      <c r="S97" s="36"/>
      <c r="T97" s="36"/>
      <c r="U97" s="36"/>
      <c r="V97" s="36"/>
      <c r="X97" s="36"/>
      <c r="AA97" s="4"/>
      <c r="AJ97" s="36"/>
      <c r="AP97" s="36"/>
      <c r="AQ97" s="36"/>
      <c r="BE97" s="4"/>
      <c r="BK97" s="33"/>
      <c r="BL97" s="33"/>
    </row>
    <row r="98" s="1" customFormat="true" ht="13.8" hidden="false" customHeight="false" outlineLevel="0" collapsed="false">
      <c r="O98" s="36"/>
      <c r="P98" s="36"/>
      <c r="Q98" s="36"/>
      <c r="R98" s="36"/>
      <c r="S98" s="36"/>
      <c r="T98" s="37"/>
      <c r="U98" s="36"/>
      <c r="V98" s="36"/>
      <c r="X98" s="36"/>
      <c r="AA98" s="4"/>
      <c r="AJ98" s="36"/>
      <c r="AP98" s="36"/>
      <c r="AQ98" s="36"/>
      <c r="BE98" s="4"/>
      <c r="BK98" s="33"/>
      <c r="BL98" s="33"/>
    </row>
    <row r="99" s="1" customFormat="true" ht="13.8" hidden="false" customHeight="false" outlineLevel="0" collapsed="false">
      <c r="O99" s="36"/>
      <c r="P99" s="36"/>
      <c r="Q99" s="36"/>
      <c r="R99" s="36"/>
      <c r="S99" s="36"/>
      <c r="T99" s="36"/>
      <c r="U99" s="36"/>
      <c r="V99" s="36"/>
      <c r="X99" s="36"/>
      <c r="AA99" s="4"/>
      <c r="AJ99" s="36"/>
      <c r="AP99" s="36"/>
      <c r="AQ99" s="36"/>
      <c r="BE99" s="4"/>
      <c r="BK99" s="33"/>
      <c r="BL99" s="33"/>
    </row>
    <row r="100" s="1" customFormat="true" ht="13.8" hidden="false" customHeight="false" outlineLevel="0" collapsed="false">
      <c r="O100" s="36"/>
      <c r="P100" s="36"/>
      <c r="Q100" s="36"/>
      <c r="R100" s="36"/>
      <c r="S100" s="36"/>
      <c r="T100" s="36"/>
      <c r="U100" s="36"/>
      <c r="V100" s="36"/>
      <c r="X100" s="36"/>
      <c r="AA100" s="4"/>
      <c r="AJ100" s="36"/>
      <c r="AP100" s="36"/>
      <c r="AQ100" s="36"/>
      <c r="BE100" s="4"/>
      <c r="BK100" s="33"/>
      <c r="BL100" s="33"/>
    </row>
    <row r="101" s="1" customFormat="true" ht="13.8" hidden="false" customHeight="false" outlineLevel="0" collapsed="false">
      <c r="O101" s="36"/>
      <c r="P101" s="36"/>
      <c r="Q101" s="36"/>
      <c r="R101" s="36"/>
      <c r="S101" s="36"/>
      <c r="T101" s="36"/>
      <c r="U101" s="36"/>
      <c r="V101" s="36"/>
      <c r="X101" s="36"/>
      <c r="AA101" s="4"/>
      <c r="AJ101" s="36"/>
      <c r="AP101" s="36"/>
      <c r="AQ101" s="36"/>
      <c r="BE101" s="4"/>
      <c r="BK101" s="33"/>
      <c r="BL101" s="33"/>
    </row>
    <row r="102" s="1" customFormat="true" ht="13.8" hidden="false" customHeight="false" outlineLevel="0" collapsed="false">
      <c r="O102" s="36"/>
      <c r="P102" s="36"/>
      <c r="Q102" s="36"/>
      <c r="R102" s="36"/>
      <c r="S102" s="36"/>
      <c r="T102" s="36"/>
      <c r="U102" s="36"/>
      <c r="V102" s="36"/>
      <c r="X102" s="36"/>
      <c r="AA102" s="4"/>
      <c r="AJ102" s="36"/>
      <c r="AP102" s="36"/>
      <c r="AQ102" s="36"/>
      <c r="BE102" s="4"/>
      <c r="BK102" s="33"/>
      <c r="BL102" s="33"/>
    </row>
    <row r="103" s="1" customFormat="true" ht="13.8" hidden="false" customHeight="false" outlineLevel="0" collapsed="false">
      <c r="O103" s="36"/>
      <c r="P103" s="36"/>
      <c r="Q103" s="36"/>
      <c r="R103" s="36"/>
      <c r="S103" s="36"/>
      <c r="T103" s="36"/>
      <c r="U103" s="36"/>
      <c r="V103" s="36"/>
      <c r="X103" s="36"/>
      <c r="AA103" s="4"/>
      <c r="AJ103" s="36"/>
      <c r="AP103" s="36"/>
      <c r="AQ103" s="36"/>
      <c r="BE103" s="4"/>
      <c r="BK103" s="33"/>
      <c r="BL103" s="33"/>
    </row>
    <row r="104" s="1" customFormat="true" ht="13.8" hidden="false" customHeight="false" outlineLevel="0" collapsed="false">
      <c r="O104" s="36"/>
      <c r="P104" s="36"/>
      <c r="Q104" s="36"/>
      <c r="R104" s="36"/>
      <c r="S104" s="36"/>
      <c r="T104" s="36"/>
      <c r="U104" s="36"/>
      <c r="V104" s="36"/>
      <c r="X104" s="36"/>
      <c r="AA104" s="4"/>
      <c r="AJ104" s="36"/>
      <c r="AP104" s="36"/>
      <c r="AQ104" s="36"/>
      <c r="BE104" s="4"/>
      <c r="BK104" s="33"/>
      <c r="BL104" s="33"/>
    </row>
    <row r="105" s="1" customFormat="true" ht="13.8" hidden="false" customHeight="false" outlineLevel="0" collapsed="false">
      <c r="O105" s="36"/>
      <c r="P105" s="36"/>
      <c r="Q105" s="36"/>
      <c r="R105" s="36"/>
      <c r="S105" s="36"/>
      <c r="T105" s="36"/>
      <c r="U105" s="36"/>
      <c r="V105" s="36"/>
      <c r="X105" s="36"/>
      <c r="AA105" s="4"/>
      <c r="AJ105" s="36"/>
      <c r="AP105" s="36"/>
      <c r="AQ105" s="36"/>
      <c r="BE105" s="4"/>
      <c r="BK105" s="33"/>
      <c r="BL105" s="33"/>
    </row>
    <row r="106" s="1" customFormat="true" ht="13.8" hidden="false" customHeight="false" outlineLevel="0" collapsed="false">
      <c r="O106" s="36"/>
      <c r="P106" s="36"/>
      <c r="Q106" s="36"/>
      <c r="R106" s="36"/>
      <c r="S106" s="36"/>
      <c r="T106" s="36"/>
      <c r="U106" s="36"/>
      <c r="V106" s="36"/>
      <c r="X106" s="36"/>
      <c r="AA106" s="4"/>
      <c r="AJ106" s="36"/>
      <c r="AP106" s="36"/>
      <c r="AQ106" s="36"/>
      <c r="BE106" s="4"/>
      <c r="BK106" s="33"/>
      <c r="BL106" s="33"/>
    </row>
    <row r="107" s="1" customFormat="true" ht="13.8" hidden="false" customHeight="false" outlineLevel="0" collapsed="false">
      <c r="O107" s="36"/>
      <c r="P107" s="36"/>
      <c r="Q107" s="36"/>
      <c r="R107" s="36"/>
      <c r="S107" s="36"/>
      <c r="T107" s="36"/>
      <c r="U107" s="36"/>
      <c r="V107" s="36"/>
      <c r="X107" s="36"/>
      <c r="AA107" s="4"/>
      <c r="AJ107" s="36"/>
      <c r="AP107" s="36"/>
      <c r="AQ107" s="36"/>
      <c r="BE107" s="4"/>
      <c r="BK107" s="33"/>
      <c r="BL107" s="33"/>
    </row>
    <row r="108" s="1" customFormat="true" ht="12.75" hidden="false" customHeight="true" outlineLevel="0" collapsed="false">
      <c r="O108" s="36"/>
      <c r="P108" s="36"/>
      <c r="Q108" s="36"/>
      <c r="R108" s="36"/>
      <c r="S108" s="36"/>
      <c r="T108" s="36"/>
      <c r="U108" s="36"/>
      <c r="V108" s="36"/>
      <c r="X108" s="36"/>
      <c r="AA108" s="4"/>
      <c r="AJ108" s="36"/>
      <c r="AP108" s="36"/>
      <c r="AQ108" s="36"/>
      <c r="BE108" s="4"/>
      <c r="BK108" s="33"/>
      <c r="BL108" s="33"/>
    </row>
    <row r="109" s="1" customFormat="true" ht="13.8" hidden="false" customHeight="false" outlineLevel="0" collapsed="false">
      <c r="O109" s="36"/>
      <c r="P109" s="36"/>
      <c r="Q109" s="36"/>
      <c r="R109" s="36"/>
      <c r="S109" s="36"/>
      <c r="T109" s="36"/>
      <c r="U109" s="36"/>
      <c r="V109" s="36"/>
      <c r="X109" s="36"/>
      <c r="AA109" s="4"/>
      <c r="AJ109" s="36"/>
      <c r="AP109" s="36"/>
      <c r="AQ109" s="36"/>
      <c r="BE109" s="4"/>
      <c r="BK109" s="33"/>
      <c r="BL109" s="33"/>
    </row>
    <row r="110" s="1" customFormat="true" ht="13.8" hidden="false" customHeight="false" outlineLevel="0" collapsed="false">
      <c r="O110" s="36"/>
      <c r="P110" s="36"/>
      <c r="Q110" s="36"/>
      <c r="R110" s="36"/>
      <c r="S110" s="36"/>
      <c r="T110" s="36"/>
      <c r="U110" s="36"/>
      <c r="V110" s="36"/>
      <c r="X110" s="36"/>
      <c r="AA110" s="4"/>
      <c r="AJ110" s="36"/>
      <c r="AP110" s="36"/>
      <c r="AQ110" s="36"/>
      <c r="BE110" s="4"/>
      <c r="BK110" s="33"/>
      <c r="BL110" s="33"/>
    </row>
    <row r="111" s="1" customFormat="true" ht="13.8" hidden="false" customHeight="false" outlineLevel="0" collapsed="false">
      <c r="O111" s="36"/>
      <c r="P111" s="36"/>
      <c r="Q111" s="36"/>
      <c r="R111" s="36"/>
      <c r="S111" s="36"/>
      <c r="T111" s="36"/>
      <c r="U111" s="36"/>
      <c r="V111" s="36"/>
      <c r="X111" s="36"/>
      <c r="AA111" s="4"/>
      <c r="AJ111" s="36"/>
      <c r="AP111" s="36"/>
      <c r="AQ111" s="36"/>
      <c r="BE111" s="4"/>
      <c r="BK111" s="33"/>
      <c r="BL111" s="33"/>
    </row>
    <row r="112" s="1" customFormat="true" ht="13.8" hidden="false" customHeight="false" outlineLevel="0" collapsed="false">
      <c r="O112" s="36"/>
      <c r="P112" s="36"/>
      <c r="Q112" s="36"/>
      <c r="R112" s="36"/>
      <c r="S112" s="36"/>
      <c r="T112" s="36"/>
      <c r="U112" s="36"/>
      <c r="V112" s="36"/>
      <c r="X112" s="36"/>
      <c r="AA112" s="4"/>
      <c r="AJ112" s="36"/>
      <c r="AP112" s="36"/>
      <c r="AQ112" s="36"/>
      <c r="BE112" s="4"/>
      <c r="BK112" s="33"/>
      <c r="BL112" s="33"/>
    </row>
    <row r="113" s="1" customFormat="true" ht="13.8" hidden="false" customHeight="false" outlineLevel="0" collapsed="false">
      <c r="O113" s="36"/>
      <c r="P113" s="36"/>
      <c r="Q113" s="36"/>
      <c r="R113" s="36"/>
      <c r="S113" s="36"/>
      <c r="T113" s="36"/>
      <c r="U113" s="36"/>
      <c r="V113" s="36"/>
      <c r="X113" s="36"/>
      <c r="AA113" s="4"/>
      <c r="AJ113" s="36"/>
      <c r="AP113" s="36"/>
      <c r="AQ113" s="36"/>
      <c r="BE113" s="4"/>
      <c r="BK113" s="33"/>
      <c r="BL113" s="33"/>
    </row>
    <row r="114" s="1" customFormat="true" ht="13.8" hidden="false" customHeight="false" outlineLevel="0" collapsed="false">
      <c r="O114" s="36"/>
      <c r="P114" s="36"/>
      <c r="Q114" s="36"/>
      <c r="R114" s="36"/>
      <c r="S114" s="36"/>
      <c r="T114" s="36"/>
      <c r="U114" s="36"/>
      <c r="V114" s="36"/>
      <c r="X114" s="36"/>
      <c r="AA114" s="4"/>
      <c r="AJ114" s="36"/>
      <c r="AP114" s="36"/>
      <c r="AQ114" s="36"/>
      <c r="BE114" s="4"/>
      <c r="BK114" s="33"/>
      <c r="BL114" s="33"/>
    </row>
    <row r="115" s="1" customFormat="true" ht="13.8" hidden="false" customHeight="false" outlineLevel="0" collapsed="false">
      <c r="O115" s="36"/>
      <c r="P115" s="36"/>
      <c r="Q115" s="36"/>
      <c r="R115" s="36"/>
      <c r="S115" s="36"/>
      <c r="T115" s="36"/>
      <c r="U115" s="36"/>
      <c r="V115" s="36"/>
      <c r="X115" s="36"/>
      <c r="AA115" s="4"/>
      <c r="AJ115" s="36"/>
      <c r="AP115" s="36"/>
      <c r="AQ115" s="36"/>
      <c r="BE115" s="4"/>
      <c r="BK115" s="33"/>
      <c r="BL115" s="33"/>
    </row>
    <row r="116" s="1" customFormat="true" ht="13.8" hidden="false" customHeight="false" outlineLevel="0" collapsed="false">
      <c r="O116" s="36"/>
      <c r="P116" s="36"/>
      <c r="Q116" s="36"/>
      <c r="R116" s="36"/>
      <c r="S116" s="36"/>
      <c r="T116" s="36"/>
      <c r="U116" s="36"/>
      <c r="V116" s="36"/>
      <c r="X116" s="36"/>
      <c r="AA116" s="4"/>
      <c r="AJ116" s="36"/>
      <c r="AP116" s="36"/>
      <c r="AQ116" s="36"/>
      <c r="BE116" s="4"/>
      <c r="BK116" s="33"/>
      <c r="BL116" s="33"/>
    </row>
    <row r="117" s="1" customFormat="true" ht="13.8" hidden="false" customHeight="false" outlineLevel="0" collapsed="false">
      <c r="O117" s="36"/>
      <c r="P117" s="36"/>
      <c r="Q117" s="36"/>
      <c r="R117" s="36"/>
      <c r="S117" s="36"/>
      <c r="T117" s="37"/>
      <c r="U117" s="36"/>
      <c r="V117" s="36"/>
      <c r="X117" s="36"/>
      <c r="AA117" s="4"/>
      <c r="AJ117" s="36"/>
      <c r="AP117" s="36"/>
      <c r="AQ117" s="36"/>
      <c r="BE117" s="4"/>
      <c r="BK117" s="33"/>
      <c r="BL117" s="33"/>
    </row>
    <row r="118" s="1" customFormat="true" ht="13.8" hidden="false" customHeight="false" outlineLevel="0" collapsed="false">
      <c r="O118" s="36"/>
      <c r="P118" s="36"/>
      <c r="Q118" s="36"/>
      <c r="R118" s="36"/>
      <c r="S118" s="36"/>
      <c r="T118" s="37"/>
      <c r="U118" s="36"/>
      <c r="V118" s="36"/>
      <c r="X118" s="36"/>
      <c r="AA118" s="4"/>
      <c r="AJ118" s="36"/>
      <c r="AP118" s="36"/>
      <c r="AQ118" s="36"/>
      <c r="BE118" s="4"/>
      <c r="BK118" s="33"/>
      <c r="BL118" s="33"/>
    </row>
    <row r="119" s="1" customFormat="true" ht="13.8" hidden="false" customHeight="false" outlineLevel="0" collapsed="false">
      <c r="O119" s="36"/>
      <c r="P119" s="36"/>
      <c r="Q119" s="36"/>
      <c r="R119" s="36"/>
      <c r="S119" s="36"/>
      <c r="T119" s="37"/>
      <c r="U119" s="36"/>
      <c r="V119" s="36"/>
      <c r="X119" s="36"/>
      <c r="AA119" s="4"/>
      <c r="AJ119" s="36"/>
      <c r="AP119" s="36"/>
      <c r="AQ119" s="36"/>
      <c r="BE119" s="4"/>
      <c r="BK119" s="33"/>
      <c r="BL119" s="33"/>
    </row>
    <row r="120" s="1" customFormat="true" ht="13.8" hidden="false" customHeight="false" outlineLevel="0" collapsed="false">
      <c r="O120" s="36"/>
      <c r="P120" s="36"/>
      <c r="Q120" s="36"/>
      <c r="R120" s="36"/>
      <c r="S120" s="36"/>
      <c r="T120" s="37"/>
      <c r="U120" s="36"/>
      <c r="V120" s="36"/>
      <c r="X120" s="36"/>
      <c r="AA120" s="4"/>
      <c r="AJ120" s="36"/>
      <c r="AP120" s="36"/>
      <c r="AQ120" s="36"/>
      <c r="BE120" s="4"/>
      <c r="BK120" s="33"/>
      <c r="BL120" s="33"/>
    </row>
    <row r="121" s="1" customFormat="true" ht="13.8" hidden="false" customHeight="false" outlineLevel="0" collapsed="false">
      <c r="O121" s="36"/>
      <c r="P121" s="36"/>
      <c r="Q121" s="36"/>
      <c r="R121" s="36"/>
      <c r="S121" s="36"/>
      <c r="T121" s="37"/>
      <c r="U121" s="36"/>
      <c r="V121" s="36"/>
      <c r="X121" s="36"/>
      <c r="AA121" s="4"/>
      <c r="AJ121" s="36"/>
      <c r="AP121" s="36"/>
      <c r="AQ121" s="36"/>
      <c r="BE121" s="4"/>
      <c r="BK121" s="33"/>
      <c r="BL121" s="33"/>
    </row>
    <row r="122" s="1" customFormat="true" ht="13.8" hidden="false" customHeight="false" outlineLevel="0" collapsed="false">
      <c r="O122" s="36"/>
      <c r="P122" s="36"/>
      <c r="Q122" s="36"/>
      <c r="R122" s="36"/>
      <c r="S122" s="36"/>
      <c r="T122" s="37"/>
      <c r="U122" s="36"/>
      <c r="V122" s="36"/>
      <c r="X122" s="36"/>
      <c r="AA122" s="4"/>
      <c r="AJ122" s="36"/>
      <c r="AP122" s="36"/>
      <c r="AQ122" s="36"/>
      <c r="BE122" s="4"/>
      <c r="BK122" s="33"/>
      <c r="BL122" s="33"/>
    </row>
    <row r="123" s="1" customFormat="true" ht="13.8" hidden="false" customHeight="false" outlineLevel="0" collapsed="false">
      <c r="O123" s="36"/>
      <c r="P123" s="36"/>
      <c r="Q123" s="36"/>
      <c r="R123" s="36"/>
      <c r="S123" s="36"/>
      <c r="T123" s="37"/>
      <c r="U123" s="36"/>
      <c r="V123" s="36"/>
      <c r="X123" s="36"/>
      <c r="AA123" s="4"/>
      <c r="AJ123" s="36"/>
      <c r="AP123" s="36"/>
      <c r="AQ123" s="36"/>
      <c r="BE123" s="4"/>
      <c r="BK123" s="33"/>
      <c r="BL123" s="33"/>
    </row>
    <row r="124" s="1" customFormat="true" ht="13.8" hidden="false" customHeight="false" outlineLevel="0" collapsed="false">
      <c r="O124" s="36"/>
      <c r="P124" s="36"/>
      <c r="Q124" s="36"/>
      <c r="R124" s="36"/>
      <c r="S124" s="36"/>
      <c r="T124" s="37"/>
      <c r="U124" s="36"/>
      <c r="V124" s="36"/>
      <c r="X124" s="36"/>
      <c r="AA124" s="4"/>
      <c r="AJ124" s="36"/>
      <c r="AP124" s="36"/>
      <c r="AQ124" s="36"/>
      <c r="BE124" s="4"/>
      <c r="BK124" s="33"/>
      <c r="BL124" s="33"/>
    </row>
    <row r="125" s="1" customFormat="true" ht="13.8" hidden="false" customHeight="false" outlineLevel="0" collapsed="false">
      <c r="O125" s="36"/>
      <c r="P125" s="36"/>
      <c r="Q125" s="36"/>
      <c r="R125" s="36"/>
      <c r="S125" s="36"/>
      <c r="T125" s="37"/>
      <c r="U125" s="36"/>
      <c r="V125" s="36"/>
      <c r="X125" s="36"/>
      <c r="AA125" s="4"/>
      <c r="AJ125" s="36"/>
      <c r="AP125" s="36"/>
      <c r="AQ125" s="36"/>
      <c r="BE125" s="4"/>
      <c r="BK125" s="33"/>
      <c r="BL125" s="33"/>
    </row>
    <row r="126" s="1" customFormat="true" ht="13.8" hidden="false" customHeight="false" outlineLevel="0" collapsed="false">
      <c r="O126" s="36"/>
      <c r="P126" s="36"/>
      <c r="Q126" s="36"/>
      <c r="R126" s="36"/>
      <c r="S126" s="36"/>
      <c r="T126" s="37"/>
      <c r="U126" s="36"/>
      <c r="V126" s="36"/>
      <c r="X126" s="36"/>
      <c r="AA126" s="4"/>
      <c r="AJ126" s="36"/>
      <c r="AP126" s="36"/>
      <c r="AQ126" s="36"/>
      <c r="BE126" s="4"/>
      <c r="BK126" s="33"/>
      <c r="BL126" s="33"/>
    </row>
    <row r="127" s="1" customFormat="true" ht="13.8" hidden="false" customHeight="false" outlineLevel="0" collapsed="false">
      <c r="O127" s="36"/>
      <c r="P127" s="36"/>
      <c r="Q127" s="36"/>
      <c r="R127" s="36"/>
      <c r="S127" s="36"/>
      <c r="T127" s="37"/>
      <c r="U127" s="36"/>
      <c r="V127" s="36"/>
      <c r="X127" s="36"/>
      <c r="AA127" s="4"/>
      <c r="AJ127" s="36"/>
      <c r="AP127" s="36"/>
      <c r="AQ127" s="36"/>
      <c r="BE127" s="4"/>
      <c r="BK127" s="33"/>
      <c r="BL127" s="33"/>
    </row>
    <row r="128" s="1" customFormat="true" ht="13.8" hidden="false" customHeight="false" outlineLevel="0" collapsed="false">
      <c r="O128" s="36"/>
      <c r="P128" s="36"/>
      <c r="Q128" s="36"/>
      <c r="R128" s="36"/>
      <c r="S128" s="36"/>
      <c r="T128" s="37"/>
      <c r="U128" s="36"/>
      <c r="V128" s="36"/>
      <c r="X128" s="36"/>
      <c r="AA128" s="4"/>
      <c r="AJ128" s="36"/>
      <c r="AP128" s="36"/>
      <c r="AQ128" s="36"/>
      <c r="BE128" s="4"/>
      <c r="BK128" s="33"/>
      <c r="BL128" s="33"/>
    </row>
    <row r="129" s="1" customFormat="true" ht="13.8" hidden="false" customHeight="false" outlineLevel="0" collapsed="false">
      <c r="O129" s="36"/>
      <c r="P129" s="36"/>
      <c r="Q129" s="36"/>
      <c r="R129" s="36"/>
      <c r="S129" s="36"/>
      <c r="T129" s="37"/>
      <c r="U129" s="36"/>
      <c r="V129" s="36"/>
      <c r="X129" s="36"/>
      <c r="AA129" s="4"/>
      <c r="AJ129" s="36"/>
      <c r="AP129" s="36"/>
      <c r="AQ129" s="36"/>
      <c r="BE129" s="4"/>
      <c r="BK129" s="33"/>
      <c r="BL129" s="33"/>
    </row>
    <row r="130" s="1" customFormat="true" ht="13.8" hidden="false" customHeight="false" outlineLevel="0" collapsed="false">
      <c r="O130" s="36"/>
      <c r="P130" s="36"/>
      <c r="Q130" s="36"/>
      <c r="R130" s="36"/>
      <c r="S130" s="36"/>
      <c r="T130" s="37"/>
      <c r="U130" s="36"/>
      <c r="V130" s="36"/>
      <c r="X130" s="36"/>
      <c r="AA130" s="4"/>
      <c r="AJ130" s="36"/>
      <c r="AP130" s="36"/>
      <c r="AQ130" s="36"/>
      <c r="BE130" s="4"/>
      <c r="BK130" s="33"/>
      <c r="BL130" s="33"/>
    </row>
    <row r="131" s="1" customFormat="true" ht="13.8" hidden="false" customHeight="false" outlineLevel="0" collapsed="false">
      <c r="O131" s="36"/>
      <c r="P131" s="36"/>
      <c r="Q131" s="36"/>
      <c r="R131" s="36"/>
      <c r="S131" s="36"/>
      <c r="T131" s="37"/>
      <c r="U131" s="36"/>
      <c r="V131" s="36"/>
      <c r="X131" s="36"/>
      <c r="AA131" s="4"/>
      <c r="AJ131" s="36"/>
      <c r="AP131" s="36"/>
      <c r="AQ131" s="36"/>
      <c r="BE131" s="4"/>
      <c r="BK131" s="33"/>
      <c r="BL131" s="33"/>
    </row>
    <row r="132" s="1" customFormat="true" ht="13.8" hidden="false" customHeight="false" outlineLevel="0" collapsed="false">
      <c r="O132" s="36"/>
      <c r="P132" s="36"/>
      <c r="Q132" s="36"/>
      <c r="R132" s="36"/>
      <c r="S132" s="36"/>
      <c r="T132" s="36"/>
      <c r="U132" s="36"/>
      <c r="V132" s="36"/>
      <c r="X132" s="36"/>
      <c r="AA132" s="4"/>
      <c r="AJ132" s="36"/>
      <c r="AP132" s="36"/>
      <c r="AQ132" s="36"/>
      <c r="BE132" s="4"/>
      <c r="BK132" s="33"/>
      <c r="BL132" s="33"/>
    </row>
    <row r="133" s="1" customFormat="true" ht="13.8" hidden="false" customHeight="false" outlineLevel="0" collapsed="false">
      <c r="O133" s="36"/>
      <c r="P133" s="36"/>
      <c r="Q133" s="36"/>
      <c r="R133" s="36"/>
      <c r="S133" s="36"/>
      <c r="T133" s="36"/>
      <c r="U133" s="36"/>
      <c r="V133" s="36"/>
      <c r="X133" s="36"/>
      <c r="AA133" s="4"/>
      <c r="AJ133" s="36"/>
      <c r="AP133" s="36"/>
      <c r="AQ133" s="36"/>
      <c r="BE133" s="4"/>
      <c r="BK133" s="33"/>
      <c r="BL133" s="33"/>
    </row>
    <row r="134" s="1" customFormat="true" ht="13.8" hidden="false" customHeight="false" outlineLevel="0" collapsed="false">
      <c r="O134" s="36"/>
      <c r="P134" s="36"/>
      <c r="Q134" s="36"/>
      <c r="R134" s="36"/>
      <c r="S134" s="36"/>
      <c r="T134" s="36"/>
      <c r="U134" s="36"/>
      <c r="V134" s="36"/>
      <c r="X134" s="36"/>
      <c r="AA134" s="4"/>
      <c r="AJ134" s="36"/>
      <c r="AP134" s="36"/>
      <c r="AQ134" s="36"/>
      <c r="BE134" s="4"/>
      <c r="BK134" s="33"/>
      <c r="BL134" s="33"/>
    </row>
    <row r="135" s="1" customFormat="true" ht="13.8" hidden="false" customHeight="false" outlineLevel="0" collapsed="false">
      <c r="O135" s="36"/>
      <c r="P135" s="36"/>
      <c r="Q135" s="36"/>
      <c r="R135" s="36"/>
      <c r="S135" s="36"/>
      <c r="T135" s="36"/>
      <c r="U135" s="36"/>
      <c r="V135" s="36"/>
      <c r="X135" s="36"/>
      <c r="AA135" s="4"/>
      <c r="AJ135" s="36"/>
      <c r="AP135" s="36"/>
      <c r="AQ135" s="36"/>
      <c r="BE135" s="4"/>
      <c r="BK135" s="33"/>
      <c r="BL135" s="33"/>
    </row>
    <row r="136" s="1" customFormat="true" ht="13.8" hidden="false" customHeight="false" outlineLevel="0" collapsed="false">
      <c r="O136" s="36"/>
      <c r="P136" s="36"/>
      <c r="Q136" s="36"/>
      <c r="R136" s="36"/>
      <c r="S136" s="36"/>
      <c r="T136" s="36"/>
      <c r="U136" s="36"/>
      <c r="V136" s="36"/>
      <c r="X136" s="36"/>
      <c r="AA136" s="4"/>
      <c r="AJ136" s="36"/>
      <c r="AP136" s="36"/>
      <c r="AQ136" s="36"/>
      <c r="BE136" s="4"/>
      <c r="BK136" s="33"/>
      <c r="BL136" s="33"/>
    </row>
    <row r="137" s="1" customFormat="true" ht="13.8" hidden="false" customHeight="false" outlineLevel="0" collapsed="false">
      <c r="O137" s="36"/>
      <c r="P137" s="36"/>
      <c r="Q137" s="36"/>
      <c r="R137" s="36"/>
      <c r="S137" s="36"/>
      <c r="T137" s="36"/>
      <c r="U137" s="36"/>
      <c r="V137" s="36"/>
      <c r="X137" s="36"/>
      <c r="AA137" s="4"/>
      <c r="AJ137" s="36"/>
      <c r="AP137" s="36"/>
      <c r="AQ137" s="36"/>
      <c r="BE137" s="4"/>
      <c r="BK137" s="33"/>
      <c r="BL137" s="33"/>
      <c r="CC137" s="10"/>
    </row>
    <row r="138" s="1" customFormat="true" ht="13.8" hidden="false" customHeight="false" outlineLevel="0" collapsed="false">
      <c r="O138" s="36"/>
      <c r="P138" s="36"/>
      <c r="Q138" s="36"/>
      <c r="R138" s="36"/>
      <c r="S138" s="36"/>
      <c r="T138" s="36"/>
      <c r="U138" s="36"/>
      <c r="V138" s="36"/>
      <c r="X138" s="36"/>
      <c r="AA138" s="4"/>
      <c r="AJ138" s="36"/>
      <c r="AP138" s="36"/>
      <c r="AQ138" s="36"/>
      <c r="BE138" s="4"/>
      <c r="BK138" s="33"/>
      <c r="BL138" s="33"/>
      <c r="CC138" s="10"/>
    </row>
    <row r="139" s="1" customFormat="true" ht="13.8" hidden="false" customHeight="false" outlineLevel="0" collapsed="false">
      <c r="O139" s="36"/>
      <c r="P139" s="36"/>
      <c r="Q139" s="36"/>
      <c r="R139" s="36"/>
      <c r="S139" s="36"/>
      <c r="T139" s="36"/>
      <c r="U139" s="36"/>
      <c r="V139" s="36"/>
      <c r="X139" s="36"/>
      <c r="AA139" s="4"/>
      <c r="AJ139" s="36"/>
      <c r="AP139" s="36"/>
      <c r="AQ139" s="36"/>
      <c r="BE139" s="4"/>
      <c r="BK139" s="33"/>
      <c r="BL139" s="33"/>
      <c r="CC139" s="10"/>
    </row>
    <row r="140" s="1" customFormat="true" ht="13.8" hidden="false" customHeight="false" outlineLevel="0" collapsed="false">
      <c r="O140" s="36"/>
      <c r="P140" s="36"/>
      <c r="Q140" s="36"/>
      <c r="R140" s="36"/>
      <c r="S140" s="36"/>
      <c r="T140" s="36"/>
      <c r="U140" s="36"/>
      <c r="V140" s="36"/>
      <c r="X140" s="36"/>
      <c r="AA140" s="4"/>
      <c r="AJ140" s="36"/>
      <c r="AP140" s="36"/>
      <c r="AQ140" s="36"/>
      <c r="BE140" s="4"/>
      <c r="BK140" s="33"/>
      <c r="BL140" s="33"/>
      <c r="CC140" s="10"/>
    </row>
    <row r="141" s="1" customFormat="true" ht="13.8" hidden="false" customHeight="false" outlineLevel="0" collapsed="false">
      <c r="O141" s="36"/>
      <c r="P141" s="36"/>
      <c r="Q141" s="36"/>
      <c r="R141" s="36"/>
      <c r="S141" s="36"/>
      <c r="T141" s="36"/>
      <c r="U141" s="36"/>
      <c r="V141" s="36"/>
      <c r="X141" s="36"/>
      <c r="AA141" s="4"/>
      <c r="AJ141" s="36"/>
      <c r="AP141" s="36"/>
      <c r="AQ141" s="36"/>
      <c r="BE141" s="4"/>
      <c r="BK141" s="33"/>
      <c r="BL141" s="33"/>
      <c r="CC141" s="10"/>
    </row>
    <row r="142" s="1" customFormat="true" ht="13.8" hidden="false" customHeight="false" outlineLevel="0" collapsed="false">
      <c r="O142" s="36"/>
      <c r="P142" s="36"/>
      <c r="Q142" s="36"/>
      <c r="R142" s="36"/>
      <c r="S142" s="36"/>
      <c r="T142" s="36"/>
      <c r="U142" s="36"/>
      <c r="V142" s="36"/>
      <c r="X142" s="36"/>
      <c r="AA142" s="4"/>
      <c r="AJ142" s="36"/>
      <c r="AP142" s="36"/>
      <c r="AQ142" s="36"/>
      <c r="BE142" s="4"/>
      <c r="BK142" s="33"/>
      <c r="BL142" s="33"/>
      <c r="CC142" s="10"/>
    </row>
    <row r="143" s="1" customFormat="true" ht="13.8" hidden="false" customHeight="false" outlineLevel="0" collapsed="false">
      <c r="O143" s="36"/>
      <c r="P143" s="36"/>
      <c r="Q143" s="36"/>
      <c r="R143" s="36"/>
      <c r="S143" s="36"/>
      <c r="T143" s="36"/>
      <c r="U143" s="36"/>
      <c r="V143" s="36"/>
      <c r="X143" s="36"/>
      <c r="AA143" s="4"/>
      <c r="AJ143" s="36"/>
      <c r="AP143" s="36"/>
      <c r="AQ143" s="36"/>
      <c r="BE143" s="4"/>
      <c r="BK143" s="33"/>
      <c r="BL143" s="33"/>
      <c r="CC143" s="10"/>
    </row>
    <row r="144" s="1" customFormat="true" ht="13.8" hidden="false" customHeight="false" outlineLevel="0" collapsed="false">
      <c r="O144" s="36"/>
      <c r="P144" s="36"/>
      <c r="Q144" s="36"/>
      <c r="R144" s="36"/>
      <c r="S144" s="36"/>
      <c r="T144" s="36"/>
      <c r="U144" s="36"/>
      <c r="V144" s="36"/>
      <c r="X144" s="36"/>
      <c r="AA144" s="4"/>
      <c r="AJ144" s="36"/>
      <c r="AP144" s="36"/>
      <c r="AQ144" s="36"/>
      <c r="BE144" s="4"/>
      <c r="BK144" s="33"/>
      <c r="BL144" s="33"/>
      <c r="CC144" s="10"/>
    </row>
    <row r="145" s="1" customFormat="true" ht="13.8" hidden="false" customHeight="false" outlineLevel="0" collapsed="false">
      <c r="O145" s="36"/>
      <c r="P145" s="36"/>
      <c r="Q145" s="36"/>
      <c r="R145" s="36"/>
      <c r="S145" s="36"/>
      <c r="T145" s="36"/>
      <c r="U145" s="36"/>
      <c r="V145" s="36"/>
      <c r="X145" s="36"/>
      <c r="AA145" s="4"/>
      <c r="AJ145" s="36"/>
      <c r="AP145" s="36"/>
      <c r="AQ145" s="36"/>
      <c r="BE145" s="4"/>
      <c r="BK145" s="33"/>
      <c r="BL145" s="33"/>
      <c r="CC145" s="10"/>
    </row>
    <row r="146" s="1" customFormat="true" ht="13.8" hidden="false" customHeight="false" outlineLevel="0" collapsed="false">
      <c r="O146" s="36"/>
      <c r="P146" s="36"/>
      <c r="Q146" s="36"/>
      <c r="R146" s="36"/>
      <c r="S146" s="36"/>
      <c r="T146" s="36"/>
      <c r="U146" s="36"/>
      <c r="V146" s="36"/>
      <c r="X146" s="36"/>
      <c r="AA146" s="4"/>
      <c r="AJ146" s="36"/>
      <c r="AP146" s="36"/>
      <c r="AQ146" s="36"/>
      <c r="BE146" s="4"/>
      <c r="BK146" s="33"/>
      <c r="BL146" s="33"/>
      <c r="CC146" s="10"/>
    </row>
    <row r="147" s="1" customFormat="true" ht="13.8" hidden="false" customHeight="false" outlineLevel="0" collapsed="false">
      <c r="O147" s="36"/>
      <c r="P147" s="36"/>
      <c r="Q147" s="36"/>
      <c r="R147" s="36"/>
      <c r="S147" s="36"/>
      <c r="T147" s="36"/>
      <c r="U147" s="36"/>
      <c r="V147" s="36"/>
      <c r="X147" s="36"/>
      <c r="AA147" s="4"/>
      <c r="AJ147" s="36"/>
      <c r="AP147" s="36"/>
      <c r="AQ147" s="36"/>
      <c r="BE147" s="4"/>
      <c r="BK147" s="33"/>
      <c r="BL147" s="33"/>
      <c r="CC147" s="10"/>
    </row>
  </sheetData>
  <autoFilter ref="A1:CH60"/>
  <conditionalFormatting sqref="C12:C14 C55">
    <cfRule type="duplicateValues" priority="2" aboveAverage="0" equalAverage="0" bottom="0" percent="0" rank="0" text="" dxfId="11"/>
  </conditionalFormatting>
  <conditionalFormatting sqref="C44:C45">
    <cfRule type="duplicateValues" priority="3" aboveAverage="0" equalAverage="0" bottom="0" percent="0" rank="0" text="" dxfId="12"/>
  </conditionalFormatting>
  <conditionalFormatting sqref="C54">
    <cfRule type="duplicateValues" priority="4" aboveAverage="0" equalAverage="0" bottom="0" percent="0" rank="0" text="" dxfId="11"/>
  </conditionalFormatting>
  <conditionalFormatting sqref="C58 C43 C40">
    <cfRule type="duplicateValues" priority="5" aboveAverage="0" equalAverage="0" bottom="0" percent="0" rank="0" text="" dxfId="13"/>
  </conditionalFormatting>
  <conditionalFormatting sqref="C48 C46">
    <cfRule type="duplicateValues" priority="6" aboveAverage="0" equalAverage="0" bottom="0" percent="0" rank="0" text="" dxfId="14"/>
  </conditionalFormatting>
  <conditionalFormatting sqref="C47">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1">
    <cfRule type="duplicateValues" priority="9" aboveAverage="0" equalAverage="0" bottom="0" percent="0" rank="0" text="" dxfId="16"/>
  </conditionalFormatting>
  <dataValidations count="15">
    <dataValidation allowBlank="true" errorStyle="stop" operator="between" showDropDown="false" showErrorMessage="true" showInputMessage="true" sqref="CB104 CB148:CB1062" type="list">
      <formula1>'Gameplay Planning'!$1:$1</formula1>
      <formula2>0</formula2>
    </dataValidation>
    <dataValidation allowBlank="true" errorStyle="stop" operator="between" showDropDown="false" showErrorMessage="true" showInputMessage="true" sqref="BZ1 BZ30" type="list">
      <formula1>'Gameplay Planning'!$1:$1</formula1>
      <formula2>0</formula2>
    </dataValidation>
    <dataValidation allowBlank="true" errorStyle="stop" operator="between" showDropDown="false" showErrorMessage="true" showInputMessage="true" sqref="BZ31:BZ35 BZ38:BZ39" type="list">
      <formula1>'Gameplay Planning'!$1:$1</formula1>
      <formula2>0</formula2>
    </dataValidation>
    <dataValidation allowBlank="true" errorStyle="stop" operator="between" showDropDown="false" showErrorMessage="true" showInputMessage="true" sqref="BZ36:BZ37" type="list">
      <formula1>'Gameplay Planning'!$1:$1</formula1>
      <formula2>0</formula2>
    </dataValidation>
    <dataValidation allowBlank="true" errorStyle="stop" operator="between" showDropDown="false" showErrorMessage="true" showInputMessage="true" sqref="BZ62 BZ69:BZ70" type="list">
      <formula1>'Gameplay Planning'!$1:$1</formula1>
      <formula2>0</formula2>
    </dataValidation>
    <dataValidation allowBlank="true" errorStyle="stop" operator="between" showDropDown="false" showErrorMessage="true" showInputMessage="true" sqref="BZ59:BZ61 BZ63:BZ68" type="list">
      <formula1>'Gameplay Planning'!$1:$1</formula1>
      <formula2>0</formula2>
    </dataValidation>
    <dataValidation allowBlank="true" errorStyle="stop" operator="between" showDropDown="false" showErrorMessage="true" showInputMessage="true" sqref="BZ15:BZ20 BZ27:BZ29" type="list">
      <formula1>'Gameplay Planning'!$1:$1</formula1>
      <formula2>0</formula2>
    </dataValidation>
    <dataValidation allowBlank="true" errorStyle="stop" operator="between" showDropDown="false" showErrorMessage="true" showInputMessage="true" sqref="BZ71:BZ83" type="list">
      <formula1>'Gameplay Planning'!$1:$1</formula1>
      <formula2>0</formula2>
    </dataValidation>
    <dataValidation allowBlank="true" errorStyle="stop" operator="between" showDropDown="false" showErrorMessage="true" showInputMessage="true" sqref="BZ54" type="list">
      <formula1>'Gameplay Planning'!$1:$1</formula1>
      <formula2>0</formula2>
    </dataValidation>
    <dataValidation allowBlank="true" errorStyle="stop" operator="between" showDropDown="false" showErrorMessage="true" showInputMessage="true" sqref="BZ14 BZ22:BZ26 BZ49:BZ53 BZ55:BZ57" type="list">
      <formula1>'Gameplay Planning'!$1:$1</formula1>
      <formula2>0</formula2>
    </dataValidation>
    <dataValidation allowBlank="true" errorStyle="stop" operator="between" showDropDown="false" showErrorMessage="true" showInputMessage="true" sqref="BZ44:BZ45" type="list">
      <formula1>'Gameplay Planning'!$1:$1</formula1>
      <formula2>0</formula2>
    </dataValidation>
    <dataValidation allowBlank="true" errorStyle="stop" operator="between" showDropDown="false" showErrorMessage="true" showInputMessage="true" sqref="BZ40:BZ43 BZ58" type="list">
      <formula1>'Gameplay Planning'!$1:$1</formula1>
      <formula2>0</formula2>
    </dataValidation>
    <dataValidation allowBlank="true" errorStyle="stop" operator="between" showDropDown="false" showErrorMessage="true" showInputMessage="true" sqref="BZ46:BZ48" type="list">
      <formula1>'Gameplay Planning'!$1:$1</formula1>
      <formula2>0</formula2>
    </dataValidation>
    <dataValidation allowBlank="true" errorStyle="stop" operator="between" showDropDown="false" showErrorMessage="true" showInputMessage="true" sqref="BZ2:BZ11" type="list">
      <formula1>'Gameplay Planning'!$1:$1</formula1>
      <formula2>0</formula2>
    </dataValidation>
    <dataValidation allowBlank="true" errorStyle="stop" operator="between" showDropDown="false" showErrorMessage="true" showInputMessage="true" sqref="BZ21"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true" zeroHeight="false" outlineLevelRow="0" outlineLevelCol="0"/>
  <cols>
    <col collapsed="false" customWidth="true" hidden="false" outlineLevel="0" max="2" min="2" style="18" width="28.99"/>
    <col collapsed="false" customWidth="true" hidden="false" outlineLevel="0" max="4" min="3" style="18" width="17.3"/>
    <col collapsed="false" customWidth="true" hidden="false" outlineLevel="0" max="5" min="5" style="18" width="6.57"/>
    <col collapsed="false" customWidth="true" hidden="false" outlineLevel="0" max="8" min="8" style="18" width="11.99"/>
    <col collapsed="false" customWidth="true" hidden="false" outlineLevel="0" max="10" min="9" style="18" width="16.14"/>
    <col collapsed="false" customWidth="true" hidden="false" outlineLevel="0" max="11" min="11" style="18" width="13.3"/>
    <col collapsed="false" customWidth="true" hidden="false" outlineLevel="0" max="13" min="13" style="18" width="14.01"/>
    <col collapsed="false" customWidth="true" hidden="false" outlineLevel="0" max="15" min="15" style="18" width="13.7"/>
    <col collapsed="false" customWidth="true" hidden="false" outlineLevel="0" max="16" min="16" style="18" width="3.15"/>
    <col collapsed="false" customWidth="true" hidden="false" outlineLevel="0" max="18" min="18" style="18" width="12.57"/>
    <col collapsed="false" customWidth="true" hidden="false" outlineLevel="0" max="19" min="19" style="18" width="12.43"/>
    <col collapsed="false" customWidth="true" hidden="false" outlineLevel="0" max="20" min="20" style="18" width="10.85"/>
    <col collapsed="false" customWidth="true" hidden="false" outlineLevel="0" max="21" min="21" style="18" width="4.43"/>
    <col collapsed="false" customWidth="true" hidden="false" outlineLevel="0" max="22" min="22" style="18" width="7"/>
  </cols>
  <sheetData>
    <row r="1" customFormat="false" ht="15" hidden="false" customHeight="false" outlineLevel="0" collapsed="false">
      <c r="C1" s="38" t="s">
        <v>494</v>
      </c>
      <c r="D1" s="38" t="s">
        <v>495</v>
      </c>
      <c r="E1" s="38" t="s">
        <v>152</v>
      </c>
      <c r="F1" s="38" t="s">
        <v>306</v>
      </c>
      <c r="G1" s="38" t="s">
        <v>321</v>
      </c>
      <c r="H1" s="38" t="s">
        <v>370</v>
      </c>
      <c r="I1" s="38" t="s">
        <v>288</v>
      </c>
      <c r="J1" s="38" t="s">
        <v>496</v>
      </c>
      <c r="K1" s="38" t="s">
        <v>497</v>
      </c>
      <c r="L1" s="38" t="s">
        <v>162</v>
      </c>
      <c r="M1" s="38" t="s">
        <v>207</v>
      </c>
      <c r="N1" s="38" t="s">
        <v>96</v>
      </c>
      <c r="O1" s="38" t="s">
        <v>224</v>
      </c>
      <c r="P1" s="38" t="s">
        <v>498</v>
      </c>
      <c r="Q1" s="38" t="s">
        <v>442</v>
      </c>
      <c r="R1" s="38" t="s">
        <v>447</v>
      </c>
      <c r="S1" s="38" t="s">
        <v>499</v>
      </c>
      <c r="T1" s="38" t="s">
        <v>500</v>
      </c>
      <c r="U1" s="38" t="s">
        <v>501</v>
      </c>
      <c r="V1" s="38" t="s">
        <v>397</v>
      </c>
      <c r="W1" s="38" t="s">
        <v>415</v>
      </c>
    </row>
    <row r="2" customFormat="false" ht="15" hidden="false" customHeight="false" outlineLevel="0" collapsed="false">
      <c r="A2" s="38" t="s">
        <v>502</v>
      </c>
      <c r="B2" s="38" t="s">
        <v>503</v>
      </c>
    </row>
    <row r="3" customFormat="false" ht="15" hidden="false" customHeight="false" outlineLevel="0" collapsed="false">
      <c r="A3" s="18" t="s">
        <v>504</v>
      </c>
      <c r="B3" s="18" t="str">
        <f aca="false">VLOOKUP(A3, Eras!$B$2:$C$10, 2, FALSE())</f>
        <v>Early (1800-1850)</v>
      </c>
      <c r="C3" s="19" t="n">
        <f aca="false">COUNTIF(Table!$CC:$CC,CONCATENATE($A3,"_",C$1))</f>
        <v>0</v>
      </c>
      <c r="D3" s="19" t="n">
        <f aca="false">COUNTIF(Table!$CC:$CC,CONCATENATE($A3,"_",D$1))</f>
        <v>0</v>
      </c>
      <c r="E3" s="19" t="n">
        <f aca="false">COUNTIF(Table!$CC:$CC,CONCATENATE($A3,"_",E$1))</f>
        <v>0</v>
      </c>
      <c r="F3" s="19" t="n">
        <f aca="false">COUNTIF(Table!$CC:$CC,CONCATENATE($A3,"_",F$1))</f>
        <v>0</v>
      </c>
      <c r="G3" s="19" t="n">
        <f aca="false">COUNTIF(Table!$CC:$CC,CONCATENATE($A3,"_",G$1))</f>
        <v>0</v>
      </c>
      <c r="H3" s="18" t="n">
        <f aca="false">COUNTIF(Table!$CC:$CC,CONCATENATE($A3,"_",H$1))</f>
        <v>0</v>
      </c>
      <c r="I3" s="18" t="n">
        <f aca="false">COUNTIF(Table!$CC:$CC,CONCATENATE($A3,"_",I$1))</f>
        <v>0</v>
      </c>
      <c r="J3" s="18" t="n">
        <f aca="false">COUNTIF(Table!$CC:$CC,CONCATENATE($A3,"_",J$1))</f>
        <v>0</v>
      </c>
      <c r="K3" s="18" t="n">
        <f aca="false">COUNTIF(Table!$CC:$CC,CONCATENATE($A3,"_",K$1))</f>
        <v>0</v>
      </c>
      <c r="L3" s="18" t="n">
        <f aca="false">COUNTIF(Table!$CC:$CC,CONCATENATE($A3,"_",L$1))</f>
        <v>0</v>
      </c>
      <c r="M3" s="18" t="n">
        <f aca="false">COUNTIF(Table!$CC:$CC,CONCATENATE($A3,"_",M$1))</f>
        <v>0</v>
      </c>
      <c r="N3" s="18" t="n">
        <f aca="false">COUNTIF(Table!$CC:$CC,CONCATENATE($A3,"_",N$1))</f>
        <v>0</v>
      </c>
      <c r="O3" s="18" t="n">
        <f aca="false">COUNTIF(Table!$CC:$CC,CONCATENATE($A3,"_",O$1))</f>
        <v>0</v>
      </c>
      <c r="P3" s="19" t="n">
        <f aca="false">COUNTIF(Table!$CC:$CC,CONCATENATE($A3,"_",P$1))</f>
        <v>0</v>
      </c>
      <c r="Q3" s="19" t="n">
        <f aca="false">COUNTIF(Table!$CC:$CC,CONCATENATE($A3,"_",Q$1))</f>
        <v>0</v>
      </c>
      <c r="R3" s="19" t="n">
        <f aca="false">COUNTIF(Table!$CC:$CC,CONCATENATE($A3,"_",R$1))</f>
        <v>0</v>
      </c>
      <c r="S3" s="19" t="n">
        <f aca="false">COUNTIF(Table!$CC:$CC,CONCATENATE($A3,"_",S$1))</f>
        <v>0</v>
      </c>
      <c r="T3" s="19" t="n">
        <f aca="false">COUNTIF(Table!$CC:$CC,CONCATENATE($A3,"_",T$1))</f>
        <v>0</v>
      </c>
      <c r="U3" s="19" t="n">
        <f aca="false">COUNTIF(Table!$CC:$CC,CONCATENATE($A3,"_",U$1))</f>
        <v>0</v>
      </c>
      <c r="V3" s="19" t="n">
        <f aca="false">COUNTIF(Table!$CC:$CC,CONCATENATE($A3,"_",V$1))</f>
        <v>0</v>
      </c>
      <c r="W3" s="19" t="n">
        <f aca="false">COUNTIF(Table!$CC:$CC,CONCATENATE($A3,"_",W$1))</f>
        <v>0</v>
      </c>
    </row>
    <row r="4" customFormat="false" ht="15" hidden="false" customHeight="false" outlineLevel="0" collapsed="false">
      <c r="A4" s="18" t="s">
        <v>505</v>
      </c>
      <c r="B4" s="18" t="str">
        <f aca="false">VLOOKUP(A4, Eras!$B$2:$C$10, 2, FALSE())</f>
        <v>Victorian (1850-1900)</v>
      </c>
      <c r="C4" s="19" t="n">
        <f aca="false">COUNTIF(Table!$CC:$CC,CONCATENATE($A4,"_",C$1))</f>
        <v>0</v>
      </c>
      <c r="D4" s="19" t="n">
        <f aca="false">COUNTIF(Table!$CC:$CC,CONCATENATE($A4,"_",D$1))</f>
        <v>0</v>
      </c>
      <c r="E4" s="19" t="n">
        <f aca="false">COUNTIF(Table!$CC:$CC,CONCATENATE($A4,"_",E$1))</f>
        <v>0</v>
      </c>
      <c r="F4" s="19" t="n">
        <f aca="false">COUNTIF(Table!$CC:$CC,CONCATENATE($A4,"_",F$1))</f>
        <v>0</v>
      </c>
      <c r="G4" s="19" t="n">
        <f aca="false">COUNTIF(Table!$CC:$CC,CONCATENATE($A4,"_",G$1))</f>
        <v>0</v>
      </c>
      <c r="H4" s="18" t="n">
        <f aca="false">COUNTIF(Table!$CC:$CC,CONCATENATE($A4,"_",H$1))</f>
        <v>0</v>
      </c>
      <c r="I4" s="18" t="n">
        <f aca="false">COUNTIF(Table!$CC:$CC,CONCATENATE($A4,"_",I$1))</f>
        <v>0</v>
      </c>
      <c r="J4" s="18" t="n">
        <f aca="false">COUNTIF(Table!$CC:$CC,CONCATENATE($A4,"_",J$1))</f>
        <v>0</v>
      </c>
      <c r="K4" s="18" t="n">
        <f aca="false">COUNTIF(Table!$CC:$CC,CONCATENATE($A4,"_",K$1))</f>
        <v>0</v>
      </c>
      <c r="L4" s="18" t="n">
        <f aca="false">COUNTIF(Table!$CC:$CC,CONCATENATE($A4,"_",L$1))</f>
        <v>0</v>
      </c>
      <c r="M4" s="18" t="n">
        <f aca="false">COUNTIF(Table!$CC:$CC,CONCATENATE($A4,"_",M$1))</f>
        <v>0</v>
      </c>
      <c r="N4" s="18" t="n">
        <f aca="false">COUNTIF(Table!$CC:$CC,CONCATENATE($A4,"_",N$1))</f>
        <v>0</v>
      </c>
      <c r="O4" s="18" t="n">
        <f aca="false">COUNTIF(Table!$CC:$CC,CONCATENATE($A4,"_",O$1))</f>
        <v>0</v>
      </c>
      <c r="P4" s="19" t="n">
        <f aca="false">COUNTIF(Table!$CC:$CC,CONCATENATE($A4,"_",P$1))</f>
        <v>0</v>
      </c>
      <c r="Q4" s="19" t="n">
        <f aca="false">COUNTIF(Table!$CC:$CC,CONCATENATE($A4,"_",Q$1))</f>
        <v>0</v>
      </c>
      <c r="R4" s="19" t="n">
        <f aca="false">COUNTIF(Table!$CC:$CC,CONCATENATE($A4,"_",R$1))</f>
        <v>0</v>
      </c>
      <c r="S4" s="19" t="n">
        <f aca="false">COUNTIF(Table!$CC:$CC,CONCATENATE($A4,"_",S$1))</f>
        <v>0</v>
      </c>
      <c r="T4" s="19" t="n">
        <f aca="false">COUNTIF(Table!$CC:$CC,CONCATENATE($A4,"_",T$1))</f>
        <v>0</v>
      </c>
      <c r="U4" s="19" t="n">
        <f aca="false">COUNTIF(Table!$CC:$CC,CONCATENATE($A4,"_",U$1))</f>
        <v>0</v>
      </c>
      <c r="V4" s="19" t="n">
        <f aca="false">COUNTIF(Table!$CC:$CC,CONCATENATE($A4,"_",V$1))</f>
        <v>0</v>
      </c>
      <c r="W4" s="19" t="n">
        <f aca="false">COUNTIF(Table!$CC:$CC,CONCATENATE($A4,"_",W$1))</f>
        <v>0</v>
      </c>
    </row>
    <row r="5" customFormat="false" ht="15" hidden="false" customHeight="false" outlineLevel="0" collapsed="false">
      <c r="A5" s="18" t="s">
        <v>506</v>
      </c>
      <c r="B5" s="18" t="str">
        <f aca="false">VLOOKUP(A5, Eras!$B$2:$C$10, 2, FALSE())</f>
        <v>Edwardian (1900-1920)</v>
      </c>
      <c r="C5" s="19" t="n">
        <f aca="false">COUNTIF(Table!$CC:$CC,CONCATENATE($A5,"_",C$1))</f>
        <v>0</v>
      </c>
      <c r="D5" s="19" t="n">
        <f aca="false">COUNTIF(Table!$CC:$CC,CONCATENATE($A5,"_",D$1))</f>
        <v>0</v>
      </c>
      <c r="E5" s="19" t="n">
        <f aca="false">COUNTIF(Table!$CC:$CC,CONCATENATE($A5,"_",E$1))</f>
        <v>0</v>
      </c>
      <c r="F5" s="19" t="n">
        <f aca="false">COUNTIF(Table!$CC:$CC,CONCATENATE($A5,"_",F$1))</f>
        <v>0</v>
      </c>
      <c r="G5" s="19" t="n">
        <f aca="false">COUNTIF(Table!$CC:$CC,CONCATENATE($A5,"_",G$1))</f>
        <v>0</v>
      </c>
      <c r="H5" s="18" t="n">
        <f aca="false">COUNTIF(Table!$CC:$CC,CONCATENATE($A5,"_",H$1))</f>
        <v>0</v>
      </c>
      <c r="I5" s="18" t="n">
        <f aca="false">COUNTIF(Table!$CC:$CC,CONCATENATE($A5,"_",I$1))</f>
        <v>0</v>
      </c>
      <c r="J5" s="19" t="n">
        <f aca="false">COUNTIF(Table!$CC:$CC,CONCATENATE($A5,"_",J$1))</f>
        <v>0</v>
      </c>
      <c r="K5" s="19" t="n">
        <f aca="false">COUNTIF(Table!$CC:$CC,CONCATENATE($A5,"_",K$1))</f>
        <v>0</v>
      </c>
      <c r="L5" s="18" t="n">
        <f aca="false">COUNTIF(Table!$CC:$CC,CONCATENATE($A5,"_",L$1))</f>
        <v>0</v>
      </c>
      <c r="M5" s="18" t="n">
        <f aca="false">COUNTIF(Table!$CC:$CC,CONCATENATE($A5,"_",M$1))</f>
        <v>0</v>
      </c>
      <c r="N5" s="19" t="n">
        <f aca="false">COUNTIF(Table!$CC:$CC,CONCATENATE($A5,"_",N$1))</f>
        <v>0</v>
      </c>
      <c r="O5" s="18" t="n">
        <f aca="false">COUNTIF(Table!$CC:$CC,CONCATENATE($A5,"_",O$1))</f>
        <v>0</v>
      </c>
      <c r="P5" s="19" t="n">
        <f aca="false">COUNTIF(Table!$CC:$CC,CONCATENATE($A5,"_",P$1))</f>
        <v>0</v>
      </c>
      <c r="Q5" s="19" t="n">
        <f aca="false">COUNTIF(Table!$CC:$CC,CONCATENATE($A5,"_",Q$1))</f>
        <v>0</v>
      </c>
      <c r="R5" s="19" t="n">
        <f aca="false">COUNTIF(Table!$CC:$CC,CONCATENATE($A5,"_",R$1))</f>
        <v>0</v>
      </c>
      <c r="S5" s="19" t="n">
        <f aca="false">COUNTIF(Table!$CC:$CC,CONCATENATE($A5,"_",S$1))</f>
        <v>0</v>
      </c>
      <c r="T5" s="19" t="n">
        <f aca="false">COUNTIF(Table!$CC:$CC,CONCATENATE($A5,"_",T$1))</f>
        <v>0</v>
      </c>
      <c r="U5" s="19" t="n">
        <f aca="false">COUNTIF(Table!$CC:$CC,CONCATENATE($A5,"_",U$1))</f>
        <v>0</v>
      </c>
      <c r="V5" s="19" t="n">
        <f aca="false">COUNTIF(Table!$CC:$CC,CONCATENATE($A5,"_",V$1))</f>
        <v>0</v>
      </c>
      <c r="W5" s="19" t="n">
        <f aca="false">COUNTIF(Table!$CC:$CC,CONCATENATE($A5,"_",W$1))</f>
        <v>0</v>
      </c>
    </row>
    <row r="6" customFormat="false" ht="15" hidden="false" customHeight="false" outlineLevel="0" collapsed="false">
      <c r="A6" s="18" t="s">
        <v>507</v>
      </c>
      <c r="B6" s="18" t="str">
        <f aca="false">VLOOKUP(A6, Eras!$B$2:$C$10, 2, FALSE())</f>
        <v>Big Four (1923-1948)</v>
      </c>
      <c r="C6" s="19" t="n">
        <f aca="false">COUNTIF(Table!$CC:$CC,CONCATENATE($A6,"_",C$1))</f>
        <v>0</v>
      </c>
      <c r="D6" s="19" t="n">
        <f aca="false">COUNTIF(Table!$CC:$CC,CONCATENATE($A6,"_",D$1))</f>
        <v>0</v>
      </c>
      <c r="E6" s="19" t="n">
        <f aca="false">COUNTIF(Table!$CC:$CC,CONCATENATE($A6,"_",E$1))</f>
        <v>0</v>
      </c>
      <c r="F6" s="19" t="n">
        <f aca="false">COUNTIF(Table!$CC:$CC,CONCATENATE($A6,"_",F$1))</f>
        <v>0</v>
      </c>
      <c r="G6" s="19" t="n">
        <f aca="false">COUNTIF(Table!$CC:$CC,CONCATENATE($A6,"_",G$1))</f>
        <v>0</v>
      </c>
      <c r="H6" s="18" t="n">
        <f aca="false">COUNTIF(Table!$CC:$CC,CONCATENATE($A6,"_",H$1))</f>
        <v>0</v>
      </c>
      <c r="I6" s="18" t="n">
        <f aca="false">COUNTIF(Table!$CC:$CC,CONCATENATE($A6,"_",I$1))</f>
        <v>0</v>
      </c>
      <c r="J6" s="19" t="n">
        <f aca="false">COUNTIF(Table!$CC:$CC,CONCATENATE($A6,"_",J$1))</f>
        <v>0</v>
      </c>
      <c r="K6" s="19" t="n">
        <f aca="false">COUNTIF(Table!$CC:$CC,CONCATENATE($A6,"_",K$1))</f>
        <v>0</v>
      </c>
      <c r="L6" s="19" t="n">
        <f aca="false">COUNTIF(Table!$CC:$CC,CONCATENATE($A6,"_",L$1))</f>
        <v>0</v>
      </c>
      <c r="M6" s="19" t="n">
        <f aca="false">COUNTIF(Table!$CC:$CC,CONCATENATE($A6,"_",M$1))</f>
        <v>0</v>
      </c>
      <c r="N6" s="19" t="n">
        <f aca="false">COUNTIF(Table!$CC:$CC,CONCATENATE($A6,"_",N$1))</f>
        <v>0</v>
      </c>
      <c r="O6" s="19" t="n">
        <f aca="false">COUNTIF(Table!$CC:$CC,CONCATENATE($A6,"_",O$1))</f>
        <v>0</v>
      </c>
      <c r="P6" s="19" t="n">
        <f aca="false">COUNTIF(Table!$CC:$CC,CONCATENATE($A6,"_",P$1))</f>
        <v>0</v>
      </c>
      <c r="Q6" s="19" t="n">
        <f aca="false">COUNTIF(Table!$CC:$CC,CONCATENATE($A6,"_",Q$1))</f>
        <v>0</v>
      </c>
      <c r="R6" s="19" t="n">
        <f aca="false">COUNTIF(Table!$CC:$CC,CONCATENATE($A6,"_",R$1))</f>
        <v>0</v>
      </c>
      <c r="S6" s="19" t="n">
        <f aca="false">COUNTIF(Table!$CC:$CC,CONCATENATE($A6,"_",S$1))</f>
        <v>0</v>
      </c>
      <c r="T6" s="19" t="n">
        <f aca="false">COUNTIF(Table!$CC:$CC,CONCATENATE($A6,"_",T$1))</f>
        <v>0</v>
      </c>
      <c r="U6" s="19" t="n">
        <f aca="false">COUNTIF(Table!$CC:$CC,CONCATENATE($A6,"_",U$1))</f>
        <v>0</v>
      </c>
      <c r="V6" s="19" t="n">
        <f aca="false">COUNTIF(Table!$CC:$CC,CONCATENATE($A6,"_",V$1))</f>
        <v>0</v>
      </c>
      <c r="W6" s="19" t="n">
        <f aca="false">COUNTIF(Table!$CC:$CC,CONCATENATE($A6,"_",W$1))</f>
        <v>0</v>
      </c>
    </row>
    <row r="7" customFormat="false" ht="15" hidden="false" customHeight="false" outlineLevel="0" collapsed="false">
      <c r="A7" s="18" t="s">
        <v>508</v>
      </c>
      <c r="B7" s="18" t="str">
        <f aca="false">VLOOKUP(A7, Eras!$B$2:$C$10, 2, FALSE())</f>
        <v>Early BR (1948-1955)</v>
      </c>
      <c r="C7" s="19" t="n">
        <f aca="false">COUNTIF(Table!$CC:$CC,CONCATENATE($A7,"_",C$1))</f>
        <v>0</v>
      </c>
      <c r="D7" s="19" t="n">
        <f aca="false">COUNTIF(Table!$CC:$CC,CONCATENATE($A7,"_",D$1))</f>
        <v>0</v>
      </c>
      <c r="E7" s="19" t="n">
        <f aca="false">COUNTIF(Table!$CC:$CC,CONCATENATE($A7,"_",E$1))</f>
        <v>0</v>
      </c>
      <c r="F7" s="19" t="n">
        <f aca="false">COUNTIF(Table!$CC:$CC,CONCATENATE($A7,"_",F$1))</f>
        <v>0</v>
      </c>
      <c r="G7" s="19" t="n">
        <f aca="false">COUNTIF(Table!$CC:$CC,CONCATENATE($A7,"_",G$1))</f>
        <v>0</v>
      </c>
      <c r="H7" s="18" t="n">
        <f aca="false">COUNTIF(Table!$CC:$CC,CONCATENATE($A7,"_",H$1))</f>
        <v>0</v>
      </c>
      <c r="I7" s="18" t="n">
        <f aca="false">COUNTIF(Table!$CC:$CC,CONCATENATE($A7,"_",I$1))</f>
        <v>0</v>
      </c>
      <c r="J7" s="19" t="n">
        <f aca="false">COUNTIF(Table!$CC:$CC,CONCATENATE($A7,"_",J$1))</f>
        <v>0</v>
      </c>
      <c r="K7" s="19" t="n">
        <f aca="false">COUNTIF(Table!$CC:$CC,CONCATENATE($A7,"_",K$1))</f>
        <v>0</v>
      </c>
      <c r="L7" s="19" t="n">
        <f aca="false">COUNTIF(Table!$CC:$CC,CONCATENATE($A7,"_",L$1))</f>
        <v>0</v>
      </c>
      <c r="M7" s="19" t="n">
        <f aca="false">COUNTIF(Table!$CC:$CC,CONCATENATE($A7,"_",M$1))</f>
        <v>0</v>
      </c>
      <c r="N7" s="19" t="n">
        <f aca="false">COUNTIF(Table!$CC:$CC,CONCATENATE($A7,"_",N$1))</f>
        <v>0</v>
      </c>
      <c r="O7" s="19" t="n">
        <f aca="false">COUNTIF(Table!$CC:$CC,CONCATENATE($A7,"_",O$1))</f>
        <v>0</v>
      </c>
      <c r="P7" s="19" t="n">
        <f aca="false">COUNTIF(Table!$CC:$CC,CONCATENATE($A7,"_",P$1))</f>
        <v>0</v>
      </c>
      <c r="Q7" s="19" t="n">
        <f aca="false">COUNTIF(Table!$CC:$CC,CONCATENATE($A7,"_",Q$1))</f>
        <v>0</v>
      </c>
      <c r="R7" s="19" t="n">
        <f aca="false">COUNTIF(Table!$CC:$CC,CONCATENATE($A7,"_",R$1))</f>
        <v>0</v>
      </c>
      <c r="S7" s="19" t="n">
        <f aca="false">COUNTIF(Table!$CC:$CC,CONCATENATE($A7,"_",S$1))</f>
        <v>0</v>
      </c>
      <c r="T7" s="19" t="n">
        <f aca="false">COUNTIF(Table!$CC:$CC,CONCATENATE($A7,"_",T$1))</f>
        <v>0</v>
      </c>
      <c r="U7" s="19" t="n">
        <f aca="false">COUNTIF(Table!$CC:$CC,CONCATENATE($A7,"_",U$1))</f>
        <v>0</v>
      </c>
      <c r="V7" s="19" t="n">
        <f aca="false">COUNTIF(Table!$CC:$CC,CONCATENATE($A7,"_",V$1))</f>
        <v>0</v>
      </c>
      <c r="W7" s="19" t="n">
        <f aca="false">COUNTIF(Table!$CC:$CC,CONCATENATE($A7,"_",W$1))</f>
        <v>0</v>
      </c>
    </row>
    <row r="8" customFormat="false" ht="15" hidden="false" customHeight="false" outlineLevel="0" collapsed="false">
      <c r="A8" s="18" t="s">
        <v>509</v>
      </c>
      <c r="B8" s="18" t="str">
        <f aca="false">VLOOKUP(A8, Eras!$B$2:$C$10, 2, FALSE())</f>
        <v>Dieselisation (1955-1970)</v>
      </c>
      <c r="C8" s="19" t="n">
        <f aca="false">COUNTIF(Table!$CC:$CC,CONCATENATE($A8,"_",C$1))</f>
        <v>0</v>
      </c>
      <c r="D8" s="19" t="n">
        <f aca="false">COUNTIF(Table!$CC:$CC,CONCATENATE($A8,"_",D$1))</f>
        <v>0</v>
      </c>
      <c r="E8" s="19" t="n">
        <f aca="false">COUNTIF(Table!$CC:$CC,CONCATENATE($A8,"_",E$1))</f>
        <v>0</v>
      </c>
      <c r="F8" s="19" t="n">
        <f aca="false">COUNTIF(Table!$CC:$CC,CONCATENATE($A8,"_",F$1))</f>
        <v>0</v>
      </c>
      <c r="G8" s="19" t="n">
        <f aca="false">COUNTIF(Table!$CC:$CC,CONCATENATE($A8,"_",G$1))</f>
        <v>0</v>
      </c>
      <c r="H8" s="19" t="n">
        <f aca="false">COUNTIF(Table!$CC:$CC,CONCATENATE($A8,"_",H$1))</f>
        <v>0</v>
      </c>
      <c r="I8" s="19" t="n">
        <f aca="false">COUNTIF(Table!$CC:$CC,CONCATENATE($A8,"_",I$1))</f>
        <v>0</v>
      </c>
      <c r="J8" s="19" t="n">
        <f aca="false">COUNTIF(Table!$CC:$CC,CONCATENATE($A8,"_",J$1))</f>
        <v>0</v>
      </c>
      <c r="K8" s="19" t="n">
        <f aca="false">COUNTIF(Table!$CC:$CC,CONCATENATE($A8,"_",K$1))</f>
        <v>0</v>
      </c>
      <c r="L8" s="19" t="n">
        <f aca="false">COUNTIF(Table!$CC:$CC,CONCATENATE($A8,"_",L$1))</f>
        <v>0</v>
      </c>
      <c r="M8" s="19" t="n">
        <f aca="false">COUNTIF(Table!$CC:$CC,CONCATENATE($A8,"_",M$1))</f>
        <v>0</v>
      </c>
      <c r="N8" s="19" t="n">
        <f aca="false">COUNTIF(Table!$CC:$CC,CONCATENATE($A8,"_",N$1))</f>
        <v>0</v>
      </c>
      <c r="O8" s="19" t="n">
        <f aca="false">COUNTIF(Table!$CC:$CC,CONCATENATE($A8,"_",O$1))</f>
        <v>0</v>
      </c>
      <c r="P8" s="19" t="n">
        <f aca="false">COUNTIF(Table!$CC:$CC,CONCATENATE($A8,"_",P$1))</f>
        <v>0</v>
      </c>
      <c r="Q8" s="19" t="n">
        <f aca="false">COUNTIF(Table!$CC:$CC,CONCATENATE($A8,"_",Q$1))</f>
        <v>0</v>
      </c>
      <c r="R8" s="19" t="n">
        <f aca="false">COUNTIF(Table!$CC:$CC,CONCATENATE($A8,"_",R$1))</f>
        <v>0</v>
      </c>
      <c r="S8" s="19" t="n">
        <f aca="false">COUNTIF(Table!$CC:$CC,CONCATENATE($A8,"_",S$1))</f>
        <v>0</v>
      </c>
      <c r="T8" s="19" t="n">
        <f aca="false">COUNTIF(Table!$CC:$CC,CONCATENATE($A8,"_",T$1))</f>
        <v>0</v>
      </c>
      <c r="U8" s="19" t="n">
        <f aca="false">COUNTIF(Table!$CC:$CC,CONCATENATE($A8,"_",U$1))</f>
        <v>0</v>
      </c>
      <c r="V8" s="19" t="n">
        <f aca="false">COUNTIF(Table!$CC:$CC,CONCATENATE($A8,"_",V$1))</f>
        <v>0</v>
      </c>
      <c r="W8" s="19" t="n">
        <f aca="false">COUNTIF(Table!$CC:$CC,CONCATENATE($A8,"_",W$1))</f>
        <v>0</v>
      </c>
    </row>
    <row r="9" customFormat="false" ht="15" hidden="false" customHeight="false" outlineLevel="0" collapsed="false">
      <c r="A9" s="18" t="s">
        <v>510</v>
      </c>
      <c r="B9" s="18" t="str">
        <f aca="false">VLOOKUP(A9, Eras!$B$2:$C$10, 2, FALSE())</f>
        <v>Late BR (1970-1995)</v>
      </c>
      <c r="C9" s="19" t="n">
        <f aca="false">COUNTIF(Table!$CC:$CC,CONCATENATE($A9,"_",C$1))</f>
        <v>0</v>
      </c>
      <c r="D9" s="19" t="n">
        <f aca="false">COUNTIF(Table!$CC:$CC,CONCATENATE($A9,"_",D$1))</f>
        <v>0</v>
      </c>
      <c r="E9" s="19" t="n">
        <f aca="false">COUNTIF(Table!$CC:$CC,CONCATENATE($A9,"_",E$1))</f>
        <v>0</v>
      </c>
      <c r="F9" s="19" t="n">
        <f aca="false">COUNTIF(Table!$CC:$CC,CONCATENATE($A9,"_",F$1))</f>
        <v>0</v>
      </c>
      <c r="G9" s="19" t="n">
        <f aca="false">COUNTIF(Table!$CC:$CC,CONCATENATE($A9,"_",G$1))</f>
        <v>0</v>
      </c>
      <c r="H9" s="19" t="n">
        <f aca="false">COUNTIF(Table!$CC:$CC,CONCATENATE($A9,"_",H$1))</f>
        <v>0</v>
      </c>
      <c r="I9" s="19" t="n">
        <f aca="false">COUNTIF(Table!$CC:$CC,CONCATENATE($A9,"_",I$1))</f>
        <v>0</v>
      </c>
      <c r="J9" s="19" t="n">
        <f aca="false">COUNTIF(Table!$CC:$CC,CONCATENATE($A9,"_",J$1))</f>
        <v>0</v>
      </c>
      <c r="K9" s="19" t="n">
        <f aca="false">COUNTIF(Table!$CC:$CC,CONCATENATE($A9,"_",K$1))</f>
        <v>0</v>
      </c>
      <c r="L9" s="19" t="n">
        <f aca="false">COUNTIF(Table!$CC:$CC,CONCATENATE($A9,"_",L$1))</f>
        <v>0</v>
      </c>
      <c r="M9" s="19" t="n">
        <f aca="false">COUNTIF(Table!$CC:$CC,CONCATENATE($A9,"_",M$1))</f>
        <v>0</v>
      </c>
      <c r="N9" s="19" t="n">
        <f aca="false">COUNTIF(Table!$CC:$CC,CONCATENATE($A9,"_",N$1))</f>
        <v>0</v>
      </c>
      <c r="O9" s="19" t="n">
        <f aca="false">COUNTIF(Table!$CC:$CC,CONCATENATE($A9,"_",O$1))</f>
        <v>0</v>
      </c>
      <c r="P9" s="19" t="n">
        <f aca="false">COUNTIF(Table!$CC:$CC,CONCATENATE($A9,"_",P$1))</f>
        <v>0</v>
      </c>
      <c r="Q9" s="19" t="n">
        <f aca="false">COUNTIF(Table!$CC:$CC,CONCATENATE($A9,"_",Q$1))</f>
        <v>0</v>
      </c>
      <c r="R9" s="19" t="n">
        <f aca="false">COUNTIF(Table!$CC:$CC,CONCATENATE($A9,"_",R$1))</f>
        <v>0</v>
      </c>
      <c r="S9" s="19" t="n">
        <f aca="false">COUNTIF(Table!$CC:$CC,CONCATENATE($A9,"_",S$1))</f>
        <v>0</v>
      </c>
      <c r="T9" s="19" t="n">
        <f aca="false">COUNTIF(Table!$CC:$CC,CONCATENATE($A9,"_",T$1))</f>
        <v>0</v>
      </c>
      <c r="U9" s="19" t="n">
        <f aca="false">COUNTIF(Table!$CC:$CC,CONCATENATE($A9,"_",U$1))</f>
        <v>0</v>
      </c>
      <c r="V9" s="19" t="n">
        <f aca="false">COUNTIF(Table!$CC:$CC,CONCATENATE($A9,"_",V$1))</f>
        <v>0</v>
      </c>
      <c r="W9" s="19" t="n">
        <f aca="false">COUNTIF(Table!$CC:$CC,CONCATENATE($A9,"_",W$1))</f>
        <v>0</v>
      </c>
    </row>
    <row r="10" customFormat="false" ht="15" hidden="false" customHeight="false" outlineLevel="0" collapsed="false">
      <c r="A10" s="18" t="s">
        <v>511</v>
      </c>
      <c r="B10" s="18" t="str">
        <f aca="false">VLOOKUP(A10, Eras!$B$2:$C$10, 2, FALSE())</f>
        <v>Privatisation (1995-2005)</v>
      </c>
      <c r="C10" s="19" t="n">
        <f aca="false">COUNTIF(Table!$CC:$CC,CONCATENATE($A10,"_",C$1))</f>
        <v>0</v>
      </c>
      <c r="D10" s="19" t="n">
        <f aca="false">COUNTIF(Table!$CC:$CC,CONCATENATE($A10,"_",D$1))</f>
        <v>0</v>
      </c>
      <c r="E10" s="19" t="n">
        <f aca="false">COUNTIF(Table!$CC:$CC,CONCATENATE($A10,"_",E$1))</f>
        <v>0</v>
      </c>
      <c r="F10" s="19" t="n">
        <f aca="false">COUNTIF(Table!$CC:$CC,CONCATENATE($A10,"_",F$1))</f>
        <v>0</v>
      </c>
      <c r="G10" s="19" t="n">
        <f aca="false">COUNTIF(Table!$CC:$CC,CONCATENATE($A10,"_",G$1))</f>
        <v>0</v>
      </c>
      <c r="H10" s="19" t="n">
        <f aca="false">COUNTIF(Table!$CC:$CC,CONCATENATE($A10,"_",H$1))</f>
        <v>0</v>
      </c>
      <c r="I10" s="19" t="n">
        <f aca="false">COUNTIF(Table!$CC:$CC,CONCATENATE($A10,"_",I$1))</f>
        <v>0</v>
      </c>
      <c r="J10" s="19" t="n">
        <f aca="false">COUNTIF(Table!$CC:$CC,CONCATENATE($A10,"_",J$1))</f>
        <v>0</v>
      </c>
      <c r="K10" s="19" t="n">
        <f aca="false">COUNTIF(Table!$CC:$CC,CONCATENATE($A10,"_",K$1))</f>
        <v>0</v>
      </c>
      <c r="L10" s="19" t="n">
        <f aca="false">COUNTIF(Table!$CC:$CC,CONCATENATE($A10,"_",L$1))</f>
        <v>0</v>
      </c>
      <c r="M10" s="19" t="n">
        <f aca="false">COUNTIF(Table!$CC:$CC,CONCATENATE($A10,"_",M$1))</f>
        <v>0</v>
      </c>
      <c r="N10" s="19" t="n">
        <f aca="false">COUNTIF(Table!$CC:$CC,CONCATENATE($A10,"_",N$1))</f>
        <v>0</v>
      </c>
      <c r="O10" s="19" t="n">
        <f aca="false">COUNTIF(Table!$CC:$CC,CONCATENATE($A10,"_",O$1))</f>
        <v>0</v>
      </c>
      <c r="P10" s="19" t="n">
        <f aca="false">COUNTIF(Table!$CC:$CC,CONCATENATE($A10,"_",P$1))</f>
        <v>0</v>
      </c>
      <c r="Q10" s="19" t="n">
        <f aca="false">COUNTIF(Table!$CC:$CC,CONCATENATE($A10,"_",Q$1))</f>
        <v>0</v>
      </c>
      <c r="R10" s="19" t="n">
        <f aca="false">COUNTIF(Table!$CC:$CC,CONCATENATE($A10,"_",R$1))</f>
        <v>0</v>
      </c>
      <c r="S10" s="19" t="n">
        <f aca="false">COUNTIF(Table!$CC:$CC,CONCATENATE($A10,"_",S$1))</f>
        <v>0</v>
      </c>
      <c r="T10" s="19" t="n">
        <f aca="false">COUNTIF(Table!$CC:$CC,CONCATENATE($A10,"_",T$1))</f>
        <v>0</v>
      </c>
      <c r="U10" s="19" t="n">
        <f aca="false">COUNTIF(Table!$CC:$CC,CONCATENATE($A10,"_",U$1))</f>
        <v>0</v>
      </c>
      <c r="V10" s="19" t="n">
        <f aca="false">COUNTIF(Table!$CC:$CC,CONCATENATE($A10,"_",V$1))</f>
        <v>0</v>
      </c>
      <c r="W10" s="19" t="n">
        <f aca="false">COUNTIF(Table!$CC:$CC,CONCATENATE($A10,"_",W$1))</f>
        <v>0</v>
      </c>
    </row>
    <row r="11" customFormat="false" ht="15" hidden="false" customHeight="false" outlineLevel="0" collapsed="false">
      <c r="A11" s="18" t="s">
        <v>512</v>
      </c>
      <c r="B11" s="18" t="str">
        <f aca="false">VLOOKUP(A11, Eras!$B$2:$C$10, 2, FALSE())</f>
        <v>Modern (2005-)</v>
      </c>
      <c r="C11" s="19" t="n">
        <f aca="false">COUNTIF(Table!$CC:$CC,CONCATENATE($A11,"_",C$1))</f>
        <v>0</v>
      </c>
      <c r="D11" s="19" t="n">
        <f aca="false">COUNTIF(Table!$CC:$CC,CONCATENATE($A11,"_",D$1))</f>
        <v>0</v>
      </c>
      <c r="E11" s="19" t="n">
        <f aca="false">COUNTIF(Table!$CC:$CC,CONCATENATE($A11,"_",E$1))</f>
        <v>0</v>
      </c>
      <c r="F11" s="19" t="n">
        <f aca="false">COUNTIF(Table!$CC:$CC,CONCATENATE($A11,"_",F$1))</f>
        <v>0</v>
      </c>
      <c r="G11" s="19" t="n">
        <f aca="false">COUNTIF(Table!$CC:$CC,CONCATENATE($A11,"_",G$1))</f>
        <v>0</v>
      </c>
      <c r="H11" s="19" t="n">
        <f aca="false">COUNTIF(Table!$CC:$CC,CONCATENATE($A11,"_",H$1))</f>
        <v>0</v>
      </c>
      <c r="I11" s="19" t="n">
        <f aca="false">COUNTIF(Table!$CC:$CC,CONCATENATE($A11,"_",I$1))</f>
        <v>0</v>
      </c>
      <c r="J11" s="19" t="n">
        <f aca="false">COUNTIF(Table!$CC:$CC,CONCATENATE($A11,"_",J$1))</f>
        <v>0</v>
      </c>
      <c r="K11" s="19" t="n">
        <f aca="false">COUNTIF(Table!$CC:$CC,CONCATENATE($A11,"_",K$1))</f>
        <v>0</v>
      </c>
      <c r="L11" s="19" t="n">
        <f aca="false">COUNTIF(Table!$CC:$CC,CONCATENATE($A11,"_",L$1))</f>
        <v>0</v>
      </c>
      <c r="M11" s="19" t="n">
        <f aca="false">COUNTIF(Table!$CC:$CC,CONCATENATE($A11,"_",M$1))</f>
        <v>0</v>
      </c>
      <c r="N11" s="19" t="n">
        <f aca="false">COUNTIF(Table!$CC:$CC,CONCATENATE($A11,"_",N$1))</f>
        <v>0</v>
      </c>
      <c r="O11" s="19" t="n">
        <f aca="false">COUNTIF(Table!$CC:$CC,CONCATENATE($A11,"_",O$1))</f>
        <v>0</v>
      </c>
      <c r="P11" s="19" t="n">
        <f aca="false">COUNTIF(Table!$CC:$CC,CONCATENATE($A11,"_",P$1))</f>
        <v>0</v>
      </c>
      <c r="Q11" s="19" t="n">
        <f aca="false">COUNTIF(Table!$CC:$CC,CONCATENATE($A11,"_",Q$1))</f>
        <v>0</v>
      </c>
      <c r="R11" s="19" t="n">
        <f aca="false">COUNTIF(Table!$CC:$CC,CONCATENATE($A11,"_",R$1))</f>
        <v>0</v>
      </c>
      <c r="S11" s="19" t="n">
        <f aca="false">COUNTIF(Table!$CC:$CC,CONCATENATE($A11,"_",S$1))</f>
        <v>0</v>
      </c>
      <c r="T11" s="19" t="n">
        <f aca="false">COUNTIF(Table!$CC:$CC,CONCATENATE($A11,"_",T$1))</f>
        <v>0</v>
      </c>
      <c r="U11" s="19" t="n">
        <f aca="false">COUNTIF(Table!$CC:$CC,CONCATENATE($A11,"_",U$1))</f>
        <v>0</v>
      </c>
      <c r="V11" s="19" t="n">
        <f aca="false">COUNTIF(Table!$CC:$CC,CONCATENATE($A11,"_",V$1))</f>
        <v>0</v>
      </c>
      <c r="W11" s="19"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7">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18" width="9.58"/>
    <col collapsed="false" customWidth="true" hidden="false" outlineLevel="0" max="2" min="2" style="18" width="5.43"/>
    <col collapsed="false" customWidth="true" hidden="false" outlineLevel="0" max="3" min="3" style="18" width="28.99"/>
  </cols>
  <sheetData>
    <row r="1" customFormat="false" ht="15" hidden="false" customHeight="false" outlineLevel="0" collapsed="false">
      <c r="A1" s="38" t="s">
        <v>513</v>
      </c>
      <c r="B1" s="38" t="s">
        <v>514</v>
      </c>
      <c r="C1" s="38" t="s">
        <v>515</v>
      </c>
    </row>
    <row r="2" customFormat="false" ht="15" hidden="false" customHeight="false" outlineLevel="0" collapsed="false">
      <c r="A2" s="18" t="n">
        <v>1700</v>
      </c>
      <c r="B2" s="18" t="s">
        <v>504</v>
      </c>
      <c r="C2" s="18" t="s">
        <v>516</v>
      </c>
    </row>
    <row r="3" customFormat="false" ht="15" hidden="false" customHeight="false" outlineLevel="0" collapsed="false">
      <c r="A3" s="18" t="n">
        <v>1850</v>
      </c>
      <c r="B3" s="18" t="s">
        <v>505</v>
      </c>
      <c r="C3" s="18" t="s">
        <v>517</v>
      </c>
    </row>
    <row r="4" customFormat="false" ht="15" hidden="false" customHeight="false" outlineLevel="0" collapsed="false">
      <c r="A4" s="18" t="n">
        <v>1900</v>
      </c>
      <c r="B4" s="18" t="s">
        <v>506</v>
      </c>
      <c r="C4" s="18" t="s">
        <v>518</v>
      </c>
    </row>
    <row r="5" customFormat="false" ht="15" hidden="false" customHeight="false" outlineLevel="0" collapsed="false">
      <c r="A5" s="18" t="n">
        <v>1923</v>
      </c>
      <c r="B5" s="18" t="s">
        <v>507</v>
      </c>
      <c r="C5" s="18" t="s">
        <v>519</v>
      </c>
    </row>
    <row r="6" customFormat="false" ht="15" hidden="false" customHeight="false" outlineLevel="0" collapsed="false">
      <c r="A6" s="18" t="n">
        <v>1948</v>
      </c>
      <c r="B6" s="18" t="s">
        <v>508</v>
      </c>
      <c r="C6" s="18" t="s">
        <v>520</v>
      </c>
    </row>
    <row r="7" customFormat="false" ht="15" hidden="false" customHeight="false" outlineLevel="0" collapsed="false">
      <c r="A7" s="18" t="n">
        <v>1955</v>
      </c>
      <c r="B7" s="18" t="s">
        <v>509</v>
      </c>
      <c r="C7" s="18" t="s">
        <v>521</v>
      </c>
    </row>
    <row r="8" customFormat="false" ht="15" hidden="false" customHeight="false" outlineLevel="0" collapsed="false">
      <c r="A8" s="18" t="n">
        <v>1970</v>
      </c>
      <c r="B8" s="18" t="s">
        <v>510</v>
      </c>
      <c r="C8" s="18" t="s">
        <v>522</v>
      </c>
    </row>
    <row r="9" customFormat="false" ht="15" hidden="false" customHeight="false" outlineLevel="0" collapsed="false">
      <c r="A9" s="18" t="n">
        <v>1995</v>
      </c>
      <c r="B9" s="18" t="s">
        <v>511</v>
      </c>
      <c r="C9" s="18" t="s">
        <v>523</v>
      </c>
    </row>
    <row r="10" customFormat="false" ht="15" hidden="false" customHeight="false" outlineLevel="0" collapsed="false">
      <c r="A10" s="18" t="n">
        <v>2005</v>
      </c>
      <c r="B10" s="18" t="s">
        <v>512</v>
      </c>
      <c r="C10" s="18" t="s">
        <v>524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18" width="7"/>
    <col collapsed="false" customWidth="true" hidden="false" outlineLevel="0" max="2" min="2" style="18" width="13.3"/>
    <col collapsed="false" customWidth="true" hidden="false" outlineLevel="0" max="3" min="3" style="18" width="20.14"/>
    <col collapsed="false" customWidth="true" hidden="false" outlineLevel="0" max="6" min="6" style="18" width="27.43"/>
    <col collapsed="false" customWidth="true" hidden="false" outlineLevel="0" max="9" min="9" style="18" width="14.69"/>
    <col collapsed="false" customWidth="true" hidden="false" outlineLevel="0" max="10" min="10" style="18" width="18.13"/>
    <col collapsed="false" customWidth="true" hidden="false" outlineLevel="0" max="11" min="11" style="18" width="18.86"/>
    <col collapsed="false" customWidth="true" hidden="false" outlineLevel="0" max="13" min="13" style="18" width="19.72"/>
    <col collapsed="false" customWidth="true" hidden="false" outlineLevel="0" max="14" min="14" style="18" width="27.28"/>
    <col collapsed="false" customWidth="true" hidden="false" outlineLevel="0" max="15" min="15" style="18" width="6.7"/>
  </cols>
  <sheetData>
    <row r="1" customFormat="false" ht="15" hidden="false" customHeight="false" outlineLevel="0" collapsed="false">
      <c r="A1" s="38" t="s">
        <v>525</v>
      </c>
      <c r="B1" s="38" t="s">
        <v>526</v>
      </c>
      <c r="C1" s="38" t="s">
        <v>527</v>
      </c>
      <c r="F1" s="38" t="s">
        <v>528</v>
      </c>
      <c r="G1" s="18" t="n">
        <v>15</v>
      </c>
      <c r="I1" s="38" t="s">
        <v>529</v>
      </c>
      <c r="J1" s="38" t="s">
        <v>530</v>
      </c>
      <c r="K1" s="38" t="s">
        <v>531</v>
      </c>
      <c r="M1" s="38" t="s">
        <v>532</v>
      </c>
      <c r="N1" s="38" t="s">
        <v>533</v>
      </c>
      <c r="O1" s="38" t="s">
        <v>13</v>
      </c>
    </row>
    <row r="2" customFormat="false" ht="15" hidden="false" customHeight="false" outlineLevel="0" collapsed="false">
      <c r="A2" s="18" t="n">
        <v>0</v>
      </c>
      <c r="B2" s="18" t="s">
        <v>534</v>
      </c>
      <c r="F2" s="38" t="s">
        <v>535</v>
      </c>
      <c r="G2" s="18" t="n">
        <v>5</v>
      </c>
      <c r="I2" s="18" t="s">
        <v>150</v>
      </c>
      <c r="J2" s="18" t="n">
        <v>1</v>
      </c>
      <c r="K2" s="18" t="n">
        <v>2</v>
      </c>
      <c r="M2" s="18" t="s">
        <v>257</v>
      </c>
      <c r="N2" s="18" t="str">
        <f aca="false">IF(O2&lt;&gt;"", _xlfn.CONCAT("{BLACK}Powered by: {GOLD}",O2), "")</f>
        <v>{BLACK}Powered by: {GOLD}Diesel</v>
      </c>
      <c r="O2" s="18" t="s">
        <v>536</v>
      </c>
    </row>
    <row r="3" customFormat="false" ht="15" hidden="false" customHeight="false" outlineLevel="0" collapsed="false">
      <c r="A3" s="18" t="n">
        <v>3</v>
      </c>
      <c r="B3" s="18" t="s">
        <v>160</v>
      </c>
      <c r="C3" s="18" t="s">
        <v>160</v>
      </c>
      <c r="I3" s="18" t="s">
        <v>91</v>
      </c>
      <c r="J3" s="18" t="n">
        <v>0.85</v>
      </c>
      <c r="K3" s="18" t="n">
        <v>2.3</v>
      </c>
      <c r="M3" s="18" t="s">
        <v>537</v>
      </c>
      <c r="N3" s="18" t="str">
        <f aca="false">IF(O3&lt;&gt;"", _xlfn.CONCAT("{BLACK}Powered by: {GOLD}",O3), "")</f>
        <v>{BLACK}Powered by: {GOLD}Steam</v>
      </c>
      <c r="O3" s="18" t="s">
        <v>538</v>
      </c>
    </row>
    <row r="4" customFormat="false" ht="15" hidden="false" customHeight="false" outlineLevel="0" collapsed="false">
      <c r="A4" s="18" t="n">
        <v>4</v>
      </c>
      <c r="B4" s="18" t="s">
        <v>539</v>
      </c>
      <c r="C4" s="18" t="s">
        <v>539</v>
      </c>
      <c r="I4" s="18" t="s">
        <v>540</v>
      </c>
      <c r="J4" s="18" t="n">
        <v>1.15</v>
      </c>
      <c r="K4" s="18" t="n">
        <v>1.7</v>
      </c>
      <c r="M4" s="18" t="s">
        <v>541</v>
      </c>
      <c r="N4" s="18" t="str">
        <f aca="false">IF(O4&lt;&gt;"", _xlfn.CONCAT("{BLACK}Powered by: {GOLD}",O4), "")</f>
        <v>{BLACK}Powered by: {GOLD}25kV AC</v>
      </c>
      <c r="O4" s="18" t="s">
        <v>542</v>
      </c>
    </row>
    <row r="5" customFormat="false" ht="15" hidden="false" customHeight="false" outlineLevel="0" collapsed="false">
      <c r="A5" s="18" t="n">
        <v>5</v>
      </c>
      <c r="B5" s="18" t="s">
        <v>543</v>
      </c>
      <c r="C5" s="18" t="s">
        <v>543</v>
      </c>
      <c r="I5" s="18" t="s">
        <v>247</v>
      </c>
      <c r="J5" s="18" t="n">
        <v>0.9</v>
      </c>
      <c r="K5" s="18" t="n">
        <v>2.5</v>
      </c>
      <c r="M5" s="18" t="s">
        <v>544</v>
      </c>
      <c r="N5" s="18" t="str">
        <f aca="false">IF(O5&lt;&gt;"", _xlfn.CONCAT("{BLACK}Powered by: {GOLD}",O5), "")</f>
        <v>{BLACK}Powered by: {GOLD}750V DC</v>
      </c>
      <c r="O5" s="18" t="s">
        <v>545</v>
      </c>
    </row>
    <row r="6" customFormat="false" ht="15" hidden="false" customHeight="false" outlineLevel="0" collapsed="false">
      <c r="A6" s="18" t="n">
        <v>6</v>
      </c>
      <c r="B6" s="18" t="s">
        <v>546</v>
      </c>
      <c r="C6" s="18" t="s">
        <v>546</v>
      </c>
      <c r="I6" s="18" t="s">
        <v>317</v>
      </c>
      <c r="J6" s="18" t="n">
        <v>0.85</v>
      </c>
      <c r="K6" s="18" t="n">
        <v>2.4</v>
      </c>
      <c r="M6" s="18" t="s">
        <v>547</v>
      </c>
      <c r="N6" s="18" t="str">
        <f aca="false">IF(O6&lt;&gt;"", _xlfn.CONCAT("{BLACK}Powered by: {GOLD}",O6), "")</f>
        <v/>
      </c>
    </row>
    <row r="7" customFormat="false" ht="15" hidden="false" customHeight="false" outlineLevel="0" collapsed="false">
      <c r="A7" s="18" t="n">
        <v>7</v>
      </c>
      <c r="B7" s="18" t="s">
        <v>548</v>
      </c>
      <c r="C7" s="18" t="s">
        <v>548</v>
      </c>
      <c r="I7" s="18" t="s">
        <v>446</v>
      </c>
      <c r="J7" s="18" t="n">
        <v>1.2</v>
      </c>
      <c r="K7" s="18" t="n">
        <v>0.6</v>
      </c>
      <c r="M7" s="18" t="s">
        <v>549</v>
      </c>
      <c r="N7" s="18" t="str">
        <f aca="false">IF(O7&lt;&gt;"", _xlfn.CONCAT("{BLACK}Powered by: {GOLD}",O7), "")</f>
        <v/>
      </c>
    </row>
    <row r="8" customFormat="false" ht="15" hidden="false" customHeight="false" outlineLevel="0" collapsed="false">
      <c r="A8" s="18" t="n">
        <v>8</v>
      </c>
      <c r="B8" s="18" t="s">
        <v>550</v>
      </c>
      <c r="C8" s="18" t="s">
        <v>550</v>
      </c>
      <c r="I8" s="18" t="s">
        <v>441</v>
      </c>
      <c r="J8" s="18" t="n">
        <v>1.5</v>
      </c>
      <c r="K8" s="18" t="n">
        <v>0.7</v>
      </c>
      <c r="M8" s="18" t="s">
        <v>551</v>
      </c>
      <c r="N8" s="18" t="str">
        <f aca="false">IF(O8&lt;&gt;"", _xlfn.CONCAT("{BLACK}Powered by: {GOLD}",O8), "")</f>
        <v/>
      </c>
    </row>
    <row r="9" customFormat="false" ht="15" hidden="false" customHeight="false" outlineLevel="0" collapsed="false">
      <c r="A9" s="18" t="n">
        <v>9</v>
      </c>
      <c r="B9" s="18" t="s">
        <v>552</v>
      </c>
      <c r="C9" s="18" t="s">
        <v>552</v>
      </c>
      <c r="I9" s="18" t="s">
        <v>394</v>
      </c>
      <c r="J9" s="18" t="n">
        <v>1</v>
      </c>
      <c r="K9" s="18" t="n">
        <v>0.45</v>
      </c>
      <c r="M9" s="18" t="s">
        <v>553</v>
      </c>
      <c r="N9" s="18" t="str">
        <f aca="false">IF(O9&lt;&gt;"", _xlfn.CONCAT("{BLACK}Powered by: {GOLD}",O9), "")</f>
        <v/>
      </c>
    </row>
    <row r="10" customFormat="false" ht="15" hidden="false" customHeight="false" outlineLevel="0" collapsed="false">
      <c r="A10" s="18" t="n">
        <v>10</v>
      </c>
      <c r="B10" s="18" t="s">
        <v>554</v>
      </c>
      <c r="C10" s="18" t="s">
        <v>554</v>
      </c>
      <c r="I10" s="18" t="s">
        <v>412</v>
      </c>
      <c r="J10" s="18" t="n">
        <v>1</v>
      </c>
      <c r="K10" s="18" t="n">
        <v>0.4</v>
      </c>
      <c r="M10" s="18" t="s">
        <v>555</v>
      </c>
      <c r="N10" s="18" t="str">
        <f aca="false">IF(O10&lt;&gt;"", _xlfn.CONCAT("{BLACK}Powered by: {GOLD}",O10), "")</f>
        <v>{BLACK}Powered by: {GOLD}Steam</v>
      </c>
      <c r="O10" s="18" t="s">
        <v>538</v>
      </c>
    </row>
    <row r="11" customFormat="false" ht="15" hidden="false" customHeight="false" outlineLevel="0" collapsed="false">
      <c r="A11" s="18" t="n">
        <v>11</v>
      </c>
      <c r="B11" s="18" t="s">
        <v>556</v>
      </c>
      <c r="C11" s="18" t="s">
        <v>556</v>
      </c>
      <c r="I11" s="18" t="s">
        <v>557</v>
      </c>
      <c r="J11" s="18" t="n">
        <v>0.9</v>
      </c>
      <c r="K11" s="18" t="n">
        <v>1.6</v>
      </c>
      <c r="M11" s="18" t="s">
        <v>558</v>
      </c>
      <c r="N11" s="18" t="str">
        <f aca="false">IF(O11&lt;&gt;"", _xlfn.CONCAT("{BLACK}Powered by: {GOLD}",O11), "")</f>
        <v>{BLACK}Powered by: {GOLD}750V DC / Diesel</v>
      </c>
      <c r="O11" s="18" t="s">
        <v>559</v>
      </c>
    </row>
    <row r="12" customFormat="false" ht="15" hidden="false" customHeight="false" outlineLevel="0" collapsed="false">
      <c r="A12" s="18" t="n">
        <v>12</v>
      </c>
      <c r="B12" s="18" t="s">
        <v>560</v>
      </c>
      <c r="C12" s="18" t="s">
        <v>560</v>
      </c>
      <c r="I12" s="18" t="s">
        <v>38</v>
      </c>
      <c r="J12" s="18" t="n">
        <v>0</v>
      </c>
      <c r="K12" s="18" t="n">
        <v>0</v>
      </c>
      <c r="M12" s="18" t="s">
        <v>561</v>
      </c>
      <c r="N12" s="18" t="str">
        <f aca="false">IF(O12&lt;&gt;"", _xlfn.CONCAT("{BLACK}Powered by: {GOLD}",O12), "")</f>
        <v>{BLACK}Powered by: {GOLD}25kV AC / 750V DC</v>
      </c>
      <c r="O12" s="18" t="s">
        <v>562</v>
      </c>
    </row>
    <row r="13" customFormat="false" ht="15" hidden="false" customHeight="false" outlineLevel="0" collapsed="false">
      <c r="A13" s="18" t="n">
        <v>13</v>
      </c>
      <c r="B13" s="18" t="s">
        <v>563</v>
      </c>
      <c r="C13" s="18" t="s">
        <v>563</v>
      </c>
      <c r="I13" s="18" t="s">
        <v>564</v>
      </c>
      <c r="J13" s="18" t="n">
        <v>1.05</v>
      </c>
      <c r="K13" s="18" t="n">
        <v>1.9</v>
      </c>
      <c r="M13" s="18" t="s">
        <v>565</v>
      </c>
      <c r="N13" s="18" t="str">
        <f aca="false">IF(O13&lt;&gt;"", _xlfn.CONCAT("{BLACK}Powered by: {GOLD}",O13), "")</f>
        <v/>
      </c>
    </row>
    <row r="14" customFormat="false" ht="15" hidden="false" customHeight="false" outlineLevel="0" collapsed="false">
      <c r="A14" s="18" t="n">
        <v>14</v>
      </c>
      <c r="B14" s="18" t="s">
        <v>566</v>
      </c>
      <c r="C14" s="18" t="s">
        <v>566</v>
      </c>
      <c r="I14" s="18" t="s">
        <v>567</v>
      </c>
      <c r="J14" s="18" t="n">
        <v>0.98</v>
      </c>
      <c r="K14" s="18" t="n">
        <v>1.88</v>
      </c>
      <c r="M14" s="18" t="s">
        <v>568</v>
      </c>
      <c r="N14" s="18" t="str">
        <f aca="false">IF(O14&lt;&gt;"", _xlfn.CONCAT("{BLACK}Powered by: {GOLD}",O14), "")</f>
        <v/>
      </c>
    </row>
    <row r="15" customFormat="false" ht="15" hidden="false" customHeight="false" outlineLevel="0" collapsed="false">
      <c r="A15" s="18" t="n">
        <v>15</v>
      </c>
      <c r="B15" s="18" t="s">
        <v>569</v>
      </c>
      <c r="C15" s="18" t="s">
        <v>569</v>
      </c>
      <c r="I15" s="18" t="s">
        <v>570</v>
      </c>
      <c r="J15" s="18" t="n">
        <v>0.5</v>
      </c>
      <c r="K15" s="18" t="n">
        <v>0.5</v>
      </c>
      <c r="M15" s="18" t="s">
        <v>571</v>
      </c>
      <c r="N15" s="18" t="str">
        <f aca="false">IF(O15&lt;&gt;"", _xlfn.CONCAT("{BLACK}Powered by: {GOLD}",O15), "")</f>
        <v/>
      </c>
    </row>
    <row r="16" customFormat="false" ht="15" hidden="false" customHeight="false" outlineLevel="0" collapsed="false">
      <c r="A16" s="18" t="n">
        <v>16</v>
      </c>
      <c r="B16" s="18" t="s">
        <v>572</v>
      </c>
      <c r="C16" s="18" t="s">
        <v>572</v>
      </c>
      <c r="I16" s="18" t="s">
        <v>262</v>
      </c>
      <c r="J16" s="18" t="n">
        <v>0.85</v>
      </c>
      <c r="K16" s="18" t="n">
        <v>2.3</v>
      </c>
      <c r="M16" s="18" t="s">
        <v>573</v>
      </c>
      <c r="N16" s="18" t="str">
        <f aca="false">IF(O16&lt;&gt;"", _xlfn.CONCAT("{BLACK}Powered by: {GOLD}",O16), "")</f>
        <v>{BLACK}Powered by: {GOLD}Petrol</v>
      </c>
      <c r="O16" s="18" t="s">
        <v>574</v>
      </c>
    </row>
    <row r="17" customFormat="false" ht="15" hidden="false" customHeight="false" outlineLevel="0" collapsed="false">
      <c r="I17" s="18" t="s">
        <v>575</v>
      </c>
      <c r="J17" s="18" t="n">
        <v>1</v>
      </c>
      <c r="K17" s="18" t="n">
        <v>2</v>
      </c>
      <c r="M17" s="18" t="s">
        <v>576</v>
      </c>
      <c r="N17" s="18" t="str">
        <f aca="false">IF(O17&lt;&gt;"", _xlfn.CONCAT("{BLACK}Powered by: {GOLD}",O17), "")</f>
        <v>{BLACK}Powered by: {GOLD}25kV AC / Diesel</v>
      </c>
      <c r="O17" s="18" t="s">
        <v>577</v>
      </c>
    </row>
    <row r="18" customFormat="false" ht="15" hidden="false" customHeight="false" outlineLevel="0" collapsed="false">
      <c r="I18" s="18" t="s">
        <v>578</v>
      </c>
      <c r="J18" s="18" t="n">
        <v>0.8</v>
      </c>
      <c r="K18" s="18" t="n">
        <v>2.3</v>
      </c>
      <c r="M18" s="18" t="s">
        <v>579</v>
      </c>
      <c r="N18" s="18" t="str">
        <f aca="false">IF(O18&lt;&gt;"", _xlfn.CONCAT("{BLACK}Powered by: {GOLD}",O18), "")</f>
        <v>{BLACK}Powered by: {GOLD}LPG / Flywheel</v>
      </c>
      <c r="O18" s="18" t="s">
        <v>580</v>
      </c>
    </row>
    <row r="19" customFormat="false" ht="15" hidden="false" customHeight="false" outlineLevel="0" collapsed="false">
      <c r="I19" s="18" t="s">
        <v>478</v>
      </c>
      <c r="J19" s="18" t="n">
        <v>1</v>
      </c>
      <c r="K19" s="18" t="n">
        <v>2</v>
      </c>
      <c r="M19" s="18" t="s">
        <v>581</v>
      </c>
      <c r="N19" s="18" t="str">
        <f aca="false">IF(O19&lt;&gt;"", _xlfn.CONCAT("{BLACK}Powered by: {GOLD}",O19), "")</f>
        <v/>
      </c>
    </row>
    <row r="20" customFormat="false" ht="15" hidden="false" customHeight="false" outlineLevel="0" collapsed="false">
      <c r="M20" s="18" t="s">
        <v>582</v>
      </c>
      <c r="N20" s="18" t="str">
        <f aca="false">IF(O20&lt;&gt;"", _xlfn.CONCAT("{BLACK}Powered by: {GOLD}",O20), "")</f>
        <v>{BLACK}Powered by: {GOLD}Steam</v>
      </c>
      <c r="O20" s="18" t="s">
        <v>538</v>
      </c>
    </row>
    <row r="21" customFormat="false" ht="15" hidden="false" customHeight="false" outlineLevel="0" collapsed="false">
      <c r="M21" s="18" t="s">
        <v>583</v>
      </c>
      <c r="N21" s="18" t="str">
        <f aca="false">IF(O21&lt;&gt;"", _xlfn.CONCAT("{BLACK}Powered by: {GOLD}",O21), "")</f>
        <v/>
      </c>
    </row>
    <row r="22" customFormat="false" ht="15" hidden="false" customHeight="false" outlineLevel="0" collapsed="false">
      <c r="M22" s="18" t="s">
        <v>584</v>
      </c>
      <c r="N22" s="18" t="str">
        <f aca="false">IF(O22&lt;&gt;"", _xlfn.CONCAT("{BLACK}Powered by: {GOLD}",O22), "")</f>
        <v>{BLACK}Powered by: {GOLD}Grass and hay</v>
      </c>
      <c r="O22" s="18" t="s">
        <v>585</v>
      </c>
    </row>
    <row r="23" customFormat="false" ht="15" hidden="false" customHeight="false" outlineLevel="0" collapsed="false">
      <c r="M23" s="18" t="s">
        <v>586</v>
      </c>
      <c r="N23" s="18" t="str">
        <f aca="false">IF(O23&lt;&gt;"", _xlfn.CONCAT("{BLACK}Powered by: {GOLD}",O23), "")</f>
        <v>{BLACK}Powered by: {GOLD}630V DC</v>
      </c>
      <c r="O23" s="18" t="s">
        <v>587</v>
      </c>
    </row>
    <row r="24" customFormat="false" ht="15" hidden="false" customHeight="false" outlineLevel="0" collapsed="false">
      <c r="M24" s="18" t="s">
        <v>588</v>
      </c>
      <c r="N24" s="18" t="str">
        <f aca="false">IF(O24&lt;&gt;"", _xlfn.CONCAT("{BLACK}Powered by: {GOLD}",O24), "")</f>
        <v/>
      </c>
    </row>
    <row r="25" customFormat="false" ht="15" hidden="false" customHeight="false" outlineLevel="0" collapsed="false">
      <c r="M25" s="18" t="s">
        <v>589</v>
      </c>
      <c r="N25" s="18" t="str">
        <f aca="false">IF(O25&lt;&gt;"", _xlfn.CONCAT("{BLACK}Powered by: {GOLD}",O25), "")</f>
        <v/>
      </c>
    </row>
    <row r="26" customFormat="false" ht="15" hidden="false" customHeight="false" outlineLevel="0" collapsed="false">
      <c r="M26" s="18" t="s">
        <v>590</v>
      </c>
      <c r="N26" s="18" t="str">
        <f aca="false">IF(O26&lt;&gt;"", _xlfn.CONCAT("{BLACK}Powered by: {GOLD}",O26), "")</f>
        <v>{BLACK}Powered by: {GOLD}Grass and hay</v>
      </c>
      <c r="O26" s="18" t="s">
        <v>585</v>
      </c>
    </row>
    <row r="27" customFormat="false" ht="15" hidden="false" customHeight="false" outlineLevel="0" collapsed="false">
      <c r="M27" s="18" t="s">
        <v>591</v>
      </c>
      <c r="N27" s="18" t="str">
        <f aca="false">IF(O27&lt;&gt;"", _xlfn.CONCAT("{BLACK}Powered by: {GOLD}",O27), "")</f>
        <v/>
      </c>
    </row>
    <row r="28" customFormat="false" ht="15" hidden="false" customHeight="false" outlineLevel="0" collapsed="false">
      <c r="M28" s="18" t="s">
        <v>592</v>
      </c>
      <c r="N28" s="18" t="str">
        <f aca="false">IF(O28&lt;&gt;"", _xlfn.CONCAT("{BLACK}Powered by: {GOLD}",O28), "")</f>
        <v>{BLACK}Powered by: {GOLD}Diesel</v>
      </c>
      <c r="O28" s="18" t="s">
        <v>536</v>
      </c>
    </row>
    <row r="29" customFormat="false" ht="15" hidden="false" customHeight="false" outlineLevel="0" collapsed="false">
      <c r="M29" s="18" t="s">
        <v>593</v>
      </c>
      <c r="N29" s="18" t="str">
        <f aca="false">IF(O29&lt;&gt;"", _xlfn.CONCAT("{BLACK}Powered by: {GOLD}",O29), "")</f>
        <v/>
      </c>
      <c r="O29" s="18" t="str">
        <f aca="false">IF(P29&lt;&gt;"", _xlfn.CONCAT("{BLACK}Powered by: {GOLD}",P29), "")</f>
        <v/>
      </c>
    </row>
    <row r="30" customFormat="false" ht="15" hidden="false" customHeight="false" outlineLevel="0" collapsed="false">
      <c r="M30" s="18" t="s">
        <v>594</v>
      </c>
      <c r="N30" s="18" t="str">
        <f aca="false">IF(O30&lt;&gt;"", _xlfn.CONCAT("{BLACK}Powered by: {GOLD}",O30), "")</f>
        <v>{BLACK}Powered by: {GOLD}Gas Turbine</v>
      </c>
      <c r="O30" s="18" t="s">
        <v>595</v>
      </c>
    </row>
    <row r="31" customFormat="false" ht="15" hidden="false" customHeight="false" outlineLevel="0" collapsed="false">
      <c r="M31" s="18" t="s">
        <v>596</v>
      </c>
      <c r="N31" s="18" t="str">
        <f aca="false">IF(O31&lt;&gt;"", _xlfn.CONCAT("{BLACK}Powered by: {GOLD}",O31), "")</f>
        <v>{BLACK}Powered by: {GOLD}Petrol</v>
      </c>
      <c r="O31" s="18" t="s">
        <v>574</v>
      </c>
    </row>
    <row r="32" customFormat="false" ht="15" hidden="false" customHeight="false" outlineLevel="0" collapsed="false">
      <c r="M32" s="18" t="s">
        <v>597</v>
      </c>
      <c r="N32" s="18" t="str">
        <f aca="false">IF(O32&lt;&gt;"", _xlfn.CONCAT("{BLACK}Powered by: {GOLD}",O32), "")</f>
        <v/>
      </c>
    </row>
    <row r="33" customFormat="false" ht="15" hidden="false" customHeight="false" outlineLevel="0" collapsed="false">
      <c r="M33" s="18" t="s">
        <v>598</v>
      </c>
      <c r="N33" s="18" t="str">
        <f aca="false">IF(O33&lt;&gt;"", _xlfn.CONCAT("{BLACK}Powered by: {GOLD}",O33), "")</f>
        <v>{BLACK}Powered by: {GOLD}750V DC / Battery</v>
      </c>
      <c r="O33" s="18" t="s">
        <v>599</v>
      </c>
    </row>
    <row r="34" customFormat="false" ht="15" hidden="false" customHeight="true" outlineLevel="0" collapsed="false">
      <c r="M34" s="18" t="s">
        <v>600</v>
      </c>
      <c r="N34" s="18" t="str">
        <f aca="false">IF(O34&lt;&gt;"", _xlfn.CONCAT("{BLACK}Powered by: {GOLD}",O34), "")</f>
        <v>{BLACK}Powered by: {GOLD}25kV AC</v>
      </c>
      <c r="O34" s="18" t="s">
        <v>542</v>
      </c>
    </row>
    <row r="35" customFormat="false" ht="15" hidden="false" customHeight="true" outlineLevel="0" collapsed="false">
      <c r="M35" s="18" t="s">
        <v>601</v>
      </c>
      <c r="N35" s="18" t="str">
        <f aca="false">IF(O35&lt;&gt;"", _xlfn.CONCAT("{BLACK}Powered by: {GOLD}",O35), "")</f>
        <v>{BLACK}Powered by: {GOLD}Diesel</v>
      </c>
      <c r="O35" s="18" t="s">
        <v>536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18" width="10.71"/>
    <col collapsed="false" customWidth="true" hidden="false" outlineLevel="0" max="4" min="3" style="18" width="21.43"/>
  </cols>
  <sheetData>
    <row r="1" customFormat="false" ht="15" hidden="false" customHeight="false" outlineLevel="0" collapsed="false">
      <c r="A1" s="38" t="s">
        <v>602</v>
      </c>
      <c r="B1" s="38" t="s">
        <v>603</v>
      </c>
      <c r="C1" s="38" t="s">
        <v>604</v>
      </c>
      <c r="D1" s="38" t="s">
        <v>605</v>
      </c>
    </row>
    <row r="2" customFormat="false" ht="15" hidden="false" customHeight="false" outlineLevel="0" collapsed="false">
      <c r="A2" s="18" t="n">
        <v>0</v>
      </c>
      <c r="B2" s="18" t="n">
        <f aca="false">IF(D2,D2,C2)</f>
        <v>0</v>
      </c>
      <c r="C2" s="18" t="n">
        <f aca="false">INT(A2*(256/15))</f>
        <v>0</v>
      </c>
      <c r="D2" s="38"/>
    </row>
    <row r="3" customFormat="false" ht="15" hidden="false" customHeight="false" outlineLevel="0" collapsed="false">
      <c r="A3" s="18" t="n">
        <v>1</v>
      </c>
      <c r="B3" s="18" t="n">
        <f aca="false">IF(D3,D3,C3)</f>
        <v>17</v>
      </c>
      <c r="C3" s="18" t="n">
        <f aca="false">INT(A3*(256/15))</f>
        <v>17</v>
      </c>
    </row>
    <row r="4" customFormat="false" ht="15" hidden="false" customHeight="false" outlineLevel="0" collapsed="false">
      <c r="A4" s="18" t="n">
        <v>2</v>
      </c>
      <c r="B4" s="18" t="n">
        <f aca="false">IF(D4,D4,C4)</f>
        <v>34</v>
      </c>
      <c r="C4" s="18" t="n">
        <f aca="false">INT(A4*(256/15))</f>
        <v>34</v>
      </c>
    </row>
    <row r="5" customFormat="false" ht="15" hidden="false" customHeight="false" outlineLevel="0" collapsed="false">
      <c r="A5" s="18" t="n">
        <v>3</v>
      </c>
      <c r="B5" s="18" t="n">
        <f aca="false">IF(D5,D5,C5)</f>
        <v>51</v>
      </c>
      <c r="C5" s="18" t="n">
        <f aca="false">INT(A5*(256/15))</f>
        <v>51</v>
      </c>
    </row>
    <row r="6" customFormat="false" ht="15" hidden="false" customHeight="false" outlineLevel="0" collapsed="false">
      <c r="A6" s="18" t="n">
        <v>4</v>
      </c>
      <c r="B6" s="18" t="n">
        <f aca="false">IF(D6,D6,C6)</f>
        <v>66</v>
      </c>
      <c r="C6" s="18" t="n">
        <f aca="false">INT(A6*(256/15))</f>
        <v>68</v>
      </c>
      <c r="D6" s="18" t="n">
        <v>66</v>
      </c>
    </row>
    <row r="7" customFormat="false" ht="15" hidden="false" customHeight="false" outlineLevel="0" collapsed="false">
      <c r="A7" s="18" t="n">
        <v>5</v>
      </c>
      <c r="B7" s="18" t="n">
        <f aca="false">IF(D7,D7,C7)</f>
        <v>82</v>
      </c>
      <c r="C7" s="18" t="n">
        <f aca="false">INT(A7*(256/15))</f>
        <v>85</v>
      </c>
      <c r="D7" s="18" t="n">
        <v>82</v>
      </c>
    </row>
    <row r="8" customFormat="false" ht="15" hidden="false" customHeight="false" outlineLevel="0" collapsed="false">
      <c r="A8" s="18" t="n">
        <v>6</v>
      </c>
      <c r="B8" s="18" t="n">
        <f aca="false">IF(D8,D8,C8)</f>
        <v>102</v>
      </c>
      <c r="C8" s="18" t="n">
        <f aca="false">INT(A8*(256/15))</f>
        <v>102</v>
      </c>
      <c r="D8" s="18" t="n">
        <v>102</v>
      </c>
    </row>
    <row r="9" customFormat="false" ht="15" hidden="false" customHeight="false" outlineLevel="0" collapsed="false">
      <c r="A9" s="18" t="n">
        <v>7</v>
      </c>
      <c r="B9" s="18" t="n">
        <f aca="false">IF(D9,D9,C9)</f>
        <v>120</v>
      </c>
      <c r="C9" s="18" t="n">
        <f aca="false">INT(A9*(256/15))</f>
        <v>119</v>
      </c>
      <c r="D9" s="18" t="n">
        <v>120</v>
      </c>
    </row>
    <row r="10" customFormat="false" ht="15" hidden="false" customHeight="false" outlineLevel="0" collapsed="false">
      <c r="A10" s="18" t="n">
        <v>8</v>
      </c>
      <c r="B10" s="18" t="n">
        <f aca="false">IF(D10,D10,C10)</f>
        <v>136</v>
      </c>
      <c r="C10" s="18" t="n">
        <f aca="false">INT(A10*(256/15))</f>
        <v>136</v>
      </c>
      <c r="D10" s="18" t="n">
        <v>136</v>
      </c>
    </row>
    <row r="11" customFormat="false" ht="15" hidden="false" customHeight="false" outlineLevel="0" collapsed="false">
      <c r="A11" s="18" t="n">
        <v>9</v>
      </c>
      <c r="B11" s="18" t="n">
        <f aca="false">IF(D11,D11,C11)</f>
        <v>152</v>
      </c>
      <c r="C11" s="18" t="n">
        <f aca="false">INT(A11*(256/15))</f>
        <v>153</v>
      </c>
      <c r="D11" s="18" t="n">
        <v>152</v>
      </c>
    </row>
    <row r="12" customFormat="false" ht="15" hidden="false" customHeight="false" outlineLevel="0" collapsed="false">
      <c r="A12" s="18" t="n">
        <v>10</v>
      </c>
      <c r="B12" s="18" t="n">
        <f aca="false">IF(D12,D12,C12)</f>
        <v>164</v>
      </c>
      <c r="C12" s="18" t="n">
        <f aca="false">INT(A12*(256/15))</f>
        <v>170</v>
      </c>
      <c r="D12" s="18" t="n">
        <v>164</v>
      </c>
    </row>
    <row r="13" customFormat="false" ht="15" hidden="false" customHeight="false" outlineLevel="0" collapsed="false">
      <c r="A13" s="18" t="n">
        <v>11</v>
      </c>
      <c r="B13" s="18" t="n">
        <f aca="false">IF(D13,D13,C13)</f>
        <v>186</v>
      </c>
      <c r="C13" s="18" t="n">
        <f aca="false">INT(A13*(256/15))</f>
        <v>187</v>
      </c>
      <c r="D13" s="18" t="n">
        <v>186</v>
      </c>
    </row>
    <row r="14" customFormat="false" ht="15" hidden="false" customHeight="false" outlineLevel="0" collapsed="false">
      <c r="A14" s="18" t="n">
        <v>12</v>
      </c>
      <c r="B14" s="18" t="n">
        <f aca="false">IF(D14,D14,C14)</f>
        <v>198</v>
      </c>
      <c r="C14" s="18" t="n">
        <f aca="false">INT(A14*(256/15))</f>
        <v>204</v>
      </c>
      <c r="D14" s="18" t="n">
        <v>198</v>
      </c>
    </row>
    <row r="15" customFormat="false" ht="15" hidden="false" customHeight="false" outlineLevel="0" collapsed="false">
      <c r="A15" s="18" t="n">
        <v>13</v>
      </c>
      <c r="B15" s="18" t="n">
        <v>214</v>
      </c>
      <c r="C15" s="18" t="n">
        <f aca="false">INT(A15*(256/15))</f>
        <v>221</v>
      </c>
    </row>
    <row r="16" customFormat="false" ht="15" hidden="false" customHeight="false" outlineLevel="0" collapsed="false">
      <c r="A16" s="18" t="n">
        <v>14</v>
      </c>
      <c r="B16" s="18" t="n">
        <f aca="false">IF(D16,D16,C16)</f>
        <v>238</v>
      </c>
      <c r="C16" s="18" t="n">
        <f aca="false">INT(A16*(256/15))</f>
        <v>238</v>
      </c>
    </row>
    <row r="17" customFormat="false" ht="15" hidden="false" customHeight="false" outlineLevel="0" collapsed="false">
      <c r="A17" s="18" t="n">
        <v>15</v>
      </c>
      <c r="B17" s="18" t="n">
        <f aca="false">IF(D17,D17,C17)</f>
        <v>256</v>
      </c>
      <c r="C17" s="18" t="n">
        <f aca="false">INT(A17*(256/15))</f>
        <v>256</v>
      </c>
    </row>
    <row r="18" customFormat="false" ht="15" hidden="false" customHeight="false" outlineLevel="0" collapsed="false">
      <c r="A18" s="18" t="n">
        <v>16</v>
      </c>
      <c r="B18" s="18" t="n">
        <f aca="false">IF(D18,D18,C18)</f>
        <v>273</v>
      </c>
      <c r="C18" s="18"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97"/>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47" activePane="bottomLeft" state="frozen"/>
      <selection pane="topLeft" activeCell="A1" activeCellId="0" sqref="A1"/>
      <selection pane="bottomLeft" activeCell="B80" activeCellId="0" sqref="B80"/>
    </sheetView>
  </sheetViews>
  <sheetFormatPr defaultColWidth="8.60546875" defaultRowHeight="15" customHeight="true" zeroHeight="false" outlineLevelRow="0" outlineLevelCol="0"/>
  <cols>
    <col collapsed="false" customWidth="true" hidden="false" outlineLevel="0" max="1" min="1" style="18" width="11.43"/>
    <col collapsed="false" customWidth="true" hidden="false" outlineLevel="0" max="2" min="2" style="18" width="29.86"/>
    <col collapsed="false" customWidth="true" hidden="false" outlineLevel="0" max="7" min="3" style="18" width="25.85"/>
    <col collapsed="false" customWidth="true" hidden="false" outlineLevel="0" max="9" min="8" style="18" width="26.81"/>
    <col collapsed="false" customWidth="true" hidden="false" outlineLevel="0" max="10" min="10" style="18" width="16.33"/>
    <col collapsed="false" customWidth="true" hidden="false" outlineLevel="0" max="11" min="11" style="18" width="16.18"/>
    <col collapsed="false" customWidth="true" hidden="false" outlineLevel="0" max="12" min="12" style="18" width="19.79"/>
    <col collapsed="false" customWidth="true" hidden="false" outlineLevel="0" max="14" min="13" style="18" width="16.65"/>
    <col collapsed="false" customWidth="true" hidden="false" outlineLevel="0" max="15" min="15" style="18" width="16.33"/>
    <col collapsed="false" customWidth="true" hidden="false" outlineLevel="0" max="16" min="16" style="18" width="18.37"/>
    <col collapsed="false" customWidth="true" hidden="false" outlineLevel="0" max="17" min="17" style="18" width="18.21"/>
  </cols>
  <sheetData>
    <row r="1" customFormat="false" ht="15" hidden="false" customHeight="false" outlineLevel="0" collapsed="false">
      <c r="B1" s="18" t="n">
        <v>1</v>
      </c>
      <c r="C1" s="18" t="n">
        <v>2</v>
      </c>
      <c r="D1" s="18" t="n">
        <v>3</v>
      </c>
      <c r="E1" s="18" t="n">
        <v>4</v>
      </c>
      <c r="F1" s="18" t="n">
        <v>5</v>
      </c>
      <c r="G1" s="18" t="n">
        <v>6</v>
      </c>
      <c r="H1" s="18" t="n">
        <v>7</v>
      </c>
      <c r="I1" s="18" t="n">
        <v>8</v>
      </c>
      <c r="J1" s="18" t="n">
        <v>9</v>
      </c>
      <c r="K1" s="18" t="n">
        <v>10</v>
      </c>
      <c r="L1" s="18" t="n">
        <v>11</v>
      </c>
      <c r="M1" s="18" t="n">
        <v>12</v>
      </c>
      <c r="N1" s="18" t="n">
        <v>13</v>
      </c>
      <c r="O1" s="18" t="n">
        <v>14</v>
      </c>
      <c r="P1" s="18" t="n">
        <v>15</v>
      </c>
      <c r="Q1" s="18" t="n">
        <v>16</v>
      </c>
      <c r="R1" s="18" t="n">
        <v>17</v>
      </c>
      <c r="S1" s="18" t="n">
        <v>18</v>
      </c>
      <c r="T1" s="18" t="n">
        <v>19</v>
      </c>
      <c r="U1" s="18" t="n">
        <v>20</v>
      </c>
    </row>
    <row r="2" customFormat="false" ht="15" hidden="false" customHeight="false" outlineLevel="0" collapsed="false">
      <c r="B2" s="18" t="s">
        <v>606</v>
      </c>
    </row>
    <row r="3" customFormat="false" ht="15" hidden="false" customHeight="false" outlineLevel="0" collapsed="false">
      <c r="A3" s="18" t="s">
        <v>607</v>
      </c>
      <c r="B3" s="18" t="s">
        <v>265</v>
      </c>
      <c r="C3" s="18" t="s">
        <v>608</v>
      </c>
      <c r="D3" s="18" t="s">
        <v>608</v>
      </c>
      <c r="E3" s="18" t="s">
        <v>608</v>
      </c>
      <c r="F3" s="18" t="s">
        <v>608</v>
      </c>
      <c r="G3" s="18" t="s">
        <v>609</v>
      </c>
      <c r="H3" s="18" t="s">
        <v>610</v>
      </c>
      <c r="I3" s="18" t="s">
        <v>610</v>
      </c>
      <c r="J3" s="18" t="s">
        <v>297</v>
      </c>
      <c r="K3" s="18" t="s">
        <v>608</v>
      </c>
      <c r="L3" s="18" t="s">
        <v>608</v>
      </c>
      <c r="M3" s="18" t="s">
        <v>608</v>
      </c>
      <c r="N3" s="18" t="s">
        <v>608</v>
      </c>
      <c r="O3" s="18" t="s">
        <v>611</v>
      </c>
    </row>
    <row r="4" customFormat="false" ht="15" hidden="false" customHeight="false" outlineLevel="0" collapsed="false">
      <c r="A4" s="18" t="s">
        <v>612</v>
      </c>
      <c r="B4" s="18" t="n">
        <v>1</v>
      </c>
      <c r="C4" s="18" t="n">
        <v>1</v>
      </c>
      <c r="D4" s="18" t="n">
        <v>0</v>
      </c>
      <c r="E4" s="18" t="n">
        <v>0</v>
      </c>
      <c r="F4" s="18" t="n">
        <v>0</v>
      </c>
      <c r="G4" s="18" t="n">
        <v>1</v>
      </c>
      <c r="H4" s="18" t="n">
        <v>1</v>
      </c>
      <c r="I4" s="18" t="n">
        <v>0</v>
      </c>
      <c r="J4" s="18" t="n">
        <v>1</v>
      </c>
      <c r="K4" s="18" t="n">
        <v>0</v>
      </c>
      <c r="L4" s="18" t="n">
        <v>0</v>
      </c>
      <c r="M4" s="18" t="n">
        <v>0</v>
      </c>
      <c r="N4" s="18" t="n">
        <v>0</v>
      </c>
      <c r="O4" s="18" t="n">
        <v>1</v>
      </c>
    </row>
    <row r="6" customFormat="false" ht="14.25" hidden="false" customHeight="true" outlineLevel="0" collapsed="false">
      <c r="B6" s="18" t="s">
        <v>613</v>
      </c>
    </row>
    <row r="7" customFormat="false" ht="15" hidden="false" customHeight="false" outlineLevel="0" collapsed="false">
      <c r="A7" s="18" t="s">
        <v>607</v>
      </c>
      <c r="B7" s="18" t="s">
        <v>328</v>
      </c>
      <c r="C7" s="18" t="s">
        <v>614</v>
      </c>
      <c r="D7" s="18" t="s">
        <v>615</v>
      </c>
      <c r="E7" s="18" t="s">
        <v>615</v>
      </c>
      <c r="F7" s="18" t="s">
        <v>615</v>
      </c>
      <c r="G7" s="18" t="s">
        <v>615</v>
      </c>
      <c r="H7" s="18" t="s">
        <v>616</v>
      </c>
      <c r="I7" s="18" t="s">
        <v>615</v>
      </c>
      <c r="J7" s="18" t="s">
        <v>615</v>
      </c>
      <c r="K7" s="18" t="s">
        <v>617</v>
      </c>
      <c r="L7" s="18" t="s">
        <v>618</v>
      </c>
      <c r="M7" s="18" t="s">
        <v>619</v>
      </c>
      <c r="N7" s="18" t="s">
        <v>619</v>
      </c>
      <c r="O7" s="18" t="s">
        <v>620</v>
      </c>
      <c r="P7" s="18" t="s">
        <v>619</v>
      </c>
      <c r="Q7" s="18" t="s">
        <v>619</v>
      </c>
      <c r="R7" s="18" t="s">
        <v>619</v>
      </c>
      <c r="S7" s="18" t="s">
        <v>619</v>
      </c>
      <c r="T7" s="18" t="s">
        <v>621</v>
      </c>
      <c r="U7" s="18" t="s">
        <v>333</v>
      </c>
    </row>
    <row r="8" customFormat="false" ht="15" hidden="false" customHeight="false" outlineLevel="0" collapsed="false">
      <c r="A8" s="18" t="s">
        <v>612</v>
      </c>
      <c r="B8" s="18" t="n">
        <v>1</v>
      </c>
      <c r="C8" s="18" t="n">
        <v>1</v>
      </c>
      <c r="D8" s="18" t="n">
        <v>1</v>
      </c>
      <c r="E8" s="18" t="n">
        <v>0</v>
      </c>
      <c r="F8" s="18" t="n">
        <v>0</v>
      </c>
      <c r="G8" s="18" t="n">
        <v>0</v>
      </c>
      <c r="H8" s="18" t="n">
        <v>1</v>
      </c>
      <c r="I8" s="18" t="n">
        <v>0</v>
      </c>
      <c r="J8" s="18" t="n">
        <v>0</v>
      </c>
      <c r="K8" s="18" t="n">
        <v>1</v>
      </c>
      <c r="L8" s="18" t="n">
        <v>1</v>
      </c>
      <c r="M8" s="18" t="n">
        <v>1</v>
      </c>
      <c r="N8" s="18" t="n">
        <v>0</v>
      </c>
      <c r="O8" s="18" t="n">
        <v>1</v>
      </c>
      <c r="P8" s="18" t="n">
        <v>0</v>
      </c>
      <c r="Q8" s="18" t="n">
        <v>0</v>
      </c>
      <c r="R8" s="18" t="n">
        <v>0</v>
      </c>
      <c r="S8" s="18" t="n">
        <v>0</v>
      </c>
      <c r="T8" s="18" t="n">
        <v>1</v>
      </c>
      <c r="U8" s="18" t="n">
        <v>1</v>
      </c>
    </row>
    <row r="9" customFormat="false" ht="15" hidden="false" customHeight="false" outlineLevel="0" collapsed="false">
      <c r="A9" s="18" t="s">
        <v>525</v>
      </c>
      <c r="B9" s="18" t="n">
        <v>22.15</v>
      </c>
      <c r="C9" s="18" t="n">
        <v>21.84</v>
      </c>
      <c r="D9" s="18" t="n">
        <v>18.7</v>
      </c>
      <c r="E9" s="18" t="n">
        <v>18.7</v>
      </c>
      <c r="F9" s="18" t="n">
        <v>18.7</v>
      </c>
      <c r="G9" s="18" t="n">
        <v>18.7</v>
      </c>
      <c r="H9" s="18" t="n">
        <v>18.7</v>
      </c>
      <c r="I9" s="18" t="n">
        <v>18.7</v>
      </c>
      <c r="J9" s="18" t="n">
        <v>18.7</v>
      </c>
      <c r="K9" s="18" t="n">
        <v>21.84</v>
      </c>
      <c r="L9" s="18" t="n">
        <v>21.84</v>
      </c>
      <c r="M9" s="18" t="n">
        <v>18.7</v>
      </c>
      <c r="N9" s="18" t="n">
        <v>18.7</v>
      </c>
      <c r="O9" s="18" t="n">
        <v>18.7</v>
      </c>
      <c r="P9" s="18" t="n">
        <v>18.7</v>
      </c>
      <c r="Q9" s="18" t="n">
        <v>18.7</v>
      </c>
      <c r="R9" s="18" t="n">
        <v>18.7</v>
      </c>
      <c r="S9" s="18" t="n">
        <v>18.7</v>
      </c>
      <c r="T9" s="18" t="n">
        <v>21.84</v>
      </c>
      <c r="U9" s="18" t="n">
        <v>22.15</v>
      </c>
    </row>
    <row r="10" customFormat="false" ht="15" hidden="false" customHeight="false" outlineLevel="0" collapsed="false">
      <c r="A10" s="18" t="s">
        <v>622</v>
      </c>
      <c r="B10" s="18" t="n">
        <f aca="false">ROUND(15*((B9*10)/256),0)</f>
        <v>13</v>
      </c>
      <c r="C10" s="18" t="n">
        <f aca="false">ROUND(15*((C9*10)/256),0)</f>
        <v>13</v>
      </c>
      <c r="D10" s="18" t="n">
        <f aca="false">ROUND(15*((D9*10)/256),0)</f>
        <v>11</v>
      </c>
      <c r="E10" s="18" t="n">
        <f aca="false">ROUND(15*((E9*10)/256),0)</f>
        <v>11</v>
      </c>
      <c r="F10" s="18" t="n">
        <f aca="false">ROUND(15*((F9*10)/256),0)</f>
        <v>11</v>
      </c>
      <c r="G10" s="18" t="n">
        <f aca="false">ROUND(15*((G9*10)/256),0)</f>
        <v>11</v>
      </c>
      <c r="H10" s="18" t="n">
        <f aca="false">ROUND(15*((H9*10)/256),0)</f>
        <v>11</v>
      </c>
      <c r="I10" s="18" t="n">
        <f aca="false">ROUND(15*((I9*10)/256),0)</f>
        <v>11</v>
      </c>
      <c r="J10" s="18" t="n">
        <f aca="false">ROUND(15*((J9*10)/256),0)</f>
        <v>11</v>
      </c>
      <c r="K10" s="18" t="n">
        <f aca="false">ROUND(15*((K9*10)/256),0)</f>
        <v>13</v>
      </c>
      <c r="L10" s="18" t="n">
        <f aca="false">ROUND(15*((L9*10)/256),0)</f>
        <v>13</v>
      </c>
      <c r="M10" s="18" t="n">
        <f aca="false">ROUND(15*((M9*10)/256),0)</f>
        <v>11</v>
      </c>
      <c r="N10" s="18" t="n">
        <f aca="false">ROUND(15*((N9*10)/256),0)</f>
        <v>11</v>
      </c>
      <c r="O10" s="18" t="n">
        <f aca="false">ROUND(15*((O9*10)/256),0)</f>
        <v>11</v>
      </c>
      <c r="P10" s="18" t="n">
        <f aca="false">ROUND(15*((P9*10)/256),0)</f>
        <v>11</v>
      </c>
      <c r="Q10" s="18" t="n">
        <f aca="false">ROUND(15*((Q9*10)/256),0)</f>
        <v>11</v>
      </c>
      <c r="R10" s="18" t="n">
        <f aca="false">ROUND(15*((R9*10)/256),0)</f>
        <v>11</v>
      </c>
      <c r="S10" s="18" t="n">
        <f aca="false">ROUND(15*((S9*10)/256),0)</f>
        <v>11</v>
      </c>
      <c r="T10" s="18" t="n">
        <f aca="false">ROUND(15*((T9*10)/256),0)</f>
        <v>13</v>
      </c>
      <c r="U10" s="18" t="n">
        <f aca="false">ROUND(15*((U9*10)/256),0)</f>
        <v>13</v>
      </c>
    </row>
    <row r="11" customFormat="false" ht="15" hidden="false" customHeight="false" outlineLevel="0" collapsed="false">
      <c r="A11" s="18" t="s">
        <v>623</v>
      </c>
      <c r="B11" s="18" t="str">
        <f aca="false">VLOOKUP(B10,Constants!$A$1:$B$16,2,FALSE())</f>
        <v>4,5,4</v>
      </c>
      <c r="C11" s="18" t="str">
        <f aca="false">VLOOKUP(C10,Constants!$A$1:$B$16,2,FALSE())</f>
        <v>4,5,4</v>
      </c>
      <c r="D11" s="18" t="str">
        <f aca="false">VLOOKUP(D10,Constants!$A$1:$B$16,2,FALSE())</f>
        <v>4,3,4</v>
      </c>
      <c r="E11" s="18" t="str">
        <f aca="false">VLOOKUP(E10,Constants!$A$1:$B$16,2,FALSE())</f>
        <v>4,3,4</v>
      </c>
      <c r="F11" s="18" t="str">
        <f aca="false">VLOOKUP(F10,Constants!$A$1:$B$16,2,FALSE())</f>
        <v>4,3,4</v>
      </c>
      <c r="G11" s="18" t="str">
        <f aca="false">VLOOKUP(G10,Constants!$A$1:$B$16,2,FALSE())</f>
        <v>4,3,4</v>
      </c>
      <c r="H11" s="18" t="str">
        <f aca="false">VLOOKUP(H10,Constants!$A$1:$B$16,2,FALSE())</f>
        <v>4,3,4</v>
      </c>
      <c r="I11" s="18" t="str">
        <f aca="false">VLOOKUP(I10,Constants!$A$1:$B$16,2,FALSE())</f>
        <v>4,3,4</v>
      </c>
      <c r="J11" s="18" t="str">
        <f aca="false">VLOOKUP(J10,Constants!$A$1:$B$16,2,FALSE())</f>
        <v>4,3,4</v>
      </c>
      <c r="K11" s="18" t="str">
        <f aca="false">VLOOKUP(K10,Constants!$A$1:$B$16,2,FALSE())</f>
        <v>4,5,4</v>
      </c>
      <c r="L11" s="18" t="str">
        <f aca="false">VLOOKUP(L10,Constants!$A$1:$B$16,2,FALSE())</f>
        <v>4,5,4</v>
      </c>
      <c r="M11" s="18" t="str">
        <f aca="false">VLOOKUP(M10,Constants!$A$1:$B$16,2,FALSE())</f>
        <v>4,3,4</v>
      </c>
      <c r="N11" s="18" t="str">
        <f aca="false">VLOOKUP(N10,Constants!$A$1:$B$16,2,FALSE())</f>
        <v>4,3,4</v>
      </c>
      <c r="O11" s="18" t="str">
        <f aca="false">VLOOKUP(O10,Constants!$A$1:$B$16,2,FALSE())</f>
        <v>4,3,4</v>
      </c>
      <c r="P11" s="18" t="str">
        <f aca="false">VLOOKUP(P10,Constants!$A$1:$B$16,2,FALSE())</f>
        <v>4,3,4</v>
      </c>
      <c r="Q11" s="18" t="str">
        <f aca="false">VLOOKUP(Q10,Constants!$A$1:$B$16,2,FALSE())</f>
        <v>4,3,4</v>
      </c>
      <c r="R11" s="18" t="str">
        <f aca="false">VLOOKUP(R10,Constants!$A$1:$B$16,2,FALSE())</f>
        <v>4,3,4</v>
      </c>
      <c r="S11" s="18" t="str">
        <f aca="false">VLOOKUP(S10,Constants!$A$1:$B$16,2,FALSE())</f>
        <v>4,3,4</v>
      </c>
      <c r="T11" s="18" t="str">
        <f aca="false">VLOOKUP(T10,Constants!$A$1:$B$16,2,FALSE())</f>
        <v>4,5,4</v>
      </c>
      <c r="U11" s="18" t="str">
        <f aca="false">VLOOKUP(U10,Constants!$A$1:$B$16,2,FALSE())</f>
        <v>4,5,4</v>
      </c>
    </row>
    <row r="13" customFormat="false" ht="15" hidden="false" customHeight="false" outlineLevel="0" collapsed="false">
      <c r="B13" s="18"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18" t="str">
        <f aca="false">_xlfn.TEXTJOIN(",",TRUE(),  B8:Z8)</f>
        <v>1,1,1,0,0,0,1,0,0,1,1,1,0,1,0,0,0,0,1,1</v>
      </c>
    </row>
    <row r="15" customFormat="false" ht="15" hidden="false" customHeight="false" outlineLevel="0" collapsed="false">
      <c r="B15" s="18" t="str">
        <f aca="false">_xlfn.TEXTJOIN(",",TRUE(),  B9:Z9)</f>
        <v>22.15,21.84,18.7,18.7,18.7,18.7,18.7,18.7,18.7,21.84,21.84,18.7,18.7,18.7,18.7,18.7,18.7,18.7,21.84,22.15</v>
      </c>
    </row>
    <row r="16" customFormat="false" ht="15" hidden="false" customHeight="false" outlineLevel="0" collapsed="false">
      <c r="B16" s="18" t="str">
        <f aca="false">_xlfn.TEXTJOIN(",",TRUE(),  B10:Z10)</f>
        <v>13,13,11,11,11,11,11,11,11,13,13,11,11,11,11,11,11,11,13,13</v>
      </c>
    </row>
    <row r="17" customFormat="false" ht="15" hidden="false" customHeight="false" outlineLevel="0" collapsed="false">
      <c r="B17" s="18" t="str">
        <f aca="false">_xlfn.TEXTJOIN(",",TRUE(),  B11:Z11)</f>
        <v>4,5,4,4,5,4,4,3,4,4,3,4,4,3,4,4,3,4,4,3,4,4,3,4,4,3,4,4,5,4,4,5,4,4,3,4,4,3,4,4,3,4,4,3,4,4,3,4,4,3,4,4,3,4,4,5,4,4,5,4</v>
      </c>
    </row>
    <row r="19" customFormat="false" ht="15" hidden="false" customHeight="false" outlineLevel="0" collapsed="false">
      <c r="B19" s="18" t="s">
        <v>624</v>
      </c>
    </row>
    <row r="20" customFormat="false" ht="15" hidden="false" customHeight="false" outlineLevel="0" collapsed="false">
      <c r="A20" s="18" t="s">
        <v>607</v>
      </c>
      <c r="B20" s="18" t="s">
        <v>337</v>
      </c>
      <c r="C20" s="18" t="s">
        <v>614</v>
      </c>
      <c r="D20" s="18" t="s">
        <v>615</v>
      </c>
      <c r="E20" s="18" t="s">
        <v>615</v>
      </c>
      <c r="F20" s="18" t="s">
        <v>615</v>
      </c>
      <c r="G20" s="18" t="s">
        <v>616</v>
      </c>
      <c r="H20" s="18" t="s">
        <v>615</v>
      </c>
      <c r="I20" s="18" t="s">
        <v>617</v>
      </c>
      <c r="J20" s="18" t="s">
        <v>618</v>
      </c>
      <c r="K20" s="18" t="s">
        <v>619</v>
      </c>
      <c r="L20" s="18" t="s">
        <v>620</v>
      </c>
      <c r="M20" s="18" t="s">
        <v>619</v>
      </c>
      <c r="N20" s="18" t="s">
        <v>619</v>
      </c>
      <c r="O20" s="18" t="s">
        <v>619</v>
      </c>
      <c r="P20" s="18" t="s">
        <v>621</v>
      </c>
      <c r="Q20" s="18" t="s">
        <v>341</v>
      </c>
      <c r="R20" s="18"/>
      <c r="S20" s="18"/>
      <c r="T20" s="18"/>
      <c r="U20" s="18"/>
    </row>
    <row r="21" customFormat="false" ht="15" hidden="false" customHeight="false" outlineLevel="0" collapsed="false">
      <c r="A21" s="18" t="s">
        <v>612</v>
      </c>
      <c r="B21" s="18" t="n">
        <v>0</v>
      </c>
      <c r="C21" s="18" t="n">
        <v>0</v>
      </c>
      <c r="D21" s="18" t="n">
        <v>0</v>
      </c>
      <c r="E21" s="18" t="n">
        <v>0</v>
      </c>
      <c r="F21" s="18" t="n">
        <v>0</v>
      </c>
      <c r="G21" s="18" t="n">
        <v>0</v>
      </c>
      <c r="H21" s="18" t="n">
        <v>0</v>
      </c>
      <c r="I21" s="18" t="n">
        <v>0</v>
      </c>
      <c r="J21" s="18" t="n">
        <v>0</v>
      </c>
      <c r="K21" s="18" t="n">
        <v>0</v>
      </c>
      <c r="L21" s="18" t="n">
        <v>0</v>
      </c>
      <c r="M21" s="18" t="n">
        <v>0</v>
      </c>
      <c r="N21" s="18" t="n">
        <v>0</v>
      </c>
      <c r="O21" s="18" t="n">
        <v>0</v>
      </c>
      <c r="P21" s="18" t="n">
        <v>0</v>
      </c>
      <c r="Q21" s="18" t="n">
        <v>0</v>
      </c>
      <c r="R21" s="18"/>
      <c r="S21" s="18"/>
      <c r="T21" s="18"/>
      <c r="U21" s="18"/>
    </row>
    <row r="22" customFormat="false" ht="15" hidden="false" customHeight="false" outlineLevel="0" collapsed="false">
      <c r="A22" s="18" t="s">
        <v>525</v>
      </c>
      <c r="B22" s="18" t="n">
        <v>22.15</v>
      </c>
      <c r="C22" s="18" t="n">
        <v>21.84</v>
      </c>
      <c r="D22" s="18" t="n">
        <v>18.7</v>
      </c>
      <c r="E22" s="18" t="n">
        <v>18.7</v>
      </c>
      <c r="F22" s="18" t="n">
        <v>18.7</v>
      </c>
      <c r="G22" s="18" t="n">
        <v>18.7</v>
      </c>
      <c r="H22" s="18" t="n">
        <v>18.7</v>
      </c>
      <c r="I22" s="18" t="n">
        <v>21.84</v>
      </c>
      <c r="J22" s="18" t="n">
        <v>21.84</v>
      </c>
      <c r="K22" s="18" t="n">
        <v>18.7</v>
      </c>
      <c r="L22" s="18" t="n">
        <v>18.7</v>
      </c>
      <c r="M22" s="18" t="n">
        <v>18.7</v>
      </c>
      <c r="N22" s="18" t="n">
        <v>18.7</v>
      </c>
      <c r="O22" s="18" t="n">
        <v>18.7</v>
      </c>
      <c r="P22" s="18" t="n">
        <v>21.84</v>
      </c>
      <c r="Q22" s="18" t="n">
        <v>22.15</v>
      </c>
      <c r="R22" s="18"/>
      <c r="S22" s="18"/>
      <c r="T22" s="18"/>
      <c r="U22" s="18"/>
    </row>
    <row r="23" customFormat="false" ht="15" hidden="false" customHeight="false" outlineLevel="0" collapsed="false">
      <c r="A23" s="18" t="s">
        <v>622</v>
      </c>
      <c r="B23" s="18" t="n">
        <f aca="false">ROUND(15*((B22*10)/256),0)</f>
        <v>13</v>
      </c>
      <c r="C23" s="18" t="n">
        <f aca="false">ROUND(15*((C22*10)/256),0)</f>
        <v>13</v>
      </c>
      <c r="D23" s="18" t="n">
        <f aca="false">ROUND(15*((D22*10)/256),0)</f>
        <v>11</v>
      </c>
      <c r="E23" s="18" t="n">
        <f aca="false">ROUND(15*((E22*10)/256),0)</f>
        <v>11</v>
      </c>
      <c r="F23" s="18" t="n">
        <f aca="false">ROUND(15*((F22*10)/256),0)</f>
        <v>11</v>
      </c>
      <c r="G23" s="18" t="n">
        <f aca="false">ROUND(15*((G22*10)/256),0)</f>
        <v>11</v>
      </c>
      <c r="H23" s="18" t="n">
        <f aca="false">ROUND(15*((H22*10)/256),0)</f>
        <v>11</v>
      </c>
      <c r="I23" s="18" t="n">
        <f aca="false">ROUND(15*((I22*10)/256),0)</f>
        <v>13</v>
      </c>
      <c r="J23" s="18" t="n">
        <f aca="false">ROUND(15*((J22*10)/256),0)</f>
        <v>13</v>
      </c>
      <c r="K23" s="18" t="n">
        <f aca="false">ROUND(15*((K22*10)/256),0)</f>
        <v>11</v>
      </c>
      <c r="L23" s="18" t="n">
        <f aca="false">ROUND(15*((L22*10)/256),0)</f>
        <v>11</v>
      </c>
      <c r="M23" s="18" t="n">
        <f aca="false">ROUND(15*((M22*10)/256),0)</f>
        <v>11</v>
      </c>
      <c r="N23" s="18" t="n">
        <f aca="false">ROUND(15*((N22*10)/256),0)</f>
        <v>11</v>
      </c>
      <c r="O23" s="18" t="n">
        <f aca="false">ROUND(15*((O22*10)/256),0)</f>
        <v>11</v>
      </c>
      <c r="P23" s="18" t="n">
        <f aca="false">ROUND(15*((P22*10)/256),0)</f>
        <v>13</v>
      </c>
      <c r="Q23" s="18" t="n">
        <f aca="false">ROUND(15*((Q22*10)/256),0)</f>
        <v>13</v>
      </c>
      <c r="R23" s="18"/>
      <c r="S23" s="18"/>
      <c r="T23" s="18"/>
      <c r="U23" s="18"/>
    </row>
    <row r="24" customFormat="false" ht="15" hidden="false" customHeight="false" outlineLevel="0" collapsed="false">
      <c r="A24" s="18" t="s">
        <v>623</v>
      </c>
      <c r="B24" s="18" t="str">
        <f aca="false">VLOOKUP(B23,Constants!$A$1:$B$16,2,FALSE())</f>
        <v>4,5,4</v>
      </c>
      <c r="C24" s="18" t="str">
        <f aca="false">VLOOKUP(C23,Constants!$A$1:$B$16,2,FALSE())</f>
        <v>4,5,4</v>
      </c>
      <c r="D24" s="18" t="str">
        <f aca="false">VLOOKUP(D23,Constants!$A$1:$B$16,2,FALSE())</f>
        <v>4,3,4</v>
      </c>
      <c r="E24" s="18" t="str">
        <f aca="false">VLOOKUP(E23,Constants!$A$1:$B$16,2,FALSE())</f>
        <v>4,3,4</v>
      </c>
      <c r="F24" s="18" t="str">
        <f aca="false">VLOOKUP(F23,Constants!$A$1:$B$16,2,FALSE())</f>
        <v>4,3,4</v>
      </c>
      <c r="G24" s="18" t="str">
        <f aca="false">VLOOKUP(G23,Constants!$A$1:$B$16,2,FALSE())</f>
        <v>4,3,4</v>
      </c>
      <c r="H24" s="18" t="str">
        <f aca="false">VLOOKUP(H23,Constants!$A$1:$B$16,2,FALSE())</f>
        <v>4,3,4</v>
      </c>
      <c r="I24" s="18" t="str">
        <f aca="false">VLOOKUP(I23,Constants!$A$1:$B$16,2,FALSE())</f>
        <v>4,5,4</v>
      </c>
      <c r="J24" s="18" t="str">
        <f aca="false">VLOOKUP(J23,Constants!$A$1:$B$16,2,FALSE())</f>
        <v>4,5,4</v>
      </c>
      <c r="K24" s="18" t="str">
        <f aca="false">VLOOKUP(K23,Constants!$A$1:$B$16,2,FALSE())</f>
        <v>4,3,4</v>
      </c>
      <c r="L24" s="18" t="str">
        <f aca="false">VLOOKUP(L23,Constants!$A$1:$B$16,2,FALSE())</f>
        <v>4,3,4</v>
      </c>
      <c r="M24" s="18" t="str">
        <f aca="false">VLOOKUP(M23,Constants!$A$1:$B$16,2,FALSE())</f>
        <v>4,3,4</v>
      </c>
      <c r="N24" s="18" t="str">
        <f aca="false">VLOOKUP(N23,Constants!$A$1:$B$16,2,FALSE())</f>
        <v>4,3,4</v>
      </c>
      <c r="O24" s="18" t="str">
        <f aca="false">VLOOKUP(O23,Constants!$A$1:$B$16,2,FALSE())</f>
        <v>4,3,4</v>
      </c>
      <c r="P24" s="18" t="str">
        <f aca="false">VLOOKUP(P23,Constants!$A$1:$B$16,2,FALSE())</f>
        <v>4,5,4</v>
      </c>
      <c r="Q24" s="18" t="str">
        <f aca="false">VLOOKUP(Q23,Constants!$A$1:$B$16,2,FALSE())</f>
        <v>4,5,4</v>
      </c>
      <c r="R24" s="18"/>
      <c r="S24" s="18"/>
      <c r="T24" s="18"/>
      <c r="U24" s="18"/>
    </row>
    <row r="26" customFormat="false" ht="15" hidden="false" customHeight="false" outlineLevel="0" collapsed="false">
      <c r="B26" s="18"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18" t="str">
        <f aca="false">_xlfn.TEXTJOIN(",",TRUE(),  B21:Z21)</f>
        <v>0,0,0,0,0,0,0,0,0,0,0,0,0,0,0,0</v>
      </c>
    </row>
    <row r="28" customFormat="false" ht="15" hidden="false" customHeight="false" outlineLevel="0" collapsed="false">
      <c r="B28" s="18" t="str">
        <f aca="false">_xlfn.TEXTJOIN(",",TRUE(),  B22:Z22)</f>
        <v>22.15,21.84,18.7,18.7,18.7,18.7,18.7,21.84,21.84,18.7,18.7,18.7,18.7,18.7,21.84,22.15</v>
      </c>
    </row>
    <row r="29" customFormat="false" ht="15" hidden="false" customHeight="false" outlineLevel="0" collapsed="false">
      <c r="B29" s="18" t="str">
        <f aca="false">_xlfn.TEXTJOIN(",",TRUE(),  B23:Z23)</f>
        <v>13,13,11,11,11,11,11,13,13,11,11,11,11,11,13,13</v>
      </c>
    </row>
    <row r="30" customFormat="false" ht="15" hidden="false" customHeight="true" outlineLevel="0" collapsed="false">
      <c r="B30" s="18"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18" t="s">
        <v>625</v>
      </c>
    </row>
    <row r="33" customFormat="false" ht="15" hidden="false" customHeight="false" outlineLevel="0" collapsed="false">
      <c r="A33" s="18" t="s">
        <v>607</v>
      </c>
      <c r="B33" s="18" t="s">
        <v>113</v>
      </c>
      <c r="C33" s="18" t="s">
        <v>626</v>
      </c>
      <c r="D33" s="18" t="s">
        <v>144</v>
      </c>
      <c r="E33" s="18" t="s">
        <v>113</v>
      </c>
      <c r="F33" s="18" t="s">
        <v>626</v>
      </c>
    </row>
    <row r="34" customFormat="false" ht="15" hidden="false" customHeight="false" outlineLevel="0" collapsed="false">
      <c r="A34" s="18" t="s">
        <v>612</v>
      </c>
      <c r="B34" s="18" t="n">
        <v>1</v>
      </c>
      <c r="C34" s="18" t="n">
        <v>1</v>
      </c>
      <c r="D34" s="18" t="n">
        <v>1</v>
      </c>
      <c r="E34" s="18" t="n">
        <v>0</v>
      </c>
      <c r="F34" s="18" t="n">
        <v>0</v>
      </c>
    </row>
    <row r="35" customFormat="false" ht="15" hidden="false" customHeight="false" outlineLevel="0" collapsed="false">
      <c r="A35" s="18" t="s">
        <v>525</v>
      </c>
      <c r="B35" s="18" t="n">
        <v>17.5</v>
      </c>
      <c r="C35" s="18" t="n">
        <v>17.5</v>
      </c>
      <c r="D35" s="18" t="n">
        <v>12.8</v>
      </c>
      <c r="E35" s="18" t="n">
        <v>17.5</v>
      </c>
      <c r="F35" s="18" t="n">
        <v>17.5</v>
      </c>
    </row>
    <row r="36" customFormat="false" ht="15" hidden="false" customHeight="false" outlineLevel="0" collapsed="false">
      <c r="A36" s="18" t="s">
        <v>622</v>
      </c>
      <c r="B36" s="18" t="n">
        <f aca="false">ROUND(15*((B35*10)/256),0)</f>
        <v>10</v>
      </c>
      <c r="C36" s="18" t="n">
        <f aca="false">ROUND(15*((C35*10)/256),0)</f>
        <v>10</v>
      </c>
      <c r="D36" s="18" t="n">
        <f aca="false">ROUND(15*((D35*10)/256),0)</f>
        <v>8</v>
      </c>
      <c r="E36" s="18" t="n">
        <f aca="false">ROUND(15*((E35*10)/256),0)</f>
        <v>10</v>
      </c>
      <c r="F36" s="18" t="n">
        <f aca="false">ROUND(15*((F35*10)/256),0)</f>
        <v>10</v>
      </c>
    </row>
    <row r="37" customFormat="false" ht="15" hidden="false" customHeight="false" outlineLevel="0" collapsed="false">
      <c r="A37" s="18" t="s">
        <v>623</v>
      </c>
      <c r="B37" s="18" t="str">
        <f aca="false">VLOOKUP(B36,Constants!$A$1:$B$16,2,FALSE())</f>
        <v>4,2,4</v>
      </c>
      <c r="C37" s="18" t="str">
        <f aca="false">VLOOKUP(C36,Constants!$A$1:$B$16,2,FALSE())</f>
        <v>4,2,4</v>
      </c>
      <c r="D37" s="18" t="str">
        <f aca="false">VLOOKUP(D36,Constants!$A$1:$B$16,2,FALSE())</f>
        <v>2,4,2</v>
      </c>
      <c r="E37" s="18" t="str">
        <f aca="false">VLOOKUP(E36,Constants!$A$1:$B$16,2,FALSE())</f>
        <v>4,2,4</v>
      </c>
      <c r="F37" s="18" t="str">
        <f aca="false">VLOOKUP(F36,Constants!$A$1:$B$16,2,FALSE())</f>
        <v>4,2,4</v>
      </c>
    </row>
    <row r="38" customFormat="false" ht="15" hidden="false" customHeight="false" outlineLevel="0" collapsed="false">
      <c r="A38" s="18" t="s">
        <v>627</v>
      </c>
      <c r="B38" s="18" t="n">
        <v>0</v>
      </c>
      <c r="C38" s="18" t="n">
        <v>0</v>
      </c>
      <c r="D38" s="18" t="n">
        <v>0</v>
      </c>
      <c r="E38" s="18" t="n">
        <v>0</v>
      </c>
      <c r="F38" s="18" t="n">
        <v>0</v>
      </c>
    </row>
    <row r="39" customFormat="false" ht="15" hidden="false" customHeight="true" outlineLevel="0" collapsed="false">
      <c r="B39" s="18" t="str">
        <f aca="false">_xlfn.TEXTJOIN(",",TRUE(),  B33:P33)</f>
        <v>lbscr_emu_dt,lbscr_emu_dt_rev,lbscr_emu_mlv,lbscr_emu_dt,lbscr_emu_dt_rev</v>
      </c>
    </row>
    <row r="40" customFormat="false" ht="15" hidden="false" customHeight="false" outlineLevel="0" collapsed="false">
      <c r="B40" s="18" t="str">
        <f aca="false">_xlfn.TEXTJOIN(",",TRUE(),  B34:P34)</f>
        <v>1,1,1,0,0</v>
      </c>
    </row>
    <row r="41" customFormat="false" ht="15" hidden="false" customHeight="false" outlineLevel="0" collapsed="false">
      <c r="B41" s="18" t="str">
        <f aca="false">_xlfn.TEXTJOIN(",",TRUE(),  B37:P37)</f>
        <v>4,2,4,4,2,4,2,4,2,4,2,4,4,2,4</v>
      </c>
    </row>
    <row r="42" customFormat="false" ht="15" hidden="false" customHeight="false" outlineLevel="0" collapsed="false">
      <c r="B42" s="18" t="str">
        <f aca="false">_xlfn.TEXTJOIN(",",TRUE(),  B36:U36)</f>
        <v>10,10,8,10,10</v>
      </c>
    </row>
    <row r="43" customFormat="false" ht="15" hidden="false" customHeight="false" outlineLevel="0" collapsed="false">
      <c r="B43" s="18" t="n">
        <f aca="false">SUM(B38:Y38)</f>
        <v>0</v>
      </c>
    </row>
    <row r="45" customFormat="false" ht="15" hidden="false" customHeight="false" outlineLevel="0" collapsed="false">
      <c r="B45" s="18" t="s">
        <v>628</v>
      </c>
    </row>
    <row r="46" customFormat="false" ht="15" hidden="false" customHeight="false" outlineLevel="0" collapsed="false">
      <c r="A46" s="18" t="s">
        <v>607</v>
      </c>
      <c r="B46" s="18" t="s">
        <v>467</v>
      </c>
      <c r="C46" s="18" t="s">
        <v>629</v>
      </c>
      <c r="D46" s="18" t="s">
        <v>630</v>
      </c>
      <c r="E46" s="18" t="s">
        <v>631</v>
      </c>
      <c r="F46" s="18" t="s">
        <v>631</v>
      </c>
      <c r="G46" s="18" t="s">
        <v>631</v>
      </c>
      <c r="H46" s="18" t="s">
        <v>631</v>
      </c>
      <c r="I46" s="18" t="s">
        <v>632</v>
      </c>
    </row>
    <row r="47" customFormat="false" ht="15" hidden="false" customHeight="false" outlineLevel="0" collapsed="false">
      <c r="A47" s="18" t="s">
        <v>612</v>
      </c>
      <c r="B47" s="18" t="n">
        <v>1</v>
      </c>
      <c r="C47" s="18" t="n">
        <v>1</v>
      </c>
      <c r="D47" s="18" t="n">
        <v>1</v>
      </c>
      <c r="E47" s="18" t="n">
        <v>1</v>
      </c>
      <c r="F47" s="18" t="n">
        <v>0</v>
      </c>
      <c r="G47" s="18" t="n">
        <v>0</v>
      </c>
      <c r="H47" s="18" t="n">
        <v>0</v>
      </c>
      <c r="I47" s="18" t="n">
        <v>1</v>
      </c>
    </row>
    <row r="48" customFormat="false" ht="15" hidden="false" customHeight="false" outlineLevel="0" collapsed="false">
      <c r="A48" s="18" t="s">
        <v>525</v>
      </c>
      <c r="B48" s="18" t="n">
        <v>23</v>
      </c>
      <c r="C48" s="18" t="n">
        <v>23</v>
      </c>
      <c r="D48" s="18" t="n">
        <v>23</v>
      </c>
      <c r="E48" s="18" t="n">
        <v>23</v>
      </c>
      <c r="F48" s="18" t="n">
        <v>23</v>
      </c>
      <c r="G48" s="18" t="n">
        <v>23</v>
      </c>
      <c r="H48" s="18" t="n">
        <v>23</v>
      </c>
      <c r="I48" s="18" t="n">
        <v>23</v>
      </c>
    </row>
    <row r="49" customFormat="false" ht="15" hidden="false" customHeight="false" outlineLevel="0" collapsed="false">
      <c r="A49" s="18" t="s">
        <v>622</v>
      </c>
      <c r="B49" s="18" t="n">
        <f aca="false">ROUND(15*((B48*10)/256),0)</f>
        <v>13</v>
      </c>
      <c r="C49" s="18" t="n">
        <f aca="false">ROUND(15*((C48*10)/256),0)</f>
        <v>13</v>
      </c>
      <c r="D49" s="18" t="n">
        <f aca="false">ROUND(15*((D48*10)/256),0)</f>
        <v>13</v>
      </c>
      <c r="E49" s="18" t="n">
        <f aca="false">ROUND(15*((E48*10)/256),0)</f>
        <v>13</v>
      </c>
      <c r="F49" s="18" t="n">
        <f aca="false">ROUND(15*((F48*10)/256),0)</f>
        <v>13</v>
      </c>
      <c r="G49" s="18" t="n">
        <f aca="false">ROUND(15*((G48*10)/256),0)</f>
        <v>13</v>
      </c>
      <c r="H49" s="18" t="n">
        <f aca="false">ROUND(15*((H48*10)/256),0)</f>
        <v>13</v>
      </c>
      <c r="I49" s="18" t="n">
        <f aca="false">ROUND(15*((I48*10)/256),0)</f>
        <v>13</v>
      </c>
    </row>
    <row r="50" customFormat="false" ht="15" hidden="false" customHeight="false" outlineLevel="0" collapsed="false">
      <c r="A50" s="18" t="s">
        <v>623</v>
      </c>
      <c r="B50" s="18" t="str">
        <f aca="false">VLOOKUP(B49,Constants!$A$1:$B$16,2,FALSE())</f>
        <v>4,5,4</v>
      </c>
      <c r="C50" s="18" t="str">
        <f aca="false">VLOOKUP(C49,Constants!$A$1:$B$16,2,FALSE())</f>
        <v>4,5,4</v>
      </c>
      <c r="D50" s="18" t="str">
        <f aca="false">VLOOKUP(D49,Constants!$A$1:$B$16,2,FALSE())</f>
        <v>4,5,4</v>
      </c>
      <c r="E50" s="18" t="str">
        <f aca="false">VLOOKUP(E49,Constants!$A$1:$B$16,2,FALSE())</f>
        <v>4,5,4</v>
      </c>
      <c r="F50" s="18" t="str">
        <f aca="false">VLOOKUP(F49,Constants!$A$1:$B$16,2,FALSE())</f>
        <v>4,5,4</v>
      </c>
      <c r="G50" s="18" t="str">
        <f aca="false">VLOOKUP(G49,Constants!$A$1:$B$16,2,FALSE())</f>
        <v>4,5,4</v>
      </c>
      <c r="H50" s="18" t="str">
        <f aca="false">VLOOKUP(H49,Constants!$A$1:$B$16,2,FALSE())</f>
        <v>4,5,4</v>
      </c>
      <c r="I50" s="18" t="str">
        <f aca="false">VLOOKUP(I49,Constants!$A$1:$B$16,2,FALSE())</f>
        <v>4,5,4</v>
      </c>
    </row>
    <row r="51" customFormat="false" ht="15" hidden="false" customHeight="true" outlineLevel="0" collapsed="false">
      <c r="A51" s="18" t="s">
        <v>627</v>
      </c>
      <c r="B51" s="18" t="n">
        <v>50.2</v>
      </c>
      <c r="C51" s="18" t="n">
        <v>50.2</v>
      </c>
      <c r="D51" s="18" t="n">
        <v>52.9</v>
      </c>
      <c r="E51" s="18" t="n">
        <v>53.3</v>
      </c>
      <c r="F51" s="18" t="n">
        <v>53.3</v>
      </c>
      <c r="G51" s="18" t="n">
        <v>53.3</v>
      </c>
      <c r="H51" s="18" t="n">
        <v>53.3</v>
      </c>
      <c r="I51" s="18" t="n">
        <v>53.3</v>
      </c>
    </row>
    <row r="52" customFormat="false" ht="15" hidden="false" customHeight="false" outlineLevel="0" collapsed="false">
      <c r="B52" s="18"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18" t="str">
        <f aca="false">_xlfn.TEXTJOIN(",",TRUE(),  B47:P47)</f>
        <v>1,1,1,1,0,0,0,1</v>
      </c>
    </row>
    <row r="54" customFormat="false" ht="15" hidden="false" customHeight="false" outlineLevel="0" collapsed="false">
      <c r="B54" s="18" t="str">
        <f aca="false">_xlfn.TEXTJOIN(",",TRUE(),  B50:P50)</f>
        <v>4,5,4,4,5,4,4,5,4,4,5,4,4,5,4,4,5,4,4,5,4,4,5,4</v>
      </c>
    </row>
    <row r="55" customFormat="false" ht="15" hidden="false" customHeight="false" outlineLevel="0" collapsed="false">
      <c r="B55" s="18" t="str">
        <f aca="false">_xlfn.TEXTJOIN(",",TRUE(),  B49:U49)</f>
        <v>13,13,13,13,13,13,13,13</v>
      </c>
    </row>
    <row r="56" customFormat="false" ht="15" hidden="false" customHeight="true" outlineLevel="0" collapsed="false">
      <c r="B56" s="18" t="n">
        <f aca="false">SUM(B51:Y51)</f>
        <v>419.8</v>
      </c>
    </row>
    <row r="57" customFormat="false" ht="15" hidden="false" customHeight="true" outlineLevel="0" collapsed="false">
      <c r="B57" s="18" t="s">
        <v>633</v>
      </c>
    </row>
    <row r="58" customFormat="false" ht="15" hidden="false" customHeight="true" outlineLevel="0" collapsed="false">
      <c r="A58" s="18" t="s">
        <v>607</v>
      </c>
      <c r="B58" s="18" t="s">
        <v>467</v>
      </c>
      <c r="C58" s="18" t="s">
        <v>629</v>
      </c>
      <c r="D58" s="18" t="s">
        <v>629</v>
      </c>
      <c r="E58" s="18" t="s">
        <v>630</v>
      </c>
      <c r="F58" s="18" t="s">
        <v>631</v>
      </c>
      <c r="G58" s="18" t="s">
        <v>631</v>
      </c>
      <c r="H58" s="18" t="s">
        <v>632</v>
      </c>
    </row>
    <row r="59" customFormat="false" ht="15" hidden="false" customHeight="true" outlineLevel="0" collapsed="false">
      <c r="A59" s="18" t="s">
        <v>612</v>
      </c>
      <c r="B59" s="18" t="n">
        <v>0</v>
      </c>
      <c r="C59" s="18" t="n">
        <v>0</v>
      </c>
      <c r="D59" s="18" t="n">
        <v>0</v>
      </c>
      <c r="E59" s="18" t="n">
        <v>0</v>
      </c>
      <c r="F59" s="18" t="n">
        <v>0</v>
      </c>
      <c r="G59" s="18" t="n">
        <v>0</v>
      </c>
      <c r="H59" s="18" t="n">
        <v>0</v>
      </c>
    </row>
    <row r="60" customFormat="false" ht="15" hidden="false" customHeight="true" outlineLevel="0" collapsed="false">
      <c r="A60" s="18" t="s">
        <v>525</v>
      </c>
      <c r="B60" s="18" t="n">
        <v>23</v>
      </c>
      <c r="C60" s="18" t="n">
        <v>23</v>
      </c>
      <c r="D60" s="18" t="n">
        <v>23</v>
      </c>
      <c r="E60" s="18" t="n">
        <v>23</v>
      </c>
      <c r="F60" s="18" t="n">
        <v>23</v>
      </c>
      <c r="G60" s="18" t="n">
        <v>23</v>
      </c>
      <c r="H60" s="18" t="n">
        <v>23</v>
      </c>
    </row>
    <row r="61" customFormat="false" ht="15" hidden="false" customHeight="true" outlineLevel="0" collapsed="false">
      <c r="A61" s="18" t="s">
        <v>622</v>
      </c>
      <c r="B61" s="18" t="n">
        <f aca="false">ROUND(15*((B60*10)/256),0)</f>
        <v>13</v>
      </c>
      <c r="C61" s="18" t="n">
        <f aca="false">ROUND(15*((C60*10)/256),0)</f>
        <v>13</v>
      </c>
      <c r="D61" s="18" t="n">
        <f aca="false">ROUND(15*((D60*10)/256),0)</f>
        <v>13</v>
      </c>
      <c r="E61" s="18" t="n">
        <f aca="false">ROUND(15*((E60*10)/256),0)</f>
        <v>13</v>
      </c>
      <c r="F61" s="18" t="n">
        <f aca="false">ROUND(15*((F60*10)/256),0)</f>
        <v>13</v>
      </c>
      <c r="G61" s="18" t="n">
        <f aca="false">ROUND(15*((G60*10)/256),0)</f>
        <v>13</v>
      </c>
      <c r="H61" s="18" t="n">
        <f aca="false">ROUND(15*((H60*10)/256),0)</f>
        <v>13</v>
      </c>
    </row>
    <row r="62" customFormat="false" ht="15" hidden="false" customHeight="true" outlineLevel="0" collapsed="false">
      <c r="A62" s="18" t="s">
        <v>623</v>
      </c>
      <c r="B62" s="18" t="str">
        <f aca="false">VLOOKUP(B61,Constants!$A$1:$B$16,2,FALSE())</f>
        <v>4,5,4</v>
      </c>
      <c r="C62" s="18" t="str">
        <f aca="false">VLOOKUP(C61,Constants!$A$1:$B$16,2,FALSE())</f>
        <v>4,5,4</v>
      </c>
      <c r="D62" s="18" t="str">
        <f aca="false">VLOOKUP(D61,Constants!$A$1:$B$16,2,FALSE())</f>
        <v>4,5,4</v>
      </c>
      <c r="E62" s="18" t="str">
        <f aca="false">VLOOKUP(E61,Constants!$A$1:$B$16,2,FALSE())</f>
        <v>4,5,4</v>
      </c>
      <c r="F62" s="18" t="str">
        <f aca="false">VLOOKUP(F61,Constants!$A$1:$B$16,2,FALSE())</f>
        <v>4,5,4</v>
      </c>
      <c r="G62" s="18" t="str">
        <f aca="false">VLOOKUP(G61,Constants!$A$1:$B$16,2,FALSE())</f>
        <v>4,5,4</v>
      </c>
      <c r="H62" s="18" t="str">
        <f aca="false">VLOOKUP(H61,Constants!$A$1:$B$16,2,FALSE())</f>
        <v>4,5,4</v>
      </c>
    </row>
    <row r="63" customFormat="false" ht="15" hidden="false" customHeight="true" outlineLevel="0" collapsed="false">
      <c r="A63" s="18" t="s">
        <v>627</v>
      </c>
      <c r="B63" s="18" t="n">
        <v>50.2</v>
      </c>
      <c r="C63" s="18" t="n">
        <v>50.2</v>
      </c>
      <c r="D63" s="18" t="n">
        <v>50.2</v>
      </c>
      <c r="E63" s="18" t="n">
        <v>52.9</v>
      </c>
      <c r="F63" s="18" t="n">
        <v>53.3</v>
      </c>
      <c r="G63" s="18" t="n">
        <v>53.3</v>
      </c>
      <c r="H63" s="18" t="n">
        <v>53.3</v>
      </c>
    </row>
    <row r="64" customFormat="false" ht="15" hidden="false" customHeight="true" outlineLevel="0" collapsed="false">
      <c r="B64" s="18"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18" t="str">
        <f aca="false">_xlfn.TEXTJOIN(",",TRUE(),  B59:P59)</f>
        <v>0,0,0,0,0,0,0</v>
      </c>
    </row>
    <row r="66" customFormat="false" ht="15" hidden="false" customHeight="true" outlineLevel="0" collapsed="false">
      <c r="B66" s="18" t="str">
        <f aca="false">_xlfn.TEXTJOIN(",",TRUE(),  B62:P62)</f>
        <v>4,5,4,4,5,4,4,5,4,4,5,4,4,5,4,4,5,4,4,5,4</v>
      </c>
    </row>
    <row r="67" customFormat="false" ht="15" hidden="false" customHeight="true" outlineLevel="0" collapsed="false">
      <c r="B67" s="18" t="str">
        <f aca="false">_xlfn.TEXTJOIN(",",TRUE(),  B61:U61)</f>
        <v>13,13,13,13,13,13,13</v>
      </c>
    </row>
    <row r="68" customFormat="false" ht="15" hidden="false" customHeight="true" outlineLevel="0" collapsed="false">
      <c r="B68" s="18" t="n">
        <f aca="false">SUM(B63:Y63)</f>
        <v>363.4</v>
      </c>
    </row>
    <row r="73" customFormat="false" ht="15" hidden="false" customHeight="true" outlineLevel="0" collapsed="false">
      <c r="B73" s="18" t="s">
        <v>634</v>
      </c>
    </row>
    <row r="74" customFormat="false" ht="15" hidden="false" customHeight="true" outlineLevel="0" collapsed="false">
      <c r="A74" s="18" t="s">
        <v>607</v>
      </c>
      <c r="B74" s="18" t="s">
        <v>381</v>
      </c>
      <c r="C74" s="18" t="s">
        <v>635</v>
      </c>
      <c r="D74" s="18" t="s">
        <v>636</v>
      </c>
      <c r="E74" s="18" t="s">
        <v>637</v>
      </c>
      <c r="F74" s="18" t="s">
        <v>637</v>
      </c>
      <c r="G74" s="18" t="s">
        <v>636</v>
      </c>
      <c r="H74" s="18" t="s">
        <v>637</v>
      </c>
      <c r="I74" s="18" t="s">
        <v>638</v>
      </c>
      <c r="J74" s="18" t="s">
        <v>638</v>
      </c>
      <c r="K74" s="18" t="s">
        <v>639</v>
      </c>
      <c r="L74" s="18" t="s">
        <v>640</v>
      </c>
      <c r="M74" s="18" t="s">
        <v>639</v>
      </c>
      <c r="N74" s="18" t="s">
        <v>639</v>
      </c>
      <c r="O74" s="18" t="s">
        <v>640</v>
      </c>
      <c r="P74" s="18" t="s">
        <v>641</v>
      </c>
      <c r="Q74" s="18" t="s">
        <v>642</v>
      </c>
      <c r="R74" s="18"/>
      <c r="S74" s="18"/>
      <c r="T74" s="18"/>
      <c r="U74" s="18"/>
    </row>
    <row r="75" customFormat="false" ht="15" hidden="false" customHeight="true" outlineLevel="0" collapsed="false">
      <c r="A75" s="18" t="s">
        <v>612</v>
      </c>
      <c r="B75" s="18" t="n">
        <v>1</v>
      </c>
      <c r="C75" s="18" t="n">
        <v>1</v>
      </c>
      <c r="D75" s="18" t="n">
        <v>1</v>
      </c>
      <c r="E75" s="18" t="n">
        <v>1</v>
      </c>
      <c r="F75" s="18" t="n">
        <v>0</v>
      </c>
      <c r="G75" s="18" t="n">
        <v>0</v>
      </c>
      <c r="H75" s="18" t="n">
        <v>0</v>
      </c>
      <c r="I75" s="18" t="n">
        <v>1</v>
      </c>
      <c r="J75" s="18" t="n">
        <v>0</v>
      </c>
      <c r="K75" s="18" t="n">
        <v>1</v>
      </c>
      <c r="L75" s="18" t="n">
        <v>1</v>
      </c>
      <c r="M75" s="18" t="n">
        <v>0</v>
      </c>
      <c r="N75" s="18" t="n">
        <v>0</v>
      </c>
      <c r="O75" s="18" t="n">
        <v>0</v>
      </c>
      <c r="P75" s="18" t="n">
        <v>1</v>
      </c>
      <c r="Q75" s="18" t="n">
        <v>1</v>
      </c>
      <c r="R75" s="18"/>
      <c r="S75" s="18"/>
      <c r="T75" s="18"/>
      <c r="U75" s="18"/>
    </row>
    <row r="76" customFormat="false" ht="15" hidden="false" customHeight="true" outlineLevel="0" collapsed="false">
      <c r="A76" s="18" t="s">
        <v>525</v>
      </c>
      <c r="B76" s="18" t="n">
        <v>25.7</v>
      </c>
      <c r="C76" s="18" t="n">
        <v>24.2</v>
      </c>
      <c r="D76" s="18" t="n">
        <v>24.2</v>
      </c>
      <c r="E76" s="18" t="n">
        <v>24.2</v>
      </c>
      <c r="F76" s="18" t="n">
        <v>24.2</v>
      </c>
      <c r="G76" s="18" t="n">
        <v>24.2</v>
      </c>
      <c r="H76" s="18" t="n">
        <v>24.2</v>
      </c>
      <c r="I76" s="18" t="n">
        <v>24.2</v>
      </c>
      <c r="J76" s="18" t="n">
        <v>24.2</v>
      </c>
      <c r="K76" s="18" t="n">
        <v>24.2</v>
      </c>
      <c r="L76" s="18" t="n">
        <v>24.2</v>
      </c>
      <c r="M76" s="18" t="n">
        <v>24.2</v>
      </c>
      <c r="N76" s="18" t="n">
        <v>24.2</v>
      </c>
      <c r="O76" s="18" t="n">
        <v>24.2</v>
      </c>
      <c r="P76" s="18" t="n">
        <v>24.2</v>
      </c>
      <c r="Q76" s="18" t="n">
        <v>25.7</v>
      </c>
      <c r="R76" s="18"/>
      <c r="S76" s="18"/>
      <c r="T76" s="18"/>
      <c r="U76" s="18"/>
    </row>
    <row r="77" customFormat="false" ht="15" hidden="false" customHeight="true" outlineLevel="0" collapsed="false">
      <c r="A77" s="18" t="s">
        <v>622</v>
      </c>
      <c r="B77" s="18" t="n">
        <f aca="false">ROUND(15*((B76*10)/256),0)</f>
        <v>15</v>
      </c>
      <c r="C77" s="18" t="n">
        <f aca="false">ROUND(15*((C76*10)/256),0)</f>
        <v>14</v>
      </c>
      <c r="D77" s="18" t="n">
        <f aca="false">ROUND(15*((D76*10)/256),0)</f>
        <v>14</v>
      </c>
      <c r="E77" s="18" t="n">
        <f aca="false">ROUND(15*((E76*10)/256),0)</f>
        <v>14</v>
      </c>
      <c r="F77" s="18" t="n">
        <f aca="false">ROUND(15*((F76*10)/256),0)</f>
        <v>14</v>
      </c>
      <c r="G77" s="18" t="n">
        <f aca="false">ROUND(15*((G76*10)/256),0)</f>
        <v>14</v>
      </c>
      <c r="H77" s="18" t="n">
        <f aca="false">ROUND(15*((H76*10)/256),0)</f>
        <v>14</v>
      </c>
      <c r="I77" s="18" t="n">
        <f aca="false">ROUND(15*((I76*10)/256),0)</f>
        <v>14</v>
      </c>
      <c r="J77" s="18" t="n">
        <f aca="false">ROUND(15*((J76*10)/256),0)</f>
        <v>14</v>
      </c>
      <c r="K77" s="18" t="n">
        <f aca="false">ROUND(15*((K76*10)/256),0)</f>
        <v>14</v>
      </c>
      <c r="L77" s="18" t="n">
        <f aca="false">ROUND(15*((L76*10)/256),0)</f>
        <v>14</v>
      </c>
      <c r="M77" s="18" t="n">
        <f aca="false">ROUND(15*((M76*10)/256),0)</f>
        <v>14</v>
      </c>
      <c r="N77" s="18" t="n">
        <f aca="false">ROUND(15*((N76*10)/256),0)</f>
        <v>14</v>
      </c>
      <c r="O77" s="18" t="n">
        <f aca="false">ROUND(15*((O76*10)/256),0)</f>
        <v>14</v>
      </c>
      <c r="P77" s="18" t="n">
        <f aca="false">ROUND(15*((P76*10)/256),0)</f>
        <v>14</v>
      </c>
      <c r="Q77" s="18" t="n">
        <f aca="false">ROUND(15*((Q76*10)/256),0)</f>
        <v>15</v>
      </c>
      <c r="R77" s="18"/>
      <c r="S77" s="18"/>
      <c r="T77" s="18"/>
      <c r="U77" s="18"/>
    </row>
    <row r="78" customFormat="false" ht="15" hidden="false" customHeight="true" outlineLevel="0" collapsed="false">
      <c r="A78" s="18" t="s">
        <v>623</v>
      </c>
      <c r="B78" s="18" t="str">
        <f aca="false">VLOOKUP(B77,Constants!$A$1:$B$16,2,FALSE())</f>
        <v>4,7,4</v>
      </c>
      <c r="C78" s="18" t="str">
        <f aca="false">VLOOKUP(C77,Constants!$A$1:$B$16,2,FALSE())</f>
        <v>4,6,4</v>
      </c>
      <c r="D78" s="18" t="str">
        <f aca="false">VLOOKUP(D77,Constants!$A$1:$B$16,2,FALSE())</f>
        <v>4,6,4</v>
      </c>
      <c r="E78" s="18" t="str">
        <f aca="false">VLOOKUP(E77,Constants!$A$1:$B$16,2,FALSE())</f>
        <v>4,6,4</v>
      </c>
      <c r="F78" s="18" t="str">
        <f aca="false">VLOOKUP(F77,Constants!$A$1:$B$16,2,FALSE())</f>
        <v>4,6,4</v>
      </c>
      <c r="G78" s="18" t="str">
        <f aca="false">VLOOKUP(G77,Constants!$A$1:$B$16,2,FALSE())</f>
        <v>4,6,4</v>
      </c>
      <c r="H78" s="18" t="str">
        <f aca="false">VLOOKUP(H77,Constants!$A$1:$B$16,2,FALSE())</f>
        <v>4,6,4</v>
      </c>
      <c r="I78" s="18" t="str">
        <f aca="false">VLOOKUP(I77,Constants!$A$1:$B$16,2,FALSE())</f>
        <v>4,6,4</v>
      </c>
      <c r="J78" s="18" t="str">
        <f aca="false">VLOOKUP(J77,Constants!$A$1:$B$16,2,FALSE())</f>
        <v>4,6,4</v>
      </c>
      <c r="K78" s="18" t="str">
        <f aca="false">VLOOKUP(K77,Constants!$A$1:$B$16,2,FALSE())</f>
        <v>4,6,4</v>
      </c>
      <c r="L78" s="18" t="str">
        <f aca="false">VLOOKUP(L77,Constants!$A$1:$B$16,2,FALSE())</f>
        <v>4,6,4</v>
      </c>
      <c r="M78" s="18" t="str">
        <f aca="false">VLOOKUP(M77,Constants!$A$1:$B$16,2,FALSE())</f>
        <v>4,6,4</v>
      </c>
      <c r="N78" s="18" t="str">
        <f aca="false">VLOOKUP(N77,Constants!$A$1:$B$16,2,FALSE())</f>
        <v>4,6,4</v>
      </c>
      <c r="O78" s="18" t="str">
        <f aca="false">VLOOKUP(O77,Constants!$A$1:$B$16,2,FALSE())</f>
        <v>4,6,4</v>
      </c>
      <c r="P78" s="18" t="str">
        <f aca="false">VLOOKUP(P77,Constants!$A$1:$B$16,2,FALSE())</f>
        <v>4,6,4</v>
      </c>
      <c r="Q78" s="18" t="str">
        <f aca="false">VLOOKUP(Q77,Constants!$A$1:$B$16,2,FALSE())</f>
        <v>4,7,4</v>
      </c>
      <c r="R78" s="18"/>
      <c r="S78" s="18"/>
      <c r="T78" s="18"/>
      <c r="U78" s="18"/>
    </row>
    <row r="80" customFormat="false" ht="15" hidden="false" customHeight="true" outlineLevel="0" collapsed="false">
      <c r="B80" s="18"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18" t="str">
        <f aca="false">_xlfn.TEXTJOIN(",",TRUE(),  B75:Z75)</f>
        <v>1,1,1,1,0,0,0,1,0,1,1,0,0,0,1,1</v>
      </c>
    </row>
    <row r="82" customFormat="false" ht="15" hidden="false" customHeight="true" outlineLevel="0" collapsed="false">
      <c r="B82" s="18" t="str">
        <f aca="false">_xlfn.TEXTJOIN(",",TRUE(),  B76:Z76)</f>
        <v>25.7,24.2,24.2,24.2,24.2,24.2,24.2,24.2,24.2,24.2,24.2,24.2,24.2,24.2,24.2,25.7</v>
      </c>
    </row>
    <row r="83" customFormat="false" ht="15" hidden="false" customHeight="true" outlineLevel="0" collapsed="false">
      <c r="B83" s="18" t="str">
        <f aca="false">_xlfn.TEXTJOIN(",",TRUE(),  B77:Z77)</f>
        <v>15,14,14,14,14,14,14,14,14,14,14,14,14,14,14,15</v>
      </c>
    </row>
    <row r="84" customFormat="false" ht="15" hidden="false" customHeight="true" outlineLevel="0" collapsed="false">
      <c r="B84" s="18" t="str">
        <f aca="false">_xlfn.TEXTJOIN(",",TRUE(),  B78:Z78)</f>
        <v>4,7,4,4,6,4,4,6,4,4,6,4,4,6,4,4,6,4,4,6,4,4,6,4,4,6,4,4,6,4,4,6,4,4,6,4,4,6,4,4,6,4,4,6,4,4,7,4</v>
      </c>
    </row>
    <row r="86" customFormat="false" ht="15" hidden="false" customHeight="true" outlineLevel="0" collapsed="false">
      <c r="B86" s="18" t="s">
        <v>643</v>
      </c>
    </row>
    <row r="87" customFormat="false" ht="15" hidden="false" customHeight="true" outlineLevel="0" collapsed="false">
      <c r="A87" s="18" t="s">
        <v>607</v>
      </c>
      <c r="B87" s="18" t="s">
        <v>381</v>
      </c>
      <c r="C87" s="18" t="s">
        <v>635</v>
      </c>
      <c r="D87" s="18" t="s">
        <v>637</v>
      </c>
      <c r="E87" s="18" t="s">
        <v>636</v>
      </c>
      <c r="F87" s="18" t="s">
        <v>637</v>
      </c>
      <c r="G87" s="18" t="s">
        <v>638</v>
      </c>
      <c r="H87" s="18" t="s">
        <v>638</v>
      </c>
      <c r="I87" s="18" t="s">
        <v>639</v>
      </c>
      <c r="J87" s="18" t="s">
        <v>640</v>
      </c>
      <c r="K87" s="18" t="s">
        <v>639</v>
      </c>
      <c r="L87" s="18" t="s">
        <v>641</v>
      </c>
      <c r="M87" s="18" t="s">
        <v>642</v>
      </c>
      <c r="P87" s="0"/>
      <c r="Q87" s="0"/>
      <c r="R87" s="18"/>
      <c r="S87" s="18"/>
      <c r="T87" s="18"/>
      <c r="U87" s="18"/>
    </row>
    <row r="88" customFormat="false" ht="15" hidden="false" customHeight="true" outlineLevel="0" collapsed="false">
      <c r="A88" s="18" t="s">
        <v>612</v>
      </c>
      <c r="B88" s="18" t="n">
        <v>0</v>
      </c>
      <c r="C88" s="18" t="n">
        <v>0</v>
      </c>
      <c r="D88" s="18" t="n">
        <v>0</v>
      </c>
      <c r="E88" s="18" t="n">
        <v>0</v>
      </c>
      <c r="F88" s="18" t="n">
        <v>0</v>
      </c>
      <c r="G88" s="18" t="n">
        <v>0</v>
      </c>
      <c r="H88" s="18" t="n">
        <v>0</v>
      </c>
      <c r="I88" s="18" t="n">
        <v>0</v>
      </c>
      <c r="J88" s="18" t="n">
        <v>0</v>
      </c>
      <c r="K88" s="18" t="n">
        <v>0</v>
      </c>
      <c r="L88" s="18" t="n">
        <v>0</v>
      </c>
      <c r="M88" s="18" t="n">
        <v>0</v>
      </c>
      <c r="P88" s="0"/>
      <c r="Q88" s="0"/>
      <c r="R88" s="18"/>
      <c r="S88" s="18"/>
      <c r="T88" s="18"/>
      <c r="U88" s="18"/>
    </row>
    <row r="89" customFormat="false" ht="15" hidden="false" customHeight="true" outlineLevel="0" collapsed="false">
      <c r="A89" s="18" t="s">
        <v>525</v>
      </c>
      <c r="B89" s="18" t="n">
        <v>25.7</v>
      </c>
      <c r="C89" s="18" t="n">
        <v>24.2</v>
      </c>
      <c r="D89" s="18" t="n">
        <v>24.2</v>
      </c>
      <c r="E89" s="18" t="n">
        <v>24.2</v>
      </c>
      <c r="F89" s="18" t="n">
        <v>24.2</v>
      </c>
      <c r="G89" s="18" t="n">
        <v>24.2</v>
      </c>
      <c r="H89" s="18" t="n">
        <v>24.2</v>
      </c>
      <c r="I89" s="18" t="n">
        <v>24.2</v>
      </c>
      <c r="J89" s="18" t="n">
        <v>24.2</v>
      </c>
      <c r="K89" s="18" t="n">
        <v>24.2</v>
      </c>
      <c r="L89" s="18" t="n">
        <v>24.2</v>
      </c>
      <c r="M89" s="18" t="n">
        <v>25.7</v>
      </c>
      <c r="P89" s="0"/>
      <c r="Q89" s="0"/>
      <c r="R89" s="18"/>
      <c r="S89" s="18"/>
      <c r="T89" s="18"/>
      <c r="U89" s="18"/>
    </row>
    <row r="90" customFormat="false" ht="15" hidden="false" customHeight="true" outlineLevel="0" collapsed="false">
      <c r="A90" s="18" t="s">
        <v>622</v>
      </c>
      <c r="B90" s="18" t="n">
        <f aca="false">ROUND(15*((B89*10)/256),0)</f>
        <v>15</v>
      </c>
      <c r="C90" s="18" t="n">
        <f aca="false">ROUND(15*((C89*10)/256),0)</f>
        <v>14</v>
      </c>
      <c r="D90" s="18" t="n">
        <f aca="false">ROUND(15*((D89*10)/256),0)</f>
        <v>14</v>
      </c>
      <c r="E90" s="18" t="n">
        <f aca="false">ROUND(15*((E89*10)/256),0)</f>
        <v>14</v>
      </c>
      <c r="F90" s="18" t="n">
        <f aca="false">ROUND(15*((F89*10)/256),0)</f>
        <v>14</v>
      </c>
      <c r="G90" s="18" t="n">
        <f aca="false">ROUND(15*((G89*10)/256),0)</f>
        <v>14</v>
      </c>
      <c r="H90" s="18" t="n">
        <f aca="false">ROUND(15*((H89*10)/256),0)</f>
        <v>14</v>
      </c>
      <c r="I90" s="18" t="n">
        <f aca="false">ROUND(15*((I89*10)/256),0)</f>
        <v>14</v>
      </c>
      <c r="J90" s="18" t="n">
        <f aca="false">ROUND(15*((J89*10)/256),0)</f>
        <v>14</v>
      </c>
      <c r="K90" s="18" t="n">
        <f aca="false">ROUND(15*((K89*10)/256),0)</f>
        <v>14</v>
      </c>
      <c r="L90" s="18" t="n">
        <f aca="false">ROUND(15*((L89*10)/256),0)</f>
        <v>14</v>
      </c>
      <c r="M90" s="18" t="n">
        <f aca="false">ROUND(15*((M89*10)/256),0)</f>
        <v>15</v>
      </c>
      <c r="P90" s="0"/>
      <c r="Q90" s="0"/>
      <c r="R90" s="18"/>
      <c r="S90" s="18"/>
      <c r="T90" s="18"/>
      <c r="U90" s="18"/>
    </row>
    <row r="91" customFormat="false" ht="15" hidden="false" customHeight="true" outlineLevel="0" collapsed="false">
      <c r="A91" s="18" t="s">
        <v>623</v>
      </c>
      <c r="B91" s="18" t="str">
        <f aca="false">VLOOKUP(B90,Constants!$A$1:$B$16,2,FALSE())</f>
        <v>4,7,4</v>
      </c>
      <c r="C91" s="18" t="str">
        <f aca="false">VLOOKUP(C90,Constants!$A$1:$B$16,2,FALSE())</f>
        <v>4,6,4</v>
      </c>
      <c r="D91" s="18" t="str">
        <f aca="false">VLOOKUP(D90,Constants!$A$1:$B$16,2,FALSE())</f>
        <v>4,6,4</v>
      </c>
      <c r="E91" s="18" t="str">
        <f aca="false">VLOOKUP(E90,Constants!$A$1:$B$16,2,FALSE())</f>
        <v>4,6,4</v>
      </c>
      <c r="F91" s="18" t="str">
        <f aca="false">VLOOKUP(F90,Constants!$A$1:$B$16,2,FALSE())</f>
        <v>4,6,4</v>
      </c>
      <c r="G91" s="18" t="str">
        <f aca="false">VLOOKUP(G90,Constants!$A$1:$B$16,2,FALSE())</f>
        <v>4,6,4</v>
      </c>
      <c r="H91" s="18" t="str">
        <f aca="false">VLOOKUP(H90,Constants!$A$1:$B$16,2,FALSE())</f>
        <v>4,6,4</v>
      </c>
      <c r="I91" s="18" t="str">
        <f aca="false">VLOOKUP(I90,Constants!$A$1:$B$16,2,FALSE())</f>
        <v>4,6,4</v>
      </c>
      <c r="J91" s="18" t="str">
        <f aca="false">VLOOKUP(J90,Constants!$A$1:$B$16,2,FALSE())</f>
        <v>4,6,4</v>
      </c>
      <c r="K91" s="18" t="str">
        <f aca="false">VLOOKUP(K90,Constants!$A$1:$B$16,2,FALSE())</f>
        <v>4,6,4</v>
      </c>
      <c r="L91" s="18" t="str">
        <f aca="false">VLOOKUP(L90,Constants!$A$1:$B$16,2,FALSE())</f>
        <v>4,6,4</v>
      </c>
      <c r="M91" s="18" t="str">
        <f aca="false">VLOOKUP(M90,Constants!$A$1:$B$16,2,FALSE())</f>
        <v>4,7,4</v>
      </c>
      <c r="P91" s="0"/>
      <c r="Q91" s="0"/>
      <c r="R91" s="18"/>
      <c r="S91" s="18"/>
      <c r="T91" s="18"/>
      <c r="U91" s="18"/>
    </row>
    <row r="92" customFormat="false" ht="15" hidden="false" customHeight="true" outlineLevel="0" collapsed="false">
      <c r="P92" s="0"/>
      <c r="Q92" s="0"/>
    </row>
    <row r="93" customFormat="false" ht="15" hidden="false" customHeight="true" outlineLevel="0" collapsed="false">
      <c r="B93" s="18"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18" t="str">
        <f aca="false">_xlfn.TEXTJOIN(",",TRUE(),  B88:Z88)</f>
        <v>0,0,0,0,0,0,0,0,0,0,0,0</v>
      </c>
    </row>
    <row r="95" customFormat="false" ht="15" hidden="false" customHeight="true" outlineLevel="0" collapsed="false">
      <c r="B95" s="18" t="str">
        <f aca="false">_xlfn.TEXTJOIN(",",TRUE(),  B89:Z89)</f>
        <v>25.7,24.2,24.2,24.2,24.2,24.2,24.2,24.2,24.2,24.2,24.2,25.7</v>
      </c>
    </row>
    <row r="96" customFormat="false" ht="15" hidden="false" customHeight="true" outlineLevel="0" collapsed="false">
      <c r="B96" s="18" t="str">
        <f aca="false">_xlfn.TEXTJOIN(",",TRUE(),  B90:Z90)</f>
        <v>15,14,14,14,14,14,14,14,14,14,14,15</v>
      </c>
    </row>
    <row r="97" customFormat="false" ht="15" hidden="false" customHeight="true" outlineLevel="0" collapsed="false">
      <c r="B97" s="18" t="str">
        <f aca="false">_xlfn.TEXTJOIN(",",TRUE(),  B91:Z91)</f>
        <v>4,7,4,4,6,4,4,6,4,4,6,4,4,6,4,4,6,4,4,6,4,4,6,4,4,6,4,4,6,4,4,6,4,4,7,4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18" width="14.37"/>
  </cols>
  <sheetData>
    <row r="1" customFormat="false" ht="13.8" hidden="false" customHeight="false" outlineLevel="0" collapsed="false">
      <c r="A1" s="18" t="s">
        <v>644</v>
      </c>
      <c r="B1" s="18" t="s">
        <v>645</v>
      </c>
      <c r="C1" s="18" t="s">
        <v>646</v>
      </c>
      <c r="D1" s="18" t="s">
        <v>12</v>
      </c>
      <c r="E1" s="18" t="s">
        <v>647</v>
      </c>
    </row>
    <row r="2" customFormat="false" ht="13.8" hidden="false" customHeight="false" outlineLevel="0" collapsed="false">
      <c r="A2" s="18" t="s">
        <v>648</v>
      </c>
      <c r="B2" s="18" t="n">
        <f aca="false">(33.7+24+26.75+24.15+24.3+31.9)</f>
        <v>164.8</v>
      </c>
      <c r="C2" s="18" t="n">
        <f aca="false">52+72+28+43+47+25</f>
        <v>267</v>
      </c>
      <c r="D2" s="18" t="n">
        <v>6</v>
      </c>
      <c r="E2" s="18" t="n">
        <f aca="false">C2/D2</f>
        <v>44.5</v>
      </c>
    </row>
    <row r="3" customFormat="false" ht="13.8" hidden="false" customHeight="false" outlineLevel="0" collapsed="false">
      <c r="A3" s="18" t="s">
        <v>649</v>
      </c>
      <c r="B3" s="18" t="n">
        <f aca="false">B2+24</f>
        <v>188.8</v>
      </c>
      <c r="C3" s="18" t="n">
        <f aca="false">C2+72+72-42</f>
        <v>369</v>
      </c>
      <c r="D3" s="18" t="n">
        <v>7</v>
      </c>
      <c r="E3" s="18" t="n">
        <f aca="false">C3/D3</f>
        <v>52.7142857142857</v>
      </c>
    </row>
    <row r="4" customFormat="false" ht="13.8" hidden="false" customHeight="false" outlineLevel="0" collapsed="false">
      <c r="A4" s="18" t="s">
        <v>650</v>
      </c>
      <c r="B4" s="18" t="n">
        <f aca="false">(33.7+31.9)</f>
        <v>65.6</v>
      </c>
      <c r="C4" s="18" t="n">
        <f aca="false">52+25</f>
        <v>77</v>
      </c>
      <c r="D4" s="18" t="n">
        <v>2</v>
      </c>
      <c r="E4" s="18" t="n">
        <f aca="false">C4/D4</f>
        <v>38.5</v>
      </c>
    </row>
    <row r="5" customFormat="false" ht="13.8" hidden="false" customHeight="false" outlineLevel="0" collapsed="false">
      <c r="A5" s="18" t="s">
        <v>651</v>
      </c>
      <c r="B5" s="18" t="n">
        <f aca="false">(31.9 * 2) + (24.3 * 8)</f>
        <v>258.2</v>
      </c>
      <c r="C5" s="18" t="n">
        <f aca="false">60+72+72+72+72+18+47+47+36</f>
        <v>496</v>
      </c>
      <c r="D5" s="18" t="n">
        <v>10</v>
      </c>
      <c r="E5" s="18" t="n">
        <f aca="false">C5/D5</f>
        <v>49.6</v>
      </c>
    </row>
    <row r="6" customFormat="false" ht="13.8" hidden="false" customHeight="false" outlineLevel="0" collapsed="false">
      <c r="A6" s="18" t="s">
        <v>652</v>
      </c>
      <c r="B6" s="18" t="n">
        <f aca="false">(31.9 * 2) + (24.3 * 6)</f>
        <v>209.6</v>
      </c>
      <c r="C6" s="18" t="n">
        <f aca="false">60+72+72+18+47+36</f>
        <v>305</v>
      </c>
      <c r="D6" s="18" t="n">
        <v>6</v>
      </c>
      <c r="E6" s="18" t="n">
        <f aca="false">C6/D6</f>
        <v>50.8333333333333</v>
      </c>
    </row>
    <row r="7" customFormat="false" ht="13.8" hidden="false" customHeight="false" outlineLevel="0" collapsed="false">
      <c r="A7" s="18" t="s">
        <v>653</v>
      </c>
      <c r="B7" s="18" t="str">
        <f aca="false">_xlfn.TEXTJOIN(",",1,A13:A22)</f>
        <v>apt_half_6,apt_half_6_rev,apt_powercar,apt_half_2,apt_half_2_rev,apt_q_dvt,apt_s_dm,apt_s_10,apt_s_6</v>
      </c>
    </row>
    <row r="8" customFormat="false" ht="13.8" hidden="false" customHeight="false" outlineLevel="0" collapsed="false">
      <c r="B8" s="18"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18" t="s">
        <v>654</v>
      </c>
      <c r="B10" s="18"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18" t="s">
        <v>655</v>
      </c>
      <c r="B12" s="18" t="s">
        <v>656</v>
      </c>
    </row>
    <row r="13" customFormat="false" ht="13.8" hidden="false" customHeight="false" outlineLevel="0" collapsed="false">
      <c r="A13" s="18" t="s">
        <v>261</v>
      </c>
      <c r="B13" s="28" t="s">
        <v>210</v>
      </c>
    </row>
    <row r="14" customFormat="false" ht="13.8" hidden="false" customHeight="false" outlineLevel="0" collapsed="false">
      <c r="A14" s="18" t="s">
        <v>268</v>
      </c>
      <c r="B14" s="28" t="s">
        <v>215</v>
      </c>
    </row>
    <row r="15" customFormat="false" ht="13.8" hidden="false" customHeight="false" outlineLevel="0" collapsed="false">
      <c r="A15" s="18" t="s">
        <v>283</v>
      </c>
      <c r="B15" s="28" t="s">
        <v>220</v>
      </c>
    </row>
    <row r="16" customFormat="false" ht="13.8" hidden="false" customHeight="false" outlineLevel="0" collapsed="false">
      <c r="A16" s="18" t="s">
        <v>275</v>
      </c>
      <c r="B16" s="28" t="s">
        <v>227</v>
      </c>
    </row>
    <row r="17" customFormat="false" ht="13.8" hidden="false" customHeight="false" outlineLevel="0" collapsed="false">
      <c r="A17" s="18" t="s">
        <v>279</v>
      </c>
      <c r="B17" s="28" t="s">
        <v>234</v>
      </c>
    </row>
    <row r="18" customFormat="false" ht="13.8" hidden="false" customHeight="false" outlineLevel="0" collapsed="false">
      <c r="A18" s="18" t="s">
        <v>291</v>
      </c>
    </row>
    <row r="19" customFormat="false" ht="13.8" hidden="false" customHeight="false" outlineLevel="0" collapsed="false">
      <c r="A19" s="18" t="s">
        <v>286</v>
      </c>
    </row>
    <row r="20" customFormat="false" ht="13.8" hidden="false" customHeight="false" outlineLevel="0" collapsed="false">
      <c r="A20" s="18" t="s">
        <v>294</v>
      </c>
    </row>
    <row r="21" customFormat="false" ht="13.8" hidden="false" customHeight="false" outlineLevel="0" collapsed="false">
      <c r="A21" s="18" t="s">
        <v>301</v>
      </c>
    </row>
    <row r="22"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18" width="47.71"/>
  </cols>
  <sheetData>
    <row r="1" customFormat="false" ht="13.8" hidden="false" customHeight="false" outlineLevel="0" collapsed="false">
      <c r="A1" s="39" t="s">
        <v>657</v>
      </c>
      <c r="B1" s="39" t="s">
        <v>658</v>
      </c>
      <c r="C1" s="39" t="s">
        <v>659</v>
      </c>
      <c r="D1" s="39" t="n">
        <v>0</v>
      </c>
      <c r="E1" s="18" t="s">
        <v>660</v>
      </c>
    </row>
    <row r="2" customFormat="false" ht="13.8" hidden="false" customHeight="false" outlineLevel="0" collapsed="false">
      <c r="A2" s="39" t="s">
        <v>661</v>
      </c>
      <c r="B2" s="39" t="s">
        <v>662</v>
      </c>
      <c r="C2" s="39" t="s">
        <v>659</v>
      </c>
      <c r="D2" s="39" t="n">
        <v>1</v>
      </c>
      <c r="E2" s="18" t="s">
        <v>660</v>
      </c>
    </row>
    <row r="3" customFormat="false" ht="13.8" hidden="false" customHeight="false" outlineLevel="0" collapsed="false">
      <c r="A3" s="39" t="s">
        <v>663</v>
      </c>
      <c r="B3" s="39" t="s">
        <v>664</v>
      </c>
      <c r="C3" s="39" t="s">
        <v>659</v>
      </c>
      <c r="D3" s="39" t="n">
        <v>2</v>
      </c>
      <c r="E3" s="18" t="s">
        <v>660</v>
      </c>
    </row>
    <row r="4" customFormat="false" ht="13.8" hidden="false" customHeight="false" outlineLevel="0" collapsed="false">
      <c r="A4" s="39" t="s">
        <v>665</v>
      </c>
      <c r="B4" s="39" t="s">
        <v>666</v>
      </c>
      <c r="C4" s="39" t="s">
        <v>659</v>
      </c>
      <c r="D4" s="39" t="n">
        <v>3</v>
      </c>
      <c r="E4" s="18" t="s">
        <v>660</v>
      </c>
    </row>
    <row r="5" customFormat="false" ht="13.8" hidden="false" customHeight="false" outlineLevel="0" collapsed="false">
      <c r="A5" s="39" t="s">
        <v>667</v>
      </c>
      <c r="B5" s="39" t="s">
        <v>668</v>
      </c>
      <c r="C5" s="39" t="s">
        <v>659</v>
      </c>
      <c r="D5" s="39" t="n">
        <v>4</v>
      </c>
      <c r="E5" s="18" t="s">
        <v>660</v>
      </c>
    </row>
    <row r="6" customFormat="false" ht="13.8" hidden="false" customHeight="false" outlineLevel="0" collapsed="false">
      <c r="A6" s="39" t="s">
        <v>669</v>
      </c>
      <c r="B6" s="39" t="s">
        <v>670</v>
      </c>
      <c r="C6" s="39" t="s">
        <v>659</v>
      </c>
      <c r="D6" s="39" t="n">
        <v>5</v>
      </c>
      <c r="E6" s="18" t="s">
        <v>660</v>
      </c>
    </row>
    <row r="7" customFormat="false" ht="13.8" hidden="false" customHeight="false" outlineLevel="0" collapsed="false">
      <c r="A7" s="39" t="s">
        <v>671</v>
      </c>
      <c r="B7" s="39" t="s">
        <v>672</v>
      </c>
      <c r="C7" s="39" t="s">
        <v>659</v>
      </c>
      <c r="D7" s="39" t="n">
        <v>6</v>
      </c>
      <c r="E7" s="18" t="s">
        <v>660</v>
      </c>
    </row>
    <row r="8" customFormat="false" ht="13.8" hidden="false" customHeight="false" outlineLevel="0" collapsed="false">
      <c r="A8" s="39" t="s">
        <v>673</v>
      </c>
      <c r="B8" s="39" t="s">
        <v>674</v>
      </c>
      <c r="C8" s="39" t="s">
        <v>659</v>
      </c>
      <c r="D8" s="39" t="n">
        <v>7</v>
      </c>
      <c r="E8" s="18" t="s">
        <v>660</v>
      </c>
    </row>
    <row r="9" customFormat="false" ht="13.8" hidden="false" customHeight="false" outlineLevel="0" collapsed="false">
      <c r="A9" s="39" t="s">
        <v>675</v>
      </c>
      <c r="B9" s="39" t="s">
        <v>676</v>
      </c>
      <c r="C9" s="39" t="s">
        <v>659</v>
      </c>
      <c r="D9" s="39" t="n">
        <v>8</v>
      </c>
      <c r="E9" s="18" t="s">
        <v>660</v>
      </c>
    </row>
    <row r="10" customFormat="false" ht="13.8" hidden="false" customHeight="false" outlineLevel="0" collapsed="false">
      <c r="A10" s="39" t="s">
        <v>677</v>
      </c>
      <c r="B10" s="39" t="s">
        <v>678</v>
      </c>
      <c r="C10" s="39" t="s">
        <v>659</v>
      </c>
      <c r="D10" s="39" t="n">
        <v>9</v>
      </c>
      <c r="E10" s="18" t="s">
        <v>660</v>
      </c>
    </row>
    <row r="11" customFormat="false" ht="13.8" hidden="false" customHeight="false" outlineLevel="0" collapsed="false">
      <c r="A11" s="39" t="s">
        <v>679</v>
      </c>
      <c r="B11" s="39" t="s">
        <v>680</v>
      </c>
      <c r="C11" s="39" t="s">
        <v>659</v>
      </c>
      <c r="D11" s="39" t="n">
        <v>10</v>
      </c>
      <c r="E11" s="18" t="s">
        <v>660</v>
      </c>
    </row>
    <row r="12" customFormat="false" ht="13.8" hidden="false" customHeight="false" outlineLevel="0" collapsed="false">
      <c r="A12" s="39" t="s">
        <v>681</v>
      </c>
      <c r="B12" s="39" t="s">
        <v>682</v>
      </c>
      <c r="C12" s="39" t="s">
        <v>659</v>
      </c>
      <c r="D12" s="39" t="n">
        <v>11</v>
      </c>
      <c r="E12" s="18" t="s">
        <v>660</v>
      </c>
    </row>
    <row r="13" customFormat="false" ht="13.8" hidden="false" customHeight="false" outlineLevel="0" collapsed="false">
      <c r="A13" s="39" t="s">
        <v>683</v>
      </c>
      <c r="B13" s="39" t="s">
        <v>684</v>
      </c>
      <c r="C13" s="39" t="s">
        <v>659</v>
      </c>
      <c r="D13" s="39" t="n">
        <v>12</v>
      </c>
      <c r="E13" s="18" t="s">
        <v>660</v>
      </c>
    </row>
    <row r="14" customFormat="false" ht="13.8" hidden="false" customHeight="false" outlineLevel="0" collapsed="false">
      <c r="A14" s="39" t="s">
        <v>685</v>
      </c>
      <c r="B14" s="39" t="s">
        <v>686</v>
      </c>
      <c r="C14" s="39" t="s">
        <v>659</v>
      </c>
      <c r="D14" s="39" t="n">
        <v>13</v>
      </c>
      <c r="E14" s="18" t="s">
        <v>660</v>
      </c>
    </row>
    <row r="15" customFormat="false" ht="13.8" hidden="false" customHeight="false" outlineLevel="0" collapsed="false">
      <c r="A15" s="39" t="s">
        <v>687</v>
      </c>
      <c r="B15" s="39" t="s">
        <v>688</v>
      </c>
      <c r="C15" s="39" t="s">
        <v>659</v>
      </c>
      <c r="D15" s="39" t="n">
        <v>14</v>
      </c>
      <c r="E15" s="18" t="s">
        <v>660</v>
      </c>
    </row>
    <row r="16" customFormat="false" ht="13.8" hidden="false" customHeight="false" outlineLevel="0" collapsed="false">
      <c r="A16" s="39" t="s">
        <v>689</v>
      </c>
      <c r="B16" s="39" t="s">
        <v>690</v>
      </c>
      <c r="C16" s="39" t="s">
        <v>659</v>
      </c>
      <c r="D16" s="39" t="n">
        <v>15</v>
      </c>
      <c r="E16" s="18" t="s">
        <v>660</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6296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2026-03-25T19:34:53Z</dcterms:modified>
  <cp:revision>394</cp:revision>
  <dc:subject/>
  <dc:title/>
</cp:coreProperties>
</file>

<file path=docProps/custom.xml><?xml version="1.0" encoding="utf-8"?>
<Properties xmlns="http://schemas.openxmlformats.org/officeDocument/2006/custom-properties" xmlns:vt="http://schemas.openxmlformats.org/officeDocument/2006/docPropsVTypes"/>
</file>